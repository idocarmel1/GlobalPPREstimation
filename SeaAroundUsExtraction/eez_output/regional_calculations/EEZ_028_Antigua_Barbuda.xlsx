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7f1cf593e44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2b8d896029f4ed5"/>
    <x:sheet xmlns:r="http://schemas.openxmlformats.org/officeDocument/2006/relationships" name="Commercial" sheetId="2" r:id="R6e86c0f2905a46dc"/>
    <x:sheet xmlns:r="http://schemas.openxmlformats.org/officeDocument/2006/relationships" name="Functional" sheetId="3" r:id="R321f2cc661884345"/>
    <x:sheet xmlns:r="http://schemas.openxmlformats.org/officeDocument/2006/relationships" name="Missing TL" sheetId="4" r:id="R4a7e23b3da354396"/>
    <x:sheet xmlns:r="http://schemas.openxmlformats.org/officeDocument/2006/relationships" name="Validation" sheetId="5" r:id="R00fc10397f4746d6"/>
    <x:sheet xmlns:r="http://schemas.openxmlformats.org/officeDocument/2006/relationships" name="Metadata" sheetId="6" r:id="Rc92fbe4906384b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7d7b09c40a470d" /><Relationship Type="http://schemas.openxmlformats.org/officeDocument/2006/relationships/theme" Target="/xl/theme/theme1.xml" Id="R30bf2c16edcb4ecf" /><Relationship Type="http://schemas.microsoft.com/office/2022/11/relationships/FeaturePropertyBag" Target="/xl/featurePropertyBag/featurePropertyBag.xml" Id="R830fb9db81ab4935" /><Relationship Type="http://schemas.openxmlformats.org/officeDocument/2006/relationships/sharedStrings" Target="/xl/sharedStrings.xml" Id="R9e88da23199241d6" /><Relationship Type="http://schemas.openxmlformats.org/officeDocument/2006/relationships/worksheet" Target="/xl/worksheets/sheet1.xml" Id="R92b8d896029f4ed5" /><Relationship Type="http://schemas.openxmlformats.org/officeDocument/2006/relationships/worksheet" Target="/xl/worksheets/sheet2.xml" Id="R6e86c0f2905a46dc" /><Relationship Type="http://schemas.openxmlformats.org/officeDocument/2006/relationships/worksheet" Target="/xl/worksheets/sheet3.xml" Id="R321f2cc661884345" /><Relationship Type="http://schemas.openxmlformats.org/officeDocument/2006/relationships/worksheet" Target="/xl/worksheets/sheet4.xml" Id="R4a7e23b3da354396" /><Relationship Type="http://schemas.openxmlformats.org/officeDocument/2006/relationships/worksheet" Target="/xl/worksheets/sheet5.xml" Id="R00fc10397f4746d6" /><Relationship Type="http://schemas.openxmlformats.org/officeDocument/2006/relationships/worksheet" Target="/xl/worksheets/sheet6.xml" Id="Rc92fbe4906384bf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28SpeciesTable" displayName="EEZ028SpeciesTable" ref="A1:U20" headerRowCount="1" totalsRowCount="0" totalsRowShown="0">
  <x:autoFilter ref="A1:U2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28CommercialTable" displayName="EEZ028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28FunctionalTable" displayName="EEZ028FunctionalTable" ref="A1:O9" headerRowCount="1" totalsRowCount="0" totalsRowShown="0">
  <x:autoFilter ref="A1:O9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28ValidationTable" displayName="EEZ02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4e4fbb321946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06dc39f1374a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832232ff99243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81e8dcba354a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EEZ_028</x:v>
      </x:c>
      <x:c r="B2" s="24" t="str">
        <x:v>Antigua &amp; Barbuda</x:v>
      </x:c>
      <x:c r="C2" s="24" t="str">
        <x:v>EEZ</x:v>
      </x:c>
      <x:c r="D2" s="30" t="n">
        <x:v>2019</x:v>
      </x:c>
      <x:c r="E2" s="24" t="str">
        <x:v>Aliger gigas</x:v>
      </x:c>
      <x:c r="F2" s="24" t="str">
        <x:v>Pink conch</x:v>
      </x:c>
      <x:c r="G2" s="24" t="str">
        <x:v>Other demersal invertebrates</x:v>
      </x:c>
      <x:c r="H2" s="24" t="str">
        <x:v>Molluscs</x:v>
      </x:c>
      <x:c r="I2" s="31" t="n">
        <x:v>1583</x:v>
      </x:c>
      <x:c r="J2" s="31" t="n">
        <x:v>1583</x:v>
      </x:c>
      <x:c r="K2" s="31" t="n">
        <x:v>0</x:v>
      </x:c>
      <x:c r="L2" s="31" t="n">
        <x:v>1583</x:v>
      </x:c>
      <x:c r="M2" s="31" t="n">
        <x:v>0</x:v>
      </x:c>
      <x:c r="N2" s="24" t="str">
        <x:v>aliger gigas</x:v>
      </x:c>
      <x:c r="O2" s="32" t="n">
        <x:v>2.19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Aliger gigas</x:v>
      </x:c>
      <x:c r="T2" s="32" t="n">
        <x:f>IF(O2="","",(1/'Metadata'!$B$5)^(O2-1))</x:f>
        <x:v>15.488166189124811</x:v>
      </x:c>
      <x:c r="U2" s="31" t="n">
        <x:f>IF(T2="","",I2*T2)</x:f>
        <x:v>24517.767077384575</x:v>
      </x:c>
    </x:row>
    <x:row r="3" ht="18" customHeight="1">
      <x:c r="A3" s="24" t="str">
        <x:v>EEZ_028</x:v>
      </x:c>
      <x:c r="B3" s="24" t="str">
        <x:v>Antigua &amp; Barbuda</x:v>
      </x:c>
      <x:c r="C3" s="24" t="str">
        <x:v>EEZ</x:v>
      </x:c>
      <x:c r="D3" s="30" t="n">
        <x:v>2019</x:v>
      </x:c>
      <x:c r="E3" s="24" t="str">
        <x:v>Lutjanidae</x:v>
      </x:c>
      <x:c r="F3" s="24" t="str">
        <x:v>Snappers</x:v>
      </x:c>
      <x:c r="G3" s="24" t="str">
        <x:v>Medium reef assoc. fish (30 - 89 cm)</x:v>
      </x:c>
      <x:c r="H3" s="24" t="str">
        <x:v>Perch-likes</x:v>
      </x:c>
      <x:c r="I3" s="31" t="n">
        <x:v>584.827137757</x:v>
      </x:c>
      <x:c r="J3" s="31" t="n">
        <x:v>584.827137757</x:v>
      </x:c>
      <x:c r="K3" s="31" t="n">
        <x:v>0</x:v>
      </x:c>
      <x:c r="L3" s="31" t="n">
        <x:v>340.894928247</x:v>
      </x:c>
      <x:c r="M3" s="31" t="n">
        <x:v>243.93220951</x:v>
      </x:c>
      <x:c r="N3" s="24" t="str">
        <x:v>lutjanidae</x:v>
      </x:c>
      <x:c r="O3" s="32" t="n">
        <x:v>4.02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Lutjanidae</x:v>
      </x:c>
      <x:c r="T3" s="32" t="n">
        <x:f>IF(O3="","",(1/'Metadata'!$B$5)^(O3-1))</x:f>
        <x:v>1047.1285480508984</x:v>
      </x:c>
      <x:c r="U3" s="31" t="n">
        <x:f>IF(T3="","",I3*T3)</x:f>
        <x:v>612389.1916202501</x:v>
      </x:c>
    </x:row>
    <x:row r="4" ht="18" customHeight="1">
      <x:c r="A4" s="24" t="str">
        <x:v>EEZ_028</x:v>
      </x:c>
      <x:c r="B4" s="24" t="str">
        <x:v>Antigua &amp; Barbuda</x:v>
      </x:c>
      <x:c r="C4" s="24" t="str">
        <x:v>EEZ</x:v>
      </x:c>
      <x:c r="D4" s="30" t="n">
        <x:v>2019</x:v>
      </x:c>
      <x:c r="E4" s="24" t="str">
        <x:v>Panulirus argus</x:v>
      </x:c>
      <x:c r="F4" s="24" t="str">
        <x:v>Caribbean spiny lobster</x:v>
      </x:c>
      <x:c r="G4" s="24" t="str">
        <x:v>Lobsters, crabs</x:v>
      </x:c>
      <x:c r="H4" s="24" t="str">
        <x:v>Crustaceans</x:v>
      </x:c>
      <x:c r="I4" s="31" t="n">
        <x:v>418.79768067</x:v>
      </x:c>
      <x:c r="J4" s="31" t="n">
        <x:v>418.79768067</x:v>
      </x:c>
      <x:c r="K4" s="31" t="n">
        <x:v>0</x:v>
      </x:c>
      <x:c r="L4" s="31" t="n">
        <x:v>277</x:v>
      </x:c>
      <x:c r="M4" s="31" t="n">
        <x:v>141.79768067</x:v>
      </x:c>
      <x:c r="N4" s="24" t="str">
        <x:v>panulirus argus</x:v>
      </x:c>
      <x:c r="O4" s="32" t="n">
        <x:v>3.2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Panulirus argus</x:v>
      </x:c>
      <x:c r="T4" s="32" t="n">
        <x:f>IF(O4="","",(1/'Metadata'!$B$5)^(O4-1))</x:f>
        <x:v>158.48931924611142</x:v>
      </x:c>
      <x:c r="U4" s="31" t="n">
        <x:f>IF(T4="","",I4*T4)</x:f>
        <x:v>66374.95931123865</x:v>
      </x:c>
    </x:row>
    <x:row r="5" ht="18" customHeight="1">
      <x:c r="A5" s="24" t="str">
        <x:v>EEZ_028</x:v>
      </x:c>
      <x:c r="B5" s="24" t="str">
        <x:v>Antigua &amp; Barbuda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375.517944679</x:v>
      </x:c>
      <x:c r="J5" s="31" t="n">
        <x:v>375.517944679</x:v>
      </x:c>
      <x:c r="K5" s="31" t="n">
        <x:v>0</x:v>
      </x:c>
      <x:c r="L5" s="31" t="n">
        <x:v>295.26773087</x:v>
      </x:c>
      <x:c r="M5" s="31" t="n">
        <x:v>80.250213809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71553.469247613</x:v>
      </x:c>
    </x:row>
    <x:row r="6" ht="18" customHeight="1">
      <x:c r="A6" s="24" t="str">
        <x:v>EEZ_028</x:v>
      </x:c>
      <x:c r="B6" s="24" t="str">
        <x:v>Antigua &amp; Barbuda</x:v>
      </x:c>
      <x:c r="C6" s="24" t="str">
        <x:v>EEZ</x:v>
      </x:c>
      <x:c r="D6" s="30" t="n">
        <x:v>2019</x:v>
      </x:c>
      <x:c r="E6" s="24" t="str">
        <x:v>Acanthuridae</x:v>
      </x:c>
      <x:c r="F6" s="24" t="str">
        <x:v>Surgeons, tangs, unicornfishes</x:v>
      </x:c>
      <x:c r="G6" s="24" t="str">
        <x:v>Small reef assoc. fish (&lt;30 cm)</x:v>
      </x:c>
      <x:c r="H6" s="24" t="str">
        <x:v>Perch-likes</x:v>
      </x:c>
      <x:c r="I6" s="31" t="n">
        <x:v>177.957665281</x:v>
      </x:c>
      <x:c r="J6" s="31" t="n">
        <x:v>177.957665281</x:v>
      </x:c>
      <x:c r="K6" s="31" t="n">
        <x:v>0</x:v>
      </x:c>
      <x:c r="L6" s="31" t="n">
        <x:v>152.618104672</x:v>
      </x:c>
      <x:c r="M6" s="31" t="n">
        <x:v>25.339560609</x:v>
      </x:c>
      <x:c r="N6" s="24" t="str">
        <x:v>acanthuridae</x:v>
      </x:c>
      <x:c r="O6" s="32" t="n">
        <x:v>2.28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Acanthuridae</x:v>
      </x:c>
      <x:c r="T6" s="32" t="n">
        <x:f>IF(O6="","",(1/'Metadata'!$B$5)^(O6-1))</x:f>
        <x:v>19.054607179632463</x:v>
      </x:c>
      <x:c r="U6" s="31" t="n">
        <x:f>IF(T6="","",I6*T6)</x:f>
        <x:v>3390.913406533973</x:v>
      </x:c>
    </x:row>
    <x:row r="7" ht="18" customHeight="1">
      <x:c r="A7" s="24" t="str">
        <x:v>EEZ_028</x:v>
      </x:c>
      <x:c r="B7" s="24" t="str">
        <x:v>Antigua &amp; Barbuda</x:v>
      </x:c>
      <x:c r="C7" s="24" t="str">
        <x:v>EEZ</x:v>
      </x:c>
      <x:c r="D7" s="30" t="n">
        <x:v>2019</x:v>
      </x:c>
      <x:c r="E7" s="24" t="str">
        <x:v>Serranidae</x:v>
      </x:c>
      <x:c r="F7" s="24" t="str">
        <x:v>Basses, groupers, hinds</x:v>
      </x:c>
      <x:c r="G7" s="24" t="str">
        <x:v>Medium reef assoc. fish (30 - 89 cm)</x:v>
      </x:c>
      <x:c r="H7" s="24" t="str">
        <x:v>Perch-likes</x:v>
      </x:c>
      <x:c r="I7" s="31" t="n">
        <x:v>164.564760558</x:v>
      </x:c>
      <x:c r="J7" s="31" t="n">
        <x:v>164.564760558</x:v>
      </x:c>
      <x:c r="K7" s="31" t="n">
        <x:v>0</x:v>
      </x:c>
      <x:c r="L7" s="31" t="n">
        <x:v>164.564760558</x:v>
      </x:c>
      <x:c r="M7" s="31" t="n">
        <x:v>0</x:v>
      </x:c>
      <x:c r="N7" s="24" t="str">
        <x:v>serranidae</x:v>
      </x:c>
      <x:c r="O7" s="32" t="n">
        <x:v>3.98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Serranidae</x:v>
      </x:c>
      <x:c r="T7" s="32" t="n">
        <x:f>IF(O7="","",(1/'Metadata'!$B$5)^(O7-1))</x:f>
        <x:v>954.992586021436</x:v>
      </x:c>
      <x:c r="U7" s="31" t="n">
        <x:f>IF(T7="","",I7*T7)</x:f>
        <x:v>157158.12625328283</x:v>
      </x:c>
    </x:row>
    <x:row r="8" ht="18" customHeight="1">
      <x:c r="A8" s="24" t="str">
        <x:v>EEZ_028</x:v>
      </x:c>
      <x:c r="B8" s="24" t="str">
        <x:v>Antigua &amp; Barbuda</x:v>
      </x:c>
      <x:c r="C8" s="24" t="str">
        <x:v>EEZ</x:v>
      </x:c>
      <x:c r="D8" s="30" t="n">
        <x:v>2019</x:v>
      </x:c>
      <x:c r="E8" s="24" t="str">
        <x:v>Haemulidae</x:v>
      </x:c>
      <x:c r="F8" s="24" t="str">
        <x:v>Grunts, sweetlips, bonnetmouths</x:v>
      </x:c>
      <x:c r="G8" s="24" t="str">
        <x:v>Medium demersals (30 - 89 cm)</x:v>
      </x:c>
      <x:c r="H8" s="24" t="str">
        <x:v>Perch-likes</x:v>
      </x:c>
      <x:c r="I8" s="31" t="n">
        <x:v>144.587235677</x:v>
      </x:c>
      <x:c r="J8" s="31" t="n">
        <x:v>144.587235677</x:v>
      </x:c>
      <x:c r="K8" s="31" t="n">
        <x:v>0</x:v>
      </x:c>
      <x:c r="L8" s="31" t="n">
        <x:v>127.938169327</x:v>
      </x:c>
      <x:c r="M8" s="31" t="n">
        <x:v>16.64906635</x:v>
      </x:c>
      <x:c r="N8" s="24" t="str">
        <x:v>haemulidae</x:v>
      </x:c>
      <x:c r="O8" s="32" t="n">
        <x:v>3.36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Haemulidae</x:v>
      </x:c>
      <x:c r="T8" s="32" t="n">
        <x:f>IF(O8="","",(1/'Metadata'!$B$5)^(O8-1))</x:f>
        <x:v>229.08676527677724</x:v>
      </x:c>
      <x:c r="U8" s="31" t="n">
        <x:f>IF(T8="","",I8*T8)</x:f>
        <x:v>33123.02212155497</x:v>
      </x:c>
    </x:row>
    <x:row r="9" ht="18" customHeight="1">
      <x:c r="A9" s="24" t="str">
        <x:v>EEZ_028</x:v>
      </x:c>
      <x:c r="B9" s="24" t="str">
        <x:v>Antigua &amp; Barbuda</x:v>
      </x:c>
      <x:c r="C9" s="24" t="str">
        <x:v>EEZ</x:v>
      </x:c>
      <x:c r="D9" s="30" t="n">
        <x:v>2019</x:v>
      </x:c>
      <x:c r="E9" s="24" t="str">
        <x:v>Balistidae</x:v>
      </x:c>
      <x:c r="F9" s="24" t="str">
        <x:v>Triggerfishes</x:v>
      </x:c>
      <x:c r="G9" s="24" t="str">
        <x:v>Medium reef assoc. fish (30 - 89 cm)</x:v>
      </x:c>
      <x:c r="H9" s="24" t="str">
        <x:v>Other fishes &amp; inverts</x:v>
      </x:c>
      <x:c r="I9" s="31" t="n">
        <x:v>134.839754674</x:v>
      </x:c>
      <x:c r="J9" s="31" t="n">
        <x:v>134.839754674</x:v>
      </x:c>
      <x:c r="K9" s="31" t="n">
        <x:v>0</x:v>
      </x:c>
      <x:c r="L9" s="31" t="n">
        <x:v>119.764598909</x:v>
      </x:c>
      <x:c r="M9" s="31" t="n">
        <x:v>15.075155765000002</x:v>
      </x:c>
      <x:c r="N9" s="24" t="str">
        <x:v>balistidae</x:v>
      </x:c>
      <x:c r="O9" s="32" t="n">
        <x:v>3.25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Balistidae</x:v>
      </x:c>
      <x:c r="T9" s="32" t="n">
        <x:f>IF(O9="","",(1/'Metadata'!$B$5)^(O9-1))</x:f>
        <x:v>177.82794100389228</x:v>
      </x:c>
      <x:c r="U9" s="31" t="n">
        <x:f>IF(T9="","",I9*T9)</x:f>
        <x:v>23978.27593914738</x:v>
      </x:c>
    </x:row>
    <x:row r="10" ht="18" customHeight="1">
      <x:c r="A10" s="24" t="str">
        <x:v>EEZ_028</x:v>
      </x:c>
      <x:c r="B10" s="24" t="str">
        <x:v>Antigua &amp; Barbuda</x:v>
      </x:c>
      <x:c r="C10" s="24" t="str">
        <x:v>EEZ</x:v>
      </x:c>
      <x:c r="D10" s="30" t="n">
        <x:v>2019</x:v>
      </x:c>
      <x:c r="E10" s="24" t="str">
        <x:v>Scombroidei</x:v>
      </x:c>
      <x:c r="F10" s="24" t="str">
        <x:v>Tunas, bonitos, billfishes</x:v>
      </x:c>
      <x:c r="G10" s="24" t="str">
        <x:v>Large pelagics (&gt;=90 cm)</x:v>
      </x:c>
      <x:c r="H10" s="24" t="str">
        <x:v>Tuna &amp; billfishes</x:v>
      </x:c>
      <x:c r="I10" s="31" t="n">
        <x:v>50.752096721</x:v>
      </x:c>
      <x:c r="J10" s="31" t="n">
        <x:v>50.752096721</x:v>
      </x:c>
      <x:c r="K10" s="31" t="n">
        <x:v>0</x:v>
      </x:c>
      <x:c r="L10" s="31" t="n">
        <x:v>20.711254799</x:v>
      </x:c>
      <x:c r="M10" s="31" t="n">
        <x:v>30.040841922000002</x:v>
      </x:c>
      <x:c r="N10" s="24" t="str">
        <x:v>scombroidei</x:v>
      </x:c>
      <x:c r="O10" s="32" t="n">
        <x:v>4.2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Scombroidei</x:v>
      </x:c>
      <x:c r="T10" s="32" t="n">
        <x:f>IF(O10="","",(1/'Metadata'!$B$5)^(O10-1))</x:f>
        <x:v>1584.893192461114</x:v>
      </x:c>
      <x:c r="U10" s="31" t="n">
        <x:f>IF(T10="","",I10*T10)</x:f>
        <x:v>80436.65259624094</x:v>
      </x:c>
    </x:row>
    <x:row r="11" ht="18" customHeight="1">
      <x:c r="A11" s="24" t="str">
        <x:v>EEZ_028</x:v>
      </x:c>
      <x:c r="B11" s="24" t="str">
        <x:v>Antigua &amp; Barbuda</x:v>
      </x:c>
      <x:c r="C11" s="24" t="str">
        <x:v>EEZ</x:v>
      </x:c>
      <x:c r="D11" s="30" t="n">
        <x:v>2019</x:v>
      </x:c>
      <x:c r="E11" s="24" t="str">
        <x:v>Chondrichthyes</x:v>
      </x:c>
      <x:c r="F11" s="24" t="str">
        <x:v>Sharks, rays, chimaeras</x:v>
      </x:c>
      <x:c r="G11" s="24" t="str">
        <x:v>Large sharks (&gt;=90 cm)</x:v>
      </x:c>
      <x:c r="H11" s="24" t="str">
        <x:v>Sharks &amp; rays</x:v>
      </x:c>
      <x:c r="I11" s="31" t="n">
        <x:v>38.467814656</x:v>
      </x:c>
      <x:c r="J11" s="31" t="n">
        <x:v>38.467814656</x:v>
      </x:c>
      <x:c r="K11" s="31" t="n">
        <x:v>0</x:v>
      </x:c>
      <x:c r="L11" s="31" t="n">
        <x:v>22.586785209</x:v>
      </x:c>
      <x:c r="M11" s="31" t="n">
        <x:v>15.881029447</x:v>
      </x:c>
      <x:c r="N11" s="24" t="str">
        <x:v>chondrichthyes</x:v>
      </x:c>
      <x:c r="O11" s="32" t="n">
        <x:v>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Chondrichthyes</x:v>
      </x:c>
      <x:c r="T11" s="32" t="n">
        <x:f>IF(O11="","",(1/'Metadata'!$B$5)^(O11-1))</x:f>
        <x:v>1000</x:v>
      </x:c>
      <x:c r="U11" s="31" t="n">
        <x:f>IF(T11="","",I11*T11)</x:f>
        <x:v>38467.814656</x:v>
      </x:c>
    </x:row>
    <x:row r="12" ht="18" customHeight="1">
      <x:c r="A12" s="24" t="str">
        <x:v>EEZ_028</x:v>
      </x:c>
      <x:c r="B12" s="24" t="str">
        <x:v>Antigua &amp; Barbuda</x:v>
      </x:c>
      <x:c r="C12" s="24" t="str">
        <x:v>EEZ</x:v>
      </x:c>
      <x:c r="D12" s="30" t="n">
        <x:v>2019</x:v>
      </x:c>
      <x:c r="E12" s="24" t="str">
        <x:v>Ostraciidae</x:v>
      </x:c>
      <x:c r="F12" s="24" t="str">
        <x:v>Box-, cow-, trunkfishes</x:v>
      </x:c>
      <x:c r="G12" s="24" t="str">
        <x:v>Medium reef assoc. fish (30 - 89 cm)</x:v>
      </x:c>
      <x:c r="H12" s="24" t="str">
        <x:v>Other fishes &amp; inverts</x:v>
      </x:c>
      <x:c r="I12" s="31" t="n">
        <x:v>19.40897151</x:v>
      </x:c>
      <x:c r="J12" s="31" t="n">
        <x:v>19.40897151</x:v>
      </x:c>
      <x:c r="K12" s="31" t="n">
        <x:v>0</x:v>
      </x:c>
      <x:c r="L12" s="31" t="n">
        <x:v>19.40897151</x:v>
      </x:c>
      <x:c r="M12" s="31" t="n">
        <x:v>0</x:v>
      </x:c>
      <x:c r="N12" s="24" t="str">
        <x:v>ostraciidae</x:v>
      </x:c>
      <x:c r="O12" s="32" t="n">
        <x:v>2.83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Ostraciidae</x:v>
      </x:c>
      <x:c r="T12" s="32" t="n">
        <x:f>IF(O12="","",(1/'Metadata'!$B$5)^(O12-1))</x:f>
        <x:v>67.60829753919819</x:v>
      </x:c>
      <x:c r="U12" s="31" t="n">
        <x:f>IF(T12="","",I12*T12)</x:f>
        <x:v>1312.2075207779008</x:v>
      </x:c>
    </x:row>
    <x:row r="13" ht="18" customHeight="1">
      <x:c r="A13" s="24" t="str">
        <x:v>EEZ_028</x:v>
      </x:c>
      <x:c r="B13" s="24" t="str">
        <x:v>Antigua &amp; Barbuda</x:v>
      </x:c>
      <x:c r="C13" s="24" t="str">
        <x:v>EEZ</x:v>
      </x:c>
      <x:c r="D13" s="30" t="n">
        <x:v>2019</x:v>
      </x:c>
      <x:c r="E13" s="24" t="str">
        <x:v>Carangidae</x:v>
      </x:c>
      <x:c r="F13" s="24" t="str">
        <x:v>Jacks, pompanos</x:v>
      </x:c>
      <x:c r="G13" s="24" t="str">
        <x:v>Medium pelagics (30 - 89 cm)</x:v>
      </x:c>
      <x:c r="H13" s="24" t="str">
        <x:v>Perch-likes</x:v>
      </x:c>
      <x:c r="I13" s="31" t="n">
        <x:v>18.442941824000002</x:v>
      </x:c>
      <x:c r="J13" s="31" t="n">
        <x:v>18.442941824000002</x:v>
      </x:c>
      <x:c r="K13" s="31" t="n">
        <x:v>0</x:v>
      </x:c>
      <x:c r="L13" s="31" t="n">
        <x:v>15.586785209</x:v>
      </x:c>
      <x:c r="M13" s="31" t="n">
        <x:v>2.856156615</x:v>
      </x:c>
      <x:c r="N13" s="24" t="str">
        <x:v>carangidae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Carangidae</x:v>
      </x:c>
      <x:c r="T13" s="32" t="n">
        <x:f>IF(O13="","",(1/'Metadata'!$B$5)^(O13-1))</x:f>
        <x:v>1122.018454301963</x:v>
      </x:c>
      <x:c r="U13" s="31" t="n">
        <x:f>IF(T13="","",I13*T13)</x:f>
        <x:v>20693.321078145505</x:v>
      </x:c>
    </x:row>
    <x:row r="14" ht="18" customHeight="1">
      <x:c r="A14" s="24" t="str">
        <x:v>EEZ_028</x:v>
      </x:c>
      <x:c r="B14" s="24" t="str">
        <x:v>Antigua &amp; Barbuda</x:v>
      </x:c>
      <x:c r="C14" s="24" t="str">
        <x:v>EEZ</x:v>
      </x:c>
      <x:c r="D14" s="30" t="n">
        <x:v>2019</x:v>
      </x:c>
      <x:c r="E14" s="24" t="str">
        <x:v>Sphyraena</x:v>
      </x:c>
      <x:c r="F14" s="24" t="str">
        <x:v>Barracudas, sennets</x:v>
      </x:c>
      <x:c r="G14" s="24" t="str">
        <x:v>Large pelagics (&gt;=90 cm)</x:v>
      </x:c>
      <x:c r="H14" s="24" t="str">
        <x:v>Perch-likes</x:v>
      </x:c>
      <x:c r="I14" s="31" t="n">
        <x:v>15.735614273</x:v>
      </x:c>
      <x:c r="J14" s="31" t="n">
        <x:v>15.735614273</x:v>
      </x:c>
      <x:c r="K14" s="31" t="n">
        <x:v>0</x:v>
      </x:c>
      <x:c r="L14" s="31" t="n">
        <x:v>4.21337644</x:v>
      </x:c>
      <x:c r="M14" s="31" t="n">
        <x:v>11.522237833</x:v>
      </x:c>
      <x:c r="N14" s="24" t="str">
        <x:v>sphyraena</x:v>
      </x:c>
      <x:c r="O14" s="32" t="n">
        <x:v>4.4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Sphyraena</x:v>
      </x:c>
      <x:c r="T14" s="32" t="n">
        <x:f>IF(O14="","",(1/'Metadata'!$B$5)^(O14-1))</x:f>
        <x:v>2511.886431509582</x:v>
      </x:c>
      <x:c r="U14" s="31" t="n">
        <x:f>IF(T14="","",I14*T14)</x:f>
        <x:v>39526.075983817216</x:v>
      </x:c>
    </x:row>
    <x:row r="15" ht="18" customHeight="1">
      <x:c r="A15" s="24" t="str">
        <x:v>EEZ_028</x:v>
      </x:c>
      <x:c r="B15" s="24" t="str">
        <x:v>Antigua &amp; Barbuda</x:v>
      </x:c>
      <x:c r="C15" s="24" t="str">
        <x:v>EEZ</x:v>
      </x:c>
      <x:c r="D15" s="30" t="n">
        <x:v>2019</x:v>
      </x:c>
      <x:c r="E15" s="24" t="str">
        <x:v>Cantherhines</x:v>
      </x:c>
      <x:c r="F15" s="24" t="str">
        <x:v>Mideye spined filefishes</x:v>
      </x:c>
      <x:c r="G15" s="24" t="str">
        <x:v>Medium reef assoc. fish (30 - 89 cm)</x:v>
      </x:c>
      <x:c r="H15" s="24" t="str">
        <x:v>Other fishes &amp; inverts</x:v>
      </x:c>
      <x:c r="I15" s="31" t="n">
        <x:v>11.586775759</x:v>
      </x:c>
      <x:c r="J15" s="31" t="n">
        <x:v>11.586775759</x:v>
      </x:c>
      <x:c r="K15" s="31" t="n">
        <x:v>0</x:v>
      </x:c>
      <x:c r="L15" s="31" t="n">
        <x:v>8.10668822</x:v>
      </x:c>
      <x:c r="M15" s="31" t="n">
        <x:v>3.4800875390000003</x:v>
      </x:c>
      <x:c r="N15" s="24" t="str">
        <x:v>cantherhines</x:v>
      </x:c>
      <x:c r="O15" s="32" t="n">
        <x:v>3.5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Cantherhines</x:v>
      </x:c>
      <x:c r="T15" s="32" t="n">
        <x:f>IF(O15="","",(1/'Metadata'!$B$5)^(O15-1))</x:f>
        <x:v>316.22776601683796</x:v>
      </x:c>
      <x:c r="U15" s="31" t="n">
        <x:f>IF(T15="","",I15*T15)</x:f>
        <x:v>3664.0602136066223</x:v>
      </x:c>
    </x:row>
    <x:row r="16" ht="18" customHeight="1">
      <x:c r="A16" s="24" t="str">
        <x:v>EEZ_028</x:v>
      </x:c>
      <x:c r="B16" s="24" t="str">
        <x:v>Antigua &amp; Barbuda</x:v>
      </x:c>
      <x:c r="C16" s="24" t="str">
        <x:v>EEZ</x:v>
      </x:c>
      <x:c r="D16" s="30" t="n">
        <x:v>2019</x:v>
      </x:c>
      <x:c r="E16" s="24" t="str">
        <x:v>Holocentridae</x:v>
      </x:c>
      <x:c r="F16" s="24" t="str">
        <x:v>Squirrel-, soldierfishes</x:v>
      </x:c>
      <x:c r="G16" s="24" t="str">
        <x:v>Small reef assoc. fish (&lt;30 cm)</x:v>
      </x:c>
      <x:c r="H16" s="24" t="str">
        <x:v>Other fishes &amp; inverts</x:v>
      </x:c>
      <x:c r="I16" s="31" t="n">
        <x:v>11.266720549</x:v>
      </x:c>
      <x:c r="J16" s="31" t="n">
        <x:v>11.266720549</x:v>
      </x:c>
      <x:c r="K16" s="31" t="n">
        <x:v>0</x:v>
      </x:c>
      <x:c r="L16" s="31" t="n">
        <x:v>11.266720549</x:v>
      </x:c>
      <x:c r="M16" s="31" t="n">
        <x:v>0</x:v>
      </x:c>
      <x:c r="N16" s="24" t="str">
        <x:v>holocentridae</x:v>
      </x:c>
      <x:c r="O16" s="32" t="n">
        <x:v>3.49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Holocentridae</x:v>
      </x:c>
      <x:c r="T16" s="32" t="n">
        <x:f>IF(O16="","",(1/'Metadata'!$B$5)^(O16-1))</x:f>
        <x:v>309.0295432513592</x:v>
      </x:c>
      <x:c r="U16" s="31" t="n">
        <x:f>IF(T16="","",I16*T16)</x:f>
        <x:v>3481.749505198173</x:v>
      </x:c>
    </x:row>
    <x:row r="17" ht="18" customHeight="1">
      <x:c r="A17" s="24" t="str">
        <x:v>EEZ_028</x:v>
      </x:c>
      <x:c r="B17" s="24" t="str">
        <x:v>Antigua &amp; Barbuda</x:v>
      </x:c>
      <x:c r="C17" s="24" t="str">
        <x:v>EEZ</x:v>
      </x:c>
      <x:c r="D17" s="30" t="n">
        <x:v>2019</x:v>
      </x:c>
      <x:c r="E17" s="24" t="str">
        <x:v>Sphyraenidae</x:v>
      </x:c>
      <x:c r="F17" s="24" t="str">
        <x:v>Barracudas</x:v>
      </x:c>
      <x:c r="G17" s="24" t="str">
        <x:v>Medium reef assoc. fish (30 - 89 cm)</x:v>
      </x:c>
      <x:c r="H17" s="24" t="str">
        <x:v>Perch-likes</x:v>
      </x:c>
      <x:c r="I17" s="31" t="n">
        <x:v>1.82464334</x:v>
      </x:c>
      <x:c r="J17" s="31" t="n">
        <x:v>1.82464334</x:v>
      </x:c>
      <x:c r="K17" s="31" t="n">
        <x:v>0</x:v>
      </x:c>
      <x:c r="L17" s="31" t="n">
        <x:v>0</x:v>
      </x:c>
      <x:c r="M17" s="31" t="n">
        <x:v>1.82464334</x:v>
      </x:c>
      <x:c r="N17" s="24" t="str">
        <x:v>sphyraenidae</x:v>
      </x:c>
      <x:c r="O17" s="32" t="n">
        <x:v>4.4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Sphyraenidae</x:v>
      </x:c>
      <x:c r="T17" s="32" t="n">
        <x:f>IF(O17="","",(1/'Metadata'!$B$5)^(O17-1))</x:f>
        <x:v>2511.886431509582</x:v>
      </x:c>
      <x:c r="U17" s="31" t="n">
        <x:f>IF(T17="","",I17*T17)</x:f>
        <x:v>4583.296848090325</x:v>
      </x:c>
    </x:row>
    <x:row r="18" ht="18" customHeight="1">
      <x:c r="A18" s="24" t="str">
        <x:v>EEZ_028</x:v>
      </x:c>
      <x:c r="B18" s="24" t="str">
        <x:v>Antigua &amp; Barbuda</x:v>
      </x:c>
      <x:c r="C18" s="24" t="str">
        <x:v>EEZ</x:v>
      </x:c>
      <x:c r="D18" s="30" t="n">
        <x:v>2019</x:v>
      </x:c>
      <x:c r="E18" s="24" t="str">
        <x:v>Carpilius corallinus</x:v>
      </x:c>
      <x:c r="F18" s="24" t="str">
        <x:v>Batwing coral crab</x:v>
      </x:c>
      <x:c r="G18" s="24" t="str">
        <x:v>Lobsters, crabs</x:v>
      </x:c>
      <x:c r="H18" s="24" t="str">
        <x:v>Crustaceans</x:v>
      </x:c>
      <x:c r="I18" s="31" t="n">
        <x:v>1.382885432</x:v>
      </x:c>
      <x:c r="J18" s="31" t="n">
        <x:v>1.382885432</x:v>
      </x:c>
      <x:c r="K18" s="31" t="n">
        <x:v>0</x:v>
      </x:c>
      <x:c r="L18" s="31" t="n">
        <x:v>1.01778137</x:v>
      </x:c>
      <x:c r="M18" s="31" t="n">
        <x:v>0.365104062</x:v>
      </x:c>
      <x:c r="N18" s="24" t="str">
        <x:v>carpilius corallinus</x:v>
      </x:c>
      <x:c r="O18" s="32" t="n">
        <x:v>3.44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Carpilius corallinus</x:v>
      </x:c>
      <x:c r="T18" s="32" t="n">
        <x:f>IF(O18="","",(1/'Metadata'!$B$5)^(O18-1))</x:f>
        <x:v>275.4228703338166</x:v>
      </x:c>
      <x:c r="U18" s="31" t="n">
        <x:f>IF(T18="","",I18*T18)</x:f>
        <x:v>380.87827502425995</x:v>
      </x:c>
    </x:row>
    <x:row r="19" ht="18" customHeight="1">
      <x:c r="A19" s="24" t="str">
        <x:v>EEZ_028</x:v>
      </x:c>
      <x:c r="B19" s="24" t="str">
        <x:v>Antigua &amp; Barbuda</x:v>
      </x:c>
      <x:c r="C19" s="24" t="str">
        <x:v>EEZ</x:v>
      </x:c>
      <x:c r="D19" s="30" t="n">
        <x:v>2019</x:v>
      </x:c>
      <x:c r="E19" s="24" t="str">
        <x:v>Kyphosus</x:v>
      </x:c>
      <x:c r="F19" s="24" t="str">
        <x:v>Sea chubs</x:v>
      </x:c>
      <x:c r="G19" s="24" t="str">
        <x:v>Medium reef assoc. fish (30 - 89 cm)</x:v>
      </x:c>
      <x:c r="H19" s="24" t="str">
        <x:v>Perch-likes</x:v>
      </x:c>
      <x:c r="I19" s="31" t="n">
        <x:v>1.05334411</x:v>
      </x:c>
      <x:c r="J19" s="31" t="n">
        <x:v>1.05334411</x:v>
      </x:c>
      <x:c r="K19" s="31" t="n">
        <x:v>0</x:v>
      </x:c>
      <x:c r="L19" s="31" t="n">
        <x:v>1.05334411</x:v>
      </x:c>
      <x:c r="M19" s="31" t="n">
        <x:v>0</x:v>
      </x:c>
      <x:c r="N19" s="24" t="str">
        <x:v>kyphosus</x:v>
      </x:c>
      <x:c r="O19" s="32" t="n">
        <x:v>2.05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Kyphosus</x:v>
      </x:c>
      <x:c r="T19" s="32" t="n">
        <x:f>IF(O19="","",(1/'Metadata'!$B$5)^(O19-1))</x:f>
        <x:v>11.220184543019629</x:v>
      </x:c>
      <x:c r="U19" s="31" t="n">
        <x:f>IF(T19="","",I19*T19)</x:f>
        <x:v>11.818715301502769</x:v>
      </x:c>
    </x:row>
    <x:row r="20" ht="18" customHeight="1">
      <x:c r="A20" s="24" t="str">
        <x:v>EEZ_028</x:v>
      </x:c>
      <x:c r="B20" s="24" t="str">
        <x:v>Antigua &amp; Barbuda</x:v>
      </x:c>
      <x:c r="C20" s="24" t="str">
        <x:v>EEZ</x:v>
      </x:c>
      <x:c r="D20" s="30" t="n">
        <x:v>2019</x:v>
      </x:c>
      <x:c r="E20" s="24" t="str">
        <x:v>Decapoda</x:v>
      </x:c>
      <x:c r="F20" s="24" t="str">
        <x:v>Crabs, lobsters, shrimps</x:v>
      </x:c>
      <x:c r="G20" s="24" t="str">
        <x:v>Lobsters, crabs</x:v>
      </x:c>
      <x:c r="H20" s="24" t="str">
        <x:v>Crustaceans</x:v>
      </x:c>
      <x:c r="I20" s="31" t="n">
        <x:v>0.30410722399999995</x:v>
      </x:c>
      <x:c r="J20" s="31" t="n">
        <x:v>0.30410722399999995</x:v>
      </x:c>
      <x:c r="K20" s="31" t="n">
        <x:v>0</x:v>
      </x:c>
      <x:c r="L20" s="31" t="n">
        <x:v>0</x:v>
      </x:c>
      <x:c r="M20" s="31" t="n">
        <x:v>0.30410722399999995</x:v>
      </x:c>
      <x:c r="N20" s="24" t="str">
        <x:v>decapoda</x:v>
      </x:c>
      <x:c r="O20" s="32" t="n">
        <x:v>3.43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Decapoda</x:v>
      </x:c>
      <x:c r="T20" s="32" t="n">
        <x:f>IF(O20="","",(1/'Metadata'!$B$5)^(O20-1))</x:f>
        <x:v>269.1534803926917</x:v>
      </x:c>
      <x:c r="U20" s="31" t="n">
        <x:f>IF(T20="","",I20*T20)</x:f>
        <x:v>81.85151775215988</x:v>
      </x:c>
    </x:row>
  </x:sheetData>
  <x:conditionalFormatting sqref="R2:R2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94e4fbb3219461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3</x:v>
      </x:c>
      <x:c r="C2" s="33" t="n">
        <x:v>3</x:v>
      </x:c>
      <x:c r="D2" s="31" t="n">
        <x:v>420.484673326</x:v>
      </x:c>
      <x:c r="E2" s="31" t="n">
        <x:v>420.484673326</x:v>
      </x:c>
      <x:c r="F2" s="32" t="n">
        <x:v>0</x:v>
      </x:c>
      <x:c r="G2" s="34" t="n">
        <x:v>1</x:v>
      </x:c>
      <x:c r="H2" s="32" t="n">
        <x:f>IF(E2=0,"",I2/E2)</x:f>
        <x:v>158.95392470630216</x:v>
      </x:c>
      <x:c r="I2" s="31" t="n">
        <x:f>IF(C2=0,"",SUMIF('Species'!$H$2:$H$20,A2,'Species'!$U$2:$U$20))</x:f>
        <x:v>66837.68910401507</x:v>
      </x:c>
      <x:c r="J2" s="32" t="n">
        <x:v>3.2009556523476146</x:v>
      </x:c>
      <x:c r="K2" s="32" t="n">
        <x:f>IF(J2="","",(1/'Metadata'!$B$5)^(J2-1))</x:f>
        <x:v>158.83845436304716</x:v>
      </x:c>
      <x:c r="L2" s="31" t="n">
        <x:f>IF(E2=0,"",E2*K2)</x:f>
        <x:v>66789.13559445264</x:v>
      </x:c>
      <x:c r="M2" s="31" t="n">
        <x:f>IF(E2=0,"",I2-L2)</x:f>
        <x:v>48.55350956242182</x:v>
      </x:c>
      <x:c r="N2" s="32" t="n">
        <x:f>IF(L2=0,"",I2/L2)</x:f>
        <x:v>1.00072696718007</x:v>
      </x:c>
      <x:c r="O2" s="34" t="n">
        <x:f>IF(L2=0,"",M2/L2)</x:f>
        <x:v>0.0007269671800701456</x:v>
      </x:c>
    </x:row>
    <x:row r="3" ht="18" customHeight="1">
      <x:c r="A3" s="24" t="str">
        <x:v>Molluscs</x:v>
      </x:c>
      <x:c r="B3" s="33" t="n">
        <x:v>1</x:v>
      </x:c>
      <x:c r="C3" s="33" t="n">
        <x:v>1</x:v>
      </x:c>
      <x:c r="D3" s="31" t="n">
        <x:v>1583</x:v>
      </x:c>
      <x:c r="E3" s="31" t="n">
        <x:v>1583</x:v>
      </x:c>
      <x:c r="F3" s="32" t="n">
        <x:v>0</x:v>
      </x:c>
      <x:c r="G3" s="34" t="n">
        <x:v>1</x:v>
      </x:c>
      <x:c r="H3" s="32" t="n">
        <x:f>IF(E3=0,"",I3/E3)</x:f>
        <x:v>15.48816618912481</x:v>
      </x:c>
      <x:c r="I3" s="31" t="n">
        <x:f>IF(C3=0,"",SUMIF('Species'!$H$2:$H$20,A3,'Species'!$U$2:$U$20))</x:f>
        <x:v>24517.767077384575</x:v>
      </x:c>
      <x:c r="J3" s="32" t="n">
        <x:v>2.19</x:v>
      </x:c>
      <x:c r="K3" s="32" t="n">
        <x:f>IF(J3="","",(1/'Metadata'!$B$5)^(J3-1))</x:f>
        <x:v>15.488166189124811</x:v>
      </x:c>
      <x:c r="L3" s="31" t="n">
        <x:f>IF(E3=0,"",E3*K3)</x:f>
        <x:v>24517.767077384575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Other fishes &amp; inverts</x:v>
      </x:c>
      <x:c r="B4" s="33" t="n">
        <x:v>5</x:v>
      </x:c>
      <x:c r="C4" s="33" t="n">
        <x:v>5</x:v>
      </x:c>
      <x:c r="D4" s="31" t="n">
        <x:v>552.6201671709999</x:v>
      </x:c>
      <x:c r="E4" s="31" t="n">
        <x:v>552.6201671709999</x:v>
      </x:c>
      <x:c r="F4" s="32" t="n">
        <x:v>0</x:v>
      </x:c>
      <x:c r="G4" s="34" t="n">
        <x:v>1</x:v>
      </x:c>
      <x:c r="H4" s="32" t="n">
        <x:f>IF(E4=0,"",I4/E4)</x:f>
        <x:v>188.17583686583956</x:v>
      </x:c>
      <x:c r="I4" s="31" t="n">
        <x:f>IF(C4=0,"",SUMIF('Species'!$H$2:$H$20,A4,'Species'!$U$2:$U$20))</x:f>
        <x:v>103989.76242634306</x:v>
      </x:c>
      <x:c r="J4" s="32" t="n">
        <x:v>3.2657693795763763</x:v>
      </x:c>
      <x:c r="K4" s="32" t="n">
        <x:f>IF(J4="","",(1/'Metadata'!$B$5)^(J4-1))</x:f>
        <x:v>184.40359333684015</x:v>
      </x:c>
      <x:c r="L4" s="31" t="n">
        <x:f>IF(E4=0,"",E4*K4)</x:f>
        <x:v>101905.14457673769</x:v>
      </x:c>
      <x:c r="M4" s="31" t="n">
        <x:f>IF(E4=0,"",I4-L4)</x:f>
        <x:v>2084.6178496053763</x:v>
      </x:c>
      <x:c r="N4" s="32" t="n">
        <x:f>IF(L4=0,"",I4/L4)</x:f>
        <x:v>1.0204564534819496</x:v>
      </x:c>
      <x:c r="O4" s="34" t="n">
        <x:f>IF(L4=0,"",M4/L4)</x:f>
        <x:v>0.020456453481949532</x:v>
      </x:c>
    </x:row>
    <x:row r="5" ht="18" customHeight="1">
      <x:c r="A5" s="24" t="str">
        <x:v>Perch-likes</x:v>
      </x:c>
      <x:c r="B5" s="33" t="n">
        <x:v>8</x:v>
      </x:c>
      <x:c r="C5" s="33" t="n">
        <x:v>8</x:v>
      </x:c>
      <x:c r="D5" s="31" t="n">
        <x:v>1108.99334282</x:v>
      </x:c>
      <x:c r="E5" s="31" t="n">
        <x:v>1108.99334282</x:v>
      </x:c>
      <x:c r="F5" s="32" t="n">
        <x:v>0</x:v>
      </x:c>
      <x:c r="G5" s="34" t="n">
        <x:v>1</x:v>
      </x:c>
      <x:c r="H5" s="32" t="n">
        <x:f>IF(E5=0,"",I5/E5)</x:f>
        <x:v>785.2849358071646</x:v>
      </x:c>
      <x:c r="I5" s="31" t="n">
        <x:f>IF(C5=0,"",SUMIF('Species'!$H$2:$H$20,A5,'Species'!$U$2:$U$20))</x:f>
        <x:v>870875.7660269765</x:v>
      </x:c>
      <x:c r="J5" s="32" t="n">
        <x:v>3.6534464873581305</x:v>
      </x:c>
      <x:c r="K5" s="32" t="n">
        <x:f>IF(J5="","",(1/'Metadata'!$B$5)^(J5-1))</x:f>
        <x:v>450.24250015464213</x:v>
      </x:c>
      <x:c r="L5" s="31" t="n">
        <x:f>IF(E5=0,"",E5*K5)</x:f>
        <x:v>499315.93532613094</x:v>
      </x:c>
      <x:c r="M5" s="31" t="n">
        <x:f>IF(E5=0,"",I5-L5)</x:f>
        <x:v>371559.8307008456</x:v>
      </x:c>
      <x:c r="N5" s="32" t="n">
        <x:f>IF(L5=0,"",I5/L5)</x:f>
        <x:v>1.7441377380799177</x:v>
      </x:c>
      <x:c r="O5" s="34" t="n">
        <x:f>IF(L5=0,"",M5/L5)</x:f>
        <x:v>0.7441377380799178</x:v>
      </x:c>
    </x:row>
    <x:row r="6" ht="18" customHeight="1">
      <x:c r="A6" s="24" t="str">
        <x:v>Sharks &amp; rays</x:v>
      </x:c>
      <x:c r="B6" s="33" t="n">
        <x:v>1</x:v>
      </x:c>
      <x:c r="C6" s="33" t="n">
        <x:v>1</x:v>
      </x:c>
      <x:c r="D6" s="31" t="n">
        <x:v>38.467814656</x:v>
      </x:c>
      <x:c r="E6" s="31" t="n">
        <x:v>38.467814656</x:v>
      </x:c>
      <x:c r="F6" s="32" t="n">
        <x:v>0</x:v>
      </x:c>
      <x:c r="G6" s="34" t="n">
        <x:v>1</x:v>
      </x:c>
      <x:c r="H6" s="32" t="n">
        <x:f>IF(E6=0,"",I6/E6)</x:f>
        <x:v>1000</x:v>
      </x:c>
      <x:c r="I6" s="31" t="n">
        <x:f>IF(C6=0,"",SUMIF('Species'!$H$2:$H$20,A6,'Species'!$U$2:$U$20))</x:f>
        <x:v>38467.814656</x:v>
      </x:c>
      <x:c r="J6" s="32" t="n">
        <x:v>4</x:v>
      </x:c>
      <x:c r="K6" s="32" t="n">
        <x:f>IF(J6="","",(1/'Metadata'!$B$5)^(J6-1))</x:f>
        <x:v>1000</x:v>
      </x:c>
      <x:c r="L6" s="31" t="n">
        <x:f>IF(E6=0,"",E6*K6)</x:f>
        <x:v>38467.814656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Tuna &amp; billfishes</x:v>
      </x:c>
      <x:c r="B7" s="33" t="n">
        <x:v>1</x:v>
      </x:c>
      <x:c r="C7" s="33" t="n">
        <x:v>1</x:v>
      </x:c>
      <x:c r="D7" s="31" t="n">
        <x:v>50.752096721</x:v>
      </x:c>
      <x:c r="E7" s="31" t="n">
        <x:v>50.752096721</x:v>
      </x:c>
      <x:c r="F7" s="32" t="n">
        <x:v>0</x:v>
      </x:c>
      <x:c r="G7" s="34" t="n">
        <x:v>1</x:v>
      </x:c>
      <x:c r="H7" s="32" t="n">
        <x:f>IF(E7=0,"",I7/E7)</x:f>
        <x:v>1584.8931924611143</x:v>
      </x:c>
      <x:c r="I7" s="31" t="n">
        <x:f>IF(C7=0,"",SUMIF('Species'!$H$2:$H$20,A7,'Species'!$U$2:$U$20))</x:f>
        <x:v>80436.65259624094</x:v>
      </x:c>
      <x:c r="J7" s="32" t="n">
        <x:v>4.2</x:v>
      </x:c>
      <x:c r="K7" s="32" t="n">
        <x:f>IF(J7="","",(1/'Metadata'!$B$5)^(J7-1))</x:f>
        <x:v>1584.893192461114</x:v>
      </x:c>
      <x:c r="L7" s="31" t="n">
        <x:f>IF(E7=0,"",E7*K7)</x:f>
        <x:v>80436.65259624094</x:v>
      </x:c>
      <x:c r="M7" s="31" t="n">
        <x:f>IF(E7=0,"",I7-L7)</x:f>
        <x:v>0</x:v>
      </x:c>
      <x:c r="N7" s="32" t="n">
        <x:f>IF(L7=0,"",I7/L7)</x:f>
        <x:v>1</x:v>
      </x:c>
      <x:c r="O7" s="34" t="n">
        <x:f>IF(L7=0,"",M7/L7)</x:f>
        <x:v>0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f06dc39f1374a4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2</x:v>
      </x:c>
      <x:c r="C2" s="33" t="n">
        <x:v>2</x:v>
      </x:c>
      <x:c r="D2" s="31" t="n">
        <x:v>66.487710994</x:v>
      </x:c>
      <x:c r="E2" s="31" t="n">
        <x:v>66.487710994</x:v>
      </x:c>
      <x:c r="F2" s="32" t="n">
        <x:v>0</x:v>
      </x:c>
      <x:c r="G2" s="34" t="n">
        <x:v>1</x:v>
      </x:c>
      <x:c r="H2" s="32" t="n">
        <x:f>IF(E2=0,"",I2/E2)</x:f>
        <x:v>1804.2842321776404</x:v>
      </x:c>
      <x:c r="I2" s="31" t="n">
        <x:f>IF(C2=0,"",SUMIF('Species'!$G$2:$G$20,A2,'Species'!$U$2:$U$20))</x:f>
        <x:v>119962.72858005814</x:v>
      </x:c>
      <x:c r="J2" s="32" t="n">
        <x:v>4.247333902875435</x:v>
      </x:c>
      <x:c r="K2" s="32" t="n">
        <x:f>IF(J2="","",(1/'Metadata'!$B$5)^(J2-1))</x:f>
        <x:v>1767.3961429210228</x:v>
      </x:c>
      <x:c r="L2" s="31" t="n">
        <x:f>IF(E2=0,"",E2*K2)</x:f>
        <x:v>117510.12396244328</x:v>
      </x:c>
      <x:c r="M2" s="31" t="n">
        <x:f>IF(E2=0,"",I2-L2)</x:f>
        <x:v>2452.6046176148666</x:v>
      </x:c>
      <x:c r="N2" s="32" t="n">
        <x:f>IF(L2=0,"",I2/L2)</x:f>
        <x:v>1.0208714324767347</x:v>
      </x:c>
      <x:c r="O2" s="34" t="n">
        <x:f>IF(L2=0,"",M2/L2)</x:f>
        <x:v>0.020871432476734765</x:v>
      </x:c>
    </x:row>
    <x:row r="3" ht="18" customHeight="1">
      <x:c r="A3" s="24" t="str">
        <x:v>Large sharks (&gt;=90 cm)</x:v>
      </x:c>
      <x:c r="B3" s="33" t="n">
        <x:v>1</x:v>
      </x:c>
      <x:c r="C3" s="33" t="n">
        <x:v>1</x:v>
      </x:c>
      <x:c r="D3" s="31" t="n">
        <x:v>38.467814656</x:v>
      </x:c>
      <x:c r="E3" s="31" t="n">
        <x:v>38.467814656</x:v>
      </x:c>
      <x:c r="F3" s="32" t="n">
        <x:v>0</x:v>
      </x:c>
      <x:c r="G3" s="34" t="n">
        <x:v>1</x:v>
      </x:c>
      <x:c r="H3" s="32" t="n">
        <x:f>IF(E3=0,"",I3/E3)</x:f>
        <x:v>1000</x:v>
      </x:c>
      <x:c r="I3" s="31" t="n">
        <x:f>IF(C3=0,"",SUMIF('Species'!$G$2:$G$20,A3,'Species'!$U$2:$U$20))</x:f>
        <x:v>38467.814656</x:v>
      </x:c>
      <x:c r="J3" s="32" t="n">
        <x:v>4</x:v>
      </x:c>
      <x:c r="K3" s="32" t="n">
        <x:f>IF(J3="","",(1/'Metadata'!$B$5)^(J3-1))</x:f>
        <x:v>1000</x:v>
      </x:c>
      <x:c r="L3" s="31" t="n">
        <x:f>IF(E3=0,"",E3*K3)</x:f>
        <x:v>38467.814656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Lobsters, crabs</x:v>
      </x:c>
      <x:c r="B4" s="33" t="n">
        <x:v>3</x:v>
      </x:c>
      <x:c r="C4" s="33" t="n">
        <x:v>3</x:v>
      </x:c>
      <x:c r="D4" s="31" t="n">
        <x:v>420.484673326</x:v>
      </x:c>
      <x:c r="E4" s="31" t="n">
        <x:v>420.484673326</x:v>
      </x:c>
      <x:c r="F4" s="32" t="n">
        <x:v>0</x:v>
      </x:c>
      <x:c r="G4" s="34" t="n">
        <x:v>1</x:v>
      </x:c>
      <x:c r="H4" s="32" t="n">
        <x:f>IF(E4=0,"",I4/E4)</x:f>
        <x:v>158.95392470630216</x:v>
      </x:c>
      <x:c r="I4" s="31" t="n">
        <x:f>IF(C4=0,"",SUMIF('Species'!$G$2:$G$20,A4,'Species'!$U$2:$U$20))</x:f>
        <x:v>66837.68910401507</x:v>
      </x:c>
      <x:c r="J4" s="32" t="n">
        <x:v>3.2009556523476146</x:v>
      </x:c>
      <x:c r="K4" s="32" t="n">
        <x:f>IF(J4="","",(1/'Metadata'!$B$5)^(J4-1))</x:f>
        <x:v>158.83845436304716</x:v>
      </x:c>
      <x:c r="L4" s="31" t="n">
        <x:f>IF(E4=0,"",E4*K4)</x:f>
        <x:v>66789.13559445264</x:v>
      </x:c>
      <x:c r="M4" s="31" t="n">
        <x:f>IF(E4=0,"",I4-L4)</x:f>
        <x:v>48.55350956242182</x:v>
      </x:c>
      <x:c r="N4" s="32" t="n">
        <x:f>IF(L4=0,"",I4/L4)</x:f>
        <x:v>1.00072696718007</x:v>
      </x:c>
      <x:c r="O4" s="34" t="n">
        <x:f>IF(L4=0,"",M4/L4)</x:f>
        <x:v>0.0007269671800701456</x:v>
      </x:c>
    </x:row>
    <x:row r="5" ht="18" customHeight="1">
      <x:c r="A5" s="24" t="str">
        <x:v>Medium demersals (30 - 89 cm)</x:v>
      </x:c>
      <x:c r="B5" s="33" t="n">
        <x:v>2</x:v>
      </x:c>
      <x:c r="C5" s="33" t="n">
        <x:v>2</x:v>
      </x:c>
      <x:c r="D5" s="31" t="n">
        <x:v>520.105180356</x:v>
      </x:c>
      <x:c r="E5" s="31" t="n">
        <x:v>520.105180356</x:v>
      </x:c>
      <x:c r="F5" s="32" t="n">
        <x:v>0</x:v>
      </x:c>
      <x:c r="G5" s="34" t="n">
        <x:v>1</x:v>
      </x:c>
      <x:c r="H5" s="32" t="n">
        <x:f>IF(E5=0,"",I5/E5)</x:f>
        <x:v>201.26023604979156</x:v>
      </x:c>
      <x:c r="I5" s="31" t="n">
        <x:f>IF(C5=0,"",SUMIF('Species'!$G$2:$G$20,A5,'Species'!$U$2:$U$20))</x:f>
        <x:v>104676.49136916797</x:v>
      </x:c>
      <x:c r="J5" s="32" t="n">
        <x:v>3.302239691683599</x:v>
      </x:c>
      <x:c r="K5" s="32" t="n">
        <x:f>IF(J5="","",(1/'Metadata'!$B$5)^(J5-1))</x:f>
        <x:v>200.55786218616188</x:v>
      </x:c>
      <x:c r="L5" s="31" t="n">
        <x:f>IF(E5=0,"",E5*K5)</x:f>
        <x:v>104311.18308414752</x:v>
      </x:c>
      <x:c r="M5" s="31" t="n">
        <x:f>IF(E5=0,"",I5-L5)</x:f>
        <x:v>365.3082850204519</x:v>
      </x:c>
      <x:c r="N5" s="32" t="n">
        <x:f>IF(L5=0,"",I5/L5)</x:f>
        <x:v>1.0035021008699112</x:v>
      </x:c>
      <x:c r="O5" s="34" t="n">
        <x:f>IF(L5=0,"",M5/L5)</x:f>
        <x:v>0.0035021008699111273</x:v>
      </x:c>
    </x:row>
    <x:row r="6" ht="18" customHeight="1">
      <x:c r="A6" s="24" t="str">
        <x:v>Medium pelagics (30 - 89 cm)</x:v>
      </x:c>
      <x:c r="B6" s="33" t="n">
        <x:v>1</x:v>
      </x:c>
      <x:c r="C6" s="33" t="n">
        <x:v>1</x:v>
      </x:c>
      <x:c r="D6" s="31" t="n">
        <x:v>18.442941824000002</x:v>
      </x:c>
      <x:c r="E6" s="31" t="n">
        <x:v>18.442941824000002</x:v>
      </x:c>
      <x:c r="F6" s="32" t="n">
        <x:v>0</x:v>
      </x:c>
      <x:c r="G6" s="34" t="n">
        <x:v>1</x:v>
      </x:c>
      <x:c r="H6" s="32" t="n">
        <x:f>IF(E6=0,"",I6/E6)</x:f>
        <x:v>1122.018454301963</x:v>
      </x:c>
      <x:c r="I6" s="31" t="n">
        <x:f>IF(C6=0,"",SUMIF('Species'!$G$2:$G$20,A6,'Species'!$U$2:$U$20))</x:f>
        <x:v>20693.321078145505</x:v>
      </x:c>
      <x:c r="J6" s="32" t="n">
        <x:v>4.05</x:v>
      </x:c>
      <x:c r="K6" s="32" t="n">
        <x:f>IF(J6="","",(1/'Metadata'!$B$5)^(J6-1))</x:f>
        <x:v>1122.018454301963</x:v>
      </x:c>
      <x:c r="L6" s="31" t="n">
        <x:f>IF(E6=0,"",E6*K6)</x:f>
        <x:v>20693.321078145505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Medium reef assoc. fish (30 - 89 cm)</x:v>
      </x:c>
      <x:c r="B7" s="33" t="n">
        <x:v>7</x:v>
      </x:c>
      <x:c r="C7" s="33" t="n">
        <x:v>7</x:v>
      </x:c>
      <x:c r="D7" s="31" t="n">
        <x:v>918.105387708</x:v>
      </x:c>
      <x:c r="E7" s="31" t="n">
        <x:v>918.105387708</x:v>
      </x:c>
      <x:c r="F7" s="32" t="n">
        <x:v>0</x:v>
      </x:c>
      <x:c r="G7" s="34" t="n">
        <x:v>1</x:v>
      </x:c>
      <x:c r="H7" s="32" t="n">
        <x:f>IF(E7=0,"",I7/E7)</x:f>
        <x:v>874.7328878173173</x:v>
      </x:c>
      <x:c r="I7" s="31" t="n">
        <x:f>IF(C7=0,"",SUMIF('Species'!$G$2:$G$20,A7,'Species'!$U$2:$U$20))</x:f>
        <x:v>803096.9771104566</x:v>
      </x:c>
      <x:c r="J7" s="32" t="n">
        <x:v>3.8665179201353332</x:v>
      </x:c>
      <x:c r="K7" s="32" t="n">
        <x:f>IF(J7="","",(1/'Metadata'!$B$5)^(J7-1))</x:f>
        <x:v>735.3903389936002</x:v>
      </x:c>
      <x:c r="L7" s="31" t="n">
        <x:f>IF(E7=0,"",E7*K7)</x:f>
        <x:v>675165.8322984368</x:v>
      </x:c>
      <x:c r="M7" s="31" t="n">
        <x:f>IF(E7=0,"",I7-L7)</x:f>
        <x:v>127931.14481201977</x:v>
      </x:c>
      <x:c r="N7" s="32" t="n">
        <x:f>IF(L7=0,"",I7/L7)</x:f>
        <x:v>1.189481070711931</x:v>
      </x:c>
      <x:c r="O7" s="34" t="n">
        <x:f>IF(L7=0,"",M7/L7)</x:f>
        <x:v>0.1894810707119309</x:v>
      </x:c>
    </x:row>
    <x:row r="8" ht="18" customHeight="1">
      <x:c r="A8" s="24" t="str">
        <x:v>Other demersal invertebrates</x:v>
      </x:c>
      <x:c r="B8" s="33" t="n">
        <x:v>1</x:v>
      </x:c>
      <x:c r="C8" s="33" t="n">
        <x:v>1</x:v>
      </x:c>
      <x:c r="D8" s="31" t="n">
        <x:v>1583</x:v>
      </x:c>
      <x:c r="E8" s="31" t="n">
        <x:v>1583</x:v>
      </x:c>
      <x:c r="F8" s="32" t="n">
        <x:v>0</x:v>
      </x:c>
      <x:c r="G8" s="34" t="n">
        <x:v>1</x:v>
      </x:c>
      <x:c r="H8" s="32" t="n">
        <x:f>IF(E8=0,"",I8/E8)</x:f>
        <x:v>15.48816618912481</x:v>
      </x:c>
      <x:c r="I8" s="31" t="n">
        <x:f>IF(C8=0,"",SUMIF('Species'!$G$2:$G$20,A8,'Species'!$U$2:$U$20))</x:f>
        <x:v>24517.767077384575</x:v>
      </x:c>
      <x:c r="J8" s="32" t="n">
        <x:v>2.19</x:v>
      </x:c>
      <x:c r="K8" s="32" t="n">
        <x:f>IF(J8="","",(1/'Metadata'!$B$5)^(J8-1))</x:f>
        <x:v>15.488166189124811</x:v>
      </x:c>
      <x:c r="L8" s="31" t="n">
        <x:f>IF(E8=0,"",E8*K8)</x:f>
        <x:v>24517.767077384575</x:v>
      </x:c>
      <x:c r="M8" s="31" t="n">
        <x:f>IF(E8=0,"",I8-L8)</x:f>
        <x:v>0</x:v>
      </x:c>
      <x:c r="N8" s="32" t="n">
        <x:f>IF(L8=0,"",I8/L8)</x:f>
        <x:v>1</x:v>
      </x:c>
      <x:c r="O8" s="34" t="n">
        <x:f>IF(L8=0,"",M8/L8)</x:f>
        <x:v>0</x:v>
      </x:c>
    </x:row>
    <x:row r="9" ht="18" customHeight="1">
      <x:c r="A9" s="24" t="str">
        <x:v>Small reef assoc. fish (&lt;30 cm)</x:v>
      </x:c>
      <x:c r="B9" s="33" t="n">
        <x:v>2</x:v>
      </x:c>
      <x:c r="C9" s="33" t="n">
        <x:v>2</x:v>
      </x:c>
      <x:c r="D9" s="31" t="n">
        <x:v>189.22438583000002</x:v>
      </x:c>
      <x:c r="E9" s="31" t="n">
        <x:v>189.22438583000002</x:v>
      </x:c>
      <x:c r="F9" s="32" t="n">
        <x:v>0</x:v>
      </x:c>
      <x:c r="G9" s="34" t="n">
        <x:v>1</x:v>
      </x:c>
      <x:c r="H9" s="32" t="n">
        <x:f>IF(E9=0,"",I9/E9)</x:f>
        <x:v>36.32017555024105</x:v>
      </x:c>
      <x:c r="I9" s="31" t="n">
        <x:f>IF(C9=0,"",SUMIF('Species'!$G$2:$G$20,A9,'Species'!$U$2:$U$20))</x:f>
        <x:v>6872.662911732146</x:v>
      </x:c>
      <x:c r="J9" s="32" t="n">
        <x:v>2.3520453223007824</x:v>
      </x:c>
      <x:c r="K9" s="32" t="n">
        <x:f>IF(J9="","",(1/'Metadata'!$B$5)^(J9-1))</x:f>
        <x:v>22.492893259450724</x:v>
      </x:c>
      <x:c r="L9" s="31" t="n">
        <x:f>IF(E9=0,"",E9*K9)</x:f>
        <x:v>4256.203912559311</x:v>
      </x:c>
      <x:c r="M9" s="31" t="n">
        <x:f>IF(E9=0,"",I9-L9)</x:f>
        <x:v>2616.4589991728353</x:v>
      </x:c>
      <x:c r="N9" s="32" t="n">
        <x:f>IF(L9=0,"",I9/L9)</x:f>
        <x:v>1.6147400483919776</x:v>
      </x:c>
      <x:c r="O9" s="34" t="n">
        <x:f>IF(L9=0,"",M9/L9)</x:f>
        <x:v>0.6147400483919776</x:v>
      </x:c>
    </x:row>
  </x:sheetData>
  <x:conditionalFormatting sqref="G2:G9">
    <x:cfRule type="cellIs" dxfId="2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6832232ff99243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EEZ_028</x:v>
      </x:c>
      <x:c r="B2" s="24" t="str">
        <x:v>raw_filtered_tonnes</x:v>
      </x:c>
      <x:c r="C2" s="24" t="n">
        <x:v>3754.318094694</x:v>
      </x:c>
      <x:c r="D2" s="24" t="str">
        <x:v>tonnes</x:v>
      </x:c>
    </x:row>
    <x:row r="3" ht="18" customHeight="1">
      <x:c r="A3" s="24" t="str">
        <x:v>EEZ_028</x:v>
      </x:c>
      <x:c r="B3" s="24" t="str">
        <x:v>species_catch_tonnes</x:v>
      </x:c>
      <x:c r="C3" s="24" t="n">
        <x:v>3754.318094694</x:v>
      </x:c>
      <x:c r="D3" s="24" t="str">
        <x:v>tonnes</x:v>
      </x:c>
    </x:row>
    <x:row r="4" ht="18" customHeight="1">
      <x:c r="A4" s="24" t="str">
        <x:v>EEZ_028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EEZ_028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EEZ_028</x:v>
      </x:c>
      <x:c r="B6" s="24" t="str">
        <x:v>matched_catch_tonnes</x:v>
      </x:c>
      <x:c r="C6" s="24" t="n">
        <x:v>3754.318094694</x:v>
      </x:c>
      <x:c r="D6" s="24" t="str">
        <x:v>tonnes</x:v>
      </x:c>
    </x:row>
    <x:row r="7" ht="18" customHeight="1">
      <x:c r="A7" s="24" t="str">
        <x:v>EEZ_028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EEZ_028</x:v>
      </x:c>
      <x:c r="B8" s="24" t="str">
        <x:v>taxa_count</x:v>
      </x:c>
      <x:c r="C8" s="24" t="n">
        <x:v>19</x:v>
      </x:c>
      <x:c r="D8" s="24" t="str">
        <x:v>count</x:v>
      </x:c>
    </x:row>
    <x:row r="9" ht="18" customHeight="1">
      <x:c r="A9" s="24" t="str">
        <x:v>EEZ_028</x:v>
      </x:c>
      <x:c r="B9" s="24" t="str">
        <x:v>matched_taxa_count</x:v>
      </x:c>
      <x:c r="C9" s="24" t="n">
        <x:v>19</x:v>
      </x:c>
      <x:c r="D9" s="24" t="str">
        <x:v>count</x:v>
      </x:c>
    </x:row>
    <x:row r="10" ht="18" customHeight="1">
      <x:c r="A10" s="24" t="str">
        <x:v>EEZ_028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EEZ_028</x:v>
      </x:c>
      <x:c r="B11" s="24" t="str">
        <x:v>species_ppr</x:v>
      </x:c>
      <x:c r="C11" s="24" t="n">
        <x:v>1185125.45188696</x:v>
      </x:c>
      <x:c r="D11" s="24" t="str">
        <x:v>tonnes_primary_production_equivalent</x:v>
      </x:c>
    </x:row>
    <x:row r="12" ht="18" customHeight="1">
      <x:c r="A12" s="24" t="str">
        <x:v>EEZ_028</x:v>
      </x:c>
      <x:c r="B12" s="24" t="str">
        <x:v>commercial_ppr</x:v>
      </x:c>
      <x:c r="C12" s="24" t="n">
        <x:v>1185125.4518869603</x:v>
      </x:c>
      <x:c r="D12" s="24" t="str">
        <x:v>tonnes_primary_production_equivalent</x:v>
      </x:c>
    </x:row>
    <x:row r="13" ht="18" customHeight="1">
      <x:c r="A13" s="24" t="str">
        <x:v>EEZ_028</x:v>
      </x:c>
      <x:c r="B13" s="24" t="str">
        <x:v>functional_ppr</x:v>
      </x:c>
      <x:c r="C13" s="24" t="n">
        <x:v>1185125.45188696</x:v>
      </x:c>
      <x:c r="D13" s="24" t="str">
        <x:v>tonnes_primary_production_equivalent</x:v>
      </x:c>
    </x:row>
    <x:row r="14" ht="18" customHeight="1">
      <x:c r="A14" s="24" t="str">
        <x:v>EEZ_028</x:v>
      </x:c>
      <x:c r="B14" s="24" t="str">
        <x:v>commercial_ppr_difference</x:v>
      </x:c>
      <x:c r="C14" s="24" t="n">
        <x:v>2.3283064365386963e-10</x:v>
      </x:c>
      <x:c r="D14" s="24" t="str">
        <x:v>tonnes_primary_production_equivalent</x:v>
      </x:c>
    </x:row>
    <x:row r="15" ht="18" customHeight="1">
      <x:c r="A15" s="24" t="str">
        <x:v>EEZ_028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EEZ_028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EEZ_028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EEZ_028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EEZ_028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981e8dcba354a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EEZ_028 - Antigua &amp; Barbuda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EEZ_028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raw_data/SAU_downloads/EEZ_028-catch.zip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