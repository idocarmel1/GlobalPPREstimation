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da57bfd86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ba5322cf864c9b"/>
    <x:sheet xmlns:r="http://schemas.openxmlformats.org/officeDocument/2006/relationships" name="Commercial" sheetId="2" r:id="R04c16a637dfc4d8e"/>
    <x:sheet xmlns:r="http://schemas.openxmlformats.org/officeDocument/2006/relationships" name="Functional" sheetId="3" r:id="R79ca2a3153504f05"/>
    <x:sheet xmlns:r="http://schemas.openxmlformats.org/officeDocument/2006/relationships" name="Missing TL" sheetId="4" r:id="Re838b21f60504724"/>
    <x:sheet xmlns:r="http://schemas.openxmlformats.org/officeDocument/2006/relationships" name="Validation" sheetId="5" r:id="Rce2983bc6920427c"/>
    <x:sheet xmlns:r="http://schemas.openxmlformats.org/officeDocument/2006/relationships" name="Metadata" sheetId="6" r:id="R8ede7b00ef0d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7ef2392ed4e21" /><Relationship Type="http://schemas.openxmlformats.org/officeDocument/2006/relationships/theme" Target="/xl/theme/theme1.xml" Id="Rd7847894dfd14bb5" /><Relationship Type="http://schemas.microsoft.com/office/2022/11/relationships/FeaturePropertyBag" Target="/xl/featurePropertyBag/featurePropertyBag.xml" Id="Rd146080eb9664a1a" /><Relationship Type="http://schemas.openxmlformats.org/officeDocument/2006/relationships/sharedStrings" Target="/xl/sharedStrings.xml" Id="R4aeddccd58ca4764" /><Relationship Type="http://schemas.openxmlformats.org/officeDocument/2006/relationships/worksheet" Target="/xl/worksheets/sheet1.xml" Id="Ra5ba5322cf864c9b" /><Relationship Type="http://schemas.openxmlformats.org/officeDocument/2006/relationships/worksheet" Target="/xl/worksheets/sheet2.xml" Id="R04c16a637dfc4d8e" /><Relationship Type="http://schemas.openxmlformats.org/officeDocument/2006/relationships/worksheet" Target="/xl/worksheets/sheet3.xml" Id="R79ca2a3153504f05" /><Relationship Type="http://schemas.openxmlformats.org/officeDocument/2006/relationships/worksheet" Target="/xl/worksheets/sheet4.xml" Id="Re838b21f60504724" /><Relationship Type="http://schemas.openxmlformats.org/officeDocument/2006/relationships/worksheet" Target="/xl/worksheets/sheet5.xml" Id="Rce2983bc6920427c" /><Relationship Type="http://schemas.openxmlformats.org/officeDocument/2006/relationships/worksheet" Target="/xl/worksheets/sheet6.xml" Id="R8ede7b00ef0d49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34SpeciesTable" displayName="EEZ234SpeciesTable" ref="A1:U105" headerRowCount="1" totalsRowCount="0" totalsRowShown="0">
  <x:autoFilter ref="A1:U10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34CommercialTable" displayName="EEZ23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34FunctionalTable" displayName="EEZ234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34ValidationTable" displayName="EEZ2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e55295ae0f4d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45f86dd89a46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d7b3d99a774e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624fa9075e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EEZ_234</x:v>
      </x:c>
      <x:c r="B2" s="24" t="str">
        <x:v>Faeroe Isl. (Denmark)</x:v>
      </x:c>
      <x:c r="C2" s="24" t="str">
        <x:v>EEZ</x:v>
      </x:c>
      <x:c r="D2" s="30" t="n">
        <x:v>2019</x:v>
      </x:c>
      <x:c r="E2" s="24" t="str">
        <x:v>Micromesistius poutassou</x:v>
      </x:c>
      <x:c r="F2" s="24" t="str">
        <x:v>Blue whiting</x:v>
      </x:c>
      <x:c r="G2" s="24" t="str">
        <x:v>Medium benthopelagics (30 - 89 cm)</x:v>
      </x:c>
      <x:c r="H2" s="24" t="str">
        <x:v>Cod-likes</x:v>
      </x:c>
      <x:c r="I2" s="31" t="n">
        <x:v>308268.5257224435</x:v>
      </x:c>
      <x:c r="J2" s="31" t="n">
        <x:v>308002.7570706831</x:v>
      </x:c>
      <x:c r="K2" s="31" t="n">
        <x:v>265.7686517604</x:v>
      </x:c>
      <x:c r="L2" s="31" t="n">
        <x:v>308002.7570706831</x:v>
      </x:c>
      <x:c r="M2" s="31" t="n">
        <x:v>265.7686517604</x:v>
      </x:c>
      <x:c r="N2" s="24" t="str">
        <x:v>micromesistius poutassou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Micromesistius poutassou</x:v>
      </x:c>
      <x:c r="T2" s="32" t="n">
        <x:f>IF(O2="","",(1/'Metadata'!$B$5)^(O2-1))</x:f>
        <x:v>1348.9628825916532</x:v>
      </x:c>
      <x:c r="U2" s="31" t="n">
        <x:f>IF(T2="","",I2*T2)</x:f>
        <x:v>415842799.07082653</x:v>
      </x:c>
    </x:row>
    <x:row r="3" ht="18" customHeight="1">
      <x:c r="A3" s="24" t="str">
        <x:v>EEZ_234</x:v>
      </x:c>
      <x:c r="B3" s="24" t="str">
        <x:v>Faeroe Isl. (Denmark)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97822.298606831</x:v>
      </x:c>
      <x:c r="J3" s="31" t="n">
        <x:v>97789.4583872783</x:v>
      </x:c>
      <x:c r="K3" s="31" t="n">
        <x:v>32.8402195527</x:v>
      </x:c>
      <x:c r="L3" s="31" t="n">
        <x:v>97789.34489725881</x:v>
      </x:c>
      <x:c r="M3" s="31" t="n">
        <x:v>32.9537095722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23465935.011222057</x:v>
      </x:c>
    </x:row>
    <x:row r="4" ht="18" customHeight="1">
      <x:c r="A4" s="24" t="str">
        <x:v>EEZ_234</x:v>
      </x:c>
      <x:c r="B4" s="24" t="str">
        <x:v>Faeroe Isl. (Denmark)</x:v>
      </x:c>
      <x:c r="C4" s="24" t="str">
        <x:v>EEZ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51150.727308716305</x:v>
      </x:c>
      <x:c r="J4" s="31" t="n">
        <x:v>51147.6693709342</x:v>
      </x:c>
      <x:c r="K4" s="31" t="n">
        <x:v>3.0579377821000002</x:v>
      </x:c>
      <x:c r="L4" s="31" t="n">
        <x:v>51147.6693709342</x:v>
      </x:c>
      <x:c r="M4" s="31" t="n">
        <x:v>3.0579377821000002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21819852.64170368</x:v>
      </x:c>
    </x:row>
    <x:row r="5" ht="18" customHeight="1">
      <x:c r="A5" s="24" t="str">
        <x:v>EEZ_234</x:v>
      </x:c>
      <x:c r="B5" s="24" t="str">
        <x:v>Faeroe Isl. (Denmark)</x:v>
      </x:c>
      <x:c r="C5" s="24" t="str">
        <x:v>EEZ</x:v>
      </x:c>
      <x:c r="D5" s="30" t="n">
        <x:v>2019</x:v>
      </x:c>
      <x:c r="E5" s="24" t="str">
        <x:v>Gadus morhua</x:v>
      </x:c>
      <x:c r="F5" s="24" t="str">
        <x:v>Atlantic cod</x:v>
      </x:c>
      <x:c r="G5" s="24" t="str">
        <x:v>Large benthopelagics (&gt;=90 cm)</x:v>
      </x:c>
      <x:c r="H5" s="24" t="str">
        <x:v>Cod-likes</x:v>
      </x:c>
      <x:c r="I5" s="31" t="n">
        <x:v>38687.709387656505</x:v>
      </x:c>
      <x:c r="J5" s="31" t="n">
        <x:v>38491.8318693282</x:v>
      </x:c>
      <x:c r="K5" s="31" t="n">
        <x:v>195.8775183283</x:v>
      </x:c>
      <x:c r="L5" s="31" t="n">
        <x:v>38040.6004752072</x:v>
      </x:c>
      <x:c r="M5" s="31" t="n">
        <x:v>647.1089124493</x:v>
      </x:c>
      <x:c r="N5" s="24" t="str">
        <x:v>gadus morhua</x:v>
      </x:c>
      <x:c r="O5" s="32" t="n">
        <x:v>4.09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morhua</x:v>
      </x:c>
      <x:c r="T5" s="32" t="n">
        <x:f>IF(O5="","",(1/'Metadata'!$B$5)^(O5-1))</x:f>
        <x:v>1230.268770812381</x:v>
      </x:c>
      <x:c r="U5" s="31" t="n">
        <x:f>IF(T5="","",I5*T5)</x:f>
        <x:v>47596280.67389879</x:v>
      </x:c>
    </x:row>
    <x:row r="6" ht="18" customHeight="1">
      <x:c r="A6" s="24" t="str">
        <x:v>EEZ_234</x:v>
      </x:c>
      <x:c r="B6" s="24" t="str">
        <x:v>Faeroe Isl. (Denmark)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24108.9525922152</x:v>
      </x:c>
      <x:c r="J6" s="31" t="n">
        <x:v>23965.2806576347</x:v>
      </x:c>
      <x:c r="K6" s="31" t="n">
        <x:v>143.6719345805</x:v>
      </x:c>
      <x:c r="L6" s="31" t="n">
        <x:v>23868.637951936198</x:v>
      </x:c>
      <x:c r="M6" s="31" t="n">
        <x:v>240.31464027899997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4593866.211570424</x:v>
      </x:c>
    </x:row>
    <x:row r="7" ht="18" customHeight="1">
      <x:c r="A7" s="24" t="str">
        <x:v>EEZ_234</x:v>
      </x:c>
      <x:c r="B7" s="24" t="str">
        <x:v>Faeroe Isl. (Denmark)</x:v>
      </x:c>
      <x:c r="C7" s="24" t="str">
        <x:v>EEZ</x:v>
      </x:c>
      <x:c r="D7" s="30" t="n">
        <x:v>2019</x:v>
      </x:c>
      <x:c r="E7" s="24" t="str">
        <x:v>Argentina</x:v>
      </x:c>
      <x:c r="F7" s="24" t="str">
        <x:v>Argentines</x:v>
      </x:c>
      <x:c r="G7" s="24" t="str">
        <x:v>Medium bathydemersals (30 - 89 cm)</x:v>
      </x:c>
      <x:c r="H7" s="24" t="str">
        <x:v>Salmon, smelts, etc</x:v>
      </x:c>
      <x:c r="I7" s="31" t="n">
        <x:v>18782.3878197608</x:v>
      </x:c>
      <x:c r="J7" s="31" t="n">
        <x:v>18773.14065841</x:v>
      </x:c>
      <x:c r="K7" s="31" t="n">
        <x:v>9.247161350799999</x:v>
      </x:c>
      <x:c r="L7" s="31" t="n">
        <x:v>18773.14065841</x:v>
      </x:c>
      <x:c r="M7" s="31" t="n">
        <x:v>9.247161350799999</x:v>
      </x:c>
      <x:c r="N7" s="24" t="str">
        <x:v>argentina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Argentina</x:v>
      </x:c>
      <x:c r="T7" s="32" t="n">
        <x:f>IF(O7="","",(1/'Metadata'!$B$5)^(O7-1))</x:f>
        <x:v>223.872113856834</x:v>
      </x:c>
      <x:c r="U7" s="31" t="n">
        <x:f>IF(T7="","",I7*T7)</x:f>
        <x:v>4204852.864488702</x:v>
      </x:c>
    </x:row>
    <x:row r="8" ht="18" customHeight="1">
      <x:c r="A8" s="24" t="str">
        <x:v>EEZ_234</x:v>
      </x:c>
      <x:c r="B8" s="24" t="str">
        <x:v>Faeroe Isl. (Denmark)</x:v>
      </x:c>
      <x:c r="C8" s="24" t="str">
        <x:v>EEZ</x:v>
      </x:c>
      <x:c r="D8" s="30" t="n">
        <x:v>2019</x:v>
      </x:c>
      <x:c r="E8" s="24" t="str">
        <x:v>Melanogrammus aeglefinus</x:v>
      </x:c>
      <x:c r="F8" s="24" t="str">
        <x:v>Haddock</x:v>
      </x:c>
      <x:c r="G8" s="24" t="str">
        <x:v>Medium demersals (30 - 89 cm)</x:v>
      </x:c>
      <x:c r="H8" s="24" t="str">
        <x:v>Cod-likes</x:v>
      </x:c>
      <x:c r="I8" s="31" t="n">
        <x:v>9884.7495276623</x:v>
      </x:c>
      <x:c r="J8" s="31" t="n">
        <x:v>9878.582198068</x:v>
      </x:c>
      <x:c r="K8" s="31" t="n">
        <x:v>6.1673295943</x:v>
      </x:c>
      <x:c r="L8" s="31" t="n">
        <x:v>9781.9421136793</x:v>
      </x:c>
      <x:c r="M8" s="31" t="n">
        <x:v>102.80741398299999</x:v>
      </x:c>
      <x:c r="N8" s="24" t="str">
        <x:v>melanogrammus aeglefinus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Melanogrammus aeglefinus</x:v>
      </x:c>
      <x:c r="T8" s="32" t="n">
        <x:f>IF(O8="","",(1/'Metadata'!$B$5)^(O8-1))</x:f>
        <x:v>1071.519305237607</x:v>
      </x:c>
      <x:c r="U8" s="31" t="n">
        <x:f>IF(T8="","",I8*T8)</x:f>
        <x:v>10591699.946328472</x:v>
      </x:c>
    </x:row>
    <x:row r="9" ht="18" customHeight="1">
      <x:c r="A9" s="24" t="str">
        <x:v>EEZ_234</x:v>
      </x:c>
      <x:c r="B9" s="24" t="str">
        <x:v>Faeroe Isl. (Denmark)</x:v>
      </x:c>
      <x:c r="C9" s="24" t="str">
        <x:v>EEZ</x:v>
      </x:c>
      <x:c r="D9" s="30" t="n">
        <x:v>2019</x:v>
      </x:c>
      <x:c r="E9" s="24" t="str">
        <x:v>Molva molva</x:v>
      </x:c>
      <x:c r="F9" s="24" t="str">
        <x:v>Ling</x:v>
      </x:c>
      <x:c r="G9" s="24" t="str">
        <x:v>Large demersals (&gt;=90 cm)</x:v>
      </x:c>
      <x:c r="H9" s="24" t="str">
        <x:v>Cod-likes</x:v>
      </x:c>
      <x:c r="I9" s="31" t="n">
        <x:v>6303.5594346285</x:v>
      </x:c>
      <x:c r="J9" s="31" t="n">
        <x:v>6295.7712340531</x:v>
      </x:c>
      <x:c r="K9" s="31" t="n">
        <x:v>7.7882005754</x:v>
      </x:c>
      <x:c r="L9" s="31" t="n">
        <x:v>6295.7712340531</x:v>
      </x:c>
      <x:c r="M9" s="31" t="n">
        <x:v>7.7882005754</x:v>
      </x:c>
      <x:c r="N9" s="24" t="str">
        <x:v>molva molva</x:v>
      </x:c>
      <x:c r="O9" s="32" t="n">
        <x:v>4.4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Molva molva</x:v>
      </x:c>
      <x:c r="T9" s="32" t="n">
        <x:f>IF(O9="","",(1/'Metadata'!$B$5)^(O9-1))</x:f>
        <x:v>2511.886431509582</x:v>
      </x:c>
      <x:c r="U9" s="31" t="n">
        <x:f>IF(T9="","",I9*T9)</x:f>
        <x:v>15833825.414057542</x:v>
      </x:c>
    </x:row>
    <x:row r="10" ht="18" customHeight="1">
      <x:c r="A10" s="24" t="str">
        <x:v>EEZ_234</x:v>
      </x:c>
      <x:c r="B10" s="24" t="str">
        <x:v>Faeroe Isl. (Denmark)</x:v>
      </x:c>
      <x:c r="C10" s="24" t="str">
        <x:v>EEZ</x:v>
      </x:c>
      <x:c r="D10" s="30" t="n">
        <x:v>2019</x:v>
      </x:c>
      <x:c r="E10" s="24" t="str">
        <x:v>Aequipecten opercularis</x:v>
      </x:c>
      <x:c r="F10" s="24" t="str">
        <x:v>Queen scallop</x:v>
      </x:c>
      <x:c r="G10" s="24" t="str">
        <x:v>Other demersal invertebrates</x:v>
      </x:c>
      <x:c r="H10" s="24" t="str">
        <x:v>Molluscs</x:v>
      </x:c>
      <x:c r="I10" s="31" t="n">
        <x:v>5529.855</x:v>
      </x:c>
      <x:c r="J10" s="31" t="n">
        <x:v>5529.855</x:v>
      </x:c>
      <x:c r="K10" s="31" t="n">
        <x:v>0</x:v>
      </x:c>
      <x:c r="L10" s="31" t="n">
        <x:v>5529.855</x:v>
      </x:c>
      <x:c r="M10" s="31" t="n">
        <x:v>0</x:v>
      </x:c>
      <x:c r="N10" s="24" t="str">
        <x:v>aequipecten opercularis</x:v>
      </x:c>
      <x:c r="O10" s="32" t="n">
        <x:v>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Aequipecten opercularis</x:v>
      </x:c>
      <x:c r="T10" s="32" t="n">
        <x:f>IF(O10="","",(1/'Metadata'!$B$5)^(O10-1))</x:f>
        <x:v>10</x:v>
      </x:c>
      <x:c r="U10" s="31" t="n">
        <x:f>IF(T10="","",I10*T10)</x:f>
        <x:v>55298.549999999996</x:v>
      </x:c>
    </x:row>
    <x:row r="11" ht="18" customHeight="1">
      <x:c r="A11" s="24" t="str">
        <x:v>EEZ_234</x:v>
      </x:c>
      <x:c r="B11" s="24" t="str">
        <x:v>Faeroe Isl. (Denmark)</x:v>
      </x:c>
      <x:c r="C11" s="24" t="str">
        <x:v>EEZ</x:v>
      </x:c>
      <x:c r="D11" s="30" t="n">
        <x:v>2019</x:v>
      </x:c>
      <x:c r="E11" s="24" t="str">
        <x:v>Lophius piscatorius</x:v>
      </x:c>
      <x:c r="F11" s="24" t="str">
        <x:v>Angler</x:v>
      </x:c>
      <x:c r="G11" s="24" t="str">
        <x:v>Large bathydemersals (&gt;=90 cm)</x:v>
      </x:c>
      <x:c r="H11" s="24" t="str">
        <x:v>Other fishes &amp; inverts</x:v>
      </x:c>
      <x:c r="I11" s="31" t="n">
        <x:v>2569.8554384581</x:v>
      </x:c>
      <x:c r="J11" s="31" t="n">
        <x:v>2569.8554384581</x:v>
      </x:c>
      <x:c r="K11" s="31" t="n">
        <x:v>0</x:v>
      </x:c>
      <x:c r="L11" s="31" t="n">
        <x:v>2569.8554384581</x:v>
      </x:c>
      <x:c r="M11" s="31" t="n">
        <x:v>0</x:v>
      </x:c>
      <x:c r="N11" s="24" t="str">
        <x:v>lophius piscatorius</x:v>
      </x:c>
      <x:c r="O11" s="32" t="n">
        <x:v>4.45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Lophius piscatorius</x:v>
      </x:c>
      <x:c r="T11" s="32" t="n">
        <x:f>IF(O11="","",(1/'Metadata'!$B$5)^(O11-1))</x:f>
        <x:v>2818.382931264455</x:v>
      </x:c>
      <x:c r="U11" s="31" t="n">
        <x:f>IF(T11="","",I11*T11)</x:f>
        <x:v>7242836.70356744</x:v>
      </x:c>
    </x:row>
    <x:row r="12" ht="18" customHeight="1">
      <x:c r="A12" s="24" t="str">
        <x:v>EEZ_234</x:v>
      </x:c>
      <x:c r="B12" s="24" t="str">
        <x:v>Faeroe Isl. (Denmark)</x:v>
      </x:c>
      <x:c r="C12" s="24" t="str">
        <x:v>EEZ</x:v>
      </x:c>
      <x:c r="D12" s="30" t="n">
        <x:v>2019</x:v>
      </x:c>
      <x:c r="E12" s="24" t="str">
        <x:v>Reinhardtius hippoglossoides</x:v>
      </x:c>
      <x:c r="F12" s="24" t="str">
        <x:v>Greenland halibut</x:v>
      </x:c>
      <x:c r="G12" s="24" t="str">
        <x:v>Small to medium flatfishes (&lt;90 cm)</x:v>
      </x:c>
      <x:c r="H12" s="24" t="str">
        <x:v>Flatfishes</x:v>
      </x:c>
      <x:c r="I12" s="31" t="n">
        <x:v>2191.2632402550003</x:v>
      </x:c>
      <x:c r="J12" s="31" t="n">
        <x:v>2188.9466128377003</x:v>
      </x:c>
      <x:c r="K12" s="31" t="n">
        <x:v>2.3166274173</x:v>
      </x:c>
      <x:c r="L12" s="31" t="n">
        <x:v>2188.9466128377003</x:v>
      </x:c>
      <x:c r="M12" s="31" t="n">
        <x:v>2.3166274173</x:v>
      </x:c>
      <x:c r="N12" s="24" t="str">
        <x:v>reinhardtius hippoglossoides</x:v>
      </x:c>
      <x:c r="O12" s="32" t="n">
        <x:v>4.38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Reinhardtius hippoglossoides</x:v>
      </x:c>
      <x:c r="T12" s="32" t="n">
        <x:f>IF(O12="","",(1/'Metadata'!$B$5)^(O12-1))</x:f>
        <x:v>2398.83291901949</x:v>
      </x:c>
      <x:c r="U12" s="31" t="n">
        <x:f>IF(T12="","",I12*T12)</x:f>
        <x:v>5256474.394961008</x:v>
      </x:c>
    </x:row>
    <x:row r="13" ht="18" customHeight="1">
      <x:c r="A13" s="24" t="str">
        <x:v>EEZ_234</x:v>
      </x:c>
      <x:c r="B13" s="24" t="str">
        <x:v>Faeroe Isl. (Denmark)</x:v>
      </x:c>
      <x:c r="C13" s="24" t="str">
        <x:v>EEZ</x:v>
      </x:c>
      <x:c r="D13" s="30" t="n">
        <x:v>2019</x:v>
      </x:c>
      <x:c r="E13" s="24" t="str">
        <x:v>Brosme brosme</x:v>
      </x:c>
      <x:c r="F13" s="24" t="str">
        <x:v>Tusk</x:v>
      </x:c>
      <x:c r="G13" s="24" t="str">
        <x:v>Large demersals (&gt;=90 cm)</x:v>
      </x:c>
      <x:c r="H13" s="24" t="str">
        <x:v>Cod-likes</x:v>
      </x:c>
      <x:c r="I13" s="31" t="n">
        <x:v>1839.5661107604</x:v>
      </x:c>
      <x:c r="J13" s="31" t="n">
        <x:v>1833.8087251108</x:v>
      </x:c>
      <x:c r="K13" s="31" t="n">
        <x:v>5.7573856496</x:v>
      </x:c>
      <x:c r="L13" s="31" t="n">
        <x:v>1833.8087251108</x:v>
      </x:c>
      <x:c r="M13" s="31" t="n">
        <x:v>5.7573856496</x:v>
      </x:c>
      <x:c r="N13" s="24" t="str">
        <x:v>brosme brosme</x:v>
      </x:c>
      <x:c r="O13" s="32" t="n">
        <x:v>3.9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Brosme brosme</x:v>
      </x:c>
      <x:c r="T13" s="32" t="n">
        <x:f>IF(O13="","",(1/'Metadata'!$B$5)^(O13-1))</x:f>
        <x:v>794.3282347242813</x:v>
      </x:c>
      <x:c r="U13" s="31" t="n">
        <x:f>IF(T13="","",I13*T13)</x:f>
        <x:v>1461219.3014189203</x:v>
      </x:c>
    </x:row>
    <x:row r="14" ht="18" customHeight="1">
      <x:c r="A14" s="24" t="str">
        <x:v>EEZ_234</x:v>
      </x:c>
      <x:c r="B14" s="24" t="str">
        <x:v>Faeroe Isl. (Denmark)</x:v>
      </x:c>
      <x:c r="C14" s="24" t="str">
        <x:v>EEZ</x:v>
      </x:c>
      <x:c r="D14" s="30" t="n">
        <x:v>2019</x:v>
      </x:c>
      <x:c r="E14" s="24" t="str">
        <x:v>Sebastes</x:v>
      </x:c>
      <x:c r="F14" s="24" t="str">
        <x:v>Redfishes</x:v>
      </x:c>
      <x:c r="G14" s="24" t="str">
        <x:v>Large reef assoc. fish (&gt;=90 cm)</x:v>
      </x:c>
      <x:c r="H14" s="24" t="str">
        <x:v>Scorpionfishes</x:v>
      </x:c>
      <x:c r="I14" s="31" t="n">
        <x:v>1573.8520598225</x:v>
      </x:c>
      <x:c r="J14" s="31" t="n">
        <x:v>1573.8520598225</x:v>
      </x:c>
      <x:c r="K14" s="31" t="n">
        <x:v>0</x:v>
      </x:c>
      <x:c r="L14" s="31" t="n">
        <x:v>1573.8520598225</x:v>
      </x:c>
      <x:c r="M14" s="31" t="n">
        <x:v>0</x:v>
      </x:c>
      <x:c r="N14" s="24" t="str">
        <x:v>sebastes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Sebastes</x:v>
      </x:c>
      <x:c r="T14" s="32" t="n">
        <x:f>IF(O14="","",(1/'Metadata'!$B$5)^(O14-1))</x:f>
        <x:v>616.5950018614822</x:v>
      </x:c>
      <x:c r="U14" s="31" t="n">
        <x:f>IF(T14="","",I14*T14)</x:f>
        <x:v>970429.3137559519</x:v>
      </x:c>
    </x:row>
    <x:row r="15" ht="18" customHeight="1">
      <x:c r="A15" s="24" t="str">
        <x:v>EEZ_234</x:v>
      </x:c>
      <x:c r="B15" s="24" t="str">
        <x:v>Faeroe Isl. (Denmark)</x:v>
      </x:c>
      <x:c r="C15" s="24" t="str">
        <x:v>EEZ</x:v>
      </x:c>
      <x:c r="D15" s="30" t="n">
        <x:v>2019</x:v>
      </x:c>
      <x:c r="E15" s="24" t="str">
        <x:v>Molva dypterygia</x:v>
      </x:c>
      <x:c r="F15" s="24" t="str">
        <x:v>Blue ling</x:v>
      </x:c>
      <x:c r="G15" s="24" t="str">
        <x:v>Large demersals (&gt;=90 cm)</x:v>
      </x:c>
      <x:c r="H15" s="24" t="str">
        <x:v>Cod-likes</x:v>
      </x:c>
      <x:c r="I15" s="31" t="n">
        <x:v>1040.5489199999001</x:v>
      </x:c>
      <x:c r="J15" s="31" t="n">
        <x:v>1040.5489199999001</x:v>
      </x:c>
      <x:c r="K15" s="31" t="n">
        <x:v>0</x:v>
      </x:c>
      <x:c r="L15" s="31" t="n">
        <x:v>1040.5489199999001</x:v>
      </x:c>
      <x:c r="M15" s="31" t="n">
        <x:v>0</x:v>
      </x:c>
      <x:c r="N15" s="24" t="str">
        <x:v>molva dypterygia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Molva dypterygia</x:v>
      </x:c>
      <x:c r="T15" s="32" t="n">
        <x:f>IF(O15="","",(1/'Metadata'!$B$5)^(O15-1))</x:f>
        <x:v>3090.295432513592</x:v>
      </x:c>
      <x:c r="U15" s="31" t="n">
        <x:f>IF(T15="","",I15*T15)</x:f>
        <x:v>3215603.5747826425</x:v>
      </x:c>
    </x:row>
    <x:row r="16" ht="18" customHeight="1">
      <x:c r="A16" s="24" t="str">
        <x:v>EEZ_234</x:v>
      </x:c>
      <x:c r="B16" s="24" t="str">
        <x:v>Faeroe Isl. (Denmark)</x:v>
      </x:c>
      <x:c r="C16" s="24" t="str">
        <x:v>EEZ</x:v>
      </x:c>
      <x:c r="D16" s="30" t="n">
        <x:v>2019</x:v>
      </x:c>
      <x:c r="E16" s="24" t="str">
        <x:v>Aphanopus carbo</x:v>
      </x:c>
      <x:c r="F16" s="24" t="str">
        <x:v>Black scabbardfish</x:v>
      </x:c>
      <x:c r="G16" s="24" t="str">
        <x:v>Large benthopelagics (&gt;=90 cm)</x:v>
      </x:c>
      <x:c r="H16" s="24" t="str">
        <x:v>Perch-likes</x:v>
      </x:c>
      <x:c r="I16" s="31" t="n">
        <x:v>528.039</x:v>
      </x:c>
      <x:c r="J16" s="31" t="n">
        <x:v>528.039</x:v>
      </x:c>
      <x:c r="K16" s="31" t="n">
        <x:v>0</x:v>
      </x:c>
      <x:c r="L16" s="31" t="n">
        <x:v>528.039</x:v>
      </x:c>
      <x:c r="M16" s="31" t="n">
        <x:v>0</x:v>
      </x:c>
      <x:c r="N16" s="24" t="str">
        <x:v>aphanopus carbo</x:v>
      </x:c>
      <x:c r="O16" s="32" t="n">
        <x:v>4.48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Aphanopus carbo</x:v>
      </x:c>
      <x:c r="T16" s="32" t="n">
        <x:f>IF(O16="","",(1/'Metadata'!$B$5)^(O16-1))</x:f>
        <x:v>3019.951720402019</x:v>
      </x:c>
      <x:c r="U16" s="31" t="n">
        <x:f>IF(T16="","",I16*T16)</x:f>
        <x:v>1594652.2864893617</x:v>
      </x:c>
    </x:row>
    <x:row r="17" ht="18" customHeight="1">
      <x:c r="A17" s="24" t="str">
        <x:v>EEZ_234</x:v>
      </x:c>
      <x:c r="B17" s="24" t="str">
        <x:v>Faeroe Isl. (Denmark)</x:v>
      </x:c>
      <x:c r="C17" s="24" t="str">
        <x:v>EEZ</x:v>
      </x:c>
      <x:c r="D17" s="30" t="n">
        <x:v>2019</x:v>
      </x:c>
      <x:c r="E17" s="24" t="str">
        <x:v>Microstomus kitt</x:v>
      </x:c>
      <x:c r="F17" s="24" t="str">
        <x:v>Lemon sole</x:v>
      </x:c>
      <x:c r="G17" s="24" t="str">
        <x:v>Small to medium flatfishes (&lt;90 cm)</x:v>
      </x:c>
      <x:c r="H17" s="24" t="str">
        <x:v>Flatfishes</x:v>
      </x:c>
      <x:c r="I17" s="31" t="n">
        <x:v>424.4779000001</x:v>
      </x:c>
      <x:c r="J17" s="31" t="n">
        <x:v>424.4779000001</x:v>
      </x:c>
      <x:c r="K17" s="31" t="n">
        <x:v>0</x:v>
      </x:c>
      <x:c r="L17" s="31" t="n">
        <x:v>424.4779000001</x:v>
      </x:c>
      <x:c r="M17" s="31" t="n">
        <x:v>0</x:v>
      </x:c>
      <x:c r="N17" s="24" t="str">
        <x:v>microstomus kitt</x:v>
      </x:c>
      <x:c r="O17" s="32" t="n">
        <x:v>3.22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Microstomus kitt</x:v>
      </x:c>
      <x:c r="T17" s="32" t="n">
        <x:f>IF(O17="","",(1/'Metadata'!$B$5)^(O17-1))</x:f>
        <x:v>165.95869074375614</x:v>
      </x:c>
      <x:c r="U17" s="31" t="n">
        <x:f>IF(T17="","",I17*T17)</x:f>
        <x:v>70445.79653367565</x:v>
      </x:c>
    </x:row>
    <x:row r="18" ht="18" customHeight="1">
      <x:c r="A18" s="24" t="str">
        <x:v>EEZ_234</x:v>
      </x:c>
      <x:c r="B18" s="24" t="str">
        <x:v>Faeroe Isl. (Denmark)</x:v>
      </x:c>
      <x:c r="C18" s="24" t="str">
        <x:v>EEZ</x:v>
      </x:c>
      <x:c r="D18" s="30" t="n">
        <x:v>2019</x:v>
      </x:c>
      <x:c r="E18" s="24" t="str">
        <x:v>Pleuronectes platessa</x:v>
      </x:c>
      <x:c r="F18" s="24" t="str">
        <x:v>European plaice</x:v>
      </x:c>
      <x:c r="G18" s="24" t="str">
        <x:v>Large flatfishes (&gt;=90 cm)</x:v>
      </x:c>
      <x:c r="H18" s="24" t="str">
        <x:v>Flatfishes</x:v>
      </x:c>
      <x:c r="I18" s="31" t="n">
        <x:v>388.422884683</x:v>
      </x:c>
      <x:c r="J18" s="31" t="n">
        <x:v>388.33125233190003</x:v>
      </x:c>
      <x:c r="K18" s="31" t="n">
        <x:v>0.0916323511</x:v>
      </x:c>
      <x:c r="L18" s="31" t="n">
        <x:v>388.2319599127</x:v>
      </x:c>
      <x:c r="M18" s="31" t="n">
        <x:v>0.1909247703</x:v>
      </x:c>
      <x:c r="N18" s="24" t="str">
        <x:v>pleuronectes platessa</x:v>
      </x:c>
      <x:c r="O18" s="32" t="n">
        <x:v>3.26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Pleuronectes platessa</x:v>
      </x:c>
      <x:c r="T18" s="32" t="n">
        <x:f>IF(O18="","",(1/'Metadata'!$B$5)^(O18-1))</x:f>
        <x:v>181.97008586099827</x:v>
      </x:c>
      <x:c r="U18" s="31" t="n">
        <x:f>IF(T18="","",I18*T18)</x:f>
        <x:v>70681.34567614214</x:v>
      </x:c>
    </x:row>
    <x:row r="19" ht="18" customHeight="1">
      <x:c r="A19" s="24" t="str">
        <x:v>EEZ_234</x:v>
      </x:c>
      <x:c r="B19" s="24" t="str">
        <x:v>Faeroe Isl. (Denmark)</x:v>
      </x:c>
      <x:c r="C19" s="24" t="str">
        <x:v>EEZ</x:v>
      </x:c>
      <x:c r="D19" s="30" t="n">
        <x:v>2019</x:v>
      </x:c>
      <x:c r="E19" s="24" t="str">
        <x:v>Sebastes mentella</x:v>
      </x:c>
      <x:c r="F19" s="24" t="str">
        <x:v>Beaked redfish</x:v>
      </x:c>
      <x:c r="G19" s="24" t="str">
        <x:v>Medium bathypelagics (30 - 89 cm)</x:v>
      </x:c>
      <x:c r="H19" s="24" t="str">
        <x:v>Scorpionfishes</x:v>
      </x:c>
      <x:c r="I19" s="31" t="n">
        <x:v>358.2424416421</x:v>
      </x:c>
      <x:c r="J19" s="31" t="n">
        <x:v>358.08231009499997</x:v>
      </x:c>
      <x:c r="K19" s="31" t="n">
        <x:v>0.1601315471</x:v>
      </x:c>
      <x:c r="L19" s="31" t="n">
        <x:v>358.08231009499997</x:v>
      </x:c>
      <x:c r="M19" s="31" t="n">
        <x:v>0.1601315471</x:v>
      </x:c>
      <x:c r="N19" s="24" t="str">
        <x:v>sebastes mentella</x:v>
      </x:c>
      <x:c r="O19" s="32" t="n">
        <x:v>3.65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Sebastes mentella</x:v>
      </x:c>
      <x:c r="T19" s="32" t="n">
        <x:f>IF(O19="","",(1/'Metadata'!$B$5)^(O19-1))</x:f>
        <x:v>446.683592150963</x:v>
      </x:c>
      <x:c r="U19" s="31" t="n">
        <x:f>IF(T19="","",I19*T19)</x:f>
        <x:v>160021.02069362497</x:v>
      </x:c>
    </x:row>
    <x:row r="20" ht="18" customHeight="1">
      <x:c r="A20" s="24" t="str">
        <x:v>EEZ_234</x:v>
      </x:c>
      <x:c r="B20" s="24" t="str">
        <x:v>Faeroe Isl. (Denmark)</x:v>
      </x:c>
      <x:c r="C20" s="24" t="str">
        <x:v>EEZ</x:v>
      </x:c>
      <x:c r="D20" s="30" t="n">
        <x:v>2019</x:v>
      </x:c>
      <x:c r="E20" s="24" t="str">
        <x:v>Merlangius merlangus</x:v>
      </x:c>
      <x:c r="F20" s="24" t="str">
        <x:v>Whiting</x:v>
      </x:c>
      <x:c r="G20" s="24" t="str">
        <x:v>Medium benthopelagics (30 - 89 cm)</x:v>
      </x:c>
      <x:c r="H20" s="24" t="str">
        <x:v>Cod-likes</x:v>
      </x:c>
      <x:c r="I20" s="31" t="n">
        <x:v>357.6073775613</x:v>
      </x:c>
      <x:c r="J20" s="31" t="n">
        <x:v>357.6073775613</x:v>
      </x:c>
      <x:c r="K20" s="31" t="n">
        <x:v>0</x:v>
      </x:c>
      <x:c r="L20" s="31" t="n">
        <x:v>357.6073775613</x:v>
      </x:c>
      <x:c r="M20" s="31" t="n">
        <x:v>0</x:v>
      </x:c>
      <x:c r="N20" s="24" t="str">
        <x:v>merlangius merlangus</x:v>
      </x:c>
      <x:c r="O20" s="32" t="n">
        <x:v>4.36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Merlangius merlangus</x:v>
      </x:c>
      <x:c r="T20" s="32" t="n">
        <x:f>IF(O20="","",(1/'Metadata'!$B$5)^(O20-1))</x:f>
        <x:v>2290.867652767775</x:v>
      </x:c>
      <x:c r="U20" s="31" t="n">
        <x:f>IF(T20="","",I20*T20)</x:f>
        <x:v>819231.1736462947</x:v>
      </x:c>
    </x:row>
    <x:row r="21" ht="18" customHeight="1">
      <x:c r="A21" s="24" t="str">
        <x:v>EEZ_234</x:v>
      </x:c>
      <x:c r="B21" s="24" t="str">
        <x:v>Faeroe Isl. (Denmark)</x:v>
      </x:c>
      <x:c r="C21" s="24" t="str">
        <x:v>EEZ</x:v>
      </x:c>
      <x:c r="D21" s="30" t="n">
        <x:v>2019</x:v>
      </x:c>
      <x:c r="E21" s="24" t="str">
        <x:v>Raja</x:v>
      </x:c>
      <x:c r="F21" s="24" t="str">
        <x:v>Stingrays, skates</x:v>
      </x:c>
      <x:c r="G21" s="24" t="str">
        <x:v>Small to medium rays (&lt;90 cm)</x:v>
      </x:c>
      <x:c r="H21" s="24" t="str">
        <x:v>Sharks &amp; rays</x:v>
      </x:c>
      <x:c r="I21" s="31" t="n">
        <x:v>116.0318</x:v>
      </x:c>
      <x:c r="J21" s="31" t="n">
        <x:v>116.0318</x:v>
      </x:c>
      <x:c r="K21" s="31" t="n">
        <x:v>0</x:v>
      </x:c>
      <x:c r="L21" s="31" t="n">
        <x:v>116.0318</x:v>
      </x:c>
      <x:c r="M21" s="31" t="n">
        <x:v>0</x:v>
      </x:c>
      <x:c r="N21" s="24" t="str">
        <x:v>raja</x:v>
      </x:c>
      <x:c r="O21" s="32" t="n">
        <x:v>3.8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Raja</x:v>
      </x:c>
      <x:c r="T21" s="32" t="n">
        <x:f>IF(O21="","",(1/'Metadata'!$B$5)^(O21-1))</x:f>
        <x:v>630.957344480193</x:v>
      </x:c>
      <x:c r="U21" s="31" t="n">
        <x:f>IF(T21="","",I21*T21)</x:f>
        <x:v>73211.11640325686</x:v>
      </x:c>
    </x:row>
    <x:row r="22" ht="18" customHeight="1">
      <x:c r="A22" s="24" t="str">
        <x:v>EEZ_234</x:v>
      </x:c>
      <x:c r="B22" s="24" t="str">
        <x:v>Faeroe Isl. (Denmark)</x:v>
      </x:c>
      <x:c r="C22" s="24" t="str">
        <x:v>EEZ</x:v>
      </x:c>
      <x:c r="D22" s="30" t="n">
        <x:v>2019</x:v>
      </x:c>
      <x:c r="E22" s="24" t="str">
        <x:v>Illex illecebrosus</x:v>
      </x:c>
      <x:c r="F22" s="24" t="str">
        <x:v>Northern shortfin squid</x:v>
      </x:c>
      <x:c r="G22" s="24" t="str">
        <x:v>Cephalopods</x:v>
      </x:c>
      <x:c r="H22" s="24" t="str">
        <x:v>Other fishes &amp; inverts</x:v>
      </x:c>
      <x:c r="I22" s="31" t="n">
        <x:v>91.2865</x:v>
      </x:c>
      <x:c r="J22" s="31" t="n">
        <x:v>91.2865</x:v>
      </x:c>
      <x:c r="K22" s="31" t="n">
        <x:v>0</x:v>
      </x:c>
      <x:c r="L22" s="31" t="n">
        <x:v>91.2865</x:v>
      </x:c>
      <x:c r="M22" s="31" t="n">
        <x:v>0</x:v>
      </x:c>
      <x:c r="N22" s="24" t="str">
        <x:v>illex illecebrosus</x:v>
      </x:c>
      <x:c r="O22" s="32" t="n">
        <x:v>3.98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Illex illecebrosus</x:v>
      </x:c>
      <x:c r="T22" s="32" t="n">
        <x:f>IF(O22="","",(1/'Metadata'!$B$5)^(O22-1))</x:f>
        <x:v>954.992586021436</x:v>
      </x:c>
      <x:c r="U22" s="31" t="n">
        <x:f>IF(T22="","",I22*T22)</x:f>
        <x:v>87177.93070384582</x:v>
      </x:c>
    </x:row>
    <x:row r="23" ht="18" customHeight="1">
      <x:c r="A23" s="24" t="str">
        <x:v>EEZ_234</x:v>
      </x:c>
      <x:c r="B23" s="24" t="str">
        <x:v>Faeroe Isl. (Denmark)</x:v>
      </x:c>
      <x:c r="C23" s="24" t="str">
        <x:v>EEZ</x:v>
      </x:c>
      <x:c r="D23" s="30" t="n">
        <x:v>2019</x:v>
      </x:c>
      <x:c r="E23" s="24" t="str">
        <x:v>Notoscopelus</x:v>
      </x:c>
      <x:c r="F23" s="24" t="str">
        <x:v>Lampfish</x:v>
      </x:c>
      <x:c r="G23" s="24" t="str">
        <x:v>Small pelagics (&lt;30 cm)</x:v>
      </x:c>
      <x:c r="H23" s="24" t="str">
        <x:v>Other fishes &amp; inverts</x:v>
      </x:c>
      <x:c r="I23" s="31" t="n">
        <x:v>84.87700000000001</x:v>
      </x:c>
      <x:c r="J23" s="31" t="n">
        <x:v>84.87700000000001</x:v>
      </x:c>
      <x:c r="K23" s="31" t="n">
        <x:v>0</x:v>
      </x:c>
      <x:c r="L23" s="31" t="n">
        <x:v>84.87700000000001</x:v>
      </x:c>
      <x:c r="M23" s="31" t="n">
        <x:v>0</x:v>
      </x:c>
      <x:c r="N23" s="24" t="str">
        <x:v>notoscopelus</x:v>
      </x:c>
      <x:c r="O23" s="32" t="n">
        <x:v>3.15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Notoscopelus</x:v>
      </x:c>
      <x:c r="T23" s="32" t="n">
        <x:f>IF(O23="","",(1/'Metadata'!$B$5)^(O23-1))</x:f>
        <x:v>141.2537544622754</x:v>
      </x:c>
      <x:c r="U23" s="31" t="n">
        <x:f>IF(T23="","",I23*T23)</x:f>
        <x:v>11989.19491749455</x:v>
      </x:c>
    </x:row>
    <x:row r="24" ht="18" customHeight="1">
      <x:c r="A24" s="24" t="str">
        <x:v>EEZ_234</x:v>
      </x:c>
      <x:c r="B24" s="24" t="str">
        <x:v>Faeroe Isl. (Denmark)</x:v>
      </x:c>
      <x:c r="C24" s="24" t="str">
        <x:v>EEZ</x:v>
      </x:c>
      <x:c r="D24" s="30" t="n">
        <x:v>2019</x:v>
      </x:c>
      <x:c r="E24" s="24" t="str">
        <x:v>Gadidae</x:v>
      </x:c>
      <x:c r="F24" s="24" t="str">
        <x:v>Cods, haddocks</x:v>
      </x:c>
      <x:c r="G24" s="24" t="str">
        <x:v>Medium demersals (30 - 89 cm)</x:v>
      </x:c>
      <x:c r="H24" s="24" t="str">
        <x:v>Cod-likes</x:v>
      </x:c>
      <x:c r="I24" s="31" t="n">
        <x:v>74.4722991152</x:v>
      </x:c>
      <x:c r="J24" s="31" t="n">
        <x:v>0</x:v>
      </x:c>
      <x:c r="K24" s="31" t="n">
        <x:v>74.4722991152</x:v>
      </x:c>
      <x:c r="L24" s="31" t="n">
        <x:v>0</x:v>
      </x:c>
      <x:c r="M24" s="31" t="n">
        <x:v>74.4722991152</x:v>
      </x:c>
      <x:c r="N24" s="24" t="str">
        <x:v>gadidae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Gadidae</x:v>
      </x:c>
      <x:c r="T24" s="32" t="n">
        <x:f>IF(O24="","",(1/'Metadata'!$B$5)^(O24-1))</x:f>
        <x:v>691.8309709189363</x:v>
      </x:c>
      <x:c r="U24" s="31" t="n">
        <x:f>IF(T24="","",I24*T24)</x:f>
        <x:v>51522.243003434254</x:v>
      </x:c>
    </x:row>
    <x:row r="25" ht="18" customHeight="1">
      <x:c r="A25" s="24" t="str">
        <x:v>EEZ_234</x:v>
      </x:c>
      <x:c r="B25" s="24" t="str">
        <x:v>Faeroe Isl. (Denmark)</x:v>
      </x:c>
      <x:c r="C25" s="24" t="str">
        <x:v>EEZ</x:v>
      </x:c>
      <x:c r="D25" s="30" t="n">
        <x:v>2019</x:v>
      </x:c>
      <x:c r="E25" s="24" t="str">
        <x:v>Anarhichas</x:v>
      </x:c>
      <x:c r="F25" s="24" t="str">
        <x:v>Wolffishes</x:v>
      </x:c>
      <x:c r="G25" s="24" t="str">
        <x:v>Large demersals (&gt;=90 cm)</x:v>
      </x:c>
      <x:c r="H25" s="24" t="str">
        <x:v>Perch-likes</x:v>
      </x:c>
      <x:c r="I25" s="31" t="n">
        <x:v>70.13428</x:v>
      </x:c>
      <x:c r="J25" s="31" t="n">
        <x:v>70.13428</x:v>
      </x:c>
      <x:c r="K25" s="31" t="n">
        <x:v>0</x:v>
      </x:c>
      <x:c r="L25" s="31" t="n">
        <x:v>70.13428</x:v>
      </x:c>
      <x:c r="M25" s="31" t="n">
        <x:v>0</x:v>
      </x:c>
      <x:c r="N25" s="24" t="str">
        <x:v>anarhichas</x:v>
      </x:c>
      <x:c r="O25" s="32" t="n">
        <x:v>3.35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Anarhichas</x:v>
      </x:c>
      <x:c r="T25" s="32" t="n">
        <x:f>IF(O25="","",(1/'Metadata'!$B$5)^(O25-1))</x:f>
        <x:v>223.872113856834</x:v>
      </x:c>
      <x:c r="U25" s="31" t="n">
        <x:f>IF(T25="","",I25*T25)</x:f>
        <x:v>15701.109517427078</x:v>
      </x:c>
    </x:row>
    <x:row r="26" ht="18" customHeight="1">
      <x:c r="A26" s="24" t="str">
        <x:v>EEZ_234</x:v>
      </x:c>
      <x:c r="B26" s="24" t="str">
        <x:v>Faeroe Isl. (Denmark)</x:v>
      </x:c>
      <x:c r="C26" s="24" t="str">
        <x:v>EEZ</x:v>
      </x:c>
      <x:c r="D26" s="30" t="n">
        <x:v>2019</x:v>
      </x:c>
      <x:c r="E26" s="24" t="str">
        <x:v>Lophiidae</x:v>
      </x:c>
      <x:c r="F26" s="24" t="str">
        <x:v>Goosefishes</x:v>
      </x:c>
      <x:c r="G26" s="24" t="str">
        <x:v>Medium bathydemersals (30 - 89 cm)</x:v>
      </x:c>
      <x:c r="H26" s="24" t="str">
        <x:v>Other fishes &amp; inverts</x:v>
      </x:c>
      <x:c r="I26" s="31" t="n">
        <x:v>67.9952775565</x:v>
      </x:c>
      <x:c r="J26" s="31" t="n">
        <x:v>67.9952775565</x:v>
      </x:c>
      <x:c r="K26" s="31" t="n">
        <x:v>0</x:v>
      </x:c>
      <x:c r="L26" s="31" t="n">
        <x:v>67.9952775565</x:v>
      </x:c>
      <x:c r="M26" s="31" t="n">
        <x:v>0</x:v>
      </x:c>
      <x:c r="N26" s="24" t="str">
        <x:v>lophiidae</x:v>
      </x:c>
      <x:c r="O26" s="32" t="n">
        <x:v>4.46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Lophiidae</x:v>
      </x:c>
      <x:c r="T26" s="32" t="n">
        <x:f>IF(O26="","",(1/'Metadata'!$B$5)^(O26-1))</x:f>
        <x:v>2884.031503126606</x:v>
      </x:c>
      <x:c r="U26" s="31" t="n">
        <x:f>IF(T26="","",I26*T26)</x:f>
        <x:v>196100.52253678348</x:v>
      </x:c>
    </x:row>
    <x:row r="27" ht="18" customHeight="1">
      <x:c r="A27" s="24" t="str">
        <x:v>EEZ_234</x:v>
      </x:c>
      <x:c r="B27" s="24" t="str">
        <x:v>Faeroe Isl. (Denmark)</x:v>
      </x:c>
      <x:c r="C27" s="24" t="str">
        <x:v>EEZ</x:v>
      </x:c>
      <x:c r="D27" s="30" t="n">
        <x:v>2019</x:v>
      </x:c>
      <x:c r="E27" s="24" t="str">
        <x:v>Trisopterus esmarkii</x:v>
      </x:c>
      <x:c r="F27" s="24" t="str">
        <x:v>Norway pout</x:v>
      </x:c>
      <x:c r="G27" s="24" t="str">
        <x:v>Medium benthopelagics (30 - 89 cm)</x:v>
      </x:c>
      <x:c r="H27" s="24" t="str">
        <x:v>Cod-likes</x:v>
      </x:c>
      <x:c r="I27" s="31" t="n">
        <x:v>66.3421972012</x:v>
      </x:c>
      <x:c r="J27" s="31" t="n">
        <x:v>63.3672184128</x:v>
      </x:c>
      <x:c r="K27" s="31" t="n">
        <x:v>2.9749787883999996</x:v>
      </x:c>
      <x:c r="L27" s="31" t="n">
        <x:v>63.3672184128</x:v>
      </x:c>
      <x:c r="M27" s="31" t="n">
        <x:v>2.9749787883999996</x:v>
      </x:c>
      <x:c r="N27" s="24" t="str">
        <x:v>trisopterus esmarkii</x:v>
      </x:c>
      <x:c r="O27" s="32" t="n">
        <x:v>3.24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Trisopterus esmarkii</x:v>
      </x:c>
      <x:c r="T27" s="32" t="n">
        <x:f>IF(O27="","",(1/'Metadata'!$B$5)^(O27-1))</x:f>
        <x:v>173.78008287493762</x:v>
      </x:c>
      <x:c r="U27" s="31" t="n">
        <x:f>IF(T27="","",I27*T27)</x:f>
        <x:v>11528.952527729989</x:v>
      </x:c>
    </x:row>
    <x:row r="28" ht="18" customHeight="1">
      <x:c r="A28" s="24" t="str">
        <x:v>EEZ_234</x:v>
      </x:c>
      <x:c r="B28" s="24" t="str">
        <x:v>Faeroe Isl. (Denmark)</x:v>
      </x:c>
      <x:c r="C28" s="24" t="str">
        <x:v>EEZ</x:v>
      </x:c>
      <x:c r="D28" s="30" t="n">
        <x:v>2019</x:v>
      </x:c>
      <x:c r="E28" s="24" t="str">
        <x:v>Squalidae</x:v>
      </x:c>
      <x:c r="F28" s="24" t="str">
        <x:v>Dogfish sharks</x:v>
      </x:c>
      <x:c r="G28" s="24" t="str">
        <x:v>Large sharks (&gt;=90 cm)</x:v>
      </x:c>
      <x:c r="H28" s="24" t="str">
        <x:v>Sharks &amp; rays</x:v>
      </x:c>
      <x:c r="I28" s="31" t="n">
        <x:v>66.3245</x:v>
      </x:c>
      <x:c r="J28" s="31" t="n">
        <x:v>66.3245</x:v>
      </x:c>
      <x:c r="K28" s="31" t="n">
        <x:v>0</x:v>
      </x:c>
      <x:c r="L28" s="31" t="n">
        <x:v>66.3245</x:v>
      </x:c>
      <x:c r="M28" s="31" t="n">
        <x:v>0</x:v>
      </x:c>
      <x:c r="N28" s="24" t="str">
        <x:v>squalidae</x:v>
      </x:c>
      <x:c r="O28" s="32" t="n">
        <x:v>4.23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Squalidae</x:v>
      </x:c>
      <x:c r="T28" s="32" t="n">
        <x:f>IF(O28="","",(1/'Metadata'!$B$5)^(O28-1))</x:f>
        <x:v>1698.243652461746</x:v>
      </x:c>
      <x:c r="U28" s="31" t="n">
        <x:f>IF(T28="","",I28*T28)</x:f>
        <x:v>112635.16112769907</x:v>
      </x:c>
    </x:row>
    <x:row r="29" ht="18" customHeight="1">
      <x:c r="A29" s="24" t="str">
        <x:v>EEZ_234</x:v>
      </x:c>
      <x:c r="B29" s="24" t="str">
        <x:v>Faeroe Isl. (Denmark)</x:v>
      </x:c>
      <x:c r="C29" s="24" t="str">
        <x:v>EEZ</x:v>
      </x:c>
      <x:c r="D29" s="30" t="n">
        <x:v>2019</x:v>
      </x:c>
      <x:c r="E29" s="24" t="str">
        <x:v>Gadiformes</x:v>
      </x:c>
      <x:c r="F29" s="24" t="str">
        <x:v>Cods</x:v>
      </x:c>
      <x:c r="G29" s="24" t="str">
        <x:v>Medium benthopelagics (30 - 89 cm)</x:v>
      </x:c>
      <x:c r="H29" s="24" t="str">
        <x:v>Cod-likes</x:v>
      </x:c>
      <x:c r="I29" s="31" t="n">
        <x:v>62.4101349629</x:v>
      </x:c>
      <x:c r="J29" s="31" t="n">
        <x:v>57.9139999998</x:v>
      </x:c>
      <x:c r="K29" s="31" t="n">
        <x:v>4.4961349631</x:v>
      </x:c>
      <x:c r="L29" s="31" t="n">
        <x:v>57.9139999998</x:v>
      </x:c>
      <x:c r="M29" s="31" t="n">
        <x:v>4.4961349631</x:v>
      </x:c>
      <x:c r="N29" s="24" t="str">
        <x:v>gadiformes</x:v>
      </x:c>
      <x:c r="O29" s="32" t="n">
        <x:v>3.91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Gadiformes</x:v>
      </x:c>
      <x:c r="T29" s="32" t="n">
        <x:f>IF(O29="","",(1/'Metadata'!$B$5)^(O29-1))</x:f>
        <x:v>812.8305161640995</x:v>
      </x:c>
      <x:c r="U29" s="31" t="n">
        <x:f>IF(T29="","",I29*T29)</x:f>
        <x:v>50728.862215765126</x:v>
      </x:c>
    </x:row>
    <x:row r="30" ht="18" customHeight="1">
      <x:c r="A30" s="24" t="str">
        <x:v>EEZ_234</x:v>
      </x:c>
      <x:c r="B30" s="24" t="str">
        <x:v>Faeroe Isl. (Denmark)</x:v>
      </x:c>
      <x:c r="C30" s="24" t="str">
        <x:v>EEZ</x:v>
      </x:c>
      <x:c r="D30" s="30" t="n">
        <x:v>2019</x:v>
      </x:c>
      <x:c r="E30" s="24" t="str">
        <x:v>Scombridae</x:v>
      </x:c>
      <x:c r="F30" s="24" t="str">
        <x:v>Mackerels, tunas, bonitos</x:v>
      </x:c>
      <x:c r="G30" s="24" t="str">
        <x:v>Medium pelagics (30 - 89 cm)</x:v>
      </x:c>
      <x:c r="H30" s="24" t="str">
        <x:v>Perch-likes</x:v>
      </x:c>
      <x:c r="I30" s="31" t="n">
        <x:v>61.1307080218</x:v>
      </x:c>
      <x:c r="J30" s="31" t="n">
        <x:v>0</x:v>
      </x:c>
      <x:c r="K30" s="31" t="n">
        <x:v>61.1307080218</x:v>
      </x:c>
      <x:c r="L30" s="31" t="n">
        <x:v>0</x:v>
      </x:c>
      <x:c r="M30" s="31" t="n">
        <x:v>61.1307080218</x:v>
      </x:c>
      <x:c r="N30" s="24" t="str">
        <x:v>scombridae</x:v>
      </x:c>
      <x:c r="O30" s="32" t="n">
        <x:v>4.26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Scombridae</x:v>
      </x:c>
      <x:c r="T30" s="32" t="n">
        <x:f>IF(O30="","",(1/'Metadata'!$B$5)^(O30-1))</x:f>
        <x:v>1819.7008586099826</x:v>
      </x:c>
      <x:c r="U30" s="31" t="n">
        <x:f>IF(T30="","",I30*T30)</x:f>
        <x:v>111239.60187470561</x:v>
      </x:c>
    </x:row>
    <x:row r="31" ht="18" customHeight="1">
      <x:c r="A31" s="24" t="str">
        <x:v>EEZ_234</x:v>
      </x:c>
      <x:c r="B31" s="24" t="str">
        <x:v>Faeroe Isl. (Denmark)</x:v>
      </x:c>
      <x:c r="C31" s="24" t="str">
        <x:v>EEZ</x:v>
      </x:c>
      <x:c r="D31" s="30" t="n">
        <x:v>2019</x:v>
      </x:c>
      <x:c r="E31" s="24" t="str">
        <x:v>Rajiformes</x:v>
      </x:c>
      <x:c r="F31" s="24" t="str">
        <x:v>Skates and rays</x:v>
      </x:c>
      <x:c r="G31" s="24" t="str">
        <x:v>Large rays (&gt;=90 cm)</x:v>
      </x:c>
      <x:c r="H31" s="24" t="str">
        <x:v>Sharks &amp; rays</x:v>
      </x:c>
      <x:c r="I31" s="31" t="n">
        <x:v>54.420290000200005</x:v>
      </x:c>
      <x:c r="J31" s="31" t="n">
        <x:v>54.420290000200005</x:v>
      </x:c>
      <x:c r="K31" s="31" t="n">
        <x:v>0</x:v>
      </x:c>
      <x:c r="L31" s="31" t="n">
        <x:v>54.420290000200005</x:v>
      </x:c>
      <x:c r="M31" s="31" t="n">
        <x:v>0</x:v>
      </x:c>
      <x:c r="N31" s="24" t="str">
        <x:v>rajiformes</x:v>
      </x:c>
      <x:c r="O31" s="32" t="n">
        <x:v>3.61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Rajiformes</x:v>
      </x:c>
      <x:c r="T31" s="32" t="n">
        <x:f>IF(O31="","",(1/'Metadata'!$B$5)^(O31-1))</x:f>
        <x:v>407.3802778041126</x:v>
      </x:c>
      <x:c r="U31" s="31" t="n">
        <x:f>IF(T31="","",I31*T31)</x:f>
        <x:v>22169.75285846185</x:v>
      </x:c>
    </x:row>
    <x:row r="32" ht="18" customHeight="1">
      <x:c r="A32" s="24" t="str">
        <x:v>EEZ_234</x:v>
      </x:c>
      <x:c r="B32" s="24" t="str">
        <x:v>Faeroe Isl. (Denmark)</x:v>
      </x:c>
      <x:c r="C32" s="24" t="str">
        <x:v>EEZ</x:v>
      </x:c>
      <x:c r="D32" s="30" t="n">
        <x:v>2019</x:v>
      </x:c>
      <x:c r="E32" s="24" t="str">
        <x:v>Merlucciidae</x:v>
      </x:c>
      <x:c r="F32" s="24" t="str">
        <x:v>Merluccid hakes</x:v>
      </x:c>
      <x:c r="G32" s="24" t="str">
        <x:v>Large bathydemersals (&gt;=90 cm)</x:v>
      </x:c>
      <x:c r="H32" s="24" t="str">
        <x:v>Cod-likes</x:v>
      </x:c>
      <x:c r="I32" s="31" t="n">
        <x:v>52.3374808352</x:v>
      </x:c>
      <x:c r="J32" s="31" t="n">
        <x:v>0</x:v>
      </x:c>
      <x:c r="K32" s="31" t="n">
        <x:v>52.3374808352</x:v>
      </x:c>
      <x:c r="L32" s="31" t="n">
        <x:v>0</x:v>
      </x:c>
      <x:c r="M32" s="31" t="n">
        <x:v>52.3374808352</x:v>
      </x:c>
      <x:c r="N32" s="24" t="str">
        <x:v>merlucciidae</x:v>
      </x:c>
      <x:c r="O32" s="32" t="n">
        <x:v>4.35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Merlucciidae</x:v>
      </x:c>
      <x:c r="T32" s="32" t="n">
        <x:f>IF(O32="","",(1/'Metadata'!$B$5)^(O32-1))</x:f>
        <x:v>2238.7211385683377</x:v>
      </x:c>
      <x:c r="U32" s="31" t="n">
        <x:f>IF(T32="","",I32*T32)</x:f>
        <x:v>117169.02468517749</x:v>
      </x:c>
    </x:row>
    <x:row r="33" ht="18" customHeight="1">
      <x:c r="A33" s="24" t="str">
        <x:v>EEZ_234</x:v>
      </x:c>
      <x:c r="B33" s="24" t="str">
        <x:v>Faeroe Isl. (Denmark)</x:v>
      </x:c>
      <x:c r="C33" s="24" t="str">
        <x:v>EEZ</x:v>
      </x:c>
      <x:c r="D33" s="30" t="n">
        <x:v>2019</x:v>
      </x:c>
      <x:c r="E33" s="24" t="str">
        <x:v>Anarhichas lupus</x:v>
      </x:c>
      <x:c r="F33" s="24" t="str">
        <x:v>Atlantic wolffish</x:v>
      </x:c>
      <x:c r="G33" s="24" t="str">
        <x:v>Large demersals (&gt;=90 cm)</x:v>
      </x:c>
      <x:c r="H33" s="24" t="str">
        <x:v>Perch-likes</x:v>
      </x:c>
      <x:c r="I33" s="31" t="n">
        <x:v>48.14552</x:v>
      </x:c>
      <x:c r="J33" s="31" t="n">
        <x:v>48.14552</x:v>
      </x:c>
      <x:c r="K33" s="31" t="n">
        <x:v>0</x:v>
      </x:c>
      <x:c r="L33" s="31" t="n">
        <x:v>48.14552</x:v>
      </x:c>
      <x:c r="M33" s="31" t="n">
        <x:v>0</x:v>
      </x:c>
      <x:c r="N33" s="24" t="str">
        <x:v>anarhichas lupus</x:v>
      </x:c>
      <x:c r="O33" s="32" t="n">
        <x:v>3.55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Anarhichas lupus</x:v>
      </x:c>
      <x:c r="T33" s="32" t="n">
        <x:f>IF(O33="","",(1/'Metadata'!$B$5)^(O33-1))</x:f>
        <x:v>354.8133892335753</x:v>
      </x:c>
      <x:c r="U33" s="31" t="n">
        <x:f>IF(T33="","",I33*T33)</x:f>
        <x:v>17082.675127612885</x:v>
      </x:c>
    </x:row>
    <x:row r="34" ht="18" customHeight="1">
      <x:c r="A34" s="24" t="str">
        <x:v>EEZ_234</x:v>
      </x:c>
      <x:c r="B34" s="24" t="str">
        <x:v>Faeroe Isl. (Denmark)</x:v>
      </x:c>
      <x:c r="C34" s="24" t="str">
        <x:v>EEZ</x:v>
      </x:c>
      <x:c r="D34" s="30" t="n">
        <x:v>2019</x:v>
      </x:c>
      <x:c r="E34" s="24" t="str">
        <x:v>Coryphaenoides rupestris</x:v>
      </x:c>
      <x:c r="F34" s="24" t="str">
        <x:v>Roundnose grenadier</x:v>
      </x:c>
      <x:c r="G34" s="24" t="str">
        <x:v>Large bathypelagics (&gt;=90 cm)</x:v>
      </x:c>
      <x:c r="H34" s="24" t="str">
        <x:v>Cod-likes</x:v>
      </x:c>
      <x:c r="I34" s="31" t="n">
        <x:v>47.0148323582</x:v>
      </x:c>
      <x:c r="J34" s="31" t="n">
        <x:v>47.0148323582</x:v>
      </x:c>
      <x:c r="K34" s="31" t="n">
        <x:v>0</x:v>
      </x:c>
      <x:c r="L34" s="31" t="n">
        <x:v>47.0148323582</x:v>
      </x:c>
      <x:c r="M34" s="31" t="n">
        <x:v>0</x:v>
      </x:c>
      <x:c r="N34" s="24" t="str">
        <x:v>coryphaenoides rupestris</x:v>
      </x:c>
      <x:c r="O34" s="32" t="n">
        <x:v>3.54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Coryphaenoides rupestris</x:v>
      </x:c>
      <x:c r="T34" s="32" t="n">
        <x:f>IF(O34="","",(1/'Metadata'!$B$5)^(O34-1))</x:f>
        <x:v>346.73685045253166</x:v>
      </x:c>
      <x:c r="U34" s="31" t="n">
        <x:f>IF(T34="","",I34*T34)</x:f>
        <x:v>16301.77489643604</x:v>
      </x:c>
    </x:row>
    <x:row r="35" ht="18" customHeight="1">
      <x:c r="A35" s="24" t="str">
        <x:v>EEZ_234</x:v>
      </x:c>
      <x:c r="B35" s="24" t="str">
        <x:v>Faeroe Isl. (Denmark)</x:v>
      </x:c>
      <x:c r="C35" s="24" t="str">
        <x:v>EEZ</x:v>
      </x:c>
      <x:c r="D35" s="30" t="n">
        <x:v>2019</x:v>
      </x:c>
      <x:c r="E35" s="24" t="str">
        <x:v>Miscellaneous marine crustaceans</x:v>
      </x:c>
      <x:c r="F35" s="24" t="str">
        <x:v>Marine crabs, shrimps, lobsters nei</x:v>
      </x:c>
      <x:c r="G35" s="24" t="str">
        <x:v>Shrimps</x:v>
      </x:c>
      <x:c r="H35" s="24" t="str">
        <x:v>Crustaceans</x:v>
      </x:c>
      <x:c r="I35" s="31" t="n">
        <x:v>44.864462935199995</x:v>
      </x:c>
      <x:c r="J35" s="31" t="n">
        <x:v>0</x:v>
      </x:c>
      <x:c r="K35" s="31" t="n">
        <x:v>44.864462935199995</x:v>
      </x:c>
      <x:c r="L35" s="31" t="n">
        <x:v>0</x:v>
      </x:c>
      <x:c r="M35" s="31" t="n">
        <x:v>44.864462935199995</x:v>
      </x:c>
      <x:c r="N35" s="24" t="str">
        <x:v>miscellaneous marine crustaceans</x:v>
      </x:c>
      <x:c r="O35" s="32" t="n">
        <x:v>2.7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Miscellaneous marine crustaceans</x:v>
      </x:c>
      <x:c r="T35" s="32" t="n">
        <x:f>IF(O35="","",(1/'Metadata'!$B$5)^(O35-1))</x:f>
        <x:v>50.11872336272725</x:v>
      </x:c>
      <x:c r="U35" s="31" t="n">
        <x:f>IF(T35="","",I35*T35)</x:f>
        <x:v>2248.5496066666187</x:v>
      </x:c>
    </x:row>
    <x:row r="36" ht="18" customHeight="1">
      <x:c r="A36" s="24" t="str">
        <x:v>EEZ_234</x:v>
      </x:c>
      <x:c r="B36" s="24" t="str">
        <x:v>Faeroe Isl. (Denmark)</x:v>
      </x:c>
      <x:c r="C36" s="24" t="str">
        <x:v>EEZ</x:v>
      </x:c>
      <x:c r="D36" s="30" t="n">
        <x:v>2019</x:v>
      </x:c>
      <x:c r="E36" s="24" t="str">
        <x:v>Pleuronectidae</x:v>
      </x:c>
      <x:c r="F36" s="24" t="str">
        <x:v>Righteye flounders</x:v>
      </x:c>
      <x:c r="G36" s="24" t="str">
        <x:v>Small to medium flatfishes (&lt;90 cm)</x:v>
      </x:c>
      <x:c r="H36" s="24" t="str">
        <x:v>Flatfishes</x:v>
      </x:c>
      <x:c r="I36" s="31" t="n">
        <x:v>41.153431868</x:v>
      </x:c>
      <x:c r="J36" s="31" t="n">
        <x:v>0</x:v>
      </x:c>
      <x:c r="K36" s="31" t="n">
        <x:v>41.153431868</x:v>
      </x:c>
      <x:c r="L36" s="31" t="n">
        <x:v>0</x:v>
      </x:c>
      <x:c r="M36" s="31" t="n">
        <x:v>41.153431868</x:v>
      </x:c>
      <x:c r="N36" s="24" t="str">
        <x:v>pleuronectidae</x:v>
      </x:c>
      <x:c r="O36" s="32" t="n">
        <x:v>3.49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Pleuronectidae</x:v>
      </x:c>
      <x:c r="T36" s="32" t="n">
        <x:f>IF(O36="","",(1/'Metadata'!$B$5)^(O36-1))</x:f>
        <x:v>309.0295432513592</x:v>
      </x:c>
      <x:c r="U36" s="31" t="n">
        <x:f>IF(T36="","",I36*T36)</x:f>
        <x:v>12717.62625339397</x:v>
      </x:c>
    </x:row>
    <x:row r="37" ht="18" customHeight="1">
      <x:c r="A37" s="24" t="str">
        <x:v>EEZ_234</x:v>
      </x:c>
      <x:c r="B37" s="24" t="str">
        <x:v>Faeroe Isl. (Denmark)</x:v>
      </x:c>
      <x:c r="C37" s="24" t="str">
        <x:v>EEZ</x:v>
      </x:c>
      <x:c r="D37" s="30" t="n">
        <x:v>2019</x:v>
      </x:c>
      <x:c r="E37" s="24" t="str">
        <x:v>Congridae</x:v>
      </x:c>
      <x:c r="F37" s="24" t="str">
        <x:v>Conger, garden eels</x:v>
      </x:c>
      <x:c r="G37" s="24" t="str">
        <x:v>Large demersals (&gt;=90 cm)</x:v>
      </x:c>
      <x:c r="H37" s="24" t="str">
        <x:v>Other fishes &amp; inverts</x:v>
      </x:c>
      <x:c r="I37" s="31" t="n">
        <x:v>37.815002210299994</x:v>
      </x:c>
      <x:c r="J37" s="31" t="n">
        <x:v>0</x:v>
      </x:c>
      <x:c r="K37" s="31" t="n">
        <x:v>37.815002210299994</x:v>
      </x:c>
      <x:c r="L37" s="31" t="n">
        <x:v>0</x:v>
      </x:c>
      <x:c r="M37" s="31" t="n">
        <x:v>37.815002210299994</x:v>
      </x:c>
      <x:c r="N37" s="24" t="str">
        <x:v>congridae</x:v>
      </x:c>
      <x:c r="O37" s="32" t="n">
        <x:v>4.18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Congridae</x:v>
      </x:c>
      <x:c r="T37" s="32" t="n">
        <x:f>IF(O37="","",(1/'Metadata'!$B$5)^(O37-1))</x:f>
        <x:v>1513.5612484362073</x:v>
      </x:c>
      <x:c r="U37" s="31" t="n">
        <x:f>IF(T37="","",I37*T37)</x:f>
        <x:v>57235.321955039595</x:v>
      </x:c>
    </x:row>
    <x:row r="38" ht="18" customHeight="1">
      <x:c r="A38" s="24" t="str">
        <x:v>EEZ_234</x:v>
      </x:c>
      <x:c r="B38" s="24" t="str">
        <x:v>Faeroe Isl. (Denmark)</x:v>
      </x:c>
      <x:c r="C38" s="24" t="str">
        <x:v>EEZ</x:v>
      </x:c>
      <x:c r="D38" s="30" t="n">
        <x:v>2019</x:v>
      </x:c>
      <x:c r="E38" s="24" t="str">
        <x:v>Pollachius pollachius</x:v>
      </x:c>
      <x:c r="F38" s="24" t="str">
        <x:v>Pollack</x:v>
      </x:c>
      <x:c r="G38" s="24" t="str">
        <x:v>Large benthopelagics (&gt;=90 cm)</x:v>
      </x:c>
      <x:c r="H38" s="24" t="str">
        <x:v>Cod-likes</x:v>
      </x:c>
      <x:c r="I38" s="31" t="n">
        <x:v>35.28027</x:v>
      </x:c>
      <x:c r="J38" s="31" t="n">
        <x:v>35.28027</x:v>
      </x:c>
      <x:c r="K38" s="31" t="n">
        <x:v>0</x:v>
      </x:c>
      <x:c r="L38" s="31" t="n">
        <x:v>35.28027</x:v>
      </x:c>
      <x:c r="M38" s="31" t="n">
        <x:v>0</x:v>
      </x:c>
      <x:c r="N38" s="24" t="str">
        <x:v>pollachius pollachius</x:v>
      </x:c>
      <x:c r="O38" s="32" t="n">
        <x:v>4.32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Pollachius pollachius</x:v>
      </x:c>
      <x:c r="T38" s="32" t="n">
        <x:f>IF(O38="","",(1/'Metadata'!$B$5)^(O38-1))</x:f>
        <x:v>2089.2961308540407</x:v>
      </x:c>
      <x:c r="U38" s="31" t="n">
        <x:f>IF(T38="","",I38*T38)</x:f>
        <x:v>73710.93160648589</x:v>
      </x:c>
    </x:row>
    <x:row r="39" ht="18" customHeight="1">
      <x:c r="A39" s="24" t="str">
        <x:v>EEZ_234</x:v>
      </x:c>
      <x:c r="B39" s="24" t="str">
        <x:v>Faeroe Isl. (Denmark)</x:v>
      </x:c>
      <x:c r="C39" s="24" t="str">
        <x:v>EEZ</x:v>
      </x:c>
      <x:c r="D39" s="30" t="n">
        <x:v>2019</x:v>
      </x:c>
      <x:c r="E39" s="24" t="str">
        <x:v>Sciaenidae</x:v>
      </x:c>
      <x:c r="F39" s="24" t="str">
        <x:v>Drums, croakers</x:v>
      </x:c>
      <x:c r="G39" s="24" t="str">
        <x:v>Medium demersals (30 - 89 cm)</x:v>
      </x:c>
      <x:c r="H39" s="24" t="str">
        <x:v>Perch-likes</x:v>
      </x:c>
      <x:c r="I39" s="31" t="n">
        <x:v>33.3188672472</x:v>
      </x:c>
      <x:c r="J39" s="31" t="n">
        <x:v>0</x:v>
      </x:c>
      <x:c r="K39" s="31" t="n">
        <x:v>33.3188672472</x:v>
      </x:c>
      <x:c r="L39" s="31" t="n">
        <x:v>0</x:v>
      </x:c>
      <x:c r="M39" s="31" t="n">
        <x:v>33.3188672472</x:v>
      </x:c>
      <x:c r="N39" s="24" t="str">
        <x:v>sciaenidae</x:v>
      </x:c>
      <x:c r="O39" s="32" t="n">
        <x:v>3.76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Sciaenidae</x:v>
      </x:c>
      <x:c r="T39" s="32" t="n">
        <x:f>IF(O39="","",(1/'Metadata'!$B$5)^(O39-1))</x:f>
        <x:v>575.4399373371566</x:v>
      </x:c>
      <x:c r="U39" s="31" t="n">
        <x:f>IF(T39="","",I39*T39)</x:f>
        <x:v>19173.006880873807</x:v>
      </x:c>
    </x:row>
    <x:row r="40" ht="18" customHeight="1">
      <x:c r="A40" s="24" t="str">
        <x:v>EEZ_234</x:v>
      </x:c>
      <x:c r="B40" s="24" t="str">
        <x:v>Faeroe Isl. (Denmark)</x:v>
      </x:c>
      <x:c r="C40" s="24" t="str">
        <x:v>EEZ</x:v>
      </x:c>
      <x:c r="D40" s="30" t="n">
        <x:v>2019</x:v>
      </x:c>
      <x:c r="E40" s="24" t="str">
        <x:v>Carangidae</x:v>
      </x:c>
      <x:c r="F40" s="24" t="str">
        <x:v>Jacks, pompanos</x:v>
      </x:c>
      <x:c r="G40" s="24" t="str">
        <x:v>Medium pelagics (30 - 89 cm)</x:v>
      </x:c>
      <x:c r="H40" s="24" t="str">
        <x:v>Perch-likes</x:v>
      </x:c>
      <x:c r="I40" s="31" t="n">
        <x:v>28.5496061621</x:v>
      </x:c>
      <x:c r="J40" s="31" t="n">
        <x:v>0</x:v>
      </x:c>
      <x:c r="K40" s="31" t="n">
        <x:v>28.5496061621</x:v>
      </x:c>
      <x:c r="L40" s="31" t="n">
        <x:v>0</x:v>
      </x:c>
      <x:c r="M40" s="31" t="n">
        <x:v>28.5496061621</x:v>
      </x:c>
      <x:c r="N40" s="24" t="str">
        <x:v>carangidae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Carangidae</x:v>
      </x:c>
      <x:c r="T40" s="32" t="n">
        <x:f>IF(O40="","",(1/'Metadata'!$B$5)^(O40-1))</x:f>
        <x:v>1122.018454301963</x:v>
      </x:c>
      <x:c r="U40" s="31" t="n">
        <x:f>IF(T40="","",I40*T40)</x:f>
        <x:v>32033.184976929242</x:v>
      </x:c>
    </x:row>
    <x:row r="41" ht="18" customHeight="1">
      <x:c r="A41" s="24" t="str">
        <x:v>EEZ_234</x:v>
      </x:c>
      <x:c r="B41" s="24" t="str">
        <x:v>Faeroe Isl. (Denmark)</x:v>
      </x:c>
      <x:c r="C41" s="24" t="str">
        <x:v>EEZ</x:v>
      </x:c>
      <x:c r="D41" s="30" t="n">
        <x:v>2019</x:v>
      </x:c>
      <x:c r="E41" s="24" t="str">
        <x:v>Brachyura</x:v>
      </x:c>
      <x:c r="F41" s="24" t="str">
        <x:v>Marine crabs</x:v>
      </x:c>
      <x:c r="G41" s="24" t="str">
        <x:v>Lobsters, crabs</x:v>
      </x:c>
      <x:c r="H41" s="24" t="str">
        <x:v>Crustaceans</x:v>
      </x:c>
      <x:c r="I41" s="31" t="n">
        <x:v>28.278290000000002</x:v>
      </x:c>
      <x:c r="J41" s="31" t="n">
        <x:v>28.278290000000002</x:v>
      </x:c>
      <x:c r="K41" s="31" t="n">
        <x:v>0</x:v>
      </x:c>
      <x:c r="L41" s="31" t="n">
        <x:v>28.278290000000002</x:v>
      </x:c>
      <x:c r="M41" s="31" t="n">
        <x:v>0</x:v>
      </x:c>
      <x:c r="N41" s="24" t="str">
        <x:v>brachyura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Brachyura</x:v>
      </x:c>
      <x:c r="T41" s="32" t="n">
        <x:f>IF(O41="","",(1/'Metadata'!$B$5)^(O41-1))</x:f>
        <x:v>39.810717055349734</x:v>
      </x:c>
      <x:c r="U41" s="31" t="n">
        <x:f>IF(T41="","",I41*T41)</x:f>
        <x:v>1125.779001999126</x:v>
      </x:c>
    </x:row>
    <x:row r="42" ht="18" customHeight="1">
      <x:c r="A42" s="24" t="str">
        <x:v>EEZ_234</x:v>
      </x:c>
      <x:c r="B42" s="24" t="str">
        <x:v>Faeroe Isl. (Denmark)</x:v>
      </x:c>
      <x:c r="C42" s="24" t="str">
        <x:v>EEZ</x:v>
      </x:c>
      <x:c r="D42" s="30" t="n">
        <x:v>2019</x:v>
      </x:c>
      <x:c r="E42" s="24" t="str">
        <x:v>Clupeidae</x:v>
      </x:c>
      <x:c r="F42" s="24" t="str">
        <x:v>Herrings, sardines, menhadens</x:v>
      </x:c>
      <x:c r="G42" s="24" t="str">
        <x:v>Small pelagics (&lt;30 cm)</x:v>
      </x:c>
      <x:c r="H42" s="24" t="str">
        <x:v>Herring-likes</x:v>
      </x:c>
      <x:c r="I42" s="31" t="n">
        <x:v>27.8118407746</x:v>
      </x:c>
      <x:c r="J42" s="31" t="n">
        <x:v>0</x:v>
      </x:c>
      <x:c r="K42" s="31" t="n">
        <x:v>27.8118407746</x:v>
      </x:c>
      <x:c r="L42" s="31" t="n">
        <x:v>0</x:v>
      </x:c>
      <x:c r="M42" s="31" t="n">
        <x:v>27.8118407746</x:v>
      </x:c>
      <x:c r="N42" s="24" t="str">
        <x:v>clupeidae</x:v>
      </x:c>
      <x:c r="O42" s="32" t="n">
        <x:v>3.16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Clupeidae</x:v>
      </x:c>
      <x:c r="T42" s="32" t="n">
        <x:f>IF(O42="","",(1/'Metadata'!$B$5)^(O42-1))</x:f>
        <x:v>144.5439770745928</x:v>
      </x:c>
      <x:c r="U42" s="31" t="n">
        <x:f>IF(T42="","",I42*T42)</x:f>
        <x:v>4020.0340753260075</x:v>
      </x:c>
    </x:row>
    <x:row r="43" ht="18" customHeight="1">
      <x:c r="A43" s="24" t="str">
        <x:v>EEZ_234</x:v>
      </x:c>
      <x:c r="B43" s="24" t="str">
        <x:v>Faeroe Isl. (Denmark)</x:v>
      </x:c>
      <x:c r="C43" s="24" t="str">
        <x:v>EEZ</x:v>
      </x:c>
      <x:c r="D43" s="30" t="n">
        <x:v>2019</x:v>
      </x:c>
      <x:c r="E43" s="24" t="str">
        <x:v>Marine finfishes not identified</x:v>
      </x:c>
      <x:c r="F43" s="24" t="str">
        <x:v>Finfishes</x:v>
      </x:c>
      <x:c r="G43" s="24" t="str">
        <x:v>Medium demersals (30 - 89 cm)</x:v>
      </x:c>
      <x:c r="H43" s="24" t="str">
        <x:v>Other fishes &amp; inverts</x:v>
      </x:c>
      <x:c r="I43" s="31" t="n">
        <x:v>26.440612986999998</x:v>
      </x:c>
      <x:c r="J43" s="31" t="n">
        <x:v>0</x:v>
      </x:c>
      <x:c r="K43" s="31" t="n">
        <x:v>26.440612986999998</x:v>
      </x:c>
      <x:c r="L43" s="31" t="n">
        <x:v>0</x:v>
      </x:c>
      <x:c r="M43" s="31" t="n">
        <x:v>26.440612986999998</x:v>
      </x:c>
      <x:c r="N43" s="24" t="str">
        <x:v>marine finfishes not identified</x:v>
      </x:c>
      <x:c r="O43" s="32" t="n">
        <x:v>3.23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Marine finfishes not identified</x:v>
      </x:c>
      <x:c r="T43" s="32" t="n">
        <x:f>IF(O43="","",(1/'Metadata'!$B$5)^(O43-1))</x:f>
        <x:v>169.82436524617444</x:v>
      </x:c>
      <x:c r="U43" s="31" t="n">
        <x:f>IF(T43="","",I43*T43)</x:f>
        <x:v>4490.260317237031</x:v>
      </x:c>
    </x:row>
    <x:row r="44" ht="18" customHeight="1">
      <x:c r="A44" s="24" t="str">
        <x:v>EEZ_234</x:v>
      </x:c>
      <x:c r="B44" s="24" t="str">
        <x:v>Faeroe Isl. (Denmark)</x:v>
      </x:c>
      <x:c r="C44" s="24" t="str">
        <x:v>EEZ</x:v>
      </x:c>
      <x:c r="D44" s="30" t="n">
        <x:v>2019</x:v>
      </x:c>
      <x:c r="E44" s="24" t="str">
        <x:v>Nephrops norvegicus</x:v>
      </x:c>
      <x:c r="F44" s="24" t="str">
        <x:v>Norway lobster</x:v>
      </x:c>
      <x:c r="G44" s="24" t="str">
        <x:v>Lobsters, crabs</x:v>
      </x:c>
      <x:c r="H44" s="24" t="str">
        <x:v>Crustaceans</x:v>
      </x:c>
      <x:c r="I44" s="31" t="n">
        <x:v>25.4783</x:v>
      </x:c>
      <x:c r="J44" s="31" t="n">
        <x:v>25.4783</x:v>
      </x:c>
      <x:c r="K44" s="31" t="n">
        <x:v>0</x:v>
      </x:c>
      <x:c r="L44" s="31" t="n">
        <x:v>25.4783</x:v>
      </x:c>
      <x:c r="M44" s="31" t="n">
        <x:v>0</x:v>
      </x:c>
      <x:c r="N44" s="24" t="str">
        <x:v>nephrops norvegicus</x:v>
      </x:c>
      <x:c r="O44" s="32" t="n">
        <x:v>2.87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Nephrops norvegicus</x:v>
      </x:c>
      <x:c r="T44" s="32" t="n">
        <x:f>IF(O44="","",(1/'Metadata'!$B$5)^(O44-1))</x:f>
        <x:v>74.13102413009177</x:v>
      </x:c>
      <x:c r="U44" s="31" t="n">
        <x:f>IF(T44="","",I44*T44)</x:f>
        <x:v>1888.7324720937172</x:v>
      </x:c>
    </x:row>
    <x:row r="45" ht="18" customHeight="1">
      <x:c r="A45" s="24" t="str">
        <x:v>EEZ_234</x:v>
      </x:c>
      <x:c r="B45" s="24" t="str">
        <x:v>Faeroe Isl. (Denmark)</x:v>
      </x:c>
      <x:c r="C45" s="24" t="str">
        <x:v>EEZ</x:v>
      </x:c>
      <x:c r="D45" s="30" t="n">
        <x:v>2019</x:v>
      </x:c>
      <x:c r="E45" s="24" t="str">
        <x:v>Centroscymnus coelolepis</x:v>
      </x:c>
      <x:c r="F45" s="24" t="str">
        <x:v>Portuguese dogfish</x:v>
      </x:c>
      <x:c r="G45" s="24" t="str">
        <x:v>Large sharks (&gt;=90 cm)</x:v>
      </x:c>
      <x:c r="H45" s="24" t="str">
        <x:v>Sharks &amp; rays</x:v>
      </x:c>
      <x:c r="I45" s="31" t="n">
        <x:v>24.3826</x:v>
      </x:c>
      <x:c r="J45" s="31" t="n">
        <x:v>24.3826</x:v>
      </x:c>
      <x:c r="K45" s="31" t="n">
        <x:v>0</x:v>
      </x:c>
      <x:c r="L45" s="31" t="n">
        <x:v>24.3826</x:v>
      </x:c>
      <x:c r="M45" s="31" t="n">
        <x:v>0</x:v>
      </x:c>
      <x:c r="N45" s="24" t="str">
        <x:v>centroscymnus coelolepis</x:v>
      </x:c>
      <x:c r="O45" s="32" t="n">
        <x:v>4.48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Centroscymnus coelolepis</x:v>
      </x:c>
      <x:c r="T45" s="32" t="n">
        <x:f>IF(O45="","",(1/'Metadata'!$B$5)^(O45-1))</x:f>
        <x:v>3019.951720402019</x:v>
      </x:c>
      <x:c r="U45" s="31" t="n">
        <x:f>IF(T45="","",I45*T45)</x:f>
        <x:v>73634.27481787426</x:v>
      </x:c>
    </x:row>
    <x:row r="46" ht="18" customHeight="1">
      <x:c r="A46" s="24" t="str">
        <x:v>EEZ_234</x:v>
      </x:c>
      <x:c r="B46" s="24" t="str">
        <x:v>Faeroe Isl. (Denmark)</x:v>
      </x:c>
      <x:c r="C46" s="24" t="str">
        <x:v>EEZ</x:v>
      </x:c>
      <x:c r="D46" s="30" t="n">
        <x:v>2019</x:v>
      </x:c>
      <x:c r="E46" s="24" t="str">
        <x:v>Hippoglossus hippoglossus</x:v>
      </x:c>
      <x:c r="F46" s="24" t="str">
        <x:v>Atlantic halibut</x:v>
      </x:c>
      <x:c r="G46" s="24" t="str">
        <x:v>Large flatfishes (&gt;=90 cm)</x:v>
      </x:c>
      <x:c r="H46" s="24" t="str">
        <x:v>Flatfishes</x:v>
      </x:c>
      <x:c r="I46" s="31" t="n">
        <x:v>21.5659300004</x:v>
      </x:c>
      <x:c r="J46" s="31" t="n">
        <x:v>21.5659300004</x:v>
      </x:c>
      <x:c r="K46" s="31" t="n">
        <x:v>0</x:v>
      </x:c>
      <x:c r="L46" s="31" t="n">
        <x:v>21.5659300004</x:v>
      </x:c>
      <x:c r="M46" s="31" t="n">
        <x:v>0</x:v>
      </x:c>
      <x:c r="N46" s="24" t="str">
        <x:v>hippoglossus hippoglossus</x:v>
      </x:c>
      <x:c r="O46" s="32" t="n">
        <x:v>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Hippoglossus hippoglossus</x:v>
      </x:c>
      <x:c r="T46" s="32" t="n">
        <x:f>IF(O46="","",(1/'Metadata'!$B$5)^(O46-1))</x:f>
        <x:v>1000</x:v>
      </x:c>
      <x:c r="U46" s="31" t="n">
        <x:f>IF(T46="","",I46*T46)</x:f>
        <x:v>21565.930000400003</x:v>
      </x:c>
    </x:row>
    <x:row r="47" ht="18" customHeight="1">
      <x:c r="A47" s="24" t="str">
        <x:v>EEZ_234</x:v>
      </x:c>
      <x:c r="B47" s="24" t="str">
        <x:v>Faeroe Isl. (Denmark)</x:v>
      </x:c>
      <x:c r="C47" s="24" t="str">
        <x:v>EEZ</x:v>
      </x:c>
      <x:c r="D47" s="30" t="n">
        <x:v>2019</x:v>
      </x:c>
      <x:c r="E47" s="24" t="str">
        <x:v>Macrouridae</x:v>
      </x:c>
      <x:c r="F47" s="24" t="str">
        <x:v>Grenadiers, rattails</x:v>
      </x:c>
      <x:c r="G47" s="24" t="str">
        <x:v>Medium benthopelagics (30 - 89 cm)</x:v>
      </x:c>
      <x:c r="H47" s="24" t="str">
        <x:v>Cod-likes</x:v>
      </x:c>
      <x:c r="I47" s="31" t="n">
        <x:v>19.4779521632</x:v>
      </x:c>
      <x:c r="J47" s="31" t="n">
        <x:v>0</x:v>
      </x:c>
      <x:c r="K47" s="31" t="n">
        <x:v>19.4779521632</x:v>
      </x:c>
      <x:c r="L47" s="31" t="n">
        <x:v>0</x:v>
      </x:c>
      <x:c r="M47" s="31" t="n">
        <x:v>19.4779521632</x:v>
      </x:c>
      <x:c r="N47" s="24" t="str">
        <x:v>macrouridae</x:v>
      </x:c>
      <x:c r="O47" s="32" t="n">
        <x:v>3.88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Macrouridae</x:v>
      </x:c>
      <x:c r="T47" s="32" t="n">
        <x:f>IF(O47="","",(1/'Metadata'!$B$5)^(O47-1))</x:f>
        <x:v>758.5775750291835</x:v>
      </x:c>
      <x:c r="U47" s="31" t="n">
        <x:f>IF(T47="","",I47*T47)</x:f>
        <x:v>14775.537718494697</x:v>
      </x:c>
    </x:row>
    <x:row r="48" ht="18" customHeight="1">
      <x:c r="A48" s="24" t="str">
        <x:v>EEZ_234</x:v>
      </x:c>
      <x:c r="B48" s="24" t="str">
        <x:v>Faeroe Isl. (Denmark)</x:v>
      </x:c>
      <x:c r="C48" s="24" t="str">
        <x:v>EEZ</x:v>
      </x:c>
      <x:c r="D48" s="30" t="n">
        <x:v>2019</x:v>
      </x:c>
      <x:c r="E48" s="24" t="str">
        <x:v>Merluccius merluccius</x:v>
      </x:c>
      <x:c r="F48" s="24" t="str">
        <x:v>European hake</x:v>
      </x:c>
      <x:c r="G48" s="24" t="str">
        <x:v>Large demersals (&gt;=90 cm)</x:v>
      </x:c>
      <x:c r="H48" s="24" t="str">
        <x:v>Cod-likes</x:v>
      </x:c>
      <x:c r="I48" s="31" t="n">
        <x:v>16.8166499997</x:v>
      </x:c>
      <x:c r="J48" s="31" t="n">
        <x:v>16.8166499997</x:v>
      </x:c>
      <x:c r="K48" s="31" t="n">
        <x:v>0</x:v>
      </x:c>
      <x:c r="L48" s="31" t="n">
        <x:v>16.8166499997</x:v>
      </x:c>
      <x:c r="M48" s="31" t="n">
        <x:v>0</x:v>
      </x:c>
      <x:c r="N48" s="24" t="str">
        <x:v>merluccius merluccius</x:v>
      </x:c>
      <x:c r="O48" s="32" t="n">
        <x:v>4.42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Merluccius merluccius</x:v>
      </x:c>
      <x:c r="T48" s="32" t="n">
        <x:f>IF(O48="","",(1/'Metadata'!$B$5)^(O48-1))</x:f>
        <x:v>2630.2679918953813</x:v>
      </x:c>
      <x:c r="U48" s="31" t="n">
        <x:f>IF(T48="","",I48*T48)</x:f>
        <x:v>44232.296225118385</x:v>
      </x:c>
    </x:row>
    <x:row r="49" ht="18" customHeight="1">
      <x:c r="A49" s="24" t="str">
        <x:v>EEZ_234</x:v>
      </x:c>
      <x:c r="B49" s="24" t="str">
        <x:v>Faeroe Isl. (Denmark)</x:v>
      </x:c>
      <x:c r="C49" s="24" t="str">
        <x:v>EEZ</x:v>
      </x:c>
      <x:c r="D49" s="30" t="n">
        <x:v>2019</x:v>
      </x:c>
      <x:c r="E49" s="24" t="str">
        <x:v>Triglidae</x:v>
      </x:c>
      <x:c r="F49" s="24" t="str">
        <x:v>Searobins, gurnards</x:v>
      </x:c>
      <x:c r="G49" s="24" t="str">
        <x:v>Medium demersals (30 - 89 cm)</x:v>
      </x:c>
      <x:c r="H49" s="24" t="str">
        <x:v>Scorpionfishes</x:v>
      </x:c>
      <x:c r="I49" s="31" t="n">
        <x:v>15.3887914469</x:v>
      </x:c>
      <x:c r="J49" s="31" t="n">
        <x:v>0.1193364052</x:v>
      </x:c>
      <x:c r="K49" s="31" t="n">
        <x:v>15.269455041699999</x:v>
      </x:c>
      <x:c r="L49" s="31" t="n">
        <x:v>0.1193364052</x:v>
      </x:c>
      <x:c r="M49" s="31" t="n">
        <x:v>15.269455041699999</x:v>
      </x:c>
      <x:c r="N49" s="24" t="str">
        <x:v>triglidae</x:v>
      </x:c>
      <x:c r="O49" s="32" t="n">
        <x:v>3.74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Triglidae</x:v>
      </x:c>
      <x:c r="T49" s="32" t="n">
        <x:f>IF(O49="","",(1/'Metadata'!$B$5)^(O49-1))</x:f>
        <x:v>549.5408738576248</x:v>
      </x:c>
      <x:c r="U49" s="31" t="n">
        <x:f>IF(T49="","",I49*T49)</x:f>
        <x:v>8456.769899342167</x:v>
      </x:c>
    </x:row>
    <x:row r="50" ht="18" customHeight="1">
      <x:c r="A50" s="24" t="str">
        <x:v>EEZ_234</x:v>
      </x:c>
      <x:c r="B50" s="24" t="str">
        <x:v>Faeroe Isl. (Denmark)</x:v>
      </x:c>
      <x:c r="C50" s="24" t="str">
        <x:v>EEZ</x:v>
      </x:c>
      <x:c r="D50" s="30" t="n">
        <x:v>2019</x:v>
      </x:c>
      <x:c r="E50" s="24" t="str">
        <x:v>Bivalvia</x:v>
      </x:c>
      <x:c r="F50" s="24" t="str">
        <x:v>Clams</x:v>
      </x:c>
      <x:c r="G50" s="24" t="str">
        <x:v>Other demersal invertebrates</x:v>
      </x:c>
      <x:c r="H50" s="24" t="str">
        <x:v>Molluscs</x:v>
      </x:c>
      <x:c r="I50" s="31" t="n">
        <x:v>15.0061017071</x:v>
      </x:c>
      <x:c r="J50" s="31" t="n">
        <x:v>0</x:v>
      </x:c>
      <x:c r="K50" s="31" t="n">
        <x:v>15.0061017071</x:v>
      </x:c>
      <x:c r="L50" s="31" t="n">
        <x:v>0</x:v>
      </x:c>
      <x:c r="M50" s="31" t="n">
        <x:v>15.0061017071</x:v>
      </x:c>
      <x:c r="N50" s="24" t="str">
        <x:v>bivalvia</x:v>
      </x:c>
      <x:c r="O50" s="32" t="n">
        <x:v>2.23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Bivalvia</x:v>
      </x:c>
      <x:c r="T50" s="32" t="n">
        <x:f>IF(O50="","",(1/'Metadata'!$B$5)^(O50-1))</x:f>
        <x:v>16.982436524617444</x:v>
      </x:c>
      <x:c r="U50" s="31" t="n">
        <x:f>IF(T50="","",I50*T50)</x:f>
        <x:v>254.84016972277922</x:v>
      </x:c>
    </x:row>
    <x:row r="51" ht="18" customHeight="1">
      <x:c r="A51" s="24" t="str">
        <x:v>EEZ_234</x:v>
      </x:c>
      <x:c r="B51" s="24" t="str">
        <x:v>Faeroe Isl. (Denmark)</x:v>
      </x:c>
      <x:c r="C51" s="24" t="str">
        <x:v>EEZ</x:v>
      </x:c>
      <x:c r="D51" s="30" t="n">
        <x:v>2019</x:v>
      </x:c>
      <x:c r="E51" s="24" t="str">
        <x:v>Scophthalmidae</x:v>
      </x:c>
      <x:c r="F51" s="24" t="str">
        <x:v>Turbots</x:v>
      </x:c>
      <x:c r="G51" s="24" t="str">
        <x:v>Small to medium flatfishes (&lt;90 cm)</x:v>
      </x:c>
      <x:c r="H51" s="24" t="str">
        <x:v>Flatfishes</x:v>
      </x:c>
      <x:c r="I51" s="31" t="n">
        <x:v>13.733747277300001</x:v>
      </x:c>
      <x:c r="J51" s="31" t="n">
        <x:v>0</x:v>
      </x:c>
      <x:c r="K51" s="31" t="n">
        <x:v>13.733747277300001</x:v>
      </x:c>
      <x:c r="L51" s="31" t="n">
        <x:v>0</x:v>
      </x:c>
      <x:c r="M51" s="31" t="n">
        <x:v>13.733747277300001</x:v>
      </x:c>
      <x:c r="N51" s="24" t="str">
        <x:v>scophthalmidae</x:v>
      </x:c>
      <x:c r="O51" s="32" t="n">
        <x:v>3.71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Scophthalmidae</x:v>
      </x:c>
      <x:c r="T51" s="32" t="n">
        <x:f>IF(O51="","",(1/'Metadata'!$B$5)^(O51-1))</x:f>
        <x:v>512.8613839913648</x:v>
      </x:c>
      <x:c r="U51" s="31" t="n">
        <x:f>IF(T51="","",I51*T51)</x:f>
        <x:v>7043.508636023717</x:v>
      </x:c>
    </x:row>
    <x:row r="52" ht="18" customHeight="1">
      <x:c r="A52" s="24" t="str">
        <x:v>EEZ_234</x:v>
      </x:c>
      <x:c r="B52" s="24" t="str">
        <x:v>Faeroe Isl. (Denmark)</x:v>
      </x:c>
      <x:c r="C52" s="24" t="str">
        <x:v>EEZ</x:v>
      </x:c>
      <x:c r="D52" s="30" t="n">
        <x:v>2019</x:v>
      </x:c>
      <x:c r="E52" s="24" t="str">
        <x:v>Crangonidae</x:v>
      </x:c>
      <x:c r="F52" s="24" t="str">
        <x:v>Brown shrimps</x:v>
      </x:c>
      <x:c r="G52" s="24" t="str">
        <x:v>Shrimps</x:v>
      </x:c>
      <x:c r="H52" s="24" t="str">
        <x:v>Crustaceans</x:v>
      </x:c>
      <x:c r="I52" s="31" t="n">
        <x:v>11.1625658379</x:v>
      </x:c>
      <x:c r="J52" s="31" t="n">
        <x:v>0</x:v>
      </x:c>
      <x:c r="K52" s="31" t="n">
        <x:v>11.1625658379</x:v>
      </x:c>
      <x:c r="L52" s="31" t="n">
        <x:v>0</x:v>
      </x:c>
      <x:c r="M52" s="31" t="n">
        <x:v>11.1625658379</x:v>
      </x:c>
      <x:c r="N52" s="24" t="str">
        <x:v>crangonidae</x:v>
      </x:c>
      <x:c r="O52" s="32" t="n">
        <x:v>3.19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Crangonidae</x:v>
      </x:c>
      <x:c r="T52" s="32" t="n">
        <x:f>IF(O52="","",(1/'Metadata'!$B$5)^(O52-1))</x:f>
        <x:v>154.88166189124811</x:v>
      </x:c>
      <x:c r="U52" s="31" t="n">
        <x:f>IF(T52="","",I52*T52)</x:f>
        <x:v>1728.8767479444246</x:v>
      </x:c>
    </x:row>
    <x:row r="53" ht="18" customHeight="1">
      <x:c r="A53" s="24" t="str">
        <x:v>EEZ_234</x:v>
      </x:c>
      <x:c r="B53" s="24" t="str">
        <x:v>Faeroe Isl. (Denmark)</x:v>
      </x:c>
      <x:c r="C53" s="24" t="str">
        <x:v>EEZ</x:v>
      </x:c>
      <x:c r="D53" s="30" t="n">
        <x:v>2019</x:v>
      </x:c>
      <x:c r="E53" s="24" t="str">
        <x:v>Sebastidae</x:v>
      </x:c>
      <x:c r="F53" s="24" t="str">
        <x:v>Rockfishes, rockcods, thornyheads</x:v>
      </x:c>
      <x:c r="G53" s="24" t="str">
        <x:v>Medium demersals (30 - 89 cm)</x:v>
      </x:c>
      <x:c r="H53" s="24" t="str">
        <x:v>Scorpionfishes</x:v>
      </x:c>
      <x:c r="I53" s="31" t="n">
        <x:v>9.2376123142</x:v>
      </x:c>
      <x:c r="J53" s="31" t="n">
        <x:v>0</x:v>
      </x:c>
      <x:c r="K53" s="31" t="n">
        <x:v>9.2376123142</x:v>
      </x:c>
      <x:c r="L53" s="31" t="n">
        <x:v>0</x:v>
      </x:c>
      <x:c r="M53" s="31" t="n">
        <x:v>9.2376123142</x:v>
      </x:c>
      <x:c r="N53" s="24" t="str">
        <x:v>sebastidae</x:v>
      </x:c>
      <x:c r="O53" s="32" t="n">
        <x:v>3.74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Sebastidae</x:v>
      </x:c>
      <x:c r="T53" s="32" t="n">
        <x:f>IF(O53="","",(1/'Metadata'!$B$5)^(O53-1))</x:f>
        <x:v>549.5408738576248</x:v>
      </x:c>
      <x:c r="U53" s="31" t="n">
        <x:f>IF(T53="","",I53*T53)</x:f>
        <x:v>5076.445543503423</x:v>
      </x:c>
    </x:row>
    <x:row r="54" ht="18" customHeight="1">
      <x:c r="A54" s="24" t="str">
        <x:v>EEZ_234</x:v>
      </x:c>
      <x:c r="B54" s="24" t="str">
        <x:v>Faeroe Isl. (Denmark)</x:v>
      </x:c>
      <x:c r="C54" s="24" t="str">
        <x:v>EEZ</x:v>
      </x:c>
      <x:c r="D54" s="30" t="n">
        <x:v>2019</x:v>
      </x:c>
      <x:c r="E54" s="24" t="str">
        <x:v>Gastropoda</x:v>
      </x:c>
      <x:c r="F54" s="24" t="str">
        <x:v>Sea snails</x:v>
      </x:c>
      <x:c r="G54" s="24" t="str">
        <x:v>Other demersal invertebrates</x:v>
      </x:c>
      <x:c r="H54" s="24" t="str">
        <x:v>Molluscs</x:v>
      </x:c>
      <x:c r="I54" s="31" t="n">
        <x:v>9.2376123142</x:v>
      </x:c>
      <x:c r="J54" s="31" t="n">
        <x:v>0</x:v>
      </x:c>
      <x:c r="K54" s="31" t="n">
        <x:v>9.2376123142</x:v>
      </x:c>
      <x:c r="L54" s="31" t="n">
        <x:v>0</x:v>
      </x:c>
      <x:c r="M54" s="31" t="n">
        <x:v>9.2376123142</x:v>
      </x:c>
      <x:c r="N54" s="24" t="str">
        <x:v>gastropoda</x:v>
      </x:c>
      <x:c r="O54" s="32" t="n">
        <x:v>3.06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Gastropoda</x:v>
      </x:c>
      <x:c r="T54" s="32" t="n">
        <x:f>IF(O54="","",(1/'Metadata'!$B$5)^(O54-1))</x:f>
        <x:v>114.81536214968828</x:v>
      </x:c>
      <x:c r="U54" s="31" t="n">
        <x:f>IF(T54="","",I54*T54)</x:f>
        <x:v>1060.619803253293</x:v>
      </x:c>
    </x:row>
    <x:row r="55" ht="18" customHeight="1">
      <x:c r="A55" s="24" t="str">
        <x:v>EEZ_234</x:v>
      </x:c>
      <x:c r="B55" s="24" t="str">
        <x:v>Faeroe Isl. (Denmark)</x:v>
      </x:c>
      <x:c r="C55" s="24" t="str">
        <x:v>EEZ</x:v>
      </x:c>
      <x:c r="D55" s="30" t="n">
        <x:v>2019</x:v>
      </x:c>
      <x:c r="E55" s="24" t="str">
        <x:v>Chimaera monstrosa</x:v>
      </x:c>
      <x:c r="F55" s="24" t="str">
        <x:v>Rabbit fish</x:v>
      </x:c>
      <x:c r="G55" s="24" t="str">
        <x:v>Large rays (&gt;=90 cm)</x:v>
      </x:c>
      <x:c r="H55" s="24" t="str">
        <x:v>Sharks &amp; rays</x:v>
      </x:c>
      <x:c r="I55" s="31" t="n">
        <x:v>8.697</x:v>
      </x:c>
      <x:c r="J55" s="31" t="n">
        <x:v>8.697</x:v>
      </x:c>
      <x:c r="K55" s="31" t="n">
        <x:v>0</x:v>
      </x:c>
      <x:c r="L55" s="31" t="n">
        <x:v>8.697</x:v>
      </x:c>
      <x:c r="M55" s="31" t="n">
        <x:v>0</x:v>
      </x:c>
      <x:c r="N55" s="24" t="str">
        <x:v>chimaera monstrosa</x:v>
      </x:c>
      <x:c r="O55" s="32" t="n">
        <x:v>3.52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Chimaera monstrosa</x:v>
      </x:c>
      <x:c r="T55" s="32" t="n">
        <x:f>IF(O55="","",(1/'Metadata'!$B$5)^(O55-1))</x:f>
        <x:v>331.1311214825911</x:v>
      </x:c>
      <x:c r="U55" s="31" t="n">
        <x:f>IF(T55="","",I55*T55)</x:f>
        <x:v>2879.8473635340943</x:v>
      </x:c>
    </x:row>
    <x:row r="56" ht="18" customHeight="1">
      <x:c r="A56" s="24" t="str">
        <x:v>EEZ_234</x:v>
      </x:c>
      <x:c r="B56" s="24" t="str">
        <x:v>Faeroe Isl. (Denmark)</x:v>
      </x:c>
      <x:c r="C56" s="24" t="str">
        <x:v>EEZ</x:v>
      </x:c>
      <x:c r="D56" s="30" t="n">
        <x:v>2019</x:v>
      </x:c>
      <x:c r="E56" s="24" t="str">
        <x:v>Limanda limanda</x:v>
      </x:c>
      <x:c r="F56" s="24" t="str">
        <x:v>Common dab</x:v>
      </x:c>
      <x:c r="G56" s="24" t="str">
        <x:v>Small to medium flatfishes (&lt;90 cm)</x:v>
      </x:c>
      <x:c r="H56" s="24" t="str">
        <x:v>Flatfishes</x:v>
      </x:c>
      <x:c r="I56" s="31" t="n">
        <x:v>6.73609</x:v>
      </x:c>
      <x:c r="J56" s="31" t="n">
        <x:v>6.73609</x:v>
      </x:c>
      <x:c r="K56" s="31" t="n">
        <x:v>0</x:v>
      </x:c>
      <x:c r="L56" s="31" t="n">
        <x:v>6.73609</x:v>
      </x:c>
      <x:c r="M56" s="31" t="n">
        <x:v>0</x:v>
      </x:c>
      <x:c r="N56" s="24" t="str">
        <x:v>limanda limanda</x:v>
      </x:c>
      <x:c r="O56" s="32" t="n">
        <x:v>3.29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Limanda limanda</x:v>
      </x:c>
      <x:c r="T56" s="32" t="n">
        <x:f>IF(O56="","",(1/'Metadata'!$B$5)^(O56-1))</x:f>
        <x:v>194.98445997580455</x:v>
      </x:c>
      <x:c r="U56" s="31" t="n">
        <x:f>IF(T56="","",I56*T56)</x:f>
        <x:v>1313.4328709984172</x:v>
      </x:c>
    </x:row>
    <x:row r="57" ht="18" customHeight="1">
      <x:c r="A57" s="24" t="str">
        <x:v>EEZ_234</x:v>
      </x:c>
      <x:c r="B57" s="24" t="str">
        <x:v>Faeroe Isl. (Denmark)</x:v>
      </x:c>
      <x:c r="C57" s="24" t="str">
        <x:v>EEZ</x:v>
      </x:c>
      <x:c r="D57" s="30" t="n">
        <x:v>2019</x:v>
      </x:c>
      <x:c r="E57" s="24" t="str">
        <x:v>Epigonus telescopus</x:v>
      </x:c>
      <x:c r="F57" s="24" t="str">
        <x:v>Black cardinal fish</x:v>
      </x:c>
      <x:c r="G57" s="24" t="str">
        <x:v>Medium bathydemersals (30 - 89 cm)</x:v>
      </x:c>
      <x:c r="H57" s="24" t="str">
        <x:v>Perch-likes</x:v>
      </x:c>
      <x:c r="I57" s="31" t="n">
        <x:v>6.707000000000001</x:v>
      </x:c>
      <x:c r="J57" s="31" t="n">
        <x:v>6.707000000000001</x:v>
      </x:c>
      <x:c r="K57" s="31" t="n">
        <x:v>0</x:v>
      </x:c>
      <x:c r="L57" s="31" t="n">
        <x:v>6.707000000000001</x:v>
      </x:c>
      <x:c r="M57" s="31" t="n">
        <x:v>0</x:v>
      </x:c>
      <x:c r="N57" s="24" t="str">
        <x:v>epigonus telescopus</x:v>
      </x:c>
      <x:c r="O57" s="32" t="n">
        <x:v>3.59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Epigonus telescopus</x:v>
      </x:c>
      <x:c r="T57" s="32" t="n">
        <x:f>IF(O57="","",(1/'Metadata'!$B$5)^(O57-1))</x:f>
        <x:v>389.04514499428046</x:v>
      </x:c>
      <x:c r="U57" s="31" t="n">
        <x:f>IF(T57="","",I57*T57)</x:f>
        <x:v>2609.3257874766396</x:v>
      </x:c>
    </x:row>
    <x:row r="58" ht="18" customHeight="1">
      <x:c r="A58" s="24" t="str">
        <x:v>EEZ_234</x:v>
      </x:c>
      <x:c r="B58" s="24" t="str">
        <x:v>Faeroe Isl. (Denmark)</x:v>
      </x:c>
      <x:c r="C58" s="24" t="str">
        <x:v>EEZ</x:v>
      </x:c>
      <x:c r="D58" s="30" t="n">
        <x:v>2019</x:v>
      </x:c>
      <x:c r="E58" s="24" t="str">
        <x:v>Hydrolagus</x:v>
      </x:c>
      <x:c r="F58" s="24" t="str">
        <x:v>Ghostsharks</x:v>
      </x:c>
      <x:c r="G58" s="24" t="str">
        <x:v>Small to medium rays (&lt;90 cm)</x:v>
      </x:c>
      <x:c r="H58" s="24" t="str">
        <x:v>Sharks &amp; rays</x:v>
      </x:c>
      <x:c r="I58" s="31" t="n">
        <x:v>5.953</x:v>
      </x:c>
      <x:c r="J58" s="31" t="n">
        <x:v>5.953</x:v>
      </x:c>
      <x:c r="K58" s="31" t="n">
        <x:v>0</x:v>
      </x:c>
      <x:c r="L58" s="31" t="n">
        <x:v>5.953</x:v>
      </x:c>
      <x:c r="M58" s="31" t="n">
        <x:v>0</x:v>
      </x:c>
      <x:c r="N58" s="24" t="str">
        <x:v>hydrolagus</x:v>
      </x:c>
      <x:c r="O58" s="32" t="n">
        <x:v>3.51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Hydrolagus</x:v>
      </x:c>
      <x:c r="T58" s="32" t="n">
        <x:f>IF(O58="","",(1/'Metadata'!$B$5)^(O58-1))</x:f>
        <x:v>323.5936569296281</x:v>
      </x:c>
      <x:c r="U58" s="31" t="n">
        <x:f>IF(T58="","",I58*T58)</x:f>
        <x:v>1926.353039702076</x:v>
      </x:c>
    </x:row>
    <x:row r="59" ht="18" customHeight="1">
      <x:c r="A59" s="24" t="str">
        <x:v>EEZ_234</x:v>
      </x:c>
      <x:c r="B59" s="24" t="str">
        <x:v>Faeroe Isl. (Denmark)</x:v>
      </x:c>
      <x:c r="C59" s="24" t="str">
        <x:v>EEZ</x:v>
      </x:c>
      <x:c r="D59" s="30" t="n">
        <x:v>2019</x:v>
      </x:c>
      <x:c r="E59" s="24" t="str">
        <x:v>Sebastes norvegicus</x:v>
      </x:c>
      <x:c r="F59" s="24" t="str">
        <x:v>Golden redfish</x:v>
      </x:c>
      <x:c r="G59" s="24" t="str">
        <x:v>Medium benthopelagics (30 - 89 cm)</x:v>
      </x:c>
      <x:c r="H59" s="24" t="str">
        <x:v>Scorpionfishes</x:v>
      </x:c>
      <x:c r="I59" s="31" t="n">
        <x:v>5.4347667986</x:v>
      </x:c>
      <x:c r="J59" s="31" t="n">
        <x:v>5.4347667986</x:v>
      </x:c>
      <x:c r="K59" s="31" t="n">
        <x:v>0</x:v>
      </x:c>
      <x:c r="L59" s="31" t="n">
        <x:v>5.4347667986</x:v>
      </x:c>
      <x:c r="M59" s="31" t="n">
        <x:v>0</x:v>
      </x:c>
      <x:c r="N59" s="24" t="str">
        <x:v>sebastes norvegicus</x:v>
      </x:c>
      <x:c r="O59" s="32" t="n">
        <x:v>4.04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Sebastes norvegicus</x:v>
      </x:c>
      <x:c r="T59" s="32" t="n">
        <x:f>IF(O59="","",(1/'Metadata'!$B$5)^(O59-1))</x:f>
        <x:v>1096.4781961431852</x:v>
      </x:c>
      <x:c r="U59" s="31" t="n">
        <x:f>IF(T59="","",I59*T59)</x:f>
        <x:v>5959.1032957878015</x:v>
      </x:c>
    </x:row>
    <x:row r="60" ht="18" customHeight="1">
      <x:c r="A60" s="24" t="str">
        <x:v>EEZ_234</x:v>
      </x:c>
      <x:c r="B60" s="24" t="str">
        <x:v>Faeroe Isl. (Denmark)</x:v>
      </x:c>
      <x:c r="C60" s="24" t="str">
        <x:v>EEZ</x:v>
      </x:c>
      <x:c r="D60" s="30" t="n">
        <x:v>2019</x:v>
      </x:c>
      <x:c r="E60" s="24" t="str">
        <x:v>Rajidae</x:v>
      </x:c>
      <x:c r="F60" s="24" t="str">
        <x:v>Stingrays</x:v>
      </x:c>
      <x:c r="G60" s="24" t="str">
        <x:v>Large rays (&gt;=90 cm)</x:v>
      </x:c>
      <x:c r="H60" s="24" t="str">
        <x:v>Sharks &amp; rays</x:v>
      </x:c>
      <x:c r="I60" s="31" t="n">
        <x:v>5.168</x:v>
      </x:c>
      <x:c r="J60" s="31" t="n">
        <x:v>5.168</x:v>
      </x:c>
      <x:c r="K60" s="31" t="n">
        <x:v>0</x:v>
      </x:c>
      <x:c r="L60" s="31" t="n">
        <x:v>5.168</x:v>
      </x:c>
      <x:c r="M60" s="31" t="n">
        <x:v>0</x:v>
      </x:c>
      <x:c r="N60" s="24" t="str">
        <x:v>rajidae</x:v>
      </x:c>
      <x:c r="O60" s="32" t="n">
        <x:v>3.82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Rajidae</x:v>
      </x:c>
      <x:c r="T60" s="32" t="n">
        <x:f>IF(O60="","",(1/'Metadata'!$B$5)^(O60-1))</x:f>
        <x:v>660.6934480075957</x:v>
      </x:c>
      <x:c r="U60" s="31" t="n">
        <x:f>IF(T60="","",I60*T60)</x:f>
        <x:v>3414.463739303255</x:v>
      </x:c>
    </x:row>
    <x:row r="61" ht="18" customHeight="1">
      <x:c r="A61" s="24" t="str">
        <x:v>EEZ_234</x:v>
      </x:c>
      <x:c r="B61" s="24" t="str">
        <x:v>Faeroe Isl. (Denmark)</x:v>
      </x:c>
      <x:c r="C61" s="24" t="str">
        <x:v>EEZ</x:v>
      </x:c>
      <x:c r="D61" s="30" t="n">
        <x:v>2019</x:v>
      </x:c>
      <x:c r="E61" s="24" t="str">
        <x:v>Phycis blennoides</x:v>
      </x:c>
      <x:c r="F61" s="24" t="str">
        <x:v>Greater forkbeard</x:v>
      </x:c>
      <x:c r="G61" s="24" t="str">
        <x:v>Large benthopelagics (&gt;=90 cm)</x:v>
      </x:c>
      <x:c r="H61" s="24" t="str">
        <x:v>Cod-likes</x:v>
      </x:c>
      <x:c r="I61" s="31" t="n">
        <x:v>4.793</x:v>
      </x:c>
      <x:c r="J61" s="31" t="n">
        <x:v>4.793</x:v>
      </x:c>
      <x:c r="K61" s="31" t="n">
        <x:v>0</x:v>
      </x:c>
      <x:c r="L61" s="31" t="n">
        <x:v>4.793</x:v>
      </x:c>
      <x:c r="M61" s="31" t="n">
        <x:v>0</x:v>
      </x:c>
      <x:c r="N61" s="24" t="str">
        <x:v>phycis blennoides</x:v>
      </x:c>
      <x:c r="O61" s="32" t="n">
        <x:v>3.87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Phycis blennoides</x:v>
      </x:c>
      <x:c r="T61" s="32" t="n">
        <x:f>IF(O61="","",(1/'Metadata'!$B$5)^(O61-1))</x:f>
        <x:v>741.3102413009177</x:v>
      </x:c>
      <x:c r="U61" s="31" t="n">
        <x:f>IF(T61="","",I61*T61)</x:f>
        <x:v>3553.0999865552985</x:v>
      </x:c>
    </x:row>
    <x:row r="62" ht="18" customHeight="1">
      <x:c r="A62" s="24" t="str">
        <x:v>EEZ_234</x:v>
      </x:c>
      <x:c r="B62" s="24" t="str">
        <x:v>Faeroe Isl. (Denmark)</x:v>
      </x:c>
      <x:c r="C62" s="24" t="str">
        <x:v>EEZ</x:v>
      </x:c>
      <x:c r="D62" s="30" t="n">
        <x:v>2019</x:v>
      </x:c>
      <x:c r="E62" s="24" t="str">
        <x:v>Mora moro</x:v>
      </x:c>
      <x:c r="F62" s="24" t="str">
        <x:v>Common mora</x:v>
      </x:c>
      <x:c r="G62" s="24" t="str">
        <x:v>Medium bathypelagics (30 - 89 cm)</x:v>
      </x:c>
      <x:c r="H62" s="24" t="str">
        <x:v>Cod-likes</x:v>
      </x:c>
      <x:c r="I62" s="31" t="n">
        <x:v>4.189265832</x:v>
      </x:c>
      <x:c r="J62" s="31" t="n">
        <x:v>4.189265832</x:v>
      </x:c>
      <x:c r="K62" s="31" t="n">
        <x:v>0</x:v>
      </x:c>
      <x:c r="L62" s="31" t="n">
        <x:v>4.189265832</x:v>
      </x:c>
      <x:c r="M62" s="31" t="n">
        <x:v>0</x:v>
      </x:c>
      <x:c r="N62" s="24" t="str">
        <x:v>mora moro</x:v>
      </x:c>
      <x:c r="O62" s="32" t="n">
        <x:v>3.75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Mora moro</x:v>
      </x:c>
      <x:c r="T62" s="32" t="n">
        <x:f>IF(O62="","",(1/'Metadata'!$B$5)^(O62-1))</x:f>
        <x:v>562.341325190349</x:v>
      </x:c>
      <x:c r="U62" s="31" t="n">
        <x:f>IF(T62="","",I62*T62)</x:f>
        <x:v>2355.7972995415303</x:v>
      </x:c>
    </x:row>
    <x:row r="63" ht="18" customHeight="1">
      <x:c r="A63" s="24" t="str">
        <x:v>EEZ_234</x:v>
      </x:c>
      <x:c r="B63" s="24" t="str">
        <x:v>Faeroe Isl. (Denmark)</x:v>
      </x:c>
      <x:c r="C63" s="24" t="str">
        <x:v>EEZ</x:v>
      </x:c>
      <x:c r="D63" s="30" t="n">
        <x:v>2019</x:v>
      </x:c>
      <x:c r="E63" s="24" t="str">
        <x:v>Argentina silus</x:v>
      </x:c>
      <x:c r="F63" s="24" t="str">
        <x:v>Greater argentine</x:v>
      </x:c>
      <x:c r="G63" s="24" t="str">
        <x:v>Medium bathydemersals (30 - 89 cm)</x:v>
      </x:c>
      <x:c r="H63" s="24" t="str">
        <x:v>Salmon, smelts, etc</x:v>
      </x:c>
      <x:c r="I63" s="31" t="n">
        <x:v>4</x:v>
      </x:c>
      <x:c r="J63" s="31" t="n">
        <x:v>4</x:v>
      </x:c>
      <x:c r="K63" s="31" t="n">
        <x:v>0</x:v>
      </x:c>
      <x:c r="L63" s="31" t="n">
        <x:v>4</x:v>
      </x:c>
      <x:c r="M63" s="31" t="n">
        <x:v>0</x:v>
      </x:c>
      <x:c r="N63" s="24" t="str">
        <x:v>argentina silus</x:v>
      </x:c>
      <x:c r="O63" s="32" t="n">
        <x:v>3.32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Argentina silus</x:v>
      </x:c>
      <x:c r="T63" s="32" t="n">
        <x:f>IF(O63="","",(1/'Metadata'!$B$5)^(O63-1))</x:f>
        <x:v>208.92961308540387</x:v>
      </x:c>
      <x:c r="U63" s="31" t="n">
        <x:f>IF(T63="","",I63*T63)</x:f>
        <x:v>835.7184523416155</x:v>
      </x:c>
    </x:row>
    <x:row r="64" ht="18" customHeight="1">
      <x:c r="A64" s="24" t="str">
        <x:v>EEZ_234</x:v>
      </x:c>
      <x:c r="B64" s="24" t="str">
        <x:v>Faeroe Isl. (Denmark)</x:v>
      </x:c>
      <x:c r="C64" s="24" t="str">
        <x:v>EEZ</x:v>
      </x:c>
      <x:c r="D64" s="30" t="n">
        <x:v>2019</x:v>
      </x:c>
      <x:c r="E64" s="24" t="str">
        <x:v>Amblyraja radiata</x:v>
      </x:c>
      <x:c r="F64" s="24" t="str">
        <x:v>Starry ray</x:v>
      </x:c>
      <x:c r="G64" s="24" t="str">
        <x:v>Large rays (&gt;=90 cm)</x:v>
      </x:c>
      <x:c r="H64" s="24" t="str">
        <x:v>Sharks &amp; rays</x:v>
      </x:c>
      <x:c r="I64" s="31" t="n">
        <x:v>3.824</x:v>
      </x:c>
      <x:c r="J64" s="31" t="n">
        <x:v>3.824</x:v>
      </x:c>
      <x:c r="K64" s="31" t="n">
        <x:v>0</x:v>
      </x:c>
      <x:c r="L64" s="31" t="n">
        <x:v>3.824</x:v>
      </x:c>
      <x:c r="M64" s="31" t="n">
        <x:v>0</x:v>
      </x:c>
      <x:c r="N64" s="24" t="str">
        <x:v>amblyraja radiata</x:v>
      </x:c>
      <x:c r="O64" s="32" t="n">
        <x:v>4.2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Amblyraja radiata</x:v>
      </x:c>
      <x:c r="T64" s="32" t="n">
        <x:f>IF(O64="","",(1/'Metadata'!$B$5)^(O64-1))</x:f>
        <x:v>1584.893192461114</x:v>
      </x:c>
      <x:c r="U64" s="31" t="n">
        <x:f>IF(T64="","",I64*T64)</x:f>
        <x:v>6060.6315679713</x:v>
      </x:c>
    </x:row>
    <x:row r="65" ht="18" customHeight="1">
      <x:c r="A65" s="24" t="str">
        <x:v>EEZ_234</x:v>
      </x:c>
      <x:c r="B65" s="24" t="str">
        <x:v>Faeroe Isl. (Denmark)</x:v>
      </x:c>
      <x:c r="C65" s="24" t="str">
        <x:v>EEZ</x:v>
      </x:c>
      <x:c r="D65" s="30" t="n">
        <x:v>2019</x:v>
      </x:c>
      <x:c r="E65" s="24" t="str">
        <x:v>Eutrigla gurnardus</x:v>
      </x:c>
      <x:c r="F65" s="24" t="str">
        <x:v>Grey gurnard</x:v>
      </x:c>
      <x:c r="G65" s="24" t="str">
        <x:v>Medium demersals (30 - 89 cm)</x:v>
      </x:c>
      <x:c r="H65" s="24" t="str">
        <x:v>Scorpionfishes</x:v>
      </x:c>
      <x:c r="I65" s="31" t="n">
        <x:v>1.5530000000000002</x:v>
      </x:c>
      <x:c r="J65" s="31" t="n">
        <x:v>1.5530000000000002</x:v>
      </x:c>
      <x:c r="K65" s="31" t="n">
        <x:v>0</x:v>
      </x:c>
      <x:c r="L65" s="31" t="n">
        <x:v>1.5530000000000002</x:v>
      </x:c>
      <x:c r="M65" s="31" t="n">
        <x:v>0</x:v>
      </x:c>
      <x:c r="N65" s="24" t="str">
        <x:v>eutrigla gurnardus</x:v>
      </x:c>
      <x:c r="O65" s="32" t="n">
        <x:v>3.87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Eutrigla gurnardus</x:v>
      </x:c>
      <x:c r="T65" s="32" t="n">
        <x:f>IF(O65="","",(1/'Metadata'!$B$5)^(O65-1))</x:f>
        <x:v>741.3102413009177</x:v>
      </x:c>
      <x:c r="U65" s="31" t="n">
        <x:f>IF(T65="","",I65*T65)</x:f>
        <x:v>1151.2548047403254</x:v>
      </x:c>
    </x:row>
    <x:row r="66" ht="18" customHeight="1">
      <x:c r="A66" s="24" t="str">
        <x:v>EEZ_234</x:v>
      </x:c>
      <x:c r="B66" s="24" t="str">
        <x:v>Faeroe Isl. (Denmark)</x:v>
      </x:c>
      <x:c r="C66" s="24" t="str">
        <x:v>EEZ</x:v>
      </x:c>
      <x:c r="D66" s="30" t="n">
        <x:v>2019</x:v>
      </x:c>
      <x:c r="E66" s="24" t="str">
        <x:v>Necora puber</x:v>
      </x:c>
      <x:c r="F66" s="24" t="str">
        <x:v>Velvet swimcrab</x:v>
      </x:c>
      <x:c r="G66" s="24" t="str">
        <x:v>Lobsters, crabs</x:v>
      </x:c>
      <x:c r="H66" s="24" t="str">
        <x:v>Crustaceans</x:v>
      </x:c>
      <x:c r="I66" s="31" t="n">
        <x:v>1.3616543745</x:v>
      </x:c>
      <x:c r="J66" s="31" t="n">
        <x:v>1.3616543745</x:v>
      </x:c>
      <x:c r="K66" s="31" t="n">
        <x:v>0</x:v>
      </x:c>
      <x:c r="L66" s="31" t="n">
        <x:v>1.3616543745</x:v>
      </x:c>
      <x:c r="M66" s="31" t="n">
        <x:v>0</x:v>
      </x:c>
      <x:c r="N66" s="24" t="str">
        <x:v>necora puber</x:v>
      </x:c>
      <x:c r="O66" s="32" t="n">
        <x:v>2.6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Necora puber</x:v>
      </x:c>
      <x:c r="T66" s="32" t="n">
        <x:f>IF(O66="","",(1/'Metadata'!$B$5)^(O66-1))</x:f>
        <x:v>39.810717055349734</x:v>
      </x:c>
      <x:c r="U66" s="31" t="n">
        <x:f>IF(T66="","",I66*T66)</x:f>
        <x:v>54.20843703039873</x:v>
      </x:c>
    </x:row>
    <x:row r="67" ht="18" customHeight="1">
      <x:c r="A67" s="24" t="str">
        <x:v>EEZ_234</x:v>
      </x:c>
      <x:c r="B67" s="24" t="str">
        <x:v>Faeroe Isl. (Denmark)</x:v>
      </x:c>
      <x:c r="C67" s="24" t="str">
        <x:v>EEZ</x:v>
      </x:c>
      <x:c r="D67" s="30" t="n">
        <x:v>2019</x:v>
      </x:c>
      <x:c r="E67" s="24" t="str">
        <x:v>Lamna nasus</x:v>
      </x:c>
      <x:c r="F67" s="24" t="str">
        <x:v>Porbeagle</x:v>
      </x:c>
      <x:c r="G67" s="24" t="str">
        <x:v>Large sharks (&gt;=90 cm)</x:v>
      </x:c>
      <x:c r="H67" s="24" t="str">
        <x:v>Sharks &amp; rays</x:v>
      </x:c>
      <x:c r="I67" s="31" t="n">
        <x:v>1.10843</x:v>
      </x:c>
      <x:c r="J67" s="31" t="n">
        <x:v>1.10843</x:v>
      </x:c>
      <x:c r="K67" s="31" t="n">
        <x:v>0</x:v>
      </x:c>
      <x:c r="L67" s="31" t="n">
        <x:v>1.10843</x:v>
      </x:c>
      <x:c r="M67" s="31" t="n">
        <x:v>0</x:v>
      </x:c>
      <x:c r="N67" s="24" t="str">
        <x:v>lamna nasus</x:v>
      </x:c>
      <x:c r="O67" s="32" t="n">
        <x:v>4.57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Lamna nasus</x:v>
      </x:c>
      <x:c r="T67" s="32" t="n">
        <x:f>IF(O67="","",(1/'Metadata'!$B$5)^(O67-1))</x:f>
        <x:v>3715.3522909717276</x:v>
      </x:c>
      <x:c r="U67" s="31" t="n">
        <x:f>IF(T67="","",I67*T67)</x:f>
        <x:v>4118.207939881792</x:v>
      </x:c>
    </x:row>
    <x:row r="68" ht="18" customHeight="1">
      <x:c r="A68" s="24" t="str">
        <x:v>EEZ_234</x:v>
      </x:c>
      <x:c r="B68" s="24" t="str">
        <x:v>Faeroe Isl. (Denmark)</x:v>
      </x:c>
      <x:c r="C68" s="24" t="str">
        <x:v>EEZ</x:v>
      </x:c>
      <x:c r="D68" s="30" t="n">
        <x:v>2019</x:v>
      </x:c>
      <x:c r="E68" s="24" t="str">
        <x:v>Trachurus trachurus</x:v>
      </x:c>
      <x:c r="F68" s="24" t="str">
        <x:v>Atlantic horse mackerel</x:v>
      </x:c>
      <x:c r="G68" s="24" t="str">
        <x:v>Medium pelagics (30 - 89 cm)</x:v>
      </x:c>
      <x:c r="H68" s="24" t="str">
        <x:v>Perch-likes</x:v>
      </x:c>
      <x:c r="I68" s="31" t="n">
        <x:v>0.9692786128</x:v>
      </x:c>
      <x:c r="J68" s="31" t="n">
        <x:v>0.9692786128</x:v>
      </x:c>
      <x:c r="K68" s="31" t="n">
        <x:v>0</x:v>
      </x:c>
      <x:c r="L68" s="31" t="n">
        <x:v>0.9692786128</x:v>
      </x:c>
      <x:c r="M68" s="31" t="n">
        <x:v>0</x:v>
      </x:c>
      <x:c r="N68" s="24" t="str">
        <x:v>trachurus trachurus</x:v>
      </x:c>
      <x:c r="O68" s="32" t="n">
        <x:v>3.71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Trachurus trachurus</x:v>
      </x:c>
      <x:c r="T68" s="32" t="n">
        <x:f>IF(O68="","",(1/'Metadata'!$B$5)^(O68-1))</x:f>
        <x:v>512.8613839913648</x:v>
      </x:c>
      <x:c r="U68" s="31" t="n">
        <x:f>IF(T68="","",I68*T68)</x:f>
        <x:v>497.10557083383827</x:v>
      </x:c>
    </x:row>
    <x:row r="69" ht="18" customHeight="1">
      <x:c r="A69" s="24" t="str">
        <x:v>EEZ_234</x:v>
      </x:c>
      <x:c r="B69" s="24" t="str">
        <x:v>Faeroe Isl. (Denmark)</x:v>
      </x:c>
      <x:c r="C69" s="24" t="str">
        <x:v>EEZ</x:v>
      </x:c>
      <x:c r="D69" s="30" t="n">
        <x:v>2019</x:v>
      </x:c>
      <x:c r="E69" s="24" t="str">
        <x:v>Dipturus batis</x:v>
      </x:c>
      <x:c r="F69" s="24" t="str">
        <x:v>Blue skate</x:v>
      </x:c>
      <x:c r="G69" s="24" t="str">
        <x:v>Large rays (&gt;=90 cm)</x:v>
      </x:c>
      <x:c r="H69" s="24" t="str">
        <x:v>Sharks &amp; rays</x:v>
      </x:c>
      <x:c r="I69" s="31" t="n">
        <x:v>0.9469</x:v>
      </x:c>
      <x:c r="J69" s="31" t="n">
        <x:v>0.9469</x:v>
      </x:c>
      <x:c r="K69" s="31" t="n">
        <x:v>0</x:v>
      </x:c>
      <x:c r="L69" s="31" t="n">
        <x:v>0.9469</x:v>
      </x:c>
      <x:c r="M69" s="31" t="n">
        <x:v>0</x:v>
      </x:c>
      <x:c r="N69" s="24" t="str">
        <x:v>dipturus batis</x:v>
      </x:c>
      <x:c r="O69" s="32" t="n">
        <x:v>3.52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Dipturus batis</x:v>
      </x:c>
      <x:c r="T69" s="32" t="n">
        <x:f>IF(O69="","",(1/'Metadata'!$B$5)^(O69-1))</x:f>
        <x:v>331.1311214825911</x:v>
      </x:c>
      <x:c r="U69" s="31" t="n">
        <x:f>IF(T69="","",I69*T69)</x:f>
        <x:v>313.5480589318655</x:v>
      </x:c>
    </x:row>
    <x:row r="70" ht="18" customHeight="1">
      <x:c r="A70" s="24" t="str">
        <x:v>EEZ_234</x:v>
      </x:c>
      <x:c r="B70" s="24" t="str">
        <x:v>Faeroe Isl. (Denmark)</x:v>
      </x:c>
      <x:c r="C70" s="24" t="str">
        <x:v>EEZ</x:v>
      </x:c>
      <x:c r="D70" s="30" t="n">
        <x:v>2019</x:v>
      </x:c>
      <x:c r="E70" s="24" t="str">
        <x:v>Mallotus villosus</x:v>
      </x:c>
      <x:c r="F70" s="24" t="str">
        <x:v>Capelin</x:v>
      </x:c>
      <x:c r="G70" s="24" t="str">
        <x:v>Small pelagics (&lt;30 cm)</x:v>
      </x:c>
      <x:c r="H70" s="24" t="str">
        <x:v>Salmon, smelts, etc</x:v>
      </x:c>
      <x:c r="I70" s="31" t="n">
        <x:v>0.8568944204</x:v>
      </x:c>
      <x:c r="J70" s="31" t="n">
        <x:v>0.3</x:v>
      </x:c>
      <x:c r="K70" s="31" t="n">
        <x:v>0.5568944204</x:v>
      </x:c>
      <x:c r="L70" s="31" t="n">
        <x:v>0.3</x:v>
      </x:c>
      <x:c r="M70" s="31" t="n">
        <x:v>0.5568944204</x:v>
      </x:c>
      <x:c r="N70" s="24" t="str">
        <x:v>mallotus villosus</x:v>
      </x:c>
      <x:c r="O70" s="32" t="n">
        <x:v>3.15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Mallotus villosus</x:v>
      </x:c>
      <x:c r="T70" s="32" t="n">
        <x:f>IF(O70="","",(1/'Metadata'!$B$5)^(O70-1))</x:f>
        <x:v>141.2537544622754</x:v>
      </x:c>
      <x:c r="U70" s="31" t="n">
        <x:f>IF(T70="","",I70*T70)</x:f>
        <x:v>121.03955405927539</x:v>
      </x:c>
    </x:row>
    <x:row r="71" ht="18" customHeight="1">
      <x:c r="A71" s="24" t="str">
        <x:v>EEZ_234</x:v>
      </x:c>
      <x:c r="B71" s="24" t="str">
        <x:v>Faeroe Isl. (Denmark)</x:v>
      </x:c>
      <x:c r="C71" s="24" t="str">
        <x:v>EEZ</x:v>
      </x:c>
      <x:c r="D71" s="30" t="n">
        <x:v>2019</x:v>
      </x:c>
      <x:c r="E71" s="24" t="str">
        <x:v>Hippoglossoides platessoides</x:v>
      </x:c>
      <x:c r="F71" s="24" t="str">
        <x:v>American plaice</x:v>
      </x:c>
      <x:c r="G71" s="24" t="str">
        <x:v>Small to medium flatfishes (&lt;90 cm)</x:v>
      </x:c>
      <x:c r="H71" s="24" t="str">
        <x:v>Flatfishes</x:v>
      </x:c>
      <x:c r="I71" s="31" t="n">
        <x:v>0.64</x:v>
      </x:c>
      <x:c r="J71" s="31" t="n">
        <x:v>0.64</x:v>
      </x:c>
      <x:c r="K71" s="31" t="n">
        <x:v>0</x:v>
      </x:c>
      <x:c r="L71" s="31" t="n">
        <x:v>0.64</x:v>
      </x:c>
      <x:c r="M71" s="31" t="n">
        <x:v>0</x:v>
      </x:c>
      <x:c r="N71" s="24" t="str">
        <x:v>hippoglossoides platessoides</x:v>
      </x:c>
      <x:c r="O71" s="32" t="n">
        <x:v>4.08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Hippoglossoides platessoides</x:v>
      </x:c>
      <x:c r="T71" s="32" t="n">
        <x:f>IF(O71="","",(1/'Metadata'!$B$5)^(O71-1))</x:f>
        <x:v>1202.2644346174131</x:v>
      </x:c>
      <x:c r="U71" s="31" t="n">
        <x:f>IF(T71="","",I71*T71)</x:f>
        <x:v>769.4492381551445</x:v>
      </x:c>
    </x:row>
    <x:row r="72" ht="18" customHeight="1">
      <x:c r="A72" s="24" t="str">
        <x:v>EEZ_234</x:v>
      </x:c>
      <x:c r="B72" s="24" t="str">
        <x:v>Faeroe Isl. (Denmark)</x:v>
      </x:c>
      <x:c r="C72" s="24" t="str">
        <x:v>EEZ</x:v>
      </x:c>
      <x:c r="D72" s="30" t="n">
        <x:v>2019</x:v>
      </x:c>
      <x:c r="E72" s="24" t="str">
        <x:v>Perciformes</x:v>
      </x:c>
      <x:c r="F72" s="24" t="str">
        <x:v>Perch-likes</x:v>
      </x:c>
      <x:c r="G72" s="24" t="str">
        <x:v>Medium demersals (30 - 89 cm)</x:v>
      </x:c>
      <x:c r="H72" s="24" t="str">
        <x:v>Perch-likes</x:v>
      </x:c>
      <x:c r="I72" s="31" t="n">
        <x:v>0.5301007946</x:v>
      </x:c>
      <x:c r="J72" s="31" t="n">
        <x:v>0</x:v>
      </x:c>
      <x:c r="K72" s="31" t="n">
        <x:v>0.5301007946</x:v>
      </x:c>
      <x:c r="L72" s="31" t="n">
        <x:v>0</x:v>
      </x:c>
      <x:c r="M72" s="31" t="n">
        <x:v>0.5301007946</x:v>
      </x:c>
      <x:c r="N72" s="24" t="str">
        <x:v>perciformes</x:v>
      </x:c>
      <x:c r="O72" s="32" t="n">
        <x:v>3.53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Perciformes</x:v>
      </x:c>
      <x:c r="T72" s="32" t="n">
        <x:f>IF(O72="","",(1/'Metadata'!$B$5)^(O72-1))</x:f>
        <x:v>338.84415613920237</x:v>
      </x:c>
      <x:c r="U72" s="31" t="n">
        <x:f>IF(T72="","",I72*T72)</x:f>
        <x:v>179.62155641495767</x:v>
      </x:c>
    </x:row>
    <x:row r="73" ht="18" customHeight="1">
      <x:c r="A73" s="24" t="str">
        <x:v>EEZ_234</x:v>
      </x:c>
      <x:c r="B73" s="24" t="str">
        <x:v>Faeroe Isl. (Denmark)</x:v>
      </x:c>
      <x:c r="C73" s="24" t="str">
        <x:v>EEZ</x:v>
      </x:c>
      <x:c r="D73" s="30" t="n">
        <x:v>2019</x:v>
      </x:c>
      <x:c r="E73" s="24" t="str">
        <x:v>Cephalopoda</x:v>
      </x:c>
      <x:c r="F73" s="24" t="str">
        <x:v>Squids, cuttlefishes, octopuses</x:v>
      </x:c>
      <x:c r="G73" s="24" t="str">
        <x:v>Cephalopods</x:v>
      </x:c>
      <x:c r="H73" s="24" t="str">
        <x:v>Other fishes &amp; inverts</x:v>
      </x:c>
      <x:c r="I73" s="31" t="n">
        <x:v>0.5142389701000001</x:v>
      </x:c>
      <x:c r="J73" s="31" t="n">
        <x:v>0.5142389701000001</x:v>
      </x:c>
      <x:c r="K73" s="31" t="n">
        <x:v>0</x:v>
      </x:c>
      <x:c r="L73" s="31" t="n">
        <x:v>0.5142389701000001</x:v>
      </x:c>
      <x:c r="M73" s="31" t="n">
        <x:v>0</x:v>
      </x:c>
      <x:c r="N73" s="24" t="str">
        <x:v>cephalopoda</x:v>
      </x:c>
      <x:c r="O73" s="32" t="n">
        <x:v>3.81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Cephalopoda</x:v>
      </x:c>
      <x:c r="T73" s="32" t="n">
        <x:f>IF(O73="","",(1/'Metadata'!$B$5)^(O73-1))</x:f>
        <x:v>645.6542290346556</x:v>
      </x:c>
      <x:c r="U73" s="31" t="n">
        <x:f>IF(T73="","",I73*T73)</x:f>
        <x:v>332.0205657794909</x:v>
      </x:c>
    </x:row>
    <x:row r="74" ht="18" customHeight="1">
      <x:c r="A74" s="24" t="str">
        <x:v>EEZ_234</x:v>
      </x:c>
      <x:c r="B74" s="24" t="str">
        <x:v>Faeroe Isl. (Denmark)</x:v>
      </x:c>
      <x:c r="C74" s="24" t="str">
        <x:v>EEZ</x:v>
      </x:c>
      <x:c r="D74" s="30" t="n">
        <x:v>2019</x:v>
      </x:c>
      <x:c r="E74" s="24" t="str">
        <x:v>Carcinus maenas</x:v>
      </x:c>
      <x:c r="F74" s="24" t="str">
        <x:v>Green crab</x:v>
      </x:c>
      <x:c r="G74" s="24" t="str">
        <x:v>Lobsters, crabs</x:v>
      </x:c>
      <x:c r="H74" s="24" t="str">
        <x:v>Crustaceans</x:v>
      </x:c>
      <x:c r="I74" s="31" t="n">
        <x:v>0.4654298563</x:v>
      </x:c>
      <x:c r="J74" s="31" t="n">
        <x:v>0.4654298563</x:v>
      </x:c>
      <x:c r="K74" s="31" t="n">
        <x:v>0</x:v>
      </x:c>
      <x:c r="L74" s="31" t="n">
        <x:v>0.4654298563</x:v>
      </x:c>
      <x:c r="M74" s="31" t="n">
        <x:v>0</x:v>
      </x:c>
      <x:c r="N74" s="24" t="str">
        <x:v>carcinus maenas</x:v>
      </x:c>
      <x:c r="O74" s="32" t="n">
        <x:v>3.5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Carcinus maenas</x:v>
      </x:c>
      <x:c r="T74" s="32" t="n">
        <x:f>IF(O74="","",(1/'Metadata'!$B$5)^(O74-1))</x:f>
        <x:v>316.22776601683796</x:v>
      </x:c>
      <x:c r="U74" s="31" t="n">
        <x:f>IF(T74="","",I74*T74)</x:f>
        <x:v>147.18184369528691</x:v>
      </x:c>
    </x:row>
    <x:row r="75" ht="18" customHeight="1">
      <x:c r="A75" s="24" t="str">
        <x:v>EEZ_234</x:v>
      </x:c>
      <x:c r="B75" s="24" t="str">
        <x:v>Faeroe Isl. (Denmark)</x:v>
      </x:c>
      <x:c r="C75" s="24" t="str">
        <x:v>EEZ</x:v>
      </x:c>
      <x:c r="D75" s="30" t="n">
        <x:v>2019</x:v>
      </x:c>
      <x:c r="E75" s="24" t="str">
        <x:v>Lepidorhombus</x:v>
      </x:c>
      <x:c r="F75" s="24" t="str">
        <x:v>Megrims</x:v>
      </x:c>
      <x:c r="G75" s="24" t="str">
        <x:v>Small to medium flatfishes (&lt;90 cm)</x:v>
      </x:c>
      <x:c r="H75" s="24" t="str">
        <x:v>Flatfishes</x:v>
      </x:c>
      <x:c r="I75" s="31" t="n">
        <x:v>0.4309</x:v>
      </x:c>
      <x:c r="J75" s="31" t="n">
        <x:v>0.4309</x:v>
      </x:c>
      <x:c r="K75" s="31" t="n">
        <x:v>0</x:v>
      </x:c>
      <x:c r="L75" s="31" t="n">
        <x:v>0.4309</x:v>
      </x:c>
      <x:c r="M75" s="31" t="n">
        <x:v>0</x:v>
      </x:c>
      <x:c r="N75" s="24" t="str">
        <x:v>lepidorhombus</x:v>
      </x:c>
      <x:c r="O75" s="32" t="n">
        <x:v>3.96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Lepidorhombus</x:v>
      </x:c>
      <x:c r="T75" s="32" t="n">
        <x:f>IF(O75="","",(1/'Metadata'!$B$5)^(O75-1))</x:f>
        <x:v>912.0108393559096</x:v>
      </x:c>
      <x:c r="U75" s="31" t="n">
        <x:f>IF(T75="","",I75*T75)</x:f>
        <x:v>392.98547067846147</x:v>
      </x:c>
    </x:row>
    <x:row r="76" ht="18" customHeight="1">
      <x:c r="A76" s="24" t="str">
        <x:v>EEZ_234</x:v>
      </x:c>
      <x:c r="B76" s="24" t="str">
        <x:v>Faeroe Isl. (Denmark)</x:v>
      </x:c>
      <x:c r="C76" s="24" t="str">
        <x:v>EEZ</x:v>
      </x:c>
      <x:c r="D76" s="30" t="n">
        <x:v>2019</x:v>
      </x:c>
      <x:c r="E76" s="24" t="str">
        <x:v>Anarhichadidae</x:v>
      </x:c>
      <x:c r="F76" s="24" t="str">
        <x:v>Wolffishes, wolfeels</x:v>
      </x:c>
      <x:c r="G76" s="24" t="str">
        <x:v>Large demersals (&gt;=90 cm)</x:v>
      </x:c>
      <x:c r="H76" s="24" t="str">
        <x:v>Perch-likes</x:v>
      </x:c>
      <x:c r="I76" s="31" t="n">
        <x:v>0.33</x:v>
      </x:c>
      <x:c r="J76" s="31" t="n">
        <x:v>0.33</x:v>
      </x:c>
      <x:c r="K76" s="31" t="n">
        <x:v>0</x:v>
      </x:c>
      <x:c r="L76" s="31" t="n">
        <x:v>0.33</x:v>
      </x:c>
      <x:c r="M76" s="31" t="n">
        <x:v>0</x:v>
      </x:c>
      <x:c r="N76" s="24" t="str">
        <x:v>anarhichadidae</x:v>
      </x:c>
      <x:c r="O76" s="32" t="n">
        <x:v>3.47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Anarhichadidae</x:v>
      </x:c>
      <x:c r="T76" s="32" t="n">
        <x:f>IF(O76="","",(1/'Metadata'!$B$5)^(O76-1))</x:f>
        <x:v>295.1209226666387</x:v>
      </x:c>
      <x:c r="U76" s="31" t="n">
        <x:f>IF(T76="","",I76*T76)</x:f>
        <x:v>97.38990447999078</x:v>
      </x:c>
    </x:row>
    <x:row r="77" ht="18" customHeight="1">
      <x:c r="A77" s="24" t="str">
        <x:v>EEZ_234</x:v>
      </x:c>
      <x:c r="B77" s="24" t="str">
        <x:v>Faeroe Isl. (Denmark)</x:v>
      </x:c>
      <x:c r="C77" s="24" t="str">
        <x:v>EEZ</x:v>
      </x:c>
      <x:c r="D77" s="30" t="n">
        <x:v>2019</x:v>
      </x:c>
      <x:c r="E77" s="24" t="str">
        <x:v>Lampris guttatus</x:v>
      </x:c>
      <x:c r="F77" s="24" t="str">
        <x:v>Opah</x:v>
      </x:c>
      <x:c r="G77" s="24" t="str">
        <x:v>Large bathypelagics (&gt;=90 cm)</x:v>
      </x:c>
      <x:c r="H77" s="24" t="str">
        <x:v>Other fishes &amp; inverts</x:v>
      </x:c>
      <x:c r="I77" s="31" t="n">
        <x:v>0.30000000000000004</x:v>
      </x:c>
      <x:c r="J77" s="31" t="n">
        <x:v>0.30000000000000004</x:v>
      </x:c>
      <x:c r="K77" s="31" t="n">
        <x:v>0</x:v>
      </x:c>
      <x:c r="L77" s="31" t="n">
        <x:v>0.30000000000000004</x:v>
      </x:c>
      <x:c r="M77" s="31" t="n">
        <x:v>0</x:v>
      </x:c>
      <x:c r="N77" s="24" t="str">
        <x:v>lampris guttatus</x:v>
      </x:c>
      <x:c r="O77" s="32" t="n">
        <x:v>4.22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Lampris guttatus</x:v>
      </x:c>
      <x:c r="T77" s="32" t="n">
        <x:f>IF(O77="","",(1/'Metadata'!$B$5)^(O77-1))</x:f>
        <x:v>1659.5869074375596</x:v>
      </x:c>
      <x:c r="U77" s="31" t="n">
        <x:f>IF(T77="","",I77*T77)</x:f>
        <x:v>497.8760722312679</x:v>
      </x:c>
    </x:row>
    <x:row r="78" ht="18" customHeight="1">
      <x:c r="A78" s="24" t="str">
        <x:v>EEZ_234</x:v>
      </x:c>
      <x:c r="B78" s="24" t="str">
        <x:v>Faeroe Isl. (Denmark)</x:v>
      </x:c>
      <x:c r="C78" s="24" t="str">
        <x:v>EEZ</x:v>
      </x:c>
      <x:c r="D78" s="30" t="n">
        <x:v>2019</x:v>
      </x:c>
      <x:c r="E78" s="24" t="str">
        <x:v>Scophthalmus maximus</x:v>
      </x:c>
      <x:c r="F78" s="24" t="str">
        <x:v>Turbot</x:v>
      </x:c>
      <x:c r="G78" s="24" t="str">
        <x:v>Large flatfishes (&gt;=90 cm)</x:v>
      </x:c>
      <x:c r="H78" s="24" t="str">
        <x:v>Flatfishes</x:v>
      </x:c>
      <x:c r="I78" s="31" t="n">
        <x:v>0.28358</x:v>
      </x:c>
      <x:c r="J78" s="31" t="n">
        <x:v>0.28358</x:v>
      </x:c>
      <x:c r="K78" s="31" t="n">
        <x:v>0</x:v>
      </x:c>
      <x:c r="L78" s="31" t="n">
        <x:v>0.28358</x:v>
      </x:c>
      <x:c r="M78" s="31" t="n">
        <x:v>0</x:v>
      </x:c>
      <x:c r="N78" s="24" t="str">
        <x:v>scophthalmus maximus</x:v>
      </x:c>
      <x:c r="O78" s="32" t="n">
        <x:v>4.36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Scophthalmus maximus</x:v>
      </x:c>
      <x:c r="T78" s="32" t="n">
        <x:f>IF(O78="","",(1/'Metadata'!$B$5)^(O78-1))</x:f>
        <x:v>2290.867652767775</x:v>
      </x:c>
      <x:c r="U78" s="31" t="n">
        <x:f>IF(T78="","",I78*T78)</x:f>
        <x:v>649.6442489718856</x:v>
      </x:c>
    </x:row>
    <x:row r="79" ht="18" customHeight="1">
      <x:c r="A79" s="24" t="str">
        <x:v>EEZ_234</x:v>
      </x:c>
      <x:c r="B79" s="24" t="str">
        <x:v>Faeroe Isl. (Denmark)</x:v>
      </x:c>
      <x:c r="C79" s="24" t="str">
        <x:v>EEZ</x:v>
      </x:c>
      <x:c r="D79" s="30" t="n">
        <x:v>2019</x:v>
      </x:c>
      <x:c r="E79" s="24" t="str">
        <x:v>Teuthida</x:v>
      </x:c>
      <x:c r="F79" s="24" t="str">
        <x:v>Squids</x:v>
      </x:c>
      <x:c r="G79" s="24" t="str">
        <x:v>Cephalopods</x:v>
      </x:c>
      <x:c r="H79" s="24" t="str">
        <x:v>Other fishes &amp; inverts</x:v>
      </x:c>
      <x:c r="I79" s="31" t="n">
        <x:v>0.281656599</x:v>
      </x:c>
      <x:c r="J79" s="31" t="n">
        <x:v>0.281656599</x:v>
      </x:c>
      <x:c r="K79" s="31" t="n">
        <x:v>0</x:v>
      </x:c>
      <x:c r="L79" s="31" t="n">
        <x:v>0.281656599</x:v>
      </x:c>
      <x:c r="M79" s="31" t="n">
        <x:v>0</x:v>
      </x:c>
      <x:c r="N79" s="24" t="str">
        <x:v>teuthida</x:v>
      </x:c>
      <x:c r="O79" s="32" t="n">
        <x:v>4.13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Teuthida</x:v>
      </x:c>
      <x:c r="T79" s="32" t="n">
        <x:f>IF(O79="","",(1/'Metadata'!$B$5)^(O79-1))</x:f>
        <x:v>1348.9628825916532</x:v>
      </x:c>
      <x:c r="U79" s="31" t="n">
        <x:f>IF(T79="","",I79*T79)</x:f>
        <x:v>379.94429768800137</x:v>
      </x:c>
    </x:row>
    <x:row r="80" ht="18" customHeight="1">
      <x:c r="A80" s="24" t="str">
        <x:v>EEZ_234</x:v>
      </x:c>
      <x:c r="B80" s="24" t="str">
        <x:v>Faeroe Isl. (Denmark)</x:v>
      </x:c>
      <x:c r="C80" s="24" t="str">
        <x:v>EEZ</x:v>
      </x:c>
      <x:c r="D80" s="30" t="n">
        <x:v>2019</x:v>
      </x:c>
      <x:c r="E80" s="24" t="str">
        <x:v>Macrourus berglax</x:v>
      </x:c>
      <x:c r="F80" s="24" t="str">
        <x:v>Roughhead grenadier</x:v>
      </x:c>
      <x:c r="G80" s="24" t="str">
        <x:v>Large benthopelagics (&gt;=90 cm)</x:v>
      </x:c>
      <x:c r="H80" s="24" t="str">
        <x:v>Cod-likes</x:v>
      </x:c>
      <x:c r="I80" s="31" t="n">
        <x:v>0.247</x:v>
      </x:c>
      <x:c r="J80" s="31" t="n">
        <x:v>0.247</x:v>
      </x:c>
      <x:c r="K80" s="31" t="n">
        <x:v>0</x:v>
      </x:c>
      <x:c r="L80" s="31" t="n">
        <x:v>0.247</x:v>
      </x:c>
      <x:c r="M80" s="31" t="n">
        <x:v>0</x:v>
      </x:c>
      <x:c r="N80" s="24" t="str">
        <x:v>macrourus berglax</x:v>
      </x:c>
      <x:c r="O80" s="32" t="n">
        <x:v>4.48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Macrourus berglax</x:v>
      </x:c>
      <x:c r="T80" s="32" t="n">
        <x:f>IF(O80="","",(1/'Metadata'!$B$5)^(O80-1))</x:f>
        <x:v>3019.951720402019</x:v>
      </x:c>
      <x:c r="U80" s="31" t="n">
        <x:f>IF(T80="","",I80*T80)</x:f>
        <x:v>745.9280749392987</x:v>
      </x:c>
    </x:row>
    <x:row r="81" ht="18" customHeight="1">
      <x:c r="A81" s="24" t="str">
        <x:v>EEZ_234</x:v>
      </x:c>
      <x:c r="B81" s="24" t="str">
        <x:v>Faeroe Isl. (Denmark)</x:v>
      </x:c>
      <x:c r="C81" s="24" t="str">
        <x:v>EEZ</x:v>
      </x:c>
      <x:c r="D81" s="30" t="n">
        <x:v>2019</x:v>
      </x:c>
      <x:c r="E81" s="24" t="str">
        <x:v>Amblyraja hyperborea</x:v>
      </x:c>
      <x:c r="F81" s="24" t="str">
        <x:v>Arctic skate</x:v>
      </x:c>
      <x:c r="G81" s="24" t="str">
        <x:v>Small to medium rays (&lt;90 cm)</x:v>
      </x:c>
      <x:c r="H81" s="24" t="str">
        <x:v>Sharks &amp; rays</x:v>
      </x:c>
      <x:c r="I81" s="31" t="n">
        <x:v>0.157</x:v>
      </x:c>
      <x:c r="J81" s="31" t="n">
        <x:v>0.157</x:v>
      </x:c>
      <x:c r="K81" s="31" t="n">
        <x:v>0</x:v>
      </x:c>
      <x:c r="L81" s="31" t="n">
        <x:v>0.157</x:v>
      </x:c>
      <x:c r="M81" s="31" t="n">
        <x:v>0</x:v>
      </x:c>
      <x:c r="N81" s="24" t="str">
        <x:v>amblyraja hyperborea</x:v>
      </x:c>
      <x:c r="O81" s="32" t="n">
        <x:v>4.31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Amblyraja hyperborea</x:v>
      </x:c>
      <x:c r="T81" s="32" t="n">
        <x:f>IF(O81="","",(1/'Metadata'!$B$5)^(O81-1))</x:f>
        <x:v>2041.7379446695275</x:v>
      </x:c>
      <x:c r="U81" s="31" t="n">
        <x:f>IF(T81="","",I81*T81)</x:f>
        <x:v>320.5528573131158</x:v>
      </x:c>
    </x:row>
    <x:row r="82" ht="18" customHeight="1">
      <x:c r="A82" s="24" t="str">
        <x:v>EEZ_234</x:v>
      </x:c>
      <x:c r="B82" s="24" t="str">
        <x:v>Faeroe Isl. (Denmark)</x:v>
      </x:c>
      <x:c r="C82" s="24" t="str">
        <x:v>EEZ</x:v>
      </x:c>
      <x:c r="D82" s="30" t="n">
        <x:v>2019</x:v>
      </x:c>
      <x:c r="E82" s="24" t="str">
        <x:v>Conger conger</x:v>
      </x:c>
      <x:c r="F82" s="24" t="str">
        <x:v>European conger</x:v>
      </x:c>
      <x:c r="G82" s="24" t="str">
        <x:v>Large demersals (&gt;=90 cm)</x:v>
      </x:c>
      <x:c r="H82" s="24" t="str">
        <x:v>Other fishes &amp; inverts</x:v>
      </x:c>
      <x:c r="I82" s="31" t="n">
        <x:v>0.152</x:v>
      </x:c>
      <x:c r="J82" s="31" t="n">
        <x:v>0.152</x:v>
      </x:c>
      <x:c r="K82" s="31" t="n">
        <x:v>0</x:v>
      </x:c>
      <x:c r="L82" s="31" t="n">
        <x:v>0.152</x:v>
      </x:c>
      <x:c r="M82" s="31" t="n">
        <x:v>0</x:v>
      </x:c>
      <x:c r="N82" s="24" t="str">
        <x:v>conger conger</x:v>
      </x:c>
      <x:c r="O82" s="32" t="n">
        <x:v>4.31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Conger conger</x:v>
      </x:c>
      <x:c r="T82" s="32" t="n">
        <x:f>IF(O82="","",(1/'Metadata'!$B$5)^(O82-1))</x:f>
        <x:v>2041.7379446695275</x:v>
      </x:c>
      <x:c r="U82" s="31" t="n">
        <x:f>IF(T82="","",I82*T82)</x:f>
        <x:v>310.3441675897682</x:v>
      </x:c>
    </x:row>
    <x:row r="83" ht="18" customHeight="1">
      <x:c r="A83" s="24" t="str">
        <x:v>EEZ_234</x:v>
      </x:c>
      <x:c r="B83" s="24" t="str">
        <x:v>Faeroe Isl. (Denmark)</x:v>
      </x:c>
      <x:c r="C83" s="24" t="str">
        <x:v>EEZ</x:v>
      </x:c>
      <x:c r="D83" s="30" t="n">
        <x:v>2019</x:v>
      </x:c>
      <x:c r="E83" s="24" t="str">
        <x:v>Platichthys flesus</x:v>
      </x:c>
      <x:c r="F83" s="24" t="str">
        <x:v>European flounder</x:v>
      </x:c>
      <x:c r="G83" s="24" t="str">
        <x:v>Small to medium flatfishes (&lt;90 cm)</x:v>
      </x:c>
      <x:c r="H83" s="24" t="str">
        <x:v>Flatfishes</x:v>
      </x:c>
      <x:c r="I83" s="31" t="n">
        <x:v>0.1379810981</x:v>
      </x:c>
      <x:c r="J83" s="31" t="n">
        <x:v>0.1379810981</x:v>
      </x:c>
      <x:c r="K83" s="31" t="n">
        <x:v>0</x:v>
      </x:c>
      <x:c r="L83" s="31" t="n">
        <x:v>0.1379810981</x:v>
      </x:c>
      <x:c r="M83" s="31" t="n">
        <x:v>0</x:v>
      </x:c>
      <x:c r="N83" s="24" t="str">
        <x:v>platichthys flesus</x:v>
      </x:c>
      <x:c r="O83" s="32" t="n">
        <x:v>3.32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Platichthys flesus</x:v>
      </x:c>
      <x:c r="T83" s="32" t="n">
        <x:f>IF(O83="","",(1/'Metadata'!$B$5)^(O83-1))</x:f>
        <x:v>208.92961308540387</x:v>
      </x:c>
      <x:c r="U83" s="31" t="n">
        <x:f>IF(T83="","",I83*T83)</x:f>
        <x:v>28.828337439132156</x:v>
      </x:c>
    </x:row>
    <x:row r="84" ht="18" customHeight="1">
      <x:c r="A84" s="24" t="str">
        <x:v>EEZ_234</x:v>
      </x:c>
      <x:c r="B84" s="24" t="str">
        <x:v>Faeroe Isl. (Denmark)</x:v>
      </x:c>
      <x:c r="C84" s="24" t="str">
        <x:v>EEZ</x:v>
      </x:c>
      <x:c r="D84" s="30" t="n">
        <x:v>2019</x:v>
      </x:c>
      <x:c r="E84" s="24" t="str">
        <x:v>Beryx</x:v>
      </x:c>
      <x:c r="F84" s="24" t="str">
        <x:v>Alfonsinos</x:v>
      </x:c>
      <x:c r="G84" s="24" t="str">
        <x:v>Medium benthopelagics (30 - 89 cm)</x:v>
      </x:c>
      <x:c r="H84" s="24" t="str">
        <x:v>Other fishes &amp; inverts</x:v>
      </x:c>
      <x:c r="I84" s="31" t="n">
        <x:v>0.1199999999</x:v>
      </x:c>
      <x:c r="J84" s="31" t="n">
        <x:v>0.1199999999</x:v>
      </x:c>
      <x:c r="K84" s="31" t="n">
        <x:v>0</x:v>
      </x:c>
      <x:c r="L84" s="31" t="n">
        <x:v>0.1199999999</x:v>
      </x:c>
      <x:c r="M84" s="31" t="n">
        <x:v>0</x:v>
      </x:c>
      <x:c r="N84" s="24" t="str">
        <x:v>beryx</x:v>
      </x:c>
      <x:c r="O84" s="32" t="n">
        <x:v>3.97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Beryx</x:v>
      </x:c>
      <x:c r="T84" s="32" t="n">
        <x:f>IF(O84="","",(1/'Metadata'!$B$5)^(O84-1))</x:f>
        <x:v>933.2543007969915</x:v>
      </x:c>
      <x:c r="U84" s="31" t="n">
        <x:f>IF(T84="","",I84*T84)</x:f>
        <x:v>111.99051600231356</x:v>
      </x:c>
    </x:row>
    <x:row r="85" ht="18" customHeight="1">
      <x:c r="A85" s="24" t="str">
        <x:v>EEZ_234</x:v>
      </x:c>
      <x:c r="B85" s="24" t="str">
        <x:v>Faeroe Isl. (Denmark)</x:v>
      </x:c>
      <x:c r="C85" s="24" t="str">
        <x:v>EEZ</x:v>
      </x:c>
      <x:c r="D85" s="30" t="n">
        <x:v>2019</x:v>
      </x:c>
      <x:c r="E85" s="24" t="str">
        <x:v>Glyptocephalus cynoglossus</x:v>
      </x:c>
      <x:c r="F85" s="24" t="str">
        <x:v>Witch flounder</x:v>
      </x:c>
      <x:c r="G85" s="24" t="str">
        <x:v>Small to medium flatfishes (&lt;90 cm)</x:v>
      </x:c>
      <x:c r="H85" s="24" t="str">
        <x:v>Flatfishes</x:v>
      </x:c>
      <x:c r="I85" s="31" t="n">
        <x:v>0.10933000009999999</x:v>
      </x:c>
      <x:c r="J85" s="31" t="n">
        <x:v>0.10933000009999999</x:v>
      </x:c>
      <x:c r="K85" s="31" t="n">
        <x:v>0</x:v>
      </x:c>
      <x:c r="L85" s="31" t="n">
        <x:v>0.10933000009999999</x:v>
      </x:c>
      <x:c r="M85" s="31" t="n">
        <x:v>0</x:v>
      </x:c>
      <x:c r="N85" s="24" t="str">
        <x:v>glyptocephalus cynoglossus</x:v>
      </x:c>
      <x:c r="O85" s="32" t="n">
        <x:v>3.17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Glyptocephalus cynoglossus</x:v>
      </x:c>
      <x:c r="T85" s="32" t="n">
        <x:f>IF(O85="","",(1/'Metadata'!$B$5)^(O85-1))</x:f>
        <x:v>147.91083881682073</x:v>
      </x:c>
      <x:c r="U85" s="31" t="n">
        <x:f>IF(T85="","",I85*T85)</x:f>
        <x:v>16.17109202263409</x:v>
      </x:c>
    </x:row>
    <x:row r="86" ht="18" customHeight="1">
      <x:c r="A86" s="24" t="str">
        <x:v>EEZ_234</x:v>
      </x:c>
      <x:c r="B86" s="24" t="str">
        <x:v>Faeroe Isl. (Denmark)</x:v>
      </x:c>
      <x:c r="C86" s="24" t="str">
        <x:v>EEZ</x:v>
      </x:c>
      <x:c r="D86" s="30" t="n">
        <x:v>2019</x:v>
      </x:c>
      <x:c r="E86" s="24" t="str">
        <x:v>Leucoraja fullonica</x:v>
      </x:c>
      <x:c r="F86" s="24" t="str">
        <x:v>Shagreen ray</x:v>
      </x:c>
      <x:c r="G86" s="24" t="str">
        <x:v>Large rays (&gt;=90 cm)</x:v>
      </x:c>
      <x:c r="H86" s="24" t="str">
        <x:v>Sharks &amp; rays</x:v>
      </x:c>
      <x:c r="I86" s="31" t="n">
        <x:v>0.087</x:v>
      </x:c>
      <x:c r="J86" s="31" t="n">
        <x:v>0.087</x:v>
      </x:c>
      <x:c r="K86" s="31" t="n">
        <x:v>0</x:v>
      </x:c>
      <x:c r="L86" s="31" t="n">
        <x:v>0.087</x:v>
      </x:c>
      <x:c r="M86" s="31" t="n">
        <x:v>0</x:v>
      </x:c>
      <x:c r="N86" s="24" t="str">
        <x:v>leucoraja fullonica</x:v>
      </x:c>
      <x:c r="O86" s="32" t="n">
        <x:v>3.5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Leucoraja fullonica</x:v>
      </x:c>
      <x:c r="T86" s="32" t="n">
        <x:f>IF(O86="","",(1/'Metadata'!$B$5)^(O86-1))</x:f>
        <x:v>316.22776601683796</x:v>
      </x:c>
      <x:c r="U86" s="31" t="n">
        <x:f>IF(T86="","",I86*T86)</x:f>
        <x:v>27.5118156434649</x:v>
      </x:c>
    </x:row>
    <x:row r="87" ht="18" customHeight="1">
      <x:c r="A87" s="24" t="str">
        <x:v>EEZ_234</x:v>
      </x:c>
      <x:c r="B87" s="24" t="str">
        <x:v>Faeroe Isl. (Denmark)</x:v>
      </x:c>
      <x:c r="C87" s="24" t="str">
        <x:v>EEZ</x:v>
      </x:c>
      <x:c r="D87" s="30" t="n">
        <x:v>2019</x:v>
      </x:c>
      <x:c r="E87" s="24" t="str">
        <x:v>Cyclopterus lumpus</x:v>
      </x:c>
      <x:c r="F87" s="24" t="str">
        <x:v>Lumpfish</x:v>
      </x:c>
      <x:c r="G87" s="24" t="str">
        <x:v>Medium benthopelagics (30 - 89 cm)</x:v>
      </x:c>
      <x:c r="H87" s="24" t="str">
        <x:v>Scorpionfishes</x:v>
      </x:c>
      <x:c r="I87" s="31" t="n">
        <x:v>0.0830000001</x:v>
      </x:c>
      <x:c r="J87" s="31" t="n">
        <x:v>0.0830000001</x:v>
      </x:c>
      <x:c r="K87" s="31" t="n">
        <x:v>0</x:v>
      </x:c>
      <x:c r="L87" s="31" t="n">
        <x:v>0.0830000001</x:v>
      </x:c>
      <x:c r="M87" s="31" t="n">
        <x:v>0</x:v>
      </x:c>
      <x:c r="N87" s="24" t="str">
        <x:v>cyclopterus lumpus</x:v>
      </x:c>
      <x:c r="O87" s="32" t="n">
        <x:v>3.89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Cyclopterus lumpus</x:v>
      </x:c>
      <x:c r="T87" s="32" t="n">
        <x:f>IF(O87="","",(1/'Metadata'!$B$5)^(O87-1))</x:f>
        <x:v>776.247116628692</x:v>
      </x:c>
      <x:c r="U87" s="31" t="n">
        <x:f>IF(T87="","",I87*T87)</x:f>
        <x:v>64.42851075780614</x:v>
      </x:c>
    </x:row>
    <x:row r="88" ht="18" customHeight="1">
      <x:c r="A88" s="24" t="str">
        <x:v>EEZ_234</x:v>
      </x:c>
      <x:c r="B88" s="24" t="str">
        <x:v>Faeroe Isl. (Denmark)</x:v>
      </x:c>
      <x:c r="C88" s="24" t="str">
        <x:v>EEZ</x:v>
      </x:c>
      <x:c r="D88" s="30" t="n">
        <x:v>2019</x:v>
      </x:c>
      <x:c r="E88" s="24" t="str">
        <x:v>Marine pelagic fishes not identified</x:v>
      </x:c>
      <x:c r="F88" s="24" t="str">
        <x:v>Pelagic fishes</x:v>
      </x:c>
      <x:c r="G88" s="24" t="str">
        <x:v>Medium pelagics (30 - 89 cm)</x:v>
      </x:c>
      <x:c r="H88" s="24" t="str">
        <x:v>Other fishes &amp; inverts</x:v>
      </x:c>
      <x:c r="I88" s="31" t="n">
        <x:v>0.0480441205</x:v>
      </x:c>
      <x:c r="J88" s="31" t="n">
        <x:v>0.0480441205</x:v>
      </x:c>
      <x:c r="K88" s="31" t="n">
        <x:v>0</x:v>
      </x:c>
      <x:c r="L88" s="31" t="n">
        <x:v>0.0480441205</x:v>
      </x:c>
      <x:c r="M88" s="31" t="n">
        <x:v>0</x:v>
      </x:c>
      <x:c r="N88" s="24" t="str">
        <x:v>marine pelagic fishes not identified</x:v>
      </x:c>
      <x:c r="O88" s="32" t="n">
        <x:v>3.35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Marine pelagic fishes not identified</x:v>
      </x:c>
      <x:c r="T88" s="32" t="n">
        <x:f>IF(O88="","",(1/'Metadata'!$B$5)^(O88-1))</x:f>
        <x:v>223.872113856834</x:v>
      </x:c>
      <x:c r="U88" s="31" t="n">
        <x:f>IF(T88="","",I88*T88)</x:f>
        <x:v>10.755738814727453</x:v>
      </x:c>
    </x:row>
    <x:row r="89" ht="18" customHeight="1">
      <x:c r="A89" s="24" t="str">
        <x:v>EEZ_234</x:v>
      </x:c>
      <x:c r="B89" s="24" t="str">
        <x:v>Faeroe Isl. (Denmark)</x:v>
      </x:c>
      <x:c r="C89" s="24" t="str">
        <x:v>EEZ</x:v>
      </x:c>
      <x:c r="D89" s="30" t="n">
        <x:v>2019</x:v>
      </x:c>
      <x:c r="E89" s="24" t="str">
        <x:v>Osteichthyes</x:v>
      </x:c>
      <x:c r="F89" s="24" t="str">
        <x:v>Bony fishes</x:v>
      </x:c>
      <x:c r="G89" s="24" t="str">
        <x:v>Medium demersals (30 - 89 cm)</x:v>
      </x:c>
      <x:c r="H89" s="24" t="str">
        <x:v>Other fishes &amp; inverts</x:v>
      </x:c>
      <x:c r="I89" s="31" t="n">
        <x:v>0.044999999900000004</x:v>
      </x:c>
      <x:c r="J89" s="31" t="n">
        <x:v>0.044999999900000004</x:v>
      </x:c>
      <x:c r="K89" s="31" t="n">
        <x:v>0</x:v>
      </x:c>
      <x:c r="L89" s="31" t="n">
        <x:v>0.044999999900000004</x:v>
      </x:c>
      <x:c r="M89" s="31" t="n">
        <x:v>0</x:v>
      </x:c>
      <x:c r="N89" s="24" t="str">
        <x:v>osteichthyes</x:v>
      </x:c>
      <x:c r="O89" s="32" t="n">
        <x:v>3.79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Osteichthyes</x:v>
      </x:c>
      <x:c r="T89" s="32" t="n">
        <x:f>IF(O89="","",(1/'Metadata'!$B$5)^(O89-1))</x:f>
        <x:v>616.5950018614822</x:v>
      </x:c>
      <x:c r="U89" s="31" t="n">
        <x:f>IF(T89="","",I89*T89)</x:f>
        <x:v>27.7467750221072</x:v>
      </x:c>
    </x:row>
    <x:row r="90" ht="18" customHeight="1">
      <x:c r="A90" s="24" t="str">
        <x:v>EEZ_234</x:v>
      </x:c>
      <x:c r="B90" s="24" t="str">
        <x:v>Faeroe Isl. (Denmark)</x:v>
      </x:c>
      <x:c r="C90" s="24" t="str">
        <x:v>EEZ</x:v>
      </x:c>
      <x:c r="D90" s="30" t="n">
        <x:v>2019</x:v>
      </x:c>
      <x:c r="E90" s="24" t="str">
        <x:v>Elasmobranchii</x:v>
      </x:c>
      <x:c r="F90" s="24" t="str">
        <x:v>Sharks, rays, skates</x:v>
      </x:c>
      <x:c r="G90" s="24" t="str">
        <x:v>Large sharks (&gt;=90 cm)</x:v>
      </x:c>
      <x:c r="H90" s="24" t="str">
        <x:v>Sharks &amp; rays</x:v>
      </x:c>
      <x:c r="I90" s="31" t="n">
        <x:v>0.0445582044</x:v>
      </x:c>
      <x:c r="J90" s="31" t="n">
        <x:v>0</x:v>
      </x:c>
      <x:c r="K90" s="31" t="n">
        <x:v>0.0445582044</x:v>
      </x:c>
      <x:c r="L90" s="31" t="n">
        <x:v>0</x:v>
      </x:c>
      <x:c r="M90" s="31" t="n">
        <x:v>0.0445582044</x:v>
      </x:c>
      <x:c r="N90" s="24" t="str">
        <x:v>elasmobranchii</x:v>
      </x:c>
      <x:c r="O90" s="32" t="n">
        <x:v>4.05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Elasmobranchii</x:v>
      </x:c>
      <x:c r="T90" s="32" t="n">
        <x:f>IF(O90="","",(1/'Metadata'!$B$5)^(O90-1))</x:f>
        <x:v>1122.018454301963</x:v>
      </x:c>
      <x:c r="U90" s="31" t="n">
        <x:f>IF(T90="","",I90*T90)</x:f>
        <x:v>49.995127627358926</x:v>
      </x:c>
    </x:row>
    <x:row r="91" ht="18" customHeight="1">
      <x:c r="A91" s="24" t="str">
        <x:v>EEZ_234</x:v>
      </x:c>
      <x:c r="B91" s="24" t="str">
        <x:v>Faeroe Isl. (Denmark)</x:v>
      </x:c>
      <x:c r="C91" s="24" t="str">
        <x:v>EEZ</x:v>
      </x:c>
      <x:c r="D91" s="30" t="n">
        <x:v>2019</x:v>
      </x:c>
      <x:c r="E91" s="24" t="str">
        <x:v>Squalus acanthias</x:v>
      </x:c>
      <x:c r="F91" s="24" t="str">
        <x:v>Picked dogfish</x:v>
      </x:c>
      <x:c r="G91" s="24" t="str">
        <x:v>Large sharks (&gt;=90 cm)</x:v>
      </x:c>
      <x:c r="H91" s="24" t="str">
        <x:v>Sharks &amp; rays</x:v>
      </x:c>
      <x:c r="I91" s="31" t="n">
        <x:v>0.044303414400000005</x:v>
      </x:c>
      <x:c r="J91" s="31" t="n">
        <x:v>0.044303414400000005</x:v>
      </x:c>
      <x:c r="K91" s="31" t="n">
        <x:v>0</x:v>
      </x:c>
      <x:c r="L91" s="31" t="n">
        <x:v>0.044303414400000005</x:v>
      </x:c>
      <x:c r="M91" s="31" t="n">
        <x:v>0</x:v>
      </x:c>
      <x:c r="N91" s="24" t="str">
        <x:v>squalus acanthias</x:v>
      </x:c>
      <x:c r="O91" s="32" t="n">
        <x:v>4.37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Squalus acanthias</x:v>
      </x:c>
      <x:c r="T91" s="32" t="n">
        <x:f>IF(O91="","",(1/'Metadata'!$B$5)^(O91-1))</x:f>
        <x:v>2344.228815319923</x:v>
      </x:c>
      <x:c r="U91" s="31" t="n">
        <x:f>IF(T91="","",I91*T91)</x:f>
        <x:v>103.85734065353962</x:v>
      </x:c>
    </x:row>
    <x:row r="92" ht="18" customHeight="1">
      <x:c r="A92" s="24" t="str">
        <x:v>EEZ_234</x:v>
      </x:c>
      <x:c r="B92" s="24" t="str">
        <x:v>Faeroe Isl. (Denmark)</x:v>
      </x:c>
      <x:c r="C92" s="24" t="str">
        <x:v>EEZ</x:v>
      </x:c>
      <x:c r="D92" s="30" t="n">
        <x:v>2019</x:v>
      </x:c>
      <x:c r="E92" s="24" t="str">
        <x:v>Pandalus borealis</x:v>
      </x:c>
      <x:c r="F92" s="24" t="str">
        <x:v>Northern prawn</x:v>
      </x:c>
      <x:c r="G92" s="24" t="str">
        <x:v>Shrimps</x:v>
      </x:c>
      <x:c r="H92" s="24" t="str">
        <x:v>Crustaceans</x:v>
      </x:c>
      <x:c r="I92" s="31" t="n">
        <x:v>0.019999999999999997</x:v>
      </x:c>
      <x:c r="J92" s="31" t="n">
        <x:v>0.019999999999999997</x:v>
      </x:c>
      <x:c r="K92" s="31" t="n">
        <x:v>0</x:v>
      </x:c>
      <x:c r="L92" s="31" t="n">
        <x:v>0.019999999999999997</x:v>
      </x:c>
      <x:c r="M92" s="31" t="n">
        <x:v>0</x:v>
      </x:c>
      <x:c r="N92" s="24" t="str">
        <x:v>pandalus borealis</x:v>
      </x:c>
      <x:c r="O92" s="32" t="n">
        <x:v>3.07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Pandalus borealis</x:v>
      </x:c>
      <x:c r="T92" s="32" t="n">
        <x:f>IF(O92="","",(1/'Metadata'!$B$5)^(O92-1))</x:f>
        <x:v>117.48975549395291</x:v>
      </x:c>
      <x:c r="U92" s="31" t="n">
        <x:f>IF(T92="","",I92*T92)</x:f>
        <x:v>2.3497951098790577</x:v>
      </x:c>
    </x:row>
    <x:row r="93" ht="18" customHeight="1">
      <x:c r="A93" s="24" t="str">
        <x:v>EEZ_234</x:v>
      </x:c>
      <x:c r="B93" s="24" t="str">
        <x:v>Faeroe Isl. (Denmark)</x:v>
      </x:c>
      <x:c r="C93" s="24" t="str">
        <x:v>EEZ</x:v>
      </x:c>
      <x:c r="D93" s="30" t="n">
        <x:v>2019</x:v>
      </x:c>
      <x:c r="E93" s="24" t="str">
        <x:v>Dipturus oxyrinchus</x:v>
      </x:c>
      <x:c r="F93" s="24" t="str">
        <x:v>Longnosed skate</x:v>
      </x:c>
      <x:c r="G93" s="24" t="str">
        <x:v>Large rays (&gt;=90 cm)</x:v>
      </x:c>
      <x:c r="H93" s="24" t="str">
        <x:v>Sharks &amp; rays</x:v>
      </x:c>
      <x:c r="I93" s="31" t="n">
        <x:v>0.016</x:v>
      </x:c>
      <x:c r="J93" s="31" t="n">
        <x:v>0.016</x:v>
      </x:c>
      <x:c r="K93" s="31" t="n">
        <x:v>0</x:v>
      </x:c>
      <x:c r="L93" s="31" t="n">
        <x:v>0.016</x:v>
      </x:c>
      <x:c r="M93" s="31" t="n">
        <x:v>0</x:v>
      </x:c>
      <x:c r="N93" s="24" t="str">
        <x:v>dipturus oxyrinchus</x:v>
      </x:c>
      <x:c r="O93" s="32" t="n">
        <x:v>3.5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Dipturus oxyrinchus</x:v>
      </x:c>
      <x:c r="T93" s="32" t="n">
        <x:f>IF(O93="","",(1/'Metadata'!$B$5)^(O93-1))</x:f>
        <x:v>316.22776601683796</x:v>
      </x:c>
      <x:c r="U93" s="31" t="n">
        <x:f>IF(T93="","",I93*T93)</x:f>
        <x:v>5.059644256269407</x:v>
      </x:c>
    </x:row>
    <x:row r="94" ht="18" customHeight="1">
      <x:c r="A94" s="24" t="str">
        <x:v>EEZ_234</x:v>
      </x:c>
      <x:c r="B94" s="24" t="str">
        <x:v>Faeroe Isl. (Denmark)</x:v>
      </x:c>
      <x:c r="C94" s="24" t="str">
        <x:v>EEZ</x:v>
      </x:c>
      <x:c r="D94" s="30" t="n">
        <x:v>2019</x:v>
      </x:c>
      <x:c r="E94" s="24" t="str">
        <x:v>Raja clavata</x:v>
      </x:c>
      <x:c r="F94" s="24" t="str">
        <x:v>Thornback ray</x:v>
      </x:c>
      <x:c r="G94" s="24" t="str">
        <x:v>Large rays (&gt;=90 cm)</x:v>
      </x:c>
      <x:c r="H94" s="24" t="str">
        <x:v>Sharks &amp; rays</x:v>
      </x:c>
      <x:c r="I94" s="31" t="n">
        <x:v>0.01</x:v>
      </x:c>
      <x:c r="J94" s="31" t="n">
        <x:v>0.01</x:v>
      </x:c>
      <x:c r="K94" s="31" t="n">
        <x:v>0</x:v>
      </x:c>
      <x:c r="L94" s="31" t="n">
        <x:v>0.01</x:v>
      </x:c>
      <x:c r="M94" s="31" t="n">
        <x:v>0</x:v>
      </x:c>
      <x:c r="N94" s="24" t="str">
        <x:v>raja clavata</x:v>
      </x:c>
      <x:c r="O94" s="32" t="n">
        <x:v>3.84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Raja clavata</x:v>
      </x:c>
      <x:c r="T94" s="32" t="n">
        <x:f>IF(O94="","",(1/'Metadata'!$B$5)^(O94-1))</x:f>
        <x:v>691.8309709189363</x:v>
      </x:c>
      <x:c r="U94" s="31" t="n">
        <x:f>IF(T94="","",I94*T94)</x:f>
        <x:v>6.918309709189363</x:v>
      </x:c>
    </x:row>
    <x:row r="95" ht="18" customHeight="1">
      <x:c r="A95" s="24" t="str">
        <x:v>EEZ_234</x:v>
      </x:c>
      <x:c r="B95" s="24" t="str">
        <x:v>Faeroe Isl. (Denmark)</x:v>
      </x:c>
      <x:c r="C95" s="24" t="str">
        <x:v>EEZ</x:v>
      </x:c>
      <x:c r="D95" s="30" t="n">
        <x:v>2019</x:v>
      </x:c>
      <x:c r="E95" s="24" t="str">
        <x:v>Chelidonichthys cuculus</x:v>
      </x:c>
      <x:c r="F95" s="24" t="str">
        <x:v>Red gurnard</x:v>
      </x:c>
      <x:c r="G95" s="24" t="str">
        <x:v>Medium demersals (30 - 89 cm)</x:v>
      </x:c>
      <x:c r="H95" s="24" t="str">
        <x:v>Scorpionfishes</x:v>
      </x:c>
      <x:c r="I95" s="31" t="n">
        <x:v>0.01</x:v>
      </x:c>
      <x:c r="J95" s="31" t="n">
        <x:v>0.01</x:v>
      </x:c>
      <x:c r="K95" s="31" t="n">
        <x:v>0</x:v>
      </x:c>
      <x:c r="L95" s="31" t="n">
        <x:v>0.01</x:v>
      </x:c>
      <x:c r="M95" s="31" t="n">
        <x:v>0</x:v>
      </x:c>
      <x:c r="N95" s="24" t="str">
        <x:v>chelidonichthys cuculus</x:v>
      </x:c>
      <x:c r="O95" s="32" t="n">
        <x:v>3.81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Chelidonichthys cuculus</x:v>
      </x:c>
      <x:c r="T95" s="32" t="n">
        <x:f>IF(O95="","",(1/'Metadata'!$B$5)^(O95-1))</x:f>
        <x:v>645.6542290346556</x:v>
      </x:c>
      <x:c r="U95" s="31" t="n">
        <x:f>IF(T95="","",I95*T95)</x:f>
        <x:v>6.456542290346556</x:v>
      </x:c>
    </x:row>
    <x:row r="96" ht="18" customHeight="1">
      <x:c r="A96" s="24" t="str">
        <x:v>EEZ_234</x:v>
      </x:c>
      <x:c r="B96" s="24" t="str">
        <x:v>Faeroe Isl. (Denmark)</x:v>
      </x:c>
      <x:c r="C96" s="24" t="str">
        <x:v>EEZ</x:v>
      </x:c>
      <x:c r="D96" s="30" t="n">
        <x:v>2019</x:v>
      </x:c>
      <x:c r="E96" s="24" t="str">
        <x:v>Scorpaeniformes</x:v>
      </x:c>
      <x:c r="F96" s="24" t="str">
        <x:v>Scorpionfishes, flatheads</x:v>
      </x:c>
      <x:c r="G96" s="24" t="str">
        <x:v>Medium demersals (30 - 89 cm)</x:v>
      </x:c>
      <x:c r="H96" s="24" t="str">
        <x:v>Scorpionfishes</x:v>
      </x:c>
      <x:c r="I96" s="31" t="n">
        <x:v>0.009640949499999999</x:v>
      </x:c>
      <x:c r="J96" s="31" t="n">
        <x:v>0</x:v>
      </x:c>
      <x:c r="K96" s="31" t="n">
        <x:v>0.009640949499999999</x:v>
      </x:c>
      <x:c r="L96" s="31" t="n">
        <x:v>0</x:v>
      </x:c>
      <x:c r="M96" s="31" t="n">
        <x:v>0.009640949499999999</x:v>
      </x:c>
      <x:c r="N96" s="24" t="str">
        <x:v>scorpaeniformes</x:v>
      </x:c>
      <x:c r="O96" s="32" t="n">
        <x:v>3.78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Scorpaeniformes</x:v>
      </x:c>
      <x:c r="T96" s="32" t="n">
        <x:f>IF(O96="","",(1/'Metadata'!$B$5)^(O96-1))</x:f>
        <x:v>602.5595860743575</x:v>
      </x:c>
      <x:c r="U96" s="31" t="n">
        <x:f>IF(T96="","",I96*T96)</x:f>
        <x:v>5.809246540083784</x:v>
      </x:c>
    </x:row>
    <x:row r="97" ht="18" customHeight="1">
      <x:c r="A97" s="24" t="str">
        <x:v>EEZ_234</x:v>
      </x:c>
      <x:c r="B97" s="24" t="str">
        <x:v>Faeroe Isl. (Denmark)</x:v>
      </x:c>
      <x:c r="C97" s="24" t="str">
        <x:v>EEZ</x:v>
      </x:c>
      <x:c r="D97" s="30" t="n">
        <x:v>2019</x:v>
      </x:c>
      <x:c r="E97" s="24" t="str">
        <x:v>Symphodus melops</x:v>
      </x:c>
      <x:c r="F97" s="24" t="str">
        <x:v>Corkwing wrasse</x:v>
      </x:c>
      <x:c r="G97" s="24" t="str">
        <x:v>Small reef assoc. fish (&lt;30 cm)</x:v>
      </x:c>
      <x:c r="H97" s="24" t="str">
        <x:v>Perch-likes</x:v>
      </x:c>
      <x:c r="I97" s="31" t="n">
        <x:v>0.006970666699999999</x:v>
      </x:c>
      <x:c r="J97" s="31" t="n">
        <x:v>0.006970666699999999</x:v>
      </x:c>
      <x:c r="K97" s="31" t="n">
        <x:v>0</x:v>
      </x:c>
      <x:c r="L97" s="31" t="n">
        <x:v>0.006970666699999999</x:v>
      </x:c>
      <x:c r="M97" s="31" t="n">
        <x:v>0</x:v>
      </x:c>
      <x:c r="N97" s="24" t="str">
        <x:v>symphodus melops</x:v>
      </x:c>
      <x:c r="O97" s="32" t="n">
        <x:v>3.38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Symphodus melops</x:v>
      </x:c>
      <x:c r="T97" s="32" t="n">
        <x:f>IF(O97="","",(1/'Metadata'!$B$5)^(O97-1))</x:f>
        <x:v>239.88329190194898</x:v>
      </x:c>
      <x:c r="U97" s="31" t="n">
        <x:f>IF(T97="","",I97*T97)</x:f>
        <x:v>1.6721464747472952</x:v>
      </x:c>
    </x:row>
    <x:row r="98" ht="18" customHeight="1">
      <x:c r="A98" s="24" t="str">
        <x:v>EEZ_234</x:v>
      </x:c>
      <x:c r="B98" s="24" t="str">
        <x:v>Faeroe Isl. (Denmark)</x:v>
      </x:c>
      <x:c r="C98" s="24" t="str">
        <x:v>EEZ</x:v>
      </x:c>
      <x:c r="D98" s="30" t="n">
        <x:v>2019</x:v>
      </x:c>
      <x:c r="E98" s="24" t="str">
        <x:v>Pleuronectiformes</x:v>
      </x:c>
      <x:c r="F98" s="24" t="str">
        <x:v>Flatfishes</x:v>
      </x:c>
      <x:c r="G98" s="24" t="str">
        <x:v>Small to medium flatfishes (&lt;90 cm)</x:v>
      </x:c>
      <x:c r="H98" s="24" t="str">
        <x:v>Flatfishes</x:v>
      </x:c>
      <x:c r="I98" s="31" t="n">
        <x:v>0.0033575564000000004</x:v>
      </x:c>
      <x:c r="J98" s="31" t="n">
        <x:v>0.0033575564000000004</x:v>
      </x:c>
      <x:c r="K98" s="31" t="n">
        <x:v>0</x:v>
      </x:c>
      <x:c r="L98" s="31" t="n">
        <x:v>0.0033575564000000004</x:v>
      </x:c>
      <x:c r="M98" s="31" t="n">
        <x:v>0</x:v>
      </x:c>
      <x:c r="N98" s="24" t="str">
        <x:v>pleuronectiformes</x:v>
      </x:c>
      <x:c r="O98" s="32" t="n">
        <x:v>3.57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Pleuronectiformes</x:v>
      </x:c>
      <x:c r="T98" s="32" t="n">
        <x:f>IF(O98="","",(1/'Metadata'!$B$5)^(O98-1))</x:f>
        <x:v>371.5352290971724</x:v>
      </x:c>
      <x:c r="U98" s="31" t="n">
        <x:f>IF(T98="","",I98*T98)</x:f>
        <x:v>1.2474504862806777</x:v>
      </x:c>
    </x:row>
    <x:row r="99" ht="18" customHeight="1">
      <x:c r="A99" s="24" t="str">
        <x:v>EEZ_234</x:v>
      </x:c>
      <x:c r="B99" s="24" t="str">
        <x:v>Faeroe Isl. (Denmark)</x:v>
      </x:c>
      <x:c r="C99" s="24" t="str">
        <x:v>EEZ</x:v>
      </x:c>
      <x:c r="D99" s="30" t="n">
        <x:v>2019</x:v>
      </x:c>
      <x:c r="E99" s="24" t="str">
        <x:v>Buccinum undatum</x:v>
      </x:c>
      <x:c r="F99" s="24" t="str">
        <x:v>Whelk</x:v>
      </x:c>
      <x:c r="G99" s="24" t="str">
        <x:v>Other demersal invertebrates</x:v>
      </x:c>
      <x:c r="H99" s="24" t="str">
        <x:v>Molluscs</x:v>
      </x:c>
      <x:c r="I99" s="31" t="n">
        <x:v>0.0019316493999999998</x:v>
      </x:c>
      <x:c r="J99" s="31" t="n">
        <x:v>0.0019316493999999998</x:v>
      </x:c>
      <x:c r="K99" s="31" t="n">
        <x:v>0</x:v>
      </x:c>
      <x:c r="L99" s="31" t="n">
        <x:v>0.0019316493999999998</x:v>
      </x:c>
      <x:c r="M99" s="31" t="n">
        <x:v>0</x:v>
      </x:c>
      <x:c r="N99" s="24" t="str">
        <x:v>buccinum undatum</x:v>
      </x:c>
      <x:c r="O99" s="32" t="n">
        <x:v>3.75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Buccinum undatum</x:v>
      </x:c>
      <x:c r="T99" s="32" t="n">
        <x:f>IF(O99="","",(1/'Metadata'!$B$5)^(O99-1))</x:f>
        <x:v>562.341325190349</x:v>
      </x:c>
      <x:c r="U99" s="31" t="n">
        <x:f>IF(T99="","",I99*T99)</x:f>
        <x:v>1.0862462833991424</x:v>
      </x:c>
    </x:row>
    <x:row r="100" ht="18" customHeight="1">
      <x:c r="A100" s="24" t="str">
        <x:v>EEZ_234</x:v>
      </x:c>
      <x:c r="B100" s="24" t="str">
        <x:v>Faeroe Isl. (Denmark)</x:v>
      </x:c>
      <x:c r="C100" s="24" t="str">
        <x:v>EEZ</x:v>
      </x:c>
      <x:c r="D100" s="30" t="n">
        <x:v>2019</x:v>
      </x:c>
      <x:c r="E100" s="24" t="str">
        <x:v>Labrus bergylta</x:v>
      </x:c>
      <x:c r="F100" s="24" t="str">
        <x:v>Ballan wrasse</x:v>
      </x:c>
      <x:c r="G100" s="24" t="str">
        <x:v>Medium reef assoc. fish (30 - 89 cm)</x:v>
      </x:c>
      <x:c r="H100" s="24" t="str">
        <x:v>Perch-likes</x:v>
      </x:c>
      <x:c r="I100" s="31" t="n">
        <x:v>0.0019222656</x:v>
      </x:c>
      <x:c r="J100" s="31" t="n">
        <x:v>0.0019222656</x:v>
      </x:c>
      <x:c r="K100" s="31" t="n">
        <x:v>0</x:v>
      </x:c>
      <x:c r="L100" s="31" t="n">
        <x:v>0.0019222656</x:v>
      </x:c>
      <x:c r="M100" s="31" t="n">
        <x:v>0</x:v>
      </x:c>
      <x:c r="N100" s="24" t="str">
        <x:v>labrus bergylta</x:v>
      </x:c>
      <x:c r="O100" s="32" t="n">
        <x:v>3.2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Labrus bergylta</x:v>
      </x:c>
      <x:c r="T100" s="32" t="n">
        <x:f>IF(O100="","",(1/'Metadata'!$B$5)^(O100-1))</x:f>
        <x:v>158.48931924611142</x:v>
      </x:c>
      <x:c r="U100" s="31" t="n">
        <x:f>IF(T100="","",I100*T100)</x:f>
        <x:v>0.3046585663542179</x:v>
      </x:c>
    </x:row>
    <x:row r="101" ht="18" customHeight="1">
      <x:c r="A101" s="24" t="str">
        <x:v>EEZ_234</x:v>
      </x:c>
      <x:c r="B101" s="24" t="str">
        <x:v>Faeroe Isl. (Denmark)</x:v>
      </x:c>
      <x:c r="C101" s="24" t="str">
        <x:v>EEZ</x:v>
      </x:c>
      <x:c r="D101" s="30" t="n">
        <x:v>2019</x:v>
      </x:c>
      <x:c r="E101" s="24" t="str">
        <x:v>Anguilla anguilla</x:v>
      </x:c>
      <x:c r="F101" s="24" t="str">
        <x:v>European eel</x:v>
      </x:c>
      <x:c r="G101" s="24" t="str">
        <x:v>Large demersals (&gt;=90 cm)</x:v>
      </x:c>
      <x:c r="H101" s="24" t="str">
        <x:v>Other fishes &amp; inverts</x:v>
      </x:c>
      <x:c r="I101" s="31" t="n">
        <x:v>0.0011940817999999999</x:v>
      </x:c>
      <x:c r="J101" s="31" t="n">
        <x:v>0.0011940817999999999</x:v>
      </x:c>
      <x:c r="K101" s="31" t="n">
        <x:v>0</x:v>
      </x:c>
      <x:c r="L101" s="31" t="n">
        <x:v>0.0011940817999999999</x:v>
      </x:c>
      <x:c r="M101" s="31" t="n">
        <x:v>0</x:v>
      </x:c>
      <x:c r="N101" s="24" t="str">
        <x:v>anguilla anguilla</x:v>
      </x:c>
      <x:c r="O101" s="32" t="n">
        <x:v>3.55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Anguilla anguilla</x:v>
      </x:c>
      <x:c r="T101" s="32" t="n">
        <x:f>IF(O101="","",(1/'Metadata'!$B$5)^(O101-1))</x:f>
        <x:v>354.8133892335753</x:v>
      </x:c>
      <x:c r="U101" s="31" t="n">
        <x:f>IF(T101="","",I101*T101)</x:f>
        <x:v>0.4236762104801282</x:v>
      </x:c>
    </x:row>
    <x:row r="102" ht="18" customHeight="1">
      <x:c r="A102" s="24" t="str">
        <x:v>EEZ_234</x:v>
      </x:c>
      <x:c r="B102" s="24" t="str">
        <x:v>Faeroe Isl. (Denmark)</x:v>
      </x:c>
      <x:c r="C102" s="24" t="str">
        <x:v>EEZ</x:v>
      </x:c>
      <x:c r="D102" s="30" t="n">
        <x:v>2019</x:v>
      </x:c>
      <x:c r="E102" s="24" t="str">
        <x:v>Pecten maximus</x:v>
      </x:c>
      <x:c r="F102" s="24" t="str">
        <x:v>Great Atlantic scallop</x:v>
      </x:c>
      <x:c r="G102" s="24" t="str">
        <x:v>Other demersal invertebrates</x:v>
      </x:c>
      <x:c r="H102" s="24" t="str">
        <x:v>Molluscs</x:v>
      </x:c>
      <x:c r="I102" s="31" t="n">
        <x:v>0.00028182099999999997</x:v>
      </x:c>
      <x:c r="J102" s="31" t="n">
        <x:v>0.00028182099999999997</x:v>
      </x:c>
      <x:c r="K102" s="31" t="n">
        <x:v>0</x:v>
      </x:c>
      <x:c r="L102" s="31" t="n">
        <x:v>0.00028182099999999997</x:v>
      </x:c>
      <x:c r="M102" s="31" t="n">
        <x:v>0</x:v>
      </x:c>
      <x:c r="N102" s="24" t="str">
        <x:v>pecten maximus</x:v>
      </x:c>
      <x:c r="O102" s="32" t="n">
        <x:v>2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Pecten maximus</x:v>
      </x:c>
      <x:c r="T102" s="32" t="n">
        <x:f>IF(O102="","",(1/'Metadata'!$B$5)^(O102-1))</x:f>
        <x:v>10</x:v>
      </x:c>
      <x:c r="U102" s="31" t="n">
        <x:f>IF(T102="","",I102*T102)</x:f>
        <x:v>0.00281821</x:v>
      </x:c>
    </x:row>
    <x:row r="103" ht="18" customHeight="1">
      <x:c r="A103" s="24" t="str">
        <x:v>EEZ_234</x:v>
      </x:c>
      <x:c r="B103" s="24" t="str">
        <x:v>Faeroe Isl. (Denmark)</x:v>
      </x:c>
      <x:c r="C103" s="24" t="str">
        <x:v>EEZ</x:v>
      </x:c>
      <x:c r="D103" s="30" t="n">
        <x:v>2019</x:v>
      </x:c>
      <x:c r="E103" s="24" t="str">
        <x:v>Crangon crangon</x:v>
      </x:c>
      <x:c r="F103" s="24" t="str">
        <x:v>Common shrimp</x:v>
      </x:c>
      <x:c r="G103" s="24" t="str">
        <x:v>Shrimps</x:v>
      </x:c>
      <x:c r="H103" s="24" t="str">
        <x:v>Crustaceans</x:v>
      </x:c>
      <x:c r="I103" s="31" t="n">
        <x:v>0.0000900793</x:v>
      </x:c>
      <x:c r="J103" s="31" t="n">
        <x:v>0.0000900793</x:v>
      </x:c>
      <x:c r="K103" s="31" t="n">
        <x:v>0</x:v>
      </x:c>
      <x:c r="L103" s="31" t="n">
        <x:v>0.0000900793</x:v>
      </x:c>
      <x:c r="M103" s="31" t="n">
        <x:v>0</x:v>
      </x:c>
      <x:c r="N103" s="24" t="str">
        <x:v>crangon crangon</x:v>
      </x:c>
      <x:c r="O103" s="32" t="n">
        <x:v>3.19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Crangon crangon</x:v>
      </x:c>
      <x:c r="T103" s="32" t="n">
        <x:f>IF(O103="","",(1/'Metadata'!$B$5)^(O103-1))</x:f>
        <x:v>154.88166189124811</x:v>
      </x:c>
      <x:c r="U103" s="31" t="n">
        <x:f>IF(T103="","",I103*T103)</x:f>
        <x:v>0.013951631686000306</x:v>
      </x:c>
    </x:row>
    <x:row r="104" ht="18" customHeight="1">
      <x:c r="A104" s="24" t="str">
        <x:v>EEZ_234</x:v>
      </x:c>
      <x:c r="B104" s="24" t="str">
        <x:v>Faeroe Isl. (Denmark)</x:v>
      </x:c>
      <x:c r="C104" s="24" t="str">
        <x:v>EEZ</x:v>
      </x:c>
      <x:c r="D104" s="30" t="n">
        <x:v>2019</x:v>
      </x:c>
      <x:c r="E104" s="24" t="str">
        <x:v>Solea solea</x:v>
      </x:c>
      <x:c r="F104" s="24" t="str">
        <x:v>Common sole</x:v>
      </x:c>
      <x:c r="G104" s="24" t="str">
        <x:v>Small to medium flatfishes (&lt;90 cm)</x:v>
      </x:c>
      <x:c r="H104" s="24" t="str">
        <x:v>Flatfishes</x:v>
      </x:c>
      <x:c r="I104" s="31" t="n">
        <x:v>0.00006645010000000001</x:v>
      </x:c>
      <x:c r="J104" s="31" t="n">
        <x:v>0.00006645010000000001</x:v>
      </x:c>
      <x:c r="K104" s="31" t="n">
        <x:v>0</x:v>
      </x:c>
      <x:c r="L104" s="31" t="n">
        <x:v>0.00006645010000000001</x:v>
      </x:c>
      <x:c r="M104" s="31" t="n">
        <x:v>0</x:v>
      </x:c>
      <x:c r="N104" s="24" t="str">
        <x:v>solea solea</x:v>
      </x:c>
      <x:c r="O104" s="32" t="n">
        <x:v>3.21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Solea solea</x:v>
      </x:c>
      <x:c r="T104" s="32" t="n">
        <x:f>IF(O104="","",(1/'Metadata'!$B$5)^(O104-1))</x:f>
        <x:v>162.18100973589299</x:v>
      </x:c>
      <x:c r="U104" s="31" t="n">
        <x:f>IF(T104="","",I104*T104)</x:f>
        <x:v>0.010776944315051063</x:v>
      </x:c>
    </x:row>
    <x:row r="105" ht="18" customHeight="1">
      <x:c r="A105" s="24" t="str">
        <x:v>EEZ_234</x:v>
      </x:c>
      <x:c r="B105" s="24" t="str">
        <x:v>Faeroe Isl. (Denmark)</x:v>
      </x:c>
      <x:c r="C105" s="24" t="str">
        <x:v>EEZ</x:v>
      </x:c>
      <x:c r="D105" s="30" t="n">
        <x:v>2019</x:v>
      </x:c>
      <x:c r="E105" s="24" t="str">
        <x:v>Pandalus</x:v>
      </x:c>
      <x:c r="F105" s="24" t="str">
        <x:v>Seabed shrimps</x:v>
      </x:c>
      <x:c r="G105" s="24" t="str">
        <x:v>Shrimps</x:v>
      </x:c>
      <x:c r="H105" s="24" t="str">
        <x:v>Crustaceans</x:v>
      </x:c>
      <x:c r="I105" s="31" t="n">
        <x:v>0.0000079909</x:v>
      </x:c>
      <x:c r="J105" s="31" t="n">
        <x:v>0.0000079909</x:v>
      </x:c>
      <x:c r="K105" s="31" t="n">
        <x:v>0</x:v>
      </x:c>
      <x:c r="L105" s="31" t="n">
        <x:v>0.0000079909</x:v>
      </x:c>
      <x:c r="M105" s="31" t="n">
        <x:v>0</x:v>
      </x:c>
      <x:c r="N105" s="24" t="str">
        <x:v>pandalus</x:v>
      </x:c>
      <x:c r="O105" s="32" t="n">
        <x:v>2.6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Pandalus</x:v>
      </x:c>
      <x:c r="T105" s="32" t="n">
        <x:f>IF(O105="","",(1/'Metadata'!$B$5)^(O105-1))</x:f>
        <x:v>39.810717055349734</x:v>
      </x:c>
      <x:c r="U105" s="31" t="n">
        <x:f>IF(T105="","",I105*T105)</x:f>
        <x:v>0.0003181234589175942</x:v>
      </x:c>
    </x:row>
  </x:sheetData>
  <x:conditionalFormatting sqref="R2:R10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de55295ae0f4d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18</x:v>
      </x:c>
      <x:c r="C2" s="33" t="n">
        <x:v>18</x:v>
      </x:c>
      <x:c r="D2" s="31" t="n">
        <x:v>366765.64756317995</x:v>
      </x:c>
      <x:c r="E2" s="31" t="n">
        <x:v>366765.64756317995</x:v>
      </x:c>
      <x:c r="F2" s="32" t="n">
        <x:v>0</x:v>
      </x:c>
      <x:c r="G2" s="34" t="n">
        <x:v>1</x:v>
      </x:c>
      <x:c r="H2" s="32" t="n">
        <x:f>IF(E2=0,"",I2/E2)</x:f>
        <x:v>1351.673164858768</x:v>
      </x:c>
      <x:c r="I2" s="31" t="n">
        <x:f>IF(C2=0,"",SUMIF('Species'!$H$2:$H$105,A2,'Species'!$U$2:$U$105))</x:f>
        <x:v>495747283.6031989</x:v>
      </x:c>
      <x:c r="J2" s="32" t="n">
        <x:v>4.127527269795051</x:v>
      </x:c>
      <x:c r="K2" s="32" t="n">
        <x:f>IF(J2="","",(1/'Metadata'!$B$5)^(J2-1))</x:f>
        <x:v>1341.3041546220297</x:v>
      </x:c>
      <x:c r="L2" s="31" t="n">
        <x:f>IF(E2=0,"",E2*K2)</x:f>
        <x:v>491944286.84913236</x:v>
      </x:c>
      <x:c r="M2" s="31" t="n">
        <x:f>IF(E2=0,"",I2-L2)</x:f>
        <x:v>3802996.754066527</x:v>
      </x:c>
      <x:c r="N2" s="32" t="n">
        <x:f>IF(L2=0,"",I2/L2)</x:f>
        <x:v>1.0077305435914796</x:v>
      </x:c>
      <x:c r="O2" s="34" t="n">
        <x:f>IF(L2=0,"",M2/L2)</x:f>
        <x:v>0.007730543591479528</x:v>
      </x:c>
    </x:row>
    <x:row r="3" ht="18" customHeight="1">
      <x:c r="A3" s="24" t="str">
        <x:v>Crustaceans</x:v>
      </x:c>
      <x:c r="B3" s="33" t="n">
        <x:v>9</x:v>
      </x:c>
      <x:c r="C3" s="33" t="n">
        <x:v>9</x:v>
      </x:c>
      <x:c r="D3" s="31" t="n">
        <x:v>111.63080107409999</x:v>
      </x:c>
      <x:c r="E3" s="31" t="n">
        <x:v>111.63080107409999</x:v>
      </x:c>
      <x:c r="F3" s="32" t="n">
        <x:v>0</x:v>
      </x:c>
      <x:c r="G3" s="34" t="n">
        <x:v>1</x:v>
      </x:c>
      <x:c r="H3" s="32" t="n">
        <x:f>IF(E3=0,"",I3/E3)</x:f>
        <x:v>64.45973785960857</x:v>
      </x:c>
      <x:c r="I3" s="31" t="n">
        <x:f>IF(C3=0,"",SUMIF('Species'!$H$2:$H$105,A3,'Species'!$U$2:$U$105))</x:f>
        <x:v>7195.692174294596</x:v>
      </x:c>
      <x:c r="J3" s="32" t="n">
        <x:v>2.7646484749593223</x:v>
      </x:c>
      <x:c r="K3" s="32" t="n">
        <x:f>IF(J3="","",(1/'Metadata'!$B$5)^(J3-1))</x:f>
        <x:v>58.163224455978344</x:v>
      </x:c>
      <x:c r="L3" s="31" t="n">
        <x:f>IF(E3=0,"",E3*K3)</x:f>
        <x:v>6492.807339073546</x:v>
      </x:c>
      <x:c r="M3" s="31" t="n">
        <x:f>IF(E3=0,"",I3-L3)</x:f>
        <x:v>702.8848352210498</x:v>
      </x:c>
      <x:c r="N3" s="32" t="n">
        <x:f>IF(L3=0,"",I3/L3)</x:f>
        <x:v>1.1082559205154767</x:v>
      </x:c>
      <x:c r="O3" s="34" t="n">
        <x:f>IF(L3=0,"",M3/L3)</x:f>
        <x:v>0.10825592051547674</x:v>
      </x:c>
    </x:row>
    <x:row r="4" ht="18" customHeight="1">
      <x:c r="A4" s="24" t="str">
        <x:v>Flatfishes</x:v>
      </x:c>
      <x:c r="B4" s="33" t="n">
        <x:v>14</x:v>
      </x:c>
      <x:c r="C4" s="33" t="n">
        <x:v>14</x:v>
      </x:c>
      <x:c r="D4" s="31" t="n">
        <x:v>3088.9584391884996</x:v>
      </x:c>
      <x:c r="E4" s="31" t="n">
        <x:v>3088.9584391884996</x:v>
      </x:c>
      <x:c r="F4" s="32" t="n">
        <x:v>0</x:v>
      </x:c>
      <x:c r="G4" s="34" t="n">
        <x:v>1</x:v>
      </x:c>
      <x:c r="H4" s="32" t="n">
        <x:f>IF(E4=0,"",I4/E4)</x:f>
        <x:v>1761.7913865412943</x:v>
      </x:c>
      <x:c r="I4" s="31" t="n">
        <x:f>IF(C4=0,"",SUMIF('Species'!$H$2:$H$105,A4,'Species'!$U$2:$U$105))</x:f>
        <x:v>5442100.371546339</x:v>
      </x:c>
      <x:c r="J4" s="32" t="n">
        <x:v>4.059680524327518</x:v>
      </x:c>
      <x:c r="K4" s="32" t="n">
        <x:f>IF(J4="","",(1/'Metadata'!$B$5)^(J4-1))</x:f>
        <x:v>1147.3093273983566</x:v>
      </x:c>
      <x:c r="L4" s="31" t="n">
        <x:f>IF(E4=0,"",E4*K4)</x:f>
        <x:v>3543990.8292268347</x:v>
      </x:c>
      <x:c r="M4" s="31" t="n">
        <x:f>IF(E4=0,"",I4-L4)</x:f>
        <x:v>1898109.5423195045</x:v>
      </x:c>
      <x:c r="N4" s="32" t="n">
        <x:f>IF(L4=0,"",I4/L4)</x:f>
        <x:v>1.5355853425652348</x:v>
      </x:c>
      <x:c r="O4" s="34" t="n">
        <x:f>IF(L4=0,"",M4/L4)</x:f>
        <x:v>0.5355853425652347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97850.11044760559</x:v>
      </x:c>
      <x:c r="E5" s="31" t="n">
        <x:v>97850.11044760559</x:v>
      </x:c>
      <x:c r="F5" s="32" t="n">
        <x:v>0</x:v>
      </x:c>
      <x:c r="G5" s="34" t="n">
        <x:v>1</x:v>
      </x:c>
      <x:c r="H5" s="32" t="n">
        <x:f>IF(E5=0,"",I5/E5)</x:f>
        <x:v>239.8561937021472</x:v>
      </x:c>
      <x:c r="I5" s="31" t="n">
        <x:f>IF(C5=0,"",SUMIF('Species'!$H$2:$H$105,A5,'Species'!$U$2:$U$105))</x:f>
        <x:v>23469955.045297384</x:v>
      </x:c>
      <x:c r="J5" s="32" t="n">
        <x:v>3.3799374696161055</x:v>
      </x:c>
      <x:c r="K5" s="32" t="n">
        <x:f>IF(J5="","",(1/'Metadata'!$B$5)^(J5-1))</x:f>
        <x:v>239.8487556249567</x:v>
      </x:c>
      <x:c r="L5" s="31" t="n">
        <x:f>IF(E5=0,"",E5*K5)</x:f>
        <x:v>23469227.228622776</x:v>
      </x:c>
      <x:c r="M5" s="31" t="n">
        <x:f>IF(E5=0,"",I5-L5)</x:f>
        <x:v>727.8166746087372</x:v>
      </x:c>
      <x:c r="N5" s="32" t="n">
        <x:f>IF(L5=0,"",I5/L5)</x:f>
        <x:v>1.0000310115312925</x:v>
      </x:c>
      <x:c r="O5" s="34" t="n">
        <x:f>IF(L5=0,"",M5/L5)</x:f>
        <x:v>0.00003101153129239386</x:v>
      </x:c>
    </x:row>
    <x:row r="6" ht="18" customHeight="1">
      <x:c r="A6" s="24" t="str">
        <x:v>Molluscs</x:v>
      </x:c>
      <x:c r="B6" s="33" t="n">
        <x:v>5</x:v>
      </x:c>
      <x:c r="C6" s="33" t="n">
        <x:v>5</x:v>
      </x:c>
      <x:c r="D6" s="31" t="n">
        <x:v>5554.1009274917</x:v>
      </x:c>
      <x:c r="E6" s="31" t="n">
        <x:v>5554.1009274917</x:v>
      </x:c>
      <x:c r="F6" s="32" t="n">
        <x:v>0</x:v>
      </x:c>
      <x:c r="G6" s="34" t="n">
        <x:v>1</x:v>
      </x:c>
      <x:c r="H6" s="32" t="n">
        <x:f>IF(E6=0,"",I6/E6)</x:f>
        <x:v>10.193386792313394</x:v>
      </x:c>
      <x:c r="I6" s="31" t="n">
        <x:f>IF(C6=0,"",SUMIF('Species'!$H$2:$H$105,A6,'Species'!$U$2:$U$105))</x:f>
        <x:v>56615.09903746947</x:v>
      </x:c>
      <x:c r="J6" s="32" t="n">
        <x:v>2.0023850219873687</x:v>
      </x:c>
      <x:c r="K6" s="32" t="n">
        <x:f>IF(J6="","",(1/'Metadata'!$B$5)^(J6-1))</x:f>
        <x:v>10.05506823189301</x:v>
      </x:c>
      <x:c r="L6" s="31" t="n">
        <x:f>IF(E6=0,"",E6*K6)</x:f>
        <x:v>55846.86379274929</x:v>
      </x:c>
      <x:c r="M6" s="31" t="n">
        <x:f>IF(E6=0,"",I6-L6)</x:f>
        <x:v>768.2352447201774</x:v>
      </x:c>
      <x:c r="N6" s="32" t="n">
        <x:f>IF(L6=0,"",I6/L6)</x:f>
        <x:v>1.0137561036116753</x:v>
      </x:c>
      <x:c r="O6" s="34" t="n">
        <x:f>IF(L6=0,"",M6/L6)</x:f>
        <x:v>0.013756103611675306</x:v>
      </x:c>
    </x:row>
    <x:row r="7" ht="18" customHeight="1">
      <x:c r="A7" s="24" t="str">
        <x:v>Other fishes &amp; inverts</x:v>
      </x:c>
      <x:c r="B7" s="33" t="n">
        <x:v>15</x:v>
      </x:c>
      <x:c r="C7" s="33" t="n">
        <x:v>15</x:v>
      </x:c>
      <x:c r="D7" s="31" t="n">
        <x:v>26988.684557198296</x:v>
      </x:c>
      <x:c r="E7" s="31" t="n">
        <x:v>26988.684557198296</x:v>
      </x:c>
      <x:c r="F7" s="32" t="n">
        <x:v>0</x:v>
      </x:c>
      <x:c r="G7" s="34" t="n">
        <x:v>1</x:v>
      </x:c>
      <x:c r="H7" s="32" t="n">
        <x:f>IF(E7=0,"",I7/E7)</x:f>
        <x:v>451.8696426841936</x:v>
      </x:c>
      <x:c r="I7" s="31" t="n">
        <x:f>IF(C7=0,"",SUMIF('Species'!$H$2:$H$105,A7,'Species'!$U$2:$U$105))</x:f>
        <x:v>12195367.247377608</x:v>
      </x:c>
      <x:c r="J7" s="32" t="n">
        <x:v>3.3975901420975263</x:v>
      </x:c>
      <x:c r="K7" s="32" t="n">
        <x:f>IF(J7="","",(1/'Metadata'!$B$5)^(J7-1))</x:f>
        <x:v>249.79868171189685</x:v>
      </x:c>
      <x:c r="L7" s="31" t="n">
        <x:f>IF(E7=0,"",E7*K7)</x:f>
        <x:v>6741737.823526363</x:v>
      </x:c>
      <x:c r="M7" s="31" t="n">
        <x:f>IF(E7=0,"",I7-L7)</x:f>
        <x:v>5453629.423851245</x:v>
      </x:c>
      <x:c r="N7" s="32" t="n">
        <x:f>IF(L7=0,"",I7/L7)</x:f>
        <x:v>1.8089352577342803</x:v>
      </x:c>
      <x:c r="O7" s="34" t="n">
        <x:f>IF(L7=0,"",M7/L7)</x:f>
        <x:v>0.8089352577342804</x:v>
      </x:c>
    </x:row>
    <x:row r="8" ht="18" customHeight="1">
      <x:c r="A8" s="24" t="str">
        <x:v>Perch-likes</x:v>
      </x:c>
      <x:c r="B8" s="33" t="n">
        <x:v>13</x:v>
      </x:c>
      <x:c r="C8" s="33" t="n">
        <x:v>13</x:v>
      </x:c>
      <x:c r="D8" s="31" t="n">
        <x:v>51928.590562487094</x:v>
      </x:c>
      <x:c r="E8" s="31" t="n">
        <x:v>51928.590562487094</x:v>
      </x:c>
      <x:c r="F8" s="32" t="n">
        <x:v>0</x:v>
      </x:c>
      <x:c r="G8" s="34" t="n">
        <x:v>1</x:v>
      </x:c>
      <x:c r="H8" s="32" t="n">
        <x:f>IF(E8=0,"",I8/E8)</x:f>
        <x:v>454.7229121841949</x:v>
      </x:c>
      <x:c r="I8" s="31" t="n">
        <x:f>IF(C8=0,"",SUMIF('Species'!$H$2:$H$105,A8,'Species'!$U$2:$U$105))</x:f>
        <x:v>23613119.92619483</x:v>
      </x:c>
      <x:c r="J8" s="32" t="n">
        <x:v>3.639241140981387</x:v>
      </x:c>
      <x:c r="K8" s="32" t="n">
        <x:f>IF(J8="","",(1/'Metadata'!$B$5)^(J8-1))</x:f>
        <x:v>435.75375776742356</x:v>
      </x:c>
      <x:c r="L8" s="31" t="n">
        <x:f>IF(E8=0,"",E8*K8)</x:f>
        <x:v>22628078.473169718</x:v>
      </x:c>
      <x:c r="M8" s="31" t="n">
        <x:f>IF(E8=0,"",I8-L8)</x:f>
        <x:v>985041.4530251138</x:v>
      </x:c>
      <x:c r="N8" s="32" t="n">
        <x:f>IF(L8=0,"",I8/L8)</x:f>
        <x:v>1.043531820618047</x:v>
      </x:c>
      <x:c r="O8" s="34" t="n">
        <x:f>IF(L8=0,"",M8/L8)</x:f>
        <x:v>0.043531820618046946</x:v>
      </x:c>
    </x:row>
    <x:row r="9" ht="18" customHeight="1">
      <x:c r="A9" s="24" t="str">
        <x:v>Salmon, smelts, etc</x:v>
      </x:c>
      <x:c r="B9" s="33" t="n">
        <x:v>3</x:v>
      </x:c>
      <x:c r="C9" s="33" t="n">
        <x:v>3</x:v>
      </x:c>
      <x:c r="D9" s="31" t="n">
        <x:v>18787.2447141812</x:v>
      </x:c>
      <x:c r="E9" s="31" t="n">
        <x:v>18787.2447141812</x:v>
      </x:c>
      <x:c r="F9" s="32" t="n">
        <x:v>0</x:v>
      </x:c>
      <x:c r="G9" s="34" t="n">
        <x:v>1</x:v>
      </x:c>
      <x:c r="H9" s="32" t="n">
        <x:f>IF(E9=0,"",I9/E9)</x:f>
        <x:v>223.86516418346469</x:v>
      </x:c>
      <x:c r="I9" s="31" t="n">
        <x:f>IF(C9=0,"",SUMIF('Species'!$H$2:$H$105,A9,'Species'!$U$2:$U$105))</x:f>
        <x:v>4205809.622495104</x:v>
      </x:c>
      <x:c r="J9" s="32" t="n">
        <x:v>3.349984490600484</x:v>
      </x:c>
      <x:c r="K9" s="32" t="n">
        <x:f>IF(J9="","",(1/'Metadata'!$B$5)^(J9-1))</x:f>
        <x:v>223.86411914310392</x:v>
      </x:c>
      <x:c r="L9" s="31" t="n">
        <x:f>IF(E9=0,"",E9*K9)</x:f>
        <x:v>4205789.98906611</x:v>
      </x:c>
      <x:c r="M9" s="31" t="n">
        <x:f>IF(E9=0,"",I9-L9)</x:f>
        <x:v>19.63342899363488</x:v>
      </x:c>
      <x:c r="N9" s="32" t="n">
        <x:f>IF(L9=0,"",I9/L9)</x:f>
        <x:v>1.000004668190529</x:v>
      </x:c>
      <x:c r="O9" s="34" t="n">
        <x:f>IF(L9=0,"",M9/L9)</x:f>
        <x:v>0.000004668190528931868</x:v>
      </x:c>
    </x:row>
    <x:row r="10" ht="18" customHeight="1">
      <x:c r="A10" s="24" t="str">
        <x:v>Scorpionfishes</x:v>
      </x:c>
      <x:c r="B10" s="33" t="n">
        <x:v>9</x:v>
      </x:c>
      <x:c r="C10" s="33" t="n">
        <x:v>9</x:v>
      </x:c>
      <x:c r="D10" s="31" t="n">
        <x:v>1963.8113129739</x:v>
      </x:c>
      <x:c r="E10" s="31" t="n">
        <x:v>1963.8113129739</x:v>
      </x:c>
      <x:c r="F10" s="32" t="n">
        <x:v>0</x:v>
      </x:c>
      <x:c r="G10" s="34" t="n">
        <x:v>1</x:v>
      </x:c>
      <x:c r="H10" s="32" t="n">
        <x:f>IF(E10=0,"",I10/E10)</x:f>
        <x:v>586.192061674837</x:v>
      </x:c>
      <x:c r="I10" s="31" t="n">
        <x:f>IF(C10=0,"",SUMIF('Species'!$H$2:$H$105,A10,'Species'!$U$2:$U$105))</x:f>
        <x:v>1151170.6022925389</x:v>
      </x:c>
      <x:c r="J10" s="32" t="n">
        <x:v>3.7645933194303547</x:v>
      </x:c>
      <x:c r="K10" s="32" t="n">
        <x:f>IF(J10="","",(1/'Metadata'!$B$5)^(J10-1))</x:f>
        <x:v>581.5583817813311</x:v>
      </x:c>
      <x:c r="L10" s="31" t="n">
        <x:f>IF(E10=0,"",E10*K10)</x:f>
        <x:v>1142070.9292969725</x:v>
      </x:c>
      <x:c r="M10" s="31" t="n">
        <x:f>IF(E10=0,"",I10-L10)</x:f>
        <x:v>9099.67299556639</x:v>
      </x:c>
      <x:c r="N10" s="32" t="n">
        <x:f>IF(L10=0,"",I10/L10)</x:f>
        <x:v>1.0079676951423393</x:v>
      </x:c>
      <x:c r="O10" s="34" t="n">
        <x:f>IF(L10=0,"",M10/L10)</x:f>
        <x:v>0.007967695142339276</x:v>
      </x:c>
    </x:row>
    <x:row r="11" ht="18" customHeight="1">
      <x:c r="A11" s="24" t="str">
        <x:v>Sharks &amp; rays</x:v>
      </x:c>
      <x:c r="B11" s="33" t="n">
        <x:v>16</x:v>
      </x:c>
      <x:c r="C11" s="33" t="n">
        <x:v>16</x:v>
      </x:c>
      <x:c r="D11" s="31" t="n">
        <x:v>287.21538161899997</x:v>
      </x:c>
      <x:c r="E11" s="31" t="n">
        <x:v>287.21538161899997</x:v>
      </x:c>
      <x:c r="F11" s="32" t="n">
        <x:v>0</x:v>
      </x:c>
      <x:c r="G11" s="34" t="n">
        <x:v>1</x:v>
      </x:c>
      <x:c r="H11" s="32" t="n">
        <x:f>IF(E11=0,"",I11/E11)</x:f>
        <x:v>1047.5666390699862</x:v>
      </x:c>
      <x:c r="I11" s="31" t="n">
        <x:f>IF(C11=0,"",SUMIF('Species'!$H$2:$H$105,A11,'Species'!$U$2:$U$105))</x:f>
        <x:v>300877.2520118193</x:v>
      </x:c>
      <x:c r="J11" s="32" t="n">
        <x:v>3.914567678484992</x:v>
      </x:c>
      <x:c r="K11" s="32" t="n">
        <x:f>IF(J11="","",(1/'Metadata'!$B$5)^(J11-1))</x:f>
        <x:v>821.4245499424019</x:v>
      </x:c>
      <x:c r="L11" s="31" t="n">
        <x:f>IF(E11=0,"",E11*K11)</x:f>
        <x:v>235925.76558292226</x:v>
      </x:c>
      <x:c r="M11" s="31" t="n">
        <x:f>IF(E11=0,"",I11-L11)</x:f>
        <x:v>64951.48642889701</x:v>
      </x:c>
      <x:c r="N11" s="32" t="n">
        <x:f>IF(L11=0,"",I11/L11)</x:f>
        <x:v>1.2753047606666263</x:v>
      </x:c>
      <x:c r="O11" s="34" t="n">
        <x:f>IF(L11=0,"",M11/L11)</x:f>
        <x:v>0.2753047606666264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045f86dd89a46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92.0823955691</x:v>
      </x:c>
      <x:c r="E2" s="31" t="n">
        <x:v>92.0823955691</x:v>
      </x:c>
      <x:c r="F2" s="32" t="n">
        <x:v>0</x:v>
      </x:c>
      <x:c r="G2" s="34" t="n">
        <x:v>1</x:v>
      </x:c>
      <x:c r="H2" s="32" t="n">
        <x:f>IF(E2=0,"",I2/E2)</x:f>
        <x:v>954.470124545787</x:v>
      </x:c>
      <x:c r="I2" s="31" t="n">
        <x:f>IF(C2=0,"",SUMIF('Species'!$G$2:$G$105,A2,'Species'!$U$2:$U$105))</x:f>
        <x:v>87889.8955673133</x:v>
      </x:c>
      <x:c r="J2" s="32" t="n">
        <x:v>3.9795094378812825</x:v>
      </x:c>
      <x:c r="K2" s="32" t="n">
        <x:f>IF(J2="","",(1/'Metadata'!$B$5)^(J2-1))</x:f>
        <x:v>953.9144726322712</x:v>
      </x:c>
      <x:c r="L2" s="31" t="n">
        <x:f>IF(E2=0,"",E2*K2)</x:f>
        <x:v>87838.72980801422</x:v>
      </x:c>
      <x:c r="M2" s="31" t="n">
        <x:f>IF(E2=0,"",I2-L2)</x:f>
        <x:v>51.1657592990814</x:v>
      </x:c>
      <x:c r="N2" s="32" t="n">
        <x:f>IF(L2=0,"",I2/L2)</x:f>
        <x:v>1.000582496575382</x:v>
      </x:c>
      <x:c r="O2" s="34" t="n">
        <x:f>IF(L2=0,"",M2/L2)</x:f>
        <x:v>0.0005824965753820947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2622.1929192933</x:v>
      </x:c>
      <x:c r="E3" s="31" t="n">
        <x:v>2622.1929192933</x:v>
      </x:c>
      <x:c r="F3" s="32" t="n">
        <x:v>0</x:v>
      </x:c>
      <x:c r="G3" s="34" t="n">
        <x:v>1</x:v>
      </x:c>
      <x:c r="H3" s="32" t="n">
        <x:f>IF(E3=0,"",I3/E3)</x:f>
        <x:v>2806.813211224822</x:v>
      </x:c>
      <x:c r="I3" s="31" t="n">
        <x:f>IF(C3=0,"",SUMIF('Species'!$G$2:$G$105,A3,'Species'!$U$2:$U$105))</x:f>
        <x:v>7360005.728252618</x:v>
      </x:c>
      <x:c r="J3" s="32" t="n">
        <x:v>4.448004056816334</x:v>
      </x:c>
      <x:c r="K3" s="32" t="n">
        <x:f>IF(J3="","",(1/'Metadata'!$B$5)^(J3-1))</x:f>
        <x:v>2805.4598440921022</x:v>
      </x:c>
      <x:c r="L3" s="31" t="n">
        <x:f>IF(E3=0,"",E3*K3)</x:f>
        <x:v>7356456.938539996</x:v>
      </x:c>
      <x:c r="M3" s="31" t="n">
        <x:f>IF(E3=0,"",I3-L3)</x:f>
        <x:v>3548.7897126218304</x:v>
      </x:c>
      <x:c r="N3" s="32" t="n">
        <x:f>IF(L3=0,"",I3/L3)</x:f>
        <x:v>1.0004824047421566</x:v>
      </x:c>
      <x:c r="O3" s="34" t="n">
        <x:f>IF(L3=0,"",M3/L3)</x:f>
        <x:v>0.0004824047421565066</x:v>
      </x:c>
    </x:row>
    <x:row r="4" ht="18" customHeight="1">
      <x:c r="A4" s="24" t="str">
        <x:v>Large bathypelagics (&gt;=90 cm)</x:v>
      </x:c>
      <x:c r="B4" s="33" t="n">
        <x:v>2</x:v>
      </x:c>
      <x:c r="C4" s="33" t="n">
        <x:v>2</x:v>
      </x:c>
      <x:c r="D4" s="31" t="n">
        <x:v>47.3148323582</x:v>
      </x:c>
      <x:c r="E4" s="31" t="n">
        <x:v>47.3148323582</x:v>
      </x:c>
      <x:c r="F4" s="32" t="n">
        <x:v>0</x:v>
      </x:c>
      <x:c r="G4" s="34" t="n">
        <x:v>1</x:v>
      </x:c>
      <x:c r="H4" s="32" t="n">
        <x:f>IF(E4=0,"",I4/E4)</x:f>
        <x:v>355.06098471372496</x:v>
      </x:c>
      <x:c r="I4" s="31" t="n">
        <x:f>IF(C4=0,"",SUMIF('Species'!$G$2:$G$105,A4,'Species'!$U$2:$U$105))</x:f>
        <x:v>16799.65096866731</x:v>
      </x:c>
      <x:c r="J4" s="32" t="n">
        <x:v>3.544311544389624</x:v>
      </x:c>
      <x:c r="K4" s="32" t="n">
        <x:f>IF(J4="","",(1/'Metadata'!$B$5)^(J4-1))</x:f>
        <x:v>350.1962928698193</x:v>
      </x:c>
      <x:c r="L4" s="31" t="n">
        <x:f>IF(E4=0,"",E4*K4)</x:f>
        <x:v>16569.47888959861</x:v>
      </x:c>
      <x:c r="M4" s="31" t="n">
        <x:f>IF(E4=0,"",I4-L4)</x:f>
        <x:v>230.17207906869953</x:v>
      </x:c>
      <x:c r="N4" s="32" t="n">
        <x:f>IF(L4=0,"",I4/L4)</x:f>
        <x:v>1.013891328786036</x:v>
      </x:c>
      <x:c r="O4" s="34" t="n">
        <x:f>IF(L4=0,"",M4/L4)</x:f>
        <x:v>0.013891328786036154</x:v>
      </x:c>
    </x:row>
    <x:row r="5" ht="18" customHeight="1">
      <x:c r="A5" s="24" t="str">
        <x:v>Large benthopelagics (&gt;=90 cm)</x:v>
      </x:c>
      <x:c r="B5" s="33" t="n">
        <x:v>5</x:v>
      </x:c>
      <x:c r="C5" s="33" t="n">
        <x:v>5</x:v>
      </x:c>
      <x:c r="D5" s="31" t="n">
        <x:v>39256.068657656506</x:v>
      </x:c>
      <x:c r="E5" s="31" t="n">
        <x:v>39256.068657656506</x:v>
      </x:c>
      <x:c r="F5" s="32" t="n">
        <x:v>0</x:v>
      </x:c>
      <x:c r="G5" s="34" t="n">
        <x:v>1</x:v>
      </x:c>
      <x:c r="H5" s="32" t="n">
        <x:f>IF(E5=0,"",I5/E5)</x:f>
        <x:v>1255.0656396522963</x:v>
      </x:c>
      <x:c r="I5" s="31" t="n">
        <x:f>IF(C5=0,"",SUMIF('Species'!$G$2:$G$105,A5,'Species'!$U$2:$U$105))</x:f>
        <x:v>49268942.92005613</x:v>
      </x:c>
      <x:c r="J5" s="32" t="n">
        <x:v>4.095428244584507</x:v>
      </x:c>
      <x:c r="K5" s="32" t="n">
        <x:f>IF(J5="","",(1/'Metadata'!$B$5)^(J5-1))</x:f>
        <x:v>1245.7423950327689</x:v>
      </x:c>
      <x:c r="L5" s="31" t="n">
        <x:f>IF(E5=0,"",E5*K5)</x:f>
        <x:v>48902948.98915983</x:v>
      </x:c>
      <x:c r="M5" s="31" t="n">
        <x:f>IF(E5=0,"",I5-L5)</x:f>
        <x:v>365993.9308962971</x:v>
      </x:c>
      <x:c r="N5" s="32" t="n">
        <x:f>IF(L5=0,"",I5/L5)</x:f>
        <x:v>1.0074840871248363</x:v>
      </x:c>
      <x:c r="O5" s="34" t="n">
        <x:f>IF(L5=0,"",M5/L5)</x:f>
        <x:v>0.007484087124836293</x:v>
      </x:c>
    </x:row>
    <x:row r="6" ht="18" customHeight="1">
      <x:c r="A6" s="24" t="str">
        <x:v>Large demersals (&gt;=90 cm)</x:v>
      </x:c>
      <x:c r="B6" s="33" t="n">
        <x:v>10</x:v>
      </x:c>
      <x:c r="C6" s="33" t="n">
        <x:v>10</x:v>
      </x:c>
      <x:c r="D6" s="31" t="n">
        <x:v>9357.069111680601</x:v>
      </x:c>
      <x:c r="E6" s="31" t="n">
        <x:v>9357.069111680601</x:v>
      </x:c>
      <x:c r="F6" s="32" t="n">
        <x:v>0</x:v>
      </x:c>
      <x:c r="G6" s="34" t="n">
        <x:v>1</x:v>
      </x:c>
      <x:c r="H6" s="32" t="n">
        <x:f>IF(E6=0,"",I6/E6)</x:f>
        <x:v>2206.3861669099642</x:v>
      </x:c>
      <x:c r="I6" s="31" t="n">
        <x:f>IF(C6=0,"",SUMIF('Species'!$G$2:$G$105,A6,'Species'!$U$2:$U$105))</x:f>
        <x:v>20645307.850832585</x:v>
      </x:c>
      <x:c r="J6" s="32" t="n">
        <x:v>4.2985790433190925</x:v>
      </x:c>
      <x:c r="K6" s="32" t="n">
        <x:f>IF(J6="","",(1/'Metadata'!$B$5)^(J6-1))</x:f>
        <x:v>1988.7447368936591</x:v>
      </x:c>
      <x:c r="L6" s="31" t="n">
        <x:f>IF(E6=0,"",E6*K6)</x:f>
        <x:v>18608821.948605023</x:v>
      </x:c>
      <x:c r="M6" s="31" t="n">
        <x:f>IF(E6=0,"",I6-L6)</x:f>
        <x:v>2036485.902227562</x:v>
      </x:c>
      <x:c r="N6" s="32" t="n">
        <x:f>IF(L6=0,"",I6/L6)</x:f>
        <x:v>1.1094365837801046</x:v>
      </x:c>
      <x:c r="O6" s="34" t="n">
        <x:f>IF(L6=0,"",M6/L6)</x:f>
        <x:v>0.10943658378010454</x:v>
      </x:c>
    </x:row>
    <x:row r="7" ht="18" customHeight="1">
      <x:c r="A7" s="24" t="str">
        <x:v>Large flatfishes (&gt;=90 cm)</x:v>
      </x:c>
      <x:c r="B7" s="33" t="n">
        <x:v>3</x:v>
      </x:c>
      <x:c r="C7" s="33" t="n">
        <x:v>3</x:v>
      </x:c>
      <x:c r="D7" s="31" t="n">
        <x:v>410.27239468339997</x:v>
      </x:c>
      <x:c r="E7" s="31" t="n">
        <x:v>410.27239468339997</x:v>
      </x:c>
      <x:c r="F7" s="32" t="n">
        <x:v>0</x:v>
      </x:c>
      <x:c r="G7" s="34" t="n">
        <x:v>1</x:v>
      </x:c>
      <x:c r="H7" s="32" t="n">
        <x:f>IF(E7=0,"",I7/E7)</x:f>
        <x:v>226.4274202440575</x:v>
      </x:c>
      <x:c r="I7" s="31" t="n">
        <x:f>IF(C7=0,"",SUMIF('Species'!$G$2:$G$105,A7,'Species'!$U$2:$U$105))</x:f>
        <x:v>92896.91992551403</x:v>
      </x:c>
      <x:c r="J7" s="32" t="n">
        <x:v>3.2996583499429732</x:v>
      </x:c>
      <x:c r="K7" s="32" t="n">
        <x:f>IF(J7="","",(1/'Metadata'!$B$5)^(J7-1))</x:f>
        <x:v>199.36933025812974</x:v>
      </x:c>
      <x:c r="L7" s="31" t="n">
        <x:f>IF(E7=0,"",E7*K7)</x:f>
        <x:v>81795.73255142852</x:v>
      </x:c>
      <x:c r="M7" s="31" t="n">
        <x:f>IF(E7=0,"",I7-L7)</x:f>
        <x:v>11101.187374085508</x:v>
      </x:c>
      <x:c r="N7" s="32" t="n">
        <x:f>IF(L7=0,"",I7/L7)</x:f>
        <x:v>1.1357184174260646</x:v>
      </x:c>
      <x:c r="O7" s="34" t="n">
        <x:f>IF(L7=0,"",M7/L7)</x:f>
        <x:v>0.1357184174260645</x:v>
      </x:c>
    </x:row>
    <x:row r="8" ht="18" customHeight="1">
      <x:c r="A8" s="24" t="str">
        <x:v>Large rays (&gt;=90 cm)</x:v>
      </x:c>
      <x:c r="B8" s="33" t="n">
        <x:v>8</x:v>
      </x:c>
      <x:c r="C8" s="33" t="n">
        <x:v>8</x:v>
      </x:c>
      <x:c r="D8" s="31" t="n">
        <x:v>73.1691900002</x:v>
      </x:c>
      <x:c r="E8" s="31" t="n">
        <x:v>73.1691900002</x:v>
      </x:c>
      <x:c r="F8" s="32" t="n">
        <x:v>0</x:v>
      </x:c>
      <x:c r="G8" s="34" t="n">
        <x:v>1</x:v>
      </x:c>
      <x:c r="H8" s="32" t="n">
        <x:f>IF(E8=0,"",I8/E8)</x:f>
        <x:v>476.6723993762394</x:v>
      </x:c>
      <x:c r="I8" s="31" t="n">
        <x:f>IF(C8=0,"",SUMIF('Species'!$G$2:$G$105,A8,'Species'!$U$2:$U$105))</x:f>
        <x:v>34877.73335781128</x:v>
      </x:c>
      <x:c r="J8" s="32" t="n">
        <x:v>3.643681649338926</x:v>
      </x:c>
      <x:c r="K8" s="32" t="n">
        <x:f>IF(J8="","",(1/'Metadata'!$B$5)^(J8-1))</x:f>
        <x:v>440.23204213441477</x:v>
      </x:c>
      <x:c r="L8" s="31" t="n">
        <x:f>IF(E8=0,"",E8*K8)</x:f>
        <x:v>32211.421935109047</x:v>
      </x:c>
      <x:c r="M8" s="31" t="n">
        <x:f>IF(E8=0,"",I8-L8)</x:f>
        <x:v>2666.3114227022343</x:v>
      </x:c>
      <x:c r="N8" s="32" t="n">
        <x:f>IF(L8=0,"",I8/L8)</x:f>
        <x:v>1.0827753406252478</x:v>
      </x:c>
      <x:c r="O8" s="34" t="n">
        <x:f>IF(L8=0,"",M8/L8)</x:f>
        <x:v>0.08277534062524794</x:v>
      </x:c>
    </x:row>
    <x:row r="9" ht="18" customHeight="1">
      <x:c r="A9" s="24" t="str">
        <x:v>Large reef assoc. fish (&gt;=90 cm)</x:v>
      </x:c>
      <x:c r="B9" s="33" t="n">
        <x:v>1</x:v>
      </x:c>
      <x:c r="C9" s="33" t="n">
        <x:v>1</x:v>
      </x:c>
      <x:c r="D9" s="31" t="n">
        <x:v>1573.8520598225</x:v>
      </x:c>
      <x:c r="E9" s="31" t="n">
        <x:v>1573.8520598225</x:v>
      </x:c>
      <x:c r="F9" s="32" t="n">
        <x:v>0</x:v>
      </x:c>
      <x:c r="G9" s="34" t="n">
        <x:v>1</x:v>
      </x:c>
      <x:c r="H9" s="32" t="n">
        <x:f>IF(E9=0,"",I9/E9)</x:f>
        <x:v>616.5950018614822</x:v>
      </x:c>
      <x:c r="I9" s="31" t="n">
        <x:f>IF(C9=0,"",SUMIF('Species'!$G$2:$G$105,A9,'Species'!$U$2:$U$105))</x:f>
        <x:v>970429.3137559519</x:v>
      </x:c>
      <x:c r="J9" s="32" t="n">
        <x:v>3.79</x:v>
      </x:c>
      <x:c r="K9" s="32" t="n">
        <x:f>IF(J9="","",(1/'Metadata'!$B$5)^(J9-1))</x:f>
        <x:v>616.5950018614822</x:v>
      </x:c>
      <x:c r="L9" s="31" t="n">
        <x:f>IF(E9=0,"",E9*K9)</x:f>
        <x:v>970429.3137559519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Large sharks (&gt;=90 cm)</x:v>
      </x:c>
      <x:c r="B10" s="33" t="n">
        <x:v>5</x:v>
      </x:c>
      <x:c r="C10" s="33" t="n">
        <x:v>5</x:v>
      </x:c>
      <x:c r="D10" s="31" t="n">
        <x:v>91.9043916188</x:v>
      </x:c>
      <x:c r="E10" s="31" t="n">
        <x:v>91.9043916188</x:v>
      </x:c>
      <x:c r="F10" s="32" t="n">
        <x:v>0</x:v>
      </x:c>
      <x:c r="G10" s="34" t="n">
        <x:v>1</x:v>
      </x:c>
      <x:c r="H10" s="32" t="n">
        <x:f>IF(E10=0,"",I10/E10)</x:f>
        <x:v>2073.2577953843806</x:v>
      </x:c>
      <x:c r="I10" s="31" t="n">
        <x:f>IF(C10=0,"",SUMIF('Species'!$G$2:$G$105,A10,'Species'!$U$2:$U$105))</x:f>
        <x:v>190541.49635373603</x:v>
      </x:c>
      <x:c r="J10" s="32" t="n">
        <x:v>4.300406844409167</x:v>
      </x:c>
      <x:c r="K10" s="32" t="n">
        <x:f>IF(J10="","",(1/'Metadata'!$B$5)^(J10-1))</x:f>
        <x:v>1997.1323402553649</x:v>
      </x:c>
      <x:c r="L10" s="31" t="n">
        <x:f>IF(E10=0,"",E10*K10)</x:f>
        <x:v>183545.2327133996</x:v>
      </x:c>
      <x:c r="M10" s="31" t="n">
        <x:f>IF(E10=0,"",I10-L10)</x:f>
        <x:v>6996.26364033643</x:v>
      </x:c>
      <x:c r="N10" s="32" t="n">
        <x:f>IF(L10=0,"",I10/L10)</x:f>
        <x:v>1.0381173814046203</x:v>
      </x:c>
      <x:c r="O10" s="34" t="n">
        <x:f>IF(L10=0,"",M10/L10)</x:f>
        <x:v>0.03811738140462023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55.5836742308</x:v>
      </x:c>
      <x:c r="E11" s="31" t="n">
        <x:v>55.5836742308</x:v>
      </x:c>
      <x:c r="F11" s="32" t="n">
        <x:v>0</x:v>
      </x:c>
      <x:c r="G11" s="34" t="n">
        <x:v>1</x:v>
      </x:c>
      <x:c r="H11" s="32" t="n">
        <x:f>IF(E11=0,"",I11/E11)</x:f>
        <x:v>57.85694809352014</x:v>
      </x:c>
      <x:c r="I11" s="31" t="n">
        <x:f>IF(C11=0,"",SUMIF('Species'!$G$2:$G$105,A11,'Species'!$U$2:$U$105))</x:f>
        <x:v>3215.9017548185284</x:v>
      </x:c>
      <x:c r="J11" s="32" t="n">
        <x:v>2.7312980469834796</x:v>
      </x:c>
      <x:c r="K11" s="32" t="n">
        <x:f>IF(J11="","",(1/'Metadata'!$B$5)^(J11-1))</x:f>
        <x:v>53.86393123030686</x:v>
      </x:c>
      <x:c r="L11" s="31" t="n">
        <x:f>IF(E11=0,"",E11*K11)</x:f>
        <x:v>2993.955206295591</x:v>
      </x:c>
      <x:c r="M11" s="31" t="n">
        <x:f>IF(E11=0,"",I11-L11)</x:f>
        <x:v>221.94654852293752</x:v>
      </x:c>
      <x:c r="N11" s="32" t="n">
        <x:f>IF(L11=0,"",I11/L11)</x:f>
        <x:v>1.0741315528222453</x:v>
      </x:c>
      <x:c r="O11" s="34" t="n">
        <x:f>IF(L11=0,"",M11/L11)</x:f>
        <x:v>0.07413155282224516</x:v>
      </x:c>
    </x:row>
    <x:row r="12" ht="18" customHeight="1">
      <x:c r="A12" s="24" t="str">
        <x:v>Medium bathydemersals (30 - 89 cm)</x:v>
      </x:c>
      <x:c r="B12" s="33" t="n">
        <x:v>4</x:v>
      </x:c>
      <x:c r="C12" s="33" t="n">
        <x:v>4</x:v>
      </x:c>
      <x:c r="D12" s="31" t="n">
        <x:v>18861.090097317297</x:v>
      </x:c>
      <x:c r="E12" s="31" t="n">
        <x:v>18861.090097317297</x:v>
      </x:c>
      <x:c r="F12" s="32" t="n">
        <x:v>0</x:v>
      </x:c>
      <x:c r="G12" s="34" t="n">
        <x:v>1</x:v>
      </x:c>
      <x:c r="H12" s="32" t="n">
        <x:f>IF(E12=0,"",I12/E12)</x:f>
        <x:v>233.517702770094</x:v>
      </x:c>
      <x:c r="I12" s="31" t="n">
        <x:f>IF(C12=0,"",SUMIF('Species'!$G$2:$G$105,A12,'Species'!$U$2:$U$105))</x:f>
        <x:v>4404398.431265304</x:v>
      </x:c>
      <x:c r="J12" s="32" t="n">
        <x:v>3.3540805933109175</x:v>
      </x:c>
      <x:c r="K12" s="32" t="n">
        <x:f>IF(J12="","",(1/'Metadata'!$B$5)^(J12-1))</x:f>
        <x:v>225.98550993033237</x:v>
      </x:c>
      <x:c r="L12" s="31" t="n">
        <x:f>IF(E12=0,"",E12*K12)</x:f>
        <x:v>4262333.063484192</x:v>
      </x:c>
      <x:c r="M12" s="31" t="n">
        <x:f>IF(E12=0,"",I12-L12)</x:f>
        <x:v>142065.36778111197</x:v>
      </x:c>
      <x:c r="N12" s="32" t="n">
        <x:f>IF(L12=0,"",I12/L12)</x:f>
        <x:v>1.0333304238934773</x:v>
      </x:c>
      <x:c r="O12" s="34" t="n">
        <x:f>IF(L12=0,"",M12/L12)</x:f>
        <x:v>0.03333042389347734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362.4317074741</x:v>
      </x:c>
      <x:c r="E13" s="31" t="n">
        <x:v>362.4317074741</x:v>
      </x:c>
      <x:c r="F13" s="32" t="n">
        <x:v>0</x:v>
      </x:c>
      <x:c r="G13" s="34" t="n">
        <x:v>1</x:v>
      </x:c>
      <x:c r="H13" s="32" t="n">
        <x:f>IF(E13=0,"",I13/E13)</x:f>
        <x:v>448.0204536319997</x:v>
      </x:c>
      <x:c r="I13" s="31" t="n">
        <x:f>IF(C13=0,"",SUMIF('Species'!$G$2:$G$105,A13,'Species'!$U$2:$U$105))</x:f>
        <x:v>162376.8179931665</x:v>
      </x:c>
      <x:c r="J13" s="32" t="n">
        <x:v>3.651155877299256</x:v>
      </x:c>
      <x:c r="K13" s="32" t="n">
        <x:f>IF(J13="","",(1/'Metadata'!$B$5)^(J13-1))</x:f>
        <x:v>447.8740266108966</x:v>
      </x:c>
      <x:c r="L13" s="31" t="n">
        <x:f>IF(E13=0,"",E13*K13)</x:f>
        <x:v>162323.74819788773</x:v>
      </x:c>
      <x:c r="M13" s="31" t="n">
        <x:f>IF(E13=0,"",I13-L13)</x:f>
        <x:v>53.06979527877411</x:v>
      </x:c>
      <x:c r="N13" s="32" t="n">
        <x:f>IF(L13=0,"",I13/L13)</x:f>
        <x:v>1.00032693796113</x:v>
      </x:c>
      <x:c r="O13" s="34" t="n">
        <x:f>IF(L13=0,"",M13/L13)</x:f>
        <x:v>0.0003269379611298594</x:v>
      </x:c>
    </x:row>
    <x:row r="14" ht="18" customHeight="1">
      <x:c r="A14" s="24" t="str">
        <x:v>Medium benthopelagics (30 - 89 cm)</x:v>
      </x:c>
      <x:c r="B14" s="33" t="n">
        <x:v>8</x:v>
      </x:c>
      <x:c r="C14" s="33" t="n">
        <x:v>8</x:v>
      </x:c>
      <x:c r="D14" s="31" t="n">
        <x:v>308780.00115113065</x:v>
      </x:c>
      <x:c r="E14" s="31" t="n">
        <x:v>308780.00115113065</x:v>
      </x:c>
      <x:c r="F14" s="32" t="n">
        <x:v>0</x:v>
      </x:c>
      <x:c r="G14" s="34" t="n">
        <x:v>1</x:v>
      </x:c>
      <x:c r="H14" s="32" t="n">
        <x:f>IF(E14=0,"",I14/E14)</x:f>
        <x:v>1349.6508762407955</x:v>
      </x:c>
      <x:c r="I14" s="31" t="n">
        <x:f>IF(C14=0,"",SUMIF('Species'!$G$2:$G$105,A14,'Species'!$U$2:$U$105))</x:f>
        <x:v>416745199.11925733</x:v>
      </x:c>
      <x:c r="J14" s="32" t="n">
        <x:v>4.130013204140717</x:v>
      </x:c>
      <x:c r="K14" s="32" t="n">
        <x:f>IF(J14="","",(1/'Metadata'!$B$5)^(J14-1))</x:f>
        <x:v>1349.0038966207092</x:v>
      </x:c>
      <x:c r="L14" s="31" t="n">
        <x:f>IF(E14=0,"",E14*K14)</x:f>
        <x:v>416545424.7514223</x:v>
      </x:c>
      <x:c r="M14" s="31" t="n">
        <x:f>IF(E14=0,"",I14-L14)</x:f>
        <x:v>199774.36783504486</x:v>
      </x:c>
      <x:c r="N14" s="32" t="n">
        <x:f>IF(L14=0,"",I14/L14)</x:f>
        <x:v>1.0004795980365269</x:v>
      </x:c>
      <x:c r="O14" s="34" t="n">
        <x:f>IF(L14=0,"",M14/L14)</x:f>
        <x:v>0.00047959803652689796</x:v>
      </x:c>
    </x:row>
    <x:row r="15" ht="18" customHeight="1">
      <x:c r="A15" s="24" t="str">
        <x:v>Medium demersals (30 - 89 cm)</x:v>
      </x:c>
      <x:c r="B15" s="33" t="n">
        <x:v>12</x:v>
      </x:c>
      <x:c r="C15" s="33" t="n">
        <x:v>12</x:v>
      </x:c>
      <x:c r="D15" s="31" t="n">
        <x:v>34154.708044732</x:v>
      </x:c>
      <x:c r="E15" s="31" t="n">
        <x:v>34154.708044732</x:v>
      </x:c>
      <x:c r="F15" s="32" t="n">
        <x:v>0</x:v>
      </x:c>
      <x:c r="G15" s="34" t="n">
        <x:v>1</x:v>
      </x:c>
      <x:c r="H15" s="32" t="n">
        <x:f>IF(E15=0,"",I15/E15)</x:f>
        <x:v>447.2489049668337</x:v>
      </x:c>
      <x:c r="I15" s="31" t="n">
        <x:f>IF(C15=0,"",SUMIF('Species'!$G$2:$G$105,A15,'Species'!$U$2:$U$105))</x:f>
        <x:v>15275655.772468291</x:v>
      </x:c>
      <x:c r="J15" s="32" t="n">
        <x:v>3.499072218696306</x:v>
      </x:c>
      <x:c r="K15" s="32" t="n">
        <x:f>IF(J15="","",(1/'Metadata'!$B$5)^(J15-1))</x:f>
        <x:v>315.55293117505204</x:v>
      </x:c>
      <x:c r="L15" s="31" t="n">
        <x:f>IF(E15=0,"",E15*K15)</x:f>
        <x:v>10777618.236943312</x:v>
      </x:c>
      <x:c r="M15" s="31" t="n">
        <x:f>IF(E15=0,"",I15-L15)</x:f>
        <x:v>4498037.535524979</x:v>
      </x:c>
      <x:c r="N15" s="32" t="n">
        <x:f>IF(L15=0,"",I15/L15)</x:f>
        <x:v>1.4173498667921538</x:v>
      </x:c>
      <x:c r="O15" s="34" t="n">
        <x:f>IF(L15=0,"",M15/L15)</x:f>
        <x:v>0.41734986679215386</x:v>
      </x:c>
    </x:row>
    <x:row r="16" ht="18" customHeight="1">
      <x:c r="A16" s="24" t="str">
        <x:v>Medium pelagics (30 - 89 cm)</x:v>
      </x:c>
      <x:c r="B16" s="33" t="n">
        <x:v>6</x:v>
      </x:c>
      <x:c r="C16" s="33" t="n">
        <x:v>6</x:v>
      </x:c>
      <x:c r="D16" s="31" t="n">
        <x:v>149063.72355246454</x:v>
      </x:c>
      <x:c r="E16" s="31" t="n">
        <x:v>149063.72355246454</x:v>
      </x:c>
      <x:c r="F16" s="32" t="n">
        <x:v>0</x:v>
      </x:c>
      <x:c r="G16" s="34" t="n">
        <x:v>1</x:v>
      </x:c>
      <x:c r="H16" s="32" t="n">
        <x:f>IF(E16=0,"",I16/E16)</x:f>
        <x:v>304.7660907591484</x:v>
      </x:c>
      <x:c r="I16" s="31" t="n">
        <x:f>IF(C16=0,"",SUMIF('Species'!$G$2:$G$105,A16,'Species'!$U$2:$U$105))</x:f>
        <x:v>45429568.30108702</x:v>
      </x:c>
      <x:c r="J16" s="32" t="n">
        <x:v>3.4662780239248407</x:v>
      </x:c>
      <x:c r="K16" s="32" t="n">
        <x:f>IF(J16="","",(1/'Metadata'!$B$5)^(J16-1))</x:f>
        <x:v>292.60249427410145</x:v>
      </x:c>
      <x:c r="L16" s="31" t="n">
        <x:f>IF(E16=0,"",E16*K16)</x:f>
        <x:v>43616417.317236245</x:v>
      </x:c>
      <x:c r="M16" s="31" t="n">
        <x:f>IF(E16=0,"",I16-L16)</x:f>
        <x:v>1813150.9838507771</x:v>
      </x:c>
      <x:c r="N16" s="32" t="n">
        <x:f>IF(L16=0,"",I16/L16)</x:f>
        <x:v>1.0415703786641426</x:v>
      </x:c>
      <x:c r="O16" s="34" t="n">
        <x:f>IF(L16=0,"",M16/L16)</x:f>
        <x:v>0.04157037866414259</x:v>
      </x:c>
    </x:row>
    <x:row r="17" ht="18" customHeight="1">
      <x:c r="A17" s="24" t="str">
        <x:v>Medium reef assoc. fish (30 - 89 cm)</x:v>
      </x:c>
      <x:c r="B17" s="33" t="n">
        <x:v>1</x:v>
      </x:c>
      <x:c r="C17" s="33" t="n">
        <x:v>1</x:v>
      </x:c>
      <x:c r="D17" s="31" t="n">
        <x:v>0.0019222656</x:v>
      </x:c>
      <x:c r="E17" s="31" t="n">
        <x:v>0.0019222656</x:v>
      </x:c>
      <x:c r="F17" s="32" t="n">
        <x:v>0</x:v>
      </x:c>
      <x:c r="G17" s="34" t="n">
        <x:v>1</x:v>
      </x:c>
      <x:c r="H17" s="32" t="n">
        <x:f>IF(E17=0,"",I17/E17)</x:f>
        <x:v>158.48931924611142</x:v>
      </x:c>
      <x:c r="I17" s="31" t="n">
        <x:f>IF(C17=0,"",SUMIF('Species'!$G$2:$G$105,A17,'Species'!$U$2:$U$105))</x:f>
        <x:v>0.3046585663542179</x:v>
      </x:c>
      <x:c r="J17" s="32" t="n">
        <x:v>3.2</x:v>
      </x:c>
      <x:c r="K17" s="32" t="n">
        <x:f>IF(J17="","",(1/'Metadata'!$B$5)^(J17-1))</x:f>
        <x:v>158.48931924611142</x:v>
      </x:c>
      <x:c r="L17" s="31" t="n">
        <x:f>IF(E17=0,"",E17*K17)</x:f>
        <x:v>0.3046585663542179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Other demersal invertebrates</x:v>
      </x:c>
      <x:c r="B18" s="33" t="n">
        <x:v>5</x:v>
      </x:c>
      <x:c r="C18" s="33" t="n">
        <x:v>5</x:v>
      </x:c>
      <x:c r="D18" s="31" t="n">
        <x:v>5554.1009274917</x:v>
      </x:c>
      <x:c r="E18" s="31" t="n">
        <x:v>5554.1009274917</x:v>
      </x:c>
      <x:c r="F18" s="32" t="n">
        <x:v>0</x:v>
      </x:c>
      <x:c r="G18" s="34" t="n">
        <x:v>1</x:v>
      </x:c>
      <x:c r="H18" s="32" t="n">
        <x:f>IF(E18=0,"",I18/E18)</x:f>
        <x:v>10.193386792313394</x:v>
      </x:c>
      <x:c r="I18" s="31" t="n">
        <x:f>IF(C18=0,"",SUMIF('Species'!$G$2:$G$105,A18,'Species'!$U$2:$U$105))</x:f>
        <x:v>56615.09903746947</x:v>
      </x:c>
      <x:c r="J18" s="32" t="n">
        <x:v>2.0023850219873687</x:v>
      </x:c>
      <x:c r="K18" s="32" t="n">
        <x:f>IF(J18="","",(1/'Metadata'!$B$5)^(J18-1))</x:f>
        <x:v>10.05506823189301</x:v>
      </x:c>
      <x:c r="L18" s="31" t="n">
        <x:f>IF(E18=0,"",E18*K18)</x:f>
        <x:v>55846.86379274929</x:v>
      </x:c>
      <x:c r="M18" s="31" t="n">
        <x:f>IF(E18=0,"",I18-L18)</x:f>
        <x:v>768.2352447201774</x:v>
      </x:c>
      <x:c r="N18" s="32" t="n">
        <x:f>IF(L18=0,"",I18/L18)</x:f>
        <x:v>1.0137561036116753</x:v>
      </x:c>
      <x:c r="O18" s="34" t="n">
        <x:f>IF(L18=0,"",M18/L18)</x:f>
        <x:v>0.013756103611675306</x:v>
      </x:c>
    </x:row>
    <x:row r="19" ht="18" customHeight="1">
      <x:c r="A19" s="24" t="str">
        <x:v>Shrimps</x:v>
      </x:c>
      <x:c r="B19" s="33" t="n">
        <x:v>5</x:v>
      </x:c>
      <x:c r="C19" s="33" t="n">
        <x:v>5</x:v>
      </x:c>
      <x:c r="D19" s="31" t="n">
        <x:v>56.047126843300006</x:v>
      </x:c>
      <x:c r="E19" s="31" t="n">
        <x:v>56.047126843300006</x:v>
      </x:c>
      <x:c r="F19" s="32" t="n">
        <x:v>0</x:v>
      </x:c>
      <x:c r="G19" s="34" t="n">
        <x:v>1</x:v>
      </x:c>
      <x:c r="H19" s="32" t="n">
        <x:f>IF(E19=0,"",I19/E19)</x:f>
        <x:v>71.00792928427909</x:v>
      </x:c>
      <x:c r="I19" s="31" t="n">
        <x:f>IF(C19=0,"",SUMIF('Species'!$G$2:$G$105,A19,'Species'!$U$2:$U$105))</x:f>
        <x:v>3979.7904194760667</x:v>
      </x:c>
      <x:c r="J19" s="32" t="n">
        <x:v>2.7977231288885007</x:v>
      </x:c>
      <x:c r="K19" s="32" t="n">
        <x:f>IF(J19="","",(1/'Metadata'!$B$5)^(J19-1))</x:f>
        <x:v>62.76580870958328</x:v>
      </x:c>
      <x:c r="L19" s="31" t="n">
        <x:f>IF(E19=0,"",E19*K19)</x:f>
        <x:v>3517.8432421683187</x:v>
      </x:c>
      <x:c r="M19" s="31" t="n">
        <x:f>IF(E19=0,"",I19-L19)</x:f>
        <x:v>461.947177307748</x:v>
      </x:c>
      <x:c r="N19" s="32" t="n">
        <x:f>IF(L19=0,"",I19/L19)</x:f>
        <x:v>1.1313154525393276</x:v>
      </x:c>
      <x:c r="O19" s="34" t="n">
        <x:f>IF(L19=0,"",M19/L19)</x:f>
        <x:v>0.13131545253932755</x:v>
      </x:c>
    </x:row>
    <x:row r="20" ht="18" customHeight="1">
      <x:c r="A20" s="24" t="str">
        <x:v>Small pelagics (&lt;30 cm)</x:v>
      </x:c>
      <x:c r="B20" s="33" t="n">
        <x:v>3</x:v>
      </x:c>
      <x:c r="C20" s="33" t="n">
        <x:v>3</x:v>
      </x:c>
      <x:c r="D20" s="31" t="n">
        <x:v>113.545735195</x:v>
      </x:c>
      <x:c r="E20" s="31" t="n">
        <x:v>113.545735195</x:v>
      </x:c>
      <x:c r="F20" s="32" t="n">
        <x:v>0</x:v>
      </x:c>
      <x:c r="G20" s="34" t="n">
        <x:v>1</x:v>
      </x:c>
      <x:c r="H20" s="32" t="n">
        <x:f>IF(E20=0,"",I20/E20)</x:f>
        <x:v>142.05966009360193</x:v>
      </x:c>
      <x:c r="I20" s="31" t="n">
        <x:f>IF(C20=0,"",SUMIF('Species'!$G$2:$G$105,A20,'Species'!$U$2:$U$105))</x:f>
        <x:v>16130.268546879834</x:v>
      </x:c>
      <x:c r="J20" s="32" t="n">
        <x:v>3.1524493954552173</x:v>
      </x:c>
      <x:c r="K20" s="32" t="n">
        <x:f>IF(J20="","",(1/'Metadata'!$B$5)^(J20-1))</x:f>
        <x:v>142.05266816427562</x:v>
      </x:c>
      <x:c r="L20" s="31" t="n">
        <x:f>IF(E20=0,"",E20*K20)</x:f>
        <x:v>16129.474643124047</x:v>
      </x:c>
      <x:c r="M20" s="31" t="n">
        <x:f>IF(E20=0,"",I20-L20)</x:f>
        <x:v>0.7939037557862321</x:v>
      </x:c>
      <x:c r="N20" s="32" t="n">
        <x:f>IF(L20=0,"",I20/L20)</x:f>
        <x:v>1.00004922068284</x:v>
      </x:c>
      <x:c r="O20" s="34" t="n">
        <x:f>IF(L20=0,"",M20/L20)</x:f>
        <x:v>0.00004922068284007447</x:v>
      </x:c>
    </x:row>
    <x:row r="21" ht="18" customHeight="1">
      <x:c r="A21" s="24" t="str">
        <x:v>Small reef assoc. fish (&lt;30 cm)</x:v>
      </x:c>
      <x:c r="B21" s="33" t="n">
        <x:v>1</x:v>
      </x:c>
      <x:c r="C21" s="33" t="n">
        <x:v>1</x:v>
      </x:c>
      <x:c r="D21" s="31" t="n">
        <x:v>0.006970666699999999</x:v>
      </x:c>
      <x:c r="E21" s="31" t="n">
        <x:v>0.006970666699999999</x:v>
      </x:c>
      <x:c r="F21" s="32" t="n">
        <x:v>0</x:v>
      </x:c>
      <x:c r="G21" s="34" t="n">
        <x:v>1</x:v>
      </x:c>
      <x:c r="H21" s="32" t="n">
        <x:f>IF(E21=0,"",I21/E21)</x:f>
        <x:v>239.88329190194898</x:v>
      </x:c>
      <x:c r="I21" s="31" t="n">
        <x:f>IF(C21=0,"",SUMIF('Species'!$G$2:$G$105,A21,'Species'!$U$2:$U$105))</x:f>
        <x:v>1.6721464747472952</x:v>
      </x:c>
      <x:c r="J21" s="32" t="n">
        <x:v>3.38</x:v>
      </x:c>
      <x:c r="K21" s="32" t="n">
        <x:f>IF(J21="","",(1/'Metadata'!$B$5)^(J21-1))</x:f>
        <x:v>239.88329190194898</x:v>
      </x:c>
      <x:c r="L21" s="31" t="n">
        <x:f>IF(E21=0,"",E21*K21)</x:f>
        <x:v>1.6721464747472952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to medium flatfishes (&lt;90 cm)</x:v>
      </x:c>
      <x:c r="B22" s="33" t="n">
        <x:v>11</x:v>
      </x:c>
      <x:c r="C22" s="33" t="n">
        <x:v>11</x:v>
      </x:c>
      <x:c r="D22" s="31" t="n">
        <x:v>2678.6860445050993</x:v>
      </x:c>
      <x:c r="E22" s="31" t="n">
        <x:v>2678.6860445050993</x:v>
      </x:c>
      <x:c r="F22" s="32" t="n">
        <x:v>0</x:v>
      </x:c>
      <x:c r="G22" s="34" t="n">
        <x:v>1</x:v>
      </x:c>
      <x:c r="H22" s="32" t="n">
        <x:f>IF(E22=0,"",I22/E22)</x:f>
        <x:v>1996.9505058623313</x:v>
      </x:c>
      <x:c r="I22" s="31" t="n">
        <x:f>IF(C22=0,"",SUMIF('Species'!$G$2:$G$105,A22,'Species'!$U$2:$U$105))</x:f>
        <x:v>5349203.451620826</x:v>
      </x:c>
      <x:c r="J22" s="32" t="n">
        <x:v>4.176086893837254</x:v>
      </x:c>
      <x:c r="K22" s="32" t="n">
        <x:f>IF(J22="","",(1/'Metadata'!$B$5)^(J22-1))</x:f>
        <x:v>1499.9849231454527</x:v>
      </x:c>
      <x:c r="L22" s="31" t="n">
        <x:f>IF(E22=0,"",E22*K22)</x:f>
        <x:v>4017988.680597778</x:v>
      </x:c>
      <x:c r="M22" s="31" t="n">
        <x:f>IF(E22=0,"",I22-L22)</x:f>
        <x:v>1331214.7710230476</x:v>
      </x:c>
      <x:c r="N22" s="32" t="n">
        <x:f>IF(L22=0,"",I22/L22)</x:f>
        <x:v>1.3313137185904156</x:v>
      </x:c>
      <x:c r="O22" s="34" t="n">
        <x:f>IF(L22=0,"",M22/L22)</x:f>
        <x:v>0.33131371859041564</x:v>
      </x:c>
    </x:row>
    <x:row r="23" ht="18" customHeight="1">
      <x:c r="A23" s="24" t="str">
        <x:v>Small to medium rays (&lt;90 cm)</x:v>
      </x:c>
      <x:c r="B23" s="33" t="n">
        <x:v>3</x:v>
      </x:c>
      <x:c r="C23" s="33" t="n">
        <x:v>3</x:v>
      </x:c>
      <x:c r="D23" s="31" t="n">
        <x:v>122.1418</x:v>
      </x:c>
      <x:c r="E23" s="31" t="n">
        <x:v>122.1418</x:v>
      </x:c>
      <x:c r="F23" s="32" t="n">
        <x:v>0</x:v>
      </x:c>
      <x:c r="G23" s="34" t="n">
        <x:v>1</x:v>
      </x:c>
      <x:c r="H23" s="32" t="n">
        <x:f>IF(E23=0,"",I23/E23)</x:f>
        <x:v>617.7903248541618</x:v>
      </x:c>
      <x:c r="I23" s="31" t="n">
        <x:f>IF(C23=0,"",SUMIF('Species'!$G$2:$G$105,A23,'Species'!$U$2:$U$105))</x:f>
        <x:v>75458.02230027206</x:v>
      </x:c>
      <x:c r="J23" s="32" t="n">
        <x:v>3.7865214038109802</x:v>
      </x:c>
      <x:c r="K23" s="32" t="n">
        <x:f>IF(J23="","",(1/'Metadata'!$B$5)^(J23-1))</x:f>
        <x:v>611.675948108024</x:v>
      </x:c>
      <x:c r="L23" s="31" t="n">
        <x:f>IF(E23=0,"",E23*K23)</x:f>
        <x:v>74711.20131862066</x:v>
      </x:c>
      <x:c r="M23" s="31" t="n">
        <x:f>IF(E23=0,"",I23-L23)</x:f>
        <x:v>746.820981651399</x:v>
      </x:c>
      <x:c r="N23" s="32" t="n">
        <x:f>IF(L23=0,"",I23/L23)</x:f>
        <x:v>1.009996104579639</x:v>
      </x:c>
      <x:c r="O23" s="34" t="n">
        <x:f>IF(L23=0,"",M23/L23)</x:f>
        <x:v>0.00999610457963905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3d7b3d99a774e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EEZ_234</x:v>
      </x:c>
      <x:c r="B2" s="24" t="str">
        <x:v>raw_filtered_tonnes</x:v>
      </x:c>
      <x:c r="C2" s="24" t="n">
        <x:v>573325.9947069995</x:v>
      </x:c>
      <x:c r="D2" s="24" t="str">
        <x:v>tonnes</x:v>
      </x:c>
    </x:row>
    <x:row r="3" ht="18" customHeight="1">
      <x:c r="A3" s="24" t="str">
        <x:v>EEZ_234</x:v>
      </x:c>
      <x:c r="B3" s="24" t="str">
        <x:v>species_catch_tonnes</x:v>
      </x:c>
      <x:c r="C3" s="24" t="n">
        <x:v>573325.9947069994</x:v>
      </x:c>
      <x:c r="D3" s="24" t="str">
        <x:v>tonnes</x:v>
      </x:c>
    </x:row>
    <x:row r="4" ht="18" customHeight="1">
      <x:c r="A4" s="24" t="str">
        <x:v>EEZ_234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EEZ_234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EEZ_234</x:v>
      </x:c>
      <x:c r="B6" s="24" t="str">
        <x:v>matched_catch_tonnes</x:v>
      </x:c>
      <x:c r="C6" s="24" t="n">
        <x:v>573325.9947069994</x:v>
      </x:c>
      <x:c r="D6" s="24" t="str">
        <x:v>tonnes</x:v>
      </x:c>
    </x:row>
    <x:row r="7" ht="18" customHeight="1">
      <x:c r="A7" s="24" t="str">
        <x:v>EEZ_234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EEZ_234</x:v>
      </x:c>
      <x:c r="B8" s="24" t="str">
        <x:v>taxa_count</x:v>
      </x:c>
      <x:c r="C8" s="24" t="n">
        <x:v>104</x:v>
      </x:c>
      <x:c r="D8" s="24" t="str">
        <x:v>count</x:v>
      </x:c>
    </x:row>
    <x:row r="9" ht="18" customHeight="1">
      <x:c r="A9" s="24" t="str">
        <x:v>EEZ_234</x:v>
      </x:c>
      <x:c r="B9" s="24" t="str">
        <x:v>matched_taxa_count</x:v>
      </x:c>
      <x:c r="C9" s="24" t="n">
        <x:v>104</x:v>
      </x:c>
      <x:c r="D9" s="24" t="str">
        <x:v>count</x:v>
      </x:c>
    </x:row>
    <x:row r="10" ht="18" customHeight="1">
      <x:c r="A10" s="24" t="str">
        <x:v>EEZ_234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EEZ_234</x:v>
      </x:c>
      <x:c r="B11" s="24" t="str">
        <x:v>species_ppr</x:v>
      </x:c>
      <x:c r="C11" s="24" t="n">
        <x:v>566189494.4616262</x:v>
      </x:c>
      <x:c r="D11" s="24" t="str">
        <x:v>tonnes_primary_production_equivalent</x:v>
      </x:c>
    </x:row>
    <x:row r="12" ht="18" customHeight="1">
      <x:c r="A12" s="24" t="str">
        <x:v>EEZ_234</x:v>
      </x:c>
      <x:c r="B12" s="24" t="str">
        <x:v>commercial_ppr</x:v>
      </x:c>
      <x:c r="C12" s="24" t="n">
        <x:v>566189494.4616263</x:v>
      </x:c>
      <x:c r="D12" s="24" t="str">
        <x:v>tonnes_primary_production_equivalent</x:v>
      </x:c>
    </x:row>
    <x:row r="13" ht="18" customHeight="1">
      <x:c r="A13" s="24" t="str">
        <x:v>EEZ_234</x:v>
      </x:c>
      <x:c r="B13" s="24" t="str">
        <x:v>functional_ppr</x:v>
      </x:c>
      <x:c r="C13" s="24" t="n">
        <x:v>566189494.4616263</x:v>
      </x:c>
      <x:c r="D13" s="24" t="str">
        <x:v>tonnes_primary_production_equivalent</x:v>
      </x:c>
    </x:row>
    <x:row r="14" ht="18" customHeight="1">
      <x:c r="A14" s="24" t="str">
        <x:v>EEZ_234</x:v>
      </x:c>
      <x:c r="B14" s="24" t="str">
        <x:v>commercial_ppr_difference</x:v>
      </x:c>
      <x:c r="C14" s="24" t="n">
        <x:v>1.1920928955078125e-7</x:v>
      </x:c>
      <x:c r="D14" s="24" t="str">
        <x:v>tonnes_primary_production_equivalent</x:v>
      </x:c>
    </x:row>
    <x:row r="15" ht="18" customHeight="1">
      <x:c r="A15" s="24" t="str">
        <x:v>EEZ_234</x:v>
      </x:c>
      <x:c r="B15" s="24" t="str">
        <x:v>functional_ppr_difference</x:v>
      </x:c>
      <x:c r="C15" s="24" t="n">
        <x:v>1.1920928955078125e-7</x:v>
      </x:c>
      <x:c r="D15" s="24" t="str">
        <x:v>tonnes_primary_production_equivalent</x:v>
      </x:c>
    </x:row>
    <x:row r="16" ht="18" customHeight="1">
      <x:c r="A16" s="24" t="str">
        <x:v>EEZ_234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EEZ_234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EEZ_234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EEZ_234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a624fa9075e45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EEZ_234 - Faeroe Isl. (Denmark)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EEZ_234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