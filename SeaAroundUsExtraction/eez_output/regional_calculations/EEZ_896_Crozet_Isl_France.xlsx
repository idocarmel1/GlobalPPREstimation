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e44ae82f1049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f17edb116b034764"/>
    <x:sheet xmlns:r="http://schemas.openxmlformats.org/officeDocument/2006/relationships" name="Commercial" sheetId="2" r:id="Re92f8508c5a3465e"/>
    <x:sheet xmlns:r="http://schemas.openxmlformats.org/officeDocument/2006/relationships" name="Functional" sheetId="3" r:id="R665dfc94ab81440b"/>
    <x:sheet xmlns:r="http://schemas.openxmlformats.org/officeDocument/2006/relationships" name="Missing TL" sheetId="4" r:id="R9b45179ef7ed4281"/>
    <x:sheet xmlns:r="http://schemas.openxmlformats.org/officeDocument/2006/relationships" name="Validation" sheetId="5" r:id="Rd16503b45f8f4a60"/>
    <x:sheet xmlns:r="http://schemas.openxmlformats.org/officeDocument/2006/relationships" name="Metadata" sheetId="6" r:id="R60b101510ed049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5049a52f0e491f" /><Relationship Type="http://schemas.openxmlformats.org/officeDocument/2006/relationships/theme" Target="/xl/theme/theme1.xml" Id="R328d3b42d73943f7" /><Relationship Type="http://schemas.microsoft.com/office/2022/11/relationships/FeaturePropertyBag" Target="/xl/featurePropertyBag/featurePropertyBag.xml" Id="Re6eb6608958b4347" /><Relationship Type="http://schemas.openxmlformats.org/officeDocument/2006/relationships/sharedStrings" Target="/xl/sharedStrings.xml" Id="Reee42bfd461f4ebd" /><Relationship Type="http://schemas.openxmlformats.org/officeDocument/2006/relationships/worksheet" Target="/xl/worksheets/sheet1.xml" Id="Rf17edb116b034764" /><Relationship Type="http://schemas.openxmlformats.org/officeDocument/2006/relationships/worksheet" Target="/xl/worksheets/sheet2.xml" Id="Re92f8508c5a3465e" /><Relationship Type="http://schemas.openxmlformats.org/officeDocument/2006/relationships/worksheet" Target="/xl/worksheets/sheet3.xml" Id="R665dfc94ab81440b" /><Relationship Type="http://schemas.openxmlformats.org/officeDocument/2006/relationships/worksheet" Target="/xl/worksheets/sheet4.xml" Id="R9b45179ef7ed4281" /><Relationship Type="http://schemas.openxmlformats.org/officeDocument/2006/relationships/worksheet" Target="/xl/worksheets/sheet5.xml" Id="Rd16503b45f8f4a60" /><Relationship Type="http://schemas.openxmlformats.org/officeDocument/2006/relationships/worksheet" Target="/xl/worksheets/sheet6.xml" Id="R60b101510ed049d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96SpeciesTable" displayName="EEZ896SpeciesTable" ref="A1:U8" headerRowCount="1" totalsRowCount="0" totalsRowShown="0">
  <x:autoFilter ref="A1:U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96CommercialTable" displayName="EEZ896CommercialTable" ref="A1:E6" headerRowCount="1" totalsRowCount="0" totalsRowShown="0">
  <x:autoFilter ref="A1:E6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96FunctionalTable" displayName="EEZ896FunctionalTable" ref="A1:E8" headerRowCount="1" totalsRowCount="0" totalsRowShown="0">
  <x:autoFilter ref="A1:E8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96ValidationTable" displayName="EEZ89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6a58bf53c241d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8817a516c064b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baf2b25553241e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d4f4718b97344f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EEZ_896</x:v>
      </x:c>
      <x:c r="B2" s="24" t="str">
        <x:v>Crozet Isl. (France)</x:v>
      </x:c>
      <x:c r="C2" s="24" t="str">
        <x:v>EEZ</x:v>
      </x:c>
      <x:c r="D2" s="30" t="n">
        <x:v>2019</x:v>
      </x:c>
      <x:c r="E2" s="24" t="str">
        <x:v>Dissostichus eleginoides</x:v>
      </x:c>
      <x:c r="F2" s="24" t="str">
        <x:v>Patagonian toothfish</x:v>
      </x:c>
      <x:c r="G2" s="24" t="str">
        <x:v>Large bathydemersals (&gt;=90 cm)</x:v>
      </x:c>
      <x:c r="H2" s="24" t="str">
        <x:v>Perch-likes</x:v>
      </x:c>
      <x:c r="I2" s="31" t="n">
        <x:v>825.349401</x:v>
      </x:c>
      <x:c r="J2" s="31" t="n">
        <x:v>825.349401</x:v>
      </x:c>
      <x:c r="K2" s="31" t="n">
        <x:v>0</x:v>
      </x:c>
      <x:c r="L2" s="31" t="n">
        <x:v>825.349401</x:v>
      </x:c>
      <x:c r="M2" s="31" t="n">
        <x:v>0</x:v>
      </x:c>
      <x:c r="N2" s="24" t="str">
        <x:v>dissostichus eleginoides</x:v>
      </x:c>
      <x:c r="O2" s="32" t="n">
        <x:v>3.96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Dissostichus eleginoides</x:v>
      </x:c>
      <x:c r="T2" s="32" t="n">
        <x:f>IF(O2="","",(1/'Metadata'!$B$5)^(O2-1))</x:f>
        <x:v>912.0108393559096</x:v>
      </x:c>
      <x:c r="U2" s="31" t="n">
        <x:f>IF(T2="","",I2*T2)</x:f>
        <x:v>752727.5999679072</x:v>
      </x:c>
    </x:row>
    <x:row r="3" ht="18" customHeight="1">
      <x:c r="A3" s="24" t="str">
        <x:v>EEZ_896</x:v>
      </x:c>
      <x:c r="B3" s="24" t="str">
        <x:v>Crozet Isl. (France)</x:v>
      </x:c>
      <x:c r="C3" s="24" t="str">
        <x:v>EEZ</x:v>
      </x:c>
      <x:c r="D3" s="30" t="n">
        <x:v>2019</x:v>
      </x:c>
      <x:c r="E3" s="24" t="str">
        <x:v>Macrourus carinatus</x:v>
      </x:c>
      <x:c r="F3" s="24" t="str">
        <x:v>Ridge scaled rattail</x:v>
      </x:c>
      <x:c r="G3" s="24" t="str">
        <x:v>Medium benthopelagics (30 - 89 cm)</x:v>
      </x:c>
      <x:c r="H3" s="24" t="str">
        <x:v>Cod-likes</x:v>
      </x:c>
      <x:c r="I3" s="31" t="n">
        <x:v>78.44748299999999</x:v>
      </x:c>
      <x:c r="J3" s="31" t="n">
        <x:v>78.44748299999999</x:v>
      </x:c>
      <x:c r="K3" s="31" t="n">
        <x:v>0</x:v>
      </x:c>
      <x:c r="L3" s="31" t="n">
        <x:v>78.44748299999999</x:v>
      </x:c>
      <x:c r="M3" s="31" t="n">
        <x:v>0</x:v>
      </x:c>
      <x:c r="N3" s="24" t="str">
        <x:v>macrourus carinatus</x:v>
      </x:c>
      <x:c r="O3" s="32" t="n">
        <x:v>3.8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Macrourus carinatus</x:v>
      </x:c>
      <x:c r="T3" s="32" t="n">
        <x:f>IF(O3="","",(1/'Metadata'!$B$5)^(O3-1))</x:f>
        <x:v>630.957344480193</x:v>
      </x:c>
      <x:c r="U3" s="31" t="n">
        <x:f>IF(T3="","",I3*T3)</x:f>
        <x:v>49497.01555483508</x:v>
      </x:c>
    </x:row>
    <x:row r="4" ht="18" customHeight="1">
      <x:c r="A4" s="24" t="str">
        <x:v>EEZ_896</x:v>
      </x:c>
      <x:c r="B4" s="24" t="str">
        <x:v>Crozet Isl. (France)</x:v>
      </x:c>
      <x:c r="C4" s="24" t="str">
        <x:v>EEZ</x:v>
      </x:c>
      <x:c r="D4" s="30" t="n">
        <x:v>2019</x:v>
      </x:c>
      <x:c r="E4" s="24" t="str">
        <x:v>Antimora rostrata</x:v>
      </x:c>
      <x:c r="F4" s="24" t="str">
        <x:v>Blue antimora</x:v>
      </x:c>
      <x:c r="G4" s="24" t="str">
        <x:v>Medium bathypelagics (30 - 89 cm)</x:v>
      </x:c>
      <x:c r="H4" s="24" t="str">
        <x:v>Cod-likes</x:v>
      </x:c>
      <x:c r="I4" s="31" t="n">
        <x:v>42.858825</x:v>
      </x:c>
      <x:c r="J4" s="31" t="n">
        <x:v>42.858825</x:v>
      </x:c>
      <x:c r="K4" s="31" t="n">
        <x:v>0</x:v>
      </x:c>
      <x:c r="L4" s="31" t="n">
        <x:v>42.858825</x:v>
      </x:c>
      <x:c r="M4" s="31" t="n">
        <x:v>0</x:v>
      </x:c>
      <x:c r="N4" s="24" t="str">
        <x:v>antimora rostrata</x:v>
      </x:c>
      <x:c r="O4" s="32" t="n">
        <x:v>3.58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Antimora rostrata</x:v>
      </x:c>
      <x:c r="T4" s="32" t="n">
        <x:f>IF(O4="","",(1/'Metadata'!$B$5)^(O4-1))</x:f>
        <x:v>380.1893963205613</x:v>
      </x:c>
      <x:c r="U4" s="31" t="n">
        <x:f>IF(T4="","",I4*T4)</x:f>
        <x:v>16294.47080375858</x:v>
      </x:c>
    </x:row>
    <x:row r="5" ht="18" customHeight="1">
      <x:c r="A5" s="24" t="str">
        <x:v>EEZ_896</x:v>
      </x:c>
      <x:c r="B5" s="24" t="str">
        <x:v>Crozet Isl. (France)</x:v>
      </x:c>
      <x:c r="C5" s="24" t="str">
        <x:v>EEZ</x:v>
      </x:c>
      <x:c r="D5" s="30" t="n">
        <x:v>2019</x:v>
      </x:c>
      <x:c r="E5" s="24" t="str">
        <x:v>Amblyraja taaf</x:v>
      </x:c>
      <x:c r="F5" s="24" t="str">
        <x:v>Whiteleg skate</x:v>
      </x:c>
      <x:c r="G5" s="24" t="str">
        <x:v>Small to medium rays (&lt;90 cm)</x:v>
      </x:c>
      <x:c r="H5" s="24" t="str">
        <x:v>Sharks &amp; rays</x:v>
      </x:c>
      <x:c r="I5" s="31" t="n">
        <x:v>13.131058000000001</x:v>
      </x:c>
      <x:c r="J5" s="31" t="n">
        <x:v>13.131058000000001</x:v>
      </x:c>
      <x:c r="K5" s="31" t="n">
        <x:v>0</x:v>
      </x:c>
      <x:c r="L5" s="31" t="n">
        <x:v>13.131058000000001</x:v>
      </x:c>
      <x:c r="M5" s="31" t="n">
        <x:v>0</x:v>
      </x:c>
      <x:c r="N5" s="24" t="str">
        <x:v>amblyraja taaf</x:v>
      </x:c>
      <x:c r="O5" s="32" t="n">
        <x:v>3.8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Amblyraja taaf</x:v>
      </x:c>
      <x:c r="T5" s="32" t="n">
        <x:f>IF(O5="","",(1/'Metadata'!$B$5)^(O5-1))</x:f>
        <x:v>630.957344480193</x:v>
      </x:c>
      <x:c r="U5" s="31" t="n">
        <x:f>IF(T5="","",I5*T5)</x:f>
        <x:v>8285.137485895395</x:v>
      </x:c>
    </x:row>
    <x:row r="6" ht="18" customHeight="1">
      <x:c r="A6" s="24" t="str">
        <x:v>EEZ_896</x:v>
      </x:c>
      <x:c r="B6" s="24" t="str">
        <x:v>Crozet Isl. (France)</x:v>
      </x:c>
      <x:c r="C6" s="24" t="str">
        <x:v>EEZ</x:v>
      </x:c>
      <x:c r="D6" s="30" t="n">
        <x:v>2019</x:v>
      </x:c>
      <x:c r="E6" s="24" t="str">
        <x:v>Thunnus maccoyii</x:v>
      </x:c>
      <x:c r="F6" s="24" t="str">
        <x:v>Southern bluefin tuna</x:v>
      </x:c>
      <x:c r="G6" s="24" t="str">
        <x:v>Large pelagics (&gt;=90 cm)</x:v>
      </x:c>
      <x:c r="H6" s="24" t="str">
        <x:v>Tuna &amp; billfishes</x:v>
      </x:c>
      <x:c r="I6" s="31" t="n">
        <x:v>1.6350287805</x:v>
      </x:c>
      <x:c r="J6" s="31" t="n">
        <x:v>1.6350287805</x:v>
      </x:c>
      <x:c r="K6" s="31" t="n">
        <x:v>0</x:v>
      </x:c>
      <x:c r="L6" s="31" t="n">
        <x:v>1.6350287805</x:v>
      </x:c>
      <x:c r="M6" s="31" t="n">
        <x:v>0</x:v>
      </x:c>
      <x:c r="N6" s="24" t="str">
        <x:v>thunnus maccoyii</x:v>
      </x:c>
      <x:c r="O6" s="32" t="n">
        <x:v>3.93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Thunnus maccoyii</x:v>
      </x:c>
      <x:c r="T6" s="32" t="n">
        <x:f>IF(O6="","",(1/'Metadata'!$B$5)^(O6-1))</x:f>
        <x:v>851.1380382023768</x:v>
      </x:c>
      <x:c r="U6" s="31" t="n">
        <x:f>IF(T6="","",I6*T6)</x:f>
        <x:v>1391.6351886391944</x:v>
      </x:c>
    </x:row>
    <x:row r="7" ht="18" customHeight="1">
      <x:c r="A7" s="24" t="str">
        <x:v>EEZ_896</x:v>
      </x:c>
      <x:c r="B7" s="24" t="str">
        <x:v>Crozet Isl. (France)</x:v>
      </x:c>
      <x:c r="C7" s="24" t="str">
        <x:v>EEZ</x:v>
      </x:c>
      <x:c r="D7" s="30" t="n">
        <x:v>2019</x:v>
      </x:c>
      <x:c r="E7" s="24" t="str">
        <x:v>Marine fishes not identified</x:v>
      </x:c>
      <x:c r="F7" s="24" t="str">
        <x:v>Marine fishes nei</x:v>
      </x:c>
      <x:c r="G7" s="24" t="str">
        <x:v>Medium demersals (30 - 89 cm)</x:v>
      </x:c>
      <x:c r="H7" s="24" t="str">
        <x:v>Other fishes &amp; inverts</x:v>
      </x:c>
      <x:c r="I7" s="31" t="n">
        <x:v>0.4224477086</x:v>
      </x:c>
      <x:c r="J7" s="31" t="n">
        <x:v>0</x:v>
      </x:c>
      <x:c r="K7" s="31" t="n">
        <x:v>0.4224477086</x:v>
      </x:c>
      <x:c r="L7" s="31" t="n">
        <x:v>0</x:v>
      </x:c>
      <x:c r="M7" s="31" t="n">
        <x:v>0.4224477086</x:v>
      </x:c>
      <x:c r="N7" s="24" t="str">
        <x:v>marine fishes not identified</x:v>
      </x:c>
      <x:c r="O7" s="32" t="n">
        <x:v>3.28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fishes not identified</x:v>
      </x:c>
      <x:c r="T7" s="32" t="n">
        <x:f>IF(O7="","",(1/'Metadata'!$B$5)^(O7-1))</x:f>
        <x:v>190.54607179632464</x:v>
      </x:c>
      <x:c r="U7" s="31" t="n">
        <x:f>IF(T7="","",I7*T7)</x:f>
        <x:v>80.49575141308844</x:v>
      </x:c>
    </x:row>
    <x:row r="8" ht="18" customHeight="1">
      <x:c r="A8" s="24" t="str">
        <x:v>EEZ_896</x:v>
      </x:c>
      <x:c r="B8" s="24" t="str">
        <x:v>Crozet Isl. (France)</x:v>
      </x:c>
      <x:c r="C8" s="24" t="str">
        <x:v>EEZ</x:v>
      </x:c>
      <x:c r="D8" s="30" t="n">
        <x:v>2019</x:v>
      </x:c>
      <x:c r="E8" s="24" t="str">
        <x:v>Lamna nasus</x:v>
      </x:c>
      <x:c r="F8" s="24" t="str">
        <x:v>Porbeagle</x:v>
      </x:c>
      <x:c r="G8" s="24" t="str">
        <x:v>Large sharks (&gt;=90 cm)</x:v>
      </x:c>
      <x:c r="H8" s="24" t="str">
        <x:v>Sharks &amp; rays</x:v>
      </x:c>
      <x:c r="I8" s="31" t="n">
        <x:v>0.2741</x:v>
      </x:c>
      <x:c r="J8" s="31" t="n">
        <x:v>0.2741</x:v>
      </x:c>
      <x:c r="K8" s="31" t="n">
        <x:v>0</x:v>
      </x:c>
      <x:c r="L8" s="31" t="n">
        <x:v>0.2741</x:v>
      </x:c>
      <x:c r="M8" s="31" t="n">
        <x:v>0</x:v>
      </x:c>
      <x:c r="N8" s="24" t="str">
        <x:v>lamna nasus</x:v>
      </x:c>
      <x:c r="O8" s="32" t="n">
        <x:v>4.57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Lamna nasus</x:v>
      </x:c>
      <x:c r="T8" s="32" t="n">
        <x:f>IF(O8="","",(1/'Metadata'!$B$5)^(O8-1))</x:f>
        <x:v>3715.3522909717276</x:v>
      </x:c>
      <x:c r="U8" s="31" t="n">
        <x:f>IF(T8="","",I8*T8)</x:f>
        <x:v>1018.3780629553506</x:v>
      </x:c>
    </x:row>
  </x:sheetData>
  <x:conditionalFormatting sqref="R2:R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86a58bf53c241d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Cod-likes</x:v>
      </x:c>
      <x:c r="B2" s="31" t="n">
        <x:v>121.306308</x:v>
      </x:c>
      <x:c r="C2" s="32" t="n">
        <x:v>3.7222716307547667</x:v>
      </x:c>
      <x:c r="D2" s="32" t="n">
        <x:f>IF(C2="","",(1/'Metadata'!$B$5)^(C2-1))</x:f>
        <x:v>527.5597220280936</x:v>
      </x:c>
      <x:c r="E2" s="31" t="n">
        <x:f>IF(B2=0,"",B2*D2)</x:f>
        <x:v>63996.322128734304</x:v>
      </x:c>
    </x:row>
    <x:row r="3" ht="18" customHeight="1">
      <x:c r="A3" s="24" t="str">
        <x:v>Other fishes &amp; inverts</x:v>
      </x:c>
      <x:c r="B3" s="31" t="n">
        <x:v>0.4224477086</x:v>
      </x:c>
      <x:c r="C3" s="32" t="n">
        <x:v>3.28</x:v>
      </x:c>
      <x:c r="D3" s="32" t="n">
        <x:f>IF(C3="","",(1/'Metadata'!$B$5)^(C3-1))</x:f>
        <x:v>190.54607179632464</x:v>
      </x:c>
      <x:c r="E3" s="31" t="n">
        <x:f>IF(B3=0,"",B3*D3)</x:f>
        <x:v>80.49575141308844</x:v>
      </x:c>
    </x:row>
    <x:row r="4" ht="18" customHeight="1">
      <x:c r="A4" s="24" t="str">
        <x:v>Perch-likes</x:v>
      </x:c>
      <x:c r="B4" s="31" t="n">
        <x:v>825.349401</x:v>
      </x:c>
      <x:c r="C4" s="32" t="n">
        <x:v>3.9599999999999995</x:v>
      </x:c>
      <x:c r="D4" s="32" t="n">
        <x:f>IF(C4="","",(1/'Metadata'!$B$5)^(C4-1))</x:f>
        <x:v>912.0108393559087</x:v>
      </x:c>
      <x:c r="E4" s="31" t="n">
        <x:f>IF(B4=0,"",B4*D4)</x:f>
        <x:v>752727.5999679065</x:v>
      </x:c>
    </x:row>
    <x:row r="5" ht="18" customHeight="1">
      <x:c r="A5" s="24" t="str">
        <x:v>Sharks &amp; rays</x:v>
      </x:c>
      <x:c r="B5" s="31" t="n">
        <x:v>13.405158000000002</x:v>
      </x:c>
      <x:c r="C5" s="32" t="n">
        <x:v>3.81574446194517</x:v>
      </x:c>
      <x:c r="D5" s="32" t="n">
        <x:f>IF(C5="","",(1/'Metadata'!$B$5)^(C5-1))</x:f>
        <x:v>654.2511006752949</x:v>
      </x:c>
      <x:c r="E5" s="31" t="n">
        <x:f>IF(B5=0,"",B5*D5)</x:f>
        <x:v>8770.339376226235</x:v>
      </x:c>
    </x:row>
    <x:row r="6" ht="18" customHeight="1">
      <x:c r="A6" s="24" t="str">
        <x:v>Tuna &amp; billfishes</x:v>
      </x:c>
      <x:c r="B6" s="31" t="n">
        <x:v>1.6350287805</x:v>
      </x:c>
      <x:c r="C6" s="32" t="n">
        <x:v>3.93</x:v>
      </x:c>
      <x:c r="D6" s="32" t="n">
        <x:f>IF(C6="","",(1/'Metadata'!$B$5)^(C6-1))</x:f>
        <x:v>851.1380382023768</x:v>
      </x:c>
      <x:c r="E6" s="31" t="n">
        <x:f>IF(B6=0,"",B6*D6)</x:f>
        <x:v>1391.6351886391944</x:v>
      </x:c>
    </x:row>
  </x:sheetData>
  <x:pageMargins left="0.7" right="0.7" top="0.75" bottom="0.75" header="0.3" footer="0.3"/>
  <x:tableParts count="1">
    <x:tablePart xmlns:r="http://schemas.openxmlformats.org/officeDocument/2006/relationships" r:id="Ra8817a516c064b4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bathydemersals (&gt;=90 cm)</x:v>
      </x:c>
      <x:c r="B2" s="31" t="n">
        <x:v>825.349401</x:v>
      </x:c>
      <x:c r="C2" s="32" t="n">
        <x:v>3.9599999999999995</x:v>
      </x:c>
      <x:c r="D2" s="32" t="n">
        <x:f>IF(C2="","",(1/'Metadata'!$B$5)^(C2-1))</x:f>
        <x:v>912.0108393559087</x:v>
      </x:c>
      <x:c r="E2" s="31" t="n">
        <x:f>IF(B2=0,"",B2*D2)</x:f>
        <x:v>752727.5999679065</x:v>
      </x:c>
    </x:row>
    <x:row r="3" ht="18" customHeight="1">
      <x:c r="A3" s="24" t="str">
        <x:v>Large pelagics (&gt;=90 cm)</x:v>
      </x:c>
      <x:c r="B3" s="31" t="n">
        <x:v>1.6350287805</x:v>
      </x:c>
      <x:c r="C3" s="32" t="n">
        <x:v>3.93</x:v>
      </x:c>
      <x:c r="D3" s="32" t="n">
        <x:f>IF(C3="","",(1/'Metadata'!$B$5)^(C3-1))</x:f>
        <x:v>851.1380382023768</x:v>
      </x:c>
      <x:c r="E3" s="31" t="n">
        <x:f>IF(B3=0,"",B3*D3)</x:f>
        <x:v>1391.6351886391944</x:v>
      </x:c>
    </x:row>
    <x:row r="4" ht="18" customHeight="1">
      <x:c r="A4" s="24" t="str">
        <x:v>Large sharks (&gt;=90 cm)</x:v>
      </x:c>
      <x:c r="B4" s="31" t="n">
        <x:v>0.2741</x:v>
      </x:c>
      <x:c r="C4" s="32" t="n">
        <x:v>4.57</x:v>
      </x:c>
      <x:c r="D4" s="32" t="n">
        <x:f>IF(C4="","",(1/'Metadata'!$B$5)^(C4-1))</x:f>
        <x:v>3715.3522909717276</x:v>
      </x:c>
      <x:c r="E4" s="31" t="n">
        <x:f>IF(B4=0,"",B4*D4)</x:f>
        <x:v>1018.3780629553506</x:v>
      </x:c>
    </x:row>
    <x:row r="5" ht="18" customHeight="1">
      <x:c r="A5" s="24" t="str">
        <x:v>Medium bathypelagics (30 - 89 cm)</x:v>
      </x:c>
      <x:c r="B5" s="31" t="n">
        <x:v>42.858825</x:v>
      </x:c>
      <x:c r="C5" s="32" t="n">
        <x:v>3.58</x:v>
      </x:c>
      <x:c r="D5" s="32" t="n">
        <x:f>IF(C5="","",(1/'Metadata'!$B$5)^(C5-1))</x:f>
        <x:v>380.1893963205613</x:v>
      </x:c>
      <x:c r="E5" s="31" t="n">
        <x:f>IF(B5=0,"",B5*D5)</x:f>
        <x:v>16294.47080375858</x:v>
      </x:c>
    </x:row>
    <x:row r="6" ht="18" customHeight="1">
      <x:c r="A6" s="24" t="str">
        <x:v>Medium benthopelagics (30 - 89 cm)</x:v>
      </x:c>
      <x:c r="B6" s="31" t="n">
        <x:v>78.44748299999999</x:v>
      </x:c>
      <x:c r="C6" s="32" t="n">
        <x:v>3.8000000000000003</x:v>
      </x:c>
      <x:c r="D6" s="32" t="n">
        <x:f>IF(C6="","",(1/'Metadata'!$B$5)^(C6-1))</x:f>
        <x:v>630.9573444801937</x:v>
      </x:c>
      <x:c r="E6" s="31" t="n">
        <x:f>IF(B6=0,"",B6*D6)</x:f>
        <x:v>49497.01555483513</x:v>
      </x:c>
    </x:row>
    <x:row r="7" ht="18" customHeight="1">
      <x:c r="A7" s="24" t="str">
        <x:v>Medium demersals (30 - 89 cm)</x:v>
      </x:c>
      <x:c r="B7" s="31" t="n">
        <x:v>0.4224477086</x:v>
      </x:c>
      <x:c r="C7" s="32" t="n">
        <x:v>3.28</x:v>
      </x:c>
      <x:c r="D7" s="32" t="n">
        <x:f>IF(C7="","",(1/'Metadata'!$B$5)^(C7-1))</x:f>
        <x:v>190.54607179632464</x:v>
      </x:c>
      <x:c r="E7" s="31" t="n">
        <x:f>IF(B7=0,"",B7*D7)</x:f>
        <x:v>80.49575141308844</x:v>
      </x:c>
    </x:row>
    <x:row r="8" ht="18" customHeight="1">
      <x:c r="A8" s="24" t="str">
        <x:v>Small to medium rays (&lt;90 cm)</x:v>
      </x:c>
      <x:c r="B8" s="31" t="n">
        <x:v>13.131058000000001</x:v>
      </x:c>
      <x:c r="C8" s="32" t="n">
        <x:v>3.8</x:v>
      </x:c>
      <x:c r="D8" s="32" t="n">
        <x:f>IF(C8="","",(1/'Metadata'!$B$5)^(C8-1))</x:f>
        <x:v>630.957344480193</x:v>
      </x:c>
      <x:c r="E8" s="31" t="n">
        <x:f>IF(B8=0,"",B8*D8)</x:f>
        <x:v>8285.137485895395</x:v>
      </x:c>
    </x:row>
  </x:sheetData>
  <x:pageMargins left="0.7" right="0.7" top="0.75" bottom="0.75" header="0.3" footer="0.3"/>
  <x:tableParts count="1">
    <x:tablePart xmlns:r="http://schemas.openxmlformats.org/officeDocument/2006/relationships" r:id="Rebaf2b25553241e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EEZ_896</x:v>
      </x:c>
      <x:c r="B2" s="24" t="str">
        <x:v>raw_filtered_tonnes</x:v>
      </x:c>
      <x:c r="C2" s="24" t="n">
        <x:v>962.1183434891</x:v>
      </x:c>
      <x:c r="D2" s="24" t="str">
        <x:v>tonnes</x:v>
      </x:c>
    </x:row>
    <x:row r="3" ht="18" customHeight="1">
      <x:c r="A3" s="24" t="str">
        <x:v>EEZ_896</x:v>
      </x:c>
      <x:c r="B3" s="24" t="str">
        <x:v>species_catch_tonnes</x:v>
      </x:c>
      <x:c r="C3" s="24" t="n">
        <x:v>962.1183434891</x:v>
      </x:c>
      <x:c r="D3" s="24" t="str">
        <x:v>tonnes</x:v>
      </x:c>
    </x:row>
    <x:row r="4" ht="18" customHeight="1">
      <x:c r="A4" s="24" t="str">
        <x:v>EEZ_896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EEZ_896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EEZ_896</x:v>
      </x:c>
      <x:c r="B6" s="24" t="str">
        <x:v>matched_catch_tonnes</x:v>
      </x:c>
      <x:c r="C6" s="24" t="n">
        <x:v>962.1183434891</x:v>
      </x:c>
      <x:c r="D6" s="24" t="str">
        <x:v>tonnes</x:v>
      </x:c>
    </x:row>
    <x:row r="7" ht="18" customHeight="1">
      <x:c r="A7" s="24" t="str">
        <x:v>EEZ_896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EEZ_896</x:v>
      </x:c>
      <x:c r="B8" s="24" t="str">
        <x:v>taxa_count</x:v>
      </x:c>
      <x:c r="C8" s="24" t="n">
        <x:v>7</x:v>
      </x:c>
      <x:c r="D8" s="24" t="str">
        <x:v>count</x:v>
      </x:c>
    </x:row>
    <x:row r="9" ht="18" customHeight="1">
      <x:c r="A9" s="24" t="str">
        <x:v>EEZ_896</x:v>
      </x:c>
      <x:c r="B9" s="24" t="str">
        <x:v>matched_taxa_count</x:v>
      </x:c>
      <x:c r="C9" s="24" t="n">
        <x:v>7</x:v>
      </x:c>
      <x:c r="D9" s="24" t="str">
        <x:v>count</x:v>
      </x:c>
    </x:row>
    <x:row r="10" ht="18" customHeight="1">
      <x:c r="A10" s="24" t="str">
        <x:v>EEZ_896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EEZ_896</x:v>
      </x:c>
      <x:c r="B11" s="24" t="str">
        <x:v>species_ppr</x:v>
      </x:c>
      <x:c r="C11" s="24" t="n">
        <x:v>829294.7328154038</x:v>
      </x:c>
      <x:c r="D11" s="24" t="str">
        <x:v>tonnes_primary_production_equivalent</x:v>
      </x:c>
    </x:row>
    <x:row r="12" ht="18" customHeight="1">
      <x:c r="A12" s="24" t="str">
        <x:v>EEZ_896</x:v>
      </x:c>
      <x:c r="B12" s="24" t="str">
        <x:v>commercial_ppr</x:v>
      </x:c>
      <x:c r="C12" s="24" t="n">
        <x:v>826966.3924129192</x:v>
      </x:c>
      <x:c r="D12" s="24" t="str">
        <x:v>tonnes_primary_production_equivalent</x:v>
      </x:c>
    </x:row>
    <x:row r="13" ht="18" customHeight="1">
      <x:c r="A13" s="24" t="str">
        <x:v>EEZ_896</x:v>
      </x:c>
      <x:c r="B13" s="24" t="str">
        <x:v>functional_ppr</x:v>
      </x:c>
      <x:c r="C13" s="24" t="n">
        <x:v>829294.7328154031</x:v>
      </x:c>
      <x:c r="D13" s="24" t="str">
        <x:v>tonnes_primary_production_equivalent</x:v>
      </x:c>
    </x:row>
    <x:row r="14" ht="18" customHeight="1">
      <x:c r="A14" s="24" t="str">
        <x:v>EEZ_896</x:v>
      </x:c>
      <x:c r="B14" s="24" t="str">
        <x:v>commercial_ppr_difference</x:v>
      </x:c>
      <x:c r="C14" s="24" t="n">
        <x:v>-2328.3404024846386</x:v>
      </x:c>
      <x:c r="D14" s="24" t="str">
        <x:v>tonnes_primary_production_equivalent</x:v>
      </x:c>
    </x:row>
    <x:row r="15" ht="18" customHeight="1">
      <x:c r="A15" s="24" t="str">
        <x:v>EEZ_896</x:v>
      </x:c>
      <x:c r="B15" s="24" t="str">
        <x:v>functional_ppr_difference</x:v>
      </x:c>
      <x:c r="C15" s="24" t="n">
        <x:v>-6.984919309616089e-10</x:v>
      </x:c>
      <x:c r="D15" s="24" t="str">
        <x:v>tonnes_primary_production_equivalent</x:v>
      </x:c>
    </x:row>
    <x:row r="16" ht="18" customHeight="1">
      <x:c r="A16" s="24" t="str">
        <x:v>EEZ_896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EEZ_896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8d4f4718b97344f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EEZ_896 - Crozet Isl. (France)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EEZ_896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raw_data/SAU_downloads/EEZ_896-catch.zip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