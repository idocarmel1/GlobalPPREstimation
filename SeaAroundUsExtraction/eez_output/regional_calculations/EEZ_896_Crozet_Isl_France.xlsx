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bdfb0b36d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b7565c7c17415b"/>
    <x:sheet xmlns:r="http://schemas.openxmlformats.org/officeDocument/2006/relationships" name="Commercial" sheetId="2" r:id="R9474c8e9e9ee46cb"/>
    <x:sheet xmlns:r="http://schemas.openxmlformats.org/officeDocument/2006/relationships" name="Functional" sheetId="3" r:id="R814a31ea18ae4d3b"/>
    <x:sheet xmlns:r="http://schemas.openxmlformats.org/officeDocument/2006/relationships" name="Missing TL" sheetId="4" r:id="R8e11430c69764d29"/>
    <x:sheet xmlns:r="http://schemas.openxmlformats.org/officeDocument/2006/relationships" name="Validation" sheetId="5" r:id="R6d658e75f3614790"/>
    <x:sheet xmlns:r="http://schemas.openxmlformats.org/officeDocument/2006/relationships" name="Metadata" sheetId="6" r:id="R119b139bc793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975e5cb594234" /><Relationship Type="http://schemas.openxmlformats.org/officeDocument/2006/relationships/theme" Target="/xl/theme/theme1.xml" Id="R3f80c922dd2f4f12" /><Relationship Type="http://schemas.microsoft.com/office/2022/11/relationships/FeaturePropertyBag" Target="/xl/featurePropertyBag/featurePropertyBag.xml" Id="Rb86020c477a349d6" /><Relationship Type="http://schemas.openxmlformats.org/officeDocument/2006/relationships/sharedStrings" Target="/xl/sharedStrings.xml" Id="R2e8a62f05fc74323" /><Relationship Type="http://schemas.openxmlformats.org/officeDocument/2006/relationships/worksheet" Target="/xl/worksheets/sheet1.xml" Id="R64b7565c7c17415b" /><Relationship Type="http://schemas.openxmlformats.org/officeDocument/2006/relationships/worksheet" Target="/xl/worksheets/sheet2.xml" Id="R9474c8e9e9ee46cb" /><Relationship Type="http://schemas.openxmlformats.org/officeDocument/2006/relationships/worksheet" Target="/xl/worksheets/sheet3.xml" Id="R814a31ea18ae4d3b" /><Relationship Type="http://schemas.openxmlformats.org/officeDocument/2006/relationships/worksheet" Target="/xl/worksheets/sheet4.xml" Id="R8e11430c69764d29" /><Relationship Type="http://schemas.openxmlformats.org/officeDocument/2006/relationships/worksheet" Target="/xl/worksheets/sheet5.xml" Id="R6d658e75f3614790" /><Relationship Type="http://schemas.openxmlformats.org/officeDocument/2006/relationships/worksheet" Target="/xl/worksheets/sheet6.xml" Id="R119b139bc79345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6SpeciesTable" displayName="EEZ896SpeciesTable" ref="A1:U8" headerRowCount="1" totalsRowCount="0" totalsRowShown="0">
  <x:autoFilter ref="A1:U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6CommercialTable" displayName="EEZ896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6FunctionalTable" displayName="EEZ896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6ValidationTable" displayName="EEZ89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ba282c05a64e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72cf727d6944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ecd3e7666c44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58d7eb9a6d47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EEZ_896</x:v>
      </x:c>
      <x:c r="B2" s="24" t="str">
        <x:v>Crozet Isl. (France)</x:v>
      </x:c>
      <x:c r="C2" s="24" t="str">
        <x:v>EEZ</x:v>
      </x:c>
      <x:c r="D2" s="30" t="n">
        <x:v>2019</x:v>
      </x:c>
      <x:c r="E2" s="24" t="str">
        <x:v>Dissostichus eleginoides</x:v>
      </x:c>
      <x:c r="F2" s="24" t="str">
        <x:v>Patagonian toothfish</x:v>
      </x:c>
      <x:c r="G2" s="24" t="str">
        <x:v>Large bathydemersals (&gt;=90 cm)</x:v>
      </x:c>
      <x:c r="H2" s="24" t="str">
        <x:v>Perch-likes</x:v>
      </x:c>
      <x:c r="I2" s="31" t="n">
        <x:v>825.349401</x:v>
      </x:c>
      <x:c r="J2" s="31" t="n">
        <x:v>825.349401</x:v>
      </x:c>
      <x:c r="K2" s="31" t="n">
        <x:v>0</x:v>
      </x:c>
      <x:c r="L2" s="31" t="n">
        <x:v>825.349401</x:v>
      </x:c>
      <x:c r="M2" s="31" t="n">
        <x:v>0</x:v>
      </x:c>
      <x:c r="N2" s="24" t="str">
        <x:v>dissostichus eleginoides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Dissostichus eleginoides</x:v>
      </x:c>
      <x:c r="T2" s="32" t="n">
        <x:f>IF(O2="","",(1/'Metadata'!$B$5)^(O2-1))</x:f>
        <x:v>912.0108393559096</x:v>
      </x:c>
      <x:c r="U2" s="31" t="n">
        <x:f>IF(T2="","",I2*T2)</x:f>
        <x:v>752727.5999679072</x:v>
      </x:c>
    </x:row>
    <x:row r="3" ht="18" customHeight="1">
      <x:c r="A3" s="24" t="str">
        <x:v>EEZ_896</x:v>
      </x:c>
      <x:c r="B3" s="24" t="str">
        <x:v>Crozet Isl. (France)</x:v>
      </x:c>
      <x:c r="C3" s="24" t="str">
        <x:v>EEZ</x:v>
      </x:c>
      <x:c r="D3" s="30" t="n">
        <x:v>2019</x:v>
      </x:c>
      <x:c r="E3" s="24" t="str">
        <x:v>Macrourus carinatus</x:v>
      </x:c>
      <x:c r="F3" s="24" t="str">
        <x:v>Ridge scaled rattail</x:v>
      </x:c>
      <x:c r="G3" s="24" t="str">
        <x:v>Medium benthopelagics (30 - 89 cm)</x:v>
      </x:c>
      <x:c r="H3" s="24" t="str">
        <x:v>Cod-likes</x:v>
      </x:c>
      <x:c r="I3" s="31" t="n">
        <x:v>78.44748299999999</x:v>
      </x:c>
      <x:c r="J3" s="31" t="n">
        <x:v>78.44748299999999</x:v>
      </x:c>
      <x:c r="K3" s="31" t="n">
        <x:v>0</x:v>
      </x:c>
      <x:c r="L3" s="31" t="n">
        <x:v>78.44748299999999</x:v>
      </x:c>
      <x:c r="M3" s="31" t="n">
        <x:v>0</x:v>
      </x:c>
      <x:c r="N3" s="24" t="str">
        <x:v>macrourus carinatus</x:v>
      </x:c>
      <x:c r="O3" s="32" t="n">
        <x:v>3.8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Macrourus carinatus</x:v>
      </x:c>
      <x:c r="T3" s="32" t="n">
        <x:f>IF(O3="","",(1/'Metadata'!$B$5)^(O3-1))</x:f>
        <x:v>630.957344480193</x:v>
      </x:c>
      <x:c r="U3" s="31" t="n">
        <x:f>IF(T3="","",I3*T3)</x:f>
        <x:v>49497.01555483508</x:v>
      </x:c>
    </x:row>
    <x:row r="4" ht="18" customHeight="1">
      <x:c r="A4" s="24" t="str">
        <x:v>EEZ_896</x:v>
      </x:c>
      <x:c r="B4" s="24" t="str">
        <x:v>Crozet Isl. (France)</x:v>
      </x:c>
      <x:c r="C4" s="24" t="str">
        <x:v>EEZ</x:v>
      </x:c>
      <x:c r="D4" s="30" t="n">
        <x:v>2019</x:v>
      </x:c>
      <x:c r="E4" s="24" t="str">
        <x:v>Antimora rostrata</x:v>
      </x:c>
      <x:c r="F4" s="24" t="str">
        <x:v>Blue antimora</x:v>
      </x:c>
      <x:c r="G4" s="24" t="str">
        <x:v>Medium bathypelagics (30 - 89 cm)</x:v>
      </x:c>
      <x:c r="H4" s="24" t="str">
        <x:v>Cod-likes</x:v>
      </x:c>
      <x:c r="I4" s="31" t="n">
        <x:v>42.858825</x:v>
      </x:c>
      <x:c r="J4" s="31" t="n">
        <x:v>42.858825</x:v>
      </x:c>
      <x:c r="K4" s="31" t="n">
        <x:v>0</x:v>
      </x:c>
      <x:c r="L4" s="31" t="n">
        <x:v>42.858825</x:v>
      </x:c>
      <x:c r="M4" s="31" t="n">
        <x:v>0</x:v>
      </x:c>
      <x:c r="N4" s="24" t="str">
        <x:v>antimora rostrata</x:v>
      </x:c>
      <x:c r="O4" s="32" t="n">
        <x:v>3.58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Antimora rostrata</x:v>
      </x:c>
      <x:c r="T4" s="32" t="n">
        <x:f>IF(O4="","",(1/'Metadata'!$B$5)^(O4-1))</x:f>
        <x:v>380.1893963205613</x:v>
      </x:c>
      <x:c r="U4" s="31" t="n">
        <x:f>IF(T4="","",I4*T4)</x:f>
        <x:v>16294.47080375858</x:v>
      </x:c>
    </x:row>
    <x:row r="5" ht="18" customHeight="1">
      <x:c r="A5" s="24" t="str">
        <x:v>EEZ_896</x:v>
      </x:c>
      <x:c r="B5" s="24" t="str">
        <x:v>Crozet Isl. (France)</x:v>
      </x:c>
      <x:c r="C5" s="24" t="str">
        <x:v>EEZ</x:v>
      </x:c>
      <x:c r="D5" s="30" t="n">
        <x:v>2019</x:v>
      </x:c>
      <x:c r="E5" s="24" t="str">
        <x:v>Amblyraja taaf</x:v>
      </x:c>
      <x:c r="F5" s="24" t="str">
        <x:v>Whiteleg skate</x:v>
      </x:c>
      <x:c r="G5" s="24" t="str">
        <x:v>Small to medium rays (&lt;90 cm)</x:v>
      </x:c>
      <x:c r="H5" s="24" t="str">
        <x:v>Sharks &amp; rays</x:v>
      </x:c>
      <x:c r="I5" s="31" t="n">
        <x:v>13.131058000000001</x:v>
      </x:c>
      <x:c r="J5" s="31" t="n">
        <x:v>13.131058000000001</x:v>
      </x:c>
      <x:c r="K5" s="31" t="n">
        <x:v>0</x:v>
      </x:c>
      <x:c r="L5" s="31" t="n">
        <x:v>13.131058000000001</x:v>
      </x:c>
      <x:c r="M5" s="31" t="n">
        <x:v>0</x:v>
      </x:c>
      <x:c r="N5" s="24" t="str">
        <x:v>amblyraja taaf</x:v>
      </x:c>
      <x:c r="O5" s="32" t="n">
        <x:v>3.8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Amblyraja taaf</x:v>
      </x:c>
      <x:c r="T5" s="32" t="n">
        <x:f>IF(O5="","",(1/'Metadata'!$B$5)^(O5-1))</x:f>
        <x:v>630.957344480193</x:v>
      </x:c>
      <x:c r="U5" s="31" t="n">
        <x:f>IF(T5="","",I5*T5)</x:f>
        <x:v>8285.137485895395</x:v>
      </x:c>
    </x:row>
    <x:row r="6" ht="18" customHeight="1">
      <x:c r="A6" s="24" t="str">
        <x:v>EEZ_896</x:v>
      </x:c>
      <x:c r="B6" s="24" t="str">
        <x:v>Crozet Isl. (France)</x:v>
      </x:c>
      <x:c r="C6" s="24" t="str">
        <x:v>EEZ</x:v>
      </x:c>
      <x:c r="D6" s="30" t="n">
        <x:v>2019</x:v>
      </x:c>
      <x:c r="E6" s="24" t="str">
        <x:v>Thunnus maccoyii</x:v>
      </x:c>
      <x:c r="F6" s="24" t="str">
        <x:v>Southern bluefin tuna</x:v>
      </x:c>
      <x:c r="G6" s="24" t="str">
        <x:v>Large pelagics (&gt;=90 cm)</x:v>
      </x:c>
      <x:c r="H6" s="24" t="str">
        <x:v>Tuna &amp; billfishes</x:v>
      </x:c>
      <x:c r="I6" s="31" t="n">
        <x:v>1.6350287805</x:v>
      </x:c>
      <x:c r="J6" s="31" t="n">
        <x:v>1.6350287805</x:v>
      </x:c>
      <x:c r="K6" s="31" t="n">
        <x:v>0</x:v>
      </x:c>
      <x:c r="L6" s="31" t="n">
        <x:v>1.6350287805</x:v>
      </x:c>
      <x:c r="M6" s="31" t="n">
        <x:v>0</x:v>
      </x:c>
      <x:c r="N6" s="24" t="str">
        <x:v>thunnus maccoyii</x:v>
      </x:c>
      <x:c r="O6" s="32" t="n">
        <x:v>3.93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maccoyii</x:v>
      </x:c>
      <x:c r="T6" s="32" t="n">
        <x:f>IF(O6="","",(1/'Metadata'!$B$5)^(O6-1))</x:f>
        <x:v>851.1380382023768</x:v>
      </x:c>
      <x:c r="U6" s="31" t="n">
        <x:f>IF(T6="","",I6*T6)</x:f>
        <x:v>1391.6351886391944</x:v>
      </x:c>
    </x:row>
    <x:row r="7" ht="18" customHeight="1">
      <x:c r="A7" s="24" t="str">
        <x:v>EEZ_896</x:v>
      </x:c>
      <x:c r="B7" s="24" t="str">
        <x:v>Crozet Isl. (France)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0.4224477086</x:v>
      </x:c>
      <x:c r="J7" s="31" t="n">
        <x:v>0</x:v>
      </x:c>
      <x:c r="K7" s="31" t="n">
        <x:v>0.4224477086</x:v>
      </x:c>
      <x:c r="L7" s="31" t="n">
        <x:v>0</x:v>
      </x:c>
      <x:c r="M7" s="31" t="n">
        <x:v>0.4224477086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80.49575141308844</x:v>
      </x:c>
    </x:row>
    <x:row r="8" ht="18" customHeight="1">
      <x:c r="A8" s="24" t="str">
        <x:v>EEZ_896</x:v>
      </x:c>
      <x:c r="B8" s="24" t="str">
        <x:v>Crozet Isl. (France)</x:v>
      </x:c>
      <x:c r="C8" s="24" t="str">
        <x:v>EEZ</x:v>
      </x:c>
      <x:c r="D8" s="30" t="n">
        <x:v>2019</x:v>
      </x:c>
      <x:c r="E8" s="24" t="str">
        <x:v>Lamna nasus</x:v>
      </x:c>
      <x:c r="F8" s="24" t="str">
        <x:v>Porbeagle</x:v>
      </x:c>
      <x:c r="G8" s="24" t="str">
        <x:v>Large sharks (&gt;=90 cm)</x:v>
      </x:c>
      <x:c r="H8" s="24" t="str">
        <x:v>Sharks &amp; rays</x:v>
      </x:c>
      <x:c r="I8" s="31" t="n">
        <x:v>0.2741</x:v>
      </x:c>
      <x:c r="J8" s="31" t="n">
        <x:v>0.2741</x:v>
      </x:c>
      <x:c r="K8" s="31" t="n">
        <x:v>0</x:v>
      </x:c>
      <x:c r="L8" s="31" t="n">
        <x:v>0.2741</x:v>
      </x:c>
      <x:c r="M8" s="31" t="n">
        <x:v>0</x:v>
      </x:c>
      <x:c r="N8" s="24" t="str">
        <x:v>lamna nasus</x:v>
      </x:c>
      <x:c r="O8" s="32" t="n">
        <x:v>4.57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Lamna nasus</x:v>
      </x:c>
      <x:c r="T8" s="32" t="n">
        <x:f>IF(O8="","",(1/'Metadata'!$B$5)^(O8-1))</x:f>
        <x:v>3715.3522909717276</x:v>
      </x:c>
      <x:c r="U8" s="31" t="n">
        <x:f>IF(T8="","",I8*T8)</x:f>
        <x:v>1018.3780629553506</x:v>
      </x:c>
    </x:row>
  </x:sheetData>
  <x:conditionalFormatting sqref="R2:R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5ba282c05a64e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121.306308</x:v>
      </x:c>
      <x:c r="E2" s="31" t="n">
        <x:v>121.306308</x:v>
      </x:c>
      <x:c r="F2" s="32" t="n">
        <x:v>0</x:v>
      </x:c>
      <x:c r="G2" s="34" t="n">
        <x:v>1</x:v>
      </x:c>
      <x:c r="H2" s="32" t="n">
        <x:f>IF(E2=0,"",I2/E2)</x:f>
        <x:v>542.3583278010049</x:v>
      </x:c>
      <x:c r="I2" s="31" t="n">
        <x:f>IF(C2=0,"",SUMIF('Species'!$H$2:$H$8,A2,'Species'!$U$2:$U$8))</x:f>
        <x:v>65791.48635859365</x:v>
      </x:c>
      <x:c r="J2" s="32" t="n">
        <x:v>3.7222716307547667</x:v>
      </x:c>
      <x:c r="K2" s="32" t="n">
        <x:f>IF(J2="","",(1/'Metadata'!$B$5)^(J2-1))</x:f>
        <x:v>527.5597220280936</x:v>
      </x:c>
      <x:c r="L2" s="31" t="n">
        <x:f>IF(E2=0,"",E2*K2)</x:f>
        <x:v>63996.322128734304</x:v>
      </x:c>
      <x:c r="M2" s="31" t="n">
        <x:f>IF(E2=0,"",I2-L2)</x:f>
        <x:v>1795.1642298593506</x:v>
      </x:c>
      <x:c r="N2" s="32" t="n">
        <x:f>IF(L2=0,"",I2/L2)</x:f>
        <x:v>1.0280510530940858</x:v>
      </x:c>
      <x:c r="O2" s="34" t="n">
        <x:f>IF(L2=0,"",M2/L2)</x:f>
        <x:v>0.028051053094085905</x:v>
      </x:c>
    </x:row>
    <x:row r="3" ht="18" customHeight="1">
      <x:c r="A3" s="24" t="str">
        <x:v>Other fishes &amp; inverts</x:v>
      </x:c>
      <x:c r="B3" s="33" t="n">
        <x:v>1</x:v>
      </x:c>
      <x:c r="C3" s="33" t="n">
        <x:v>1</x:v>
      </x:c>
      <x:c r="D3" s="31" t="n">
        <x:v>0.4224477086</x:v>
      </x:c>
      <x:c r="E3" s="31" t="n">
        <x:v>0.4224477086</x:v>
      </x:c>
      <x:c r="F3" s="32" t="n">
        <x:v>0</x:v>
      </x:c>
      <x:c r="G3" s="34" t="n">
        <x:v>1</x:v>
      </x:c>
      <x:c r="H3" s="32" t="n">
        <x:f>IF(E3=0,"",I3/E3)</x:f>
        <x:v>190.54607179632467</x:v>
      </x:c>
      <x:c r="I3" s="31" t="n">
        <x:f>IF(C3=0,"",SUMIF('Species'!$H$2:$H$8,A3,'Species'!$U$2:$U$8))</x:f>
        <x:v>80.49575141308844</x:v>
      </x:c>
      <x:c r="J3" s="32" t="n">
        <x:v>3.28</x:v>
      </x:c>
      <x:c r="K3" s="32" t="n">
        <x:f>IF(J3="","",(1/'Metadata'!$B$5)^(J3-1))</x:f>
        <x:v>190.54607179632464</x:v>
      </x:c>
      <x:c r="L3" s="31" t="n">
        <x:f>IF(E3=0,"",E3*K3)</x:f>
        <x:v>80.49575141308844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Perch-likes</x:v>
      </x:c>
      <x:c r="B4" s="33" t="n">
        <x:v>1</x:v>
      </x:c>
      <x:c r="C4" s="33" t="n">
        <x:v>1</x:v>
      </x:c>
      <x:c r="D4" s="31" t="n">
        <x:v>825.349401</x:v>
      </x:c>
      <x:c r="E4" s="31" t="n">
        <x:v>825.349401</x:v>
      </x:c>
      <x:c r="F4" s="32" t="n">
        <x:v>0</x:v>
      </x:c>
      <x:c r="G4" s="34" t="n">
        <x:v>1</x:v>
      </x:c>
      <x:c r="H4" s="32" t="n">
        <x:f>IF(E4=0,"",I4/E4)</x:f>
        <x:v>912.0108393559096</x:v>
      </x:c>
      <x:c r="I4" s="31" t="n">
        <x:f>IF(C4=0,"",SUMIF('Species'!$H$2:$H$8,A4,'Species'!$U$2:$U$8))</x:f>
        <x:v>752727.5999679072</x:v>
      </x:c>
      <x:c r="J4" s="32" t="n">
        <x:v>3.9599999999999995</x:v>
      </x:c>
      <x:c r="K4" s="32" t="n">
        <x:f>IF(J4="","",(1/'Metadata'!$B$5)^(J4-1))</x:f>
        <x:v>912.0108393559087</x:v>
      </x:c>
      <x:c r="L4" s="31" t="n">
        <x:f>IF(E4=0,"",E4*K4)</x:f>
        <x:v>752727.5999679065</x:v>
      </x:c>
      <x:c r="M4" s="31" t="n">
        <x:f>IF(E4=0,"",I4-L4)</x:f>
        <x:v>6.984919309616089e-10</x:v>
      </x:c>
      <x:c r="N4" s="32" t="n">
        <x:f>IF(L4=0,"",I4/L4)</x:f>
        <x:v>1.0000000000000009</x:v>
      </x:c>
      <x:c r="O4" s="34" t="n">
        <x:f>IF(L4=0,"",M4/L4)</x:f>
        <x:v>9.279478140450675e-16</x:v>
      </x:c>
    </x:row>
    <x:row r="5" ht="18" customHeight="1">
      <x:c r="A5" s="24" t="str">
        <x:v>Sharks &amp; rays</x:v>
      </x:c>
      <x:c r="B5" s="33" t="n">
        <x:v>2</x:v>
      </x:c>
      <x:c r="C5" s="33" t="n">
        <x:v>2</x:v>
      </x:c>
      <x:c r="D5" s="31" t="n">
        <x:v>13.405158000000002</x:v>
      </x:c>
      <x:c r="E5" s="31" t="n">
        <x:v>13.405158000000002</x:v>
      </x:c>
      <x:c r="F5" s="32" t="n">
        <x:v>0</x:v>
      </x:c>
      <x:c r="G5" s="34" t="n">
        <x:v>1</x:v>
      </x:c>
      <x:c r="H5" s="32" t="n">
        <x:f>IF(E5=0,"",I5/E5)</x:f>
        <x:v>694.0250572839757</x:v>
      </x:c>
      <x:c r="I5" s="31" t="n">
        <x:f>IF(C5=0,"",SUMIF('Species'!$H$2:$H$8,A5,'Species'!$U$2:$U$8))</x:f>
        <x:v>9303.515548850746</x:v>
      </x:c>
      <x:c r="J5" s="32" t="n">
        <x:v>3.81574446194517</x:v>
      </x:c>
      <x:c r="K5" s="32" t="n">
        <x:f>IF(J5="","",(1/'Metadata'!$B$5)^(J5-1))</x:f>
        <x:v>654.2511006752949</x:v>
      </x:c>
      <x:c r="L5" s="31" t="n">
        <x:f>IF(E5=0,"",E5*K5)</x:f>
        <x:v>8770.339376226235</x:v>
      </x:c>
      <x:c r="M5" s="31" t="n">
        <x:f>IF(E5=0,"",I5-L5)</x:f>
        <x:v>533.1761726245113</x:v>
      </x:c>
      <x:c r="N5" s="32" t="n">
        <x:f>IF(L5=0,"",I5/L5)</x:f>
        <x:v>1.0607931061447624</x:v>
      </x:c>
      <x:c r="O5" s="34" t="n">
        <x:f>IF(L5=0,"",M5/L5)</x:f>
        <x:v>0.060793106144762465</x:v>
      </x:c>
    </x:row>
    <x:row r="6" ht="18" customHeight="1">
      <x:c r="A6" s="24" t="str">
        <x:v>Tuna &amp; billfishes</x:v>
      </x:c>
      <x:c r="B6" s="33" t="n">
        <x:v>1</x:v>
      </x:c>
      <x:c r="C6" s="33" t="n">
        <x:v>1</x:v>
      </x:c>
      <x:c r="D6" s="31" t="n">
        <x:v>1.6350287805</x:v>
      </x:c>
      <x:c r="E6" s="31" t="n">
        <x:v>1.6350287805</x:v>
      </x:c>
      <x:c r="F6" s="32" t="n">
        <x:v>0</x:v>
      </x:c>
      <x:c r="G6" s="34" t="n">
        <x:v>1</x:v>
      </x:c>
      <x:c r="H6" s="32" t="n">
        <x:f>IF(E6=0,"",I6/E6)</x:f>
        <x:v>851.1380382023768</x:v>
      </x:c>
      <x:c r="I6" s="31" t="n">
        <x:f>IF(C6=0,"",SUMIF('Species'!$H$2:$H$8,A6,'Species'!$U$2:$U$8))</x:f>
        <x:v>1391.6351886391944</x:v>
      </x:c>
      <x:c r="J6" s="32" t="n">
        <x:v>3.93</x:v>
      </x:c>
      <x:c r="K6" s="32" t="n">
        <x:f>IF(J6="","",(1/'Metadata'!$B$5)^(J6-1))</x:f>
        <x:v>851.1380382023768</x:v>
      </x:c>
      <x:c r="L6" s="31" t="n">
        <x:f>IF(E6=0,"",E6*K6)</x:f>
        <x:v>1391.6351886391944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72cf727d6944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825.349401</x:v>
      </x:c>
      <x:c r="E2" s="31" t="n">
        <x:v>825.349401</x:v>
      </x:c>
      <x:c r="F2" s="32" t="n">
        <x:v>0</x:v>
      </x:c>
      <x:c r="G2" s="34" t="n">
        <x:v>1</x:v>
      </x:c>
      <x:c r="H2" s="32" t="n">
        <x:f>IF(E2=0,"",I2/E2)</x:f>
        <x:v>912.0108393559096</x:v>
      </x:c>
      <x:c r="I2" s="31" t="n">
        <x:f>IF(C2=0,"",SUMIF('Species'!$G$2:$G$8,A2,'Species'!$U$2:$U$8))</x:f>
        <x:v>752727.5999679072</x:v>
      </x:c>
      <x:c r="J2" s="32" t="n">
        <x:v>3.9599999999999995</x:v>
      </x:c>
      <x:c r="K2" s="32" t="n">
        <x:f>IF(J2="","",(1/'Metadata'!$B$5)^(J2-1))</x:f>
        <x:v>912.0108393559087</x:v>
      </x:c>
      <x:c r="L2" s="31" t="n">
        <x:f>IF(E2=0,"",E2*K2)</x:f>
        <x:v>752727.5999679065</x:v>
      </x:c>
      <x:c r="M2" s="31" t="n">
        <x:f>IF(E2=0,"",I2-L2)</x:f>
        <x:v>6.984919309616089e-10</x:v>
      </x:c>
      <x:c r="N2" s="32" t="n">
        <x:f>IF(L2=0,"",I2/L2)</x:f>
        <x:v>1.0000000000000009</x:v>
      </x:c>
      <x:c r="O2" s="34" t="n">
        <x:f>IF(L2=0,"",M2/L2)</x:f>
        <x:v>9.279478140450675e-16</x:v>
      </x:c>
    </x:row>
    <x:row r="3" ht="18" customHeight="1">
      <x:c r="A3" s="24" t="str">
        <x:v>Large pelagics (&gt;=90 cm)</x:v>
      </x:c>
      <x:c r="B3" s="33" t="n">
        <x:v>1</x:v>
      </x:c>
      <x:c r="C3" s="33" t="n">
        <x:v>1</x:v>
      </x:c>
      <x:c r="D3" s="31" t="n">
        <x:v>1.6350287805</x:v>
      </x:c>
      <x:c r="E3" s="31" t="n">
        <x:v>1.6350287805</x:v>
      </x:c>
      <x:c r="F3" s="32" t="n">
        <x:v>0</x:v>
      </x:c>
      <x:c r="G3" s="34" t="n">
        <x:v>1</x:v>
      </x:c>
      <x:c r="H3" s="32" t="n">
        <x:f>IF(E3=0,"",I3/E3)</x:f>
        <x:v>851.1380382023768</x:v>
      </x:c>
      <x:c r="I3" s="31" t="n">
        <x:f>IF(C3=0,"",SUMIF('Species'!$G$2:$G$8,A3,'Species'!$U$2:$U$8))</x:f>
        <x:v>1391.6351886391944</x:v>
      </x:c>
      <x:c r="J3" s="32" t="n">
        <x:v>3.93</x:v>
      </x:c>
      <x:c r="K3" s="32" t="n">
        <x:f>IF(J3="","",(1/'Metadata'!$B$5)^(J3-1))</x:f>
        <x:v>851.1380382023768</x:v>
      </x:c>
      <x:c r="L3" s="31" t="n">
        <x:f>IF(E3=0,"",E3*K3)</x:f>
        <x:v>1391.6351886391944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sharks (&gt;=90 cm)</x:v>
      </x:c>
      <x:c r="B4" s="33" t="n">
        <x:v>1</x:v>
      </x:c>
      <x:c r="C4" s="33" t="n">
        <x:v>1</x:v>
      </x:c>
      <x:c r="D4" s="31" t="n">
        <x:v>0.2741</x:v>
      </x:c>
      <x:c r="E4" s="31" t="n">
        <x:v>0.2741</x:v>
      </x:c>
      <x:c r="F4" s="32" t="n">
        <x:v>0</x:v>
      </x:c>
      <x:c r="G4" s="34" t="n">
        <x:v>1</x:v>
      </x:c>
      <x:c r="H4" s="32" t="n">
        <x:f>IF(E4=0,"",I4/E4)</x:f>
        <x:v>3715.3522909717276</x:v>
      </x:c>
      <x:c r="I4" s="31" t="n">
        <x:f>IF(C4=0,"",SUMIF('Species'!$G$2:$G$8,A4,'Species'!$U$2:$U$8))</x:f>
        <x:v>1018.3780629553506</x:v>
      </x:c>
      <x:c r="J4" s="32" t="n">
        <x:v>4.57</x:v>
      </x:c>
      <x:c r="K4" s="32" t="n">
        <x:f>IF(J4="","",(1/'Metadata'!$B$5)^(J4-1))</x:f>
        <x:v>3715.3522909717276</x:v>
      </x:c>
      <x:c r="L4" s="31" t="n">
        <x:f>IF(E4=0,"",E4*K4)</x:f>
        <x:v>1018.3780629553506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bathypelagics (30 - 89 cm)</x:v>
      </x:c>
      <x:c r="B5" s="33" t="n">
        <x:v>1</x:v>
      </x:c>
      <x:c r="C5" s="33" t="n">
        <x:v>1</x:v>
      </x:c>
      <x:c r="D5" s="31" t="n">
        <x:v>42.858825</x:v>
      </x:c>
      <x:c r="E5" s="31" t="n">
        <x:v>42.858825</x:v>
      </x:c>
      <x:c r="F5" s="32" t="n">
        <x:v>0</x:v>
      </x:c>
      <x:c r="G5" s="34" t="n">
        <x:v>1</x:v>
      </x:c>
      <x:c r="H5" s="32" t="n">
        <x:f>IF(E5=0,"",I5/E5)</x:f>
        <x:v>380.1893963205613</x:v>
      </x:c>
      <x:c r="I5" s="31" t="n">
        <x:f>IF(C5=0,"",SUMIF('Species'!$G$2:$G$8,A5,'Species'!$U$2:$U$8))</x:f>
        <x:v>16294.47080375858</x:v>
      </x:c>
      <x:c r="J5" s="32" t="n">
        <x:v>3.58</x:v>
      </x:c>
      <x:c r="K5" s="32" t="n">
        <x:f>IF(J5="","",(1/'Metadata'!$B$5)^(J5-1))</x:f>
        <x:v>380.1893963205613</x:v>
      </x:c>
      <x:c r="L5" s="31" t="n">
        <x:f>IF(E5=0,"",E5*K5)</x:f>
        <x:v>16294.47080375858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benthopelagics (30 - 89 cm)</x:v>
      </x:c>
      <x:c r="B6" s="33" t="n">
        <x:v>1</x:v>
      </x:c>
      <x:c r="C6" s="33" t="n">
        <x:v>1</x:v>
      </x:c>
      <x:c r="D6" s="31" t="n">
        <x:v>78.44748299999999</x:v>
      </x:c>
      <x:c r="E6" s="31" t="n">
        <x:v>78.44748299999999</x:v>
      </x:c>
      <x:c r="F6" s="32" t="n">
        <x:v>0</x:v>
      </x:c>
      <x:c r="G6" s="34" t="n">
        <x:v>1</x:v>
      </x:c>
      <x:c r="H6" s="32" t="n">
        <x:f>IF(E6=0,"",I6/E6)</x:f>
        <x:v>630.957344480193</x:v>
      </x:c>
      <x:c r="I6" s="31" t="n">
        <x:f>IF(C6=0,"",SUMIF('Species'!$G$2:$G$8,A6,'Species'!$U$2:$U$8))</x:f>
        <x:v>49497.01555483508</x:v>
      </x:c>
      <x:c r="J6" s="32" t="n">
        <x:v>3.8000000000000003</x:v>
      </x:c>
      <x:c r="K6" s="32" t="n">
        <x:f>IF(J6="","",(1/'Metadata'!$B$5)^(J6-1))</x:f>
        <x:v>630.9573444801937</x:v>
      </x:c>
      <x:c r="L6" s="31" t="n">
        <x:f>IF(E6=0,"",E6*K6)</x:f>
        <x:v>49497.01555483513</x:v>
      </x:c>
      <x:c r="M6" s="31" t="n">
        <x:f>IF(E6=0,"",I6-L6)</x:f>
        <x:v>-5.093170329928398e-11</x:v>
      </x:c>
      <x:c r="N6" s="32" t="n">
        <x:f>IF(L6=0,"",I6/L6)</x:f>
        <x:v>0.999999999999999</x:v>
      </x:c>
      <x:c r="O6" s="34" t="n">
        <x:f>IF(L6=0,"",M6/L6)</x:f>
        <x:v>-1.0289853383757942e-15</x:v>
      </x:c>
    </x:row>
    <x:row r="7" ht="18" customHeight="1">
      <x:c r="A7" s="24" t="str">
        <x:v>Medium demersals (30 - 89 cm)</x:v>
      </x:c>
      <x:c r="B7" s="33" t="n">
        <x:v>1</x:v>
      </x:c>
      <x:c r="C7" s="33" t="n">
        <x:v>1</x:v>
      </x:c>
      <x:c r="D7" s="31" t="n">
        <x:v>0.4224477086</x:v>
      </x:c>
      <x:c r="E7" s="31" t="n">
        <x:v>0.4224477086</x:v>
      </x:c>
      <x:c r="F7" s="32" t="n">
        <x:v>0</x:v>
      </x:c>
      <x:c r="G7" s="34" t="n">
        <x:v>1</x:v>
      </x:c>
      <x:c r="H7" s="32" t="n">
        <x:f>IF(E7=0,"",I7/E7)</x:f>
        <x:v>190.54607179632467</x:v>
      </x:c>
      <x:c r="I7" s="31" t="n">
        <x:f>IF(C7=0,"",SUMIF('Species'!$G$2:$G$8,A7,'Species'!$U$2:$U$8))</x:f>
        <x:v>80.49575141308844</x:v>
      </x:c>
      <x:c r="J7" s="32" t="n">
        <x:v>3.28</x:v>
      </x:c>
      <x:c r="K7" s="32" t="n">
        <x:f>IF(J7="","",(1/'Metadata'!$B$5)^(J7-1))</x:f>
        <x:v>190.54607179632464</x:v>
      </x:c>
      <x:c r="L7" s="31" t="n">
        <x:f>IF(E7=0,"",E7*K7)</x:f>
        <x:v>80.49575141308844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Small to medium rays (&lt;90 cm)</x:v>
      </x:c>
      <x:c r="B8" s="33" t="n">
        <x:v>1</x:v>
      </x:c>
      <x:c r="C8" s="33" t="n">
        <x:v>1</x:v>
      </x:c>
      <x:c r="D8" s="31" t="n">
        <x:v>13.131058000000001</x:v>
      </x:c>
      <x:c r="E8" s="31" t="n">
        <x:v>13.131058000000001</x:v>
      </x:c>
      <x:c r="F8" s="32" t="n">
        <x:v>0</x:v>
      </x:c>
      <x:c r="G8" s="34" t="n">
        <x:v>1</x:v>
      </x:c>
      <x:c r="H8" s="32" t="n">
        <x:f>IF(E8=0,"",I8/E8)</x:f>
        <x:v>630.957344480193</x:v>
      </x:c>
      <x:c r="I8" s="31" t="n">
        <x:f>IF(C8=0,"",SUMIF('Species'!$G$2:$G$8,A8,'Species'!$U$2:$U$8))</x:f>
        <x:v>8285.137485895395</x:v>
      </x:c>
      <x:c r="J8" s="32" t="n">
        <x:v>3.8</x:v>
      </x:c>
      <x:c r="K8" s="32" t="n">
        <x:f>IF(J8="","",(1/'Metadata'!$B$5)^(J8-1))</x:f>
        <x:v>630.957344480193</x:v>
      </x:c>
      <x:c r="L8" s="31" t="n">
        <x:f>IF(E8=0,"",E8*K8)</x:f>
        <x:v>8285.137485895395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becd3e7666c44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EEZ_896</x:v>
      </x:c>
      <x:c r="B2" s="24" t="str">
        <x:v>raw_filtered_tonnes</x:v>
      </x:c>
      <x:c r="C2" s="24" t="n">
        <x:v>962.1183434891</x:v>
      </x:c>
      <x:c r="D2" s="24" t="str">
        <x:v>tonnes</x:v>
      </x:c>
    </x:row>
    <x:row r="3" ht="18" customHeight="1">
      <x:c r="A3" s="24" t="str">
        <x:v>EEZ_896</x:v>
      </x:c>
      <x:c r="B3" s="24" t="str">
        <x:v>species_catch_tonnes</x:v>
      </x:c>
      <x:c r="C3" s="24" t="n">
        <x:v>962.1183434891</x:v>
      </x:c>
      <x:c r="D3" s="24" t="str">
        <x:v>tonnes</x:v>
      </x:c>
    </x:row>
    <x:row r="4" ht="18" customHeight="1">
      <x:c r="A4" s="24" t="str">
        <x:v>EEZ_896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EEZ_896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EEZ_896</x:v>
      </x:c>
      <x:c r="B6" s="24" t="str">
        <x:v>matched_catch_tonnes</x:v>
      </x:c>
      <x:c r="C6" s="24" t="n">
        <x:v>962.1183434891</x:v>
      </x:c>
      <x:c r="D6" s="24" t="str">
        <x:v>tonnes</x:v>
      </x:c>
    </x:row>
    <x:row r="7" ht="18" customHeight="1">
      <x:c r="A7" s="24" t="str">
        <x:v>EEZ_896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EEZ_896</x:v>
      </x:c>
      <x:c r="B8" s="24" t="str">
        <x:v>taxa_count</x:v>
      </x:c>
      <x:c r="C8" s="24" t="n">
        <x:v>7</x:v>
      </x:c>
      <x:c r="D8" s="24" t="str">
        <x:v>count</x:v>
      </x:c>
    </x:row>
    <x:row r="9" ht="18" customHeight="1">
      <x:c r="A9" s="24" t="str">
        <x:v>EEZ_896</x:v>
      </x:c>
      <x:c r="B9" s="24" t="str">
        <x:v>matched_taxa_count</x:v>
      </x:c>
      <x:c r="C9" s="24" t="n">
        <x:v>7</x:v>
      </x:c>
      <x:c r="D9" s="24" t="str">
        <x:v>count</x:v>
      </x:c>
    </x:row>
    <x:row r="10" ht="18" customHeight="1">
      <x:c r="A10" s="24" t="str">
        <x:v>EEZ_896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EEZ_896</x:v>
      </x:c>
      <x:c r="B11" s="24" t="str">
        <x:v>species_ppr</x:v>
      </x:c>
      <x:c r="C11" s="24" t="n">
        <x:v>829294.7328154038</x:v>
      </x:c>
      <x:c r="D11" s="24" t="str">
        <x:v>tonnes_primary_production_equivalent</x:v>
      </x:c>
    </x:row>
    <x:row r="12" ht="18" customHeight="1">
      <x:c r="A12" s="24" t="str">
        <x:v>EEZ_896</x:v>
      </x:c>
      <x:c r="B12" s="24" t="str">
        <x:v>commercial_ppr</x:v>
      </x:c>
      <x:c r="C12" s="24" t="n">
        <x:v>829294.7328154038</x:v>
      </x:c>
      <x:c r="D12" s="24" t="str">
        <x:v>tonnes_primary_production_equivalent</x:v>
      </x:c>
    </x:row>
    <x:row r="13" ht="18" customHeight="1">
      <x:c r="A13" s="24" t="str">
        <x:v>EEZ_896</x:v>
      </x:c>
      <x:c r="B13" s="24" t="str">
        <x:v>functional_ppr</x:v>
      </x:c>
      <x:c r="C13" s="24" t="n">
        <x:v>829294.7328154038</x:v>
      </x:c>
      <x:c r="D13" s="24" t="str">
        <x:v>tonnes_primary_production_equivalent</x:v>
      </x:c>
    </x:row>
    <x:row r="14" ht="18" customHeight="1">
      <x:c r="A14" s="24" t="str">
        <x:v>EEZ_896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EEZ_896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EEZ_896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EEZ_896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EEZ_896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EEZ_896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758d7eb9a6d47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EEZ_896 - Crozet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