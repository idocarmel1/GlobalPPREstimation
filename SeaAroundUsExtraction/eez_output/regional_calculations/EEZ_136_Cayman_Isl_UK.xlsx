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c38afcacb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7a4a036f54f4cc5"/>
    <x:sheet xmlns:r="http://schemas.openxmlformats.org/officeDocument/2006/relationships" name="Commercial" sheetId="2" r:id="Rcaf7341114ad4c2f"/>
    <x:sheet xmlns:r="http://schemas.openxmlformats.org/officeDocument/2006/relationships" name="Functional" sheetId="3" r:id="R32d3d795f02546f1"/>
    <x:sheet xmlns:r="http://schemas.openxmlformats.org/officeDocument/2006/relationships" name="Missing TL" sheetId="4" r:id="Rebf34ffab5d14ddf"/>
    <x:sheet xmlns:r="http://schemas.openxmlformats.org/officeDocument/2006/relationships" name="Validation" sheetId="5" r:id="R1a84243f36d44f4b"/>
    <x:sheet xmlns:r="http://schemas.openxmlformats.org/officeDocument/2006/relationships" name="Metadata" sheetId="6" r:id="R3c5fa76543f7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2bb09374a42b7" /><Relationship Type="http://schemas.openxmlformats.org/officeDocument/2006/relationships/theme" Target="/xl/theme/theme1.xml" Id="Rcd57cb29a5a94196" /><Relationship Type="http://schemas.microsoft.com/office/2022/11/relationships/FeaturePropertyBag" Target="/xl/featurePropertyBag/featurePropertyBag.xml" Id="R8f4fd193f3f54bd9" /><Relationship Type="http://schemas.openxmlformats.org/officeDocument/2006/relationships/sharedStrings" Target="/xl/sharedStrings.xml" Id="Re00d855b4b1c4efe" /><Relationship Type="http://schemas.openxmlformats.org/officeDocument/2006/relationships/worksheet" Target="/xl/worksheets/sheet1.xml" Id="Rc7a4a036f54f4cc5" /><Relationship Type="http://schemas.openxmlformats.org/officeDocument/2006/relationships/worksheet" Target="/xl/worksheets/sheet2.xml" Id="Rcaf7341114ad4c2f" /><Relationship Type="http://schemas.openxmlformats.org/officeDocument/2006/relationships/worksheet" Target="/xl/worksheets/sheet3.xml" Id="R32d3d795f02546f1" /><Relationship Type="http://schemas.openxmlformats.org/officeDocument/2006/relationships/worksheet" Target="/xl/worksheets/sheet4.xml" Id="Rebf34ffab5d14ddf" /><Relationship Type="http://schemas.openxmlformats.org/officeDocument/2006/relationships/worksheet" Target="/xl/worksheets/sheet5.xml" Id="R1a84243f36d44f4b" /><Relationship Type="http://schemas.openxmlformats.org/officeDocument/2006/relationships/worksheet" Target="/xl/worksheets/sheet6.xml" Id="R3c5fa76543f749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36SpeciesTable" displayName="EEZ136SpeciesTable" ref="A1:U14" headerRowCount="1" totalsRowCount="0" totalsRowShown="0">
  <x:autoFilter ref="A1:U1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36CommercialTable" displayName="EEZ136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36FunctionalTable" displayName="EEZ136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36ValidationTable" displayName="EEZ13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a2dfd108d24e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f0b1b9dd024b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b503dc82d1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d5c77ce5ab46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EEZ_136</x:v>
      </x:c>
      <x:c r="B2" s="24" t="str">
        <x:v>Cayman Isl. (UK)</x:v>
      </x:c>
      <x:c r="C2" s="24" t="str">
        <x:v>EEZ</x:v>
      </x:c>
      <x:c r="D2" s="30" t="n">
        <x:v>2019</x:v>
      </x:c>
      <x:c r="E2" s="24" t="str">
        <x:v>Rajiformes</x:v>
      </x:c>
      <x:c r="F2" s="24" t="str">
        <x:v>Skates and rays</x:v>
      </x:c>
      <x:c r="G2" s="24" t="str">
        <x:v>Large rays (&gt;=90 cm)</x:v>
      </x:c>
      <x:c r="H2" s="24" t="str">
        <x:v>Sharks &amp; rays</x:v>
      </x:c>
      <x:c r="I2" s="31" t="n">
        <x:v>126.8968699026</x:v>
      </x:c>
      <x:c r="J2" s="31" t="n">
        <x:v>126.8968699026</x:v>
      </x:c>
      <x:c r="K2" s="31" t="n">
        <x:v>0</x:v>
      </x:c>
      <x:c r="L2" s="31" t="n">
        <x:v>112.7008865917</x:v>
      </x:c>
      <x:c r="M2" s="31" t="n">
        <x:v>14.1959833109</x:v>
      </x:c>
      <x:c r="N2" s="24" t="str">
        <x:v>rajiformes</x:v>
      </x:c>
      <x:c r="O2" s="32" t="n">
        <x:v>3.61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Rajiformes</x:v>
      </x:c>
      <x:c r="T2" s="32" t="n">
        <x:f>IF(O2="","",(1/'Metadata'!$B$5)^(O2-1))</x:f>
        <x:v>407.3802778041126</x:v>
      </x:c>
      <x:c r="U2" s="31" t="n">
        <x:f>IF(T2="","",I2*T2)</x:f>
        <x:v>51695.28211339353</x:v>
      </x:c>
    </x:row>
    <x:row r="3" ht="18" customHeight="1">
      <x:c r="A3" s="24" t="str">
        <x:v>EEZ_136</x:v>
      </x:c>
      <x:c r="B3" s="24" t="str">
        <x:v>Cayman Isl. (UK)</x:v>
      </x:c>
      <x:c r="C3" s="24" t="str">
        <x:v>EEZ</x:v>
      </x:c>
      <x:c r="D3" s="30" t="n">
        <x:v>2019</x:v>
      </x:c>
      <x:c r="E3" s="24" t="str">
        <x:v>Lutjanus purpureus</x:v>
      </x:c>
      <x:c r="F3" s="24" t="str">
        <x:v>Southern red snapper</x:v>
      </x:c>
      <x:c r="G3" s="24" t="str">
        <x:v>Medium demersals (30 - 89 cm)</x:v>
      </x:c>
      <x:c r="H3" s="24" t="str">
        <x:v>Perch-likes</x:v>
      </x:c>
      <x:c r="I3" s="31" t="n">
        <x:v>77.568909319</x:v>
      </x:c>
      <x:c r="J3" s="31" t="n">
        <x:v>77.568909319</x:v>
      </x:c>
      <x:c r="K3" s="31" t="n">
        <x:v>0</x:v>
      </x:c>
      <x:c r="L3" s="31" t="n">
        <x:v>74.74995290199999</x:v>
      </x:c>
      <x:c r="M3" s="31" t="n">
        <x:v>2.818956417</x:v>
      </x:c>
      <x:c r="N3" s="24" t="str">
        <x:v>lutjanus purpureus</x:v>
      </x:c>
      <x:c r="O3" s="32" t="n">
        <x:v>3.58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Lutjanus purpureus</x:v>
      </x:c>
      <x:c r="T3" s="32" t="n">
        <x:f>IF(O3="","",(1/'Metadata'!$B$5)^(O3-1))</x:f>
        <x:v>380.1893963205613</x:v>
      </x:c>
      <x:c r="U3" s="31" t="n">
        <x:f>IF(T3="","",I3*T3)</x:f>
        <x:v>29490.87680723497</x:v>
      </x:c>
    </x:row>
    <x:row r="4" ht="18" customHeight="1">
      <x:c r="A4" s="24" t="str">
        <x:v>EEZ_136</x:v>
      </x:c>
      <x:c r="B4" s="24" t="str">
        <x:v>Cayman Isl. (UK)</x:v>
      </x:c>
      <x:c r="C4" s="24" t="str">
        <x:v>EEZ</x:v>
      </x:c>
      <x:c r="D4" s="30" t="n">
        <x:v>2019</x:v>
      </x:c>
      <x:c r="E4" s="24" t="str">
        <x:v>Makaira nigricans</x:v>
      </x:c>
      <x:c r="F4" s="24" t="str">
        <x:v>Blue marlin</x:v>
      </x:c>
      <x:c r="G4" s="24" t="str">
        <x:v>Large pelagics (&gt;=90 cm)</x:v>
      </x:c>
      <x:c r="H4" s="24" t="str">
        <x:v>Tuna &amp; billfishes</x:v>
      </x:c>
      <x:c r="I4" s="31" t="n">
        <x:v>22.733</x:v>
      </x:c>
      <x:c r="J4" s="31" t="n">
        <x:v>22.733</x:v>
      </x:c>
      <x:c r="K4" s="31" t="n">
        <x:v>0</x:v>
      </x:c>
      <x:c r="L4" s="31" t="n">
        <x:v>0</x:v>
      </x:c>
      <x:c r="M4" s="31" t="n">
        <x:v>22.733</x:v>
      </x:c>
      <x:c r="N4" s="24" t="str">
        <x:v>makaira nigricans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Makaira nigricans</x:v>
      </x:c>
      <x:c r="T4" s="32" t="n">
        <x:f>IF(O4="","",(1/'Metadata'!$B$5)^(O4-1))</x:f>
        <x:v>3090.295432513592</x:v>
      </x:c>
      <x:c r="U4" s="31" t="n">
        <x:f>IF(T4="","",I4*T4)</x:f>
        <x:v>70251.6860673315</x:v>
      </x:c>
    </x:row>
    <x:row r="5" ht="18" customHeight="1">
      <x:c r="A5" s="24" t="str">
        <x:v>EEZ_136</x:v>
      </x:c>
      <x:c r="B5" s="24" t="str">
        <x:v>Cayman Isl. (UK)</x:v>
      </x:c>
      <x:c r="C5" s="24" t="str">
        <x:v>EEZ</x:v>
      </x:c>
      <x:c r="D5" s="30" t="n">
        <x:v>2019</x:v>
      </x:c>
      <x:c r="E5" s="24" t="str">
        <x:v>Elasmobranchii</x:v>
      </x:c>
      <x:c r="F5" s="24" t="str">
        <x:v>Sharks, rays, skates</x:v>
      </x:c>
      <x:c r="G5" s="24" t="str">
        <x:v>Large sharks (&gt;=90 cm)</x:v>
      </x:c>
      <x:c r="H5" s="24" t="str">
        <x:v>Sharks &amp; rays</x:v>
      </x:c>
      <x:c r="I5" s="31" t="n">
        <x:v>7.9866499442</x:v>
      </x:c>
      <x:c r="J5" s="31" t="n">
        <x:v>7.9866499442</x:v>
      </x:c>
      <x:c r="K5" s="31" t="n">
        <x:v>0</x:v>
      </x:c>
      <x:c r="L5" s="31" t="n">
        <x:v>7.1338958877</x:v>
      </x:c>
      <x:c r="M5" s="31" t="n">
        <x:v>0.8527540565</x:v>
      </x:c>
      <x:c r="N5" s="24" t="str">
        <x:v>elasmobranchii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Elasmobranchii</x:v>
      </x:c>
      <x:c r="T5" s="32" t="n">
        <x:f>IF(O5="","",(1/'Metadata'!$B$5)^(O5-1))</x:f>
        <x:v>1122.018454301963</x:v>
      </x:c>
      <x:c r="U5" s="31" t="n">
        <x:f>IF(T5="","",I5*T5)</x:f>
        <x:v>8961.168625442142</x:v>
      </x:c>
    </x:row>
    <x:row r="6" ht="18" customHeight="1">
      <x:c r="A6" s="24" t="str">
        <x:v>EEZ_136</x:v>
      </x:c>
      <x:c r="B6" s="24" t="str">
        <x:v>Cayman Isl. (UK)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5.4423414637</x:v>
      </x:c>
      <x:c r="J6" s="31" t="n">
        <x:v>5.4423414637</x:v>
      </x:c>
      <x:c r="K6" s="31" t="n">
        <x:v>0</x:v>
      </x:c>
      <x:c r="L6" s="31" t="n">
        <x:v>1.2064847671999999</x:v>
      </x:c>
      <x:c r="M6" s="31" t="n">
        <x:v>4.2358566965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5698.831114881383</x:v>
      </x:c>
    </x:row>
    <x:row r="7" ht="18" customHeight="1">
      <x:c r="A7" s="24" t="str">
        <x:v>EEZ_136</x:v>
      </x:c>
      <x:c r="B7" s="24" t="str">
        <x:v>Cayman Isl. (UK)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2.0375487116</x:v>
      </x:c>
      <x:c r="J7" s="31" t="n">
        <x:v>2.0375487116</x:v>
      </x:c>
      <x:c r="K7" s="31" t="n">
        <x:v>0</x:v>
      </x:c>
      <x:c r="L7" s="31" t="n">
        <x:v>1.9375487115999999</x:v>
      </x:c>
      <x:c r="M7" s="31" t="n">
        <x:v>0.1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4776.480402350703</x:v>
      </x:c>
    </x:row>
    <x:row r="8" ht="18" customHeight="1">
      <x:c r="A8" s="24" t="str">
        <x:v>EEZ_136</x:v>
      </x:c>
      <x:c r="B8" s="24" t="str">
        <x:v>Cayman Isl. (UK)</x:v>
      </x:c>
      <x:c r="C8" s="24" t="str">
        <x:v>EEZ</x:v>
      </x:c>
      <x:c r="D8" s="30" t="n">
        <x:v>2019</x:v>
      </x:c>
      <x:c r="E8" s="24" t="str">
        <x:v>Kajikia albida</x:v>
      </x:c>
      <x:c r="F8" s="24" t="str">
        <x:v>Atlantic white marlin</x:v>
      </x:c>
      <x:c r="G8" s="24" t="str">
        <x:v>Large pelagics (&gt;=90 cm)</x:v>
      </x:c>
      <x:c r="H8" s="24" t="str">
        <x:v>Tuna &amp; billfishes</x:v>
      </x:c>
      <x:c r="I8" s="31" t="n">
        <x:v>0.716</x:v>
      </x:c>
      <x:c r="J8" s="31" t="n">
        <x:v>0.716</x:v>
      </x:c>
      <x:c r="K8" s="31" t="n">
        <x:v>0</x:v>
      </x:c>
      <x:c r="L8" s="31" t="n">
        <x:v>0</x:v>
      </x:c>
      <x:c r="M8" s="31" t="n">
        <x:v>0.716</x:v>
      </x:c>
      <x:c r="N8" s="24" t="str">
        <x:v>kajikia albida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Kajikia albida</x:v>
      </x:c>
      <x:c r="T8" s="32" t="n">
        <x:f>IF(O8="","",(1/'Metadata'!$B$5)^(O8-1))</x:f>
        <x:v>3090.295432513592</x:v>
      </x:c>
      <x:c r="U8" s="31" t="n">
        <x:f>IF(T8="","",I8*T8)</x:f>
        <x:v>2212.651529679732</x:v>
      </x:c>
    </x:row>
    <x:row r="9" ht="18" customHeight="1">
      <x:c r="A9" s="24" t="str">
        <x:v>EEZ_136</x:v>
      </x:c>
      <x:c r="B9" s="24" t="str">
        <x:v>Cayman Isl. (UK)</x:v>
      </x:c>
      <x:c r="C9" s="24" t="str">
        <x:v>EEZ</x:v>
      </x:c>
      <x:c r="D9" s="30" t="n">
        <x:v>2019</x:v>
      </x:c>
      <x:c r="E9" s="24" t="str">
        <x:v>Serranidae</x:v>
      </x:c>
      <x:c r="F9" s="24" t="str">
        <x:v>Basses, groupers, hinds</x:v>
      </x:c>
      <x:c r="G9" s="24" t="str">
        <x:v>Medium reef assoc. fish (30 - 89 cm)</x:v>
      </x:c>
      <x:c r="H9" s="24" t="str">
        <x:v>Perch-likes</x:v>
      </x:c>
      <x:c r="I9" s="31" t="n">
        <x:v>0.4</x:v>
      </x:c>
      <x:c r="J9" s="31" t="n">
        <x:v>0.4</x:v>
      </x:c>
      <x:c r="K9" s="31" t="n">
        <x:v>0</x:v>
      </x:c>
      <x:c r="L9" s="31" t="n">
        <x:v>0</x:v>
      </x:c>
      <x:c r="M9" s="31" t="n">
        <x:v>0.4</x:v>
      </x:c>
      <x:c r="N9" s="24" t="str">
        <x:v>serranidae</x:v>
      </x:c>
      <x:c r="O9" s="32" t="n">
        <x:v>3.98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Serranidae</x:v>
      </x:c>
      <x:c r="T9" s="32" t="n">
        <x:f>IF(O9="","",(1/'Metadata'!$B$5)^(O9-1))</x:f>
        <x:v>954.992586021436</x:v>
      </x:c>
      <x:c r="U9" s="31" t="n">
        <x:f>IF(T9="","",I9*T9)</x:f>
        <x:v>381.9970344085744</x:v>
      </x:c>
    </x:row>
    <x:row r="10" ht="18" customHeight="1">
      <x:c r="A10" s="24" t="str">
        <x:v>EEZ_136</x:v>
      </x:c>
      <x:c r="B10" s="24" t="str">
        <x:v>Cayman Isl. (UK)</x:v>
      </x:c>
      <x:c r="C10" s="24" t="str">
        <x:v>EEZ</x:v>
      </x:c>
      <x:c r="D10" s="30" t="n">
        <x:v>2019</x:v>
      </x:c>
      <x:c r="E10" s="24" t="str">
        <x:v>Istiophorus albicans</x:v>
      </x:c>
      <x:c r="F10" s="24" t="str">
        <x:v>Atlantic sailfish</x:v>
      </x:c>
      <x:c r="G10" s="24" t="str">
        <x:v>Large pelagics (&gt;=90 cm)</x:v>
      </x:c>
      <x:c r="H10" s="24" t="str">
        <x:v>Tuna &amp; billfishes</x:v>
      </x:c>
      <x:c r="I10" s="31" t="n">
        <x:v>0.2386667</x:v>
      </x:c>
      <x:c r="J10" s="31" t="n">
        <x:v>0.2386667</x:v>
      </x:c>
      <x:c r="K10" s="31" t="n">
        <x:v>0</x:v>
      </x:c>
      <x:c r="L10" s="31" t="n">
        <x:v>0</x:v>
      </x:c>
      <x:c r="M10" s="31" t="n">
        <x:v>0.2386667</x:v>
      </x:c>
      <x:c r="N10" s="24" t="str">
        <x:v>istiophorus albicans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Istiophorus albicans</x:v>
      </x:c>
      <x:c r="T10" s="32" t="n">
        <x:f>IF(O10="","",(1/'Metadata'!$B$5)^(O10-1))</x:f>
        <x:v>3162.2776601683795</x:v>
      </x:c>
      <x:c r="U10" s="31" t="n">
        <x:f>IF(T10="","",I10*T10)</x:f>
        <x:v>754.7303736361087</x:v>
      </x:c>
    </x:row>
    <x:row r="11" ht="18" customHeight="1">
      <x:c r="A11" s="24" t="str">
        <x:v>EEZ_136</x:v>
      </x:c>
      <x:c r="B11" s="24" t="str">
        <x:v>Cayman Isl. (UK)</x:v>
      </x:c>
      <x:c r="C11" s="24" t="str">
        <x:v>EEZ</x:v>
      </x:c>
      <x:c r="D11" s="30" t="n">
        <x:v>2019</x:v>
      </x:c>
      <x:c r="E11" s="24" t="str">
        <x:v>Marine fishes not identified</x:v>
      </x:c>
      <x:c r="F11" s="24" t="str">
        <x:v>Marine fishes nei</x:v>
      </x:c>
      <x:c r="G11" s="24" t="str">
        <x:v>Medium demersals (30 - 89 cm)</x:v>
      </x:c>
      <x:c r="H11" s="24" t="str">
        <x:v>Other fishes &amp; inverts</x:v>
      </x:c>
      <x:c r="I11" s="31" t="n">
        <x:v>0.2</x:v>
      </x:c>
      <x:c r="J11" s="31" t="n">
        <x:v>0.2</x:v>
      </x:c>
      <x:c r="K11" s="31" t="n">
        <x:v>0</x:v>
      </x:c>
      <x:c r="L11" s="31" t="n">
        <x:v>0</x:v>
      </x:c>
      <x:c r="M11" s="31" t="n">
        <x:v>0.2</x:v>
      </x:c>
      <x:c r="N11" s="24" t="str">
        <x:v>marine fishes not identified</x:v>
      </x:c>
      <x:c r="O11" s="32" t="n">
        <x:v>3.28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fishes not identified</x:v>
      </x:c>
      <x:c r="T11" s="32" t="n">
        <x:f>IF(O11="","",(1/'Metadata'!$B$5)^(O11-1))</x:f>
        <x:v>190.54607179632464</x:v>
      </x:c>
      <x:c r="U11" s="31" t="n">
        <x:f>IF(T11="","",I11*T11)</x:f>
        <x:v>38.10921435926493</x:v>
      </x:c>
    </x:row>
    <x:row r="12" ht="18" customHeight="1">
      <x:c r="A12" s="24" t="str">
        <x:v>EEZ_136</x:v>
      </x:c>
      <x:c r="B12" s="24" t="str">
        <x:v>Cayman Isl. (UK)</x:v>
      </x:c>
      <x:c r="C12" s="24" t="str">
        <x:v>EEZ</x:v>
      </x:c>
      <x:c r="D12" s="30" t="n">
        <x:v>2019</x:v>
      </x:c>
      <x:c r="E12" s="24" t="str">
        <x:v>Tetrapturus pfluegeri</x:v>
      </x:c>
      <x:c r="F12" s="24" t="str">
        <x:v>Longbill spearfish</x:v>
      </x:c>
      <x:c r="G12" s="24" t="str">
        <x:v>Large pelagics (&gt;=90 cm)</x:v>
      </x:c>
      <x:c r="H12" s="24" t="str">
        <x:v>Tuna &amp; billfishes</x:v>
      </x:c>
      <x:c r="I12" s="31" t="n">
        <x:v>0.05966667</x:v>
      </x:c>
      <x:c r="J12" s="31" t="n">
        <x:v>0.05966667</x:v>
      </x:c>
      <x:c r="K12" s="31" t="n">
        <x:v>0</x:v>
      </x:c>
      <x:c r="L12" s="31" t="n">
        <x:v>0</x:v>
      </x:c>
      <x:c r="M12" s="31" t="n">
        <x:v>0.05966667</x:v>
      </x:c>
      <x:c r="N12" s="24" t="str">
        <x:v>tetrapturus pfluegeri</x:v>
      </x:c>
      <x:c r="O12" s="32" t="n">
        <x:v>4.4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Tetrapturus pfluegeri</x:v>
      </x:c>
      <x:c r="T12" s="32" t="n">
        <x:f>IF(O12="","",(1/'Metadata'!$B$5)^(O12-1))</x:f>
        <x:v>2511.886431509582</x:v>
      </x:c>
      <x:c r="U12" s="31" t="n">
        <x:f>IF(T12="","",I12*T12)</x:f>
        <x:v>149.87589878635984</x:v>
      </x:c>
    </x:row>
    <x:row r="13" ht="18" customHeight="1">
      <x:c r="A13" s="24" t="str">
        <x:v>EEZ_136</x:v>
      </x:c>
      <x:c r="B13" s="24" t="str">
        <x:v>Cayman Isl. (UK)</x:v>
      </x:c>
      <x:c r="C13" s="24" t="str">
        <x:v>EEZ</x:v>
      </x:c>
      <x:c r="D13" s="30" t="n">
        <x:v>2019</x:v>
      </x:c>
      <x:c r="E13" s="24" t="str">
        <x:v>Elagatis bipinnulata</x:v>
      </x:c>
      <x:c r="F13" s="24" t="str">
        <x:v>Rainbow runner</x:v>
      </x:c>
      <x:c r="G13" s="24" t="str">
        <x:v>Large pelagics (&gt;=90 cm)</x:v>
      </x:c>
      <x:c r="H13" s="24" t="str">
        <x:v>Perch-likes</x:v>
      </x:c>
      <x:c r="I13" s="31" t="n">
        <x:v>0.05</x:v>
      </x:c>
      <x:c r="J13" s="31" t="n">
        <x:v>0.05</x:v>
      </x:c>
      <x:c r="K13" s="31" t="n">
        <x:v>0</x:v>
      </x:c>
      <x:c r="L13" s="31" t="n">
        <x:v>0</x:v>
      </x:c>
      <x:c r="M13" s="31" t="n">
        <x:v>0.05</x:v>
      </x:c>
      <x:c r="N13" s="24" t="str">
        <x:v>elagatis bipinnulata</x:v>
      </x:c>
      <x:c r="O13" s="32" t="n">
        <x:v>4.27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Elagatis bipinnulata</x:v>
      </x:c>
      <x:c r="T13" s="32" t="n">
        <x:f>IF(O13="","",(1/'Metadata'!$B$5)^(O13-1))</x:f>
        <x:v>1862.0871366628655</x:v>
      </x:c>
      <x:c r="U13" s="31" t="n">
        <x:f>IF(T13="","",I13*T13)</x:f>
        <x:v>93.10435683314329</x:v>
      </x:c>
    </x:row>
    <x:row r="14" ht="18" customHeight="1">
      <x:c r="A14" s="24" t="str">
        <x:v>EEZ_136</x:v>
      </x:c>
      <x:c r="B14" s="24" t="str">
        <x:v>Cayman Isl. (UK)</x:v>
      </x:c>
      <x:c r="C14" s="24" t="str">
        <x:v>EEZ</x:v>
      </x:c>
      <x:c r="D14" s="30" t="n">
        <x:v>2019</x:v>
      </x:c>
      <x:c r="E14" s="24" t="str">
        <x:v>Canthidermis sufflamen</x:v>
      </x:c>
      <x:c r="F14" s="24" t="str">
        <x:v>Ocean triggerfish</x:v>
      </x:c>
      <x:c r="G14" s="24" t="str">
        <x:v>Medium reef assoc. fish (30 - 89 cm)</x:v>
      </x:c>
      <x:c r="H14" s="24" t="str">
        <x:v>Other fishes &amp; inverts</x:v>
      </x:c>
      <x:c r="I14" s="31" t="n">
        <x:v>0.05</x:v>
      </x:c>
      <x:c r="J14" s="31" t="n">
        <x:v>0.05</x:v>
      </x:c>
      <x:c r="K14" s="31" t="n">
        <x:v>0</x:v>
      </x:c>
      <x:c r="L14" s="31" t="n">
        <x:v>0</x:v>
      </x:c>
      <x:c r="M14" s="31" t="n">
        <x:v>0.05</x:v>
      </x:c>
      <x:c r="N14" s="24" t="str">
        <x:v>canthidermis sufflamen</x:v>
      </x:c>
      <x:c r="O14" s="32" t="n">
        <x:v>3.45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Canthidermis sufflamen</x:v>
      </x:c>
      <x:c r="T14" s="32" t="n">
        <x:f>IF(O14="","",(1/'Metadata'!$B$5)^(O14-1))</x:f>
        <x:v>281.8382931264455</x:v>
      </x:c>
      <x:c r="U14" s="31" t="n">
        <x:f>IF(T14="","",I14*T14)</x:f>
        <x:v>14.091914656322274</x:v>
      </x:c>
    </x:row>
  </x:sheetData>
  <x:conditionalFormatting sqref="R2:R1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2a2dfd108d24e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0.25</x:v>
      </x:c>
      <x:c r="E2" s="31" t="n">
        <x:v>0.25</x:v>
      </x:c>
      <x:c r="F2" s="32" t="n">
        <x:v>0</x:v>
      </x:c>
      <x:c r="G2" s="34" t="n">
        <x:v>1</x:v>
      </x:c>
      <x:c r="H2" s="32" t="n">
        <x:f>IF(E2=0,"",I2/E2)</x:f>
        <x:v>208.80451606234882</x:v>
      </x:c>
      <x:c r="I2" s="31" t="n">
        <x:f>IF(C2=0,"",SUMIF('Species'!$H$2:$H$14,A2,'Species'!$U$2:$U$14))</x:f>
        <x:v>52.201129015587206</x:v>
      </x:c>
      <x:c r="J2" s="32" t="n">
        <x:v>3.314</x:v>
      </x:c>
      <x:c r="K2" s="32" t="n">
        <x:f>IF(J2="","",(1/'Metadata'!$B$5)^(J2-1))</x:f>
        <x:v>206.06299132700005</x:v>
      </x:c>
      <x:c r="L2" s="31" t="n">
        <x:f>IF(E2=0,"",E2*K2)</x:f>
        <x:v>51.51574783175001</x:v>
      </x:c>
      <x:c r="M2" s="31" t="n">
        <x:f>IF(E2=0,"",I2-L2)</x:f>
        <x:v>0.6853811838371939</x:v>
      </x:c>
      <x:c r="N2" s="32" t="n">
        <x:f>IF(L2=0,"",I2/L2)</x:f>
        <x:v>1.0133043042697476</x:v>
      </x:c>
      <x:c r="O2" s="34" t="n">
        <x:f>IF(L2=0,"",M2/L2)</x:f>
        <x:v>0.01330430426974763</x:v>
      </x:c>
    </x:row>
    <x:row r="3" ht="18" customHeight="1">
      <x:c r="A3" s="24" t="str">
        <x:v>Perch-likes</x:v>
      </x:c>
      <x:c r="B3" s="33" t="n">
        <x:v>5</x:v>
      </x:c>
      <x:c r="C3" s="33" t="n">
        <x:v>5</x:v>
      </x:c>
      <x:c r="D3" s="31" t="n">
        <x:v>85.4987994943</x:v>
      </x:c>
      <x:c r="E3" s="31" t="n">
        <x:v>85.4987994943</x:v>
      </x:c>
      <x:c r="F3" s="32" t="n">
        <x:v>0</x:v>
      </x:c>
      <x:c r="G3" s="34" t="n">
        <x:v>1</x:v>
      </x:c>
      <x:c r="H3" s="32" t="n">
        <x:f>IF(E3=0,"",I3/E3)</x:f>
        <x:v>473.00418198743125</x:v>
      </x:c>
      <x:c r="I3" s="31" t="n">
        <x:f>IF(C3=0,"",SUMIF('Species'!$H$2:$H$14,A3,'Species'!$U$2:$U$14))</x:f>
        <x:v>40441.28971570877</x:v>
      </x:c>
      <x:c r="J3" s="32" t="n">
        <x:v>3.6291093880969862</x:v>
      </x:c>
      <x:c r="K3" s="32" t="n">
        <x:f>IF(J3="","",(1/'Metadata'!$B$5)^(J3-1))</x:f>
        <x:v>425.7056244062911</x:v>
      </x:c>
      <x:c r="L3" s="31" t="n">
        <x:f>IF(E3=0,"",E3*K3)</x:f>
        <x:v>36397.31982470927</x:v>
      </x:c>
      <x:c r="M3" s="31" t="n">
        <x:f>IF(E3=0,"",I3-L3)</x:f>
        <x:v>4043.9698909994986</x:v>
      </x:c>
      <x:c r="N3" s="32" t="n">
        <x:f>IF(L3=0,"",I3/L3)</x:f>
        <x:v>1.111106254814239</x:v>
      </x:c>
      <x:c r="O3" s="34" t="n">
        <x:f>IF(L3=0,"",M3/L3)</x:f>
        <x:v>0.11110625481423893</x:v>
      </x:c>
    </x:row>
    <x:row r="4" ht="18" customHeight="1">
      <x:c r="A4" s="24" t="str">
        <x:v>Sharks &amp; rays</x:v>
      </x:c>
      <x:c r="B4" s="33" t="n">
        <x:v>2</x:v>
      </x:c>
      <x:c r="C4" s="33" t="n">
        <x:v>2</x:v>
      </x:c>
      <x:c r="D4" s="31" t="n">
        <x:v>134.8835198468</x:v>
      </x:c>
      <x:c r="E4" s="31" t="n">
        <x:v>134.8835198468</x:v>
      </x:c>
      <x:c r="F4" s="32" t="n">
        <x:v>0</x:v>
      </x:c>
      <x:c r="G4" s="34" t="n">
        <x:v>1</x:v>
      </x:c>
      <x:c r="H4" s="32" t="n">
        <x:f>IF(E4=0,"",I4/E4)</x:f>
        <x:v>449.69504656854264</x:v>
      </x:c>
      <x:c r="I4" s="31" t="n">
        <x:f>IF(C4=0,"",SUMIF('Species'!$H$2:$H$14,A4,'Species'!$U$2:$U$14))</x:f>
        <x:v>60656.45073883567</x:v>
      </x:c>
      <x:c r="J4" s="32" t="n">
        <x:v>3.6360530417610644</x:v>
      </x:c>
      <x:c r="K4" s="32" t="n">
        <x:f>IF(J4="","",(1/'Metadata'!$B$5)^(J4-1))</x:f>
        <x:v>432.5666585454708</x:v>
      </x:c>
      <x:c r="L4" s="31" t="n">
        <x:f>IF(E4=0,"",E4*K4)</x:f>
        <x:v>58346.11347298197</x:v>
      </x:c>
      <x:c r="M4" s="31" t="n">
        <x:f>IF(E4=0,"",I4-L4)</x:f>
        <x:v>2310.3372658537046</x:v>
      </x:c>
      <x:c r="N4" s="32" t="n">
        <x:f>IF(L4=0,"",I4/L4)</x:f>
        <x:v>1.0395971064452054</x:v>
      </x:c>
      <x:c r="O4" s="34" t="n">
        <x:f>IF(L4=0,"",M4/L4)</x:f>
        <x:v>0.039597106445205484</x:v>
      </x:c>
    </x:row>
    <x:row r="5" ht="18" customHeight="1">
      <x:c r="A5" s="24" t="str">
        <x:v>Tuna &amp; billfishes</x:v>
      </x:c>
      <x:c r="B5" s="33" t="n">
        <x:v>4</x:v>
      </x:c>
      <x:c r="C5" s="33" t="n">
        <x:v>4</x:v>
      </x:c>
      <x:c r="D5" s="31" t="n">
        <x:v>23.74733337</x:v>
      </x:c>
      <x:c r="E5" s="31" t="n">
        <x:v>23.74733337</x:v>
      </x:c>
      <x:c r="F5" s="32" t="n">
        <x:v>0</x:v>
      </x:c>
      <x:c r="G5" s="34" t="n">
        <x:v>1</x:v>
      </x:c>
      <x:c r="H5" s="32" t="n">
        <x:f>IF(E5=0,"",I5/E5)</x:f>
        <x:v>3089.56558306124</x:v>
      </x:c>
      <x:c r="I5" s="31" t="n">
        <x:f>IF(C5=0,"",SUMIF('Species'!$H$2:$H$14,A5,'Species'!$U$2:$U$14))</x:f>
        <x:v>73368.94386943369</x:v>
      </x:c>
      <x:c r="J5" s="32" t="n">
        <x:v>4.489874371860894</x:v>
      </x:c>
      <x:c r="K5" s="32" t="n">
        <x:f>IF(J5="","",(1/'Metadata'!$B$5)^(J5-1))</x:f>
        <x:v>3089.4016336402533</x:v>
      </x:c>
      <x:c r="L5" s="31" t="n">
        <x:f>IF(E5=0,"",E5*K5)</x:f>
        <x:v>73365.0505078777</x:v>
      </x:c>
      <x:c r="M5" s="31" t="n">
        <x:f>IF(E5=0,"",I5-L5)</x:f>
        <x:v>3.8933615559799364</x:v>
      </x:c>
      <x:c r="N5" s="32" t="n">
        <x:f>IF(L5=0,"",I5/L5)</x:f>
        <x:v>1.0000530683415199</x:v>
      </x:c>
      <x:c r="O5" s="34" t="n">
        <x:f>IF(L5=0,"",M5/L5)</x:f>
        <x:v>0.0000530683415199432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df0b1b9dd024b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6</x:v>
      </x:c>
      <x:c r="C2" s="33" t="n">
        <x:v>6</x:v>
      </x:c>
      <x:c r="D2" s="31" t="n">
        <x:v>25.8348820816</x:v>
      </x:c>
      <x:c r="E2" s="31" t="n">
        <x:v>25.8348820816</x:v>
      </x:c>
      <x:c r="F2" s="32" t="n">
        <x:v>0</x:v>
      </x:c>
      <x:c r="G2" s="34" t="n">
        <x:v>1</x:v>
      </x:c>
      <x:c r="H2" s="32" t="n">
        <x:f>IF(E2=0,"",I2/E2)</x:f>
        <x:v>3028.4066473189055</x:v>
      </x:c>
      <x:c r="I2" s="31" t="n">
        <x:f>IF(C2=0,"",SUMIF('Species'!$G$2:$G$14,A2,'Species'!$U$2:$U$14))</x:f>
        <x:v>78238.52862861753</x:v>
      </x:c>
      <x:c r="J2" s="32" t="n">
        <x:v>4.479994567117607</x:v>
      </x:c>
      <x:c r="K2" s="32" t="n">
        <x:f>IF(J2="","",(1/'Metadata'!$B$5)^(J2-1))</x:f>
        <x:v>3019.9139420267634</x:v>
      </x:c>
      <x:c r="L2" s="31" t="n">
        <x:f>IF(E2=0,"",E2*K2)</x:f>
        <x:v>78019.12058884125</x:v>
      </x:c>
      <x:c r="M2" s="31" t="n">
        <x:f>IF(E2=0,"",I2-L2)</x:f>
        <x:v>219.40803977627365</x:v>
      </x:c>
      <x:c r="N2" s="32" t="n">
        <x:f>IF(L2=0,"",I2/L2)</x:f>
        <x:v>1.0028122342077213</x:v>
      </x:c>
      <x:c r="O2" s="34" t="n">
        <x:f>IF(L2=0,"",M2/L2)</x:f>
        <x:v>0.0028122342077213144</x:v>
      </x:c>
    </x:row>
    <x:row r="3" ht="18" customHeight="1">
      <x:c r="A3" s="24" t="str">
        <x:v>Large rays (&gt;=90 cm)</x:v>
      </x:c>
      <x:c r="B3" s="33" t="n">
        <x:v>1</x:v>
      </x:c>
      <x:c r="C3" s="33" t="n">
        <x:v>1</x:v>
      </x:c>
      <x:c r="D3" s="31" t="n">
        <x:v>126.8968699026</x:v>
      </x:c>
      <x:c r="E3" s="31" t="n">
        <x:v>126.8968699026</x:v>
      </x:c>
      <x:c r="F3" s="32" t="n">
        <x:v>0</x:v>
      </x:c>
      <x:c r="G3" s="34" t="n">
        <x:v>1</x:v>
      </x:c>
      <x:c r="H3" s="32" t="n">
        <x:f>IF(E3=0,"",I3/E3)</x:f>
        <x:v>407.3802778041126</x:v>
      </x:c>
      <x:c r="I3" s="31" t="n">
        <x:f>IF(C3=0,"",SUMIF('Species'!$G$2:$G$14,A3,'Species'!$U$2:$U$14))</x:f>
        <x:v>51695.28211339353</x:v>
      </x:c>
      <x:c r="J3" s="32" t="n">
        <x:v>3.61</x:v>
      </x:c>
      <x:c r="K3" s="32" t="n">
        <x:f>IF(J3="","",(1/'Metadata'!$B$5)^(J3-1))</x:f>
        <x:v>407.3802778041126</x:v>
      </x:c>
      <x:c r="L3" s="31" t="n">
        <x:f>IF(E3=0,"",E3*K3)</x:f>
        <x:v>51695.28211339353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sharks (&gt;=90 cm)</x:v>
      </x:c>
      <x:c r="B4" s="33" t="n">
        <x:v>1</x:v>
      </x:c>
      <x:c r="C4" s="33" t="n">
        <x:v>1</x:v>
      </x:c>
      <x:c r="D4" s="31" t="n">
        <x:v>7.9866499442</x:v>
      </x:c>
      <x:c r="E4" s="31" t="n">
        <x:v>7.9866499442</x:v>
      </x:c>
      <x:c r="F4" s="32" t="n">
        <x:v>0</x:v>
      </x:c>
      <x:c r="G4" s="34" t="n">
        <x:v>1</x:v>
      </x:c>
      <x:c r="H4" s="32" t="n">
        <x:f>IF(E4=0,"",I4/E4)</x:f>
        <x:v>1122.018454301963</x:v>
      </x:c>
      <x:c r="I4" s="31" t="n">
        <x:f>IF(C4=0,"",SUMIF('Species'!$G$2:$G$14,A4,'Species'!$U$2:$U$14))</x:f>
        <x:v>8961.168625442142</x:v>
      </x:c>
      <x:c r="J4" s="32" t="n">
        <x:v>4.05</x:v>
      </x:c>
      <x:c r="K4" s="32" t="n">
        <x:f>IF(J4="","",(1/'Metadata'!$B$5)^(J4-1))</x:f>
        <x:v>1122.018454301963</x:v>
      </x:c>
      <x:c r="L4" s="31" t="n">
        <x:f>IF(E4=0,"",E4*K4)</x:f>
        <x:v>8961.168625442142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demersals (30 - 89 cm)</x:v>
      </x:c>
      <x:c r="B5" s="33" t="n">
        <x:v>2</x:v>
      </x:c>
      <x:c r="C5" s="33" t="n">
        <x:v>2</x:v>
      </x:c>
      <x:c r="D5" s="31" t="n">
        <x:v>77.768909319</x:v>
      </x:c>
      <x:c r="E5" s="31" t="n">
        <x:v>77.768909319</x:v>
      </x:c>
      <x:c r="F5" s="32" t="n">
        <x:v>0</x:v>
      </x:c>
      <x:c r="G5" s="34" t="n">
        <x:v>1</x:v>
      </x:c>
      <x:c r="H5" s="32" t="n">
        <x:f>IF(E5=0,"",I5/E5)</x:f>
        <x:v>379.7016864473359</x:v>
      </x:c>
      <x:c r="I5" s="31" t="n">
        <x:f>IF(C5=0,"",SUMIF('Species'!$G$2:$G$14,A5,'Species'!$U$2:$U$14))</x:f>
        <x:v>29528.986021594235</x:v>
      </x:c>
      <x:c r="J5" s="32" t="n">
        <x:v>3.579228483457909</x:v>
      </x:c>
      <x:c r="K5" s="32" t="n">
        <x:f>IF(J5="","",(1/'Metadata'!$B$5)^(J5-1))</x:f>
        <x:v>379.51459607843674</x:v>
      </x:c>
      <x:c r="L5" s="31" t="n">
        <x:f>IF(E5=0,"",E5*K5)</x:f>
        <x:v>29514.43620766086</x:v>
      </x:c>
      <x:c r="M5" s="31" t="n">
        <x:f>IF(E5=0,"",I5-L5)</x:f>
        <x:v>14.549813933375844</x:v>
      </x:c>
      <x:c r="N5" s="32" t="n">
        <x:f>IF(L5=0,"",I5/L5)</x:f>
        <x:v>1.0004929727890108</x:v>
      </x:c>
      <x:c r="O5" s="34" t="n">
        <x:f>IF(L5=0,"",M5/L5)</x:f>
        <x:v>0.0004929727890109332</x:v>
      </x:c>
    </x:row>
    <x:row r="6" ht="18" customHeight="1">
      <x:c r="A6" s="24" t="str">
        <x:v>Medium reef assoc. fish (30 - 89 cm)</x:v>
      </x:c>
      <x:c r="B6" s="33" t="n">
        <x:v>3</x:v>
      </x:c>
      <x:c r="C6" s="33" t="n">
        <x:v>3</x:v>
      </x:c>
      <x:c r="D6" s="31" t="n">
        <x:v>5.8923414637</x:v>
      </x:c>
      <x:c r="E6" s="31" t="n">
        <x:v>5.8923414637</x:v>
      </x:c>
      <x:c r="F6" s="32" t="n">
        <x:v>0</x:v>
      </x:c>
      <x:c r="G6" s="34" t="n">
        <x:v>1</x:v>
      </x:c>
      <x:c r="H6" s="32" t="n">
        <x:f>IF(E6=0,"",I6/E6)</x:f>
        <x:v>1034.3799831517356</x:v>
      </x:c>
      <x:c r="I6" s="31" t="n">
        <x:f>IF(C6=0,"",SUMIF('Species'!$G$2:$G$14,A6,'Species'!$U$2:$U$14))</x:f>
        <x:v>6094.920063946279</x:v>
      </x:c>
      <x:c r="J6" s="32" t="n">
        <x:v>4.012447823963674</x:v>
      </x:c>
      <x:c r="K6" s="32" t="n">
        <x:f>IF(J6="","",(1/'Metadata'!$B$5)^(J6-1))</x:f>
        <x:v>1029.0768867137604</x:v>
      </x:c>
      <x:c r="L6" s="31" t="n">
        <x:f>IF(E6=0,"",E6*K6)</x:f>
        <x:v>6063.672408918798</x:v>
      </x:c>
      <x:c r="M6" s="31" t="n">
        <x:f>IF(E6=0,"",I6-L6)</x:f>
        <x:v>31.247655027480505</x:v>
      </x:c>
      <x:c r="N6" s="32" t="n">
        <x:f>IF(L6=0,"",I6/L6)</x:f>
        <x:v>1.0051532558027902</x:v>
      </x:c>
      <x:c r="O6" s="34" t="n">
        <x:f>IF(L6=0,"",M6/L6)</x:f>
        <x:v>0.005153255802790344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2b503dc82d14d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EEZ_136</x:v>
      </x:c>
      <x:c r="B2" s="24" t="str">
        <x:v>raw_filtered_tonnes</x:v>
      </x:c>
      <x:c r="C2" s="24" t="n">
        <x:v>244.3796527111</x:v>
      </x:c>
      <x:c r="D2" s="24" t="str">
        <x:v>tonnes</x:v>
      </x:c>
    </x:row>
    <x:row r="3" ht="18" customHeight="1">
      <x:c r="A3" s="24" t="str">
        <x:v>EEZ_136</x:v>
      </x:c>
      <x:c r="B3" s="24" t="str">
        <x:v>species_catch_tonnes</x:v>
      </x:c>
      <x:c r="C3" s="24" t="n">
        <x:v>244.37965271110005</x:v>
      </x:c>
      <x:c r="D3" s="24" t="str">
        <x:v>tonnes</x:v>
      </x:c>
    </x:row>
    <x:row r="4" ht="18" customHeight="1">
      <x:c r="A4" s="24" t="str">
        <x:v>EEZ_136</x:v>
      </x:c>
      <x:c r="B4" s="24" t="str">
        <x:v>catch_difference_tonnes</x:v>
      </x:c>
      <x:c r="C4" s="24" t="n">
        <x:v>5.684341886080802e-14</x:v>
      </x:c>
      <x:c r="D4" s="24" t="str">
        <x:v>tonnes</x:v>
      </x:c>
    </x:row>
    <x:row r="5" ht="18" customHeight="1">
      <x:c r="A5" s="24" t="str">
        <x:v>EEZ_136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EEZ_136</x:v>
      </x:c>
      <x:c r="B6" s="24" t="str">
        <x:v>matched_catch_tonnes</x:v>
      </x:c>
      <x:c r="C6" s="24" t="n">
        <x:v>244.37965271110005</x:v>
      </x:c>
      <x:c r="D6" s="24" t="str">
        <x:v>tonnes</x:v>
      </x:c>
    </x:row>
    <x:row r="7" ht="18" customHeight="1">
      <x:c r="A7" s="24" t="str">
        <x:v>EEZ_136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EEZ_136</x:v>
      </x:c>
      <x:c r="B8" s="24" t="str">
        <x:v>taxa_count</x:v>
      </x:c>
      <x:c r="C8" s="24" t="n">
        <x:v>13</x:v>
      </x:c>
      <x:c r="D8" s="24" t="str">
        <x:v>count</x:v>
      </x:c>
    </x:row>
    <x:row r="9" ht="18" customHeight="1">
      <x:c r="A9" s="24" t="str">
        <x:v>EEZ_136</x:v>
      </x:c>
      <x:c r="B9" s="24" t="str">
        <x:v>matched_taxa_count</x:v>
      </x:c>
      <x:c r="C9" s="24" t="n">
        <x:v>13</x:v>
      </x:c>
      <x:c r="D9" s="24" t="str">
        <x:v>count</x:v>
      </x:c>
    </x:row>
    <x:row r="10" ht="18" customHeight="1">
      <x:c r="A10" s="24" t="str">
        <x:v>EEZ_136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EEZ_136</x:v>
      </x:c>
      <x:c r="B11" s="24" t="str">
        <x:v>species_ppr</x:v>
      </x:c>
      <x:c r="C11" s="24" t="n">
        <x:v>174518.88545299374</x:v>
      </x:c>
      <x:c r="D11" s="24" t="str">
        <x:v>tonnes_primary_production_equivalent</x:v>
      </x:c>
    </x:row>
    <x:row r="12" ht="18" customHeight="1">
      <x:c r="A12" s="24" t="str">
        <x:v>EEZ_136</x:v>
      </x:c>
      <x:c r="B12" s="24" t="str">
        <x:v>commercial_ppr</x:v>
      </x:c>
      <x:c r="C12" s="24" t="n">
        <x:v>174518.8854529937</x:v>
      </x:c>
      <x:c r="D12" s="24" t="str">
        <x:v>tonnes_primary_production_equivalent</x:v>
      </x:c>
    </x:row>
    <x:row r="13" ht="18" customHeight="1">
      <x:c r="A13" s="24" t="str">
        <x:v>EEZ_136</x:v>
      </x:c>
      <x:c r="B13" s="24" t="str">
        <x:v>functional_ppr</x:v>
      </x:c>
      <x:c r="C13" s="24" t="n">
        <x:v>174518.8854529937</x:v>
      </x:c>
      <x:c r="D13" s="24" t="str">
        <x:v>tonnes_primary_production_equivalent</x:v>
      </x:c>
    </x:row>
    <x:row r="14" ht="18" customHeight="1">
      <x:c r="A14" s="24" t="str">
        <x:v>EEZ_136</x:v>
      </x:c>
      <x:c r="B14" s="24" t="str">
        <x:v>commercial_ppr_difference</x:v>
      </x:c>
      <x:c r="C14" s="24" t="n">
        <x:v>-2.9103830456733704e-11</x:v>
      </x:c>
      <x:c r="D14" s="24" t="str">
        <x:v>tonnes_primary_production_equivalent</x:v>
      </x:c>
    </x:row>
    <x:row r="15" ht="18" customHeight="1">
      <x:c r="A15" s="24" t="str">
        <x:v>EEZ_136</x:v>
      </x:c>
      <x:c r="B15" s="24" t="str">
        <x:v>functional_ppr_difference</x:v>
      </x:c>
      <x:c r="C15" s="24" t="n">
        <x:v>-2.9103830456733704e-11</x:v>
      </x:c>
      <x:c r="D15" s="24" t="str">
        <x:v>tonnes_primary_production_equivalent</x:v>
      </x:c>
    </x:row>
    <x:row r="16" ht="18" customHeight="1">
      <x:c r="A16" s="24" t="str">
        <x:v>EEZ_136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EEZ_136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EEZ_136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EEZ_136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fd5c77ce5ab46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EEZ_136 - Cayman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EEZ_136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raw_data/SAU_downloads/EEZ_136-catch.zip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