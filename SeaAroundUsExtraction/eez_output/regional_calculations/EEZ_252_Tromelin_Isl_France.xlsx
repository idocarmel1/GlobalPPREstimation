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a73b93a44447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90703dde60304cc8"/>
    <x:sheet xmlns:r="http://schemas.openxmlformats.org/officeDocument/2006/relationships" name="Commercial" sheetId="2" r:id="R4d612d623dd747da"/>
    <x:sheet xmlns:r="http://schemas.openxmlformats.org/officeDocument/2006/relationships" name="Functional" sheetId="3" r:id="R9533ae495f274b53"/>
    <x:sheet xmlns:r="http://schemas.openxmlformats.org/officeDocument/2006/relationships" name="Missing TL" sheetId="4" r:id="R574394c37b054964"/>
    <x:sheet xmlns:r="http://schemas.openxmlformats.org/officeDocument/2006/relationships" name="Validation" sheetId="5" r:id="R6afb52492b044c47"/>
    <x:sheet xmlns:r="http://schemas.openxmlformats.org/officeDocument/2006/relationships" name="Metadata" sheetId="6" r:id="R111da96622874b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03dedfb224475a" /><Relationship Type="http://schemas.openxmlformats.org/officeDocument/2006/relationships/theme" Target="/xl/theme/theme1.xml" Id="Rcc6811cfe378478e" /><Relationship Type="http://schemas.microsoft.com/office/2022/11/relationships/FeaturePropertyBag" Target="/xl/featurePropertyBag/featurePropertyBag.xml" Id="Ref6e6512bb5b44df" /><Relationship Type="http://schemas.openxmlformats.org/officeDocument/2006/relationships/sharedStrings" Target="/xl/sharedStrings.xml" Id="R6574dcc48f844bc9" /><Relationship Type="http://schemas.openxmlformats.org/officeDocument/2006/relationships/worksheet" Target="/xl/worksheets/sheet1.xml" Id="R90703dde60304cc8" /><Relationship Type="http://schemas.openxmlformats.org/officeDocument/2006/relationships/worksheet" Target="/xl/worksheets/sheet2.xml" Id="R4d612d623dd747da" /><Relationship Type="http://schemas.openxmlformats.org/officeDocument/2006/relationships/worksheet" Target="/xl/worksheets/sheet3.xml" Id="R9533ae495f274b53" /><Relationship Type="http://schemas.openxmlformats.org/officeDocument/2006/relationships/worksheet" Target="/xl/worksheets/sheet4.xml" Id="R574394c37b054964" /><Relationship Type="http://schemas.openxmlformats.org/officeDocument/2006/relationships/worksheet" Target="/xl/worksheets/sheet5.xml" Id="R6afb52492b044c47" /><Relationship Type="http://schemas.openxmlformats.org/officeDocument/2006/relationships/worksheet" Target="/xl/worksheets/sheet6.xml" Id="R111da96622874b8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252SpeciesTable" displayName="EEZ252SpeciesTable" ref="A1:U17" headerRowCount="1" totalsRowCount="0" totalsRowShown="0">
  <x:autoFilter ref="A1:U1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252CommercialTable" displayName="EEZ252CommercialTable" ref="A1:O5" headerRowCount="1" totalsRowCount="0" totalsRowShown="0">
  <x:autoFilter ref="A1:O5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252FunctionalTable" displayName="EEZ252FunctionalTable" ref="A1:O5" headerRowCount="1" totalsRowCount="0" totalsRowShown="0">
  <x:autoFilter ref="A1:O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252ValidationTable" displayName="EEZ252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426a25e9bf4be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a580b4cae3c41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762c88df9f64ed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eb10df2152642d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EEZ_252</x:v>
      </x:c>
      <x:c r="B2" s="24" t="str">
        <x:v>Tromelin Isl. (France)</x:v>
      </x:c>
      <x:c r="C2" s="24" t="str">
        <x:v>EEZ</x:v>
      </x:c>
      <x:c r="D2" s="30" t="n">
        <x:v>2019</x:v>
      </x:c>
      <x:c r="E2" s="24" t="str">
        <x:v>Auxis</x:v>
      </x:c>
      <x:c r="F2" s="24" t="str">
        <x:v>Bullet and frigate tunas</x:v>
      </x:c>
      <x:c r="G2" s="24" t="str">
        <x:v>Medium pelagics (30 - 89 cm)</x:v>
      </x:c>
      <x:c r="H2" s="24" t="str">
        <x:v>Tuna &amp; billfishes</x:v>
      </x:c>
      <x:c r="I2" s="31" t="n">
        <x:v>9.4919176747</x:v>
      </x:c>
      <x:c r="J2" s="31" t="n">
        <x:v>9.4919176747</x:v>
      </x:c>
      <x:c r="K2" s="31" t="n">
        <x:v>0</x:v>
      </x:c>
      <x:c r="L2" s="31" t="n">
        <x:v>9.4919176747</x:v>
      </x:c>
      <x:c r="M2" s="31" t="n">
        <x:v>0</x:v>
      </x:c>
      <x:c r="N2" s="24" t="str">
        <x:v>auxis</x:v>
      </x:c>
      <x:c r="O2" s="32" t="n">
        <x:v>4.24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Auxis</x:v>
      </x:c>
      <x:c r="T2" s="32" t="n">
        <x:f>IF(O2="","",(1/'Metadata'!$B$5)^(O2-1))</x:f>
        <x:v>1737.8008287493763</x:v>
      </x:c>
      <x:c r="U2" s="31" t="n">
        <x:f>IF(T2="","",I2*T2)</x:f>
        <x:v>16495.06240151451</x:v>
      </x:c>
    </x:row>
    <x:row r="3" ht="18" customHeight="1">
      <x:c r="A3" s="24" t="str">
        <x:v>EEZ_252</x:v>
      </x:c>
      <x:c r="B3" s="24" t="str">
        <x:v>Tromelin Isl. (France)</x:v>
      </x:c>
      <x:c r="C3" s="24" t="str">
        <x:v>EEZ</x:v>
      </x:c>
      <x:c r="D3" s="30" t="n">
        <x:v>2019</x:v>
      </x:c>
      <x:c r="E3" s="24" t="str">
        <x:v>Coryphaena hippurus</x:v>
      </x:c>
      <x:c r="F3" s="24" t="str">
        <x:v>Common dolphinfish</x:v>
      </x:c>
      <x:c r="G3" s="24" t="str">
        <x:v>Large pelagics (&gt;=90 cm)</x:v>
      </x:c>
      <x:c r="H3" s="24" t="str">
        <x:v>Perch-likes</x:v>
      </x:c>
      <x:c r="I3" s="31" t="n">
        <x:v>3.5220485233</x:v>
      </x:c>
      <x:c r="J3" s="31" t="n">
        <x:v>3.5220485233</x:v>
      </x:c>
      <x:c r="K3" s="31" t="n">
        <x:v>0</x:v>
      </x:c>
      <x:c r="L3" s="31" t="n">
        <x:v>3.5220485233</x:v>
      </x:c>
      <x:c r="M3" s="31" t="n">
        <x:v>0</x:v>
      </x:c>
      <x:c r="N3" s="24" t="str">
        <x:v>coryphaena hippurus</x:v>
      </x:c>
      <x:c r="O3" s="32" t="n">
        <x:v>4.37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Coryphaena hippurus</x:v>
      </x:c>
      <x:c r="T3" s="32" t="n">
        <x:f>IF(O3="","",(1/'Metadata'!$B$5)^(O3-1))</x:f>
        <x:v>2344.228815319923</x:v>
      </x:c>
      <x:c r="U3" s="31" t="n">
        <x:f>IF(T3="","",I3*T3)</x:f>
        <x:v>8256.487637274842</x:v>
      </x:c>
    </x:row>
    <x:row r="4" ht="18" customHeight="1">
      <x:c r="A4" s="24" t="str">
        <x:v>EEZ_252</x:v>
      </x:c>
      <x:c r="B4" s="24" t="str">
        <x:v>Tromelin Isl. (France)</x:v>
      </x:c>
      <x:c r="C4" s="24" t="str">
        <x:v>EEZ</x:v>
      </x:c>
      <x:c r="D4" s="30" t="n">
        <x:v>2019</x:v>
      </x:c>
      <x:c r="E4" s="24" t="str">
        <x:v>Thunnus obesus</x:v>
      </x:c>
      <x:c r="F4" s="24" t="str">
        <x:v>Bigeye tuna</x:v>
      </x:c>
      <x:c r="G4" s="24" t="str">
        <x:v>Large pelagics (&gt;=90 cm)</x:v>
      </x:c>
      <x:c r="H4" s="24" t="str">
        <x:v>Tuna &amp; billfishes</x:v>
      </x:c>
      <x:c r="I4" s="31" t="n">
        <x:v>1.8792352418</x:v>
      </x:c>
      <x:c r="J4" s="31" t="n">
        <x:v>1.8792352418</x:v>
      </x:c>
      <x:c r="K4" s="31" t="n">
        <x:v>0</x:v>
      </x:c>
      <x:c r="L4" s="31" t="n">
        <x:v>1.8792352418</x:v>
      </x:c>
      <x:c r="M4" s="31" t="n">
        <x:v>0</x:v>
      </x:c>
      <x:c r="N4" s="24" t="str">
        <x:v>thunnus obesus</x:v>
      </x:c>
      <x:c r="O4" s="32" t="n">
        <x:v>4.49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Thunnus obesus</x:v>
      </x:c>
      <x:c r="T4" s="32" t="n">
        <x:f>IF(O4="","",(1/'Metadata'!$B$5)^(O4-1))</x:f>
        <x:v>3090.295432513592</x:v>
      </x:c>
      <x:c r="U4" s="31" t="n">
        <x:f>IF(T4="","",I4*T4)</x:f>
        <x:v>5807.392084353116</x:v>
      </x:c>
    </x:row>
    <x:row r="5" ht="18" customHeight="1">
      <x:c r="A5" s="24" t="str">
        <x:v>EEZ_252</x:v>
      </x:c>
      <x:c r="B5" s="24" t="str">
        <x:v>Tromelin Isl. (France)</x:v>
      </x:c>
      <x:c r="C5" s="24" t="str">
        <x:v>EEZ</x:v>
      </x:c>
      <x:c r="D5" s="30" t="n">
        <x:v>2019</x:v>
      </x:c>
      <x:c r="E5" s="24" t="str">
        <x:v>Thunnus alalunga</x:v>
      </x:c>
      <x:c r="F5" s="24" t="str">
        <x:v>Albacore</x:v>
      </x:c>
      <x:c r="G5" s="24" t="str">
        <x:v>Large pelagics (&gt;=90 cm)</x:v>
      </x:c>
      <x:c r="H5" s="24" t="str">
        <x:v>Tuna &amp; billfishes</x:v>
      </x:c>
      <x:c r="I5" s="31" t="n">
        <x:v>1.5596157564</x:v>
      </x:c>
      <x:c r="J5" s="31" t="n">
        <x:v>1.5596157564</x:v>
      </x:c>
      <x:c r="K5" s="31" t="n">
        <x:v>0</x:v>
      </x:c>
      <x:c r="L5" s="31" t="n">
        <x:v>1.5596157564</x:v>
      </x:c>
      <x:c r="M5" s="31" t="n">
        <x:v>0</x:v>
      </x:c>
      <x:c r="N5" s="24" t="str">
        <x:v>thunnus alalunga</x:v>
      </x:c>
      <x:c r="O5" s="32" t="n">
        <x:v>4.3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Thunnus alalunga</x:v>
      </x:c>
      <x:c r="T5" s="32" t="n">
        <x:f>IF(O5="","",(1/'Metadata'!$B$5)^(O5-1))</x:f>
        <x:v>1995.2623149688789</x:v>
      </x:c>
      <x:c r="U5" s="31" t="n">
        <x:f>IF(T5="","",I5*T5)</x:f>
        <x:v>3111.842544576603</x:v>
      </x:c>
    </x:row>
    <x:row r="6" ht="18" customHeight="1">
      <x:c r="A6" s="24" t="str">
        <x:v>EEZ_252</x:v>
      </x:c>
      <x:c r="B6" s="24" t="str">
        <x:v>Tromelin Isl. (France)</x:v>
      </x:c>
      <x:c r="C6" s="24" t="str">
        <x:v>EEZ</x:v>
      </x:c>
      <x:c r="D6" s="30" t="n">
        <x:v>2019</x:v>
      </x:c>
      <x:c r="E6" s="24" t="str">
        <x:v>Acanthocybium solandri</x:v>
      </x:c>
      <x:c r="F6" s="24" t="str">
        <x:v>Wahoo</x:v>
      </x:c>
      <x:c r="G6" s="24" t="str">
        <x:v>Large pelagics (&gt;=90 cm)</x:v>
      </x:c>
      <x:c r="H6" s="24" t="str">
        <x:v>Perch-likes</x:v>
      </x:c>
      <x:c r="I6" s="31" t="n">
        <x:v>1.4752611847</x:v>
      </x:c>
      <x:c r="J6" s="31" t="n">
        <x:v>1.4752611847</x:v>
      </x:c>
      <x:c r="K6" s="31" t="n">
        <x:v>0</x:v>
      </x:c>
      <x:c r="L6" s="31" t="n">
        <x:v>1.4752611847</x:v>
      </x:c>
      <x:c r="M6" s="31" t="n">
        <x:v>0</x:v>
      </x:c>
      <x:c r="N6" s="24" t="str">
        <x:v>acanthocybium solandri</x:v>
      </x:c>
      <x:c r="O6" s="32" t="n">
        <x:v>4.26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Acanthocybium solandri</x:v>
      </x:c>
      <x:c r="T6" s="32" t="n">
        <x:f>IF(O6="","",(1/'Metadata'!$B$5)^(O6-1))</x:f>
        <x:v>1819.7008586099826</x:v>
      </x:c>
      <x:c r="U6" s="31" t="n">
        <x:f>IF(T6="","",I6*T6)</x:f>
        <x:v>2684.53404447257</x:v>
      </x:c>
    </x:row>
    <x:row r="7" ht="18" customHeight="1">
      <x:c r="A7" s="24" t="str">
        <x:v>EEZ_252</x:v>
      </x:c>
      <x:c r="B7" s="24" t="str">
        <x:v>Tromelin Isl. (France)</x:v>
      </x:c>
      <x:c r="C7" s="24" t="str">
        <x:v>EEZ</x:v>
      </x:c>
      <x:c r="D7" s="30" t="n">
        <x:v>2019</x:v>
      </x:c>
      <x:c r="E7" s="24" t="str">
        <x:v>Marine fishes not identified</x:v>
      </x:c>
      <x:c r="F7" s="24" t="str">
        <x:v>Marine fishes nei</x:v>
      </x:c>
      <x:c r="G7" s="24" t="str">
        <x:v>Medium demersals (30 - 89 cm)</x:v>
      </x:c>
      <x:c r="H7" s="24" t="str">
        <x:v>Other fishes &amp; inverts</x:v>
      </x:c>
      <x:c r="I7" s="31" t="n">
        <x:v>0.6788689951</x:v>
      </x:c>
      <x:c r="J7" s="31" t="n">
        <x:v>0</x:v>
      </x:c>
      <x:c r="K7" s="31" t="n">
        <x:v>0.6788689951</x:v>
      </x:c>
      <x:c r="L7" s="31" t="n">
        <x:v>0</x:v>
      </x:c>
      <x:c r="M7" s="31" t="n">
        <x:v>0.6788689951</x:v>
      </x:c>
      <x:c r="N7" s="24" t="str">
        <x:v>marine fishes not identified</x:v>
      </x:c>
      <x:c r="O7" s="32" t="n">
        <x:v>3.28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Marine fishes not identified</x:v>
      </x:c>
      <x:c r="T7" s="32" t="n">
        <x:f>IF(O7="","",(1/'Metadata'!$B$5)^(O7-1))</x:f>
        <x:v>190.54607179632464</x:v>
      </x:c>
      <x:c r="U7" s="31" t="n">
        <x:f>IF(T7="","",I7*T7)</x:f>
        <x:v>129.35582028062336</x:v>
      </x:c>
    </x:row>
    <x:row r="8" ht="18" customHeight="1">
      <x:c r="A8" s="24" t="str">
        <x:v>EEZ_252</x:v>
      </x:c>
      <x:c r="B8" s="24" t="str">
        <x:v>Tromelin Isl. (France)</x:v>
      </x:c>
      <x:c r="C8" s="24" t="str">
        <x:v>EEZ</x:v>
      </x:c>
      <x:c r="D8" s="30" t="n">
        <x:v>2019</x:v>
      </x:c>
      <x:c r="E8" s="24" t="str">
        <x:v>Scomberomorus commerson</x:v>
      </x:c>
      <x:c r="F8" s="24" t="str">
        <x:v>Narrow-barred Spanish mackerel</x:v>
      </x:c>
      <x:c r="G8" s="24" t="str">
        <x:v>Large pelagics (&gt;=90 cm)</x:v>
      </x:c>
      <x:c r="H8" s="24" t="str">
        <x:v>Perch-likes</x:v>
      </x:c>
      <x:c r="I8" s="31" t="n">
        <x:v>0.6426411089</x:v>
      </x:c>
      <x:c r="J8" s="31" t="n">
        <x:v>0.6426411089</x:v>
      </x:c>
      <x:c r="K8" s="31" t="n">
        <x:v>0</x:v>
      </x:c>
      <x:c r="L8" s="31" t="n">
        <x:v>0.6426411089</x:v>
      </x:c>
      <x:c r="M8" s="31" t="n">
        <x:v>0</x:v>
      </x:c>
      <x:c r="N8" s="24" t="str">
        <x:v>scomberomorus commerson</x:v>
      </x:c>
      <x:c r="O8" s="32" t="n">
        <x:v>4.5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Scomberomorus commerson</x:v>
      </x:c>
      <x:c r="T8" s="32" t="n">
        <x:f>IF(O8="","",(1/'Metadata'!$B$5)^(O8-1))</x:f>
        <x:v>3162.2776601683795</x:v>
      </x:c>
      <x:c r="U8" s="31" t="n">
        <x:f>IF(T8="","",I8*T8)</x:f>
        <x:v>2032.209622180305</x:v>
      </x:c>
    </x:row>
    <x:row r="9" ht="18" customHeight="1">
      <x:c r="A9" s="24" t="str">
        <x:v>EEZ_252</x:v>
      </x:c>
      <x:c r="B9" s="24" t="str">
        <x:v>Tromelin Isl. (France)</x:v>
      </x:c>
      <x:c r="C9" s="24" t="str">
        <x:v>EEZ</x:v>
      </x:c>
      <x:c r="D9" s="30" t="n">
        <x:v>2019</x:v>
      </x:c>
      <x:c r="E9" s="24" t="str">
        <x:v>Thunnus albacares</x:v>
      </x:c>
      <x:c r="F9" s="24" t="str">
        <x:v>Yellowfin tuna</x:v>
      </x:c>
      <x:c r="G9" s="24" t="str">
        <x:v>Large pelagics (&gt;=90 cm)</x:v>
      </x:c>
      <x:c r="H9" s="24" t="str">
        <x:v>Tuna &amp; billfishes</x:v>
      </x:c>
      <x:c r="I9" s="31" t="n">
        <x:v>0.3523524232</x:v>
      </x:c>
      <x:c r="J9" s="31" t="n">
        <x:v>0.3523524232</x:v>
      </x:c>
      <x:c r="K9" s="31" t="n">
        <x:v>0</x:v>
      </x:c>
      <x:c r="L9" s="31" t="n">
        <x:v>0.3523524232</x:v>
      </x:c>
      <x:c r="M9" s="31" t="n">
        <x:v>0</x:v>
      </x:c>
      <x:c r="N9" s="24" t="str">
        <x:v>thunnus albacares</x:v>
      </x:c>
      <x:c r="O9" s="32" t="n">
        <x:v>4.41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Thunnus albacares</x:v>
      </x:c>
      <x:c r="T9" s="32" t="n">
        <x:f>IF(O9="","",(1/'Metadata'!$B$5)^(O9-1))</x:f>
        <x:v>2570.3957827688646</x:v>
      </x:c>
      <x:c r="U9" s="31" t="n">
        <x:f>IF(T9="","",I9*T9)</x:f>
        <x:v>905.6851826416702</x:v>
      </x:c>
    </x:row>
    <x:row r="10" ht="18" customHeight="1">
      <x:c r="A10" s="24" t="str">
        <x:v>EEZ_252</x:v>
      </x:c>
      <x:c r="B10" s="24" t="str">
        <x:v>Tromelin Isl. (France)</x:v>
      </x:c>
      <x:c r="C10" s="24" t="str">
        <x:v>EEZ</x:v>
      </x:c>
      <x:c r="D10" s="30" t="n">
        <x:v>2019</x:v>
      </x:c>
      <x:c r="E10" s="24" t="str">
        <x:v>Xiphias gladius</x:v>
      </x:c>
      <x:c r="F10" s="24" t="str">
        <x:v>Swordfish</x:v>
      </x:c>
      <x:c r="G10" s="24" t="str">
        <x:v>Large pelagics (&gt;=90 cm)</x:v>
      </x:c>
      <x:c r="H10" s="24" t="str">
        <x:v>Tuna &amp; billfishes</x:v>
      </x:c>
      <x:c r="I10" s="31" t="n">
        <x:v>0.2406195254</x:v>
      </x:c>
      <x:c r="J10" s="31" t="n">
        <x:v>0.2406195254</x:v>
      </x:c>
      <x:c r="K10" s="31" t="n">
        <x:v>0</x:v>
      </x:c>
      <x:c r="L10" s="31" t="n">
        <x:v>0.2406195254</x:v>
      </x:c>
      <x:c r="M10" s="31" t="n">
        <x:v>0</x:v>
      </x:c>
      <x:c r="N10" s="24" t="str">
        <x:v>xiphias gladius</x:v>
      </x:c>
      <x:c r="O10" s="32" t="n">
        <x:v>4.53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Xiphias gladius</x:v>
      </x:c>
      <x:c r="T10" s="32" t="n">
        <x:f>IF(O10="","",(1/'Metadata'!$B$5)^(O10-1))</x:f>
        <x:v>3388.4415613920273</x:v>
      </x:c>
      <x:c r="U10" s="31" t="n">
        <x:f>IF(T10="","",I10*T10)</x:f>
        <x:v>815.3252003477846</x:v>
      </x:c>
    </x:row>
    <x:row r="11" ht="18" customHeight="1">
      <x:c r="A11" s="24" t="str">
        <x:v>EEZ_252</x:v>
      </x:c>
      <x:c r="B11" s="24" t="str">
        <x:v>Tromelin Isl. (France)</x:v>
      </x:c>
      <x:c r="C11" s="24" t="str">
        <x:v>EEZ</x:v>
      </x:c>
      <x:c r="D11" s="30" t="n">
        <x:v>2019</x:v>
      </x:c>
      <x:c r="E11" s="24" t="str">
        <x:v>Scombroidei</x:v>
      </x:c>
      <x:c r="F11" s="24" t="str">
        <x:v>Tunas, bonitos, billfishes</x:v>
      </x:c>
      <x:c r="G11" s="24" t="str">
        <x:v>Large pelagics (&gt;=90 cm)</x:v>
      </x:c>
      <x:c r="H11" s="24" t="str">
        <x:v>Tuna &amp; billfishes</x:v>
      </x:c>
      <x:c r="I11" s="31" t="n">
        <x:v>0.0776745363</x:v>
      </x:c>
      <x:c r="J11" s="31" t="n">
        <x:v>0.0776745363</x:v>
      </x:c>
      <x:c r="K11" s="31" t="n">
        <x:v>0</x:v>
      </x:c>
      <x:c r="L11" s="31" t="n">
        <x:v>0.0776745363</x:v>
      </x:c>
      <x:c r="M11" s="31" t="n">
        <x:v>0</x:v>
      </x:c>
      <x:c r="N11" s="24" t="str">
        <x:v>scombroidei</x:v>
      </x:c>
      <x:c r="O11" s="32" t="n">
        <x:v>4.2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Scombroidei</x:v>
      </x:c>
      <x:c r="T11" s="32" t="n">
        <x:f>IF(O11="","",(1/'Metadata'!$B$5)^(O11-1))</x:f>
        <x:v>1584.893192461114</x:v>
      </x:c>
      <x:c r="U11" s="31" t="n">
        <x:f>IF(T11="","",I11*T11)</x:f>
        <x:v>123.10584380944368</x:v>
      </x:c>
    </x:row>
    <x:row r="12" ht="18" customHeight="1">
      <x:c r="A12" s="24" t="str">
        <x:v>EEZ_252</x:v>
      </x:c>
      <x:c r="B12" s="24" t="str">
        <x:v>Tromelin Isl. (France)</x:v>
      </x:c>
      <x:c r="C12" s="24" t="str">
        <x:v>EEZ</x:v>
      </x:c>
      <x:c r="D12" s="30" t="n">
        <x:v>2019</x:v>
      </x:c>
      <x:c r="E12" s="24" t="str">
        <x:v>Prionace glauca</x:v>
      </x:c>
      <x:c r="F12" s="24" t="str">
        <x:v>Blue shark</x:v>
      </x:c>
      <x:c r="G12" s="24" t="str">
        <x:v>Large sharks (&gt;=90 cm)</x:v>
      </x:c>
      <x:c r="H12" s="24" t="str">
        <x:v>Sharks &amp; rays</x:v>
      </x:c>
      <x:c r="I12" s="31" t="n">
        <x:v>0.0693696637</x:v>
      </x:c>
      <x:c r="J12" s="31" t="n">
        <x:v>0.0693696637</x:v>
      </x:c>
      <x:c r="K12" s="31" t="n">
        <x:v>0</x:v>
      </x:c>
      <x:c r="L12" s="31" t="n">
        <x:v>0.0693696637</x:v>
      </x:c>
      <x:c r="M12" s="31" t="n">
        <x:v>0</x:v>
      </x:c>
      <x:c r="N12" s="24" t="str">
        <x:v>prionace glauca</x:v>
      </x:c>
      <x:c r="O12" s="32" t="n">
        <x:v>4.35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Prionace glauca</x:v>
      </x:c>
      <x:c r="T12" s="32" t="n">
        <x:f>IF(O12="","",(1/'Metadata'!$B$5)^(O12-1))</x:f>
        <x:v>2238.7211385683377</x:v>
      </x:c>
      <x:c r="U12" s="31" t="n">
        <x:f>IF(T12="","",I12*T12)</x:f>
        <x:v>155.2993325005667</x:v>
      </x:c>
    </x:row>
    <x:row r="13" ht="18" customHeight="1">
      <x:c r="A13" s="24" t="str">
        <x:v>EEZ_252</x:v>
      </x:c>
      <x:c r="B13" s="24" t="str">
        <x:v>Tromelin Isl. (France)</x:v>
      </x:c>
      <x:c r="C13" s="24" t="str">
        <x:v>EEZ</x:v>
      </x:c>
      <x:c r="D13" s="30" t="n">
        <x:v>2019</x:v>
      </x:c>
      <x:c r="E13" s="24" t="str">
        <x:v>Sphyrna lewini</x:v>
      </x:c>
      <x:c r="F13" s="24" t="str">
        <x:v>Scalloped hammerhead</x:v>
      </x:c>
      <x:c r="G13" s="24" t="str">
        <x:v>Large sharks (&gt;=90 cm)</x:v>
      </x:c>
      <x:c r="H13" s="24" t="str">
        <x:v>Sharks &amp; rays</x:v>
      </x:c>
      <x:c r="I13" s="31" t="n">
        <x:v>0.0442336895</x:v>
      </x:c>
      <x:c r="J13" s="31" t="n">
        <x:v>0.0442336895</x:v>
      </x:c>
      <x:c r="K13" s="31" t="n">
        <x:v>0</x:v>
      </x:c>
      <x:c r="L13" s="31" t="n">
        <x:v>0.0442336895</x:v>
      </x:c>
      <x:c r="M13" s="31" t="n">
        <x:v>0</x:v>
      </x:c>
      <x:c r="N13" s="24" t="str">
        <x:v>sphyrna lewini</x:v>
      </x:c>
      <x:c r="O13" s="32" t="n">
        <x:v>4.08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Sphyrna lewini</x:v>
      </x:c>
      <x:c r="T13" s="32" t="n">
        <x:f>IF(O13="","",(1/'Metadata'!$B$5)^(O13-1))</x:f>
        <x:v>1202.2644346174131</x:v>
      </x:c>
      <x:c r="U13" s="31" t="n">
        <x:f>IF(T13="","",I13*T13)</x:f>
        <x:v>53.1805916977597</x:v>
      </x:c>
    </x:row>
    <x:row r="14" ht="18" customHeight="1">
      <x:c r="A14" s="24" t="str">
        <x:v>EEZ_252</x:v>
      </x:c>
      <x:c r="B14" s="24" t="str">
        <x:v>Tromelin Isl. (France)</x:v>
      </x:c>
      <x:c r="C14" s="24" t="str">
        <x:v>EEZ</x:v>
      </x:c>
      <x:c r="D14" s="30" t="n">
        <x:v>2019</x:v>
      </x:c>
      <x:c r="E14" s="24" t="str">
        <x:v>Isurus oxyrinchus</x:v>
      </x:c>
      <x:c r="F14" s="24" t="str">
        <x:v>Shortfin mako</x:v>
      </x:c>
      <x:c r="G14" s="24" t="str">
        <x:v>Large sharks (&gt;=90 cm)</x:v>
      </x:c>
      <x:c r="H14" s="24" t="str">
        <x:v>Sharks &amp; rays</x:v>
      </x:c>
      <x:c r="I14" s="31" t="n">
        <x:v>0.0129796713</x:v>
      </x:c>
      <x:c r="J14" s="31" t="n">
        <x:v>0.0129796713</x:v>
      </x:c>
      <x:c r="K14" s="31" t="n">
        <x:v>0</x:v>
      </x:c>
      <x:c r="L14" s="31" t="n">
        <x:v>0.0129796713</x:v>
      </x:c>
      <x:c r="M14" s="31" t="n">
        <x:v>0</x:v>
      </x:c>
      <x:c r="N14" s="24" t="str">
        <x:v>isurus oxyrinchus</x:v>
      </x:c>
      <x:c r="O14" s="32" t="n">
        <x:v>4.5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Isurus oxyrinchus</x:v>
      </x:c>
      <x:c r="T14" s="32" t="n">
        <x:f>IF(O14="","",(1/'Metadata'!$B$5)^(O14-1))</x:f>
        <x:v>3162.2776601683795</x:v>
      </x:c>
      <x:c r="U14" s="31" t="n">
        <x:f>IF(T14="","",I14*T14)</x:f>
        <x:v>41.04532458831867</x:v>
      </x:c>
    </x:row>
    <x:row r="15" ht="18" customHeight="1">
      <x:c r="A15" s="24" t="str">
        <x:v>EEZ_252</x:v>
      </x:c>
      <x:c r="B15" s="24" t="str">
        <x:v>Tromelin Isl. (France)</x:v>
      </x:c>
      <x:c r="C15" s="24" t="str">
        <x:v>EEZ</x:v>
      </x:c>
      <x:c r="D15" s="30" t="n">
        <x:v>2019</x:v>
      </x:c>
      <x:c r="E15" s="24" t="str">
        <x:v>Marine pelagic fishes not identified</x:v>
      </x:c>
      <x:c r="F15" s="24" t="str">
        <x:v>Pelagic fishes</x:v>
      </x:c>
      <x:c r="G15" s="24" t="str">
        <x:v>Medium pelagics (30 - 89 cm)</x:v>
      </x:c>
      <x:c r="H15" s="24" t="str">
        <x:v>Other fishes &amp; inverts</x:v>
      </x:c>
      <x:c r="I15" s="31" t="n">
        <x:v>0.0053516311</x:v>
      </x:c>
      <x:c r="J15" s="31" t="n">
        <x:v>0.0053516311</x:v>
      </x:c>
      <x:c r="K15" s="31" t="n">
        <x:v>0</x:v>
      </x:c>
      <x:c r="L15" s="31" t="n">
        <x:v>0.0053516311</x:v>
      </x:c>
      <x:c r="M15" s="31" t="n">
        <x:v>0</x:v>
      </x:c>
      <x:c r="N15" s="24" t="str">
        <x:v>marine pelagic fishes not identified</x:v>
      </x:c>
      <x:c r="O15" s="32" t="n">
        <x:v>3.35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Marine pelagic fishes not identified</x:v>
      </x:c>
      <x:c r="T15" s="32" t="n">
        <x:f>IF(O15="","",(1/'Metadata'!$B$5)^(O15-1))</x:f>
        <x:v>223.872113856834</x:v>
      </x:c>
      <x:c r="U15" s="31" t="n">
        <x:f>IF(T15="","",I15*T15)</x:f>
        <x:v>1.1980809669389738</x:v>
      </x:c>
    </x:row>
    <x:row r="16" ht="18" customHeight="1">
      <x:c r="A16" s="24" t="str">
        <x:v>EEZ_252</x:v>
      </x:c>
      <x:c r="B16" s="24" t="str">
        <x:v>Tromelin Isl. (France)</x:v>
      </x:c>
      <x:c r="C16" s="24" t="str">
        <x:v>EEZ</x:v>
      </x:c>
      <x:c r="D16" s="30" t="n">
        <x:v>2019</x:v>
      </x:c>
      <x:c r="E16" s="24" t="str">
        <x:v>Istiompax indica</x:v>
      </x:c>
      <x:c r="F16" s="24" t="str">
        <x:v>Black marlin</x:v>
      </x:c>
      <x:c r="G16" s="24" t="str">
        <x:v>Large pelagics (&gt;=90 cm)</x:v>
      </x:c>
      <x:c r="H16" s="24" t="str">
        <x:v>Tuna &amp; billfishes</x:v>
      </x:c>
      <x:c r="I16" s="31" t="n">
        <x:v>0.0036307144</x:v>
      </x:c>
      <x:c r="J16" s="31" t="n">
        <x:v>0.0036307144</x:v>
      </x:c>
      <x:c r="K16" s="31" t="n">
        <x:v>0</x:v>
      </x:c>
      <x:c r="L16" s="31" t="n">
        <x:v>0.0036307144</x:v>
      </x:c>
      <x:c r="M16" s="31" t="n">
        <x:v>0</x:v>
      </x:c>
      <x:c r="N16" s="24" t="str">
        <x:v>istiompax indica</x:v>
      </x:c>
      <x:c r="O16" s="32" t="n">
        <x:v>4.5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Istiompax indica</x:v>
      </x:c>
      <x:c r="T16" s="32" t="n">
        <x:f>IF(O16="","",(1/'Metadata'!$B$5)^(O16-1))</x:f>
        <x:v>3162.2776601683795</x:v>
      </x:c>
      <x:c r="U16" s="31" t="n">
        <x:f>IF(T16="","",I16*T16)</x:f>
        <x:v>11.481327037571642</x:v>
      </x:c>
    </x:row>
    <x:row r="17" ht="18" customHeight="1">
      <x:c r="A17" s="24" t="str">
        <x:v>EEZ_252</x:v>
      </x:c>
      <x:c r="B17" s="24" t="str">
        <x:v>Tromelin Isl. (France)</x:v>
      </x:c>
      <x:c r="C17" s="24" t="str">
        <x:v>EEZ</x:v>
      </x:c>
      <x:c r="D17" s="30" t="n">
        <x:v>2019</x:v>
      </x:c>
      <x:c r="E17" s="24" t="str">
        <x:v>Istiophorus platypterus</x:v>
      </x:c>
      <x:c r="F17" s="24" t="str">
        <x:v>Indo-Pacific sailfish</x:v>
      </x:c>
      <x:c r="G17" s="24" t="str">
        <x:v>Large pelagics (&gt;=90 cm)</x:v>
      </x:c>
      <x:c r="H17" s="24" t="str">
        <x:v>Tuna &amp; billfishes</x:v>
      </x:c>
      <x:c r="I17" s="31" t="n">
        <x:v>0.0021709212</x:v>
      </x:c>
      <x:c r="J17" s="31" t="n">
        <x:v>0.0021709212</x:v>
      </x:c>
      <x:c r="K17" s="31" t="n">
        <x:v>0</x:v>
      </x:c>
      <x:c r="L17" s="31" t="n">
        <x:v>0.0021709212</x:v>
      </x:c>
      <x:c r="M17" s="31" t="n">
        <x:v>0</x:v>
      </x:c>
      <x:c r="N17" s="24" t="str">
        <x:v>istiophorus platypterus</x:v>
      </x:c>
      <x:c r="O17" s="32" t="n">
        <x:v>4.5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Istiophorus platypterus</x:v>
      </x:c>
      <x:c r="T17" s="32" t="n">
        <x:f>IF(O17="","",(1/'Metadata'!$B$5)^(O17-1))</x:f>
        <x:v>3162.2776601683795</x:v>
      </x:c>
      <x:c r="U17" s="31" t="n">
        <x:f>IF(T17="","",I17*T17)</x:f>
        <x:v>6.865055612745931</x:v>
      </x:c>
    </x:row>
  </x:sheetData>
  <x:conditionalFormatting sqref="R2:R1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34426a25e9bf4be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Other fishes &amp; inverts</x:v>
      </x:c>
      <x:c r="B2" s="33" t="n">
        <x:v>2</x:v>
      </x:c>
      <x:c r="C2" s="33" t="n">
        <x:v>2</x:v>
      </x:c>
      <x:c r="D2" s="31" t="n">
        <x:v>0.6842206262</x:v>
      </x:c>
      <x:c r="E2" s="31" t="n">
        <x:v>0.6842206262</x:v>
      </x:c>
      <x:c r="F2" s="32" t="n">
        <x:v>0</x:v>
      </x:c>
      <x:c r="G2" s="34" t="n">
        <x:v>1</x:v>
      </x:c>
      <x:c r="H2" s="32" t="n">
        <x:f>IF(E2=0,"",I2/E2)</x:f>
        <x:v>190.80673140859244</x:v>
      </x:c>
      <x:c r="I2" s="31" t="n">
        <x:f>IF(C2=0,"",SUMIF('Species'!$H$2:$H$17,A2,'Species'!$U$2:$U$17))</x:f>
        <x:v>130.55390124756232</x:v>
      </x:c>
      <x:c r="J2" s="32" t="n">
        <x:v>3.280547504946</x:v>
      </x:c>
      <x:c r="K2" s="32" t="n">
        <x:f>IF(J2="","",(1/'Metadata'!$B$5)^(J2-1))</x:f>
        <x:v>190.7864402760989</x:v>
      </x:c>
      <x:c r="L2" s="31" t="n">
        <x:f>IF(E2=0,"",E2*K2)</x:f>
        <x:v>130.5400176361813</x:v>
      </x:c>
      <x:c r="M2" s="31" t="n">
        <x:f>IF(E2=0,"",I2-L2)</x:f>
        <x:v>0.013883611381032779</x:v>
      </x:c>
      <x:c r="N2" s="32" t="n">
        <x:f>IF(L2=0,"",I2/L2)</x:f>
        <x:v>1.0001063552130025</x:v>
      </x:c>
      <x:c r="O2" s="34" t="n">
        <x:f>IF(L2=0,"",M2/L2)</x:f>
        <x:v>0.00010635521300239744</x:v>
      </x:c>
    </x:row>
    <x:row r="3" ht="18" customHeight="1">
      <x:c r="A3" s="24" t="str">
        <x:v>Perch-likes</x:v>
      </x:c>
      <x:c r="B3" s="33" t="n">
        <x:v>3</x:v>
      </x:c>
      <x:c r="C3" s="33" t="n">
        <x:v>3</x:v>
      </x:c>
      <x:c r="D3" s="31" t="n">
        <x:v>5.6399508169</x:v>
      </x:c>
      <x:c r="E3" s="31" t="n">
        <x:v>5.6399508169</x:v>
      </x:c>
      <x:c r="F3" s="32" t="n">
        <x:v>0</x:v>
      </x:c>
      <x:c r="G3" s="34" t="n">
        <x:v>1</x:v>
      </x:c>
      <x:c r="H3" s="32" t="n">
        <x:f>IF(E3=0,"",I3/E3)</x:f>
        <x:v>2300.238375315914</x:v>
      </x:c>
      <x:c r="I3" s="31" t="n">
        <x:f>IF(C3=0,"",SUMIF('Species'!$H$2:$H$17,A3,'Species'!$U$2:$U$17))</x:f>
        <x:v>12973.231303927718</x:v>
      </x:c>
      <x:c r="J3" s="32" t="n">
        <x:v>4.356039703409457</x:v>
      </x:c>
      <x:c r="K3" s="32" t="n">
        <x:f>IF(J3="","",(1/'Metadata'!$B$5)^(J3-1))</x:f>
        <x:v>2270.072373501012</x:v>
      </x:c>
      <x:c r="L3" s="31" t="n">
        <x:f>IF(E3=0,"",E3*K3)</x:f>
        <x:v>12803.096537349154</x:v>
      </x:c>
      <x:c r="M3" s="31" t="n">
        <x:f>IF(E3=0,"",I3-L3)</x:f>
        <x:v>170.13476657856336</x:v>
      </x:c>
      <x:c r="N3" s="32" t="n">
        <x:f>IF(L3=0,"",I3/L3)</x:f>
        <x:v>1.0132885639096954</x:v>
      </x:c>
      <x:c r="O3" s="34" t="n">
        <x:f>IF(L3=0,"",M3/L3)</x:f>
        <x:v>0.013288563909695341</x:v>
      </x:c>
    </x:row>
    <x:row r="4" ht="18" customHeight="1">
      <x:c r="A4" s="24" t="str">
        <x:v>Sharks &amp; rays</x:v>
      </x:c>
      <x:c r="B4" s="33" t="n">
        <x:v>3</x:v>
      </x:c>
      <x:c r="C4" s="33" t="n">
        <x:v>3</x:v>
      </x:c>
      <x:c r="D4" s="31" t="n">
        <x:v>0.1265830245</x:v>
      </x:c>
      <x:c r="E4" s="31" t="n">
        <x:v>0.1265830245</x:v>
      </x:c>
      <x:c r="F4" s="32" t="n">
        <x:v>0</x:v>
      </x:c>
      <x:c r="G4" s="34" t="n">
        <x:v>1</x:v>
      </x:c>
      <x:c r="H4" s="32" t="n">
        <x:f>IF(E4=0,"",I4/E4)</x:f>
        <x:v>1971.2378478256778</x:v>
      </x:c>
      <x:c r="I4" s="31" t="n">
        <x:f>IF(C4=0,"",SUMIF('Species'!$H$2:$H$17,A4,'Species'!$U$2:$U$17))</x:f>
        <x:v>249.52524878664505</x:v>
      </x:c>
      <x:c r="J4" s="32" t="n">
        <x:v>4.271030916195244</x:v>
      </x:c>
      <x:c r="K4" s="32" t="n">
        <x:f>IF(J4="","",(1/'Metadata'!$B$5)^(J4-1))</x:f>
        <x:v>1866.512557852724</x:v>
      </x:c>
      <x:c r="L4" s="31" t="n">
        <x:f>IF(E4=0,"",E4*K4)</x:f>
        <x:v>236.26880484022905</x:v>
      </x:c>
      <x:c r="M4" s="31" t="n">
        <x:f>IF(E4=0,"",I4-L4)</x:f>
        <x:v>13.256443946415999</x:v>
      </x:c>
      <x:c r="N4" s="32" t="n">
        <x:f>IF(L4=0,"",I4/L4)</x:f>
        <x:v>1.0561074660507144</x:v>
      </x:c>
      <x:c r="O4" s="34" t="n">
        <x:f>IF(L4=0,"",M4/L4)</x:f>
        <x:v>0.05610746605071432</x:v>
      </x:c>
    </x:row>
    <x:row r="5" ht="18" customHeight="1">
      <x:c r="A5" s="24" t="str">
        <x:v>Tuna &amp; billfishes</x:v>
      </x:c>
      <x:c r="B5" s="33" t="n">
        <x:v>8</x:v>
      </x:c>
      <x:c r="C5" s="33" t="n">
        <x:v>8</x:v>
      </x:c>
      <x:c r="D5" s="31" t="n">
        <x:v>13.607216793400001</x:v>
      </x:c>
      <x:c r="E5" s="31" t="n">
        <x:v>13.607216793400001</x:v>
      </x:c>
      <x:c r="F5" s="32" t="n">
        <x:v>0</x:v>
      </x:c>
      <x:c r="G5" s="34" t="n">
        <x:v>1</x:v>
      </x:c>
      <x:c r="H5" s="32" t="n">
        <x:f>IF(E5=0,"",I5/E5)</x:f>
        <x:v>2004.580367465276</x:v>
      </x:c>
      <x:c r="I5" s="31" t="n">
        <x:f>IF(C5=0,"",SUMIF('Species'!$H$2:$H$17,A5,'Species'!$U$2:$U$17))</x:f>
        <x:v>27276.759639893447</x:v>
      </x:c>
      <x:c r="J5" s="32" t="n">
        <x:v>4.290816179711591</x:v>
      </x:c>
      <x:c r="K5" s="32" t="n">
        <x:f>IF(J5="","",(1/'Metadata'!$B$5)^(J5-1))</x:f>
        <x:v>1953.512433466168</x:v>
      </x:c>
      <x:c r="L5" s="31" t="n">
        <x:f>IF(E5=0,"",E5*K5)</x:f>
        <x:v>26581.867190776542</x:v>
      </x:c>
      <x:c r="M5" s="31" t="n">
        <x:f>IF(E5=0,"",I5-L5)</x:f>
        <x:v>694.8924491169055</x:v>
      </x:c>
      <x:c r="N5" s="32" t="n">
        <x:f>IF(L5=0,"",I5/L5)</x:f>
        <x:v>1.0261415966052987</x:v>
      </x:c>
      <x:c r="O5" s="34" t="n">
        <x:f>IF(L5=0,"",M5/L5)</x:f>
        <x:v>0.02614159660529872</x:v>
      </x:c>
    </x:row>
  </x:sheetData>
  <x:conditionalFormatting sqref="G2:G5">
    <x:cfRule type="cellIs" dxfId="1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7a580b4cae3c413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pelagics (&gt;=90 cm)</x:v>
      </x:c>
      <x:c r="B2" s="33" t="n">
        <x:v>10</x:v>
      </x:c>
      <x:c r="C2" s="33" t="n">
        <x:v>10</x:v>
      </x:c>
      <x:c r="D2" s="31" t="n">
        <x:v>9.7552499356</x:v>
      </x:c>
      <x:c r="E2" s="31" t="n">
        <x:v>9.7552499356</x:v>
      </x:c>
      <x:c r="F2" s="32" t="n">
        <x:v>0</x:v>
      </x:c>
      <x:c r="G2" s="34" t="n">
        <x:v>1</x:v>
      </x:c>
      <x:c r="H2" s="32" t="n">
        <x:f>IF(E2=0,"",I2/E2)</x:f>
        <x:v>2435.0917402554073</x:v>
      </x:c>
      <x:c r="I2" s="31" t="n">
        <x:f>IF(C2=0,"",SUMIF('Species'!$G$2:$G$17,A2,'Species'!$U$2:$U$17))</x:f>
        <x:v>23754.928542306654</x:v>
      </x:c>
      <x:c r="J2" s="32" t="n">
        <x:v>4.377969298877037</x:v>
      </x:c>
      <x:c r="K2" s="32" t="n">
        <x:f>IF(J2="","",(1/'Metadata'!$B$5)^(J2-1))</x:f>
        <x:v>2387.6424898481846</x:v>
      </x:c>
      <x:c r="L2" s="31" t="n">
        <x:f>IF(E2=0,"",E2*K2)</x:f>
        <x:v>23292.049245327325</x:v>
      </x:c>
      <x:c r="M2" s="31" t="n">
        <x:f>IF(E2=0,"",I2-L2)</x:f>
        <x:v>462.8792969793285</x:v>
      </x:c>
      <x:c r="N2" s="32" t="n">
        <x:f>IF(L2=0,"",I2/L2)</x:f>
        <x:v>1.019872845540724</x:v>
      </x:c>
      <x:c r="O2" s="34" t="n">
        <x:f>IF(L2=0,"",M2/L2)</x:f>
        <x:v>0.019872845540724066</x:v>
      </x:c>
    </x:row>
    <x:row r="3" ht="18" customHeight="1">
      <x:c r="A3" s="24" t="str">
        <x:v>Large sharks (&gt;=90 cm)</x:v>
      </x:c>
      <x:c r="B3" s="33" t="n">
        <x:v>3</x:v>
      </x:c>
      <x:c r="C3" s="33" t="n">
        <x:v>3</x:v>
      </x:c>
      <x:c r="D3" s="31" t="n">
        <x:v>0.1265830245</x:v>
      </x:c>
      <x:c r="E3" s="31" t="n">
        <x:v>0.1265830245</x:v>
      </x:c>
      <x:c r="F3" s="32" t="n">
        <x:v>0</x:v>
      </x:c>
      <x:c r="G3" s="34" t="n">
        <x:v>1</x:v>
      </x:c>
      <x:c r="H3" s="32" t="n">
        <x:f>IF(E3=0,"",I3/E3)</x:f>
        <x:v>1971.2378478256778</x:v>
      </x:c>
      <x:c r="I3" s="31" t="n">
        <x:f>IF(C3=0,"",SUMIF('Species'!$G$2:$G$17,A3,'Species'!$U$2:$U$17))</x:f>
        <x:v>249.52524878664505</x:v>
      </x:c>
      <x:c r="J3" s="32" t="n">
        <x:v>4.271030916195244</x:v>
      </x:c>
      <x:c r="K3" s="32" t="n">
        <x:f>IF(J3="","",(1/'Metadata'!$B$5)^(J3-1))</x:f>
        <x:v>1866.512557852724</x:v>
      </x:c>
      <x:c r="L3" s="31" t="n">
        <x:f>IF(E3=0,"",E3*K3)</x:f>
        <x:v>236.26880484022905</x:v>
      </x:c>
      <x:c r="M3" s="31" t="n">
        <x:f>IF(E3=0,"",I3-L3)</x:f>
        <x:v>13.256443946415999</x:v>
      </x:c>
      <x:c r="N3" s="32" t="n">
        <x:f>IF(L3=0,"",I3/L3)</x:f>
        <x:v>1.0561074660507144</x:v>
      </x:c>
      <x:c r="O3" s="34" t="n">
        <x:f>IF(L3=0,"",M3/L3)</x:f>
        <x:v>0.05610746605071432</x:v>
      </x:c>
    </x:row>
    <x:row r="4" ht="18" customHeight="1">
      <x:c r="A4" s="24" t="str">
        <x:v>Medium demersals (30 - 89 cm)</x:v>
      </x:c>
      <x:c r="B4" s="33" t="n">
        <x:v>1</x:v>
      </x:c>
      <x:c r="C4" s="33" t="n">
        <x:v>1</x:v>
      </x:c>
      <x:c r="D4" s="31" t="n">
        <x:v>0.6788689951</x:v>
      </x:c>
      <x:c r="E4" s="31" t="n">
        <x:v>0.6788689951</x:v>
      </x:c>
      <x:c r="F4" s="32" t="n">
        <x:v>0</x:v>
      </x:c>
      <x:c r="G4" s="34" t="n">
        <x:v>1</x:v>
      </x:c>
      <x:c r="H4" s="32" t="n">
        <x:f>IF(E4=0,"",I4/E4)</x:f>
        <x:v>190.54607179632464</x:v>
      </x:c>
      <x:c r="I4" s="31" t="n">
        <x:f>IF(C4=0,"",SUMIF('Species'!$G$2:$G$17,A4,'Species'!$U$2:$U$17))</x:f>
        <x:v>129.35582028062336</x:v>
      </x:c>
      <x:c r="J4" s="32" t="n">
        <x:v>3.28</x:v>
      </x:c>
      <x:c r="K4" s="32" t="n">
        <x:f>IF(J4="","",(1/'Metadata'!$B$5)^(J4-1))</x:f>
        <x:v>190.54607179632464</x:v>
      </x:c>
      <x:c r="L4" s="31" t="n">
        <x:f>IF(E4=0,"",E4*K4)</x:f>
        <x:v>129.35582028062336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Medium pelagics (30 - 89 cm)</x:v>
      </x:c>
      <x:c r="B5" s="33" t="n">
        <x:v>2</x:v>
      </x:c>
      <x:c r="C5" s="33" t="n">
        <x:v>2</x:v>
      </x:c>
      <x:c r="D5" s="31" t="n">
        <x:v>9.4972693058</x:v>
      </x:c>
      <x:c r="E5" s="31" t="n">
        <x:v>9.4972693058</x:v>
      </x:c>
      <x:c r="F5" s="32" t="n">
        <x:v>0</x:v>
      </x:c>
      <x:c r="G5" s="34" t="n">
        <x:v>1</x:v>
      </x:c>
      <x:c r="H5" s="32" t="n">
        <x:f>IF(E5=0,"",I5/E5)</x:f>
        <x:v>1736.947742695593</x:v>
      </x:c>
      <x:c r="I5" s="31" t="n">
        <x:f>IF(C5=0,"",SUMIF('Species'!$G$2:$G$17,A5,'Species'!$U$2:$U$17))</x:f>
        <x:v>16496.26048248145</x:v>
      </x:c>
      <x:c r="J5" s="32" t="n">
        <x:v>4.239498492511307</x:v>
      </x:c>
      <x:c r="K5" s="32" t="n">
        <x:f>IF(J5="","",(1/'Metadata'!$B$5)^(J5-1))</x:f>
        <x:v>1735.7952377057036</x:v>
      </x:c>
      <x:c r="L5" s="31" t="n">
        <x:f>IF(E5=0,"",E5*K5)</x:f>
        <x:v>16485.314832216194</x:v>
      </x:c>
      <x:c r="M5" s="31" t="n">
        <x:f>IF(E5=0,"",I5-L5)</x:f>
        <x:v>10.945650265257427</x:v>
      </x:c>
      <x:c r="N5" s="32" t="n">
        <x:f>IF(L5=0,"",I5/L5)</x:f>
        <x:v>1.0006639636777739</x:v>
      </x:c>
      <x:c r="O5" s="34" t="n">
        <x:f>IF(L5=0,"",M5/L5)</x:f>
        <x:v>0.0006639636777738114</x:v>
      </x:c>
    </x:row>
  </x:sheetData>
  <x:conditionalFormatting sqref="G2:G5">
    <x:cfRule type="cellIs" dxfId="2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8762c88df9f64ed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EEZ_252</x:v>
      </x:c>
      <x:c r="B2" s="24" t="str">
        <x:v>raw_filtered_tonnes</x:v>
      </x:c>
      <x:c r="C2" s="24" t="n">
        <x:v>20.057971261</x:v>
      </x:c>
      <x:c r="D2" s="24" t="str">
        <x:v>tonnes</x:v>
      </x:c>
    </x:row>
    <x:row r="3" ht="18" customHeight="1">
      <x:c r="A3" s="24" t="str">
        <x:v>EEZ_252</x:v>
      </x:c>
      <x:c r="B3" s="24" t="str">
        <x:v>species_catch_tonnes</x:v>
      </x:c>
      <x:c r="C3" s="24" t="n">
        <x:v>20.057971261000002</x:v>
      </x:c>
      <x:c r="D3" s="24" t="str">
        <x:v>tonnes</x:v>
      </x:c>
    </x:row>
    <x:row r="4" ht="18" customHeight="1">
      <x:c r="A4" s="24" t="str">
        <x:v>EEZ_252</x:v>
      </x:c>
      <x:c r="B4" s="24" t="str">
        <x:v>catch_difference_tonnes</x:v>
      </x:c>
      <x:c r="C4" s="24" t="n">
        <x:v>3.552713678800501e-15</x:v>
      </x:c>
      <x:c r="D4" s="24" t="str">
        <x:v>tonnes</x:v>
      </x:c>
    </x:row>
    <x:row r="5" ht="18" customHeight="1">
      <x:c r="A5" s="24" t="str">
        <x:v>EEZ_252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EEZ_252</x:v>
      </x:c>
      <x:c r="B6" s="24" t="str">
        <x:v>matched_catch_tonnes</x:v>
      </x:c>
      <x:c r="C6" s="24" t="n">
        <x:v>20.057971261000002</x:v>
      </x:c>
      <x:c r="D6" s="24" t="str">
        <x:v>tonnes</x:v>
      </x:c>
    </x:row>
    <x:row r="7" ht="18" customHeight="1">
      <x:c r="A7" s="24" t="str">
        <x:v>EEZ_252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EEZ_252</x:v>
      </x:c>
      <x:c r="B8" s="24" t="str">
        <x:v>taxa_count</x:v>
      </x:c>
      <x:c r="C8" s="24" t="n">
        <x:v>16</x:v>
      </x:c>
      <x:c r="D8" s="24" t="str">
        <x:v>count</x:v>
      </x:c>
    </x:row>
    <x:row r="9" ht="18" customHeight="1">
      <x:c r="A9" s="24" t="str">
        <x:v>EEZ_252</x:v>
      </x:c>
      <x:c r="B9" s="24" t="str">
        <x:v>matched_taxa_count</x:v>
      </x:c>
      <x:c r="C9" s="24" t="n">
        <x:v>16</x:v>
      </x:c>
      <x:c r="D9" s="24" t="str">
        <x:v>count</x:v>
      </x:c>
    </x:row>
    <x:row r="10" ht="18" customHeight="1">
      <x:c r="A10" s="24" t="str">
        <x:v>EEZ_252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EEZ_252</x:v>
      </x:c>
      <x:c r="B11" s="24" t="str">
        <x:v>species_ppr</x:v>
      </x:c>
      <x:c r="C11" s="24" t="n">
        <x:v>40630.07009385537</x:v>
      </x:c>
      <x:c r="D11" s="24" t="str">
        <x:v>tonnes_primary_production_equivalent</x:v>
      </x:c>
    </x:row>
    <x:row r="12" ht="18" customHeight="1">
      <x:c r="A12" s="24" t="str">
        <x:v>EEZ_252</x:v>
      </x:c>
      <x:c r="B12" s="24" t="str">
        <x:v>commercial_ppr</x:v>
      </x:c>
      <x:c r="C12" s="24" t="n">
        <x:v>40630.07009385537</x:v>
      </x:c>
      <x:c r="D12" s="24" t="str">
        <x:v>tonnes_primary_production_equivalent</x:v>
      </x:c>
    </x:row>
    <x:row r="13" ht="18" customHeight="1">
      <x:c r="A13" s="24" t="str">
        <x:v>EEZ_252</x:v>
      </x:c>
      <x:c r="B13" s="24" t="str">
        <x:v>functional_ppr</x:v>
      </x:c>
      <x:c r="C13" s="24" t="n">
        <x:v>40630.07009385537</x:v>
      </x:c>
      <x:c r="D13" s="24" t="str">
        <x:v>tonnes_primary_production_equivalent</x:v>
      </x:c>
    </x:row>
    <x:row r="14" ht="18" customHeight="1">
      <x:c r="A14" s="24" t="str">
        <x:v>EEZ_252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EEZ_252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EEZ_252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EEZ_252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EEZ_252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EEZ_252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8eb10df2152642d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EEZ_252 - Tromelin Isl. (France)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EEZ_252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raw_data/SAU_downloads/EEZ_252-catch.zip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