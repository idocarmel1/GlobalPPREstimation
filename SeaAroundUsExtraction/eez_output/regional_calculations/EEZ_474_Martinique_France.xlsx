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00dcf6d1244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d4bbd4a876a4c82"/>
    <x:sheet xmlns:r="http://schemas.openxmlformats.org/officeDocument/2006/relationships" name="Commercial" sheetId="2" r:id="Ra3874e5d67d747ee"/>
    <x:sheet xmlns:r="http://schemas.openxmlformats.org/officeDocument/2006/relationships" name="Functional" sheetId="3" r:id="R4df3eb3b68c9478f"/>
    <x:sheet xmlns:r="http://schemas.openxmlformats.org/officeDocument/2006/relationships" name="Missing TL" sheetId="4" r:id="R40edc243f8784f73"/>
    <x:sheet xmlns:r="http://schemas.openxmlformats.org/officeDocument/2006/relationships" name="Validation" sheetId="5" r:id="R91e1c75369ea46cd"/>
    <x:sheet xmlns:r="http://schemas.openxmlformats.org/officeDocument/2006/relationships" name="Metadata" sheetId="6" r:id="Rbafdbb5128b5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1d864688b4570" /><Relationship Type="http://schemas.openxmlformats.org/officeDocument/2006/relationships/theme" Target="/xl/theme/theme1.xml" Id="Rab73e15921184787" /><Relationship Type="http://schemas.microsoft.com/office/2022/11/relationships/FeaturePropertyBag" Target="/xl/featurePropertyBag/featurePropertyBag.xml" Id="R5001a5bc9cc34195" /><Relationship Type="http://schemas.openxmlformats.org/officeDocument/2006/relationships/sharedStrings" Target="/xl/sharedStrings.xml" Id="Re88aeaf331b742fb" /><Relationship Type="http://schemas.openxmlformats.org/officeDocument/2006/relationships/worksheet" Target="/xl/worksheets/sheet1.xml" Id="Rbd4bbd4a876a4c82" /><Relationship Type="http://schemas.openxmlformats.org/officeDocument/2006/relationships/worksheet" Target="/xl/worksheets/sheet2.xml" Id="Ra3874e5d67d747ee" /><Relationship Type="http://schemas.openxmlformats.org/officeDocument/2006/relationships/worksheet" Target="/xl/worksheets/sheet3.xml" Id="R4df3eb3b68c9478f" /><Relationship Type="http://schemas.openxmlformats.org/officeDocument/2006/relationships/worksheet" Target="/xl/worksheets/sheet4.xml" Id="R40edc243f8784f73" /><Relationship Type="http://schemas.openxmlformats.org/officeDocument/2006/relationships/worksheet" Target="/xl/worksheets/sheet5.xml" Id="R91e1c75369ea46cd" /><Relationship Type="http://schemas.openxmlformats.org/officeDocument/2006/relationships/worksheet" Target="/xl/worksheets/sheet6.xml" Id="Rbafdbb5128b543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74SpeciesTable" displayName="EEZ474SpeciesTable" ref="A1:U66" headerRowCount="1" totalsRowCount="0" totalsRowShown="0">
  <x:autoFilter ref="A1:U6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74CommercialTable" displayName="EEZ474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74FunctionalTable" displayName="EEZ474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74ValidationTable" displayName="EEZ47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f9f24cd1fb43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f82a74ce6149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294b2303414c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0ecb5f44bd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EEZ_474</x:v>
      </x:c>
      <x:c r="B2" s="24" t="str">
        <x:v>Martinique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556.8055806750999</x:v>
      </x:c>
      <x:c r="J2" s="31" t="n">
        <x:v>554.691039082</x:v>
      </x:c>
      <x:c r="K2" s="31" t="n">
        <x:v>2.1145415931</x:v>
      </x:c>
      <x:c r="L2" s="31" t="n">
        <x:v>62.327018992</x:v>
      </x:c>
      <x:c r="M2" s="31" t="n">
        <x:v>494.47856168309994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106097.11615191182</x:v>
      </x:c>
    </x:row>
    <x:row r="3" ht="18" customHeight="1">
      <x:c r="A3" s="24" t="str">
        <x:v>EEZ_474</x:v>
      </x:c>
      <x:c r="B3" s="24" t="str">
        <x:v>Martinique (France)</x:v>
      </x:c>
      <x:c r="C3" s="24" t="str">
        <x:v>EEZ</x:v>
      </x:c>
      <x:c r="D3" s="30" t="n">
        <x:v>2019</x:v>
      </x:c>
      <x:c r="E3" s="24" t="str">
        <x:v>Clupeidae</x:v>
      </x:c>
      <x:c r="F3" s="24" t="str">
        <x:v>Herrings, sardines, menhadens</x:v>
      </x:c>
      <x:c r="G3" s="24" t="str">
        <x:v>Small pelagics (&lt;30 cm)</x:v>
      </x:c>
      <x:c r="H3" s="24" t="str">
        <x:v>Herring-likes</x:v>
      </x:c>
      <x:c r="I3" s="31" t="n">
        <x:v>250</x:v>
      </x:c>
      <x:c r="J3" s="31" t="n">
        <x:v>250</x:v>
      </x:c>
      <x:c r="K3" s="31" t="n">
        <x:v>0</x:v>
      </x:c>
      <x:c r="L3" s="31" t="n">
        <x:v>250</x:v>
      </x:c>
      <x:c r="M3" s="31" t="n">
        <x:v>0</x:v>
      </x:c>
      <x:c r="N3" s="24" t="str">
        <x:v>clupeidae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Clupeidae</x:v>
      </x:c>
      <x:c r="T3" s="32" t="n">
        <x:f>IF(O3="","",(1/'Metadata'!$B$5)^(O3-1))</x:f>
        <x:v>144.5439770745928</x:v>
      </x:c>
      <x:c r="U3" s="31" t="n">
        <x:f>IF(T3="","",I3*T3)</x:f>
        <x:v>36135.994268648195</x:v>
      </x:c>
    </x:row>
    <x:row r="4" ht="18" customHeight="1">
      <x:c r="A4" s="24" t="str">
        <x:v>EEZ_474</x:v>
      </x:c>
      <x:c r="B4" s="24" t="str">
        <x:v>Martinique (France)</x:v>
      </x:c>
      <x:c r="C4" s="24" t="str">
        <x:v>EEZ</x:v>
      </x:c>
      <x:c r="D4" s="30" t="n">
        <x:v>2019</x:v>
      </x:c>
      <x:c r="E4" s="24" t="str">
        <x:v>Selar crumenophthalmus</x:v>
      </x:c>
      <x:c r="F4" s="24" t="str">
        <x:v>Bigeye scad</x:v>
      </x:c>
      <x:c r="G4" s="24" t="str">
        <x:v>Medium pelagics (30 - 89 cm)</x:v>
      </x:c>
      <x:c r="H4" s="24" t="str">
        <x:v>Perch-likes</x:v>
      </x:c>
      <x:c r="I4" s="31" t="n">
        <x:v>177.60380005800002</x:v>
      </x:c>
      <x:c r="J4" s="31" t="n">
        <x:v>177.60380005800002</x:v>
      </x:c>
      <x:c r="K4" s="31" t="n">
        <x:v>0</x:v>
      </x:c>
      <x:c r="L4" s="31" t="n">
        <x:v>177.60380005800002</x:v>
      </x:c>
      <x:c r="M4" s="31" t="n">
        <x:v>0</x:v>
      </x:c>
      <x:c r="N4" s="24" t="str">
        <x:v>selar crumenophthalmus</x:v>
      </x:c>
      <x:c r="O4" s="32" t="n">
        <x:v>3.81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Selar crumenophthalmus</x:v>
      </x:c>
      <x:c r="T4" s="32" t="n">
        <x:f>IF(O4="","",(1/'Metadata'!$B$5)^(O4-1))</x:f>
        <x:v>645.6542290346556</x:v>
      </x:c>
      <x:c r="U4" s="31" t="n">
        <x:f>IF(T4="","",I4*T4)</x:f>
        <x:v>114670.64460007312</x:v>
      </x:c>
    </x:row>
    <x:row r="5" ht="18" customHeight="1">
      <x:c r="A5" s="24" t="str">
        <x:v>EEZ_474</x:v>
      </x:c>
      <x:c r="B5" s="24" t="str">
        <x:v>Martinique (France)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123.34681424600001</x:v>
      </x:c>
      <x:c r="J5" s="31" t="n">
        <x:v>123.34681424600001</x:v>
      </x:c>
      <x:c r="K5" s="31" t="n">
        <x:v>0</x:v>
      </x:c>
      <x:c r="L5" s="31" t="n">
        <x:v>7.947456446</x:v>
      </x:c>
      <x:c r="M5" s="31" t="n">
        <x:v>115.3993578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129159.97050811785</x:v>
      </x:c>
    </x:row>
    <x:row r="6" ht="18" customHeight="1">
      <x:c r="A6" s="24" t="str">
        <x:v>EEZ_474</x:v>
      </x:c>
      <x:c r="B6" s="24" t="str">
        <x:v>Martinique (France)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113.938183872</x:v>
      </x:c>
      <x:c r="J6" s="31" t="n">
        <x:v>113.938183872</x:v>
      </x:c>
      <x:c r="K6" s="31" t="n">
        <x:v>0</x:v>
      </x:c>
      <x:c r="L6" s="31" t="n">
        <x:v>3.020354572</x:v>
      </x:c>
      <x:c r="M6" s="31" t="n">
        <x:v>110.9178293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108810.12086250714</x:v>
      </x:c>
    </x:row>
    <x:row r="7" ht="18" customHeight="1">
      <x:c r="A7" s="24" t="str">
        <x:v>EEZ_474</x:v>
      </x:c>
      <x:c r="B7" s="24" t="str">
        <x:v>Martinique (France)</x:v>
      </x:c>
      <x:c r="C7" s="24" t="str">
        <x:v>EEZ</x:v>
      </x:c>
      <x:c r="D7" s="30" t="n">
        <x:v>2019</x:v>
      </x:c>
      <x:c r="E7" s="24" t="str">
        <x:v>Haemulidae</x:v>
      </x:c>
      <x:c r="F7" s="24" t="str">
        <x:v>Grunts, sweetlips, bonnetmouths</x:v>
      </x:c>
      <x:c r="G7" s="24" t="str">
        <x:v>Medium demersals (30 - 89 cm)</x:v>
      </x:c>
      <x:c r="H7" s="24" t="str">
        <x:v>Perch-likes</x:v>
      </x:c>
      <x:c r="I7" s="31" t="n">
        <x:v>103.167312199</x:v>
      </x:c>
      <x:c r="J7" s="31" t="n">
        <x:v>103.167312199</x:v>
      </x:c>
      <x:c r="K7" s="31" t="n">
        <x:v>0</x:v>
      </x:c>
      <x:c r="L7" s="31" t="n">
        <x:v>5.694068289</x:v>
      </x:c>
      <x:c r="M7" s="31" t="n">
        <x:v>97.47324391</x:v>
      </x:c>
      <x:c r="N7" s="24" t="str">
        <x:v>haemulidae</x:v>
      </x:c>
      <x:c r="O7" s="32" t="n">
        <x:v>3.36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Haemulidae</x:v>
      </x:c>
      <x:c r="T7" s="32" t="n">
        <x:f>IF(O7="","",(1/'Metadata'!$B$5)^(O7-1))</x:f>
        <x:v>229.08676527677724</x:v>
      </x:c>
      <x:c r="U7" s="31" t="n">
        <x:f>IF(T7="","",I7*T7)</x:f>
        <x:v>23634.265833968308</x:v>
      </x:c>
    </x:row>
    <x:row r="8" ht="18" customHeight="1">
      <x:c r="A8" s="24" t="str">
        <x:v>EEZ_474</x:v>
      </x:c>
      <x:c r="B8" s="24" t="str">
        <x:v>Martinique (France)</x:v>
      </x:c>
      <x:c r="C8" s="24" t="str">
        <x:v>EEZ</x:v>
      </x:c>
      <x:c r="D8" s="30" t="n">
        <x:v>2019</x:v>
      </x:c>
      <x:c r="E8" s="24" t="str">
        <x:v>Holocentridae</x:v>
      </x:c>
      <x:c r="F8" s="24" t="str">
        <x:v>Squirrel-, soldierfishes</x:v>
      </x:c>
      <x:c r="G8" s="24" t="str">
        <x:v>Small reef assoc. fish (&lt;30 cm)</x:v>
      </x:c>
      <x:c r="H8" s="24" t="str">
        <x:v>Other fishes &amp; inverts</x:v>
      </x:c>
      <x:c r="I8" s="31" t="n">
        <x:v>100.40692063600001</x:v>
      </x:c>
      <x:c r="J8" s="31" t="n">
        <x:v>100.40692063600001</x:v>
      </x:c>
      <x:c r="K8" s="31" t="n">
        <x:v>0</x:v>
      </x:c>
      <x:c r="L8" s="31" t="n">
        <x:v>6.294823066</x:v>
      </x:c>
      <x:c r="M8" s="31" t="n">
        <x:v>94.11209757</x:v>
      </x:c>
      <x:c r="N8" s="24" t="str">
        <x:v>holocentridae</x:v>
      </x:c>
      <x:c r="O8" s="32" t="n">
        <x:v>3.49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Holocentridae</x:v>
      </x:c>
      <x:c r="T8" s="32" t="n">
        <x:f>IF(O8="","",(1/'Metadata'!$B$5)^(O8-1))</x:f>
        <x:v>309.0295432513592</x:v>
      </x:c>
      <x:c r="U8" s="31" t="n">
        <x:f>IF(T8="","",I8*T8)</x:f>
        <x:v>31028.704823418557</x:v>
      </x:c>
    </x:row>
    <x:row r="9" ht="18" customHeight="1">
      <x:c r="A9" s="24" t="str">
        <x:v>EEZ_474</x:v>
      </x:c>
      <x:c r="B9" s="24" t="str">
        <x:v>Martinique (France)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91.66717647479999</x:v>
      </x:c>
      <x:c r="J9" s="31" t="n">
        <x:v>91.66717647479999</x:v>
      </x:c>
      <x:c r="K9" s="31" t="n">
        <x:v>0</x:v>
      </x:c>
      <x:c r="L9" s="31" t="n">
        <x:v>91.66717647479999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235620.92382915516</x:v>
      </x:c>
    </x:row>
    <x:row r="10" ht="18" customHeight="1">
      <x:c r="A10" s="24" t="str">
        <x:v>EEZ_474</x:v>
      </x:c>
      <x:c r="B10" s="24" t="str">
        <x:v>Martinique (France)</x:v>
      </x:c>
      <x:c r="C10" s="24" t="str">
        <x:v>EEZ</x:v>
      </x:c>
      <x:c r="D10" s="30" t="n">
        <x:v>2019</x:v>
      </x:c>
      <x:c r="E10" s="24" t="str">
        <x:v>Coryphaena hippurus</x:v>
      </x:c>
      <x:c r="F10" s="24" t="str">
        <x:v>Common dolphinfish</x:v>
      </x:c>
      <x:c r="G10" s="24" t="str">
        <x:v>Large pelagics (&gt;=90 cm)</x:v>
      </x:c>
      <x:c r="H10" s="24" t="str">
        <x:v>Perch-likes</x:v>
      </x:c>
      <x:c r="I10" s="31" t="n">
        <x:v>90.3</x:v>
      </x:c>
      <x:c r="J10" s="31" t="n">
        <x:v>90.3</x:v>
      </x:c>
      <x:c r="K10" s="31" t="n">
        <x:v>0</x:v>
      </x:c>
      <x:c r="L10" s="31" t="n">
        <x:v>90.3</x:v>
      </x:c>
      <x:c r="M10" s="31" t="n">
        <x:v>0</x:v>
      </x:c>
      <x:c r="N10" s="24" t="str">
        <x:v>coryphaena hippurus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Coryphaena hippurus</x:v>
      </x:c>
      <x:c r="T10" s="32" t="n">
        <x:f>IF(O10="","",(1/'Metadata'!$B$5)^(O10-1))</x:f>
        <x:v>2344.228815319923</x:v>
      </x:c>
      <x:c r="U10" s="31" t="n">
        <x:f>IF(T10="","",I10*T10)</x:f>
        <x:v>211683.86202338903</x:v>
      </x:c>
    </x:row>
    <x:row r="11" ht="18" customHeight="1">
      <x:c r="A11" s="24" t="str">
        <x:v>EEZ_474</x:v>
      </x:c>
      <x:c r="B11" s="24" t="str">
        <x:v>Martinique (France)</x:v>
      </x:c>
      <x:c r="C11" s="24" t="str">
        <x:v>EEZ</x:v>
      </x:c>
      <x:c r="D11" s="30" t="n">
        <x:v>2019</x:v>
      </x:c>
      <x:c r="E11" s="24" t="str">
        <x:v>Palinuridae</x:v>
      </x:c>
      <x:c r="F11" s="24" t="str">
        <x:v>Spiny lobsters</x:v>
      </x:c>
      <x:c r="G11" s="24" t="str">
        <x:v>Lobsters, crabs</x:v>
      </x:c>
      <x:c r="H11" s="24" t="str">
        <x:v>Crustaceans</x:v>
      </x:c>
      <x:c r="I11" s="31" t="n">
        <x:v>81.574607721</x:v>
      </x:c>
      <x:c r="J11" s="31" t="n">
        <x:v>81.574607721</x:v>
      </x:c>
      <x:c r="K11" s="31" t="n">
        <x:v>0</x:v>
      </x:c>
      <x:c r="L11" s="31" t="n">
        <x:v>0.907095521</x:v>
      </x:c>
      <x:c r="M11" s="31" t="n">
        <x:v>80.6675122</x:v>
      </x:c>
      <x:c r="N11" s="24" t="str">
        <x:v>palinuridae</x:v>
      </x:c>
      <x:c r="O11" s="32" t="n">
        <x:v>3.14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Palinuridae</x:v>
      </x:c>
      <x:c r="T11" s="32" t="n">
        <x:f>IF(O11="","",(1/'Metadata'!$B$5)^(O11-1))</x:f>
        <x:v>138.03842646028852</x:v>
      </x:c>
      <x:c r="U11" s="31" t="n">
        <x:f>IF(T11="","",I11*T11)</x:f>
        <x:v>11260.430488922144</x:v>
      </x:c>
    </x:row>
    <x:row r="12" ht="18" customHeight="1">
      <x:c r="A12" s="24" t="str">
        <x:v>EEZ_474</x:v>
      </x:c>
      <x:c r="B12" s="24" t="str">
        <x:v>Martinique (France)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73.11872439700001</x:v>
      </x:c>
      <x:c r="J12" s="31" t="n">
        <x:v>73.11872439700001</x:v>
      </x:c>
      <x:c r="K12" s="31" t="n">
        <x:v>0</x:v>
      </x:c>
      <x:c r="L12" s="31" t="n">
        <x:v>1.201844667</x:v>
      </x:c>
      <x:c r="M12" s="31" t="n">
        <x:v>71.91687973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3664.6171206887393</x:v>
      </x:c>
    </x:row>
    <x:row r="13" ht="18" customHeight="1">
      <x:c r="A13" s="24" t="str">
        <x:v>EEZ_474</x:v>
      </x:c>
      <x:c r="B13" s="24" t="str">
        <x:v>Martinique (France)</x:v>
      </x:c>
      <x:c r="C13" s="24" t="str">
        <x:v>EEZ</x:v>
      </x:c>
      <x:c r="D13" s="30" t="n">
        <x:v>2019</x:v>
      </x:c>
      <x:c r="E13" s="24" t="str">
        <x:v>Miscellaneous aquatic invertebrates</x:v>
      </x:c>
      <x:c r="F13" s="24" t="str">
        <x:v>Aquatic invertebrates</x:v>
      </x:c>
      <x:c r="G13" s="24" t="str">
        <x:v>Other demersal invertebrates</x:v>
      </x:c>
      <x:c r="H13" s="24" t="str">
        <x:v>Other fishes &amp; inverts</x:v>
      </x:c>
      <x:c r="I13" s="31" t="n">
        <x:v>71.91687973</x:v>
      </x:c>
      <x:c r="J13" s="31" t="n">
        <x:v>71.91687973</x:v>
      </x:c>
      <x:c r="K13" s="31" t="n">
        <x:v>0</x:v>
      </x:c>
      <x:c r="L13" s="31" t="n">
        <x:v>0</x:v>
      </x:c>
      <x:c r="M13" s="31" t="n">
        <x:v>71.91687973</x:v>
      </x:c>
      <x:c r="N13" s="24" t="str">
        <x:v>miscellaneous aquatic invertebrates</x:v>
      </x:c>
      <x:c r="O13" s="32" t="n">
        <x:v>2.43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Miscellaneous aquatic invertebrates</x:v>
      </x:c>
      <x:c r="T13" s="32" t="n">
        <x:f>IF(O13="","",(1/'Metadata'!$B$5)^(O13-1))</x:f>
        <x:v>26.915348039269166</x:v>
      </x:c>
      <x:c r="U13" s="31" t="n">
        <x:f>IF(T13="","",I13*T13)</x:f>
        <x:v>1935.667847831212</x:v>
      </x:c>
    </x:row>
    <x:row r="14" ht="18" customHeight="1">
      <x:c r="A14" s="24" t="str">
        <x:v>EEZ_474</x:v>
      </x:c>
      <x:c r="B14" s="24" t="str">
        <x:v>Martinique (France)</x:v>
      </x:c>
      <x:c r="C14" s="24" t="str">
        <x:v>EEZ</x:v>
      </x:c>
      <x:c r="D14" s="30" t="n">
        <x:v>2019</x:v>
      </x:c>
      <x:c r="E14" s="24" t="str">
        <x:v>Carangidae</x:v>
      </x:c>
      <x:c r="F14" s="24" t="str">
        <x:v>Jacks, pompanos</x:v>
      </x:c>
      <x:c r="G14" s="24" t="str">
        <x:v>Medium pelagics (30 - 89 cm)</x:v>
      </x:c>
      <x:c r="H14" s="24" t="str">
        <x:v>Perch-likes</x:v>
      </x:c>
      <x:c r="I14" s="31" t="n">
        <x:v>62.986297174</x:v>
      </x:c>
      <x:c r="J14" s="31" t="n">
        <x:v>62.986297174</x:v>
      </x:c>
      <x:c r="K14" s="31" t="n">
        <x:v>0</x:v>
      </x:c>
      <x:c r="L14" s="31" t="n">
        <x:v>3.6060451440000003</x:v>
      </x:c>
      <x:c r="M14" s="31" t="n">
        <x:v>59.38025203</x:v>
      </x:c>
      <x:c r="N14" s="24" t="str">
        <x:v>carangidae</x:v>
      </x:c>
      <x:c r="O14" s="32" t="n">
        <x:v>4.05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Carangidae</x:v>
      </x:c>
      <x:c r="T14" s="32" t="n">
        <x:f>IF(O14="","",(1/'Metadata'!$B$5)^(O14-1))</x:f>
        <x:v>1122.018454301963</x:v>
      </x:c>
      <x:c r="U14" s="31" t="n">
        <x:f>IF(T14="","",I14*T14)</x:f>
        <x:v>70671.78779737558</x:v>
      </x:c>
    </x:row>
    <x:row r="15" ht="18" customHeight="1">
      <x:c r="A15" s="24" t="str">
        <x:v>EEZ_474</x:v>
      </x:c>
      <x:c r="B15" s="24" t="str">
        <x:v>Martinique (France)</x:v>
      </x:c>
      <x:c r="C15" s="24" t="str">
        <x:v>EEZ</x:v>
      </x:c>
      <x:c r="D15" s="30" t="n">
        <x:v>2019</x:v>
      </x:c>
      <x:c r="E15" s="24" t="str">
        <x:v>Anguilliformes</x:v>
      </x:c>
      <x:c r="F15" s="24" t="str">
        <x:v>Eels, morays</x:v>
      </x:c>
      <x:c r="G15" s="24" t="str">
        <x:v>Large demersals (&gt;=90 cm)</x:v>
      </x:c>
      <x:c r="H15" s="24" t="str">
        <x:v>Other fishes &amp; inverts</x:v>
      </x:c>
      <x:c r="I15" s="31" t="n">
        <x:v>52.65795935</x:v>
      </x:c>
      <x:c r="J15" s="31" t="n">
        <x:v>52.65795935</x:v>
      </x:c>
      <x:c r="K15" s="31" t="n">
        <x:v>0</x:v>
      </x:c>
      <x:c r="L15" s="31" t="n">
        <x:v>0</x:v>
      </x:c>
      <x:c r="M15" s="31" t="n">
        <x:v>52.65795935</x:v>
      </x:c>
      <x:c r="N15" s="24" t="str">
        <x:v>anguilliformes</x:v>
      </x:c>
      <x:c r="O15" s="32" t="n">
        <x:v>3.89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Anguilliformes</x:v>
      </x:c>
      <x:c r="T15" s="32" t="n">
        <x:f>IF(O15="","",(1/'Metadata'!$B$5)^(O15-1))</x:f>
        <x:v>776.247116628692</x:v>
      </x:c>
      <x:c r="U15" s="31" t="n">
        <x:f>IF(T15="","",I15*T15)</x:f>
        <x:v>40875.58911298837</x:v>
      </x:c>
    </x:row>
    <x:row r="16" ht="18" customHeight="1">
      <x:c r="A16" s="24" t="str">
        <x:v>EEZ_474</x:v>
      </x:c>
      <x:c r="B16" s="24" t="str">
        <x:v>Martinique (France)</x:v>
      </x:c>
      <x:c r="C16" s="24" t="str">
        <x:v>EEZ</x:v>
      </x:c>
      <x:c r="D16" s="30" t="n">
        <x:v>2019</x:v>
      </x:c>
      <x:c r="E16" s="24" t="str">
        <x:v>Istiophoridae</x:v>
      </x:c>
      <x:c r="F16" s="24" t="str">
        <x:v>Billfishes</x:v>
      </x:c>
      <x:c r="G16" s="24" t="str">
        <x:v>Large pelagics (&gt;=90 cm)</x:v>
      </x:c>
      <x:c r="H16" s="24" t="str">
        <x:v>Tuna &amp; billfishes</x:v>
      </x:c>
      <x:c r="I16" s="31" t="n">
        <x:v>50.0003347829</x:v>
      </x:c>
      <x:c r="J16" s="31" t="n">
        <x:v>50.0003347829</x:v>
      </x:c>
      <x:c r="K16" s="31" t="n">
        <x:v>0</x:v>
      </x:c>
      <x:c r="L16" s="31" t="n">
        <x:v>50.0003347829</x:v>
      </x:c>
      <x:c r="M16" s="31" t="n">
        <x:v>0</x:v>
      </x:c>
      <x:c r="N16" s="24" t="str">
        <x:v>istiophoridae</x:v>
      </x:c>
      <x:c r="O16" s="32" t="n">
        <x:v>4.48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Istiophoridae</x:v>
      </x:c>
      <x:c r="T16" s="32" t="n">
        <x:f>IF(O16="","",(1/'Metadata'!$B$5)^(O16-1))</x:f>
        <x:v>3019.951720402019</x:v>
      </x:c>
      <x:c r="U16" s="31" t="n">
        <x:f>IF(T16="","",I16*T16)</x:f>
        <x:v>150998.59704829575</x:v>
      </x:c>
    </x:row>
    <x:row r="17" ht="18" customHeight="1">
      <x:c r="A17" s="24" t="str">
        <x:v>EEZ_474</x:v>
      </x:c>
      <x:c r="B17" s="24" t="str">
        <x:v>Martinique (France)</x:v>
      </x:c>
      <x:c r="C17" s="24" t="str">
        <x:v>EEZ</x:v>
      </x:c>
      <x:c r="D17" s="30" t="n">
        <x:v>2019</x:v>
      </x:c>
      <x:c r="E17" s="24" t="str">
        <x:v>Bivalvia</x:v>
      </x:c>
      <x:c r="F17" s="24" t="str">
        <x:v>Clams</x:v>
      </x:c>
      <x:c r="G17" s="24" t="str">
        <x:v>Other demersal invertebrates</x:v>
      </x:c>
      <x:c r="H17" s="24" t="str">
        <x:v>Molluscs</x:v>
      </x:c>
      <x:c r="I17" s="31" t="n">
        <x:v>50</x:v>
      </x:c>
      <x:c r="J17" s="31" t="n">
        <x:v>50</x:v>
      </x:c>
      <x:c r="K17" s="31" t="n">
        <x:v>0</x:v>
      </x:c>
      <x:c r="L17" s="31" t="n">
        <x:v>50</x:v>
      </x:c>
      <x:c r="M17" s="31" t="n">
        <x:v>0</x:v>
      </x:c>
      <x:c r="N17" s="24" t="str">
        <x:v>bivalvia</x:v>
      </x:c>
      <x:c r="O17" s="32" t="n">
        <x:v>2.23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Bivalvia</x:v>
      </x:c>
      <x:c r="T17" s="32" t="n">
        <x:f>IF(O17="","",(1/'Metadata'!$B$5)^(O17-1))</x:f>
        <x:v>16.982436524617444</x:v>
      </x:c>
      <x:c r="U17" s="31" t="n">
        <x:f>IF(T17="","",I17*T17)</x:f>
        <x:v>849.1218262308722</x:v>
      </x:c>
    </x:row>
    <x:row r="18" ht="18" customHeight="1">
      <x:c r="A18" s="24" t="str">
        <x:v>EEZ_474</x:v>
      </x:c>
      <x:c r="B18" s="24" t="str">
        <x:v>Martinique (France)</x:v>
      </x:c>
      <x:c r="C18" s="24" t="str">
        <x:v>EEZ</x:v>
      </x:c>
      <x:c r="D18" s="30" t="n">
        <x:v>2019</x:v>
      </x:c>
      <x:c r="E18" s="24" t="str">
        <x:v>Mullidae</x:v>
      </x:c>
      <x:c r="F18" s="24" t="str">
        <x:v>Goatfishes</x:v>
      </x:c>
      <x:c r="G18" s="24" t="str">
        <x:v>Medium reef assoc. fish (30 - 89 cm)</x:v>
      </x:c>
      <x:c r="H18" s="24" t="str">
        <x:v>Perch-likes</x:v>
      </x:c>
      <x:c r="I18" s="31" t="n">
        <x:v>47.05604878</x:v>
      </x:c>
      <x:c r="J18" s="31" t="n">
        <x:v>47.05604878</x:v>
      </x:c>
      <x:c r="K18" s="31" t="n">
        <x:v>0</x:v>
      </x:c>
      <x:c r="L18" s="31" t="n">
        <x:v>0</x:v>
      </x:c>
      <x:c r="M18" s="31" t="n">
        <x:v>47.05604878</x:v>
      </x:c>
      <x:c r="N18" s="24" t="str">
        <x:v>mullidae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Mullidae</x:v>
      </x:c>
      <x:c r="T18" s="32" t="n">
        <x:f>IF(O18="","",(1/'Metadata'!$B$5)^(O18-1))</x:f>
        <x:v>288.40315031266056</x:v>
      </x:c>
      <x:c r="U18" s="31" t="n">
        <x:f>IF(T18="","",I18*T18)</x:f>
        <x:v>13571.112709418227</x:v>
      </x:c>
    </x:row>
    <x:row r="19" ht="18" customHeight="1">
      <x:c r="A19" s="24" t="str">
        <x:v>EEZ_474</x:v>
      </x:c>
      <x:c r="B19" s="24" t="str">
        <x:v>Martinique (France)</x:v>
      </x:c>
      <x:c r="C19" s="24" t="str">
        <x:v>EEZ</x:v>
      </x:c>
      <x:c r="D19" s="30" t="n">
        <x:v>2019</x:v>
      </x:c>
      <x:c r="E19" s="24" t="str">
        <x:v>Acanthuridae</x:v>
      </x:c>
      <x:c r="F19" s="24" t="str">
        <x:v>Surgeons, tangs, unicornfishes</x:v>
      </x:c>
      <x:c r="G19" s="24" t="str">
        <x:v>Small reef assoc. fish (&lt;30 cm)</x:v>
      </x:c>
      <x:c r="H19" s="24" t="str">
        <x:v>Perch-likes</x:v>
      </x:c>
      <x:c r="I19" s="31" t="n">
        <x:v>46.893401382</x:v>
      </x:c>
      <x:c r="J19" s="31" t="n">
        <x:v>46.893401382</x:v>
      </x:c>
      <x:c r="K19" s="31" t="n">
        <x:v>0</x:v>
      </x:c>
      <x:c r="L19" s="31" t="n">
        <x:v>2.078116832</x:v>
      </x:c>
      <x:c r="M19" s="31" t="n">
        <x:v>44.81528455</x:v>
      </x:c>
      <x:c r="N19" s="24" t="str">
        <x:v>acanthuridae</x:v>
      </x:c>
      <x:c r="O19" s="32" t="n">
        <x:v>2.28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Acanthuridae</x:v>
      </x:c>
      <x:c r="T19" s="32" t="n">
        <x:f>IF(O19="","",(1/'Metadata'!$B$5)^(O19-1))</x:f>
        <x:v>19.054607179632463</x:v>
      </x:c>
      <x:c r="U19" s="31" t="n">
        <x:f>IF(T19="","",I19*T19)</x:f>
        <x:v>893.5353426508441</x:v>
      </x:c>
    </x:row>
    <x:row r="20" ht="18" customHeight="1">
      <x:c r="A20" s="24" t="str">
        <x:v>EEZ_474</x:v>
      </x:c>
      <x:c r="B20" s="24" t="str">
        <x:v>Martinique (France)</x:v>
      </x:c>
      <x:c r="C20" s="24" t="str">
        <x:v>EEZ</x:v>
      </x:c>
      <x:c r="D20" s="30" t="n">
        <x:v>2019</x:v>
      </x:c>
      <x:c r="E20" s="24" t="str">
        <x:v>Panulirus argus</x:v>
      </x:c>
      <x:c r="F20" s="24" t="str">
        <x:v>Caribbean spiny lobster</x:v>
      </x:c>
      <x:c r="G20" s="24" t="str">
        <x:v>Lobsters, crabs</x:v>
      </x:c>
      <x:c r="H20" s="24" t="str">
        <x:v>Crustaceans</x:v>
      </x:c>
      <x:c r="I20" s="31" t="n">
        <x:v>35</x:v>
      </x:c>
      <x:c r="J20" s="31" t="n">
        <x:v>35</x:v>
      </x:c>
      <x:c r="K20" s="31" t="n">
        <x:v>0</x:v>
      </x:c>
      <x:c r="L20" s="31" t="n">
        <x:v>35</x:v>
      </x:c>
      <x:c r="M20" s="31" t="n">
        <x:v>0</x:v>
      </x:c>
      <x:c r="N20" s="24" t="str">
        <x:v>panulirus argus</x:v>
      </x:c>
      <x:c r="O20" s="32" t="n">
        <x:v>3.2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Panulirus argus</x:v>
      </x:c>
      <x:c r="T20" s="32" t="n">
        <x:f>IF(O20="","",(1/'Metadata'!$B$5)^(O20-1))</x:f>
        <x:v>158.48931924611142</x:v>
      </x:c>
      <x:c r="U20" s="31" t="n">
        <x:f>IF(T20="","",I20*T20)</x:f>
        <x:v>5547.1261736138995</x:v>
      </x:c>
    </x:row>
    <x:row r="21" ht="18" customHeight="1">
      <x:c r="A21" s="24" t="str">
        <x:v>EEZ_474</x:v>
      </x:c>
      <x:c r="B21" s="24" t="str">
        <x:v>Martinique (France)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31.91118449</x:v>
      </x:c>
      <x:c r="J21" s="31" t="n">
        <x:v>31.91118449</x:v>
      </x:c>
      <x:c r="K21" s="31" t="n">
        <x:v>0</x:v>
      </x:c>
      <x:c r="L21" s="31" t="n">
        <x:v>2.78124953</x:v>
      </x:c>
      <x:c r="M21" s="31" t="n">
        <x:v>29.12993496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1081.2918379916455</x:v>
      </x:c>
    </x:row>
    <x:row r="22" ht="18" customHeight="1">
      <x:c r="A22" s="24" t="str">
        <x:v>EEZ_474</x:v>
      </x:c>
      <x:c r="B22" s="24" t="str">
        <x:v>Martinique (France)</x:v>
      </x:c>
      <x:c r="C22" s="24" t="str">
        <x:v>EEZ</x:v>
      </x:c>
      <x:c r="D22" s="30" t="n">
        <x:v>2019</x:v>
      </x:c>
      <x:c r="E22" s="24" t="str">
        <x:v>Decapterus</x:v>
      </x:c>
      <x:c r="F22" s="24" t="str">
        <x:v>Scads</x:v>
      </x:c>
      <x:c r="G22" s="24" t="str">
        <x:v>Medium pelagics (30 - 89 cm)</x:v>
      </x:c>
      <x:c r="H22" s="24" t="str">
        <x:v>Perch-likes</x:v>
      </x:c>
      <x:c r="I22" s="31" t="n">
        <x:v>27.061895166</x:v>
      </x:c>
      <x:c r="J22" s="31" t="n">
        <x:v>27.061895166</x:v>
      </x:c>
      <x:c r="K22" s="31" t="n">
        <x:v>0</x:v>
      </x:c>
      <x:c r="L22" s="31" t="n">
        <x:v>27.061895166</x:v>
      </x:c>
      <x:c r="M22" s="31" t="n">
        <x:v>0</x:v>
      </x:c>
      <x:c r="N22" s="24" t="str">
        <x:v>decapterus</x:v>
      </x:c>
      <x:c r="O22" s="32" t="n">
        <x:v>3.63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Decapterus</x:v>
      </x:c>
      <x:c r="T22" s="32" t="n">
        <x:f>IF(O22="","",(1/'Metadata'!$B$5)^(O22-1))</x:f>
        <x:v>426.57951880159254</x:v>
      </x:c>
      <x:c r="U22" s="31" t="n">
        <x:f>IF(T22="","",I22*T22)</x:f>
        <x:v>11544.050217771422</x:v>
      </x:c>
    </x:row>
    <x:row r="23" ht="18" customHeight="1">
      <x:c r="A23" s="24" t="str">
        <x:v>EEZ_474</x:v>
      </x:c>
      <x:c r="B23" s="24" t="str">
        <x:v>Martinique (France)</x:v>
      </x:c>
      <x:c r="C23" s="24" t="str">
        <x:v>EEZ</x:v>
      </x:c>
      <x:c r="D23" s="30" t="n">
        <x:v>2019</x:v>
      </x:c>
      <x:c r="E23" s="24" t="str">
        <x:v>Cephalopoda</x:v>
      </x:c>
      <x:c r="F23" s="24" t="str">
        <x:v>Squids, cuttlefishes, octopuses</x:v>
      </x:c>
      <x:c r="G23" s="24" t="str">
        <x:v>Cephalopods</x:v>
      </x:c>
      <x:c r="H23" s="24" t="str">
        <x:v>Other fishes &amp; inverts</x:v>
      </x:c>
      <x:c r="I23" s="31" t="n">
        <x:v>26.88917074</x:v>
      </x:c>
      <x:c r="J23" s="31" t="n">
        <x:v>26.88917074</x:v>
      </x:c>
      <x:c r="K23" s="31" t="n">
        <x:v>0</x:v>
      </x:c>
      <x:c r="L23" s="31" t="n">
        <x:v>0</x:v>
      </x:c>
      <x:c r="M23" s="31" t="n">
        <x:v>26.88917074</x:v>
      </x:c>
      <x:c r="N23" s="24" t="str">
        <x:v>cephalopoda</x:v>
      </x:c>
      <x:c r="O23" s="32" t="n">
        <x:v>3.81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Cephalopoda</x:v>
      </x:c>
      <x:c r="T23" s="32" t="n">
        <x:f>IF(O23="","",(1/'Metadata'!$B$5)^(O23-1))</x:f>
        <x:v>645.6542290346556</x:v>
      </x:c>
      <x:c r="U23" s="31" t="n">
        <x:f>IF(T23="","",I23*T23)</x:f>
        <x:v>17361.10680351592</x:v>
      </x:c>
    </x:row>
    <x:row r="24" ht="18" customHeight="1">
      <x:c r="A24" s="24" t="str">
        <x:v>EEZ_474</x:v>
      </x:c>
      <x:c r="B24" s="24" t="str">
        <x:v>Martinique (France)</x:v>
      </x:c>
      <x:c r="C24" s="24" t="str">
        <x:v>EEZ</x:v>
      </x:c>
      <x:c r="D24" s="30" t="n">
        <x:v>2019</x:v>
      </x:c>
      <x:c r="E24" s="24" t="str">
        <x:v>Gastropoda</x:v>
      </x:c>
      <x:c r="F24" s="24" t="str">
        <x:v>Sea snails</x:v>
      </x:c>
      <x:c r="G24" s="24" t="str">
        <x:v>Other demersal invertebrates</x:v>
      </x:c>
      <x:c r="H24" s="24" t="str">
        <x:v>Molluscs</x:v>
      </x:c>
      <x:c r="I24" s="31" t="n">
        <x:v>22.40764228</x:v>
      </x:c>
      <x:c r="J24" s="31" t="n">
        <x:v>22.40764228</x:v>
      </x:c>
      <x:c r="K24" s="31" t="n">
        <x:v>0</x:v>
      </x:c>
      <x:c r="L24" s="31" t="n">
        <x:v>0</x:v>
      </x:c>
      <x:c r="M24" s="31" t="n">
        <x:v>22.40764228</x:v>
      </x:c>
      <x:c r="N24" s="24" t="str">
        <x:v>gastropoda</x:v>
      </x:c>
      <x:c r="O24" s="32" t="n">
        <x:v>3.06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Gastropoda</x:v>
      </x:c>
      <x:c r="T24" s="32" t="n">
        <x:f>IF(O24="","",(1/'Metadata'!$B$5)^(O24-1))</x:f>
        <x:v>114.81536214968828</x:v>
      </x:c>
      <x:c r="U24" s="31" t="n">
        <x:f>IF(T24="","",I24*T24)</x:f>
        <x:v>2572.741563298867</x:v>
      </x:c>
    </x:row>
    <x:row r="25" ht="18" customHeight="1">
      <x:c r="A25" s="24" t="str">
        <x:v>EEZ_474</x:v>
      </x:c>
      <x:c r="B25" s="24" t="str">
        <x:v>Martinique (France)</x:v>
      </x:c>
      <x:c r="C25" s="24" t="str">
        <x:v>EEZ</x:v>
      </x:c>
      <x:c r="D25" s="30" t="n">
        <x:v>2019</x:v>
      </x:c>
      <x:c r="E25" s="24" t="str">
        <x:v>Priacanthidae</x:v>
      </x:c>
      <x:c r="F25" s="24" t="str">
        <x:v>Bigeyes, catalufas</x:v>
      </x:c>
      <x:c r="G25" s="24" t="str">
        <x:v>Medium reef assoc. fish (30 - 89 cm)</x:v>
      </x:c>
      <x:c r="H25" s="24" t="str">
        <x:v>Perch-likes</x:v>
      </x:c>
      <x:c r="I25" s="31" t="n">
        <x:v>21.518501</x:v>
      </x:c>
      <x:c r="J25" s="31" t="n">
        <x:v>21.518501</x:v>
      </x:c>
      <x:c r="K25" s="31" t="n">
        <x:v>0</x:v>
      </x:c>
      <x:c r="L25" s="31" t="n">
        <x:v>0.23124084</x:v>
      </x:c>
      <x:c r="M25" s="31" t="n">
        <x:v>21.28726016</x:v>
      </x:c>
      <x:c r="N25" s="24" t="str">
        <x:v>priacanthidae</x:v>
      </x:c>
      <x:c r="O25" s="32" t="n">
        <x:v>3.79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Priacanthidae</x:v>
      </x:c>
      <x:c r="T25" s="32" t="n">
        <x:f>IF(O25="","",(1/'Metadata'!$B$5)^(O25-1))</x:f>
        <x:v>616.5950018614822</x:v>
      </x:c>
      <x:c r="U25" s="31" t="n">
        <x:f>IF(T25="","",I25*T25)</x:f>
        <x:v>13268.200164151305</x:v>
      </x:c>
    </x:row>
    <x:row r="26" ht="18" customHeight="1">
      <x:c r="A26" s="24" t="str">
        <x:v>EEZ_474</x:v>
      </x:c>
      <x:c r="B26" s="24" t="str">
        <x:v>Martinique (France)</x:v>
      </x:c>
      <x:c r="C26" s="24" t="str">
        <x:v>EEZ</x:v>
      </x:c>
      <x:c r="D26" s="30" t="n">
        <x:v>2019</x:v>
      </x:c>
      <x:c r="E26" s="24" t="str">
        <x:v>Decapoda</x:v>
      </x:c>
      <x:c r="F26" s="24" t="str">
        <x:v>Crabs, lobsters, shrimps</x:v>
      </x:c>
      <x:c r="G26" s="24" t="str">
        <x:v>Lobsters, crabs</x:v>
      </x:c>
      <x:c r="H26" s="24" t="str">
        <x:v>Crustaceans</x:v>
      </x:c>
      <x:c r="I26" s="31" t="n">
        <x:v>19.04649594</x:v>
      </x:c>
      <x:c r="J26" s="31" t="n">
        <x:v>19.04649594</x:v>
      </x:c>
      <x:c r="K26" s="31" t="n">
        <x:v>0</x:v>
      </x:c>
      <x:c r="L26" s="31" t="n">
        <x:v>0</x:v>
      </x:c>
      <x:c r="M26" s="31" t="n">
        <x:v>19.04649594</x:v>
      </x:c>
      <x:c r="N26" s="24" t="str">
        <x:v>decapoda</x:v>
      </x:c>
      <x:c r="O26" s="32" t="n">
        <x:v>3.43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Decapoda</x:v>
      </x:c>
      <x:c r="T26" s="32" t="n">
        <x:f>IF(O26="","",(1/'Metadata'!$B$5)^(O26-1))</x:f>
        <x:v>269.1534803926917</x:v>
      </x:c>
      <x:c r="U26" s="31" t="n">
        <x:f>IF(T26="","",I26*T26)</x:f>
        <x:v>5126.430671536272</x:v>
      </x:c>
    </x:row>
    <x:row r="27" ht="18" customHeight="1">
      <x:c r="A27" s="24" t="str">
        <x:v>EEZ_474</x:v>
      </x:c>
      <x:c r="B27" s="24" t="str">
        <x:v>Martinique (France)</x:v>
      </x:c>
      <x:c r="C27" s="24" t="str">
        <x:v>EEZ</x:v>
      </x:c>
      <x:c r="D27" s="30" t="n">
        <x:v>2019</x:v>
      </x:c>
      <x:c r="E27" s="24" t="str">
        <x:v>Echinozoa</x:v>
      </x:c>
      <x:c r="F27" s="24" t="str">
        <x:v>Sea urchins and sea cucumbers</x:v>
      </x:c>
      <x:c r="G27" s="24" t="str">
        <x:v>Other demersal invertebrates</x:v>
      </x:c>
      <x:c r="H27" s="24" t="str">
        <x:v>Other fishes &amp; inverts</x:v>
      </x:c>
      <x:c r="I27" s="31" t="n">
        <x:v>17.92611382</x:v>
      </x:c>
      <x:c r="J27" s="31" t="n">
        <x:v>17.92611382</x:v>
      </x:c>
      <x:c r="K27" s="31" t="n">
        <x:v>0</x:v>
      </x:c>
      <x:c r="L27" s="31" t="n">
        <x:v>0</x:v>
      </x:c>
      <x:c r="M27" s="31" t="n">
        <x:v>17.92611382</x:v>
      </x:c>
      <x:c r="N27" s="24" t="str">
        <x:v>echinozoa</x:v>
      </x:c>
      <x:c r="O27" s="32" t="n">
        <x:v>2.3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Echinozoa</x:v>
      </x:c>
      <x:c r="T27" s="32" t="n">
        <x:f>IF(O27="","",(1/'Metadata'!$B$5)^(O27-1))</x:f>
        <x:v>19.952623149688787</x:v>
      </x:c>
      <x:c r="U27" s="31" t="n">
        <x:f>IF(T27="","",I27*T27)</x:f>
        <x:v>357.6729935888881</x:v>
      </x:c>
    </x:row>
    <x:row r="28" ht="18" customHeight="1">
      <x:c r="A28" s="24" t="str">
        <x:v>EEZ_474</x:v>
      </x:c>
      <x:c r="B28" s="24" t="str">
        <x:v>Martinique (France)</x:v>
      </x:c>
      <x:c r="C28" s="24" t="str">
        <x:v>EEZ</x:v>
      </x:c>
      <x:c r="D28" s="30" t="n">
        <x:v>2019</x:v>
      </x:c>
      <x:c r="E28" s="24" t="str">
        <x:v>Monacanthidae</x:v>
      </x:c>
      <x:c r="F28" s="24" t="str">
        <x:v>Filefishes</x:v>
      </x:c>
      <x:c r="G28" s="24" t="str">
        <x:v>Medium reef assoc. fish (30 - 89 cm)</x:v>
      </x:c>
      <x:c r="H28" s="24" t="str">
        <x:v>Other fishes &amp; inverts</x:v>
      </x:c>
      <x:c r="I28" s="31" t="n">
        <x:v>12.670490187</x:v>
      </x:c>
      <x:c r="J28" s="31" t="n">
        <x:v>12.670490187</x:v>
      </x:c>
      <x:c r="K28" s="31" t="n">
        <x:v>0</x:v>
      </x:c>
      <x:c r="L28" s="31" t="n">
        <x:v>12.670490187</x:v>
      </x:c>
      <x:c r="M28" s="31" t="n">
        <x:v>0</x:v>
      </x:c>
      <x:c r="N28" s="24" t="str">
        <x:v>monacanthidae</x:v>
      </x:c>
      <x:c r="O28" s="32" t="n">
        <x:v>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Monacanthidae</x:v>
      </x:c>
      <x:c r="T28" s="32" t="n">
        <x:f>IF(O28="","",(1/'Metadata'!$B$5)^(O28-1))</x:f>
        <x:v>100</x:v>
      </x:c>
      <x:c r="U28" s="31" t="n">
        <x:f>IF(T28="","",I28*T28)</x:f>
        <x:v>1267.0490187</x:v>
      </x:c>
    </x:row>
    <x:row r="29" ht="18" customHeight="1">
      <x:c r="A29" s="24" t="str">
        <x:v>EEZ_474</x:v>
      </x:c>
      <x:c r="B29" s="24" t="str">
        <x:v>Martinique (France)</x:v>
      </x:c>
      <x:c r="C29" s="24" t="str">
        <x:v>EEZ</x:v>
      </x:c>
      <x:c r="D29" s="30" t="n">
        <x:v>2019</x:v>
      </x:c>
      <x:c r="E29" s="24" t="str">
        <x:v>Scomberomorus</x:v>
      </x:c>
      <x:c r="F29" s="24" t="str">
        <x:v>Spanish mackerels</x:v>
      </x:c>
      <x:c r="G29" s="24" t="str">
        <x:v>Large pelagics (&gt;=90 cm)</x:v>
      </x:c>
      <x:c r="H29" s="24" t="str">
        <x:v>Perch-likes</x:v>
      </x:c>
      <x:c r="I29" s="31" t="n">
        <x:v>9.571574338</x:v>
      </x:c>
      <x:c r="J29" s="31" t="n">
        <x:v>9.571574338</x:v>
      </x:c>
      <x:c r="K29" s="31" t="n">
        <x:v>0</x:v>
      </x:c>
      <x:c r="L29" s="31" t="n">
        <x:v>9.571574338</x:v>
      </x:c>
      <x:c r="M29" s="31" t="n">
        <x:v>0</x:v>
      </x:c>
      <x:c r="N29" s="24" t="str">
        <x:v>scomberomorus</x:v>
      </x:c>
      <x:c r="O29" s="32" t="n">
        <x:v>4.35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Scomberomorus</x:v>
      </x:c>
      <x:c r="T29" s="32" t="n">
        <x:f>IF(O29="","",(1/'Metadata'!$B$5)^(O29-1))</x:f>
        <x:v>2238.7211385683377</x:v>
      </x:c>
      <x:c r="U29" s="31" t="n">
        <x:f>IF(T29="","",I29*T29)</x:f>
        <x:v>21428.085799858844</x:v>
      </x:c>
    </x:row>
    <x:row r="30" ht="18" customHeight="1">
      <x:c r="A30" s="24" t="str">
        <x:v>EEZ_474</x:v>
      </x:c>
      <x:c r="B30" s="24" t="str">
        <x:v>Martinique (France)</x:v>
      </x:c>
      <x:c r="C30" s="24" t="str">
        <x:v>EEZ</x:v>
      </x:c>
      <x:c r="D30" s="30" t="n">
        <x:v>2019</x:v>
      </x:c>
      <x:c r="E30" s="24" t="str">
        <x:v>Thunnus atlanticus</x:v>
      </x:c>
      <x:c r="F30" s="24" t="str">
        <x:v>Blackfin tuna</x:v>
      </x:c>
      <x:c r="G30" s="24" t="str">
        <x:v>Large pelagics (&gt;=90 cm)</x:v>
      </x:c>
      <x:c r="H30" s="24" t="str">
        <x:v>Tuna &amp; billfishes</x:v>
      </x:c>
      <x:c r="I30" s="31" t="n">
        <x:v>7.92651363</x:v>
      </x:c>
      <x:c r="J30" s="31" t="n">
        <x:v>7.92651363</x:v>
      </x:c>
      <x:c r="K30" s="31" t="n">
        <x:v>0</x:v>
      </x:c>
      <x:c r="L30" s="31" t="n">
        <x:v>7.92651363</x:v>
      </x:c>
      <x:c r="M30" s="31" t="n">
        <x:v>0</x:v>
      </x:c>
      <x:c r="N30" s="24" t="str">
        <x:v>thunnus atlanticus</x:v>
      </x:c>
      <x:c r="O30" s="32" t="n">
        <x:v>4.35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atlanticus</x:v>
      </x:c>
      <x:c r="T30" s="32" t="n">
        <x:f>IF(O30="","",(1/'Metadata'!$B$5)^(O30-1))</x:f>
        <x:v>2238.7211385683377</x:v>
      </x:c>
      <x:c r="U30" s="31" t="n">
        <x:f>IF(T30="","",I30*T30)</x:f>
        <x:v>17745.253618631046</x:v>
      </x:c>
    </x:row>
    <x:row r="31" ht="18" customHeight="1">
      <x:c r="A31" s="24" t="str">
        <x:v>EEZ_474</x:v>
      </x:c>
      <x:c r="B31" s="24" t="str">
        <x:v>Martinique (France)</x:v>
      </x:c>
      <x:c r="C31" s="24" t="str">
        <x:v>EEZ</x:v>
      </x:c>
      <x:c r="D31" s="30" t="n">
        <x:v>2019</x:v>
      </x:c>
      <x:c r="E31" s="24" t="str">
        <x:v>Hemiramphidae</x:v>
      </x:c>
      <x:c r="F31" s="24" t="str">
        <x:v>Halfbeaks, garfishes</x:v>
      </x:c>
      <x:c r="G31" s="24" t="str">
        <x:v>Medium pelagics (30 - 89 cm)</x:v>
      </x:c>
      <x:c r="H31" s="24" t="str">
        <x:v>Other fishes &amp; inverts</x:v>
      </x:c>
      <x:c r="I31" s="31" t="n">
        <x:v>7.655708863</x:v>
      </x:c>
      <x:c r="J31" s="31" t="n">
        <x:v>7.655708863</x:v>
      </x:c>
      <x:c r="K31" s="31" t="n">
        <x:v>0</x:v>
      </x:c>
      <x:c r="L31" s="31" t="n">
        <x:v>7.655708863</x:v>
      </x:c>
      <x:c r="M31" s="31" t="n">
        <x:v>0</x:v>
      </x:c>
      <x:c r="N31" s="24" t="str">
        <x:v>hemiramphidae</x:v>
      </x:c>
      <x:c r="O31" s="32" t="n">
        <x:v>2.82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Hemiramphidae</x:v>
      </x:c>
      <x:c r="T31" s="32" t="n">
        <x:f>IF(O31="","",(1/'Metadata'!$B$5)^(O31-1))</x:f>
        <x:v>66.06934480075958</x:v>
      </x:c>
      <x:c r="U31" s="31" t="n">
        <x:f>IF(T31="","",I31*T31)</x:f>
        <x:v>505.8076685637781</x:v>
      </x:c>
    </x:row>
    <x:row r="32" ht="18" customHeight="1">
      <x:c r="A32" s="24" t="str">
        <x:v>EEZ_474</x:v>
      </x:c>
      <x:c r="B32" s="24" t="str">
        <x:v>Martinique (France)</x:v>
      </x:c>
      <x:c r="C32" s="24" t="str">
        <x:v>EEZ</x:v>
      </x:c>
      <x:c r="D32" s="30" t="n">
        <x:v>2019</x:v>
      </x:c>
      <x:c r="E32" s="24" t="str">
        <x:v>Sphyraenidae</x:v>
      </x:c>
      <x:c r="F32" s="24" t="str">
        <x:v>Barracudas</x:v>
      </x:c>
      <x:c r="G32" s="24" t="str">
        <x:v>Medium reef assoc. fish (30 - 89 cm)</x:v>
      </x:c>
      <x:c r="H32" s="24" t="str">
        <x:v>Perch-likes</x:v>
      </x:c>
      <x:c r="I32" s="31" t="n">
        <x:v>6.9339422200000005</x:v>
      </x:c>
      <x:c r="J32" s="31" t="n">
        <x:v>6.9339422200000005</x:v>
      </x:c>
      <x:c r="K32" s="31" t="n">
        <x:v>0</x:v>
      </x:c>
      <x:c r="L32" s="31" t="n">
        <x:v>1.33203165</x:v>
      </x:c>
      <x:c r="M32" s="31" t="n">
        <x:v>5.60191057</x:v>
      </x:c>
      <x:c r="N32" s="24" t="str">
        <x:v>sphyraenidae</x:v>
      </x:c>
      <x:c r="O32" s="32" t="n">
        <x:v>4.4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Sphyraenidae</x:v>
      </x:c>
      <x:c r="T32" s="32" t="n">
        <x:f>IF(O32="","",(1/'Metadata'!$B$5)^(O32-1))</x:f>
        <x:v>2511.886431509582</x:v>
      </x:c>
      <x:c r="U32" s="31" t="n">
        <x:f>IF(T32="","",I32*T32)</x:f>
        <x:v>17417.27537928943</x:v>
      </x:c>
    </x:row>
    <x:row r="33" ht="18" customHeight="1">
      <x:c r="A33" s="24" t="str">
        <x:v>EEZ_474</x:v>
      </x:c>
      <x:c r="B33" s="24" t="str">
        <x:v>Martinique (France)</x:v>
      </x:c>
      <x:c r="C33" s="24" t="str">
        <x:v>EEZ</x:v>
      </x:c>
      <x:c r="D33" s="30" t="n">
        <x:v>2019</x:v>
      </x:c>
      <x:c r="E33" s="24" t="str">
        <x:v>Lutjanus</x:v>
      </x:c>
      <x:c r="F33" s="24" t="str">
        <x:v>Snappers</x:v>
      </x:c>
      <x:c r="G33" s="24" t="str">
        <x:v>Medium reef assoc. fish (30 - 89 cm)</x:v>
      </x:c>
      <x:c r="H33" s="24" t="str">
        <x:v>Perch-likes</x:v>
      </x:c>
      <x:c r="I33" s="31" t="n">
        <x:v>6.564553532</x:v>
      </x:c>
      <x:c r="J33" s="31" t="n">
        <x:v>6.564553532</x:v>
      </x:c>
      <x:c r="K33" s="31" t="n">
        <x:v>0</x:v>
      </x:c>
      <x:c r="L33" s="31" t="n">
        <x:v>6.564553532</x:v>
      </x:c>
      <x:c r="M33" s="31" t="n">
        <x:v>0</x:v>
      </x:c>
      <x:c r="N33" s="24" t="str">
        <x:v>lutjanus</x:v>
      </x:c>
      <x:c r="O33" s="32" t="n">
        <x:v>4.02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Lutjanus</x:v>
      </x:c>
      <x:c r="T33" s="32" t="n">
        <x:f>IF(O33="","",(1/'Metadata'!$B$5)^(O33-1))</x:f>
        <x:v>1047.1285480508984</x:v>
      </x:c>
      <x:c r="U33" s="31" t="n">
        <x:f>IF(T33="","",I33*T33)</x:f>
        <x:v>6873.931408565557</x:v>
      </x:c>
    </x:row>
    <x:row r="34" ht="18" customHeight="1">
      <x:c r="A34" s="24" t="str">
        <x:v>EEZ_474</x:v>
      </x:c>
      <x:c r="B34" s="24" t="str">
        <x:v>Martinique (France)</x:v>
      </x:c>
      <x:c r="C34" s="24" t="str">
        <x:v>EEZ</x:v>
      </x:c>
      <x:c r="D34" s="30" t="n">
        <x:v>2019</x:v>
      </x:c>
      <x:c r="E34" s="24" t="str">
        <x:v>Acanthocybium solandri</x:v>
      </x:c>
      <x:c r="F34" s="24" t="str">
        <x:v>Wahoo</x:v>
      </x:c>
      <x:c r="G34" s="24" t="str">
        <x:v>Large pelagics (&gt;=90 cm)</x:v>
      </x:c>
      <x:c r="H34" s="24" t="str">
        <x:v>Perch-likes</x:v>
      </x:c>
      <x:c r="I34" s="31" t="n">
        <x:v>6.165188408</x:v>
      </x:c>
      <x:c r="J34" s="31" t="n">
        <x:v>6.165188408</x:v>
      </x:c>
      <x:c r="K34" s="31" t="n">
        <x:v>0</x:v>
      </x:c>
      <x:c r="L34" s="31" t="n">
        <x:v>6.165188408</x:v>
      </x:c>
      <x:c r="M34" s="31" t="n">
        <x:v>0</x:v>
      </x:c>
      <x:c r="N34" s="24" t="str">
        <x:v>acanthocybium solandri</x:v>
      </x:c>
      <x:c r="O34" s="32" t="n">
        <x:v>4.26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Acanthocybium solandri</x:v>
      </x:c>
      <x:c r="T34" s="32" t="n">
        <x:f>IF(O34="","",(1/'Metadata'!$B$5)^(O34-1))</x:f>
        <x:v>1819.7008586099826</x:v>
      </x:c>
      <x:c r="U34" s="31" t="n">
        <x:f>IF(T34="","",I34*T34)</x:f>
        <x:v>11218.79863952991</x:v>
      </x:c>
    </x:row>
    <x:row r="35" ht="18" customHeight="1">
      <x:c r="A35" s="24" t="str">
        <x:v>EEZ_474</x:v>
      </x:c>
      <x:c r="B35" s="24" t="str">
        <x:v>Martinique (France)</x:v>
      </x:c>
      <x:c r="C35" s="24" t="str">
        <x:v>EEZ</x:v>
      </x:c>
      <x:c r="D35" s="30" t="n">
        <x:v>2019</x:v>
      </x:c>
      <x:c r="E35" s="24" t="str">
        <x:v>Decapterus macarellus</x:v>
      </x:c>
      <x:c r="F35" s="24" t="str">
        <x:v>Mackerel scad</x:v>
      </x:c>
      <x:c r="G35" s="24" t="str">
        <x:v>Medium pelagics (30 - 89 cm)</x:v>
      </x:c>
      <x:c r="H35" s="24" t="str">
        <x:v>Perch-likes</x:v>
      </x:c>
      <x:c r="I35" s="31" t="n">
        <x:v>5.752061313</x:v>
      </x:c>
      <x:c r="J35" s="31" t="n">
        <x:v>5.752061313</x:v>
      </x:c>
      <x:c r="K35" s="31" t="n">
        <x:v>0</x:v>
      </x:c>
      <x:c r="L35" s="31" t="n">
        <x:v>5.752061313</x:v>
      </x:c>
      <x:c r="M35" s="31" t="n">
        <x:v>0</x:v>
      </x:c>
      <x:c r="N35" s="24" t="str">
        <x:v>decapterus macarellus</x:v>
      </x:c>
      <x:c r="O35" s="32" t="n">
        <x:v>3.96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Decapterus macarellus</x:v>
      </x:c>
      <x:c r="T35" s="32" t="n">
        <x:f>IF(O35="","",(1/'Metadata'!$B$5)^(O35-1))</x:f>
        <x:v>912.0108393559096</x:v>
      </x:c>
      <x:c r="U35" s="31" t="n">
        <x:f>IF(T35="","",I35*T35)</x:f>
        <x:v>5245.942266095785</x:v>
      </x:c>
    </x:row>
    <x:row r="36" ht="18" customHeight="1">
      <x:c r="A36" s="24" t="str">
        <x:v>EEZ_474</x:v>
      </x:c>
      <x:c r="B36" s="24" t="str">
        <x:v>Martinique (France)</x:v>
      </x:c>
      <x:c r="C36" s="24" t="str">
        <x:v>EEZ</x:v>
      </x:c>
      <x:c r="D36" s="30" t="n">
        <x:v>2019</x:v>
      </x:c>
      <x:c r="E36" s="24" t="str">
        <x:v>Scombridae</x:v>
      </x:c>
      <x:c r="F36" s="24" t="str">
        <x:v>Mackerels, tunas, bonitos</x:v>
      </x:c>
      <x:c r="G36" s="24" t="str">
        <x:v>Medium pelagics (30 - 89 cm)</x:v>
      </x:c>
      <x:c r="H36" s="24" t="str">
        <x:v>Perch-likes</x:v>
      </x:c>
      <x:c r="I36" s="31" t="n">
        <x:v>4.7639220056</x:v>
      </x:c>
      <x:c r="J36" s="31" t="n">
        <x:v>4.7639220056</x:v>
      </x:c>
      <x:c r="K36" s="31" t="n">
        <x:v>0</x:v>
      </x:c>
      <x:c r="L36" s="31" t="n">
        <x:v>4.7639220056</x:v>
      </x:c>
      <x:c r="M36" s="31" t="n">
        <x:v>0</x:v>
      </x:c>
      <x:c r="N36" s="24" t="str">
        <x:v>scombridae</x:v>
      </x:c>
      <x:c r="O36" s="32" t="n">
        <x:v>4.26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Scombridae</x:v>
      </x:c>
      <x:c r="T36" s="32" t="n">
        <x:f>IF(O36="","",(1/'Metadata'!$B$5)^(O36-1))</x:f>
        <x:v>1819.7008586099826</x:v>
      </x:c>
      <x:c r="U36" s="31" t="n">
        <x:f>IF(T36="","",I36*T36)</x:f>
        <x:v>8668.91296394131</x:v>
      </x:c>
    </x:row>
    <x:row r="37" ht="18" customHeight="1">
      <x:c r="A37" s="24" t="str">
        <x:v>EEZ_474</x:v>
      </x:c>
      <x:c r="B37" s="24" t="str">
        <x:v>Martinique (France)</x:v>
      </x:c>
      <x:c r="C37" s="24" t="str">
        <x:v>EEZ</x:v>
      </x:c>
      <x:c r="D37" s="30" t="n">
        <x:v>2019</x:v>
      </x:c>
      <x:c r="E37" s="24" t="str">
        <x:v>Istiophorus albicans</x:v>
      </x:c>
      <x:c r="F37" s="24" t="str">
        <x:v>Atlantic sailfish</x:v>
      </x:c>
      <x:c r="G37" s="24" t="str">
        <x:v>Large pelagics (&gt;=90 cm)</x:v>
      </x:c>
      <x:c r="H37" s="24" t="str">
        <x:v>Tuna &amp; billfishes</x:v>
      </x:c>
      <x:c r="I37" s="31" t="n">
        <x:v>4</x:v>
      </x:c>
      <x:c r="J37" s="31" t="n">
        <x:v>4</x:v>
      </x:c>
      <x:c r="K37" s="31" t="n">
        <x:v>0</x:v>
      </x:c>
      <x:c r="L37" s="31" t="n">
        <x:v>4</x:v>
      </x:c>
      <x:c r="M37" s="31" t="n">
        <x:v>0</x:v>
      </x:c>
      <x:c r="N37" s="24" t="str">
        <x:v>istiophorus albicans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Istiophorus albicans</x:v>
      </x:c>
      <x:c r="T37" s="32" t="n">
        <x:f>IF(O37="","",(1/'Metadata'!$B$5)^(O37-1))</x:f>
        <x:v>3162.2776601683795</x:v>
      </x:c>
      <x:c r="U37" s="31" t="n">
        <x:f>IF(T37="","",I37*T37)</x:f>
        <x:v>12649.110640673518</x:v>
      </x:c>
    </x:row>
    <x:row r="38" ht="18" customHeight="1">
      <x:c r="A38" s="24" t="str">
        <x:v>EEZ_474</x:v>
      </x:c>
      <x:c r="B38" s="24" t="str">
        <x:v>Martinique (France)</x:v>
      </x:c>
      <x:c r="C38" s="24" t="str">
        <x:v>EEZ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4</x:v>
      </x:c>
      <x:c r="J38" s="31" t="n">
        <x:v>4</x:v>
      </x:c>
      <x:c r="K38" s="31" t="n">
        <x:v>0</x:v>
      </x:c>
      <x:c r="L38" s="31" t="n">
        <x:v>4</x:v>
      </x:c>
      <x:c r="M38" s="31" t="n">
        <x:v>0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4488.073817207852</x:v>
      </x:c>
    </x:row>
    <x:row r="39" ht="18" customHeight="1">
      <x:c r="A39" s="24" t="str">
        <x:v>EEZ_474</x:v>
      </x:c>
      <x:c r="B39" s="24" t="str">
        <x:v>Martinique (France)</x:v>
      </x:c>
      <x:c r="C39" s="24" t="str">
        <x:v>EEZ</x:v>
      </x:c>
      <x:c r="D39" s="30" t="n">
        <x:v>2019</x:v>
      </x:c>
      <x:c r="E39" s="24" t="str">
        <x:v>Panulirus</x:v>
      </x:c>
      <x:c r="F39" s="24" t="str">
        <x:v>Spiny lobsters</x:v>
      </x:c>
      <x:c r="G39" s="24" t="str">
        <x:v>Lobsters, crabs</x:v>
      </x:c>
      <x:c r="H39" s="24" t="str">
        <x:v>Crustaceans</x:v>
      </x:c>
      <x:c r="I39" s="31" t="n">
        <x:v>2.447339956</x:v>
      </x:c>
      <x:c r="J39" s="31" t="n">
        <x:v>2.447339956</x:v>
      </x:c>
      <x:c r="K39" s="31" t="n">
        <x:v>0</x:v>
      </x:c>
      <x:c r="L39" s="31" t="n">
        <x:v>2.447339956</x:v>
      </x:c>
      <x:c r="M39" s="31" t="n">
        <x:v>0</x:v>
      </x:c>
      <x:c r="N39" s="24" t="str">
        <x:v>panulirus</x:v>
      </x:c>
      <x:c r="O39" s="32" t="n">
        <x:v>2.6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Panulirus</x:v>
      </x:c>
      <x:c r="T39" s="32" t="n">
        <x:f>IF(O39="","",(1/'Metadata'!$B$5)^(O39-1))</x:f>
        <x:v>39.810717055349734</x:v>
      </x:c>
      <x:c r="U39" s="31" t="n">
        <x:f>IF(T39="","",I39*T39)</x:f>
        <x:v>97.43035852656807</x:v>
      </x:c>
    </x:row>
    <x:row r="40" ht="18" customHeight="1">
      <x:c r="A40" s="24" t="str">
        <x:v>EEZ_474</x:v>
      </x:c>
      <x:c r="B40" s="24" t="str">
        <x:v>Martinique (France)</x:v>
      </x:c>
      <x:c r="C40" s="24" t="str">
        <x:v>EEZ</x:v>
      </x:c>
      <x:c r="D40" s="30" t="n">
        <x:v>2019</x:v>
      </x:c>
      <x:c r="E40" s="24" t="str">
        <x:v>Muraenidae</x:v>
      </x:c>
      <x:c r="F40" s="24" t="str">
        <x:v>Moray eels</x:v>
      </x:c>
      <x:c r="G40" s="24" t="str">
        <x:v>Large reef assoc. fish (&gt;=90 cm)</x:v>
      </x:c>
      <x:c r="H40" s="24" t="str">
        <x:v>Other fishes &amp; inverts</x:v>
      </x:c>
      <x:c r="I40" s="31" t="n">
        <x:v>2.389207984</x:v>
      </x:c>
      <x:c r="J40" s="31" t="n">
        <x:v>2.389207984</x:v>
      </x:c>
      <x:c r="K40" s="31" t="n">
        <x:v>0</x:v>
      </x:c>
      <x:c r="L40" s="31" t="n">
        <x:v>2.389207984</x:v>
      </x:c>
      <x:c r="M40" s="31" t="n">
        <x:v>0</x:v>
      </x:c>
      <x:c r="N40" s="24" t="str">
        <x:v>muraenidae</x:v>
      </x:c>
      <x:c r="O40" s="32" t="n">
        <x:v>4.07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Muraenidae</x:v>
      </x:c>
      <x:c r="T40" s="32" t="n">
        <x:f>IF(O40="","",(1/'Metadata'!$B$5)^(O40-1))</x:f>
        <x:v>1174.8975549395302</x:v>
      </x:c>
      <x:c r="U40" s="31" t="n">
        <x:f>IF(T40="","",I40*T40)</x:f>
        <x:v>2807.074618643604</x:v>
      </x:c>
    </x:row>
    <x:row r="41" ht="18" customHeight="1">
      <x:c r="A41" s="24" t="str">
        <x:v>EEZ_474</x:v>
      </x:c>
      <x:c r="B41" s="24" t="str">
        <x:v>Martinique (France)</x:v>
      </x:c>
      <x:c r="C41" s="24" t="str">
        <x:v>EEZ</x:v>
      </x:c>
      <x:c r="D41" s="30" t="n">
        <x:v>2019</x:v>
      </x:c>
      <x:c r="E41" s="24" t="str">
        <x:v>Octopoda</x:v>
      </x:c>
      <x:c r="F41" s="24" t="str">
        <x:v>Octopuses, argonauts</x:v>
      </x:c>
      <x:c r="G41" s="24" t="str">
        <x:v>Cephalopods</x:v>
      </x:c>
      <x:c r="H41" s="24" t="str">
        <x:v>Other fishes &amp; inverts</x:v>
      </x:c>
      <x:c r="I41" s="31" t="n">
        <x:v>2.238678918</x:v>
      </x:c>
      <x:c r="J41" s="31" t="n">
        <x:v>2.238678918</x:v>
      </x:c>
      <x:c r="K41" s="31" t="n">
        <x:v>0</x:v>
      </x:c>
      <x:c r="L41" s="31" t="n">
        <x:v>2.238678918</x:v>
      </x:c>
      <x:c r="M41" s="31" t="n">
        <x:v>0</x:v>
      </x:c>
      <x:c r="N41" s="24" t="str">
        <x:v>octopoda</x:v>
      </x:c>
      <x:c r="O41" s="32" t="n">
        <x:v>3.58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Octopoda</x:v>
      </x:c>
      <x:c r="T41" s="32" t="n">
        <x:f>IF(O41="","",(1/'Metadata'!$B$5)^(O41-1))</x:f>
        <x:v>380.1893963205613</x:v>
      </x:c>
      <x:c r="U41" s="31" t="n">
        <x:f>IF(T41="","",I41*T41)</x:f>
        <x:v>851.1219863899873</x:v>
      </x:c>
    </x:row>
    <x:row r="42" ht="18" customHeight="1">
      <x:c r="A42" s="24" t="str">
        <x:v>EEZ_474</x:v>
      </x:c>
      <x:c r="B42" s="24" t="str">
        <x:v>Martinique (France)</x:v>
      </x:c>
      <x:c r="C42" s="24" t="str">
        <x:v>EEZ</x:v>
      </x:c>
      <x:c r="D42" s="30" t="n">
        <x:v>2019</x:v>
      </x:c>
      <x:c r="E42" s="24" t="str">
        <x:v>Aliger gigas</x:v>
      </x:c>
      <x:c r="F42" s="24" t="str">
        <x:v>Pink conch</x:v>
      </x:c>
      <x:c r="G42" s="24" t="str">
        <x:v>Other demersal invertebrates</x:v>
      </x:c>
      <x:c r="H42" s="24" t="str">
        <x:v>Molluscs</x:v>
      </x:c>
      <x:c r="I42" s="31" t="n">
        <x:v>2</x:v>
      </x:c>
      <x:c r="J42" s="31" t="n">
        <x:v>2</x:v>
      </x:c>
      <x:c r="K42" s="31" t="n">
        <x:v>0</x:v>
      </x:c>
      <x:c r="L42" s="31" t="n">
        <x:v>2</x:v>
      </x:c>
      <x:c r="M42" s="31" t="n">
        <x:v>0</x:v>
      </x:c>
      <x:c r="N42" s="24" t="str">
        <x:v>aliger gigas</x:v>
      </x:c>
      <x:c r="O42" s="32" t="n">
        <x:v>2.19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Aliger gigas</x:v>
      </x:c>
      <x:c r="T42" s="32" t="n">
        <x:f>IF(O42="","",(1/'Metadata'!$B$5)^(O42-1))</x:f>
        <x:v>15.488166189124811</x:v>
      </x:c>
      <x:c r="U42" s="31" t="n">
        <x:f>IF(T42="","",I42*T42)</x:f>
        <x:v>30.976332378249623</x:v>
      </x:c>
    </x:row>
    <x:row r="43" ht="18" customHeight="1">
      <x:c r="A43" s="24" t="str">
        <x:v>EEZ_474</x:v>
      </x:c>
      <x:c r="B43" s="24" t="str">
        <x:v>Martinique (France)</x:v>
      </x:c>
      <x:c r="C43" s="24" t="str">
        <x:v>EEZ</x:v>
      </x:c>
      <x:c r="D43" s="30" t="n">
        <x:v>2019</x:v>
      </x:c>
      <x:c r="E43" s="24" t="str">
        <x:v>Etelis oculatus</x:v>
      </x:c>
      <x:c r="F43" s="24" t="str">
        <x:v>Queen snapper</x:v>
      </x:c>
      <x:c r="G43" s="24" t="str">
        <x:v>Medium bathydemersals (30 - 89 cm)</x:v>
      </x:c>
      <x:c r="H43" s="24" t="str">
        <x:v>Perch-likes</x:v>
      </x:c>
      <x:c r="I43" s="31" t="n">
        <x:v>1.8064930229999998</x:v>
      </x:c>
      <x:c r="J43" s="31" t="n">
        <x:v>1.8064930229999998</x:v>
      </x:c>
      <x:c r="K43" s="31" t="n">
        <x:v>0</x:v>
      </x:c>
      <x:c r="L43" s="31" t="n">
        <x:v>1.8064930229999998</x:v>
      </x:c>
      <x:c r="M43" s="31" t="n">
        <x:v>0</x:v>
      </x:c>
      <x:c r="N43" s="24" t="str">
        <x:v>etelis oculatus</x:v>
      </x:c>
      <x:c r="O43" s="32" t="n">
        <x:v>4.18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Etelis oculatus</x:v>
      </x:c>
      <x:c r="T43" s="32" t="n">
        <x:f>IF(O43="","",(1/'Metadata'!$B$5)^(O43-1))</x:f>
        <x:v>1513.5612484362073</x:v>
      </x:c>
      <x:c r="U43" s="31" t="n">
        <x:f>IF(T43="","",I43*T43)</x:f>
        <x:v>2734.2378351831776</x:v>
      </x:c>
    </x:row>
    <x:row r="44" ht="18" customHeight="1">
      <x:c r="A44" s="24" t="str">
        <x:v>EEZ_474</x:v>
      </x:c>
      <x:c r="B44" s="24" t="str">
        <x:v>Martinique (France)</x:v>
      </x:c>
      <x:c r="C44" s="24" t="str">
        <x:v>EEZ</x:v>
      </x:c>
      <x:c r="D44" s="30" t="n">
        <x:v>2019</x:v>
      </x:c>
      <x:c r="E44" s="24" t="str">
        <x:v>Makaira nigricans</x:v>
      </x:c>
      <x:c r="F44" s="24" t="str">
        <x:v>Blue marlin</x:v>
      </x:c>
      <x:c r="G44" s="24" t="str">
        <x:v>Large pelagics (&gt;=90 cm)</x:v>
      </x:c>
      <x:c r="H44" s="24" t="str">
        <x:v>Tuna &amp; billfishes</x:v>
      </x:c>
      <x:c r="I44" s="31" t="n">
        <x:v>1.4373726944</x:v>
      </x:c>
      <x:c r="J44" s="31" t="n">
        <x:v>1.4373726944</x:v>
      </x:c>
      <x:c r="K44" s="31" t="n">
        <x:v>0</x:v>
      </x:c>
      <x:c r="L44" s="31" t="n">
        <x:v>1.4373726944</x:v>
      </x:c>
      <x:c r="M44" s="31" t="n">
        <x:v>0</x:v>
      </x:c>
      <x:c r="N44" s="24" t="str">
        <x:v>makaira nigricans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Makaira nigricans</x:v>
      </x:c>
      <x:c r="T44" s="32" t="n">
        <x:f>IF(O44="","",(1/'Metadata'!$B$5)^(O44-1))</x:f>
        <x:v>3090.295432513592</x:v>
      </x:c>
      <x:c r="U44" s="31" t="n">
        <x:f>IF(T44="","",I44*T44)</x:f>
        <x:v>4441.906272324075</x:v>
      </x:c>
    </x:row>
    <x:row r="45" ht="18" customHeight="1">
      <x:c r="A45" s="24" t="str">
        <x:v>EEZ_474</x:v>
      </x:c>
      <x:c r="B45" s="24" t="str">
        <x:v>Martinique (France)</x:v>
      </x:c>
      <x:c r="C45" s="24" t="str">
        <x:v>EEZ</x:v>
      </x:c>
      <x:c r="D45" s="30" t="n">
        <x:v>2019</x:v>
      </x:c>
      <x:c r="E45" s="24" t="str">
        <x:v>Labridae</x:v>
      </x:c>
      <x:c r="F45" s="24" t="str">
        <x:v>Wrasses, gropers, tuskfishes</x:v>
      </x:c>
      <x:c r="G45" s="24" t="str">
        <x:v>Medium reef assoc. fish (30 - 89 cm)</x:v>
      </x:c>
      <x:c r="H45" s="24" t="str">
        <x:v>Perch-likes</x:v>
      </x:c>
      <x:c r="I45" s="31" t="n">
        <x:v>1.163984092</x:v>
      </x:c>
      <x:c r="J45" s="31" t="n">
        <x:v>1.163984092</x:v>
      </x:c>
      <x:c r="K45" s="31" t="n">
        <x:v>0</x:v>
      </x:c>
      <x:c r="L45" s="31" t="n">
        <x:v>1.163984092</x:v>
      </x:c>
      <x:c r="M45" s="31" t="n">
        <x:v>0</x:v>
      </x:c>
      <x:c r="N45" s="24" t="str">
        <x:v>labridae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Labridae</x:v>
      </x:c>
      <x:c r="T45" s="32" t="n">
        <x:f>IF(O45="","",(1/'Metadata'!$B$5)^(O45-1))</x:f>
        <x:v>288.40315031266056</x:v>
      </x:c>
      <x:c r="U45" s="31" t="n">
        <x:f>IF(T45="","",I45*T45)</x:f>
        <x:v>335.6966790466217</x:v>
      </x:c>
    </x:row>
    <x:row r="46" ht="18" customHeight="1">
      <x:c r="A46" s="24" t="str">
        <x:v>EEZ_474</x:v>
      </x:c>
      <x:c r="B46" s="24" t="str">
        <x:v>Martinique (France)</x:v>
      </x:c>
      <x:c r="C46" s="24" t="str">
        <x:v>EEZ</x:v>
      </x:c>
      <x:c r="D46" s="30" t="n">
        <x:v>2019</x:v>
      </x:c>
      <x:c r="E46" s="24" t="str">
        <x:v>Ostraciidae</x:v>
      </x:c>
      <x:c r="F46" s="24" t="str">
        <x:v>Box-, cow-, trunkfishes</x:v>
      </x:c>
      <x:c r="G46" s="24" t="str">
        <x:v>Medium reef assoc. fish (30 - 89 cm)</x:v>
      </x:c>
      <x:c r="H46" s="24" t="str">
        <x:v>Other fishes &amp; inverts</x:v>
      </x:c>
      <x:c r="I46" s="31" t="n">
        <x:v>1.090404452</x:v>
      </x:c>
      <x:c r="J46" s="31" t="n">
        <x:v>1.090404452</x:v>
      </x:c>
      <x:c r="K46" s="31" t="n">
        <x:v>0</x:v>
      </x:c>
      <x:c r="L46" s="31" t="n">
        <x:v>1.090404452</x:v>
      </x:c>
      <x:c r="M46" s="31" t="n">
        <x:v>0</x:v>
      </x:c>
      <x:c r="N46" s="24" t="str">
        <x:v>ostraciidae</x:v>
      </x:c>
      <x:c r="O46" s="32" t="n">
        <x:v>2.83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Ostraciidae</x:v>
      </x:c>
      <x:c r="T46" s="32" t="n">
        <x:f>IF(O46="","",(1/'Metadata'!$B$5)^(O46-1))</x:f>
        <x:v>67.60829753919819</x:v>
      </x:c>
      <x:c r="U46" s="31" t="n">
        <x:f>IF(T46="","",I46*T46)</x:f>
        <x:v>73.72038862888235</x:v>
      </x:c>
    </x:row>
    <x:row r="47" ht="18" customHeight="1">
      <x:c r="A47" s="24" t="str">
        <x:v>EEZ_474</x:v>
      </x:c>
      <x:c r="B47" s="24" t="str">
        <x:v>Martinique (France)</x:v>
      </x:c>
      <x:c r="C47" s="24" t="str">
        <x:v>EEZ</x:v>
      </x:c>
      <x:c r="D47" s="30" t="n">
        <x:v>2019</x:v>
      </x:c>
      <x:c r="E47" s="24" t="str">
        <x:v>Rajiformes</x:v>
      </x:c>
      <x:c r="F47" s="24" t="str">
        <x:v>Skates and rays</x:v>
      </x:c>
      <x:c r="G47" s="24" t="str">
        <x:v>Large rays (&gt;=90 cm)</x:v>
      </x:c>
      <x:c r="H47" s="24" t="str">
        <x:v>Sharks &amp; rays</x:v>
      </x:c>
      <x:c r="I47" s="31" t="n">
        <x:v>1</x:v>
      </x:c>
      <x:c r="J47" s="31" t="n">
        <x:v>1</x:v>
      </x:c>
      <x:c r="K47" s="31" t="n">
        <x:v>0</x:v>
      </x:c>
      <x:c r="L47" s="31" t="n">
        <x:v>1</x:v>
      </x:c>
      <x:c r="M47" s="31" t="n">
        <x:v>0</x:v>
      </x:c>
      <x:c r="N47" s="24" t="str">
        <x:v>rajiformes</x:v>
      </x:c>
      <x:c r="O47" s="32" t="n">
        <x:v>3.61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Rajiformes</x:v>
      </x:c>
      <x:c r="T47" s="32" t="n">
        <x:f>IF(O47="","",(1/'Metadata'!$B$5)^(O47-1))</x:f>
        <x:v>407.3802778041126</x:v>
      </x:c>
      <x:c r="U47" s="31" t="n">
        <x:f>IF(T47="","",I47*T47)</x:f>
        <x:v>407.3802778041126</x:v>
      </x:c>
    </x:row>
    <x:row r="48" ht="18" customHeight="1">
      <x:c r="A48" s="24" t="str">
        <x:v>EEZ_474</x:v>
      </x:c>
      <x:c r="B48" s="24" t="str">
        <x:v>Martinique (France)</x:v>
      </x:c>
      <x:c r="C48" s="24" t="str">
        <x:v>EEZ</x:v>
      </x:c>
      <x:c r="D48" s="30" t="n">
        <x:v>2019</x:v>
      </x:c>
      <x:c r="E48" s="24" t="str">
        <x:v>Carpilius corallinus</x:v>
      </x:c>
      <x:c r="F48" s="24" t="str">
        <x:v>Batwing coral crab</x:v>
      </x:c>
      <x:c r="G48" s="24" t="str">
        <x:v>Lobsters, crabs</x:v>
      </x:c>
      <x:c r="H48" s="24" t="str">
        <x:v>Crustaceans</x:v>
      </x:c>
      <x:c r="I48" s="31" t="n">
        <x:v>0.857749131</x:v>
      </x:c>
      <x:c r="J48" s="31" t="n">
        <x:v>0.857749131</x:v>
      </x:c>
      <x:c r="K48" s="31" t="n">
        <x:v>0</x:v>
      </x:c>
      <x:c r="L48" s="31" t="n">
        <x:v>0.857749131</x:v>
      </x:c>
      <x:c r="M48" s="31" t="n">
        <x:v>0</x:v>
      </x:c>
      <x:c r="N48" s="24" t="str">
        <x:v>carpilius corallinus</x:v>
      </x:c>
      <x:c r="O48" s="32" t="n">
        <x:v>3.44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Carpilius corallinus</x:v>
      </x:c>
      <x:c r="T48" s="32" t="n">
        <x:f>IF(O48="","",(1/'Metadata'!$B$5)^(O48-1))</x:f>
        <x:v>275.4228703338166</x:v>
      </x:c>
      <x:c r="U48" s="31" t="n">
        <x:f>IF(T48="","",I48*T48)</x:f>
        <x:v>236.2437276863569</x:v>
      </x:c>
    </x:row>
    <x:row r="49" ht="18" customHeight="1">
      <x:c r="A49" s="24" t="str">
        <x:v>EEZ_474</x:v>
      </x:c>
      <x:c r="B49" s="24" t="str">
        <x:v>Martinique (France)</x:v>
      </x:c>
      <x:c r="C49" s="24" t="str">
        <x:v>EEZ</x:v>
      </x:c>
      <x:c r="D49" s="30" t="n">
        <x:v>2019</x:v>
      </x:c>
      <x:c r="E49" s="24" t="str">
        <x:v>Katsuwonus pelamis</x:v>
      </x:c>
      <x:c r="F49" s="24" t="str">
        <x:v>Skipjack tuna</x:v>
      </x:c>
      <x:c r="G49" s="24" t="str">
        <x:v>Large pelagics (&gt;=90 cm)</x:v>
      </x:c>
      <x:c r="H49" s="24" t="str">
        <x:v>Tuna &amp; billfishes</x:v>
      </x:c>
      <x:c r="I49" s="31" t="n">
        <x:v>0.8179898679000001</x:v>
      </x:c>
      <x:c r="J49" s="31" t="n">
        <x:v>0.8179898679000001</x:v>
      </x:c>
      <x:c r="K49" s="31" t="n">
        <x:v>0</x:v>
      </x:c>
      <x:c r="L49" s="31" t="n">
        <x:v>0.8179898679000001</x:v>
      </x:c>
      <x:c r="M49" s="31" t="n">
        <x:v>0</x:v>
      </x:c>
      <x:c r="N49" s="24" t="str">
        <x:v>katsuwonus pelamis</x:v>
      </x:c>
      <x:c r="O49" s="32" t="n">
        <x:v>4.43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Katsuwonus pelamis</x:v>
      </x:c>
      <x:c r="T49" s="32" t="n">
        <x:f>IF(O49="","",(1/'Metadata'!$B$5)^(O49-1))</x:f>
        <x:v>2691.534803926914</x:v>
      </x:c>
      <x:c r="U49" s="31" t="n">
        <x:f>IF(T49="","",I49*T49)</x:f>
        <x:v>2201.648198712429</x:v>
      </x:c>
    </x:row>
    <x:row r="50" ht="18" customHeight="1">
      <x:c r="A50" s="24" t="str">
        <x:v>EEZ_474</x:v>
      </x:c>
      <x:c r="B50" s="24" t="str">
        <x:v>Martinique (France)</x:v>
      </x:c>
      <x:c r="C50" s="24" t="str">
        <x:v>EEZ</x:v>
      </x:c>
      <x:c r="D50" s="30" t="n">
        <x:v>2019</x:v>
      </x:c>
      <x:c r="E50" s="24" t="str">
        <x:v>Megalops atlanticus</x:v>
      </x:c>
      <x:c r="F50" s="24" t="str">
        <x:v>Tarpon</x:v>
      </x:c>
      <x:c r="G50" s="24" t="str">
        <x:v>Large pelagics (&gt;=90 cm)</x:v>
      </x:c>
      <x:c r="H50" s="24" t="str">
        <x:v>Other fishes &amp; inverts</x:v>
      </x:c>
      <x:c r="I50" s="31" t="n">
        <x:v>0.523980334</x:v>
      </x:c>
      <x:c r="J50" s="31" t="n">
        <x:v>0.523980334</x:v>
      </x:c>
      <x:c r="K50" s="31" t="n">
        <x:v>0</x:v>
      </x:c>
      <x:c r="L50" s="31" t="n">
        <x:v>0.523980334</x:v>
      </x:c>
      <x:c r="M50" s="31" t="n">
        <x:v>0</x:v>
      </x:c>
      <x:c r="N50" s="24" t="str">
        <x:v>megalops atlanticus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Megalops atlanticus</x:v>
      </x:c>
      <x:c r="T50" s="32" t="n">
        <x:f>IF(O50="","",(1/'Metadata'!$B$5)^(O50-1))</x:f>
        <x:v>3162.2776601683795</x:v>
      </x:c>
      <x:c r="U50" s="31" t="n">
        <x:f>IF(T50="","",I50*T50)</x:f>
        <x:v>1656.971304575766</x:v>
      </x:c>
    </x:row>
    <x:row r="51" ht="18" customHeight="1">
      <x:c r="A51" s="24" t="str">
        <x:v>EEZ_474</x:v>
      </x:c>
      <x:c r="B51" s="24" t="str">
        <x:v>Martinique (France)</x:v>
      </x:c>
      <x:c r="C51" s="24" t="str">
        <x:v>EEZ</x:v>
      </x:c>
      <x:c r="D51" s="30" t="n">
        <x:v>2019</x:v>
      </x:c>
      <x:c r="E51" s="24" t="str">
        <x:v>Elagatis bipinnulata</x:v>
      </x:c>
      <x:c r="F51" s="24" t="str">
        <x:v>Rainbow runner</x:v>
      </x:c>
      <x:c r="G51" s="24" t="str">
        <x:v>Large pelagics (&gt;=90 cm)</x:v>
      </x:c>
      <x:c r="H51" s="24" t="str">
        <x:v>Perch-likes</x:v>
      </x:c>
      <x:c r="I51" s="31" t="n">
        <x:v>0.502350198</x:v>
      </x:c>
      <x:c r="J51" s="31" t="n">
        <x:v>0.502350198</x:v>
      </x:c>
      <x:c r="K51" s="31" t="n">
        <x:v>0</x:v>
      </x:c>
      <x:c r="L51" s="31" t="n">
        <x:v>0.502350198</x:v>
      </x:c>
      <x:c r="M51" s="31" t="n">
        <x:v>0</x:v>
      </x:c>
      <x:c r="N51" s="24" t="str">
        <x:v>elagatis bipinnulata</x:v>
      </x:c>
      <x:c r="O51" s="32" t="n">
        <x:v>4.27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Elagatis bipinnulata</x:v>
      </x:c>
      <x:c r="T51" s="32" t="n">
        <x:f>IF(O51="","",(1/'Metadata'!$B$5)^(O51-1))</x:f>
        <x:v>1862.0871366628655</x:v>
      </x:c>
      <x:c r="U51" s="31" t="n">
        <x:f>IF(T51="","",I51*T51)</x:f>
        <x:v>935.4198417958436</x:v>
      </x:c>
    </x:row>
    <x:row r="52" ht="18" customHeight="1">
      <x:c r="A52" s="24" t="str">
        <x:v>EEZ_474</x:v>
      </x:c>
      <x:c r="B52" s="24" t="str">
        <x:v>Martinique (France)</x:v>
      </x:c>
      <x:c r="C52" s="24" t="str">
        <x:v>EEZ</x:v>
      </x:c>
      <x:c r="D52" s="30" t="n">
        <x:v>2019</x:v>
      </x:c>
      <x:c r="E52" s="24" t="str">
        <x:v>Gerreidae</x:v>
      </x:c>
      <x:c r="F52" s="24" t="str">
        <x:v>Mojarras, silverbellies</x:v>
      </x:c>
      <x:c r="G52" s="24" t="str">
        <x:v>Small benthopelagics (&lt;30 cm)</x:v>
      </x:c>
      <x:c r="H52" s="24" t="str">
        <x:v>Perch-likes</x:v>
      </x:c>
      <x:c r="I52" s="31" t="n">
        <x:v>0.455643497</x:v>
      </x:c>
      <x:c r="J52" s="31" t="n">
        <x:v>0.455643497</x:v>
      </x:c>
      <x:c r="K52" s="31" t="n">
        <x:v>0</x:v>
      </x:c>
      <x:c r="L52" s="31" t="n">
        <x:v>0.455643497</x:v>
      </x:c>
      <x:c r="M52" s="31" t="n">
        <x:v>0</x:v>
      </x:c>
      <x:c r="N52" s="24" t="str">
        <x:v>gerreidae</x:v>
      </x:c>
      <x:c r="O52" s="32" t="n">
        <x:v>3.03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Gerreidae</x:v>
      </x:c>
      <x:c r="T52" s="32" t="n">
        <x:f>IF(O52="","",(1/'Metadata'!$B$5)^(O52-1))</x:f>
        <x:v>107.1519305237606</x:v>
      </x:c>
      <x:c r="U52" s="31" t="n">
        <x:f>IF(T52="","",I52*T52)</x:f>
        <x:v>48.82308033414732</x:v>
      </x:c>
    </x:row>
    <x:row r="53" ht="18" customHeight="1">
      <x:c r="A53" s="24" t="str">
        <x:v>EEZ_474</x:v>
      </x:c>
      <x:c r="B53" s="24" t="str">
        <x:v>Martinique (France)</x:v>
      </x:c>
      <x:c r="C53" s="24" t="str">
        <x:v>EEZ</x:v>
      </x:c>
      <x:c r="D53" s="30" t="n">
        <x:v>2019</x:v>
      </x:c>
      <x:c r="E53" s="24" t="str">
        <x:v>Diodontidae</x:v>
      </x:c>
      <x:c r="F53" s="24" t="str">
        <x:v>Porcupine-, burrfishes</x:v>
      </x:c>
      <x:c r="G53" s="24" t="str">
        <x:v>Medium reef assoc. fish (30 - 89 cm)</x:v>
      </x:c>
      <x:c r="H53" s="24" t="str">
        <x:v>Other fishes &amp; inverts</x:v>
      </x:c>
      <x:c r="I53" s="31" t="n">
        <x:v>0.36671095</x:v>
      </x:c>
      <x:c r="J53" s="31" t="n">
        <x:v>0.36671095</x:v>
      </x:c>
      <x:c r="K53" s="31" t="n">
        <x:v>0</x:v>
      </x:c>
      <x:c r="L53" s="31" t="n">
        <x:v>0.36671095</x:v>
      </x:c>
      <x:c r="M53" s="31" t="n">
        <x:v>0</x:v>
      </x:c>
      <x:c r="N53" s="24" t="str">
        <x:v>diodontidae</x:v>
      </x:c>
      <x:c r="O53" s="32" t="n">
        <x:v>3.36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Diodontidae</x:v>
      </x:c>
      <x:c r="T53" s="32" t="n">
        <x:f>IF(O53="","",(1/'Metadata'!$B$5)^(O53-1))</x:f>
        <x:v>229.08676527677724</x:v>
      </x:c>
      <x:c r="U53" s="31" t="n">
        <x:f>IF(T53="","",I53*T53)</x:f>
        <x:v>84.00862532707399</x:v>
      </x:c>
    </x:row>
    <x:row r="54" ht="18" customHeight="1">
      <x:c r="A54" s="24" t="str">
        <x:v>EEZ_474</x:v>
      </x:c>
      <x:c r="B54" s="24" t="str">
        <x:v>Martinique (France)</x:v>
      </x:c>
      <x:c r="C54" s="24" t="str">
        <x:v>EEZ</x:v>
      </x:c>
      <x:c r="D54" s="30" t="n">
        <x:v>2019</x:v>
      </x:c>
      <x:c r="E54" s="24" t="str">
        <x:v>Calamus</x:v>
      </x:c>
      <x:c r="F54" s="24" t="str">
        <x:v>Porgies</x:v>
      </x:c>
      <x:c r="G54" s="24" t="str">
        <x:v>Medium reef assoc. fish (30 - 89 cm)</x:v>
      </x:c>
      <x:c r="H54" s="24" t="str">
        <x:v>Perch-likes</x:v>
      </x:c>
      <x:c r="I54" s="31" t="n">
        <x:v>0.180224119</x:v>
      </x:c>
      <x:c r="J54" s="31" t="n">
        <x:v>0.180224119</x:v>
      </x:c>
      <x:c r="K54" s="31" t="n">
        <x:v>0</x:v>
      </x:c>
      <x:c r="L54" s="31" t="n">
        <x:v>0.180224119</x:v>
      </x:c>
      <x:c r="M54" s="31" t="n">
        <x:v>0</x:v>
      </x:c>
      <x:c r="N54" s="24" t="str">
        <x:v>calamus</x:v>
      </x:c>
      <x:c r="O54" s="32" t="n">
        <x:v>3.51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Calamus</x:v>
      </x:c>
      <x:c r="T54" s="32" t="n">
        <x:f>IF(O54="","",(1/'Metadata'!$B$5)^(O54-1))</x:f>
        <x:v>323.5936569296281</x:v>
      </x:c>
      <x:c r="U54" s="31" t="n">
        <x:f>IF(T54="","",I54*T54)</x:f>
        <x:v>58.31938173413046</x:v>
      </x:c>
    </x:row>
    <x:row r="55" ht="18" customHeight="1">
      <x:c r="A55" s="24" t="str">
        <x:v>EEZ_474</x:v>
      </x:c>
      <x:c r="B55" s="24" t="str">
        <x:v>Martinique (France)</x:v>
      </x:c>
      <x:c r="C55" s="24" t="str">
        <x:v>EEZ</x:v>
      </x:c>
      <x:c r="D55" s="30" t="n">
        <x:v>2019</x:v>
      </x:c>
      <x:c r="E55" s="24" t="str">
        <x:v>Cittarium pica</x:v>
      </x:c>
      <x:c r="F55" s="24" t="str">
        <x:v>West Indian top shell</x:v>
      </x:c>
      <x:c r="G55" s="24" t="str">
        <x:v>Other demersal invertebrates</x:v>
      </x:c>
      <x:c r="H55" s="24" t="str">
        <x:v>Molluscs</x:v>
      </x:c>
      <x:c r="I55" s="31" t="n">
        <x:v>0.150221368</x:v>
      </x:c>
      <x:c r="J55" s="31" t="n">
        <x:v>0.150221368</x:v>
      </x:c>
      <x:c r="K55" s="31" t="n">
        <x:v>0</x:v>
      </x:c>
      <x:c r="L55" s="31" t="n">
        <x:v>0.150221368</x:v>
      </x:c>
      <x:c r="M55" s="31" t="n">
        <x:v>0</x:v>
      </x:c>
      <x:c r="N55" s="24" t="str">
        <x:v>cittarium pica</x:v>
      </x:c>
      <x:c r="O55" s="32" t="n">
        <x:v>2.03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Cittarium pica</x:v>
      </x:c>
      <x:c r="T55" s="32" t="n">
        <x:f>IF(O55="","",(1/'Metadata'!$B$5)^(O55-1))</x:f>
        <x:v>10.71519305237606</x:v>
      </x:c>
      <x:c r="U55" s="31" t="n">
        <x:f>IF(T55="","",I55*T55)</x:f>
        <x:v>1.6096509587120273</x:v>
      </x:c>
    </x:row>
    <x:row r="56" ht="18" customHeight="1">
      <x:c r="A56" s="24" t="str">
        <x:v>EEZ_474</x:v>
      </x:c>
      <x:c r="B56" s="24" t="str">
        <x:v>Martinique (France)</x:v>
      </x:c>
      <x:c r="C56" s="24" t="str">
        <x:v>EEZ</x:v>
      </x:c>
      <x:c r="D56" s="30" t="n">
        <x:v>2019</x:v>
      </x:c>
      <x:c r="E56" s="24" t="str">
        <x:v>Scyllaridae</x:v>
      </x:c>
      <x:c r="F56" s="24" t="str">
        <x:v>Slipper lobsters</x:v>
      </x:c>
      <x:c r="G56" s="24" t="str">
        <x:v>Lobsters, crabs</x:v>
      </x:c>
      <x:c r="H56" s="24" t="str">
        <x:v>Crustaceans</x:v>
      </x:c>
      <x:c r="I56" s="31" t="n">
        <x:v>0.129849761</x:v>
      </x:c>
      <x:c r="J56" s="31" t="n">
        <x:v>0.129849761</x:v>
      </x:c>
      <x:c r="K56" s="31" t="n">
        <x:v>0</x:v>
      </x:c>
      <x:c r="L56" s="31" t="n">
        <x:v>0.129849761</x:v>
      </x:c>
      <x:c r="M56" s="31" t="n">
        <x:v>0</x:v>
      </x:c>
      <x:c r="N56" s="24" t="str">
        <x:v>scyllaridae</x:v>
      </x:c>
      <x:c r="O56" s="32" t="n">
        <x:v>2.87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Scyllaridae</x:v>
      </x:c>
      <x:c r="T56" s="32" t="n">
        <x:f>IF(O56="","",(1/'Metadata'!$B$5)^(O56-1))</x:f>
        <x:v>74.13102413009177</x:v>
      </x:c>
      <x:c r="U56" s="31" t="n">
        <x:f>IF(T56="","",I56*T56)</x:f>
        <x:v>9.625895765977651</x:v>
      </x:c>
    </x:row>
    <x:row r="57" ht="18" customHeight="1">
      <x:c r="A57" s="24" t="str">
        <x:v>EEZ_474</x:v>
      </x:c>
      <x:c r="B57" s="24" t="str">
        <x:v>Martinique (France)</x:v>
      </x:c>
      <x:c r="C57" s="24" t="str">
        <x:v>EEZ</x:v>
      </x:c>
      <x:c r="D57" s="30" t="n">
        <x:v>2019</x:v>
      </x:c>
      <x:c r="E57" s="24" t="str">
        <x:v>Centropomus</x:v>
      </x:c>
      <x:c r="F57" s="24" t="str">
        <x:v>Fat snooks</x:v>
      </x:c>
      <x:c r="G57" s="24" t="str">
        <x:v>Medium benthopelagics (30 - 89 cm)</x:v>
      </x:c>
      <x:c r="H57" s="24" t="str">
        <x:v>Perch-likes</x:v>
      </x:c>
      <x:c r="I57" s="31" t="n">
        <x:v>0.051046</x:v>
      </x:c>
      <x:c r="J57" s="31" t="n">
        <x:v>0.051046</x:v>
      </x:c>
      <x:c r="K57" s="31" t="n">
        <x:v>0</x:v>
      </x:c>
      <x:c r="L57" s="31" t="n">
        <x:v>0.051046</x:v>
      </x:c>
      <x:c r="M57" s="31" t="n">
        <x:v>0</x:v>
      </x:c>
      <x:c r="N57" s="24" t="str">
        <x:v>centropomus</x:v>
      </x:c>
      <x:c r="O57" s="32" t="n">
        <x:v>3.92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Centropomus</x:v>
      </x:c>
      <x:c r="T57" s="32" t="n">
        <x:f>IF(O57="","",(1/'Metadata'!$B$5)^(O57-1))</x:f>
        <x:v>831.7637711026708</x:v>
      </x:c>
      <x:c r="U57" s="31" t="n">
        <x:f>IF(T57="","",I57*T57)</x:f>
        <x:v>42.45821345970693</x:v>
      </x:c>
    </x:row>
    <x:row r="58" ht="18" customHeight="1">
      <x:c r="A58" s="24" t="str">
        <x:v>EEZ_474</x:v>
      </x:c>
      <x:c r="B58" s="24" t="str">
        <x:v>Martinique (France)</x:v>
      </x:c>
      <x:c r="C58" s="24" t="str">
        <x:v>EEZ</x:v>
      </x:c>
      <x:c r="D58" s="30" t="n">
        <x:v>2019</x:v>
      </x:c>
      <x:c r="E58" s="24" t="str">
        <x:v>Pomacentridae</x:v>
      </x:c>
      <x:c r="F58" s="24" t="str">
        <x:v>Damselfishes</x:v>
      </x:c>
      <x:c r="G58" s="24" t="str">
        <x:v>Small reef assoc. fish (&lt;30 cm)</x:v>
      </x:c>
      <x:c r="H58" s="24" t="str">
        <x:v>Perch-likes</x:v>
      </x:c>
      <x:c r="I58" s="31" t="n">
        <x:v>0.035161537</x:v>
      </x:c>
      <x:c r="J58" s="31" t="n">
        <x:v>0.035161537</x:v>
      </x:c>
      <x:c r="K58" s="31" t="n">
        <x:v>0</x:v>
      </x:c>
      <x:c r="L58" s="31" t="n">
        <x:v>0.035161537</x:v>
      </x:c>
      <x:c r="M58" s="31" t="n">
        <x:v>0</x:v>
      </x:c>
      <x:c r="N58" s="24" t="str">
        <x:v>pomacentridae</x:v>
      </x:c>
      <x:c r="O58" s="32" t="n">
        <x:v>2.57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Pomacentridae</x:v>
      </x:c>
      <x:c r="T58" s="32" t="n">
        <x:f>IF(O58="","",(1/'Metadata'!$B$5)^(O58-1))</x:f>
        <x:v>37.15352290971724</x:v>
      </x:c>
      <x:c r="U58" s="31" t="n">
        <x:f>IF(T58="","",I58*T58)</x:f>
        <x:v>1.3063749704703704</x:v>
      </x:c>
    </x:row>
    <x:row r="59" ht="18" customHeight="1">
      <x:c r="A59" s="24" t="str">
        <x:v>EEZ_474</x:v>
      </x:c>
      <x:c r="B59" s="24" t="str">
        <x:v>Martinique (France)</x:v>
      </x:c>
      <x:c r="C59" s="24" t="str">
        <x:v>EEZ</x:v>
      </x:c>
      <x:c r="D59" s="30" t="n">
        <x:v>2019</x:v>
      </x:c>
      <x:c r="E59" s="24" t="str">
        <x:v>Scomberomorus cavalla</x:v>
      </x:c>
      <x:c r="F59" s="24" t="str">
        <x:v>King mackerel</x:v>
      </x:c>
      <x:c r="G59" s="24" t="str">
        <x:v>Large pelagics (&gt;=90 cm)</x:v>
      </x:c>
      <x:c r="H59" s="24" t="str">
        <x:v>Perch-likes</x:v>
      </x:c>
      <x:c r="I59" s="31" t="n">
        <x:v>0.0253061352</x:v>
      </x:c>
      <x:c r="J59" s="31" t="n">
        <x:v>0.0253061352</x:v>
      </x:c>
      <x:c r="K59" s="31" t="n">
        <x:v>0</x:v>
      </x:c>
      <x:c r="L59" s="31" t="n">
        <x:v>0.0253061352</x:v>
      </x:c>
      <x:c r="M59" s="31" t="n">
        <x:v>0</x:v>
      </x:c>
      <x:c r="N59" s="24" t="str">
        <x:v>scomberomorus cavalla</x:v>
      </x:c>
      <x:c r="O59" s="32" t="n">
        <x:v>4.42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Scomberomorus cavalla</x:v>
      </x:c>
      <x:c r="T59" s="32" t="n">
        <x:f>IF(O59="","",(1/'Metadata'!$B$5)^(O59-1))</x:f>
        <x:v>2630.2679918953813</x:v>
      </x:c>
      <x:c r="U59" s="31" t="n">
        <x:f>IF(T59="","",I59*T59)</x:f>
        <x:v>66.56191741513702</x:v>
      </x:c>
    </x:row>
    <x:row r="60" ht="18" customHeight="1">
      <x:c r="A60" s="24" t="str">
        <x:v>EEZ_474</x:v>
      </x:c>
      <x:c r="B60" s="24" t="str">
        <x:v>Martinique (France)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0.0233511384</x:v>
      </x:c>
      <x:c r="J60" s="31" t="n">
        <x:v>0.0233511384</x:v>
      </x:c>
      <x:c r="K60" s="31" t="n">
        <x:v>0</x:v>
      </x:c>
      <x:c r="L60" s="31" t="n">
        <x:v>0.0233511384</x:v>
      </x:c>
      <x:c r="M60" s="31" t="n">
        <x:v>0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72.16191634151275</x:v>
      </x:c>
    </x:row>
    <x:row r="61" ht="18" customHeight="1">
      <x:c r="A61" s="24" t="str">
        <x:v>EEZ_474</x:v>
      </x:c>
      <x:c r="B61" s="24" t="str">
        <x:v>Martinique (France)</x:v>
      </x:c>
      <x:c r="C61" s="24" t="str">
        <x:v>EEZ</x:v>
      </x:c>
      <x:c r="D61" s="30" t="n">
        <x:v>2019</x:v>
      </x:c>
      <x:c r="E61" s="24" t="str">
        <x:v>Ruvettus pretiosus</x:v>
      </x:c>
      <x:c r="F61" s="24" t="str">
        <x:v>Oilfish</x:v>
      </x:c>
      <x:c r="G61" s="24" t="str">
        <x:v>Large benthopelagics (&gt;=90 cm)</x:v>
      </x:c>
      <x:c r="H61" s="24" t="str">
        <x:v>Perch-likes</x:v>
      </x:c>
      <x:c r="I61" s="31" t="n">
        <x:v>0.0189935543</x:v>
      </x:c>
      <x:c r="J61" s="31" t="n">
        <x:v>0.0189935543</x:v>
      </x:c>
      <x:c r="K61" s="31" t="n">
        <x:v>0</x:v>
      </x:c>
      <x:c r="L61" s="31" t="n">
        <x:v>0.0189935543</x:v>
      </x:c>
      <x:c r="M61" s="31" t="n">
        <x:v>0</x:v>
      </x:c>
      <x:c r="N61" s="24" t="str">
        <x:v>ruvettus pretiosus</x:v>
      </x:c>
      <x:c r="O61" s="32" t="n">
        <x:v>4.18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Ruvettus pretiosus</x:v>
      </x:c>
      <x:c r="T61" s="32" t="n">
        <x:f>IF(O61="","",(1/'Metadata'!$B$5)^(O61-1))</x:f>
        <x:v>1513.5612484362073</x:v>
      </x:c>
      <x:c r="U61" s="31" t="n">
        <x:f>IF(T61="","",I61*T61)</x:f>
        <x:v>28.747907758548894</x:v>
      </x:c>
    </x:row>
    <x:row r="62" ht="18" customHeight="1">
      <x:c r="A62" s="24" t="str">
        <x:v>EEZ_474</x:v>
      </x:c>
      <x:c r="B62" s="24" t="str">
        <x:v>Martinique (France)</x:v>
      </x:c>
      <x:c r="C62" s="24" t="str">
        <x:v>EEZ</x:v>
      </x:c>
      <x:c r="D62" s="30" t="n">
        <x:v>2019</x:v>
      </x:c>
      <x:c r="E62" s="24" t="str">
        <x:v>Xiphias gladius</x:v>
      </x:c>
      <x:c r="F62" s="24" t="str">
        <x:v>Swordfish</x:v>
      </x:c>
      <x:c r="G62" s="24" t="str">
        <x:v>Large pelagics (&gt;=90 cm)</x:v>
      </x:c>
      <x:c r="H62" s="24" t="str">
        <x:v>Tuna &amp; billfishes</x:v>
      </x:c>
      <x:c r="I62" s="31" t="n">
        <x:v>0.0185745493</x:v>
      </x:c>
      <x:c r="J62" s="31" t="n">
        <x:v>0.0185745493</x:v>
      </x:c>
      <x:c r="K62" s="31" t="n">
        <x:v>0</x:v>
      </x:c>
      <x:c r="L62" s="31" t="n">
        <x:v>0.0185745493</x:v>
      </x:c>
      <x:c r="M62" s="31" t="n">
        <x:v>0</x:v>
      </x:c>
      <x:c r="N62" s="24" t="str">
        <x:v>xiphias gladius</x:v>
      </x:c>
      <x:c r="O62" s="32" t="n">
        <x:v>4.53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Xiphias gladius</x:v>
      </x:c>
      <x:c r="T62" s="32" t="n">
        <x:f>IF(O62="","",(1/'Metadata'!$B$5)^(O62-1))</x:f>
        <x:v>3388.4415613920273</x:v>
      </x:c>
      <x:c r="U62" s="31" t="n">
        <x:f>IF(T62="","",I62*T62)</x:f>
        <x:v>62.93877483224519</x:v>
      </x:c>
    </x:row>
    <x:row r="63" ht="18" customHeight="1">
      <x:c r="A63" s="24" t="str">
        <x:v>EEZ_474</x:v>
      </x:c>
      <x:c r="B63" s="24" t="str">
        <x:v>Martinique (France)</x:v>
      </x:c>
      <x:c r="C63" s="24" t="str">
        <x:v>EEZ</x:v>
      </x:c>
      <x:c r="D63" s="30" t="n">
        <x:v>2019</x:v>
      </x:c>
      <x:c r="E63" s="24" t="str">
        <x:v>Thunnus alalunga</x:v>
      </x:c>
      <x:c r="F63" s="24" t="str">
        <x:v>Albacore</x:v>
      </x:c>
      <x:c r="G63" s="24" t="str">
        <x:v>Large pelagics (&gt;=90 cm)</x:v>
      </x:c>
      <x:c r="H63" s="24" t="str">
        <x:v>Tuna &amp; billfishes</x:v>
      </x:c>
      <x:c r="I63" s="31" t="n">
        <x:v>0.012039456</x:v>
      </x:c>
      <x:c r="J63" s="31" t="n">
        <x:v>0.012039456</x:v>
      </x:c>
      <x:c r="K63" s="31" t="n">
        <x:v>0</x:v>
      </x:c>
      <x:c r="L63" s="31" t="n">
        <x:v>0.012039456</x:v>
      </x:c>
      <x:c r="M63" s="31" t="n">
        <x:v>0</x:v>
      </x:c>
      <x:c r="N63" s="24" t="str">
        <x:v>thunnus alalunga</x:v>
      </x:c>
      <x:c r="O63" s="32" t="n">
        <x:v>4.3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alalunga</x:v>
      </x:c>
      <x:c r="T63" s="32" t="n">
        <x:f>IF(O63="","",(1/'Metadata'!$B$5)^(O63-1))</x:f>
        <x:v>1995.2623149688789</x:v>
      </x:c>
      <x:c r="U63" s="31" t="n">
        <x:f>IF(T63="","",I63*T63)</x:f>
        <x:v>24.02187284952596</x:v>
      </x:c>
    </x:row>
    <x:row r="64" ht="18" customHeight="1">
      <x:c r="A64" s="24" t="str">
        <x:v>EEZ_474</x:v>
      </x:c>
      <x:c r="B64" s="24" t="str">
        <x:v>Martinique (France)</x:v>
      </x:c>
      <x:c r="C64" s="24" t="str">
        <x:v>EEZ</x:v>
      </x:c>
      <x:c r="D64" s="30" t="n">
        <x:v>2019</x:v>
      </x:c>
      <x:c r="E64" s="24" t="str">
        <x:v>Caranx hippos</x:v>
      </x:c>
      <x:c r="F64" s="24" t="str">
        <x:v>Crevalle jack</x:v>
      </x:c>
      <x:c r="G64" s="24" t="str">
        <x:v>Large reef assoc. fish (&gt;=90 cm)</x:v>
      </x:c>
      <x:c r="H64" s="24" t="str">
        <x:v>Perch-likes</x:v>
      </x:c>
      <x:c r="I64" s="31" t="n">
        <x:v>0.0017288764</x:v>
      </x:c>
      <x:c r="J64" s="31" t="n">
        <x:v>0.0017288764</x:v>
      </x:c>
      <x:c r="K64" s="31" t="n">
        <x:v>0</x:v>
      </x:c>
      <x:c r="L64" s="31" t="n">
        <x:v>0.0017288764</x:v>
      </x:c>
      <x:c r="M64" s="31" t="n">
        <x:v>0</x:v>
      </x:c>
      <x:c r="N64" s="24" t="str">
        <x:v>caranx hippos</x:v>
      </x:c>
      <x:c r="O64" s="32" t="n">
        <x:v>3.56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Caranx hippos</x:v>
      </x:c>
      <x:c r="T64" s="32" t="n">
        <x:f>IF(O64="","",(1/'Metadata'!$B$5)^(O64-1))</x:f>
        <x:v>363.0780547701014</x:v>
      </x:c>
      <x:c r="U64" s="31" t="n">
        <x:f>IF(T64="","",I64*T64)</x:f>
        <x:v>0.6277170802499358</x:v>
      </x:c>
    </x:row>
    <x:row r="65" ht="18" customHeight="1">
      <x:c r="A65" s="24" t="str">
        <x:v>EEZ_474</x:v>
      </x:c>
      <x:c r="B65" s="24" t="str">
        <x:v>Martinique (France)</x:v>
      </x:c>
      <x:c r="C65" s="24" t="str">
        <x:v>EEZ</x:v>
      </x:c>
      <x:c r="D65" s="30" t="n">
        <x:v>2019</x:v>
      </x:c>
      <x:c r="E65" s="24" t="str">
        <x:v>Sphyraena barracuda</x:v>
      </x:c>
      <x:c r="F65" s="24" t="str">
        <x:v>Great barracuda</x:v>
      </x:c>
      <x:c r="G65" s="24" t="str">
        <x:v>Large pelagics (&gt;=90 cm)</x:v>
      </x:c>
      <x:c r="H65" s="24" t="str">
        <x:v>Perch-likes</x:v>
      </x:c>
      <x:c r="I65" s="31" t="n">
        <x:v>0.0003052865</x:v>
      </x:c>
      <x:c r="J65" s="31" t="n">
        <x:v>0.0003052865</x:v>
      </x:c>
      <x:c r="K65" s="31" t="n">
        <x:v>0</x:v>
      </x:c>
      <x:c r="L65" s="31" t="n">
        <x:v>0.0003052865</x:v>
      </x:c>
      <x:c r="M65" s="31" t="n">
        <x:v>0</x:v>
      </x:c>
      <x:c r="N65" s="24" t="str">
        <x:v>sphyraena barracuda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Sphyraena barracuda</x:v>
      </x:c>
      <x:c r="T65" s="32" t="n">
        <x:f>IF(O65="","",(1/'Metadata'!$B$5)^(O65-1))</x:f>
        <x:v>3090.295432513592</x:v>
      </x:c>
      <x:c r="U65" s="31" t="n">
        <x:f>IF(T65="","",I65*T65)</x:f>
        <x:v>0.9434254765580607</x:v>
      </x:c>
    </x:row>
    <x:row r="66" ht="18" customHeight="1">
      <x:c r="A66" s="24" t="str">
        <x:v>EEZ_474</x:v>
      </x:c>
      <x:c r="B66" s="24" t="str">
        <x:v>Martinique (France)</x:v>
      </x:c>
      <x:c r="C66" s="24" t="str">
        <x:v>EEZ</x:v>
      </x:c>
      <x:c r="D66" s="30" t="n">
        <x:v>2019</x:v>
      </x:c>
      <x:c r="E66" s="24" t="str">
        <x:v>Thunnus</x:v>
      </x:c>
      <x:c r="F66" s="24" t="str">
        <x:v>Tunas</x:v>
      </x:c>
      <x:c r="G66" s="24" t="str">
        <x:v>Large pelagics (&gt;=90 cm)</x:v>
      </x:c>
      <x:c r="H66" s="24" t="str">
        <x:v>Tuna &amp; billfishes</x:v>
      </x:c>
      <x:c r="I66" s="31" t="n">
        <x:v>0.0000859449</x:v>
      </x:c>
      <x:c r="J66" s="31" t="n">
        <x:v>0.0000859449</x:v>
      </x:c>
      <x:c r="K66" s="31" t="n">
        <x:v>0</x:v>
      </x:c>
      <x:c r="L66" s="31" t="n">
        <x:v>0.0000859449</x:v>
      </x:c>
      <x:c r="M66" s="31" t="n">
        <x:v>0</x:v>
      </x:c>
      <x:c r="N66" s="24" t="str">
        <x:v>thunnus</x:v>
      </x:c>
      <x:c r="O66" s="32" t="n">
        <x:v>4.34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Thunnus</x:v>
      </x:c>
      <x:c r="T66" s="32" t="n">
        <x:f>IF(O66="","",(1/'Metadata'!$B$5)^(O66-1))</x:f>
        <x:v>2187.761623949552</x:v>
      </x:c>
      <x:c r="U66" s="31" t="n">
        <x:f>IF(T66="","",I66*T66)</x:f>
        <x:v>0.18802695399418184</x:v>
      </x:c>
    </x:row>
  </x:sheetData>
  <x:conditionalFormatting sqref="R2:R6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ff9f24cd1fb43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7</x:v>
      </x:c>
      <x:c r="C2" s="33" t="n">
        <x:v>7</x:v>
      </x:c>
      <x:c r="D2" s="31" t="n">
        <x:v>212.174766906</x:v>
      </x:c>
      <x:c r="E2" s="31" t="n">
        <x:v>212.174766906</x:v>
      </x:c>
      <x:c r="F2" s="32" t="n">
        <x:v>0</x:v>
      </x:c>
      <x:c r="G2" s="34" t="n">
        <x:v>1</x:v>
      </x:c>
      <x:c r="H2" s="32" t="n">
        <x:f>IF(E2=0,"",I2/E2)</x:f>
        <x:v>122.26668050604258</x:v>
      </x:c>
      <x:c r="I2" s="31" t="n">
        <x:f>IF(C2=0,"",SUMIF('Species'!$H$2:$H$66,A2,'Species'!$U$2:$U$66))</x:f>
        <x:v>25941.90443673996</x:v>
      </x:c>
      <x:c r="J2" s="32" t="n">
        <x:v>3.019118268592925</x:v>
      </x:c>
      <x:c r="K2" s="32" t="n">
        <x:f>IF(J2="","",(1/'Metadata'!$B$5)^(J2-1))</x:f>
        <x:v>104.50047598282029</x:v>
      </x:c>
      <x:c r="L2" s="31" t="n">
        <x:f>IF(E2=0,"",E2*K2)</x:f>
        <x:v>22172.364133220948</x:v>
      </x:c>
      <x:c r="M2" s="31" t="n">
        <x:f>IF(E2=0,"",I2-L2)</x:f>
        <x:v>3769.54030351901</x:v>
      </x:c>
      <x:c r="N2" s="32" t="n">
        <x:f>IF(L2=0,"",I2/L2)</x:f>
        <x:v>1.1700107521629186</x:v>
      </x:c>
      <x:c r="O2" s="34" t="n">
        <x:f>IF(L2=0,"",M2/L2)</x:f>
        <x:v>0.17001075216291853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250</x:v>
      </x:c>
      <x:c r="E3" s="31" t="n">
        <x:v>250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IF(C3=0,"",SUMIF('Species'!$H$2:$H$66,A3,'Species'!$U$2:$U$66))</x:f>
        <x:v>36135.994268648195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36135.994268648195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4</x:v>
      </x:c>
      <x:c r="C4" s="33" t="n">
        <x:v>4</x:v>
      </x:c>
      <x:c r="D4" s="31" t="n">
        <x:v>74.55786364800001</x:v>
      </x:c>
      <x:c r="E4" s="31" t="n">
        <x:v>74.55786364800001</x:v>
      </x:c>
      <x:c r="F4" s="32" t="n">
        <x:v>0</x:v>
      </x:c>
      <x:c r="G4" s="34" t="n">
        <x:v>1</x:v>
      </x:c>
      <x:c r="H4" s="32" t="n">
        <x:f>IF(E4=0,"",I4/E4)</x:f>
        <x:v>46.33246184702564</x:v>
      </x:c>
      <x:c r="I4" s="31" t="n">
        <x:f>IF(C4=0,"",SUMIF('Species'!$H$2:$H$66,A4,'Species'!$U$2:$U$66))</x:f>
        <x:v>3454.4493728667003</x:v>
      </x:c>
      <x:c r="J4" s="32" t="n">
        <x:v>2.4779724862569332</x:v>
      </x:c>
      <x:c r="K4" s="32" t="n">
        <x:f>IF(J4="","",(1/'Metadata'!$B$5)^(J4-1))</x:f>
        <x:v>30.058858655063485</x:v>
      </x:c>
      <x:c r="L4" s="31" t="n">
        <x:f>IF(E4=0,"",E4*K4)</x:f>
        <x:v>2241.124285018728</x:v>
      </x:c>
      <x:c r="M4" s="31" t="n">
        <x:f>IF(E4=0,"",I4-L4)</x:f>
        <x:v>1213.325087847972</x:v>
      </x:c>
      <x:c r="N4" s="32" t="n">
        <x:f>IF(L4=0,"",I4/L4)</x:f>
        <x:v>1.5413912543622421</x:v>
      </x:c>
      <x:c r="O4" s="34" t="n">
        <x:f>IF(L4=0,"",M4/L4)</x:f>
        <x:v>0.541391254362242</x:v>
      </x:c>
    </x:row>
    <x:row r="5" ht="18" customHeight="1">
      <x:c r="A5" s="24" t="str">
        <x:v>Other fishes &amp; inverts</x:v>
      </x:c>
      <x:c r="B5" s="33" t="n">
        <x:v>13</x:v>
      </x:c>
      <x:c r="C5" s="33" t="n">
        <x:v>13</x:v>
      </x:c>
      <x:c r="D5" s="31" t="n">
        <x:v>853.5378066390999</x:v>
      </x:c>
      <x:c r="E5" s="31" t="n">
        <x:v>853.5378066390999</x:v>
      </x:c>
      <x:c r="F5" s="32" t="n">
        <x:v>0</x:v>
      </x:c>
      <x:c r="G5" s="34" t="n">
        <x:v>1</x:v>
      </x:c>
      <x:c r="H5" s="32" t="n">
        <x:f>IF(E5=0,"",I5/E5)</x:f>
        <x:v>240.06155292746408</x:v>
      </x:c>
      <x:c r="I5" s="31" t="n">
        <x:f>IF(C5=0,"",SUMIF('Species'!$H$2:$H$66,A5,'Species'!$U$2:$U$66))</x:f>
        <x:v>204901.61134408388</x:v>
      </x:c>
      <x:c r="J5" s="32" t="n">
        <x:v>3.261756818936172</x:v>
      </x:c>
      <x:c r="K5" s="32" t="n">
        <x:f>IF(J5="","",(1/'Metadata'!$B$5)^(J5-1))</x:f>
        <x:v>182.70768669345935</x:v>
      </x:c>
      <x:c r="L5" s="31" t="n">
        <x:f>IF(E5=0,"",E5*K5)</x:f>
        <x:v>155947.91815643915</x:v>
      </x:c>
      <x:c r="M5" s="31" t="n">
        <x:f>IF(E5=0,"",I5-L5)</x:f>
        <x:v>48953.693187644734</x:v>
      </x:c>
      <x:c r="N5" s="32" t="n">
        <x:f>IF(L5=0,"",I5/L5)</x:f>
        <x:v>1.313910527093647</x:v>
      </x:c>
      <x:c r="O5" s="34" t="n">
        <x:f>IF(L5=0,"",M5/L5)</x:f>
        <x:v>0.313910527093647</x:v>
      </x:c>
    </x:row>
    <x:row r="6" ht="18" customHeight="1">
      <x:c r="A6" s="24" t="str">
        <x:v>Perch-likes</x:v>
      </x:c>
      <x:c r="B6" s="33" t="n">
        <x:v>28</x:v>
      </x:c>
      <x:c r="C6" s="33" t="n">
        <x:v>28</x:v>
      </x:c>
      <x:c r="D6" s="31" t="n">
        <x:v>889.775916502</x:v>
      </x:c>
      <x:c r="E6" s="31" t="n">
        <x:v>889.775916502</x:v>
      </x:c>
      <x:c r="F6" s="32" t="n">
        <x:v>0</x:v>
      </x:c>
      <x:c r="G6" s="34" t="n">
        <x:v>1</x:v>
      </x:c>
      <x:c r="H6" s="32" t="n">
        <x:f>IF(E6=0,"",I6/E6)</x:f>
        <x:v>869.9886301397886</x:v>
      </x:c>
      <x:c r="I6" s="31" t="n">
        <x:f>IF(C6=0,"",SUMIF('Species'!$H$2:$H$66,A6,'Species'!$U$2:$U$66))</x:f>
        <x:v>774094.9307289498</x:v>
      </x:c>
      <x:c r="J6" s="32" t="n">
        <x:v>3.750044915990073</x:v>
      </x:c>
      <x:c r="K6" s="32" t="n">
        <x:f>IF(J6="","",(1/'Metadata'!$B$5)^(J6-1))</x:f>
        <x:v>562.399487162493</x:v>
      </x:c>
      <x:c r="L6" s="31" t="n">
        <x:f>IF(E6=0,"",E6*K6)</x:f>
        <x:v>500409.51913026196</x:v>
      </x:c>
      <x:c r="M6" s="31" t="n">
        <x:f>IF(E6=0,"",I6-L6)</x:f>
        <x:v>273685.4115986879</x:v>
      </x:c>
      <x:c r="N6" s="32" t="n">
        <x:f>IF(L6=0,"",I6/L6)</x:f>
        <x:v>1.5469228724392923</x:v>
      </x:c>
      <x:c r="O6" s="34" t="n">
        <x:f>IF(L6=0,"",M6/L6)</x:f>
        <x:v>0.5469228724392923</x:v>
      </x:c>
    </x:row>
    <x:row r="7" ht="18" customHeight="1">
      <x:c r="A7" s="24" t="str">
        <x:v>Sharks &amp; rays</x:v>
      </x:c>
      <x:c r="B7" s="33" t="n">
        <x:v>2</x:v>
      </x:c>
      <x:c r="C7" s="33" t="n">
        <x:v>2</x:v>
      </x:c>
      <x:c r="D7" s="31" t="n">
        <x:v>5</x:v>
      </x:c>
      <x:c r="E7" s="31" t="n">
        <x:v>5</x:v>
      </x:c>
      <x:c r="F7" s="32" t="n">
        <x:v>0</x:v>
      </x:c>
      <x:c r="G7" s="34" t="n">
        <x:v>1</x:v>
      </x:c>
      <x:c r="H7" s="32" t="n">
        <x:f>IF(E7=0,"",I7/E7)</x:f>
        <x:v>979.0908190023929</x:v>
      </x:c>
      <x:c r="I7" s="31" t="n">
        <x:f>IF(C7=0,"",SUMIF('Species'!$H$2:$H$66,A7,'Species'!$U$2:$U$66))</x:f>
        <x:v>4895.4540950119645</x:v>
      </x:c>
      <x:c r="J7" s="32" t="n">
        <x:v>3.9619999999999997</x:v>
      </x:c>
      <x:c r="K7" s="32" t="n">
        <x:f>IF(J7="","",(1/'Metadata'!$B$5)^(J7-1))</x:f>
        <x:v>916.2204901219992</x:v>
      </x:c>
      <x:c r="L7" s="31" t="n">
        <x:f>IF(E7=0,"",E7*K7)</x:f>
        <x:v>4581.102450609996</x:v>
      </x:c>
      <x:c r="M7" s="31" t="n">
        <x:f>IF(E7=0,"",I7-L7)</x:f>
        <x:v>314.35164440196877</x:v>
      </x:c>
      <x:c r="N7" s="32" t="n">
        <x:f>IF(L7=0,"",I7/L7)</x:f>
        <x:v>1.068619212905861</x:v>
      </x:c>
      <x:c r="O7" s="34" t="n">
        <x:f>IF(L7=0,"",M7/L7)</x:f>
        <x:v>0.06861921290586098</x:v>
      </x:c>
    </x:row>
    <x:row r="8" ht="18" customHeight="1">
      <x:c r="A8" s="24" t="str">
        <x:v>Tuna &amp; billfishes</x:v>
      </x:c>
      <x:c r="B8" s="33" t="n">
        <x:v>10</x:v>
      </x:c>
      <x:c r="C8" s="33" t="n">
        <x:v>10</x:v>
      </x:c>
      <x:c r="D8" s="31" t="n">
        <x:v>155.90343853859997</x:v>
      </x:c>
      <x:c r="E8" s="31" t="n">
        <x:v>155.90343853859997</x:v>
      </x:c>
      <x:c r="F8" s="32" t="n">
        <x:v>0</x:v>
      </x:c>
      <x:c r="G8" s="34" t="n">
        <x:v>1</x:v>
      </x:c>
      <x:c r="H8" s="32" t="n">
        <x:f>IF(E8=0,"",I8/E8)</x:f>
        <x:v>2718.4567202078547</x:v>
      </x:c>
      <x:c r="I8" s="31" t="n">
        <x:f>IF(C8=0,"",SUMIF('Species'!$H$2:$H$66,A8,'Species'!$U$2:$U$66))</x:f>
        <x:v>423816.7501987693</x:v>
      </x:c>
      <x:c r="J8" s="32" t="n">
        <x:v>4.432568770410583</x:v>
      </x:c>
      <x:c r="K8" s="32" t="n">
        <x:f>IF(J8="","",(1/'Metadata'!$B$5)^(J8-1))</x:f>
        <x:v>2707.50190215253</x:v>
      </x:c>
      <x:c r="L8" s="31" t="n">
        <x:f>IF(E8=0,"",E8*K8)</x:f>
        <x:v>422108.85639537947</x:v>
      </x:c>
      <x:c r="M8" s="31" t="n">
        <x:f>IF(E8=0,"",I8-L8)</x:f>
        <x:v>1707.8938033898594</x:v>
      </x:c>
      <x:c r="N8" s="32" t="n">
        <x:f>IF(L8=0,"",I8/L8)</x:f>
        <x:v>1.004046098008875</x:v>
      </x:c>
      <x:c r="O8" s="34" t="n">
        <x:f>IF(L8=0,"",M8/L8)</x:f>
        <x:v>0.004046098008875026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cf82a74ce6149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29.127849658000002</x:v>
      </x:c>
      <x:c r="E2" s="31" t="n">
        <x:v>29.127849658000002</x:v>
      </x:c>
      <x:c r="F2" s="32" t="n">
        <x:v>0</x:v>
      </x:c>
      <x:c r="G2" s="34" t="n">
        <x:v>1</x:v>
      </x:c>
      <x:c r="H2" s="32" t="n">
        <x:f>IF(E2=0,"",I2/E2)</x:f>
        <x:v>625.2514004206243</x:v>
      </x:c>
      <x:c r="I2" s="31" t="n">
        <x:f>IF(C2=0,"",SUMIF('Species'!$G$2:$G$66,A2,'Species'!$U$2:$U$66))</x:f>
        <x:v>18212.228789905905</x:v>
      </x:c>
      <x:c r="J2" s="32" t="n">
        <x:v>3.7923228917621596</x:v>
      </x:c>
      <x:c r="K2" s="32" t="n">
        <x:f>IF(J2="","",(1/'Metadata'!$B$5)^(J2-1))</x:f>
        <x:v>619.9017919411358</x:v>
      </x:c>
      <x:c r="L2" s="31" t="n">
        <x:f>IF(E2=0,"",E2*K2)</x:f>
        <x:v>18056.4061983862</x:v>
      </x:c>
      <x:c r="M2" s="31" t="n">
        <x:f>IF(E2=0,"",I2-L2)</x:f>
        <x:v>155.82259151970356</x:v>
      </x:c>
      <x:c r="N2" s="32" t="n">
        <x:f>IF(L2=0,"",I2/L2)</x:f>
        <x:v>1.0086297677293963</x:v>
      </x:c>
      <x:c r="O2" s="34" t="n">
        <x:f>IF(L2=0,"",M2/L2)</x:f>
        <x:v>0.008629767729396245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0.0189935543</x:v>
      </x:c>
      <x:c r="E3" s="31" t="n">
        <x:v>0.0189935543</x:v>
      </x:c>
      <x:c r="F3" s="32" t="n">
        <x:v>0</x:v>
      </x:c>
      <x:c r="G3" s="34" t="n">
        <x:v>1</x:v>
      </x:c>
      <x:c r="H3" s="32" t="n">
        <x:f>IF(E3=0,"",I3/E3)</x:f>
        <x:v>1513.5612484362073</x:v>
      </x:c>
      <x:c r="I3" s="31" t="n">
        <x:f>IF(C3=0,"",SUMIF('Species'!$G$2:$G$66,A3,'Species'!$U$2:$U$66))</x:f>
        <x:v>28.747907758548894</x:v>
      </x:c>
      <x:c r="J3" s="32" t="n">
        <x:v>4.18</x:v>
      </x:c>
      <x:c r="K3" s="32" t="n">
        <x:f>IF(J3="","",(1/'Metadata'!$B$5)^(J3-1))</x:f>
        <x:v>1513.5612484362073</x:v>
      </x:c>
      <x:c r="L3" s="31" t="n">
        <x:f>IF(E3=0,"",E3*K3)</x:f>
        <x:v>28.747907758548894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52.65795935</x:v>
      </x:c>
      <x:c r="E4" s="31" t="n">
        <x:v>52.65795935</x:v>
      </x:c>
      <x:c r="F4" s="32" t="n">
        <x:v>0</x:v>
      </x:c>
      <x:c r="G4" s="34" t="n">
        <x:v>1</x:v>
      </x:c>
      <x:c r="H4" s="32" t="n">
        <x:f>IF(E4=0,"",I4/E4)</x:f>
        <x:v>776.247116628692</x:v>
      </x:c>
      <x:c r="I4" s="31" t="n">
        <x:f>IF(C4=0,"",SUMIF('Species'!$G$2:$G$66,A4,'Species'!$U$2:$U$66))</x:f>
        <x:v>40875.58911298837</x:v>
      </x:c>
      <x:c r="J4" s="32" t="n">
        <x:v>3.89</x:v>
      </x:c>
      <x:c r="K4" s="32" t="n">
        <x:f>IF(J4="","",(1/'Metadata'!$B$5)^(J4-1))</x:f>
        <x:v>776.247116628692</x:v>
      </x:c>
      <x:c r="L4" s="31" t="n">
        <x:f>IF(E4=0,"",E4*K4)</x:f>
        <x:v>40875.58911298837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17</x:v>
      </x:c>
      <x:c r="C5" s="33" t="n">
        <x:v>17</x:v>
      </x:c>
      <x:c r="D5" s="31" t="n">
        <x:v>262.99214323829995</x:v>
      </x:c>
      <x:c r="E5" s="31" t="n">
        <x:v>262.99214323829995</x:v>
      </x:c>
      <x:c r="F5" s="32" t="n">
        <x:v>0</x:v>
      </x:c>
      <x:c r="G5" s="34" t="n">
        <x:v>1</x:v>
      </x:c>
      <x:c r="H5" s="32" t="n">
        <x:f>IF(E5=0,"",I5/E5)</x:f>
        <x:v>2550.6746509266804</x:v>
      </x:c>
      <x:c r="I5" s="31" t="n">
        <x:f>IF(C5=0,"",SUMIF('Species'!$G$2:$G$66,A5,'Species'!$U$2:$U$66))</x:f>
        <x:v>670807.3931508103</x:v>
      </x:c>
      <x:c r="J5" s="32" t="n">
        <x:v>4.4038575460681875</x:v>
      </x:c>
      <x:c r="K5" s="32" t="n">
        <x:f>IF(J5="","",(1/'Metadata'!$B$5)^(J5-1))</x:f>
        <x:v>2534.2972134904103</x:v>
      </x:c>
      <x:c r="L5" s="31" t="n">
        <x:f>IF(E5=0,"",E5*K5)</x:f>
        <x:v>666500.2557786944</x:v>
      </x:c>
      <x:c r="M5" s="31" t="n">
        <x:f>IF(E5=0,"",I5-L5)</x:f>
        <x:v>4307.13737211586</x:v>
      </x:c>
      <x:c r="N5" s="32" t="n">
        <x:f>IF(L5=0,"",I5/L5)</x:f>
        <x:v>1.0064623191585782</x:v>
      </x:c>
      <x:c r="O5" s="34" t="n">
        <x:f>IF(L5=0,"",M5/L5)</x:f>
        <x:v>0.006462319158578098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1</x:v>
      </x:c>
      <x:c r="E6" s="31" t="n">
        <x:v>1</x:v>
      </x:c>
      <x:c r="F6" s="32" t="n">
        <x:v>0</x:v>
      </x:c>
      <x:c r="G6" s="34" t="n">
        <x:v>1</x:v>
      </x:c>
      <x:c r="H6" s="32" t="n">
        <x:f>IF(E6=0,"",I6/E6)</x:f>
        <x:v>407.3802778041126</x:v>
      </x:c>
      <x:c r="I6" s="31" t="n">
        <x:f>IF(C6=0,"",SUMIF('Species'!$G$2:$G$66,A6,'Species'!$U$2:$U$66))</x:f>
        <x:v>407.3802778041126</x:v>
      </x:c>
      <x:c r="J6" s="32" t="n">
        <x:v>3.61</x:v>
      </x:c>
      <x:c r="K6" s="32" t="n">
        <x:f>IF(J6="","",(1/'Metadata'!$B$5)^(J6-1))</x:f>
        <x:v>407.3802778041126</x:v>
      </x:c>
      <x:c r="L6" s="31" t="n">
        <x:f>IF(E6=0,"",E6*K6)</x:f>
        <x:v>407.3802778041126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2.3909368604</x:v>
      </x:c>
      <x:c r="E7" s="31" t="n">
        <x:v>2.3909368604</x:v>
      </x:c>
      <x:c r="F7" s="32" t="n">
        <x:v>0</x:v>
      </x:c>
      <x:c r="G7" s="34" t="n">
        <x:v>1</x:v>
      </x:c>
      <x:c r="H7" s="32" t="n">
        <x:f>IF(E7=0,"",I7/E7)</x:f>
        <x:v>1174.3105316692177</x:v>
      </x:c>
      <x:c r="I7" s="31" t="n">
        <x:f>IF(C7=0,"",SUMIF('Species'!$G$2:$G$66,A7,'Species'!$U$2:$U$66))</x:f>
        <x:v>2807.702335723854</x:v>
      </x:c>
      <x:c r="J7" s="32" t="n">
        <x:v>4.069631221142388</x:v>
      </x:c>
      <x:c r="K7" s="32" t="n">
        <x:f>IF(J7="","",(1/'Metadata'!$B$5)^(J7-1))</x:f>
        <x:v>1173.900320365683</x:v>
      </x:c>
      <x:c r="L7" s="31" t="n">
        <x:f>IF(E7=0,"",E7*K7)</x:f>
        <x:v>2806.7215463976804</x:v>
      </x:c>
      <x:c r="M7" s="31" t="n">
        <x:f>IF(E7=0,"",I7-L7)</x:f>
        <x:v>0.9807893261736353</x:v>
      </x:c>
      <x:c r="N7" s="32" t="n">
        <x:f>IF(L7=0,"",I7/L7)</x:f>
        <x:v>1.0003494430459026</x:v>
      </x:c>
      <x:c r="O7" s="34" t="n">
        <x:f>IF(L7=0,"",M7/L7)</x:f>
        <x:v>0.0003494430459025908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4</x:v>
      </x:c>
      <x:c r="E8" s="31" t="n">
        <x:v>4</x:v>
      </x:c>
      <x:c r="F8" s="32" t="n">
        <x:v>0</x:v>
      </x:c>
      <x:c r="G8" s="34" t="n">
        <x:v>1</x:v>
      </x:c>
      <x:c r="H8" s="32" t="n">
        <x:f>IF(E8=0,"",I8/E8)</x:f>
        <x:v>1122.018454301963</x:v>
      </x:c>
      <x:c r="I8" s="31" t="n">
        <x:f>IF(C8=0,"",SUMIF('Species'!$G$2:$G$66,A8,'Species'!$U$2:$U$66))</x:f>
        <x:v>4488.073817207852</x:v>
      </x:c>
      <x:c r="J8" s="32" t="n">
        <x:v>4.05</x:v>
      </x:c>
      <x:c r="K8" s="32" t="n">
        <x:f>IF(J8="","",(1/'Metadata'!$B$5)^(J8-1))</x:f>
        <x:v>1122.018454301963</x:v>
      </x:c>
      <x:c r="L8" s="31" t="n">
        <x:f>IF(E8=0,"",E8*K8)</x:f>
        <x:v>4488.073817207852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6</x:v>
      </x:c>
      <x:c r="C9" s="33" t="n">
        <x:v>6</x:v>
      </x:c>
      <x:c r="D9" s="31" t="n">
        <x:v>139.056042509</x:v>
      </x:c>
      <x:c r="E9" s="31" t="n">
        <x:v>139.056042509</x:v>
      </x:c>
      <x:c r="F9" s="32" t="n">
        <x:v>0</x:v>
      </x:c>
      <x:c r="G9" s="34" t="n">
        <x:v>1</x:v>
      </x:c>
      <x:c r="H9" s="32" t="n">
        <x:f>IF(E9=0,"",I9/E9)</x:f>
        <x:v>160.20366259603128</x:v>
      </x:c>
      <x:c r="I9" s="31" t="n">
        <x:f>IF(C9=0,"",SUMIF('Species'!$G$2:$G$66,A9,'Species'!$U$2:$U$66))</x:f>
        <x:v>22277.28731605122</x:v>
      </x:c>
      <x:c r="J9" s="32" t="n">
        <x:v>3.1869176702606627</x:v>
      </x:c>
      <x:c r="K9" s="32" t="n">
        <x:f>IF(J9="","",(1/'Metadata'!$B$5)^(J9-1))</x:f>
        <x:v>153.78630780719394</x:v>
      </x:c>
      <x:c r="L9" s="31" t="n">
        <x:f>IF(E9=0,"",E9*K9)</x:f>
        <x:v>21384.91535573932</x:v>
      </x:c>
      <x:c r="M9" s="31" t="n">
        <x:f>IF(E9=0,"",I9-L9)</x:f>
        <x:v>892.3719603119025</x:v>
      </x:c>
      <x:c r="N9" s="32" t="n">
        <x:f>IF(L9=0,"",I9/L9)</x:f>
        <x:v>1.0417290386923326</x:v>
      </x:c>
      <x:c r="O9" s="34" t="n">
        <x:f>IF(L9=0,"",M9/L9)</x:f>
        <x:v>0.04172903869233255</x:v>
      </x:c>
    </x:row>
    <x:row r="10" ht="18" customHeight="1">
      <x:c r="A10" s="24" t="str">
        <x:v>Medium bathydemersals (30 - 89 cm)</x:v>
      </x:c>
      <x:c r="B10" s="33" t="n">
        <x:v>1</x:v>
      </x:c>
      <x:c r="C10" s="33" t="n">
        <x:v>1</x:v>
      </x:c>
      <x:c r="D10" s="31" t="n">
        <x:v>1.8064930229999998</x:v>
      </x:c>
      <x:c r="E10" s="31" t="n">
        <x:v>1.8064930229999998</x:v>
      </x:c>
      <x:c r="F10" s="32" t="n">
        <x:v>0</x:v>
      </x:c>
      <x:c r="G10" s="34" t="n">
        <x:v>1</x:v>
      </x:c>
      <x:c r="H10" s="32" t="n">
        <x:f>IF(E10=0,"",I10/E10)</x:f>
        <x:v>1513.561248436207</x:v>
      </x:c>
      <x:c r="I10" s="31" t="n">
        <x:f>IF(C10=0,"",SUMIF('Species'!$G$2:$G$66,A10,'Species'!$U$2:$U$66))</x:f>
        <x:v>2734.2378351831776</x:v>
      </x:c>
      <x:c r="J10" s="32" t="n">
        <x:v>4.18</x:v>
      </x:c>
      <x:c r="K10" s="32" t="n">
        <x:f>IF(J10="","",(1/'Metadata'!$B$5)^(J10-1))</x:f>
        <x:v>1513.5612484362073</x:v>
      </x:c>
      <x:c r="L10" s="31" t="n">
        <x:f>IF(E10=0,"",E10*K10)</x:f>
        <x:v>2734.2378351831776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1</x:v>
      </x:c>
      <x:c r="C11" s="33" t="n">
        <x:v>1</x:v>
      </x:c>
      <x:c r="D11" s="31" t="n">
        <x:v>0.051046</x:v>
      </x:c>
      <x:c r="E11" s="31" t="n">
        <x:v>0.051046</x:v>
      </x:c>
      <x:c r="F11" s="32" t="n">
        <x:v>0</x:v>
      </x:c>
      <x:c r="G11" s="34" t="n">
        <x:v>1</x:v>
      </x:c>
      <x:c r="H11" s="32" t="n">
        <x:f>IF(E11=0,"",I11/E11)</x:f>
        <x:v>831.7637711026707</x:v>
      </x:c>
      <x:c r="I11" s="31" t="n">
        <x:f>IF(C11=0,"",SUMIF('Species'!$G$2:$G$66,A11,'Species'!$U$2:$U$66))</x:f>
        <x:v>42.45821345970693</x:v>
      </x:c>
      <x:c r="J11" s="32" t="n">
        <x:v>3.92</x:v>
      </x:c>
      <x:c r="K11" s="32" t="n">
        <x:f>IF(J11="","",(1/'Metadata'!$B$5)^(J11-1))</x:f>
        <x:v>831.7637711026708</x:v>
      </x:c>
      <x:c r="L11" s="31" t="n">
        <x:f>IF(E11=0,"",E11*K11)</x:f>
        <x:v>42.45821345970693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demersals (30 - 89 cm)</x:v>
      </x:c>
      <x:c r="B12" s="33" t="n">
        <x:v>2</x:v>
      </x:c>
      <x:c r="C12" s="33" t="n">
        <x:v>2</x:v>
      </x:c>
      <x:c r="D12" s="31" t="n">
        <x:v>659.9728928740999</x:v>
      </x:c>
      <x:c r="E12" s="31" t="n">
        <x:v>659.9728928740999</x:v>
      </x:c>
      <x:c r="F12" s="32" t="n">
        <x:v>0</x:v>
      </x:c>
      <x:c r="G12" s="34" t="n">
        <x:v>1</x:v>
      </x:c>
      <x:c r="H12" s="32" t="n">
        <x:f>IF(E12=0,"",I12/E12)</x:f>
        <x:v>196.57077341603545</x:v>
      </x:c>
      <x:c r="I12" s="31" t="n">
        <x:f>IF(C12=0,"",SUMIF('Species'!$G$2:$G$66,A12,'Species'!$U$2:$U$66))</x:f>
        <x:v>129731.38198588013</x:v>
      </x:c>
      <x:c r="J12" s="32" t="n">
        <x:v>3.2925056423756702</x:v>
      </x:c>
      <x:c r="K12" s="32" t="n">
        <x:f>IF(J12="","",(1/'Metadata'!$B$5)^(J12-1))</x:f>
        <x:v>196.1126654366296</x:v>
      </x:c>
      <x:c r="L12" s="31" t="n">
        <x:f>IF(E12=0,"",E12*K12)</x:f>
        <x:v>129429.04313746296</x:v>
      </x:c>
      <x:c r="M12" s="31" t="n">
        <x:f>IF(E12=0,"",I12-L12)</x:f>
        <x:v>302.3388484171737</x:v>
      </x:c>
      <x:c r="N12" s="32" t="n">
        <x:f>IF(L12=0,"",I12/L12)</x:f>
        <x:v>1.0023359428540013</x:v>
      </x:c>
      <x:c r="O12" s="34" t="n">
        <x:f>IF(L12=0,"",M12/L12)</x:f>
        <x:v>0.0023359428540012314</x:v>
      </x:c>
    </x:row>
    <x:row r="13" ht="18" customHeight="1">
      <x:c r="A13" s="24" t="str">
        <x:v>Medium pelagics (30 - 89 cm)</x:v>
      </x:c>
      <x:c r="B13" s="33" t="n">
        <x:v>6</x:v>
      </x:c>
      <x:c r="C13" s="33" t="n">
        <x:v>6</x:v>
      </x:c>
      <x:c r="D13" s="31" t="n">
        <x:v>285.8236845796</x:v>
      </x:c>
      <x:c r="E13" s="31" t="n">
        <x:v>285.8236845796</x:v>
      </x:c>
      <x:c r="F13" s="32" t="n">
        <x:v>0</x:v>
      </x:c>
      <x:c r="G13" s="34" t="n">
        <x:v>1</x:v>
      </x:c>
      <x:c r="H13" s="32" t="n">
        <x:f>IF(E13=0,"",I13/E13)</x:f>
        <x:v>739.2919373515855</x:v>
      </x:c>
      <x:c r="I13" s="31" t="n">
        <x:f>IF(C13=0,"",SUMIF('Species'!$G$2:$G$66,A13,'Species'!$U$2:$U$66))</x:f>
        <x:v>211307.145513821</x:v>
      </x:c>
      <x:c r="J13" s="32" t="n">
        <x:v>3.8298478741372466</x:v>
      </x:c>
      <x:c r="K13" s="32" t="n">
        <x:f>IF(J13="","",(1/'Metadata'!$B$5)^(J13-1))</x:f>
        <x:v>675.8461966644736</x:v>
      </x:c>
      <x:c r="L13" s="31" t="n">
        <x:f>IF(E13=0,"",E13*K13)</x:f>
        <x:v>193172.85013974883</x:v>
      </x:c>
      <x:c r="M13" s="31" t="n">
        <x:f>IF(E13=0,"",I13-L13)</x:f>
        <x:v>18134.295374072157</x:v>
      </x:c>
      <x:c r="N13" s="32" t="n">
        <x:f>IF(L13=0,"",I13/L13)</x:f>
        <x:v>1.0938760046298075</x:v>
      </x:c>
      <x:c r="O13" s="34" t="n">
        <x:f>IF(L13=0,"",M13/L13)</x:f>
        <x:v>0.09387600462980743</x:v>
      </x:c>
    </x:row>
    <x:row r="14" ht="18" customHeight="1">
      <x:c r="A14" s="24" t="str">
        <x:v>Medium reef assoc. fish (30 - 89 cm)</x:v>
      </x:c>
      <x:c r="B14" s="33" t="n">
        <x:v>12</x:v>
      </x:c>
      <x:c r="C14" s="33" t="n">
        <x:v>12</x:v>
      </x:c>
      <x:c r="D14" s="31" t="n">
        <x:v>366.74104194</x:v>
      </x:c>
      <x:c r="E14" s="31" t="n">
        <x:v>366.74104194</x:v>
      </x:c>
      <x:c r="F14" s="32" t="n">
        <x:v>0</x:v>
      </x:c>
      <x:c r="G14" s="34" t="n">
        <x:v>1</x:v>
      </x:c>
      <x:c r="H14" s="32" t="n">
        <x:f>IF(E14=0,"",I14/E14)</x:f>
        <x:v>796.2040338295437</x:v>
      </x:c>
      <x:c r="I14" s="31" t="n">
        <x:f>IF(C14=0,"",SUMIF('Species'!$G$2:$G$66,A14,'Species'!$U$2:$U$66))</x:f>
        <x:v>292000.6969634779</x:v>
      </x:c>
      <x:c r="J14" s="32" t="n">
        <x:v>3.7582943775577964</x:v>
      </x:c>
      <x:c r="K14" s="32" t="n">
        <x:f>IF(J14="","",(1/'Metadata'!$B$5)^(J14-1))</x:f>
        <x:v>573.184420578323</x:v>
      </x:c>
      <x:c r="L14" s="31" t="n">
        <x:f>IF(E14=0,"",E14*K14)</x:f>
        <x:v>210210.25162666937</x:v>
      </x:c>
      <x:c r="M14" s="31" t="n">
        <x:f>IF(E14=0,"",I14-L14)</x:f>
        <x:v>81790.44533680851</x:v>
      </x:c>
      <x:c r="N14" s="32" t="n">
        <x:f>IF(L14=0,"",I14/L14)</x:f>
        <x:v>1.3890887561567038</x:v>
      </x:c>
      <x:c r="O14" s="34" t="n">
        <x:f>IF(L14=0,"",M14/L14)</x:f>
        <x:v>0.3890887561567038</x:v>
      </x:c>
    </x:row>
    <x:row r="15" ht="18" customHeight="1">
      <x:c r="A15" s="24" t="str">
        <x:v>Other demersal invertebrates</x:v>
      </x:c>
      <x:c r="B15" s="33" t="n">
        <x:v>6</x:v>
      </x:c>
      <x:c r="C15" s="33" t="n">
        <x:v>6</x:v>
      </x:c>
      <x:c r="D15" s="31" t="n">
        <x:v>164.400857198</x:v>
      </x:c>
      <x:c r="E15" s="31" t="n">
        <x:v>164.400857198</x:v>
      </x:c>
      <x:c r="F15" s="32" t="n">
        <x:v>0</x:v>
      </x:c>
      <x:c r="G15" s="34" t="n">
        <x:v>1</x:v>
      </x:c>
      <x:c r="H15" s="32" t="n">
        <x:f>IF(E15=0,"",I15/E15)</x:f>
        <x:v>34.962045285228136</x:v>
      </x:c>
      <x:c r="I15" s="31" t="n">
        <x:f>IF(C15=0,"",SUMIF('Species'!$G$2:$G$66,A15,'Species'!$U$2:$U$66))</x:f>
        <x:v>5747.790214286801</x:v>
      </x:c>
      <x:c r="J15" s="32" t="n">
        <x:v>2.437581051059235</x:v>
      </x:c>
      <x:c r="K15" s="32" t="n">
        <x:f>IF(J15="","",(1/'Metadata'!$B$5)^(J15-1))</x:f>
        <x:v>27.389307448900325</x:v>
      </x:c>
      <x:c r="L15" s="31" t="n">
        <x:f>IF(E15=0,"",E15*K15)</x:f>
        <x:v>4502.82562265878</x:v>
      </x:c>
      <x:c r="M15" s="31" t="n">
        <x:f>IF(E15=0,"",I15-L15)</x:f>
        <x:v>1244.9645916280206</x:v>
      </x:c>
      <x:c r="N15" s="32" t="n">
        <x:f>IF(L15=0,"",I15/L15)</x:f>
        <x:v>1.276485188625383</x:v>
      </x:c>
      <x:c r="O15" s="34" t="n">
        <x:f>IF(L15=0,"",M15/L15)</x:f>
        <x:v>0.276485188625383</x:v>
      </x:c>
    </x:row>
    <x:row r="16" ht="18" customHeight="1">
      <x:c r="A16" s="24" t="str">
        <x:v>Shrimps</x:v>
      </x:c>
      <x:c r="B16" s="33" t="n">
        <x:v>1</x:v>
      </x:c>
      <x:c r="C16" s="33" t="n">
        <x:v>1</x:v>
      </x:c>
      <x:c r="D16" s="31" t="n">
        <x:v>73.11872439700001</x:v>
      </x:c>
      <x:c r="E16" s="31" t="n">
        <x:v>73.11872439700001</x:v>
      </x:c>
      <x:c r="F16" s="32" t="n">
        <x:v>0</x:v>
      </x:c>
      <x:c r="G16" s="34" t="n">
        <x:v>1</x:v>
      </x:c>
      <x:c r="H16" s="32" t="n">
        <x:f>IF(E16=0,"",I16/E16)</x:f>
        <x:v>50.11872336272725</x:v>
      </x:c>
      <x:c r="I16" s="31" t="n">
        <x:f>IF(C16=0,"",SUMIF('Species'!$G$2:$G$66,A16,'Species'!$U$2:$U$66))</x:f>
        <x:v>3664.6171206887393</x:v>
      </x:c>
      <x:c r="J16" s="32" t="n">
        <x:v>2.7</x:v>
      </x:c>
      <x:c r="K16" s="32" t="n">
        <x:f>IF(J16="","",(1/'Metadata'!$B$5)^(J16-1))</x:f>
        <x:v>50.11872336272725</x:v>
      </x:c>
      <x:c r="L16" s="31" t="n">
        <x:f>IF(E16=0,"",E16*K16)</x:f>
        <x:v>3664.6171206887393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benthopelagics (&lt;30 cm)</x:v>
      </x:c>
      <x:c r="B17" s="33" t="n">
        <x:v>1</x:v>
      </x:c>
      <x:c r="C17" s="33" t="n">
        <x:v>1</x:v>
      </x:c>
      <x:c r="D17" s="31" t="n">
        <x:v>0.455643497</x:v>
      </x:c>
      <x:c r="E17" s="31" t="n">
        <x:v>0.455643497</x:v>
      </x:c>
      <x:c r="F17" s="32" t="n">
        <x:v>0</x:v>
      </x:c>
      <x:c r="G17" s="34" t="n">
        <x:v>1</x:v>
      </x:c>
      <x:c r="H17" s="32" t="n">
        <x:f>IF(E17=0,"",I17/E17)</x:f>
        <x:v>107.1519305237606</x:v>
      </x:c>
      <x:c r="I17" s="31" t="n">
        <x:f>IF(C17=0,"",SUMIF('Species'!$G$2:$G$66,A17,'Species'!$U$2:$U$66))</x:f>
        <x:v>48.82308033414732</x:v>
      </x:c>
      <x:c r="J17" s="32" t="n">
        <x:v>3.0300000000000002</x:v>
      </x:c>
      <x:c r="K17" s="32" t="n">
        <x:f>IF(J17="","",(1/'Metadata'!$B$5)^(J17-1))</x:f>
        <x:v>107.1519305237607</x:v>
      </x:c>
      <x:c r="L17" s="31" t="n">
        <x:f>IF(E17=0,"",E17*K17)</x:f>
        <x:v>48.82308033414736</x:v>
      </x:c>
      <x:c r="M17" s="31" t="n">
        <x:f>IF(E17=0,"",I17-L17)</x:f>
        <x:v>-4.263256414560601e-14</x:v>
      </x:c>
      <x:c r="N17" s="32" t="n">
        <x:f>IF(L17=0,"",I17/L17)</x:f>
        <x:v>0.9999999999999991</x:v>
      </x:c>
      <x:c r="O17" s="34" t="n">
        <x:f>IF(L17=0,"",M17/L17)</x:f>
        <x:v>-8.732051286773964e-16</x:v>
      </x:c>
    </x:row>
    <x:row r="18" ht="18" customHeight="1">
      <x:c r="A18" s="24" t="str">
        <x:v>Small pelagics (&lt;30 cm)</x:v>
      </x:c>
      <x:c r="B18" s="33" t="n">
        <x:v>1</x:v>
      </x:c>
      <x:c r="C18" s="33" t="n">
        <x:v>1</x:v>
      </x:c>
      <x:c r="D18" s="31" t="n">
        <x:v>250</x:v>
      </x:c>
      <x:c r="E18" s="31" t="n">
        <x:v>250</x:v>
      </x:c>
      <x:c r="F18" s="32" t="n">
        <x:v>0</x:v>
      </x:c>
      <x:c r="G18" s="34" t="n">
        <x:v>1</x:v>
      </x:c>
      <x:c r="H18" s="32" t="n">
        <x:f>IF(E18=0,"",I18/E18)</x:f>
        <x:v>144.5439770745928</x:v>
      </x:c>
      <x:c r="I18" s="31" t="n">
        <x:f>IF(C18=0,"",SUMIF('Species'!$G$2:$G$66,A18,'Species'!$U$2:$U$66))</x:f>
        <x:v>36135.994268648195</x:v>
      </x:c>
      <x:c r="J18" s="32" t="n">
        <x:v>3.16</x:v>
      </x:c>
      <x:c r="K18" s="32" t="n">
        <x:f>IF(J18="","",(1/'Metadata'!$B$5)^(J18-1))</x:f>
        <x:v>144.5439770745928</x:v>
      </x:c>
      <x:c r="L18" s="31" t="n">
        <x:f>IF(E18=0,"",E18*K18)</x:f>
        <x:v>36135.994268648195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reef assoc. fish (&lt;30 cm)</x:v>
      </x:c>
      <x:c r="B19" s="33" t="n">
        <x:v>3</x:v>
      </x:c>
      <x:c r="C19" s="33" t="n">
        <x:v>3</x:v>
      </x:c>
      <x:c r="D19" s="31" t="n">
        <x:v>147.335483555</x:v>
      </x:c>
      <x:c r="E19" s="31" t="n">
        <x:v>147.335483555</x:v>
      </x:c>
      <x:c r="F19" s="32" t="n">
        <x:v>0</x:v>
      </x:c>
      <x:c r="G19" s="34" t="n">
        <x:v>1</x:v>
      </x:c>
      <x:c r="H19" s="32" t="n">
        <x:f>IF(E19=0,"",I19/E19)</x:f>
        <x:v>216.67249308020826</x:v>
      </x:c>
      <x:c r="I19" s="31" t="n">
        <x:f>IF(C19=0,"",SUMIF('Species'!$G$2:$G$66,A19,'Species'!$U$2:$U$66))</x:f>
        <x:v>31923.546541039872</x:v>
      </x:c>
      <x:c r="J19" s="32" t="n">
        <x:v>3.1046660470621354</x:v>
      </x:c>
      <x:c r="K19" s="32" t="n">
        <x:f>IF(J19="","",(1/'Metadata'!$B$5)^(J19-1))</x:f>
        <x:v>127.25241907925881</x:v>
      </x:c>
      <x:c r="L19" s="31" t="n">
        <x:f>IF(E19=0,"",E19*K19)</x:f>
        <x:v>18748.796698586106</x:v>
      </x:c>
      <x:c r="M19" s="31" t="n">
        <x:f>IF(E19=0,"",I19-L19)</x:f>
        <x:v>13174.749842453766</x:v>
      </x:c>
      <x:c r="N19" s="32" t="n">
        <x:f>IF(L19=0,"",I19/L19)</x:f>
        <x:v>1.7026984213577454</x:v>
      </x:c>
      <x:c r="O19" s="34" t="n">
        <x:f>IF(L19=0,"",M19/L19)</x:f>
        <x:v>0.7026984213577454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8294b2303414c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EEZ_474</x:v>
      </x:c>
      <x:c r="B2" s="24" t="str">
        <x:v>raw_filtered_tonnes</x:v>
      </x:c>
      <x:c r="C2" s="24" t="n">
        <x:v>2440.9497922336996</x:v>
      </x:c>
      <x:c r="D2" s="24" t="str">
        <x:v>tonnes</x:v>
      </x:c>
    </x:row>
    <x:row r="3" ht="18" customHeight="1">
      <x:c r="A3" s="24" t="str">
        <x:v>EEZ_474</x:v>
      </x:c>
      <x:c r="B3" s="24" t="str">
        <x:v>species_catch_tonnes</x:v>
      </x:c>
      <x:c r="C3" s="24" t="n">
        <x:v>2440.9497922337</x:v>
      </x:c>
      <x:c r="D3" s="24" t="str">
        <x:v>tonnes</x:v>
      </x:c>
    </x:row>
    <x:row r="4" ht="18" customHeight="1">
      <x:c r="A4" s="24" t="str">
        <x:v>EEZ_474</x:v>
      </x:c>
      <x:c r="B4" s="24" t="str">
        <x:v>catch_difference_tonnes</x:v>
      </x:c>
      <x:c r="C4" s="24" t="n">
        <x:v>4.547473508864641e-13</x:v>
      </x:c>
      <x:c r="D4" s="24" t="str">
        <x:v>tonnes</x:v>
      </x:c>
    </x:row>
    <x:row r="5" ht="18" customHeight="1">
      <x:c r="A5" s="24" t="str">
        <x:v>EEZ_474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EEZ_474</x:v>
      </x:c>
      <x:c r="B6" s="24" t="str">
        <x:v>matched_catch_tonnes</x:v>
      </x:c>
      <x:c r="C6" s="24" t="n">
        <x:v>2440.9497922337</x:v>
      </x:c>
      <x:c r="D6" s="24" t="str">
        <x:v>tonnes</x:v>
      </x:c>
    </x:row>
    <x:row r="7" ht="18" customHeight="1">
      <x:c r="A7" s="24" t="str">
        <x:v>EEZ_474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EEZ_474</x:v>
      </x:c>
      <x:c r="B8" s="24" t="str">
        <x:v>taxa_count</x:v>
      </x:c>
      <x:c r="C8" s="24" t="n">
        <x:v>65</x:v>
      </x:c>
      <x:c r="D8" s="24" t="str">
        <x:v>count</x:v>
      </x:c>
    </x:row>
    <x:row r="9" ht="18" customHeight="1">
      <x:c r="A9" s="24" t="str">
        <x:v>EEZ_474</x:v>
      </x:c>
      <x:c r="B9" s="24" t="str">
        <x:v>matched_taxa_count</x:v>
      </x:c>
      <x:c r="C9" s="24" t="n">
        <x:v>65</x:v>
      </x:c>
      <x:c r="D9" s="24" t="str">
        <x:v>count</x:v>
      </x:c>
    </x:row>
    <x:row r="10" ht="18" customHeight="1">
      <x:c r="A10" s="24" t="str">
        <x:v>EEZ_474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EEZ_474</x:v>
      </x:c>
      <x:c r="B11" s="24" t="str">
        <x:v>species_ppr</x:v>
      </x:c>
      <x:c r="C11" s="24" t="n">
        <x:v>1473241.0944450698</x:v>
      </x:c>
      <x:c r="D11" s="24" t="str">
        <x:v>tonnes_primary_production_equivalent</x:v>
      </x:c>
    </x:row>
    <x:row r="12" ht="18" customHeight="1">
      <x:c r="A12" s="24" t="str">
        <x:v>EEZ_474</x:v>
      </x:c>
      <x:c r="B12" s="24" t="str">
        <x:v>commercial_ppr</x:v>
      </x:c>
      <x:c r="C12" s="24" t="n">
        <x:v>1473241.09444507</x:v>
      </x:c>
      <x:c r="D12" s="24" t="str">
        <x:v>tonnes_primary_production_equivalent</x:v>
      </x:c>
    </x:row>
    <x:row r="13" ht="18" customHeight="1">
      <x:c r="A13" s="24" t="str">
        <x:v>EEZ_474</x:v>
      </x:c>
      <x:c r="B13" s="24" t="str">
        <x:v>functional_ppr</x:v>
      </x:c>
      <x:c r="C13" s="24" t="n">
        <x:v>1473241.0944450698</x:v>
      </x:c>
      <x:c r="D13" s="24" t="str">
        <x:v>tonnes_primary_production_equivalent</x:v>
      </x:c>
    </x:row>
    <x:row r="14" ht="18" customHeight="1">
      <x:c r="A14" s="24" t="str">
        <x:v>EEZ_474</x:v>
      </x:c>
      <x:c r="B14" s="24" t="str">
        <x:v>commercial_ppr_difference</x:v>
      </x:c>
      <x:c r="C14" s="24" t="n">
        <x:v>2.3283064365386963e-10</x:v>
      </x:c>
      <x:c r="D14" s="24" t="str">
        <x:v>tonnes_primary_production_equivalent</x:v>
      </x:c>
    </x:row>
    <x:row r="15" ht="18" customHeight="1">
      <x:c r="A15" s="24" t="str">
        <x:v>EEZ_474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EEZ_474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EEZ_474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EEZ_474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EEZ_474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f0ecb5f44bd49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EEZ_474 - Martinique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EEZ_474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