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d6ed7bef7541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04f6850151ec423b"/>
    <x:sheet xmlns:r="http://schemas.openxmlformats.org/officeDocument/2006/relationships" name="Commercial" sheetId="2" r:id="R9f1dd8d2c59f4ccb"/>
    <x:sheet xmlns:r="http://schemas.openxmlformats.org/officeDocument/2006/relationships" name="Functional" sheetId="3" r:id="R47bd98b7f8694f02"/>
    <x:sheet xmlns:r="http://schemas.openxmlformats.org/officeDocument/2006/relationships" name="Missing TL" sheetId="4" r:id="R94081b20a04b4fee"/>
    <x:sheet xmlns:r="http://schemas.openxmlformats.org/officeDocument/2006/relationships" name="Validation" sheetId="5" r:id="Rb027b8d634f447c3"/>
    <x:sheet xmlns:r="http://schemas.openxmlformats.org/officeDocument/2006/relationships" name="Metadata" sheetId="6" r:id="R9742a8c5d50442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b5b510b4044ce3" /><Relationship Type="http://schemas.openxmlformats.org/officeDocument/2006/relationships/theme" Target="/xl/theme/theme1.xml" Id="R86617ca1d7e04cf9" /><Relationship Type="http://schemas.microsoft.com/office/2022/11/relationships/FeaturePropertyBag" Target="/xl/featurePropertyBag/featurePropertyBag.xml" Id="Re9ca73dc8d384b4f" /><Relationship Type="http://schemas.openxmlformats.org/officeDocument/2006/relationships/sharedStrings" Target="/xl/sharedStrings.xml" Id="Rebcb6f76fbf24781" /><Relationship Type="http://schemas.openxmlformats.org/officeDocument/2006/relationships/worksheet" Target="/xl/worksheets/sheet1.xml" Id="R04f6850151ec423b" /><Relationship Type="http://schemas.openxmlformats.org/officeDocument/2006/relationships/worksheet" Target="/xl/worksheets/sheet2.xml" Id="R9f1dd8d2c59f4ccb" /><Relationship Type="http://schemas.openxmlformats.org/officeDocument/2006/relationships/worksheet" Target="/xl/worksheets/sheet3.xml" Id="R47bd98b7f8694f02" /><Relationship Type="http://schemas.openxmlformats.org/officeDocument/2006/relationships/worksheet" Target="/xl/worksheets/sheet4.xml" Id="R94081b20a04b4fee" /><Relationship Type="http://schemas.openxmlformats.org/officeDocument/2006/relationships/worksheet" Target="/xl/worksheets/sheet5.xml" Id="Rb027b8d634f447c3" /><Relationship Type="http://schemas.openxmlformats.org/officeDocument/2006/relationships/worksheet" Target="/xl/worksheets/sheet6.xml" Id="R9742a8c5d504421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579SpeciesTable" displayName="EEZ579SpeciesTable" ref="A1:U7" headerRowCount="1" totalsRowCount="0" totalsRowShown="0">
  <x:autoFilter ref="A1:U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579CommercialTable" displayName="EEZ579CommercialTable" ref="A1:O4" headerRowCount="1" totalsRowCount="0" totalsRowShown="0">
  <x:autoFilter ref="A1:O4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579FunctionalTable" displayName="EEZ579FunctionalTable" ref="A1:O6" headerRowCount="1" totalsRowCount="0" totalsRowShown="0">
  <x:autoFilter ref="A1:O6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579ValidationTable" displayName="EEZ579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2e23c0b9902443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f865b8fbb6a43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713d799213c415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b7e6f16105c437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EEZ_579</x:v>
      </x:c>
      <x:c r="B2" s="24" t="str">
        <x:v>Jan Mayen Isl. (Norway)</x:v>
      </x:c>
      <x:c r="C2" s="24" t="str">
        <x:v>EEZ</x:v>
      </x:c>
      <x:c r="D2" s="30" t="n">
        <x:v>2019</x:v>
      </x:c>
      <x:c r="E2" s="24" t="str">
        <x:v>Gadus morhua</x:v>
      </x:c>
      <x:c r="F2" s="24" t="str">
        <x:v>Atlantic cod</x:v>
      </x:c>
      <x:c r="G2" s="24" t="str">
        <x:v>Large benthopelagics (&gt;=90 cm)</x:v>
      </x:c>
      <x:c r="H2" s="24" t="str">
        <x:v>Cod-likes</x:v>
      </x:c>
      <x:c r="I2" s="31" t="n">
        <x:v>299.07090144130007</x:v>
      </x:c>
      <x:c r="J2" s="31" t="n">
        <x:v>298.21088557570005</x:v>
      </x:c>
      <x:c r="K2" s="31" t="n">
        <x:v>0.8600158656</x:v>
      </x:c>
      <x:c r="L2" s="31" t="n">
        <x:v>298.21088557570005</x:v>
      </x:c>
      <x:c r="M2" s="31" t="n">
        <x:v>0.8600158656</x:v>
      </x:c>
      <x:c r="N2" s="24" t="str">
        <x:v>gadus morhua</x:v>
      </x:c>
      <x:c r="O2" s="32" t="n">
        <x:v>4.09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Gadus morhua</x:v>
      </x:c>
      <x:c r="T2" s="32" t="n">
        <x:f>IF(O2="","",(1/'Metadata'!$B$5)^(O2-1))</x:f>
        <x:v>1230.268770812381</x:v>
      </x:c>
      <x:c r="U2" s="31" t="n">
        <x:f>IF(T2="","",I2*T2)</x:f>
        <x:v>367937.590301939</x:v>
      </x:c>
    </x:row>
    <x:row r="3" ht="18" customHeight="1">
      <x:c r="A3" s="24" t="str">
        <x:v>EEZ_579</x:v>
      </x:c>
      <x:c r="B3" s="24" t="str">
        <x:v>Jan Mayen Isl. (Norway)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209.5638909449</x:v>
      </x:c>
      <x:c r="J3" s="31" t="n">
        <x:v>209.48223685600001</x:v>
      </x:c>
      <x:c r="K3" s="31" t="n">
        <x:v>0.0816540889</x:v>
      </x:c>
      <x:c r="L3" s="31" t="n">
        <x:v>209.48223685600001</x:v>
      </x:c>
      <x:c r="M3" s="31" t="n">
        <x:v>0.0816540889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39931.576209904066</x:v>
      </x:c>
    </x:row>
    <x:row r="4" ht="18" customHeight="1">
      <x:c r="A4" s="24" t="str">
        <x:v>EEZ_579</x:v>
      </x:c>
      <x:c r="B4" s="24" t="str">
        <x:v>Jan Mayen Isl. (Norway)</x:v>
      </x:c>
      <x:c r="C4" s="24" t="str">
        <x:v>EEZ</x:v>
      </x:c>
      <x:c r="D4" s="30" t="n">
        <x:v>2019</x:v>
      </x:c>
      <x:c r="E4" s="24" t="str">
        <x:v>Melanogrammus aeglefinus</x:v>
      </x:c>
      <x:c r="F4" s="24" t="str">
        <x:v>Haddock</x:v>
      </x:c>
      <x:c r="G4" s="24" t="str">
        <x:v>Medium demersals (30 - 89 cm)</x:v>
      </x:c>
      <x:c r="H4" s="24" t="str">
        <x:v>Cod-likes</x:v>
      </x:c>
      <x:c r="I4" s="31" t="n">
        <x:v>20.240636688800002</x:v>
      </x:c>
      <x:c r="J4" s="31" t="n">
        <x:v>20.240636688800002</x:v>
      </x:c>
      <x:c r="K4" s="31" t="n">
        <x:v>0</x:v>
      </x:c>
      <x:c r="L4" s="31" t="n">
        <x:v>20.240636688800002</x:v>
      </x:c>
      <x:c r="M4" s="31" t="n">
        <x:v>0</x:v>
      </x:c>
      <x:c r="N4" s="24" t="str">
        <x:v>melanogrammus aeglefinus</x:v>
      </x:c>
      <x:c r="O4" s="32" t="n">
        <x:v>4.03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Melanogrammus aeglefinus</x:v>
      </x:c>
      <x:c r="T4" s="32" t="n">
        <x:f>IF(O4="","",(1/'Metadata'!$B$5)^(O4-1))</x:f>
        <x:v>1071.519305237607</x:v>
      </x:c>
      <x:c r="U4" s="31" t="n">
        <x:f>IF(T4="","",I4*T4)</x:f>
        <x:v>21688.232962349797</x:v>
      </x:c>
    </x:row>
    <x:row r="5" ht="18" customHeight="1">
      <x:c r="A5" s="24" t="str">
        <x:v>EEZ_579</x:v>
      </x:c>
      <x:c r="B5" s="24" t="str">
        <x:v>Jan Mayen Isl. (Norway)</x:v>
      </x:c>
      <x:c r="C5" s="24" t="str">
        <x:v>EEZ</x:v>
      </x:c>
      <x:c r="D5" s="30" t="n">
        <x:v>2019</x:v>
      </x:c>
      <x:c r="E5" s="24" t="str">
        <x:v>Sebastes</x:v>
      </x:c>
      <x:c r="F5" s="24" t="str">
        <x:v>Redfishes</x:v>
      </x:c>
      <x:c r="G5" s="24" t="str">
        <x:v>Large reef assoc. fish (&gt;=90 cm)</x:v>
      </x:c>
      <x:c r="H5" s="24" t="str">
        <x:v>Scorpionfishes</x:v>
      </x:c>
      <x:c r="I5" s="31" t="n">
        <x:v>4.5150106076</x:v>
      </x:c>
      <x:c r="J5" s="31" t="n">
        <x:v>4.5150106076</x:v>
      </x:c>
      <x:c r="K5" s="31" t="n">
        <x:v>0</x:v>
      </x:c>
      <x:c r="L5" s="31" t="n">
        <x:v>4.5150106076</x:v>
      </x:c>
      <x:c r="M5" s="31" t="n">
        <x:v>0</x:v>
      </x:c>
      <x:c r="N5" s="24" t="str">
        <x:v>sebastes</x:v>
      </x:c>
      <x:c r="O5" s="32" t="n">
        <x:v>3.79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Sebastes</x:v>
      </x:c>
      <x:c r="T5" s="32" t="n">
        <x:f>IF(O5="","",(1/'Metadata'!$B$5)^(O5-1))</x:f>
        <x:v>616.5950018614822</x:v>
      </x:c>
      <x:c r="U5" s="31" t="n">
        <x:f>IF(T5="","",I5*T5)</x:f>
        <x:v>2783.932973997734</x:v>
      </x:c>
    </x:row>
    <x:row r="6" ht="18" customHeight="1">
      <x:c r="A6" s="24" t="str">
        <x:v>EEZ_579</x:v>
      </x:c>
      <x:c r="B6" s="24" t="str">
        <x:v>Jan Mayen Isl. (Norway)</x:v>
      </x:c>
      <x:c r="C6" s="24" t="str">
        <x:v>EEZ</x:v>
      </x:c>
      <x:c r="D6" s="30" t="n">
        <x:v>2019</x:v>
      </x:c>
      <x:c r="E6" s="24" t="str">
        <x:v>Micromesistius poutassou</x:v>
      </x:c>
      <x:c r="F6" s="24" t="str">
        <x:v>Blue whiting</x:v>
      </x:c>
      <x:c r="G6" s="24" t="str">
        <x:v>Medium benthopelagics (30 - 89 cm)</x:v>
      </x:c>
      <x:c r="H6" s="24" t="str">
        <x:v>Cod-likes</x:v>
      </x:c>
      <x:c r="I6" s="31" t="n">
        <x:v>0.7248402790999999</x:v>
      </x:c>
      <x:c r="J6" s="31" t="n">
        <x:v>0.7248402790999999</x:v>
      </x:c>
      <x:c r="K6" s="31" t="n">
        <x:v>0</x:v>
      </x:c>
      <x:c r="L6" s="31" t="n">
        <x:v>0.7248402790999999</x:v>
      </x:c>
      <x:c r="M6" s="31" t="n">
        <x:v>0</x:v>
      </x:c>
      <x:c r="N6" s="24" t="str">
        <x:v>micromesistius poutassou</x:v>
      </x:c>
      <x:c r="O6" s="32" t="n">
        <x:v>4.13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Micromesistius poutassou</x:v>
      </x:c>
      <x:c r="T6" s="32" t="n">
        <x:f>IF(O6="","",(1/'Metadata'!$B$5)^(O6-1))</x:f>
        <x:v>1348.9628825916532</x:v>
      </x:c>
      <x:c r="U6" s="31" t="n">
        <x:f>IF(T6="","",I6*T6)</x:f>
        <x:v>977.7826323132743</x:v>
      </x:c>
    </x:row>
    <x:row r="7" ht="18" customHeight="1">
      <x:c r="A7" s="24" t="str">
        <x:v>EEZ_579</x:v>
      </x:c>
      <x:c r="B7" s="24" t="str">
        <x:v>Jan Mayen Isl. (Norway)</x:v>
      </x:c>
      <x:c r="C7" s="24" t="str">
        <x:v>EEZ</x:v>
      </x:c>
      <x:c r="D7" s="30" t="n">
        <x:v>2019</x:v>
      </x:c>
      <x:c r="E7" s="24" t="str">
        <x:v>Lophiidae</x:v>
      </x:c>
      <x:c r="F7" s="24" t="str">
        <x:v>Goosefishes</x:v>
      </x:c>
      <x:c r="G7" s="24" t="str">
        <x:v>Medium bathydemersals (30 - 89 cm)</x:v>
      </x:c>
      <x:c r="H7" s="24" t="str">
        <x:v>Other fishes &amp; inverts</x:v>
      </x:c>
      <x:c r="I7" s="31" t="n">
        <x:v>0.0381784917</x:v>
      </x:c>
      <x:c r="J7" s="31" t="n">
        <x:v>0.0381784917</x:v>
      </x:c>
      <x:c r="K7" s="31" t="n">
        <x:v>0</x:v>
      </x:c>
      <x:c r="L7" s="31" t="n">
        <x:v>0.0381784917</x:v>
      </x:c>
      <x:c r="M7" s="31" t="n">
        <x:v>0</x:v>
      </x:c>
      <x:c r="N7" s="24" t="str">
        <x:v>lophiidae</x:v>
      </x:c>
      <x:c r="O7" s="32" t="n">
        <x:v>4.46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Lophiidae</x:v>
      </x:c>
      <x:c r="T7" s="32" t="n">
        <x:f>IF(O7="","",(1/'Metadata'!$B$5)^(O7-1))</x:f>
        <x:v>2884.031503126606</x:v>
      </x:c>
      <x:c r="U7" s="31" t="n">
        <x:f>IF(T7="","",I7*T7)</x:f>
        <x:v>110.10797280465763</x:v>
      </x:c>
    </x:row>
  </x:sheetData>
  <x:conditionalFormatting sqref="R2:R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a2e23c0b9902443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Cod-likes</x:v>
      </x:c>
      <x:c r="B2" s="33" t="n">
        <x:v>3</x:v>
      </x:c>
      <x:c r="C2" s="33" t="n">
        <x:v>3</x:v>
      </x:c>
      <x:c r="D2" s="31" t="n">
        <x:v>320.0363784092001</x:v>
      </x:c>
      <x:c r="E2" s="31" t="n">
        <x:v>320.0363784092001</x:v>
      </x:c>
      <x:c r="F2" s="32" t="n">
        <x:v>0</x:v>
      </x:c>
      <x:c r="G2" s="34" t="n">
        <x:v>1</x:v>
      </x:c>
      <x:c r="H2" s="32" t="n">
        <x:f>IF(E2=0,"",I2/E2)</x:f>
        <x:v>1220.4975191825672</x:v>
      </x:c>
      <x:c r="I2" s="31" t="n">
        <x:f>IF(C2=0,"",SUMIF('Species'!$H$2:$H$7,A2,'Species'!$U$2:$U$7))</x:f>
        <x:v>390603.60589660204</x:v>
      </x:c>
      <x:c r="J2" s="32" t="n">
        <x:v>4.086295906746424</x:v>
      </x:c>
      <x:c r="K2" s="32" t="n">
        <x:f>IF(J2="","",(1/'Metadata'!$B$5)^(J2-1))</x:f>
        <x:v>1219.8204410679675</x:v>
      </x:c>
      <x:c r="L2" s="31" t="n">
        <x:f>IF(E2=0,"",E2*K2)</x:f>
        <x:v>390386.9162689054</x:v>
      </x:c>
      <x:c r="M2" s="31" t="n">
        <x:f>IF(E2=0,"",I2-L2)</x:f>
        <x:v>216.68962769664358</x:v>
      </x:c>
      <x:c r="N2" s="32" t="n">
        <x:f>IF(L2=0,"",I2/L2)</x:f>
        <x:v>1.000555063755127</x:v>
      </x:c>
      <x:c r="O2" s="34" t="n">
        <x:f>IF(L2=0,"",M2/L2)</x:f>
        <x:v>0.0005550637551269365</x:v>
      </x:c>
    </x:row>
    <x:row r="3" ht="18" customHeight="1">
      <x:c r="A3" s="24" t="str">
        <x:v>Other fishes &amp; inverts</x:v>
      </x:c>
      <x:c r="B3" s="33" t="n">
        <x:v>2</x:v>
      </x:c>
      <x:c r="C3" s="33" t="n">
        <x:v>2</x:v>
      </x:c>
      <x:c r="D3" s="31" t="n">
        <x:v>209.6020694366</x:v>
      </x:c>
      <x:c r="E3" s="31" t="n">
        <x:v>209.6020694366</x:v>
      </x:c>
      <x:c r="F3" s="32" t="n">
        <x:v>0</x:v>
      </x:c>
      <x:c r="G3" s="34" t="n">
        <x:v>1</x:v>
      </x:c>
      <x:c r="H3" s="32" t="n">
        <x:f>IF(E3=0,"",I3/E3)</x:f>
        <x:v>191.03668341795859</x:v>
      </x:c>
      <x:c r="I3" s="31" t="n">
        <x:f>IF(C3=0,"",SUMIF('Species'!$H$2:$H$7,A3,'Species'!$U$2:$U$7))</x:f>
        <x:v>40041.68418270873</x:v>
      </x:c>
      <x:c r="J3" s="32" t="n">
        <x:v>3.280214934043004</x:v>
      </x:c>
      <x:c r="K3" s="32" t="n">
        <x:f>IF(J3="","",(1/'Metadata'!$B$5)^(J3-1))</x:f>
        <x:v>190.64039713390926</x:v>
      </x:c>
      <x:c r="L3" s="31" t="n">
        <x:f>IF(E3=0,"",E3*K3)</x:f>
        <x:v>39958.62175748265</x:v>
      </x:c>
      <x:c r="M3" s="31" t="n">
        <x:f>IF(E3=0,"",I3-L3)</x:f>
        <x:v>83.06242522607499</x:v>
      </x:c>
      <x:c r="N3" s="32" t="n">
        <x:f>IF(L3=0,"",I3/L3)</x:f>
        <x:v>1.0020787109658136</x:v>
      </x:c>
      <x:c r="O3" s="34" t="n">
        <x:f>IF(L3=0,"",M3/L3)</x:f>
        <x:v>0.0020787109658135473</x:v>
      </x:c>
    </x:row>
    <x:row r="4" ht="18" customHeight="1">
      <x:c r="A4" s="24" t="str">
        <x:v>Scorpionfishes</x:v>
      </x:c>
      <x:c r="B4" s="33" t="n">
        <x:v>1</x:v>
      </x:c>
      <x:c r="C4" s="33" t="n">
        <x:v>1</x:v>
      </x:c>
      <x:c r="D4" s="31" t="n">
        <x:v>4.5150106076</x:v>
      </x:c>
      <x:c r="E4" s="31" t="n">
        <x:v>4.5150106076</x:v>
      </x:c>
      <x:c r="F4" s="32" t="n">
        <x:v>0</x:v>
      </x:c>
      <x:c r="G4" s="34" t="n">
        <x:v>1</x:v>
      </x:c>
      <x:c r="H4" s="32" t="n">
        <x:f>IF(E4=0,"",I4/E4)</x:f>
        <x:v>616.5950018614822</x:v>
      </x:c>
      <x:c r="I4" s="31" t="n">
        <x:f>IF(C4=0,"",SUMIF('Species'!$H$2:$H$7,A4,'Species'!$U$2:$U$7))</x:f>
        <x:v>2783.932973997734</x:v>
      </x:c>
      <x:c r="J4" s="32" t="n">
        <x:v>3.7899999999999996</x:v>
      </x:c>
      <x:c r="K4" s="32" t="n">
        <x:f>IF(J4="","",(1/'Metadata'!$B$5)^(J4-1))</x:f>
        <x:v>616.5950018614816</x:v>
      </x:c>
      <x:c r="L4" s="31" t="n">
        <x:f>IF(E4=0,"",E4*K4)</x:f>
        <x:v>2783.932973997731</x:v>
      </x:c>
      <x:c r="M4" s="31" t="n">
        <x:f>IF(E4=0,"",I4-L4)</x:f>
        <x:v>2.7284841053187847e-12</x:v>
      </x:c>
      <x:c r="N4" s="32" t="n">
        <x:f>IF(L4=0,"",I4/L4)</x:f>
        <x:v>1.0000000000000009</x:v>
      </x:c>
      <x:c r="O4" s="34" t="n">
        <x:f>IF(L4=0,"",M4/L4)</x:f>
        <x:v>9.800825417864419e-16</x:v>
      </x:c>
    </x:row>
  </x:sheetData>
  <x:conditionalFormatting sqref="G2:G4">
    <x:cfRule type="cellIs" dxfId="1" priority="1" operator="lessThan">
      <x:formula>0.9</x:formula>
    </x:cfRule>
  </x:conditionalFormatting>
  <x:conditionalFormatting sqref="O2:O4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4f865b8fbb6a432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benthopelagics (&gt;=90 cm)</x:v>
      </x:c>
      <x:c r="B2" s="33" t="n">
        <x:v>1</x:v>
      </x:c>
      <x:c r="C2" s="33" t="n">
        <x:v>1</x:v>
      </x:c>
      <x:c r="D2" s="31" t="n">
        <x:v>299.07090144130007</x:v>
      </x:c>
      <x:c r="E2" s="31" t="n">
        <x:v>299.07090144130007</x:v>
      </x:c>
      <x:c r="F2" s="32" t="n">
        <x:v>0</x:v>
      </x:c>
      <x:c r="G2" s="34" t="n">
        <x:v>1</x:v>
      </x:c>
      <x:c r="H2" s="32" t="n">
        <x:f>IF(E2=0,"",I2/E2)</x:f>
        <x:v>1230.268770812381</x:v>
      </x:c>
      <x:c r="I2" s="31" t="n">
        <x:f>IF(C2=0,"",SUMIF('Species'!$G$2:$G$7,A2,'Species'!$U$2:$U$7))</x:f>
        <x:v>367937.590301939</x:v>
      </x:c>
      <x:c r="J2" s="32" t="n">
        <x:v>4.09</x:v>
      </x:c>
      <x:c r="K2" s="32" t="n">
        <x:f>IF(J2="","",(1/'Metadata'!$B$5)^(J2-1))</x:f>
        <x:v>1230.268770812381</x:v>
      </x:c>
      <x:c r="L2" s="31" t="n">
        <x:f>IF(E2=0,"",E2*K2)</x:f>
        <x:v>367937.590301939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Large reef assoc. fish (&gt;=90 cm)</x:v>
      </x:c>
      <x:c r="B3" s="33" t="n">
        <x:v>1</x:v>
      </x:c>
      <x:c r="C3" s="33" t="n">
        <x:v>1</x:v>
      </x:c>
      <x:c r="D3" s="31" t="n">
        <x:v>4.5150106076</x:v>
      </x:c>
      <x:c r="E3" s="31" t="n">
        <x:v>4.5150106076</x:v>
      </x:c>
      <x:c r="F3" s="32" t="n">
        <x:v>0</x:v>
      </x:c>
      <x:c r="G3" s="34" t="n">
        <x:v>1</x:v>
      </x:c>
      <x:c r="H3" s="32" t="n">
        <x:f>IF(E3=0,"",I3/E3)</x:f>
        <x:v>616.5950018614822</x:v>
      </x:c>
      <x:c r="I3" s="31" t="n">
        <x:f>IF(C3=0,"",SUMIF('Species'!$G$2:$G$7,A3,'Species'!$U$2:$U$7))</x:f>
        <x:v>2783.932973997734</x:v>
      </x:c>
      <x:c r="J3" s="32" t="n">
        <x:v>3.7899999999999996</x:v>
      </x:c>
      <x:c r="K3" s="32" t="n">
        <x:f>IF(J3="","",(1/'Metadata'!$B$5)^(J3-1))</x:f>
        <x:v>616.5950018614816</x:v>
      </x:c>
      <x:c r="L3" s="31" t="n">
        <x:f>IF(E3=0,"",E3*K3)</x:f>
        <x:v>2783.932973997731</x:v>
      </x:c>
      <x:c r="M3" s="31" t="n">
        <x:f>IF(E3=0,"",I3-L3)</x:f>
        <x:v>2.7284841053187847e-12</x:v>
      </x:c>
      <x:c r="N3" s="32" t="n">
        <x:f>IF(L3=0,"",I3/L3)</x:f>
        <x:v>1.0000000000000009</x:v>
      </x:c>
      <x:c r="O3" s="34" t="n">
        <x:f>IF(L3=0,"",M3/L3)</x:f>
        <x:v>9.800825417864419e-16</x:v>
      </x:c>
    </x:row>
    <x:row r="4" ht="18" customHeight="1">
      <x:c r="A4" s="24" t="str">
        <x:v>Medium bathydemersals (30 - 89 cm)</x:v>
      </x:c>
      <x:c r="B4" s="33" t="n">
        <x:v>1</x:v>
      </x:c>
      <x:c r="C4" s="33" t="n">
        <x:v>1</x:v>
      </x:c>
      <x:c r="D4" s="31" t="n">
        <x:v>0.0381784917</x:v>
      </x:c>
      <x:c r="E4" s="31" t="n">
        <x:v>0.0381784917</x:v>
      </x:c>
      <x:c r="F4" s="32" t="n">
        <x:v>0</x:v>
      </x:c>
      <x:c r="G4" s="34" t="n">
        <x:v>1</x:v>
      </x:c>
      <x:c r="H4" s="32" t="n">
        <x:f>IF(E4=0,"",I4/E4)</x:f>
        <x:v>2884.031503126606</x:v>
      </x:c>
      <x:c r="I4" s="31" t="n">
        <x:f>IF(C4=0,"",SUMIF('Species'!$G$2:$G$7,A4,'Species'!$U$2:$U$7))</x:f>
        <x:v>110.10797280465763</x:v>
      </x:c>
      <x:c r="J4" s="32" t="n">
        <x:v>4.46</x:v>
      </x:c>
      <x:c r="K4" s="32" t="n">
        <x:f>IF(J4="","",(1/'Metadata'!$B$5)^(J4-1))</x:f>
        <x:v>2884.031503126606</x:v>
      </x:c>
      <x:c r="L4" s="31" t="n">
        <x:f>IF(E4=0,"",E4*K4)</x:f>
        <x:v>110.10797280465763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Medium benthopelagics (30 - 89 cm)</x:v>
      </x:c>
      <x:c r="B5" s="33" t="n">
        <x:v>1</x:v>
      </x:c>
      <x:c r="C5" s="33" t="n">
        <x:v>1</x:v>
      </x:c>
      <x:c r="D5" s="31" t="n">
        <x:v>0.7248402790999999</x:v>
      </x:c>
      <x:c r="E5" s="31" t="n">
        <x:v>0.7248402790999999</x:v>
      </x:c>
      <x:c r="F5" s="32" t="n">
        <x:v>0</x:v>
      </x:c>
      <x:c r="G5" s="34" t="n">
        <x:v>1</x:v>
      </x:c>
      <x:c r="H5" s="32" t="n">
        <x:f>IF(E5=0,"",I5/E5)</x:f>
        <x:v>1348.9628825916532</x:v>
      </x:c>
      <x:c r="I5" s="31" t="n">
        <x:f>IF(C5=0,"",SUMIF('Species'!$G$2:$G$7,A5,'Species'!$U$2:$U$7))</x:f>
        <x:v>977.7826323132743</x:v>
      </x:c>
      <x:c r="J5" s="32" t="n">
        <x:v>4.13</x:v>
      </x:c>
      <x:c r="K5" s="32" t="n">
        <x:f>IF(J5="","",(1/'Metadata'!$B$5)^(J5-1))</x:f>
        <x:v>1348.9628825916532</x:v>
      </x:c>
      <x:c r="L5" s="31" t="n">
        <x:f>IF(E5=0,"",E5*K5)</x:f>
        <x:v>977.7826323132743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Medium demersals (30 - 89 cm)</x:v>
      </x:c>
      <x:c r="B6" s="33" t="n">
        <x:v>2</x:v>
      </x:c>
      <x:c r="C6" s="33" t="n">
        <x:v>2</x:v>
      </x:c>
      <x:c r="D6" s="31" t="n">
        <x:v>229.80452763370002</x:v>
      </x:c>
      <x:c r="E6" s="31" t="n">
        <x:v>229.80452763370002</x:v>
      </x:c>
      <x:c r="F6" s="32" t="n">
        <x:v>0</x:v>
      </x:c>
      <x:c r="G6" s="34" t="n">
        <x:v>1</x:v>
      </x:c>
      <x:c r="H6" s="32" t="n">
        <x:f>IF(E6=0,"",I6/E6)</x:f>
        <x:v>268.14010066187024</x:v>
      </x:c>
      <x:c r="I6" s="31" t="n">
        <x:f>IF(C6=0,"",SUMIF('Species'!$G$2:$G$7,A6,'Species'!$U$2:$U$7))</x:f>
        <x:v>61619.80917225387</x:v>
      </x:c>
      <x:c r="J6" s="32" t="n">
        <x:v>3.346058217707516</x:v>
      </x:c>
      <x:c r="K6" s="32" t="n">
        <x:f>IF(J6="","",(1/'Metadata'!$B$5)^(J6-1))</x:f>
        <x:v>221.84937916797247</x:v>
      </x:c>
      <x:c r="L6" s="31" t="n">
        <x:f>IF(E6=0,"",E6*K6)</x:f>
        <x:v>50981.991785525526</x:v>
      </x:c>
      <x:c r="M6" s="31" t="n">
        <x:f>IF(E6=0,"",I6-L6)</x:f>
        <x:v>10637.81738672834</x:v>
      </x:c>
      <x:c r="N6" s="32" t="n">
        <x:f>IF(L6=0,"",I6/L6)</x:f>
        <x:v>1.208658332367245</x:v>
      </x:c>
      <x:c r="O6" s="34" t="n">
        <x:f>IF(L6=0,"",M6/L6)</x:f>
        <x:v>0.20865833236724501</x:v>
      </x:c>
    </x:row>
  </x:sheetData>
  <x:conditionalFormatting sqref="G2:G6">
    <x:cfRule type="cellIs" dxfId="2" priority="1" operator="lessThan">
      <x:formula>0.9</x:formula>
    </x:cfRule>
  </x:conditionalFormatting>
  <x:conditionalFormatting sqref="O2:O6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5713d799213c415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EEZ_579</x:v>
      </x:c>
      <x:c r="B2" s="24" t="str">
        <x:v>raw_filtered_tonnes</x:v>
      </x:c>
      <x:c r="C2" s="24" t="n">
        <x:v>534.1534584534</x:v>
      </x:c>
      <x:c r="D2" s="24" t="str">
        <x:v>tonnes</x:v>
      </x:c>
    </x:row>
    <x:row r="3" ht="18" customHeight="1">
      <x:c r="A3" s="24" t="str">
        <x:v>EEZ_579</x:v>
      </x:c>
      <x:c r="B3" s="24" t="str">
        <x:v>species_catch_tonnes</x:v>
      </x:c>
      <x:c r="C3" s="24" t="n">
        <x:v>534.1534584534</x:v>
      </x:c>
      <x:c r="D3" s="24" t="str">
        <x:v>tonnes</x:v>
      </x:c>
    </x:row>
    <x:row r="4" ht="18" customHeight="1">
      <x:c r="A4" s="24" t="str">
        <x:v>EEZ_579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EEZ_579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EEZ_579</x:v>
      </x:c>
      <x:c r="B6" s="24" t="str">
        <x:v>matched_catch_tonnes</x:v>
      </x:c>
      <x:c r="C6" s="24" t="n">
        <x:v>534.1534584534</x:v>
      </x:c>
      <x:c r="D6" s="24" t="str">
        <x:v>tonnes</x:v>
      </x:c>
    </x:row>
    <x:row r="7" ht="18" customHeight="1">
      <x:c r="A7" s="24" t="str">
        <x:v>EEZ_579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EEZ_579</x:v>
      </x:c>
      <x:c r="B8" s="24" t="str">
        <x:v>taxa_count</x:v>
      </x:c>
      <x:c r="C8" s="24" t="n">
        <x:v>6</x:v>
      </x:c>
      <x:c r="D8" s="24" t="str">
        <x:v>count</x:v>
      </x:c>
    </x:row>
    <x:row r="9" ht="18" customHeight="1">
      <x:c r="A9" s="24" t="str">
        <x:v>EEZ_579</x:v>
      </x:c>
      <x:c r="B9" s="24" t="str">
        <x:v>matched_taxa_count</x:v>
      </x:c>
      <x:c r="C9" s="24" t="n">
        <x:v>6</x:v>
      </x:c>
      <x:c r="D9" s="24" t="str">
        <x:v>count</x:v>
      </x:c>
    </x:row>
    <x:row r="10" ht="18" customHeight="1">
      <x:c r="A10" s="24" t="str">
        <x:v>EEZ_579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EEZ_579</x:v>
      </x:c>
      <x:c r="B11" s="24" t="str">
        <x:v>species_ppr</x:v>
      </x:c>
      <x:c r="C11" s="24" t="n">
        <x:v>433429.22305330844</x:v>
      </x:c>
      <x:c r="D11" s="24" t="str">
        <x:v>tonnes_primary_production_equivalent</x:v>
      </x:c>
    </x:row>
    <x:row r="12" ht="18" customHeight="1">
      <x:c r="A12" s="24" t="str">
        <x:v>EEZ_579</x:v>
      </x:c>
      <x:c r="B12" s="24" t="str">
        <x:v>commercial_ppr</x:v>
      </x:c>
      <x:c r="C12" s="24" t="n">
        <x:v>433429.2230533085</x:v>
      </x:c>
      <x:c r="D12" s="24" t="str">
        <x:v>tonnes_primary_production_equivalent</x:v>
      </x:c>
    </x:row>
    <x:row r="13" ht="18" customHeight="1">
      <x:c r="A13" s="24" t="str">
        <x:v>EEZ_579</x:v>
      </x:c>
      <x:c r="B13" s="24" t="str">
        <x:v>functional_ppr</x:v>
      </x:c>
      <x:c r="C13" s="24" t="n">
        <x:v>433429.2230533085</x:v>
      </x:c>
      <x:c r="D13" s="24" t="str">
        <x:v>tonnes_primary_production_equivalent</x:v>
      </x:c>
    </x:row>
    <x:row r="14" ht="18" customHeight="1">
      <x:c r="A14" s="24" t="str">
        <x:v>EEZ_579</x:v>
      </x:c>
      <x:c r="B14" s="24" t="str">
        <x:v>commercial_ppr_difference</x:v>
      </x:c>
      <x:c r="C14" s="24" t="n">
        <x:v>5.820766091346741e-11</x:v>
      </x:c>
      <x:c r="D14" s="24" t="str">
        <x:v>tonnes_primary_production_equivalent</x:v>
      </x:c>
    </x:row>
    <x:row r="15" ht="18" customHeight="1">
      <x:c r="A15" s="24" t="str">
        <x:v>EEZ_579</x:v>
      </x:c>
      <x:c r="B15" s="24" t="str">
        <x:v>functional_ppr_difference</x:v>
      </x:c>
      <x:c r="C15" s="24" t="n">
        <x:v>5.820766091346741e-11</x:v>
      </x:c>
      <x:c r="D15" s="24" t="str">
        <x:v>tonnes_primary_production_equivalent</x:v>
      </x:c>
    </x:row>
    <x:row r="16" ht="18" customHeight="1">
      <x:c r="A16" s="24" t="str">
        <x:v>EEZ_579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EEZ_579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EEZ_579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EEZ_579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bb7e6f16105c437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EEZ_579 - Jan Mayen Isl. (Norway)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EEZ_579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raw_data/SAU_downloads/EEZ_579-catch.zip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