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1b78c297c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938bed84fde4d7a"/>
    <x:sheet xmlns:r="http://schemas.openxmlformats.org/officeDocument/2006/relationships" name="Commercial" sheetId="2" r:id="R19edc540da0b4b5e"/>
    <x:sheet xmlns:r="http://schemas.openxmlformats.org/officeDocument/2006/relationships" name="Functional" sheetId="3" r:id="R214c9813a8d6413c"/>
    <x:sheet xmlns:r="http://schemas.openxmlformats.org/officeDocument/2006/relationships" name="Missing TL" sheetId="4" r:id="R212be5a6e6424db1"/>
    <x:sheet xmlns:r="http://schemas.openxmlformats.org/officeDocument/2006/relationships" name="Validation" sheetId="5" r:id="Recbb97b5a3eb4c14"/>
    <x:sheet xmlns:r="http://schemas.openxmlformats.org/officeDocument/2006/relationships" name="Metadata" sheetId="6" r:id="R1d2a1c8ac22b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3c7ed20234ca7" /><Relationship Type="http://schemas.openxmlformats.org/officeDocument/2006/relationships/theme" Target="/xl/theme/theme1.xml" Id="R5052c949ecee4825" /><Relationship Type="http://schemas.microsoft.com/office/2022/11/relationships/FeaturePropertyBag" Target="/xl/featurePropertyBag/featurePropertyBag.xml" Id="R3cbe35a233614a4a" /><Relationship Type="http://schemas.openxmlformats.org/officeDocument/2006/relationships/sharedStrings" Target="/xl/sharedStrings.xml" Id="R53a466a0f6784348" /><Relationship Type="http://schemas.openxmlformats.org/officeDocument/2006/relationships/worksheet" Target="/xl/worksheets/sheet1.xml" Id="Re938bed84fde4d7a" /><Relationship Type="http://schemas.openxmlformats.org/officeDocument/2006/relationships/worksheet" Target="/xl/worksheets/sheet2.xml" Id="R19edc540da0b4b5e" /><Relationship Type="http://schemas.openxmlformats.org/officeDocument/2006/relationships/worksheet" Target="/xl/worksheets/sheet3.xml" Id="R214c9813a8d6413c" /><Relationship Type="http://schemas.openxmlformats.org/officeDocument/2006/relationships/worksheet" Target="/xl/worksheets/sheet4.xml" Id="R212be5a6e6424db1" /><Relationship Type="http://schemas.openxmlformats.org/officeDocument/2006/relationships/worksheet" Target="/xl/worksheets/sheet5.xml" Id="Recbb97b5a3eb4c14" /><Relationship Type="http://schemas.openxmlformats.org/officeDocument/2006/relationships/worksheet" Target="/xl/worksheets/sheet6.xml" Id="R1d2a1c8ac22b45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14SpeciesTable" displayName="EEZ414SpeciesTable" ref="A1:U23" headerRowCount="1" totalsRowCount="0" totalsRowShown="0">
  <x:autoFilter ref="A1:U2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14CommercialTable" displayName="EEZ414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14FunctionalTable" displayName="EEZ414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14ValidationTable" displayName="EEZ41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0b4dca6d6249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02b2abd17249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bd109ff67e4c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180dbb790f42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EEZ_414</x:v>
      </x:c>
      <x:c r="B2" s="24" t="str">
        <x:v>Kuwait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12199.680426526</x:v>
      </x:c>
      <x:c r="J2" s="31" t="n">
        <x:v>1549.776400426</x:v>
      </x:c>
      <x:c r="K2" s="31" t="n">
        <x:v>10649.904026100001</x:v>
      </x:c>
      <x:c r="L2" s="31" t="n">
        <x:v>954.999999932</x:v>
      </x:c>
      <x:c r="M2" s="31" t="n">
        <x:v>11244.680426594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2324601.1824450395</x:v>
      </x:c>
    </x:row>
    <x:row r="3" ht="18" customHeight="1">
      <x:c r="A3" s="24" t="str">
        <x:v>EEZ_414</x:v>
      </x:c>
      <x:c r="B3" s="24" t="str">
        <x:v>Kuwait</x:v>
      </x:c>
      <x:c r="C3" s="24" t="str">
        <x:v>EEZ</x:v>
      </x:c>
      <x:c r="D3" s="30" t="n">
        <x:v>2019</x:v>
      </x:c>
      <x:c r="E3" s="24" t="str">
        <x:v>Netuma thalassina</x:v>
      </x:c>
      <x:c r="F3" s="24" t="str">
        <x:v>Giant catfish</x:v>
      </x:c>
      <x:c r="G3" s="24" t="str">
        <x:v>Large demersals (&gt;=90 cm)</x:v>
      </x:c>
      <x:c r="H3" s="24" t="str">
        <x:v>Other fishes &amp; inverts</x:v>
      </x:c>
      <x:c r="I3" s="31" t="n">
        <x:v>5826.628994439</x:v>
      </x:c>
      <x:c r="J3" s="31" t="n">
        <x:v>247.937734315</x:v>
      </x:c>
      <x:c r="K3" s="31" t="n">
        <x:v>5578.691260124</x:v>
      </x:c>
      <x:c r="L3" s="31" t="n">
        <x:v>0</x:v>
      </x:c>
      <x:c r="M3" s="31" t="n">
        <x:v>5826.628994439</x:v>
      </x:c>
      <x:c r="N3" s="24" t="str">
        <x:v>netuma thalassina</x:v>
      </x:c>
      <x:c r="O3" s="32" t="n">
        <x:v>3.54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Netuma thalassina</x:v>
      </x:c>
      <x:c r="T3" s="32" t="n">
        <x:f>IF(O3="","",(1/'Metadata'!$B$5)^(O3-1))</x:f>
        <x:v>346.73685045253166</x:v>
      </x:c>
      <x:c r="U3" s="31" t="n">
        <x:f>IF(T3="","",I3*T3)</x:f>
        <x:v>2020306.9862871806</x:v>
      </x:c>
    </x:row>
    <x:row r="4" ht="18" customHeight="1">
      <x:c r="A4" s="24" t="str">
        <x:v>EEZ_414</x:v>
      </x:c>
      <x:c r="B4" s="24" t="str">
        <x:v>Kuwait</x:v>
      </x:c>
      <x:c r="C4" s="24" t="str">
        <x:v>EEZ</x:v>
      </x:c>
      <x:c r="D4" s="30" t="n">
        <x:v>2019</x:v>
      </x:c>
      <x:c r="E4" s="24" t="str">
        <x:v>Chondrichthyes</x:v>
      </x:c>
      <x:c r="F4" s="24" t="str">
        <x:v>Sharks, rays, chimaeras</x:v>
      </x:c>
      <x:c r="G4" s="24" t="str">
        <x:v>Large sharks (&gt;=90 cm)</x:v>
      </x:c>
      <x:c r="H4" s="24" t="str">
        <x:v>Sharks &amp; rays</x:v>
      </x:c>
      <x:c r="I4" s="31" t="n">
        <x:v>2681.695340191</x:v>
      </x:c>
      <x:c r="J4" s="31" t="n">
        <x:v>114.134034786</x:v>
      </x:c>
      <x:c r="K4" s="31" t="n">
        <x:v>2567.561305405</x:v>
      </x:c>
      <x:c r="L4" s="31" t="n">
        <x:v>0</x:v>
      </x:c>
      <x:c r="M4" s="31" t="n">
        <x:v>2681.695340191</x:v>
      </x:c>
      <x:c r="N4" s="24" t="str">
        <x:v>chondrichthyes</x:v>
      </x:c>
      <x:c r="O4" s="32" t="n">
        <x:v>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Chondrichthyes</x:v>
      </x:c>
      <x:c r="T4" s="32" t="n">
        <x:f>IF(O4="","",(1/'Metadata'!$B$5)^(O4-1))</x:f>
        <x:v>1000</x:v>
      </x:c>
      <x:c r="U4" s="31" t="n">
        <x:f>IF(T4="","",I4*T4)</x:f>
        <x:v>2681695.340191</x:v>
      </x:c>
    </x:row>
    <x:row r="5" ht="18" customHeight="1">
      <x:c r="A5" s="24" t="str">
        <x:v>EEZ_414</x:v>
      </x:c>
      <x:c r="B5" s="24" t="str">
        <x:v>Kuwait</x:v>
      </x:c>
      <x:c r="C5" s="24" t="str">
        <x:v>EEZ</x:v>
      </x:c>
      <x:c r="D5" s="30" t="n">
        <x:v>2019</x:v>
      </x:c>
      <x:c r="E5" s="24" t="str">
        <x:v>Decapoda</x:v>
      </x:c>
      <x:c r="F5" s="24" t="str">
        <x:v>Crabs, lobsters, shrimps</x:v>
      </x:c>
      <x:c r="G5" s="24" t="str">
        <x:v>Lobsters, crabs</x:v>
      </x:c>
      <x:c r="H5" s="24" t="str">
        <x:v>Crustaceans</x:v>
      </x:c>
      <x:c r="I5" s="31" t="n">
        <x:v>1202.099148149</x:v>
      </x:c>
      <x:c r="J5" s="31" t="n">
        <x:v>1202.099148149</x:v>
      </x:c>
      <x:c r="K5" s="31" t="n">
        <x:v>0</x:v>
      </x:c>
      <x:c r="L5" s="31" t="n">
        <x:v>918</x:v>
      </x:c>
      <x:c r="M5" s="31" t="n">
        <x:v>284.09914814900003</x:v>
      </x:c>
      <x:c r="N5" s="24" t="str">
        <x:v>decapoda</x:v>
      </x:c>
      <x:c r="O5" s="32" t="n">
        <x:v>3.43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Decapoda</x:v>
      </x:c>
      <x:c r="T5" s="32" t="n">
        <x:f>IF(O5="","",(1/'Metadata'!$B$5)^(O5-1))</x:f>
        <x:v>269.1534803926917</x:v>
      </x:c>
      <x:c r="U5" s="31" t="n">
        <x:f>IF(T5="","",I5*T5)</x:f>
        <x:v>323549.1695013932</x:v>
      </x:c>
    </x:row>
    <x:row r="6" ht="18" customHeight="1">
      <x:c r="A6" s="24" t="str">
        <x:v>EEZ_414</x:v>
      </x:c>
      <x:c r="B6" s="24" t="str">
        <x:v>Kuwait</x:v>
      </x:c>
      <x:c r="C6" s="24" t="str">
        <x:v>EEZ</x:v>
      </x:c>
      <x:c r="D6" s="30" t="n">
        <x:v>2019</x:v>
      </x:c>
      <x:c r="E6" s="24" t="str">
        <x:v>Otolithes ruber</x:v>
      </x:c>
      <x:c r="F6" s="24" t="str">
        <x:v>Tigertooth croaker</x:v>
      </x:c>
      <x:c r="G6" s="24" t="str">
        <x:v>Medium benthopelagics (30 - 89 cm)</x:v>
      </x:c>
      <x:c r="H6" s="24" t="str">
        <x:v>Perch-likes</x:v>
      </x:c>
      <x:c r="I6" s="31" t="n">
        <x:v>386.42999999</x:v>
      </x:c>
      <x:c r="J6" s="31" t="n">
        <x:v>386.42999999</x:v>
      </x:c>
      <x:c r="K6" s="31" t="n">
        <x:v>0</x:v>
      </x:c>
      <x:c r="L6" s="31" t="n">
        <x:v>264.99999999</x:v>
      </x:c>
      <x:c r="M6" s="31" t="n">
        <x:v>121.43</x:v>
      </x:c>
      <x:c r="N6" s="24" t="str">
        <x:v>otolithes ruber</x:v>
      </x:c>
      <x:c r="O6" s="32" t="n">
        <x:v>3.6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Otolithes ruber</x:v>
      </x:c>
      <x:c r="T6" s="32" t="n">
        <x:f>IF(O6="","",(1/'Metadata'!$B$5)^(O6-1))</x:f>
        <x:v>398.1071705534973</x:v>
      </x:c>
      <x:c r="U6" s="31" t="n">
        <x:f>IF(T6="","",I6*T6)</x:f>
        <x:v>153840.5539130069</x:v>
      </x:c>
    </x:row>
    <x:row r="7" ht="18" customHeight="1">
      <x:c r="A7" s="24" t="str">
        <x:v>EEZ_414</x:v>
      </x:c>
      <x:c r="B7" s="24" t="str">
        <x:v>Kuwait</x:v>
      </x:c>
      <x:c r="C7" s="24" t="str">
        <x:v>EEZ</x:v>
      </x:c>
      <x:c r="D7" s="30" t="n">
        <x:v>2019</x:v>
      </x:c>
      <x:c r="E7" s="24" t="str">
        <x:v>Carcharhinidae</x:v>
      </x:c>
      <x:c r="F7" s="24" t="str">
        <x:v>Requiem sharks</x:v>
      </x:c>
      <x:c r="G7" s="24" t="str">
        <x:v>Large sharks (&gt;=90 cm)</x:v>
      </x:c>
      <x:c r="H7" s="24" t="str">
        <x:v>Sharks &amp; rays</x:v>
      </x:c>
      <x:c r="I7" s="31" t="n">
        <x:v>122.330627808</x:v>
      </x:c>
      <x:c r="J7" s="31" t="n">
        <x:v>122.330627808</x:v>
      </x:c>
      <x:c r="K7" s="31" t="n">
        <x:v>0</x:v>
      </x:c>
      <x:c r="L7" s="31" t="n">
        <x:v>0</x:v>
      </x:c>
      <x:c r="M7" s="31" t="n">
        <x:v>122.330627808</x:v>
      </x:c>
      <x:c r="N7" s="24" t="str">
        <x:v>carcharhinidae</x:v>
      </x:c>
      <x:c r="O7" s="32" t="n">
        <x:v>4.24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Carcharhinidae</x:v>
      </x:c>
      <x:c r="T7" s="32" t="n">
        <x:f>IF(O7="","",(1/'Metadata'!$B$5)^(O7-1))</x:f>
        <x:v>1737.8008287493763</x:v>
      </x:c>
      <x:c r="U7" s="31" t="n">
        <x:f>IF(T7="","",I7*T7)</x:f>
        <x:v>212586.2663861739</x:v>
      </x:c>
    </x:row>
    <x:row r="8" ht="18" customHeight="1">
      <x:c r="A8" s="24" t="str">
        <x:v>EEZ_414</x:v>
      </x:c>
      <x:c r="B8" s="24" t="str">
        <x:v>Kuwait</x:v>
      </x:c>
      <x:c r="C8" s="24" t="str">
        <x:v>EEZ</x:v>
      </x:c>
      <x:c r="D8" s="30" t="n">
        <x:v>2019</x:v>
      </x:c>
      <x:c r="E8" s="24" t="str">
        <x:v>Serranidae</x:v>
      </x:c>
      <x:c r="F8" s="24" t="str">
        <x:v>Basses, groupers, hinds</x:v>
      </x:c>
      <x:c r="G8" s="24" t="str">
        <x:v>Medium reef assoc. fish (30 - 89 cm)</x:v>
      </x:c>
      <x:c r="H8" s="24" t="str">
        <x:v>Perch-likes</x:v>
      </x:c>
      <x:c r="I8" s="31" t="n">
        <x:v>122.00000000399999</x:v>
      </x:c>
      <x:c r="J8" s="31" t="n">
        <x:v>122.00000000399999</x:v>
      </x:c>
      <x:c r="K8" s="31" t="n">
        <x:v>0</x:v>
      </x:c>
      <x:c r="L8" s="31" t="n">
        <x:v>122.00000000399999</x:v>
      </x:c>
      <x:c r="M8" s="31" t="n">
        <x:v>0</x:v>
      </x:c>
      <x:c r="N8" s="24" t="str">
        <x:v>serranidae</x:v>
      </x:c>
      <x:c r="O8" s="32" t="n">
        <x:v>3.98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Serranidae</x:v>
      </x:c>
      <x:c r="T8" s="32" t="n">
        <x:f>IF(O8="","",(1/'Metadata'!$B$5)^(O8-1))</x:f>
        <x:v>954.992586021436</x:v>
      </x:c>
      <x:c r="U8" s="31" t="n">
        <x:f>IF(T8="","",I8*T8)</x:f>
        <x:v>116509.09549843514</x:v>
      </x:c>
    </x:row>
    <x:row r="9" ht="18" customHeight="1">
      <x:c r="A9" s="24" t="str">
        <x:v>EEZ_414</x:v>
      </x:c>
      <x:c r="B9" s="24" t="str">
        <x:v>Kuwait</x:v>
      </x:c>
      <x:c r="C9" s="24" t="str">
        <x:v>EEZ</x:v>
      </x:c>
      <x:c r="D9" s="30" t="n">
        <x:v>2019</x:v>
      </x:c>
      <x:c r="E9" s="24" t="str">
        <x:v>Epinephelus chlorostigma</x:v>
      </x:c>
      <x:c r="F9" s="24" t="str">
        <x:v>Brownspotted grouper</x:v>
      </x:c>
      <x:c r="G9" s="24" t="str">
        <x:v>Medium reef assoc. fish (30 - 89 cm)</x:v>
      </x:c>
      <x:c r="H9" s="24" t="str">
        <x:v>Perch-likes</x:v>
      </x:c>
      <x:c r="I9" s="31" t="n">
        <x:v>121.43</x:v>
      </x:c>
      <x:c r="J9" s="31" t="n">
        <x:v>121.43</x:v>
      </x:c>
      <x:c r="K9" s="31" t="n">
        <x:v>0</x:v>
      </x:c>
      <x:c r="L9" s="31" t="n">
        <x:v>0</x:v>
      </x:c>
      <x:c r="M9" s="31" t="n">
        <x:v>121.43</x:v>
      </x:c>
      <x:c r="N9" s="24" t="str">
        <x:v>epinephelus chlorostigma</x:v>
      </x:c>
      <x:c r="O9" s="32" t="n">
        <x:v>3.99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Epinephelus chlorostigma</x:v>
      </x:c>
      <x:c r="T9" s="32" t="n">
        <x:f>IF(O9="","",(1/'Metadata'!$B$5)^(O9-1))</x:f>
        <x:v>977.2372209558112</x:v>
      </x:c>
      <x:c r="U9" s="31" t="n">
        <x:f>IF(T9="","",I9*T9)</x:f>
        <x:v>118665.91574066416</x:v>
      </x:c>
    </x:row>
    <x:row r="10" ht="18" customHeight="1">
      <x:c r="A10" s="24" t="str">
        <x:v>EEZ_414</x:v>
      </x:c>
      <x:c r="B10" s="24" t="str">
        <x:v>Kuwait</x:v>
      </x:c>
      <x:c r="C10" s="24" t="str">
        <x:v>EEZ</x:v>
      </x:c>
      <x:c r="D10" s="30" t="n">
        <x:v>2019</x:v>
      </x:c>
      <x:c r="E10" s="24" t="str">
        <x:v>Sparidae</x:v>
      </x:c>
      <x:c r="F10" s="24" t="str">
        <x:v>Porgies, seabreams</x:v>
      </x:c>
      <x:c r="G10" s="24" t="str">
        <x:v>Medium benthopelagics (30 - 89 cm)</x:v>
      </x:c>
      <x:c r="H10" s="24" t="str">
        <x:v>Perch-likes</x:v>
      </x:c>
      <x:c r="I10" s="31" t="n">
        <x:v>121.43</x:v>
      </x:c>
      <x:c r="J10" s="31" t="n">
        <x:v>121.43</x:v>
      </x:c>
      <x:c r="K10" s="31" t="n">
        <x:v>0</x:v>
      </x:c>
      <x:c r="L10" s="31" t="n">
        <x:v>0</x:v>
      </x:c>
      <x:c r="M10" s="31" t="n">
        <x:v>121.43</x:v>
      </x:c>
      <x:c r="N10" s="24" t="str">
        <x:v>sparidae</x:v>
      </x:c>
      <x:c r="O10" s="32" t="n">
        <x:v>3.31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Sparidae</x:v>
      </x:c>
      <x:c r="T10" s="32" t="n">
        <x:f>IF(O10="","",(1/'Metadata'!$B$5)^(O10-1))</x:f>
        <x:v>204.17379446695296</x:v>
      </x:c>
      <x:c r="U10" s="31" t="n">
        <x:f>IF(T10="","",I10*T10)</x:f>
        <x:v>24792.8238621221</x:v>
      </x:c>
    </x:row>
    <x:row r="11" ht="18" customHeight="1">
      <x:c r="A11" s="24" t="str">
        <x:v>EEZ_414</x:v>
      </x:c>
      <x:c r="B11" s="24" t="str">
        <x:v>Kuwait</x:v>
      </x:c>
      <x:c r="C11" s="24" t="str">
        <x:v>EEZ</x:v>
      </x:c>
      <x:c r="D11" s="30" t="n">
        <x:v>2019</x:v>
      </x:c>
      <x:c r="E11" s="24" t="str">
        <x:v>Scomberomorus commerson</x:v>
      </x:c>
      <x:c r="F11" s="24" t="str">
        <x:v>Narrow-barred Spanish mackerel</x:v>
      </x:c>
      <x:c r="G11" s="24" t="str">
        <x:v>Large pelagics (&gt;=90 cm)</x:v>
      </x:c>
      <x:c r="H11" s="24" t="str">
        <x:v>Perch-likes</x:v>
      </x:c>
      <x:c r="I11" s="31" t="n">
        <x:v>115.99999999799999</x:v>
      </x:c>
      <x:c r="J11" s="31" t="n">
        <x:v>115.99999999799999</x:v>
      </x:c>
      <x:c r="K11" s="31" t="n">
        <x:v>0</x:v>
      </x:c>
      <x:c r="L11" s="31" t="n">
        <x:v>115.99999999799999</x:v>
      </x:c>
      <x:c r="M11" s="31" t="n">
        <x:v>0</x:v>
      </x:c>
      <x:c r="N11" s="24" t="str">
        <x:v>scomberomorus commerson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Scomberomorus commerson</x:v>
      </x:c>
      <x:c r="T11" s="32" t="n">
        <x:f>IF(O11="","",(1/'Metadata'!$B$5)^(O11-1))</x:f>
        <x:v>3162.2776601683795</x:v>
      </x:c>
      <x:c r="U11" s="31" t="n">
        <x:f>IF(T11="","",I11*T11)</x:f>
        <x:v>366824.20857320743</x:v>
      </x:c>
    </x:row>
    <x:row r="12" ht="18" customHeight="1">
      <x:c r="A12" s="24" t="str">
        <x:v>EEZ_414</x:v>
      </x:c>
      <x:c r="B12" s="24" t="str">
        <x:v>Kuwait</x:v>
      </x:c>
      <x:c r="C12" s="24" t="str">
        <x:v>EEZ</x:v>
      </x:c>
      <x:c r="D12" s="30" t="n">
        <x:v>2019</x:v>
      </x:c>
      <x:c r="E12" s="24" t="str">
        <x:v>Carangidae</x:v>
      </x:c>
      <x:c r="F12" s="24" t="str">
        <x:v>Jacks, pompanos</x:v>
      </x:c>
      <x:c r="G12" s="24" t="str">
        <x:v>Medium pelagics (30 - 89 cm)</x:v>
      </x:c>
      <x:c r="H12" s="24" t="str">
        <x:v>Perch-likes</x:v>
      </x:c>
      <x:c r="I12" s="31" t="n">
        <x:v>111</x:v>
      </x:c>
      <x:c r="J12" s="31" t="n">
        <x:v>111</x:v>
      </x:c>
      <x:c r="K12" s="31" t="n">
        <x:v>0</x:v>
      </x:c>
      <x:c r="L12" s="31" t="n">
        <x:v>111</x:v>
      </x:c>
      <x:c r="M12" s="31" t="n">
        <x:v>0</x:v>
      </x:c>
      <x:c r="N12" s="24" t="str">
        <x:v>carangidae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Carangidae</x:v>
      </x:c>
      <x:c r="T12" s="32" t="n">
        <x:f>IF(O12="","",(1/'Metadata'!$B$5)^(O12-1))</x:f>
        <x:v>1122.018454301963</x:v>
      </x:c>
      <x:c r="U12" s="31" t="n">
        <x:f>IF(T12="","",I12*T12)</x:f>
        <x:v>124544.04842751789</x:v>
      </x:c>
    </x:row>
    <x:row r="13" ht="18" customHeight="1">
      <x:c r="A13" s="24" t="str">
        <x:v>EEZ_414</x:v>
      </x:c>
      <x:c r="B13" s="24" t="str">
        <x:v>Kuwait</x:v>
      </x:c>
      <x:c r="C13" s="24" t="str">
        <x:v>EEZ</x:v>
      </x:c>
      <x:c r="D13" s="30" t="n">
        <x:v>2019</x:v>
      </x:c>
      <x:c r="E13" s="24" t="str">
        <x:v>Clupeiformes</x:v>
      </x:c>
      <x:c r="F13" s="24" t="str">
        <x:v>Herrings, shads, anchovies</x:v>
      </x:c>
      <x:c r="G13" s="24" t="str">
        <x:v>Small pelagics (&lt;30 cm)</x:v>
      </x:c>
      <x:c r="H13" s="24" t="str">
        <x:v>Other fishes &amp; inverts</x:v>
      </x:c>
      <x:c r="I13" s="31" t="n">
        <x:v>99.00000000600001</x:v>
      </x:c>
      <x:c r="J13" s="31" t="n">
        <x:v>99.00000000600001</x:v>
      </x:c>
      <x:c r="K13" s="31" t="n">
        <x:v>0</x:v>
      </x:c>
      <x:c r="L13" s="31" t="n">
        <x:v>99.00000000600001</x:v>
      </x:c>
      <x:c r="M13" s="31" t="n">
        <x:v>0</x:v>
      </x:c>
      <x:c r="N13" s="24" t="str">
        <x:v>clupeiformes</x:v>
      </x:c>
      <x:c r="O13" s="32" t="n">
        <x:v>3.24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Clupeiformes</x:v>
      </x:c>
      <x:c r="T13" s="32" t="n">
        <x:f>IF(O13="","",(1/'Metadata'!$B$5)^(O13-1))</x:f>
        <x:v>173.78008287493762</x:v>
      </x:c>
      <x:c r="U13" s="31" t="n">
        <x:f>IF(T13="","",I13*T13)</x:f>
        <x:v>17204.228205661508</x:v>
      </x:c>
    </x:row>
    <x:row r="14" ht="18" customHeight="1">
      <x:c r="A14" s="24" t="str">
        <x:v>EEZ_414</x:v>
      </x:c>
      <x:c r="B14" s="24" t="str">
        <x:v>Kuwait</x:v>
      </x:c>
      <x:c r="C14" s="24" t="str">
        <x:v>EEZ</x:v>
      </x:c>
      <x:c r="D14" s="30" t="n">
        <x:v>2019</x:v>
      </x:c>
      <x:c r="E14" s="24" t="str">
        <x:v>Pampus argenteus</x:v>
      </x:c>
      <x:c r="F14" s="24" t="str">
        <x:v>Silver pomfret</x:v>
      </x:c>
      <x:c r="G14" s="24" t="str">
        <x:v>Medium benthopelagics (30 - 89 cm)</x:v>
      </x:c>
      <x:c r="H14" s="24" t="str">
        <x:v>Perch-likes</x:v>
      </x:c>
      <x:c r="I14" s="31" t="n">
        <x:v>92</x:v>
      </x:c>
      <x:c r="J14" s="31" t="n">
        <x:v>92</x:v>
      </x:c>
      <x:c r="K14" s="31" t="n">
        <x:v>0</x:v>
      </x:c>
      <x:c r="L14" s="31" t="n">
        <x:v>92</x:v>
      </x:c>
      <x:c r="M14" s="31" t="n">
        <x:v>0</x:v>
      </x:c>
      <x:c r="N14" s="24" t="str">
        <x:v>pampus argenteus</x:v>
      </x:c>
      <x:c r="O14" s="32" t="n">
        <x:v>3.3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Pampus argenteus</x:v>
      </x:c>
      <x:c r="T14" s="32" t="n">
        <x:f>IF(O14="","",(1/'Metadata'!$B$5)^(O14-1))</x:f>
        <x:v>199.52623149688787</x:v>
      </x:c>
      <x:c r="U14" s="31" t="n">
        <x:f>IF(T14="","",I14*T14)</x:f>
        <x:v>18356.413297713683</x:v>
      </x:c>
    </x:row>
    <x:row r="15" ht="18" customHeight="1">
      <x:c r="A15" s="24" t="str">
        <x:v>EEZ_414</x:v>
      </x:c>
      <x:c r="B15" s="24" t="str">
        <x:v>Kuwait</x:v>
      </x:c>
      <x:c r="C15" s="24" t="str">
        <x:v>EEZ</x:v>
      </x:c>
      <x:c r="D15" s="30" t="n">
        <x:v>2019</x:v>
      </x:c>
      <x:c r="E15" s="24" t="str">
        <x:v>Lethrinidae</x:v>
      </x:c>
      <x:c r="F15" s="24" t="str">
        <x:v>Emperors, scavengers</x:v>
      </x:c>
      <x:c r="G15" s="24" t="str">
        <x:v>Medium reef assoc. fish (30 - 89 cm)</x:v>
      </x:c>
      <x:c r="H15" s="24" t="str">
        <x:v>Perch-likes</x:v>
      </x:c>
      <x:c r="I15" s="31" t="n">
        <x:v>89.000000007</x:v>
      </x:c>
      <x:c r="J15" s="31" t="n">
        <x:v>89.000000007</x:v>
      </x:c>
      <x:c r="K15" s="31" t="n">
        <x:v>0</x:v>
      </x:c>
      <x:c r="L15" s="31" t="n">
        <x:v>89.000000007</x:v>
      </x:c>
      <x:c r="M15" s="31" t="n">
        <x:v>0</x:v>
      </x:c>
      <x:c r="N15" s="24" t="str">
        <x:v>lethrinidae</x:v>
      </x:c>
      <x:c r="O15" s="32" t="n">
        <x:v>3.59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Lethrinidae</x:v>
      </x:c>
      <x:c r="T15" s="32" t="n">
        <x:f>IF(O15="","",(1/'Metadata'!$B$5)^(O15-1))</x:f>
        <x:v>389.04514499428046</x:v>
      </x:c>
      <x:c r="U15" s="31" t="n">
        <x:f>IF(T15="","",I15*T15)</x:f>
        <x:v>34625.01790721428</x:v>
      </x:c>
    </x:row>
    <x:row r="16" ht="18" customHeight="1">
      <x:c r="A16" s="24" t="str">
        <x:v>EEZ_414</x:v>
      </x:c>
      <x:c r="B16" s="24" t="str">
        <x:v>Kuwait</x:v>
      </x:c>
      <x:c r="C16" s="24" t="str">
        <x:v>EEZ</x:v>
      </x:c>
      <x:c r="D16" s="30" t="n">
        <x:v>2019</x:v>
      </x:c>
      <x:c r="E16" s="24" t="str">
        <x:v>Rachycentron canadum</x:v>
      </x:c>
      <x:c r="F16" s="24" t="str">
        <x:v>Cobia</x:v>
      </x:c>
      <x:c r="G16" s="24" t="str">
        <x:v>Large pelagics (&gt;=90 cm)</x:v>
      </x:c>
      <x:c r="H16" s="24" t="str">
        <x:v>Perch-likes</x:v>
      </x:c>
      <x:c r="I16" s="31" t="n">
        <x:v>63.999999993</x:v>
      </x:c>
      <x:c r="J16" s="31" t="n">
        <x:v>63.999999993</x:v>
      </x:c>
      <x:c r="K16" s="31" t="n">
        <x:v>0</x:v>
      </x:c>
      <x:c r="L16" s="31" t="n">
        <x:v>63.999999993</x:v>
      </x:c>
      <x:c r="M16" s="31" t="n">
        <x:v>0</x:v>
      </x:c>
      <x:c r="N16" s="24" t="str">
        <x:v>rachycentron canadum</x:v>
      </x:c>
      <x:c r="O16" s="32" t="n">
        <x:v>3.96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Rachycentron canadum</x:v>
      </x:c>
      <x:c r="T16" s="32" t="n">
        <x:f>IF(O16="","",(1/'Metadata'!$B$5)^(O16-1))</x:f>
        <x:v>912.0108393559096</x:v>
      </x:c>
      <x:c r="U16" s="31" t="n">
        <x:f>IF(T16="","",I16*T16)</x:f>
        <x:v>58368.693712394146</x:v>
      </x:c>
    </x:row>
    <x:row r="17" ht="18" customHeight="1">
      <x:c r="A17" s="24" t="str">
        <x:v>EEZ_414</x:v>
      </x:c>
      <x:c r="B17" s="24" t="str">
        <x:v>Kuwait</x:v>
      </x:c>
      <x:c r="C17" s="24" t="str">
        <x:v>EEZ</x:v>
      </x:c>
      <x:c r="D17" s="30" t="n">
        <x:v>2019</x:v>
      </x:c>
      <x:c r="E17" s="24" t="str">
        <x:v>Scomberomorus guttatus</x:v>
      </x:c>
      <x:c r="F17" s="24" t="str">
        <x:v>Indo-Pacific king mackerel</x:v>
      </x:c>
      <x:c r="G17" s="24" t="str">
        <x:v>Medium pelagics (30 - 89 cm)</x:v>
      </x:c>
      <x:c r="H17" s="24" t="str">
        <x:v>Perch-likes</x:v>
      </x:c>
      <x:c r="I17" s="31" t="n">
        <x:v>48.999999994999996</x:v>
      </x:c>
      <x:c r="J17" s="31" t="n">
        <x:v>48.999999994999996</x:v>
      </x:c>
      <x:c r="K17" s="31" t="n">
        <x:v>0</x:v>
      </x:c>
      <x:c r="L17" s="31" t="n">
        <x:v>48.999999994999996</x:v>
      </x:c>
      <x:c r="M17" s="31" t="n">
        <x:v>0</x:v>
      </x:c>
      <x:c r="N17" s="24" t="str">
        <x:v>scomberomorus guttatus</x:v>
      </x:c>
      <x:c r="O17" s="32" t="n">
        <x:v>4.28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Scomberomorus guttatus</x:v>
      </x:c>
      <x:c r="T17" s="32" t="n">
        <x:f>IF(O17="","",(1/'Metadata'!$B$5)^(O17-1))</x:f>
        <x:v>1905.4607179632483</x:v>
      </x:c>
      <x:c r="U17" s="31" t="n">
        <x:f>IF(T17="","",I17*T17)</x:f>
        <x:v>93367.57517067186</x:v>
      </x:c>
    </x:row>
    <x:row r="18" ht="18" customHeight="1">
      <x:c r="A18" s="24" t="str">
        <x:v>EEZ_414</x:v>
      </x:c>
      <x:c r="B18" s="24" t="str">
        <x:v>Kuwait</x:v>
      </x:c>
      <x:c r="C18" s="24" t="str">
        <x:v>EEZ</x:v>
      </x:c>
      <x:c r="D18" s="30" t="n">
        <x:v>2019</x:v>
      </x:c>
      <x:c r="E18" s="24" t="str">
        <x:v>Nemipterus</x:v>
      </x:c>
      <x:c r="F18" s="24" t="str">
        <x:v>Threadfin breams</x:v>
      </x:c>
      <x:c r="G18" s="24" t="str">
        <x:v>Small demersals (&lt;30 cm)</x:v>
      </x:c>
      <x:c r="H18" s="24" t="str">
        <x:v>Perch-likes</x:v>
      </x:c>
      <x:c r="I18" s="31" t="n">
        <x:v>40.000000004</x:v>
      </x:c>
      <x:c r="J18" s="31" t="n">
        <x:v>40.000000004</x:v>
      </x:c>
      <x:c r="K18" s="31" t="n">
        <x:v>0</x:v>
      </x:c>
      <x:c r="L18" s="31" t="n">
        <x:v>40.000000004</x:v>
      </x:c>
      <x:c r="M18" s="31" t="n">
        <x:v>0</x:v>
      </x:c>
      <x:c r="N18" s="24" t="str">
        <x:v>nemipterus</x:v>
      </x:c>
      <x:c r="O18" s="32" t="n">
        <x:v>3.72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Nemipterus</x:v>
      </x:c>
      <x:c r="T18" s="32" t="n">
        <x:f>IF(O18="","",(1/'Metadata'!$B$5)^(O18-1))</x:f>
        <x:v>524.8074602497728</x:v>
      </x:c>
      <x:c r="U18" s="31" t="n">
        <x:f>IF(T18="","",I18*T18)</x:f>
        <x:v>20992.298412090142</x:v>
      </x:c>
    </x:row>
    <x:row r="19" ht="18" customHeight="1">
      <x:c r="A19" s="24" t="str">
        <x:v>EEZ_414</x:v>
      </x:c>
      <x:c r="B19" s="24" t="str">
        <x:v>Kuwait</x:v>
      </x:c>
      <x:c r="C19" s="24" t="str">
        <x:v>EEZ</x:v>
      </x:c>
      <x:c r="D19" s="30" t="n">
        <x:v>2019</x:v>
      </x:c>
      <x:c r="E19" s="24" t="str">
        <x:v>Sciaenidae</x:v>
      </x:c>
      <x:c r="F19" s="24" t="str">
        <x:v>Drums, croakers</x:v>
      </x:c>
      <x:c r="G19" s="24" t="str">
        <x:v>Medium demersals (30 - 89 cm)</x:v>
      </x:c>
      <x:c r="H19" s="24" t="str">
        <x:v>Perch-likes</x:v>
      </x:c>
      <x:c r="I19" s="31" t="n">
        <x:v>38.999999999</x:v>
      </x:c>
      <x:c r="J19" s="31" t="n">
        <x:v>38.999999999</x:v>
      </x:c>
      <x:c r="K19" s="31" t="n">
        <x:v>0</x:v>
      </x:c>
      <x:c r="L19" s="31" t="n">
        <x:v>38.999999999</x:v>
      </x:c>
      <x:c r="M19" s="31" t="n">
        <x:v>0</x:v>
      </x:c>
      <x:c r="N19" s="24" t="str">
        <x:v>sciaenidae</x:v>
      </x:c>
      <x:c r="O19" s="32" t="n">
        <x:v>3.76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Sciaenidae</x:v>
      </x:c>
      <x:c r="T19" s="32" t="n">
        <x:f>IF(O19="","",(1/'Metadata'!$B$5)^(O19-1))</x:f>
        <x:v>575.4399373371566</x:v>
      </x:c>
      <x:c r="U19" s="31" t="n">
        <x:f>IF(T19="","",I19*T19)</x:f>
        <x:v>22442.15755557367</x:v>
      </x:c>
    </x:row>
    <x:row r="20" ht="18" customHeight="1">
      <x:c r="A20" s="24" t="str">
        <x:v>EEZ_414</x:v>
      </x:c>
      <x:c r="B20" s="24" t="str">
        <x:v>Kuwait</x:v>
      </x:c>
      <x:c r="C20" s="24" t="str">
        <x:v>EEZ</x:v>
      </x:c>
      <x:c r="D20" s="30" t="n">
        <x:v>2019</x:v>
      </x:c>
      <x:c r="E20" s="24" t="str">
        <x:v>Argyrops spinifer</x:v>
      </x:c>
      <x:c r="F20" s="24" t="str">
        <x:v>King soldier bream</x:v>
      </x:c>
      <x:c r="G20" s="24" t="str">
        <x:v>Medium demersals (30 - 89 cm)</x:v>
      </x:c>
      <x:c r="H20" s="24" t="str">
        <x:v>Perch-likes</x:v>
      </x:c>
      <x:c r="I20" s="31" t="n">
        <x:v>31.000000002</x:v>
      </x:c>
      <x:c r="J20" s="31" t="n">
        <x:v>31.000000002</x:v>
      </x:c>
      <x:c r="K20" s="31" t="n">
        <x:v>0</x:v>
      </x:c>
      <x:c r="L20" s="31" t="n">
        <x:v>31.000000002</x:v>
      </x:c>
      <x:c r="M20" s="31" t="n">
        <x:v>0</x:v>
      </x:c>
      <x:c r="N20" s="24" t="str">
        <x:v>argyrops spinifer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Argyrops spinifer</x:v>
      </x:c>
      <x:c r="T20" s="32" t="n">
        <x:f>IF(O20="","",(1/'Metadata'!$B$5)^(O20-1))</x:f>
        <x:v>3090.295432513592</x:v>
      </x:c>
      <x:c r="U20" s="31" t="n">
        <x:f>IF(T20="","",I20*T20)</x:f>
        <x:v>95799.15841410194</x:v>
      </x:c>
    </x:row>
    <x:row r="21" ht="18" customHeight="1">
      <x:c r="A21" s="24" t="str">
        <x:v>EEZ_414</x:v>
      </x:c>
      <x:c r="B21" s="24" t="str">
        <x:v>Kuwait</x:v>
      </x:c>
      <x:c r="C21" s="24" t="str">
        <x:v>EEZ</x:v>
      </x:c>
      <x:c r="D21" s="30" t="n">
        <x:v>2019</x:v>
      </x:c>
      <x:c r="E21" s="24" t="str">
        <x:v>Haemulidae</x:v>
      </x:c>
      <x:c r="F21" s="24" t="str">
        <x:v>Grunts, sweetlips, bonnetmouths</x:v>
      </x:c>
      <x:c r="G21" s="24" t="str">
        <x:v>Medium demersals (30 - 89 cm)</x:v>
      </x:c>
      <x:c r="H21" s="24" t="str">
        <x:v>Perch-likes</x:v>
      </x:c>
      <x:c r="I21" s="31" t="n">
        <x:v>31</x:v>
      </x:c>
      <x:c r="J21" s="31" t="n">
        <x:v>31</x:v>
      </x:c>
      <x:c r="K21" s="31" t="n">
        <x:v>0</x:v>
      </x:c>
      <x:c r="L21" s="31" t="n">
        <x:v>31</x:v>
      </x:c>
      <x:c r="M21" s="31" t="n">
        <x:v>0</x:v>
      </x:c>
      <x:c r="N21" s="24" t="str">
        <x:v>haemulidae</x:v>
      </x:c>
      <x:c r="O21" s="32" t="n">
        <x:v>3.36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Haemulidae</x:v>
      </x:c>
      <x:c r="T21" s="32" t="n">
        <x:f>IF(O21="","",(1/'Metadata'!$B$5)^(O21-1))</x:f>
        <x:v>229.08676527677724</x:v>
      </x:c>
      <x:c r="U21" s="31" t="n">
        <x:f>IF(T21="","",I21*T21)</x:f>
        <x:v>7101.689723580094</x:v>
      </x:c>
    </x:row>
    <x:row r="22" ht="18" customHeight="1">
      <x:c r="A22" s="24" t="str">
        <x:v>EEZ_414</x:v>
      </x:c>
      <x:c r="B22" s="24" t="str">
        <x:v>Kuwait</x:v>
      </x:c>
      <x:c r="C22" s="24" t="str">
        <x:v>EEZ</x:v>
      </x:c>
      <x:c r="D22" s="30" t="n">
        <x:v>2019</x:v>
      </x:c>
      <x:c r="E22" s="24" t="str">
        <x:v>Mugilidae</x:v>
      </x:c>
      <x:c r="F22" s="24" t="str">
        <x:v>Mullets, grey mullets</x:v>
      </x:c>
      <x:c r="G22" s="24" t="str">
        <x:v>Medium reef assoc. fish (30 - 89 cm)</x:v>
      </x:c>
      <x:c r="H22" s="24" t="str">
        <x:v>Perch-likes</x:v>
      </x:c>
      <x:c r="I22" s="31" t="n">
        <x:v>30.000000003</x:v>
      </x:c>
      <x:c r="J22" s="31" t="n">
        <x:v>30.000000003</x:v>
      </x:c>
      <x:c r="K22" s="31" t="n">
        <x:v>0</x:v>
      </x:c>
      <x:c r="L22" s="31" t="n">
        <x:v>30.000000003</x:v>
      </x:c>
      <x:c r="M22" s="31" t="n">
        <x:v>0</x:v>
      </x:c>
      <x:c r="N22" s="24" t="str">
        <x:v>mugilidae</x:v>
      </x:c>
      <x:c r="O22" s="32" t="n">
        <x:v>2.53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Mugilidae</x:v>
      </x:c>
      <x:c r="T22" s="32" t="n">
        <x:f>IF(O22="","",(1/'Metadata'!$B$5)^(O22-1))</x:f>
        <x:v>33.88441561392024</x:v>
      </x:c>
      <x:c r="U22" s="31" t="n">
        <x:f>IF(T22="","",I22*T22)</x:f>
        <x:v>1016.5324685192604</x:v>
      </x:c>
    </x:row>
    <x:row r="23" ht="18" customHeight="1">
      <x:c r="A23" s="24" t="str">
        <x:v>EEZ_414</x:v>
      </x:c>
      <x:c r="B23" s="24" t="str">
        <x:v>Kuwait</x:v>
      </x:c>
      <x:c r="C23" s="24" t="str">
        <x:v>EEZ</x:v>
      </x:c>
      <x:c r="D23" s="30" t="n">
        <x:v>2019</x:v>
      </x:c>
      <x:c r="E23" s="24" t="str">
        <x:v>Lutjanidae</x:v>
      </x:c>
      <x:c r="F23" s="24" t="str">
        <x:v>Snappers</x:v>
      </x:c>
      <x:c r="G23" s="24" t="str">
        <x:v>Medium reef assoc. fish (30 - 89 cm)</x:v>
      </x:c>
      <x:c r="H23" s="24" t="str">
        <x:v>Perch-likes</x:v>
      </x:c>
      <x:c r="I23" s="31" t="n">
        <x:v>12.999999999</x:v>
      </x:c>
      <x:c r="J23" s="31" t="n">
        <x:v>12.999999999</x:v>
      </x:c>
      <x:c r="K23" s="31" t="n">
        <x:v>0</x:v>
      </x:c>
      <x:c r="L23" s="31" t="n">
        <x:v>12.999999999</x:v>
      </x:c>
      <x:c r="M23" s="31" t="n">
        <x:v>0</x:v>
      </x:c>
      <x:c r="N23" s="24" t="str">
        <x:v>lutjanidae</x:v>
      </x:c>
      <x:c r="O23" s="32" t="n">
        <x:v>4.02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Lutjanidae</x:v>
      </x:c>
      <x:c r="T23" s="32" t="n">
        <x:f>IF(O23="","",(1/'Metadata'!$B$5)^(O23-1))</x:f>
        <x:v>1047.1285480508984</x:v>
      </x:c>
      <x:c r="U23" s="31" t="n">
        <x:f>IF(T23="","",I23*T23)</x:f>
        <x:v>13612.671123614551</x:v>
      </x:c>
    </x:row>
  </x:sheetData>
  <x:conditionalFormatting sqref="R2:R2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00b4dca6d6249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</x:v>
      </x:c>
      <x:c r="C2" s="33" t="n">
        <x:v>1</x:v>
      </x:c>
      <x:c r="D2" s="31" t="n">
        <x:v>1202.099148149</x:v>
      </x:c>
      <x:c r="E2" s="31" t="n">
        <x:v>1202.099148149</x:v>
      </x:c>
      <x:c r="F2" s="32" t="n">
        <x:v>0</x:v>
      </x:c>
      <x:c r="G2" s="34" t="n">
        <x:v>1</x:v>
      </x:c>
      <x:c r="H2" s="32" t="n">
        <x:f>IF(E2=0,"",I2/E2)</x:f>
        <x:v>269.1534803926917</x:v>
      </x:c>
      <x:c r="I2" s="31" t="n">
        <x:f>IF(C2=0,"",SUMIF('Species'!$H$2:$H$23,A2,'Species'!$U$2:$U$23))</x:f>
        <x:v>323549.1695013932</x:v>
      </x:c>
      <x:c r="J2" s="32" t="n">
        <x:v>3.43</x:v>
      </x:c>
      <x:c r="K2" s="32" t="n">
        <x:f>IF(J2="","",(1/'Metadata'!$B$5)^(J2-1))</x:f>
        <x:v>269.1534803926917</x:v>
      </x:c>
      <x:c r="L2" s="31" t="n">
        <x:f>IF(E2=0,"",E2*K2)</x:f>
        <x:v>323549.1695013932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3</x:v>
      </x:c>
      <x:c r="C3" s="33" t="n">
        <x:v>3</x:v>
      </x:c>
      <x:c r="D3" s="31" t="n">
        <x:v>18125.309420971</x:v>
      </x:c>
      <x:c r="E3" s="31" t="n">
        <x:v>18125.309420971</x:v>
      </x:c>
      <x:c r="F3" s="32" t="n">
        <x:v>0</x:v>
      </x:c>
      <x:c r="G3" s="34" t="n">
        <x:v>1</x:v>
      </x:c>
      <x:c r="H3" s="32" t="n">
        <x:f>IF(E3=0,"",I3/E3)</x:f>
        <x:v>240.66416167720223</x:v>
      </x:c>
      <x:c r="I3" s="31" t="n">
        <x:f>IF(C3=0,"",SUMIF('Species'!$H$2:$H$23,A3,'Species'!$U$2:$U$23))</x:f>
        <x:v>4362112.396937882</x:v>
      </x:c>
      <x:c r="J3" s="32" t="n">
        <x:v>3.363362082459443</x:v>
      </x:c>
      <x:c r="K3" s="32" t="n">
        <x:f>IF(J3="","",(1/'Metadata'!$B$5)^(J3-1))</x:f>
        <x:v>230.86711850047908</x:v>
      </x:c>
      <x:c r="L3" s="31" t="n">
        <x:f>IF(E3=0,"",E3*K3)</x:f>
        <x:v>4184537.9579491615</x:v>
      </x:c>
      <x:c r="M3" s="31" t="n">
        <x:f>IF(E3=0,"",I3-L3)</x:f>
        <x:v>177574.43898872007</x:v>
      </x:c>
      <x:c r="N3" s="32" t="n">
        <x:f>IF(L3=0,"",I3/L3)</x:f>
        <x:v>1.042435853318379</x:v>
      </x:c>
      <x:c r="O3" s="34" t="n">
        <x:f>IF(L3=0,"",M3/L3)</x:f>
        <x:v>0.04243585331837906</x:v>
      </x:c>
    </x:row>
    <x:row r="4" ht="18" customHeight="1">
      <x:c r="A4" s="24" t="str">
        <x:v>Perch-likes</x:v>
      </x:c>
      <x:c r="B4" s="33" t="n">
        <x:v>16</x:v>
      </x:c>
      <x:c r="C4" s="33" t="n">
        <x:v>16</x:v>
      </x:c>
      <x:c r="D4" s="31" t="n">
        <x:v>1456.289999994</x:v>
      </x:c>
      <x:c r="E4" s="31" t="n">
        <x:v>1456.289999994</x:v>
      </x:c>
      <x:c r="F4" s="32" t="n">
        <x:v>0</x:v>
      </x:c>
      <x:c r="G4" s="34" t="n">
        <x:v>1</x:v>
      </x:c>
      <x:c r="H4" s="32" t="n">
        <x:f>IF(E4=0,"",I4/E4)</x:f>
        <x:v>872.6688048435841</x:v>
      </x:c>
      <x:c r="I4" s="31" t="n">
        <x:f>IF(C4=0,"",SUMIF('Species'!$H$2:$H$23,A4,'Species'!$U$2:$U$23))</x:f>
        <x:v>1270858.8538004272</x:v>
      </x:c>
      <x:c r="J4" s="32" t="n">
        <x:v>3.7684231849378973</x:v>
      </x:c>
      <x:c r="K4" s="32" t="n">
        <x:f>IF(J4="","",(1/'Metadata'!$B$5)^(J4-1))</x:f>
        <x:v>586.7095872287927</x:v>
      </x:c>
      <x:c r="L4" s="31" t="n">
        <x:f>IF(E4=0,"",E4*K4)</x:f>
        <x:v>854419.3047818983</x:v>
      </x:c>
      <x:c r="M4" s="31" t="n">
        <x:f>IF(E4=0,"",I4-L4)</x:f>
        <x:v>416439.5490185289</x:v>
      </x:c>
      <x:c r="N4" s="32" t="n">
        <x:f>IF(L4=0,"",I4/L4)</x:f>
        <x:v>1.4873948267412223</x:v>
      </x:c>
      <x:c r="O4" s="34" t="n">
        <x:f>IF(L4=0,"",M4/L4)</x:f>
        <x:v>0.48739482674122225</x:v>
      </x:c>
    </x:row>
    <x:row r="5" ht="18" customHeight="1">
      <x:c r="A5" s="24" t="str">
        <x:v>Sharks &amp; rays</x:v>
      </x:c>
      <x:c r="B5" s="33" t="n">
        <x:v>2</x:v>
      </x:c>
      <x:c r="C5" s="33" t="n">
        <x:v>2</x:v>
      </x:c>
      <x:c r="D5" s="31" t="n">
        <x:v>2804.025967999</x:v>
      </x:c>
      <x:c r="E5" s="31" t="n">
        <x:v>2804.025967999</x:v>
      </x:c>
      <x:c r="F5" s="32" t="n">
        <x:v>0</x:v>
      </x:c>
      <x:c r="G5" s="34" t="n">
        <x:v>1</x:v>
      </x:c>
      <x:c r="H5" s="32" t="n">
        <x:f>IF(E5=0,"",I5/E5)</x:f>
        <x:v>1032.1878754363256</x:v>
      </x:c>
      <x:c r="I5" s="31" t="n">
        <x:f>IF(C5=0,"",SUMIF('Species'!$H$2:$H$23,A5,'Species'!$U$2:$U$23))</x:f>
        <x:v>2894281.606577174</x:v>
      </x:c>
      <x:c r="J5" s="32" t="n">
        <x:v>4.010470427524204</x:v>
      </x:c>
      <x:c r="K5" s="32" t="n">
        <x:f>IF(J5="","",(1/'Metadata'!$B$5)^(J5-1))</x:f>
        <x:v>1024.402023183059</x:v>
      </x:c>
      <x:c r="L5" s="31" t="n">
        <x:f>IF(E5=0,"",E5*K5)</x:f>
        <x:v>2872449.874676011</x:v>
      </x:c>
      <x:c r="M5" s="31" t="n">
        <x:f>IF(E5=0,"",I5-L5)</x:f>
        <x:v>21831.73190116277</x:v>
      </x:c>
      <x:c r="N5" s="32" t="n">
        <x:f>IF(L5=0,"",I5/L5)</x:f>
        <x:v>1.0076003874231663</x:v>
      </x:c>
      <x:c r="O5" s="34" t="n">
        <x:f>IF(L5=0,"",M5/L5)</x:f>
        <x:v>0.007600387423166161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202b2abd17249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demersals (&gt;=90 cm)</x:v>
      </x:c>
      <x:c r="B2" s="33" t="n">
        <x:v>1</x:v>
      </x:c>
      <x:c r="C2" s="33" t="n">
        <x:v>1</x:v>
      </x:c>
      <x:c r="D2" s="31" t="n">
        <x:v>5826.628994439</x:v>
      </x:c>
      <x:c r="E2" s="31" t="n">
        <x:v>5826.628994439</x:v>
      </x:c>
      <x:c r="F2" s="32" t="n">
        <x:v>0</x:v>
      </x:c>
      <x:c r="G2" s="34" t="n">
        <x:v>1</x:v>
      </x:c>
      <x:c r="H2" s="32" t="n">
        <x:f>IF(E2=0,"",I2/E2)</x:f>
        <x:v>346.73685045253166</x:v>
      </x:c>
      <x:c r="I2" s="31" t="n">
        <x:f>IF(C2=0,"",SUMIF('Species'!$G$2:$G$23,A2,'Species'!$U$2:$U$23))</x:f>
        <x:v>2020306.9862871806</x:v>
      </x:c>
      <x:c r="J2" s="32" t="n">
        <x:v>3.54</x:v>
      </x:c>
      <x:c r="K2" s="32" t="n">
        <x:f>IF(J2="","",(1/'Metadata'!$B$5)^(J2-1))</x:f>
        <x:v>346.73685045253166</x:v>
      </x:c>
      <x:c r="L2" s="31" t="n">
        <x:f>IF(E2=0,"",E2*K2)</x:f>
        <x:v>2020306.9862871806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2</x:v>
      </x:c>
      <x:c r="C3" s="33" t="n">
        <x:v>2</x:v>
      </x:c>
      <x:c r="D3" s="31" t="n">
        <x:v>179.99999999099998</x:v>
      </x:c>
      <x:c r="E3" s="31" t="n">
        <x:v>179.99999999099998</x:v>
      </x:c>
      <x:c r="F3" s="32" t="n">
        <x:v>0</x:v>
      </x:c>
      <x:c r="G3" s="34" t="n">
        <x:v>1</x:v>
      </x:c>
      <x:c r="H3" s="32" t="n">
        <x:f>IF(E3=0,"",I3/E3)</x:f>
        <x:v>2362.182790593674</x:v>
      </x:c>
      <x:c r="I3" s="31" t="n">
        <x:f>IF(C3=0,"",SUMIF('Species'!$G$2:$G$23,A3,'Species'!$U$2:$U$23))</x:f>
        <x:v>425192.9022856016</x:v>
      </x:c>
      <x:c r="J3" s="32" t="n">
        <x:v>4.3080000000114005</x:v>
      </x:c>
      <x:c r="K3" s="32" t="n">
        <x:f>IF(J3="","",(1/'Metadata'!$B$5)^(J3-1))</x:f>
        <x:v>2032.3570109895722</x:v>
      </x:c>
      <x:c r="L3" s="31" t="n">
        <x:f>IF(E3=0,"",E3*K3)</x:f>
        <x:v>365824.26195983175</x:v>
      </x:c>
      <x:c r="M3" s="31" t="n">
        <x:f>IF(E3=0,"",I3-L3)</x:f>
        <x:v>59368.64032576984</x:v>
      </x:c>
      <x:c r="N3" s="32" t="n">
        <x:f>IF(L3=0,"",I3/L3)</x:f>
        <x:v>1.1622873234479145</x:v>
      </x:c>
      <x:c r="O3" s="34" t="n">
        <x:f>IF(L3=0,"",M3/L3)</x:f>
        <x:v>0.16228732344791455</x:v>
      </x:c>
    </x:row>
    <x:row r="4" ht="18" customHeight="1">
      <x:c r="A4" s="24" t="str">
        <x:v>Large sharks (&gt;=90 cm)</x:v>
      </x:c>
      <x:c r="B4" s="33" t="n">
        <x:v>2</x:v>
      </x:c>
      <x:c r="C4" s="33" t="n">
        <x:v>2</x:v>
      </x:c>
      <x:c r="D4" s="31" t="n">
        <x:v>2804.025967999</x:v>
      </x:c>
      <x:c r="E4" s="31" t="n">
        <x:v>2804.025967999</x:v>
      </x:c>
      <x:c r="F4" s="32" t="n">
        <x:v>0</x:v>
      </x:c>
      <x:c r="G4" s="34" t="n">
        <x:v>1</x:v>
      </x:c>
      <x:c r="H4" s="32" t="n">
        <x:f>IF(E4=0,"",I4/E4)</x:f>
        <x:v>1032.1878754363256</x:v>
      </x:c>
      <x:c r="I4" s="31" t="n">
        <x:f>IF(C4=0,"",SUMIF('Species'!$G$2:$G$23,A4,'Species'!$U$2:$U$23))</x:f>
        <x:v>2894281.606577174</x:v>
      </x:c>
      <x:c r="J4" s="32" t="n">
        <x:v>4.010470427524204</x:v>
      </x:c>
      <x:c r="K4" s="32" t="n">
        <x:f>IF(J4="","",(1/'Metadata'!$B$5)^(J4-1))</x:f>
        <x:v>1024.402023183059</x:v>
      </x:c>
      <x:c r="L4" s="31" t="n">
        <x:f>IF(E4=0,"",E4*K4)</x:f>
        <x:v>2872449.874676011</x:v>
      </x:c>
      <x:c r="M4" s="31" t="n">
        <x:f>IF(E4=0,"",I4-L4)</x:f>
        <x:v>21831.73190116277</x:v>
      </x:c>
      <x:c r="N4" s="32" t="n">
        <x:f>IF(L4=0,"",I4/L4)</x:f>
        <x:v>1.0076003874231663</x:v>
      </x:c>
      <x:c r="O4" s="34" t="n">
        <x:f>IF(L4=0,"",M4/L4)</x:f>
        <x:v>0.007600387423166161</x:v>
      </x:c>
    </x:row>
    <x:row r="5" ht="18" customHeight="1">
      <x:c r="A5" s="24" t="str">
        <x:v>Lobsters, crabs</x:v>
      </x:c>
      <x:c r="B5" s="33" t="n">
        <x:v>1</x:v>
      </x:c>
      <x:c r="C5" s="33" t="n">
        <x:v>1</x:v>
      </x:c>
      <x:c r="D5" s="31" t="n">
        <x:v>1202.099148149</x:v>
      </x:c>
      <x:c r="E5" s="31" t="n">
        <x:v>1202.099148149</x:v>
      </x:c>
      <x:c r="F5" s="32" t="n">
        <x:v>0</x:v>
      </x:c>
      <x:c r="G5" s="34" t="n">
        <x:v>1</x:v>
      </x:c>
      <x:c r="H5" s="32" t="n">
        <x:f>IF(E5=0,"",I5/E5)</x:f>
        <x:v>269.1534803926917</x:v>
      </x:c>
      <x:c r="I5" s="31" t="n">
        <x:f>IF(C5=0,"",SUMIF('Species'!$G$2:$G$23,A5,'Species'!$U$2:$U$23))</x:f>
        <x:v>323549.1695013932</x:v>
      </x:c>
      <x:c r="J5" s="32" t="n">
        <x:v>3.43</x:v>
      </x:c>
      <x:c r="K5" s="32" t="n">
        <x:f>IF(J5="","",(1/'Metadata'!$B$5)^(J5-1))</x:f>
        <x:v>269.1534803926917</x:v>
      </x:c>
      <x:c r="L5" s="31" t="n">
        <x:f>IF(E5=0,"",E5*K5)</x:f>
        <x:v>323549.1695013932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benthopelagics (30 - 89 cm)</x:v>
      </x:c>
      <x:c r="B6" s="33" t="n">
        <x:v>3</x:v>
      </x:c>
      <x:c r="C6" s="33" t="n">
        <x:v>3</x:v>
      </x:c>
      <x:c r="D6" s="31" t="n">
        <x:v>599.85999999</x:v>
      </x:c>
      <x:c r="E6" s="31" t="n">
        <x:v>599.85999999</x:v>
      </x:c>
      <x:c r="F6" s="32" t="n">
        <x:v>0</x:v>
      </x:c>
      <x:c r="G6" s="34" t="n">
        <x:v>1</x:v>
      </x:c>
      <x:c r="H6" s="32" t="n">
        <x:f>IF(E6=0,"",I6/E6)</x:f>
        <x:v>328.39294348035645</x:v>
      </x:c>
      <x:c r="I6" s="31" t="n">
        <x:f>IF(C6=0,"",SUMIF('Species'!$G$2:$G$23,A6,'Species'!$U$2:$U$23))</x:f>
        <x:v>196989.7910728427</x:v>
      </x:c>
      <x:c r="J6" s="32" t="n">
        <x:v>3.495284399691516</x:v>
      </x:c>
      <x:c r="K6" s="32" t="n">
        <x:f>IF(J6="","",(1/'Metadata'!$B$5)^(J6-1))</x:f>
        <x:v>312.8127164665568</x:v>
      </x:c>
      <x:c r="L6" s="31" t="n">
        <x:f>IF(E6=0,"",E6*K6)</x:f>
        <x:v>187643.83609650066</x:v>
      </x:c>
      <x:c r="M6" s="31" t="n">
        <x:f>IF(E6=0,"",I6-L6)</x:f>
        <x:v>9345.954976342036</x:v>
      </x:c>
      <x:c r="N6" s="32" t="n">
        <x:f>IF(L6=0,"",I6/L6)</x:f>
        <x:v>1.0498068850582207</x:v>
      </x:c>
      <x:c r="O6" s="34" t="n">
        <x:f>IF(L6=0,"",M6/L6)</x:f>
        <x:v>0.049806885058220826</x:v>
      </x:c>
    </x:row>
    <x:row r="7" ht="18" customHeight="1">
      <x:c r="A7" s="24" t="str">
        <x:v>Medium demersals (30 - 89 cm)</x:v>
      </x:c>
      <x:c r="B7" s="33" t="n">
        <x:v>4</x:v>
      </x:c>
      <x:c r="C7" s="33" t="n">
        <x:v>4</x:v>
      </x:c>
      <x:c r="D7" s="31" t="n">
        <x:v>12300.680426527</x:v>
      </x:c>
      <x:c r="E7" s="31" t="n">
        <x:v>12300.680426527</x:v>
      </x:c>
      <x:c r="F7" s="32" t="n">
        <x:v>0</x:v>
      </x:c>
      <x:c r="G7" s="34" t="n">
        <x:v>1</x:v>
      </x:c>
      <x:c r="H7" s="32" t="n">
        <x:f>IF(E7=0,"",I7/E7)</x:f>
        <x:v>199.17143630972436</x:v>
      </x:c>
      <x:c r="I7" s="31" t="n">
        <x:f>IF(C7=0,"",SUMIF('Species'!$G$2:$G$23,A7,'Species'!$U$2:$U$23))</x:f>
        <x:v>2449944.1881382954</x:v>
      </x:c>
      <x:c r="J7" s="32" t="n">
        <x:v>3.2847729066983424</x:v>
      </x:c>
      <x:c r="K7" s="32" t="n">
        <x:f>IF(J7="","",(1/'Metadata'!$B$5)^(J7-1))</x:f>
        <x:v>192.6517270703182</x:v>
      </x:c>
      <x:c r="L7" s="31" t="n">
        <x:f>IF(E7=0,"",E7*K7)</x:f>
        <x:v>2369747.328310485</x:v>
      </x:c>
      <x:c r="M7" s="31" t="n">
        <x:f>IF(E7=0,"",I7-L7)</x:f>
        <x:v>80196.85982781043</x:v>
      </x:c>
      <x:c r="N7" s="32" t="n">
        <x:f>IF(L7=0,"",I7/L7)</x:f>
        <x:v>1.03384194545542</x:v>
      </x:c>
      <x:c r="O7" s="34" t="n">
        <x:f>IF(L7=0,"",M7/L7)</x:f>
        <x:v>0.03384194545541989</x:v>
      </x:c>
    </x:row>
    <x:row r="8" ht="18" customHeight="1">
      <x:c r="A8" s="24" t="str">
        <x:v>Medium pelagics (30 - 89 cm)</x:v>
      </x:c>
      <x:c r="B8" s="33" t="n">
        <x:v>2</x:v>
      </x:c>
      <x:c r="C8" s="33" t="n">
        <x:v>2</x:v>
      </x:c>
      <x:c r="D8" s="31" t="n">
        <x:v>159.999999995</x:v>
      </x:c>
      <x:c r="E8" s="31" t="n">
        <x:v>159.999999995</x:v>
      </x:c>
      <x:c r="F8" s="32" t="n">
        <x:v>0</x:v>
      </x:c>
      <x:c r="G8" s="34" t="n">
        <x:v>1</x:v>
      </x:c>
      <x:c r="H8" s="32" t="n">
        <x:f>IF(E8=0,"",I8/E8)</x:f>
        <x:v>1361.9476475312467</x:v>
      </x:c>
      <x:c r="I8" s="31" t="n">
        <x:f>IF(C8=0,"",SUMIF('Species'!$G$2:$G$23,A8,'Species'!$U$2:$U$23))</x:f>
        <x:v>217911.62359818973</x:v>
      </x:c>
      <x:c r="J8" s="32" t="n">
        <x:v>4.120437499995013</x:v>
      </x:c>
      <x:c r="K8" s="32" t="n">
        <x:f>IF(J8="","",(1/'Metadata'!$B$5)^(J8-1))</x:f>
        <x:v>1319.58539442301</x:v>
      </x:c>
      <x:c r="L8" s="31" t="n">
        <x:f>IF(E8=0,"",E8*K8)</x:f>
        <x:v>211133.6631010837</x:v>
      </x:c>
      <x:c r="M8" s="31" t="n">
        <x:f>IF(E8=0,"",I8-L8)</x:f>
        <x:v>6777.960497106047</x:v>
      </x:c>
      <x:c r="N8" s="32" t="n">
        <x:f>IF(L8=0,"",I8/L8)</x:f>
        <x:v>1.0321026992927271</x:v>
      </x:c>
      <x:c r="O8" s="34" t="n">
        <x:f>IF(L8=0,"",M8/L8)</x:f>
        <x:v>0.032102699292727126</x:v>
      </x:c>
    </x:row>
    <x:row r="9" ht="18" customHeight="1">
      <x:c r="A9" s="24" t="str">
        <x:v>Medium reef assoc. fish (30 - 89 cm)</x:v>
      </x:c>
      <x:c r="B9" s="33" t="n">
        <x:v>5</x:v>
      </x:c>
      <x:c r="C9" s="33" t="n">
        <x:v>5</x:v>
      </x:c>
      <x:c r="D9" s="31" t="n">
        <x:v>375.43000001300004</x:v>
      </x:c>
      <x:c r="E9" s="31" t="n">
        <x:v>375.43000001300004</x:v>
      </x:c>
      <x:c r="F9" s="32" t="n">
        <x:v>0</x:v>
      </x:c>
      <x:c r="G9" s="34" t="n">
        <x:v>1</x:v>
      </x:c>
      <x:c r="H9" s="32" t="n">
        <x:f>IF(E9=0,"",I9/E9)</x:f>
        <x:v>757.6092286940267</x:v>
      </x:c>
      <x:c r="I9" s="31" t="n">
        <x:f>IF(C9=0,"",SUMIF('Species'!$G$2:$G$23,A9,'Species'!$U$2:$U$23))</x:f>
        <x:v>284429.2327384474</x:v>
      </x:c>
      <x:c r="J9" s="32" t="n">
        <x:v>3.776298377848142</x:v>
      </x:c>
      <x:c r="K9" s="32" t="n">
        <x:f>IF(J9="","",(1/'Metadata'!$B$5)^(J9-1))</x:f>
        <x:v>597.4456148770299</x:v>
      </x:c>
      <x:c r="L9" s="31" t="n">
        <x:f>IF(E9=0,"",E9*K9)</x:f>
        <x:v>224299.00720105018</x:v>
      </x:c>
      <x:c r="M9" s="31" t="n">
        <x:f>IF(E9=0,"",I9-L9)</x:f>
        <x:v>60130.2255373972</x:v>
      </x:c>
      <x:c r="N9" s="32" t="n">
        <x:f>IF(L9=0,"",I9/L9)</x:f>
        <x:v>1.2680806584377768</x:v>
      </x:c>
      <x:c r="O9" s="34" t="n">
        <x:f>IF(L9=0,"",M9/L9)</x:f>
        <x:v>0.26808065843777695</x:v>
      </x:c>
    </x:row>
    <x:row r="10" ht="18" customHeight="1">
      <x:c r="A10" s="24" t="str">
        <x:v>Small demersals (&lt;30 cm)</x:v>
      </x:c>
      <x:c r="B10" s="33" t="n">
        <x:v>1</x:v>
      </x:c>
      <x:c r="C10" s="33" t="n">
        <x:v>1</x:v>
      </x:c>
      <x:c r="D10" s="31" t="n">
        <x:v>40.000000004</x:v>
      </x:c>
      <x:c r="E10" s="31" t="n">
        <x:v>40.000000004</x:v>
      </x:c>
      <x:c r="F10" s="32" t="n">
        <x:v>0</x:v>
      </x:c>
      <x:c r="G10" s="34" t="n">
        <x:v>1</x:v>
      </x:c>
      <x:c r="H10" s="32" t="n">
        <x:f>IF(E10=0,"",I10/E10)</x:f>
        <x:v>524.8074602497728</x:v>
      </x:c>
      <x:c r="I10" s="31" t="n">
        <x:f>IF(C10=0,"",SUMIF('Species'!$G$2:$G$23,A10,'Species'!$U$2:$U$23))</x:f>
        <x:v>20992.298412090142</x:v>
      </x:c>
      <x:c r="J10" s="32" t="n">
        <x:v>3.7199999999999998</x:v>
      </x:c>
      <x:c r="K10" s="32" t="n">
        <x:f>IF(J10="","",(1/'Metadata'!$B$5)^(J10-1))</x:f>
        <x:v>524.8074602497722</x:v>
      </x:c>
      <x:c r="L10" s="31" t="n">
        <x:f>IF(E10=0,"",E10*K10)</x:f>
        <x:v>20992.29841209012</x:v>
      </x:c>
      <x:c r="M10" s="31" t="n">
        <x:f>IF(E10=0,"",I10-L10)</x:f>
        <x:v>2.1827872842550278e-11</x:v>
      </x:c>
      <x:c r="N10" s="32" t="n">
        <x:f>IF(L10=0,"",I10/L10)</x:f>
        <x:v>1.000000000000001</x:v>
      </x:c>
      <x:c r="O10" s="34" t="n">
        <x:f>IF(L10=0,"",M10/L10)</x:f>
        <x:v>1.0398038563504283e-15</x:v>
      </x:c>
    </x:row>
    <x:row r="11" ht="18" customHeight="1">
      <x:c r="A11" s="24" t="str">
        <x:v>Small pelagics (&lt;30 cm)</x:v>
      </x:c>
      <x:c r="B11" s="33" t="n">
        <x:v>1</x:v>
      </x:c>
      <x:c r="C11" s="33" t="n">
        <x:v>1</x:v>
      </x:c>
      <x:c r="D11" s="31" t="n">
        <x:v>99.00000000600001</x:v>
      </x:c>
      <x:c r="E11" s="31" t="n">
        <x:v>99.00000000600001</x:v>
      </x:c>
      <x:c r="F11" s="32" t="n">
        <x:v>0</x:v>
      </x:c>
      <x:c r="G11" s="34" t="n">
        <x:v>1</x:v>
      </x:c>
      <x:c r="H11" s="32" t="n">
        <x:f>IF(E11=0,"",I11/E11)</x:f>
        <x:v>173.78008287493765</x:v>
      </x:c>
      <x:c r="I11" s="31" t="n">
        <x:f>IF(C11=0,"",SUMIF('Species'!$G$2:$G$23,A11,'Species'!$U$2:$U$23))</x:f>
        <x:v>17204.228205661508</x:v>
      </x:c>
      <x:c r="J11" s="32" t="n">
        <x:v>3.24</x:v>
      </x:c>
      <x:c r="K11" s="32" t="n">
        <x:f>IF(J11="","",(1/'Metadata'!$B$5)^(J11-1))</x:f>
        <x:v>173.78008287493762</x:v>
      </x:c>
      <x:c r="L11" s="31" t="n">
        <x:f>IF(E11=0,"",E11*K11)</x:f>
        <x:v>17204.228205661508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9bd109ff67e4c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EEZ_414</x:v>
      </x:c>
      <x:c r="B2" s="24" t="str">
        <x:v>raw_filtered_tonnes</x:v>
      </x:c>
      <x:c r="C2" s="24" t="n">
        <x:v>23587.724537113</x:v>
      </x:c>
      <x:c r="D2" s="24" t="str">
        <x:v>tonnes</x:v>
      </x:c>
    </x:row>
    <x:row r="3" ht="18" customHeight="1">
      <x:c r="A3" s="24" t="str">
        <x:v>EEZ_414</x:v>
      </x:c>
      <x:c r="B3" s="24" t="str">
        <x:v>species_catch_tonnes</x:v>
      </x:c>
      <x:c r="C3" s="24" t="n">
        <x:v>23587.724537113005</x:v>
      </x:c>
      <x:c r="D3" s="24" t="str">
        <x:v>tonnes</x:v>
      </x:c>
    </x:row>
    <x:row r="4" ht="18" customHeight="1">
      <x:c r="A4" s="24" t="str">
        <x:v>EEZ_414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EEZ_414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EEZ_414</x:v>
      </x:c>
      <x:c r="B6" s="24" t="str">
        <x:v>matched_catch_tonnes</x:v>
      </x:c>
      <x:c r="C6" s="24" t="n">
        <x:v>23587.724537113005</x:v>
      </x:c>
      <x:c r="D6" s="24" t="str">
        <x:v>tonnes</x:v>
      </x:c>
    </x:row>
    <x:row r="7" ht="18" customHeight="1">
      <x:c r="A7" s="24" t="str">
        <x:v>EEZ_414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EEZ_414</x:v>
      </x:c>
      <x:c r="B8" s="24" t="str">
        <x:v>taxa_count</x:v>
      </x:c>
      <x:c r="C8" s="24" t="n">
        <x:v>22</x:v>
      </x:c>
      <x:c r="D8" s="24" t="str">
        <x:v>count</x:v>
      </x:c>
    </x:row>
    <x:row r="9" ht="18" customHeight="1">
      <x:c r="A9" s="24" t="str">
        <x:v>EEZ_414</x:v>
      </x:c>
      <x:c r="B9" s="24" t="str">
        <x:v>matched_taxa_count</x:v>
      </x:c>
      <x:c r="C9" s="24" t="n">
        <x:v>22</x:v>
      </x:c>
      <x:c r="D9" s="24" t="str">
        <x:v>count</x:v>
      </x:c>
    </x:row>
    <x:row r="10" ht="18" customHeight="1">
      <x:c r="A10" s="24" t="str">
        <x:v>EEZ_414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EEZ_414</x:v>
      </x:c>
      <x:c r="B11" s="24" t="str">
        <x:v>species_ppr</x:v>
      </x:c>
      <x:c r="C11" s="24" t="n">
        <x:v>8850802.026816877</x:v>
      </x:c>
      <x:c r="D11" s="24" t="str">
        <x:v>tonnes_primary_production_equivalent</x:v>
      </x:c>
    </x:row>
    <x:row r="12" ht="18" customHeight="1">
      <x:c r="A12" s="24" t="str">
        <x:v>EEZ_414</x:v>
      </x:c>
      <x:c r="B12" s="24" t="str">
        <x:v>commercial_ppr</x:v>
      </x:c>
      <x:c r="C12" s="24" t="n">
        <x:v>8850802.026816875</x:v>
      </x:c>
      <x:c r="D12" s="24" t="str">
        <x:v>tonnes_primary_production_equivalent</x:v>
      </x:c>
    </x:row>
    <x:row r="13" ht="18" customHeight="1">
      <x:c r="A13" s="24" t="str">
        <x:v>EEZ_414</x:v>
      </x:c>
      <x:c r="B13" s="24" t="str">
        <x:v>functional_ppr</x:v>
      </x:c>
      <x:c r="C13" s="24" t="n">
        <x:v>8850802.026816877</x:v>
      </x:c>
      <x:c r="D13" s="24" t="str">
        <x:v>tonnes_primary_production_equivalent</x:v>
      </x:c>
    </x:row>
    <x:row r="14" ht="18" customHeight="1">
      <x:c r="A14" s="24" t="str">
        <x:v>EEZ_414</x:v>
      </x:c>
      <x:c r="B14" s="24" t="str">
        <x:v>commercial_ppr_difference</x:v>
      </x:c>
      <x:c r="C14" s="24" t="n">
        <x:v>-1.862645149230957e-9</x:v>
      </x:c>
      <x:c r="D14" s="24" t="str">
        <x:v>tonnes_primary_production_equivalent</x:v>
      </x:c>
    </x:row>
    <x:row r="15" ht="18" customHeight="1">
      <x:c r="A15" s="24" t="str">
        <x:v>EEZ_414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EEZ_414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EEZ_414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EEZ_414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EEZ_414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d180dbb790f42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EEZ_414 - Kuwait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EEZ_414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raw_data/SAU_downloads/EEZ_414-catch.zip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