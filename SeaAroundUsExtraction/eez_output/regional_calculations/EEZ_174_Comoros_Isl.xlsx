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f65eafda7842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ea8f514d2d8a41ac"/>
    <x:sheet xmlns:r="http://schemas.openxmlformats.org/officeDocument/2006/relationships" name="Commercial" sheetId="2" r:id="R4fa55b612faa4efa"/>
    <x:sheet xmlns:r="http://schemas.openxmlformats.org/officeDocument/2006/relationships" name="Functional" sheetId="3" r:id="Rcbbd41057bac42a0"/>
    <x:sheet xmlns:r="http://schemas.openxmlformats.org/officeDocument/2006/relationships" name="Missing TL" sheetId="4" r:id="Rffe6cb7e286a47fd"/>
    <x:sheet xmlns:r="http://schemas.openxmlformats.org/officeDocument/2006/relationships" name="Validation" sheetId="5" r:id="Rdcf5399d7a924870"/>
    <x:sheet xmlns:r="http://schemas.openxmlformats.org/officeDocument/2006/relationships" name="Metadata" sheetId="6" r:id="Rea88c48a122341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8374d979d54166" /><Relationship Type="http://schemas.openxmlformats.org/officeDocument/2006/relationships/theme" Target="/xl/theme/theme1.xml" Id="R26123695806e4ee0" /><Relationship Type="http://schemas.microsoft.com/office/2022/11/relationships/FeaturePropertyBag" Target="/xl/featurePropertyBag/featurePropertyBag.xml" Id="R152a85725d38452f" /><Relationship Type="http://schemas.openxmlformats.org/officeDocument/2006/relationships/sharedStrings" Target="/xl/sharedStrings.xml" Id="R525baa9d441e42f5" /><Relationship Type="http://schemas.openxmlformats.org/officeDocument/2006/relationships/worksheet" Target="/xl/worksheets/sheet1.xml" Id="Rea8f514d2d8a41ac" /><Relationship Type="http://schemas.openxmlformats.org/officeDocument/2006/relationships/worksheet" Target="/xl/worksheets/sheet2.xml" Id="R4fa55b612faa4efa" /><Relationship Type="http://schemas.openxmlformats.org/officeDocument/2006/relationships/worksheet" Target="/xl/worksheets/sheet3.xml" Id="Rcbbd41057bac42a0" /><Relationship Type="http://schemas.openxmlformats.org/officeDocument/2006/relationships/worksheet" Target="/xl/worksheets/sheet4.xml" Id="Rffe6cb7e286a47fd" /><Relationship Type="http://schemas.openxmlformats.org/officeDocument/2006/relationships/worksheet" Target="/xl/worksheets/sheet5.xml" Id="Rdcf5399d7a924870" /><Relationship Type="http://schemas.openxmlformats.org/officeDocument/2006/relationships/worksheet" Target="/xl/worksheets/sheet6.xml" Id="Rea88c48a1223418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74SpeciesTable" displayName="EEZ174SpeciesTable" ref="A1:U43" headerRowCount="1" totalsRowCount="0" totalsRowShown="0">
  <x:autoFilter ref="A1:U4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74CommercialTable" displayName="EEZ174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74FunctionalTable" displayName="EEZ174FunctionalTable" ref="A1:O11" headerRowCount="1" totalsRowCount="0" totalsRowShown="0">
  <x:autoFilter ref="A1:O11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74ValidationTable" displayName="EEZ17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db457f955e4d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bc6bdfe9d6849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d2199190c0c4e9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11ea69e62a4b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EEZ_174</x:v>
      </x:c>
      <x:c r="B2" s="24" t="str">
        <x:v>Comoros Isl.</x:v>
      </x:c>
      <x:c r="C2" s="24" t="str">
        <x:v>EEZ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5923.6165891178</x:v>
      </x:c>
      <x:c r="J2" s="31" t="n">
        <x:v>5923.6165891178</x:v>
      </x:c>
      <x:c r="K2" s="31" t="n">
        <x:v>0</x:v>
      </x:c>
      <x:c r="L2" s="31" t="n">
        <x:v>5278.943734629199</x:v>
      </x:c>
      <x:c r="M2" s="31" t="n">
        <x:v>644.6728544886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15226039.099408079</x:v>
      </x:c>
    </x:row>
    <x:row r="3" ht="18" customHeight="1">
      <x:c r="A3" s="24" t="str">
        <x:v>EEZ_174</x:v>
      </x:c>
      <x:c r="B3" s="24" t="str">
        <x:v>Comoros Isl.</x:v>
      </x:c>
      <x:c r="C3" s="24" t="str">
        <x:v>EEZ</x:v>
      </x:c>
      <x:c r="D3" s="30" t="n">
        <x:v>2019</x:v>
      </x:c>
      <x:c r="E3" s="24" t="str">
        <x:v>Katsuwonus pelamis</x:v>
      </x:c>
      <x:c r="F3" s="24" t="str">
        <x:v>Skipjack tuna</x:v>
      </x:c>
      <x:c r="G3" s="24" t="str">
        <x:v>Large pelagics (&gt;=90 cm)</x:v>
      </x:c>
      <x:c r="H3" s="24" t="str">
        <x:v>Tuna &amp; billfishes</x:v>
      </x:c>
      <x:c r="I3" s="31" t="n">
        <x:v>5603.8630275686</x:v>
      </x:c>
      <x:c r="J3" s="31" t="n">
        <x:v>5603.8630275686</x:v>
      </x:c>
      <x:c r="K3" s="31" t="n">
        <x:v>0</x:v>
      </x:c>
      <x:c r="L3" s="31" t="n">
        <x:v>4631.9094301796</x:v>
      </x:c>
      <x:c r="M3" s="31" t="n">
        <x:v>971.953597389</x:v>
      </x:c>
      <x:c r="N3" s="24" t="str">
        <x:v>katsuwonus pelamis</x:v>
      </x:c>
      <x:c r="O3" s="32" t="n">
        <x:v>4.43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Katsuwonus pelamis</x:v>
      </x:c>
      <x:c r="T3" s="32" t="n">
        <x:f>IF(O3="","",(1/'Metadata'!$B$5)^(O3-1))</x:f>
        <x:v>2691.534803926914</x:v>
      </x:c>
      <x:c r="U3" s="31" t="n">
        <x:f>IF(T3="","",I3*T3)</x:f>
        <x:v>15082992.375140134</x:v>
      </x:c>
    </x:row>
    <x:row r="4" ht="18" customHeight="1">
      <x:c r="A4" s="24" t="str">
        <x:v>EEZ_174</x:v>
      </x:c>
      <x:c r="B4" s="24" t="str">
        <x:v>Comoros Isl.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3185.504091327</x:v>
      </x:c>
      <x:c r="J4" s="31" t="n">
        <x:v>3185.451175711</x:v>
      </x:c>
      <x:c r="K4" s="31" t="n">
        <x:v>0.052915616</x:v>
      </x:c>
      <x:c r="L4" s="31" t="n">
        <x:v>2676.8818607685</x:v>
      </x:c>
      <x:c r="M4" s="31" t="n">
        <x:v>508.6222305585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606985.2912934804</x:v>
      </x:c>
    </x:row>
    <x:row r="5" ht="18" customHeight="1">
      <x:c r="A5" s="24" t="str">
        <x:v>EEZ_174</x:v>
      </x:c>
      <x:c r="B5" s="24" t="str">
        <x:v>Comoros Isl.</x:v>
      </x:c>
      <x:c r="C5" s="24" t="str">
        <x:v>EEZ</x:v>
      </x:c>
      <x:c r="D5" s="30" t="n">
        <x:v>2019</x:v>
      </x:c>
      <x:c r="E5" s="24" t="str">
        <x:v>Thunnus obesus</x:v>
      </x:c>
      <x:c r="F5" s="24" t="str">
        <x:v>Bigeye tuna</x:v>
      </x:c>
      <x:c r="G5" s="24" t="str">
        <x:v>Large pelagics (&gt;=90 cm)</x:v>
      </x:c>
      <x:c r="H5" s="24" t="str">
        <x:v>Tuna &amp; billfishes</x:v>
      </x:c>
      <x:c r="I5" s="31" t="n">
        <x:v>1659.6370993676999</x:v>
      </x:c>
      <x:c r="J5" s="31" t="n">
        <x:v>1659.6370993676999</x:v>
      </x:c>
      <x:c r="K5" s="31" t="n">
        <x:v>0</x:v>
      </x:c>
      <x:c r="L5" s="31" t="n">
        <x:v>1566.0162668563</x:v>
      </x:c>
      <x:c r="M5" s="31" t="n">
        <x:v>93.6208325114</x:v>
      </x:c>
      <x:c r="N5" s="24" t="str">
        <x:v>thunnus obesus</x:v>
      </x:c>
      <x:c r="O5" s="32" t="n">
        <x:v>4.49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obesus</x:v>
      </x:c>
      <x:c r="T5" s="32" t="n">
        <x:f>IF(O5="","",(1/'Metadata'!$B$5)^(O5-1))</x:f>
        <x:v>3090.295432513592</x:v>
      </x:c>
      <x:c r="U5" s="31" t="n">
        <x:f>IF(T5="","",I5*T5)</x:f>
        <x:v>5128768.94780611</x:v>
      </x:c>
    </x:row>
    <x:row r="6" ht="18" customHeight="1">
      <x:c r="A6" s="24" t="str">
        <x:v>EEZ_174</x:v>
      </x:c>
      <x:c r="B6" s="24" t="str">
        <x:v>Comoros Isl.</x:v>
      </x:c>
      <x:c r="C6" s="24" t="str">
        <x:v>EEZ</x:v>
      </x:c>
      <x:c r="D6" s="30" t="n">
        <x:v>2019</x:v>
      </x:c>
      <x:c r="E6" s="24" t="str">
        <x:v>Istiophorus platypterus</x:v>
      </x:c>
      <x:c r="F6" s="24" t="str">
        <x:v>Indo-Pacific sailfish</x:v>
      </x:c>
      <x:c r="G6" s="24" t="str">
        <x:v>Large pelagics (&gt;=90 cm)</x:v>
      </x:c>
      <x:c r="H6" s="24" t="str">
        <x:v>Tuna &amp; billfishes</x:v>
      </x:c>
      <x:c r="I6" s="31" t="n">
        <x:v>523.7280154133</x:v>
      </x:c>
      <x:c r="J6" s="31" t="n">
        <x:v>523.7280154133</x:v>
      </x:c>
      <x:c r="K6" s="31" t="n">
        <x:v>0</x:v>
      </x:c>
      <x:c r="L6" s="31" t="n">
        <x:v>425.9907954085</x:v>
      </x:c>
      <x:c r="M6" s="31" t="n">
        <x:v>97.7372200048</x:v>
      </x:c>
      <x:c r="N6" s="24" t="str">
        <x:v>istiophorus platypterus</x:v>
      </x:c>
      <x:c r="O6" s="32" t="n">
        <x:v>4.5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Istiophorus platypterus</x:v>
      </x:c>
      <x:c r="T6" s="32" t="n">
        <x:f>IF(O6="","",(1/'Metadata'!$B$5)^(O6-1))</x:f>
        <x:v>3162.2776601683795</x:v>
      </x:c>
      <x:c r="U6" s="31" t="n">
        <x:f>IF(T6="","",I6*T6)</x:f>
        <x:v>1656173.4031457994</x:v>
      </x:c>
    </x:row>
    <x:row r="7" ht="18" customHeight="1">
      <x:c r="A7" s="24" t="str">
        <x:v>EEZ_174</x:v>
      </x:c>
      <x:c r="B7" s="24" t="str">
        <x:v>Comoros Isl.</x:v>
      </x:c>
      <x:c r="C7" s="24" t="str">
        <x:v>EEZ</x:v>
      </x:c>
      <x:c r="D7" s="30" t="n">
        <x:v>2019</x:v>
      </x:c>
      <x:c r="E7" s="24" t="str">
        <x:v>Carangidae</x:v>
      </x:c>
      <x:c r="F7" s="24" t="str">
        <x:v>Jacks, pompanos</x:v>
      </x:c>
      <x:c r="G7" s="24" t="str">
        <x:v>Medium pelagics (30 - 89 cm)</x:v>
      </x:c>
      <x:c r="H7" s="24" t="str">
        <x:v>Perch-likes</x:v>
      </x:c>
      <x:c r="I7" s="31" t="n">
        <x:v>470</x:v>
      </x:c>
      <x:c r="J7" s="31" t="n">
        <x:v>470</x:v>
      </x:c>
      <x:c r="K7" s="31" t="n">
        <x:v>0</x:v>
      </x:c>
      <x:c r="L7" s="31" t="n">
        <x:v>470</x:v>
      </x:c>
      <x:c r="M7" s="31" t="n">
        <x:v>0</x:v>
      </x:c>
      <x:c r="N7" s="24" t="str">
        <x:v>carangidae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Carangidae</x:v>
      </x:c>
      <x:c r="T7" s="32" t="n">
        <x:f>IF(O7="","",(1/'Metadata'!$B$5)^(O7-1))</x:f>
        <x:v>1122.018454301963</x:v>
      </x:c>
      <x:c r="U7" s="31" t="n">
        <x:f>IF(T7="","",I7*T7)</x:f>
        <x:v>527348.6735219226</x:v>
      </x:c>
    </x:row>
    <x:row r="8" ht="18" customHeight="1">
      <x:c r="A8" s="24" t="str">
        <x:v>EEZ_174</x:v>
      </x:c>
      <x:c r="B8" s="24" t="str">
        <x:v>Comoros Isl.</x:v>
      </x:c>
      <x:c r="C8" s="24" t="str">
        <x:v>EEZ</x:v>
      </x:c>
      <x:c r="D8" s="30" t="n">
        <x:v>2019</x:v>
      </x:c>
      <x:c r="E8" s="24" t="str">
        <x:v>Acanthocybium solandri</x:v>
      </x:c>
      <x:c r="F8" s="24" t="str">
        <x:v>Wahoo</x:v>
      </x:c>
      <x:c r="G8" s="24" t="str">
        <x:v>Large pelagics (&gt;=90 cm)</x:v>
      </x:c>
      <x:c r="H8" s="24" t="str">
        <x:v>Perch-likes</x:v>
      </x:c>
      <x:c r="I8" s="31" t="n">
        <x:v>308.1364537742</x:v>
      </x:c>
      <x:c r="J8" s="31" t="n">
        <x:v>308.1364537742</x:v>
      </x:c>
      <x:c r="K8" s="31" t="n">
        <x:v>0</x:v>
      </x:c>
      <x:c r="L8" s="31" t="n">
        <x:v>281</x:v>
      </x:c>
      <x:c r="M8" s="31" t="n">
        <x:v>27.1364537742</x:v>
      </x:c>
      <x:c r="N8" s="24" t="str">
        <x:v>acanthocybium solandri</x:v>
      </x:c>
      <x:c r="O8" s="32" t="n">
        <x:v>4.26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Acanthocybium solandri</x:v>
      </x:c>
      <x:c r="T8" s="32" t="n">
        <x:f>IF(O8="","",(1/'Metadata'!$B$5)^(O8-1))</x:f>
        <x:v>1819.7008586099826</x:v>
      </x:c>
      <x:c r="U8" s="31" t="n">
        <x:f>IF(T8="","",I8*T8)</x:f>
        <x:v>560716.1695019469</x:v>
      </x:c>
    </x:row>
    <x:row r="9" ht="18" customHeight="1">
      <x:c r="A9" s="24" t="str">
        <x:v>EEZ_174</x:v>
      </x:c>
      <x:c r="B9" s="24" t="str">
        <x:v>Comoros Isl.</x:v>
      </x:c>
      <x:c r="C9" s="24" t="str">
        <x:v>EEZ</x:v>
      </x:c>
      <x:c r="D9" s="30" t="n">
        <x:v>2019</x:v>
      </x:c>
      <x:c r="E9" s="24" t="str">
        <x:v>Sphyraenidae</x:v>
      </x:c>
      <x:c r="F9" s="24" t="str">
        <x:v>Barracudas</x:v>
      </x:c>
      <x:c r="G9" s="24" t="str">
        <x:v>Medium reef assoc. fish (30 - 89 cm)</x:v>
      </x:c>
      <x:c r="H9" s="24" t="str">
        <x:v>Perch-likes</x:v>
      </x:c>
      <x:c r="I9" s="31" t="n">
        <x:v>299</x:v>
      </x:c>
      <x:c r="J9" s="31" t="n">
        <x:v>299</x:v>
      </x:c>
      <x:c r="K9" s="31" t="n">
        <x:v>0</x:v>
      </x:c>
      <x:c r="L9" s="31" t="n">
        <x:v>299</x:v>
      </x:c>
      <x:c r="M9" s="31" t="n">
        <x:v>0</x:v>
      </x:c>
      <x:c r="N9" s="24" t="str">
        <x:v>sphyraenidae</x:v>
      </x:c>
      <x:c r="O9" s="32" t="n">
        <x:v>4.4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Sphyraenidae</x:v>
      </x:c>
      <x:c r="T9" s="32" t="n">
        <x:f>IF(O9="","",(1/'Metadata'!$B$5)^(O9-1))</x:f>
        <x:v>2511.886431509582</x:v>
      </x:c>
      <x:c r="U9" s="31" t="n">
        <x:f>IF(T9="","",I9*T9)</x:f>
        <x:v>751054.0430213651</x:v>
      </x:c>
    </x:row>
    <x:row r="10" ht="18" customHeight="1">
      <x:c r="A10" s="24" t="str">
        <x:v>EEZ_174</x:v>
      </x:c>
      <x:c r="B10" s="24" t="str">
        <x:v>Comoros Isl.</x:v>
      </x:c>
      <x:c r="C10" s="24" t="str">
        <x:v>EEZ</x:v>
      </x:c>
      <x:c r="D10" s="30" t="n">
        <x:v>2019</x:v>
      </x:c>
      <x:c r="E10" s="24" t="str">
        <x:v>Coryphaena hippurus</x:v>
      </x:c>
      <x:c r="F10" s="24" t="str">
        <x:v>Common dolphinfish</x:v>
      </x:c>
      <x:c r="G10" s="24" t="str">
        <x:v>Large pelagics (&gt;=90 cm)</x:v>
      </x:c>
      <x:c r="H10" s="24" t="str">
        <x:v>Perch-likes</x:v>
      </x:c>
      <x:c r="I10" s="31" t="n">
        <x:v>281.9738047962</x:v>
      </x:c>
      <x:c r="J10" s="31" t="n">
        <x:v>281.9738047962</x:v>
      </x:c>
      <x:c r="K10" s="31" t="n">
        <x:v>0</x:v>
      </x:c>
      <x:c r="L10" s="31" t="n">
        <x:v>190</x:v>
      </x:c>
      <x:c r="M10" s="31" t="n">
        <x:v>91.9738047962</x:v>
      </x:c>
      <x:c r="N10" s="24" t="str">
        <x:v>coryphaena hippurus</x:v>
      </x:c>
      <x:c r="O10" s="32" t="n">
        <x:v>4.37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Coryphaena hippurus</x:v>
      </x:c>
      <x:c r="T10" s="32" t="n">
        <x:f>IF(O10="","",(1/'Metadata'!$B$5)^(O10-1))</x:f>
        <x:v>2344.228815319923</x:v>
      </x:c>
      <x:c r="U10" s="31" t="n">
        <x:f>IF(T10="","",I10*T10)</x:f>
        <x:v>661011.1183686471</x:v>
      </x:c>
    </x:row>
    <x:row r="11" ht="18" customHeight="1">
      <x:c r="A11" s="24" t="str">
        <x:v>EEZ_174</x:v>
      </x:c>
      <x:c r="B11" s="24" t="str">
        <x:v>Comoros Isl.</x:v>
      </x:c>
      <x:c r="C11" s="24" t="str">
        <x:v>EEZ</x:v>
      </x:c>
      <x:c r="D11" s="30" t="n">
        <x:v>2019</x:v>
      </x:c>
      <x:c r="E11" s="24" t="str">
        <x:v>Lutjanidae</x:v>
      </x:c>
      <x:c r="F11" s="24" t="str">
        <x:v>Snappers</x:v>
      </x:c>
      <x:c r="G11" s="24" t="str">
        <x:v>Medium reef assoc. fish (30 - 89 cm)</x:v>
      </x:c>
      <x:c r="H11" s="24" t="str">
        <x:v>Perch-likes</x:v>
      </x:c>
      <x:c r="I11" s="31" t="n">
        <x:v>232</x:v>
      </x:c>
      <x:c r="J11" s="31" t="n">
        <x:v>232</x:v>
      </x:c>
      <x:c r="K11" s="31" t="n">
        <x:v>0</x:v>
      </x:c>
      <x:c r="L11" s="31" t="n">
        <x:v>232</x:v>
      </x:c>
      <x:c r="M11" s="31" t="n">
        <x:v>0</x:v>
      </x:c>
      <x:c r="N11" s="24" t="str">
        <x:v>lutjanidae</x:v>
      </x:c>
      <x:c r="O11" s="32" t="n">
        <x:v>4.02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Lutjanidae</x:v>
      </x:c>
      <x:c r="T11" s="32" t="n">
        <x:f>IF(O11="","",(1/'Metadata'!$B$5)^(O11-1))</x:f>
        <x:v>1047.1285480508984</x:v>
      </x:c>
      <x:c r="U11" s="31" t="n">
        <x:f>IF(T11="","",I11*T11)</x:f>
        <x:v>242933.82314780843</x:v>
      </x:c>
    </x:row>
    <x:row r="12" ht="18" customHeight="1">
      <x:c r="A12" s="24" t="str">
        <x:v>EEZ_174</x:v>
      </x:c>
      <x:c r="B12" s="24" t="str">
        <x:v>Comoros Isl.</x:v>
      </x:c>
      <x:c r="C12" s="24" t="str">
        <x:v>EEZ</x:v>
      </x:c>
      <x:c r="D12" s="30" t="n">
        <x:v>2019</x:v>
      </x:c>
      <x:c r="E12" s="24" t="str">
        <x:v>Xiphias gladius</x:v>
      </x:c>
      <x:c r="F12" s="24" t="str">
        <x:v>Swordfish</x:v>
      </x:c>
      <x:c r="G12" s="24" t="str">
        <x:v>Large pelagics (&gt;=90 cm)</x:v>
      </x:c>
      <x:c r="H12" s="24" t="str">
        <x:v>Tuna &amp; billfishes</x:v>
      </x:c>
      <x:c r="I12" s="31" t="n">
        <x:v>231.4698292633</x:v>
      </x:c>
      <x:c r="J12" s="31" t="n">
        <x:v>231.4698292633</x:v>
      </x:c>
      <x:c r="K12" s="31" t="n">
        <x:v>0</x:v>
      </x:c>
      <x:c r="L12" s="31" t="n">
        <x:v>150.0196313616</x:v>
      </x:c>
      <x:c r="M12" s="31" t="n">
        <x:v>81.4501979017</x:v>
      </x:c>
      <x:c r="N12" s="24" t="str">
        <x:v>xiphias gladius</x:v>
      </x:c>
      <x:c r="O12" s="32" t="n">
        <x:v>4.53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Xiphias gladius</x:v>
      </x:c>
      <x:c r="T12" s="32" t="n">
        <x:f>IF(O12="","",(1/'Metadata'!$B$5)^(O12-1))</x:f>
        <x:v>3388.4415613920273</x:v>
      </x:c>
      <x:c r="U12" s="31" t="n">
        <x:f>IF(T12="","",I12*T12)</x:f>
        <x:v>784321.9896840822</x:v>
      </x:c>
    </x:row>
    <x:row r="13" ht="18" customHeight="1">
      <x:c r="A13" s="24" t="str">
        <x:v>EEZ_174</x:v>
      </x:c>
      <x:c r="B13" s="24" t="str">
        <x:v>Comoros Isl.</x:v>
      </x:c>
      <x:c r="C13" s="24" t="str">
        <x:v>EEZ</x:v>
      </x:c>
      <x:c r="D13" s="30" t="n">
        <x:v>2019</x:v>
      </x:c>
      <x:c r="E13" s="24" t="str">
        <x:v>Hemiramphidae</x:v>
      </x:c>
      <x:c r="F13" s="24" t="str">
        <x:v>Halfbeaks, garfishes</x:v>
      </x:c>
      <x:c r="G13" s="24" t="str">
        <x:v>Medium pelagics (30 - 89 cm)</x:v>
      </x:c>
      <x:c r="H13" s="24" t="str">
        <x:v>Other fishes &amp; inverts</x:v>
      </x:c>
      <x:c r="I13" s="31" t="n">
        <x:v>163</x:v>
      </x:c>
      <x:c r="J13" s="31" t="n">
        <x:v>163</x:v>
      </x:c>
      <x:c r="K13" s="31" t="n">
        <x:v>0</x:v>
      </x:c>
      <x:c r="L13" s="31" t="n">
        <x:v>163</x:v>
      </x:c>
      <x:c r="M13" s="31" t="n">
        <x:v>0</x:v>
      </x:c>
      <x:c r="N13" s="24" t="str">
        <x:v>hemiramphidae</x:v>
      </x:c>
      <x:c r="O13" s="32" t="n">
        <x:v>2.82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Hemiramphidae</x:v>
      </x:c>
      <x:c r="T13" s="32" t="n">
        <x:f>IF(O13="","",(1/'Metadata'!$B$5)^(O13-1))</x:f>
        <x:v>66.06934480075958</x:v>
      </x:c>
      <x:c r="U13" s="31" t="n">
        <x:f>IF(T13="","",I13*T13)</x:f>
        <x:v>10769.303202523812</x:v>
      </x:c>
    </x:row>
    <x:row r="14" ht="18" customHeight="1">
      <x:c r="A14" s="24" t="str">
        <x:v>EEZ_174</x:v>
      </x:c>
      <x:c r="B14" s="24" t="str">
        <x:v>Comoros Isl.</x:v>
      </x:c>
      <x:c r="C14" s="24" t="str">
        <x:v>EEZ</x:v>
      </x:c>
      <x:c r="D14" s="30" t="n">
        <x:v>2019</x:v>
      </x:c>
      <x:c r="E14" s="24" t="str">
        <x:v>Chondrichthyes</x:v>
      </x:c>
      <x:c r="F14" s="24" t="str">
        <x:v>Sharks, rays, chimaeras</x:v>
      </x:c>
      <x:c r="G14" s="24" t="str">
        <x:v>Large sharks (&gt;=90 cm)</x:v>
      </x:c>
      <x:c r="H14" s="24" t="str">
        <x:v>Sharks &amp; rays</x:v>
      </x:c>
      <x:c r="I14" s="31" t="n">
        <x:v>149.4618439756</x:v>
      </x:c>
      <x:c r="J14" s="31" t="n">
        <x:v>149.4618439756</x:v>
      </x:c>
      <x:c r="K14" s="31" t="n">
        <x:v>0</x:v>
      </x:c>
      <x:c r="L14" s="31" t="n">
        <x:v>80</x:v>
      </x:c>
      <x:c r="M14" s="31" t="n">
        <x:v>69.4618439756</x:v>
      </x:c>
      <x:c r="N14" s="24" t="str">
        <x:v>chondrichthyes</x:v>
      </x:c>
      <x:c r="O14" s="32" t="n">
        <x:v>4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Chondrichthyes</x:v>
      </x:c>
      <x:c r="T14" s="32" t="n">
        <x:f>IF(O14="","",(1/'Metadata'!$B$5)^(O14-1))</x:f>
        <x:v>1000</x:v>
      </x:c>
      <x:c r="U14" s="31" t="n">
        <x:f>IF(T14="","",I14*T14)</x:f>
        <x:v>149461.8439756</x:v>
      </x:c>
    </x:row>
    <x:row r="15" ht="18" customHeight="1">
      <x:c r="A15" s="24" t="str">
        <x:v>EEZ_174</x:v>
      </x:c>
      <x:c r="B15" s="24" t="str">
        <x:v>Comoros Isl.</x:v>
      </x:c>
      <x:c r="C15" s="24" t="str">
        <x:v>EEZ</x:v>
      </x:c>
      <x:c r="D15" s="30" t="n">
        <x:v>2019</x:v>
      </x:c>
      <x:c r="E15" s="24" t="str">
        <x:v>Elagatis bipinnulata</x:v>
      </x:c>
      <x:c r="F15" s="24" t="str">
        <x:v>Rainbow runner</x:v>
      </x:c>
      <x:c r="G15" s="24" t="str">
        <x:v>Large pelagics (&gt;=90 cm)</x:v>
      </x:c>
      <x:c r="H15" s="24" t="str">
        <x:v>Perch-likes</x:v>
      </x:c>
      <x:c r="I15" s="31" t="n">
        <x:v>120</x:v>
      </x:c>
      <x:c r="J15" s="31" t="n">
        <x:v>120</x:v>
      </x:c>
      <x:c r="K15" s="31" t="n">
        <x:v>0</x:v>
      </x:c>
      <x:c r="L15" s="31" t="n">
        <x:v>120</x:v>
      </x:c>
      <x:c r="M15" s="31" t="n">
        <x:v>0</x:v>
      </x:c>
      <x:c r="N15" s="24" t="str">
        <x:v>elagatis bipinnulata</x:v>
      </x:c>
      <x:c r="O15" s="32" t="n">
        <x:v>4.27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Elagatis bipinnulata</x:v>
      </x:c>
      <x:c r="T15" s="32" t="n">
        <x:f>IF(O15="","",(1/'Metadata'!$B$5)^(O15-1))</x:f>
        <x:v>1862.0871366628655</x:v>
      </x:c>
      <x:c r="U15" s="31" t="n">
        <x:f>IF(T15="","",I15*T15)</x:f>
        <x:v>223450.45639954385</x:v>
      </x:c>
    </x:row>
    <x:row r="16" ht="18" customHeight="1">
      <x:c r="A16" s="24" t="str">
        <x:v>EEZ_174</x:v>
      </x:c>
      <x:c r="B16" s="24" t="str">
        <x:v>Comoros Isl.</x:v>
      </x:c>
      <x:c r="C16" s="24" t="str">
        <x:v>EEZ</x:v>
      </x:c>
      <x:c r="D16" s="30" t="n">
        <x:v>2019</x:v>
      </x:c>
      <x:c r="E16" s="24" t="str">
        <x:v>Aphareus rutilans</x:v>
      </x:c>
      <x:c r="F16" s="24" t="str">
        <x:v>Rusty jobfish</x:v>
      </x:c>
      <x:c r="G16" s="24" t="str">
        <x:v>Medium reef assoc. fish (30 - 89 cm)</x:v>
      </x:c>
      <x:c r="H16" s="24" t="str">
        <x:v>Perch-likes</x:v>
      </x:c>
      <x:c r="I16" s="31" t="n">
        <x:v>112</x:v>
      </x:c>
      <x:c r="J16" s="31" t="n">
        <x:v>112</x:v>
      </x:c>
      <x:c r="K16" s="31" t="n">
        <x:v>0</x:v>
      </x:c>
      <x:c r="L16" s="31" t="n">
        <x:v>112</x:v>
      </x:c>
      <x:c r="M16" s="31" t="n">
        <x:v>0</x:v>
      </x:c>
      <x:c r="N16" s="24" t="str">
        <x:v>aphareus rutilans</x:v>
      </x:c>
      <x:c r="O16" s="32" t="n">
        <x:v>4.11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Aphareus rutilans</x:v>
      </x:c>
      <x:c r="T16" s="32" t="n">
        <x:f>IF(O16="","",(1/'Metadata'!$B$5)^(O16-1))</x:f>
        <x:v>1288.249551693135</x:v>
      </x:c>
      <x:c r="U16" s="31" t="n">
        <x:f>IF(T16="","",I16*T16)</x:f>
        <x:v>144283.94978963112</x:v>
      </x:c>
    </x:row>
    <x:row r="17" ht="18" customHeight="1">
      <x:c r="A17" s="24" t="str">
        <x:v>EEZ_174</x:v>
      </x:c>
      <x:c r="B17" s="24" t="str">
        <x:v>Comoros Isl.</x:v>
      </x:c>
      <x:c r="C17" s="24" t="str">
        <x:v>EEZ</x:v>
      </x:c>
      <x:c r="D17" s="30" t="n">
        <x:v>2019</x:v>
      </x:c>
      <x:c r="E17" s="24" t="str">
        <x:v>Serranidae</x:v>
      </x:c>
      <x:c r="F17" s="24" t="str">
        <x:v>Basses, groupers, hinds</x:v>
      </x:c>
      <x:c r="G17" s="24" t="str">
        <x:v>Medium reef assoc. fish (30 - 89 cm)</x:v>
      </x:c>
      <x:c r="H17" s="24" t="str">
        <x:v>Perch-likes</x:v>
      </x:c>
      <x:c r="I17" s="31" t="n">
        <x:v>106</x:v>
      </x:c>
      <x:c r="J17" s="31" t="n">
        <x:v>106</x:v>
      </x:c>
      <x:c r="K17" s="31" t="n">
        <x:v>0</x:v>
      </x:c>
      <x:c r="L17" s="31" t="n">
        <x:v>106</x:v>
      </x:c>
      <x:c r="M17" s="31" t="n">
        <x:v>0</x:v>
      </x:c>
      <x:c r="N17" s="24" t="str">
        <x:v>serranidae</x:v>
      </x:c>
      <x:c r="O17" s="32" t="n">
        <x:v>3.98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Serranidae</x:v>
      </x:c>
      <x:c r="T17" s="32" t="n">
        <x:f>IF(O17="","",(1/'Metadata'!$B$5)^(O17-1))</x:f>
        <x:v>954.992586021436</x:v>
      </x:c>
      <x:c r="U17" s="31" t="n">
        <x:f>IF(T17="","",I17*T17)</x:f>
        <x:v>101229.21411827221</x:v>
      </x:c>
    </x:row>
    <x:row r="18" ht="18" customHeight="1">
      <x:c r="A18" s="24" t="str">
        <x:v>EEZ_174</x:v>
      </x:c>
      <x:c r="B18" s="24" t="str">
        <x:v>Comoros Isl.</x:v>
      </x:c>
      <x:c r="C18" s="24" t="str">
        <x:v>EEZ</x:v>
      </x:c>
      <x:c r="D18" s="30" t="n">
        <x:v>2019</x:v>
      </x:c>
      <x:c r="E18" s="24" t="str">
        <x:v>Scaridae</x:v>
      </x:c>
      <x:c r="F18" s="24" t="str">
        <x:v>Parrotfishes</x:v>
      </x:c>
      <x:c r="G18" s="24" t="str">
        <x:v>Medium reef assoc. fish (30 - 89 cm)</x:v>
      </x:c>
      <x:c r="H18" s="24" t="str">
        <x:v>Perch-likes</x:v>
      </x:c>
      <x:c r="I18" s="31" t="n">
        <x:v>100</x:v>
      </x:c>
      <x:c r="J18" s="31" t="n">
        <x:v>100</x:v>
      </x:c>
      <x:c r="K18" s="31" t="n">
        <x:v>0</x:v>
      </x:c>
      <x:c r="L18" s="31" t="n">
        <x:v>100</x:v>
      </x:c>
      <x:c r="M18" s="31" t="n">
        <x:v>0</x:v>
      </x:c>
      <x:c r="N18" s="24" t="str">
        <x:v>scaridae</x:v>
      </x:c>
      <x:c r="O18" s="32" t="n">
        <x:v>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Scaridae</x:v>
      </x:c>
      <x:c r="T18" s="32" t="n">
        <x:f>IF(O18="","",(1/'Metadata'!$B$5)^(O18-1))</x:f>
        <x:v>10</x:v>
      </x:c>
      <x:c r="U18" s="31" t="n">
        <x:f>IF(T18="","",I18*T18)</x:f>
        <x:v>1000</x:v>
      </x:c>
    </x:row>
    <x:row r="19" ht="18" customHeight="1">
      <x:c r="A19" s="24" t="str">
        <x:v>EEZ_174</x:v>
      </x:c>
      <x:c r="B19" s="24" t="str">
        <x:v>Comoros Isl.</x:v>
      </x:c>
      <x:c r="C19" s="24" t="str">
        <x:v>EEZ</x:v>
      </x:c>
      <x:c r="D19" s="30" t="n">
        <x:v>2019</x:v>
      </x:c>
      <x:c r="E19" s="24" t="str">
        <x:v>Terapontidae</x:v>
      </x:c>
      <x:c r="F19" s="24" t="str">
        <x:v>Grunters, tigerperches</x:v>
      </x:c>
      <x:c r="G19" s="24" t="str">
        <x:v>Medium demersals (30 - 89 cm)</x:v>
      </x:c>
      <x:c r="H19" s="24" t="str">
        <x:v>Perch-likes</x:v>
      </x:c>
      <x:c r="I19" s="31" t="n">
        <x:v>100</x:v>
      </x:c>
      <x:c r="J19" s="31" t="n">
        <x:v>100</x:v>
      </x:c>
      <x:c r="K19" s="31" t="n">
        <x:v>0</x:v>
      </x:c>
      <x:c r="L19" s="31" t="n">
        <x:v>100</x:v>
      </x:c>
      <x:c r="M19" s="31" t="n">
        <x:v>0</x:v>
      </x:c>
      <x:c r="N19" s="24" t="str">
        <x:v>terapontidae</x:v>
      </x:c>
      <x:c r="O19" s="32" t="n">
        <x:v>3.64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Terapontidae</x:v>
      </x:c>
      <x:c r="T19" s="32" t="n">
        <x:f>IF(O19="","",(1/'Metadata'!$B$5)^(O19-1))</x:f>
        <x:v>436.5158322401661</x:v>
      </x:c>
      <x:c r="U19" s="31" t="n">
        <x:f>IF(T19="","",I19*T19)</x:f>
        <x:v>43651.58322401661</x:v>
      </x:c>
    </x:row>
    <x:row r="20" ht="18" customHeight="1">
      <x:c r="A20" s="24" t="str">
        <x:v>EEZ_174</x:v>
      </x:c>
      <x:c r="B20" s="24" t="str">
        <x:v>Comoros Isl.</x:v>
      </x:c>
      <x:c r="C20" s="24" t="str">
        <x:v>EEZ</x:v>
      </x:c>
      <x:c r="D20" s="30" t="n">
        <x:v>2019</x:v>
      </x:c>
      <x:c r="E20" s="24" t="str">
        <x:v>Holocentridae</x:v>
      </x:c>
      <x:c r="F20" s="24" t="str">
        <x:v>Squirrel-, soldierfishes</x:v>
      </x:c>
      <x:c r="G20" s="24" t="str">
        <x:v>Small reef assoc. fish (&lt;30 cm)</x:v>
      </x:c>
      <x:c r="H20" s="24" t="str">
        <x:v>Other fishes &amp; inverts</x:v>
      </x:c>
      <x:c r="I20" s="31" t="n">
        <x:v>96</x:v>
      </x:c>
      <x:c r="J20" s="31" t="n">
        <x:v>96</x:v>
      </x:c>
      <x:c r="K20" s="31" t="n">
        <x:v>0</x:v>
      </x:c>
      <x:c r="L20" s="31" t="n">
        <x:v>96</x:v>
      </x:c>
      <x:c r="M20" s="31" t="n">
        <x:v>0</x:v>
      </x:c>
      <x:c r="N20" s="24" t="str">
        <x:v>holocentridae</x:v>
      </x:c>
      <x:c r="O20" s="32" t="n">
        <x:v>3.49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Holocentridae</x:v>
      </x:c>
      <x:c r="T20" s="32" t="n">
        <x:f>IF(O20="","",(1/'Metadata'!$B$5)^(O20-1))</x:f>
        <x:v>309.0295432513592</x:v>
      </x:c>
      <x:c r="U20" s="31" t="n">
        <x:f>IF(T20="","",I20*T20)</x:f>
        <x:v>29666.836152130483</x:v>
      </x:c>
    </x:row>
    <x:row r="21" ht="18" customHeight="1">
      <x:c r="A21" s="24" t="str">
        <x:v>EEZ_174</x:v>
      </x:c>
      <x:c r="B21" s="24" t="str">
        <x:v>Comoros Isl.</x:v>
      </x:c>
      <x:c r="C21" s="24" t="str">
        <x:v>EEZ</x:v>
      </x:c>
      <x:c r="D21" s="30" t="n">
        <x:v>2019</x:v>
      </x:c>
      <x:c r="E21" s="24" t="str">
        <x:v>Istiompax indica</x:v>
      </x:c>
      <x:c r="F21" s="24" t="str">
        <x:v>Black marlin</x:v>
      </x:c>
      <x:c r="G21" s="24" t="str">
        <x:v>Large pelagics (&gt;=90 cm)</x:v>
      </x:c>
      <x:c r="H21" s="24" t="str">
        <x:v>Tuna &amp; billfishes</x:v>
      </x:c>
      <x:c r="I21" s="31" t="n">
        <x:v>79.5914328434</x:v>
      </x:c>
      <x:c r="J21" s="31" t="n">
        <x:v>79.5914328434</x:v>
      </x:c>
      <x:c r="K21" s="31" t="n">
        <x:v>0</x:v>
      </x:c>
      <x:c r="L21" s="31" t="n">
        <x:v>38.004629575</x:v>
      </x:c>
      <x:c r="M21" s="31" t="n">
        <x:v>41.586803268400004</x:v>
      </x:c>
      <x:c r="N21" s="24" t="str">
        <x:v>istiompax indica</x:v>
      </x:c>
      <x:c r="O21" s="32" t="n">
        <x:v>4.5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Istiompax indica</x:v>
      </x:c>
      <x:c r="T21" s="32" t="n">
        <x:f>IF(O21="","",(1/'Metadata'!$B$5)^(O21-1))</x:f>
        <x:v>3162.2776601683795</x:v>
      </x:c>
      <x:c r="U21" s="31" t="n">
        <x:f>IF(T21="","",I21*T21)</x:f>
        <x:v>251690.21002147565</x:v>
      </x:c>
    </x:row>
    <x:row r="22" ht="18" customHeight="1">
      <x:c r="A22" s="24" t="str">
        <x:v>EEZ_174</x:v>
      </x:c>
      <x:c r="B22" s="24" t="str">
        <x:v>Comoros Isl.</x:v>
      </x:c>
      <x:c r="C22" s="24" t="str">
        <x:v>EEZ</x:v>
      </x:c>
      <x:c r="D22" s="30" t="n">
        <x:v>2019</x:v>
      </x:c>
      <x:c r="E22" s="24" t="str">
        <x:v>Lethrinidae</x:v>
      </x:c>
      <x:c r="F22" s="24" t="str">
        <x:v>Emperors, scavengers</x:v>
      </x:c>
      <x:c r="G22" s="24" t="str">
        <x:v>Medium reef assoc. fish (30 - 89 cm)</x:v>
      </x:c>
      <x:c r="H22" s="24" t="str">
        <x:v>Perch-likes</x:v>
      </x:c>
      <x:c r="I22" s="31" t="n">
        <x:v>70</x:v>
      </x:c>
      <x:c r="J22" s="31" t="n">
        <x:v>70</x:v>
      </x:c>
      <x:c r="K22" s="31" t="n">
        <x:v>0</x:v>
      </x:c>
      <x:c r="L22" s="31" t="n">
        <x:v>70</x:v>
      </x:c>
      <x:c r="M22" s="31" t="n">
        <x:v>0</x:v>
      </x:c>
      <x:c r="N22" s="24" t="str">
        <x:v>lethrinidae</x:v>
      </x:c>
      <x:c r="O22" s="32" t="n">
        <x:v>3.59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Lethrinidae</x:v>
      </x:c>
      <x:c r="T22" s="32" t="n">
        <x:f>IF(O22="","",(1/'Metadata'!$B$5)^(O22-1))</x:f>
        <x:v>389.04514499428046</x:v>
      </x:c>
      <x:c r="U22" s="31" t="n">
        <x:f>IF(T22="","",I22*T22)</x:f>
        <x:v>27233.160149599633</x:v>
      </x:c>
    </x:row>
    <x:row r="23" ht="18" customHeight="1">
      <x:c r="A23" s="24" t="str">
        <x:v>EEZ_174</x:v>
      </x:c>
      <x:c r="B23" s="24" t="str">
        <x:v>Comoros Isl.</x:v>
      </x:c>
      <x:c r="C23" s="24" t="str">
        <x:v>EEZ</x:v>
      </x:c>
      <x:c r="D23" s="30" t="n">
        <x:v>2019</x:v>
      </x:c>
      <x:c r="E23" s="24" t="str">
        <x:v>Haemulidae</x:v>
      </x:c>
      <x:c r="F23" s="24" t="str">
        <x:v>Grunts, sweetlips, bonnetmouths</x:v>
      </x:c>
      <x:c r="G23" s="24" t="str">
        <x:v>Medium demersals (30 - 89 cm)</x:v>
      </x:c>
      <x:c r="H23" s="24" t="str">
        <x:v>Perch-likes</x:v>
      </x:c>
      <x:c r="I23" s="31" t="n">
        <x:v>65</x:v>
      </x:c>
      <x:c r="J23" s="31" t="n">
        <x:v>65</x:v>
      </x:c>
      <x:c r="K23" s="31" t="n">
        <x:v>0</x:v>
      </x:c>
      <x:c r="L23" s="31" t="n">
        <x:v>65</x:v>
      </x:c>
      <x:c r="M23" s="31" t="n">
        <x:v>0</x:v>
      </x:c>
      <x:c r="N23" s="24" t="str">
        <x:v>haemulidae</x:v>
      </x:c>
      <x:c r="O23" s="32" t="n">
        <x:v>3.36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Haemulidae</x:v>
      </x:c>
      <x:c r="T23" s="32" t="n">
        <x:f>IF(O23="","",(1/'Metadata'!$B$5)^(O23-1))</x:f>
        <x:v>229.08676527677724</x:v>
      </x:c>
      <x:c r="U23" s="31" t="n">
        <x:f>IF(T23="","",I23*T23)</x:f>
        <x:v>14890.639742990521</x:v>
      </x:c>
    </x:row>
    <x:row r="24" ht="18" customHeight="1">
      <x:c r="A24" s="24" t="str">
        <x:v>EEZ_174</x:v>
      </x:c>
      <x:c r="B24" s="24" t="str">
        <x:v>Comoros Isl.</x:v>
      </x:c>
      <x:c r="C24" s="24" t="str">
        <x:v>EEZ</x:v>
      </x:c>
      <x:c r="D24" s="30" t="n">
        <x:v>2019</x:v>
      </x:c>
      <x:c r="E24" s="24" t="str">
        <x:v>Sardinella</x:v>
      </x:c>
      <x:c r="F24" s="24" t="str">
        <x:v>Sardinellas</x:v>
      </x:c>
      <x:c r="G24" s="24" t="str">
        <x:v>Small pelagics (&lt;30 cm)</x:v>
      </x:c>
      <x:c r="H24" s="24" t="str">
        <x:v>Herring-likes</x:v>
      </x:c>
      <x:c r="I24" s="31" t="n">
        <x:v>59</x:v>
      </x:c>
      <x:c r="J24" s="31" t="n">
        <x:v>59</x:v>
      </x:c>
      <x:c r="K24" s="31" t="n">
        <x:v>0</x:v>
      </x:c>
      <x:c r="L24" s="31" t="n">
        <x:v>59</x:v>
      </x:c>
      <x:c r="M24" s="31" t="n">
        <x:v>0</x:v>
      </x:c>
      <x:c r="N24" s="24" t="str">
        <x:v>sardinella</x:v>
      </x:c>
      <x:c r="O24" s="32" t="n">
        <x:v>2.77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Sardinella</x:v>
      </x:c>
      <x:c r="T24" s="32" t="n">
        <x:f>IF(O24="","",(1/'Metadata'!$B$5)^(O24-1))</x:f>
        <x:v>58.8843655355589</x:v>
      </x:c>
      <x:c r="U24" s="31" t="n">
        <x:f>IF(T24="","",I24*T24)</x:f>
        <x:v>3474.177566597975</x:v>
      </x:c>
    </x:row>
    <x:row r="25" ht="18" customHeight="1">
      <x:c r="A25" s="24" t="str">
        <x:v>EEZ_174</x:v>
      </x:c>
      <x:c r="B25" s="24" t="str">
        <x:v>Comoros Isl.</x:v>
      </x:c>
      <x:c r="C25" s="24" t="str">
        <x:v>EEZ</x:v>
      </x:c>
      <x:c r="D25" s="30" t="n">
        <x:v>2019</x:v>
      </x:c>
      <x:c r="E25" s="24" t="str">
        <x:v>Epinephelus</x:v>
      </x:c>
      <x:c r="F25" s="24" t="str">
        <x:v>Seabasses, hinds</x:v>
      </x:c>
      <x:c r="G25" s="24" t="str">
        <x:v>Medium reef assoc. fish (30 - 89 cm)</x:v>
      </x:c>
      <x:c r="H25" s="24" t="str">
        <x:v>Perch-likes</x:v>
      </x:c>
      <x:c r="I25" s="31" t="n">
        <x:v>54</x:v>
      </x:c>
      <x:c r="J25" s="31" t="n">
        <x:v>54</x:v>
      </x:c>
      <x:c r="K25" s="31" t="n">
        <x:v>0</x:v>
      </x:c>
      <x:c r="L25" s="31" t="n">
        <x:v>54</x:v>
      </x:c>
      <x:c r="M25" s="31" t="n">
        <x:v>0</x:v>
      </x:c>
      <x:c r="N25" s="24" t="str">
        <x:v>epinephelus</x:v>
      </x:c>
      <x:c r="O25" s="32" t="n">
        <x:v>3.84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Epinephelus</x:v>
      </x:c>
      <x:c r="T25" s="32" t="n">
        <x:f>IF(O25="","",(1/'Metadata'!$B$5)^(O25-1))</x:f>
        <x:v>691.8309709189363</x:v>
      </x:c>
      <x:c r="U25" s="31" t="n">
        <x:f>IF(T25="","",I25*T25)</x:f>
        <x:v>37358.872429622556</x:v>
      </x:c>
    </x:row>
    <x:row r="26" ht="18" customHeight="1">
      <x:c r="A26" s="24" t="str">
        <x:v>EEZ_174</x:v>
      </x:c>
      <x:c r="B26" s="24" t="str">
        <x:v>Comoros Isl.</x:v>
      </x:c>
      <x:c r="C26" s="24" t="str">
        <x:v>EEZ</x:v>
      </x:c>
      <x:c r="D26" s="30" t="n">
        <x:v>2019</x:v>
      </x:c>
      <x:c r="E26" s="24" t="str">
        <x:v>Epinephelus chlorostigma</x:v>
      </x:c>
      <x:c r="F26" s="24" t="str">
        <x:v>Brownspotted grouper</x:v>
      </x:c>
      <x:c r="G26" s="24" t="str">
        <x:v>Medium reef assoc. fish (30 - 89 cm)</x:v>
      </x:c>
      <x:c r="H26" s="24" t="str">
        <x:v>Perch-likes</x:v>
      </x:c>
      <x:c r="I26" s="31" t="n">
        <x:v>50</x:v>
      </x:c>
      <x:c r="J26" s="31" t="n">
        <x:v>50</x:v>
      </x:c>
      <x:c r="K26" s="31" t="n">
        <x:v>0</x:v>
      </x:c>
      <x:c r="L26" s="31" t="n">
        <x:v>50</x:v>
      </x:c>
      <x:c r="M26" s="31" t="n">
        <x:v>0</x:v>
      </x:c>
      <x:c r="N26" s="24" t="str">
        <x:v>epinephelus chlorostigma</x:v>
      </x:c>
      <x:c r="O26" s="32" t="n">
        <x:v>3.99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Epinephelus chlorostigma</x:v>
      </x:c>
      <x:c r="T26" s="32" t="n">
        <x:f>IF(O26="","",(1/'Metadata'!$B$5)^(O26-1))</x:f>
        <x:v>977.2372209558112</x:v>
      </x:c>
      <x:c r="U26" s="31" t="n">
        <x:f>IF(T26="","",I26*T26)</x:f>
        <x:v>48861.86104779056</x:v>
      </x:c>
    </x:row>
    <x:row r="27" ht="18" customHeight="1">
      <x:c r="A27" s="24" t="str">
        <x:v>EEZ_174</x:v>
      </x:c>
      <x:c r="B27" s="24" t="str">
        <x:v>Comoros Isl.</x:v>
      </x:c>
      <x:c r="C27" s="24" t="str">
        <x:v>EEZ</x:v>
      </x:c>
      <x:c r="D27" s="30" t="n">
        <x:v>2019</x:v>
      </x:c>
      <x:c r="E27" s="24" t="str">
        <x:v>Lethrinus microdon</x:v>
      </x:c>
      <x:c r="F27" s="24" t="str">
        <x:v>Smalltooth emperor</x:v>
      </x:c>
      <x:c r="G27" s="24" t="str">
        <x:v>Medium reef assoc. fish (30 - 89 cm)</x:v>
      </x:c>
      <x:c r="H27" s="24" t="str">
        <x:v>Perch-likes</x:v>
      </x:c>
      <x:c r="I27" s="31" t="n">
        <x:v>50</x:v>
      </x:c>
      <x:c r="J27" s="31" t="n">
        <x:v>50</x:v>
      </x:c>
      <x:c r="K27" s="31" t="n">
        <x:v>0</x:v>
      </x:c>
      <x:c r="L27" s="31" t="n">
        <x:v>50</x:v>
      </x:c>
      <x:c r="M27" s="31" t="n">
        <x:v>0</x:v>
      </x:c>
      <x:c r="N27" s="24" t="str">
        <x:v>lethrinus microdon</x:v>
      </x:c>
      <x:c r="O27" s="32" t="n">
        <x:v>3.79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Lethrinus microdon</x:v>
      </x:c>
      <x:c r="T27" s="32" t="n">
        <x:f>IF(O27="","",(1/'Metadata'!$B$5)^(O27-1))</x:f>
        <x:v>616.5950018614822</x:v>
      </x:c>
      <x:c r="U27" s="31" t="n">
        <x:f>IF(T27="","",I27*T27)</x:f>
        <x:v>30829.750093074108</x:v>
      </x:c>
    </x:row>
    <x:row r="28" ht="18" customHeight="1">
      <x:c r="A28" s="24" t="str">
        <x:v>EEZ_174</x:v>
      </x:c>
      <x:c r="B28" s="24" t="str">
        <x:v>Comoros Isl.</x:v>
      </x:c>
      <x:c r="C28" s="24" t="str">
        <x:v>EEZ</x:v>
      </x:c>
      <x:c r="D28" s="30" t="n">
        <x:v>2019</x:v>
      </x:c>
      <x:c r="E28" s="24" t="str">
        <x:v>Thunnus alalunga</x:v>
      </x:c>
      <x:c r="F28" s="24" t="str">
        <x:v>Albacore</x:v>
      </x:c>
      <x:c r="G28" s="24" t="str">
        <x:v>Large pelagics (&gt;=90 cm)</x:v>
      </x:c>
      <x:c r="H28" s="24" t="str">
        <x:v>Tuna &amp; billfishes</x:v>
      </x:c>
      <x:c r="I28" s="31" t="n">
        <x:v>30.4554849487</x:v>
      </x:c>
      <x:c r="J28" s="31" t="n">
        <x:v>30.4554849487</x:v>
      </x:c>
      <x:c r="K28" s="31" t="n">
        <x:v>0</x:v>
      </x:c>
      <x:c r="L28" s="31" t="n">
        <x:v>28.9993733964</x:v>
      </x:c>
      <x:c r="M28" s="31" t="n">
        <x:v>1.4561115523</x:v>
      </x:c>
      <x:c r="N28" s="24" t="str">
        <x:v>thunnus alalunga</x:v>
      </x:c>
      <x:c r="O28" s="32" t="n">
        <x:v>4.3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Thunnus alalunga</x:v>
      </x:c>
      <x:c r="T28" s="32" t="n">
        <x:f>IF(O28="","",(1/'Metadata'!$B$5)^(O28-1))</x:f>
        <x:v>1995.2623149688789</x:v>
      </x:c>
      <x:c r="U28" s="31" t="n">
        <x:f>IF(T28="","",I28*T28)</x:f>
        <x:v>60766.68140224301</x:v>
      </x:c>
    </x:row>
    <x:row r="29" ht="18" customHeight="1">
      <x:c r="A29" s="24" t="str">
        <x:v>EEZ_174</x:v>
      </x:c>
      <x:c r="B29" s="24" t="str">
        <x:v>Comoros Isl.</x:v>
      </x:c>
      <x:c r="C29" s="24" t="str">
        <x:v>EEZ</x:v>
      </x:c>
      <x:c r="D29" s="30" t="n">
        <x:v>2019</x:v>
      </x:c>
      <x:c r="E29" s="24" t="str">
        <x:v>Variola louti</x:v>
      </x:c>
      <x:c r="F29" s="24" t="str">
        <x:v>Yellow-edged lyretail</x:v>
      </x:c>
      <x:c r="G29" s="24" t="str">
        <x:v>Medium reef assoc. fish (30 - 89 cm)</x:v>
      </x:c>
      <x:c r="H29" s="24" t="str">
        <x:v>Perch-likes</x:v>
      </x:c>
      <x:c r="I29" s="31" t="n">
        <x:v>24</x:v>
      </x:c>
      <x:c r="J29" s="31" t="n">
        <x:v>24</x:v>
      </x:c>
      <x:c r="K29" s="31" t="n">
        <x:v>0</x:v>
      </x:c>
      <x:c r="L29" s="31" t="n">
        <x:v>24</x:v>
      </x:c>
      <x:c r="M29" s="31" t="n">
        <x:v>0</x:v>
      </x:c>
      <x:c r="N29" s="24" t="str">
        <x:v>variola louti</x:v>
      </x:c>
      <x:c r="O29" s="32" t="n">
        <x:v>4.33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Variola louti</x:v>
      </x:c>
      <x:c r="T29" s="32" t="n">
        <x:f>IF(O29="","",(1/'Metadata'!$B$5)^(O29-1))</x:f>
        <x:v>2137.9620895022326</x:v>
      </x:c>
      <x:c r="U29" s="31" t="n">
        <x:f>IF(T29="","",I29*T29)</x:f>
        <x:v>51311.09014805358</x:v>
      </x:c>
    </x:row>
    <x:row r="30" ht="18" customHeight="1">
      <x:c r="A30" s="24" t="str">
        <x:v>EEZ_174</x:v>
      </x:c>
      <x:c r="B30" s="24" t="str">
        <x:v>Comoros Isl.</x:v>
      </x:c>
      <x:c r="C30" s="24" t="str">
        <x:v>EEZ</x:v>
      </x:c>
      <x:c r="D30" s="30" t="n">
        <x:v>2019</x:v>
      </x:c>
      <x:c r="E30" s="24" t="str">
        <x:v>Lutjanus argentimaculatus</x:v>
      </x:c>
      <x:c r="F30" s="24" t="str">
        <x:v>Mangrove red snapper</x:v>
      </x:c>
      <x:c r="G30" s="24" t="str">
        <x:v>Large reef assoc. fish (&gt;=90 cm)</x:v>
      </x:c>
      <x:c r="H30" s="24" t="str">
        <x:v>Perch-likes</x:v>
      </x:c>
      <x:c r="I30" s="31" t="n">
        <x:v>20</x:v>
      </x:c>
      <x:c r="J30" s="31" t="n">
        <x:v>20</x:v>
      </x:c>
      <x:c r="K30" s="31" t="n">
        <x:v>0</x:v>
      </x:c>
      <x:c r="L30" s="31" t="n">
        <x:v>20</x:v>
      </x:c>
      <x:c r="M30" s="31" t="n">
        <x:v>0</x:v>
      </x:c>
      <x:c r="N30" s="24" t="str">
        <x:v>lutjanus argentimaculatus</x:v>
      </x:c>
      <x:c r="O30" s="32" t="n">
        <x:v>3.58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Lutjanus argentimaculatus</x:v>
      </x:c>
      <x:c r="T30" s="32" t="n">
        <x:f>IF(O30="","",(1/'Metadata'!$B$5)^(O30-1))</x:f>
        <x:v>380.1893963205613</x:v>
      </x:c>
      <x:c r="U30" s="31" t="n">
        <x:f>IF(T30="","",I30*T30)</x:f>
        <x:v>7603.787926411225</x:v>
      </x:c>
    </x:row>
    <x:row r="31" ht="18" customHeight="1">
      <x:c r="A31" s="24" t="str">
        <x:v>EEZ_174</x:v>
      </x:c>
      <x:c r="B31" s="24" t="str">
        <x:v>Comoros Isl.</x:v>
      </x:c>
      <x:c r="C31" s="24" t="str">
        <x:v>EEZ</x:v>
      </x:c>
      <x:c r="D31" s="30" t="n">
        <x:v>2019</x:v>
      </x:c>
      <x:c r="E31" s="24" t="str">
        <x:v>Euthynnus affinis</x:v>
      </x:c>
      <x:c r="F31" s="24" t="str">
        <x:v>Kawakawa</x:v>
      </x:c>
      <x:c r="G31" s="24" t="str">
        <x:v>Large pelagics (&gt;=90 cm)</x:v>
      </x:c>
      <x:c r="H31" s="24" t="str">
        <x:v>Tuna &amp; billfishes</x:v>
      </x:c>
      <x:c r="I31" s="31" t="n">
        <x:v>18.7194382174</x:v>
      </x:c>
      <x:c r="J31" s="31" t="n">
        <x:v>18.7194382174</x:v>
      </x:c>
      <x:c r="K31" s="31" t="n">
        <x:v>0</x:v>
      </x:c>
      <x:c r="L31" s="31" t="n">
        <x:v>18.7194382174</x:v>
      </x:c>
      <x:c r="M31" s="31" t="n">
        <x:v>0</x:v>
      </x:c>
      <x:c r="N31" s="24" t="str">
        <x:v>euthynnus affinis</x:v>
      </x:c>
      <x:c r="O31" s="32" t="n">
        <x:v>4.5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Euthynnus affinis</x:v>
      </x:c>
      <x:c r="T31" s="32" t="n">
        <x:f>IF(O31="","",(1/'Metadata'!$B$5)^(O31-1))</x:f>
        <x:v>3162.2776601683795</x:v>
      </x:c>
      <x:c r="U31" s="31" t="n">
        <x:f>IF(T31="","",I31*T31)</x:f>
        <x:v>59196.061285786214</x:v>
      </x:c>
    </x:row>
    <x:row r="32" ht="18" customHeight="1">
      <x:c r="A32" s="24" t="str">
        <x:v>EEZ_174</x:v>
      </x:c>
      <x:c r="B32" s="24" t="str">
        <x:v>Comoros Isl.</x:v>
      </x:c>
      <x:c r="C32" s="24" t="str">
        <x:v>EEZ</x:v>
      </x:c>
      <x:c r="D32" s="30" t="n">
        <x:v>2019</x:v>
      </x:c>
      <x:c r="E32" s="24" t="str">
        <x:v>Scarus ghobban</x:v>
      </x:c>
      <x:c r="F32" s="24" t="str">
        <x:v>Blue-barred parrotfish</x:v>
      </x:c>
      <x:c r="G32" s="24" t="str">
        <x:v>Medium reef assoc. fish (30 - 89 cm)</x:v>
      </x:c>
      <x:c r="H32" s="24" t="str">
        <x:v>Perch-likes</x:v>
      </x:c>
      <x:c r="I32" s="31" t="n">
        <x:v>18</x:v>
      </x:c>
      <x:c r="J32" s="31" t="n">
        <x:v>18</x:v>
      </x:c>
      <x:c r="K32" s="31" t="n">
        <x:v>0</x:v>
      </x:c>
      <x:c r="L32" s="31" t="n">
        <x:v>18</x:v>
      </x:c>
      <x:c r="M32" s="31" t="n">
        <x:v>0</x:v>
      </x:c>
      <x:c r="N32" s="24" t="str">
        <x:v>scarus ghobban</x:v>
      </x:c>
      <x:c r="O32" s="32" t="n">
        <x:v>2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Scarus ghobban</x:v>
      </x:c>
      <x:c r="T32" s="32" t="n">
        <x:f>IF(O32="","",(1/'Metadata'!$B$5)^(O32-1))</x:f>
        <x:v>10</x:v>
      </x:c>
      <x:c r="U32" s="31" t="n">
        <x:f>IF(T32="","",I32*T32)</x:f>
        <x:v>180</x:v>
      </x:c>
    </x:row>
    <x:row r="33" ht="18" customHeight="1">
      <x:c r="A33" s="24" t="str">
        <x:v>EEZ_174</x:v>
      </x:c>
      <x:c r="B33" s="24" t="str">
        <x:v>Comoros Isl.</x:v>
      </x:c>
      <x:c r="C33" s="24" t="str">
        <x:v>EEZ</x:v>
      </x:c>
      <x:c r="D33" s="30" t="n">
        <x:v>2019</x:v>
      </x:c>
      <x:c r="E33" s="24" t="str">
        <x:v>Thunnus tonggol</x:v>
      </x:c>
      <x:c r="F33" s="24" t="str">
        <x:v>Longtail tuna</x:v>
      </x:c>
      <x:c r="G33" s="24" t="str">
        <x:v>Large pelagics (&gt;=90 cm)</x:v>
      </x:c>
      <x:c r="H33" s="24" t="str">
        <x:v>Tuna &amp; billfishes</x:v>
      </x:c>
      <x:c r="I33" s="31" t="n">
        <x:v>16.978562609</x:v>
      </x:c>
      <x:c r="J33" s="31" t="n">
        <x:v>16.978562609</x:v>
      </x:c>
      <x:c r="K33" s="31" t="n">
        <x:v>0</x:v>
      </x:c>
      <x:c r="L33" s="31" t="n">
        <x:v>13</x:v>
      </x:c>
      <x:c r="M33" s="31" t="n">
        <x:v>3.9785626090000004</x:v>
      </x:c>
      <x:c r="N33" s="24" t="str">
        <x:v>thunnus tonggol</x:v>
      </x:c>
      <x:c r="O33" s="32" t="n">
        <x:v>4.5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Thunnus tonggol</x:v>
      </x:c>
      <x:c r="T33" s="32" t="n">
        <x:f>IF(O33="","",(1/'Metadata'!$B$5)^(O33-1))</x:f>
        <x:v>3162.2776601683795</x:v>
      </x:c>
      <x:c r="U33" s="31" t="n">
        <x:f>IF(T33="","",I33*T33)</x:f>
        <x:v>53690.92924021086</x:v>
      </x:c>
    </x:row>
    <x:row r="34" ht="18" customHeight="1">
      <x:c r="A34" s="24" t="str">
        <x:v>EEZ_174</x:v>
      </x:c>
      <x:c r="B34" s="24" t="str">
        <x:v>Comoros Isl.</x:v>
      </x:c>
      <x:c r="C34" s="24" t="str">
        <x:v>EEZ</x:v>
      </x:c>
      <x:c r="D34" s="30" t="n">
        <x:v>2019</x:v>
      </x:c>
      <x:c r="E34" s="24" t="str">
        <x:v>Lethrinus nebulosus</x:v>
      </x:c>
      <x:c r="F34" s="24" t="str">
        <x:v>Spangled emperor</x:v>
      </x:c>
      <x:c r="G34" s="24" t="str">
        <x:v>Medium demersals (30 - 89 cm)</x:v>
      </x:c>
      <x:c r="H34" s="24" t="str">
        <x:v>Perch-likes</x:v>
      </x:c>
      <x:c r="I34" s="31" t="n">
        <x:v>16</x:v>
      </x:c>
      <x:c r="J34" s="31" t="n">
        <x:v>16</x:v>
      </x:c>
      <x:c r="K34" s="31" t="n">
        <x:v>0</x:v>
      </x:c>
      <x:c r="L34" s="31" t="n">
        <x:v>16</x:v>
      </x:c>
      <x:c r="M34" s="31" t="n">
        <x:v>0</x:v>
      </x:c>
      <x:c r="N34" s="24" t="str">
        <x:v>lethrinus nebulosus</x:v>
      </x:c>
      <x:c r="O34" s="32" t="n">
        <x:v>3.76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Lethrinus nebulosus</x:v>
      </x:c>
      <x:c r="T34" s="32" t="n">
        <x:f>IF(O34="","",(1/'Metadata'!$B$5)^(O34-1))</x:f>
        <x:v>575.4399373371566</x:v>
      </x:c>
      <x:c r="U34" s="31" t="n">
        <x:f>IF(T34="","",I34*T34)</x:f>
        <x:v>9207.038997394506</x:v>
      </x:c>
    </x:row>
    <x:row r="35" ht="18" customHeight="1">
      <x:c r="A35" s="24" t="str">
        <x:v>EEZ_174</x:v>
      </x:c>
      <x:c r="B35" s="24" t="str">
        <x:v>Comoros Isl.</x:v>
      </x:c>
      <x:c r="C35" s="24" t="str">
        <x:v>EEZ</x:v>
      </x:c>
      <x:c r="D35" s="30" t="n">
        <x:v>2019</x:v>
      </x:c>
      <x:c r="E35" s="24" t="str">
        <x:v>Kajikia audax</x:v>
      </x:c>
      <x:c r="F35" s="24" t="str">
        <x:v>Striped marlin</x:v>
      </x:c>
      <x:c r="G35" s="24" t="str">
        <x:v>Large pelagics (&gt;=90 cm)</x:v>
      </x:c>
      <x:c r="H35" s="24" t="str">
        <x:v>Tuna &amp; billfishes</x:v>
      </x:c>
      <x:c r="I35" s="31" t="n">
        <x:v>13.141009811</x:v>
      </x:c>
      <x:c r="J35" s="31" t="n">
        <x:v>13.141009811</x:v>
      </x:c>
      <x:c r="K35" s="31" t="n">
        <x:v>0</x:v>
      </x:c>
      <x:c r="L35" s="31" t="n">
        <x:v>6</x:v>
      </x:c>
      <x:c r="M35" s="31" t="n">
        <x:v>7.141009811</x:v>
      </x:c>
      <x:c r="N35" s="24" t="str">
        <x:v>kajikia audax</x:v>
      </x:c>
      <x:c r="O35" s="32" t="n">
        <x:v>4.58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Kajikia audax</x:v>
      </x:c>
      <x:c r="T35" s="32" t="n">
        <x:f>IF(O35="","",(1/'Metadata'!$B$5)^(O35-1))</x:f>
        <x:v>3801.8939632056126</x:v>
      </x:c>
      <x:c r="U35" s="31" t="n">
        <x:f>IF(T35="","",I35*T35)</x:f>
        <x:v>49960.72587086663</x:v>
      </x:c>
    </x:row>
    <x:row r="36" ht="18" customHeight="1">
      <x:c r="A36" s="24" t="str">
        <x:v>EEZ_174</x:v>
      </x:c>
      <x:c r="B36" s="24" t="str">
        <x:v>Comoros Isl.</x:v>
      </x:c>
      <x:c r="C36" s="24" t="str">
        <x:v>EEZ</x:v>
      </x:c>
      <x:c r="D36" s="30" t="n">
        <x:v>2019</x:v>
      </x:c>
      <x:c r="E36" s="24" t="str">
        <x:v>Lethrinus mahsena</x:v>
      </x:c>
      <x:c r="F36" s="24" t="str">
        <x:v>Sky emperor</x:v>
      </x:c>
      <x:c r="G36" s="24" t="str">
        <x:v>Medium reef assoc. fish (30 - 89 cm)</x:v>
      </x:c>
      <x:c r="H36" s="24" t="str">
        <x:v>Perch-likes</x:v>
      </x:c>
      <x:c r="I36" s="31" t="n">
        <x:v>11</x:v>
      </x:c>
      <x:c r="J36" s="31" t="n">
        <x:v>11</x:v>
      </x:c>
      <x:c r="K36" s="31" t="n">
        <x:v>0</x:v>
      </x:c>
      <x:c r="L36" s="31" t="n">
        <x:v>11</x:v>
      </x:c>
      <x:c r="M36" s="31" t="n">
        <x:v>0</x:v>
      </x:c>
      <x:c r="N36" s="24" t="str">
        <x:v>lethrinus mahsena</x:v>
      </x:c>
      <x:c r="O36" s="32" t="n">
        <x:v>3.43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Lethrinus mahsena</x:v>
      </x:c>
      <x:c r="T36" s="32" t="n">
        <x:f>IF(O36="","",(1/'Metadata'!$B$5)^(O36-1))</x:f>
        <x:v>269.1534803926917</x:v>
      </x:c>
      <x:c r="U36" s="31" t="n">
        <x:f>IF(T36="","",I36*T36)</x:f>
        <x:v>2960.6882843196086</x:v>
      </x:c>
    </x:row>
    <x:row r="37" ht="18" customHeight="1">
      <x:c r="A37" s="24" t="str">
        <x:v>EEZ_174</x:v>
      </x:c>
      <x:c r="B37" s="24" t="str">
        <x:v>Comoros Isl.</x:v>
      </x:c>
      <x:c r="C37" s="24" t="str">
        <x:v>EEZ</x:v>
      </x:c>
      <x:c r="D37" s="30" t="n">
        <x:v>2019</x:v>
      </x:c>
      <x:c r="E37" s="24" t="str">
        <x:v>Auxis</x:v>
      </x:c>
      <x:c r="F37" s="24" t="str">
        <x:v>Bullet and frigate tunas</x:v>
      </x:c>
      <x:c r="G37" s="24" t="str">
        <x:v>Medium pelagics (30 - 89 cm)</x:v>
      </x:c>
      <x:c r="H37" s="24" t="str">
        <x:v>Tuna &amp; billfishes</x:v>
      </x:c>
      <x:c r="I37" s="31" t="n">
        <x:v>1.9150375525999999</x:v>
      </x:c>
      <x:c r="J37" s="31" t="n">
        <x:v>1.9150375525999999</x:v>
      </x:c>
      <x:c r="K37" s="31" t="n">
        <x:v>0</x:v>
      </x:c>
      <x:c r="L37" s="31" t="n">
        <x:v>1</x:v>
      </x:c>
      <x:c r="M37" s="31" t="n">
        <x:v>0.9150375526000001</x:v>
      </x:c>
      <x:c r="N37" s="24" t="str">
        <x:v>auxis</x:v>
      </x:c>
      <x:c r="O37" s="32" t="n">
        <x:v>4.24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Auxis</x:v>
      </x:c>
      <x:c r="T37" s="32" t="n">
        <x:f>IF(O37="","",(1/'Metadata'!$B$5)^(O37-1))</x:f>
        <x:v>1737.8008287493763</x:v>
      </x:c>
      <x:c r="U37" s="31" t="n">
        <x:f>IF(T37="","",I37*T37)</x:f>
        <x:v>3327.953845994457</x:v>
      </x:c>
    </x:row>
    <x:row r="38" ht="18" customHeight="1">
      <x:c r="A38" s="24" t="str">
        <x:v>EEZ_174</x:v>
      </x:c>
      <x:c r="B38" s="24" t="str">
        <x:v>Comoros Isl.</x:v>
      </x:c>
      <x:c r="C38" s="24" t="str">
        <x:v>EEZ</x:v>
      </x:c>
      <x:c r="D38" s="30" t="n">
        <x:v>2019</x:v>
      </x:c>
      <x:c r="E38" s="24" t="str">
        <x:v>Panulirus</x:v>
      </x:c>
      <x:c r="F38" s="24" t="str">
        <x:v>Spiny lobsters</x:v>
      </x:c>
      <x:c r="G38" s="24" t="str">
        <x:v>Lobsters, crabs</x:v>
      </x:c>
      <x:c r="H38" s="24" t="str">
        <x:v>Crustaceans</x:v>
      </x:c>
      <x:c r="I38" s="31" t="n">
        <x:v>1.3940792185</x:v>
      </x:c>
      <x:c r="J38" s="31" t="n">
        <x:v>1.3940792185</x:v>
      </x:c>
      <x:c r="K38" s="31" t="n">
        <x:v>0</x:v>
      </x:c>
      <x:c r="L38" s="31" t="n">
        <x:v>0</x:v>
      </x:c>
      <x:c r="M38" s="31" t="n">
        <x:v>1.3940792185</x:v>
      </x:c>
      <x:c r="N38" s="24" t="str">
        <x:v>panulirus</x:v>
      </x:c>
      <x:c r="O38" s="32" t="n">
        <x:v>2.6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Panulirus</x:v>
      </x:c>
      <x:c r="T38" s="32" t="n">
        <x:f>IF(O38="","",(1/'Metadata'!$B$5)^(O38-1))</x:f>
        <x:v>39.810717055349734</x:v>
      </x:c>
      <x:c r="U38" s="31" t="n">
        <x:f>IF(T38="","",I38*T38)</x:f>
        <x:v>55.499293320446576</x:v>
      </x:c>
    </x:row>
    <x:row r="39" ht="18" customHeight="1">
      <x:c r="A39" s="24" t="str">
        <x:v>EEZ_174</x:v>
      </x:c>
      <x:c r="B39" s="24" t="str">
        <x:v>Comoros Isl.</x:v>
      </x:c>
      <x:c r="C39" s="24" t="str">
        <x:v>EEZ</x:v>
      </x:c>
      <x:c r="D39" s="30" t="n">
        <x:v>2019</x:v>
      </x:c>
      <x:c r="E39" s="24" t="str">
        <x:v>Scombridae</x:v>
      </x:c>
      <x:c r="F39" s="24" t="str">
        <x:v>Mackerels, tunas, bonitos</x:v>
      </x:c>
      <x:c r="G39" s="24" t="str">
        <x:v>Medium pelagics (30 - 89 cm)</x:v>
      </x:c>
      <x:c r="H39" s="24" t="str">
        <x:v>Perch-likes</x:v>
      </x:c>
      <x:c r="I39" s="31" t="n">
        <x:v>0.764390916</x:v>
      </x:c>
      <x:c r="J39" s="31" t="n">
        <x:v>0.764390916</x:v>
      </x:c>
      <x:c r="K39" s="31" t="n">
        <x:v>0</x:v>
      </x:c>
      <x:c r="L39" s="31" t="n">
        <x:v>0</x:v>
      </x:c>
      <x:c r="M39" s="31" t="n">
        <x:v>0.764390916</x:v>
      </x:c>
      <x:c r="N39" s="24" t="str">
        <x:v>scombridae</x:v>
      </x:c>
      <x:c r="O39" s="32" t="n">
        <x:v>4.26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Scombridae</x:v>
      </x:c>
      <x:c r="T39" s="32" t="n">
        <x:f>IF(O39="","",(1/'Metadata'!$B$5)^(O39-1))</x:f>
        <x:v>1819.7008586099826</x:v>
      </x:c>
      <x:c r="U39" s="31" t="n">
        <x:f>IF(T39="","",I39*T39)</x:f>
        <x:v>1390.962806158871</x:v>
      </x:c>
    </x:row>
    <x:row r="40" ht="18" customHeight="1">
      <x:c r="A40" s="24" t="str">
        <x:v>EEZ_174</x:v>
      </x:c>
      <x:c r="B40" s="24" t="str">
        <x:v>Comoros Isl.</x:v>
      </x:c>
      <x:c r="C40" s="24" t="str">
        <x:v>EEZ</x:v>
      </x:c>
      <x:c r="D40" s="30" t="n">
        <x:v>2019</x:v>
      </x:c>
      <x:c r="E40" s="24" t="str">
        <x:v>Marine pelagic fishes not identified</x:v>
      </x:c>
      <x:c r="F40" s="24" t="str">
        <x:v>Pelagic fishes</x:v>
      </x:c>
      <x:c r="G40" s="24" t="str">
        <x:v>Medium pelagics (30 - 89 cm)</x:v>
      </x:c>
      <x:c r="H40" s="24" t="str">
        <x:v>Other fishes &amp; inverts</x:v>
      </x:c>
      <x:c r="I40" s="31" t="n">
        <x:v>0.072322553</x:v>
      </x:c>
      <x:c r="J40" s="31" t="n">
        <x:v>0.072322553</x:v>
      </x:c>
      <x:c r="K40" s="31" t="n">
        <x:v>0</x:v>
      </x:c>
      <x:c r="L40" s="31" t="n">
        <x:v>0.072322553</x:v>
      </x:c>
      <x:c r="M40" s="31" t="n">
        <x:v>0</x:v>
      </x:c>
      <x:c r="N40" s="24" t="str">
        <x:v>marine pelagic fishes not identified</x:v>
      </x:c>
      <x:c r="O40" s="32" t="n">
        <x:v>3.35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Marine pelagic fishes not identified</x:v>
      </x:c>
      <x:c r="T40" s="32" t="n">
        <x:f>IF(O40="","",(1/'Metadata'!$B$5)^(O40-1))</x:f>
        <x:v>223.872113856834</x:v>
      </x:c>
      <x:c r="U40" s="31" t="n">
        <x:f>IF(T40="","",I40*T40)</x:f>
        <x:v>16.19100281963291</x:v>
      </x:c>
    </x:row>
    <x:row r="41" ht="18" customHeight="1">
      <x:c r="A41" s="24" t="str">
        <x:v>EEZ_174</x:v>
      </x:c>
      <x:c r="B41" s="24" t="str">
        <x:v>Comoros Isl.</x:v>
      </x:c>
      <x:c r="C41" s="24" t="str">
        <x:v>EEZ</x:v>
      </x:c>
      <x:c r="D41" s="30" t="n">
        <x:v>2019</x:v>
      </x:c>
      <x:c r="E41" s="24" t="str">
        <x:v>Ruvettus pretiosus</x:v>
      </x:c>
      <x:c r="F41" s="24" t="str">
        <x:v>Oilfish</x:v>
      </x:c>
      <x:c r="G41" s="24" t="str">
        <x:v>Large benthopelagics (&gt;=90 cm)</x:v>
      </x:c>
      <x:c r="H41" s="24" t="str">
        <x:v>Perch-likes</x:v>
      </x:c>
      <x:c r="I41" s="31" t="n">
        <x:v>0.0116196838</x:v>
      </x:c>
      <x:c r="J41" s="31" t="n">
        <x:v>0.0116196838</x:v>
      </x:c>
      <x:c r="K41" s="31" t="n">
        <x:v>0</x:v>
      </x:c>
      <x:c r="L41" s="31" t="n">
        <x:v>0.0116196838</x:v>
      </x:c>
      <x:c r="M41" s="31" t="n">
        <x:v>0</x:v>
      </x:c>
      <x:c r="N41" s="24" t="str">
        <x:v>ruvettus pretiosus</x:v>
      </x:c>
      <x:c r="O41" s="32" t="n">
        <x:v>4.18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Ruvettus pretiosus</x:v>
      </x:c>
      <x:c r="T41" s="32" t="n">
        <x:f>IF(O41="","",(1/'Metadata'!$B$5)^(O41-1))</x:f>
        <x:v>1513.5612484362073</x:v>
      </x:c>
      <x:c r="U41" s="31" t="n">
        <x:f>IF(T41="","",I41*T41)</x:f>
        <x:v>17.587103118761974</x:v>
      </x:c>
    </x:row>
    <x:row r="42" ht="18" customHeight="1">
      <x:c r="A42" s="24" t="str">
        <x:v>EEZ_174</x:v>
      </x:c>
      <x:c r="B42" s="24" t="str">
        <x:v>Comoros Isl.</x:v>
      </x:c>
      <x:c r="C42" s="24" t="str">
        <x:v>EEZ</x:v>
      </x:c>
      <x:c r="D42" s="30" t="n">
        <x:v>2019</x:v>
      </x:c>
      <x:c r="E42" s="24" t="str">
        <x:v>Isurus</x:v>
      </x:c>
      <x:c r="F42" s="24" t="str">
        <x:v>Mako sharks</x:v>
      </x:c>
      <x:c r="G42" s="24" t="str">
        <x:v>Large sharks (&gt;=90 cm)</x:v>
      </x:c>
      <x:c r="H42" s="24" t="str">
        <x:v>Sharks &amp; rays</x:v>
      </x:c>
      <x:c r="I42" s="31" t="n">
        <x:v>0.0033121888</x:v>
      </x:c>
      <x:c r="J42" s="31" t="n">
        <x:v>0.0033121888</x:v>
      </x:c>
      <x:c r="K42" s="31" t="n">
        <x:v>0</x:v>
      </x:c>
      <x:c r="L42" s="31" t="n">
        <x:v>0.0033121888</x:v>
      </x:c>
      <x:c r="M42" s="31" t="n">
        <x:v>0</x:v>
      </x:c>
      <x:c r="N42" s="24" t="str">
        <x:v>isurus</x:v>
      </x:c>
      <x:c r="O42" s="32" t="n">
        <x:v>4.5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Isurus</x:v>
      </x:c>
      <x:c r="T42" s="32" t="n">
        <x:f>IF(O42="","",(1/'Metadata'!$B$5)^(O42-1))</x:f>
        <x:v>3162.2776601683795</x:v>
      </x:c>
      <x:c r="U42" s="31" t="n">
        <x:f>IF(T42="","",I42*T42)</x:f>
        <x:v>10.474060648499913</x:v>
      </x:c>
    </x:row>
    <x:row r="43" ht="18" customHeight="1">
      <x:c r="A43" s="24" t="str">
        <x:v>EEZ_174</x:v>
      </x:c>
      <x:c r="B43" s="24" t="str">
        <x:v>Comoros Isl.</x:v>
      </x:c>
      <x:c r="C43" s="24" t="str">
        <x:v>EEZ</x:v>
      </x:c>
      <x:c r="D43" s="30" t="n">
        <x:v>2019</x:v>
      </x:c>
      <x:c r="E43" s="24" t="str">
        <x:v>Carcharhinus amblyrhynchos</x:v>
      </x:c>
      <x:c r="F43" s="24" t="str">
        <x:v>Blacktail reef shark</x:v>
      </x:c>
      <x:c r="G43" s="24" t="str">
        <x:v>Large sharks (&gt;=90 cm)</x:v>
      </x:c>
      <x:c r="H43" s="24" t="str">
        <x:v>Sharks &amp; rays</x:v>
      </x:c>
      <x:c r="I43" s="31" t="n">
        <x:v>0.0028479617</x:v>
      </x:c>
      <x:c r="J43" s="31" t="n">
        <x:v>0.0028479617</x:v>
      </x:c>
      <x:c r="K43" s="31" t="n">
        <x:v>0</x:v>
      </x:c>
      <x:c r="L43" s="31" t="n">
        <x:v>0.0028479617</x:v>
      </x:c>
      <x:c r="M43" s="31" t="n">
        <x:v>0</x:v>
      </x:c>
      <x:c r="N43" s="24" t="str">
        <x:v>carcharhinus amblyrhynchos</x:v>
      </x:c>
      <x:c r="O43" s="32" t="n">
        <x:v>4.11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Carcharhinus amblyrhynchos</x:v>
      </x:c>
      <x:c r="T43" s="32" t="n">
        <x:f>IF(O43="","",(1/'Metadata'!$B$5)^(O43-1))</x:f>
        <x:v>1288.249551693135</x:v>
      </x:c>
      <x:c r="U43" s="31" t="n">
        <x:f>IF(T43="","",I43*T43)</x:f>
        <x:v>3.668885383264218</x:v>
      </x:c>
    </x:row>
  </x:sheetData>
  <x:conditionalFormatting sqref="R2:R4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0db457f955e4d4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1</x:v>
      </x:c>
      <x:c r="C2" s="33" t="n">
        <x:v>1</x:v>
      </x:c>
      <x:c r="D2" s="31" t="n">
        <x:v>1.3940792185</x:v>
      </x:c>
      <x:c r="E2" s="31" t="n">
        <x:v>1.3940792185</x:v>
      </x:c>
      <x:c r="F2" s="32" t="n">
        <x:v>0</x:v>
      </x:c>
      <x:c r="G2" s="34" t="n">
        <x:v>1</x:v>
      </x:c>
      <x:c r="H2" s="32" t="n">
        <x:f>IF(E2=0,"",I2/E2)</x:f>
        <x:v>39.810717055349734</x:v>
      </x:c>
      <x:c r="I2" s="31" t="n">
        <x:f>IF(C2=0,"",SUMIF('Species'!$H$2:$H$43,A2,'Species'!$U$2:$U$43))</x:f>
        <x:v>55.499293320446576</x:v>
      </x:c>
      <x:c r="J2" s="32" t="n">
        <x:v>2.6</x:v>
      </x:c>
      <x:c r="K2" s="32" t="n">
        <x:f>IF(J2="","",(1/'Metadata'!$B$5)^(J2-1))</x:f>
        <x:v>39.810717055349734</x:v>
      </x:c>
      <x:c r="L2" s="31" t="n">
        <x:f>IF(E2=0,"",E2*K2)</x:f>
        <x:v>55.499293320446576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Herring-likes</x:v>
      </x:c>
      <x:c r="B3" s="33" t="n">
        <x:v>1</x:v>
      </x:c>
      <x:c r="C3" s="33" t="n">
        <x:v>1</x:v>
      </x:c>
      <x:c r="D3" s="31" t="n">
        <x:v>59</x:v>
      </x:c>
      <x:c r="E3" s="31" t="n">
        <x:v>59</x:v>
      </x:c>
      <x:c r="F3" s="32" t="n">
        <x:v>0</x:v>
      </x:c>
      <x:c r="G3" s="34" t="n">
        <x:v>1</x:v>
      </x:c>
      <x:c r="H3" s="32" t="n">
        <x:f>IF(E3=0,"",I3/E3)</x:f>
        <x:v>58.8843655355589</x:v>
      </x:c>
      <x:c r="I3" s="31" t="n">
        <x:f>IF(C3=0,"",SUMIF('Species'!$H$2:$H$43,A3,'Species'!$U$2:$U$43))</x:f>
        <x:v>3474.177566597975</x:v>
      </x:c>
      <x:c r="J3" s="32" t="n">
        <x:v>2.77</x:v>
      </x:c>
      <x:c r="K3" s="32" t="n">
        <x:f>IF(J3="","",(1/'Metadata'!$B$5)^(J3-1))</x:f>
        <x:v>58.8843655355589</x:v>
      </x:c>
      <x:c r="L3" s="31" t="n">
        <x:f>IF(E3=0,"",E3*K3)</x:f>
        <x:v>3474.177566597975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Other fishes &amp; inverts</x:v>
      </x:c>
      <x:c r="B4" s="33" t="n">
        <x:v>4</x:v>
      </x:c>
      <x:c r="C4" s="33" t="n">
        <x:v>4</x:v>
      </x:c>
      <x:c r="D4" s="31" t="n">
        <x:v>3444.57641388</x:v>
      </x:c>
      <x:c r="E4" s="31" t="n">
        <x:v>3444.57641388</x:v>
      </x:c>
      <x:c r="F4" s="32" t="n">
        <x:v>0</x:v>
      </x:c>
      <x:c r="G4" s="34" t="n">
        <x:v>1</x:v>
      </x:c>
      <x:c r="H4" s="32" t="n">
        <x:f>IF(E4=0,"",I4/E4)</x:f>
        <x:v>187.95855973526662</x:v>
      </x:c>
      <x:c r="I4" s="31" t="n">
        <x:f>IF(C4=0,"",SUMIF('Species'!$H$2:$H$43,A4,'Species'!$U$2:$U$43))</x:f>
        <x:v>647437.6216509545</x:v>
      </x:c>
      <x:c r="J4" s="32" t="n">
        <x:v>3.2640865956114626</x:v>
      </x:c>
      <x:c r="K4" s="32" t="n">
        <x:f>IF(J4="","",(1/'Metadata'!$B$5)^(J4-1))</x:f>
        <x:v>183.69045741523462</x:v>
      </x:c>
      <x:c r="L4" s="31" t="n">
        <x:f>IF(E4=0,"",E4*K4)</x:f>
        <x:v>632735.8170673457</x:v>
      </x:c>
      <x:c r="M4" s="31" t="n">
        <x:f>IF(E4=0,"",I4-L4)</x:f>
        <x:v>14701.804583608755</x:v>
      </x:c>
      <x:c r="N4" s="32" t="n">
        <x:f>IF(L4=0,"",I4/L4)</x:f>
        <x:v>1.0232352969233667</x:v>
      </x:c>
      <x:c r="O4" s="34" t="n">
        <x:f>IF(L4=0,"",M4/L4)</x:f>
        <x:v>0.023235296923366608</x:v>
      </x:c>
    </x:row>
    <x:row r="5" ht="18" customHeight="1">
      <x:c r="A5" s="24" t="str">
        <x:v>Perch-likes</x:v>
      </x:c>
      <x:c r="B5" s="33" t="n">
        <x:v>22</x:v>
      </x:c>
      <x:c r="C5" s="33" t="n">
        <x:v>22</x:v>
      </x:c>
      <x:c r="D5" s="31" t="n">
        <x:v>2507.8862691702</x:v>
      </x:c>
      <x:c r="E5" s="31" t="n">
        <x:v>2507.8862691702</x:v>
      </x:c>
      <x:c r="F5" s="32" t="n">
        <x:v>0</x:v>
      </x:c>
      <x:c r="G5" s="34" t="n">
        <x:v>1</x:v>
      </x:c>
      <x:c r="H5" s="32" t="n">
        <x:f>IF(E5=0,"",I5/E5)</x:f>
        <x:v>1391.0217989972712</x:v>
      </x:c>
      <x:c r="I5" s="31" t="n">
        <x:f>IF(C5=0,"",SUMIF('Species'!$H$2:$H$43,A5,'Species'!$U$2:$U$43))</x:f>
        <x:v>3488524.4698216864</x:v>
      </x:c>
      <x:c r="J5" s="32" t="n">
        <x:v>4.000979557553039</x:v>
      </x:c>
      <x:c r="K5" s="32" t="n">
        <x:f>IF(J5="","",(1/'Metadata'!$B$5)^(J5-1))</x:f>
        <x:v>1002.2580602059667</x:v>
      </x:c>
      <x:c r="L5" s="31" t="n">
        <x:f>IF(E5=0,"",E5*K5)</x:f>
        <x:v>2513549.2273557037</x:v>
      </x:c>
      <x:c r="M5" s="31" t="n">
        <x:f>IF(E5=0,"",I5-L5)</x:f>
        <x:v>974975.2424659827</x:v>
      </x:c>
      <x:c r="N5" s="32" t="n">
        <x:f>IF(L5=0,"",I5/L5)</x:f>
        <x:v>1.3878878646397839</x:v>
      </x:c>
      <x:c r="O5" s="34" t="n">
        <x:f>IF(L5=0,"",M5/L5)</x:f>
        <x:v>0.3878878646397839</x:v>
      </x:c>
    </x:row>
    <x:row r="6" ht="18" customHeight="1">
      <x:c r="A6" s="24" t="str">
        <x:v>Sharks &amp; rays</x:v>
      </x:c>
      <x:c r="B6" s="33" t="n">
        <x:v>3</x:v>
      </x:c>
      <x:c r="C6" s="33" t="n">
        <x:v>3</x:v>
      </x:c>
      <x:c r="D6" s="31" t="n">
        <x:v>149.46800412610003</x:v>
      </x:c>
      <x:c r="E6" s="31" t="n">
        <x:v>149.46800412610003</x:v>
      </x:c>
      <x:c r="F6" s="32" t="n">
        <x:v>0</x:v>
      </x:c>
      <x:c r="G6" s="34" t="n">
        <x:v>1</x:v>
      </x:c>
      <x:c r="H6" s="32" t="n">
        <x:f>IF(E6=0,"",I6/E6)</x:f>
        <x:v>1000.053408055981</x:v>
      </x:c>
      <x:c r="I6" s="31" t="n">
        <x:f>IF(C6=0,"",SUMIF('Species'!$H$2:$H$43,A6,'Species'!$U$2:$U$43))</x:f>
        <x:v>149475.98692163176</x:v>
      </x:c>
      <x:c r="J6" s="32" t="n">
        <x:v>4.000013175864617</x:v>
      </x:c>
      <x:c r="K6" s="32" t="n">
        <x:f>IF(J6="","",(1/'Metadata'!$B$5)^(J6-1))</x:f>
        <x:v>1000.0303390096732</x:v>
      </x:c>
      <x:c r="L6" s="31" t="n">
        <x:f>IF(E6=0,"",E6*K6)</x:f>
        <x:v>149472.53883732305</x:v>
      </x:c>
      <x:c r="M6" s="31" t="n">
        <x:f>IF(E6=0,"",I6-L6)</x:f>
        <x:v>3.448084308707621</x:v>
      </x:c>
      <x:c r="N6" s="32" t="n">
        <x:f>IF(L6=0,"",I6/L6)</x:f>
        <x:v>1.0000230683464368</x:v>
      </x:c>
      <x:c r="O6" s="34" t="n">
        <x:f>IF(L6=0,"",M6/L6)</x:f>
        <x:v>0.00002306834643693521</x:v>
      </x:c>
    </x:row>
    <x:row r="7" ht="18" customHeight="1">
      <x:c r="A7" s="24" t="str">
        <x:v>Tuna &amp; billfishes</x:v>
      </x:c>
      <x:c r="B7" s="33" t="n">
        <x:v>11</x:v>
      </x:c>
      <x:c r="C7" s="33" t="n">
        <x:v>11</x:v>
      </x:c>
      <x:c r="D7" s="31" t="n">
        <x:v>14103.1155267128</x:v>
      </x:c>
      <x:c r="E7" s="31" t="n">
        <x:v>14103.1155267128</x:v>
      </x:c>
      <x:c r="F7" s="32" t="n">
        <x:v>0</x:v>
      </x:c>
      <x:c r="G7" s="34" t="n">
        <x:v>1</x:v>
      </x:c>
      <x:c r="H7" s="32" t="n">
        <x:f>IF(E7=0,"",I7/E7)</x:f>
        <x:v>2719.7485764190674</x:v>
      </x:c>
      <x:c r="I7" s="31" t="n">
        <x:f>IF(C7=0,"",SUMIF('Species'!$H$2:$H$43,A7,'Species'!$U$2:$U$43))</x:f>
        <x:v>38356928.376850784</x:v>
      </x:c>
      <x:c r="J7" s="32" t="n">
        <x:v>4.433306516191181</x:v>
      </x:c>
      <x:c r="K7" s="32" t="n">
        <x:f>IF(J7="","",(1/'Metadata'!$B$5)^(J7-1))</x:f>
        <x:v>2712.1051050565497</x:v>
      </x:c>
      <x:c r="L7" s="31" t="n">
        <x:f>IF(E7=0,"",E7*K7)</x:f>
        <x:v>38249131.61720008</x:v>
      </x:c>
      <x:c r="M7" s="31" t="n">
        <x:f>IF(E7=0,"",I7-L7)</x:f>
        <x:v>107796.75965070724</x:v>
      </x:c>
      <x:c r="N7" s="32" t="n">
        <x:f>IF(L7=0,"",I7/L7)</x:f>
        <x:v>1.0028182799214775</x:v>
      </x:c>
      <x:c r="O7" s="34" t="n">
        <x:f>IF(L7=0,"",M7/L7)</x:f>
        <x:v>0.0028182799214775535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8bc6bdfe9d6849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1</x:v>
      </x:c>
      <x:c r="C2" s="33" t="n">
        <x:v>1</x:v>
      </x:c>
      <x:c r="D2" s="31" t="n">
        <x:v>0.0116196838</x:v>
      </x:c>
      <x:c r="E2" s="31" t="n">
        <x:v>0.0116196838</x:v>
      </x:c>
      <x:c r="F2" s="32" t="n">
        <x:v>0</x:v>
      </x:c>
      <x:c r="G2" s="34" t="n">
        <x:v>1</x:v>
      </x:c>
      <x:c r="H2" s="32" t="n">
        <x:f>IF(E2=0,"",I2/E2)</x:f>
        <x:v>1513.5612484362073</x:v>
      </x:c>
      <x:c r="I2" s="31" t="n">
        <x:f>IF(C2=0,"",SUMIF('Species'!$G$2:$G$43,A2,'Species'!$U$2:$U$43))</x:f>
        <x:v>17.587103118761974</x:v>
      </x:c>
      <x:c r="J2" s="32" t="n">
        <x:v>4.18</x:v>
      </x:c>
      <x:c r="K2" s="32" t="n">
        <x:f>IF(J2="","",(1/'Metadata'!$B$5)^(J2-1))</x:f>
        <x:v>1513.5612484362073</x:v>
      </x:c>
      <x:c r="L2" s="31" t="n">
        <x:f>IF(E2=0,"",E2*K2)</x:f>
        <x:v>17.587103118761974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pelagics (&gt;=90 cm)</x:v>
      </x:c>
      <x:c r="B3" s="33" t="n">
        <x:v>13</x:v>
      </x:c>
      <x:c r="C3" s="33" t="n">
        <x:v>13</x:v>
      </x:c>
      <x:c r="D3" s="31" t="n">
        <x:v>14811.310747730597</x:v>
      </x:c>
      <x:c r="E3" s="31" t="n">
        <x:v>14811.310747730597</x:v>
      </x:c>
      <x:c r="F3" s="32" t="n">
        <x:v>0</x:v>
      </x:c>
      <x:c r="G3" s="34" t="n">
        <x:v>1</x:v>
      </x:c>
      <x:c r="H3" s="32" t="n">
        <x:f>IF(E3=0,"",I3/E3)</x:f>
        <x:v>2687.053080253072</x:v>
      </x:c>
      <x:c r="I3" s="31" t="n">
        <x:f>IF(C3=0,"",SUMIF('Species'!$G$2:$G$43,A3,'Species'!$U$2:$U$43))</x:f>
        <x:v>39798778.16727493</x:v>
      </x:c>
      <x:c r="J3" s="32" t="n">
        <x:v>4.427197709968676</x:v>
      </x:c>
      <x:c r="K3" s="32" t="n">
        <x:f>IF(J3="","",(1/'Metadata'!$B$5)^(J3-1))</x:f>
        <x:v>2674.2235558924285</x:v>
      </x:c>
      <x:c r="L3" s="31" t="n">
        <x:f>IF(E3=0,"",E3*K3)</x:f>
        <x:v>39608756.09522386</x:v>
      </x:c>
      <x:c r="M3" s="31" t="n">
        <x:f>IF(E3=0,"",I3-L3)</x:f>
        <x:v>190022.07205107063</x:v>
      </x:c>
      <x:c r="N3" s="32" t="n">
        <x:f>IF(L3=0,"",I3/L3)</x:f>
        <x:v>1.0047974763861363</x:v>
      </x:c>
      <x:c r="O3" s="34" t="n">
        <x:f>IF(L3=0,"",M3/L3)</x:f>
        <x:v>0.004797476386136349</x:v>
      </x:c>
    </x:row>
    <x:row r="4" ht="18" customHeight="1">
      <x:c r="A4" s="24" t="str">
        <x:v>Large reef assoc. fish (&gt;=90 cm)</x:v>
      </x:c>
      <x:c r="B4" s="33" t="n">
        <x:v>1</x:v>
      </x:c>
      <x:c r="C4" s="33" t="n">
        <x:v>1</x:v>
      </x:c>
      <x:c r="D4" s="31" t="n">
        <x:v>20</x:v>
      </x:c>
      <x:c r="E4" s="31" t="n">
        <x:v>20</x:v>
      </x:c>
      <x:c r="F4" s="32" t="n">
        <x:v>0</x:v>
      </x:c>
      <x:c r="G4" s="34" t="n">
        <x:v>1</x:v>
      </x:c>
      <x:c r="H4" s="32" t="n">
        <x:f>IF(E4=0,"",I4/E4)</x:f>
        <x:v>380.1893963205613</x:v>
      </x:c>
      <x:c r="I4" s="31" t="n">
        <x:f>IF(C4=0,"",SUMIF('Species'!$G$2:$G$43,A4,'Species'!$U$2:$U$43))</x:f>
        <x:v>7603.787926411225</x:v>
      </x:c>
      <x:c r="J4" s="32" t="n">
        <x:v>3.5799999999999996</x:v>
      </x:c>
      <x:c r="K4" s="32" t="n">
        <x:f>IF(J4="","",(1/'Metadata'!$B$5)^(J4-1))</x:f>
        <x:v>380.1893963205609</x:v>
      </x:c>
      <x:c r="L4" s="31" t="n">
        <x:f>IF(E4=0,"",E4*K4)</x:f>
        <x:v>7603.787926411218</x:v>
      </x:c>
      <x:c r="M4" s="31" t="n">
        <x:f>IF(E4=0,"",I4-L4)</x:f>
        <x:v>7.275957614183426e-12</x:v>
      </x:c>
      <x:c r="N4" s="32" t="n">
        <x:f>IF(L4=0,"",I4/L4)</x:f>
        <x:v>1.0000000000000009</x:v>
      </x:c>
      <x:c r="O4" s="34" t="n">
        <x:f>IF(L4=0,"",M4/L4)</x:f>
        <x:v>9.568859211487085e-16</x:v>
      </x:c>
    </x:row>
    <x:row r="5" ht="18" customHeight="1">
      <x:c r="A5" s="24" t="str">
        <x:v>Large sharks (&gt;=90 cm)</x:v>
      </x:c>
      <x:c r="B5" s="33" t="n">
        <x:v>3</x:v>
      </x:c>
      <x:c r="C5" s="33" t="n">
        <x:v>3</x:v>
      </x:c>
      <x:c r="D5" s="31" t="n">
        <x:v>149.46800412610003</x:v>
      </x:c>
      <x:c r="E5" s="31" t="n">
        <x:v>149.46800412610003</x:v>
      </x:c>
      <x:c r="F5" s="32" t="n">
        <x:v>0</x:v>
      </x:c>
      <x:c r="G5" s="34" t="n">
        <x:v>1</x:v>
      </x:c>
      <x:c r="H5" s="32" t="n">
        <x:f>IF(E5=0,"",I5/E5)</x:f>
        <x:v>1000.053408055981</x:v>
      </x:c>
      <x:c r="I5" s="31" t="n">
        <x:f>IF(C5=0,"",SUMIF('Species'!$G$2:$G$43,A5,'Species'!$U$2:$U$43))</x:f>
        <x:v>149475.98692163176</x:v>
      </x:c>
      <x:c r="J5" s="32" t="n">
        <x:v>4.000013175864617</x:v>
      </x:c>
      <x:c r="K5" s="32" t="n">
        <x:f>IF(J5="","",(1/'Metadata'!$B$5)^(J5-1))</x:f>
        <x:v>1000.0303390096732</x:v>
      </x:c>
      <x:c r="L5" s="31" t="n">
        <x:f>IF(E5=0,"",E5*K5)</x:f>
        <x:v>149472.53883732305</x:v>
      </x:c>
      <x:c r="M5" s="31" t="n">
        <x:f>IF(E5=0,"",I5-L5)</x:f>
        <x:v>3.448084308707621</x:v>
      </x:c>
      <x:c r="N5" s="32" t="n">
        <x:f>IF(L5=0,"",I5/L5)</x:f>
        <x:v>1.0000230683464368</x:v>
      </x:c>
      <x:c r="O5" s="34" t="n">
        <x:f>IF(L5=0,"",M5/L5)</x:f>
        <x:v>0.00002306834643693521</x:v>
      </x:c>
    </x:row>
    <x:row r="6" ht="18" customHeight="1">
      <x:c r="A6" s="24" t="str">
        <x:v>Lobsters, crabs</x:v>
      </x:c>
      <x:c r="B6" s="33" t="n">
        <x:v>1</x:v>
      </x:c>
      <x:c r="C6" s="33" t="n">
        <x:v>1</x:v>
      </x:c>
      <x:c r="D6" s="31" t="n">
        <x:v>1.3940792185</x:v>
      </x:c>
      <x:c r="E6" s="31" t="n">
        <x:v>1.3940792185</x:v>
      </x:c>
      <x:c r="F6" s="32" t="n">
        <x:v>0</x:v>
      </x:c>
      <x:c r="G6" s="34" t="n">
        <x:v>1</x:v>
      </x:c>
      <x:c r="H6" s="32" t="n">
        <x:f>IF(E6=0,"",I6/E6)</x:f>
        <x:v>39.810717055349734</x:v>
      </x:c>
      <x:c r="I6" s="31" t="n">
        <x:f>IF(C6=0,"",SUMIF('Species'!$G$2:$G$43,A6,'Species'!$U$2:$U$43))</x:f>
        <x:v>55.499293320446576</x:v>
      </x:c>
      <x:c r="J6" s="32" t="n">
        <x:v>2.6</x:v>
      </x:c>
      <x:c r="K6" s="32" t="n">
        <x:f>IF(J6="","",(1/'Metadata'!$B$5)^(J6-1))</x:f>
        <x:v>39.810717055349734</x:v>
      </x:c>
      <x:c r="L6" s="31" t="n">
        <x:f>IF(E6=0,"",E6*K6)</x:f>
        <x:v>55.499293320446576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demersals (30 - 89 cm)</x:v>
      </x:c>
      <x:c r="B7" s="33" t="n">
        <x:v>4</x:v>
      </x:c>
      <x:c r="C7" s="33" t="n">
        <x:v>4</x:v>
      </x:c>
      <x:c r="D7" s="31" t="n">
        <x:v>3366.504091327</x:v>
      </x:c>
      <x:c r="E7" s="31" t="n">
        <x:v>3366.504091327</x:v>
      </x:c>
      <x:c r="F7" s="32" t="n">
        <x:v>0</x:v>
      </x:c>
      <x:c r="G7" s="34" t="n">
        <x:v>1</x:v>
      </x:c>
      <x:c r="H7" s="32" t="n">
        <x:f>IF(E7=0,"",I7/E7)</x:f>
        <x:v>200.4258824446926</x:v>
      </x:c>
      <x:c r="I7" s="31" t="n">
        <x:f>IF(C7=0,"",SUMIF('Species'!$G$2:$G$43,A7,'Species'!$U$2:$U$43))</x:f>
        <x:v>674734.553257882</x:v>
      </x:c>
      <x:c r="J7" s="32" t="n">
        <x:v>3.2945195130241864</x:v>
      </x:c>
      <x:c r="K7" s="32" t="n">
        <x:f>IF(J7="","",(1/'Metadata'!$B$5)^(J7-1))</x:f>
        <x:v>197.0241728974328</x:v>
      </x:c>
      <x:c r="L7" s="31" t="n">
        <x:f>IF(E7=0,"",E7*K7)</x:f>
        <x:v>663282.6841495257</x:v>
      </x:c>
      <x:c r="M7" s="31" t="n">
        <x:f>IF(E7=0,"",I7-L7)</x:f>
        <x:v>11451.869108356303</x:v>
      </x:c>
      <x:c r="N7" s="32" t="n">
        <x:f>IF(L7=0,"",I7/L7)</x:f>
        <x:v>1.0172654425963796</x:v>
      </x:c>
      <x:c r="O7" s="34" t="n">
        <x:f>IF(L7=0,"",M7/L7)</x:f>
        <x:v>0.01726544259637973</x:v>
      </x:c>
    </x:row>
    <x:row r="8" ht="18" customHeight="1">
      <x:c r="A8" s="24" t="str">
        <x:v>Medium pelagics (30 - 89 cm)</x:v>
      </x:c>
      <x:c r="B8" s="33" t="n">
        <x:v>5</x:v>
      </x:c>
      <x:c r="C8" s="33" t="n">
        <x:v>5</x:v>
      </x:c>
      <x:c r="D8" s="31" t="n">
        <x:v>635.7517510216001</x:v>
      </x:c>
      <x:c r="E8" s="31" t="n">
        <x:v>635.7517510216001</x:v>
      </x:c>
      <x:c r="F8" s="32" t="n">
        <x:v>0</x:v>
      </x:c>
      <x:c r="G8" s="34" t="n">
        <x:v>1</x:v>
      </x:c>
      <x:c r="H8" s="32" t="n">
        <x:f>IF(E8=0,"",I8/E8)</x:f>
        <x:v>853.8758776630967</x:v>
      </x:c>
      <x:c r="I8" s="31" t="n">
        <x:f>IF(C8=0,"",SUMIF('Species'!$G$2:$G$43,A8,'Species'!$U$2:$U$43))</x:f>
        <x:v>542853.0843794193</x:v>
      </x:c>
      <x:c r="J8" s="32" t="n">
        <x:v>3.7353862435481506</x:v>
      </x:c>
      <x:c r="K8" s="32" t="n">
        <x:f>IF(J8="","",(1/'Metadata'!$B$5)^(J8-1))</x:f>
        <x:v>543.7336907744007</x:v>
      </x:c>
      <x:c r="L8" s="31" t="n">
        <x:f>IF(E8=0,"",E8*K8)</x:f>
        <x:v>345679.64599926246</x:v>
      </x:c>
      <x:c r="M8" s="31" t="n">
        <x:f>IF(E8=0,"",I8-L8)</x:f>
        <x:v>197173.43838015688</x:v>
      </x:c>
      <x:c r="N8" s="32" t="n">
        <x:f>IF(L8=0,"",I8/L8)</x:f>
        <x:v>1.570393544028848</x:v>
      </x:c>
      <x:c r="O8" s="34" t="n">
        <x:f>IF(L8=0,"",M8/L8)</x:f>
        <x:v>0.5703935440288479</x:v>
      </x:c>
    </x:row>
    <x:row r="9" ht="18" customHeight="1">
      <x:c r="A9" s="24" t="str">
        <x:v>Medium reef assoc. fish (30 - 89 cm)</x:v>
      </x:c>
      <x:c r="B9" s="33" t="n">
        <x:v>12</x:v>
      </x:c>
      <x:c r="C9" s="33" t="n">
        <x:v>12</x:v>
      </x:c>
      <x:c r="D9" s="31" t="n">
        <x:v>1126</x:v>
      </x:c>
      <x:c r="E9" s="31" t="n">
        <x:v>1126</x:v>
      </x:c>
      <x:c r="F9" s="32" t="n">
        <x:v>0</x:v>
      </x:c>
      <x:c r="G9" s="34" t="n">
        <x:v>1</x:v>
      </x:c>
      <x:c r="H9" s="32" t="n">
        <x:f>IF(E9=0,"",I9/E9)</x:f>
        <x:v>1278.185126313976</x:v>
      </x:c>
      <x:c r="I9" s="31" t="n">
        <x:f>IF(C9=0,"",SUMIF('Species'!$G$2:$G$43,A9,'Species'!$U$2:$U$43))</x:f>
        <x:v>1439236.452229537</x:v>
      </x:c>
      <x:c r="J9" s="32" t="n">
        <x:v>3.8683392539964467</x:v>
      </x:c>
      <x:c r="K9" s="32" t="n">
        <x:f>IF(J9="","",(1/'Metadata'!$B$5)^(J9-1))</x:f>
        <x:v>738.480877477215</x:v>
      </x:c>
      <x:c r="L9" s="31" t="n">
        <x:f>IF(E9=0,"",E9*K9)</x:f>
        <x:v>831529.4680393441</x:v>
      </x:c>
      <x:c r="M9" s="31" t="n">
        <x:f>IF(E9=0,"",I9-L9)</x:f>
        <x:v>607706.984190193</x:v>
      </x:c>
      <x:c r="N9" s="32" t="n">
        <x:f>IF(L9=0,"",I9/L9)</x:f>
        <x:v>1.7308303644645329</x:v>
      </x:c>
      <x:c r="O9" s="34" t="n">
        <x:f>IF(L9=0,"",M9/L9)</x:f>
        <x:v>0.730830364464533</x:v>
      </x:c>
    </x:row>
    <x:row r="10" ht="18" customHeight="1">
      <x:c r="A10" s="24" t="str">
        <x:v>Small pelagics (&lt;30 cm)</x:v>
      </x:c>
      <x:c r="B10" s="33" t="n">
        <x:v>1</x:v>
      </x:c>
      <x:c r="C10" s="33" t="n">
        <x:v>1</x:v>
      </x:c>
      <x:c r="D10" s="31" t="n">
        <x:v>59</x:v>
      </x:c>
      <x:c r="E10" s="31" t="n">
        <x:v>59</x:v>
      </x:c>
      <x:c r="F10" s="32" t="n">
        <x:v>0</x:v>
      </x:c>
      <x:c r="G10" s="34" t="n">
        <x:v>1</x:v>
      </x:c>
      <x:c r="H10" s="32" t="n">
        <x:f>IF(E10=0,"",I10/E10)</x:f>
        <x:v>58.8843655355589</x:v>
      </x:c>
      <x:c r="I10" s="31" t="n">
        <x:f>IF(C10=0,"",SUMIF('Species'!$G$2:$G$43,A10,'Species'!$U$2:$U$43))</x:f>
        <x:v>3474.177566597975</x:v>
      </x:c>
      <x:c r="J10" s="32" t="n">
        <x:v>2.77</x:v>
      </x:c>
      <x:c r="K10" s="32" t="n">
        <x:f>IF(J10="","",(1/'Metadata'!$B$5)^(J10-1))</x:f>
        <x:v>58.8843655355589</x:v>
      </x:c>
      <x:c r="L10" s="31" t="n">
        <x:f>IF(E10=0,"",E10*K10)</x:f>
        <x:v>3474.177566597975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Small reef assoc. fish (&lt;30 cm)</x:v>
      </x:c>
      <x:c r="B11" s="33" t="n">
        <x:v>1</x:v>
      </x:c>
      <x:c r="C11" s="33" t="n">
        <x:v>1</x:v>
      </x:c>
      <x:c r="D11" s="31" t="n">
        <x:v>96</x:v>
      </x:c>
      <x:c r="E11" s="31" t="n">
        <x:v>96</x:v>
      </x:c>
      <x:c r="F11" s="32" t="n">
        <x:v>0</x:v>
      </x:c>
      <x:c r="G11" s="34" t="n">
        <x:v>1</x:v>
      </x:c>
      <x:c r="H11" s="32" t="n">
        <x:f>IF(E11=0,"",I11/E11)</x:f>
        <x:v>309.0295432513592</x:v>
      </x:c>
      <x:c r="I11" s="31" t="n">
        <x:f>IF(C11=0,"",SUMIF('Species'!$G$2:$G$43,A11,'Species'!$U$2:$U$43))</x:f>
        <x:v>29666.836152130483</x:v>
      </x:c>
      <x:c r="J11" s="32" t="n">
        <x:v>3.49</x:v>
      </x:c>
      <x:c r="K11" s="32" t="n">
        <x:f>IF(J11="","",(1/'Metadata'!$B$5)^(J11-1))</x:f>
        <x:v>309.0295432513592</x:v>
      </x:c>
      <x:c r="L11" s="31" t="n">
        <x:f>IF(E11=0,"",E11*K11)</x:f>
        <x:v>29666.836152130483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</x:sheetData>
  <x:conditionalFormatting sqref="G2:G11">
    <x:cfRule type="cellIs" dxfId="2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3d2199190c0c4e9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EEZ_174</x:v>
      </x:c>
      <x:c r="B2" s="24" t="str">
        <x:v>raw_filtered_tonnes</x:v>
      </x:c>
      <x:c r="C2" s="24" t="n">
        <x:v>20265.440293107597</x:v>
      </x:c>
      <x:c r="D2" s="24" t="str">
        <x:v>tonnes</x:v>
      </x:c>
    </x:row>
    <x:row r="3" ht="18" customHeight="1">
      <x:c r="A3" s="24" t="str">
        <x:v>EEZ_174</x:v>
      </x:c>
      <x:c r="B3" s="24" t="str">
        <x:v>species_catch_tonnes</x:v>
      </x:c>
      <x:c r="C3" s="24" t="n">
        <x:v>20265.440293107604</x:v>
      </x:c>
      <x:c r="D3" s="24" t="str">
        <x:v>tonnes</x:v>
      </x:c>
    </x:row>
    <x:row r="4" ht="18" customHeight="1">
      <x:c r="A4" s="24" t="str">
        <x:v>EEZ_174</x:v>
      </x:c>
      <x:c r="B4" s="24" t="str">
        <x:v>catch_difference_tonnes</x:v>
      </x:c>
      <x:c r="C4" s="24" t="n">
        <x:v>7.275957614183426e-12</x:v>
      </x:c>
      <x:c r="D4" s="24" t="str">
        <x:v>tonnes</x:v>
      </x:c>
    </x:row>
    <x:row r="5" ht="18" customHeight="1">
      <x:c r="A5" s="24" t="str">
        <x:v>EEZ_174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EEZ_174</x:v>
      </x:c>
      <x:c r="B6" s="24" t="str">
        <x:v>matched_catch_tonnes</x:v>
      </x:c>
      <x:c r="C6" s="24" t="n">
        <x:v>20265.440293107604</x:v>
      </x:c>
      <x:c r="D6" s="24" t="str">
        <x:v>tonnes</x:v>
      </x:c>
    </x:row>
    <x:row r="7" ht="18" customHeight="1">
      <x:c r="A7" s="24" t="str">
        <x:v>EEZ_174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EEZ_174</x:v>
      </x:c>
      <x:c r="B8" s="24" t="str">
        <x:v>taxa_count</x:v>
      </x:c>
      <x:c r="C8" s="24" t="n">
        <x:v>42</x:v>
      </x:c>
      <x:c r="D8" s="24" t="str">
        <x:v>count</x:v>
      </x:c>
    </x:row>
    <x:row r="9" ht="18" customHeight="1">
      <x:c r="A9" s="24" t="str">
        <x:v>EEZ_174</x:v>
      </x:c>
      <x:c r="B9" s="24" t="str">
        <x:v>matched_taxa_count</x:v>
      </x:c>
      <x:c r="C9" s="24" t="n">
        <x:v>42</x:v>
      </x:c>
      <x:c r="D9" s="24" t="str">
        <x:v>count</x:v>
      </x:c>
    </x:row>
    <x:row r="10" ht="18" customHeight="1">
      <x:c r="A10" s="24" t="str">
        <x:v>EEZ_174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EEZ_174</x:v>
      </x:c>
      <x:c r="B11" s="24" t="str">
        <x:v>species_ppr</x:v>
      </x:c>
      <x:c r="C11" s="24" t="n">
        <x:v>42645896.13210497</x:v>
      </x:c>
      <x:c r="D11" s="24" t="str">
        <x:v>tonnes_primary_production_equivalent</x:v>
      </x:c>
    </x:row>
    <x:row r="12" ht="18" customHeight="1">
      <x:c r="A12" s="24" t="str">
        <x:v>EEZ_174</x:v>
      </x:c>
      <x:c r="B12" s="24" t="str">
        <x:v>commercial_ppr</x:v>
      </x:c>
      <x:c r="C12" s="24" t="n">
        <x:v>42645896.13210498</x:v>
      </x:c>
      <x:c r="D12" s="24" t="str">
        <x:v>tonnes_primary_production_equivalent</x:v>
      </x:c>
    </x:row>
    <x:row r="13" ht="18" customHeight="1">
      <x:c r="A13" s="24" t="str">
        <x:v>EEZ_174</x:v>
      </x:c>
      <x:c r="B13" s="24" t="str">
        <x:v>functional_ppr</x:v>
      </x:c>
      <x:c r="C13" s="24" t="n">
        <x:v>42645896.13210498</x:v>
      </x:c>
      <x:c r="D13" s="24" t="str">
        <x:v>tonnes_primary_production_equivalent</x:v>
      </x:c>
    </x:row>
    <x:row r="14" ht="18" customHeight="1">
      <x:c r="A14" s="24" t="str">
        <x:v>EEZ_174</x:v>
      </x:c>
      <x:c r="B14" s="24" t="str">
        <x:v>commercial_ppr_difference</x:v>
      </x:c>
      <x:c r="C14" s="24" t="n">
        <x:v>7.450580596923828e-9</x:v>
      </x:c>
      <x:c r="D14" s="24" t="str">
        <x:v>tonnes_primary_production_equivalent</x:v>
      </x:c>
    </x:row>
    <x:row r="15" ht="18" customHeight="1">
      <x:c r="A15" s="24" t="str">
        <x:v>EEZ_174</x:v>
      </x:c>
      <x:c r="B15" s="24" t="str">
        <x:v>functional_ppr_difference</x:v>
      </x:c>
      <x:c r="C15" s="24" t="n">
        <x:v>7.450580596923828e-9</x:v>
      </x:c>
      <x:c r="D15" s="24" t="str">
        <x:v>tonnes_primary_production_equivalent</x:v>
      </x:c>
    </x:row>
    <x:row r="16" ht="18" customHeight="1">
      <x:c r="A16" s="24" t="str">
        <x:v>EEZ_174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EEZ_174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EEZ_174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EEZ_174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911ea69e62a4b1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EEZ_174 - Comoros Isl.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EEZ_174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raw_data/SAU_downloads/EEZ_174-catch.zip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