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7aefe100754a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f597f802a5df4acc"/>
    <x:sheet xmlns:r="http://schemas.openxmlformats.org/officeDocument/2006/relationships" name="Commercial" sheetId="2" r:id="Reb1e8f940af8403f"/>
    <x:sheet xmlns:r="http://schemas.openxmlformats.org/officeDocument/2006/relationships" name="Functional" sheetId="3" r:id="Rc27a030b8e4e4b65"/>
    <x:sheet xmlns:r="http://schemas.openxmlformats.org/officeDocument/2006/relationships" name="Missing TL" sheetId="4" r:id="Rb4aaff1fe5c44b5e"/>
    <x:sheet xmlns:r="http://schemas.openxmlformats.org/officeDocument/2006/relationships" name="Validation" sheetId="5" r:id="R45c28f90c1344100"/>
    <x:sheet xmlns:r="http://schemas.openxmlformats.org/officeDocument/2006/relationships" name="Metadata" sheetId="6" r:id="R7bac8da269924d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4691f9331748d7" /><Relationship Type="http://schemas.openxmlformats.org/officeDocument/2006/relationships/theme" Target="/xl/theme/theme1.xml" Id="R78e63c26c4ba4d5b" /><Relationship Type="http://schemas.microsoft.com/office/2022/11/relationships/FeaturePropertyBag" Target="/xl/featurePropertyBag/featurePropertyBag.xml" Id="R9616a874ebd84d3a" /><Relationship Type="http://schemas.openxmlformats.org/officeDocument/2006/relationships/sharedStrings" Target="/xl/sharedStrings.xml" Id="R776ea11c9b6b4e48" /><Relationship Type="http://schemas.openxmlformats.org/officeDocument/2006/relationships/worksheet" Target="/xl/worksheets/sheet1.xml" Id="Rf597f802a5df4acc" /><Relationship Type="http://schemas.openxmlformats.org/officeDocument/2006/relationships/worksheet" Target="/xl/worksheets/sheet2.xml" Id="Reb1e8f940af8403f" /><Relationship Type="http://schemas.openxmlformats.org/officeDocument/2006/relationships/worksheet" Target="/xl/worksheets/sheet3.xml" Id="Rc27a030b8e4e4b65" /><Relationship Type="http://schemas.openxmlformats.org/officeDocument/2006/relationships/worksheet" Target="/xl/worksheets/sheet4.xml" Id="Rb4aaff1fe5c44b5e" /><Relationship Type="http://schemas.openxmlformats.org/officeDocument/2006/relationships/worksheet" Target="/xl/worksheets/sheet5.xml" Id="R45c28f90c1344100" /><Relationship Type="http://schemas.openxmlformats.org/officeDocument/2006/relationships/worksheet" Target="/xl/worksheets/sheet6.xml" Id="R7bac8da269924de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060SpeciesTable" displayName="EEZ060SpeciesTable" ref="A1:U38" headerRowCount="1" totalsRowCount="0" totalsRowShown="0">
  <x:autoFilter ref="A1:U3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060CommercialTable" displayName="EEZ060CommercialTable" ref="A1:O7" headerRowCount="1" totalsRowCount="0" totalsRowShown="0">
  <x:autoFilter ref="A1:O7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060FunctionalTable" displayName="EEZ060FunctionalTable" ref="A1:O12" headerRowCount="1" totalsRowCount="0" totalsRowShown="0">
  <x:autoFilter ref="A1:O12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060ValidationTable" displayName="EEZ060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6b48a78dc6d4bf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11331695b0642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b2fde44021e47d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090b46b35f64fa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EEZ_060</x:v>
      </x:c>
      <x:c r="B2" s="24" t="str">
        <x:v>Bermuda (UK)</x:v>
      </x:c>
      <x:c r="C2" s="24" t="str">
        <x:v>EEZ</x:v>
      </x:c>
      <x:c r="D2" s="30" t="n">
        <x:v>2019</x:v>
      </x:c>
      <x:c r="E2" s="24" t="str">
        <x:v>Acanthocybium solandri</x:v>
      </x:c>
      <x:c r="F2" s="24" t="str">
        <x:v>Wahoo</x:v>
      </x:c>
      <x:c r="G2" s="24" t="str">
        <x:v>Large pelagics (&gt;=90 cm)</x:v>
      </x:c>
      <x:c r="H2" s="24" t="str">
        <x:v>Perch-likes</x:v>
      </x:c>
      <x:c r="I2" s="31" t="n">
        <x:v>311.54673998</x:v>
      </x:c>
      <x:c r="J2" s="31" t="n">
        <x:v>311.54673998</x:v>
      </x:c>
      <x:c r="K2" s="31" t="n">
        <x:v>0</x:v>
      </x:c>
      <x:c r="L2" s="31" t="n">
        <x:v>164.179</x:v>
      </x:c>
      <x:c r="M2" s="31" t="n">
        <x:v>147.36773998</x:v>
      </x:c>
      <x:c r="N2" s="24" t="str">
        <x:v>acanthocybium solandri</x:v>
      </x:c>
      <x:c r="O2" s="32" t="n">
        <x:v>4.26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Acanthocybium solandri</x:v>
      </x:c>
      <x:c r="T2" s="32" t="n">
        <x:f>IF(O2="","",(1/'Metadata'!$B$5)^(O2-1))</x:f>
        <x:v>1819.7008586099826</x:v>
      </x:c>
      <x:c r="U2" s="31" t="n">
        <x:f>IF(T2="","",I2*T2)</x:f>
        <x:v>566921.870238747</x:v>
      </x:c>
    </x:row>
    <x:row r="3" ht="18" customHeight="1">
      <x:c r="A3" s="24" t="str">
        <x:v>EEZ_060</x:v>
      </x:c>
      <x:c r="B3" s="24" t="str">
        <x:v>Bermuda (UK)</x:v>
      </x:c>
      <x:c r="C3" s="24" t="str">
        <x:v>EEZ</x:v>
      </x:c>
      <x:c r="D3" s="30" t="n">
        <x:v>2019</x:v>
      </x:c>
      <x:c r="E3" s="24" t="str">
        <x:v>Thunnus albacares</x:v>
      </x:c>
      <x:c r="F3" s="24" t="str">
        <x:v>Yellowfin tuna</x:v>
      </x:c>
      <x:c r="G3" s="24" t="str">
        <x:v>Large pelagics (&gt;=90 cm)</x:v>
      </x:c>
      <x:c r="H3" s="24" t="str">
        <x:v>Tuna &amp; billfishes</x:v>
      </x:c>
      <x:c r="I3" s="31" t="n">
        <x:v>99.1945098092</x:v>
      </x:c>
      <x:c r="J3" s="31" t="n">
        <x:v>99.1945098092</x:v>
      </x:c>
      <x:c r="K3" s="31" t="n">
        <x:v>0</x:v>
      </x:c>
      <x:c r="L3" s="31" t="n">
        <x:v>99.1945098092</x:v>
      </x:c>
      <x:c r="M3" s="31" t="n">
        <x:v>0</x:v>
      </x:c>
      <x:c r="N3" s="24" t="str">
        <x:v>thunnus albacares</x:v>
      </x:c>
      <x:c r="O3" s="32" t="n">
        <x:v>4.41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Thunnus albacares</x:v>
      </x:c>
      <x:c r="T3" s="32" t="n">
        <x:f>IF(O3="","",(1/'Metadata'!$B$5)^(O3-1))</x:f>
        <x:v>2570.3957827688646</x:v>
      </x:c>
      <x:c r="U3" s="31" t="n">
        <x:f>IF(T3="","",I3*T3)</x:f>
        <x:v>254969.14968739246</x:v>
      </x:c>
    </x:row>
    <x:row r="4" ht="18" customHeight="1">
      <x:c r="A4" s="24" t="str">
        <x:v>EEZ_060</x:v>
      </x:c>
      <x:c r="B4" s="24" t="str">
        <x:v>Bermuda (UK)</x:v>
      </x:c>
      <x:c r="C4" s="24" t="str">
        <x:v>EEZ</x:v>
      </x:c>
      <x:c r="D4" s="30" t="n">
        <x:v>2019</x:v>
      </x:c>
      <x:c r="E4" s="24" t="str">
        <x:v>Marine fishes not identified</x:v>
      </x:c>
      <x:c r="F4" s="24" t="str">
        <x:v>Marine fishes nei</x:v>
      </x:c>
      <x:c r="G4" s="24" t="str">
        <x:v>Medium demersals (30 - 89 cm)</x:v>
      </x:c>
      <x:c r="H4" s="24" t="str">
        <x:v>Other fishes &amp; inverts</x:v>
      </x:c>
      <x:c r="I4" s="31" t="n">
        <x:v>52.3523895303</x:v>
      </x:c>
      <x:c r="J4" s="31" t="n">
        <x:v>33</x:v>
      </x:c>
      <x:c r="K4" s="31" t="n">
        <x:v>19.3523895303</x:v>
      </x:c>
      <x:c r="L4" s="31" t="n">
        <x:v>33</x:v>
      </x:c>
      <x:c r="M4" s="31" t="n">
        <x:v>19.3523895303</x:v>
      </x:c>
      <x:c r="N4" s="24" t="str">
        <x:v>marine fishes not identified</x:v>
      </x:c>
      <x:c r="O4" s="32" t="n">
        <x:v>3.28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Marine fishes not identified</x:v>
      </x:c>
      <x:c r="T4" s="32" t="n">
        <x:f>IF(O4="","",(1/'Metadata'!$B$5)^(O4-1))</x:f>
        <x:v>190.54607179632464</x:v>
      </x:c>
      <x:c r="U4" s="31" t="n">
        <x:f>IF(T4="","",I4*T4)</x:f>
        <x:v>9975.5421741497</x:v>
      </x:c>
    </x:row>
    <x:row r="5" ht="18" customHeight="1">
      <x:c r="A5" s="24" t="str">
        <x:v>EEZ_060</x:v>
      </x:c>
      <x:c r="B5" s="24" t="str">
        <x:v>Bermuda (UK)</x:v>
      </x:c>
      <x:c r="C5" s="24" t="str">
        <x:v>EEZ</x:v>
      </x:c>
      <x:c r="D5" s="30" t="n">
        <x:v>2019</x:v>
      </x:c>
      <x:c r="E5" s="24" t="str">
        <x:v>Ocyurus chrysurus</x:v>
      </x:c>
      <x:c r="F5" s="24" t="str">
        <x:v>Yellowtail snapper</x:v>
      </x:c>
      <x:c r="G5" s="24" t="str">
        <x:v>Medium reef assoc. fish (30 - 89 cm)</x:v>
      </x:c>
      <x:c r="H5" s="24" t="str">
        <x:v>Perch-likes</x:v>
      </x:c>
      <x:c r="I5" s="31" t="n">
        <x:v>51.527960750000005</x:v>
      </x:c>
      <x:c r="J5" s="31" t="n">
        <x:v>51.527960750000005</x:v>
      </x:c>
      <x:c r="K5" s="31" t="n">
        <x:v>0</x:v>
      </x:c>
      <x:c r="L5" s="31" t="n">
        <x:v>9</x:v>
      </x:c>
      <x:c r="M5" s="31" t="n">
        <x:v>42.527960750000005</x:v>
      </x:c>
      <x:c r="N5" s="24" t="str">
        <x:v>ocyurus chrysurus</x:v>
      </x:c>
      <x:c r="O5" s="32" t="n">
        <x:v>4.03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Ocyurus chrysurus</x:v>
      </x:c>
      <x:c r="T5" s="32" t="n">
        <x:f>IF(O5="","",(1/'Metadata'!$B$5)^(O5-1))</x:f>
        <x:v>1071.519305237607</x:v>
      </x:c>
      <x:c r="U5" s="31" t="n">
        <x:f>IF(T5="","",I5*T5)</x:f>
        <x:v>55213.204703150695</x:v>
      </x:c>
    </x:row>
    <x:row r="6" ht="18" customHeight="1">
      <x:c r="A6" s="24" t="str">
        <x:v>EEZ_060</x:v>
      </x:c>
      <x:c r="B6" s="24" t="str">
        <x:v>Bermuda (UK)</x:v>
      </x:c>
      <x:c r="C6" s="24" t="str">
        <x:v>EEZ</x:v>
      </x:c>
      <x:c r="D6" s="30" t="n">
        <x:v>2019</x:v>
      </x:c>
      <x:c r="E6" s="24" t="str">
        <x:v>Lutjanus synagris</x:v>
      </x:c>
      <x:c r="F6" s="24" t="str">
        <x:v>Lane snapper</x:v>
      </x:c>
      <x:c r="G6" s="24" t="str">
        <x:v>Medium reef assoc. fish (30 - 89 cm)</x:v>
      </x:c>
      <x:c r="H6" s="24" t="str">
        <x:v>Perch-likes</x:v>
      </x:c>
      <x:c r="I6" s="31" t="n">
        <x:v>43.66231472</x:v>
      </x:c>
      <x:c r="J6" s="31" t="n">
        <x:v>43.66231472</x:v>
      </x:c>
      <x:c r="K6" s="31" t="n">
        <x:v>0</x:v>
      </x:c>
      <x:c r="L6" s="31" t="n">
        <x:v>12</x:v>
      </x:c>
      <x:c r="M6" s="31" t="n">
        <x:v>31.662314719999998</x:v>
      </x:c>
      <x:c r="N6" s="24" t="str">
        <x:v>lutjanus synagris</x:v>
      </x:c>
      <x:c r="O6" s="32" t="n">
        <x:v>3.82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Lutjanus synagris</x:v>
      </x:c>
      <x:c r="T6" s="32" t="n">
        <x:f>IF(O6="","",(1/'Metadata'!$B$5)^(O6-1))</x:f>
        <x:v>660.6934480075957</x:v>
      </x:c>
      <x:c r="U6" s="31" t="n">
        <x:f>IF(T6="","",I6*T6)</x:f>
        <x:v>28847.405260349602</x:v>
      </x:c>
    </x:row>
    <x:row r="7" ht="18" customHeight="1">
      <x:c r="A7" s="24" t="str">
        <x:v>EEZ_060</x:v>
      </x:c>
      <x:c r="B7" s="24" t="str">
        <x:v>Bermuda (UK)</x:v>
      </x:c>
      <x:c r="C7" s="24" t="str">
        <x:v>EEZ</x:v>
      </x:c>
      <x:c r="D7" s="30" t="n">
        <x:v>2019</x:v>
      </x:c>
      <x:c r="E7" s="24" t="str">
        <x:v>Panulirus argus</x:v>
      </x:c>
      <x:c r="F7" s="24" t="str">
        <x:v>Caribbean spiny lobster</x:v>
      </x:c>
      <x:c r="G7" s="24" t="str">
        <x:v>Lobsters, crabs</x:v>
      </x:c>
      <x:c r="H7" s="24" t="str">
        <x:v>Crustaceans</x:v>
      </x:c>
      <x:c r="I7" s="31" t="n">
        <x:v>40.625462769</x:v>
      </x:c>
      <x:c r="J7" s="31" t="n">
        <x:v>40.625462769</x:v>
      </x:c>
      <x:c r="K7" s="31" t="n">
        <x:v>0</x:v>
      </x:c>
      <x:c r="L7" s="31" t="n">
        <x:v>37</x:v>
      </x:c>
      <x:c r="M7" s="31" t="n">
        <x:v>3.6254627690000003</x:v>
      </x:c>
      <x:c r="N7" s="24" t="str">
        <x:v>panulirus argus</x:v>
      </x:c>
      <x:c r="O7" s="32" t="n">
        <x:v>3.2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Panulirus argus</x:v>
      </x:c>
      <x:c r="T7" s="32" t="n">
        <x:f>IF(O7="","",(1/'Metadata'!$B$5)^(O7-1))</x:f>
        <x:v>158.48931924611142</x:v>
      </x:c>
      <x:c r="U7" s="31" t="n">
        <x:f>IF(T7="","",I7*T7)</x:f>
        <x:v>6438.7019383170555</x:v>
      </x:c>
    </x:row>
    <x:row r="8" ht="18" customHeight="1">
      <x:c r="A8" s="24" t="str">
        <x:v>EEZ_060</x:v>
      </x:c>
      <x:c r="B8" s="24" t="str">
        <x:v>Bermuda (UK)</x:v>
      </x:c>
      <x:c r="C8" s="24" t="str">
        <x:v>EEZ</x:v>
      </x:c>
      <x:c r="D8" s="30" t="n">
        <x:v>2019</x:v>
      </x:c>
      <x:c r="E8" s="24" t="str">
        <x:v>Lutjanus griseus</x:v>
      </x:c>
      <x:c r="F8" s="24" t="str">
        <x:v>Grey snapper</x:v>
      </x:c>
      <x:c r="G8" s="24" t="str">
        <x:v>Medium reef assoc. fish (30 - 89 cm)</x:v>
      </x:c>
      <x:c r="H8" s="24" t="str">
        <x:v>Perch-likes</x:v>
      </x:c>
      <x:c r="I8" s="31" t="n">
        <x:v>34.030220184</x:v>
      </x:c>
      <x:c r="J8" s="31" t="n">
        <x:v>34.030220184</x:v>
      </x:c>
      <x:c r="K8" s="31" t="n">
        <x:v>0</x:v>
      </x:c>
      <x:c r="L8" s="31" t="n">
        <x:v>14</x:v>
      </x:c>
      <x:c r="M8" s="31" t="n">
        <x:v>20.030220184</x:v>
      </x:c>
      <x:c r="N8" s="24" t="str">
        <x:v>lutjanus griseus</x:v>
      </x:c>
      <x:c r="O8" s="32" t="n">
        <x:v>4.23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Lutjanus griseus</x:v>
      </x:c>
      <x:c r="T8" s="32" t="n">
        <x:f>IF(O8="","",(1/'Metadata'!$B$5)^(O8-1))</x:f>
        <x:v>1698.243652461746</x:v>
      </x:c>
      <x:c r="U8" s="31" t="n">
        <x:f>IF(T8="","",I8*T8)</x:f>
        <x:v>57791.60541935359</x:v>
      </x:c>
    </x:row>
    <x:row r="9" ht="18" customHeight="1">
      <x:c r="A9" s="24" t="str">
        <x:v>EEZ_060</x:v>
      </x:c>
      <x:c r="B9" s="24" t="str">
        <x:v>Bermuda (UK)</x:v>
      </x:c>
      <x:c r="C9" s="24" t="str">
        <x:v>EEZ</x:v>
      </x:c>
      <x:c r="D9" s="30" t="n">
        <x:v>2019</x:v>
      </x:c>
      <x:c r="E9" s="24" t="str">
        <x:v>Clupeidae</x:v>
      </x:c>
      <x:c r="F9" s="24" t="str">
        <x:v>Herrings, sardines, menhadens</x:v>
      </x:c>
      <x:c r="G9" s="24" t="str">
        <x:v>Small pelagics (&lt;30 cm)</x:v>
      </x:c>
      <x:c r="H9" s="24" t="str">
        <x:v>Herring-likes</x:v>
      </x:c>
      <x:c r="I9" s="31" t="n">
        <x:v>34</x:v>
      </x:c>
      <x:c r="J9" s="31" t="n">
        <x:v>34</x:v>
      </x:c>
      <x:c r="K9" s="31" t="n">
        <x:v>0</x:v>
      </x:c>
      <x:c r="L9" s="31" t="n">
        <x:v>34</x:v>
      </x:c>
      <x:c r="M9" s="31" t="n">
        <x:v>0</x:v>
      </x:c>
      <x:c r="N9" s="24" t="str">
        <x:v>clupeidae</x:v>
      </x:c>
      <x:c r="O9" s="32" t="n">
        <x:v>3.16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Clupeidae</x:v>
      </x:c>
      <x:c r="T9" s="32" t="n">
        <x:f>IF(O9="","",(1/'Metadata'!$B$5)^(O9-1))</x:f>
        <x:v>144.5439770745928</x:v>
      </x:c>
      <x:c r="U9" s="31" t="n">
        <x:f>IF(T9="","",I9*T9)</x:f>
        <x:v>4914.495220536155</x:v>
      </x:c>
    </x:row>
    <x:row r="10" ht="18" customHeight="1">
      <x:c r="A10" s="24" t="str">
        <x:v>EEZ_060</x:v>
      </x:c>
      <x:c r="B10" s="24" t="str">
        <x:v>Bermuda (UK)</x:v>
      </x:c>
      <x:c r="C10" s="24" t="str">
        <x:v>EEZ</x:v>
      </x:c>
      <x:c r="D10" s="30" t="n">
        <x:v>2019</x:v>
      </x:c>
      <x:c r="E10" s="24" t="str">
        <x:v>Cephalopholis fulva</x:v>
      </x:c>
      <x:c r="F10" s="24" t="str">
        <x:v>Coney</x:v>
      </x:c>
      <x:c r="G10" s="24" t="str">
        <x:v>Medium reef assoc. fish (30 - 89 cm)</x:v>
      </x:c>
      <x:c r="H10" s="24" t="str">
        <x:v>Perch-likes</x:v>
      </x:c>
      <x:c r="I10" s="31" t="n">
        <x:v>33.46909142</x:v>
      </x:c>
      <x:c r="J10" s="31" t="n">
        <x:v>33.46909142</x:v>
      </x:c>
      <x:c r="K10" s="31" t="n">
        <x:v>0</x:v>
      </x:c>
      <x:c r="L10" s="31" t="n">
        <x:v>9</x:v>
      </x:c>
      <x:c r="M10" s="31" t="n">
        <x:v>24.469091419999998</x:v>
      </x:c>
      <x:c r="N10" s="24" t="str">
        <x:v>cephalopholis fulva</x:v>
      </x:c>
      <x:c r="O10" s="32" t="n">
        <x:v>4.05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Cephalopholis fulva</x:v>
      </x:c>
      <x:c r="T10" s="32" t="n">
        <x:f>IF(O10="","",(1/'Metadata'!$B$5)^(O10-1))</x:f>
        <x:v>1122.018454301963</x:v>
      </x:c>
      <x:c r="U10" s="31" t="n">
        <x:f>IF(T10="","",I10*T10)</x:f>
        <x:v>37552.938221959485</x:v>
      </x:c>
    </x:row>
    <x:row r="11" ht="18" customHeight="1">
      <x:c r="A11" s="24" t="str">
        <x:v>EEZ_060</x:v>
      </x:c>
      <x:c r="B11" s="24" t="str">
        <x:v>Bermuda (UK)</x:v>
      </x:c>
      <x:c r="C11" s="24" t="str">
        <x:v>EEZ</x:v>
      </x:c>
      <x:c r="D11" s="30" t="n">
        <x:v>2019</x:v>
      </x:c>
      <x:c r="E11" s="24" t="str">
        <x:v>Seriola rivoliana</x:v>
      </x:c>
      <x:c r="F11" s="24" t="str">
        <x:v>Longfin yellowtail</x:v>
      </x:c>
      <x:c r="G11" s="24" t="str">
        <x:v>Large benthopelagics (&gt;=90 cm)</x:v>
      </x:c>
      <x:c r="H11" s="24" t="str">
        <x:v>Perch-likes</x:v>
      </x:c>
      <x:c r="I11" s="31" t="n">
        <x:v>27.369703432999998</x:v>
      </x:c>
      <x:c r="J11" s="31" t="n">
        <x:v>27.369703432999998</x:v>
      </x:c>
      <x:c r="K11" s="31" t="n">
        <x:v>0</x:v>
      </x:c>
      <x:c r="L11" s="31" t="n">
        <x:v>13</x:v>
      </x:c>
      <x:c r="M11" s="31" t="n">
        <x:v>14.369703433</x:v>
      </x:c>
      <x:c r="N11" s="24" t="str">
        <x:v>seriola rivoliana</x:v>
      </x:c>
      <x:c r="O11" s="32" t="n">
        <x:v>4.45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Seriola rivoliana</x:v>
      </x:c>
      <x:c r="T11" s="32" t="n">
        <x:f>IF(O11="","",(1/'Metadata'!$B$5)^(O11-1))</x:f>
        <x:v>2818.382931264455</x:v>
      </x:c>
      <x:c r="U11" s="31" t="n">
        <x:f>IF(T11="","",I11*T11)</x:f>
        <x:v>77138.30498933734</x:v>
      </x:c>
    </x:row>
    <x:row r="12" ht="18" customHeight="1">
      <x:c r="A12" s="24" t="str">
        <x:v>EEZ_060</x:v>
      </x:c>
      <x:c r="B12" s="24" t="str">
        <x:v>Bermuda (UK)</x:v>
      </x:c>
      <x:c r="C12" s="24" t="str">
        <x:v>EEZ</x:v>
      </x:c>
      <x:c r="D12" s="30" t="n">
        <x:v>2019</x:v>
      </x:c>
      <x:c r="E12" s="24" t="str">
        <x:v>Thunnus atlanticus</x:v>
      </x:c>
      <x:c r="F12" s="24" t="str">
        <x:v>Blackfin tuna</x:v>
      </x:c>
      <x:c r="G12" s="24" t="str">
        <x:v>Large pelagics (&gt;=90 cm)</x:v>
      </x:c>
      <x:c r="H12" s="24" t="str">
        <x:v>Tuna &amp; billfishes</x:v>
      </x:c>
      <x:c r="I12" s="31" t="n">
        <x:v>19.954</x:v>
      </x:c>
      <x:c r="J12" s="31" t="n">
        <x:v>19.954</x:v>
      </x:c>
      <x:c r="K12" s="31" t="n">
        <x:v>0</x:v>
      </x:c>
      <x:c r="L12" s="31" t="n">
        <x:v>19.954</x:v>
      </x:c>
      <x:c r="M12" s="31" t="n">
        <x:v>0</x:v>
      </x:c>
      <x:c r="N12" s="24" t="str">
        <x:v>thunnus atlanticus</x:v>
      </x:c>
      <x:c r="O12" s="32" t="n">
        <x:v>4.35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Thunnus atlanticus</x:v>
      </x:c>
      <x:c r="T12" s="32" t="n">
        <x:f>IF(O12="","",(1/'Metadata'!$B$5)^(O12-1))</x:f>
        <x:v>2238.7211385683377</x:v>
      </x:c>
      <x:c r="U12" s="31" t="n">
        <x:f>IF(T12="","",I12*T12)</x:f>
        <x:v>44671.44159899261</x:v>
      </x:c>
    </x:row>
    <x:row r="13" ht="18" customHeight="1">
      <x:c r="A13" s="24" t="str">
        <x:v>EEZ_060</x:v>
      </x:c>
      <x:c r="B13" s="24" t="str">
        <x:v>Bermuda (UK)</x:v>
      </x:c>
      <x:c r="C13" s="24" t="str">
        <x:v>EEZ</x:v>
      </x:c>
      <x:c r="D13" s="30" t="n">
        <x:v>2019</x:v>
      </x:c>
      <x:c r="E13" s="24" t="str">
        <x:v>Mycteroperca bonaci</x:v>
      </x:c>
      <x:c r="F13" s="24" t="str">
        <x:v>Black grouper</x:v>
      </x:c>
      <x:c r="G13" s="24" t="str">
        <x:v>Large reef assoc. fish (&gt;=90 cm)</x:v>
      </x:c>
      <x:c r="H13" s="24" t="str">
        <x:v>Perch-likes</x:v>
      </x:c>
      <x:c r="I13" s="31" t="n">
        <x:v>18</x:v>
      </x:c>
      <x:c r="J13" s="31" t="n">
        <x:v>18</x:v>
      </x:c>
      <x:c r="K13" s="31" t="n">
        <x:v>0</x:v>
      </x:c>
      <x:c r="L13" s="31" t="n">
        <x:v>18</x:v>
      </x:c>
      <x:c r="M13" s="31" t="n">
        <x:v>0</x:v>
      </x:c>
      <x:c r="N13" s="24" t="str">
        <x:v>mycteroperca bonaci</x:v>
      </x:c>
      <x:c r="O13" s="32" t="n">
        <x:v>4.3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Mycteroperca bonaci</x:v>
      </x:c>
      <x:c r="T13" s="32" t="n">
        <x:f>IF(O13="","",(1/'Metadata'!$B$5)^(O13-1))</x:f>
        <x:v>1995.2623149688789</x:v>
      </x:c>
      <x:c r="U13" s="31" t="n">
        <x:f>IF(T13="","",I13*T13)</x:f>
        <x:v>35914.72166943982</x:v>
      </x:c>
    </x:row>
    <x:row r="14" ht="18" customHeight="1">
      <x:c r="A14" s="24" t="str">
        <x:v>EEZ_060</x:v>
      </x:c>
      <x:c r="B14" s="24" t="str">
        <x:v>Bermuda (UK)</x:v>
      </x:c>
      <x:c r="C14" s="24" t="str">
        <x:v>EEZ</x:v>
      </x:c>
      <x:c r="D14" s="30" t="n">
        <x:v>2019</x:v>
      </x:c>
      <x:c r="E14" s="24" t="str">
        <x:v>Caranx</x:v>
      </x:c>
      <x:c r="F14" s="24" t="str">
        <x:v>Jacks</x:v>
      </x:c>
      <x:c r="G14" s="24" t="str">
        <x:v>Medium reef assoc. fish (30 - 89 cm)</x:v>
      </x:c>
      <x:c r="H14" s="24" t="str">
        <x:v>Perch-likes</x:v>
      </x:c>
      <x:c r="I14" s="31" t="n">
        <x:v>15</x:v>
      </x:c>
      <x:c r="J14" s="31" t="n">
        <x:v>15</x:v>
      </x:c>
      <x:c r="K14" s="31" t="n">
        <x:v>0</x:v>
      </x:c>
      <x:c r="L14" s="31" t="n">
        <x:v>15</x:v>
      </x:c>
      <x:c r="M14" s="31" t="n">
        <x:v>0</x:v>
      </x:c>
      <x:c r="N14" s="24" t="str">
        <x:v>caranx</x:v>
      </x:c>
      <x:c r="O14" s="32" t="n">
        <x:v>4.12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Caranx</x:v>
      </x:c>
      <x:c r="T14" s="32" t="n">
        <x:f>IF(O14="","",(1/'Metadata'!$B$5)^(O14-1))</x:f>
        <x:v>1318.2567385564075</x:v>
      </x:c>
      <x:c r="U14" s="31" t="n">
        <x:f>IF(T14="","",I14*T14)</x:f>
        <x:v>19773.851078346113</x:v>
      </x:c>
    </x:row>
    <x:row r="15" ht="18" customHeight="1">
      <x:c r="A15" s="24" t="str">
        <x:v>EEZ_060</x:v>
      </x:c>
      <x:c r="B15" s="24" t="str">
        <x:v>Bermuda (UK)</x:v>
      </x:c>
      <x:c r="C15" s="24" t="str">
        <x:v>EEZ</x:v>
      </x:c>
      <x:c r="D15" s="30" t="n">
        <x:v>2019</x:v>
      </x:c>
      <x:c r="E15" s="24" t="str">
        <x:v>Balistidae</x:v>
      </x:c>
      <x:c r="F15" s="24" t="str">
        <x:v>Triggerfishes</x:v>
      </x:c>
      <x:c r="G15" s="24" t="str">
        <x:v>Medium reef assoc. fish (30 - 89 cm)</x:v>
      </x:c>
      <x:c r="H15" s="24" t="str">
        <x:v>Other fishes &amp; inverts</x:v>
      </x:c>
      <x:c r="I15" s="31" t="n">
        <x:v>13.367837067</x:v>
      </x:c>
      <x:c r="J15" s="31" t="n">
        <x:v>13.367837067</x:v>
      </x:c>
      <x:c r="K15" s="31" t="n">
        <x:v>0</x:v>
      </x:c>
      <x:c r="L15" s="31" t="n">
        <x:v>9</x:v>
      </x:c>
      <x:c r="M15" s="31" t="n">
        <x:v>4.367837067</x:v>
      </x:c>
      <x:c r="N15" s="24" t="str">
        <x:v>balistidae</x:v>
      </x:c>
      <x:c r="O15" s="32" t="n">
        <x:v>3.25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Balistidae</x:v>
      </x:c>
      <x:c r="T15" s="32" t="n">
        <x:f>IF(O15="","",(1/'Metadata'!$B$5)^(O15-1))</x:f>
        <x:v>177.82794100389228</x:v>
      </x:c>
      <x:c r="U15" s="31" t="n">
        <x:f>IF(T15="","",I15*T15)</x:f>
        <x:v>2377.1749413001203</x:v>
      </x:c>
    </x:row>
    <x:row r="16" ht="18" customHeight="1">
      <x:c r="A16" s="24" t="str">
        <x:v>EEZ_060</x:v>
      </x:c>
      <x:c r="B16" s="24" t="str">
        <x:v>Bermuda (UK)</x:v>
      </x:c>
      <x:c r="C16" s="24" t="str">
        <x:v>EEZ</x:v>
      </x:c>
      <x:c r="D16" s="30" t="n">
        <x:v>2019</x:v>
      </x:c>
      <x:c r="E16" s="24" t="str">
        <x:v>Sparidae</x:v>
      </x:c>
      <x:c r="F16" s="24" t="str">
        <x:v>Porgies, seabreams</x:v>
      </x:c>
      <x:c r="G16" s="24" t="str">
        <x:v>Medium benthopelagics (30 - 89 cm)</x:v>
      </x:c>
      <x:c r="H16" s="24" t="str">
        <x:v>Perch-likes</x:v>
      </x:c>
      <x:c r="I16" s="31" t="n">
        <x:v>10.342527948</x:v>
      </x:c>
      <x:c r="J16" s="31" t="n">
        <x:v>10.342527948</x:v>
      </x:c>
      <x:c r="K16" s="31" t="n">
        <x:v>0</x:v>
      </x:c>
      <x:c r="L16" s="31" t="n">
        <x:v>2</x:v>
      </x:c>
      <x:c r="M16" s="31" t="n">
        <x:v>8.342527948</x:v>
      </x:c>
      <x:c r="N16" s="24" t="str">
        <x:v>sparidae</x:v>
      </x:c>
      <x:c r="O16" s="32" t="n">
        <x:v>3.31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Sparidae</x:v>
      </x:c>
      <x:c r="T16" s="32" t="n">
        <x:f>IF(O16="","",(1/'Metadata'!$B$5)^(O16-1))</x:f>
        <x:v>204.17379446695296</x:v>
      </x:c>
      <x:c r="U16" s="31" t="n">
        <x:f>IF(T16="","",I16*T16)</x:f>
        <x:v>2111.6731755236688</x:v>
      </x:c>
    </x:row>
    <x:row r="17" ht="18" customHeight="1">
      <x:c r="A17" s="24" t="str">
        <x:v>EEZ_060</x:v>
      </x:c>
      <x:c r="B17" s="24" t="str">
        <x:v>Bermuda (UK)</x:v>
      </x:c>
      <x:c r="C17" s="24" t="str">
        <x:v>EEZ</x:v>
      </x:c>
      <x:c r="D17" s="30" t="n">
        <x:v>2019</x:v>
      </x:c>
      <x:c r="E17" s="24" t="str">
        <x:v>Coryphaena hippurus</x:v>
      </x:c>
      <x:c r="F17" s="24" t="str">
        <x:v>Common dolphinfish</x:v>
      </x:c>
      <x:c r="G17" s="24" t="str">
        <x:v>Large pelagics (&gt;=90 cm)</x:v>
      </x:c>
      <x:c r="H17" s="24" t="str">
        <x:v>Perch-likes</x:v>
      </x:c>
      <x:c r="I17" s="31" t="n">
        <x:v>9.646</x:v>
      </x:c>
      <x:c r="J17" s="31" t="n">
        <x:v>9.646</x:v>
      </x:c>
      <x:c r="K17" s="31" t="n">
        <x:v>0</x:v>
      </x:c>
      <x:c r="L17" s="31" t="n">
        <x:v>9.646</x:v>
      </x:c>
      <x:c r="M17" s="31" t="n">
        <x:v>0</x:v>
      </x:c>
      <x:c r="N17" s="24" t="str">
        <x:v>coryphaena hippurus</x:v>
      </x:c>
      <x:c r="O17" s="32" t="n">
        <x:v>4.37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Coryphaena hippurus</x:v>
      </x:c>
      <x:c r="T17" s="32" t="n">
        <x:f>IF(O17="","",(1/'Metadata'!$B$5)^(O17-1))</x:f>
        <x:v>2344.228815319923</x:v>
      </x:c>
      <x:c r="U17" s="31" t="n">
        <x:f>IF(T17="","",I17*T17)</x:f>
        <x:v>22612.431152575977</x:v>
      </x:c>
    </x:row>
    <x:row r="18" ht="18" customHeight="1">
      <x:c r="A18" s="24" t="str">
        <x:v>EEZ_060</x:v>
      </x:c>
      <x:c r="B18" s="24" t="str">
        <x:v>Bermuda (UK)</x:v>
      </x:c>
      <x:c r="C18" s="24" t="str">
        <x:v>EEZ</x:v>
      </x:c>
      <x:c r="D18" s="30" t="n">
        <x:v>2019</x:v>
      </x:c>
      <x:c r="E18" s="24" t="str">
        <x:v>Carangidae</x:v>
      </x:c>
      <x:c r="F18" s="24" t="str">
        <x:v>Jacks, pompanos</x:v>
      </x:c>
      <x:c r="G18" s="24" t="str">
        <x:v>Medium pelagics (30 - 89 cm)</x:v>
      </x:c>
      <x:c r="H18" s="24" t="str">
        <x:v>Perch-likes</x:v>
      </x:c>
      <x:c r="I18" s="31" t="n">
        <x:v>9</x:v>
      </x:c>
      <x:c r="J18" s="31" t="n">
        <x:v>9</x:v>
      </x:c>
      <x:c r="K18" s="31" t="n">
        <x:v>0</x:v>
      </x:c>
      <x:c r="L18" s="31" t="n">
        <x:v>9</x:v>
      </x:c>
      <x:c r="M18" s="31" t="n">
        <x:v>0</x:v>
      </x:c>
      <x:c r="N18" s="24" t="str">
        <x:v>carangidae</x:v>
      </x:c>
      <x:c r="O18" s="32" t="n">
        <x:v>4.05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Carangidae</x:v>
      </x:c>
      <x:c r="T18" s="32" t="n">
        <x:f>IF(O18="","",(1/'Metadata'!$B$5)^(O18-1))</x:f>
        <x:v>1122.018454301963</x:v>
      </x:c>
      <x:c r="U18" s="31" t="n">
        <x:f>IF(T18="","",I18*T18)</x:f>
        <x:v>10098.166088717666</x:v>
      </x:c>
    </x:row>
    <x:row r="19" ht="18" customHeight="1">
      <x:c r="A19" s="24" t="str">
        <x:v>EEZ_060</x:v>
      </x:c>
      <x:c r="B19" s="24" t="str">
        <x:v>Bermuda (UK)</x:v>
      </x:c>
      <x:c r="C19" s="24" t="str">
        <x:v>EEZ</x:v>
      </x:c>
      <x:c r="D19" s="30" t="n">
        <x:v>2019</x:v>
      </x:c>
      <x:c r="E19" s="24" t="str">
        <x:v>Scombridae</x:v>
      </x:c>
      <x:c r="F19" s="24" t="str">
        <x:v>Mackerels, tunas, bonitos</x:v>
      </x:c>
      <x:c r="G19" s="24" t="str">
        <x:v>Medium pelagics (30 - 89 cm)</x:v>
      </x:c>
      <x:c r="H19" s="24" t="str">
        <x:v>Perch-likes</x:v>
      </x:c>
      <x:c r="I19" s="31" t="n">
        <x:v>8.8918938012</x:v>
      </x:c>
      <x:c r="J19" s="31" t="n">
        <x:v>8.8918938012</x:v>
      </x:c>
      <x:c r="K19" s="31" t="n">
        <x:v>0</x:v>
      </x:c>
      <x:c r="L19" s="31" t="n">
        <x:v>0.0077891402</x:v>
      </x:c>
      <x:c r="M19" s="31" t="n">
        <x:v>8.884104661</x:v>
      </x:c>
      <x:c r="N19" s="24" t="str">
        <x:v>scombridae</x:v>
      </x:c>
      <x:c r="O19" s="32" t="n">
        <x:v>4.26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Scombridae</x:v>
      </x:c>
      <x:c r="T19" s="32" t="n">
        <x:f>IF(O19="","",(1/'Metadata'!$B$5)^(O19-1))</x:f>
        <x:v>1819.7008586099826</x:v>
      </x:c>
      <x:c r="U19" s="31" t="n">
        <x:f>IF(T19="","",I19*T19)</x:f>
        <x:v>16180.586784712423</x:v>
      </x:c>
    </x:row>
    <x:row r="20" ht="18" customHeight="1">
      <x:c r="A20" s="24" t="str">
        <x:v>EEZ_060</x:v>
      </x:c>
      <x:c r="B20" s="24" t="str">
        <x:v>Bermuda (UK)</x:v>
      </x:c>
      <x:c r="C20" s="24" t="str">
        <x:v>EEZ</x:v>
      </x:c>
      <x:c r="D20" s="30" t="n">
        <x:v>2019</x:v>
      </x:c>
      <x:c r="E20" s="24" t="str">
        <x:v>Euthynnus alletteratus</x:v>
      </x:c>
      <x:c r="F20" s="24" t="str">
        <x:v>Little tunny </x:v>
      </x:c>
      <x:c r="G20" s="24" t="str">
        <x:v>Large pelagics (&gt;=90 cm)</x:v>
      </x:c>
      <x:c r="H20" s="24" t="str">
        <x:v>Tuna &amp; billfishes</x:v>
      </x:c>
      <x:c r="I20" s="31" t="n">
        <x:v>8.459168999</x:v>
      </x:c>
      <x:c r="J20" s="31" t="n">
        <x:v>8.459168999</x:v>
      </x:c>
      <x:c r="K20" s="31" t="n">
        <x:v>0</x:v>
      </x:c>
      <x:c r="L20" s="31" t="n">
        <x:v>3.76</x:v>
      </x:c>
      <x:c r="M20" s="31" t="n">
        <x:v>4.699168998999999</x:v>
      </x:c>
      <x:c r="N20" s="24" t="str">
        <x:v>euthynnus alletteratus</x:v>
      </x:c>
      <x:c r="O20" s="32" t="n">
        <x:v>4.49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Euthynnus alletteratus</x:v>
      </x:c>
      <x:c r="T20" s="32" t="n">
        <x:f>IF(O20="","",(1/'Metadata'!$B$5)^(O20-1))</x:f>
        <x:v>3090.295432513592</x:v>
      </x:c>
      <x:c r="U20" s="31" t="n">
        <x:f>IF(T20="","",I20*T20)</x:f>
        <x:v>26141.33132047027</x:v>
      </x:c>
    </x:row>
    <x:row r="21" ht="18" customHeight="1">
      <x:c r="A21" s="24" t="str">
        <x:v>EEZ_060</x:v>
      </x:c>
      <x:c r="B21" s="24" t="str">
        <x:v>Bermuda (UK)</x:v>
      </x:c>
      <x:c r="C21" s="24" t="str">
        <x:v>EEZ</x:v>
      </x:c>
      <x:c r="D21" s="30" t="n">
        <x:v>2019</x:v>
      </x:c>
      <x:c r="E21" s="24" t="str">
        <x:v>Sphyraenidae</x:v>
      </x:c>
      <x:c r="F21" s="24" t="str">
        <x:v>Barracudas</x:v>
      </x:c>
      <x:c r="G21" s="24" t="str">
        <x:v>Medium reef assoc. fish (30 - 89 cm)</x:v>
      </x:c>
      <x:c r="H21" s="24" t="str">
        <x:v>Perch-likes</x:v>
      </x:c>
      <x:c r="I21" s="31" t="n">
        <x:v>6.999999999</x:v>
      </x:c>
      <x:c r="J21" s="31" t="n">
        <x:v>6.999999999</x:v>
      </x:c>
      <x:c r="K21" s="31" t="n">
        <x:v>0</x:v>
      </x:c>
      <x:c r="L21" s="31" t="n">
        <x:v>6.999999999</x:v>
      </x:c>
      <x:c r="M21" s="31" t="n">
        <x:v>0</x:v>
      </x:c>
      <x:c r="N21" s="24" t="str">
        <x:v>sphyraenidae</x:v>
      </x:c>
      <x:c r="O21" s="32" t="n">
        <x:v>4.4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Sphyraenidae</x:v>
      </x:c>
      <x:c r="T21" s="32" t="n">
        <x:f>IF(O21="","",(1/'Metadata'!$B$5)^(O21-1))</x:f>
        <x:v>2511.886431509582</x:v>
      </x:c>
      <x:c r="U21" s="31" t="n">
        <x:f>IF(T21="","",I21*T21)</x:f>
        <x:v>17583.20501805519</x:v>
      </x:c>
    </x:row>
    <x:row r="22" ht="18" customHeight="1">
      <x:c r="A22" s="24" t="str">
        <x:v>EEZ_060</x:v>
      </x:c>
      <x:c r="B22" s="24" t="str">
        <x:v>Bermuda (UK)</x:v>
      </x:c>
      <x:c r="C22" s="24" t="str">
        <x:v>EEZ</x:v>
      </x:c>
      <x:c r="D22" s="30" t="n">
        <x:v>2019</x:v>
      </x:c>
      <x:c r="E22" s="24" t="str">
        <x:v>Haemulidae</x:v>
      </x:c>
      <x:c r="F22" s="24" t="str">
        <x:v>Grunts, sweetlips, bonnetmouths</x:v>
      </x:c>
      <x:c r="G22" s="24" t="str">
        <x:v>Medium demersals (30 - 89 cm)</x:v>
      </x:c>
      <x:c r="H22" s="24" t="str">
        <x:v>Perch-likes</x:v>
      </x:c>
      <x:c r="I22" s="31" t="n">
        <x:v>6.801730566</x:v>
      </x:c>
      <x:c r="J22" s="31" t="n">
        <x:v>6.801730566</x:v>
      </x:c>
      <x:c r="K22" s="31" t="n">
        <x:v>0</x:v>
      </x:c>
      <x:c r="L22" s="31" t="n">
        <x:v>1</x:v>
      </x:c>
      <x:c r="M22" s="31" t="n">
        <x:v>5.801730566</x:v>
      </x:c>
      <x:c r="N22" s="24" t="str">
        <x:v>haemulidae</x:v>
      </x:c>
      <x:c r="O22" s="32" t="n">
        <x:v>3.36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Haemulidae</x:v>
      </x:c>
      <x:c r="T22" s="32" t="n">
        <x:f>IF(O22="","",(1/'Metadata'!$B$5)^(O22-1))</x:f>
        <x:v>229.08676527677724</x:v>
      </x:c>
      <x:c r="U22" s="31" t="n">
        <x:f>IF(T22="","",I22*T22)</x:f>
        <x:v>1558.1864536491232</x:v>
      </x:c>
    </x:row>
    <x:row r="23" ht="18" customHeight="1">
      <x:c r="A23" s="24" t="str">
        <x:v>EEZ_060</x:v>
      </x:c>
      <x:c r="B23" s="24" t="str">
        <x:v>Bermuda (UK)</x:v>
      </x:c>
      <x:c r="C23" s="24" t="str">
        <x:v>EEZ</x:v>
      </x:c>
      <x:c r="D23" s="30" t="n">
        <x:v>2019</x:v>
      </x:c>
      <x:c r="E23" s="24" t="str">
        <x:v>Makaira nigricans</x:v>
      </x:c>
      <x:c r="F23" s="24" t="str">
        <x:v>Blue marlin</x:v>
      </x:c>
      <x:c r="G23" s="24" t="str">
        <x:v>Large pelagics (&gt;=90 cm)</x:v>
      </x:c>
      <x:c r="H23" s="24" t="str">
        <x:v>Tuna &amp; billfishes</x:v>
      </x:c>
      <x:c r="I23" s="31" t="n">
        <x:v>3.5489607903</x:v>
      </x:c>
      <x:c r="J23" s="31" t="n">
        <x:v>3.5489607903</x:v>
      </x:c>
      <x:c r="K23" s="31" t="n">
        <x:v>0</x:v>
      </x:c>
      <x:c r="L23" s="31" t="n">
        <x:v>3.5489607903</x:v>
      </x:c>
      <x:c r="M23" s="31" t="n">
        <x:v>0</x:v>
      </x:c>
      <x:c r="N23" s="24" t="str">
        <x:v>makaira nigricans</x:v>
      </x:c>
      <x:c r="O23" s="32" t="n">
        <x:v>4.49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Makaira nigricans</x:v>
      </x:c>
      <x:c r="T23" s="32" t="n">
        <x:f>IF(O23="","",(1/'Metadata'!$B$5)^(O23-1))</x:f>
        <x:v>3090.295432513592</x:v>
      </x:c>
      <x:c r="U23" s="31" t="n">
        <x:f>IF(T23="","",I23*T23)</x:f>
        <x:v>10967.337320433917</x:v>
      </x:c>
    </x:row>
    <x:row r="24" ht="18" customHeight="1">
      <x:c r="A24" s="24" t="str">
        <x:v>EEZ_060</x:v>
      </x:c>
      <x:c r="B24" s="24" t="str">
        <x:v>Bermuda (UK)</x:v>
      </x:c>
      <x:c r="C24" s="24" t="str">
        <x:v>EEZ</x:v>
      </x:c>
      <x:c r="D24" s="30" t="n">
        <x:v>2019</x:v>
      </x:c>
      <x:c r="E24" s="24" t="str">
        <x:v>Palinuridae</x:v>
      </x:c>
      <x:c r="F24" s="24" t="str">
        <x:v>Spiny lobsters</x:v>
      </x:c>
      <x:c r="G24" s="24" t="str">
        <x:v>Lobsters, crabs</x:v>
      </x:c>
      <x:c r="H24" s="24" t="str">
        <x:v>Crustaceans</x:v>
      </x:c>
      <x:c r="I24" s="31" t="n">
        <x:v>3</x:v>
      </x:c>
      <x:c r="J24" s="31" t="n">
        <x:v>3</x:v>
      </x:c>
      <x:c r="K24" s="31" t="n">
        <x:v>0</x:v>
      </x:c>
      <x:c r="L24" s="31" t="n">
        <x:v>3</x:v>
      </x:c>
      <x:c r="M24" s="31" t="n">
        <x:v>0</x:v>
      </x:c>
      <x:c r="N24" s="24" t="str">
        <x:v>palinuridae</x:v>
      </x:c>
      <x:c r="O24" s="32" t="n">
        <x:v>3.14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Palinuridae</x:v>
      </x:c>
      <x:c r="T24" s="32" t="n">
        <x:f>IF(O24="","",(1/'Metadata'!$B$5)^(O24-1))</x:f>
        <x:v>138.03842646028852</x:v>
      </x:c>
      <x:c r="U24" s="31" t="n">
        <x:f>IF(T24="","",I24*T24)</x:f>
        <x:v>414.11527938086556</x:v>
      </x:c>
    </x:row>
    <x:row r="25" ht="18" customHeight="1">
      <x:c r="A25" s="24" t="str">
        <x:v>EEZ_060</x:v>
      </x:c>
      <x:c r="B25" s="24" t="str">
        <x:v>Bermuda (UK)</x:v>
      </x:c>
      <x:c r="C25" s="24" t="str">
        <x:v>EEZ</x:v>
      </x:c>
      <x:c r="D25" s="30" t="n">
        <x:v>2019</x:v>
      </x:c>
      <x:c r="E25" s="24" t="str">
        <x:v>Xiphias gladius</x:v>
      </x:c>
      <x:c r="F25" s="24" t="str">
        <x:v>Swordfish</x:v>
      </x:c>
      <x:c r="G25" s="24" t="str">
        <x:v>Large pelagics (&gt;=90 cm)</x:v>
      </x:c>
      <x:c r="H25" s="24" t="str">
        <x:v>Tuna &amp; billfishes</x:v>
      </x:c>
      <x:c r="I25" s="31" t="n">
        <x:v>2.5756871166</x:v>
      </x:c>
      <x:c r="J25" s="31" t="n">
        <x:v>2.5756871166</x:v>
      </x:c>
      <x:c r="K25" s="31" t="n">
        <x:v>0</x:v>
      </x:c>
      <x:c r="L25" s="31" t="n">
        <x:v>2.5756871166</x:v>
      </x:c>
      <x:c r="M25" s="31" t="n">
        <x:v>0</x:v>
      </x:c>
      <x:c r="N25" s="24" t="str">
        <x:v>xiphias gladius</x:v>
      </x:c>
      <x:c r="O25" s="32" t="n">
        <x:v>4.53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Xiphias gladius</x:v>
      </x:c>
      <x:c r="T25" s="32" t="n">
        <x:f>IF(O25="","",(1/'Metadata'!$B$5)^(O25-1))</x:f>
        <x:v>3388.4415613920273</x:v>
      </x:c>
      <x:c r="U25" s="31" t="n">
        <x:f>IF(T25="","",I25*T25)</x:f>
        <x:v>8727.565275029434</x:v>
      </x:c>
    </x:row>
    <x:row r="26" ht="18" customHeight="1">
      <x:c r="A26" s="24" t="str">
        <x:v>EEZ_060</x:v>
      </x:c>
      <x:c r="B26" s="24" t="str">
        <x:v>Bermuda (UK)</x:v>
      </x:c>
      <x:c r="C26" s="24" t="str">
        <x:v>EEZ</x:v>
      </x:c>
      <x:c r="D26" s="30" t="n">
        <x:v>2019</x:v>
      </x:c>
      <x:c r="E26" s="24" t="str">
        <x:v>Paranthias furcifer</x:v>
      </x:c>
      <x:c r="F26" s="24" t="str">
        <x:v>Creole-fish</x:v>
      </x:c>
      <x:c r="G26" s="24" t="str">
        <x:v>Medium benthopelagics (30 - 89 cm)</x:v>
      </x:c>
      <x:c r="H26" s="24" t="str">
        <x:v>Perch-likes</x:v>
      </x:c>
      <x:c r="I26" s="31" t="n">
        <x:v>2</x:v>
      </x:c>
      <x:c r="J26" s="31" t="n">
        <x:v>2</x:v>
      </x:c>
      <x:c r="K26" s="31" t="n">
        <x:v>0</x:v>
      </x:c>
      <x:c r="L26" s="31" t="n">
        <x:v>2</x:v>
      </x:c>
      <x:c r="M26" s="31" t="n">
        <x:v>0</x:v>
      </x:c>
      <x:c r="N26" s="24" t="str">
        <x:v>paranthias furcifer</x:v>
      </x:c>
      <x:c r="O26" s="32" t="n">
        <x:v>3.21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Paranthias furcifer</x:v>
      </x:c>
      <x:c r="T26" s="32" t="n">
        <x:f>IF(O26="","",(1/'Metadata'!$B$5)^(O26-1))</x:f>
        <x:v>162.18100973589299</x:v>
      </x:c>
      <x:c r="U26" s="31" t="n">
        <x:f>IF(T26="","",I26*T26)</x:f>
        <x:v>324.36201947178597</x:v>
      </x:c>
    </x:row>
    <x:row r="27" ht="18" customHeight="1">
      <x:c r="A27" s="24" t="str">
        <x:v>EEZ_060</x:v>
      </x:c>
      <x:c r="B27" s="24" t="str">
        <x:v>Bermuda (UK)</x:v>
      </x:c>
      <x:c r="C27" s="24" t="str">
        <x:v>EEZ</x:v>
      </x:c>
      <x:c r="D27" s="30" t="n">
        <x:v>2019</x:v>
      </x:c>
      <x:c r="E27" s="24" t="str">
        <x:v>Lutjanidae</x:v>
      </x:c>
      <x:c r="F27" s="24" t="str">
        <x:v>Snappers</x:v>
      </x:c>
      <x:c r="G27" s="24" t="str">
        <x:v>Medium reef assoc. fish (30 - 89 cm)</x:v>
      </x:c>
      <x:c r="H27" s="24" t="str">
        <x:v>Perch-likes</x:v>
      </x:c>
      <x:c r="I27" s="31" t="n">
        <x:v>2</x:v>
      </x:c>
      <x:c r="J27" s="31" t="n">
        <x:v>2</x:v>
      </x:c>
      <x:c r="K27" s="31" t="n">
        <x:v>0</x:v>
      </x:c>
      <x:c r="L27" s="31" t="n">
        <x:v>2</x:v>
      </x:c>
      <x:c r="M27" s="31" t="n">
        <x:v>0</x:v>
      </x:c>
      <x:c r="N27" s="24" t="str">
        <x:v>lutjanidae</x:v>
      </x:c>
      <x:c r="O27" s="32" t="n">
        <x:v>4.02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Lutjanidae</x:v>
      </x:c>
      <x:c r="T27" s="32" t="n">
        <x:f>IF(O27="","",(1/'Metadata'!$B$5)^(O27-1))</x:f>
        <x:v>1047.1285480508984</x:v>
      </x:c>
      <x:c r="U27" s="31" t="n">
        <x:f>IF(T27="","",I27*T27)</x:f>
        <x:v>2094.257096101797</x:v>
      </x:c>
    </x:row>
    <x:row r="28" ht="18" customHeight="1">
      <x:c r="A28" s="24" t="str">
        <x:v>EEZ_060</x:v>
      </x:c>
      <x:c r="B28" s="24" t="str">
        <x:v>Bermuda (UK)</x:v>
      </x:c>
      <x:c r="C28" s="24" t="str">
        <x:v>EEZ</x:v>
      </x:c>
      <x:c r="D28" s="30" t="n">
        <x:v>2019</x:v>
      </x:c>
      <x:c r="E28" s="24" t="str">
        <x:v>Carcharhinidae</x:v>
      </x:c>
      <x:c r="F28" s="24" t="str">
        <x:v>Requiem sharks</x:v>
      </x:c>
      <x:c r="G28" s="24" t="str">
        <x:v>Large sharks (&gt;=90 cm)</x:v>
      </x:c>
      <x:c r="H28" s="24" t="str">
        <x:v>Sharks &amp; rays</x:v>
      </x:c>
      <x:c r="I28" s="31" t="n">
        <x:v>2</x:v>
      </x:c>
      <x:c r="J28" s="31" t="n">
        <x:v>2</x:v>
      </x:c>
      <x:c r="K28" s="31" t="n">
        <x:v>0</x:v>
      </x:c>
      <x:c r="L28" s="31" t="n">
        <x:v>2</x:v>
      </x:c>
      <x:c r="M28" s="31" t="n">
        <x:v>0</x:v>
      </x:c>
      <x:c r="N28" s="24" t="str">
        <x:v>carcharhinidae</x:v>
      </x:c>
      <x:c r="O28" s="32" t="n">
        <x:v>4.24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Carcharhinidae</x:v>
      </x:c>
      <x:c r="T28" s="32" t="n">
        <x:f>IF(O28="","",(1/'Metadata'!$B$5)^(O28-1))</x:f>
        <x:v>1737.8008287493763</x:v>
      </x:c>
      <x:c r="U28" s="31" t="n">
        <x:f>IF(T28="","",I28*T28)</x:f>
        <x:v>3475.6016574987525</x:v>
      </x:c>
    </x:row>
    <x:row r="29" ht="18" customHeight="1">
      <x:c r="A29" s="24" t="str">
        <x:v>EEZ_060</x:v>
      </x:c>
      <x:c r="B29" s="24" t="str">
        <x:v>Bermuda (UK)</x:v>
      </x:c>
      <x:c r="C29" s="24" t="str">
        <x:v>EEZ</x:v>
      </x:c>
      <x:c r="D29" s="30" t="n">
        <x:v>2019</x:v>
      </x:c>
      <x:c r="E29" s="24" t="str">
        <x:v>Carcharhinus galapagensis</x:v>
      </x:c>
      <x:c r="F29" s="24" t="str">
        <x:v>Galapagos shark</x:v>
      </x:c>
      <x:c r="G29" s="24" t="str">
        <x:v>Large sharks (&gt;=90 cm)</x:v>
      </x:c>
      <x:c r="H29" s="24" t="str">
        <x:v>Sharks &amp; rays</x:v>
      </x:c>
      <x:c r="I29" s="31" t="n">
        <x:v>1.91</x:v>
      </x:c>
      <x:c r="J29" s="31" t="n">
        <x:v>1.91</x:v>
      </x:c>
      <x:c r="K29" s="31" t="n">
        <x:v>0</x:v>
      </x:c>
      <x:c r="L29" s="31" t="n">
        <x:v>1.91</x:v>
      </x:c>
      <x:c r="M29" s="31" t="n">
        <x:v>0</x:v>
      </x:c>
      <x:c r="N29" s="24" t="str">
        <x:v>carcharhinus galapagensis</x:v>
      </x:c>
      <x:c r="O29" s="32" t="n">
        <x:v>4.23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Carcharhinus galapagensis</x:v>
      </x:c>
      <x:c r="T29" s="32" t="n">
        <x:f>IF(O29="","",(1/'Metadata'!$B$5)^(O29-1))</x:f>
        <x:v>1698.243652461746</x:v>
      </x:c>
      <x:c r="U29" s="31" t="n">
        <x:f>IF(T29="","",I29*T29)</x:f>
        <x:v>3243.6453762019346</x:v>
      </x:c>
    </x:row>
    <x:row r="30" ht="18" customHeight="1">
      <x:c r="A30" s="24" t="str">
        <x:v>EEZ_060</x:v>
      </x:c>
      <x:c r="B30" s="24" t="str">
        <x:v>Bermuda (UK)</x:v>
      </x:c>
      <x:c r="C30" s="24" t="str">
        <x:v>EEZ</x:v>
      </x:c>
      <x:c r="D30" s="30" t="n">
        <x:v>2019</x:v>
      </x:c>
      <x:c r="E30" s="24" t="str">
        <x:v>Thunnus alalunga</x:v>
      </x:c>
      <x:c r="F30" s="24" t="str">
        <x:v>Albacore</x:v>
      </x:c>
      <x:c r="G30" s="24" t="str">
        <x:v>Large pelagics (&gt;=90 cm)</x:v>
      </x:c>
      <x:c r="H30" s="24" t="str">
        <x:v>Tuna &amp; billfishes</x:v>
      </x:c>
      <x:c r="I30" s="31" t="n">
        <x:v>1.3819505413</x:v>
      </x:c>
      <x:c r="J30" s="31" t="n">
        <x:v>1.3819505413</x:v>
      </x:c>
      <x:c r="K30" s="31" t="n">
        <x:v>0</x:v>
      </x:c>
      <x:c r="L30" s="31" t="n">
        <x:v>1.3819505413</x:v>
      </x:c>
      <x:c r="M30" s="31" t="n">
        <x:v>0</x:v>
      </x:c>
      <x:c r="N30" s="24" t="str">
        <x:v>thunnus alalunga</x:v>
      </x:c>
      <x:c r="O30" s="32" t="n">
        <x:v>4.3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Thunnus alalunga</x:v>
      </x:c>
      <x:c r="T30" s="32" t="n">
        <x:f>IF(O30="","",(1/'Metadata'!$B$5)^(O30-1))</x:f>
        <x:v>1995.2623149688789</x:v>
      </x:c>
      <x:c r="U30" s="31" t="n">
        <x:f>IF(T30="","",I30*T30)</x:f>
        <x:v>2757.353836206733</x:v>
      </x:c>
    </x:row>
    <x:row r="31" ht="18" customHeight="1">
      <x:c r="A31" s="24" t="str">
        <x:v>EEZ_060</x:v>
      </x:c>
      <x:c r="B31" s="24" t="str">
        <x:v>Bermuda (UK)</x:v>
      </x:c>
      <x:c r="C31" s="24" t="str">
        <x:v>EEZ</x:v>
      </x:c>
      <x:c r="D31" s="30" t="n">
        <x:v>2019</x:v>
      </x:c>
      <x:c r="E31" s="24" t="str">
        <x:v>Thunnus thynnus</x:v>
      </x:c>
      <x:c r="F31" s="24" t="str">
        <x:v>Atlantic bluefin tuna</x:v>
      </x:c>
      <x:c r="G31" s="24" t="str">
        <x:v>Large pelagics (&gt;=90 cm)</x:v>
      </x:c>
      <x:c r="H31" s="24" t="str">
        <x:v>Tuna &amp; billfishes</x:v>
      </x:c>
      <x:c r="I31" s="31" t="n">
        <x:v>0.339</x:v>
      </x:c>
      <x:c r="J31" s="31" t="n">
        <x:v>0.339</x:v>
      </x:c>
      <x:c r="K31" s="31" t="n">
        <x:v>0</x:v>
      </x:c>
      <x:c r="L31" s="31" t="n">
        <x:v>0.339</x:v>
      </x:c>
      <x:c r="M31" s="31" t="n">
        <x:v>0</x:v>
      </x:c>
      <x:c r="N31" s="24" t="str">
        <x:v>thunnus thynnus</x:v>
      </x:c>
      <x:c r="O31" s="32" t="n">
        <x:v>4.45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Thunnus thynnus</x:v>
      </x:c>
      <x:c r="T31" s="32" t="n">
        <x:f>IF(O31="","",(1/'Metadata'!$B$5)^(O31-1))</x:f>
        <x:v>2818.382931264455</x:v>
      </x:c>
      <x:c r="U31" s="31" t="n">
        <x:f>IF(T31="","",I31*T31)</x:f>
        <x:v>955.4318136986502</x:v>
      </x:c>
    </x:row>
    <x:row r="32" ht="18" customHeight="1">
      <x:c r="A32" s="24" t="str">
        <x:v>EEZ_060</x:v>
      </x:c>
      <x:c r="B32" s="24" t="str">
        <x:v>Bermuda (UK)</x:v>
      </x:c>
      <x:c r="C32" s="24" t="str">
        <x:v>EEZ</x:v>
      </x:c>
      <x:c r="D32" s="30" t="n">
        <x:v>2019</x:v>
      </x:c>
      <x:c r="E32" s="24" t="str">
        <x:v>Kajikia albida</x:v>
      </x:c>
      <x:c r="F32" s="24" t="str">
        <x:v>Atlantic white marlin</x:v>
      </x:c>
      <x:c r="G32" s="24" t="str">
        <x:v>Large pelagics (&gt;=90 cm)</x:v>
      </x:c>
      <x:c r="H32" s="24" t="str">
        <x:v>Tuna &amp; billfishes</x:v>
      </x:c>
      <x:c r="I32" s="31" t="n">
        <x:v>0.2146267482</x:v>
      </x:c>
      <x:c r="J32" s="31" t="n">
        <x:v>0.2146267482</x:v>
      </x:c>
      <x:c r="K32" s="31" t="n">
        <x:v>0</x:v>
      </x:c>
      <x:c r="L32" s="31" t="n">
        <x:v>0.2146267482</x:v>
      </x:c>
      <x:c r="M32" s="31" t="n">
        <x:v>0</x:v>
      </x:c>
      <x:c r="N32" s="24" t="str">
        <x:v>kajikia albida</x:v>
      </x:c>
      <x:c r="O32" s="32" t="n">
        <x:v>4.49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Kajikia albida</x:v>
      </x:c>
      <x:c r="T32" s="32" t="n">
        <x:f>IF(O32="","",(1/'Metadata'!$B$5)^(O32-1))</x:f>
        <x:v>3090.295432513592</x:v>
      </x:c>
      <x:c r="U32" s="31" t="n">
        <x:f>IF(T32="","",I32*T32)</x:f>
        <x:v>663.2600596577048</x:v>
      </x:c>
    </x:row>
    <x:row r="33" ht="18" customHeight="1">
      <x:c r="A33" s="24" t="str">
        <x:v>EEZ_060</x:v>
      </x:c>
      <x:c r="B33" s="24" t="str">
        <x:v>Bermuda (UK)</x:v>
      </x:c>
      <x:c r="C33" s="24" t="str">
        <x:v>EEZ</x:v>
      </x:c>
      <x:c r="D33" s="30" t="n">
        <x:v>2019</x:v>
      </x:c>
      <x:c r="E33" s="24" t="str">
        <x:v>Isurus oxyrinchus</x:v>
      </x:c>
      <x:c r="F33" s="24" t="str">
        <x:v>Shortfin mako</x:v>
      </x:c>
      <x:c r="G33" s="24" t="str">
        <x:v>Large sharks (&gt;=90 cm)</x:v>
      </x:c>
      <x:c r="H33" s="24" t="str">
        <x:v>Sharks &amp; rays</x:v>
      </x:c>
      <x:c r="I33" s="31" t="n">
        <x:v>0.2</x:v>
      </x:c>
      <x:c r="J33" s="31" t="n">
        <x:v>0.2</x:v>
      </x:c>
      <x:c r="K33" s="31" t="n">
        <x:v>0</x:v>
      </x:c>
      <x:c r="L33" s="31" t="n">
        <x:v>0.2</x:v>
      </x:c>
      <x:c r="M33" s="31" t="n">
        <x:v>0</x:v>
      </x:c>
      <x:c r="N33" s="24" t="str">
        <x:v>isurus oxyrinchus</x:v>
      </x:c>
      <x:c r="O33" s="32" t="n">
        <x:v>4.5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Isurus oxyrinchus</x:v>
      </x:c>
      <x:c r="T33" s="32" t="n">
        <x:f>IF(O33="","",(1/'Metadata'!$B$5)^(O33-1))</x:f>
        <x:v>3162.2776601683795</x:v>
      </x:c>
      <x:c r="U33" s="31" t="n">
        <x:f>IF(T33="","",I33*T33)</x:f>
        <x:v>632.4555320336759</x:v>
      </x:c>
    </x:row>
    <x:row r="34" ht="18" customHeight="1">
      <x:c r="A34" s="24" t="str">
        <x:v>EEZ_060</x:v>
      </x:c>
      <x:c r="B34" s="24" t="str">
        <x:v>Bermuda (UK)</x:v>
      </x:c>
      <x:c r="C34" s="24" t="str">
        <x:v>EEZ</x:v>
      </x:c>
      <x:c r="D34" s="30" t="n">
        <x:v>2019</x:v>
      </x:c>
      <x:c r="E34" s="24" t="str">
        <x:v>Katsuwonus pelamis</x:v>
      </x:c>
      <x:c r="F34" s="24" t="str">
        <x:v>Skipjack tuna</x:v>
      </x:c>
      <x:c r="G34" s="24" t="str">
        <x:v>Large pelagics (&gt;=90 cm)</x:v>
      </x:c>
      <x:c r="H34" s="24" t="str">
        <x:v>Tuna &amp; billfishes</x:v>
      </x:c>
      <x:c r="I34" s="31" t="n">
        <x:v>0.1254922942</x:v>
      </x:c>
      <x:c r="J34" s="31" t="n">
        <x:v>0.1254922942</x:v>
      </x:c>
      <x:c r="K34" s="31" t="n">
        <x:v>0</x:v>
      </x:c>
      <x:c r="L34" s="31" t="n">
        <x:v>0.1254922942</x:v>
      </x:c>
      <x:c r="M34" s="31" t="n">
        <x:v>0</x:v>
      </x:c>
      <x:c r="N34" s="24" t="str">
        <x:v>katsuwonus pelamis</x:v>
      </x:c>
      <x:c r="O34" s="32" t="n">
        <x:v>4.43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Katsuwonus pelamis</x:v>
      </x:c>
      <x:c r="T34" s="32" t="n">
        <x:f>IF(O34="","",(1/'Metadata'!$B$5)^(O34-1))</x:f>
        <x:v>2691.534803926914</x:v>
      </x:c>
      <x:c r="U34" s="31" t="n">
        <x:f>IF(T34="","",I34*T34)</x:f>
        <x:v>337.76687746393554</x:v>
      </x:c>
    </x:row>
    <x:row r="35" ht="18" customHeight="1">
      <x:c r="A35" s="24" t="str">
        <x:v>EEZ_060</x:v>
      </x:c>
      <x:c r="B35" s="24" t="str">
        <x:v>Bermuda (UK)</x:v>
      </x:c>
      <x:c r="C35" s="24" t="str">
        <x:v>EEZ</x:v>
      </x:c>
      <x:c r="D35" s="30" t="n">
        <x:v>2019</x:v>
      </x:c>
      <x:c r="E35" s="24" t="str">
        <x:v>Lepidocybium flavobrunneum</x:v>
      </x:c>
      <x:c r="F35" s="24" t="str">
        <x:v>Escolar</x:v>
      </x:c>
      <x:c r="G35" s="24" t="str">
        <x:v>Large bathypelagics (&gt;=90 cm)</x:v>
      </x:c>
      <x:c r="H35" s="24" t="str">
        <x:v>Perch-likes</x:v>
      </x:c>
      <x:c r="I35" s="31" t="n">
        <x:v>0.091</x:v>
      </x:c>
      <x:c r="J35" s="31" t="n">
        <x:v>0.091</x:v>
      </x:c>
      <x:c r="K35" s="31" t="n">
        <x:v>0</x:v>
      </x:c>
      <x:c r="L35" s="31" t="n">
        <x:v>0.091</x:v>
      </x:c>
      <x:c r="M35" s="31" t="n">
        <x:v>0</x:v>
      </x:c>
      <x:c r="N35" s="24" t="str">
        <x:v>lepidocybium flavobrunneum</x:v>
      </x:c>
      <x:c r="O35" s="32" t="n">
        <x:v>4.34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Lepidocybium flavobrunneum</x:v>
      </x:c>
      <x:c r="T35" s="32" t="n">
        <x:f>IF(O35="","",(1/'Metadata'!$B$5)^(O35-1))</x:f>
        <x:v>2187.761623949552</x:v>
      </x:c>
      <x:c r="U35" s="31" t="n">
        <x:f>IF(T35="","",I35*T35)</x:f>
        <x:v>199.08630777940922</x:v>
      </x:c>
    </x:row>
    <x:row r="36" ht="18" customHeight="1">
      <x:c r="A36" s="24" t="str">
        <x:v>EEZ_060</x:v>
      </x:c>
      <x:c r="B36" s="24" t="str">
        <x:v>Bermuda (UK)</x:v>
      </x:c>
      <x:c r="C36" s="24" t="str">
        <x:v>EEZ</x:v>
      </x:c>
      <x:c r="D36" s="30" t="n">
        <x:v>2019</x:v>
      </x:c>
      <x:c r="E36" s="24" t="str">
        <x:v>Auxis thazard</x:v>
      </x:c>
      <x:c r="F36" s="24" t="str">
        <x:v>Frigate tuna</x:v>
      </x:c>
      <x:c r="G36" s="24" t="str">
        <x:v>Medium pelagics (30 - 89 cm)</x:v>
      </x:c>
      <x:c r="H36" s="24" t="str">
        <x:v>Tuna &amp; billfishes</x:v>
      </x:c>
      <x:c r="I36" s="31" t="n">
        <x:v>0.081</x:v>
      </x:c>
      <x:c r="J36" s="31" t="n">
        <x:v>0.081</x:v>
      </x:c>
      <x:c r="K36" s="31" t="n">
        <x:v>0</x:v>
      </x:c>
      <x:c r="L36" s="31" t="n">
        <x:v>0.081</x:v>
      </x:c>
      <x:c r="M36" s="31" t="n">
        <x:v>0</x:v>
      </x:c>
      <x:c r="N36" s="24" t="str">
        <x:v>auxis thazard</x:v>
      </x:c>
      <x:c r="O36" s="32" t="n">
        <x:v>4.37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Auxis thazard</x:v>
      </x:c>
      <x:c r="T36" s="32" t="n">
        <x:f>IF(O36="","",(1/'Metadata'!$B$5)^(O36-1))</x:f>
        <x:v>2344.228815319923</x:v>
      </x:c>
      <x:c r="U36" s="31" t="n">
        <x:f>IF(T36="","",I36*T36)</x:f>
        <x:v>189.88253404091375</x:v>
      </x:c>
    </x:row>
    <x:row r="37" ht="18" customHeight="1">
      <x:c r="A37" s="24" t="str">
        <x:v>EEZ_060</x:v>
      </x:c>
      <x:c r="B37" s="24" t="str">
        <x:v>Bermuda (UK)</x:v>
      </x:c>
      <x:c r="C37" s="24" t="str">
        <x:v>EEZ</x:v>
      </x:c>
      <x:c r="D37" s="30" t="n">
        <x:v>2019</x:v>
      </x:c>
      <x:c r="E37" s="24" t="str">
        <x:v>Thunnus obesus</x:v>
      </x:c>
      <x:c r="F37" s="24" t="str">
        <x:v>Bigeye tuna</x:v>
      </x:c>
      <x:c r="G37" s="24" t="str">
        <x:v>Large pelagics (&gt;=90 cm)</x:v>
      </x:c>
      <x:c r="H37" s="24" t="str">
        <x:v>Tuna &amp; billfishes</x:v>
      </x:c>
      <x:c r="I37" s="31" t="n">
        <x:v>0.0473058216</x:v>
      </x:c>
      <x:c r="J37" s="31" t="n">
        <x:v>0.0473058216</x:v>
      </x:c>
      <x:c r="K37" s="31" t="n">
        <x:v>0</x:v>
      </x:c>
      <x:c r="L37" s="31" t="n">
        <x:v>0.0473058216</x:v>
      </x:c>
      <x:c r="M37" s="31" t="n">
        <x:v>0</x:v>
      </x:c>
      <x:c r="N37" s="24" t="str">
        <x:v>thunnus obesus</x:v>
      </x:c>
      <x:c r="O37" s="32" t="n">
        <x:v>4.49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Thunnus obesus</x:v>
      </x:c>
      <x:c r="T37" s="32" t="n">
        <x:f>IF(O37="","",(1/'Metadata'!$B$5)^(O37-1))</x:f>
        <x:v>3090.295432513592</x:v>
      </x:c>
      <x:c r="U37" s="31" t="n">
        <x:f>IF(T37="","",I37*T37)</x:f>
        <x:v>146.18896442178283</x:v>
      </x:c>
    </x:row>
    <x:row r="38" ht="18" customHeight="1">
      <x:c r="A38" s="24" t="str">
        <x:v>EEZ_060</x:v>
      </x:c>
      <x:c r="B38" s="24" t="str">
        <x:v>Bermuda (UK)</x:v>
      </x:c>
      <x:c r="C38" s="24" t="str">
        <x:v>EEZ</x:v>
      </x:c>
      <x:c r="D38" s="30" t="n">
        <x:v>2019</x:v>
      </x:c>
      <x:c r="E38" s="24" t="str">
        <x:v>Istiophoridae</x:v>
      </x:c>
      <x:c r="F38" s="24" t="str">
        <x:v>Billfishes</x:v>
      </x:c>
      <x:c r="G38" s="24" t="str">
        <x:v>Large pelagics (&gt;=90 cm)</x:v>
      </x:c>
      <x:c r="H38" s="24" t="str">
        <x:v>Tuna &amp; billfishes</x:v>
      </x:c>
      <x:c r="I38" s="31" t="n">
        <x:v>0.0042353967</x:v>
      </x:c>
      <x:c r="J38" s="31" t="n">
        <x:v>0.0042353967</x:v>
      </x:c>
      <x:c r="K38" s="31" t="n">
        <x:v>0</x:v>
      </x:c>
      <x:c r="L38" s="31" t="n">
        <x:v>0.0042353967</x:v>
      </x:c>
      <x:c r="M38" s="31" t="n">
        <x:v>0</x:v>
      </x:c>
      <x:c r="N38" s="24" t="str">
        <x:v>istiophoridae</x:v>
      </x:c>
      <x:c r="O38" s="32" t="n">
        <x:v>4.48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Istiophoridae</x:v>
      </x:c>
      <x:c r="T38" s="32" t="n">
        <x:f>IF(O38="","",(1/'Metadata'!$B$5)^(O38-1))</x:f>
        <x:v>3019.951720402019</x:v>
      </x:c>
      <x:c r="U38" s="31" t="n">
        <x:f>IF(T38="","",I38*T38)</x:f>
        <x:v>12.790693550750033</x:v>
      </x:c>
    </x:row>
  </x:sheetData>
  <x:conditionalFormatting sqref="R2:R3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46b48a78dc6d4bf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Crustaceans</x:v>
      </x:c>
      <x:c r="B2" s="33" t="n">
        <x:v>2</x:v>
      </x:c>
      <x:c r="C2" s="33" t="n">
        <x:v>2</x:v>
      </x:c>
      <x:c r="D2" s="31" t="n">
        <x:v>43.625462769</x:v>
      </x:c>
      <x:c r="E2" s="31" t="n">
        <x:v>43.625462769</x:v>
      </x:c>
      <x:c r="F2" s="32" t="n">
        <x:v>0</x:v>
      </x:c>
      <x:c r="G2" s="34" t="n">
        <x:v>1</x:v>
      </x:c>
      <x:c r="H2" s="32" t="n">
        <x:f>IF(E2=0,"",I2/E2)</x:f>
        <x:v>157.0829690445712</x:v>
      </x:c>
      <x:c r="I2" s="31" t="n">
        <x:f>IF(C2=0,"",SUMIF('Species'!$H$2:$H$38,A2,'Species'!$U$2:$U$38))</x:f>
        <x:v>6852.817217697921</x:v>
      </x:c>
      <x:c r="J2" s="32" t="n">
        <x:v>3.1958739692698934</x:v>
      </x:c>
      <x:c r="K2" s="32" t="n">
        <x:f>IF(J2="","",(1/'Metadata'!$B$5)^(J2-1))</x:f>
        <x:v>156.99071566916484</x:v>
      </x:c>
      <x:c r="L2" s="31" t="n">
        <x:f>IF(E2=0,"",E2*K2)</x:f>
        <x:v>6848.792621503816</x:v>
      </x:c>
      <x:c r="M2" s="31" t="n">
        <x:f>IF(E2=0,"",I2-L2)</x:f>
        <x:v>4.024596194104561</x:v>
      </x:c>
      <x:c r="N2" s="32" t="n">
        <x:f>IF(L2=0,"",I2/L2)</x:f>
        <x:v>1.0005876358675934</x:v>
      </x:c>
      <x:c r="O2" s="34" t="n">
        <x:f>IF(L2=0,"",M2/L2)</x:f>
        <x:v>0.0005876358675933838</x:v>
      </x:c>
    </x:row>
    <x:row r="3" ht="18" customHeight="1">
      <x:c r="A3" s="24" t="str">
        <x:v>Herring-likes</x:v>
      </x:c>
      <x:c r="B3" s="33" t="n">
        <x:v>1</x:v>
      </x:c>
      <x:c r="C3" s="33" t="n">
        <x:v>1</x:v>
      </x:c>
      <x:c r="D3" s="31" t="n">
        <x:v>34</x:v>
      </x:c>
      <x:c r="E3" s="31" t="n">
        <x:v>34</x:v>
      </x:c>
      <x:c r="F3" s="32" t="n">
        <x:v>0</x:v>
      </x:c>
      <x:c r="G3" s="34" t="n">
        <x:v>1</x:v>
      </x:c>
      <x:c r="H3" s="32" t="n">
        <x:f>IF(E3=0,"",I3/E3)</x:f>
        <x:v>144.5439770745928</x:v>
      </x:c>
      <x:c r="I3" s="31" t="n">
        <x:f>IF(C3=0,"",SUMIF('Species'!$H$2:$H$38,A3,'Species'!$U$2:$U$38))</x:f>
        <x:v>4914.495220536155</x:v>
      </x:c>
      <x:c r="J3" s="32" t="n">
        <x:v>3.16</x:v>
      </x:c>
      <x:c r="K3" s="32" t="n">
        <x:f>IF(J3="","",(1/'Metadata'!$B$5)^(J3-1))</x:f>
        <x:v>144.5439770745928</x:v>
      </x:c>
      <x:c r="L3" s="31" t="n">
        <x:f>IF(E3=0,"",E3*K3)</x:f>
        <x:v>4914.495220536155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Other fishes &amp; inverts</x:v>
      </x:c>
      <x:c r="B4" s="33" t="n">
        <x:v>2</x:v>
      </x:c>
      <x:c r="C4" s="33" t="n">
        <x:v>2</x:v>
      </x:c>
      <x:c r="D4" s="31" t="n">
        <x:v>65.7202265973</x:v>
      </x:c>
      <x:c r="E4" s="31" t="n">
        <x:v>65.7202265973</x:v>
      </x:c>
      <x:c r="F4" s="32" t="n">
        <x:v>0</x:v>
      </x:c>
      <x:c r="G4" s="34" t="n">
        <x:v>1</x:v>
      </x:c>
      <x:c r="H4" s="32" t="n">
        <x:f>IF(E4=0,"",I4/E4)</x:f>
        <x:v>187.9591376204614</x:v>
      </x:c>
      <x:c r="I4" s="31" t="n">
        <x:f>IF(C4=0,"",SUMIF('Species'!$H$2:$H$38,A4,'Species'!$U$2:$U$38))</x:f>
        <x:v>12352.71711544982</x:v>
      </x:c>
      <x:c r="J4" s="32" t="n">
        <x:v>3.2738978434376476</x:v>
      </x:c>
      <x:c r="K4" s="32" t="n">
        <x:f>IF(J4="","",(1/'Metadata'!$B$5)^(J4-1))</x:f>
        <x:v>187.88748080381527</x:v>
      </x:c>
      <x:c r="L4" s="31" t="n">
        <x:f>IF(E4=0,"",E4*K4)</x:f>
        <x:v>12348.007813222594</x:v>
      </x:c>
      <x:c r="M4" s="31" t="n">
        <x:f>IF(E4=0,"",I4-L4)</x:f>
        <x:v>4.709302227225635</x:v>
      </x:c>
      <x:c r="N4" s="32" t="n">
        <x:f>IF(L4=0,"",I4/L4)</x:f>
        <x:v>1.0003813815393106</x:v>
      </x:c>
      <x:c r="O4" s="34" t="n">
        <x:f>IF(L4=0,"",M4/L4)</x:f>
        <x:v>0.0003813815393105584</x:v>
      </x:c>
    </x:row>
    <x:row r="5" ht="18" customHeight="1">
      <x:c r="A5" s="24" t="str">
        <x:v>Perch-likes</x:v>
      </x:c>
      <x:c r="B5" s="33" t="n">
        <x:v>17</x:v>
      </x:c>
      <x:c r="C5" s="33" t="n">
        <x:v>17</x:v>
      </x:c>
      <x:c r="D5" s="31" t="n">
        <x:v>590.3791828012</x:v>
      </x:c>
      <x:c r="E5" s="31" t="n">
        <x:v>590.3791828012</x:v>
      </x:c>
      <x:c r="F5" s="32" t="n">
        <x:v>0</x:v>
      </x:c>
      <x:c r="G5" s="34" t="n">
        <x:v>1</x:v>
      </x:c>
      <x:c r="H5" s="32" t="n">
        <x:f>IF(E5=0,"",I5/E5)</x:f>
        <x:v>1612.3804554907751</x:v>
      </x:c>
      <x:c r="I5" s="31" t="n">
        <x:f>IF(C5=0,"",SUMIF('Species'!$H$2:$H$38,A5,'Species'!$U$2:$U$38))</x:f>
        <x:v>951915.8556772706</x:v>
      </x:c>
      <x:c r="J5" s="32" t="n">
        <x:v>4.169108176195705</x:v>
      </x:c>
      <x:c r="K5" s="32" t="n">
        <x:f>IF(J5="","",(1/'Metadata'!$B$5)^(J5-1))</x:f>
        <x:v>1476.0741552663824</x:v>
      </x:c>
      <x:c r="L5" s="31" t="n">
        <x:f>IF(E5=0,"",E5*K5)</x:f>
        <x:v>871443.4535401386</x:v>
      </x:c>
      <x:c r="M5" s="31" t="n">
        <x:f>IF(E5=0,"",I5-L5)</x:f>
        <x:v>80472.40213713201</x:v>
      </x:c>
      <x:c r="N5" s="32" t="n">
        <x:f>IF(L5=0,"",I5/L5)</x:f>
        <x:v>1.0923438024695948</x:v>
      </x:c>
      <x:c r="O5" s="34" t="n">
        <x:f>IF(L5=0,"",M5/L5)</x:f>
        <x:v>0.09234380246959474</x:v>
      </x:c>
    </x:row>
    <x:row r="6" ht="18" customHeight="1">
      <x:c r="A6" s="24" t="str">
        <x:v>Sharks &amp; rays</x:v>
      </x:c>
      <x:c r="B6" s="33" t="n">
        <x:v>3</x:v>
      </x:c>
      <x:c r="C6" s="33" t="n">
        <x:v>3</x:v>
      </x:c>
      <x:c r="D6" s="31" t="n">
        <x:v>4.11</x:v>
      </x:c>
      <x:c r="E6" s="31" t="n">
        <x:v>4.11</x:v>
      </x:c>
      <x:c r="F6" s="32" t="n">
        <x:v>0</x:v>
      </x:c>
      <x:c r="G6" s="34" t="n">
        <x:v>1</x:v>
      </x:c>
      <x:c r="H6" s="32" t="n">
        <x:f>IF(E6=0,"",I6/E6)</x:f>
        <x:v>1788.735417453616</x:v>
      </x:c>
      <x:c r="I6" s="31" t="n">
        <x:f>IF(C6=0,"",SUMIF('Species'!$H$2:$H$38,A6,'Species'!$U$2:$U$38))</x:f>
        <x:v>7351.702565734363</x:v>
      </x:c>
      <x:c r="J6" s="32" t="n">
        <x:v>4.2480048661800485</x:v>
      </x:c>
      <x:c r="K6" s="32" t="n">
        <x:f>IF(J6="","",(1/'Metadata'!$B$5)^(J6-1))</x:f>
        <x:v>1770.128792134135</x:v>
      </x:c>
      <x:c r="L6" s="31" t="n">
        <x:f>IF(E6=0,"",E6*K6)</x:f>
        <x:v>7275.229335671295</x:v>
      </x:c>
      <x:c r="M6" s="31" t="n">
        <x:f>IF(E6=0,"",I6-L6)</x:f>
        <x:v>76.4732300630676</x:v>
      </x:c>
      <x:c r="N6" s="32" t="n">
        <x:f>IF(L6=0,"",I6/L6)</x:f>
        <x:v>1.010511452840134</x:v>
      </x:c>
      <x:c r="O6" s="34" t="n">
        <x:f>IF(L6=0,"",M6/L6)</x:f>
        <x:v>0.010511452840133913</x:v>
      </x:c>
    </x:row>
    <x:row r="7" ht="18" customHeight="1">
      <x:c r="A7" s="24" t="str">
        <x:v>Tuna &amp; billfishes</x:v>
      </x:c>
      <x:c r="B7" s="33" t="n">
        <x:v>12</x:v>
      </x:c>
      <x:c r="C7" s="33" t="n">
        <x:v>12</x:v>
      </x:c>
      <x:c r="D7" s="31" t="n">
        <x:v>135.92593751709998</x:v>
      </x:c>
      <x:c r="E7" s="31" t="n">
        <x:v>135.92593751709998</x:v>
      </x:c>
      <x:c r="F7" s="32" t="n">
        <x:v>0</x:v>
      </x:c>
      <x:c r="G7" s="34" t="n">
        <x:v>1</x:v>
      </x:c>
      <x:c r="H7" s="32" t="n">
        <x:f>IF(E7=0,"",I7/E7)</x:f>
        <x:v>2578.9007336238537</x:v>
      </x:c>
      <x:c r="I7" s="31" t="n">
        <x:f>IF(C7=0,"",SUMIF('Species'!$H$2:$H$38,A7,'Species'!$U$2:$U$38))</x:f>
        <x:v>350539.49998135923</x:v>
      </x:c>
      <x:c r="J7" s="32" t="n">
        <x:v>4.409665694465678</x:v>
      </x:c>
      <x:c r="K7" s="32" t="n">
        <x:f>IF(J7="","",(1/'Metadata'!$B$5)^(J7-1))</x:f>
        <x:v>2568.4179384102604</x:v>
      </x:c>
      <x:c r="L7" s="31" t="n">
        <x:f>IF(E7=0,"",E7*K7)</x:f>
        <x:v>349114.6162141518</x:v>
      </x:c>
      <x:c r="M7" s="31" t="n">
        <x:f>IF(E7=0,"",I7-L7)</x:f>
        <x:v>1424.8837672074442</x:v>
      </x:c>
      <x:c r="N7" s="32" t="n">
        <x:f>IF(L7=0,"",I7/L7)</x:f>
        <x:v>1.0040814211179672</x:v>
      </x:c>
      <x:c r="O7" s="34" t="n">
        <x:f>IF(L7=0,"",M7/L7)</x:f>
        <x:v>0.004081421117967173</x:v>
      </x:c>
    </x:row>
  </x:sheetData>
  <x:conditionalFormatting sqref="G2:G7">
    <x:cfRule type="cellIs" dxfId="1" priority="1" operator="lessThan">
      <x:formula>0.9</x:formula>
    </x:cfRule>
  </x:conditionalFormatting>
  <x:conditionalFormatting sqref="O2:O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911331695b06428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bathypelagics (&gt;=90 cm)</x:v>
      </x:c>
      <x:c r="B2" s="33" t="n">
        <x:v>1</x:v>
      </x:c>
      <x:c r="C2" s="33" t="n">
        <x:v>1</x:v>
      </x:c>
      <x:c r="D2" s="31" t="n">
        <x:v>0.091</x:v>
      </x:c>
      <x:c r="E2" s="31" t="n">
        <x:v>0.091</x:v>
      </x:c>
      <x:c r="F2" s="32" t="n">
        <x:v>0</x:v>
      </x:c>
      <x:c r="G2" s="34" t="n">
        <x:v>1</x:v>
      </x:c>
      <x:c r="H2" s="32" t="n">
        <x:f>IF(E2=0,"",I2/E2)</x:f>
        <x:v>2187.761623949552</x:v>
      </x:c>
      <x:c r="I2" s="31" t="n">
        <x:f>IF(C2=0,"",SUMIF('Species'!$G$2:$G$38,A2,'Species'!$U$2:$U$38))</x:f>
        <x:v>199.08630777940922</x:v>
      </x:c>
      <x:c r="J2" s="32" t="n">
        <x:v>4.34</x:v>
      </x:c>
      <x:c r="K2" s="32" t="n">
        <x:f>IF(J2="","",(1/'Metadata'!$B$5)^(J2-1))</x:f>
        <x:v>2187.761623949552</x:v>
      </x:c>
      <x:c r="L2" s="31" t="n">
        <x:f>IF(E2=0,"",E2*K2)</x:f>
        <x:v>199.08630777940922</x:v>
      </x:c>
      <x:c r="M2" s="31" t="n">
        <x:f>IF(E2=0,"",I2-L2)</x:f>
        <x:v>0</x:v>
      </x:c>
      <x:c r="N2" s="32" t="n">
        <x:f>IF(L2=0,"",I2/L2)</x:f>
        <x:v>1</x:v>
      </x:c>
      <x:c r="O2" s="34" t="n">
        <x:f>IF(L2=0,"",M2/L2)</x:f>
        <x:v>0</x:v>
      </x:c>
    </x:row>
    <x:row r="3" ht="18" customHeight="1">
      <x:c r="A3" s="24" t="str">
        <x:v>Large benthopelagics (&gt;=90 cm)</x:v>
      </x:c>
      <x:c r="B3" s="33" t="n">
        <x:v>1</x:v>
      </x:c>
      <x:c r="C3" s="33" t="n">
        <x:v>1</x:v>
      </x:c>
      <x:c r="D3" s="31" t="n">
        <x:v>27.369703432999998</x:v>
      </x:c>
      <x:c r="E3" s="31" t="n">
        <x:v>27.369703432999998</x:v>
      </x:c>
      <x:c r="F3" s="32" t="n">
        <x:v>0</x:v>
      </x:c>
      <x:c r="G3" s="34" t="n">
        <x:v>1</x:v>
      </x:c>
      <x:c r="H3" s="32" t="n">
        <x:f>IF(E3=0,"",I3/E3)</x:f>
        <x:v>2818.3829312644543</x:v>
      </x:c>
      <x:c r="I3" s="31" t="n">
        <x:f>IF(C3=0,"",SUMIF('Species'!$G$2:$G$38,A3,'Species'!$U$2:$U$38))</x:f>
        <x:v>77138.30498933734</x:v>
      </x:c>
      <x:c r="J3" s="32" t="n">
        <x:v>4.45</x:v>
      </x:c>
      <x:c r="K3" s="32" t="n">
        <x:f>IF(J3="","",(1/'Metadata'!$B$5)^(J3-1))</x:f>
        <x:v>2818.382931264455</x:v>
      </x:c>
      <x:c r="L3" s="31" t="n">
        <x:f>IF(E3=0,"",E3*K3)</x:f>
        <x:v>77138.30498933734</x:v>
      </x:c>
      <x:c r="M3" s="31" t="n">
        <x:f>IF(E3=0,"",I3-L3)</x:f>
        <x:v>0</x:v>
      </x:c>
      <x:c r="N3" s="32" t="n">
        <x:f>IF(L3=0,"",I3/L3)</x:f>
        <x:v>1</x:v>
      </x:c>
      <x:c r="O3" s="34" t="n">
        <x:f>IF(L3=0,"",M3/L3)</x:f>
        <x:v>0</x:v>
      </x:c>
    </x:row>
    <x:row r="4" ht="18" customHeight="1">
      <x:c r="A4" s="24" t="str">
        <x:v>Large pelagics (&gt;=90 cm)</x:v>
      </x:c>
      <x:c r="B4" s="33" t="n">
        <x:v>13</x:v>
      </x:c>
      <x:c r="C4" s="33" t="n">
        <x:v>13</x:v>
      </x:c>
      <x:c r="D4" s="31" t="n">
        <x:v>457.03767749709993</x:v>
      </x:c>
      <x:c r="E4" s="31" t="n">
        <x:v>457.03767749709993</x:v>
      </x:c>
      <x:c r="F4" s="32" t="n">
        <x:v>0</x:v>
      </x:c>
      <x:c r="G4" s="34" t="n">
        <x:v>1</x:v>
      </x:c>
      <x:c r="H4" s="32" t="n">
        <x:f>IF(E4=0,"",I4/E4)</x:f>
        <x:v>2056.469225876033</x:v>
      </x:c>
      <x:c r="I4" s="31" t="n">
        <x:f>IF(C4=0,"",SUMIF('Species'!$G$2:$G$38,A4,'Species'!$U$2:$U$38))</x:f>
        <x:v>939883.918838641</x:v>
      </x:c>
      <x:c r="J4" s="32" t="n">
        <x:v>4.306813645543547</x:v>
      </x:c>
      <x:c r="K4" s="32" t="n">
        <x:f>IF(J4="","",(1/'Metadata'!$B$5)^(J4-1))</x:f>
        <x:v>2026.8128336087423</x:v>
      </x:c>
      <x:c r="L4" s="31" t="n">
        <x:f>IF(E4=0,"",E4*K4)</x:f>
        <x:v>926329.8301938556</x:v>
      </x:c>
      <x:c r="M4" s="31" t="n">
        <x:f>IF(E4=0,"",I4-L4)</x:f>
        <x:v>13554.088644785457</x:v>
      </x:c>
      <x:c r="N4" s="32" t="n">
        <x:f>IF(L4=0,"",I4/L4)</x:f>
        <x:v>1.0146320330005447</x:v>
      </x:c>
      <x:c r="O4" s="34" t="n">
        <x:f>IF(L4=0,"",M4/L4)</x:f>
        <x:v>0.014632033000544694</x:v>
      </x:c>
    </x:row>
    <x:row r="5" ht="18" customHeight="1">
      <x:c r="A5" s="24" t="str">
        <x:v>Large reef assoc. fish (&gt;=90 cm)</x:v>
      </x:c>
      <x:c r="B5" s="33" t="n">
        <x:v>1</x:v>
      </x:c>
      <x:c r="C5" s="33" t="n">
        <x:v>1</x:v>
      </x:c>
      <x:c r="D5" s="31" t="n">
        <x:v>18</x:v>
      </x:c>
      <x:c r="E5" s="31" t="n">
        <x:v>18</x:v>
      </x:c>
      <x:c r="F5" s="32" t="n">
        <x:v>0</x:v>
      </x:c>
      <x:c r="G5" s="34" t="n">
        <x:v>1</x:v>
      </x:c>
      <x:c r="H5" s="32" t="n">
        <x:f>IF(E5=0,"",I5/E5)</x:f>
        <x:v>1995.262314968879</x:v>
      </x:c>
      <x:c r="I5" s="31" t="n">
        <x:f>IF(C5=0,"",SUMIF('Species'!$G$2:$G$38,A5,'Species'!$U$2:$U$38))</x:f>
        <x:v>35914.72166943982</x:v>
      </x:c>
      <x:c r="J5" s="32" t="n">
        <x:v>4.3</x:v>
      </x:c>
      <x:c r="K5" s="32" t="n">
        <x:f>IF(J5="","",(1/'Metadata'!$B$5)^(J5-1))</x:f>
        <x:v>1995.2623149688789</x:v>
      </x:c>
      <x:c r="L5" s="31" t="n">
        <x:f>IF(E5=0,"",E5*K5)</x:f>
        <x:v>35914.72166943982</x:v>
      </x:c>
      <x:c r="M5" s="31" t="n">
        <x:f>IF(E5=0,"",I5-L5)</x:f>
        <x:v>0</x:v>
      </x:c>
      <x:c r="N5" s="32" t="n">
        <x:f>IF(L5=0,"",I5/L5)</x:f>
        <x:v>1</x:v>
      </x:c>
      <x:c r="O5" s="34" t="n">
        <x:f>IF(L5=0,"",M5/L5)</x:f>
        <x:v>0</x:v>
      </x:c>
    </x:row>
    <x:row r="6" ht="18" customHeight="1">
      <x:c r="A6" s="24" t="str">
        <x:v>Large sharks (&gt;=90 cm)</x:v>
      </x:c>
      <x:c r="B6" s="33" t="n">
        <x:v>3</x:v>
      </x:c>
      <x:c r="C6" s="33" t="n">
        <x:v>3</x:v>
      </x:c>
      <x:c r="D6" s="31" t="n">
        <x:v>4.11</x:v>
      </x:c>
      <x:c r="E6" s="31" t="n">
        <x:v>4.11</x:v>
      </x:c>
      <x:c r="F6" s="32" t="n">
        <x:v>0</x:v>
      </x:c>
      <x:c r="G6" s="34" t="n">
        <x:v>1</x:v>
      </x:c>
      <x:c r="H6" s="32" t="n">
        <x:f>IF(E6=0,"",I6/E6)</x:f>
        <x:v>1788.735417453616</x:v>
      </x:c>
      <x:c r="I6" s="31" t="n">
        <x:f>IF(C6=0,"",SUMIF('Species'!$G$2:$G$38,A6,'Species'!$U$2:$U$38))</x:f>
        <x:v>7351.702565734363</x:v>
      </x:c>
      <x:c r="J6" s="32" t="n">
        <x:v>4.2480048661800485</x:v>
      </x:c>
      <x:c r="K6" s="32" t="n">
        <x:f>IF(J6="","",(1/'Metadata'!$B$5)^(J6-1))</x:f>
        <x:v>1770.128792134135</x:v>
      </x:c>
      <x:c r="L6" s="31" t="n">
        <x:f>IF(E6=0,"",E6*K6)</x:f>
        <x:v>7275.229335671295</x:v>
      </x:c>
      <x:c r="M6" s="31" t="n">
        <x:f>IF(E6=0,"",I6-L6)</x:f>
        <x:v>76.4732300630676</x:v>
      </x:c>
      <x:c r="N6" s="32" t="n">
        <x:f>IF(L6=0,"",I6/L6)</x:f>
        <x:v>1.010511452840134</x:v>
      </x:c>
      <x:c r="O6" s="34" t="n">
        <x:f>IF(L6=0,"",M6/L6)</x:f>
        <x:v>0.010511452840133913</x:v>
      </x:c>
    </x:row>
    <x:row r="7" ht="18" customHeight="1">
      <x:c r="A7" s="24" t="str">
        <x:v>Lobsters, crabs</x:v>
      </x:c>
      <x:c r="B7" s="33" t="n">
        <x:v>2</x:v>
      </x:c>
      <x:c r="C7" s="33" t="n">
        <x:v>2</x:v>
      </x:c>
      <x:c r="D7" s="31" t="n">
        <x:v>43.625462769</x:v>
      </x:c>
      <x:c r="E7" s="31" t="n">
        <x:v>43.625462769</x:v>
      </x:c>
      <x:c r="F7" s="32" t="n">
        <x:v>0</x:v>
      </x:c>
      <x:c r="G7" s="34" t="n">
        <x:v>1</x:v>
      </x:c>
      <x:c r="H7" s="32" t="n">
        <x:f>IF(E7=0,"",I7/E7)</x:f>
        <x:v>157.0829690445712</x:v>
      </x:c>
      <x:c r="I7" s="31" t="n">
        <x:f>IF(C7=0,"",SUMIF('Species'!$G$2:$G$38,A7,'Species'!$U$2:$U$38))</x:f>
        <x:v>6852.817217697921</x:v>
      </x:c>
      <x:c r="J7" s="32" t="n">
        <x:v>3.1958739692698934</x:v>
      </x:c>
      <x:c r="K7" s="32" t="n">
        <x:f>IF(J7="","",(1/'Metadata'!$B$5)^(J7-1))</x:f>
        <x:v>156.99071566916484</x:v>
      </x:c>
      <x:c r="L7" s="31" t="n">
        <x:f>IF(E7=0,"",E7*K7)</x:f>
        <x:v>6848.792621503816</x:v>
      </x:c>
      <x:c r="M7" s="31" t="n">
        <x:f>IF(E7=0,"",I7-L7)</x:f>
        <x:v>4.024596194104561</x:v>
      </x:c>
      <x:c r="N7" s="32" t="n">
        <x:f>IF(L7=0,"",I7/L7)</x:f>
        <x:v>1.0005876358675934</x:v>
      </x:c>
      <x:c r="O7" s="34" t="n">
        <x:f>IF(L7=0,"",M7/L7)</x:f>
        <x:v>0.0005876358675933838</x:v>
      </x:c>
    </x:row>
    <x:row r="8" ht="18" customHeight="1">
      <x:c r="A8" s="24" t="str">
        <x:v>Medium benthopelagics (30 - 89 cm)</x:v>
      </x:c>
      <x:c r="B8" s="33" t="n">
        <x:v>2</x:v>
      </x:c>
      <x:c r="C8" s="33" t="n">
        <x:v>2</x:v>
      </x:c>
      <x:c r="D8" s="31" t="n">
        <x:v>12.342527948</x:v>
      </x:c>
      <x:c r="E8" s="31" t="n">
        <x:v>12.342527948</x:v>
      </x:c>
      <x:c r="F8" s="32" t="n">
        <x:v>0</x:v>
      </x:c>
      <x:c r="G8" s="34" t="n">
        <x:v>1</x:v>
      </x:c>
      <x:c r="H8" s="32" t="n">
        <x:f>IF(E8=0,"",I8/E8)</x:f>
        <x:v>197.3692265683865</x:v>
      </x:c>
      <x:c r="I8" s="31" t="n">
        <x:f>IF(C8=0,"",SUMIF('Species'!$G$2:$G$38,A8,'Species'!$U$2:$U$38))</x:f>
        <x:v>2436.0351949954547</x:v>
      </x:c>
      <x:c r="J8" s="32" t="n">
        <x:v>3.293795864117739</x:v>
      </x:c>
      <x:c r="K8" s="32" t="n">
        <x:f>IF(J8="","",(1/'Metadata'!$B$5)^(J8-1))</x:f>
        <x:v>196.69615213202445</x:v>
      </x:c>
      <x:c r="L8" s="31" t="n">
        <x:f>IF(E8=0,"",E8*K8)</x:f>
        <x:v>2427.7277549535715</x:v>
      </x:c>
      <x:c r="M8" s="31" t="n">
        <x:f>IF(E8=0,"",I8-L8)</x:f>
        <x:v>8.307440041883183</x:v>
      </x:c>
      <x:c r="N8" s="32" t="n">
        <x:f>IF(L8=0,"",I8/L8)</x:f>
        <x:v>1.0034218993562736</x:v>
      </x:c>
      <x:c r="O8" s="34" t="n">
        <x:f>IF(L8=0,"",M8/L8)</x:f>
        <x:v>0.0034218993562736017</x:v>
      </x:c>
    </x:row>
    <x:row r="9" ht="18" customHeight="1">
      <x:c r="A9" s="24" t="str">
        <x:v>Medium demersals (30 - 89 cm)</x:v>
      </x:c>
      <x:c r="B9" s="33" t="n">
        <x:v>2</x:v>
      </x:c>
      <x:c r="C9" s="33" t="n">
        <x:v>2</x:v>
      </x:c>
      <x:c r="D9" s="31" t="n">
        <x:v>59.154120096300005</x:v>
      </x:c>
      <x:c r="E9" s="31" t="n">
        <x:v>59.154120096300005</x:v>
      </x:c>
      <x:c r="F9" s="32" t="n">
        <x:v>0</x:v>
      </x:c>
      <x:c r="G9" s="34" t="n">
        <x:v>1</x:v>
      </x:c>
      <x:c r="H9" s="32" t="n">
        <x:f>IF(E9=0,"",I9/E9)</x:f>
        <x:v>194.97760441745186</x:v>
      </x:c>
      <x:c r="I9" s="31" t="n">
        <x:f>IF(C9=0,"",SUMIF('Species'!$G$2:$G$38,A9,'Species'!$U$2:$U$38))</x:f>
        <x:v>11533.728627798822</x:v>
      </x:c>
      <x:c r="J9" s="32" t="n">
        <x:v>3.2891986567358984</x:v>
      </x:c>
      <x:c r="K9" s="32" t="n">
        <x:f>IF(J9="","",(1/'Metadata'!$B$5)^(J9-1))</x:f>
        <x:v>194.62501396393762</x:v>
      </x:c>
      <x:c r="L9" s="31" t="n">
        <x:f>IF(E9=0,"",E9*K9)</x:f>
        <x:v>11512.871449766832</x:v>
      </x:c>
      <x:c r="M9" s="31" t="n">
        <x:f>IF(E9=0,"",I9-L9)</x:f>
        <x:v>20.85717803199077</x:v>
      </x:c>
      <x:c r="N9" s="32" t="n">
        <x:f>IF(L9=0,"",I9/L9)</x:f>
        <x:v>1.0018116399651464</x:v>
      </x:c>
      <x:c r="O9" s="34" t="n">
        <x:f>IF(L9=0,"",M9/L9)</x:f>
        <x:v>0.0018116399651464177</x:v>
      </x:c>
    </x:row>
    <x:row r="10" ht="18" customHeight="1">
      <x:c r="A10" s="24" t="str">
        <x:v>Medium pelagics (30 - 89 cm)</x:v>
      </x:c>
      <x:c r="B10" s="33" t="n">
        <x:v>3</x:v>
      </x:c>
      <x:c r="C10" s="33" t="n">
        <x:v>3</x:v>
      </x:c>
      <x:c r="D10" s="31" t="n">
        <x:v>17.972893801199998</x:v>
      </x:c>
      <x:c r="E10" s="31" t="n">
        <x:v>17.972893801199998</x:v>
      </x:c>
      <x:c r="F10" s="32" t="n">
        <x:v>0</x:v>
      </x:c>
      <x:c r="G10" s="34" t="n">
        <x:v>1</x:v>
      </x:c>
      <x:c r="H10" s="32" t="n">
        <x:f>IF(E10=0,"",I10/E10)</x:f>
        <x:v>1472.6974798962963</x:v>
      </x:c>
      <x:c r="I10" s="31" t="n">
        <x:f>IF(C10=0,"",SUMIF('Species'!$G$2:$G$38,A10,'Species'!$U$2:$U$38))</x:f>
        <x:v>26468.635407471</x:v>
      </x:c>
      <x:c r="J10" s="32" t="n">
        <x:v>4.155337388580441</x:v>
      </x:c>
      <x:c r="K10" s="32" t="n">
        <x:f>IF(J10="","",(1/'Metadata'!$B$5)^(J10-1))</x:f>
        <x:v>1430.0044488200476</x:v>
      </x:c>
      <x:c r="L10" s="31" t="n">
        <x:f>IF(E10=0,"",E10*K10)</x:f>
        <x:v>25701.318093886253</x:v>
      </x:c>
      <x:c r="M10" s="31" t="n">
        <x:f>IF(E10=0,"",I10-L10)</x:f>
        <x:v>767.3173135847464</x:v>
      </x:c>
      <x:c r="N10" s="32" t="n">
        <x:f>IF(L10=0,"",I10/L10)</x:f>
        <x:v>1.0298551736055621</x:v>
      </x:c>
      <x:c r="O10" s="34" t="n">
        <x:f>IF(L10=0,"",M10/L10)</x:f>
        <x:v>0.02985517360556202</x:v>
      </x:c>
    </x:row>
    <x:row r="11" ht="18" customHeight="1">
      <x:c r="A11" s="24" t="str">
        <x:v>Medium reef assoc. fish (30 - 89 cm)</x:v>
      </x:c>
      <x:c r="B11" s="33" t="n">
        <x:v>8</x:v>
      </x:c>
      <x:c r="C11" s="33" t="n">
        <x:v>8</x:v>
      </x:c>
      <x:c r="D11" s="31" t="n">
        <x:v>200.05742414</x:v>
      </x:c>
      <x:c r="E11" s="31" t="n">
        <x:v>200.05742414</x:v>
      </x:c>
      <x:c r="F11" s="32" t="n">
        <x:v>0</x:v>
      </x:c>
      <x:c r="G11" s="34" t="n">
        <x:v>1</x:v>
      </x:c>
      <x:c r="H11" s="32" t="n">
        <x:f>IF(E11=0,"",I11/E11)</x:f>
        <x:v>1105.8506960671325</x:v>
      </x:c>
      <x:c r="I11" s="31" t="n">
        <x:f>IF(C11=0,"",SUMIF('Species'!$G$2:$G$38,A11,'Species'!$U$2:$U$38))</x:f>
        <x:v>221233.64173861657</x:v>
      </x:c>
      <x:c r="J11" s="32" t="n">
        <x:v>3.9890089036991134</x:v>
      </x:c>
      <x:c r="K11" s="32" t="n">
        <x:f>IF(J11="","",(1/'Metadata'!$B$5)^(J11-1))</x:f>
        <x:v>975.0096266965758</x:v>
      </x:c>
      <x:c r="L11" s="31" t="n">
        <x:f>IF(E11=0,"",E11*K11)</x:f>
        <x:v>195057.91442861993</x:v>
      </x:c>
      <x:c r="M11" s="31" t="n">
        <x:f>IF(E11=0,"",I11-L11)</x:f>
        <x:v>26175.72730999664</x:v>
      </x:c>
      <x:c r="N11" s="32" t="n">
        <x:f>IF(L11=0,"",I11/L11)</x:f>
        <x:v>1.1341946436096828</x:v>
      </x:c>
      <x:c r="O11" s="34" t="n">
        <x:f>IF(L11=0,"",M11/L11)</x:f>
        <x:v>0.13419464360968272</x:v>
      </x:c>
    </x:row>
    <x:row r="12" ht="18" customHeight="1">
      <x:c r="A12" s="24" t="str">
        <x:v>Small pelagics (&lt;30 cm)</x:v>
      </x:c>
      <x:c r="B12" s="33" t="n">
        <x:v>1</x:v>
      </x:c>
      <x:c r="C12" s="33" t="n">
        <x:v>1</x:v>
      </x:c>
      <x:c r="D12" s="31" t="n">
        <x:v>34</x:v>
      </x:c>
      <x:c r="E12" s="31" t="n">
        <x:v>34</x:v>
      </x:c>
      <x:c r="F12" s="32" t="n">
        <x:v>0</x:v>
      </x:c>
      <x:c r="G12" s="34" t="n">
        <x:v>1</x:v>
      </x:c>
      <x:c r="H12" s="32" t="n">
        <x:f>IF(E12=0,"",I12/E12)</x:f>
        <x:v>144.5439770745928</x:v>
      </x:c>
      <x:c r="I12" s="31" t="n">
        <x:f>IF(C12=0,"",SUMIF('Species'!$G$2:$G$38,A12,'Species'!$U$2:$U$38))</x:f>
        <x:v>4914.495220536155</x:v>
      </x:c>
      <x:c r="J12" s="32" t="n">
        <x:v>3.16</x:v>
      </x:c>
      <x:c r="K12" s="32" t="n">
        <x:f>IF(J12="","",(1/'Metadata'!$B$5)^(J12-1))</x:f>
        <x:v>144.5439770745928</x:v>
      </x:c>
      <x:c r="L12" s="31" t="n">
        <x:f>IF(E12=0,"",E12*K12)</x:f>
        <x:v>4914.495220536155</x:v>
      </x:c>
      <x:c r="M12" s="31" t="n">
        <x:f>IF(E12=0,"",I12-L12)</x:f>
        <x:v>0</x:v>
      </x:c>
      <x:c r="N12" s="32" t="n">
        <x:f>IF(L12=0,"",I12/L12)</x:f>
        <x:v>1</x:v>
      </x:c>
      <x:c r="O12" s="34" t="n">
        <x:f>IF(L12=0,"",M12/L12)</x:f>
        <x:v>0</x:v>
      </x:c>
    </x:row>
  </x:sheetData>
  <x:conditionalFormatting sqref="G2:G12">
    <x:cfRule type="cellIs" dxfId="2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8b2fde44021e47d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EEZ_060</x:v>
      </x:c>
      <x:c r="B2" s="24" t="str">
        <x:v>raw_filtered_tonnes</x:v>
      </x:c>
      <x:c r="C2" s="24" t="n">
        <x:v>873.7608096846</x:v>
      </x:c>
      <x:c r="D2" s="24" t="str">
        <x:v>tonnes</x:v>
      </x:c>
    </x:row>
    <x:row r="3" ht="18" customHeight="1">
      <x:c r="A3" s="24" t="str">
        <x:v>EEZ_060</x:v>
      </x:c>
      <x:c r="B3" s="24" t="str">
        <x:v>species_catch_tonnes</x:v>
      </x:c>
      <x:c r="C3" s="24" t="n">
        <x:v>873.7608096846</x:v>
      </x:c>
      <x:c r="D3" s="24" t="str">
        <x:v>tonnes</x:v>
      </x:c>
    </x:row>
    <x:row r="4" ht="18" customHeight="1">
      <x:c r="A4" s="24" t="str">
        <x:v>EEZ_060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EEZ_060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EEZ_060</x:v>
      </x:c>
      <x:c r="B6" s="24" t="str">
        <x:v>matched_catch_tonnes</x:v>
      </x:c>
      <x:c r="C6" s="24" t="n">
        <x:v>873.7608096846</x:v>
      </x:c>
      <x:c r="D6" s="24" t="str">
        <x:v>tonnes</x:v>
      </x:c>
    </x:row>
    <x:row r="7" ht="18" customHeight="1">
      <x:c r="A7" s="24" t="str">
        <x:v>EEZ_060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EEZ_060</x:v>
      </x:c>
      <x:c r="B8" s="24" t="str">
        <x:v>taxa_count</x:v>
      </x:c>
      <x:c r="C8" s="24" t="n">
        <x:v>37</x:v>
      </x:c>
      <x:c r="D8" s="24" t="str">
        <x:v>count</x:v>
      </x:c>
    </x:row>
    <x:row r="9" ht="18" customHeight="1">
      <x:c r="A9" s="24" t="str">
        <x:v>EEZ_060</x:v>
      </x:c>
      <x:c r="B9" s="24" t="str">
        <x:v>matched_taxa_count</x:v>
      </x:c>
      <x:c r="C9" s="24" t="n">
        <x:v>37</x:v>
      </x:c>
      <x:c r="D9" s="24" t="str">
        <x:v>count</x:v>
      </x:c>
    </x:row>
    <x:row r="10" ht="18" customHeight="1">
      <x:c r="A10" s="24" t="str">
        <x:v>EEZ_060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EEZ_060</x:v>
      </x:c>
      <x:c r="B11" s="24" t="str">
        <x:v>species_ppr</x:v>
      </x:c>
      <x:c r="C11" s="24" t="n">
        <x:v>1333927.0877780484</x:v>
      </x:c>
      <x:c r="D11" s="24" t="str">
        <x:v>tonnes_primary_production_equivalent</x:v>
      </x:c>
    </x:row>
    <x:row r="12" ht="18" customHeight="1">
      <x:c r="A12" s="24" t="str">
        <x:v>EEZ_060</x:v>
      </x:c>
      <x:c r="B12" s="24" t="str">
        <x:v>commercial_ppr</x:v>
      </x:c>
      <x:c r="C12" s="24" t="n">
        <x:v>1333927.0877780481</x:v>
      </x:c>
      <x:c r="D12" s="24" t="str">
        <x:v>tonnes_primary_production_equivalent</x:v>
      </x:c>
    </x:row>
    <x:row r="13" ht="18" customHeight="1">
      <x:c r="A13" s="24" t="str">
        <x:v>EEZ_060</x:v>
      </x:c>
      <x:c r="B13" s="24" t="str">
        <x:v>functional_ppr</x:v>
      </x:c>
      <x:c r="C13" s="24" t="n">
        <x:v>1333927.087778048</x:v>
      </x:c>
      <x:c r="D13" s="24" t="str">
        <x:v>tonnes_primary_production_equivalent</x:v>
      </x:c>
    </x:row>
    <x:row r="14" ht="18" customHeight="1">
      <x:c r="A14" s="24" t="str">
        <x:v>EEZ_060</x:v>
      </x:c>
      <x:c r="B14" s="24" t="str">
        <x:v>commercial_ppr_difference</x:v>
      </x:c>
      <x:c r="C14" s="24" t="n">
        <x:v>-2.3283064365386963e-10</x:v>
      </x:c>
      <x:c r="D14" s="24" t="str">
        <x:v>tonnes_primary_production_equivalent</x:v>
      </x:c>
    </x:row>
    <x:row r="15" ht="18" customHeight="1">
      <x:c r="A15" s="24" t="str">
        <x:v>EEZ_060</x:v>
      </x:c>
      <x:c r="B15" s="24" t="str">
        <x:v>functional_ppr_difference</x:v>
      </x:c>
      <x:c r="C15" s="24" t="n">
        <x:v>-4.656612873077393e-10</x:v>
      </x:c>
      <x:c r="D15" s="24" t="str">
        <x:v>tonnes_primary_production_equivalent</x:v>
      </x:c>
    </x:row>
    <x:row r="16" ht="18" customHeight="1">
      <x:c r="A16" s="24" t="str">
        <x:v>EEZ_060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EEZ_060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EEZ_060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EEZ_060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9090b46b35f64fa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EEZ_060 - Bermuda (UK)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EEZ_060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raw_data/SAU_downloads/EEZ_060-catch.zip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