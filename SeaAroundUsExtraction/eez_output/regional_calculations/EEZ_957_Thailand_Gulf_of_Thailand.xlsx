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eb38687a21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6467ce0dc7d4784"/>
    <x:sheet xmlns:r="http://schemas.openxmlformats.org/officeDocument/2006/relationships" name="Commercial" sheetId="2" r:id="R2000c733a07247ba"/>
    <x:sheet xmlns:r="http://schemas.openxmlformats.org/officeDocument/2006/relationships" name="Functional" sheetId="3" r:id="Re2d731b0e8ab4c3e"/>
    <x:sheet xmlns:r="http://schemas.openxmlformats.org/officeDocument/2006/relationships" name="Missing TL" sheetId="4" r:id="Rb66081e2e3d64a3e"/>
    <x:sheet xmlns:r="http://schemas.openxmlformats.org/officeDocument/2006/relationships" name="Validation" sheetId="5" r:id="R83ef4d842e604a3c"/>
    <x:sheet xmlns:r="http://schemas.openxmlformats.org/officeDocument/2006/relationships" name="Metadata" sheetId="6" r:id="R0a8f018ae16f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d541e89f8f45de" /><Relationship Type="http://schemas.openxmlformats.org/officeDocument/2006/relationships/theme" Target="/xl/theme/theme1.xml" Id="Rb15d6839a6aa4ecd" /><Relationship Type="http://schemas.microsoft.com/office/2022/11/relationships/FeaturePropertyBag" Target="/xl/featurePropertyBag/featurePropertyBag.xml" Id="R29ec1c2636964034" /><Relationship Type="http://schemas.openxmlformats.org/officeDocument/2006/relationships/sharedStrings" Target="/xl/sharedStrings.xml" Id="R59a59678f5ef470a" /><Relationship Type="http://schemas.openxmlformats.org/officeDocument/2006/relationships/worksheet" Target="/xl/worksheets/sheet1.xml" Id="R96467ce0dc7d4784" /><Relationship Type="http://schemas.openxmlformats.org/officeDocument/2006/relationships/worksheet" Target="/xl/worksheets/sheet2.xml" Id="R2000c733a07247ba" /><Relationship Type="http://schemas.openxmlformats.org/officeDocument/2006/relationships/worksheet" Target="/xl/worksheets/sheet3.xml" Id="Re2d731b0e8ab4c3e" /><Relationship Type="http://schemas.openxmlformats.org/officeDocument/2006/relationships/worksheet" Target="/xl/worksheets/sheet4.xml" Id="Rb66081e2e3d64a3e" /><Relationship Type="http://schemas.openxmlformats.org/officeDocument/2006/relationships/worksheet" Target="/xl/worksheets/sheet5.xml" Id="R83ef4d842e604a3c" /><Relationship Type="http://schemas.openxmlformats.org/officeDocument/2006/relationships/worksheet" Target="/xl/worksheets/sheet6.xml" Id="R0a8f018ae16f48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57SpeciesTable" displayName="EEZ957SpeciesTable" ref="A1:U60" headerRowCount="1" totalsRowCount="0" totalsRowShown="0">
  <x:autoFilter ref="A1:U6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57CommercialTable" displayName="EEZ957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57FunctionalTable" displayName="EEZ957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57ValidationTable" displayName="EEZ95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3245bfd71f47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a39e65a07448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782cd1353b4d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be08a4473540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EEZ_957</x:v>
      </x:c>
      <x:c r="B2" s="24" t="str">
        <x:v>Thailand (Gulf of Thailand)</x:v>
      </x:c>
      <x:c r="C2" s="24" t="str">
        <x:v>EEZ</x:v>
      </x:c>
      <x:c r="D2" s="30" t="n">
        <x:v>2019</x:v>
      </x:c>
      <x:c r="E2" s="24" t="str">
        <x:v>Leiognathidae</x:v>
      </x:c>
      <x:c r="F2" s="24" t="str">
        <x:v>Slipmouths, ponyfishes</x:v>
      </x:c>
      <x:c r="G2" s="24" t="str">
        <x:v>Small benthopelagics (&lt;30 cm)</x:v>
      </x:c>
      <x:c r="H2" s="24" t="str">
        <x:v>Perch-likes</x:v>
      </x:c>
      <x:c r="I2" s="31" t="n">
        <x:v>149638.6218022583</x:v>
      </x:c>
      <x:c r="J2" s="31" t="n">
        <x:v>147675.6536476762</x:v>
      </x:c>
      <x:c r="K2" s="31" t="n">
        <x:v>1962.9681545821</x:v>
      </x:c>
      <x:c r="L2" s="31" t="n">
        <x:v>127456.94740347141</x:v>
      </x:c>
      <x:c r="M2" s="31" t="n">
        <x:v>22181.6743987869</x:v>
      </x:c>
      <x:c r="N2" s="24" t="str">
        <x:v>leiognathidae</x:v>
      </x:c>
      <x:c r="O2" s="32" t="n">
        <x:v>3.24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Leiognathidae</x:v>
      </x:c>
      <x:c r="T2" s="32" t="n">
        <x:f>IF(O2="","",(1/'Metadata'!$B$5)^(O2-1))</x:f>
        <x:v>173.78008287493762</x:v>
      </x:c>
      <x:c r="U2" s="31" t="n">
        <x:f>IF(T2="","",I2*T2)</x:f>
        <x:v>26004212.098087896</x:v>
      </x:c>
    </x:row>
    <x:row r="3" ht="18" customHeight="1">
      <x:c r="A3" s="24" t="str">
        <x:v>EEZ_957</x:v>
      </x:c>
      <x:c r="B3" s="24" t="str">
        <x:v>Thailand (Gulf of Thailand)</x:v>
      </x:c>
      <x:c r="C3" s="24" t="str">
        <x:v>EEZ</x:v>
      </x:c>
      <x:c r="D3" s="30" t="n">
        <x:v>2019</x:v>
      </x:c>
      <x:c r="E3" s="24" t="str">
        <x:v>Engraulidae</x:v>
      </x:c>
      <x:c r="F3" s="24" t="str">
        <x:v>Anchovies, round herrings</x:v>
      </x:c>
      <x:c r="G3" s="24" t="str">
        <x:v>Small pelagics (&lt;30 cm)</x:v>
      </x:c>
      <x:c r="H3" s="24" t="str">
        <x:v>Anchovies</x:v>
      </x:c>
      <x:c r="I3" s="31" t="n">
        <x:v>146954.0672195994</x:v>
      </x:c>
      <x:c r="J3" s="31" t="n">
        <x:v>146954.0672195994</x:v>
      </x:c>
      <x:c r="K3" s="31" t="n">
        <x:v>0</x:v>
      </x:c>
      <x:c r="L3" s="31" t="n">
        <x:v>109627.9578414968</x:v>
      </x:c>
      <x:c r="M3" s="31" t="n">
        <x:v>37326.1093781026</x:v>
      </x:c>
      <x:c r="N3" s="24" t="str">
        <x:v>engraulidae</x:v>
      </x:c>
      <x:c r="O3" s="32" t="n">
        <x:v>3.2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Engraulidae</x:v>
      </x:c>
      <x:c r="T3" s="32" t="n">
        <x:f>IF(O3="","",(1/'Metadata'!$B$5)^(O3-1))</x:f>
        <x:v>158.48931924611142</x:v>
      </x:c>
      <x:c r="U3" s="31" t="n">
        <x:f>IF(T3="","",I3*T3)</x:f>
        <x:v>23290650.074081607</x:v>
      </x:c>
    </x:row>
    <x:row r="4" ht="18" customHeight="1">
      <x:c r="A4" s="24" t="str">
        <x:v>EEZ_957</x:v>
      </x:c>
      <x:c r="B4" s="24" t="str">
        <x:v>Thailand (Gulf of Thailand)</x:v>
      </x:c>
      <x:c r="C4" s="24" t="str">
        <x:v>EEZ</x:v>
      </x:c>
      <x:c r="D4" s="30" t="n">
        <x:v>2019</x:v>
      </x:c>
      <x:c r="E4" s="24" t="str">
        <x:v>Nemipteridae</x:v>
      </x:c>
      <x:c r="F4" s="24" t="str">
        <x:v>Threadfins, whiptail breams</x:v>
      </x:c>
      <x:c r="G4" s="24" t="str">
        <x:v>Small demersals (&lt;30 cm)</x:v>
      </x:c>
      <x:c r="H4" s="24" t="str">
        <x:v>Perch-likes</x:v>
      </x:c>
      <x:c r="I4" s="31" t="n">
        <x:v>138781.6461038199</x:v>
      </x:c>
      <x:c r="J4" s="31" t="n">
        <x:v>136170.8497491844</x:v>
      </x:c>
      <x:c r="K4" s="31" t="n">
        <x:v>2610.7963546355</x:v>
      </x:c>
      <x:c r="L4" s="31" t="n">
        <x:v>116328.64944801529</x:v>
      </x:c>
      <x:c r="M4" s="31" t="n">
        <x:v>22452.9966558046</x:v>
      </x:c>
      <x:c r="N4" s="24" t="str">
        <x:v>nemipteridae</x:v>
      </x:c>
      <x:c r="O4" s="32" t="n">
        <x:v>3.51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Nemipteridae</x:v>
      </x:c>
      <x:c r="T4" s="32" t="n">
        <x:f>IF(O4="","",(1/'Metadata'!$B$5)^(O4-1))</x:f>
        <x:v>323.5936569296281</x:v>
      </x:c>
      <x:c r="U4" s="31" t="n">
        <x:f>IF(T4="","",I4*T4)</x:f>
        <x:v>44908860.37744855</x:v>
      </x:c>
    </x:row>
    <x:row r="5" ht="18" customHeight="1">
      <x:c r="A5" s="24" t="str">
        <x:v>EEZ_957</x:v>
      </x:c>
      <x:c r="B5" s="24" t="str">
        <x:v>Thailand (Gulf of Thailand)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103118.5804788235</x:v>
      </x:c>
      <x:c r="J5" s="31" t="n">
        <x:v>102145.3769122551</x:v>
      </x:c>
      <x:c r="K5" s="31" t="n">
        <x:v>973.2035665684</x:v>
      </x:c>
      <x:c r="L5" s="31" t="n">
        <x:v>77618.0286470265</x:v>
      </x:c>
      <x:c r="M5" s="31" t="n">
        <x:v>25500.551831797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115700950.27866212</x:v>
      </x:c>
    </x:row>
    <x:row r="6" ht="18" customHeight="1">
      <x:c r="A6" s="24" t="str">
        <x:v>EEZ_957</x:v>
      </x:c>
      <x:c r="B6" s="24" t="str">
        <x:v>Thailand (Gulf of Thailand)</x:v>
      </x:c>
      <x:c r="C6" s="24" t="str">
        <x:v>EEZ</x:v>
      </x:c>
      <x:c r="D6" s="30" t="n">
        <x:v>2019</x:v>
      </x:c>
      <x:c r="E6" s="24" t="str">
        <x:v>Sardinella</x:v>
      </x:c>
      <x:c r="F6" s="24" t="str">
        <x:v>Sardinellas</x:v>
      </x:c>
      <x:c r="G6" s="24" t="str">
        <x:v>Small pelagics (&lt;30 cm)</x:v>
      </x:c>
      <x:c r="H6" s="24" t="str">
        <x:v>Herring-likes</x:v>
      </x:c>
      <x:c r="I6" s="31" t="n">
        <x:v>98207.0151727876</x:v>
      </x:c>
      <x:c r="J6" s="31" t="n">
        <x:v>98207.0151727876</x:v>
      </x:c>
      <x:c r="K6" s="31" t="n">
        <x:v>0</x:v>
      </x:c>
      <x:c r="L6" s="31" t="n">
        <x:v>76980.3022646825</x:v>
      </x:c>
      <x:c r="M6" s="31" t="n">
        <x:v>21226.7129081051</x:v>
      </x:c>
      <x:c r="N6" s="24" t="str">
        <x:v>sardinella</x:v>
      </x:c>
      <x:c r="O6" s="32" t="n">
        <x:v>2.77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Sardinella</x:v>
      </x:c>
      <x:c r="T6" s="32" t="n">
        <x:f>IF(O6="","",(1/'Metadata'!$B$5)^(O6-1))</x:f>
        <x:v>58.8843655355589</x:v>
      </x:c>
      <x:c r="U6" s="31" t="n">
        <x:f>IF(T6="","",I6*T6)</x:f>
        <x:v>5782857.779590604</x:v>
      </x:c>
    </x:row>
    <x:row r="7" ht="18" customHeight="1">
      <x:c r="A7" s="24" t="str">
        <x:v>EEZ_957</x:v>
      </x:c>
      <x:c r="B7" s="24" t="str">
        <x:v>Thailand (Gulf of Thailand)</x:v>
      </x:c>
      <x:c r="C7" s="24" t="str">
        <x:v>EEZ</x:v>
      </x:c>
      <x:c r="D7" s="30" t="n">
        <x:v>2019</x:v>
      </x:c>
      <x:c r="E7" s="24" t="str">
        <x:v>Loliginidae</x:v>
      </x:c>
      <x:c r="F7" s="24" t="str">
        <x:v>Common pencil squids</x:v>
      </x:c>
      <x:c r="G7" s="24" t="str">
        <x:v>Cephalopods</x:v>
      </x:c>
      <x:c r="H7" s="24" t="str">
        <x:v>Other fishes &amp; inverts</x:v>
      </x:c>
      <x:c r="I7" s="31" t="n">
        <x:v>70986.482200674</x:v>
      </x:c>
      <x:c r="J7" s="31" t="n">
        <x:v>70986.482200674</x:v>
      </x:c>
      <x:c r="K7" s="31" t="n">
        <x:v>0</x:v>
      </x:c>
      <x:c r="L7" s="31" t="n">
        <x:v>49763.3126597725</x:v>
      </x:c>
      <x:c r="M7" s="31" t="n">
        <x:v>21223.1695409015</x:v>
      </x:c>
      <x:c r="N7" s="24" t="str">
        <x:v>loliginidae</x:v>
      </x:c>
      <x:c r="O7" s="32" t="n">
        <x:v>3.9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Loliginidae</x:v>
      </x:c>
      <x:c r="T7" s="32" t="n">
        <x:f>IF(O7="","",(1/'Metadata'!$B$5)^(O7-1))</x:f>
        <x:v>794.3282347242813</x:v>
      </x:c>
      <x:c r="U7" s="31" t="n">
        <x:f>IF(T7="","",I7*T7)</x:f>
        <x:v>56386567.09574799</x:v>
      </x:c>
    </x:row>
    <x:row r="8" ht="18" customHeight="1">
      <x:c r="A8" s="24" t="str">
        <x:v>EEZ_957</x:v>
      </x:c>
      <x:c r="B8" s="24" t="str">
        <x:v>Thailand (Gulf of Thailand)</x:v>
      </x:c>
      <x:c r="C8" s="24" t="str">
        <x:v>EEZ</x:v>
      </x:c>
      <x:c r="D8" s="30" t="n">
        <x:v>2019</x:v>
      </x:c>
      <x:c r="E8" s="24" t="str">
        <x:v>Rastrelliger kanagurta</x:v>
      </x:c>
      <x:c r="F8" s="24" t="str">
        <x:v>Indian mackerel</x:v>
      </x:c>
      <x:c r="G8" s="24" t="str">
        <x:v>Medium pelagics (30 - 89 cm)</x:v>
      </x:c>
      <x:c r="H8" s="24" t="str">
        <x:v>Perch-likes</x:v>
      </x:c>
      <x:c r="I8" s="31" t="n">
        <x:v>58469.027686690206</x:v>
      </x:c>
      <x:c r="J8" s="31" t="n">
        <x:v>58469.027686690206</x:v>
      </x:c>
      <x:c r="K8" s="31" t="n">
        <x:v>0</x:v>
      </x:c>
      <x:c r="L8" s="31" t="n">
        <x:v>58469.027686690206</x:v>
      </x:c>
      <x:c r="M8" s="31" t="n">
        <x:v>0</x:v>
      </x:c>
      <x:c r="N8" s="24" t="str">
        <x:v>rastrelliger kanagurta</x:v>
      </x:c>
      <x:c r="O8" s="32" t="n">
        <x:v>3.19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Rastrelliger kanagurta</x:v>
      </x:c>
      <x:c r="T8" s="32" t="n">
        <x:f>IF(O8="","",(1/'Metadata'!$B$5)^(O8-1))</x:f>
        <x:v>154.88166189124811</x:v>
      </x:c>
      <x:c r="U8" s="31" t="n">
        <x:f>IF(T8="","",I8*T8)</x:f>
        <x:v>9055780.177279977</x:v>
      </x:c>
    </x:row>
    <x:row r="9" ht="18" customHeight="1">
      <x:c r="A9" s="24" t="str">
        <x:v>EEZ_957</x:v>
      </x:c>
      <x:c r="B9" s="24" t="str">
        <x:v>Thailand (Gulf of Thailand)</x:v>
      </x:c>
      <x:c r="C9" s="24" t="str">
        <x:v>EEZ</x:v>
      </x:c>
      <x:c r="D9" s="30" t="n">
        <x:v>2019</x:v>
      </x:c>
      <x:c r="E9" s="24" t="str">
        <x:v>Marine fishes not identified</x:v>
      </x:c>
      <x:c r="F9" s="24" t="str">
        <x:v>Marine fishes nei</x:v>
      </x:c>
      <x:c r="G9" s="24" t="str">
        <x:v>Medium demersals (30 - 89 cm)</x:v>
      </x:c>
      <x:c r="H9" s="24" t="str">
        <x:v>Other fishes &amp; inverts</x:v>
      </x:c>
      <x:c r="I9" s="31" t="n">
        <x:v>57273.508786095095</x:v>
      </x:c>
      <x:c r="J9" s="31" t="n">
        <x:v>56297.382686516095</x:v>
      </x:c>
      <x:c r="K9" s="31" t="n">
        <x:v>976.126099579</x:v>
      </x:c>
      <x:c r="L9" s="31" t="n">
        <x:v>46297.290596466795</x:v>
      </x:c>
      <x:c r="M9" s="31" t="n">
        <x:v>10976.2181896283</x:v>
      </x:c>
      <x:c r="N9" s="24" t="str">
        <x:v>marine fishes not identified</x:v>
      </x:c>
      <x:c r="O9" s="32" t="n">
        <x:v>3.28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fishes not identified</x:v>
      </x:c>
      <x:c r="T9" s="32" t="n">
        <x:f>IF(O9="","",(1/'Metadata'!$B$5)^(O9-1))</x:f>
        <x:v>190.54607179632464</x:v>
      </x:c>
      <x:c r="U9" s="31" t="n">
        <x:f>IF(T9="","",I9*T9)</x:f>
        <x:v>10913242.117182706</x:v>
      </x:c>
    </x:row>
    <x:row r="10" ht="18" customHeight="1">
      <x:c r="A10" s="24" t="str">
        <x:v>EEZ_957</x:v>
      </x:c>
      <x:c r="B10" s="24" t="str">
        <x:v>Thailand (Gulf of Thailand)</x:v>
      </x:c>
      <x:c r="C10" s="24" t="str">
        <x:v>EEZ</x:v>
      </x:c>
      <x:c r="D10" s="30" t="n">
        <x:v>2019</x:v>
      </x:c>
      <x:c r="E10" s="24" t="str">
        <x:v>Synodontidae</x:v>
      </x:c>
      <x:c r="F10" s="24" t="str">
        <x:v>Lizardfishes, sauries</x:v>
      </x:c>
      <x:c r="G10" s="24" t="str">
        <x:v>Medium demersals (30 - 89 cm)</x:v>
      </x:c>
      <x:c r="H10" s="24" t="str">
        <x:v>Other fishes &amp; inverts</x:v>
      </x:c>
      <x:c r="I10" s="31" t="n">
        <x:v>57129.8437599163</x:v>
      </x:c>
      <x:c r="J10" s="31" t="n">
        <x:v>55748.4597187242</x:v>
      </x:c>
      <x:c r="K10" s="31" t="n">
        <x:v>1381.3840411921</x:v>
      </x:c>
      <x:c r="L10" s="31" t="n">
        <x:v>46033.7050149333</x:v>
      </x:c>
      <x:c r="M10" s="31" t="n">
        <x:v>11096.138744983</x:v>
      </x:c>
      <x:c r="N10" s="24" t="str">
        <x:v>synodontidae</x:v>
      </x:c>
      <x:c r="O10" s="32" t="n">
        <x:v>4.3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Synodontidae</x:v>
      </x:c>
      <x:c r="T10" s="32" t="n">
        <x:f>IF(O10="","",(1/'Metadata'!$B$5)^(O10-1))</x:f>
        <x:v>1995.2623149688789</x:v>
      </x:c>
      <x:c r="U10" s="31" t="n">
        <x:f>IF(T10="","",I10*T10)</x:f>
        <x:v>113989024.31422095</x:v>
      </x:c>
    </x:row>
    <x:row r="11" ht="18" customHeight="1">
      <x:c r="A11" s="24" t="str">
        <x:v>EEZ_957</x:v>
      </x:c>
      <x:c r="B11" s="24" t="str">
        <x:v>Thailand (Gulf of Thailand)</x:v>
      </x:c>
      <x:c r="C11" s="24" t="str">
        <x:v>EEZ</x:v>
      </x:c>
      <x:c r="D11" s="30" t="n">
        <x:v>2019</x:v>
      </x:c>
      <x:c r="E11" s="24" t="str">
        <x:v>Sciaenidae</x:v>
      </x:c>
      <x:c r="F11" s="24" t="str">
        <x:v>Drums, croakers</x:v>
      </x:c>
      <x:c r="G11" s="24" t="str">
        <x:v>Medium demersals (30 - 89 cm)</x:v>
      </x:c>
      <x:c r="H11" s="24" t="str">
        <x:v>Perch-likes</x:v>
      </x:c>
      <x:c r="I11" s="31" t="n">
        <x:v>41865.4025901191</x:v>
      </x:c>
      <x:c r="J11" s="31" t="n">
        <x:v>41003.2552865042</x:v>
      </x:c>
      <x:c r="K11" s="31" t="n">
        <x:v>862.1473036149</x:v>
      </x:c>
      <x:c r="L11" s="31" t="n">
        <x:v>34639.089606678805</x:v>
      </x:c>
      <x:c r="M11" s="31" t="n">
        <x:v>7226.3129834403</x:v>
      </x:c>
      <x:c r="N11" s="24" t="str">
        <x:v>sciaenidae</x:v>
      </x:c>
      <x:c r="O11" s="32" t="n">
        <x:v>3.76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Sciaenidae</x:v>
      </x:c>
      <x:c r="T11" s="32" t="n">
        <x:f>IF(O11="","",(1/'Metadata'!$B$5)^(O11-1))</x:f>
        <x:v>575.4399373371566</x:v>
      </x:c>
      <x:c r="U11" s="31" t="n">
        <x:f>IF(T11="","",I11*T11)</x:f>
        <x:v>24091024.64305297</x:v>
      </x:c>
    </x:row>
    <x:row r="12" ht="18" customHeight="1">
      <x:c r="A12" s="24" t="str">
        <x:v>EEZ_957</x:v>
      </x:c>
      <x:c r="B12" s="24" t="str">
        <x:v>Thailand (Gulf of Thailand)</x:v>
      </x:c>
      <x:c r="C12" s="24" t="str">
        <x:v>EEZ</x:v>
      </x:c>
      <x:c r="D12" s="30" t="n">
        <x:v>2019</x:v>
      </x:c>
      <x:c r="E12" s="24" t="str">
        <x:v>Platycephalidae</x:v>
      </x:c>
      <x:c r="F12" s="24" t="str">
        <x:v>Flatheads</x:v>
      </x:c>
      <x:c r="G12" s="24" t="str">
        <x:v>Medium demersals (30 - 89 cm)</x:v>
      </x:c>
      <x:c r="H12" s="24" t="str">
        <x:v>Scorpionfishes</x:v>
      </x:c>
      <x:c r="I12" s="31" t="n">
        <x:v>40329.318471720704</x:v>
      </x:c>
      <x:c r="J12" s="31" t="n">
        <x:v>39354.1665495744</x:v>
      </x:c>
      <x:c r="K12" s="31" t="n">
        <x:v>975.1519221463</x:v>
      </x:c>
      <x:c r="L12" s="31" t="n">
        <x:v>32496.289640863302</x:v>
      </x:c>
      <x:c r="M12" s="31" t="n">
        <x:v>7833.0288308574</x:v>
      </x:c>
      <x:c r="N12" s="24" t="str">
        <x:v>platycephalidae</x:v>
      </x:c>
      <x:c r="O12" s="32" t="n">
        <x:v>3.9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Platycephalidae</x:v>
      </x:c>
      <x:c r="T12" s="32" t="n">
        <x:f>IF(O12="","",(1/'Metadata'!$B$5)^(O12-1))</x:f>
        <x:v>794.3282347242813</x:v>
      </x:c>
      <x:c r="U12" s="31" t="n">
        <x:f>IF(T12="","",I12*T12)</x:f>
        <x:v>32034716.349275257</x:v>
      </x:c>
    </x:row>
    <x:row r="13" ht="18" customHeight="1">
      <x:c r="A13" s="24" t="str">
        <x:v>EEZ_957</x:v>
      </x:c>
      <x:c r="B13" s="24" t="str">
        <x:v>Thailand (Gulf of Thailand)</x:v>
      </x:c>
      <x:c r="C13" s="24" t="str">
        <x:v>EEZ</x:v>
      </x:c>
      <x:c r="D13" s="30" t="n">
        <x:v>2019</x:v>
      </x:c>
      <x:c r="E13" s="24" t="str">
        <x:v>Portunus pelagicus</x:v>
      </x:c>
      <x:c r="F13" s="24" t="str">
        <x:v>Blue swimming crab</x:v>
      </x:c>
      <x:c r="G13" s="24" t="str">
        <x:v>Lobsters, crabs</x:v>
      </x:c>
      <x:c r="H13" s="24" t="str">
        <x:v>Crustaceans</x:v>
      </x:c>
      <x:c r="I13" s="31" t="n">
        <x:v>38358.8526485485</x:v>
      </x:c>
      <x:c r="J13" s="31" t="n">
        <x:v>38358.8526485485</x:v>
      </x:c>
      <x:c r="K13" s="31" t="n">
        <x:v>0</x:v>
      </x:c>
      <x:c r="L13" s="31" t="n">
        <x:v>30372.554214734002</x:v>
      </x:c>
      <x:c r="M13" s="31" t="n">
        <x:v>7986.2984338145</x:v>
      </x:c>
      <x:c r="N13" s="24" t="str">
        <x:v>portunus pelagicus</x:v>
      </x:c>
      <x:c r="O13" s="32" t="n">
        <x:v>2.48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Portunus pelagicus</x:v>
      </x:c>
      <x:c r="T13" s="32" t="n">
        <x:f>IF(O13="","",(1/'Metadata'!$B$5)^(O13-1))</x:f>
        <x:v>30.19951720402016</x:v>
      </x:c>
      <x:c r="U13" s="31" t="n">
        <x:f>IF(T13="","",I13*T13)</x:f>
        <x:v>1158418.8304863146</x:v>
      </x:c>
    </x:row>
    <x:row r="14" ht="18" customHeight="1">
      <x:c r="A14" s="24" t="str">
        <x:v>EEZ_957</x:v>
      </x:c>
      <x:c r="B14" s="24" t="str">
        <x:v>Thailand (Gulf of Thailand)</x:v>
      </x:c>
      <x:c r="C14" s="24" t="str">
        <x:v>EEZ</x:v>
      </x:c>
      <x:c r="D14" s="30" t="n">
        <x:v>2019</x:v>
      </x:c>
      <x:c r="E14" s="24" t="str">
        <x:v>Sergestidae</x:v>
      </x:c>
      <x:c r="F14" s="24" t="str">
        <x:v>Sergestid shrimp</x:v>
      </x:c>
      <x:c r="G14" s="24" t="str">
        <x:v>Shrimps</x:v>
      </x:c>
      <x:c r="H14" s="24" t="str">
        <x:v>Crustaceans</x:v>
      </x:c>
      <x:c r="I14" s="31" t="n">
        <x:v>29156.9768728519</x:v>
      </x:c>
      <x:c r="J14" s="31" t="n">
        <x:v>29156.9768728519</x:v>
      </x:c>
      <x:c r="K14" s="31" t="n">
        <x:v>0</x:v>
      </x:c>
      <x:c r="L14" s="31" t="n">
        <x:v>26337.5057378639</x:v>
      </x:c>
      <x:c r="M14" s="31" t="n">
        <x:v>2819.471134988</x:v>
      </x:c>
      <x:c r="N14" s="24" t="str">
        <x:v>sergestidae</x:v>
      </x:c>
      <x:c r="O14" s="32" t="n">
        <x:v>2.93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Sergestidae</x:v>
      </x:c>
      <x:c r="T14" s="32" t="n">
        <x:f>IF(O14="","",(1/'Metadata'!$B$5)^(O14-1))</x:f>
        <x:v>85.11380382023768</x:v>
      </x:c>
      <x:c r="U14" s="31" t="n">
        <x:f>IF(T14="","",I14*T14)</x:f>
        <x:v>2481661.209547124</x:v>
      </x:c>
    </x:row>
    <x:row r="15" ht="18" customHeight="1">
      <x:c r="A15" s="24" t="str">
        <x:v>EEZ_957</x:v>
      </x:c>
      <x:c r="B15" s="24" t="str">
        <x:v>Thailand (Gulf of Thailand)</x:v>
      </x:c>
      <x:c r="C15" s="24" t="str">
        <x:v>EEZ</x:v>
      </x:c>
      <x:c r="D15" s="30" t="n">
        <x:v>2019</x:v>
      </x:c>
      <x:c r="E15" s="24" t="str">
        <x:v>Decapterus russelli</x:v>
      </x:c>
      <x:c r="F15" s="24" t="str">
        <x:v>Indian scad</x:v>
      </x:c>
      <x:c r="G15" s="24" t="str">
        <x:v>Medium pelagics (30 - 89 cm)</x:v>
      </x:c>
      <x:c r="H15" s="24" t="str">
        <x:v>Perch-likes</x:v>
      </x:c>
      <x:c r="I15" s="31" t="n">
        <x:v>27278.079750028202</x:v>
      </x:c>
      <x:c r="J15" s="31" t="n">
        <x:v>27278.079750028202</x:v>
      </x:c>
      <x:c r="K15" s="31" t="n">
        <x:v>0</x:v>
      </x:c>
      <x:c r="L15" s="31" t="n">
        <x:v>21930.2925956512</x:v>
      </x:c>
      <x:c r="M15" s="31" t="n">
        <x:v>5347.787154377001</x:v>
      </x:c>
      <x:c r="N15" s="24" t="str">
        <x:v>decapterus russelli</x:v>
      </x:c>
      <x:c r="O15" s="32" t="n">
        <x:v>3.68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Decapterus russelli</x:v>
      </x:c>
      <x:c r="T15" s="32" t="n">
        <x:f>IF(O15="","",(1/'Metadata'!$B$5)^(O15-1))</x:f>
        <x:v>478.6300923226385</x:v>
      </x:c>
      <x:c r="U15" s="31" t="n">
        <x:f>IF(T15="","",I15*T15)</x:f>
        <x:v>13056109.829140294</x:v>
      </x:c>
    </x:row>
    <x:row r="16" ht="18" customHeight="1">
      <x:c r="A16" s="24" t="str">
        <x:v>EEZ_957</x:v>
      </x:c>
      <x:c r="B16" s="24" t="str">
        <x:v>Thailand (Gulf of Thailand)</x:v>
      </x:c>
      <x:c r="C16" s="24" t="str">
        <x:v>EEZ</x:v>
      </x:c>
      <x:c r="D16" s="30" t="n">
        <x:v>2019</x:v>
      </x:c>
      <x:c r="E16" s="24" t="str">
        <x:v>Megalaspis cordyla</x:v>
      </x:c>
      <x:c r="F16" s="24" t="str">
        <x:v>Torpedo scad</x:v>
      </x:c>
      <x:c r="G16" s="24" t="str">
        <x:v>Medium pelagics (30 - 89 cm)</x:v>
      </x:c>
      <x:c r="H16" s="24" t="str">
        <x:v>Perch-likes</x:v>
      </x:c>
      <x:c r="I16" s="31" t="n">
        <x:v>23075.6087998121</x:v>
      </x:c>
      <x:c r="J16" s="31" t="n">
        <x:v>23075.6087998121</x:v>
      </x:c>
      <x:c r="K16" s="31" t="n">
        <x:v>0</x:v>
      </x:c>
      <x:c r="L16" s="31" t="n">
        <x:v>12912.1551259855</x:v>
      </x:c>
      <x:c r="M16" s="31" t="n">
        <x:v>10163.4536738266</x:v>
      </x:c>
      <x:c r="N16" s="24" t="str">
        <x:v>megalaspis cordyla</x:v>
      </x:c>
      <x:c r="O16" s="32" t="n">
        <x:v>4.24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Megalaspis cordyla</x:v>
      </x:c>
      <x:c r="T16" s="32" t="n">
        <x:f>IF(O16="","",(1/'Metadata'!$B$5)^(O16-1))</x:f>
        <x:v>1737.8008287493763</x:v>
      </x:c>
      <x:c r="U16" s="31" t="n">
        <x:f>IF(T16="","",I16*T16)</x:f>
        <x:v>40100812.09620987</x:v>
      </x:c>
    </x:row>
    <x:row r="17" ht="18" customHeight="1">
      <x:c r="A17" s="24" t="str">
        <x:v>EEZ_957</x:v>
      </x:c>
      <x:c r="B17" s="24" t="str">
        <x:v>Thailand (Gulf of Thailand)</x:v>
      </x:c>
      <x:c r="C17" s="24" t="str">
        <x:v>EEZ</x:v>
      </x:c>
      <x:c r="D17" s="30" t="n">
        <x:v>2019</x:v>
      </x:c>
      <x:c r="E17" s="24" t="str">
        <x:v>Tegillarca granosa</x:v>
      </x:c>
      <x:c r="F17" s="24" t="str">
        <x:v>Granular ark</x:v>
      </x:c>
      <x:c r="G17" s="24" t="str">
        <x:v>Other demersal invertebrates</x:v>
      </x:c>
      <x:c r="H17" s="24" t="str">
        <x:v>Molluscs</x:v>
      </x:c>
      <x:c r="I17" s="31" t="n">
        <x:v>18727.7177123097</x:v>
      </x:c>
      <x:c r="J17" s="31" t="n">
        <x:v>18727.7177123097</x:v>
      </x:c>
      <x:c r="K17" s="31" t="n">
        <x:v>0</x:v>
      </x:c>
      <x:c r="L17" s="31" t="n">
        <x:v>18727.7177123097</x:v>
      </x:c>
      <x:c r="M17" s="31" t="n">
        <x:v>0</x:v>
      </x:c>
      <x:c r="N17" s="24" t="str">
        <x:v>tegillarca granosa</x:v>
      </x:c>
      <x:c r="O17" s="32" t="n">
        <x:v>2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Tegillarca granosa</x:v>
      </x:c>
      <x:c r="T17" s="32" t="n">
        <x:f>IF(O17="","",(1/'Metadata'!$B$5)^(O17-1))</x:f>
        <x:v>10</x:v>
      </x:c>
      <x:c r="U17" s="31" t="n">
        <x:f>IF(T17="","",I17*T17)</x:f>
        <x:v>187277.177123097</x:v>
      </x:c>
    </x:row>
    <x:row r="18" ht="18" customHeight="1">
      <x:c r="A18" s="24" t="str">
        <x:v>EEZ_957</x:v>
      </x:c>
      <x:c r="B18" s="24" t="str">
        <x:v>Thailand (Gulf of Thailand)</x:v>
      </x:c>
      <x:c r="C18" s="24" t="str">
        <x:v>EEZ</x:v>
      </x:c>
      <x:c r="D18" s="30" t="n">
        <x:v>2019</x:v>
      </x:c>
      <x:c r="E18" s="24" t="str">
        <x:v>Sphyraena</x:v>
      </x:c>
      <x:c r="F18" s="24" t="str">
        <x:v>Barracudas, sennets</x:v>
      </x:c>
      <x:c r="G18" s="24" t="str">
        <x:v>Large pelagics (&gt;=90 cm)</x:v>
      </x:c>
      <x:c r="H18" s="24" t="str">
        <x:v>Perch-likes</x:v>
      </x:c>
      <x:c r="I18" s="31" t="n">
        <x:v>16393.840565670398</x:v>
      </x:c>
      <x:c r="J18" s="31" t="n">
        <x:v>16393.840565670398</x:v>
      </x:c>
      <x:c r="K18" s="31" t="n">
        <x:v>0</x:v>
      </x:c>
      <x:c r="L18" s="31" t="n">
        <x:v>11140.455442815499</x:v>
      </x:c>
      <x:c r="M18" s="31" t="n">
        <x:v>5253.3851228549</x:v>
      </x:c>
      <x:c r="N18" s="24" t="str">
        <x:v>sphyraena</x:v>
      </x:c>
      <x:c r="O18" s="32" t="n">
        <x:v>4.4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Sphyraena</x:v>
      </x:c>
      <x:c r="T18" s="32" t="n">
        <x:f>IF(O18="","",(1/'Metadata'!$B$5)^(O18-1))</x:f>
        <x:v>2511.886431509582</x:v>
      </x:c>
      <x:c r="U18" s="31" t="n">
        <x:f>IF(T18="","",I18*T18)</x:f>
        <x:v>41179465.677238844</x:v>
      </x:c>
    </x:row>
    <x:row r="19" ht="18" customHeight="1">
      <x:c r="A19" s="24" t="str">
        <x:v>EEZ_957</x:v>
      </x:c>
      <x:c r="B19" s="24" t="str">
        <x:v>Thailand (Gulf of Thailand)</x:v>
      </x:c>
      <x:c r="C19" s="24" t="str">
        <x:v>EEZ</x:v>
      </x:c>
      <x:c r="D19" s="30" t="n">
        <x:v>2019</x:v>
      </x:c>
      <x:c r="E19" s="24" t="str">
        <x:v>Selar crumenophthalmus</x:v>
      </x:c>
      <x:c r="F19" s="24" t="str">
        <x:v>Bigeye scad</x:v>
      </x:c>
      <x:c r="G19" s="24" t="str">
        <x:v>Medium pelagics (30 - 89 cm)</x:v>
      </x:c>
      <x:c r="H19" s="24" t="str">
        <x:v>Perch-likes</x:v>
      </x:c>
      <x:c r="I19" s="31" t="n">
        <x:v>16345.1624539522</x:v>
      </x:c>
      <x:c r="J19" s="31" t="n">
        <x:v>16345.1624539522</x:v>
      </x:c>
      <x:c r="K19" s="31" t="n">
        <x:v>0</x:v>
      </x:c>
      <x:c r="L19" s="31" t="n">
        <x:v>12352.9287472733</x:v>
      </x:c>
      <x:c r="M19" s="31" t="n">
        <x:v>3992.2337066789</x:v>
      </x:c>
      <x:c r="N19" s="24" t="str">
        <x:v>selar crumenophthalmus</x:v>
      </x:c>
      <x:c r="O19" s="32" t="n">
        <x:v>3.81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Selar crumenophthalmus</x:v>
      </x:c>
      <x:c r="T19" s="32" t="n">
        <x:f>IF(O19="","",(1/'Metadata'!$B$5)^(O19-1))</x:f>
        <x:v>645.6542290346556</x:v>
      </x:c>
      <x:c r="U19" s="31" t="n">
        <x:f>IF(T19="","",I19*T19)</x:f>
        <x:v>10553323.262652706</x:v>
      </x:c>
    </x:row>
    <x:row r="20" ht="18" customHeight="1">
      <x:c r="A20" s="24" t="str">
        <x:v>EEZ_957</x:v>
      </x:c>
      <x:c r="B20" s="24" t="str">
        <x:v>Thailand (Gulf of Thailand)</x:v>
      </x:c>
      <x:c r="C20" s="24" t="str">
        <x:v>EEZ</x:v>
      </x:c>
      <x:c r="D20" s="30" t="n">
        <x:v>2019</x:v>
      </x:c>
      <x:c r="E20" s="24" t="str">
        <x:v>Penaeus</x:v>
      </x:c>
      <x:c r="F20" s="24" t="str">
        <x:v>Tiger prawns</x:v>
      </x:c>
      <x:c r="G20" s="24" t="str">
        <x:v>Shrimps</x:v>
      </x:c>
      <x:c r="H20" s="24" t="str">
        <x:v>Crustaceans</x:v>
      </x:c>
      <x:c r="I20" s="31" t="n">
        <x:v>14861.2078365933</x:v>
      </x:c>
      <x:c r="J20" s="31" t="n">
        <x:v>14861.2078365933</x:v>
      </x:c>
      <x:c r="K20" s="31" t="n">
        <x:v>0</x:v>
      </x:c>
      <x:c r="L20" s="31" t="n">
        <x:v>11922.980620733</x:v>
      </x:c>
      <x:c r="M20" s="31" t="n">
        <x:v>2938.2272158603</x:v>
      </x:c>
      <x:c r="N20" s="24" t="str">
        <x:v>penaeus</x:v>
      </x:c>
      <x:c r="O20" s="32" t="n">
        <x:v>2.7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Penaeus</x:v>
      </x:c>
      <x:c r="T20" s="32" t="n">
        <x:f>IF(O20="","",(1/'Metadata'!$B$5)^(O20-1))</x:f>
        <x:v>50.11872336272725</x:v>
      </x:c>
      <x:c r="U20" s="31" t="n">
        <x:f>IF(T20="","",I20*T20)</x:f>
        <x:v>744824.7643982139</x:v>
      </x:c>
    </x:row>
    <x:row r="21" ht="18" customHeight="1">
      <x:c r="A21" s="24" t="str">
        <x:v>EEZ_957</x:v>
      </x:c>
      <x:c r="B21" s="24" t="str">
        <x:v>Thailand (Gulf of Thailand)</x:v>
      </x:c>
      <x:c r="C21" s="24" t="str">
        <x:v>EEZ</x:v>
      </x:c>
      <x:c r="D21" s="30" t="n">
        <x:v>2019</x:v>
      </x:c>
      <x:c r="E21" s="24" t="str">
        <x:v>Saurida</x:v>
      </x:c>
      <x:c r="F21" s="24" t="str">
        <x:v>Lizardfishes</x:v>
      </x:c>
      <x:c r="G21" s="24" t="str">
        <x:v>Medium demersals (30 - 89 cm)</x:v>
      </x:c>
      <x:c r="H21" s="24" t="str">
        <x:v>Other fishes &amp; inverts</x:v>
      </x:c>
      <x:c r="I21" s="31" t="n">
        <x:v>13429.4515587207</x:v>
      </x:c>
      <x:c r="J21" s="31" t="n">
        <x:v>13429.4515587207</x:v>
      </x:c>
      <x:c r="K21" s="31" t="n">
        <x:v>0</x:v>
      </x:c>
      <x:c r="L21" s="31" t="n">
        <x:v>12192.310312757401</x:v>
      </x:c>
      <x:c r="M21" s="31" t="n">
        <x:v>1237.1412459633002</x:v>
      </x:c>
      <x:c r="N21" s="24" t="str">
        <x:v>saurida</x:v>
      </x:c>
      <x:c r="O21" s="32" t="n">
        <x:v>4.35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Saurida</x:v>
      </x:c>
      <x:c r="T21" s="32" t="n">
        <x:f>IF(O21="","",(1/'Metadata'!$B$5)^(O21-1))</x:f>
        <x:v>2238.7211385683377</x:v>
      </x:c>
      <x:c r="U21" s="31" t="n">
        <x:f>IF(T21="","",I21*T21)</x:f>
        <x:v>30064797.083887544</x:v>
      </x:c>
    </x:row>
    <x:row r="22" ht="18" customHeight="1">
      <x:c r="A22" s="24" t="str">
        <x:v>EEZ_957</x:v>
      </x:c>
      <x:c r="B22" s="24" t="str">
        <x:v>Thailand (Gulf of Thailand)</x:v>
      </x:c>
      <x:c r="C22" s="24" t="str">
        <x:v>EEZ</x:v>
      </x:c>
      <x:c r="D22" s="30" t="n">
        <x:v>2019</x:v>
      </x:c>
      <x:c r="E22" s="24" t="str">
        <x:v>Priacanthus</x:v>
      </x:c>
      <x:c r="F22" s="24" t="str">
        <x:v>Bigeyes</x:v>
      </x:c>
      <x:c r="G22" s="24" t="str">
        <x:v>Medium reef assoc. fish (30 - 89 cm)</x:v>
      </x:c>
      <x:c r="H22" s="24" t="str">
        <x:v>Perch-likes</x:v>
      </x:c>
      <x:c r="I22" s="31" t="n">
        <x:v>12047.9828198395</x:v>
      </x:c>
      <x:c r="J22" s="31" t="n">
        <x:v>12047.9828198395</x:v>
      </x:c>
      <x:c r="K22" s="31" t="n">
        <x:v>0</x:v>
      </x:c>
      <x:c r="L22" s="31" t="n">
        <x:v>10459.7858575185</x:v>
      </x:c>
      <x:c r="M22" s="31" t="n">
        <x:v>1588.196962321</x:v>
      </x:c>
      <x:c r="N22" s="24" t="str">
        <x:v>priacanthus</x:v>
      </x:c>
      <x:c r="O22" s="32" t="n">
        <x:v>3.81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Priacanthus</x:v>
      </x:c>
      <x:c r="T22" s="32" t="n">
        <x:f>IF(O22="","",(1/'Metadata'!$B$5)^(O22-1))</x:f>
        <x:v>645.6542290346556</x:v>
      </x:c>
      <x:c r="U22" s="31" t="n">
        <x:f>IF(T22="","",I22*T22)</x:f>
        <x:v>7778831.058966249</x:v>
      </x:c>
    </x:row>
    <x:row r="23" ht="18" customHeight="1">
      <x:c r="A23" s="24" t="str">
        <x:v>EEZ_957</x:v>
      </x:c>
      <x:c r="B23" s="24" t="str">
        <x:v>Thailand (Gulf of Thailand)</x:v>
      </x:c>
      <x:c r="C23" s="24" t="str">
        <x:v>EEZ</x:v>
      </x:c>
      <x:c r="D23" s="30" t="n">
        <x:v>2019</x:v>
      </x:c>
      <x:c r="E23" s="24" t="str">
        <x:v>Scolopsis</x:v>
      </x:c>
      <x:c r="F23" s="24" t="str">
        <x:v>Monocle breams</x:v>
      </x:c>
      <x:c r="G23" s="24" t="str">
        <x:v>Small reef assoc. fish (&lt;30 cm)</x:v>
      </x:c>
      <x:c r="H23" s="24" t="str">
        <x:v>Perch-likes</x:v>
      </x:c>
      <x:c r="I23" s="31" t="n">
        <x:v>11924.480544337</x:v>
      </x:c>
      <x:c r="J23" s="31" t="n">
        <x:v>11924.480544337</x:v>
      </x:c>
      <x:c r="K23" s="31" t="n">
        <x:v>0</x:v>
      </x:c>
      <x:c r="L23" s="31" t="n">
        <x:v>8750.7665390379</x:v>
      </x:c>
      <x:c r="M23" s="31" t="n">
        <x:v>3173.7140052991</x:v>
      </x:c>
      <x:c r="N23" s="24" t="str">
        <x:v>scolopsis</x:v>
      </x:c>
      <x:c r="O23" s="32" t="n">
        <x:v>3.3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Scolopsis</x:v>
      </x:c>
      <x:c r="T23" s="32" t="n">
        <x:f>IF(O23="","",(1/'Metadata'!$B$5)^(O23-1))</x:f>
        <x:v>199.52623149688787</x:v>
      </x:c>
      <x:c r="U23" s="31" t="n">
        <x:f>IF(T23="","",I23*T23)</x:f>
        <x:v>2379246.66556952</x:v>
      </x:c>
    </x:row>
    <x:row r="24" ht="18" customHeight="1">
      <x:c r="A24" s="24" t="str">
        <x:v>EEZ_957</x:v>
      </x:c>
      <x:c r="B24" s="24" t="str">
        <x:v>Thailand (Gulf of Thailand)</x:v>
      </x:c>
      <x:c r="C24" s="24" t="str">
        <x:v>EEZ</x:v>
      </x:c>
      <x:c r="D24" s="30" t="n">
        <x:v>2019</x:v>
      </x:c>
      <x:c r="E24" s="24" t="str">
        <x:v>Sepiidae</x:v>
      </x:c>
      <x:c r="F24" s="24" t="str">
        <x:v>Cuttlefishes</x:v>
      </x:c>
      <x:c r="G24" s="24" t="str">
        <x:v>Cephalopods</x:v>
      </x:c>
      <x:c r="H24" s="24" t="str">
        <x:v>Other fishes &amp; inverts</x:v>
      </x:c>
      <x:c r="I24" s="31" t="n">
        <x:v>11583.191253183</x:v>
      </x:c>
      <x:c r="J24" s="31" t="n">
        <x:v>11583.191253183</x:v>
      </x:c>
      <x:c r="K24" s="31" t="n">
        <x:v>0</x:v>
      </x:c>
      <x:c r="L24" s="31" t="n">
        <x:v>9835.9203527208</x:v>
      </x:c>
      <x:c r="M24" s="31" t="n">
        <x:v>1747.2709004622002</x:v>
      </x:c>
      <x:c r="N24" s="24" t="str">
        <x:v>sepiidae</x:v>
      </x:c>
      <x:c r="O24" s="32" t="n">
        <x:v>3.6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Sepiidae</x:v>
      </x:c>
      <x:c r="T24" s="32" t="n">
        <x:f>IF(O24="","",(1/'Metadata'!$B$5)^(O24-1))</x:f>
        <x:v>398.1071705534973</x:v>
      </x:c>
      <x:c r="U24" s="31" t="n">
        <x:f>IF(T24="","",I24*T24)</x:f>
        <x:v>4611351.495784703</x:v>
      </x:c>
    </x:row>
    <x:row r="25" ht="18" customHeight="1">
      <x:c r="A25" s="24" t="str">
        <x:v>EEZ_957</x:v>
      </x:c>
      <x:c r="B25" s="24" t="str">
        <x:v>Thailand (Gulf of Thailand)</x:v>
      </x:c>
      <x:c r="C25" s="24" t="str">
        <x:v>EEZ</x:v>
      </x:c>
      <x:c r="D25" s="30" t="n">
        <x:v>2019</x:v>
      </x:c>
      <x:c r="E25" s="24" t="str">
        <x:v>Metapenaeus</x:v>
      </x:c>
      <x:c r="F25" s="24" t="str">
        <x:v>Indo-Pacific prawns</x:v>
      </x:c>
      <x:c r="G25" s="24" t="str">
        <x:v>Shrimps</x:v>
      </x:c>
      <x:c r="H25" s="24" t="str">
        <x:v>Crustaceans</x:v>
      </x:c>
      <x:c r="I25" s="31" t="n">
        <x:v>11503.7846446168</x:v>
      </x:c>
      <x:c r="J25" s="31" t="n">
        <x:v>11503.7846446168</x:v>
      </x:c>
      <x:c r="K25" s="31" t="n">
        <x:v>0</x:v>
      </x:c>
      <x:c r="L25" s="31" t="n">
        <x:v>9339.3743386981</x:v>
      </x:c>
      <x:c r="M25" s="31" t="n">
        <x:v>2164.4103059187</x:v>
      </x:c>
      <x:c r="N25" s="24" t="str">
        <x:v>metapenaeus</x:v>
      </x:c>
      <x:c r="O25" s="32" t="n">
        <x:v>2.7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Metapenaeus</x:v>
      </x:c>
      <x:c r="T25" s="32" t="n">
        <x:f>IF(O25="","",(1/'Metadata'!$B$5)^(O25-1))</x:f>
        <x:v>50.11872336272725</x:v>
      </x:c>
      <x:c r="U25" s="31" t="n">
        <x:f>IF(T25="","",I25*T25)</x:f>
        <x:v>576555.0002279391</x:v>
      </x:c>
    </x:row>
    <x:row r="26" ht="18" customHeight="1">
      <x:c r="A26" s="24" t="str">
        <x:v>EEZ_957</x:v>
      </x:c>
      <x:c r="B26" s="24" t="str">
        <x:v>Thailand (Gulf of Thailand)</x:v>
      </x:c>
      <x:c r="C26" s="24" t="str">
        <x:v>EEZ</x:v>
      </x:c>
      <x:c r="D26" s="30" t="n">
        <x:v>2019</x:v>
      </x:c>
      <x:c r="E26" s="24" t="str">
        <x:v>Lutjanidae</x:v>
      </x:c>
      <x:c r="F26" s="24" t="str">
        <x:v>Snappers</x:v>
      </x:c>
      <x:c r="G26" s="24" t="str">
        <x:v>Medium reef assoc. fish (30 - 89 cm)</x:v>
      </x:c>
      <x:c r="H26" s="24" t="str">
        <x:v>Perch-likes</x:v>
      </x:c>
      <x:c r="I26" s="31" t="n">
        <x:v>10369.5367874186</x:v>
      </x:c>
      <x:c r="J26" s="31" t="n">
        <x:v>10369.5367874186</x:v>
      </x:c>
      <x:c r="K26" s="31" t="n">
        <x:v>0</x:v>
      </x:c>
      <x:c r="L26" s="31" t="n">
        <x:v>7988.8083557845</x:v>
      </x:c>
      <x:c r="M26" s="31" t="n">
        <x:v>2380.7284316341</x:v>
      </x:c>
      <x:c r="N26" s="24" t="str">
        <x:v>lutjanidae</x:v>
      </x:c>
      <x:c r="O26" s="32" t="n">
        <x:v>4.02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Lutjanidae</x:v>
      </x:c>
      <x:c r="T26" s="32" t="n">
        <x:f>IF(O26="","",(1/'Metadata'!$B$5)^(O26-1))</x:f>
        <x:v>1047.1285480508984</x:v>
      </x:c>
      <x:c r="U26" s="31" t="n">
        <x:f>IF(T26="","",I26*T26)</x:f>
        <x:v>10858238.000170017</x:v>
      </x:c>
    </x:row>
    <x:row r="27" ht="18" customHeight="1">
      <x:c r="A27" s="24" t="str">
        <x:v>EEZ_957</x:v>
      </x:c>
      <x:c r="B27" s="24" t="str">
        <x:v>Thailand (Gulf of Thailand)</x:v>
      </x:c>
      <x:c r="C27" s="24" t="str">
        <x:v>EEZ</x:v>
      </x:c>
      <x:c r="D27" s="30" t="n">
        <x:v>2019</x:v>
      </x:c>
      <x:c r="E27" s="24" t="str">
        <x:v>Scomberomorus</x:v>
      </x:c>
      <x:c r="F27" s="24" t="str">
        <x:v>Spanish mackerels</x:v>
      </x:c>
      <x:c r="G27" s="24" t="str">
        <x:v>Large pelagics (&gt;=90 cm)</x:v>
      </x:c>
      <x:c r="H27" s="24" t="str">
        <x:v>Perch-likes</x:v>
      </x:c>
      <x:c r="I27" s="31" t="n">
        <x:v>9825.7217291224</x:v>
      </x:c>
      <x:c r="J27" s="31" t="n">
        <x:v>9825.7217291224</x:v>
      </x:c>
      <x:c r="K27" s="31" t="n">
        <x:v>0</x:v>
      </x:c>
      <x:c r="L27" s="31" t="n">
        <x:v>7662.674583260799</x:v>
      </x:c>
      <x:c r="M27" s="31" t="n">
        <x:v>2163.0471458616003</x:v>
      </x:c>
      <x:c r="N27" s="24" t="str">
        <x:v>scomberomorus</x:v>
      </x:c>
      <x:c r="O27" s="32" t="n">
        <x:v>4.35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Scomberomorus</x:v>
      </x:c>
      <x:c r="T27" s="32" t="n">
        <x:f>IF(O27="","",(1/'Metadata'!$B$5)^(O27-1))</x:f>
        <x:v>2238.7211385683377</x:v>
      </x:c>
      <x:c r="U27" s="31" t="n">
        <x:f>IF(T27="","",I27*T27)</x:f>
        <x:v>21997050.936676554</x:v>
      </x:c>
    </x:row>
    <x:row r="28" ht="18" customHeight="1">
      <x:c r="A28" s="24" t="str">
        <x:v>EEZ_957</x:v>
      </x:c>
      <x:c r="B28" s="24" t="str">
        <x:v>Thailand (Gulf of Thailand)</x:v>
      </x:c>
      <x:c r="C28" s="24" t="str">
        <x:v>EEZ</x:v>
      </x:c>
      <x:c r="D28" s="30" t="n">
        <x:v>2019</x:v>
      </x:c>
      <x:c r="E28" s="24" t="str">
        <x:v>Octopodidae</x:v>
      </x:c>
      <x:c r="F28" s="24" t="str">
        <x:v>Octopuses</x:v>
      </x:c>
      <x:c r="G28" s="24" t="str">
        <x:v>Cephalopods</x:v>
      </x:c>
      <x:c r="H28" s="24" t="str">
        <x:v>Other fishes &amp; inverts</x:v>
      </x:c>
      <x:c r="I28" s="31" t="n">
        <x:v>9811.517639069201</x:v>
      </x:c>
      <x:c r="J28" s="31" t="n">
        <x:v>9811.517639069201</x:v>
      </x:c>
      <x:c r="K28" s="31" t="n">
        <x:v>0</x:v>
      </x:c>
      <x:c r="L28" s="31" t="n">
        <x:v>9014.219946872801</x:v>
      </x:c>
      <x:c r="M28" s="31" t="n">
        <x:v>797.2976921964</x:v>
      </x:c>
      <x:c r="N28" s="24" t="str">
        <x:v>octopodidae</x:v>
      </x:c>
      <x:c r="O28" s="32" t="n">
        <x:v>3.59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Octopodidae</x:v>
      </x:c>
      <x:c r="T28" s="32" t="n">
        <x:f>IF(O28="","",(1/'Metadata'!$B$5)^(O28-1))</x:f>
        <x:v>389.04514499428046</x:v>
      </x:c>
      <x:c r="U28" s="31" t="n">
        <x:f>IF(T28="","",I28*T28)</x:f>
        <x:v>3817123.302505618</x:v>
      </x:c>
    </x:row>
    <x:row r="29" ht="18" customHeight="1">
      <x:c r="A29" s="24" t="str">
        <x:v>EEZ_957</x:v>
      </x:c>
      <x:c r="B29" s="24" t="str">
        <x:v>Thailand (Gulf of Thailand)</x:v>
      </x:c>
      <x:c r="C29" s="24" t="str">
        <x:v>EEZ</x:v>
      </x:c>
      <x:c r="D29" s="30" t="n">
        <x:v>2019</x:v>
      </x:c>
      <x:c r="E29" s="24" t="str">
        <x:v>Veneridae</x:v>
      </x:c>
      <x:c r="F29" s="24" t="str">
        <x:v>Venus clams</x:v>
      </x:c>
      <x:c r="G29" s="24" t="str">
        <x:v>Other demersal invertebrates</x:v>
      </x:c>
      <x:c r="H29" s="24" t="str">
        <x:v>Molluscs</x:v>
      </x:c>
      <x:c r="I29" s="31" t="n">
        <x:v>9506.1316051181</x:v>
      </x:c>
      <x:c r="J29" s="31" t="n">
        <x:v>9506.1316051181</x:v>
      </x:c>
      <x:c r="K29" s="31" t="n">
        <x:v>0</x:v>
      </x:c>
      <x:c r="L29" s="31" t="n">
        <x:v>4886.2439286626</x:v>
      </x:c>
      <x:c r="M29" s="31" t="n">
        <x:v>4619.8876764555</x:v>
      </x:c>
      <x:c r="N29" s="24" t="str">
        <x:v>veneridae</x:v>
      </x:c>
      <x:c r="O29" s="32" t="n">
        <x:v>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Veneridae</x:v>
      </x:c>
      <x:c r="T29" s="32" t="n">
        <x:f>IF(O29="","",(1/'Metadata'!$B$5)^(O29-1))</x:f>
        <x:v>10</x:v>
      </x:c>
      <x:c r="U29" s="31" t="n">
        <x:f>IF(T29="","",I29*T29)</x:f>
        <x:v>95061.316051181</x:v>
      </x:c>
    </x:row>
    <x:row r="30" ht="18" customHeight="1">
      <x:c r="A30" s="24" t="str">
        <x:v>EEZ_957</x:v>
      </x:c>
      <x:c r="B30" s="24" t="str">
        <x:v>Thailand (Gulf of Thailand)</x:v>
      </x:c>
      <x:c r="C30" s="24" t="str">
        <x:v>EEZ</x:v>
      </x:c>
      <x:c r="D30" s="30" t="n">
        <x:v>2019</x:v>
      </x:c>
      <x:c r="E30" s="24" t="str">
        <x:v>Thunnus tonggol</x:v>
      </x:c>
      <x:c r="F30" s="24" t="str">
        <x:v>Longtail tuna</x:v>
      </x:c>
      <x:c r="G30" s="24" t="str">
        <x:v>Large pelagics (&gt;=90 cm)</x:v>
      </x:c>
      <x:c r="H30" s="24" t="str">
        <x:v>Tuna &amp; billfishes</x:v>
      </x:c>
      <x:c r="I30" s="31" t="n">
        <x:v>8089.4482308246</x:v>
      </x:c>
      <x:c r="J30" s="31" t="n">
        <x:v>8089.4482308246</x:v>
      </x:c>
      <x:c r="K30" s="31" t="n">
        <x:v>0</x:v>
      </x:c>
      <x:c r="L30" s="31" t="n">
        <x:v>679.0019480826</x:v>
      </x:c>
      <x:c r="M30" s="31" t="n">
        <x:v>7410.446282742</x:v>
      </x:c>
      <x:c r="N30" s="24" t="str">
        <x:v>thunnus tonggol</x:v>
      </x:c>
      <x:c r="O30" s="32" t="n">
        <x:v>4.5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tonggol</x:v>
      </x:c>
      <x:c r="T30" s="32" t="n">
        <x:f>IF(O30="","",(1/'Metadata'!$B$5)^(O30-1))</x:f>
        <x:v>3162.2776601683795</x:v>
      </x:c>
      <x:c r="U30" s="31" t="n">
        <x:f>IF(T30="","",I30*T30)</x:f>
        <x:v>25581081.423425253</x:v>
      </x:c>
    </x:row>
    <x:row r="31" ht="18" customHeight="1">
      <x:c r="A31" s="24" t="str">
        <x:v>EEZ_957</x:v>
      </x:c>
      <x:c r="B31" s="24" t="str">
        <x:v>Thailand (Gulf of Thailand)</x:v>
      </x:c>
      <x:c r="C31" s="24" t="str">
        <x:v>EEZ</x:v>
      </x:c>
      <x:c r="D31" s="30" t="n">
        <x:v>2019</x:v>
      </x:c>
      <x:c r="E31" s="24" t="str">
        <x:v>Mollusca</x:v>
      </x:c>
      <x:c r="F31" s="24" t="str">
        <x:v>Clams, seasnails, squids, octopuses</x:v>
      </x:c>
      <x:c r="G31" s="24" t="str">
        <x:v>Other demersal invertebrates</x:v>
      </x:c>
      <x:c r="H31" s="24" t="str">
        <x:v>Molluscs</x:v>
      </x:c>
      <x:c r="I31" s="31" t="n">
        <x:v>7784.143914814501</x:v>
      </x:c>
      <x:c r="J31" s="31" t="n">
        <x:v>7784.143914814501</x:v>
      </x:c>
      <x:c r="K31" s="31" t="n">
        <x:v>0</x:v>
      </x:c>
      <x:c r="L31" s="31" t="n">
        <x:v>6425.716761346501</x:v>
      </x:c>
      <x:c r="M31" s="31" t="n">
        <x:v>1358.4271534680001</x:v>
      </x:c>
      <x:c r="N31" s="24" t="str">
        <x:v>mollusca</x:v>
      </x:c>
      <x:c r="O31" s="32" t="n">
        <x:v>2.1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Mollusca</x:v>
      </x:c>
      <x:c r="T31" s="32" t="n">
        <x:f>IF(O31="","",(1/'Metadata'!$B$5)^(O31-1))</x:f>
        <x:v>12.589254117941675</x:v>
      </x:c>
      <x:c r="U31" s="31" t="n">
        <x:f>IF(T31="","",I31*T31)</x:f>
        <x:v>97996.56583422908</x:v>
      </x:c>
    </x:row>
    <x:row r="32" ht="18" customHeight="1">
      <x:c r="A32" s="24" t="str">
        <x:v>EEZ_957</x:v>
      </x:c>
      <x:c r="B32" s="24" t="str">
        <x:v>Thailand (Gulf of Thailand)</x:v>
      </x:c>
      <x:c r="C32" s="24" t="str">
        <x:v>EEZ</x:v>
      </x:c>
      <x:c r="D32" s="30" t="n">
        <x:v>2019</x:v>
      </x:c>
      <x:c r="E32" s="24" t="str">
        <x:v>Penaeus merguiensis</x:v>
      </x:c>
      <x:c r="F32" s="24" t="str">
        <x:v>Banana prawn</x:v>
      </x:c>
      <x:c r="G32" s="24" t="str">
        <x:v>Shrimps</x:v>
      </x:c>
      <x:c r="H32" s="24" t="str">
        <x:v>Crustaceans</x:v>
      </x:c>
      <x:c r="I32" s="31" t="n">
        <x:v>7320.1995015508</x:v>
      </x:c>
      <x:c r="J32" s="31" t="n">
        <x:v>7320.1995015508</x:v>
      </x:c>
      <x:c r="K32" s="31" t="n">
        <x:v>0</x:v>
      </x:c>
      <x:c r="L32" s="31" t="n">
        <x:v>5446.3360630769</x:v>
      </x:c>
      <x:c r="M32" s="31" t="n">
        <x:v>1873.8634384738998</x:v>
      </x:c>
      <x:c r="N32" s="24" t="str">
        <x:v>penaeus merguiensis</x:v>
      </x:c>
      <x:c r="O32" s="32" t="n">
        <x:v>3.77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Penaeus merguiensis</x:v>
      </x:c>
      <x:c r="T32" s="32" t="n">
        <x:f>IF(O32="","",(1/'Metadata'!$B$5)^(O32-1))</x:f>
        <x:v>588.843655355589</x:v>
      </x:c>
      <x:c r="U32" s="31" t="n">
        <x:f>IF(T32="","",I32*T32)</x:f>
        <x:v>4310453.032425334</x:v>
      </x:c>
    </x:row>
    <x:row r="33" ht="18" customHeight="1">
      <x:c r="A33" s="24" t="str">
        <x:v>EEZ_957</x:v>
      </x:c>
      <x:c r="B33" s="24" t="str">
        <x:v>Thailand (Gulf of Thailand)</x:v>
      </x:c>
      <x:c r="C33" s="24" t="str">
        <x:v>EEZ</x:v>
      </x:c>
      <x:c r="D33" s="30" t="n">
        <x:v>2019</x:v>
      </x:c>
      <x:c r="E33" s="24" t="str">
        <x:v>Parastromateus niger</x:v>
      </x:c>
      <x:c r="F33" s="24" t="str">
        <x:v>Black pomfret</x:v>
      </x:c>
      <x:c r="G33" s="24" t="str">
        <x:v>Medium benthopelagics (30 - 89 cm)</x:v>
      </x:c>
      <x:c r="H33" s="24" t="str">
        <x:v>Perch-likes</x:v>
      </x:c>
      <x:c r="I33" s="31" t="n">
        <x:v>6954.5185453616</x:v>
      </x:c>
      <x:c r="J33" s="31" t="n">
        <x:v>6954.5185453616</x:v>
      </x:c>
      <x:c r="K33" s="31" t="n">
        <x:v>0</x:v>
      </x:c>
      <x:c r="L33" s="31" t="n">
        <x:v>5960.5109296683</x:v>
      </x:c>
      <x:c r="M33" s="31" t="n">
        <x:v>994.0076156933001</x:v>
      </x:c>
      <x:c r="N33" s="24" t="str">
        <x:v>parastromateus niger</x:v>
      </x:c>
      <x:c r="O33" s="32" t="n">
        <x:v>2.93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Parastromateus niger</x:v>
      </x:c>
      <x:c r="T33" s="32" t="n">
        <x:f>IF(O33="","",(1/'Metadata'!$B$5)^(O33-1))</x:f>
        <x:v>85.11380382023768</x:v>
      </x:c>
      <x:c r="U33" s="31" t="n">
        <x:f>IF(T33="","",I33*T33)</x:f>
        <x:v>591925.527134112</x:v>
      </x:c>
    </x:row>
    <x:row r="34" ht="18" customHeight="1">
      <x:c r="A34" s="24" t="str">
        <x:v>EEZ_957</x:v>
      </x:c>
      <x:c r="B34" s="24" t="str">
        <x:v>Thailand (Gulf of Thailand)</x:v>
      </x:c>
      <x:c r="C34" s="24" t="str">
        <x:v>EEZ</x:v>
      </x:c>
      <x:c r="D34" s="30" t="n">
        <x:v>2019</x:v>
      </x:c>
      <x:c r="E34" s="24" t="str">
        <x:v>Sepioteuthis lessoniana</x:v>
      </x:c>
      <x:c r="F34" s="24" t="str">
        <x:v>Bigfin reef squid</x:v>
      </x:c>
      <x:c r="G34" s="24" t="str">
        <x:v>Cephalopods</x:v>
      </x:c>
      <x:c r="H34" s="24" t="str">
        <x:v>Other fishes &amp; inverts</x:v>
      </x:c>
      <x:c r="I34" s="31" t="n">
        <x:v>6396.5200044453995</x:v>
      </x:c>
      <x:c r="J34" s="31" t="n">
        <x:v>6396.5200044453995</x:v>
      </x:c>
      <x:c r="K34" s="31" t="n">
        <x:v>0</x:v>
      </x:c>
      <x:c r="L34" s="31" t="n">
        <x:v>4954.6869525453</x:v>
      </x:c>
      <x:c r="M34" s="31" t="n">
        <x:v>1441.8330519001</x:v>
      </x:c>
      <x:c r="N34" s="24" t="str">
        <x:v>sepioteuthis lessoniana</x:v>
      </x:c>
      <x:c r="O34" s="32" t="n">
        <x:v>3.98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Sepioteuthis lessoniana</x:v>
      </x:c>
      <x:c r="T34" s="32" t="n">
        <x:f>IF(O34="","",(1/'Metadata'!$B$5)^(O34-1))</x:f>
        <x:v>954.992586021436</x:v>
      </x:c>
      <x:c r="U34" s="31" t="n">
        <x:f>IF(T34="","",I34*T34)</x:f>
        <x:v>6108629.180583159</x:v>
      </x:c>
    </x:row>
    <x:row r="35" ht="18" customHeight="1">
      <x:c r="A35" s="24" t="str">
        <x:v>EEZ_957</x:v>
      </x:c>
      <x:c r="B35" s="24" t="str">
        <x:v>Thailand (Gulf of Thailand)</x:v>
      </x:c>
      <x:c r="C35" s="24" t="str">
        <x:v>EEZ</x:v>
      </x:c>
      <x:c r="D35" s="30" t="n">
        <x:v>2019</x:v>
      </x:c>
      <x:c r="E35" s="24" t="str">
        <x:v>Chirocentrus dorab</x:v>
      </x:c>
      <x:c r="F35" s="24" t="str">
        <x:v>Dorab wolf-herring</x:v>
      </x:c>
      <x:c r="G35" s="24" t="str">
        <x:v>Large benthopelagics (&gt;=90 cm)</x:v>
      </x:c>
      <x:c r="H35" s="24" t="str">
        <x:v>Herring-likes</x:v>
      </x:c>
      <x:c r="I35" s="31" t="n">
        <x:v>5182.9837279117</x:v>
      </x:c>
      <x:c r="J35" s="31" t="n">
        <x:v>5182.9837279117</x:v>
      </x:c>
      <x:c r="K35" s="31" t="n">
        <x:v>0</x:v>
      </x:c>
      <x:c r="L35" s="31" t="n">
        <x:v>3344.5850845905</x:v>
      </x:c>
      <x:c r="M35" s="31" t="n">
        <x:v>1838.3986433212</x:v>
      </x:c>
      <x:c r="N35" s="24" t="str">
        <x:v>chirocentrus dorab</x:v>
      </x:c>
      <x:c r="O35" s="32" t="n">
        <x:v>4.2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Chirocentrus dorab</x:v>
      </x:c>
      <x:c r="T35" s="32" t="n">
        <x:f>IF(O35="","",(1/'Metadata'!$B$5)^(O35-1))</x:f>
        <x:v>1584.893192461114</x:v>
      </x:c>
      <x:c r="U35" s="31" t="n">
        <x:f>IF(T35="","",I35*T35)</x:f>
        <x:v>8214475.627003981</x:v>
      </x:c>
    </x:row>
    <x:row r="36" ht="18" customHeight="1">
      <x:c r="A36" s="24" t="str">
        <x:v>EEZ_957</x:v>
      </x:c>
      <x:c r="B36" s="24" t="str">
        <x:v>Thailand (Gulf of Thailand)</x:v>
      </x:c>
      <x:c r="C36" s="24" t="str">
        <x:v>EEZ</x:v>
      </x:c>
      <x:c r="D36" s="30" t="n">
        <x:v>2019</x:v>
      </x:c>
      <x:c r="E36" s="24" t="str">
        <x:v>Trichiurus lepturus</x:v>
      </x:c>
      <x:c r="F36" s="24" t="str">
        <x:v>Largehead hairtail</x:v>
      </x:c>
      <x:c r="G36" s="24" t="str">
        <x:v>Large benthopelagics (&gt;=90 cm)</x:v>
      </x:c>
      <x:c r="H36" s="24" t="str">
        <x:v>Perch-likes</x:v>
      </x:c>
      <x:c r="I36" s="31" t="n">
        <x:v>4651.1144728284</x:v>
      </x:c>
      <x:c r="J36" s="31" t="n">
        <x:v>4651.1144728284</x:v>
      </x:c>
      <x:c r="K36" s="31" t="n">
        <x:v>0</x:v>
      </x:c>
      <x:c r="L36" s="31" t="n">
        <x:v>4058.5536136289</x:v>
      </x:c>
      <x:c r="M36" s="31" t="n">
        <x:v>592.5608591995</x:v>
      </x:c>
      <x:c r="N36" s="24" t="str">
        <x:v>trichiurus lepturus</x:v>
      </x:c>
      <x:c r="O36" s="32" t="n">
        <x:v>4.42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Trichiurus lepturus</x:v>
      </x:c>
      <x:c r="T36" s="32" t="n">
        <x:f>IF(O36="","",(1/'Metadata'!$B$5)^(O36-1))</x:f>
        <x:v>2630.2679918953813</x:v>
      </x:c>
      <x:c r="U36" s="31" t="n">
        <x:f>IF(T36="","",I36*T36)</x:f>
        <x:v>12233677.5245219</x:v>
      </x:c>
    </x:row>
    <x:row r="37" ht="18" customHeight="1">
      <x:c r="A37" s="24" t="str">
        <x:v>EEZ_957</x:v>
      </x:c>
      <x:c r="B37" s="24" t="str">
        <x:v>Thailand (Gulf of Thailand)</x:v>
      </x:c>
      <x:c r="C37" s="24" t="str">
        <x:v>EEZ</x:v>
      </x:c>
      <x:c r="D37" s="30" t="n">
        <x:v>2019</x:v>
      </x:c>
      <x:c r="E37" s="24" t="str">
        <x:v>Serranidae</x:v>
      </x:c>
      <x:c r="F37" s="24" t="str">
        <x:v>Basses, groupers, hinds</x:v>
      </x:c>
      <x:c r="G37" s="24" t="str">
        <x:v>Medium reef assoc. fish (30 - 89 cm)</x:v>
      </x:c>
      <x:c r="H37" s="24" t="str">
        <x:v>Perch-likes</x:v>
      </x:c>
      <x:c r="I37" s="31" t="n">
        <x:v>3676.0936752134</x:v>
      </x:c>
      <x:c r="J37" s="31" t="n">
        <x:v>3676.0936752134</x:v>
      </x:c>
      <x:c r="K37" s="31" t="n">
        <x:v>0</x:v>
      </x:c>
      <x:c r="L37" s="31" t="n">
        <x:v>2551.2867189921</x:v>
      </x:c>
      <x:c r="M37" s="31" t="n">
        <x:v>1124.8069562213</x:v>
      </x:c>
      <x:c r="N37" s="24" t="str">
        <x:v>serranidae</x:v>
      </x:c>
      <x:c r="O37" s="32" t="n">
        <x:v>3.98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Serranidae</x:v>
      </x:c>
      <x:c r="T37" s="32" t="n">
        <x:f>IF(O37="","",(1/'Metadata'!$B$5)^(O37-1))</x:f>
        <x:v>954.992586021436</x:v>
      </x:c>
      <x:c r="U37" s="31" t="n">
        <x:f>IF(T37="","",I37*T37)</x:f>
        <x:v>3510642.2053490896</x:v>
      </x:c>
    </x:row>
    <x:row r="38" ht="18" customHeight="1">
      <x:c r="A38" s="24" t="str">
        <x:v>EEZ_957</x:v>
      </x:c>
      <x:c r="B38" s="24" t="str">
        <x:v>Thailand (Gulf of Thailand)</x:v>
      </x:c>
      <x:c r="C38" s="24" t="str">
        <x:v>EEZ</x:v>
      </x:c>
      <x:c r="D38" s="30" t="n">
        <x:v>2019</x:v>
      </x:c>
      <x:c r="E38" s="24" t="str">
        <x:v>Cephea</x:v>
      </x:c>
      <x:c r="F38" s="24" t="str">
        <x:v>Cepheid jellyfishes</x:v>
      </x:c>
      <x:c r="G38" s="24" t="str">
        <x:v>Jellyfish</x:v>
      </x:c>
      <x:c r="H38" s="24" t="str">
        <x:v>Other fishes &amp; inverts</x:v>
      </x:c>
      <x:c r="I38" s="31" t="n">
        <x:v>3392.8256918604</x:v>
      </x:c>
      <x:c r="J38" s="31" t="n">
        <x:v>3392.8256918604</x:v>
      </x:c>
      <x:c r="K38" s="31" t="n">
        <x:v>0</x:v>
      </x:c>
      <x:c r="L38" s="31" t="n">
        <x:v>1554.2771681537001</x:v>
      </x:c>
      <x:c r="M38" s="31" t="n">
        <x:v>1838.5485237067</x:v>
      </x:c>
      <x:c r="N38" s="24" t="str">
        <x:v>cephea</x:v>
      </x:c>
      <x:c r="O38" s="32" t="n">
        <x:v>3.46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Cephea</x:v>
      </x:c>
      <x:c r="T38" s="32" t="n">
        <x:f>IF(O38="","",(1/'Metadata'!$B$5)^(O38-1))</x:f>
        <x:v>288.40315031266056</x:v>
      </x:c>
      <x:c r="U38" s="31" t="n">
        <x:f>IF(T38="","",I38*T38)</x:f>
        <x:v>978501.6179942716</x:v>
      </x:c>
    </x:row>
    <x:row r="39" ht="18" customHeight="1">
      <x:c r="A39" s="24" t="str">
        <x:v>EEZ_957</x:v>
      </x:c>
      <x:c r="B39" s="24" t="str">
        <x:v>Thailand (Gulf of Thailand)</x:v>
      </x:c>
      <x:c r="C39" s="24" t="str">
        <x:v>EEZ</x:v>
      </x:c>
      <x:c r="D39" s="30" t="n">
        <x:v>2019</x:v>
      </x:c>
      <x:c r="E39" s="24" t="str">
        <x:v>Sillago</x:v>
      </x:c>
      <x:c r="F39" s="24" t="str">
        <x:v>Smelt-whitings</x:v>
      </x:c>
      <x:c r="G39" s="24" t="str">
        <x:v>Medium demersals (30 - 89 cm)</x:v>
      </x:c>
      <x:c r="H39" s="24" t="str">
        <x:v>Perch-likes</x:v>
      </x:c>
      <x:c r="I39" s="31" t="n">
        <x:v>2759.6353526146</x:v>
      </x:c>
      <x:c r="J39" s="31" t="n">
        <x:v>2759.6353526146</x:v>
      </x:c>
      <x:c r="K39" s="31" t="n">
        <x:v>0</x:v>
      </x:c>
      <x:c r="L39" s="31" t="n">
        <x:v>2568.915571561</x:v>
      </x:c>
      <x:c r="M39" s="31" t="n">
        <x:v>190.7197810536</x:v>
      </x:c>
      <x:c r="N39" s="24" t="str">
        <x:v>sillago</x:v>
      </x:c>
      <x:c r="O39" s="32" t="n">
        <x:v>3.33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Sillago</x:v>
      </x:c>
      <x:c r="T39" s="32" t="n">
        <x:f>IF(O39="","",(1/'Metadata'!$B$5)^(O39-1))</x:f>
        <x:v>213.79620895022325</x:v>
      </x:c>
      <x:c r="U39" s="31" t="n">
        <x:f>IF(T39="","",I39*T39)</x:f>
        <x:v>589999.576474014</x:v>
      </x:c>
    </x:row>
    <x:row r="40" ht="18" customHeight="1">
      <x:c r="A40" s="24" t="str">
        <x:v>EEZ_957</x:v>
      </x:c>
      <x:c r="B40" s="24" t="str">
        <x:v>Thailand (Gulf of Thailand)</x:v>
      </x:c>
      <x:c r="C40" s="24" t="str">
        <x:v>EEZ</x:v>
      </x:c>
      <x:c r="D40" s="30" t="n">
        <x:v>2019</x:v>
      </x:c>
      <x:c r="E40" s="24" t="str">
        <x:v>Muraenesox cinereus</x:v>
      </x:c>
      <x:c r="F40" s="24" t="str">
        <x:v>Daggertooth pike conger</x:v>
      </x:c>
      <x:c r="G40" s="24" t="str">
        <x:v>Large demersals (&gt;=90 cm)</x:v>
      </x:c>
      <x:c r="H40" s="24" t="str">
        <x:v>Other fishes &amp; inverts</x:v>
      </x:c>
      <x:c r="I40" s="31" t="n">
        <x:v>2452.3235347455</x:v>
      </x:c>
      <x:c r="J40" s="31" t="n">
        <x:v>2452.3235347455</x:v>
      </x:c>
      <x:c r="K40" s="31" t="n">
        <x:v>0</x:v>
      </x:c>
      <x:c r="L40" s="31" t="n">
        <x:v>1872.5758950912</x:v>
      </x:c>
      <x:c r="M40" s="31" t="n">
        <x:v>579.7476396543</x:v>
      </x:c>
      <x:c r="N40" s="24" t="str">
        <x:v>muraenesox cinereus</x:v>
      </x:c>
      <x:c r="O40" s="32" t="n">
        <x:v>4.38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Muraenesox cinereus</x:v>
      </x:c>
      <x:c r="T40" s="32" t="n">
        <x:f>IF(O40="","",(1/'Metadata'!$B$5)^(O40-1))</x:f>
        <x:v>2398.83291901949</x:v>
      </x:c>
      <x:c r="U40" s="31" t="n">
        <x:f>IF(T40="","",I40*T40)</x:f>
        <x:v>5882714.423233742</x:v>
      </x:c>
    </x:row>
    <x:row r="41" ht="18" customHeight="1">
      <x:c r="A41" s="24" t="str">
        <x:v>EEZ_957</x:v>
      </x:c>
      <x:c r="B41" s="24" t="str">
        <x:v>Thailand (Gulf of Thailand)</x:v>
      </x:c>
      <x:c r="C41" s="24" t="str">
        <x:v>EEZ</x:v>
      </x:c>
      <x:c r="D41" s="30" t="n">
        <x:v>2019</x:v>
      </x:c>
      <x:c r="E41" s="24" t="str">
        <x:v>Mugilidae</x:v>
      </x:c>
      <x:c r="F41" s="24" t="str">
        <x:v>Mullets, grey mullets</x:v>
      </x:c>
      <x:c r="G41" s="24" t="str">
        <x:v>Medium reef assoc. fish (30 - 89 cm)</x:v>
      </x:c>
      <x:c r="H41" s="24" t="str">
        <x:v>Perch-likes</x:v>
      </x:c>
      <x:c r="I41" s="31" t="n">
        <x:v>2370.8568577301</x:v>
      </x:c>
      <x:c r="J41" s="31" t="n">
        <x:v>2370.8568577301</x:v>
      </x:c>
      <x:c r="K41" s="31" t="n">
        <x:v>0</x:v>
      </x:c>
      <x:c r="L41" s="31" t="n">
        <x:v>1883.3490827722</x:v>
      </x:c>
      <x:c r="M41" s="31" t="n">
        <x:v>487.5077749579</x:v>
      </x:c>
      <x:c r="N41" s="24" t="str">
        <x:v>mugilidae</x:v>
      </x:c>
      <x:c r="O41" s="32" t="n">
        <x:v>2.53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Mugilidae</x:v>
      </x:c>
      <x:c r="T41" s="32" t="n">
        <x:f>IF(O41="","",(1/'Metadata'!$B$5)^(O41-1))</x:f>
        <x:v>33.88441561392024</x:v>
      </x:c>
      <x:c r="U41" s="31" t="n">
        <x:f>IF(T41="","",I41*T41)</x:f>
        <x:v>80335.09912843967</x:v>
      </x:c>
    </x:row>
    <x:row r="42" ht="18" customHeight="1">
      <x:c r="A42" s="24" t="str">
        <x:v>EEZ_957</x:v>
      </x:c>
      <x:c r="B42" s="24" t="str">
        <x:v>Thailand (Gulf of Thailand)</x:v>
      </x:c>
      <x:c r="C42" s="24" t="str">
        <x:v>EEZ</x:v>
      </x:c>
      <x:c r="D42" s="30" t="n">
        <x:v>2019</x:v>
      </x:c>
      <x:c r="E42" s="24" t="str">
        <x:v>Thenus orientalis</x:v>
      </x:c>
      <x:c r="F42" s="24" t="str">
        <x:v>Flathead lobster</x:v>
      </x:c>
      <x:c r="G42" s="24" t="str">
        <x:v>Lobsters, crabs</x:v>
      </x:c>
      <x:c r="H42" s="24" t="str">
        <x:v>Crustaceans</x:v>
      </x:c>
      <x:c r="I42" s="31" t="n">
        <x:v>2146.3075370842002</x:v>
      </x:c>
      <x:c r="J42" s="31" t="n">
        <x:v>2146.3075370842002</x:v>
      </x:c>
      <x:c r="K42" s="31" t="n">
        <x:v>0</x:v>
      </x:c>
      <x:c r="L42" s="31" t="n">
        <x:v>1845.1532355398</x:v>
      </x:c>
      <x:c r="M42" s="31" t="n">
        <x:v>301.15430154439997</x:v>
      </x:c>
      <x:c r="N42" s="24" t="str">
        <x:v>thenus orientalis</x:v>
      </x:c>
      <x:c r="O42" s="32" t="n">
        <x:v>2.5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Thenus orientalis</x:v>
      </x:c>
      <x:c r="T42" s="32" t="n">
        <x:f>IF(O42="","",(1/'Metadata'!$B$5)^(O42-1))</x:f>
        <x:v>31.622776601683793</x:v>
      </x:c>
      <x:c r="U42" s="31" t="n">
        <x:f>IF(T42="","",I42*T42)</x:f>
        <x:v>67872.20376372381</x:v>
      </x:c>
    </x:row>
    <x:row r="43" ht="18" customHeight="1">
      <x:c r="A43" s="24" t="str">
        <x:v>EEZ_957</x:v>
      </x:c>
      <x:c r="B43" s="24" t="str">
        <x:v>Thailand (Gulf of Thailand)</x:v>
      </x:c>
      <x:c r="C43" s="24" t="str">
        <x:v>EEZ</x:v>
      </x:c>
      <x:c r="D43" s="30" t="n">
        <x:v>2019</x:v>
      </x:c>
      <x:c r="E43" s="24" t="str">
        <x:v>Batoidea</x:v>
      </x:c>
      <x:c r="F43" s="24" t="str">
        <x:v>Batoids, skates, rays, sawfishes</x:v>
      </x:c>
      <x:c r="G43" s="24" t="str">
        <x:v>Large rays (&gt;=90 cm)</x:v>
      </x:c>
      <x:c r="H43" s="24" t="str">
        <x:v>Sharks &amp; rays</x:v>
      </x:c>
      <x:c r="I43" s="31" t="n">
        <x:v>2053.6462714548998</x:v>
      </x:c>
      <x:c r="J43" s="31" t="n">
        <x:v>2053.6462714548998</x:v>
      </x:c>
      <x:c r="K43" s="31" t="n">
        <x:v>0</x:v>
      </x:c>
      <x:c r="L43" s="31" t="n">
        <x:v>1391.6999722409</x:v>
      </x:c>
      <x:c r="M43" s="31" t="n">
        <x:v>661.946299214</x:v>
      </x:c>
      <x:c r="N43" s="24" t="str">
        <x:v>batoidea</x:v>
      </x:c>
      <x:c r="O43" s="32" t="n">
        <x:v>3.72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Batoidea</x:v>
      </x:c>
      <x:c r="T43" s="32" t="n">
        <x:f>IF(O43="","",(1/'Metadata'!$B$5)^(O43-1))</x:f>
        <x:v>524.8074602497728</x:v>
      </x:c>
      <x:c r="U43" s="31" t="n">
        <x:f>IF(T43="","",I43*T43)</x:f>
        <x:v>1077768.8839736616</x:v>
      </x:c>
    </x:row>
    <x:row r="44" ht="18" customHeight="1">
      <x:c r="A44" s="24" t="str">
        <x:v>EEZ_957</x:v>
      </x:c>
      <x:c r="B44" s="24" t="str">
        <x:v>Thailand (Gulf of Thailand)</x:v>
      </x:c>
      <x:c r="C44" s="24" t="str">
        <x:v>EEZ</x:v>
      </x:c>
      <x:c r="D44" s="30" t="n">
        <x:v>2019</x:v>
      </x:c>
      <x:c r="E44" s="24" t="str">
        <x:v>Euthynnus affinis</x:v>
      </x:c>
      <x:c r="F44" s="24" t="str">
        <x:v>Kawakawa</x:v>
      </x:c>
      <x:c r="G44" s="24" t="str">
        <x:v>Large pelagics (&gt;=90 cm)</x:v>
      </x:c>
      <x:c r="H44" s="24" t="str">
        <x:v>Tuna &amp; billfishes</x:v>
      </x:c>
      <x:c r="I44" s="31" t="n">
        <x:v>1939.3386933033</x:v>
      </x:c>
      <x:c r="J44" s="31" t="n">
        <x:v>1939.3386933033</x:v>
      </x:c>
      <x:c r="K44" s="31" t="n">
        <x:v>0</x:v>
      </x:c>
      <x:c r="L44" s="31" t="n">
        <x:v>461.6125211921001</x:v>
      </x:c>
      <x:c r="M44" s="31" t="n">
        <x:v>1477.7261721112</x:v>
      </x:c>
      <x:c r="N44" s="24" t="str">
        <x:v>euthynnus affinis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Euthynnus affinis</x:v>
      </x:c>
      <x:c r="T44" s="32" t="n">
        <x:f>IF(O44="","",(1/'Metadata'!$B$5)^(O44-1))</x:f>
        <x:v>3162.2776601683795</x:v>
      </x:c>
      <x:c r="U44" s="31" t="n">
        <x:f>IF(T44="","",I44*T44)</x:f>
        <x:v>6132727.425333162</x:v>
      </x:c>
    </x:row>
    <x:row r="45" ht="18" customHeight="1">
      <x:c r="A45" s="24" t="str">
        <x:v>EEZ_957</x:v>
      </x:c>
      <x:c r="B45" s="24" t="str">
        <x:v>Thailand (Gulf of Thailand)</x:v>
      </x:c>
      <x:c r="C45" s="24" t="str">
        <x:v>EEZ</x:v>
      </x:c>
      <x:c r="D45" s="30" t="n">
        <x:v>2019</x:v>
      </x:c>
      <x:c r="E45" s="24" t="str">
        <x:v>Polynemidae</x:v>
      </x:c>
      <x:c r="F45" s="24" t="str">
        <x:v>Threadfins</x:v>
      </x:c>
      <x:c r="G45" s="24" t="str">
        <x:v>Small demersals (&lt;30 cm)</x:v>
      </x:c>
      <x:c r="H45" s="24" t="str">
        <x:v>Perch-likes</x:v>
      </x:c>
      <x:c r="I45" s="31" t="n">
        <x:v>1795.1207543378</x:v>
      </x:c>
      <x:c r="J45" s="31" t="n">
        <x:v>1795.1207543378</x:v>
      </x:c>
      <x:c r="K45" s="31" t="n">
        <x:v>0</x:v>
      </x:c>
      <x:c r="L45" s="31" t="n">
        <x:v>1347.6278408188</x:v>
      </x:c>
      <x:c r="M45" s="31" t="n">
        <x:v>447.49291351899996</x:v>
      </x:c>
      <x:c r="N45" s="24" t="str">
        <x:v>polynemidae</x:v>
      </x:c>
      <x:c r="O45" s="32" t="n">
        <x:v>3.62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Polynemidae</x:v>
      </x:c>
      <x:c r="T45" s="32" t="n">
        <x:f>IF(O45="","",(1/'Metadata'!$B$5)^(O45-1))</x:f>
        <x:v>416.8693834703355</x:v>
      </x:c>
      <x:c r="U45" s="31" t="n">
        <x:f>IF(T45="","",I45*T45)</x:f>
        <x:v>748330.8821156023</x:v>
      </x:c>
    </x:row>
    <x:row r="46" ht="18" customHeight="1">
      <x:c r="A46" s="24" t="str">
        <x:v>EEZ_957</x:v>
      </x:c>
      <x:c r="B46" s="24" t="str">
        <x:v>Thailand (Gulf of Thailand)</x:v>
      </x:c>
      <x:c r="C46" s="24" t="str">
        <x:v>EEZ</x:v>
      </x:c>
      <x:c r="D46" s="30" t="n">
        <x:v>2019</x:v>
      </x:c>
      <x:c r="E46" s="24" t="str">
        <x:v>Penaeus semisulcatus</x:v>
      </x:c>
      <x:c r="F46" s="24" t="str">
        <x:v>Green tiger prawn</x:v>
      </x:c>
      <x:c r="G46" s="24" t="str">
        <x:v>Shrimps</x:v>
      </x:c>
      <x:c r="H46" s="24" t="str">
        <x:v>Crustaceans</x:v>
      </x:c>
      <x:c r="I46" s="31" t="n">
        <x:v>1540.8117823965</x:v>
      </x:c>
      <x:c r="J46" s="31" t="n">
        <x:v>1540.8117823965</x:v>
      </x:c>
      <x:c r="K46" s="31" t="n">
        <x:v>0</x:v>
      </x:c>
      <x:c r="L46" s="31" t="n">
        <x:v>1137.0609906908999</x:v>
      </x:c>
      <x:c r="M46" s="31" t="n">
        <x:v>403.7507917056</x:v>
      </x:c>
      <x:c r="N46" s="24" t="str">
        <x:v>penaeus semisulcatus</x:v>
      </x:c>
      <x:c r="O46" s="32" t="n">
        <x:v>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Penaeus semisulcatus</x:v>
      </x:c>
      <x:c r="T46" s="32" t="n">
        <x:f>IF(O46="","",(1/'Metadata'!$B$5)^(O46-1))</x:f>
        <x:v>10</x:v>
      </x:c>
      <x:c r="U46" s="31" t="n">
        <x:f>IF(T46="","",I46*T46)</x:f>
        <x:v>15408.117823965</x:v>
      </x:c>
    </x:row>
    <x:row r="47" ht="18" customHeight="1">
      <x:c r="A47" s="24" t="str">
        <x:v>EEZ_957</x:v>
      </x:c>
      <x:c r="B47" s="24" t="str">
        <x:v>Thailand (Gulf of Thailand)</x:v>
      </x:c>
      <x:c r="C47" s="24" t="str">
        <x:v>EEZ</x:v>
      </x:c>
      <x:c r="D47" s="30" t="n">
        <x:v>2019</x:v>
      </x:c>
      <x:c r="E47" s="24" t="str">
        <x:v>Miscellaneous aquatic invertebrates</x:v>
      </x:c>
      <x:c r="F47" s="24" t="str">
        <x:v>Aquatic invertebrates</x:v>
      </x:c>
      <x:c r="G47" s="24" t="str">
        <x:v>Other demersal invertebrates</x:v>
      </x:c>
      <x:c r="H47" s="24" t="str">
        <x:v>Other fishes &amp; inverts</x:v>
      </x:c>
      <x:c r="I47" s="31" t="n">
        <x:v>1440.2780189919001</x:v>
      </x:c>
      <x:c r="J47" s="31" t="n">
        <x:v>1440.2780189919001</x:v>
      </x:c>
      <x:c r="K47" s="31" t="n">
        <x:v>0</x:v>
      </x:c>
      <x:c r="L47" s="31" t="n">
        <x:v>594.4840838494999</x:v>
      </x:c>
      <x:c r="M47" s="31" t="n">
        <x:v>845.7939351424</x:v>
      </x:c>
      <x:c r="N47" s="24" t="str">
        <x:v>miscellaneous aquatic invertebrates</x:v>
      </x:c>
      <x:c r="O47" s="32" t="n">
        <x:v>2.43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Miscellaneous aquatic invertebrates</x:v>
      </x:c>
      <x:c r="T47" s="32" t="n">
        <x:f>IF(O47="","",(1/'Metadata'!$B$5)^(O47-1))</x:f>
        <x:v>26.915348039269166</x:v>
      </x:c>
      <x:c r="U47" s="31" t="n">
        <x:f>IF(T47="","",I47*T47)</x:f>
        <x:v>38765.58415447612</x:v>
      </x:c>
    </x:row>
    <x:row r="48" ht="18" customHeight="1">
      <x:c r="A48" s="24" t="str">
        <x:v>EEZ_957</x:v>
      </x:c>
      <x:c r="B48" s="24" t="str">
        <x:v>Thailand (Gulf of Thailand)</x:v>
      </x:c>
      <x:c r="C48" s="24" t="str">
        <x:v>EEZ</x:v>
      </x:c>
      <x:c r="D48" s="30" t="n">
        <x:v>2019</x:v>
      </x:c>
      <x:c r="E48" s="24" t="str">
        <x:v>Plotosidae</x:v>
      </x:c>
      <x:c r="F48" s="24" t="str">
        <x:v>Eeltail catfishes</x:v>
      </x:c>
      <x:c r="G48" s="24" t="str">
        <x:v>Medium reef assoc. fish (30 - 89 cm)</x:v>
      </x:c>
      <x:c r="H48" s="24" t="str">
        <x:v>Other fishes &amp; inverts</x:v>
      </x:c>
      <x:c r="I48" s="31" t="n">
        <x:v>1407.3720146093</x:v>
      </x:c>
      <x:c r="J48" s="31" t="n">
        <x:v>1407.3720146093</x:v>
      </x:c>
      <x:c r="K48" s="31" t="n">
        <x:v>0</x:v>
      </x:c>
      <x:c r="L48" s="31" t="n">
        <x:v>757.0612797626001</x:v>
      </x:c>
      <x:c r="M48" s="31" t="n">
        <x:v>650.3107348467</x:v>
      </x:c>
      <x:c r="N48" s="24" t="str">
        <x:v>plotosidae</x:v>
      </x:c>
      <x:c r="O48" s="32" t="n">
        <x:v>3.49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Plotosidae</x:v>
      </x:c>
      <x:c r="T48" s="32" t="n">
        <x:f>IF(O48="","",(1/'Metadata'!$B$5)^(O48-1))</x:f>
        <x:v>309.0295432513592</x:v>
      </x:c>
      <x:c r="U48" s="31" t="n">
        <x:f>IF(T48="","",I48*T48)</x:f>
        <x:v>434919.5308594572</x:v>
      </x:c>
    </x:row>
    <x:row r="49" ht="18" customHeight="1">
      <x:c r="A49" s="24" t="str">
        <x:v>EEZ_957</x:v>
      </x:c>
      <x:c r="B49" s="24" t="str">
        <x:v>Thailand (Gulf of Thailand)</x:v>
      </x:c>
      <x:c r="C49" s="24" t="str">
        <x:v>EEZ</x:v>
      </x:c>
      <x:c r="D49" s="30" t="n">
        <x:v>2019</x:v>
      </x:c>
      <x:c r="E49" s="24" t="str">
        <x:v>Scomberomorus commerson</x:v>
      </x:c>
      <x:c r="F49" s="24" t="str">
        <x:v>Narrow-barred Spanish mackerel</x:v>
      </x:c>
      <x:c r="G49" s="24" t="str">
        <x:v>Large pelagics (&gt;=90 cm)</x:v>
      </x:c>
      <x:c r="H49" s="24" t="str">
        <x:v>Perch-likes</x:v>
      </x:c>
      <x:c r="I49" s="31" t="n">
        <x:v>1199.5772890596</x:v>
      </x:c>
      <x:c r="J49" s="31" t="n">
        <x:v>1199.5772890596</x:v>
      </x:c>
      <x:c r="K49" s="31" t="n">
        <x:v>0</x:v>
      </x:c>
      <x:c r="L49" s="31" t="n">
        <x:v>1199.5772890596</x:v>
      </x:c>
      <x:c r="M49" s="31" t="n">
        <x:v>0</x:v>
      </x:c>
      <x:c r="N49" s="24" t="str">
        <x:v>scomberomorus commerson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Scomberomorus commerson</x:v>
      </x:c>
      <x:c r="T49" s="32" t="n">
        <x:f>IF(O49="","",(1/'Metadata'!$B$5)^(O49-1))</x:f>
        <x:v>3162.2776601683795</x:v>
      </x:c>
      <x:c r="U49" s="31" t="n">
        <x:f>IF(T49="","",I49*T49)</x:f>
        <x:v>3793396.4628385194</x:v>
      </x:c>
    </x:row>
    <x:row r="50" ht="18" customHeight="1">
      <x:c r="A50" s="24" t="str">
        <x:v>EEZ_957</x:v>
      </x:c>
      <x:c r="B50" s="24" t="str">
        <x:v>Thailand (Gulf of Thailand)</x:v>
      </x:c>
      <x:c r="C50" s="24" t="str">
        <x:v>EEZ</x:v>
      </x:c>
      <x:c r="D50" s="30" t="n">
        <x:v>2019</x:v>
      </x:c>
      <x:c r="E50" s="24" t="str">
        <x:v>Scylla serrata</x:v>
      </x:c>
      <x:c r="F50" s="24" t="str">
        <x:v>Indo-Pacific swamp crab</x:v>
      </x:c>
      <x:c r="G50" s="24" t="str">
        <x:v>Lobsters, crabs</x:v>
      </x:c>
      <x:c r="H50" s="24" t="str">
        <x:v>Crustaceans</x:v>
      </x:c>
      <x:c r="I50" s="31" t="n">
        <x:v>929.4322826578001</x:v>
      </x:c>
      <x:c r="J50" s="31" t="n">
        <x:v>929.4322826578001</x:v>
      </x:c>
      <x:c r="K50" s="31" t="n">
        <x:v>0</x:v>
      </x:c>
      <x:c r="L50" s="31" t="n">
        <x:v>929.4322826578001</x:v>
      </x:c>
      <x:c r="M50" s="31" t="n">
        <x:v>0</x:v>
      </x:c>
      <x:c r="N50" s="24" t="str">
        <x:v>scylla serrata</x:v>
      </x:c>
      <x:c r="O50" s="32" t="n">
        <x:v>3.17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Scylla serrata</x:v>
      </x:c>
      <x:c r="T50" s="32" t="n">
        <x:f>IF(O50="","",(1/'Metadata'!$B$5)^(O50-1))</x:f>
        <x:v>147.91083881682073</x:v>
      </x:c>
      <x:c r="U50" s="31" t="n">
        <x:f>IF(T50="","",I50*T50)</x:f>
        <x:v>137473.10855134763</x:v>
      </x:c>
    </x:row>
    <x:row r="51" ht="18" customHeight="1">
      <x:c r="A51" s="24" t="str">
        <x:v>EEZ_957</x:v>
      </x:c>
      <x:c r="B51" s="24" t="str">
        <x:v>Thailand (Gulf of Thailand)</x:v>
      </x:c>
      <x:c r="C51" s="24" t="str">
        <x:v>EEZ</x:v>
      </x:c>
      <x:c r="D51" s="30" t="n">
        <x:v>2019</x:v>
      </x:c>
      <x:c r="E51" s="24" t="str">
        <x:v>Penaeus latisulcatus</x:v>
      </x:c>
      <x:c r="F51" s="24" t="str">
        <x:v>Western king prawn</x:v>
      </x:c>
      <x:c r="G51" s="24" t="str">
        <x:v>Shrimps</x:v>
      </x:c>
      <x:c r="H51" s="24" t="str">
        <x:v>Crustaceans</x:v>
      </x:c>
      <x:c r="I51" s="31" t="n">
        <x:v>823.0855314493</x:v>
      </x:c>
      <x:c r="J51" s="31" t="n">
        <x:v>823.0855314493</x:v>
      </x:c>
      <x:c r="K51" s="31" t="n">
        <x:v>0</x:v>
      </x:c>
      <x:c r="L51" s="31" t="n">
        <x:v>710.0510062453</x:v>
      </x:c>
      <x:c r="M51" s="31" t="n">
        <x:v>113.034525204</x:v>
      </x:c>
      <x:c r="N51" s="24" t="str">
        <x:v>penaeus latisulcatus</x:v>
      </x:c>
      <x:c r="O51" s="32" t="n">
        <x:v>2.7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Penaeus latisulcatus</x:v>
      </x:c>
      <x:c r="T51" s="32" t="n">
        <x:f>IF(O51="","",(1/'Metadata'!$B$5)^(O51-1))</x:f>
        <x:v>50.11872336272725</x:v>
      </x:c>
      <x:c r="U51" s="31" t="n">
        <x:f>IF(T51="","",I51*T51)</x:f>
        <x:v>41251.99605457081</x:v>
      </x:c>
    </x:row>
    <x:row r="52" ht="18" customHeight="1">
      <x:c r="A52" s="24" t="str">
        <x:v>EEZ_957</x:v>
      </x:c>
      <x:c r="B52" s="24" t="str">
        <x:v>Thailand (Gulf of Thailand)</x:v>
      </x:c>
      <x:c r="C52" s="24" t="str">
        <x:v>EEZ</x:v>
      </x:c>
      <x:c r="D52" s="30" t="n">
        <x:v>2019</x:v>
      </x:c>
      <x:c r="E52" s="24" t="str">
        <x:v>Scomberomorus guttatus</x:v>
      </x:c>
      <x:c r="F52" s="24" t="str">
        <x:v>Indo-Pacific king mackerel</x:v>
      </x:c>
      <x:c r="G52" s="24" t="str">
        <x:v>Medium pelagics (30 - 89 cm)</x:v>
      </x:c>
      <x:c r="H52" s="24" t="str">
        <x:v>Perch-likes</x:v>
      </x:c>
      <x:c r="I52" s="31" t="n">
        <x:v>635.9205742642</x:v>
      </x:c>
      <x:c r="J52" s="31" t="n">
        <x:v>635.9205742642</x:v>
      </x:c>
      <x:c r="K52" s="31" t="n">
        <x:v>0</x:v>
      </x:c>
      <x:c r="L52" s="31" t="n">
        <x:v>635.9205742642</x:v>
      </x:c>
      <x:c r="M52" s="31" t="n">
        <x:v>0</x:v>
      </x:c>
      <x:c r="N52" s="24" t="str">
        <x:v>scomberomorus guttatus</x:v>
      </x:c>
      <x:c r="O52" s="32" t="n">
        <x:v>4.28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Scomberomorus guttatus</x:v>
      </x:c>
      <x:c r="T52" s="32" t="n">
        <x:f>IF(O52="","",(1/'Metadata'!$B$5)^(O52-1))</x:f>
        <x:v>1905.4607179632483</x:v>
      </x:c>
      <x:c r="U52" s="31" t="n">
        <x:f>IF(T52="","",I52*T52)</x:f>
        <x:v>1211721.6740050637</x:v>
      </x:c>
    </x:row>
    <x:row r="53" ht="18" customHeight="1">
      <x:c r="A53" s="24" t="str">
        <x:v>EEZ_957</x:v>
      </x:c>
      <x:c r="B53" s="24" t="str">
        <x:v>Thailand (Gulf of Thailand)</x:v>
      </x:c>
      <x:c r="C53" s="24" t="str">
        <x:v>EEZ</x:v>
      </x:c>
      <x:c r="D53" s="30" t="n">
        <x:v>2019</x:v>
      </x:c>
      <x:c r="E53" s="24" t="str">
        <x:v>Lates calcarifer</x:v>
      </x:c>
      <x:c r="F53" s="24" t="str">
        <x:v>Barramundi</x:v>
      </x:c>
      <x:c r="G53" s="24" t="str">
        <x:v>Large demersals (&gt;=90 cm)</x:v>
      </x:c>
      <x:c r="H53" s="24" t="str">
        <x:v>Perch-likes</x:v>
      </x:c>
      <x:c r="I53" s="31" t="n">
        <x:v>623.8655047976</x:v>
      </x:c>
      <x:c r="J53" s="31" t="n">
        <x:v>623.8655047976</x:v>
      </x:c>
      <x:c r="K53" s="31" t="n">
        <x:v>0</x:v>
      </x:c>
      <x:c r="L53" s="31" t="n">
        <x:v>623.8655047976</x:v>
      </x:c>
      <x:c r="M53" s="31" t="n">
        <x:v>0</x:v>
      </x:c>
      <x:c r="N53" s="24" t="str">
        <x:v>lates calcarifer</x:v>
      </x:c>
      <x:c r="O53" s="32" t="n">
        <x:v>4.35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Lates calcarifer</x:v>
      </x:c>
      <x:c r="T53" s="32" t="n">
        <x:f>IF(O53="","",(1/'Metadata'!$B$5)^(O53-1))</x:f>
        <x:v>2238.7211385683377</x:v>
      </x:c>
      <x:c r="U53" s="31" t="n">
        <x:f>IF(T53="","",I53*T53)</x:f>
        <x:v>1396660.8932139939</x:v>
      </x:c>
    </x:row>
    <x:row r="54" ht="18" customHeight="1">
      <x:c r="A54" s="24" t="str">
        <x:v>EEZ_957</x:v>
      </x:c>
      <x:c r="B54" s="24" t="str">
        <x:v>Thailand (Gulf of Thailand)</x:v>
      </x:c>
      <x:c r="C54" s="24" t="str">
        <x:v>EEZ</x:v>
      </x:c>
      <x:c r="D54" s="30" t="n">
        <x:v>2019</x:v>
      </x:c>
      <x:c r="E54" s="24" t="str">
        <x:v>Ariidae</x:v>
      </x:c>
      <x:c r="F54" s="24" t="str">
        <x:v>Sea catfishes, coblers</x:v>
      </x:c>
      <x:c r="G54" s="24" t="str">
        <x:v>Medium demersals (30 - 89 cm)</x:v>
      </x:c>
      <x:c r="H54" s="24" t="str">
        <x:v>Other fishes &amp; inverts</x:v>
      </x:c>
      <x:c r="I54" s="31" t="n">
        <x:v>572.9377084878</x:v>
      </x:c>
      <x:c r="J54" s="31" t="n">
        <x:v>572.9377084878</x:v>
      </x:c>
      <x:c r="K54" s="31" t="n">
        <x:v>0</x:v>
      </x:c>
      <x:c r="L54" s="31" t="n">
        <x:v>572.9377084878</x:v>
      </x:c>
      <x:c r="M54" s="31" t="n">
        <x:v>0</x:v>
      </x:c>
      <x:c r="N54" s="24" t="str">
        <x:v>ariidae</x:v>
      </x:c>
      <x:c r="O54" s="32" t="n">
        <x:v>3.48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Ariidae</x:v>
      </x:c>
      <x:c r="T54" s="32" t="n">
        <x:f>IF(O54="","",(1/'Metadata'!$B$5)^(O54-1))</x:f>
        <x:v>301.9951720402016</x:v>
      </x:c>
      <x:c r="U54" s="31" t="n">
        <x:f>IF(T54="","",I54*T54)</x:f>
        <x:v>173024.42184309204</x:v>
      </x:c>
    </x:row>
    <x:row r="55" ht="18" customHeight="1">
      <x:c r="A55" s="24" t="str">
        <x:v>EEZ_957</x:v>
      </x:c>
      <x:c r="B55" s="24" t="str">
        <x:v>Thailand (Gulf of Thailand)</x:v>
      </x:c>
      <x:c r="C55" s="24" t="str">
        <x:v>EEZ</x:v>
      </x:c>
      <x:c r="D55" s="30" t="n">
        <x:v>2019</x:v>
      </x:c>
      <x:c r="E55" s="24" t="str">
        <x:v>Pampus argenteus</x:v>
      </x:c>
      <x:c r="F55" s="24" t="str">
        <x:v>Silver pomfret</x:v>
      </x:c>
      <x:c r="G55" s="24" t="str">
        <x:v>Medium benthopelagics (30 - 89 cm)</x:v>
      </x:c>
      <x:c r="H55" s="24" t="str">
        <x:v>Perch-likes</x:v>
      </x:c>
      <x:c r="I55" s="31" t="n">
        <x:v>522.2076117112</x:v>
      </x:c>
      <x:c r="J55" s="31" t="n">
        <x:v>522.2076117112</x:v>
      </x:c>
      <x:c r="K55" s="31" t="n">
        <x:v>0</x:v>
      </x:c>
      <x:c r="L55" s="31" t="n">
        <x:v>328.09253392019997</x:v>
      </x:c>
      <x:c r="M55" s="31" t="n">
        <x:v>194.11507779100003</x:v>
      </x:c>
      <x:c r="N55" s="24" t="str">
        <x:v>pampus argenteus</x:v>
      </x:c>
      <x:c r="O55" s="32" t="n">
        <x:v>3.3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Pampus argenteus</x:v>
      </x:c>
      <x:c r="T55" s="32" t="n">
        <x:f>IF(O55="","",(1/'Metadata'!$B$5)^(O55-1))</x:f>
        <x:v>199.52623149688787</x:v>
      </x:c>
      <x:c r="U55" s="31" t="n">
        <x:f>IF(T55="","",I55*T55)</x:f>
        <x:v>104194.11682372582</x:v>
      </x:c>
    </x:row>
    <x:row r="56" ht="18" customHeight="1">
      <x:c r="A56" s="24" t="str">
        <x:v>EEZ_957</x:v>
      </x:c>
      <x:c r="B56" s="24" t="str">
        <x:v>Thailand (Gulf of Thailand)</x:v>
      </x:c>
      <x:c r="C56" s="24" t="str">
        <x:v>EEZ</x:v>
      </x:c>
      <x:c r="D56" s="30" t="n">
        <x:v>2019</x:v>
      </x:c>
      <x:c r="E56" s="24" t="str">
        <x:v>Elasmobranchii</x:v>
      </x:c>
      <x:c r="F56" s="24" t="str">
        <x:v>Sharks, rays, skates</x:v>
      </x:c>
      <x:c r="G56" s="24" t="str">
        <x:v>Large sharks (&gt;=90 cm)</x:v>
      </x:c>
      <x:c r="H56" s="24" t="str">
        <x:v>Sharks &amp; rays</x:v>
      </x:c>
      <x:c r="I56" s="31" t="n">
        <x:v>464.2264509799</x:v>
      </x:c>
      <x:c r="J56" s="31" t="n">
        <x:v>464.2264509799</x:v>
      </x:c>
      <x:c r="K56" s="31" t="n">
        <x:v>0</x:v>
      </x:c>
      <x:c r="L56" s="31" t="n">
        <x:v>464.2264509799</x:v>
      </x:c>
      <x:c r="M56" s="31" t="n">
        <x:v>0</x:v>
      </x:c>
      <x:c r="N56" s="24" t="str">
        <x:v>elasmobranchii</x:v>
      </x:c>
      <x:c r="O56" s="32" t="n">
        <x:v>4.05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Elasmobranchii</x:v>
      </x:c>
      <x:c r="T56" s="32" t="n">
        <x:f>IF(O56="","",(1/'Metadata'!$B$5)^(O56-1))</x:f>
        <x:v>1122.018454301963</x:v>
      </x:c>
      <x:c r="U56" s="31" t="n">
        <x:f>IF(T56="","",I56*T56)</x:f>
        <x:v>520870.6449745534</x:v>
      </x:c>
    </x:row>
    <x:row r="57" ht="18" customHeight="1">
      <x:c r="A57" s="24" t="str">
        <x:v>EEZ_957</x:v>
      </x:c>
      <x:c r="B57" s="24" t="str">
        <x:v>Thailand (Gulf of Thailand)</x:v>
      </x:c>
      <x:c r="C57" s="24" t="str">
        <x:v>EEZ</x:v>
      </x:c>
      <x:c r="D57" s="30" t="n">
        <x:v>2019</x:v>
      </x:c>
      <x:c r="E57" s="24" t="str">
        <x:v>Psettodes erumei</x:v>
      </x:c>
      <x:c r="F57" s="24" t="str">
        <x:v>Indian halibut</x:v>
      </x:c>
      <x:c r="G57" s="24" t="str">
        <x:v>Small to medium flatfishes (&lt;90 cm)</x:v>
      </x:c>
      <x:c r="H57" s="24" t="str">
        <x:v>Flatfishes</x:v>
      </x:c>
      <x:c r="I57" s="31" t="n">
        <x:v>416.2367967645</x:v>
      </x:c>
      <x:c r="J57" s="31" t="n">
        <x:v>416.2367967645</x:v>
      </x:c>
      <x:c r="K57" s="31" t="n">
        <x:v>0</x:v>
      </x:c>
      <x:c r="L57" s="31" t="n">
        <x:v>416.2367967645</x:v>
      </x:c>
      <x:c r="M57" s="31" t="n">
        <x:v>0</x:v>
      </x:c>
      <x:c r="N57" s="24" t="str">
        <x:v>psettodes erumei</x:v>
      </x:c>
      <x:c r="O57" s="32" t="n">
        <x:v>4.39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Psettodes erumei</x:v>
      </x:c>
      <x:c r="T57" s="32" t="n">
        <x:f>IF(O57="","",(1/'Metadata'!$B$5)^(O57-1))</x:f>
        <x:v>2454.7089156850284</x:v>
      </x:c>
      <x:c r="U57" s="31" t="n">
        <x:f>IF(T57="","",I57*T57)</x:f>
        <x:v>1021740.1760539954</x:v>
      </x:c>
    </x:row>
    <x:row r="58" ht="18" customHeight="1">
      <x:c r="A58" s="24" t="str">
        <x:v>EEZ_957</x:v>
      </x:c>
      <x:c r="B58" s="24" t="str">
        <x:v>Thailand (Gulf of Thailand)</x:v>
      </x:c>
      <x:c r="C58" s="24" t="str">
        <x:v>EEZ</x:v>
      </x:c>
      <x:c r="D58" s="30" t="n">
        <x:v>2019</x:v>
      </x:c>
      <x:c r="E58" s="24" t="str">
        <x:v>Penaeus monodon</x:v>
      </x:c>
      <x:c r="F58" s="24" t="str">
        <x:v>Giant tiger prawn</x:v>
      </x:c>
      <x:c r="G58" s="24" t="str">
        <x:v>Shrimps</x:v>
      </x:c>
      <x:c r="H58" s="24" t="str">
        <x:v>Crustaceans</x:v>
      </x:c>
      <x:c r="I58" s="31" t="n">
        <x:v>353.3644348078</x:v>
      </x:c>
      <x:c r="J58" s="31" t="n">
        <x:v>353.3644348078</x:v>
      </x:c>
      <x:c r="K58" s="31" t="n">
        <x:v>0</x:v>
      </x:c>
      <x:c r="L58" s="31" t="n">
        <x:v>341.8038636962</x:v>
      </x:c>
      <x:c r="M58" s="31" t="n">
        <x:v>11.5605711116</x:v>
      </x:c>
      <x:c r="N58" s="24" t="str">
        <x:v>penaeus monodon</x:v>
      </x:c>
      <x:c r="O58" s="32" t="n">
        <x:v>2.6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Penaeus monodon</x:v>
      </x:c>
      <x:c r="T58" s="32" t="n">
        <x:f>IF(O58="","",(1/'Metadata'!$B$5)^(O58-1))</x:f>
        <x:v>39.810717055349734</x:v>
      </x:c>
      <x:c r="U58" s="31" t="n">
        <x:f>IF(T58="","",I58*T58)</x:f>
        <x:v>14067.691531556904</x:v>
      </x:c>
    </x:row>
    <x:row r="59" ht="18" customHeight="1">
      <x:c r="A59" s="24" t="str">
        <x:v>EEZ_957</x:v>
      </x:c>
      <x:c r="B59" s="24" t="str">
        <x:v>Thailand (Gulf of Thailand)</x:v>
      </x:c>
      <x:c r="C59" s="24" t="str">
        <x:v>EEZ</x:v>
      </x:c>
      <x:c r="D59" s="30" t="n">
        <x:v>2019</x:v>
      </x:c>
      <x:c r="E59" s="24" t="str">
        <x:v>Seriolina nigrofasciata</x:v>
      </x:c>
      <x:c r="F59" s="24" t="str">
        <x:v>Blackbanded trevally</x:v>
      </x:c>
      <x:c r="G59" s="24" t="str">
        <x:v>Medium reef assoc. fish (30 - 89 cm)</x:v>
      </x:c>
      <x:c r="H59" s="24" t="str">
        <x:v>Perch-likes</x:v>
      </x:c>
      <x:c r="I59" s="31" t="n">
        <x:v>117.52568379220001</x:v>
      </x:c>
      <x:c r="J59" s="31" t="n">
        <x:v>117.52568379220001</x:v>
      </x:c>
      <x:c r="K59" s="31" t="n">
        <x:v>0</x:v>
      </x:c>
      <x:c r="L59" s="31" t="n">
        <x:v>117.52568379220001</x:v>
      </x:c>
      <x:c r="M59" s="31" t="n">
        <x:v>0</x:v>
      </x:c>
      <x:c r="N59" s="24" t="str">
        <x:v>seriolina nigrofasciata</x:v>
      </x:c>
      <x:c r="O59" s="32" t="n">
        <x:v>4.17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Seriolina nigrofasciata</x:v>
      </x:c>
      <x:c r="T59" s="32" t="n">
        <x:f>IF(O59="","",(1/'Metadata'!$B$5)^(O59-1))</x:f>
        <x:v>1479.1083881682073</x:v>
      </x:c>
      <x:c r="U59" s="31" t="n">
        <x:f>IF(T59="","",I59*T59)</x:f>
        <x:v>173833.22472224737</x:v>
      </x:c>
    </x:row>
    <x:row r="60" ht="18" customHeight="1">
      <x:c r="A60" s="24" t="str">
        <x:v>EEZ_957</x:v>
      </x:c>
      <x:c r="B60" s="24" t="str">
        <x:v>Thailand (Gulf of Thailand)</x:v>
      </x:c>
      <x:c r="C60" s="24" t="str">
        <x:v>EEZ</x:v>
      </x:c>
      <x:c r="D60" s="30" t="n">
        <x:v>2019</x:v>
      </x:c>
      <x:c r="E60" s="24" t="str">
        <x:v>Modiolus</x:v>
      </x:c>
      <x:c r="F60" s="24" t="str">
        <x:v>Horse mussels</x:v>
      </x:c>
      <x:c r="G60" s="24" t="str">
        <x:v>Other demersal invertebrates</x:v>
      </x:c>
      <x:c r="H60" s="24" t="str">
        <x:v>Molluscs</x:v>
      </x:c>
      <x:c r="I60" s="31" t="n">
        <x:v>1.6334981647</x:v>
      </x:c>
      <x:c r="J60" s="31" t="n">
        <x:v>1.6334981647</x:v>
      </x:c>
      <x:c r="K60" s="31" t="n">
        <x:v>0</x:v>
      </x:c>
      <x:c r="L60" s="31" t="n">
        <x:v>0</x:v>
      </x:c>
      <x:c r="M60" s="31" t="n">
        <x:v>1.6334981647</x:v>
      </x:c>
      <x:c r="N60" s="24" t="str">
        <x:v>modiolus</x:v>
      </x:c>
      <x:c r="O60" s="32" t="n">
        <x:v>2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Modiolus</x:v>
      </x:c>
      <x:c r="T60" s="32" t="n">
        <x:f>IF(O60="","",(1/'Metadata'!$B$5)^(O60-1))</x:f>
        <x:v>10</x:v>
      </x:c>
      <x:c r="U60" s="31" t="n">
        <x:f>IF(T60="","",I60*T60)</x:f>
        <x:v>16.334981647</x:v>
      </x:c>
    </x:row>
  </x:sheetData>
  <x:conditionalFormatting sqref="R2:R6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43245bfd71f477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146954.0672195994</x:v>
      </x:c>
      <x:c r="E2" s="31" t="n">
        <x:v>146954.0672195994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IF(C2=0,"",SUMIF('Species'!$H$2:$H$60,A2,'Species'!$U$2:$U$60))</x:f>
        <x:v>23290650.074081607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23290650.074081607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10</x:v>
      </x:c>
      <x:c r="C3" s="33" t="n">
        <x:v>10</x:v>
      </x:c>
      <x:c r="D3" s="31" t="n">
        <x:v>106994.0230725569</x:v>
      </x:c>
      <x:c r="E3" s="31" t="n">
        <x:v>106994.0230725569</x:v>
      </x:c>
      <x:c r="F3" s="32" t="n">
        <x:v>0</x:v>
      </x:c>
      <x:c r="G3" s="34" t="n">
        <x:v>1</x:v>
      </x:c>
      <x:c r="H3" s="32" t="n">
        <x:f>IF(E3=0,"",I3/E3)</x:f>
        <x:v>89.23849838168272</x:v>
      </x:c>
      <x:c r="I3" s="31" t="n">
        <x:f>IF(C3=0,"",SUMIF('Species'!$H$2:$H$60,A3,'Species'!$U$2:$U$60))</x:f>
        <x:v>9547985.954810092</x:v>
      </x:c>
      <x:c r="J3" s="32" t="n">
        <x:v>2.746670247511138</x:v>
      </x:c>
      <x:c r="K3" s="32" t="n">
        <x:f>IF(J3="","",(1/'Metadata'!$B$5)^(J3-1))</x:f>
        <x:v>55.80463186610322</x:v>
      </x:c>
      <x:c r="L3" s="31" t="n">
        <x:f>IF(E3=0,"",E3*K3)</x:f>
        <x:v>5970762.069437392</x:v>
      </x:c>
      <x:c r="M3" s="31" t="n">
        <x:f>IF(E3=0,"",I3-L3)</x:f>
        <x:v>3577223.8853727</x:v>
      </x:c>
      <x:c r="N3" s="32" t="n">
        <x:f>IF(L3=0,"",I3/L3)</x:f>
        <x:v>1.5991235027909547</x:v>
      </x:c>
      <x:c r="O3" s="34" t="n">
        <x:f>IF(L3=0,"",M3/L3)</x:f>
        <x:v>0.5991235027909547</x:v>
      </x:c>
    </x:row>
    <x:row r="4" ht="18" customHeight="1">
      <x:c r="A4" s="24" t="str">
        <x:v>Flatfishes</x:v>
      </x:c>
      <x:c r="B4" s="33" t="n">
        <x:v>1</x:v>
      </x:c>
      <x:c r="C4" s="33" t="n">
        <x:v>1</x:v>
      </x:c>
      <x:c r="D4" s="31" t="n">
        <x:v>416.2367967645</x:v>
      </x:c>
      <x:c r="E4" s="31" t="n">
        <x:v>416.2367967645</x:v>
      </x:c>
      <x:c r="F4" s="32" t="n">
        <x:v>0</x:v>
      </x:c>
      <x:c r="G4" s="34" t="n">
        <x:v>1</x:v>
      </x:c>
      <x:c r="H4" s="32" t="n">
        <x:f>IF(E4=0,"",I4/E4)</x:f>
        <x:v>2454.7089156850284</x:v>
      </x:c>
      <x:c r="I4" s="31" t="n">
        <x:f>IF(C4=0,"",SUMIF('Species'!$H$2:$H$60,A4,'Species'!$U$2:$U$60))</x:f>
        <x:v>1021740.1760539954</x:v>
      </x:c>
      <x:c r="J4" s="32" t="n">
        <x:v>4.39</x:v>
      </x:c>
      <x:c r="K4" s="32" t="n">
        <x:f>IF(J4="","",(1/'Metadata'!$B$5)^(J4-1))</x:f>
        <x:v>2454.7089156850284</x:v>
      </x:c>
      <x:c r="L4" s="31" t="n">
        <x:f>IF(E4=0,"",E4*K4)</x:f>
        <x:v>1021740.1760539954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Herring-likes</x:v>
      </x:c>
      <x:c r="B5" s="33" t="n">
        <x:v>2</x:v>
      </x:c>
      <x:c r="C5" s="33" t="n">
        <x:v>2</x:v>
      </x:c>
      <x:c r="D5" s="31" t="n">
        <x:v>103389.9989006993</x:v>
      </x:c>
      <x:c r="E5" s="31" t="n">
        <x:v>103389.9989006993</x:v>
      </x:c>
      <x:c r="F5" s="32" t="n">
        <x:v>0</x:v>
      </x:c>
      <x:c r="G5" s="34" t="n">
        <x:v>1</x:v>
      </x:c>
      <x:c r="H5" s="32" t="n">
        <x:f>IF(E5=0,"",I5/E5)</x:f>
        <x:v>135.3838239232239</x:v>
      </x:c>
      <x:c r="I5" s="31" t="n">
        <x:f>IF(C5=0,"",SUMIF('Species'!$H$2:$H$60,A5,'Species'!$U$2:$U$60))</x:f>
        <x:v>13997333.406594586</x:v>
      </x:c>
      <x:c r="J5" s="32" t="n">
        <x:v>2.84168649588663</x:v>
      </x:c>
      <x:c r="K5" s="32" t="n">
        <x:f>IF(J5="","",(1/'Metadata'!$B$5)^(J5-1))</x:f>
        <x:v>69.45227814992072</x:v>
      </x:c>
      <x:c r="L5" s="31" t="n">
        <x:f>IF(E5=0,"",E5*K5)</x:f>
        <x:v>7180670.961571365</x:v>
      </x:c>
      <x:c r="M5" s="31" t="n">
        <x:f>IF(E5=0,"",I5-L5)</x:f>
        <x:v>6816662.445023221</x:v>
      </x:c>
      <x:c r="N5" s="32" t="n">
        <x:f>IF(L5=0,"",I5/L5)</x:f>
        <x:v>1.9493071721993391</x:v>
      </x:c>
      <x:c r="O5" s="34" t="n">
        <x:f>IF(L5=0,"",M5/L5)</x:f>
        <x:v>0.949307172199339</x:v>
      </x:c>
    </x:row>
    <x:row r="6" ht="18" customHeight="1">
      <x:c r="A6" s="24" t="str">
        <x:v>Molluscs</x:v>
      </x:c>
      <x:c r="B6" s="33" t="n">
        <x:v>4</x:v>
      </x:c>
      <x:c r="C6" s="33" t="n">
        <x:v>4</x:v>
      </x:c>
      <x:c r="D6" s="31" t="n">
        <x:v>36019.626730407</x:v>
      </x:c>
      <x:c r="E6" s="31" t="n">
        <x:v>36019.626730407</x:v>
      </x:c>
      <x:c r="F6" s="32" t="n">
        <x:v>0</x:v>
      </x:c>
      <x:c r="G6" s="34" t="n">
        <x:v>1</x:v>
      </x:c>
      <x:c r="H6" s="32" t="n">
        <x:f>IF(E6=0,"",I6/E6)</x:f>
        <x:v>10.559559565592876</x:v>
      </x:c>
      <x:c r="I6" s="31" t="n">
        <x:f>IF(C6=0,"",SUMIF('Species'!$H$2:$H$60,A6,'Species'!$U$2:$U$60))</x:f>
        <x:v>380351.3939901541</x:v>
      </x:c>
      <x:c r="J6" s="32" t="n">
        <x:v>2.0216108400375044</x:v>
      </x:c>
      <x:c r="K6" s="32" t="n">
        <x:f>IF(J6="","",(1/'Metadata'!$B$5)^(J6-1))</x:f>
        <x:v>10.510196604238617</x:v>
      </x:c>
      <x:c r="L6" s="31" t="n">
        <x:f>IF(E6=0,"",E6*K6)</x:f>
        <x:v>378573.35854786617</x:v>
      </x:c>
      <x:c r="M6" s="31" t="n">
        <x:f>IF(E6=0,"",I6-L6)</x:f>
        <x:v>1778.0354422879172</x:v>
      </x:c>
      <x:c r="N6" s="32" t="n">
        <x:f>IF(L6=0,"",I6/L6)</x:f>
        <x:v>1.0046966734508422</x:v>
      </x:c>
      <x:c r="O6" s="34" t="n">
        <x:f>IF(L6=0,"",M6/L6)</x:f>
        <x:v>0.004696673450842171</x:v>
      </x:c>
    </x:row>
    <x:row r="7" ht="18" customHeight="1">
      <x:c r="A7" s="24" t="str">
        <x:v>Other fishes &amp; inverts</x:v>
      </x:c>
      <x:c r="B7" s="33" t="n">
        <x:v>12</x:v>
      </x:c>
      <x:c r="C7" s="33" t="n">
        <x:v>12</x:v>
      </x:c>
      <x:c r="D7" s="31" t="n">
        <x:v>235876.25217079857</x:v>
      </x:c>
      <x:c r="E7" s="31" t="n">
        <x:v>235876.25217079857</x:v>
      </x:c>
      <x:c r="F7" s="32" t="n">
        <x:v>0</x:v>
      </x:c>
      <x:c r="G7" s="34" t="n">
        <x:v>1</x:v>
      </x:c>
      <x:c r="H7" s="32" t="n">
        <x:f>IF(E7=0,"",I7/E7)</x:f>
        <x:v>989.4962210905114</x:v>
      </x:c>
      <x:c r="I7" s="31" t="n">
        <x:f>IF(C7=0,"",SUMIF('Species'!$H$2:$H$60,A7,'Species'!$U$2:$U$60))</x:f>
        <x:v>233398660.16799772</x:v>
      </x:c>
      <x:c r="J7" s="32" t="n">
        <x:v>3.832719873667397</x:v>
      </x:c>
      <x:c r="K7" s="32" t="n">
        <x:f>IF(J7="","",(1/'Metadata'!$B$5)^(J7-1))</x:f>
        <x:v>680.3303940226441</x:v>
      </x:c>
      <x:c r="L7" s="31" t="n">
        <x:f>IF(E7=0,"",E7*K7)</x:f>
        <x:v>160473783.57994395</x:v>
      </x:c>
      <x:c r="M7" s="31" t="n">
        <x:f>IF(E7=0,"",I7-L7)</x:f>
        <x:v>72924876.58805376</x:v>
      </x:c>
      <x:c r="N7" s="32" t="n">
        <x:f>IF(L7=0,"",I7/L7)</x:f>
        <x:v>1.4544348301710257</x:v>
      </x:c>
      <x:c r="O7" s="34" t="n">
        <x:f>IF(L7=0,"",M7/L7)</x:f>
        <x:v>0.4544348301710257</x:v>
      </x:c>
    </x:row>
    <x:row r="8" ht="18" customHeight="1">
      <x:c r="A8" s="24" t="str">
        <x:v>Perch-likes</x:v>
      </x:c>
      <x:c r="B8" s="33" t="n">
        <x:v>24</x:v>
      </x:c>
      <x:c r="C8" s="33" t="n">
        <x:v>24</x:v>
      </x:c>
      <x:c r="D8" s="31" t="n">
        <x:v>644440.128433602</x:v>
      </x:c>
      <x:c r="E8" s="31" t="n">
        <x:v>644440.128433602</x:v>
      </x:c>
      <x:c r="F8" s="32" t="n">
        <x:v>0</x:v>
      </x:c>
      <x:c r="G8" s="34" t="n">
        <x:v>1</x:v>
      </x:c>
      <x:c r="H8" s="32" t="n">
        <x:f>IF(E8=0,"",I8/E8)</x:f>
        <x:v>608.4329714856995</x:v>
      </x:c>
      <x:c r="I8" s="31" t="n">
        <x:f>IF(C8=0,"",SUMIF('Species'!$H$2:$H$60,A8,'Species'!$U$2:$U$60))</x:f>
        <x:v>392098622.2874823</x:v>
      </x:c>
      <x:c r="J8" s="32" t="n">
        <x:v>3.6095280409644923</x:v>
      </x:c>
      <x:c r="K8" s="32" t="n">
        <x:f>IF(J8="","",(1/'Metadata'!$B$5)^(J8-1))</x:f>
        <x:v>406.9378075951037</x:v>
      </x:c>
      <x:c r="L8" s="31" t="n">
        <x:f>IF(E8=0,"",E8*K8)</x:f>
        <x:v>262247052.99107707</x:v>
      </x:c>
      <x:c r="M8" s="31" t="n">
        <x:f>IF(E8=0,"",I8-L8)</x:f>
        <x:v>129851569.29640526</x:v>
      </x:c>
      <x:c r="N8" s="32" t="n">
        <x:f>IF(L8=0,"",I8/L8)</x:f>
        <x:v>1.495149775051327</x:v>
      </x:c>
      <x:c r="O8" s="34" t="n">
        <x:f>IF(L8=0,"",M8/L8)</x:f>
        <x:v>0.49514977505132707</x:v>
      </x:c>
    </x:row>
    <x:row r="9" ht="18" customHeight="1">
      <x:c r="A9" s="24" t="str">
        <x:v>Scorpionfishes</x:v>
      </x:c>
      <x:c r="B9" s="33" t="n">
        <x:v>1</x:v>
      </x:c>
      <x:c r="C9" s="33" t="n">
        <x:v>1</x:v>
      </x:c>
      <x:c r="D9" s="31" t="n">
        <x:v>40329.318471720704</x:v>
      </x:c>
      <x:c r="E9" s="31" t="n">
        <x:v>40329.318471720704</x:v>
      </x:c>
      <x:c r="F9" s="32" t="n">
        <x:v>0</x:v>
      </x:c>
      <x:c r="G9" s="34" t="n">
        <x:v>1</x:v>
      </x:c>
      <x:c r="H9" s="32" t="n">
        <x:f>IF(E9=0,"",I9/E9)</x:f>
        <x:v>794.3282347242813</x:v>
      </x:c>
      <x:c r="I9" s="31" t="n">
        <x:f>IF(C9=0,"",SUMIF('Species'!$H$2:$H$60,A9,'Species'!$U$2:$U$60))</x:f>
        <x:v>32034716.349275257</x:v>
      </x:c>
      <x:c r="J9" s="32" t="n">
        <x:v>3.9000000000000004</x:v>
      </x:c>
      <x:c r="K9" s="32" t="n">
        <x:f>IF(J9="","",(1/'Metadata'!$B$5)^(J9-1))</x:f>
        <x:v>794.3282347242822</x:v>
      </x:c>
      <x:c r="L9" s="31" t="n">
        <x:f>IF(E9=0,"",E9*K9)</x:f>
        <x:v>32034716.349275295</x:v>
      </x:c>
      <x:c r="M9" s="31" t="n">
        <x:f>IF(E9=0,"",I9-L9)</x:f>
        <x:v>-3.725290298461914e-8</x:v>
      </x:c>
      <x:c r="N9" s="32" t="n">
        <x:f>IF(L9=0,"",I9/L9)</x:f>
        <x:v>0.9999999999999989</x:v>
      </x:c>
      <x:c r="O9" s="34" t="n">
        <x:f>IF(L9=0,"",M9/L9)</x:f>
        <x:v>-1.1628916135373209e-15</x:v>
      </x:c>
    </x:row>
    <x:row r="10" ht="18" customHeight="1">
      <x:c r="A10" s="24" t="str">
        <x:v>Sharks &amp; rays</x:v>
      </x:c>
      <x:c r="B10" s="33" t="n">
        <x:v>2</x:v>
      </x:c>
      <x:c r="C10" s="33" t="n">
        <x:v>2</x:v>
      </x:c>
      <x:c r="D10" s="31" t="n">
        <x:v>2517.8727224348</x:v>
      </x:c>
      <x:c r="E10" s="31" t="n">
        <x:v>2517.8727224348</x:v>
      </x:c>
      <x:c r="F10" s="32" t="n">
        <x:v>0</x:v>
      </x:c>
      <x:c r="G10" s="34" t="n">
        <x:v>1</x:v>
      </x:c>
      <x:c r="H10" s="32" t="n">
        <x:f>IF(E10=0,"",I10/E10)</x:f>
        <x:v>634.9167353472576</x:v>
      </x:c>
      <x:c r="I10" s="31" t="n">
        <x:f>IF(C10=0,"",SUMIF('Species'!$H$2:$H$60,A10,'Species'!$U$2:$U$60))</x:f>
        <x:v>1598639.5289482148</x:v>
      </x:c>
      <x:c r="J10" s="32" t="n">
        <x:v>3.78084292008026</x:v>
      </x:c>
      <x:c r="K10" s="32" t="n">
        <x:f>IF(J10="","",(1/'Metadata'!$B$5)^(J10-1))</x:f>
        <x:v>603.7302267675145</x:v>
      </x:c>
      <x:c r="L10" s="31" t="n">
        <x:f>IF(E10=0,"",E10*K10)</x:f>
        <x:v>1520115.8696873009</x:v>
      </x:c>
      <x:c r="M10" s="31" t="n">
        <x:f>IF(E10=0,"",I10-L10)</x:f>
        <x:v>78523.65926091396</x:v>
      </x:c>
      <x:c r="N10" s="32" t="n">
        <x:f>IF(L10=0,"",I10/L10)</x:f>
        <x:v>1.0516563643777148</x:v>
      </x:c>
      <x:c r="O10" s="34" t="n">
        <x:f>IF(L10=0,"",M10/L10)</x:f>
        <x:v>0.051656364377714745</x:v>
      </x:c>
    </x:row>
    <x:row r="11" ht="18" customHeight="1">
      <x:c r="A11" s="24" t="str">
        <x:v>Tuna &amp; billfishes</x:v>
      </x:c>
      <x:c r="B11" s="33" t="n">
        <x:v>2</x:v>
      </x:c>
      <x:c r="C11" s="33" t="n">
        <x:v>2</x:v>
      </x:c>
      <x:c r="D11" s="31" t="n">
        <x:v>10028.7869241279</x:v>
      </x:c>
      <x:c r="E11" s="31" t="n">
        <x:v>10028.7869241279</x:v>
      </x:c>
      <x:c r="F11" s="32" t="n">
        <x:v>0</x:v>
      </x:c>
      <x:c r="G11" s="34" t="n">
        <x:v>1</x:v>
      </x:c>
      <x:c r="H11" s="32" t="n">
        <x:f>IF(E11=0,"",I11/E11)</x:f>
        <x:v>3162.2776601683795</x:v>
      </x:c>
      <x:c r="I11" s="31" t="n">
        <x:f>IF(C11=0,"",SUMIF('Species'!$H$2:$H$60,A11,'Species'!$U$2:$U$60))</x:f>
        <x:v>31713808.848758414</x:v>
      </x:c>
      <x:c r="J11" s="32" t="n">
        <x:v>4.5</x:v>
      </x:c>
      <x:c r="K11" s="32" t="n">
        <x:f>IF(J11="","",(1/'Metadata'!$B$5)^(J11-1))</x:f>
        <x:v>3162.2776601683795</x:v>
      </x:c>
      <x:c r="L11" s="31" t="n">
        <x:f>IF(E11=0,"",E11*K11)</x:f>
        <x:v>31713808.848758418</x:v>
      </x:c>
      <x:c r="M11" s="31" t="n">
        <x:f>IF(E11=0,"",I11-L11)</x:f>
        <x:v>-3.725290298461914e-9</x:v>
      </x:c>
      <x:c r="N11" s="32" t="n">
        <x:f>IF(L11=0,"",I11/L11)</x:f>
        <x:v>0.9999999999999999</x:v>
      </x:c>
      <x:c r="O11" s="34" t="n">
        <x:f>IF(L11=0,"",M11/L11)</x:f>
        <x:v>-1.1746587476224123e-16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5a39e65a07448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4</x:v>
      </x:c>
      <x:c r="C2" s="33" t="n">
        <x:v>4</x:v>
      </x:c>
      <x:c r="D2" s="31" t="n">
        <x:v>98777.7110973716</x:v>
      </x:c>
      <x:c r="E2" s="31" t="n">
        <x:v>98777.7110973716</x:v>
      </x:c>
      <x:c r="F2" s="32" t="n">
        <x:v>0</x:v>
      </x:c>
      <x:c r="G2" s="34" t="n">
        <x:v>1</x:v>
      </x:c>
      <x:c r="H2" s="32" t="n">
        <x:f>IF(E2=0,"",I2/E2)</x:f>
        <x:v>718.0129027762893</x:v>
      </x:c>
      <x:c r="I2" s="31" t="n">
        <x:f>IF(C2=0,"",SUMIF('Species'!$G$2:$G$60,A2,'Species'!$U$2:$U$60))</x:f>
        <x:v>70923671.07462147</x:v>
      </x:c>
      <x:c r="J2" s="32" t="n">
        <x:v>3.8392088946281477</x:v>
      </x:c>
      <x:c r="K2" s="32" t="n">
        <x:f>IF(J2="","",(1/'Metadata'!$B$5)^(J2-1))</x:f>
        <x:v>690.5718874278163</x:v>
      </x:c>
      <x:c r="L2" s="31" t="n">
        <x:f>IF(E2=0,"",E2*K2)</x:f>
        <x:v>68213110.38831146</x:v>
      </x:c>
      <x:c r="M2" s="31" t="n">
        <x:f>IF(E2=0,"",I2-L2)</x:f>
        <x:v>2710560.686310008</x:v>
      </x:c>
      <x:c r="N2" s="32" t="n">
        <x:f>IF(L2=0,"",I2/L2)</x:f>
        <x:v>1.0397366528352074</x:v>
      </x:c>
      <x:c r="O2" s="34" t="n">
        <x:f>IF(L2=0,"",M2/L2)</x:f>
        <x:v>0.039736652835207345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3392.8256918604</x:v>
      </x:c>
      <x:c r="E3" s="31" t="n">
        <x:v>3392.8256918604</x:v>
      </x:c>
      <x:c r="F3" s="32" t="n">
        <x:v>0</x:v>
      </x:c>
      <x:c r="G3" s="34" t="n">
        <x:v>1</x:v>
      </x:c>
      <x:c r="H3" s="32" t="n">
        <x:f>IF(E3=0,"",I3/E3)</x:f>
        <x:v>288.40315031266056</x:v>
      </x:c>
      <x:c r="I3" s="31" t="n">
        <x:f>IF(C3=0,"",SUMIF('Species'!$G$2:$G$60,A3,'Species'!$U$2:$U$60))</x:f>
        <x:v>978501.6179942716</x:v>
      </x:c>
      <x:c r="J3" s="32" t="n">
        <x:v>3.46</x:v>
      </x:c>
      <x:c r="K3" s="32" t="n">
        <x:f>IF(J3="","",(1/'Metadata'!$B$5)^(J3-1))</x:f>
        <x:v>288.40315031266056</x:v>
      </x:c>
      <x:c r="L3" s="31" t="n">
        <x:f>IF(E3=0,"",E3*K3)</x:f>
        <x:v>978501.6179942716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2</x:v>
      </x:c>
      <x:c r="C4" s="33" t="n">
        <x:v>2</x:v>
      </x:c>
      <x:c r="D4" s="31" t="n">
        <x:v>9834.0982007401</x:v>
      </x:c>
      <x:c r="E4" s="31" t="n">
        <x:v>9834.0982007401</x:v>
      </x:c>
      <x:c r="F4" s="32" t="n">
        <x:v>0</x:v>
      </x:c>
      <x:c r="G4" s="34" t="n">
        <x:v>1</x:v>
      </x:c>
      <x:c r="H4" s="32" t="n">
        <x:f>IF(E4=0,"",I4/E4)</x:f>
        <x:v>2079.311466504065</x:v>
      </x:c>
      <x:c r="I4" s="31" t="n">
        <x:f>IF(C4=0,"",SUMIF('Species'!$G$2:$G$60,A4,'Species'!$U$2:$U$60))</x:f>
        <x:v>20448153.15152588</x:v>
      </x:c>
      <x:c r="J4" s="32" t="n">
        <x:v>4.304050738881705</x:v>
      </x:c>
      <x:c r="K4" s="32" t="n">
        <x:f>IF(J4="","",(1/'Metadata'!$B$5)^(J4-1))</x:f>
        <x:v>2013.9595282035193</x:v>
      </x:c>
      <x:c r="L4" s="31" t="n">
        <x:f>IF(E4=0,"",E4*K4)</x:f>
        <x:v>19805475.77266961</x:v>
      </x:c>
      <x:c r="M4" s="31" t="n">
        <x:f>IF(E4=0,"",I4-L4)</x:f>
        <x:v>642677.3788562715</x:v>
      </x:c>
      <x:c r="N4" s="32" t="n">
        <x:f>IF(L4=0,"",I4/L4)</x:f>
        <x:v>1.0324494794385666</x:v>
      </x:c>
      <x:c r="O4" s="34" t="n">
        <x:f>IF(L4=0,"",M4/L4)</x:f>
        <x:v>0.0324494794385666</x:v>
      </x:c>
    </x:row>
    <x:row r="5" ht="18" customHeight="1">
      <x:c r="A5" s="24" t="str">
        <x:v>Large demersals (&gt;=90 cm)</x:v>
      </x:c>
      <x:c r="B5" s="33" t="n">
        <x:v>2</x:v>
      </x:c>
      <x:c r="C5" s="33" t="n">
        <x:v>2</x:v>
      </x:c>
      <x:c r="D5" s="31" t="n">
        <x:v>3076.1890395431</x:v>
      </x:c>
      <x:c r="E5" s="31" t="n">
        <x:v>3076.1890395431</x:v>
      </x:c>
      <x:c r="F5" s="32" t="n">
        <x:v>0</x:v>
      </x:c>
      <x:c r="G5" s="34" t="n">
        <x:v>1</x:v>
      </x:c>
      <x:c r="H5" s="32" t="n">
        <x:f>IF(E5=0,"",I5/E5)</x:f>
        <x:v>2366.361502129572</x:v>
      </x:c>
      <x:c r="I5" s="31" t="n">
        <x:f>IF(C5=0,"",SUMIF('Species'!$G$2:$G$60,A5,'Species'!$U$2:$U$60))</x:f>
        <x:v>7279375.316447736</x:v>
      </x:c>
      <x:c r="J5" s="32" t="n">
        <x:v>4.373915859882685</x:v>
      </x:c>
      <x:c r="K5" s="32" t="n">
        <x:f>IF(J5="","",(1/'Metadata'!$B$5)^(J5-1))</x:f>
        <x:v>2365.461369124072</x:v>
      </x:c>
      <x:c r="L5" s="31" t="n">
        <x:f>IF(E5=0,"",E5*K5)</x:f>
        <x:v>7276606.337162086</x:v>
      </x:c>
      <x:c r="M5" s="31" t="n">
        <x:f>IF(E5=0,"",I5-L5)</x:f>
        <x:v>2768.9792856499553</x:v>
      </x:c>
      <x:c r="N5" s="32" t="n">
        <x:f>IF(L5=0,"",I5/L5)</x:f>
        <x:v>1.0003805316870735</x:v>
      </x:c>
      <x:c r="O5" s="34" t="n">
        <x:f>IF(L5=0,"",M5/L5)</x:f>
        <x:v>0.0003805316870734925</x:v>
      </x:c>
    </x:row>
    <x:row r="6" ht="18" customHeight="1">
      <x:c r="A6" s="24" t="str">
        <x:v>Large pelagics (&gt;=90 cm)</x:v>
      </x:c>
      <x:c r="B6" s="33" t="n">
        <x:v>5</x:v>
      </x:c>
      <x:c r="C6" s="33" t="n">
        <x:v>5</x:v>
      </x:c>
      <x:c r="D6" s="31" t="n">
        <x:v>37447.9265079803</x:v>
      </x:c>
      <x:c r="E6" s="31" t="n">
        <x:v>37447.9265079803</x:v>
      </x:c>
      <x:c r="F6" s="32" t="n">
        <x:v>0</x:v>
      </x:c>
      <x:c r="G6" s="34" t="n">
        <x:v>1</x:v>
      </x:c>
      <x:c r="H6" s="32" t="n">
        <x:f>IF(E6=0,"",I6/E6)</x:f>
        <x:v>2635.2252615236903</x:v>
      </x:c>
      <x:c r="I6" s="31" t="n">
        <x:f>IF(C6=0,"",SUMIF('Species'!$G$2:$G$60,A6,'Species'!$U$2:$U$60))</x:f>
        <x:v>98683721.92551233</x:v>
      </x:c>
      <x:c r="J6" s="32" t="n">
        <x:v>4.416864761116428</x:v>
      </x:c>
      <x:c r="K6" s="32" t="n">
        <x:f>IF(J6="","",(1/'Metadata'!$B$5)^(J6-1))</x:f>
        <x:v>2611.348056504821</x:v>
      </x:c>
      <x:c r="L6" s="31" t="n">
        <x:f>IF(E6=0,"",E6*K6)</x:f>
        <x:v>97789570.10674973</x:v>
      </x:c>
      <x:c r="M6" s="31" t="n">
        <x:f>IF(E6=0,"",I6-L6)</x:f>
        <x:v>894151.8187626004</x:v>
      </x:c>
      <x:c r="N6" s="32" t="n">
        <x:f>IF(L6=0,"",I6/L6)</x:f>
        <x:v>1.0091436317573186</x:v>
      </x:c>
      <x:c r="O6" s="34" t="n">
        <x:f>IF(L6=0,"",M6/L6)</x:f>
        <x:v>0.009143631757318497</x:v>
      </x:c>
    </x:row>
    <x:row r="7" ht="18" customHeight="1">
      <x:c r="A7" s="24" t="str">
        <x:v>Large rays (&gt;=90 cm)</x:v>
      </x:c>
      <x:c r="B7" s="33" t="n">
        <x:v>1</x:v>
      </x:c>
      <x:c r="C7" s="33" t="n">
        <x:v>1</x:v>
      </x:c>
      <x:c r="D7" s="31" t="n">
        <x:v>2053.6462714548998</x:v>
      </x:c>
      <x:c r="E7" s="31" t="n">
        <x:v>2053.6462714548998</x:v>
      </x:c>
      <x:c r="F7" s="32" t="n">
        <x:v>0</x:v>
      </x:c>
      <x:c r="G7" s="34" t="n">
        <x:v>1</x:v>
      </x:c>
      <x:c r="H7" s="32" t="n">
        <x:f>IF(E7=0,"",I7/E7)</x:f>
        <x:v>524.8074602497728</x:v>
      </x:c>
      <x:c r="I7" s="31" t="n">
        <x:f>IF(C7=0,"",SUMIF('Species'!$G$2:$G$60,A7,'Species'!$U$2:$U$60))</x:f>
        <x:v>1077768.8839736616</x:v>
      </x:c>
      <x:c r="J7" s="32" t="n">
        <x:v>3.72</x:v>
      </x:c>
      <x:c r="K7" s="32" t="n">
        <x:f>IF(J7="","",(1/'Metadata'!$B$5)^(J7-1))</x:f>
        <x:v>524.8074602497728</x:v>
      </x:c>
      <x:c r="L7" s="31" t="n">
        <x:f>IF(E7=0,"",E7*K7)</x:f>
        <x:v>1077768.8839736616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Large sharks (&gt;=90 cm)</x:v>
      </x:c>
      <x:c r="B8" s="33" t="n">
        <x:v>1</x:v>
      </x:c>
      <x:c r="C8" s="33" t="n">
        <x:v>1</x:v>
      </x:c>
      <x:c r="D8" s="31" t="n">
        <x:v>464.2264509799</x:v>
      </x:c>
      <x:c r="E8" s="31" t="n">
        <x:v>464.2264509799</x:v>
      </x:c>
      <x:c r="F8" s="32" t="n">
        <x:v>0</x:v>
      </x:c>
      <x:c r="G8" s="34" t="n">
        <x:v>1</x:v>
      </x:c>
      <x:c r="H8" s="32" t="n">
        <x:f>IF(E8=0,"",I8/E8)</x:f>
        <x:v>1122.018454301963</x:v>
      </x:c>
      <x:c r="I8" s="31" t="n">
        <x:f>IF(C8=0,"",SUMIF('Species'!$G$2:$G$60,A8,'Species'!$U$2:$U$60))</x:f>
        <x:v>520870.6449745534</x:v>
      </x:c>
      <x:c r="J8" s="32" t="n">
        <x:v>4.05</x:v>
      </x:c>
      <x:c r="K8" s="32" t="n">
        <x:f>IF(J8="","",(1/'Metadata'!$B$5)^(J8-1))</x:f>
        <x:v>1122.018454301963</x:v>
      </x:c>
      <x:c r="L8" s="31" t="n">
        <x:f>IF(E8=0,"",E8*K8)</x:f>
        <x:v>520870.6449745534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Lobsters, crabs</x:v>
      </x:c>
      <x:c r="B9" s="33" t="n">
        <x:v>3</x:v>
      </x:c>
      <x:c r="C9" s="33" t="n">
        <x:v>3</x:v>
      </x:c>
      <x:c r="D9" s="31" t="n">
        <x:v>41434.592468290495</x:v>
      </x:c>
      <x:c r="E9" s="31" t="n">
        <x:v>41434.592468290495</x:v>
      </x:c>
      <x:c r="F9" s="32" t="n">
        <x:v>0</x:v>
      </x:c>
      <x:c r="G9" s="34" t="n">
        <x:v>1</x:v>
      </x:c>
      <x:c r="H9" s="32" t="n">
        <x:f>IF(E9=0,"",I9/E9)</x:f>
        <x:v>32.91366130474342</x:v>
      </x:c>
      <x:c r="I9" s="31" t="n">
        <x:f>IF(C9=0,"",SUMIF('Species'!$G$2:$G$60,A9,'Species'!$U$2:$U$60))</x:f>
        <x:v>1363764.142801386</x:v>
      </x:c>
      <x:c r="J9" s="32" t="n">
        <x:v>2.4965136033689537</x:v>
      </x:c>
      <x:c r="K9" s="32" t="n">
        <x:f>IF(J9="","",(1/'Metadata'!$B$5)^(J9-1))</x:f>
        <x:v>31.36993388395404</x:v>
      </x:c>
      <x:c r="L9" s="31" t="n">
        <x:f>IF(E9=0,"",E9*K9)</x:f>
        <x:v>1299800.4262388528</x:v>
      </x:c>
      <x:c r="M9" s="31" t="n">
        <x:f>IF(E9=0,"",I9-L9)</x:f>
        <x:v>63963.716562533285</x:v>
      </x:c>
      <x:c r="N9" s="32" t="n">
        <x:f>IF(L9=0,"",I9/L9)</x:f>
        <x:v>1.0492104135922011</x:v>
      </x:c>
      <x:c r="O9" s="34" t="n">
        <x:f>IF(L9=0,"",M9/L9)</x:f>
        <x:v>0.049210413592201144</x:v>
      </x:c>
    </x:row>
    <x:row r="10" ht="18" customHeight="1">
      <x:c r="A10" s="24" t="str">
        <x:v>Medium benthopelagics (30 - 89 cm)</x:v>
      </x:c>
      <x:c r="B10" s="33" t="n">
        <x:v>2</x:v>
      </x:c>
      <x:c r="C10" s="33" t="n">
        <x:v>2</x:v>
      </x:c>
      <x:c r="D10" s="31" t="n">
        <x:v>7476.726157072801</x:v>
      </x:c>
      <x:c r="E10" s="31" t="n">
        <x:v>7476.726157072801</x:v>
      </x:c>
      <x:c r="F10" s="32" t="n">
        <x:v>0</x:v>
      </x:c>
      <x:c r="G10" s="34" t="n">
        <x:v>1</x:v>
      </x:c>
      <x:c r="H10" s="32" t="n">
        <x:f>IF(E10=0,"",I10/E10)</x:f>
        <x:v>93.10487362163526</x:v>
      </x:c>
      <x:c r="I10" s="31" t="n">
        <x:f>IF(C10=0,"",SUMIF('Species'!$G$2:$G$60,A10,'Species'!$U$2:$U$60))</x:f>
        <x:v>696119.6439578378</x:v>
      </x:c>
      <x:c r="J10" s="32" t="n">
        <x:v>2.955842435883567</x:v>
      </x:c>
      <x:c r="K10" s="32" t="n">
        <x:f>IF(J10="","",(1/'Metadata'!$B$5)^(J10-1))</x:f>
        <x:v>90.33216848339337</x:v>
      </x:c>
      <x:c r="L10" s="31" t="n">
        <x:f>IF(E10=0,"",E10*K10)</x:f>
        <x:v>675388.8869248945</x:v>
      </x:c>
      <x:c r="M10" s="31" t="n">
        <x:f>IF(E10=0,"",I10-L10)</x:f>
        <x:v>20730.757032943307</x:v>
      </x:c>
      <x:c r="N10" s="32" t="n">
        <x:f>IF(L10=0,"",I10/L10)</x:f>
        <x:v>1.0306945486286165</x:v>
      </x:c>
      <x:c r="O10" s="34" t="n">
        <x:f>IF(L10=0,"",M10/L10)</x:f>
        <x:v>0.030694548628616442</x:v>
      </x:c>
    </x:row>
    <x:row r="11" ht="18" customHeight="1">
      <x:c r="A11" s="24" t="str">
        <x:v>Medium demersals (30 - 89 cm)</x:v>
      </x:c>
      <x:c r="B11" s="33" t="n">
        <x:v>7</x:v>
      </x:c>
      <x:c r="C11" s="33" t="n">
        <x:v>7</x:v>
      </x:c>
      <x:c r="D11" s="31" t="n">
        <x:v>213360.0982276743</x:v>
      </x:c>
      <x:c r="E11" s="31" t="n">
        <x:v>213360.0982276743</x:v>
      </x:c>
      <x:c r="F11" s="32" t="n">
        <x:v>0</x:v>
      </x:c>
      <x:c r="G11" s="34" t="n">
        <x:v>1</x:v>
      </x:c>
      <x:c r="H11" s="32" t="n">
        <x:f>IF(E11=0,"",I11/E11)</x:f>
        <x:v>992.9496202231189</x:v>
      </x:c>
      <x:c r="I11" s="31" t="n">
        <x:f>IF(C11=0,"",SUMIF('Species'!$G$2:$G$60,A11,'Species'!$U$2:$U$60))</x:f>
        <x:v>211855828.50593653</x:v>
      </x:c>
      <x:c r="J11" s="32" t="n">
        <x:v>3.833027931596131</x:v>
      </x:c>
      <x:c r="K11" s="32" t="n">
        <x:f>IF(J11="","",(1/'Metadata'!$B$5)^(J11-1))</x:f>
        <x:v>680.8131436992243</x:v>
      </x:c>
      <x:c r="L11" s="31" t="n">
        <x:f>IF(E11=0,"",E11*K11)</x:f>
        <x:v>145258359.2143582</x:v>
      </x:c>
      <x:c r="M11" s="31" t="n">
        <x:f>IF(E11=0,"",I11-L11)</x:f>
        <x:v>66597469.29157832</x:v>
      </x:c>
      <x:c r="N11" s="32" t="n">
        <x:f>IF(L11=0,"",I11/L11)</x:f>
        <x:v>1.4584759848023634</x:v>
      </x:c>
      <x:c r="O11" s="34" t="n">
        <x:f>IF(L11=0,"",M11/L11)</x:f>
        <x:v>0.4584759848023633</x:v>
      </x:c>
    </x:row>
    <x:row r="12" ht="18" customHeight="1">
      <x:c r="A12" s="24" t="str">
        <x:v>Medium pelagics (30 - 89 cm)</x:v>
      </x:c>
      <x:c r="B12" s="33" t="n">
        <x:v>6</x:v>
      </x:c>
      <x:c r="C12" s="33" t="n">
        <x:v>6</x:v>
      </x:c>
      <x:c r="D12" s="31" t="n">
        <x:v>228922.37974357037</x:v>
      </x:c>
      <x:c r="E12" s="31" t="n">
        <x:v>228922.37974357037</x:v>
      </x:c>
      <x:c r="F12" s="32" t="n">
        <x:v>0</x:v>
      </x:c>
      <x:c r="G12" s="34" t="n">
        <x:v>1</x:v>
      </x:c>
      <x:c r="H12" s="32" t="n">
        <x:f>IF(E12=0,"",I12/E12)</x:f>
        <x:v>828.5721017334367</x:v>
      </x:c>
      <x:c r="I12" s="31" t="n">
        <x:f>IF(C12=0,"",SUMIF('Species'!$G$2:$G$60,A12,'Species'!$U$2:$U$60))</x:f>
        <x:v>189678697.31795004</x:v>
      </x:c>
      <x:c r="J12" s="32" t="n">
        <x:v>3.788913840709162</x:v>
      </x:c>
      <x:c r="K12" s="32" t="n">
        <x:f>IF(J12="","",(1/'Metadata'!$B$5)^(J12-1))</x:f>
        <x:v>615.0548404298831</x:v>
      </x:c>
      <x:c r="L12" s="31" t="n">
        <x:f>IF(E12=0,"",E12*K12)</x:f>
        <x:v>140799817.74401078</x:v>
      </x:c>
      <x:c r="M12" s="31" t="n">
        <x:f>IF(E12=0,"",I12-L12)</x:f>
        <x:v>48878879.573939264</x:v>
      </x:c>
      <x:c r="N12" s="32" t="n">
        <x:f>IF(L12=0,"",I12/L12)</x:f>
        <x:v>1.3471515827016647</x:v>
      </x:c>
      <x:c r="O12" s="34" t="n">
        <x:f>IF(L12=0,"",M12/L12)</x:f>
        <x:v>0.34715158270166463</x:v>
      </x:c>
    </x:row>
    <x:row r="13" ht="18" customHeight="1">
      <x:c r="A13" s="24" t="str">
        <x:v>Medium reef assoc. fish (30 - 89 cm)</x:v>
      </x:c>
      <x:c r="B13" s="33" t="n">
        <x:v>6</x:v>
      </x:c>
      <x:c r="C13" s="33" t="n">
        <x:v>6</x:v>
      </x:c>
      <x:c r="D13" s="31" t="n">
        <x:v>29989.367838603102</x:v>
      </x:c>
      <x:c r="E13" s="31" t="n">
        <x:v>29989.367838603102</x:v>
      </x:c>
      <x:c r="F13" s="32" t="n">
        <x:v>0</x:v>
      </x:c>
      <x:c r="G13" s="34" t="n">
        <x:v>1</x:v>
      </x:c>
      <x:c r="H13" s="32" t="n">
        <x:f>IF(E13=0,"",I13/E13)</x:f>
        <x:v>761.4965157684774</x:v>
      </x:c>
      <x:c r="I13" s="31" t="n">
        <x:f>IF(C13=0,"",SUMIF('Species'!$G$2:$G$60,A13,'Species'!$U$2:$U$60))</x:f>
        <x:v>22836799.119195495</x:v>
      </x:c>
      <x:c r="J13" s="32" t="n">
        <x:v>3.7886521700055296</x:v>
      </x:c>
      <x:c r="K13" s="32" t="n">
        <x:f>IF(J13="","",(1/'Metadata'!$B$5)^(J13-1))</x:f>
        <x:v>614.6843697837035</x:v>
      </x:c>
      <x:c r="L13" s="31" t="n">
        <x:f>IF(E13=0,"",E13*K13)</x:f>
        <x:v>18433995.670083415</x:v>
      </x:c>
      <x:c r="M13" s="31" t="n">
        <x:f>IF(E13=0,"",I13-L13)</x:f>
        <x:v>4402803.44911208</x:v>
      </x:c>
      <x:c r="N13" s="32" t="n">
        <x:f>IF(L13=0,"",I13/L13)</x:f>
        <x:v>1.2388415147703111</x:v>
      </x:c>
      <x:c r="O13" s="34" t="n">
        <x:f>IF(L13=0,"",M13/L13)</x:f>
        <x:v>0.23884151477031118</x:v>
      </x:c>
    </x:row>
    <x:row r="14" ht="18" customHeight="1">
      <x:c r="A14" s="24" t="str">
        <x:v>Other demersal invertebrates</x:v>
      </x:c>
      <x:c r="B14" s="33" t="n">
        <x:v>5</x:v>
      </x:c>
      <x:c r="C14" s="33" t="n">
        <x:v>5</x:v>
      </x:c>
      <x:c r="D14" s="31" t="n">
        <x:v>37459.9047493989</x:v>
      </x:c>
      <x:c r="E14" s="31" t="n">
        <x:v>37459.9047493989</x:v>
      </x:c>
      <x:c r="F14" s="32" t="n">
        <x:v>0</x:v>
      </x:c>
      <x:c r="G14" s="34" t="n">
        <x:v>1</x:v>
      </x:c>
      <x:c r="H14" s="32" t="n">
        <x:f>IF(E14=0,"",I14/E14)</x:f>
        <x:v>11.18841547912253</x:v>
      </x:c>
      <x:c r="I14" s="31" t="n">
        <x:f>IF(C14=0,"",SUMIF('Species'!$G$2:$G$60,A14,'Species'!$U$2:$U$60))</x:f>
        <x:v>419116.9781446302</x:v>
      </x:c>
      <x:c r="J14" s="32" t="n">
        <x:v>2.0373128001525522</x:v>
      </x:c>
      <x:c r="K14" s="32" t="n">
        <x:f>IF(J14="","",(1/'Metadata'!$B$5)^(J14-1))</x:f>
        <x:v>10.897146766235005</x:v>
      </x:c>
      <x:c r="L14" s="31" t="n">
        <x:f>IF(E14=0,"",E14*K14)</x:f>
        <x:v>408206.0799033835</x:v>
      </x:c>
      <x:c r="M14" s="31" t="n">
        <x:f>IF(E14=0,"",I14-L14)</x:f>
        <x:v>10910.898241246701</x:v>
      </x:c>
      <x:c r="N14" s="32" t="n">
        <x:f>IF(L14=0,"",I14/L14)</x:f>
        <x:v>1.0267288969430077</x:v>
      </x:c>
      <x:c r="O14" s="34" t="n">
        <x:f>IF(L14=0,"",M14/L14)</x:f>
        <x:v>0.02672889694300769</x:v>
      </x:c>
    </x:row>
    <x:row r="15" ht="18" customHeight="1">
      <x:c r="A15" s="24" t="str">
        <x:v>Shrimps</x:v>
      </x:c>
      <x:c r="B15" s="33" t="n">
        <x:v>7</x:v>
      </x:c>
      <x:c r="C15" s="33" t="n">
        <x:v>7</x:v>
      </x:c>
      <x:c r="D15" s="31" t="n">
        <x:v>65559.43060426641</x:v>
      </x:c>
      <x:c r="E15" s="31" t="n">
        <x:v>65559.43060426641</x:v>
      </x:c>
      <x:c r="F15" s="32" t="n">
        <x:v>0</x:v>
      </x:c>
      <x:c r="G15" s="34" t="n">
        <x:v>1</x:v>
      </x:c>
      <x:c r="H15" s="32" t="n">
        <x:f>IF(E15=0,"",I15/E15)</x:f>
        <x:v>124.83668232890507</x:v>
      </x:c>
      <x:c r="I15" s="31" t="n">
        <x:f>IF(C15=0,"",SUMIF('Species'!$G$2:$G$60,A15,'Species'!$U$2:$U$60))</x:f>
        <x:v>8184221.812008703</x:v>
      </x:c>
      <x:c r="J15" s="32" t="n">
        <x:v>2.9047731856808308</x:v>
      </x:c>
      <x:c r="K15" s="32" t="n">
        <x:f>IF(J15="","",(1/'Metadata'!$B$5)^(J15-1))</x:f>
        <x:v>80.31065827831677</x:v>
      </x:c>
      <x:c r="L15" s="31" t="n">
        <x:f>IF(E15=0,"",E15*K15)</x:f>
        <x:v>5265121.028180262</x:v>
      </x:c>
      <x:c r="M15" s="31" t="n">
        <x:f>IF(E15=0,"",I15-L15)</x:f>
        <x:v>2919100.783828441</x:v>
      </x:c>
      <x:c r="N15" s="32" t="n">
        <x:f>IF(L15=0,"",I15/L15)</x:f>
        <x:v>1.5544223519658282</x:v>
      </x:c>
      <x:c r="O15" s="34" t="n">
        <x:f>IF(L15=0,"",M15/L15)</x:f>
        <x:v>0.5544223519658283</x:v>
      </x:c>
    </x:row>
    <x:row r="16" ht="18" customHeight="1">
      <x:c r="A16" s="24" t="str">
        <x:v>Small benthopelagics (&lt;30 cm)</x:v>
      </x:c>
      <x:c r="B16" s="33" t="n">
        <x:v>1</x:v>
      </x:c>
      <x:c r="C16" s="33" t="n">
        <x:v>1</x:v>
      </x:c>
      <x:c r="D16" s="31" t="n">
        <x:v>149638.6218022583</x:v>
      </x:c>
      <x:c r="E16" s="31" t="n">
        <x:v>149638.6218022583</x:v>
      </x:c>
      <x:c r="F16" s="32" t="n">
        <x:v>0</x:v>
      </x:c>
      <x:c r="G16" s="34" t="n">
        <x:v>1</x:v>
      </x:c>
      <x:c r="H16" s="32" t="n">
        <x:f>IF(E16=0,"",I16/E16)</x:f>
        <x:v>173.78008287493762</x:v>
      </x:c>
      <x:c r="I16" s="31" t="n">
        <x:f>IF(C16=0,"",SUMIF('Species'!$G$2:$G$60,A16,'Species'!$U$2:$U$60))</x:f>
        <x:v>26004212.098087896</x:v>
      </x:c>
      <x:c r="J16" s="32" t="n">
        <x:v>3.24</x:v>
      </x:c>
      <x:c r="K16" s="32" t="n">
        <x:f>IF(J16="","",(1/'Metadata'!$B$5)^(J16-1))</x:f>
        <x:v>173.78008287493762</x:v>
      </x:c>
      <x:c r="L16" s="31" t="n">
        <x:f>IF(E16=0,"",E16*K16)</x:f>
        <x:v>26004212.098087896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demersals (&lt;30 cm)</x:v>
      </x:c>
      <x:c r="B17" s="33" t="n">
        <x:v>2</x:v>
      </x:c>
      <x:c r="C17" s="33" t="n">
        <x:v>2</x:v>
      </x:c>
      <x:c r="D17" s="31" t="n">
        <x:v>140576.7668581577</x:v>
      </x:c>
      <x:c r="E17" s="31" t="n">
        <x:v>140576.7668581577</x:v>
      </x:c>
      <x:c r="F17" s="32" t="n">
        <x:v>0</x:v>
      </x:c>
      <x:c r="G17" s="34" t="n">
        <x:v>1</x:v>
      </x:c>
      <x:c r="H17" s="32" t="n">
        <x:f>IF(E17=0,"",I17/E17)</x:f>
        <x:v>324.7847583920632</x:v>
      </x:c>
      <x:c r="I17" s="31" t="n">
        <x:f>IF(C17=0,"",SUMIF('Species'!$G$2:$G$60,A17,'Species'!$U$2:$U$60))</x:f>
        <x:v>45657191.259564154</x:v>
      </x:c>
      <x:c r="J17" s="32" t="n">
        <x:v>3.511404665133438</x:v>
      </x:c>
      <x:c r="K17" s="32" t="n">
        <x:f>IF(J17="","",(1/'Metadata'!$B$5)^(J17-1))</x:f>
        <x:v>324.64197003007405</x:v>
      </x:c>
      <x:c r="L17" s="31" t="n">
        <x:f>IF(E17=0,"",E17*K17)</x:f>
        <x:v>45637118.53329074</x:v>
      </x:c>
      <x:c r="M17" s="31" t="n">
        <x:f>IF(E17=0,"",I17-L17)</x:f>
        <x:v>20072.726273417473</x:v>
      </x:c>
      <x:c r="N17" s="32" t="n">
        <x:f>IF(L17=0,"",I17/L17)</x:f>
        <x:v>1.0004398333400206</x:v>
      </x:c>
      <x:c r="O17" s="34" t="n">
        <x:f>IF(L17=0,"",M17/L17)</x:f>
        <x:v>0.00043983334002069166</x:v>
      </x:c>
    </x:row>
    <x:row r="18" ht="18" customHeight="1">
      <x:c r="A18" s="24" t="str">
        <x:v>Small pelagics (&lt;30 cm)</x:v>
      </x:c>
      <x:c r="B18" s="33" t="n">
        <x:v>2</x:v>
      </x:c>
      <x:c r="C18" s="33" t="n">
        <x:v>2</x:v>
      </x:c>
      <x:c r="D18" s="31" t="n">
        <x:v>245161.082392387</x:v>
      </x:c>
      <x:c r="E18" s="31" t="n">
        <x:v>245161.082392387</x:v>
      </x:c>
      <x:c r="F18" s="32" t="n">
        <x:v>0</x:v>
      </x:c>
      <x:c r="G18" s="34" t="n">
        <x:v>1</x:v>
      </x:c>
      <x:c r="H18" s="32" t="n">
        <x:f>IF(E18=0,"",I18/E18)</x:f>
        <x:v>118.5894089304895</x:v>
      </x:c>
      <x:c r="I18" s="31" t="n">
        <x:f>IF(C18=0,"",SUMIF('Species'!$G$2:$G$60,A18,'Species'!$U$2:$U$60))</x:f>
        <x:v>29073507.85367221</x:v>
      </x:c>
      <x:c r="J18" s="32" t="n">
        <x:v>3.027749918085653</x:v>
      </x:c>
      <x:c r="K18" s="32" t="n">
        <x:f>IF(J18="","",(1/'Metadata'!$B$5)^(J18-1))</x:f>
        <x:v>106.5982114772381</x:v>
      </x:c>
      <x:c r="L18" s="31" t="n">
        <x:f>IF(E18=0,"",E18*K18)</x:f>
        <x:v>26133732.906852264</x:v>
      </x:c>
      <x:c r="M18" s="31" t="n">
        <x:f>IF(E18=0,"",I18-L18)</x:f>
        <x:v>2939774.946819946</x:v>
      </x:c>
      <x:c r="N18" s="32" t="n">
        <x:f>IF(L18=0,"",I18/L18)</x:f>
        <x:v>1.1124896683263008</x:v>
      </x:c>
      <x:c r="O18" s="34" t="n">
        <x:f>IF(L18=0,"",M18/L18)</x:f>
        <x:v>0.11248966832630088</x:v>
      </x:c>
    </x:row>
    <x:row r="19" ht="18" customHeight="1">
      <x:c r="A19" s="24" t="str">
        <x:v>Small reef assoc. fish (&lt;30 cm)</x:v>
      </x:c>
      <x:c r="B19" s="33" t="n">
        <x:v>1</x:v>
      </x:c>
      <x:c r="C19" s="33" t="n">
        <x:v>1</x:v>
      </x:c>
      <x:c r="D19" s="31" t="n">
        <x:v>11924.480544337</x:v>
      </x:c>
      <x:c r="E19" s="31" t="n">
        <x:v>11924.480544337</x:v>
      </x:c>
      <x:c r="F19" s="32" t="n">
        <x:v>0</x:v>
      </x:c>
      <x:c r="G19" s="34" t="n">
        <x:v>1</x:v>
      </x:c>
      <x:c r="H19" s="32" t="n">
        <x:f>IF(E19=0,"",I19/E19)</x:f>
        <x:v>199.5262314968879</x:v>
      </x:c>
      <x:c r="I19" s="31" t="n">
        <x:f>IF(C19=0,"",SUMIF('Species'!$G$2:$G$60,A19,'Species'!$U$2:$U$60))</x:f>
        <x:v>2379246.66556952</x:v>
      </x:c>
      <x:c r="J19" s="32" t="n">
        <x:v>3.3</x:v>
      </x:c>
      <x:c r="K19" s="32" t="n">
        <x:f>IF(J19="","",(1/'Metadata'!$B$5)^(J19-1))</x:f>
        <x:v>199.52623149688787</x:v>
      </x:c>
      <x:c r="L19" s="31" t="n">
        <x:f>IF(E19=0,"",E19*K19)</x:f>
        <x:v>2379246.66556952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  <x:row r="20" ht="18" customHeight="1">
      <x:c r="A20" s="24" t="str">
        <x:v>Small to medium flatfishes (&lt;90 cm)</x:v>
      </x:c>
      <x:c r="B20" s="33" t="n">
        <x:v>1</x:v>
      </x:c>
      <x:c r="C20" s="33" t="n">
        <x:v>1</x:v>
      </x:c>
      <x:c r="D20" s="31" t="n">
        <x:v>416.2367967645</x:v>
      </x:c>
      <x:c r="E20" s="31" t="n">
        <x:v>416.2367967645</x:v>
      </x:c>
      <x:c r="F20" s="32" t="n">
        <x:v>0</x:v>
      </x:c>
      <x:c r="G20" s="34" t="n">
        <x:v>1</x:v>
      </x:c>
      <x:c r="H20" s="32" t="n">
        <x:f>IF(E20=0,"",I20/E20)</x:f>
        <x:v>2454.7089156850284</x:v>
      </x:c>
      <x:c r="I20" s="31" t="n">
        <x:f>IF(C20=0,"",SUMIF('Species'!$G$2:$G$60,A20,'Species'!$U$2:$U$60))</x:f>
        <x:v>1021740.1760539954</x:v>
      </x:c>
      <x:c r="J20" s="32" t="n">
        <x:v>4.39</x:v>
      </x:c>
      <x:c r="K20" s="32" t="n">
        <x:f>IF(J20="","",(1/'Metadata'!$B$5)^(J20-1))</x:f>
        <x:v>2454.7089156850284</x:v>
      </x:c>
      <x:c r="L20" s="31" t="n">
        <x:f>IF(E20=0,"",E20*K20)</x:f>
        <x:v>1021740.1760539954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2782cd1353b4d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EEZ_957</x:v>
      </x:c>
      <x:c r="B2" s="24" t="str">
        <x:v>raw_filtered_tonnes</x:v>
      </x:c>
      <x:c r="C2" s="24" t="n">
        <x:v>1326966.3114427114</x:v>
      </x:c>
      <x:c r="D2" s="24" t="str">
        <x:v>tonnes</x:v>
      </x:c>
    </x:row>
    <x:row r="3" ht="18" customHeight="1">
      <x:c r="A3" s="24" t="str">
        <x:v>EEZ_957</x:v>
      </x:c>
      <x:c r="B3" s="24" t="str">
        <x:v>species_catch_tonnes</x:v>
      </x:c>
      <x:c r="C3" s="24" t="n">
        <x:v>1326966.3114427112</x:v>
      </x:c>
      <x:c r="D3" s="24" t="str">
        <x:v>tonnes</x:v>
      </x:c>
    </x:row>
    <x:row r="4" ht="18" customHeight="1">
      <x:c r="A4" s="24" t="str">
        <x:v>EEZ_957</x:v>
      </x:c>
      <x:c r="B4" s="24" t="str">
        <x:v>catch_difference_tonnes</x:v>
      </x:c>
      <x:c r="C4" s="24" t="n">
        <x:v>-2.3283064365386963e-10</x:v>
      </x:c>
      <x:c r="D4" s="24" t="str">
        <x:v>tonnes</x:v>
      </x:c>
    </x:row>
    <x:row r="5" ht="18" customHeight="1">
      <x:c r="A5" s="24" t="str">
        <x:v>EEZ_957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EEZ_957</x:v>
      </x:c>
      <x:c r="B6" s="24" t="str">
        <x:v>matched_catch_tonnes</x:v>
      </x:c>
      <x:c r="C6" s="24" t="n">
        <x:v>1326966.3114427112</x:v>
      </x:c>
      <x:c r="D6" s="24" t="str">
        <x:v>tonnes</x:v>
      </x:c>
    </x:row>
    <x:row r="7" ht="18" customHeight="1">
      <x:c r="A7" s="24" t="str">
        <x:v>EEZ_957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EEZ_957</x:v>
      </x:c>
      <x:c r="B8" s="24" t="str">
        <x:v>taxa_count</x:v>
      </x:c>
      <x:c r="C8" s="24" t="n">
        <x:v>59</x:v>
      </x:c>
      <x:c r="D8" s="24" t="str">
        <x:v>count</x:v>
      </x:c>
    </x:row>
    <x:row r="9" ht="18" customHeight="1">
      <x:c r="A9" s="24" t="str">
        <x:v>EEZ_957</x:v>
      </x:c>
      <x:c r="B9" s="24" t="str">
        <x:v>matched_taxa_count</x:v>
      </x:c>
      <x:c r="C9" s="24" t="n">
        <x:v>59</x:v>
      </x:c>
      <x:c r="D9" s="24" t="str">
        <x:v>count</x:v>
      </x:c>
    </x:row>
    <x:row r="10" ht="18" customHeight="1">
      <x:c r="A10" s="24" t="str">
        <x:v>EEZ_957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EEZ_957</x:v>
      </x:c>
      <x:c r="B11" s="24" t="str">
        <x:v>species_ppr</x:v>
      </x:c>
      <x:c r="C11" s="24" t="n">
        <x:v>739082508.1879923</x:v>
      </x:c>
      <x:c r="D11" s="24" t="str">
        <x:v>tonnes_primary_production_equivalent</x:v>
      </x:c>
    </x:row>
    <x:row r="12" ht="18" customHeight="1">
      <x:c r="A12" s="24" t="str">
        <x:v>EEZ_957</x:v>
      </x:c>
      <x:c r="B12" s="24" t="str">
        <x:v>commercial_ppr</x:v>
      </x:c>
      <x:c r="C12" s="24" t="n">
        <x:v>739082508.1879923</x:v>
      </x:c>
      <x:c r="D12" s="24" t="str">
        <x:v>tonnes_primary_production_equivalent</x:v>
      </x:c>
    </x:row>
    <x:row r="13" ht="18" customHeight="1">
      <x:c r="A13" s="24" t="str">
        <x:v>EEZ_957</x:v>
      </x:c>
      <x:c r="B13" s="24" t="str">
        <x:v>functional_ppr</x:v>
      </x:c>
      <x:c r="C13" s="24" t="n">
        <x:v>739082508.1879923</x:v>
      </x:c>
      <x:c r="D13" s="24" t="str">
        <x:v>tonnes_primary_production_equivalent</x:v>
      </x:c>
    </x:row>
    <x:row r="14" ht="18" customHeight="1">
      <x:c r="A14" s="24" t="str">
        <x:v>EEZ_957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EEZ_957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EEZ_957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EEZ_957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EEZ_957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EEZ_957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4be08a4473540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EEZ_957 - Thailand (Gulf of Thailand)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EEZ_957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raw_data/SAU_downloads/EEZ_957-catch.zip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