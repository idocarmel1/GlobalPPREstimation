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83b13fa6b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b3637280de24761"/>
    <x:sheet xmlns:r="http://schemas.openxmlformats.org/officeDocument/2006/relationships" name="Commercial" sheetId="2" r:id="Rbbf0212787784fbc"/>
    <x:sheet xmlns:r="http://schemas.openxmlformats.org/officeDocument/2006/relationships" name="Functional" sheetId="3" r:id="Re84d5d0c2b744a98"/>
    <x:sheet xmlns:r="http://schemas.openxmlformats.org/officeDocument/2006/relationships" name="Missing TL" sheetId="4" r:id="Rbb1bc720afac4780"/>
    <x:sheet xmlns:r="http://schemas.openxmlformats.org/officeDocument/2006/relationships" name="Validation" sheetId="5" r:id="R8556d22f8eab48f7"/>
    <x:sheet xmlns:r="http://schemas.openxmlformats.org/officeDocument/2006/relationships" name="Metadata" sheetId="6" r:id="R21b0e3c8f352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81377c4884213" /><Relationship Type="http://schemas.openxmlformats.org/officeDocument/2006/relationships/theme" Target="/xl/theme/theme1.xml" Id="Rbf1f8818dd0d4cc0" /><Relationship Type="http://schemas.microsoft.com/office/2022/11/relationships/FeaturePropertyBag" Target="/xl/featurePropertyBag/featurePropertyBag.xml" Id="R9e413ef853734b8f" /><Relationship Type="http://schemas.openxmlformats.org/officeDocument/2006/relationships/sharedStrings" Target="/xl/sharedStrings.xml" Id="R33306f3a61d44cea" /><Relationship Type="http://schemas.openxmlformats.org/officeDocument/2006/relationships/worksheet" Target="/xl/worksheets/sheet1.xml" Id="Rcb3637280de24761" /><Relationship Type="http://schemas.openxmlformats.org/officeDocument/2006/relationships/worksheet" Target="/xl/worksheets/sheet2.xml" Id="Rbbf0212787784fbc" /><Relationship Type="http://schemas.openxmlformats.org/officeDocument/2006/relationships/worksheet" Target="/xl/worksheets/sheet3.xml" Id="Re84d5d0c2b744a98" /><Relationship Type="http://schemas.openxmlformats.org/officeDocument/2006/relationships/worksheet" Target="/xl/worksheets/sheet4.xml" Id="Rbb1bc720afac4780" /><Relationship Type="http://schemas.openxmlformats.org/officeDocument/2006/relationships/worksheet" Target="/xl/worksheets/sheet5.xml" Id="R8556d22f8eab48f7" /><Relationship Type="http://schemas.openxmlformats.org/officeDocument/2006/relationships/worksheet" Target="/xl/worksheets/sheet6.xml" Id="R21b0e3c8f3524c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48SpeciesTable" displayName="EEZ548SpeciesTable" ref="A1:U69" headerRowCount="1" totalsRowCount="0" totalsRowShown="0">
  <x:autoFilter ref="A1:U6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48CommercialTable" displayName="EEZ548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48FunctionalTable" displayName="EEZ548FunctionalTable" ref="A1:O15" headerRowCount="1" totalsRowCount="0" totalsRowShown="0">
  <x:autoFilter ref="A1:O1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48ValidationTable" displayName="EEZ5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3e2537f8ce41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80fa1db28b40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f7d2ffb61d42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46124953c744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EEZ_548</x:v>
      </x:c>
      <x:c r="B2" s="24" t="str">
        <x:v>Vanuatu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5333.6743857885995</x:v>
      </x:c>
      <x:c r="J2" s="31" t="n">
        <x:v>5333.670541030599</x:v>
      </x:c>
      <x:c r="K2" s="31" t="n">
        <x:v>0.003844758</x:v>
      </x:c>
      <x:c r="L2" s="31" t="n">
        <x:v>5333.670541030599</x:v>
      </x:c>
      <x:c r="M2" s="31" t="n">
        <x:v>0.003844758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10642079.502278773</x:v>
      </x:c>
    </x:row>
    <x:row r="3" ht="18" customHeight="1">
      <x:c r="A3" s="24" t="str">
        <x:v>EEZ_548</x:v>
      </x:c>
      <x:c r="B3" s="24" t="str">
        <x:v>Vanuatu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2793.3713212277</x:v>
      </x:c>
      <x:c r="J3" s="31" t="n">
        <x:v>1107.8284520779998</x:v>
      </x:c>
      <x:c r="K3" s="31" t="n">
        <x:v>1685.5428691497</x:v>
      </x:c>
      <x:c r="L3" s="31" t="n">
        <x:v>1107.8284520779998</x:v>
      </x:c>
      <x:c r="M3" s="31" t="n">
        <x:v>1685.5428691497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6253579.424703018</x:v>
      </x:c>
    </x:row>
    <x:row r="4" ht="18" customHeight="1">
      <x:c r="A4" s="24" t="str">
        <x:v>EEZ_548</x:v>
      </x:c>
      <x:c r="B4" s="24" t="str">
        <x:v>Vanuatu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1950.0531910350999</x:v>
      </x:c>
      <x:c r="J4" s="31" t="n">
        <x:v>1933.904586368</x:v>
      </x:c>
      <x:c r="K4" s="31" t="n">
        <x:v>16.1486046671</x:v>
      </x:c>
      <x:c r="L4" s="31" t="n">
        <x:v>1933.904586368</x:v>
      </x:c>
      <x:c r="M4" s="31" t="n">
        <x:v>16.1486046671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5012408.498411587</x:v>
      </x:c>
    </x:row>
    <x:row r="5" ht="18" customHeight="1">
      <x:c r="A5" s="24" t="str">
        <x:v>EEZ_548</x:v>
      </x:c>
      <x:c r="B5" s="24" t="str">
        <x:v>Vanuatu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1910.8767824451</x:v>
      </x:c>
      <x:c r="J5" s="31" t="n">
        <x:v>1092.9047346471</x:v>
      </x:c>
      <x:c r="K5" s="31" t="n">
        <x:v>817.972047798</x:v>
      </x:c>
      <x:c r="L5" s="31" t="n">
        <x:v>854.4953133071</x:v>
      </x:c>
      <x:c r="M5" s="31" t="n">
        <x:v>1056.381469138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364110.0645817138</x:v>
      </x:c>
    </x:row>
    <x:row r="6" ht="18" customHeight="1">
      <x:c r="A6" s="24" t="str">
        <x:v>EEZ_548</x:v>
      </x:c>
      <x:c r="B6" s="24" t="str">
        <x:v>Vanuatu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1454.7485499152</x:v>
      </x:c>
      <x:c r="J6" s="31" t="n">
        <x:v>1444.5242832257</x:v>
      </x:c>
      <x:c r="K6" s="31" t="n">
        <x:v>10.2242666895</x:v>
      </x:c>
      <x:c r="L6" s="31" t="n">
        <x:v>1444.5242832257</x:v>
      </x:c>
      <x:c r="M6" s="31" t="n">
        <x:v>10.2242666895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3915506.35305897</x:v>
      </x:c>
    </x:row>
    <x:row r="7" ht="18" customHeight="1">
      <x:c r="A7" s="24" t="str">
        <x:v>EEZ_548</x:v>
      </x:c>
      <x:c r="B7" s="24" t="str">
        <x:v>Vanuatu</x:v>
      </x:c>
      <x:c r="C7" s="24" t="str">
        <x:v>EEZ</x:v>
      </x:c>
      <x:c r="D7" s="30" t="n">
        <x:v>2019</x:v>
      </x:c>
      <x:c r="E7" s="24" t="str">
        <x:v>Palinuridae</x:v>
      </x:c>
      <x:c r="F7" s="24" t="str">
        <x:v>Spiny lobsters</x:v>
      </x:c>
      <x:c r="G7" s="24" t="str">
        <x:v>Lobsters, crabs</x:v>
      </x:c>
      <x:c r="H7" s="24" t="str">
        <x:v>Crustaceans</x:v>
      </x:c>
      <x:c r="I7" s="31" t="n">
        <x:v>1171.8251249001</x:v>
      </x:c>
      <x:c r="J7" s="31" t="n">
        <x:v>1171.8251249001</x:v>
      </x:c>
      <x:c r="K7" s="31" t="n">
        <x:v>0</x:v>
      </x:c>
      <x:c r="L7" s="31" t="n">
        <x:v>270</x:v>
      </x:c>
      <x:c r="M7" s="31" t="n">
        <x:v>901.8251249000999</x:v>
      </x:c>
      <x:c r="N7" s="24" t="str">
        <x:v>palinuridae</x:v>
      </x:c>
      <x:c r="O7" s="32" t="n">
        <x:v>3.14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Palinuridae</x:v>
      </x:c>
      <x:c r="T7" s="32" t="n">
        <x:f>IF(O7="","",(1/'Metadata'!$B$5)^(O7-1))</x:f>
        <x:v>138.03842646028852</x:v>
      </x:c>
      <x:c r="U7" s="31" t="n">
        <x:f>IF(T7="","",I7*T7)</x:f>
        <x:v>161756.89632784086</x:v>
      </x:c>
    </x:row>
    <x:row r="8" ht="18" customHeight="1">
      <x:c r="A8" s="24" t="str">
        <x:v>EEZ_548</x:v>
      </x:c>
      <x:c r="B8" s="24" t="str">
        <x:v>Vanuatu</x:v>
      </x:c>
      <x:c r="C8" s="24" t="str">
        <x:v>EEZ</x:v>
      </x:c>
      <x:c r="D8" s="30" t="n">
        <x:v>2019</x:v>
      </x:c>
      <x:c r="E8" s="24" t="str">
        <x:v>Thunnus obesus</x:v>
      </x:c>
      <x:c r="F8" s="24" t="str">
        <x:v>Bigeye tuna</x:v>
      </x:c>
      <x:c r="G8" s="24" t="str">
        <x:v>Large pelagics (&gt;=90 cm)</x:v>
      </x:c>
      <x:c r="H8" s="24" t="str">
        <x:v>Tuna &amp; billfishes</x:v>
      </x:c>
      <x:c r="I8" s="31" t="n">
        <x:v>313.5896008978</x:v>
      </x:c>
      <x:c r="J8" s="31" t="n">
        <x:v>290.8683605738</x:v>
      </x:c>
      <x:c r="K8" s="31" t="n">
        <x:v>22.721240324</x:v>
      </x:c>
      <x:c r="L8" s="31" t="n">
        <x:v>290.8683605738</x:v>
      </x:c>
      <x:c r="M8" s="31" t="n">
        <x:v>22.721240324</x:v>
      </x:c>
      <x:c r="N8" s="24" t="str">
        <x:v>thunnus obesus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obesus</x:v>
      </x:c>
      <x:c r="T8" s="32" t="n">
        <x:f>IF(O8="","",(1/'Metadata'!$B$5)^(O8-1))</x:f>
        <x:v>3090.295432513592</x:v>
      </x:c>
      <x:c r="U8" s="31" t="n">
        <x:f>IF(T8="","",I8*T8)</x:f>
        <x:v>969084.5113382315</x:v>
      </x:c>
    </x:row>
    <x:row r="9" ht="18" customHeight="1">
      <x:c r="A9" s="24" t="str">
        <x:v>EEZ_548</x:v>
      </x:c>
      <x:c r="B9" s="24" t="str">
        <x:v>Vanuatu</x:v>
      </x:c>
      <x:c r="C9" s="24" t="str">
        <x:v>EEZ</x:v>
      </x:c>
      <x:c r="D9" s="30" t="n">
        <x:v>2019</x:v>
      </x:c>
      <x:c r="E9" s="24" t="str">
        <x:v>Gastropoda</x:v>
      </x:c>
      <x:c r="F9" s="24" t="str">
        <x:v>Sea snails</x:v>
      </x:c>
      <x:c r="G9" s="24" t="str">
        <x:v>Other demersal invertebrates</x:v>
      </x:c>
      <x:c r="H9" s="24" t="str">
        <x:v>Molluscs</x:v>
      </x:c>
      <x:c r="I9" s="31" t="n">
        <x:v>274.84394466</x:v>
      </x:c>
      <x:c r="J9" s="31" t="n">
        <x:v>274.84394466</x:v>
      </x:c>
      <x:c r="K9" s="31" t="n">
        <x:v>0</x:v>
      </x:c>
      <x:c r="L9" s="31" t="n">
        <x:v>19.44444444</x:v>
      </x:c>
      <x:c r="M9" s="31" t="n">
        <x:v>255.39950022</x:v>
      </x:c>
      <x:c r="N9" s="24" t="str">
        <x:v>gastropoda</x:v>
      </x:c>
      <x:c r="O9" s="32" t="n">
        <x:v>3.06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Gastropoda</x:v>
      </x:c>
      <x:c r="T9" s="32" t="n">
        <x:f>IF(O9="","",(1/'Metadata'!$B$5)^(O9-1))</x:f>
        <x:v>114.81536214968828</x:v>
      </x:c>
      <x:c r="U9" s="31" t="n">
        <x:f>IF(T9="","",I9*T9)</x:f>
        <x:v>31556.30704078678</x:v>
      </x:c>
    </x:row>
    <x:row r="10" ht="18" customHeight="1">
      <x:c r="A10" s="24" t="str">
        <x:v>EEZ_548</x:v>
      </x:c>
      <x:c r="B10" s="24" t="str">
        <x:v>Vanuatu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269.3737367673</x:v>
      </x:c>
      <x:c r="J10" s="31" t="n">
        <x:v>51.2521925215</x:v>
      </x:c>
      <x:c r="K10" s="31" t="n">
        <x:v>218.1215442458</x:v>
      </x:c>
      <x:c r="L10" s="31" t="n">
        <x:v>51.2521925215</x:v>
      </x:c>
      <x:c r="M10" s="31" t="n">
        <x:v>218.1215442458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912757.1652097949</x:v>
      </x:c>
    </x:row>
    <x:row r="11" ht="18" customHeight="1">
      <x:c r="A11" s="24" t="str">
        <x:v>EEZ_548</x:v>
      </x:c>
      <x:c r="B11" s="24" t="str">
        <x:v>Vanuatu</x:v>
      </x:c>
      <x:c r="C11" s="24" t="str">
        <x:v>EEZ</x:v>
      </x:c>
      <x:c r="D11" s="30" t="n">
        <x:v>2019</x:v>
      </x:c>
      <x:c r="E11" s="24" t="str">
        <x:v>Marine pelagic fishes not identified</x:v>
      </x:c>
      <x:c r="F11" s="24" t="str">
        <x:v>Pelagic fishes</x:v>
      </x:c>
      <x:c r="G11" s="24" t="str">
        <x:v>Medium pelagics (30 - 89 cm)</x:v>
      </x:c>
      <x:c r="H11" s="24" t="str">
        <x:v>Other fishes &amp; inverts</x:v>
      </x:c>
      <x:c r="I11" s="31" t="n">
        <x:v>263.7665528321</x:v>
      </x:c>
      <x:c r="J11" s="31" t="n">
        <x:v>220.59781523</x:v>
      </x:c>
      <x:c r="K11" s="31" t="n">
        <x:v>43.168737602099995</x:v>
      </x:c>
      <x:c r="L11" s="31" t="n">
        <x:v>220.59781523</x:v>
      </x:c>
      <x:c r="M11" s="31" t="n">
        <x:v>43.168737602099995</x:v>
      </x:c>
      <x:c r="N11" s="24" t="str">
        <x:v>marine pelagic fishes not identified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pelagic fishes not identified</x:v>
      </x:c>
      <x:c r="T11" s="32" t="n">
        <x:f>IF(O11="","",(1/'Metadata'!$B$5)^(O11-1))</x:f>
        <x:v>223.872113856834</x:v>
      </x:c>
      <x:c r="U11" s="31" t="n">
        <x:f>IF(T11="","",I11*T11)</x:f>
        <x:v>59049.97574725251</x:v>
      </x:c>
    </x:row>
    <x:row r="12" ht="18" customHeight="1">
      <x:c r="A12" s="24" t="str">
        <x:v>EEZ_548</x:v>
      </x:c>
      <x:c r="B12" s="24" t="str">
        <x:v>Vanuatu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258.7471378379</x:v>
      </x:c>
      <x:c r="J12" s="31" t="n">
        <x:v>66.8127146123</x:v>
      </x:c>
      <x:c r="K12" s="31" t="n">
        <x:v>191.9344232256</x:v>
      </x:c>
      <x:c r="L12" s="31" t="n">
        <x:v>66.8127146123</x:v>
      </x:c>
      <x:c r="M12" s="31" t="n">
        <x:v>191.9344232256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818230.2936172996</x:v>
      </x:c>
    </x:row>
    <x:row r="13" ht="18" customHeight="1">
      <x:c r="A13" s="24" t="str">
        <x:v>EEZ_548</x:v>
      </x:c>
      <x:c r="B13" s="24" t="str">
        <x:v>Vanuatu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256.5764823573</x:v>
      </x:c>
      <x:c r="J13" s="31" t="n">
        <x:v>34.330835151</x:v>
      </x:c>
      <x:c r="K13" s="31" t="n">
        <x:v>222.2456472063</x:v>
      </x:c>
      <x:c r="L13" s="31" t="n">
        <x:v>14.71845696</x:v>
      </x:c>
      <x:c r="M13" s="31" t="n">
        <x:v>241.8580253973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466892.44524470787</x:v>
      </x:c>
    </x:row>
    <x:row r="14" ht="18" customHeight="1">
      <x:c r="A14" s="24" t="str">
        <x:v>EEZ_548</x:v>
      </x:c>
      <x:c r="B14" s="24" t="str">
        <x:v>Vanuatu</x:v>
      </x:c>
      <x:c r="C14" s="24" t="str">
        <x:v>EEZ</x:v>
      </x:c>
      <x:c r="D14" s="30" t="n">
        <x:v>2019</x:v>
      </x:c>
      <x:c r="E14" s="24" t="str">
        <x:v>Carcharhinus falciformis</x:v>
      </x:c>
      <x:c r="F14" s="24" t="str">
        <x:v>Silky shark</x:v>
      </x:c>
      <x:c r="G14" s="24" t="str">
        <x:v>Large sharks (&gt;=90 cm)</x:v>
      </x:c>
      <x:c r="H14" s="24" t="str">
        <x:v>Sharks &amp; rays</x:v>
      </x:c>
      <x:c r="I14" s="31" t="n">
        <x:v>249.4325247678</x:v>
      </x:c>
      <x:c r="J14" s="31" t="n">
        <x:v>9.7328106036</x:v>
      </x:c>
      <x:c r="K14" s="31" t="n">
        <x:v>239.6997141642</x:v>
      </x:c>
      <x:c r="L14" s="31" t="n">
        <x:v>9.7328106036</x:v>
      </x:c>
      <x:c r="M14" s="31" t="n">
        <x:v>239.6997141642</x:v>
      </x:c>
      <x:c r="N14" s="24" t="str">
        <x:v>carcharhinus falciformis</x:v>
      </x:c>
      <x:c r="O14" s="32" t="n">
        <x:v>4.51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Carcharhinus falciformis</x:v>
      </x:c>
      <x:c r="T14" s="32" t="n">
        <x:f>IF(O14="","",(1/'Metadata'!$B$5)^(O14-1))</x:f>
        <x:v>3235.936569296281</x:v>
      </x:c>
      <x:c r="U14" s="31" t="n">
        <x:f>IF(T14="","",I14*T14)</x:f>
        <x:v>807147.8284680244</x:v>
      </x:c>
    </x:row>
    <x:row r="15" ht="18" customHeight="1">
      <x:c r="A15" s="24" t="str">
        <x:v>EEZ_548</x:v>
      </x:c>
      <x:c r="B15" s="24" t="str">
        <x:v>Vanuatu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135.317958699</x:v>
      </x:c>
      <x:c r="J15" s="31" t="n">
        <x:v>128.09862017999998</x:v>
      </x:c>
      <x:c r="K15" s="31" t="n">
        <x:v>7.219338519</x:v>
      </x:c>
      <x:c r="L15" s="31" t="n">
        <x:v>73.59228479</x:v>
      </x:c>
      <x:c r="M15" s="31" t="n">
        <x:v>61.725673908999994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151829.24685874884</x:v>
      </x:c>
    </x:row>
    <x:row r="16" ht="18" customHeight="1">
      <x:c r="A16" s="24" t="str">
        <x:v>EEZ_548</x:v>
      </x:c>
      <x:c r="B16" s="24" t="str">
        <x:v>Vanuatu</x:v>
      </x:c>
      <x:c r="C16" s="24" t="str">
        <x:v>EEZ</x:v>
      </x:c>
      <x:c r="D16" s="30" t="n">
        <x:v>2019</x:v>
      </x:c>
      <x:c r="E16" s="24" t="str">
        <x:v>Scyllaridae</x:v>
      </x:c>
      <x:c r="F16" s="24" t="str">
        <x:v>Slipper lobsters</x:v>
      </x:c>
      <x:c r="G16" s="24" t="str">
        <x:v>Lobsters, crabs</x:v>
      </x:c>
      <x:c r="H16" s="24" t="str">
        <x:v>Crustaceans</x:v>
      </x:c>
      <x:c r="I16" s="31" t="n">
        <x:v>130.2027917001</x:v>
      </x:c>
      <x:c r="J16" s="31" t="n">
        <x:v>130.2027917001</x:v>
      </x:c>
      <x:c r="K16" s="31" t="n">
        <x:v>0</x:v>
      </x:c>
      <x:c r="L16" s="31" t="n">
        <x:v>30</x:v>
      </x:c>
      <x:c r="M16" s="31" t="n">
        <x:v>100.20279170010001</x:v>
      </x:c>
      <x:c r="N16" s="24" t="str">
        <x:v>scyllaridae</x:v>
      </x:c>
      <x:c r="O16" s="32" t="n">
        <x:v>2.87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Scyllaridae</x:v>
      </x:c>
      <x:c r="T16" s="32" t="n">
        <x:f>IF(O16="","",(1/'Metadata'!$B$5)^(O16-1))</x:f>
        <x:v>74.13102413009177</x:v>
      </x:c>
      <x:c r="U16" s="31" t="n">
        <x:f>IF(T16="","",I16*T16)</x:f>
        <x:v>9652.066293325426</x:v>
      </x:c>
    </x:row>
    <x:row r="17" ht="18" customHeight="1">
      <x:c r="A17" s="24" t="str">
        <x:v>EEZ_548</x:v>
      </x:c>
      <x:c r="B17" s="24" t="str">
        <x:v>Vanuatu</x:v>
      </x:c>
      <x:c r="C17" s="24" t="str">
        <x:v>EEZ</x:v>
      </x:c>
      <x:c r="D17" s="30" t="n">
        <x:v>2019</x:v>
      </x:c>
      <x:c r="E17" s="24" t="str">
        <x:v>Acanthuridae</x:v>
      </x:c>
      <x:c r="F17" s="24" t="str">
        <x:v>Surgeons, tangs, unicornfishes</x:v>
      </x:c>
      <x:c r="G17" s="24" t="str">
        <x:v>Small reef assoc. fish (&lt;30 cm)</x:v>
      </x:c>
      <x:c r="H17" s="24" t="str">
        <x:v>Perch-likes</x:v>
      </x:c>
      <x:c r="I17" s="31" t="n">
        <x:v>128.09862017999998</x:v>
      </x:c>
      <x:c r="J17" s="31" t="n">
        <x:v>128.09862017999998</x:v>
      </x:c>
      <x:c r="K17" s="31" t="n">
        <x:v>0</x:v>
      </x:c>
      <x:c r="L17" s="31" t="n">
        <x:v>73.59228479</x:v>
      </x:c>
      <x:c r="M17" s="31" t="n">
        <x:v>54.50633539</x:v>
      </x:c>
      <x:c r="N17" s="24" t="str">
        <x:v>acanthuridae</x:v>
      </x:c>
      <x:c r="O17" s="32" t="n">
        <x:v>2.28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Acanthuridae</x:v>
      </x:c>
      <x:c r="T17" s="32" t="n">
        <x:f>IF(O17="","",(1/'Metadata'!$B$5)^(O17-1))</x:f>
        <x:v>19.054607179632463</x:v>
      </x:c>
      <x:c r="U17" s="31" t="n">
        <x:f>IF(T17="","",I17*T17)</x:f>
        <x:v>2440.8688877828395</x:v>
      </x:c>
    </x:row>
    <x:row r="18" ht="18" customHeight="1">
      <x:c r="A18" s="24" t="str">
        <x:v>EEZ_548</x:v>
      </x:c>
      <x:c r="B18" s="24" t="str">
        <x:v>Vanuatu</x:v>
      </x:c>
      <x:c r="C18" s="24" t="str">
        <x:v>EEZ</x:v>
      </x:c>
      <x:c r="D18" s="30" t="n">
        <x:v>2019</x:v>
      </x:c>
      <x:c r="E18" s="24" t="str">
        <x:v>Lethrinidae</x:v>
      </x:c>
      <x:c r="F18" s="24" t="str">
        <x:v>Emperors, scavengers</x:v>
      </x:c>
      <x:c r="G18" s="24" t="str">
        <x:v>Medium reef assoc. fish (30 - 89 cm)</x:v>
      </x:c>
      <x:c r="H18" s="24" t="str">
        <x:v>Perch-likes</x:v>
      </x:c>
      <x:c r="I18" s="31" t="n">
        <x:v>128.09862017999998</x:v>
      </x:c>
      <x:c r="J18" s="31" t="n">
        <x:v>128.09862017999998</x:v>
      </x:c>
      <x:c r="K18" s="31" t="n">
        <x:v>0</x:v>
      </x:c>
      <x:c r="L18" s="31" t="n">
        <x:v>73.59228479</x:v>
      </x:c>
      <x:c r="M18" s="31" t="n">
        <x:v>54.50633539</x:v>
      </x:c>
      <x:c r="N18" s="24" t="str">
        <x:v>lethrinidae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Lethrinidae</x:v>
      </x:c>
      <x:c r="T18" s="32" t="n">
        <x:f>IF(O18="","",(1/'Metadata'!$B$5)^(O18-1))</x:f>
        <x:v>389.04514499428046</x:v>
      </x:c>
      <x:c r="U18" s="31" t="n">
        <x:f>IF(T18="","",I18*T18)</x:f>
        <x:v>49836.146261495356</x:v>
      </x:c>
    </x:row>
    <x:row r="19" ht="18" customHeight="1">
      <x:c r="A19" s="24" t="str">
        <x:v>EEZ_548</x:v>
      </x:c>
      <x:c r="B19" s="24" t="str">
        <x:v>Vanuatu</x:v>
      </x:c>
      <x:c r="C19" s="24" t="str">
        <x:v>EEZ</x:v>
      </x:c>
      <x:c r="D19" s="30" t="n">
        <x:v>2019</x:v>
      </x:c>
      <x:c r="E19" s="24" t="str">
        <x:v>Lutjanidae</x:v>
      </x:c>
      <x:c r="F19" s="24" t="str">
        <x:v>Snappers</x:v>
      </x:c>
      <x:c r="G19" s="24" t="str">
        <x:v>Medium reef assoc. fish (30 - 89 cm)</x:v>
      </x:c>
      <x:c r="H19" s="24" t="str">
        <x:v>Perch-likes</x:v>
      </x:c>
      <x:c r="I19" s="31" t="n">
        <x:v>128.09862017999998</x:v>
      </x:c>
      <x:c r="J19" s="31" t="n">
        <x:v>128.09862017999998</x:v>
      </x:c>
      <x:c r="K19" s="31" t="n">
        <x:v>0</x:v>
      </x:c>
      <x:c r="L19" s="31" t="n">
        <x:v>73.59228479</x:v>
      </x:c>
      <x:c r="M19" s="31" t="n">
        <x:v>54.50633539</x:v>
      </x:c>
      <x:c r="N19" s="24" t="str">
        <x:v>lutjanidae</x:v>
      </x:c>
      <x:c r="O19" s="32" t="n">
        <x:v>4.02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Lutjanidae</x:v>
      </x:c>
      <x:c r="T19" s="32" t="n">
        <x:f>IF(O19="","",(1/'Metadata'!$B$5)^(O19-1))</x:f>
        <x:v>1047.1285480508984</x:v>
      </x:c>
      <x:c r="U19" s="31" t="n">
        <x:f>IF(T19="","",I19*T19)</x:f>
        <x:v>134135.7221564069</x:v>
      </x:c>
    </x:row>
    <x:row r="20" ht="18" customHeight="1">
      <x:c r="A20" s="24" t="str">
        <x:v>EEZ_548</x:v>
      </x:c>
      <x:c r="B20" s="24" t="str">
        <x:v>Vanuatu</x:v>
      </x:c>
      <x:c r="C20" s="24" t="str">
        <x:v>EEZ</x:v>
      </x:c>
      <x:c r="D20" s="30" t="n">
        <x:v>2019</x:v>
      </x:c>
      <x:c r="E20" s="24" t="str">
        <x:v>Mugilidae</x:v>
      </x:c>
      <x:c r="F20" s="24" t="str">
        <x:v>Mullets, grey mullets</x:v>
      </x:c>
      <x:c r="G20" s="24" t="str">
        <x:v>Medium reef assoc. fish (30 - 89 cm)</x:v>
      </x:c>
      <x:c r="H20" s="24" t="str">
        <x:v>Perch-likes</x:v>
      </x:c>
      <x:c r="I20" s="31" t="n">
        <x:v>128.09862017999998</x:v>
      </x:c>
      <x:c r="J20" s="31" t="n">
        <x:v>128.09862017999998</x:v>
      </x:c>
      <x:c r="K20" s="31" t="n">
        <x:v>0</x:v>
      </x:c>
      <x:c r="L20" s="31" t="n">
        <x:v>73.59228479</x:v>
      </x:c>
      <x:c r="M20" s="31" t="n">
        <x:v>54.50633539</x:v>
      </x:c>
      <x:c r="N20" s="24" t="str">
        <x:v>mugilidae</x:v>
      </x:c>
      <x:c r="O20" s="32" t="n">
        <x:v>2.53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Mugilidae</x:v>
      </x:c>
      <x:c r="T20" s="32" t="n">
        <x:f>IF(O20="","",(1/'Metadata'!$B$5)^(O20-1))</x:f>
        <x:v>33.88441561392024</x:v>
      </x:c>
      <x:c r="U20" s="31" t="n">
        <x:f>IF(T20="","",I20*T20)</x:f>
        <x:v>4340.5468857488295</x:v>
      </x:c>
    </x:row>
    <x:row r="21" ht="18" customHeight="1">
      <x:c r="A21" s="24" t="str">
        <x:v>EEZ_548</x:v>
      </x:c>
      <x:c r="B21" s="24" t="str">
        <x:v>Vanuatu</x:v>
      </x:c>
      <x:c r="C21" s="24" t="str">
        <x:v>EEZ</x:v>
      </x:c>
      <x:c r="D21" s="30" t="n">
        <x:v>2019</x:v>
      </x:c>
      <x:c r="E21" s="24" t="str">
        <x:v>Holocentridae</x:v>
      </x:c>
      <x:c r="F21" s="24" t="str">
        <x:v>Squirrel-, soldierfishes</x:v>
      </x:c>
      <x:c r="G21" s="24" t="str">
        <x:v>Small reef assoc. fish (&lt;30 cm)</x:v>
      </x:c>
      <x:c r="H21" s="24" t="str">
        <x:v>Other fishes &amp; inverts</x:v>
      </x:c>
      <x:c r="I21" s="31" t="n">
        <x:v>128.09862017999998</x:v>
      </x:c>
      <x:c r="J21" s="31" t="n">
        <x:v>128.09862017999998</x:v>
      </x:c>
      <x:c r="K21" s="31" t="n">
        <x:v>0</x:v>
      </x:c>
      <x:c r="L21" s="31" t="n">
        <x:v>73.59228479</x:v>
      </x:c>
      <x:c r="M21" s="31" t="n">
        <x:v>54.50633539</x:v>
      </x:c>
      <x:c r="N21" s="24" t="str">
        <x:v>holocentridae</x:v>
      </x:c>
      <x:c r="O21" s="32" t="n">
        <x:v>3.49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Holocentridae</x:v>
      </x:c>
      <x:c r="T21" s="32" t="n">
        <x:f>IF(O21="","",(1/'Metadata'!$B$5)^(O21-1))</x:f>
        <x:v>309.0295432513592</x:v>
      </x:c>
      <x:c r="U21" s="31" t="n">
        <x:f>IF(T21="","",I21*T21)</x:f>
        <x:v>39586.25808535474</x:v>
      </x:c>
    </x:row>
    <x:row r="22" ht="18" customHeight="1">
      <x:c r="A22" s="24" t="str">
        <x:v>EEZ_548</x:v>
      </x:c>
      <x:c r="B22" s="24" t="str">
        <x:v>Vanuatu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128.09862017999998</x:v>
      </x:c>
      <x:c r="J22" s="31" t="n">
        <x:v>128.09862017999998</x:v>
      </x:c>
      <x:c r="K22" s="31" t="n">
        <x:v>0</x:v>
      </x:c>
      <x:c r="L22" s="31" t="n">
        <x:v>73.59228479</x:v>
      </x:c>
      <x:c r="M22" s="31" t="n">
        <x:v>54.50633539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29345.698533454695</x:v>
      </x:c>
    </x:row>
    <x:row r="23" ht="18" customHeight="1">
      <x:c r="A23" s="24" t="str">
        <x:v>EEZ_548</x:v>
      </x:c>
      <x:c r="B23" s="24" t="str">
        <x:v>Vanuatu</x:v>
      </x:c>
      <x:c r="C23" s="24" t="str">
        <x:v>EEZ</x:v>
      </x:c>
      <x:c r="D23" s="30" t="n">
        <x:v>2019</x:v>
      </x:c>
      <x:c r="E23" s="24" t="str">
        <x:v>Hemiramphidae</x:v>
      </x:c>
      <x:c r="F23" s="24" t="str">
        <x:v>Halfbeaks, garfishes</x:v>
      </x:c>
      <x:c r="G23" s="24" t="str">
        <x:v>Medium pelagics (30 - 89 cm)</x:v>
      </x:c>
      <x:c r="H23" s="24" t="str">
        <x:v>Other fishes &amp; inverts</x:v>
      </x:c>
      <x:c r="I23" s="31" t="n">
        <x:v>128.09862017999998</x:v>
      </x:c>
      <x:c r="J23" s="31" t="n">
        <x:v>128.09862017999998</x:v>
      </x:c>
      <x:c r="K23" s="31" t="n">
        <x:v>0</x:v>
      </x:c>
      <x:c r="L23" s="31" t="n">
        <x:v>73.59228479</x:v>
      </x:c>
      <x:c r="M23" s="31" t="n">
        <x:v>54.50633539</x:v>
      </x:c>
      <x:c r="N23" s="24" t="str">
        <x:v>hemiramphidae</x:v>
      </x:c>
      <x:c r="O23" s="32" t="n">
        <x:v>2.82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Hemiramphidae</x:v>
      </x:c>
      <x:c r="T23" s="32" t="n">
        <x:f>IF(O23="","",(1/'Metadata'!$B$5)^(O23-1))</x:f>
        <x:v>66.06934480075958</x:v>
      </x:c>
      <x:c r="U23" s="31" t="n">
        <x:f>IF(T23="","",I23*T23)</x:f>
        <x:v>8463.391905173958</x:v>
      </x:c>
    </x:row>
    <x:row r="24" ht="18" customHeight="1">
      <x:c r="A24" s="24" t="str">
        <x:v>EEZ_548</x:v>
      </x:c>
      <x:c r="B24" s="24" t="str">
        <x:v>Vanuatu</x:v>
      </x:c>
      <x:c r="C24" s="24" t="str">
        <x:v>EEZ</x:v>
      </x:c>
      <x:c r="D24" s="30" t="n">
        <x:v>2019</x:v>
      </x:c>
      <x:c r="E24" s="24" t="str">
        <x:v>Kyphosidae</x:v>
      </x:c>
      <x:c r="F24" s="24" t="str">
        <x:v>Sea chubs, knifefishes, niblers</x:v>
      </x:c>
      <x:c r="G24" s="24" t="str">
        <x:v>Medium reef assoc. fish (30 - 89 cm)</x:v>
      </x:c>
      <x:c r="H24" s="24" t="str">
        <x:v>Perch-likes</x:v>
      </x:c>
      <x:c r="I24" s="31" t="n">
        <x:v>128.09862017999998</x:v>
      </x:c>
      <x:c r="J24" s="31" t="n">
        <x:v>128.09862017999998</x:v>
      </x:c>
      <x:c r="K24" s="31" t="n">
        <x:v>0</x:v>
      </x:c>
      <x:c r="L24" s="31" t="n">
        <x:v>73.59228479</x:v>
      </x:c>
      <x:c r="M24" s="31" t="n">
        <x:v>54.50633539</x:v>
      </x:c>
      <x:c r="N24" s="24" t="str">
        <x:v>kyphosidae</x:v>
      </x:c>
      <x:c r="O24" s="32" t="n">
        <x:v>2.19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Kyphosidae</x:v>
      </x:c>
      <x:c r="T24" s="32" t="n">
        <x:f>IF(O24="","",(1/'Metadata'!$B$5)^(O24-1))</x:f>
        <x:v>15.488166189124811</x:v>
      </x:c>
      <x:c r="U24" s="31" t="n">
        <x:f>IF(T24="","",I24*T24)</x:f>
        <x:v>1984.012717945417</x:v>
      </x:c>
    </x:row>
    <x:row r="25" ht="18" customHeight="1">
      <x:c r="A25" s="24" t="str">
        <x:v>EEZ_548</x:v>
      </x:c>
      <x:c r="B25" s="24" t="str">
        <x:v>Vanuatu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128.09862017999998</x:v>
      </x:c>
      <x:c r="J25" s="31" t="n">
        <x:v>128.09862017999998</x:v>
      </x:c>
      <x:c r="K25" s="31" t="n">
        <x:v>0</x:v>
      </x:c>
      <x:c r="L25" s="31" t="n">
        <x:v>73.59228479</x:v>
      </x:c>
      <x:c r="M25" s="31" t="n">
        <x:v>54.50633539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36944.04561061695</x:v>
      </x:c>
    </x:row>
    <x:row r="26" ht="18" customHeight="1">
      <x:c r="A26" s="24" t="str">
        <x:v>EEZ_548</x:v>
      </x:c>
      <x:c r="B26" s="24" t="str">
        <x:v>Vanuatu</x:v>
      </x:c>
      <x:c r="C26" s="24" t="str">
        <x:v>EEZ</x:v>
      </x:c>
      <x:c r="D26" s="30" t="n">
        <x:v>2019</x:v>
      </x:c>
      <x:c r="E26" s="24" t="str">
        <x:v>Scaridae</x:v>
      </x:c>
      <x:c r="F26" s="24" t="str">
        <x:v>Parrotfishes</x:v>
      </x:c>
      <x:c r="G26" s="24" t="str">
        <x:v>Medium reef assoc. fish (30 - 89 cm)</x:v>
      </x:c>
      <x:c r="H26" s="24" t="str">
        <x:v>Perch-likes</x:v>
      </x:c>
      <x:c r="I26" s="31" t="n">
        <x:v>128.09862017999998</x:v>
      </x:c>
      <x:c r="J26" s="31" t="n">
        <x:v>128.09862017999998</x:v>
      </x:c>
      <x:c r="K26" s="31" t="n">
        <x:v>0</x:v>
      </x:c>
      <x:c r="L26" s="31" t="n">
        <x:v>73.59228479</x:v>
      </x:c>
      <x:c r="M26" s="31" t="n">
        <x:v>54.50633539</x:v>
      </x:c>
      <x:c r="N26" s="24" t="str">
        <x:v>scaridae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Scaridae</x:v>
      </x:c>
      <x:c r="T26" s="32" t="n">
        <x:f>IF(O26="","",(1/'Metadata'!$B$5)^(O26-1))</x:f>
        <x:v>10</x:v>
      </x:c>
      <x:c r="U26" s="31" t="n">
        <x:f>IF(T26="","",I26*T26)</x:f>
        <x:v>1280.9862018</x:v>
      </x:c>
    </x:row>
    <x:row r="27" ht="18" customHeight="1">
      <x:c r="A27" s="24" t="str">
        <x:v>EEZ_548</x:v>
      </x:c>
      <x:c r="B27" s="24" t="str">
        <x:v>Vanuatu</x:v>
      </x:c>
      <x:c r="C27" s="24" t="str">
        <x:v>EEZ</x:v>
      </x:c>
      <x:c r="D27" s="30" t="n">
        <x:v>2019</x:v>
      </x:c>
      <x:c r="E27" s="24" t="str">
        <x:v>Serranidae</x:v>
      </x:c>
      <x:c r="F27" s="24" t="str">
        <x:v>Basses, groupers, hinds</x:v>
      </x:c>
      <x:c r="G27" s="24" t="str">
        <x:v>Medium reef assoc. fish (30 - 89 cm)</x:v>
      </x:c>
      <x:c r="H27" s="24" t="str">
        <x:v>Perch-likes</x:v>
      </x:c>
      <x:c r="I27" s="31" t="n">
        <x:v>128.09862017999998</x:v>
      </x:c>
      <x:c r="J27" s="31" t="n">
        <x:v>128.09862017999998</x:v>
      </x:c>
      <x:c r="K27" s="31" t="n">
        <x:v>0</x:v>
      </x:c>
      <x:c r="L27" s="31" t="n">
        <x:v>73.59228479</x:v>
      </x:c>
      <x:c r="M27" s="31" t="n">
        <x:v>54.50633539</x:v>
      </x:c>
      <x:c r="N27" s="24" t="str">
        <x:v>serranidae</x:v>
      </x:c>
      <x:c r="O27" s="32" t="n">
        <x:v>3.98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Serranidae</x:v>
      </x:c>
      <x:c r="T27" s="32" t="n">
        <x:f>IF(O27="","",(1/'Metadata'!$B$5)^(O27-1))</x:f>
        <x:v>954.992586021436</x:v>
      </x:c>
      <x:c r="U27" s="31" t="n">
        <x:f>IF(T27="","",I27*T27)</x:f>
        <x:v>122333.23255147588</x:v>
      </x:c>
    </x:row>
    <x:row r="28" ht="18" customHeight="1">
      <x:c r="A28" s="24" t="str">
        <x:v>EEZ_548</x:v>
      </x:c>
      <x:c r="B28" s="24" t="str">
        <x:v>Vanuatu</x:v>
      </x:c>
      <x:c r="C28" s="24" t="str">
        <x:v>EEZ</x:v>
      </x:c>
      <x:c r="D28" s="30" t="n">
        <x:v>2019</x:v>
      </x:c>
      <x:c r="E28" s="24" t="str">
        <x:v>Balistidae</x:v>
      </x:c>
      <x:c r="F28" s="24" t="str">
        <x:v>Triggerfishes</x:v>
      </x:c>
      <x:c r="G28" s="24" t="str">
        <x:v>Medium reef assoc. fish (30 - 89 cm)</x:v>
      </x:c>
      <x:c r="H28" s="24" t="str">
        <x:v>Other fishes &amp; inverts</x:v>
      </x:c>
      <x:c r="I28" s="31" t="n">
        <x:v>128.09862017999998</x:v>
      </x:c>
      <x:c r="J28" s="31" t="n">
        <x:v>128.09862017999998</x:v>
      </x:c>
      <x:c r="K28" s="31" t="n">
        <x:v>0</x:v>
      </x:c>
      <x:c r="L28" s="31" t="n">
        <x:v>73.59228479</x:v>
      </x:c>
      <x:c r="M28" s="31" t="n">
        <x:v>54.50633539</x:v>
      </x:c>
      <x:c r="N28" s="24" t="str">
        <x:v>balistidae</x:v>
      </x:c>
      <x:c r="O28" s="32" t="n">
        <x:v>3.25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Balistidae</x:v>
      </x:c>
      <x:c r="T28" s="32" t="n">
        <x:f>IF(O28="","",(1/'Metadata'!$B$5)^(O28-1))</x:f>
        <x:v>177.82794100389228</x:v>
      </x:c>
      <x:c r="U28" s="31" t="n">
        <x:f>IF(T28="","",I28*T28)</x:f>
        <x:v>22779.513872049043</x:v>
      </x:c>
    </x:row>
    <x:row r="29" ht="18" customHeight="1">
      <x:c r="A29" s="24" t="str">
        <x:v>EEZ_548</x:v>
      </x:c>
      <x:c r="B29" s="24" t="str">
        <x:v>Vanuatu</x:v>
      </x:c>
      <x:c r="C29" s="24" t="str">
        <x:v>EEZ</x:v>
      </x:c>
      <x:c r="D29" s="30" t="n">
        <x:v>2019</x:v>
      </x:c>
      <x:c r="E29" s="24" t="str">
        <x:v>Labridae</x:v>
      </x:c>
      <x:c r="F29" s="24" t="str">
        <x:v>Wrasses, gropers, tuskfishes</x:v>
      </x:c>
      <x:c r="G29" s="24" t="str">
        <x:v>Medium reef assoc. fish (30 - 89 cm)</x:v>
      </x:c>
      <x:c r="H29" s="24" t="str">
        <x:v>Perch-likes</x:v>
      </x:c>
      <x:c r="I29" s="31" t="n">
        <x:v>128.09862017999998</x:v>
      </x:c>
      <x:c r="J29" s="31" t="n">
        <x:v>128.09862017999998</x:v>
      </x:c>
      <x:c r="K29" s="31" t="n">
        <x:v>0</x:v>
      </x:c>
      <x:c r="L29" s="31" t="n">
        <x:v>73.59228479</x:v>
      </x:c>
      <x:c r="M29" s="31" t="n">
        <x:v>54.50633539</x:v>
      </x:c>
      <x:c r="N29" s="24" t="str">
        <x:v>labridae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Labridae</x:v>
      </x:c>
      <x:c r="T29" s="32" t="n">
        <x:f>IF(O29="","",(1/'Metadata'!$B$5)^(O29-1))</x:f>
        <x:v>288.40315031266056</x:v>
      </x:c>
      <x:c r="U29" s="31" t="n">
        <x:f>IF(T29="","",I29*T29)</x:f>
        <x:v>36944.04561061695</x:v>
      </x:c>
    </x:row>
    <x:row r="30" ht="18" customHeight="1">
      <x:c r="A30" s="24" t="str">
        <x:v>EEZ_548</x:v>
      </x:c>
      <x:c r="B30" s="24" t="str">
        <x:v>Vanuatu</x:v>
      </x:c>
      <x:c r="C30" s="24" t="str">
        <x:v>EEZ</x:v>
      </x:c>
      <x:c r="D30" s="30" t="n">
        <x:v>2019</x:v>
      </x:c>
      <x:c r="E30" s="24" t="str">
        <x:v>Siganidae</x:v>
      </x:c>
      <x:c r="F30" s="24" t="str">
        <x:v>Rabbitfishes</x:v>
      </x:c>
      <x:c r="G30" s="24" t="str">
        <x:v>Medium reef assoc. fish (30 - 89 cm)</x:v>
      </x:c>
      <x:c r="H30" s="24" t="str">
        <x:v>Perch-likes</x:v>
      </x:c>
      <x:c r="I30" s="31" t="n">
        <x:v>128.09862017999998</x:v>
      </x:c>
      <x:c r="J30" s="31" t="n">
        <x:v>128.09862017999998</x:v>
      </x:c>
      <x:c r="K30" s="31" t="n">
        <x:v>0</x:v>
      </x:c>
      <x:c r="L30" s="31" t="n">
        <x:v>73.59228479</x:v>
      </x:c>
      <x:c r="M30" s="31" t="n">
        <x:v>54.50633539</x:v>
      </x:c>
      <x:c r="N30" s="24" t="str">
        <x:v>siganidae</x:v>
      </x:c>
      <x:c r="O30" s="32" t="n">
        <x:v>2.11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Siganidae</x:v>
      </x:c>
      <x:c r="T30" s="32" t="n">
        <x:f>IF(O30="","",(1/'Metadata'!$B$5)^(O30-1))</x:f>
        <x:v>12.882495516931336</x:v>
      </x:c>
      <x:c r="U30" s="31" t="n">
        <x:f>IF(T30="","",I30*T30)</x:f>
        <x:v>1650.2299001939398</x:v>
      </x:c>
    </x:row>
    <x:row r="31" ht="18" customHeight="1">
      <x:c r="A31" s="24" t="str">
        <x:v>EEZ_548</x:v>
      </x:c>
      <x:c r="B31" s="24" t="str">
        <x:v>Vanuatu</x:v>
      </x:c>
      <x:c r="C31" s="24" t="str">
        <x:v>EEZ</x:v>
      </x:c>
      <x:c r="D31" s="30" t="n">
        <x:v>2019</x:v>
      </x:c>
      <x:c r="E31" s="24" t="str">
        <x:v>Sphyraenidae</x:v>
      </x:c>
      <x:c r="F31" s="24" t="str">
        <x:v>Barracudas</x:v>
      </x:c>
      <x:c r="G31" s="24" t="str">
        <x:v>Medium reef assoc. fish (30 - 89 cm)</x:v>
      </x:c>
      <x:c r="H31" s="24" t="str">
        <x:v>Perch-likes</x:v>
      </x:c>
      <x:c r="I31" s="31" t="n">
        <x:v>128.09862017999998</x:v>
      </x:c>
      <x:c r="J31" s="31" t="n">
        <x:v>128.09862017999998</x:v>
      </x:c>
      <x:c r="K31" s="31" t="n">
        <x:v>0</x:v>
      </x:c>
      <x:c r="L31" s="31" t="n">
        <x:v>73.59228479</x:v>
      </x:c>
      <x:c r="M31" s="31" t="n">
        <x:v>54.50633539</x:v>
      </x:c>
      <x:c r="N31" s="24" t="str">
        <x:v>sphyraenidae</x:v>
      </x:c>
      <x:c r="O31" s="32" t="n">
        <x:v>4.4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Sphyraenidae</x:v>
      </x:c>
      <x:c r="T31" s="32" t="n">
        <x:f>IF(O31="","",(1/'Metadata'!$B$5)^(O31-1))</x:f>
        <x:v>2511.886431509582</x:v>
      </x:c>
      <x:c r="U31" s="31" t="n">
        <x:f>IF(T31="","",I31*T31)</x:f>
        <x:v>321769.1859252415</x:v>
      </x:c>
    </x:row>
    <x:row r="32" ht="18" customHeight="1">
      <x:c r="A32" s="24" t="str">
        <x:v>EEZ_548</x:v>
      </x:c>
      <x:c r="B32" s="24" t="str">
        <x:v>Vanuatu</x:v>
      </x:c>
      <x:c r="C32" s="24" t="str">
        <x:v>EEZ</x:v>
      </x:c>
      <x:c r="D32" s="30" t="n">
        <x:v>2019</x:v>
      </x:c>
      <x:c r="E32" s="24" t="str">
        <x:v>Istiophoridae</x:v>
      </x:c>
      <x:c r="F32" s="24" t="str">
        <x:v>Billfishes</x:v>
      </x:c>
      <x:c r="G32" s="24" t="str">
        <x:v>Large pelagics (&gt;=90 cm)</x:v>
      </x:c>
      <x:c r="H32" s="24" t="str">
        <x:v>Tuna &amp; billfishes</x:v>
      </x:c>
      <x:c r="I32" s="31" t="n">
        <x:v>127.9218670993</x:v>
      </x:c>
      <x:c r="J32" s="31" t="n">
        <x:v>78.4</x:v>
      </x:c>
      <x:c r="K32" s="31" t="n">
        <x:v>49.5218670993</x:v>
      </x:c>
      <x:c r="L32" s="31" t="n">
        <x:v>0</x:v>
      </x:c>
      <x:c r="M32" s="31" t="n">
        <x:v>127.9218670993</x:v>
      </x:c>
      <x:c r="N32" s="24" t="str">
        <x:v>istiophoridae</x:v>
      </x:c>
      <x:c r="O32" s="32" t="n">
        <x:v>4.48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Istiophoridae</x:v>
      </x:c>
      <x:c r="T32" s="32" t="n">
        <x:f>IF(O32="","",(1/'Metadata'!$B$5)^(O32-1))</x:f>
        <x:v>3019.951720402019</x:v>
      </x:c>
      <x:c r="U32" s="31" t="n">
        <x:f>IF(T32="","",I32*T32)</x:f>
        <x:v>386317.86262356944</x:v>
      </x:c>
    </x:row>
    <x:row r="33" ht="18" customHeight="1">
      <x:c r="A33" s="24" t="str">
        <x:v>EEZ_548</x:v>
      </x:c>
      <x:c r="B33" s="24" t="str">
        <x:v>Vanuatu</x:v>
      </x:c>
      <x:c r="C33" s="24" t="str">
        <x:v>EEZ</x:v>
      </x:c>
      <x:c r="D33" s="30" t="n">
        <x:v>2019</x:v>
      </x:c>
      <x:c r="E33" s="24" t="str">
        <x:v>Coryphaena hippurus</x:v>
      </x:c>
      <x:c r="F33" s="24" t="str">
        <x:v>Common dolphinfish</x:v>
      </x:c>
      <x:c r="G33" s="24" t="str">
        <x:v>Large pelagics (&gt;=90 cm)</x:v>
      </x:c>
      <x:c r="H33" s="24" t="str">
        <x:v>Perch-likes</x:v>
      </x:c>
      <x:c r="I33" s="31" t="n">
        <x:v>86.6471483601</x:v>
      </x:c>
      <x:c r="J33" s="31" t="n">
        <x:v>0</x:v>
      </x:c>
      <x:c r="K33" s="31" t="n">
        <x:v>86.6471483601</x:v>
      </x:c>
      <x:c r="L33" s="31" t="n">
        <x:v>0</x:v>
      </x:c>
      <x:c r="M33" s="31" t="n">
        <x:v>86.6471483601</x:v>
      </x:c>
      <x:c r="N33" s="24" t="str">
        <x:v>coryphaena hippurus</x:v>
      </x:c>
      <x:c r="O33" s="32" t="n">
        <x:v>4.37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Coryphaena hippurus</x:v>
      </x:c>
      <x:c r="T33" s="32" t="n">
        <x:f>IF(O33="","",(1/'Metadata'!$B$5)^(O33-1))</x:f>
        <x:v>2344.228815319923</x:v>
      </x:c>
      <x:c r="U33" s="31" t="n">
        <x:f>IF(T33="","",I33*T33)</x:f>
        <x:v>203120.74195104683</x:v>
      </x:c>
    </x:row>
    <x:row r="34" ht="18" customHeight="1">
      <x:c r="A34" s="24" t="str">
        <x:v>EEZ_548</x:v>
      </x:c>
      <x:c r="B34" s="24" t="str">
        <x:v>Vanuatu</x:v>
      </x:c>
      <x:c r="C34" s="24" t="str">
        <x:v>EEZ</x:v>
      </x:c>
      <x:c r="D34" s="30" t="n">
        <x:v>2019</x:v>
      </x:c>
      <x:c r="E34" s="24" t="str">
        <x:v>Carcharhinus longimanus</x:v>
      </x:c>
      <x:c r="F34" s="24" t="str">
        <x:v>Oceanic whitetip shark</x:v>
      </x:c>
      <x:c r="G34" s="24" t="str">
        <x:v>Large sharks (&gt;=90 cm)</x:v>
      </x:c>
      <x:c r="H34" s="24" t="str">
        <x:v>Sharks &amp; rays</x:v>
      </x:c>
      <x:c r="I34" s="31" t="n">
        <x:v>81.9338830741</x:v>
      </x:c>
      <x:c r="J34" s="31" t="n">
        <x:v>15.2403923312</x:v>
      </x:c>
      <x:c r="K34" s="31" t="n">
        <x:v>66.6934907429</x:v>
      </x:c>
      <x:c r="L34" s="31" t="n">
        <x:v>15.2403923312</x:v>
      </x:c>
      <x:c r="M34" s="31" t="n">
        <x:v>66.6934907429</x:v>
      </x:c>
      <x:c r="N34" s="24" t="str">
        <x:v>carcharhinus longimanus</x:v>
      </x:c>
      <x:c r="O34" s="32" t="n">
        <x:v>4.16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Carcharhinus longimanus</x:v>
      </x:c>
      <x:c r="T34" s="32" t="n">
        <x:f>IF(O34="","",(1/'Metadata'!$B$5)^(O34-1))</x:f>
        <x:v>1445.439770745928</x:v>
      </x:c>
      <x:c r="U34" s="31" t="n">
        <x:f>IF(T34="","",I34*T34)</x:f>
        <x:v>118430.49316695076</x:v>
      </x:c>
    </x:row>
    <x:row r="35" ht="18" customHeight="1">
      <x:c r="A35" s="24" t="str">
        <x:v>EEZ_548</x:v>
      </x:c>
      <x:c r="B35" s="24" t="str">
        <x:v>Vanuatu</x:v>
      </x:c>
      <x:c r="C35" s="24" t="str">
        <x:v>EEZ</x:v>
      </x:c>
      <x:c r="D35" s="30" t="n">
        <x:v>2019</x:v>
      </x:c>
      <x:c r="E35" s="24" t="str">
        <x:v>Veneridae</x:v>
      </x:c>
      <x:c r="F35" s="24" t="str">
        <x:v>Venus clams</x:v>
      </x:c>
      <x:c r="G35" s="24" t="str">
        <x:v>Other demersal invertebrates</x:v>
      </x:c>
      <x:c r="H35" s="24" t="str">
        <x:v>Molluscs</x:v>
      </x:c>
      <x:c r="I35" s="31" t="n">
        <x:v>42.528407856</x:v>
      </x:c>
      <x:c r="J35" s="31" t="n">
        <x:v>42.528407856</x:v>
      </x:c>
      <x:c r="K35" s="31" t="n">
        <x:v>0</x:v>
      </x:c>
      <x:c r="L35" s="31" t="n">
        <x:v>5.555555556</x:v>
      </x:c>
      <x:c r="M35" s="31" t="n">
        <x:v>36.9728523</x:v>
      </x:c>
      <x:c r="N35" s="24" t="str">
        <x:v>veneridae</x:v>
      </x:c>
      <x:c r="O35" s="32" t="n">
        <x:v>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Veneridae</x:v>
      </x:c>
      <x:c r="T35" s="32" t="n">
        <x:f>IF(O35="","",(1/'Metadata'!$B$5)^(O35-1))</x:f>
        <x:v>10</x:v>
      </x:c>
      <x:c r="U35" s="31" t="n">
        <x:f>IF(T35="","",I35*T35)</x:f>
        <x:v>425.28407856</x:v>
      </x:c>
    </x:row>
    <x:row r="36" ht="18" customHeight="1">
      <x:c r="A36" s="24" t="str">
        <x:v>EEZ_548</x:v>
      </x:c>
      <x:c r="B36" s="24" t="str">
        <x:v>Vanuatu</x:v>
      </x:c>
      <x:c r="C36" s="24" t="str">
        <x:v>EEZ</x:v>
      </x:c>
      <x:c r="D36" s="30" t="n">
        <x:v>2019</x:v>
      </x:c>
      <x:c r="E36" s="24" t="str">
        <x:v>Terebridae</x:v>
      </x:c>
      <x:c r="F36" s="24" t="str">
        <x:v>Augur shells</x:v>
      </x:c>
      <x:c r="G36" s="24" t="str">
        <x:v>Other demersal invertebrates</x:v>
      </x:c>
      <x:c r="H36" s="24" t="str">
        <x:v>Molluscs</x:v>
      </x:c>
      <x:c r="I36" s="31" t="n">
        <x:v>34.702715308</x:v>
      </x:c>
      <x:c r="J36" s="31" t="n">
        <x:v>34.702715308</x:v>
      </x:c>
      <x:c r="K36" s="31" t="n">
        <x:v>0</x:v>
      </x:c>
      <x:c r="L36" s="31" t="n">
        <x:v>2.777777778</x:v>
      </x:c>
      <x:c r="M36" s="31" t="n">
        <x:v>31.92493753</x:v>
      </x:c>
      <x:c r="N36" s="24" t="str">
        <x:v>terebridae</x:v>
      </x:c>
      <x:c r="O36" s="32" t="n">
        <x:v>3.06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Terebridae</x:v>
      </x:c>
      <x:c r="T36" s="32" t="n">
        <x:f>IF(O36="","",(1/'Metadata'!$B$5)^(O36-1))</x:f>
        <x:v>114.81536214968828</x:v>
      </x:c>
      <x:c r="U36" s="31" t="n">
        <x:f>IF(T36="","",I36*T36)</x:f>
        <x:v>3984.4048256655515</x:v>
      </x:c>
    </x:row>
    <x:row r="37" ht="18" customHeight="1">
      <x:c r="A37" s="24" t="str">
        <x:v>EEZ_548</x:v>
      </x:c>
      <x:c r="B37" s="24" t="str">
        <x:v>Vanuatu</x:v>
      </x:c>
      <x:c r="C37" s="24" t="str">
        <x:v>EEZ</x:v>
      </x:c>
      <x:c r="D37" s="30" t="n">
        <x:v>2019</x:v>
      </x:c>
      <x:c r="E37" s="24" t="str">
        <x:v>Bivalvia</x:v>
      </x:c>
      <x:c r="F37" s="24" t="str">
        <x:v>Clams</x:v>
      </x:c>
      <x:c r="G37" s="24" t="str">
        <x:v>Other demersal invertebrates</x:v>
      </x:c>
      <x:c r="H37" s="24" t="str">
        <x:v>Molluscs</x:v>
      </x:c>
      <x:c r="I37" s="31" t="n">
        <x:v>34.702715308</x:v>
      </x:c>
      <x:c r="J37" s="31" t="n">
        <x:v>34.702715308</x:v>
      </x:c>
      <x:c r="K37" s="31" t="n">
        <x:v>0</x:v>
      </x:c>
      <x:c r="L37" s="31" t="n">
        <x:v>2.777777778</x:v>
      </x:c>
      <x:c r="M37" s="31" t="n">
        <x:v>31.92493753</x:v>
      </x:c>
      <x:c r="N37" s="24" t="str">
        <x:v>bivalvia</x:v>
      </x:c>
      <x:c r="O37" s="32" t="n">
        <x:v>2.23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Bivalvia</x:v>
      </x:c>
      <x:c r="T37" s="32" t="n">
        <x:f>IF(O37="","",(1/'Metadata'!$B$5)^(O37-1))</x:f>
        <x:v>16.982436524617444</x:v>
      </x:c>
      <x:c r="U37" s="31" t="n">
        <x:f>IF(T37="","",I37*T37)</x:f>
        <x:v>589.3366599499801</x:v>
      </x:c>
    </x:row>
    <x:row r="38" ht="18" customHeight="1">
      <x:c r="A38" s="24" t="str">
        <x:v>EEZ_548</x:v>
      </x:c>
      <x:c r="B38" s="24" t="str">
        <x:v>Vanuatu</x:v>
      </x:c>
      <x:c r="C38" s="24" t="str">
        <x:v>EEZ</x:v>
      </x:c>
      <x:c r="D38" s="30" t="n">
        <x:v>2019</x:v>
      </x:c>
      <x:c r="E38" s="24" t="str">
        <x:v>Neritidae</x:v>
      </x:c>
      <x:c r="F38" s="24" t="str">
        <x:v>Nerites snails</x:v>
      </x:c>
      <x:c r="G38" s="24" t="str">
        <x:v>Other demersal invertebrates</x:v>
      </x:c>
      <x:c r="H38" s="24" t="str">
        <x:v>Molluscs</x:v>
      </x:c>
      <x:c r="I38" s="31" t="n">
        <x:v>34.702715308</x:v>
      </x:c>
      <x:c r="J38" s="31" t="n">
        <x:v>34.702715308</x:v>
      </x:c>
      <x:c r="K38" s="31" t="n">
        <x:v>0</x:v>
      </x:c>
      <x:c r="L38" s="31" t="n">
        <x:v>2.777777778</x:v>
      </x:c>
      <x:c r="M38" s="31" t="n">
        <x:v>31.92493753</x:v>
      </x:c>
      <x:c r="N38" s="24" t="str">
        <x:v>neritidae</x:v>
      </x:c>
      <x:c r="O38" s="32" t="n">
        <x:v>3.3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Neritidae</x:v>
      </x:c>
      <x:c r="T38" s="32" t="n">
        <x:f>IF(O38="","",(1/'Metadata'!$B$5)^(O38-1))</x:f>
        <x:v>199.52623149688787</x:v>
      </x:c>
      <x:c r="U38" s="31" t="n">
        <x:f>IF(T38="","",I38*T38)</x:f>
        <x:v>6924.1020081146025</x:v>
      </x:c>
    </x:row>
    <x:row r="39" ht="18" customHeight="1">
      <x:c r="A39" s="24" t="str">
        <x:v>EEZ_548</x:v>
      </x:c>
      <x:c r="B39" s="24" t="str">
        <x:v>Vanuatu</x:v>
      </x:c>
      <x:c r="C39" s="24" t="str">
        <x:v>EEZ</x:v>
      </x:c>
      <x:c r="D39" s="30" t="n">
        <x:v>2019</x:v>
      </x:c>
      <x:c r="E39" s="24" t="str">
        <x:v>Pteriidae</x:v>
      </x:c>
      <x:c r="F39" s="24" t="str">
        <x:v>Pearl oysters</x:v>
      </x:c>
      <x:c r="G39" s="24" t="str">
        <x:v>Other demersal invertebrates</x:v>
      </x:c>
      <x:c r="H39" s="24" t="str">
        <x:v>Molluscs</x:v>
      </x:c>
      <x:c r="I39" s="31" t="n">
        <x:v>34.702715308</x:v>
      </x:c>
      <x:c r="J39" s="31" t="n">
        <x:v>34.702715308</x:v>
      </x:c>
      <x:c r="K39" s="31" t="n">
        <x:v>0</x:v>
      </x:c>
      <x:c r="L39" s="31" t="n">
        <x:v>2.777777778</x:v>
      </x:c>
      <x:c r="M39" s="31" t="n">
        <x:v>31.92493753</x:v>
      </x:c>
      <x:c r="N39" s="24" t="str">
        <x:v>pteriidae</x:v>
      </x:c>
      <x:c r="O39" s="32" t="n">
        <x:v>2.05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Pteriidae</x:v>
      </x:c>
      <x:c r="T39" s="32" t="n">
        <x:f>IF(O39="","",(1/'Metadata'!$B$5)^(O39-1))</x:f>
        <x:v>11.220184543019629</x:v>
      </x:c>
      <x:c r="U39" s="31" t="n">
        <x:f>IF(T39="","",I39*T39)</x:f>
        <x:v>389.3708698996323</x:v>
      </x:c>
    </x:row>
    <x:row r="40" ht="18" customHeight="1">
      <x:c r="A40" s="24" t="str">
        <x:v>EEZ_548</x:v>
      </x:c>
      <x:c r="B40" s="24" t="str">
        <x:v>Vanuatu</x:v>
      </x:c>
      <x:c r="C40" s="24" t="str">
        <x:v>EEZ</x:v>
      </x:c>
      <x:c r="D40" s="30" t="n">
        <x:v>2019</x:v>
      </x:c>
      <x:c r="E40" s="24" t="str">
        <x:v>Ostreidae</x:v>
      </x:c>
      <x:c r="F40" s="24" t="str">
        <x:v>True oysters</x:v>
      </x:c>
      <x:c r="G40" s="24" t="str">
        <x:v>Other demersal invertebrates</x:v>
      </x:c>
      <x:c r="H40" s="24" t="str">
        <x:v>Molluscs</x:v>
      </x:c>
      <x:c r="I40" s="31" t="n">
        <x:v>34.702715308</x:v>
      </x:c>
      <x:c r="J40" s="31" t="n">
        <x:v>34.702715308</x:v>
      </x:c>
      <x:c r="K40" s="31" t="n">
        <x:v>0</x:v>
      </x:c>
      <x:c r="L40" s="31" t="n">
        <x:v>2.777777778</x:v>
      </x:c>
      <x:c r="M40" s="31" t="n">
        <x:v>31.92493753</x:v>
      </x:c>
      <x:c r="N40" s="24" t="str">
        <x:v>ostreidae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Ostreidae</x:v>
      </x:c>
      <x:c r="T40" s="32" t="n">
        <x:f>IF(O40="","",(1/'Metadata'!$B$5)^(O40-1))</x:f>
        <x:v>10</x:v>
      </x:c>
      <x:c r="U40" s="31" t="n">
        <x:f>IF(T40="","",I40*T40)</x:f>
        <x:v>347.02715308</x:v>
      </x:c>
    </x:row>
    <x:row r="41" ht="18" customHeight="1">
      <x:c r="A41" s="24" t="str">
        <x:v>EEZ_548</x:v>
      </x:c>
      <x:c r="B41" s="24" t="str">
        <x:v>Vanuatu</x:v>
      </x:c>
      <x:c r="C41" s="24" t="str">
        <x:v>EEZ</x:v>
      </x:c>
      <x:c r="D41" s="30" t="n">
        <x:v>2019</x:v>
      </x:c>
      <x:c r="E41" s="24" t="str">
        <x:v>Tellinidae</x:v>
      </x:c>
      <x:c r="F41" s="24" t="str">
        <x:v>Tellin clams</x:v>
      </x:c>
      <x:c r="G41" s="24" t="str">
        <x:v>Other demersal invertebrates</x:v>
      </x:c>
      <x:c r="H41" s="24" t="str">
        <x:v>Molluscs</x:v>
      </x:c>
      <x:c r="I41" s="31" t="n">
        <x:v>34.702715308</x:v>
      </x:c>
      <x:c r="J41" s="31" t="n">
        <x:v>34.702715308</x:v>
      </x:c>
      <x:c r="K41" s="31" t="n">
        <x:v>0</x:v>
      </x:c>
      <x:c r="L41" s="31" t="n">
        <x:v>2.777777778</x:v>
      </x:c>
      <x:c r="M41" s="31" t="n">
        <x:v>31.92493753</x:v>
      </x:c>
      <x:c r="N41" s="24" t="str">
        <x:v>tellinidae</x:v>
      </x:c>
      <x:c r="O41" s="32" t="n">
        <x:v>2.15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Tellinidae</x:v>
      </x:c>
      <x:c r="T41" s="32" t="n">
        <x:f>IF(O41="","",(1/'Metadata'!$B$5)^(O41-1))</x:f>
        <x:v>14.12537544622754</x:v>
      </x:c>
      <x:c r="U41" s="31" t="n">
        <x:f>IF(T41="","",I41*T41)</x:f>
        <x:v>490.1888827290478</x:v>
      </x:c>
    </x:row>
    <x:row r="42" ht="18" customHeight="1">
      <x:c r="A42" s="24" t="str">
        <x:v>EEZ_548</x:v>
      </x:c>
      <x:c r="B42" s="24" t="str">
        <x:v>Vanuatu</x:v>
      </x:c>
      <x:c r="C42" s="24" t="str">
        <x:v>EEZ</x:v>
      </x:c>
      <x:c r="D42" s="30" t="n">
        <x:v>2019</x:v>
      </x:c>
      <x:c r="E42" s="24" t="str">
        <x:v>Alopias</x:v>
      </x:c>
      <x:c r="F42" s="24" t="str">
        <x:v>Thresher sharks</x:v>
      </x:c>
      <x:c r="G42" s="24" t="str">
        <x:v>Large sharks (&gt;=90 cm)</x:v>
      </x:c>
      <x:c r="H42" s="24" t="str">
        <x:v>Sharks &amp; rays</x:v>
      </x:c>
      <x:c r="I42" s="31" t="n">
        <x:v>33.951352947400004</x:v>
      </x:c>
      <x:c r="J42" s="31" t="n">
        <x:v>6.849772911800001</x:v>
      </x:c>
      <x:c r="K42" s="31" t="n">
        <x:v>27.1015800356</x:v>
      </x:c>
      <x:c r="L42" s="31" t="n">
        <x:v>6.849772911800001</x:v>
      </x:c>
      <x:c r="M42" s="31" t="n">
        <x:v>27.1015800356</x:v>
      </x:c>
      <x:c r="N42" s="24" t="str">
        <x:v>alopias</x:v>
      </x:c>
      <x:c r="O42" s="32" t="n">
        <x:v>4.5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Alopias</x:v>
      </x:c>
      <x:c r="T42" s="32" t="n">
        <x:f>IF(O42="","",(1/'Metadata'!$B$5)^(O42-1))</x:f>
        <x:v>3162.2776601683795</x:v>
      </x:c>
      <x:c r="U42" s="31" t="n">
        <x:f>IF(T42="","",I42*T42)</x:f>
        <x:v>107363.6049580549</x:v>
      </x:c>
    </x:row>
    <x:row r="43" ht="18" customHeight="1">
      <x:c r="A43" s="24" t="str">
        <x:v>EEZ_548</x:v>
      </x:c>
      <x:c r="B43" s="24" t="str">
        <x:v>Vanuatu</x:v>
      </x:c>
      <x:c r="C43" s="24" t="str">
        <x:v>EEZ</x:v>
      </x:c>
      <x:c r="D43" s="30" t="n">
        <x:v>2019</x:v>
      </x:c>
      <x:c r="E43" s="24" t="str">
        <x:v>Istiompax indica</x:v>
      </x:c>
      <x:c r="F43" s="24" t="str">
        <x:v>Black marlin</x:v>
      </x:c>
      <x:c r="G43" s="24" t="str">
        <x:v>Large pelagics (&gt;=90 cm)</x:v>
      </x:c>
      <x:c r="H43" s="24" t="str">
        <x:v>Tuna &amp; billfishes</x:v>
      </x:c>
      <x:c r="I43" s="31" t="n">
        <x:v>33.1768310845</x:v>
      </x:c>
      <x:c r="J43" s="31" t="n">
        <x:v>33.1768310845</x:v>
      </x:c>
      <x:c r="K43" s="31" t="n">
        <x:v>0</x:v>
      </x:c>
      <x:c r="L43" s="31" t="n">
        <x:v>33.1768310845</x:v>
      </x:c>
      <x:c r="M43" s="31" t="n">
        <x:v>0</x:v>
      </x:c>
      <x:c r="N43" s="24" t="str">
        <x:v>istiompax indica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Istiompax indica</x:v>
      </x:c>
      <x:c r="T43" s="32" t="n">
        <x:f>IF(O43="","",(1/'Metadata'!$B$5)^(O43-1))</x:f>
        <x:v>3162.2776601683795</x:v>
      </x:c>
      <x:c r="U43" s="31" t="n">
        <x:f>IF(T43="","",I43*T43)</x:f>
        <x:v>104914.35177369423</x:v>
      </x:c>
    </x:row>
    <x:row r="44" ht="18" customHeight="1">
      <x:c r="A44" s="24" t="str">
        <x:v>EEZ_548</x:v>
      </x:c>
      <x:c r="B44" s="24" t="str">
        <x:v>Vanuatu</x:v>
      </x:c>
      <x:c r="C44" s="24" t="str">
        <x:v>EEZ</x:v>
      </x:c>
      <x:c r="D44" s="30" t="n">
        <x:v>2019</x:v>
      </x:c>
      <x:c r="E44" s="24" t="str">
        <x:v>Priacanthidae</x:v>
      </x:c>
      <x:c r="F44" s="24" t="str">
        <x:v>Bigeyes, catalufas</x:v>
      </x:c>
      <x:c r="G44" s="24" t="str">
        <x:v>Medium reef assoc. fish (30 - 89 cm)</x:v>
      </x:c>
      <x:c r="H44" s="24" t="str">
        <x:v>Perch-likes</x:v>
      </x:c>
      <x:c r="I44" s="31" t="n">
        <x:v>25.61972404</x:v>
      </x:c>
      <x:c r="J44" s="31" t="n">
        <x:v>25.61972404</x:v>
      </x:c>
      <x:c r="K44" s="31" t="n">
        <x:v>0</x:v>
      </x:c>
      <x:c r="L44" s="31" t="n">
        <x:v>14.71845696</x:v>
      </x:c>
      <x:c r="M44" s="31" t="n">
        <x:v>10.90126708</x:v>
      </x:c>
      <x:c r="N44" s="24" t="str">
        <x:v>priacanthidae</x:v>
      </x:c>
      <x:c r="O44" s="32" t="n">
        <x:v>3.79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Priacanthidae</x:v>
      </x:c>
      <x:c r="T44" s="32" t="n">
        <x:f>IF(O44="","",(1/'Metadata'!$B$5)^(O44-1))</x:f>
        <x:v>616.5950018614822</x:v>
      </x:c>
      <x:c r="U44" s="31" t="n">
        <x:f>IF(T44="","",I44*T44)</x:f>
        <x:v>15796.99379213446</x:v>
      </x:c>
    </x:row>
    <x:row r="45" ht="18" customHeight="1">
      <x:c r="A45" s="24" t="str">
        <x:v>EEZ_548</x:v>
      </x:c>
      <x:c r="B45" s="24" t="str">
        <x:v>Vanuatu</x:v>
      </x:c>
      <x:c r="C45" s="24" t="str">
        <x:v>EEZ</x:v>
      </x:c>
      <x:c r="D45" s="30" t="n">
        <x:v>2019</x:v>
      </x:c>
      <x:c r="E45" s="24" t="str">
        <x:v>Clupeidae</x:v>
      </x:c>
      <x:c r="F45" s="24" t="str">
        <x:v>Herrings, sardines, menhadens</x:v>
      </x:c>
      <x:c r="G45" s="24" t="str">
        <x:v>Small pelagics (&lt;30 cm)</x:v>
      </x:c>
      <x:c r="H45" s="24" t="str">
        <x:v>Herring-likes</x:v>
      </x:c>
      <x:c r="I45" s="31" t="n">
        <x:v>25.61972404</x:v>
      </x:c>
      <x:c r="J45" s="31" t="n">
        <x:v>25.61972404</x:v>
      </x:c>
      <x:c r="K45" s="31" t="n">
        <x:v>0</x:v>
      </x:c>
      <x:c r="L45" s="31" t="n">
        <x:v>14.71845696</x:v>
      </x:c>
      <x:c r="M45" s="31" t="n">
        <x:v>10.90126708</x:v>
      </x:c>
      <x:c r="N45" s="24" t="str">
        <x:v>clupeidae</x:v>
      </x:c>
      <x:c r="O45" s="32" t="n">
        <x:v>3.16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Clupeidae</x:v>
      </x:c>
      <x:c r="T45" s="32" t="n">
        <x:f>IF(O45="","",(1/'Metadata'!$B$5)^(O45-1))</x:f>
        <x:v>144.5439770745928</x:v>
      </x:c>
      <x:c r="U45" s="31" t="n">
        <x:f>IF(T45="","",I45*T45)</x:f>
        <x:v>3703.176804295154</x:v>
      </x:c>
    </x:row>
    <x:row r="46" ht="18" customHeight="1">
      <x:c r="A46" s="24" t="str">
        <x:v>EEZ_548</x:v>
      </x:c>
      <x:c r="B46" s="24" t="str">
        <x:v>Vanuatu</x:v>
      </x:c>
      <x:c r="C46" s="24" t="str">
        <x:v>EEZ</x:v>
      </x:c>
      <x:c r="D46" s="30" t="n">
        <x:v>2019</x:v>
      </x:c>
      <x:c r="E46" s="24" t="str">
        <x:v>Chanos chanos</x:v>
      </x:c>
      <x:c r="F46" s="24" t="str">
        <x:v>Milkfish</x:v>
      </x:c>
      <x:c r="G46" s="24" t="str">
        <x:v>Large benthopelagics (&gt;=90 cm)</x:v>
      </x:c>
      <x:c r="H46" s="24" t="str">
        <x:v>Other fishes &amp; inverts</x:v>
      </x:c>
      <x:c r="I46" s="31" t="n">
        <x:v>25.61972404</x:v>
      </x:c>
      <x:c r="J46" s="31" t="n">
        <x:v>25.61972404</x:v>
      </x:c>
      <x:c r="K46" s="31" t="n">
        <x:v>0</x:v>
      </x:c>
      <x:c r="L46" s="31" t="n">
        <x:v>14.71845696</x:v>
      </x:c>
      <x:c r="M46" s="31" t="n">
        <x:v>10.90126708</x:v>
      </x:c>
      <x:c r="N46" s="24" t="str">
        <x:v>chanos chanos</x:v>
      </x:c>
      <x:c r="O46" s="32" t="n">
        <x:v>2.03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Chanos chanos</x:v>
      </x:c>
      <x:c r="T46" s="32" t="n">
        <x:f>IF(O46="","",(1/'Metadata'!$B$5)^(O46-1))</x:f>
        <x:v>10.71519305237606</x:v>
      </x:c>
      <x:c r="U46" s="31" t="n">
        <x:f>IF(T46="","",I46*T46)</x:f>
        <x:v>274.5202890371999</x:v>
      </x:c>
    </x:row>
    <x:row r="47" ht="18" customHeight="1">
      <x:c r="A47" s="24" t="str">
        <x:v>EEZ_548</x:v>
      </x:c>
      <x:c r="B47" s="24" t="str">
        <x:v>Vanuatu</x:v>
      </x:c>
      <x:c r="C47" s="24" t="str">
        <x:v>EEZ</x:v>
      </x:c>
      <x:c r="D47" s="30" t="n">
        <x:v>2019</x:v>
      </x:c>
      <x:c r="E47" s="24" t="str">
        <x:v>Gerreidae</x:v>
      </x:c>
      <x:c r="F47" s="24" t="str">
        <x:v>Mojarras, silverbellies</x:v>
      </x:c>
      <x:c r="G47" s="24" t="str">
        <x:v>Small benthopelagics (&lt;30 cm)</x:v>
      </x:c>
      <x:c r="H47" s="24" t="str">
        <x:v>Perch-likes</x:v>
      </x:c>
      <x:c r="I47" s="31" t="n">
        <x:v>25.61972404</x:v>
      </x:c>
      <x:c r="J47" s="31" t="n">
        <x:v>25.61972404</x:v>
      </x:c>
      <x:c r="K47" s="31" t="n">
        <x:v>0</x:v>
      </x:c>
      <x:c r="L47" s="31" t="n">
        <x:v>14.71845696</x:v>
      </x:c>
      <x:c r="M47" s="31" t="n">
        <x:v>10.90126708</x:v>
      </x:c>
      <x:c r="N47" s="24" t="str">
        <x:v>gerreidae</x:v>
      </x:c>
      <x:c r="O47" s="32" t="n">
        <x:v>3.03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Gerreidae</x:v>
      </x:c>
      <x:c r="T47" s="32" t="n">
        <x:f>IF(O47="","",(1/'Metadata'!$B$5)^(O47-1))</x:f>
        <x:v>107.1519305237606</x:v>
      </x:c>
      <x:c r="U47" s="31" t="n">
        <x:f>IF(T47="","",I47*T47)</x:f>
        <x:v>2745.2028903719993</x:v>
      </x:c>
    </x:row>
    <x:row r="48" ht="18" customHeight="1">
      <x:c r="A48" s="24" t="str">
        <x:v>EEZ_548</x:v>
      </x:c>
      <x:c r="B48" s="24" t="str">
        <x:v>Vanuatu</x:v>
      </x:c>
      <x:c r="C48" s="24" t="str">
        <x:v>EEZ</x:v>
      </x:c>
      <x:c r="D48" s="30" t="n">
        <x:v>2019</x:v>
      </x:c>
      <x:c r="E48" s="24" t="str">
        <x:v>Diodontidae</x:v>
      </x:c>
      <x:c r="F48" s="24" t="str">
        <x:v>Porcupine-, burrfishes</x:v>
      </x:c>
      <x:c r="G48" s="24" t="str">
        <x:v>Medium reef assoc. fish (30 - 89 cm)</x:v>
      </x:c>
      <x:c r="H48" s="24" t="str">
        <x:v>Other fishes &amp; inverts</x:v>
      </x:c>
      <x:c r="I48" s="31" t="n">
        <x:v>25.61972404</x:v>
      </x:c>
      <x:c r="J48" s="31" t="n">
        <x:v>25.61972404</x:v>
      </x:c>
      <x:c r="K48" s="31" t="n">
        <x:v>0</x:v>
      </x:c>
      <x:c r="L48" s="31" t="n">
        <x:v>14.71845696</x:v>
      </x:c>
      <x:c r="M48" s="31" t="n">
        <x:v>10.90126708</x:v>
      </x:c>
      <x:c r="N48" s="24" t="str">
        <x:v>diodontidae</x:v>
      </x:c>
      <x:c r="O48" s="32" t="n">
        <x:v>3.36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Diodontidae</x:v>
      </x:c>
      <x:c r="T48" s="32" t="n">
        <x:f>IF(O48="","",(1/'Metadata'!$B$5)^(O48-1))</x:f>
        <x:v>229.08676527677724</x:v>
      </x:c>
      <x:c r="U48" s="31" t="n">
        <x:f>IF(T48="","",I48*T48)</x:f>
        <x:v>5869.139707607287</x:v>
      </x:c>
    </x:row>
    <x:row r="49" ht="18" customHeight="1">
      <x:c r="A49" s="24" t="str">
        <x:v>EEZ_548</x:v>
      </x:c>
      <x:c r="B49" s="24" t="str">
        <x:v>Vanuatu</x:v>
      </x:c>
      <x:c r="C49" s="24" t="str">
        <x:v>EEZ</x:v>
      </x:c>
      <x:c r="D49" s="30" t="n">
        <x:v>2019</x:v>
      </x:c>
      <x:c r="E49" s="24" t="str">
        <x:v>Ephippidae</x:v>
      </x:c>
      <x:c r="F49" s="24" t="str">
        <x:v>Spade-, batfishes, scats</x:v>
      </x:c>
      <x:c r="G49" s="24" t="str">
        <x:v>Medium reef assoc. fish (30 - 89 cm)</x:v>
      </x:c>
      <x:c r="H49" s="24" t="str">
        <x:v>Perch-likes</x:v>
      </x:c>
      <x:c r="I49" s="31" t="n">
        <x:v>25.61972404</x:v>
      </x:c>
      <x:c r="J49" s="31" t="n">
        <x:v>25.61972404</x:v>
      </x:c>
      <x:c r="K49" s="31" t="n">
        <x:v>0</x:v>
      </x:c>
      <x:c r="L49" s="31" t="n">
        <x:v>14.71845696</x:v>
      </x:c>
      <x:c r="M49" s="31" t="n">
        <x:v>10.90126708</x:v>
      </x:c>
      <x:c r="N49" s="24" t="str">
        <x:v>ephippidae</x:v>
      </x:c>
      <x:c r="O49" s="32" t="n">
        <x:v>3.57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Ephippidae</x:v>
      </x:c>
      <x:c r="T49" s="32" t="n">
        <x:f>IF(O49="","",(1/'Metadata'!$B$5)^(O49-1))</x:f>
        <x:v>371.5352290971724</x:v>
      </x:c>
      <x:c r="U49" s="31" t="n">
        <x:f>IF(T49="","",I49*T49)</x:f>
        <x:v>9518.630040607735</x:v>
      </x:c>
    </x:row>
    <x:row r="50" ht="18" customHeight="1">
      <x:c r="A50" s="24" t="str">
        <x:v>EEZ_548</x:v>
      </x:c>
      <x:c r="B50" s="24" t="str">
        <x:v>Vanuatu</x:v>
      </x:c>
      <x:c r="C50" s="24" t="str">
        <x:v>EEZ</x:v>
      </x:c>
      <x:c r="D50" s="30" t="n">
        <x:v>2019</x:v>
      </x:c>
      <x:c r="E50" s="24" t="str">
        <x:v>Chaetodontidae</x:v>
      </x:c>
      <x:c r="F50" s="24" t="str">
        <x:v>Butterflyfishes</x:v>
      </x:c>
      <x:c r="G50" s="24" t="str">
        <x:v>Small reef assoc. fish (&lt;30 cm)</x:v>
      </x:c>
      <x:c r="H50" s="24" t="str">
        <x:v>Perch-likes</x:v>
      </x:c>
      <x:c r="I50" s="31" t="n">
        <x:v>25.61972404</x:v>
      </x:c>
      <x:c r="J50" s="31" t="n">
        <x:v>25.61972404</x:v>
      </x:c>
      <x:c r="K50" s="31" t="n">
        <x:v>0</x:v>
      </x:c>
      <x:c r="L50" s="31" t="n">
        <x:v>14.71845696</x:v>
      </x:c>
      <x:c r="M50" s="31" t="n">
        <x:v>10.90126708</x:v>
      </x:c>
      <x:c r="N50" s="24" t="str">
        <x:v>chaetodontidae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Chaetodontidae</x:v>
      </x:c>
      <x:c r="T50" s="32" t="n">
        <x:f>IF(O50="","",(1/'Metadata'!$B$5)^(O50-1))</x:f>
        <x:v>173.78008287493762</x:v>
      </x:c>
      <x:c r="U50" s="31" t="n">
        <x:f>IF(T50="","",I50*T50)</x:f>
        <x:v>4452.197766904232</x:v>
      </x:c>
    </x:row>
    <x:row r="51" ht="18" customHeight="1">
      <x:c r="A51" s="24" t="str">
        <x:v>EEZ_548</x:v>
      </x:c>
      <x:c r="B51" s="24" t="str">
        <x:v>Vanuatu</x:v>
      </x:c>
      <x:c r="C51" s="24" t="str">
        <x:v>EEZ</x:v>
      </x:c>
      <x:c r="D51" s="30" t="n">
        <x:v>2019</x:v>
      </x:c>
      <x:c r="E51" s="24" t="str">
        <x:v>Carcharhinidae</x:v>
      </x:c>
      <x:c r="F51" s="24" t="str">
        <x:v>Requiem sharks</x:v>
      </x:c>
      <x:c r="G51" s="24" t="str">
        <x:v>Large sharks (&gt;=90 cm)</x:v>
      </x:c>
      <x:c r="H51" s="24" t="str">
        <x:v>Sharks &amp; rays</x:v>
      </x:c>
      <x:c r="I51" s="31" t="n">
        <x:v>25.61972404</x:v>
      </x:c>
      <x:c r="J51" s="31" t="n">
        <x:v>25.61972404</x:v>
      </x:c>
      <x:c r="K51" s="31" t="n">
        <x:v>0</x:v>
      </x:c>
      <x:c r="L51" s="31" t="n">
        <x:v>14.71845696</x:v>
      </x:c>
      <x:c r="M51" s="31" t="n">
        <x:v>10.90126708</x:v>
      </x:c>
      <x:c r="N51" s="24" t="str">
        <x:v>carcharhinidae</x:v>
      </x:c>
      <x:c r="O51" s="32" t="n">
        <x:v>4.24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Carcharhinidae</x:v>
      </x:c>
      <x:c r="T51" s="32" t="n">
        <x:f>IF(O51="","",(1/'Metadata'!$B$5)^(O51-1))</x:f>
        <x:v>1737.8008287493763</x:v>
      </x:c>
      <x:c r="U51" s="31" t="n">
        <x:f>IF(T51="","",I51*T51)</x:f>
        <x:v>44521.97766904232</x:v>
      </x:c>
    </x:row>
    <x:row r="52" ht="18" customHeight="1">
      <x:c r="A52" s="24" t="str">
        <x:v>EEZ_548</x:v>
      </x:c>
      <x:c r="B52" s="24" t="str">
        <x:v>Vanuatu</x:v>
      </x:c>
      <x:c r="C52" s="24" t="str">
        <x:v>EEZ</x:v>
      </x:c>
      <x:c r="D52" s="30" t="n">
        <x:v>2019</x:v>
      </x:c>
      <x:c r="E52" s="24" t="str">
        <x:v>Etelis carbunculus</x:v>
      </x:c>
      <x:c r="F52" s="24" t="str">
        <x:v>Deep-water red snapper</x:v>
      </x:c>
      <x:c r="G52" s="24" t="str">
        <x:v>Large demersals (&gt;=90 cm)</x:v>
      </x:c>
      <x:c r="H52" s="24" t="str">
        <x:v>Perch-likes</x:v>
      </x:c>
      <x:c r="I52" s="31" t="n">
        <x:v>21.6212711501</x:v>
      </x:c>
      <x:c r="J52" s="31" t="n">
        <x:v>21.6212711501</x:v>
      </x:c>
      <x:c r="K52" s="31" t="n">
        <x:v>0</x:v>
      </x:c>
      <x:c r="L52" s="31" t="n">
        <x:v>8.354600229999999</x:v>
      </x:c>
      <x:c r="M52" s="31" t="n">
        <x:v>13.266670920100001</x:v>
      </x:c>
      <x:c r="N52" s="24" t="str">
        <x:v>etelis carbunculus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Etelis carbunculus</x:v>
      </x:c>
      <x:c r="T52" s="32" t="n">
        <x:f>IF(O52="","",(1/'Metadata'!$B$5)^(O52-1))</x:f>
        <x:v>3090.295432513592</x:v>
      </x:c>
      <x:c r="U52" s="31" t="n">
        <x:f>IF(T52="","",I52*T52)</x:f>
        <x:v>66816.11548029193</x:v>
      </x:c>
    </x:row>
    <x:row r="53" ht="18" customHeight="1">
      <x:c r="A53" s="24" t="str">
        <x:v>EEZ_548</x:v>
      </x:c>
      <x:c r="B53" s="24" t="str">
        <x:v>Vanuatu</x:v>
      </x:c>
      <x:c r="C53" s="24" t="str">
        <x:v>EEZ</x:v>
      </x:c>
      <x:c r="D53" s="30" t="n">
        <x:v>2019</x:v>
      </x:c>
      <x:c r="E53" s="24" t="str">
        <x:v>Thunnus orientalis</x:v>
      </x:c>
      <x:c r="F53" s="24" t="str">
        <x:v>Pacific bluefin tuna</x:v>
      </x:c>
      <x:c r="G53" s="24" t="str">
        <x:v>Large pelagics (&gt;=90 cm)</x:v>
      </x:c>
      <x:c r="H53" s="24" t="str">
        <x:v>Tuna &amp; billfishes</x:v>
      </x:c>
      <x:c r="I53" s="31" t="n">
        <x:v>20.8182548606</x:v>
      </x:c>
      <x:c r="J53" s="31" t="n">
        <x:v>20.396940311199998</x:v>
      </x:c>
      <x:c r="K53" s="31" t="n">
        <x:v>0.42131454939999996</x:v>
      </x:c>
      <x:c r="L53" s="31" t="n">
        <x:v>20.396940311199998</x:v>
      </x:c>
      <x:c r="M53" s="31" t="n">
        <x:v>0.42131454939999996</x:v>
      </x:c>
      <x:c r="N53" s="24" t="str">
        <x:v>thunnus orientalis</x:v>
      </x:c>
      <x:c r="O53" s="32" t="n">
        <x:v>4.05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orientalis</x:v>
      </x:c>
      <x:c r="T53" s="32" t="n">
        <x:f>IF(O53="","",(1/'Metadata'!$B$5)^(O53-1))</x:f>
        <x:v>1122.018454301963</x:v>
      </x:c>
      <x:c r="U53" s="31" t="n">
        <x:f>IF(T53="","",I53*T53)</x:f>
        <x:v>23358.46613995474</x:v>
      </x:c>
    </x:row>
    <x:row r="54" ht="18" customHeight="1">
      <x:c r="A54" s="24" t="str">
        <x:v>EEZ_548</x:v>
      </x:c>
      <x:c r="B54" s="24" t="str">
        <x:v>Vanuatu</x:v>
      </x:c>
      <x:c r="C54" s="24" t="str">
        <x:v>EEZ</x:v>
      </x:c>
      <x:c r="D54" s="30" t="n">
        <x:v>2019</x:v>
      </x:c>
      <x:c r="E54" s="24" t="str">
        <x:v>Kajikia audax</x:v>
      </x:c>
      <x:c r="F54" s="24" t="str">
        <x:v>Striped marlin</x:v>
      </x:c>
      <x:c r="G54" s="24" t="str">
        <x:v>Large pelagics (&gt;=90 cm)</x:v>
      </x:c>
      <x:c r="H54" s="24" t="str">
        <x:v>Tuna &amp; billfishes</x:v>
      </x:c>
      <x:c r="I54" s="31" t="n">
        <x:v>16.629329735</x:v>
      </x:c>
      <x:c r="J54" s="31" t="n">
        <x:v>16.629329735</x:v>
      </x:c>
      <x:c r="K54" s="31" t="n">
        <x:v>0</x:v>
      </x:c>
      <x:c r="L54" s="31" t="n">
        <x:v>16.629329735</x:v>
      </x:c>
      <x:c r="M54" s="31" t="n">
        <x:v>0</x:v>
      </x:c>
      <x:c r="N54" s="24" t="str">
        <x:v>kajikia audax</x:v>
      </x:c>
      <x:c r="O54" s="32" t="n">
        <x:v>4.58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Kajikia audax</x:v>
      </x:c>
      <x:c r="T54" s="32" t="n">
        <x:f>IF(O54="","",(1/'Metadata'!$B$5)^(O54-1))</x:f>
        <x:v>3801.8939632056126</x:v>
      </x:c>
      <x:c r="U54" s="31" t="n">
        <x:f>IF(T54="","",I54*T54)</x:f>
        <x:v>63222.948331652085</x:v>
      </x:c>
    </x:row>
    <x:row r="55" ht="18" customHeight="1">
      <x:c r="A55" s="24" t="str">
        <x:v>EEZ_548</x:v>
      </x:c>
      <x:c r="B55" s="24" t="str">
        <x:v>Vanuatu</x:v>
      </x:c>
      <x:c r="C55" s="24" t="str">
        <x:v>EEZ</x:v>
      </x:c>
      <x:c r="D55" s="30" t="n">
        <x:v>2019</x:v>
      </x:c>
      <x:c r="E55" s="24" t="str">
        <x:v>Etelis coruscans</x:v>
      </x:c>
      <x:c r="F55" s="24" t="str">
        <x:v>Deepwater longtail red snapper</x:v>
      </x:c>
      <x:c r="G55" s="24" t="str">
        <x:v>Large bathydemersals (&gt;=90 cm)</x:v>
      </x:c>
      <x:c r="H55" s="24" t="str">
        <x:v>Perch-likes</x:v>
      </x:c>
      <x:c r="I55" s="31" t="n">
        <x:v>12.2790191851</x:v>
      </x:c>
      <x:c r="J55" s="31" t="n">
        <x:v>12.2790191851</x:v>
      </x:c>
      <x:c r="K55" s="31" t="n">
        <x:v>0</x:v>
      </x:c>
      <x:c r="L55" s="31" t="n">
        <x:v>4.7446931212</x:v>
      </x:c>
      <x:c r="M55" s="31" t="n">
        <x:v>7.5343260639</x:v>
      </x:c>
      <x:c r="N55" s="24" t="str">
        <x:v>etelis coruscans</x:v>
      </x:c>
      <x:c r="O55" s="32" t="n">
        <x:v>4.42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Etelis coruscans</x:v>
      </x:c>
      <x:c r="T55" s="32" t="n">
        <x:f>IF(O55="","",(1/'Metadata'!$B$5)^(O55-1))</x:f>
        <x:v>2630.2679918953813</x:v>
      </x:c>
      <x:c r="U55" s="31" t="n">
        <x:f>IF(T55="","",I55*T55)</x:f>
        <x:v>32297.111134437837</x:v>
      </x:c>
    </x:row>
    <x:row r="56" ht="18" customHeight="1">
      <x:c r="A56" s="24" t="str">
        <x:v>EEZ_548</x:v>
      </x:c>
      <x:c r="B56" s="24" t="str">
        <x:v>Vanuatu</x:v>
      </x:c>
      <x:c r="C56" s="24" t="str">
        <x:v>EEZ</x:v>
      </x:c>
      <x:c r="D56" s="30" t="n">
        <x:v>2019</x:v>
      </x:c>
      <x:c r="E56" s="24" t="str">
        <x:v>Pristipomoides multidens</x:v>
      </x:c>
      <x:c r="F56" s="24" t="str">
        <x:v>Goldbanded jobfish</x:v>
      </x:c>
      <x:c r="G56" s="24" t="str">
        <x:v>Medium demersals (30 - 89 cm)</x:v>
      </x:c>
      <x:c r="H56" s="24" t="str">
        <x:v>Perch-likes</x:v>
      </x:c>
      <x:c r="I56" s="31" t="n">
        <x:v>11.4767444326</x:v>
      </x:c>
      <x:c r="J56" s="31" t="n">
        <x:v>11.4767444326</x:v>
      </x:c>
      <x:c r="K56" s="31" t="n">
        <x:v>0</x:v>
      </x:c>
      <x:c r="L56" s="31" t="n">
        <x:v>4.4346889227999995</x:v>
      </x:c>
      <x:c r="M56" s="31" t="n">
        <x:v>7.0420555098</x:v>
      </x:c>
      <x:c r="N56" s="24" t="str">
        <x:v>pristipomoides multidens</x:v>
      </x:c>
      <x:c r="O56" s="32" t="n">
        <x:v>3.84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Pristipomoides multidens</x:v>
      </x:c>
      <x:c r="T56" s="32" t="n">
        <x:f>IF(O56="","",(1/'Metadata'!$B$5)^(O56-1))</x:f>
        <x:v>691.8309709189363</x:v>
      </x:c>
      <x:c r="U56" s="31" t="n">
        <x:f>IF(T56="","",I56*T56)</x:f>
        <x:v>7939.9672437941545</x:v>
      </x:c>
    </x:row>
    <x:row r="57" ht="18" customHeight="1">
      <x:c r="A57" s="24" t="str">
        <x:v>EEZ_548</x:v>
      </x:c>
      <x:c r="B57" s="24" t="str">
        <x:v>Vanuatu</x:v>
      </x:c>
      <x:c r="C57" s="24" t="str">
        <x:v>EEZ</x:v>
      </x:c>
      <x:c r="D57" s="30" t="n">
        <x:v>2019</x:v>
      </x:c>
      <x:c r="E57" s="24" t="str">
        <x:v>Elasmobranchii</x:v>
      </x:c>
      <x:c r="F57" s="24" t="str">
        <x:v>Sharks, rays, skates</x:v>
      </x:c>
      <x:c r="G57" s="24" t="str">
        <x:v>Large sharks (&gt;=90 cm)</x:v>
      </x:c>
      <x:c r="H57" s="24" t="str">
        <x:v>Sharks &amp; rays</x:v>
      </x:c>
      <x:c r="I57" s="31" t="n">
        <x:v>9.0850226779</x:v>
      </x:c>
      <x:c r="J57" s="31" t="n">
        <x:v>0</x:v>
      </x:c>
      <x:c r="K57" s="31" t="n">
        <x:v>9.0850226779</x:v>
      </x:c>
      <x:c r="L57" s="31" t="n">
        <x:v>0</x:v>
      </x:c>
      <x:c r="M57" s="31" t="n">
        <x:v>9.0850226779</x:v>
      </x:c>
      <x:c r="N57" s="24" t="str">
        <x:v>elasmobranchii</x:v>
      </x:c>
      <x:c r="O57" s="32" t="n">
        <x:v>4.05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Elasmobranchii</x:v>
      </x:c>
      <x:c r="T57" s="32" t="n">
        <x:f>IF(O57="","",(1/'Metadata'!$B$5)^(O57-1))</x:f>
        <x:v>1122.018454301963</x:v>
      </x:c>
      <x:c r="U57" s="31" t="n">
        <x:f>IF(T57="","",I57*T57)</x:f>
        <x:v>10193.563102355638</x:v>
      </x:c>
    </x:row>
    <x:row r="58" ht="18" customHeight="1">
      <x:c r="A58" s="24" t="str">
        <x:v>EEZ_548</x:v>
      </x:c>
      <x:c r="B58" s="24" t="str">
        <x:v>Vanuatu</x:v>
      </x:c>
      <x:c r="C58" s="24" t="str">
        <x:v>EEZ</x:v>
      </x:c>
      <x:c r="D58" s="30" t="n">
        <x:v>2019</x:v>
      </x:c>
      <x:c r="E58" s="24" t="str">
        <x:v>Lutjanus malabaricus</x:v>
      </x:c>
      <x:c r="F58" s="24" t="str">
        <x:v>Malabar blood snapper</x:v>
      </x:c>
      <x:c r="G58" s="24" t="str">
        <x:v>Medium reef assoc. fish (30 - 89 cm)</x:v>
      </x:c>
      <x:c r="H58" s="24" t="str">
        <x:v>Perch-likes</x:v>
      </x:c>
      <x:c r="I58" s="31" t="n">
        <x:v>5.8568064374</x:v>
      </x:c>
      <x:c r="J58" s="31" t="n">
        <x:v>5.8568064374</x:v>
      </x:c>
      <x:c r="K58" s="31" t="n">
        <x:v>0</x:v>
      </x:c>
      <x:c r="L58" s="31" t="n">
        <x:v>2.2631082174</x:v>
      </x:c>
      <x:c r="M58" s="31" t="n">
        <x:v>3.59369822</x:v>
      </x:c>
      <x:c r="N58" s="24" t="str">
        <x:v>lutjanus malabaricus</x:v>
      </x:c>
      <x:c r="O58" s="32" t="n">
        <x:v>4.48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Lutjanus malabaricus</x:v>
      </x:c>
      <x:c r="T58" s="32" t="n">
        <x:f>IF(O58="","",(1/'Metadata'!$B$5)^(O58-1))</x:f>
        <x:v>3019.951720402019</x:v>
      </x:c>
      <x:c r="U58" s="31" t="n">
        <x:f>IF(T58="","",I58*T58)</x:f>
        <x:v>17687.27267668775</x:v>
      </x:c>
    </x:row>
    <x:row r="59" ht="18" customHeight="1">
      <x:c r="A59" s="24" t="str">
        <x:v>EEZ_548</x:v>
      </x:c>
      <x:c r="B59" s="24" t="str">
        <x:v>Vanuatu</x:v>
      </x:c>
      <x:c r="C59" s="24" t="str">
        <x:v>EEZ</x:v>
      </x:c>
      <x:c r="D59" s="30" t="n">
        <x:v>2019</x:v>
      </x:c>
      <x:c r="E59" s="24" t="str">
        <x:v>Epinephelus</x:v>
      </x:c>
      <x:c r="F59" s="24" t="str">
        <x:v>Seabasses, hinds</x:v>
      </x:c>
      <x:c r="G59" s="24" t="str">
        <x:v>Medium reef assoc. fish (30 - 89 cm)</x:v>
      </x:c>
      <x:c r="H59" s="24" t="str">
        <x:v>Perch-likes</x:v>
      </x:c>
      <x:c r="I59" s="31" t="n">
        <x:v>5.1267966317</x:v>
      </x:c>
      <x:c r="J59" s="31" t="n">
        <x:v>5.1267966317</x:v>
      </x:c>
      <x:c r="K59" s="31" t="n">
        <x:v>0</x:v>
      </x:c>
      <x:c r="L59" s="31" t="n">
        <x:v>1.9810276656</x:v>
      </x:c>
      <x:c r="M59" s="31" t="n">
        <x:v>3.1457689661</x:v>
      </x:c>
      <x:c r="N59" s="24" t="str">
        <x:v>epinephelus</x:v>
      </x:c>
      <x:c r="O59" s="32" t="n">
        <x:v>3.84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Epinephelus</x:v>
      </x:c>
      <x:c r="T59" s="32" t="n">
        <x:f>IF(O59="","",(1/'Metadata'!$B$5)^(O59-1))</x:f>
        <x:v>691.8309709189363</x:v>
      </x:c>
      <x:c r="U59" s="31" t="n">
        <x:f>IF(T59="","",I59*T59)</x:f>
        <x:v>3546.8766914129433</x:v>
      </x:c>
    </x:row>
    <x:row r="60" ht="18" customHeight="1">
      <x:c r="A60" s="24" t="str">
        <x:v>EEZ_548</x:v>
      </x:c>
      <x:c r="B60" s="24" t="str">
        <x:v>Vanuatu</x:v>
      </x:c>
      <x:c r="C60" s="24" t="str">
        <x:v>EEZ</x:v>
      </x:c>
      <x:c r="D60" s="30" t="n">
        <x:v>2019</x:v>
      </x:c>
      <x:c r="E60" s="24" t="str">
        <x:v>Pristipomoides flavipinnis</x:v>
      </x:c>
      <x:c r="F60" s="24" t="str">
        <x:v>Golden eye jobfish</x:v>
      </x:c>
      <x:c r="G60" s="24" t="str">
        <x:v>Medium demersals (30 - 89 cm)</x:v>
      </x:c>
      <x:c r="H60" s="24" t="str">
        <x:v>Perch-likes</x:v>
      </x:c>
      <x:c r="I60" s="31" t="n">
        <x:v>4.717964377</x:v>
      </x:c>
      <x:c r="J60" s="31" t="n">
        <x:v>4.717964377</x:v>
      </x:c>
      <x:c r="K60" s="31" t="n">
        <x:v>0</x:v>
      </x:c>
      <x:c r="L60" s="31" t="n">
        <x:v>1.8230522150000001</x:v>
      </x:c>
      <x:c r="M60" s="31" t="n">
        <x:v>2.894912162</x:v>
      </x:c>
      <x:c r="N60" s="24" t="str">
        <x:v>pristipomoides flavipinnis</x:v>
      </x:c>
      <x:c r="O60" s="32" t="n">
        <x:v>3.6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Pristipomoides flavipinnis</x:v>
      </x:c>
      <x:c r="T60" s="32" t="n">
        <x:f>IF(O60="","",(1/'Metadata'!$B$5)^(O60-1))</x:f>
        <x:v>398.1071705534973</x:v>
      </x:c>
      <x:c r="U60" s="31" t="n">
        <x:f>IF(T60="","",I60*T60)</x:f>
        <x:v>1878.2554488996639</x:v>
      </x:c>
    </x:row>
    <x:row r="61" ht="18" customHeight="1">
      <x:c r="A61" s="24" t="str">
        <x:v>EEZ_548</x:v>
      </x:c>
      <x:c r="B61" s="24" t="str">
        <x:v>Vanuatu</x:v>
      </x:c>
      <x:c r="C61" s="24" t="str">
        <x:v>EEZ</x:v>
      </x:c>
      <x:c r="D61" s="30" t="n">
        <x:v>2019</x:v>
      </x:c>
      <x:c r="E61" s="24" t="str">
        <x:v>Pristipomoides filamentosus</x:v>
      </x:c>
      <x:c r="F61" s="24" t="str">
        <x:v>Crimson jobfish</x:v>
      </x:c>
      <x:c r="G61" s="24" t="str">
        <x:v>Medium demersals (30 - 89 cm)</x:v>
      </x:c>
      <x:c r="H61" s="24" t="str">
        <x:v>Perch-likes</x:v>
      </x:c>
      <x:c r="I61" s="31" t="n">
        <x:v>4.0434915226</x:v>
      </x:c>
      <x:c r="J61" s="31" t="n">
        <x:v>4.0434915226</x:v>
      </x:c>
      <x:c r="K61" s="31" t="n">
        <x:v>0</x:v>
      </x:c>
      <x:c r="L61" s="31" t="n">
        <x:v>1.5624315036</x:v>
      </x:c>
      <x:c r="M61" s="31" t="n">
        <x:v>2.481060019</x:v>
      </x:c>
      <x:c r="N61" s="24" t="str">
        <x:v>pristipomoides filamentosus</x:v>
      </x:c>
      <x:c r="O61" s="32" t="n">
        <x:v>4.19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Pristipomoides filamentosus</x:v>
      </x:c>
      <x:c r="T61" s="32" t="n">
        <x:f>IF(O61="","",(1/'Metadata'!$B$5)^(O61-1))</x:f>
        <x:v>1548.8166189124827</x:v>
      </x:c>
      <x:c r="U61" s="31" t="n">
        <x:f>IF(T61="","",I61*T61)</x:f>
        <x:v>6262.626868634618</x:v>
      </x:c>
    </x:row>
    <x:row r="62" ht="18" customHeight="1">
      <x:c r="A62" s="24" t="str">
        <x:v>EEZ_548</x:v>
      </x:c>
      <x:c r="B62" s="24" t="str">
        <x:v>Vanuatu</x:v>
      </x:c>
      <x:c r="C62" s="24" t="str">
        <x:v>EEZ</x:v>
      </x:c>
      <x:c r="D62" s="30" t="n">
        <x:v>2019</x:v>
      </x:c>
      <x:c r="E62" s="24" t="str">
        <x:v>Sphyrna</x:v>
      </x:c>
      <x:c r="F62" s="24" t="str">
        <x:v>Hammerhead sharks</x:v>
      </x:c>
      <x:c r="G62" s="24" t="str">
        <x:v>Large sharks (&gt;=90 cm)</x:v>
      </x:c>
      <x:c r="H62" s="24" t="str">
        <x:v>Sharks &amp; rays</x:v>
      </x:c>
      <x:c r="I62" s="31" t="n">
        <x:v>2.5628538314</x:v>
      </x:c>
      <x:c r="J62" s="31" t="n">
        <x:v>2.5628538314</x:v>
      </x:c>
      <x:c r="K62" s="31" t="n">
        <x:v>0</x:v>
      </x:c>
      <x:c r="L62" s="31" t="n">
        <x:v>2.5628538314</x:v>
      </x:c>
      <x:c r="M62" s="31" t="n">
        <x:v>0</x:v>
      </x:c>
      <x:c r="N62" s="24" t="str">
        <x:v>sphyrna</x:v>
      </x:c>
      <x:c r="O62" s="32" t="n">
        <x:v>4.2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Sphyrna</x:v>
      </x:c>
      <x:c r="T62" s="32" t="n">
        <x:f>IF(O62="","",(1/'Metadata'!$B$5)^(O62-1))</x:f>
        <x:v>1584.893192461114</x:v>
      </x:c>
      <x:c r="U62" s="31" t="n">
        <x:f>IF(T62="","",I62*T62)</x:f>
        <x:v>4061.8495906587436</x:v>
      </x:c>
    </x:row>
    <x:row r="63" ht="18" customHeight="1">
      <x:c r="A63" s="24" t="str">
        <x:v>EEZ_548</x:v>
      </x:c>
      <x:c r="B63" s="24" t="str">
        <x:v>Vanuatu</x:v>
      </x:c>
      <x:c r="C63" s="24" t="str">
        <x:v>EEZ</x:v>
      </x:c>
      <x:c r="D63" s="30" t="n">
        <x:v>2019</x:v>
      </x:c>
      <x:c r="E63" s="24" t="str">
        <x:v>Thunnus maccoyii</x:v>
      </x:c>
      <x:c r="F63" s="24" t="str">
        <x:v>Southern bluefin tuna</x:v>
      </x:c>
      <x:c r="G63" s="24" t="str">
        <x:v>Large pelagics (&gt;=90 cm)</x:v>
      </x:c>
      <x:c r="H63" s="24" t="str">
        <x:v>Tuna &amp; billfishes</x:v>
      </x:c>
      <x:c r="I63" s="31" t="n">
        <x:v>2.1268246408</x:v>
      </x:c>
      <x:c r="J63" s="31" t="n">
        <x:v>1.5394376162</x:v>
      </x:c>
      <x:c r="K63" s="31" t="n">
        <x:v>0.5873870246</x:v>
      </x:c>
      <x:c r="L63" s="31" t="n">
        <x:v>1.5394376162</x:v>
      </x:c>
      <x:c r="M63" s="31" t="n">
        <x:v>0.5873870246</x:v>
      </x:c>
      <x:c r="N63" s="24" t="str">
        <x:v>thunnus maccoyii</x:v>
      </x:c>
      <x:c r="O63" s="32" t="n">
        <x:v>3.93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maccoyii</x:v>
      </x:c>
      <x:c r="T63" s="32" t="n">
        <x:f>IF(O63="","",(1/'Metadata'!$B$5)^(O63-1))</x:f>
        <x:v>851.1380382023768</x:v>
      </x:c>
      <x:c r="U63" s="31" t="n">
        <x:f>IF(T63="","",I63*T63)</x:f>
        <x:v>1810.221352370987</x:v>
      </x:c>
    </x:row>
    <x:row r="64" ht="18" customHeight="1">
      <x:c r="A64" s="24" t="str">
        <x:v>EEZ_548</x:v>
      </x:c>
      <x:c r="B64" s="24" t="str">
        <x:v>Vanuatu</x:v>
      </x:c>
      <x:c r="C64" s="24" t="str">
        <x:v>EEZ</x:v>
      </x:c>
      <x:c r="D64" s="30" t="n">
        <x:v>2019</x:v>
      </x:c>
      <x:c r="E64" s="24" t="str">
        <x:v>Acanthocybium solandri</x:v>
      </x:c>
      <x:c r="F64" s="24" t="str">
        <x:v>Wahoo</x:v>
      </x:c>
      <x:c r="G64" s="24" t="str">
        <x:v>Large pelagics (&gt;=90 cm)</x:v>
      </x:c>
      <x:c r="H64" s="24" t="str">
        <x:v>Perch-likes</x:v>
      </x:c>
      <x:c r="I64" s="31" t="n">
        <x:v>1.8638482044</x:v>
      </x:c>
      <x:c r="J64" s="31" t="n">
        <x:v>0</x:v>
      </x:c>
      <x:c r="K64" s="31" t="n">
        <x:v>1.8638482044</x:v>
      </x:c>
      <x:c r="L64" s="31" t="n">
        <x:v>0</x:v>
      </x:c>
      <x:c r="M64" s="31" t="n">
        <x:v>1.8638482044</x:v>
      </x:c>
      <x:c r="N64" s="24" t="str">
        <x:v>acanthocybium solandri</x:v>
      </x:c>
      <x:c r="O64" s="32" t="n">
        <x:v>4.26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Acanthocybium solandri</x:v>
      </x:c>
      <x:c r="T64" s="32" t="n">
        <x:f>IF(O64="","",(1/'Metadata'!$B$5)^(O64-1))</x:f>
        <x:v>1819.7008586099826</x:v>
      </x:c>
      <x:c r="U64" s="31" t="n">
        <x:f>IF(T64="","",I64*T64)</x:f>
        <x:v>3391.6461778653543</x:v>
      </x:c>
    </x:row>
    <x:row r="65" ht="18" customHeight="1">
      <x:c r="A65" s="24" t="str">
        <x:v>EEZ_548</x:v>
      </x:c>
      <x:c r="B65" s="24" t="str">
        <x:v>Vanuatu</x:v>
      </x:c>
      <x:c r="C65" s="24" t="str">
        <x:v>EEZ</x:v>
      </x:c>
      <x:c r="D65" s="30" t="n">
        <x:v>2019</x:v>
      </x:c>
      <x:c r="E65" s="24" t="str">
        <x:v>Chondrichthyes</x:v>
      </x:c>
      <x:c r="F65" s="24" t="str">
        <x:v>Sharks, rays, chimaeras</x:v>
      </x:c>
      <x:c r="G65" s="24" t="str">
        <x:v>Large sharks (&gt;=90 cm)</x:v>
      </x:c>
      <x:c r="H65" s="24" t="str">
        <x:v>Sharks &amp; rays</x:v>
      </x:c>
      <x:c r="I65" s="31" t="n">
        <x:v>1.8</x:v>
      </x:c>
      <x:c r="J65" s="31" t="n">
        <x:v>1.8</x:v>
      </x:c>
      <x:c r="K65" s="31" t="n">
        <x:v>0</x:v>
      </x:c>
      <x:c r="L65" s="31" t="n">
        <x:v>1.8</x:v>
      </x:c>
      <x:c r="M65" s="31" t="n">
        <x:v>0</x:v>
      </x:c>
      <x:c r="N65" s="24" t="str">
        <x:v>chondrichthyes</x:v>
      </x:c>
      <x:c r="O65" s="32" t="n">
        <x:v>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Chondrichthyes</x:v>
      </x:c>
      <x:c r="T65" s="32" t="n">
        <x:f>IF(O65="","",(1/'Metadata'!$B$5)^(O65-1))</x:f>
        <x:v>1000</x:v>
      </x:c>
      <x:c r="U65" s="31" t="n">
        <x:f>IF(T65="","",I65*T65)</x:f>
        <x:v>1800</x:v>
      </x:c>
    </x:row>
    <x:row r="66" ht="18" customHeight="1">
      <x:c r="A66" s="24" t="str">
        <x:v>EEZ_548</x:v>
      </x:c>
      <x:c r="B66" s="24" t="str">
        <x:v>Vanuatu</x:v>
      </x:c>
      <x:c r="C66" s="24" t="str">
        <x:v>EEZ</x:v>
      </x:c>
      <x:c r="D66" s="30" t="n">
        <x:v>2019</x:v>
      </x:c>
      <x:c r="E66" s="24" t="str">
        <x:v>Aphareus rutilans</x:v>
      </x:c>
      <x:c r="F66" s="24" t="str">
        <x:v>Rusty jobfish</x:v>
      </x:c>
      <x:c r="G66" s="24" t="str">
        <x:v>Medium reef assoc. fish (30 - 89 cm)</x:v>
      </x:c>
      <x:c r="H66" s="24" t="str">
        <x:v>Perch-likes</x:v>
      </x:c>
      <x:c r="I66" s="31" t="n">
        <x:v>1.5162256812</x:v>
      </x:c>
      <x:c r="J66" s="31" t="n">
        <x:v>1.5162256812</x:v>
      </x:c>
      <x:c r="K66" s="31" t="n">
        <x:v>0</x:v>
      </x:c>
      <x:c r="L66" s="31" t="n">
        <x:v>0.5858794951999999</x:v>
      </x:c>
      <x:c r="M66" s="31" t="n">
        <x:v>0.930346186</x:v>
      </x:c>
      <x:c r="N66" s="24" t="str">
        <x:v>aphareus rutilans</x:v>
      </x:c>
      <x:c r="O66" s="32" t="n">
        <x:v>4.11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Aphareus rutilans</x:v>
      </x:c>
      <x:c r="T66" s="32" t="n">
        <x:f>IF(O66="","",(1/'Metadata'!$B$5)^(O66-1))</x:f>
        <x:v>1288.249551693135</x:v>
      </x:c>
      <x:c r="U66" s="31" t="n">
        <x:f>IF(T66="","",I66*T66)</x:f>
        <x:v>1953.277054071518</x:v>
      </x:c>
    </x:row>
    <x:row r="67" ht="18" customHeight="1">
      <x:c r="A67" s="24" t="str">
        <x:v>EEZ_548</x:v>
      </x:c>
      <x:c r="B67" s="24" t="str">
        <x:v>Vanuatu</x:v>
      </x:c>
      <x:c r="C67" s="24" t="str">
        <x:v>EEZ</x:v>
      </x:c>
      <x:c r="D67" s="30" t="n">
        <x:v>2019</x:v>
      </x:c>
      <x:c r="E67" s="24" t="str">
        <x:v>Epinephelus morrhua</x:v>
      </x:c>
      <x:c r="F67" s="24" t="str">
        <x:v>Comet grouper</x:v>
      </x:c>
      <x:c r="G67" s="24" t="str">
        <x:v>Medium demersals (30 - 89 cm)</x:v>
      </x:c>
      <x:c r="H67" s="24" t="str">
        <x:v>Perch-likes</x:v>
      </x:c>
      <x:c r="I67" s="31" t="n">
        <x:v>1.3931076203000001</x:v>
      </x:c>
      <x:c r="J67" s="31" t="n">
        <x:v>1.3931076203000001</x:v>
      </x:c>
      <x:c r="K67" s="31" t="n">
        <x:v>0</x:v>
      </x:c>
      <x:c r="L67" s="31" t="n">
        <x:v>0.5383058732</x:v>
      </x:c>
      <x:c r="M67" s="31" t="n">
        <x:v>0.8548017471</x:v>
      </x:c>
      <x:c r="N67" s="24" t="str">
        <x:v>epinephelus morrhua</x:v>
      </x:c>
      <x:c r="O67" s="32" t="n">
        <x:v>3.97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Epinephelus morrhua</x:v>
      </x:c>
      <x:c r="T67" s="32" t="n">
        <x:f>IF(O67="","",(1/'Metadata'!$B$5)^(O67-1))</x:f>
        <x:v>933.2543007969915</x:v>
      </x:c>
      <x:c r="U67" s="31" t="n">
        <x:f>IF(T67="","",I67*T67)</x:f>
        <x:v>1300.1236781180373</x:v>
      </x:c>
    </x:row>
    <x:row r="68" ht="18" customHeight="1">
      <x:c r="A68" s="24" t="str">
        <x:v>EEZ_548</x:v>
      </x:c>
      <x:c r="B68" s="24" t="str">
        <x:v>Vanuatu</x:v>
      </x:c>
      <x:c r="C68" s="24" t="str">
        <x:v>EEZ</x:v>
      </x:c>
      <x:c r="D68" s="30" t="n">
        <x:v>2019</x:v>
      </x:c>
      <x:c r="E68" s="24" t="str">
        <x:v>Etelis</x:v>
      </x:c>
      <x:c r="F68" s="24" t="str">
        <x:v>Snappers</x:v>
      </x:c>
      <x:c r="G68" s="24" t="str">
        <x:v>Medium bathydemersals (30 - 89 cm)</x:v>
      </x:c>
      <x:c r="H68" s="24" t="str">
        <x:v>Perch-likes</x:v>
      </x:c>
      <x:c r="I68" s="31" t="n">
        <x:v>0.5383058732</x:v>
      </x:c>
      <x:c r="J68" s="31" t="n">
        <x:v>0.5383058732</x:v>
      </x:c>
      <x:c r="K68" s="31" t="n">
        <x:v>0</x:v>
      </x:c>
      <x:c r="L68" s="31" t="n">
        <x:v>0.5383058732</x:v>
      </x:c>
      <x:c r="M68" s="31" t="n">
        <x:v>0</x:v>
      </x:c>
      <x:c r="N68" s="24" t="str">
        <x:v>etelis</x:v>
      </x:c>
      <x:c r="O68" s="32" t="n">
        <x:v>4.36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Etelis</x:v>
      </x:c>
      <x:c r="T68" s="32" t="n">
        <x:f>IF(O68="","",(1/'Metadata'!$B$5)^(O68-1))</x:f>
        <x:v>2290.867652767775</x:v>
      </x:c>
      <x:c r="U68" s="31" t="n">
        <x:f>IF(T68="","",I68*T68)</x:f>
        <x:v>1233.1875122087915</x:v>
      </x:c>
    </x:row>
    <x:row r="69" ht="18" customHeight="1">
      <x:c r="A69" s="24" t="str">
        <x:v>EEZ_548</x:v>
      </x:c>
      <x:c r="B69" s="24" t="str">
        <x:v>Vanuatu</x:v>
      </x:c>
      <x:c r="C69" s="24" t="str">
        <x:v>EEZ</x:v>
      </x:c>
      <x:c r="D69" s="30" t="n">
        <x:v>2019</x:v>
      </x:c>
      <x:c r="E69" s="24" t="str">
        <x:v>Isurus oxyrinchus</x:v>
      </x:c>
      <x:c r="F69" s="24" t="str">
        <x:v>Shortfin mako</x:v>
      </x:c>
      <x:c r="G69" s="24" t="str">
        <x:v>Large sharks (&gt;=90 cm)</x:v>
      </x:c>
      <x:c r="H69" s="24" t="str">
        <x:v>Sharks &amp; rays</x:v>
      </x:c>
      <x:c r="I69" s="31" t="n">
        <x:v>0.1924646078</x:v>
      </x:c>
      <x:c r="J69" s="31" t="n">
        <x:v>0.1924646078</x:v>
      </x:c>
      <x:c r="K69" s="31" t="n">
        <x:v>0</x:v>
      </x:c>
      <x:c r="L69" s="31" t="n">
        <x:v>0.1924646078</x:v>
      </x:c>
      <x:c r="M69" s="31" t="n">
        <x:v>0</x:v>
      </x:c>
      <x:c r="N69" s="24" t="str">
        <x:v>isurus oxyrinchus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Isurus oxyrinchus</x:v>
      </x:c>
      <x:c r="T69" s="32" t="n">
        <x:f>IF(O69="","",(1/'Metadata'!$B$5)^(O69-1))</x:f>
        <x:v>3162.2776601683795</x:v>
      </x:c>
      <x:c r="U69" s="31" t="n">
        <x:f>IF(T69="","",I69*T69)</x:f>
        <x:v>608.6265296190088</x:v>
      </x:c>
    </x:row>
  </x:sheetData>
  <x:conditionalFormatting sqref="R2:R6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83e2537f8ce41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1302.0279166002001</x:v>
      </x:c>
      <x:c r="E2" s="31" t="n">
        <x:v>1302.0279166002001</x:v>
      </x:c>
      <x:c r="F2" s="32" t="n">
        <x:v>0</x:v>
      </x:c>
      <x:c r="G2" s="34" t="n">
        <x:v>1</x:v>
      </x:c>
      <x:c r="H2" s="32" t="n">
        <x:f>IF(E2=0,"",I2/E2)</x:f>
        <x:v>131.64768622530158</x:v>
      </x:c>
      <x:c r="I2" s="31" t="n">
        <x:f>IF(C2=0,"",SUMIF('Species'!$H$2:$H$69,A2,'Species'!$U$2:$U$69))</x:f>
        <x:v>171408.96262116628</x:v>
      </x:c>
      <x:c r="J2" s="32" t="n">
        <x:v>3.112999999991689</x:v>
      </x:c>
      <x:c r="K2" s="32" t="n">
        <x:f>IF(J2="","",(1/'Metadata'!$B$5)^(J2-1))</x:f>
        <x:v>129.71792709591318</x:v>
      </x:c>
      <x:c r="L2" s="31" t="n">
        <x:f>IF(E2=0,"",E2*K2)</x:f>
        <x:v>168896.3623623885</x:v>
      </x:c>
      <x:c r="M2" s="31" t="n">
        <x:f>IF(E2=0,"",I2-L2)</x:f>
        <x:v>2512.600258777791</x:v>
      </x:c>
      <x:c r="N2" s="32" t="n">
        <x:f>IF(L2=0,"",I2/L2)</x:f>
        <x:v>1.0148765800733275</x:v>
      </x:c>
      <x:c r="O2" s="34" t="n">
        <x:f>IF(L2=0,"",M2/L2)</x:f>
        <x:v>0.014876580073327391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25.61972404</x:v>
      </x:c>
      <x:c r="E3" s="31" t="n">
        <x:v>25.61972404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IF(C3=0,"",SUMIF('Species'!$H$2:$H$69,A3,'Species'!$U$2:$U$69))</x:f>
        <x:v>3703.176804295154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3703.176804295154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8</x:v>
      </x:c>
      <x:c r="C4" s="33" t="n">
        <x:v>8</x:v>
      </x:c>
      <x:c r="D4" s="31" t="n">
        <x:v>525.588644364</x:v>
      </x:c>
      <x:c r="E4" s="31" t="n">
        <x:v>525.588644364</x:v>
      </x:c>
      <x:c r="F4" s="32" t="n">
        <x:v>0</x:v>
      </x:c>
      <x:c r="G4" s="34" t="n">
        <x:v>1</x:v>
      </x:c>
      <x:c r="H4" s="32" t="n">
        <x:f>IF(E4=0,"",I4/E4)</x:f>
        <x:v>85.05895627346192</x:v>
      </x:c>
      <x:c r="I4" s="31" t="n">
        <x:f>IF(C4=0,"",SUMIF('Species'!$H$2:$H$69,A4,'Species'!$U$2:$U$69))</x:f>
        <x:v>44706.021518785594</x:v>
      </x:c>
      <x:c r="J4" s="32" t="n">
        <x:v>2.7385151129332628</x:v>
      </x:c>
      <x:c r="K4" s="32" t="n">
        <x:f>IF(J4="","",(1/'Metadata'!$B$5)^(J4-1))</x:f>
        <x:v>54.766515872875246</x:v>
      </x:c>
      <x:c r="L4" s="31" t="n">
        <x:f>IF(E4=0,"",E4*K4)</x:f>
        <x:v>28784.658834163987</x:v>
      </x:c>
      <x:c r="M4" s="31" t="n">
        <x:f>IF(E4=0,"",I4-L4)</x:f>
        <x:v>15921.362684621607</x:v>
      </x:c>
      <x:c r="N4" s="32" t="n">
        <x:f>IF(L4=0,"",I4/L4)</x:f>
        <x:v>1.5531197286842542</x:v>
      </x:c>
      <x:c r="O4" s="34" t="n">
        <x:f>IF(L4=0,"",M4/L4)</x:f>
        <x:v>0.5531197286842543</x:v>
      </x:c>
    </x:row>
    <x:row r="5" ht="18" customHeight="1">
      <x:c r="A5" s="24" t="str">
        <x:v>Other fishes &amp; inverts</x:v>
      </x:c>
      <x:c r="B5" s="33" t="n">
        <x:v>7</x:v>
      </x:c>
      <x:c r="C5" s="33" t="n">
        <x:v>7</x:v>
      </x:c>
      <x:c r="D5" s="31" t="n">
        <x:v>2610.178643897201</x:v>
      </x:c>
      <x:c r="E5" s="31" t="n">
        <x:v>2610.178643897201</x:v>
      </x:c>
      <x:c r="F5" s="32" t="n">
        <x:v>0</x:v>
      </x:c>
      <x:c r="G5" s="34" t="n">
        <x:v>1</x:v>
      </x:c>
      <x:c r="H5" s="32" t="n">
        <x:f>IF(E5=0,"",I5/E5)</x:f>
        <x:v>191.6086722100565</x:v>
      </x:c>
      <x:c r="I5" s="31" t="n">
        <x:f>IF(C5=0,"",SUMIF('Species'!$H$2:$H$69,A5,'Species'!$U$2:$U$69))</x:f>
        <x:v>500132.86418818857</x:v>
      </x:c>
      <x:c r="J5" s="32" t="n">
        <x:v>3.2618483565522483</x:v>
      </x:c>
      <x:c r="K5" s="32" t="n">
        <x:f>IF(J5="","",(1/'Metadata'!$B$5)^(J5-1))</x:f>
        <x:v>182.74620062686316</x:v>
      </x:c>
      <x:c r="L5" s="31" t="n">
        <x:f>IF(E5=0,"",E5*K5)</x:f>
        <x:v>477000.2301295915</x:v>
      </x:c>
      <x:c r="M5" s="31" t="n">
        <x:f>IF(E5=0,"",I5-L5)</x:f>
        <x:v>23132.63405859709</x:v>
      </x:c>
      <x:c r="N5" s="32" t="n">
        <x:f>IF(L5=0,"",I5/L5)</x:f>
        <x:v>1.0484960647761374</x:v>
      </x:c>
      <x:c r="O5" s="34" t="n">
        <x:f>IF(L5=0,"",M5/L5)</x:f>
        <x:v>0.04849606477613735</x:v>
      </x:c>
    </x:row>
    <x:row r="6" ht="18" customHeight="1">
      <x:c r="A6" s="24" t="str">
        <x:v>Perch-likes</x:v>
      </x:c>
      <x:c r="B6" s="33" t="n">
        <x:v>30</x:v>
      </x:c>
      <x:c r="C6" s="33" t="n">
        <x:v>30</x:v>
      </x:c>
      <x:c r="D6" s="31" t="n">
        <x:v>2188.6375088519994</x:v>
      </x:c>
      <x:c r="E6" s="31" t="n">
        <x:v>2188.6375088519994</x:v>
      </x:c>
      <x:c r="F6" s="32" t="n">
        <x:v>0</x:v>
      </x:c>
      <x:c r="G6" s="34" t="n">
        <x:v>1</x:v>
      </x:c>
      <x:c r="H6" s="32" t="n">
        <x:f>IF(E6=0,"",I6/E6)</x:f>
        <x:v>795.7766568056651</x:v>
      </x:c>
      <x:c r="I6" s="31" t="n">
        <x:f>IF(C6=0,"",SUMIF('Species'!$H$2:$H$69,A6,'Species'!$U$2:$U$69))</x:f>
        <x:v>1741666.6397537233</x:v>
      </x:c>
      <x:c r="J6" s="32" t="n">
        <x:v>3.4060231137115387</x:v>
      </x:c>
      <x:c r="K6" s="32" t="n">
        <x:f>IF(J6="","",(1/'Metadata'!$B$5)^(J6-1))</x:f>
        <x:v>254.69658017774847</x:v>
      </x:c>
      <x:c r="L6" s="31" t="n">
        <x:f>IF(E6=0,"",E6*K6)</x:f>
        <x:v>557438.4887533509</x:v>
      </x:c>
      <x:c r="M6" s="31" t="n">
        <x:f>IF(E6=0,"",I6-L6)</x:f>
        <x:v>1184228.1510003724</x:v>
      </x:c>
      <x:c r="N6" s="32" t="n">
        <x:f>IF(L6=0,"",I6/L6)</x:f>
        <x:v>3.124410450467399</x:v>
      </x:c>
      <x:c r="O6" s="34" t="n">
        <x:f>IF(L6=0,"",M6/L6)</x:f>
        <x:v>2.124410450467399</x:v>
      </x:c>
    </x:row>
    <x:row r="7" ht="18" customHeight="1">
      <x:c r="A7" s="24" t="str">
        <x:v>Sharks &amp; rays</x:v>
      </x:c>
      <x:c r="B7" s="33" t="n">
        <x:v>10</x:v>
      </x:c>
      <x:c r="C7" s="33" t="n">
        <x:v>10</x:v>
      </x:c>
      <x:c r="D7" s="31" t="n">
        <x:v>3456.6962850120003</x:v>
      </x:c>
      <x:c r="E7" s="31" t="n">
        <x:v>3456.6962850120003</x:v>
      </x:c>
      <x:c r="F7" s="32" t="n">
        <x:v>0</x:v>
      </x:c>
      <x:c r="G7" s="34" t="n">
        <x:v>1</x:v>
      </x:c>
      <x:c r="H7" s="32" t="n">
        <x:f>IF(E7=0,"",I7/E7)</x:f>
        <x:v>2362.3532380359748</x:v>
      </x:c>
      <x:c r="I7" s="31" t="n">
        <x:f>IF(C7=0,"",SUMIF('Species'!$H$2:$H$69,A7,'Species'!$U$2:$U$69))</x:f>
        <x:v>8165937.661805023</x:v>
      </x:c>
      <x:c r="J7" s="32" t="n">
        <x:v>4.3678544193289</x:v>
      </x:c>
      <x:c r="K7" s="32" t="n">
        <x:f>IF(J7="","",(1/'Metadata'!$B$5)^(J7-1))</x:f>
        <x:v>2332.6759904970045</x:v>
      </x:c>
      <x:c r="L7" s="31" t="n">
        <x:f>IF(E7=0,"",E7*K7)</x:f>
        <x:v>8063352.430487684</x:v>
      </x:c>
      <x:c r="M7" s="31" t="n">
        <x:f>IF(E7=0,"",I7-L7)</x:f>
        <x:v>102585.23131733947</x:v>
      </x:c>
      <x:c r="N7" s="32" t="n">
        <x:f>IF(L7=0,"",I7/L7)</x:f>
        <x:v>1.0127224045087577</x:v>
      </x:c>
      <x:c r="O7" s="34" t="n">
        <x:f>IF(L7=0,"",M7/L7)</x:f>
        <x:v>0.012722404508757773</x:v>
      </x:c>
    </x:row>
    <x:row r="8" ht="18" customHeight="1">
      <x:c r="A8" s="24" t="str">
        <x:v>Tuna &amp; billfishes</x:v>
      </x:c>
      <x:c r="B8" s="33" t="n">
        <x:v>10</x:v>
      </x:c>
      <x:c r="C8" s="33" t="n">
        <x:v>10</x:v>
      </x:c>
      <x:c r="D8" s="31" t="n">
        <x:v>9522.1125718242</x:v>
      </x:c>
      <x:c r="E8" s="31" t="n">
        <x:v>9522.1125718242</x:v>
      </x:c>
      <x:c r="F8" s="32" t="n">
        <x:v>0</x:v>
      </x:c>
      <x:c r="G8" s="34" t="n">
        <x:v>1</x:v>
      </x:c>
      <x:c r="H8" s="32" t="n">
        <x:f>IF(E8=0,"",I8/E8)</x:f>
        <x:v>2313.7155451941812</x:v>
      </x:c>
      <x:c r="I8" s="31" t="n">
        <x:f>IF(C8=0,"",SUMIF('Species'!$H$2:$H$69,A8,'Species'!$U$2:$U$69))</x:f>
        <x:v>22031459.880518597</x:v>
      </x:c>
      <x:c r="J8" s="32" t="n">
        <x:v>4.358126510030556</x:v>
      </x:c>
      <x:c r="K8" s="32" t="n">
        <x:f>IF(J8="","",(1/'Metadata'!$B$5)^(J8-1))</x:f>
        <x:v>2281.006432657375</x:v>
      </x:c>
      <x:c r="L8" s="31" t="n">
        <x:f>IF(E8=0,"",E8*K8)</x:f>
        <x:v>21720000.028818663</x:v>
      </x:c>
      <x:c r="M8" s="31" t="n">
        <x:f>IF(E8=0,"",I8-L8)</x:f>
        <x:v>311459.8516999334</x:v>
      </x:c>
      <x:c r="N8" s="32" t="n">
        <x:f>IF(L8=0,"",I8/L8)</x:f>
        <x:v>1.0143397721586869</x:v>
      </x:c>
      <x:c r="O8" s="34" t="n">
        <x:f>IF(L8=0,"",M8/L8)</x:f>
        <x:v>0.014339772158686941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a80fa1db28b40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12.2790191851</x:v>
      </x:c>
      <x:c r="E2" s="31" t="n">
        <x:v>12.2790191851</x:v>
      </x:c>
      <x:c r="F2" s="32" t="n">
        <x:v>0</x:v>
      </x:c>
      <x:c r="G2" s="34" t="n">
        <x:v>1</x:v>
      </x:c>
      <x:c r="H2" s="32" t="n">
        <x:f>IF(E2=0,"",I2/E2)</x:f>
        <x:v>2630.2679918953813</x:v>
      </x:c>
      <x:c r="I2" s="31" t="n">
        <x:f>IF(C2=0,"",SUMIF('Species'!$G$2:$G$69,A2,'Species'!$U$2:$U$69))</x:f>
        <x:v>32297.111134437837</x:v>
      </x:c>
      <x:c r="J2" s="32" t="n">
        <x:v>4.42</x:v>
      </x:c>
      <x:c r="K2" s="32" t="n">
        <x:f>IF(J2="","",(1/'Metadata'!$B$5)^(J2-1))</x:f>
        <x:v>2630.2679918953813</x:v>
      </x:c>
      <x:c r="L2" s="31" t="n">
        <x:f>IF(E2=0,"",E2*K2)</x:f>
        <x:v>32297.111134437837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25.61972404</x:v>
      </x:c>
      <x:c r="E3" s="31" t="n">
        <x:v>25.61972404</x:v>
      </x:c>
      <x:c r="F3" s="32" t="n">
        <x:v>0</x:v>
      </x:c>
      <x:c r="G3" s="34" t="n">
        <x:v>1</x:v>
      </x:c>
      <x:c r="H3" s="32" t="n">
        <x:f>IF(E3=0,"",I3/E3)</x:f>
        <x:v>10.715193052376058</x:v>
      </x:c>
      <x:c r="I3" s="31" t="n">
        <x:f>IF(C3=0,"",SUMIF('Species'!$G$2:$G$69,A3,'Species'!$U$2:$U$69))</x:f>
        <x:v>274.5202890371999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274.5202890371999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21.6212711501</x:v>
      </x:c>
      <x:c r="E4" s="31" t="n">
        <x:v>21.6212711501</x:v>
      </x:c>
      <x:c r="F4" s="32" t="n">
        <x:v>0</x:v>
      </x:c>
      <x:c r="G4" s="34" t="n">
        <x:v>1</x:v>
      </x:c>
      <x:c r="H4" s="32" t="n">
        <x:f>IF(E4=0,"",I4/E4)</x:f>
        <x:v>3090.2954325135925</x:v>
      </x:c>
      <x:c r="I4" s="31" t="n">
        <x:f>IF(C4=0,"",SUMIF('Species'!$G$2:$G$69,A4,'Species'!$U$2:$U$69))</x:f>
        <x:v>66816.11548029193</x:v>
      </x:c>
      <x:c r="J4" s="32" t="n">
        <x:v>4.49</x:v>
      </x:c>
      <x:c r="K4" s="32" t="n">
        <x:f>IF(J4="","",(1/'Metadata'!$B$5)^(J4-1))</x:f>
        <x:v>3090.295432513592</x:v>
      </x:c>
      <x:c r="L4" s="31" t="n">
        <x:f>IF(E4=0,"",E4*K4)</x:f>
        <x:v>66816.11548029193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12</x:v>
      </x:c>
      <x:c r="C5" s="33" t="n">
        <x:v>12</x:v>
      </x:c>
      <x:c r="D5" s="31" t="n">
        <x:v>9610.6235683887</x:v>
      </x:c>
      <x:c r="E5" s="31" t="n">
        <x:v>9610.6235683887</x:v>
      </x:c>
      <x:c r="F5" s="32" t="n">
        <x:v>0</x:v>
      </x:c>
      <x:c r="G5" s="34" t="n">
        <x:v>1</x:v>
      </x:c>
      <x:c r="H5" s="32" t="n">
        <x:f>IF(E5=0,"",I5/E5)</x:f>
        <x:v>2313.894838394538</x:v>
      </x:c>
      <x:c r="I5" s="31" t="n">
        <x:f>IF(C5=0,"",SUMIF('Species'!$G$2:$G$69,A5,'Species'!$U$2:$U$69))</x:f>
        <x:v>22237972.26864751</x:v>
      </x:c>
      <x:c r="J5" s="32" t="n">
        <x:v>4.358214528369989</x:v>
      </x:c>
      <x:c r="K5" s="32" t="n">
        <x:f>IF(J5="","",(1/'Metadata'!$B$5)^(J5-1))</x:f>
        <x:v>2281.468770433284</x:v>
      </x:c>
      <x:c r="L5" s="31" t="n">
        <x:f>IF(E5=0,"",E5*K5)</x:f>
        <x:v>21926337.53566891</x:v>
      </x:c>
      <x:c r="M5" s="31" t="n">
        <x:f>IF(E5=0,"",I5-L5)</x:f>
        <x:v>311634.732978601</x:v>
      </x:c>
      <x:c r="N5" s="32" t="n">
        <x:f>IF(L5=0,"",I5/L5)</x:f>
        <x:v>1.014212803778636</x:v>
      </x:c>
      <x:c r="O5" s="34" t="n">
        <x:f>IF(L5=0,"",M5/L5)</x:f>
        <x:v>0.01421280377863589</x:v>
      </x:c>
    </x:row>
    <x:row r="6" ht="18" customHeight="1">
      <x:c r="A6" s="24" t="str">
        <x:v>Large sharks (&gt;=90 cm)</x:v>
      </x:c>
      <x:c r="B6" s="33" t="n">
        <x:v>10</x:v>
      </x:c>
      <x:c r="C6" s="33" t="n">
        <x:v>10</x:v>
      </x:c>
      <x:c r="D6" s="31" t="n">
        <x:v>3456.6962850120003</x:v>
      </x:c>
      <x:c r="E6" s="31" t="n">
        <x:v>3456.6962850120003</x:v>
      </x:c>
      <x:c r="F6" s="32" t="n">
        <x:v>0</x:v>
      </x:c>
      <x:c r="G6" s="34" t="n">
        <x:v>1</x:v>
      </x:c>
      <x:c r="H6" s="32" t="n">
        <x:f>IF(E6=0,"",I6/E6)</x:f>
        <x:v>2362.3532380359748</x:v>
      </x:c>
      <x:c r="I6" s="31" t="n">
        <x:f>IF(C6=0,"",SUMIF('Species'!$G$2:$G$69,A6,'Species'!$U$2:$U$69))</x:f>
        <x:v>8165937.661805023</x:v>
      </x:c>
      <x:c r="J6" s="32" t="n">
        <x:v>4.3678544193289</x:v>
      </x:c>
      <x:c r="K6" s="32" t="n">
        <x:f>IF(J6="","",(1/'Metadata'!$B$5)^(J6-1))</x:f>
        <x:v>2332.6759904970045</x:v>
      </x:c>
      <x:c r="L6" s="31" t="n">
        <x:f>IF(E6=0,"",E6*K6)</x:f>
        <x:v>8063352.430487684</x:v>
      </x:c>
      <x:c r="M6" s="31" t="n">
        <x:f>IF(E6=0,"",I6-L6)</x:f>
        <x:v>102585.23131733947</x:v>
      </x:c>
      <x:c r="N6" s="32" t="n">
        <x:f>IF(L6=0,"",I6/L6)</x:f>
        <x:v>1.0127224045087577</x:v>
      </x:c>
      <x:c r="O6" s="34" t="n">
        <x:f>IF(L6=0,"",M6/L6)</x:f>
        <x:v>0.012722404508757773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1302.0279166002001</x:v>
      </x:c>
      <x:c r="E7" s="31" t="n">
        <x:v>1302.0279166002001</x:v>
      </x:c>
      <x:c r="F7" s="32" t="n">
        <x:v>0</x:v>
      </x:c>
      <x:c r="G7" s="34" t="n">
        <x:v>1</x:v>
      </x:c>
      <x:c r="H7" s="32" t="n">
        <x:f>IF(E7=0,"",I7/E7)</x:f>
        <x:v>131.64768622530158</x:v>
      </x:c>
      <x:c r="I7" s="31" t="n">
        <x:f>IF(C7=0,"",SUMIF('Species'!$G$2:$G$69,A7,'Species'!$U$2:$U$69))</x:f>
        <x:v>171408.96262116628</x:v>
      </x:c>
      <x:c r="J7" s="32" t="n">
        <x:v>3.112999999991689</x:v>
      </x:c>
      <x:c r="K7" s="32" t="n">
        <x:f>IF(J7="","",(1/'Metadata'!$B$5)^(J7-1))</x:f>
        <x:v>129.71792709591318</x:v>
      </x:c>
      <x:c r="L7" s="31" t="n">
        <x:f>IF(E7=0,"",E7*K7)</x:f>
        <x:v>168896.3623623885</x:v>
      </x:c>
      <x:c r="M7" s="31" t="n">
        <x:f>IF(E7=0,"",I7-L7)</x:f>
        <x:v>2512.600258777791</x:v>
      </x:c>
      <x:c r="N7" s="32" t="n">
        <x:f>IF(L7=0,"",I7/L7)</x:f>
        <x:v>1.0148765800733275</x:v>
      </x:c>
      <x:c r="O7" s="34" t="n">
        <x:f>IF(L7=0,"",M7/L7)</x:f>
        <x:v>0.014876580073327391</x:v>
      </x:c>
    </x:row>
    <x:row r="8" ht="18" customHeight="1">
      <x:c r="A8" s="24" t="str">
        <x:v>Medium bathydemersals (30 - 89 cm)</x:v>
      </x:c>
      <x:c r="B8" s="33" t="n">
        <x:v>1</x:v>
      </x:c>
      <x:c r="C8" s="33" t="n">
        <x:v>1</x:v>
      </x:c>
      <x:c r="D8" s="31" t="n">
        <x:v>0.5383058732</x:v>
      </x:c>
      <x:c r="E8" s="31" t="n">
        <x:v>0.5383058732</x:v>
      </x:c>
      <x:c r="F8" s="32" t="n">
        <x:v>0</x:v>
      </x:c>
      <x:c r="G8" s="34" t="n">
        <x:v>1</x:v>
      </x:c>
      <x:c r="H8" s="32" t="n">
        <x:f>IF(E8=0,"",I8/E8)</x:f>
        <x:v>2290.867652767775</x:v>
      </x:c>
      <x:c r="I8" s="31" t="n">
        <x:f>IF(C8=0,"",SUMIF('Species'!$G$2:$G$69,A8,'Species'!$U$2:$U$69))</x:f>
        <x:v>1233.1875122087915</x:v>
      </x:c>
      <x:c r="J8" s="32" t="n">
        <x:v>4.36</x:v>
      </x:c>
      <x:c r="K8" s="32" t="n">
        <x:f>IF(J8="","",(1/'Metadata'!$B$5)^(J8-1))</x:f>
        <x:v>2290.867652767775</x:v>
      </x:c>
      <x:c r="L8" s="31" t="n">
        <x:f>IF(E8=0,"",E8*K8)</x:f>
        <x:v>1233.1875122087915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2060.6067105775996</x:v>
      </x:c>
      <x:c r="E9" s="31" t="n">
        <x:v>2060.6067105775996</x:v>
      </x:c>
      <x:c r="F9" s="32" t="n">
        <x:v>0</x:v>
      </x:c>
      <x:c r="G9" s="34" t="n">
        <x:v>1</x:v>
      </x:c>
      <x:c r="H9" s="32" t="n">
        <x:f>IF(E9=0,"",I9/E9)</x:f>
        <x:v>199.37658857737833</x:v>
      </x:c>
      <x:c r="I9" s="31" t="n">
        <x:f>IF(C9=0,"",SUMIF('Species'!$G$2:$G$69,A9,'Species'!$U$2:$U$69))</x:f>
        <x:v>410836.73635461496</x:v>
      </x:c>
      <x:c r="J9" s="32" t="n">
        <x:v>3.2910770466405364</x:v>
      </x:c>
      <x:c r="K9" s="32" t="n">
        <x:f>IF(J9="","",(1/'Metadata'!$B$5)^(J9-1))</x:f>
        <x:v>195.46861989487792</x:v>
      </x:c>
      <x:c r="L9" s="31" t="n">
        <x:f>IF(E9=0,"",E9*K9)</x:f>
        <x:v>402783.94986272755</x:v>
      </x:c>
      <x:c r="M9" s="31" t="n">
        <x:f>IF(E9=0,"",I9-L9)</x:f>
        <x:v>8052.786491887411</x:v>
      </x:c>
      <x:c r="N9" s="32" t="n">
        <x:f>IF(L9=0,"",I9/L9)</x:f>
        <x:v>1.0199928187174088</x:v>
      </x:c>
      <x:c r="O9" s="34" t="n">
        <x:f>IF(L9=0,"",M9/L9)</x:f>
        <x:v>0.01999281871740886</x:v>
      </x:c>
    </x:row>
    <x:row r="10" ht="18" customHeight="1">
      <x:c r="A10" s="24" t="str">
        <x:v>Medium pelagics (30 - 89 cm)</x:v>
      </x:c>
      <x:c r="B10" s="33" t="n">
        <x:v>4</x:v>
      </x:c>
      <x:c r="C10" s="33" t="n">
        <x:v>4</x:v>
      </x:c>
      <x:c r="D10" s="31" t="n">
        <x:v>783.7596140684</x:v>
      </x:c>
      <x:c r="E10" s="31" t="n">
        <x:v>783.7596140684</x:v>
      </x:c>
      <x:c r="F10" s="32" t="n">
        <x:v>0</x:v>
      </x:c>
      <x:c r="G10" s="34" t="n">
        <x:v>1</x:v>
      </x:c>
      <x:c r="H10" s="32" t="n">
        <x:f>IF(E10=0,"",I10/E10)</x:f>
        <x:v>875.5682832312847</x:v>
      </x:c>
      <x:c r="I10" s="31" t="n">
        <x:f>IF(C10=0,"",SUMIF('Species'!$G$2:$G$69,A10,'Species'!$U$2:$U$69))</x:f>
        <x:v>686235.0597558832</x:v>
      </x:c>
      <x:c r="J10" s="32" t="n">
        <x:v>3.6821361507615578</x:v>
      </x:c>
      <x:c r="K10" s="32" t="n">
        <x:f>IF(J10="","",(1/'Metadata'!$B$5)^(J10-1))</x:f>
        <x:v>480.99011459835225</x:v>
      </x:c>
      <x:c r="L10" s="31" t="n">
        <x:f>IF(E10=0,"",E10*K10)</x:f>
        <x:v>376980.62658832</x:v>
      </x:c>
      <x:c r="M10" s="31" t="n">
        <x:f>IF(E10=0,"",I10-L10)</x:f>
        <x:v>309254.43316756317</x:v>
      </x:c>
      <x:c r="N10" s="32" t="n">
        <x:f>IF(L10=0,"",I10/L10)</x:f>
        <x:v>1.8203456924731654</x:v>
      </x:c>
      <x:c r="O10" s="34" t="n">
        <x:f>IF(L10=0,"",M10/L10)</x:f>
        <x:v>0.8203456924731654</x:v>
      </x:c>
    </x:row>
    <x:row r="11" ht="18" customHeight="1">
      <x:c r="A11" s="24" t="str">
        <x:v>Medium reef assoc. fish (30 - 89 cm)</x:v>
      </x:c>
      <x:c r="B11" s="33" t="n">
        <x:v>17</x:v>
      </x:c>
      <x:c r="C11" s="33" t="n">
        <x:v>17</x:v>
      </x:c>
      <x:c r="D11" s="31" t="n">
        <x:v>1498.4438228502997</x:v>
      </x:c>
      <x:c r="E11" s="31" t="n">
        <x:v>1498.4438228502997</x:v>
      </x:c>
      <x:c r="F11" s="32" t="n">
        <x:v>0</x:v>
      </x:c>
      <x:c r="G11" s="34" t="n">
        <x:v>1</x:v>
      </x:c>
      <x:c r="H11" s="32" t="n">
        <x:f>IF(E11=0,"",I11/E11)</x:f>
        <x:v>526.1257350018612</x:v>
      </x:c>
      <x:c r="I11" s="31" t="n">
        <x:f>IF(C11=0,"",SUMIF('Species'!$G$2:$G$69,A11,'Species'!$U$2:$U$69))</x:f>
        <x:v>788369.8576561126</x:v>
      </x:c>
      <x:c r="J11" s="32" t="n">
        <x:v>3.209310331110388</x:v>
      </x:c>
      <x:c r="K11" s="32" t="n">
        <x:f>IF(J11="","",(1/'Metadata'!$B$5)^(J11-1))</x:f>
        <x:v>161.92366722405228</x:v>
      </x:c>
      <x:c r="L11" s="31" t="n">
        <x:f>IF(E11=0,"",E11*K11)</x:f>
        <x:v>242633.51892514867</x:v>
      </x:c>
      <x:c r="M11" s="31" t="n">
        <x:f>IF(E11=0,"",I11-L11)</x:f>
        <x:v>545736.338730964</x:v>
      </x:c>
      <x:c r="N11" s="32" t="n">
        <x:f>IF(L11=0,"",I11/L11)</x:f>
        <x:v>3.249220722464653</x:v>
      </x:c>
      <x:c r="O11" s="34" t="n">
        <x:f>IF(L11=0,"",M11/L11)</x:f>
        <x:v>2.249220722464653</x:v>
      </x:c>
    </x:row>
    <x:row r="12" ht="18" customHeight="1">
      <x:c r="A12" s="24" t="str">
        <x:v>Other demersal invertebrates</x:v>
      </x:c>
      <x:c r="B12" s="33" t="n">
        <x:v>8</x:v>
      </x:c>
      <x:c r="C12" s="33" t="n">
        <x:v>8</x:v>
      </x:c>
      <x:c r="D12" s="31" t="n">
        <x:v>525.588644364</x:v>
      </x:c>
      <x:c r="E12" s="31" t="n">
        <x:v>525.588644364</x:v>
      </x:c>
      <x:c r="F12" s="32" t="n">
        <x:v>0</x:v>
      </x:c>
      <x:c r="G12" s="34" t="n">
        <x:v>1</x:v>
      </x:c>
      <x:c r="H12" s="32" t="n">
        <x:f>IF(E12=0,"",I12/E12)</x:f>
        <x:v>85.05895627346192</x:v>
      </x:c>
      <x:c r="I12" s="31" t="n">
        <x:f>IF(C12=0,"",SUMIF('Species'!$G$2:$G$69,A12,'Species'!$U$2:$U$69))</x:f>
        <x:v>44706.021518785594</x:v>
      </x:c>
      <x:c r="J12" s="32" t="n">
        <x:v>2.7385151129332628</x:v>
      </x:c>
      <x:c r="K12" s="32" t="n">
        <x:f>IF(J12="","",(1/'Metadata'!$B$5)^(J12-1))</x:f>
        <x:v>54.766515872875246</x:v>
      </x:c>
      <x:c r="L12" s="31" t="n">
        <x:f>IF(E12=0,"",E12*K12)</x:f>
        <x:v>28784.658834163987</x:v>
      </x:c>
      <x:c r="M12" s="31" t="n">
        <x:f>IF(E12=0,"",I12-L12)</x:f>
        <x:v>15921.362684621607</x:v>
      </x:c>
      <x:c r="N12" s="32" t="n">
        <x:f>IF(L12=0,"",I12/L12)</x:f>
        <x:v>1.5531197286842542</x:v>
      </x:c>
      <x:c r="O12" s="34" t="n">
        <x:f>IF(L12=0,"",M12/L12)</x:f>
        <x:v>0.5531197286842543</x:v>
      </x:c>
    </x:row>
    <x:row r="13" ht="18" customHeight="1">
      <x:c r="A13" s="24" t="str">
        <x:v>Small benthopelagics (&lt;30 cm)</x:v>
      </x:c>
      <x:c r="B13" s="33" t="n">
        <x:v>1</x:v>
      </x:c>
      <x:c r="C13" s="33" t="n">
        <x:v>1</x:v>
      </x:c>
      <x:c r="D13" s="31" t="n">
        <x:v>25.61972404</x:v>
      </x:c>
      <x:c r="E13" s="31" t="n">
        <x:v>25.61972404</x:v>
      </x:c>
      <x:c r="F13" s="32" t="n">
        <x:v>0</x:v>
      </x:c>
      <x:c r="G13" s="34" t="n">
        <x:v>1</x:v>
      </x:c>
      <x:c r="H13" s="32" t="n">
        <x:f>IF(E13=0,"",I13/E13)</x:f>
        <x:v>107.1519305237606</x:v>
      </x:c>
      <x:c r="I13" s="31" t="n">
        <x:f>IF(C13=0,"",SUMIF('Species'!$G$2:$G$69,A13,'Species'!$U$2:$U$69))</x:f>
        <x:v>2745.2028903719993</x:v>
      </x:c>
      <x:c r="J13" s="32" t="n">
        <x:v>3.0299999999999994</x:v>
      </x:c>
      <x:c r="K13" s="32" t="n">
        <x:f>IF(J13="","",(1/'Metadata'!$B$5)^(J13-1))</x:f>
        <x:v>107.15193052376048</x:v>
      </x:c>
      <x:c r="L13" s="31" t="n">
        <x:f>IF(E13=0,"",E13*K13)</x:f>
        <x:v>2745.2028903719965</x:v>
      </x:c>
      <x:c r="M13" s="31" t="n">
        <x:f>IF(E13=0,"",I13-L13)</x:f>
        <x:v>2.7284841053187847e-12</x:v>
      </x:c>
      <x:c r="N13" s="32" t="n">
        <x:f>IF(L13=0,"",I13/L13)</x:f>
        <x:v>1.0000000000000009</x:v>
      </x:c>
      <x:c r="O13" s="34" t="n">
        <x:f>IF(L13=0,"",M13/L13)</x:f>
        <x:v>9.93909818064141e-16</x:v>
      </x:c>
    </x:row>
    <x:row r="14" ht="18" customHeight="1">
      <x:c r="A14" s="24" t="str">
        <x:v>Small pelagics (&lt;30 cm)</x:v>
      </x:c>
      <x:c r="B14" s="33" t="n">
        <x:v>1</x:v>
      </x:c>
      <x:c r="C14" s="33" t="n">
        <x:v>1</x:v>
      </x:c>
      <x:c r="D14" s="31" t="n">
        <x:v>25.61972404</x:v>
      </x:c>
      <x:c r="E14" s="31" t="n">
        <x:v>25.61972404</x:v>
      </x:c>
      <x:c r="F14" s="32" t="n">
        <x:v>0</x:v>
      </x:c>
      <x:c r="G14" s="34" t="n">
        <x:v>1</x:v>
      </x:c>
      <x:c r="H14" s="32" t="n">
        <x:f>IF(E14=0,"",I14/E14)</x:f>
        <x:v>144.5439770745928</x:v>
      </x:c>
      <x:c r="I14" s="31" t="n">
        <x:f>IF(C14=0,"",SUMIF('Species'!$G$2:$G$69,A14,'Species'!$U$2:$U$69))</x:f>
        <x:v>3703.176804295154</x:v>
      </x:c>
      <x:c r="J14" s="32" t="n">
        <x:v>3.16</x:v>
      </x:c>
      <x:c r="K14" s="32" t="n">
        <x:f>IF(J14="","",(1/'Metadata'!$B$5)^(J14-1))</x:f>
        <x:v>144.5439770745928</x:v>
      </x:c>
      <x:c r="L14" s="31" t="n">
        <x:f>IF(E14=0,"",E14*K14)</x:f>
        <x:v>3703.176804295154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reef assoc. fish (&lt;30 cm)</x:v>
      </x:c>
      <x:c r="B15" s="33" t="n">
        <x:v>3</x:v>
      </x:c>
      <x:c r="C15" s="33" t="n">
        <x:v>3</x:v>
      </x:c>
      <x:c r="D15" s="31" t="n">
        <x:v>281.81696439999996</x:v>
      </x:c>
      <x:c r="E15" s="31" t="n">
        <x:v>281.81696439999996</x:v>
      </x:c>
      <x:c r="F15" s="32" t="n">
        <x:v>0</x:v>
      </x:c>
      <x:c r="G15" s="34" t="n">
        <x:v>1</x:v>
      </x:c>
      <x:c r="H15" s="32" t="n">
        <x:f>IF(E15=0,"",I15/E15)</x:f>
        <x:v>164.9273486392071</x:v>
      </x:c>
      <x:c r="I15" s="31" t="n">
        <x:f>IF(C15=0,"",SUMIF('Species'!$G$2:$G$69,A15,'Species'!$U$2:$U$69))</x:f>
        <x:v>46479.32474004181</x:v>
      </x:c>
      <x:c r="J15" s="32" t="n">
        <x:v>2.917272727277308</x:v>
      </x:c>
      <x:c r="K15" s="32" t="n">
        <x:f>IF(J15="","",(1/'Metadata'!$B$5)^(J15-1))</x:f>
        <x:v>82.65568459516973</x:v>
      </x:c>
      <x:c r="L15" s="31" t="n">
        <x:f>IF(E15=0,"",E15*K15)</x:f>
        <x:v>23293.774123014573</x:v>
      </x:c>
      <x:c r="M15" s="31" t="n">
        <x:f>IF(E15=0,"",I15-L15)</x:f>
        <x:v>23185.55061702724</x:v>
      </x:c>
      <x:c r="N15" s="32" t="n">
        <x:f>IF(L15=0,"",I15/L15)</x:f>
        <x:v>1.9953539728935377</x:v>
      </x:c>
      <x:c r="O15" s="34" t="n">
        <x:f>IF(L15=0,"",M15/L15)</x:f>
        <x:v>0.9953539728935378</x:v>
      </x:c>
    </x:row>
  </x:sheetData>
  <x:conditionalFormatting sqref="G2:G15">
    <x:cfRule type="cellIs" dxfId="2" priority="1" operator="lessThan">
      <x:formula>0.9</x:formula>
    </x:cfRule>
  </x:conditionalFormatting>
  <x:conditionalFormatting sqref="O2:O1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f7d2ffb61d42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EEZ_548</x:v>
      </x:c>
      <x:c r="B2" s="24" t="str">
        <x:v>raw_filtered_tonnes</x:v>
      </x:c>
      <x:c r="C2" s="24" t="n">
        <x:v>19630.861294589602</x:v>
      </x:c>
      <x:c r="D2" s="24" t="str">
        <x:v>tonnes</x:v>
      </x:c>
    </x:row>
    <x:row r="3" ht="18" customHeight="1">
      <x:c r="A3" s="24" t="str">
        <x:v>EEZ_548</x:v>
      </x:c>
      <x:c r="B3" s="24" t="str">
        <x:v>species_catch_tonnes</x:v>
      </x:c>
      <x:c r="C3" s="24" t="n">
        <x:v>19630.861294589602</x:v>
      </x:c>
      <x:c r="D3" s="24" t="str">
        <x:v>tonnes</x:v>
      </x:c>
    </x:row>
    <x:row r="4" ht="18" customHeight="1">
      <x:c r="A4" s="24" t="str">
        <x:v>EEZ_548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EEZ_548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EEZ_548</x:v>
      </x:c>
      <x:c r="B6" s="24" t="str">
        <x:v>matched_catch_tonnes</x:v>
      </x:c>
      <x:c r="C6" s="24" t="n">
        <x:v>19630.861294589602</x:v>
      </x:c>
      <x:c r="D6" s="24" t="str">
        <x:v>tonnes</x:v>
      </x:c>
    </x:row>
    <x:row r="7" ht="18" customHeight="1">
      <x:c r="A7" s="24" t="str">
        <x:v>EEZ_548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EEZ_548</x:v>
      </x:c>
      <x:c r="B8" s="24" t="str">
        <x:v>taxa_count</x:v>
      </x:c>
      <x:c r="C8" s="24" t="n">
        <x:v>68</x:v>
      </x:c>
      <x:c r="D8" s="24" t="str">
        <x:v>count</x:v>
      </x:c>
    </x:row>
    <x:row r="9" ht="18" customHeight="1">
      <x:c r="A9" s="24" t="str">
        <x:v>EEZ_548</x:v>
      </x:c>
      <x:c r="B9" s="24" t="str">
        <x:v>matched_taxa_count</x:v>
      </x:c>
      <x:c r="C9" s="24" t="n">
        <x:v>68</x:v>
      </x:c>
      <x:c r="D9" s="24" t="str">
        <x:v>count</x:v>
      </x:c>
    </x:row>
    <x:row r="10" ht="18" customHeight="1">
      <x:c r="A10" s="24" t="str">
        <x:v>EEZ_548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EEZ_548</x:v>
      </x:c>
      <x:c r="B11" s="24" t="str">
        <x:v>species_ppr</x:v>
      </x:c>
      <x:c r="C11" s="24" t="n">
        <x:v>32659015.20720978</x:v>
      </x:c>
      <x:c r="D11" s="24" t="str">
        <x:v>tonnes_primary_production_equivalent</x:v>
      </x:c>
    </x:row>
    <x:row r="12" ht="18" customHeight="1">
      <x:c r="A12" s="24" t="str">
        <x:v>EEZ_548</x:v>
      </x:c>
      <x:c r="B12" s="24" t="str">
        <x:v>commercial_ppr</x:v>
      </x:c>
      <x:c r="C12" s="24" t="n">
        <x:v>32659015.20720978</x:v>
      </x:c>
      <x:c r="D12" s="24" t="str">
        <x:v>tonnes_primary_production_equivalent</x:v>
      </x:c>
    </x:row>
    <x:row r="13" ht="18" customHeight="1">
      <x:c r="A13" s="24" t="str">
        <x:v>EEZ_548</x:v>
      </x:c>
      <x:c r="B13" s="24" t="str">
        <x:v>functional_ppr</x:v>
      </x:c>
      <x:c r="C13" s="24" t="n">
        <x:v>32659015.207209785</x:v>
      </x:c>
      <x:c r="D13" s="24" t="str">
        <x:v>tonnes_primary_production_equivalent</x:v>
      </x:c>
    </x:row>
    <x:row r="14" ht="18" customHeight="1">
      <x:c r="A14" s="24" t="str">
        <x:v>EEZ_548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EEZ_548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EEZ_548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EEZ_548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EEZ_548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EEZ_548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346124953c744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EEZ_548 - Vanuatu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EEZ_548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