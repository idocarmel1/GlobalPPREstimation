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cfc4d3e07b8400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pecies" sheetId="1" r:id="R27f95b1fec6c47a6"/>
    <x:sheet xmlns:r="http://schemas.openxmlformats.org/officeDocument/2006/relationships" name="Commercial" sheetId="2" r:id="Ra195c1cb015b4a00"/>
    <x:sheet xmlns:r="http://schemas.openxmlformats.org/officeDocument/2006/relationships" name="Functional" sheetId="3" r:id="R4a1ce532535b4858"/>
    <x:sheet xmlns:r="http://schemas.openxmlformats.org/officeDocument/2006/relationships" name="Missing TL" sheetId="4" r:id="Rcca7a5ebe13d42df"/>
    <x:sheet xmlns:r="http://schemas.openxmlformats.org/officeDocument/2006/relationships" name="Validation" sheetId="5" r:id="Rde86f20b4939439a"/>
    <x:sheet xmlns:r="http://schemas.openxmlformats.org/officeDocument/2006/relationships" name="Metadata" sheetId="6" r:id="R5e521a53d67e43b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0"/>
    <x:numFmt numFmtId="201" formatCode="#,##0.00"/>
    <x:numFmt numFmtId="202" formatCode="0.0000"/>
    <x:numFmt numFmtId="203" formatCode="#,##0"/>
    <x:numFmt numFmtId="204" formatCode="0.00%"/>
    <x:numFmt numFmtId="205" formatCode="0.00"/>
  </x:numFmts>
  <x:fonts count="7">
    <x:font>
      <x:sz val="11"/>
      <x:name val="Carlito"/>
    </x:font>
    <x:font>
      <x:b/>
      <x:sz val="16"/>
      <x:color rgb="FFFFFFFF"/>
      <x:name val="Aptos Display"/>
    </x:font>
    <x:font>
      <x:sz val="10"/>
      <x:name val="Aptos"/>
    </x:font>
    <x:font>
      <x:b/>
      <x:sz val="10"/>
      <x:color rgb="FFFFFFFF"/>
      <x:name val="Aptos"/>
    </x:font>
    <x:font>
      <x:b/>
      <x:sz val="10"/>
      <x:color rgb="FF17324D"/>
      <x:name val="Aptos"/>
    </x:font>
    <x:font>
      <x:sz val="9"/>
      <x:color rgb="FF1D2939"/>
      <x:name val="Aptos"/>
    </x:font>
    <x:font>
      <x:b/>
      <x:sz val="10"/>
      <x:color rgb="FFFFFFFF"/>
      <x:name val="Aptos Display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147D92"/>
      </x:patternFill>
    </x:fill>
  </x:fills>
  <x:borders count="11">
    <x:border/>
    <x:border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bottom style="thin">
        <x:color rgb="FFD0D5DD"/>
      </x:bottom>
    </x:border>
    <x:border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top style="thin">
        <x:color rgb="FFD0D5DD"/>
      </x:top>
      <x:bottom style="thin">
        <x:color rgb="FFD0D5DD"/>
      </x:bottom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  <x:right style="thin">
        <x:color rgb="FFD0D5DD"/>
      </x:right>
      <x:top style="thin">
        <x:color rgb="FFD0D5DD"/>
      </x:top>
    </x:border>
    <x:border>
      <x:left style="thin">
        <x:color rgb="FFD0D5DD"/>
      </x:left>
      <x:top style="thin">
        <x:color rgb="FFD0D5DD"/>
      </x:top>
    </x:border>
    <x:border>
      <x:bottom style="medium">
        <x:color rgb="FF147D92"/>
      </x:bottom>
    </x:border>
  </x:borders>
  <x:cellStyleXfs count="1">
    <x:xf numFmtId="0" fontId="0" fillId="0" borderId="0"/>
  </x:cellStyleXfs>
  <x:cellXfs count="37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0" borderId="0" xfId="0" applyNumberFormat="1" applyFont="1" applyFill="1" applyBorder="1"/>
    <x:xf numFmtId="0" fontId="2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2" xfId="0" applyNumberFormat="1" applyFont="1" applyFill="1" applyBorder="1"/>
    <x:xf numFmtId="0" fontId="3" fillId="3" borderId="3" xfId="0" applyNumberFormat="1" applyFont="1" applyFill="1" applyBorder="1"/>
    <x:xf numFmtId="0" fontId="2" fillId="0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7" xfId="0" applyNumberFormat="1" applyFont="1" applyFill="1" applyBorder="1"/>
    <x:xf numFmtId="0" fontId="2" fillId="0" borderId="8" xfId="0" applyNumberFormat="1" applyFont="1" applyFill="1" applyBorder="1"/>
    <x:xf numFmtId="0" fontId="2" fillId="0" borderId="9" xfId="0" applyNumberFormat="1" applyFont="1" applyFill="1" applyBorder="1"/>
    <x:xf numFmtId="0" fontId="2" fillId="0" borderId="4" xfId="0" applyNumberFormat="1" applyFont="1" applyFill="1" applyBorder="1" applyAlignment="1">
      <x:alignment wrapText="1"/>
    </x:xf>
    <x:xf numFmtId="0" fontId="2" fillId="0" borderId="5" xfId="0" applyNumberFormat="1" applyFont="1" applyFill="1" applyBorder="1" applyAlignment="1">
      <x:alignment wrapText="1"/>
    </x:xf>
    <x:xf numFmtId="0" fontId="2" fillId="0" borderId="6" xfId="0" applyNumberFormat="1" applyFont="1" applyFill="1" applyBorder="1" applyAlignment="1">
      <x:alignment wrapText="1"/>
    </x:xf>
    <x:xf numFmtId="0" fontId="2" fillId="0" borderId="7" xfId="0" applyNumberFormat="1" applyFont="1" applyFill="1" applyBorder="1" applyAlignment="1">
      <x:alignment wrapText="1"/>
    </x:xf>
    <x:xf numFmtId="0" fontId="2" fillId="0" borderId="8" xfId="0" applyNumberFormat="1" applyFont="1" applyFill="1" applyBorder="1" applyAlignment="1">
      <x:alignment wrapText="1"/>
    </x:xf>
    <x:xf numFmtId="0" fontId="2" fillId="0" borderId="9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6" fillId="2" borderId="10" xfId="0" applyNumberFormat="1" applyFont="1" applyFill="1" applyBorder="1"/>
    <x:xf numFmtId="0" fontId="6" fillId="2" borderId="10" xfId="0" applyNumberFormat="1" applyFont="1" applyFill="1" applyBorder="1" applyAlignment="1">
      <x:alignment wrapText="1"/>
    </x:xf>
    <x:xf numFmtId="0" fontId="6" fillId="2" borderId="10" xfId="0" applyNumberFormat="1" applyFont="1" applyFill="1" applyBorder="1" applyAlignment="1">
      <x:alignment vertical="center" wrapText="1"/>
    </x:xf>
    <x:xf numFmtId="200" fontId="5" fillId="0" borderId="0" xfId="0" applyNumberFormat="1" applyFont="1" applyFill="1" applyBorder="1"/>
    <x:xf numFmtId="201" fontId="5" fillId="0" borderId="0" xfId="0" applyNumberFormat="1" applyFont="1" applyFill="1" applyBorder="1"/>
    <x:xf numFmtId="202" fontId="5" fillId="0" borderId="0" xfId="0" applyNumberFormat="1" applyFont="1" applyFill="1" applyBorder="1"/>
    <x:xf numFmtId="203" fontId="5" fillId="0" borderId="0" xfId="0" applyNumberFormat="1" applyFont="1" applyFill="1" applyBorder="1"/>
    <x:xf numFmtId="204" fontId="5" fillId="0" borderId="0" xfId="0" applyNumberFormat="1" applyFont="1" applyFill="1" applyBorder="1"/>
    <x:xf numFmtId="0" fontId="5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5" fontId="2" fillId="0" borderId="5" xfId="0" applyNumberFormat="1" applyFont="1" applyFill="1" applyBorder="1" applyAlignment="1">
      <x:alignment wrapText="1"/>
    </x:xf>
  </x:cellXfs>
  <x:cellStyles count="1">
    <x:cellStyle name="Normal" xfId="0"/>
  </x:cellStyles>
  <x:dxfs count="3">
    <x:dxf>
      <x:font>
        <x:color rgb="FF9A3412"/>
      </x:font>
      <x:fill>
        <x:patternFill patternType="solid">
          <x:bgColor rgb="FFFCEAD8"/>
        </x:patternFill>
      </x:fill>
    </x:dxf>
    <x:dxf>
      <x:font>
        <x:b/>
        <x:color rgb="FFB42318"/>
      </x:font>
      <x:fill>
        <x:patternFill patternType="solid">
          <x:bgColor rgb="FFFEE4E2"/>
        </x:patternFill>
      </x:fill>
    </x:dxf>
    <x:dxf>
      <x:font>
        <x:b/>
        <x:color rgb="FFB42318"/>
      </x:font>
      <x:fill>
        <x:patternFill patternType="solid">
          <x:bgColor rgb="FFFEE4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6e4dc88e0b94251" /><Relationship Type="http://schemas.openxmlformats.org/officeDocument/2006/relationships/theme" Target="/xl/theme/theme1.xml" Id="Rb7f0d44be94a470c" /><Relationship Type="http://schemas.microsoft.com/office/2022/11/relationships/FeaturePropertyBag" Target="/xl/featurePropertyBag/featurePropertyBag.xml" Id="Re4f728d015ae48a0" /><Relationship Type="http://schemas.openxmlformats.org/officeDocument/2006/relationships/sharedStrings" Target="/xl/sharedStrings.xml" Id="R954086b356624699" /><Relationship Type="http://schemas.openxmlformats.org/officeDocument/2006/relationships/worksheet" Target="/xl/worksheets/sheet1.xml" Id="R27f95b1fec6c47a6" /><Relationship Type="http://schemas.openxmlformats.org/officeDocument/2006/relationships/worksheet" Target="/xl/worksheets/sheet2.xml" Id="Ra195c1cb015b4a00" /><Relationship Type="http://schemas.openxmlformats.org/officeDocument/2006/relationships/worksheet" Target="/xl/worksheets/sheet3.xml" Id="R4a1ce532535b4858" /><Relationship Type="http://schemas.openxmlformats.org/officeDocument/2006/relationships/worksheet" Target="/xl/worksheets/sheet4.xml" Id="Rcca7a5ebe13d42df" /><Relationship Type="http://schemas.openxmlformats.org/officeDocument/2006/relationships/worksheet" Target="/xl/worksheets/sheet5.xml" Id="Rde86f20b4939439a" /><Relationship Type="http://schemas.openxmlformats.org/officeDocument/2006/relationships/worksheet" Target="/xl/worksheets/sheet6.xml" Id="R5e521a53d67e43ba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EEZ772SpeciesTable" displayName="EEZ772SpeciesTable" ref="A1:U30" headerRowCount="1" totalsRowCount="0" totalsRowShown="0">
  <x:autoFilter ref="A1:U30"/>
  <x:tableColumns count="21">
    <x:tableColumn id="1" name="unit_id"/>
    <x:tableColumn id="2" name="region_name"/>
    <x:tableColumn id="3" name="region_type"/>
    <x:tableColumn id="4" name="year"/>
    <x:tableColumn id="5" name="taxon"/>
    <x:tableColumn id="6" name="common_name"/>
    <x:tableColumn id="7" name="functional_group"/>
    <x:tableColumn id="8" name="commercial_group"/>
    <x:tableColumn id="9" name="catch_tonnes"/>
    <x:tableColumn id="10" name="landings_tonnes"/>
    <x:tableColumn id="11" name="discards_tonnes"/>
    <x:tableColumn id="12" name="reported_tonnes"/>
    <x:tableColumn id="13" name="unreported_tonnes"/>
    <x:tableColumn id="14" name="taxon_key"/>
    <x:tableColumn id="15" name="tl"/>
    <x:tableColumn id="16" name="match_method"/>
    <x:tableColumn id="17" name="tl_source"/>
    <x:tableColumn id="18" name="match_confidence"/>
    <x:tableColumn id="19" name="reference_taxon"/>
    <x:tableColumn id="20" name="sppr"/>
    <x:tableColumn id="21" name="ppr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EEZ772CommercialTable" displayName="EEZ772CommercialTable" ref="A1:O6" headerRowCount="1" totalsRowCount="0" totalsRowShown="0">
  <x:autoFilter ref="A1:O6"/>
  <x:tableColumns count="15">
    <x:tableColumn id="1" name="commercial_group"/>
    <x:tableColumn id="2" name="taxon_count_total"/>
    <x:tableColumn id="3" name="taxon_count_matched"/>
    <x:tableColumn id="4" name="catch_tonnes_total"/>
    <x:tableColumn id="5" name="catch_tonnes_matched"/>
    <x:tableColumn id="6" name="catch_tonnes_missing_tl"/>
    <x:tableColumn id="7" name="catch_coverage_fraction"/>
    <x:tableColumn id="8" name="sppr_correct"/>
    <x:tableColumn id="9" name="ppr_correct"/>
    <x:tableColumn id="10" name="tl_weighted_jensen"/>
    <x:tableColumn id="11" name="sppr_jensen"/>
    <x:tableColumn id="12" name="ppr_jensen"/>
    <x:tableColumn id="13" name="jensen_difference"/>
    <x:tableColumn id="14" name="jensen_ratio_correct_to_error"/>
    <x:tableColumn id="15" name="jensen_percent_differenc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EEZ772FunctionalTable" displayName="EEZ772FunctionalTable" ref="A1:O9" headerRowCount="1" totalsRowCount="0" totalsRowShown="0">
  <x:autoFilter ref="A1:O9"/>
  <x:tableColumns count="15">
    <x:tableColumn id="1" name="functional_group"/>
    <x:tableColumn id="2" name="taxon_count_total"/>
    <x:tableColumn id="3" name="taxon_count_matched"/>
    <x:tableColumn id="4" name="catch_tonnes_total"/>
    <x:tableColumn id="5" name="catch_tonnes_matched"/>
    <x:tableColumn id="6" name="catch_tonnes_missing_tl"/>
    <x:tableColumn id="7" name="catch_coverage_fraction"/>
    <x:tableColumn id="8" name="sppr_correct"/>
    <x:tableColumn id="9" name="ppr_correct"/>
    <x:tableColumn id="10" name="tl_weighted_jensen"/>
    <x:tableColumn id="11" name="sppr_jensen"/>
    <x:tableColumn id="12" name="ppr_jensen"/>
    <x:tableColumn id="13" name="jensen_difference"/>
    <x:tableColumn id="14" name="jensen_ratio_correct_to_error"/>
    <x:tableColumn id="15" name="jensen_percent_differenc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EEZ772ValidationTable" displayName="EEZ772ValidationTable" ref="A1:D19" headerRowCount="1" totalsRowCount="0" totalsRowShown="0">
  <x:autoFilter ref="A1:D19"/>
  <x:tableColumns count="4">
    <x:tableColumn id="1" name="unit_id"/>
    <x:tableColumn id="2" name="check"/>
    <x:tableColumn id="3" name="value"/>
    <x:tableColumn id="4" name="uni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f002cb916d04f3a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1612a846b610445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a0b41e6c7e584e7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a6108cdc32354be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3" hidden="0" customWidth="1"/>
    <x:col min="7" max="7" width="30" hidden="0" customWidth="1"/>
    <x:col min="8" max="8" width="24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40" hidden="0" customWidth="1"/>
    <x:col min="18" max="18" width="22" hidden="0" customWidth="1"/>
    <x:col min="19" max="19" width="25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  <x:row r="2" ht="18" customHeight="1">
      <x:c r="A2" s="24" t="str">
        <x:v>EEZ_772</x:v>
      </x:c>
      <x:c r="B2" s="24" t="str">
        <x:v>Tokelau (New Zealand)</x:v>
      </x:c>
      <x:c r="C2" s="24" t="str">
        <x:v>EEZ</x:v>
      </x:c>
      <x:c r="D2" s="30" t="n">
        <x:v>2019</x:v>
      </x:c>
      <x:c r="E2" s="24" t="str">
        <x:v>Katsuwonus pelamis</x:v>
      </x:c>
      <x:c r="F2" s="24" t="str">
        <x:v>Skipjack tuna</x:v>
      </x:c>
      <x:c r="G2" s="24" t="str">
        <x:v>Large pelagics (&gt;=90 cm)</x:v>
      </x:c>
      <x:c r="H2" s="24" t="str">
        <x:v>Tuna &amp; billfishes</x:v>
      </x:c>
      <x:c r="I2" s="31" t="n">
        <x:v>5882.613229495</x:v>
      </x:c>
      <x:c r="J2" s="31" t="n">
        <x:v>5856.981961606</x:v>
      </x:c>
      <x:c r="K2" s="31" t="n">
        <x:v>25.631267889</x:v>
      </x:c>
      <x:c r="L2" s="31" t="n">
        <x:v>5856.981961606</x:v>
      </x:c>
      <x:c r="M2" s="31" t="n">
        <x:v>25.631267889</x:v>
      </x:c>
      <x:c r="N2" s="24" t="str">
        <x:v>katsuwonus pelamis</x:v>
      </x:c>
      <x:c r="O2" s="32" t="n">
        <x:v>4.43</x:v>
      </x:c>
      <x:c r="P2" s="24" t="str">
        <x:v>exact_2020_supplement</x:v>
      </x:c>
      <x:c r="Q2" s="32" t="str">
        <x:v>2020 supplement MeanTL</x:v>
      </x:c>
      <x:c r="R2" s="24" t="str">
        <x:v>high</x:v>
      </x:c>
      <x:c r="S2" s="24" t="str">
        <x:v>Katsuwonus pelamis</x:v>
      </x:c>
      <x:c r="T2" s="32" t="n">
        <x:f>IF(O2="","",(1/'Metadata'!$B$5)^(O2-1))</x:f>
        <x:v>2691.534803926914</x:v>
      </x:c>
      <x:c r="U2" s="31" t="n">
        <x:f>IF(T2="","",I2*T2)</x:f>
        <x:v>15833258.245226694</x:v>
      </x:c>
    </x:row>
    <x:row r="3" ht="18" customHeight="1">
      <x:c r="A3" s="24" t="str">
        <x:v>EEZ_772</x:v>
      </x:c>
      <x:c r="B3" s="24" t="str">
        <x:v>Tokelau (New Zealand)</x:v>
      </x:c>
      <x:c r="C3" s="24" t="str">
        <x:v>EEZ</x:v>
      </x:c>
      <x:c r="D3" s="30" t="n">
        <x:v>2019</x:v>
      </x:c>
      <x:c r="E3" s="24" t="str">
        <x:v>Thunnus albacares</x:v>
      </x:c>
      <x:c r="F3" s="24" t="str">
        <x:v>Yellowfin tuna</x:v>
      </x:c>
      <x:c r="G3" s="24" t="str">
        <x:v>Large pelagics (&gt;=90 cm)</x:v>
      </x:c>
      <x:c r="H3" s="24" t="str">
        <x:v>Tuna &amp; billfishes</x:v>
      </x:c>
      <x:c r="I3" s="31" t="n">
        <x:v>1048.8562370976001</x:v>
      </x:c>
      <x:c r="J3" s="31" t="n">
        <x:v>1043.9582153046001</x:v>
      </x:c>
      <x:c r="K3" s="31" t="n">
        <x:v>4.898021793</x:v>
      </x:c>
      <x:c r="L3" s="31" t="n">
        <x:v>1035.1549750556</x:v>
      </x:c>
      <x:c r="M3" s="31" t="n">
        <x:v>13.701262042</x:v>
      </x:c>
      <x:c r="N3" s="24" t="str">
        <x:v>thunnus albacares</x:v>
      </x:c>
      <x:c r="O3" s="32" t="n">
        <x:v>4.41</x:v>
      </x:c>
      <x:c r="P3" s="24" t="str">
        <x:v>exact_2020_supplement</x:v>
      </x:c>
      <x:c r="Q3" s="32" t="str">
        <x:v>2020 supplement MeanTL</x:v>
      </x:c>
      <x:c r="R3" s="24" t="str">
        <x:v>high</x:v>
      </x:c>
      <x:c r="S3" s="24" t="str">
        <x:v>Thunnus albacares</x:v>
      </x:c>
      <x:c r="T3" s="32" t="n">
        <x:f>IF(O3="","",(1/'Metadata'!$B$5)^(O3-1))</x:f>
        <x:v>2570.3957827688646</x:v>
      </x:c>
      <x:c r="U3" s="31" t="n">
        <x:f>IF(T3="","",I3*T3)</x:f>
        <x:v>2695975.648566492</x:v>
      </x:c>
    </x:row>
    <x:row r="4" ht="18" customHeight="1">
      <x:c r="A4" s="24" t="str">
        <x:v>EEZ_772</x:v>
      </x:c>
      <x:c r="B4" s="24" t="str">
        <x:v>Tokelau (New Zealand)</x:v>
      </x:c>
      <x:c r="C4" s="24" t="str">
        <x:v>EEZ</x:v>
      </x:c>
      <x:c r="D4" s="30" t="n">
        <x:v>2019</x:v>
      </x:c>
      <x:c r="E4" s="24" t="str">
        <x:v>Thunnus alalunga</x:v>
      </x:c>
      <x:c r="F4" s="24" t="str">
        <x:v>Albacore</x:v>
      </x:c>
      <x:c r="G4" s="24" t="str">
        <x:v>Large pelagics (&gt;=90 cm)</x:v>
      </x:c>
      <x:c r="H4" s="24" t="str">
        <x:v>Tuna &amp; billfishes</x:v>
      </x:c>
      <x:c r="I4" s="31" t="n">
        <x:v>936.7201660291</x:v>
      </x:c>
      <x:c r="J4" s="31" t="n">
        <x:v>936.7201660291</x:v>
      </x:c>
      <x:c r="K4" s="31" t="n">
        <x:v>0</x:v>
      </x:c>
      <x:c r="L4" s="31" t="n">
        <x:v>936.7201660291</x:v>
      </x:c>
      <x:c r="M4" s="31" t="n">
        <x:v>0</x:v>
      </x:c>
      <x:c r="N4" s="24" t="str">
        <x:v>thunnus alalunga</x:v>
      </x:c>
      <x:c r="O4" s="32" t="n">
        <x:v>4.3</x:v>
      </x:c>
      <x:c r="P4" s="24" t="str">
        <x:v>exact_2020_supplement</x:v>
      </x:c>
      <x:c r="Q4" s="32" t="str">
        <x:v>2020 supplement MeanTL</x:v>
      </x:c>
      <x:c r="R4" s="24" t="str">
        <x:v>high</x:v>
      </x:c>
      <x:c r="S4" s="24" t="str">
        <x:v>Thunnus alalunga</x:v>
      </x:c>
      <x:c r="T4" s="32" t="n">
        <x:f>IF(O4="","",(1/'Metadata'!$B$5)^(O4-1))</x:f>
        <x:v>1995.2623149688789</x:v>
      </x:c>
      <x:c r="U4" s="31" t="n">
        <x:f>IF(T4="","",I4*T4)</x:f>
        <x:v>1869002.4469492547</x:v>
      </x:c>
    </x:row>
    <x:row r="5" ht="18" customHeight="1">
      <x:c r="A5" s="24" t="str">
        <x:v>EEZ_772</x:v>
      </x:c>
      <x:c r="B5" s="24" t="str">
        <x:v>Tokelau (New Zealand)</x:v>
      </x:c>
      <x:c r="C5" s="24" t="str">
        <x:v>EEZ</x:v>
      </x:c>
      <x:c r="D5" s="30" t="n">
        <x:v>2019</x:v>
      </x:c>
      <x:c r="E5" s="24" t="str">
        <x:v>Marine fishes not identified</x:v>
      </x:c>
      <x:c r="F5" s="24" t="str">
        <x:v>Marine fishes nei</x:v>
      </x:c>
      <x:c r="G5" s="24" t="str">
        <x:v>Medium demersals (30 - 89 cm)</x:v>
      </x:c>
      <x:c r="H5" s="24" t="str">
        <x:v>Other fishes &amp; inverts</x:v>
      </x:c>
      <x:c r="I5" s="31" t="n">
        <x:v>573.1876843746</x:v>
      </x:c>
      <x:c r="J5" s="31" t="n">
        <x:v>260.1730452654</x:v>
      </x:c>
      <x:c r="K5" s="31" t="n">
        <x:v>313.0146391092</x:v>
      </x:c>
      <x:c r="L5" s="31" t="n">
        <x:v>19.4628660174</x:v>
      </x:c>
      <x:c r="M5" s="31" t="n">
        <x:v>553.7248183572</x:v>
      </x:c>
      <x:c r="N5" s="24" t="str">
        <x:v>marine fishes not identified</x:v>
      </x:c>
      <x:c r="O5" s="32" t="n">
        <x:v>3.28</x:v>
      </x:c>
      <x:c r="P5" s="24" t="str">
        <x:v>exact_sea_around_us</x:v>
      </x:c>
      <x:c r="Q5" s="32" t="str">
        <x:v>Sea Around Us exploited organisms</x:v>
      </x:c>
      <x:c r="R5" s="24" t="str">
        <x:v>high</x:v>
      </x:c>
      <x:c r="S5" s="24" t="str">
        <x:v>Marine fishes not identified</x:v>
      </x:c>
      <x:c r="T5" s="32" t="n">
        <x:f>IF(O5="","",(1/'Metadata'!$B$5)^(O5-1))</x:f>
        <x:v>190.54607179632464</x:v>
      </x:c>
      <x:c r="U5" s="31" t="n">
        <x:f>IF(T5="","",I5*T5)</x:f>
        <x:v>109218.66165961161</x:v>
      </x:c>
    </x:row>
    <x:row r="6" ht="18" customHeight="1">
      <x:c r="A6" s="24" t="str">
        <x:v>EEZ_772</x:v>
      </x:c>
      <x:c r="B6" s="24" t="str">
        <x:v>Tokelau (New Zealand)</x:v>
      </x:c>
      <x:c r="C6" s="24" t="str">
        <x:v>EEZ</x:v>
      </x:c>
      <x:c r="D6" s="30" t="n">
        <x:v>2019</x:v>
      </x:c>
      <x:c r="E6" s="24" t="str">
        <x:v>Thunnus obesus</x:v>
      </x:c>
      <x:c r="F6" s="24" t="str">
        <x:v>Bigeye tuna</x:v>
      </x:c>
      <x:c r="G6" s="24" t="str">
        <x:v>Large pelagics (&gt;=90 cm)</x:v>
      </x:c>
      <x:c r="H6" s="24" t="str">
        <x:v>Tuna &amp; billfishes</x:v>
      </x:c>
      <x:c r="I6" s="31" t="n">
        <x:v>433.8835835517</x:v>
      </x:c>
      <x:c r="J6" s="31" t="n">
        <x:v>423.8868928258</x:v>
      </x:c>
      <x:c r="K6" s="31" t="n">
        <x:v>9.996690725899999</x:v>
      </x:c>
      <x:c r="L6" s="31" t="n">
        <x:v>395.3647312928</x:v>
      </x:c>
      <x:c r="M6" s="31" t="n">
        <x:v>38.5188522589</x:v>
      </x:c>
      <x:c r="N6" s="24" t="str">
        <x:v>thunnus obesus</x:v>
      </x:c>
      <x:c r="O6" s="32" t="n">
        <x:v>4.49</x:v>
      </x:c>
      <x:c r="P6" s="24" t="str">
        <x:v>exact_2020_supplement</x:v>
      </x:c>
      <x:c r="Q6" s="32" t="str">
        <x:v>2020 supplement MeanTL</x:v>
      </x:c>
      <x:c r="R6" s="24" t="str">
        <x:v>high</x:v>
      </x:c>
      <x:c r="S6" s="24" t="str">
        <x:v>Thunnus obesus</x:v>
      </x:c>
      <x:c r="T6" s="32" t="n">
        <x:f>IF(O6="","",(1/'Metadata'!$B$5)^(O6-1))</x:f>
        <x:v>3090.295432513592</x:v>
      </x:c>
      <x:c r="U6" s="31" t="n">
        <x:f>IF(T6="","",I6*T6)</x:f>
        <x:v>1340828.456492448</x:v>
      </x:c>
    </x:row>
    <x:row r="7" ht="18" customHeight="1">
      <x:c r="A7" s="24" t="str">
        <x:v>EEZ_772</x:v>
      </x:c>
      <x:c r="B7" s="24" t="str">
        <x:v>Tokelau (New Zealand)</x:v>
      </x:c>
      <x:c r="C7" s="24" t="str">
        <x:v>EEZ</x:v>
      </x:c>
      <x:c r="D7" s="30" t="n">
        <x:v>2019</x:v>
      </x:c>
      <x:c r="E7" s="24" t="str">
        <x:v>Prionace glauca</x:v>
      </x:c>
      <x:c r="F7" s="24" t="str">
        <x:v>Blue shark</x:v>
      </x:c>
      <x:c r="G7" s="24" t="str">
        <x:v>Large sharks (&gt;=90 cm)</x:v>
      </x:c>
      <x:c r="H7" s="24" t="str">
        <x:v>Sharks &amp; rays</x:v>
      </x:c>
      <x:c r="I7" s="31" t="n">
        <x:v>375.6767128217</x:v>
      </x:c>
      <x:c r="J7" s="31" t="n">
        <x:v>82.04272117010001</x:v>
      </x:c>
      <x:c r="K7" s="31" t="n">
        <x:v>293.6339916516</x:v>
      </x:c>
      <x:c r="L7" s="31" t="n">
        <x:v>82.04272117010001</x:v>
      </x:c>
      <x:c r="M7" s="31" t="n">
        <x:v>293.6339916516</x:v>
      </x:c>
      <x:c r="N7" s="24" t="str">
        <x:v>prionace glauca</x:v>
      </x:c>
      <x:c r="O7" s="32" t="n">
        <x:v>4.35</x:v>
      </x:c>
      <x:c r="P7" s="24" t="str">
        <x:v>exact_2020_supplement</x:v>
      </x:c>
      <x:c r="Q7" s="32" t="str">
        <x:v>2020 supplement MeanTL</x:v>
      </x:c>
      <x:c r="R7" s="24" t="str">
        <x:v>high</x:v>
      </x:c>
      <x:c r="S7" s="24" t="str">
        <x:v>Prionace glauca</x:v>
      </x:c>
      <x:c r="T7" s="32" t="n">
        <x:f>IF(O7="","",(1/'Metadata'!$B$5)^(O7-1))</x:f>
        <x:v>2238.7211385683377</x:v>
      </x:c>
      <x:c r="U7" s="31" t="n">
        <x:f>IF(T7="","",I7*T7)</x:f>
        <x:v>841035.3982618066</x:v>
      </x:c>
    </x:row>
    <x:row r="8" ht="18" customHeight="1">
      <x:c r="A8" s="24" t="str">
        <x:v>EEZ_772</x:v>
      </x:c>
      <x:c r="B8" s="24" t="str">
        <x:v>Tokelau (New Zealand)</x:v>
      </x:c>
      <x:c r="C8" s="24" t="str">
        <x:v>EEZ</x:v>
      </x:c>
      <x:c r="D8" s="30" t="n">
        <x:v>2019</x:v>
      </x:c>
      <x:c r="E8" s="24" t="str">
        <x:v>Scombridae</x:v>
      </x:c>
      <x:c r="F8" s="24" t="str">
        <x:v>Mackerels, tunas, bonitos</x:v>
      </x:c>
      <x:c r="G8" s="24" t="str">
        <x:v>Medium pelagics (30 - 89 cm)</x:v>
      </x:c>
      <x:c r="H8" s="24" t="str">
        <x:v>Perch-likes</x:v>
      </x:c>
      <x:c r="I8" s="31" t="n">
        <x:v>109.0965950141</x:v>
      </x:c>
      <x:c r="J8" s="31" t="n">
        <x:v>0.4003659618</x:v>
      </x:c>
      <x:c r="K8" s="31" t="n">
        <x:v>108.6962290523</x:v>
      </x:c>
      <x:c r="L8" s="31" t="n">
        <x:v>0.4003659618</x:v>
      </x:c>
      <x:c r="M8" s="31" t="n">
        <x:v>108.6962290523</x:v>
      </x:c>
      <x:c r="N8" s="24" t="str">
        <x:v>scombridae</x:v>
      </x:c>
      <x:c r="O8" s="32" t="n">
        <x:v>4.26</x:v>
      </x:c>
      <x:c r="P8" s="24" t="str">
        <x:v>exact_sea_around_us</x:v>
      </x:c>
      <x:c r="Q8" s="32" t="str">
        <x:v>Sea Around Us exploited organisms</x:v>
      </x:c>
      <x:c r="R8" s="24" t="str">
        <x:v>high</x:v>
      </x:c>
      <x:c r="S8" s="24" t="str">
        <x:v>Scombridae</x:v>
      </x:c>
      <x:c r="T8" s="32" t="n">
        <x:f>IF(O8="","",(1/'Metadata'!$B$5)^(O8-1))</x:f>
        <x:v>1819.7008586099826</x:v>
      </x:c>
      <x:c r="U8" s="31" t="n">
        <x:f>IF(T8="","",I8*T8)</x:f>
        <x:v>198523.1676185833</x:v>
      </x:c>
    </x:row>
    <x:row r="9" ht="18" customHeight="1">
      <x:c r="A9" s="24" t="str">
        <x:v>EEZ_772</x:v>
      </x:c>
      <x:c r="B9" s="24" t="str">
        <x:v>Tokelau (New Zealand)</x:v>
      </x:c>
      <x:c r="C9" s="24" t="str">
        <x:v>EEZ</x:v>
      </x:c>
      <x:c r="D9" s="30" t="n">
        <x:v>2019</x:v>
      </x:c>
      <x:c r="E9" s="24" t="str">
        <x:v>Coryphaena hippurus</x:v>
      </x:c>
      <x:c r="F9" s="24" t="str">
        <x:v>Common dolphinfish</x:v>
      </x:c>
      <x:c r="G9" s="24" t="str">
        <x:v>Large pelagics (&gt;=90 cm)</x:v>
      </x:c>
      <x:c r="H9" s="24" t="str">
        <x:v>Perch-likes</x:v>
      </x:c>
      <x:c r="I9" s="31" t="n">
        <x:v>96.8963108985</x:v>
      </x:c>
      <x:c r="J9" s="31" t="n">
        <x:v>6.853251425</x:v>
      </x:c>
      <x:c r="K9" s="31" t="n">
        <x:v>90.0430594735</x:v>
      </x:c>
      <x:c r="L9" s="31" t="n">
        <x:v>0.152019093</x:v>
      </x:c>
      <x:c r="M9" s="31" t="n">
        <x:v>96.7442918055</x:v>
      </x:c>
      <x:c r="N9" s="24" t="str">
        <x:v>coryphaena hippurus</x:v>
      </x:c>
      <x:c r="O9" s="32" t="n">
        <x:v>4.37</x:v>
      </x:c>
      <x:c r="P9" s="24" t="str">
        <x:v>exact_2020_supplement</x:v>
      </x:c>
      <x:c r="Q9" s="32" t="str">
        <x:v>2020 supplement MeanTL</x:v>
      </x:c>
      <x:c r="R9" s="24" t="str">
        <x:v>high</x:v>
      </x:c>
      <x:c r="S9" s="24" t="str">
        <x:v>Coryphaena hippurus</x:v>
      </x:c>
      <x:c r="T9" s="32" t="n">
        <x:f>IF(O9="","",(1/'Metadata'!$B$5)^(O9-1))</x:f>
        <x:v>2344.228815319923</x:v>
      </x:c>
      <x:c r="U9" s="31" t="n">
        <x:f>IF(T9="","",I9*T9)</x:f>
        <x:v>227147.1241064616</x:v>
      </x:c>
    </x:row>
    <x:row r="10" ht="18" customHeight="1">
      <x:c r="A10" s="24" t="str">
        <x:v>EEZ_772</x:v>
      </x:c>
      <x:c r="B10" s="24" t="str">
        <x:v>Tokelau (New Zealand)</x:v>
      </x:c>
      <x:c r="C10" s="24" t="str">
        <x:v>EEZ</x:v>
      </x:c>
      <x:c r="D10" s="30" t="n">
        <x:v>2019</x:v>
      </x:c>
      <x:c r="E10" s="24" t="str">
        <x:v>Marine pelagic fishes not identified</x:v>
      </x:c>
      <x:c r="F10" s="24" t="str">
        <x:v>Pelagic fishes</x:v>
      </x:c>
      <x:c r="G10" s="24" t="str">
        <x:v>Medium pelagics (30 - 89 cm)</x:v>
      </x:c>
      <x:c r="H10" s="24" t="str">
        <x:v>Other fishes &amp; inverts</x:v>
      </x:c>
      <x:c r="I10" s="31" t="n">
        <x:v>61.8271540048</x:v>
      </x:c>
      <x:c r="J10" s="31" t="n">
        <x:v>44.787560673499996</x:v>
      </x:c>
      <x:c r="K10" s="31" t="n">
        <x:v>17.0395933313</x:v>
      </x:c>
      <x:c r="L10" s="31" t="n">
        <x:v>44.787560673499996</x:v>
      </x:c>
      <x:c r="M10" s="31" t="n">
        <x:v>17.0395933313</x:v>
      </x:c>
      <x:c r="N10" s="24" t="str">
        <x:v>marine pelagic fishes not identified</x:v>
      </x:c>
      <x:c r="O10" s="32" t="n">
        <x:v>3.35</x:v>
      </x:c>
      <x:c r="P10" s="24" t="str">
        <x:v>exact_sea_around_us</x:v>
      </x:c>
      <x:c r="Q10" s="32" t="str">
        <x:v>Sea Around Us exploited organisms</x:v>
      </x:c>
      <x:c r="R10" s="24" t="str">
        <x:v>high</x:v>
      </x:c>
      <x:c r="S10" s="24" t="str">
        <x:v>Marine pelagic fishes not identified</x:v>
      </x:c>
      <x:c r="T10" s="32" t="n">
        <x:f>IF(O10="","",(1/'Metadata'!$B$5)^(O10-1))</x:f>
        <x:v>223.872113856834</x:v>
      </x:c>
      <x:c r="U10" s="31" t="n">
        <x:f>IF(T10="","",I10*T10)</x:f>
        <x:v>13841.375660806596</x:v>
      </x:c>
    </x:row>
    <x:row r="11" ht="18" customHeight="1">
      <x:c r="A11" s="24" t="str">
        <x:v>EEZ_772</x:v>
      </x:c>
      <x:c r="B11" s="24" t="str">
        <x:v>Tokelau (New Zealand)</x:v>
      </x:c>
      <x:c r="C11" s="24" t="str">
        <x:v>EEZ</x:v>
      </x:c>
      <x:c r="D11" s="30" t="n">
        <x:v>2019</x:v>
      </x:c>
      <x:c r="E11" s="24" t="str">
        <x:v>Carangidae</x:v>
      </x:c>
      <x:c r="F11" s="24" t="str">
        <x:v>Jacks, pompanos</x:v>
      </x:c>
      <x:c r="G11" s="24" t="str">
        <x:v>Medium pelagics (30 - 89 cm)</x:v>
      </x:c>
      <x:c r="H11" s="24" t="str">
        <x:v>Perch-likes</x:v>
      </x:c>
      <x:c r="I11" s="31" t="n">
        <x:v>57.98602744</x:v>
      </x:c>
      <x:c r="J11" s="31" t="n">
        <x:v>33.333662551</x:v>
      </x:c>
      <x:c r="K11" s="31" t="n">
        <x:v>24.652364889</x:v>
      </x:c>
      <x:c r="L11" s="31" t="n">
        <x:v>0.739965082</x:v>
      </x:c>
      <x:c r="M11" s="31" t="n">
        <x:v>57.246062358</x:v>
      </x:c>
      <x:c r="N11" s="24" t="str">
        <x:v>carangidae</x:v>
      </x:c>
      <x:c r="O11" s="32" t="n">
        <x:v>4.05</x:v>
      </x:c>
      <x:c r="P11" s="24" t="str">
        <x:v>exact_sea_around_us</x:v>
      </x:c>
      <x:c r="Q11" s="32" t="str">
        <x:v>Sea Around Us exploited organisms</x:v>
      </x:c>
      <x:c r="R11" s="24" t="str">
        <x:v>high</x:v>
      </x:c>
      <x:c r="S11" s="24" t="str">
        <x:v>Carangidae</x:v>
      </x:c>
      <x:c r="T11" s="32" t="n">
        <x:f>IF(O11="","",(1/'Metadata'!$B$5)^(O11-1))</x:f>
        <x:v>1122.018454301963</x:v>
      </x:c>
      <x:c r="U11" s="31" t="n">
        <x:f>IF(T11="","",I11*T11)</x:f>
        <x:v>65061.39287934001</x:v>
      </x:c>
    </x:row>
    <x:row r="12" ht="18" customHeight="1">
      <x:c r="A12" s="24" t="str">
        <x:v>EEZ_772</x:v>
      </x:c>
      <x:c r="B12" s="24" t="str">
        <x:v>Tokelau (New Zealand)</x:v>
      </x:c>
      <x:c r="C12" s="24" t="str">
        <x:v>EEZ</x:v>
      </x:c>
      <x:c r="D12" s="30" t="n">
        <x:v>2019</x:v>
      </x:c>
      <x:c r="E12" s="24" t="str">
        <x:v>Isurus</x:v>
      </x:c>
      <x:c r="F12" s="24" t="str">
        <x:v>Mako sharks</x:v>
      </x:c>
      <x:c r="G12" s="24" t="str">
        <x:v>Large sharks (&gt;=90 cm)</x:v>
      </x:c>
      <x:c r="H12" s="24" t="str">
        <x:v>Sharks &amp; rays</x:v>
      </x:c>
      <x:c r="I12" s="31" t="n">
        <x:v>48.0376376575</x:v>
      </x:c>
      <x:c r="J12" s="31" t="n">
        <x:v>8.4804289691</x:v>
      </x:c>
      <x:c r="K12" s="31" t="n">
        <x:v>39.557208688399996</x:v>
      </x:c>
      <x:c r="L12" s="31" t="n">
        <x:v>8.4804289691</x:v>
      </x:c>
      <x:c r="M12" s="31" t="n">
        <x:v>39.557208688399996</x:v>
      </x:c>
      <x:c r="N12" s="24" t="str">
        <x:v>isurus</x:v>
      </x:c>
      <x:c r="O12" s="32" t="n">
        <x:v>4.5</x:v>
      </x:c>
      <x:c r="P12" s="24" t="str">
        <x:v>exact_sea_around_us</x:v>
      </x:c>
      <x:c r="Q12" s="32" t="str">
        <x:v>Sea Around Us exploited organisms</x:v>
      </x:c>
      <x:c r="R12" s="24" t="str">
        <x:v>high</x:v>
      </x:c>
      <x:c r="S12" s="24" t="str">
        <x:v>Isurus</x:v>
      </x:c>
      <x:c r="T12" s="32" t="n">
        <x:f>IF(O12="","",(1/'Metadata'!$B$5)^(O12-1))</x:f>
        <x:v>3162.2776601683795</x:v>
      </x:c>
      <x:c r="U12" s="31" t="n">
        <x:f>IF(T12="","",I12*T12)</x:f>
        <x:v>151908.34841157554</x:v>
      </x:c>
    </x:row>
    <x:row r="13" ht="18" customHeight="1">
      <x:c r="A13" s="24" t="str">
        <x:v>EEZ_772</x:v>
      </x:c>
      <x:c r="B13" s="24" t="str">
        <x:v>Tokelau (New Zealand)</x:v>
      </x:c>
      <x:c r="C13" s="24" t="str">
        <x:v>EEZ</x:v>
      </x:c>
      <x:c r="D13" s="30" t="n">
        <x:v>2019</x:v>
      </x:c>
      <x:c r="E13" s="24" t="str">
        <x:v>Xiphias gladius</x:v>
      </x:c>
      <x:c r="F13" s="24" t="str">
        <x:v>Swordfish</x:v>
      </x:c>
      <x:c r="G13" s="24" t="str">
        <x:v>Large pelagics (&gt;=90 cm)</x:v>
      </x:c>
      <x:c r="H13" s="24" t="str">
        <x:v>Tuna &amp; billfishes</x:v>
      </x:c>
      <x:c r="I13" s="31" t="n">
        <x:v>47.501251766100005</x:v>
      </x:c>
      <x:c r="J13" s="31" t="n">
        <x:v>9.6390045991</x:v>
      </x:c>
      <x:c r="K13" s="31" t="n">
        <x:v>37.862247167</x:v>
      </x:c>
      <x:c r="L13" s="31" t="n">
        <x:v>9.6390045991</x:v>
      </x:c>
      <x:c r="M13" s="31" t="n">
        <x:v>37.862247167</x:v>
      </x:c>
      <x:c r="N13" s="24" t="str">
        <x:v>xiphias gladius</x:v>
      </x:c>
      <x:c r="O13" s="32" t="n">
        <x:v>4.53</x:v>
      </x:c>
      <x:c r="P13" s="24" t="str">
        <x:v>exact_2020_supplement</x:v>
      </x:c>
      <x:c r="Q13" s="32" t="str">
        <x:v>2020 supplement MeanTL</x:v>
      </x:c>
      <x:c r="R13" s="24" t="str">
        <x:v>high</x:v>
      </x:c>
      <x:c r="S13" s="24" t="str">
        <x:v>Xiphias gladius</x:v>
      </x:c>
      <x:c r="T13" s="32" t="n">
        <x:f>IF(O13="","",(1/'Metadata'!$B$5)^(O13-1))</x:f>
        <x:v>3388.4415613920273</x:v>
      </x:c>
      <x:c r="U13" s="31" t="n">
        <x:f>IF(T13="","",I13*T13)</x:f>
        <x:v>160955.2157023997</x:v>
      </x:c>
    </x:row>
    <x:row r="14" ht="18" customHeight="1">
      <x:c r="A14" s="24" t="str">
        <x:v>EEZ_772</x:v>
      </x:c>
      <x:c r="B14" s="24" t="str">
        <x:v>Tokelau (New Zealand)</x:v>
      </x:c>
      <x:c r="C14" s="24" t="str">
        <x:v>EEZ</x:v>
      </x:c>
      <x:c r="D14" s="30" t="n">
        <x:v>2019</x:v>
      </x:c>
      <x:c r="E14" s="24" t="str">
        <x:v>Acanthocybium solandri</x:v>
      </x:c>
      <x:c r="F14" s="24" t="str">
        <x:v>Wahoo</x:v>
      </x:c>
      <x:c r="G14" s="24" t="str">
        <x:v>Large pelagics (&gt;=90 cm)</x:v>
      </x:c>
      <x:c r="H14" s="24" t="str">
        <x:v>Perch-likes</x:v>
      </x:c>
      <x:c r="I14" s="31" t="n">
        <x:v>38.3650103979</x:v>
      </x:c>
      <x:c r="J14" s="31" t="n">
        <x:v>21.757609316</x:v>
      </x:c>
      <x:c r="K14" s="31" t="n">
        <x:v>16.6074010819</x:v>
      </x:c>
      <x:c r="L14" s="31" t="n">
        <x:v>2.487340486</x:v>
      </x:c>
      <x:c r="M14" s="31" t="n">
        <x:v>35.8776699119</x:v>
      </x:c>
      <x:c r="N14" s="24" t="str">
        <x:v>acanthocybium solandri</x:v>
      </x:c>
      <x:c r="O14" s="32" t="n">
        <x:v>4.26</x:v>
      </x:c>
      <x:c r="P14" s="24" t="str">
        <x:v>exact_2020_supplement</x:v>
      </x:c>
      <x:c r="Q14" s="32" t="str">
        <x:v>2020 supplement MeanTL</x:v>
      </x:c>
      <x:c r="R14" s="24" t="str">
        <x:v>high</x:v>
      </x:c>
      <x:c r="S14" s="24" t="str">
        <x:v>Acanthocybium solandri</x:v>
      </x:c>
      <x:c r="T14" s="32" t="n">
        <x:f>IF(O14="","",(1/'Metadata'!$B$5)^(O14-1))</x:f>
        <x:v>1819.7008586099826</x:v>
      </x:c>
      <x:c r="U14" s="31" t="n">
        <x:f>IF(T14="","",I14*T14)</x:f>
        <x:v>69812.84236163954</x:v>
      </x:c>
    </x:row>
    <x:row r="15" ht="18" customHeight="1">
      <x:c r="A15" s="24" t="str">
        <x:v>EEZ_772</x:v>
      </x:c>
      <x:c r="B15" s="24" t="str">
        <x:v>Tokelau (New Zealand)</x:v>
      </x:c>
      <x:c r="C15" s="24" t="str">
        <x:v>EEZ</x:v>
      </x:c>
      <x:c r="D15" s="30" t="n">
        <x:v>2019</x:v>
      </x:c>
      <x:c r="E15" s="24" t="str">
        <x:v>Istiophoridae</x:v>
      </x:c>
      <x:c r="F15" s="24" t="str">
        <x:v>Billfishes</x:v>
      </x:c>
      <x:c r="G15" s="24" t="str">
        <x:v>Large pelagics (&gt;=90 cm)</x:v>
      </x:c>
      <x:c r="H15" s="24" t="str">
        <x:v>Tuna &amp; billfishes</x:v>
      </x:c>
      <x:c r="I15" s="31" t="n">
        <x:v>26.9077301609</x:v>
      </x:c>
      <x:c r="J15" s="31" t="n">
        <x:v>0</x:v>
      </x:c>
      <x:c r="K15" s="31" t="n">
        <x:v>26.9077301609</x:v>
      </x:c>
      <x:c r="L15" s="31" t="n">
        <x:v>0</x:v>
      </x:c>
      <x:c r="M15" s="31" t="n">
        <x:v>26.9077301609</x:v>
      </x:c>
      <x:c r="N15" s="24" t="str">
        <x:v>istiophoridae</x:v>
      </x:c>
      <x:c r="O15" s="32" t="n">
        <x:v>4.48</x:v>
      </x:c>
      <x:c r="P15" s="24" t="str">
        <x:v>exact_sea_around_us</x:v>
      </x:c>
      <x:c r="Q15" s="32" t="str">
        <x:v>Sea Around Us exploited organisms</x:v>
      </x:c>
      <x:c r="R15" s="24" t="str">
        <x:v>high</x:v>
      </x:c>
      <x:c r="S15" s="24" t="str">
        <x:v>Istiophoridae</x:v>
      </x:c>
      <x:c r="T15" s="32" t="n">
        <x:f>IF(O15="","",(1/'Metadata'!$B$5)^(O15-1))</x:f>
        <x:v>3019.951720402019</x:v>
      </x:c>
      <x:c r="U15" s="31" t="n">
        <x:f>IF(T15="","",I15*T15)</x:f>
        <x:v>81260.04599152325</x:v>
      </x:c>
    </x:row>
    <x:row r="16" ht="18" customHeight="1">
      <x:c r="A16" s="24" t="str">
        <x:v>EEZ_772</x:v>
      </x:c>
      <x:c r="B16" s="24" t="str">
        <x:v>Tokelau (New Zealand)</x:v>
      </x:c>
      <x:c r="C16" s="24" t="str">
        <x:v>EEZ</x:v>
      </x:c>
      <x:c r="D16" s="30" t="n">
        <x:v>2019</x:v>
      </x:c>
      <x:c r="E16" s="24" t="str">
        <x:v>Carcharhinus longimanus</x:v>
      </x:c>
      <x:c r="F16" s="24" t="str">
        <x:v>Oceanic whitetip shark</x:v>
      </x:c>
      <x:c r="G16" s="24" t="str">
        <x:v>Large sharks (&gt;=90 cm)</x:v>
      </x:c>
      <x:c r="H16" s="24" t="str">
        <x:v>Sharks &amp; rays</x:v>
      </x:c>
      <x:c r="I16" s="31" t="n">
        <x:v>17.2730380201</x:v>
      </x:c>
      <x:c r="J16" s="31" t="n">
        <x:v>6.1324703902</x:v>
      </x:c>
      <x:c r="K16" s="31" t="n">
        <x:v>11.1405676299</x:v>
      </x:c>
      <x:c r="L16" s="31" t="n">
        <x:v>6.1324703902</x:v>
      </x:c>
      <x:c r="M16" s="31" t="n">
        <x:v>11.1405676299</x:v>
      </x:c>
      <x:c r="N16" s="24" t="str">
        <x:v>carcharhinus longimanus</x:v>
      </x:c>
      <x:c r="O16" s="32" t="n">
        <x:v>4.16</x:v>
      </x:c>
      <x:c r="P16" s="24" t="str">
        <x:v>exact_2020_supplement</x:v>
      </x:c>
      <x:c r="Q16" s="32" t="str">
        <x:v>2020 supplement MeanTL</x:v>
      </x:c>
      <x:c r="R16" s="24" t="str">
        <x:v>high</x:v>
      </x:c>
      <x:c r="S16" s="24" t="str">
        <x:v>Carcharhinus longimanus</x:v>
      </x:c>
      <x:c r="T16" s="32" t="n">
        <x:f>IF(O16="","",(1/'Metadata'!$B$5)^(O16-1))</x:f>
        <x:v>1445.439770745928</x:v>
      </x:c>
      <x:c r="U16" s="31" t="n">
        <x:f>IF(T16="","",I16*T16)</x:f>
        <x:v>24967.13611585904</x:v>
      </x:c>
    </x:row>
    <x:row r="17" ht="18" customHeight="1">
      <x:c r="A17" s="24" t="str">
        <x:v>EEZ_772</x:v>
      </x:c>
      <x:c r="B17" s="24" t="str">
        <x:v>Tokelau (New Zealand)</x:v>
      </x:c>
      <x:c r="C17" s="24" t="str">
        <x:v>EEZ</x:v>
      </x:c>
      <x:c r="D17" s="30" t="n">
        <x:v>2019</x:v>
      </x:c>
      <x:c r="E17" s="24" t="str">
        <x:v>Acanthuridae</x:v>
      </x:c>
      <x:c r="F17" s="24" t="str">
        <x:v>Surgeons, tangs, unicornfishes</x:v>
      </x:c>
      <x:c r="G17" s="24" t="str">
        <x:v>Small reef assoc. fish (&lt;30 cm)</x:v>
      </x:c>
      <x:c r="H17" s="24" t="str">
        <x:v>Perch-likes</x:v>
      </x:c>
      <x:c r="I17" s="31" t="n">
        <x:v>16.655908949</x:v>
      </x:c>
      <x:c r="J17" s="31" t="n">
        <x:v>16.655908949</x:v>
      </x:c>
      <x:c r="K17" s="31" t="n">
        <x:v>0</x:v>
      </x:c>
      <x:c r="L17" s="31" t="n">
        <x:v>0.369982541</x:v>
      </x:c>
      <x:c r="M17" s="31" t="n">
        <x:v>16.285926408</x:v>
      </x:c>
      <x:c r="N17" s="24" t="str">
        <x:v>acanthuridae</x:v>
      </x:c>
      <x:c r="O17" s="32" t="n">
        <x:v>2.28</x:v>
      </x:c>
      <x:c r="P17" s="24" t="str">
        <x:v>exact_sea_around_us</x:v>
      </x:c>
      <x:c r="Q17" s="32" t="str">
        <x:v>Sea Around Us exploited organisms</x:v>
      </x:c>
      <x:c r="R17" s="24" t="str">
        <x:v>high</x:v>
      </x:c>
      <x:c r="S17" s="24" t="str">
        <x:v>Acanthuridae</x:v>
      </x:c>
      <x:c r="T17" s="32" t="n">
        <x:f>IF(O17="","",(1/'Metadata'!$B$5)^(O17-1))</x:f>
        <x:v>19.054607179632463</x:v>
      </x:c>
      <x:c r="U17" s="31" t="n">
        <x:f>IF(T17="","",I17*T17)</x:f>
        <x:v>317.37180224292</x:v>
      </x:c>
    </x:row>
    <x:row r="18" ht="18" customHeight="1">
      <x:c r="A18" s="24" t="str">
        <x:v>EEZ_772</x:v>
      </x:c>
      <x:c r="B18" s="24" t="str">
        <x:v>Tokelau (New Zealand)</x:v>
      </x:c>
      <x:c r="C18" s="24" t="str">
        <x:v>EEZ</x:v>
      </x:c>
      <x:c r="D18" s="30" t="n">
        <x:v>2019</x:v>
      </x:c>
      <x:c r="E18" s="24" t="str">
        <x:v>Mugilidae</x:v>
      </x:c>
      <x:c r="F18" s="24" t="str">
        <x:v>Mullets, grey mullets</x:v>
      </x:c>
      <x:c r="G18" s="24" t="str">
        <x:v>Medium reef assoc. fish (30 - 89 cm)</x:v>
      </x:c>
      <x:c r="H18" s="24" t="str">
        <x:v>Perch-likes</x:v>
      </x:c>
      <x:c r="I18" s="31" t="n">
        <x:v>16.655908949</x:v>
      </x:c>
      <x:c r="J18" s="31" t="n">
        <x:v>16.655908949</x:v>
      </x:c>
      <x:c r="K18" s="31" t="n">
        <x:v>0</x:v>
      </x:c>
      <x:c r="L18" s="31" t="n">
        <x:v>0.369982541</x:v>
      </x:c>
      <x:c r="M18" s="31" t="n">
        <x:v>16.285926408</x:v>
      </x:c>
      <x:c r="N18" s="24" t="str">
        <x:v>mugilidae</x:v>
      </x:c>
      <x:c r="O18" s="32" t="n">
        <x:v>2.53</x:v>
      </x:c>
      <x:c r="P18" s="24" t="str">
        <x:v>exact_sea_around_us</x:v>
      </x:c>
      <x:c r="Q18" s="32" t="str">
        <x:v>Sea Around Us exploited organisms</x:v>
      </x:c>
      <x:c r="R18" s="24" t="str">
        <x:v>high</x:v>
      </x:c>
      <x:c r="S18" s="24" t="str">
        <x:v>Mugilidae</x:v>
      </x:c>
      <x:c r="T18" s="32" t="n">
        <x:f>IF(O18="","",(1/'Metadata'!$B$5)^(O18-1))</x:f>
        <x:v>33.88441561392024</x:v>
      </x:c>
      <x:c r="U18" s="31" t="n">
        <x:f>IF(T18="","",I18*T18)</x:f>
        <x:v>564.3757412555294</x:v>
      </x:c>
    </x:row>
    <x:row r="19" ht="18" customHeight="1">
      <x:c r="A19" s="24" t="str">
        <x:v>EEZ_772</x:v>
      </x:c>
      <x:c r="B19" s="24" t="str">
        <x:v>Tokelau (New Zealand)</x:v>
      </x:c>
      <x:c r="C19" s="24" t="str">
        <x:v>EEZ</x:v>
      </x:c>
      <x:c r="D19" s="30" t="n">
        <x:v>2019</x:v>
      </x:c>
      <x:c r="E19" s="24" t="str">
        <x:v>Elasmobranchii</x:v>
      </x:c>
      <x:c r="F19" s="24" t="str">
        <x:v>Sharks, rays, skates</x:v>
      </x:c>
      <x:c r="G19" s="24" t="str">
        <x:v>Large sharks (&gt;=90 cm)</x:v>
      </x:c>
      <x:c r="H19" s="24" t="str">
        <x:v>Sharks &amp; rays</x:v>
      </x:c>
      <x:c r="I19" s="31" t="n">
        <x:v>11.7479226173</x:v>
      </x:c>
      <x:c r="J19" s="31" t="n">
        <x:v>2.5374023551000002</x:v>
      </x:c>
      <x:c r="K19" s="31" t="n">
        <x:v>9.2105202622</x:v>
      </x:c>
      <x:c r="L19" s="31" t="n">
        <x:v>2.5374023551000002</x:v>
      </x:c>
      <x:c r="M19" s="31" t="n">
        <x:v>9.2105202622</x:v>
      </x:c>
      <x:c r="N19" s="24" t="str">
        <x:v>elasmobranchii</x:v>
      </x:c>
      <x:c r="O19" s="32" t="n">
        <x:v>4.05</x:v>
      </x:c>
      <x:c r="P19" s="24" t="str">
        <x:v>exact_sea_around_us</x:v>
      </x:c>
      <x:c r="Q19" s="32" t="str">
        <x:v>Sea Around Us exploited organisms</x:v>
      </x:c>
      <x:c r="R19" s="24" t="str">
        <x:v>high</x:v>
      </x:c>
      <x:c r="S19" s="24" t="str">
        <x:v>Elasmobranchii</x:v>
      </x:c>
      <x:c r="T19" s="32" t="n">
        <x:f>IF(O19="","",(1/'Metadata'!$B$5)^(O19-1))</x:f>
        <x:v>1122.018454301963</x:v>
      </x:c>
      <x:c r="U19" s="31" t="n">
        <x:f>IF(T19="","",I19*T19)</x:f>
        <x:v>13181.385976322017</x:v>
      </x:c>
    </x:row>
    <x:row r="20" ht="18" customHeight="1">
      <x:c r="A20" s="24" t="str">
        <x:v>EEZ_772</x:v>
      </x:c>
      <x:c r="B20" s="24" t="str">
        <x:v>Tokelau (New Zealand)</x:v>
      </x:c>
      <x:c r="C20" s="24" t="str">
        <x:v>EEZ</x:v>
      </x:c>
      <x:c r="D20" s="30" t="n">
        <x:v>2019</x:v>
      </x:c>
      <x:c r="E20" s="24" t="str">
        <x:v>Miscellaneous aquatic invertebrates</x:v>
      </x:c>
      <x:c r="F20" s="24" t="str">
        <x:v>Aquatic invertebrates</x:v>
      </x:c>
      <x:c r="G20" s="24" t="str">
        <x:v>Other demersal invertebrates</x:v>
      </x:c>
      <x:c r="H20" s="24" t="str">
        <x:v>Other fishes &amp; inverts</x:v>
      </x:c>
      <x:c r="I20" s="31" t="n">
        <x:v>8.809802572</x:v>
      </x:c>
      <x:c r="J20" s="31" t="n">
        <x:v>8.809802572</x:v>
      </x:c>
      <x:c r="K20" s="31" t="n">
        <x:v>0</x:v>
      </x:c>
      <x:c r="L20" s="31" t="n">
        <x:v>0</x:v>
      </x:c>
      <x:c r="M20" s="31" t="n">
        <x:v>8.809802572</x:v>
      </x:c>
      <x:c r="N20" s="24" t="str">
        <x:v>miscellaneous aquatic invertebrates</x:v>
      </x:c>
      <x:c r="O20" s="32" t="n">
        <x:v>2.43</x:v>
      </x:c>
      <x:c r="P20" s="24" t="str">
        <x:v>exact_sea_around_us</x:v>
      </x:c>
      <x:c r="Q20" s="32" t="str">
        <x:v>Sea Around Us exploited organisms</x:v>
      </x:c>
      <x:c r="R20" s="24" t="str">
        <x:v>high</x:v>
      </x:c>
      <x:c r="S20" s="24" t="str">
        <x:v>Miscellaneous aquatic invertebrates</x:v>
      </x:c>
      <x:c r="T20" s="32" t="n">
        <x:f>IF(O20="","",(1/'Metadata'!$B$5)^(O20-1))</x:f>
        <x:v>26.915348039269166</x:v>
      </x:c>
      <x:c r="U20" s="31" t="n">
        <x:f>IF(T20="","",I20*T20)</x:f>
        <x:v>237.11890238262868</x:v>
      </x:c>
    </x:row>
    <x:row r="21" ht="18" customHeight="1">
      <x:c r="A21" s="24" t="str">
        <x:v>EEZ_772</x:v>
      </x:c>
      <x:c r="B21" s="24" t="str">
        <x:v>Tokelau (New Zealand)</x:v>
      </x:c>
      <x:c r="C21" s="24" t="str">
        <x:v>EEZ</x:v>
      </x:c>
      <x:c r="D21" s="30" t="n">
        <x:v>2019</x:v>
      </x:c>
      <x:c r="E21" s="24" t="str">
        <x:v>Istiompax indica</x:v>
      </x:c>
      <x:c r="F21" s="24" t="str">
        <x:v>Black marlin</x:v>
      </x:c>
      <x:c r="G21" s="24" t="str">
        <x:v>Large pelagics (&gt;=90 cm)</x:v>
      </x:c>
      <x:c r="H21" s="24" t="str">
        <x:v>Tuna &amp; billfishes</x:v>
      </x:c>
      <x:c r="I21" s="31" t="n">
        <x:v>7.3204386473</x:v>
      </x:c>
      <x:c r="J21" s="31" t="n">
        <x:v>7.3204386473</x:v>
      </x:c>
      <x:c r="K21" s="31" t="n">
        <x:v>0</x:v>
      </x:c>
      <x:c r="L21" s="31" t="n">
        <x:v>7.3204386473</x:v>
      </x:c>
      <x:c r="M21" s="31" t="n">
        <x:v>0</x:v>
      </x:c>
      <x:c r="N21" s="24" t="str">
        <x:v>istiompax indica</x:v>
      </x:c>
      <x:c r="O21" s="32" t="n">
        <x:v>4.5</x:v>
      </x:c>
      <x:c r="P21" s="24" t="str">
        <x:v>exact_2020_supplement</x:v>
      </x:c>
      <x:c r="Q21" s="32" t="str">
        <x:v>2020 supplement MeanTL</x:v>
      </x:c>
      <x:c r="R21" s="24" t="str">
        <x:v>high</x:v>
      </x:c>
      <x:c r="S21" s="24" t="str">
        <x:v>Istiompax indica</x:v>
      </x:c>
      <x:c r="T21" s="32" t="n">
        <x:f>IF(O21="","",(1/'Metadata'!$B$5)^(O21-1))</x:f>
        <x:v>3162.2776601683795</x:v>
      </x:c>
      <x:c r="U21" s="31" t="n">
        <x:f>IF(T21="","",I21*T21)</x:f>
        <x:v>23149.25959699002</x:v>
      </x:c>
    </x:row>
    <x:row r="22" ht="18" customHeight="1">
      <x:c r="A22" s="24" t="str">
        <x:v>EEZ_772</x:v>
      </x:c>
      <x:c r="B22" s="24" t="str">
        <x:v>Tokelau (New Zealand)</x:v>
      </x:c>
      <x:c r="C22" s="24" t="str">
        <x:v>EEZ</x:v>
      </x:c>
      <x:c r="D22" s="30" t="n">
        <x:v>2019</x:v>
      </x:c>
      <x:c r="E22" s="24" t="str">
        <x:v>Alopias</x:v>
      </x:c>
      <x:c r="F22" s="24" t="str">
        <x:v>Thresher sharks</x:v>
      </x:c>
      <x:c r="G22" s="24" t="str">
        <x:v>Large sharks (&gt;=90 cm)</x:v>
      </x:c>
      <x:c r="H22" s="24" t="str">
        <x:v>Sharks &amp; rays</x:v>
      </x:c>
      <x:c r="I22" s="31" t="n">
        <x:v>4.608095373399999</x:v>
      </x:c>
      <x:c r="J22" s="31" t="n">
        <x:v>0.8011075156999999</x:v>
      </x:c>
      <x:c r="K22" s="31" t="n">
        <x:v>3.8069878577</x:v>
      </x:c>
      <x:c r="L22" s="31" t="n">
        <x:v>0.8011075156999999</x:v>
      </x:c>
      <x:c r="M22" s="31" t="n">
        <x:v>3.8069878577</x:v>
      </x:c>
      <x:c r="N22" s="24" t="str">
        <x:v>alopias</x:v>
      </x:c>
      <x:c r="O22" s="32" t="n">
        <x:v>4.5</x:v>
      </x:c>
      <x:c r="P22" s="24" t="str">
        <x:v>exact_sea_around_us</x:v>
      </x:c>
      <x:c r="Q22" s="32" t="str">
        <x:v>Sea Around Us exploited organisms</x:v>
      </x:c>
      <x:c r="R22" s="24" t="str">
        <x:v>high</x:v>
      </x:c>
      <x:c r="S22" s="24" t="str">
        <x:v>Alopias</x:v>
      </x:c>
      <x:c r="T22" s="32" t="n">
        <x:f>IF(O22="","",(1/'Metadata'!$B$5)^(O22-1))</x:f>
        <x:v>3162.2776601683795</x:v>
      </x:c>
      <x:c r="U22" s="31" t="n">
        <x:f>IF(T22="","",I22*T22)</x:f>
        <x:v>14572.077055228085</x:v>
      </x:c>
    </x:row>
    <x:row r="23" ht="18" customHeight="1">
      <x:c r="A23" s="24" t="str">
        <x:v>EEZ_772</x:v>
      </x:c>
      <x:c r="B23" s="24" t="str">
        <x:v>Tokelau (New Zealand)</x:v>
      </x:c>
      <x:c r="C23" s="24" t="str">
        <x:v>EEZ</x:v>
      </x:c>
      <x:c r="D23" s="30" t="n">
        <x:v>2019</x:v>
      </x:c>
      <x:c r="E23" s="24" t="str">
        <x:v>Carcharhinidae</x:v>
      </x:c>
      <x:c r="F23" s="24" t="str">
        <x:v>Requiem sharks</x:v>
      </x:c>
      <x:c r="G23" s="24" t="str">
        <x:v>Large sharks (&gt;=90 cm)</x:v>
      </x:c>
      <x:c r="H23" s="24" t="str">
        <x:v>Sharks &amp; rays</x:v>
      </x:c>
      <x:c r="I23" s="31" t="n">
        <x:v>4.607228537</x:v>
      </x:c>
      <x:c r="J23" s="31" t="n">
        <x:v>4.607228537</x:v>
      </x:c>
      <x:c r="K23" s="31" t="n">
        <x:v>0</x:v>
      </x:c>
      <x:c r="L23" s="31" t="n">
        <x:v>0.795497271</x:v>
      </x:c>
      <x:c r="M23" s="31" t="n">
        <x:v>3.811731266</x:v>
      </x:c>
      <x:c r="N23" s="24" t="str">
        <x:v>carcharhinidae</x:v>
      </x:c>
      <x:c r="O23" s="32" t="n">
        <x:v>4.24</x:v>
      </x:c>
      <x:c r="P23" s="24" t="str">
        <x:v>exact_sea_around_us</x:v>
      </x:c>
      <x:c r="Q23" s="32" t="str">
        <x:v>Sea Around Us exploited organisms</x:v>
      </x:c>
      <x:c r="R23" s="24" t="str">
        <x:v>high</x:v>
      </x:c>
      <x:c r="S23" s="24" t="str">
        <x:v>Carcharhinidae</x:v>
      </x:c>
      <x:c r="T23" s="32" t="n">
        <x:f>IF(O23="","",(1/'Metadata'!$B$5)^(O23-1))</x:f>
        <x:v>1737.8008287493763</x:v>
      </x:c>
      <x:c r="U23" s="31" t="n">
        <x:f>IF(T23="","",I23*T23)</x:f>
        <x:v>8006.445569836376</x:v>
      </x:c>
    </x:row>
    <x:row r="24" ht="18" customHeight="1">
      <x:c r="A24" s="24" t="str">
        <x:v>EEZ_772</x:v>
      </x:c>
      <x:c r="B24" s="24" t="str">
        <x:v>Tokelau (New Zealand)</x:v>
      </x:c>
      <x:c r="C24" s="24" t="str">
        <x:v>EEZ</x:v>
      </x:c>
      <x:c r="D24" s="30" t="n">
        <x:v>2019</x:v>
      </x:c>
      <x:c r="E24" s="24" t="str">
        <x:v>Miscellaneous marine crustaceans</x:v>
      </x:c>
      <x:c r="F24" s="24" t="str">
        <x:v>Marine crabs, shrimps, lobsters nei</x:v>
      </x:c>
      <x:c r="G24" s="24" t="str">
        <x:v>Shrimps</x:v>
      </x:c>
      <x:c r="H24" s="24" t="str">
        <x:v>Crustaceans</x:v>
      </x:c>
      <x:c r="I24" s="31" t="n">
        <x:v>3.523004777</x:v>
      </x:c>
      <x:c r="J24" s="31" t="n">
        <x:v>3.523004777</x:v>
      </x:c>
      <x:c r="K24" s="31" t="n">
        <x:v>0</x:v>
      </x:c>
      <x:c r="L24" s="31" t="n">
        <x:v>0</x:v>
      </x:c>
      <x:c r="M24" s="31" t="n">
        <x:v>3.523004777</x:v>
      </x:c>
      <x:c r="N24" s="24" t="str">
        <x:v>miscellaneous marine crustaceans</x:v>
      </x:c>
      <x:c r="O24" s="32" t="n">
        <x:v>2.7</x:v>
      </x:c>
      <x:c r="P24" s="24" t="str">
        <x:v>exact_sea_around_us</x:v>
      </x:c>
      <x:c r="Q24" s="32" t="str">
        <x:v>Sea Around Us exploited organisms</x:v>
      </x:c>
      <x:c r="R24" s="24" t="str">
        <x:v>high</x:v>
      </x:c>
      <x:c r="S24" s="24" t="str">
        <x:v>Miscellaneous marine crustaceans</x:v>
      </x:c>
      <x:c r="T24" s="32" t="n">
        <x:f>IF(O24="","",(1/'Metadata'!$B$5)^(O24-1))</x:f>
        <x:v>50.11872336272725</x:v>
      </x:c>
      <x:c r="U24" s="31" t="n">
        <x:f>IF(T24="","",I24*T24)</x:f>
        <x:v>176.56850182402962</x:v>
      </x:c>
    </x:row>
    <x:row r="25" ht="18" customHeight="1">
      <x:c r="A25" s="24" t="str">
        <x:v>EEZ_772</x:v>
      </x:c>
      <x:c r="B25" s="24" t="str">
        <x:v>Tokelau (New Zealand)</x:v>
      </x:c>
      <x:c r="C25" s="24" t="str">
        <x:v>EEZ</x:v>
      </x:c>
      <x:c r="D25" s="30" t="n">
        <x:v>2019</x:v>
      </x:c>
      <x:c r="E25" s="24" t="str">
        <x:v>Istiophorus platypterus</x:v>
      </x:c>
      <x:c r="F25" s="24" t="str">
        <x:v>Indo-Pacific sailfish</x:v>
      </x:c>
      <x:c r="G25" s="24" t="str">
        <x:v>Large pelagics (&gt;=90 cm)</x:v>
      </x:c>
      <x:c r="H25" s="24" t="str">
        <x:v>Tuna &amp; billfishes</x:v>
      </x:c>
      <x:c r="I25" s="31" t="n">
        <x:v>2.277134635</x:v>
      </x:c>
      <x:c r="J25" s="31" t="n">
        <x:v>2.277134635</x:v>
      </x:c>
      <x:c r="K25" s="31" t="n">
        <x:v>0</x:v>
      </x:c>
      <x:c r="L25" s="31" t="n">
        <x:v>0.050673031</x:v>
      </x:c>
      <x:c r="M25" s="31" t="n">
        <x:v>2.2264616040000003</x:v>
      </x:c>
      <x:c r="N25" s="24" t="str">
        <x:v>istiophorus platypterus</x:v>
      </x:c>
      <x:c r="O25" s="32" t="n">
        <x:v>4.5</x:v>
      </x:c>
      <x:c r="P25" s="24" t="str">
        <x:v>exact_2020_supplement</x:v>
      </x:c>
      <x:c r="Q25" s="32" t="str">
        <x:v>2020 supplement MeanTL</x:v>
      </x:c>
      <x:c r="R25" s="24" t="str">
        <x:v>high</x:v>
      </x:c>
      <x:c r="S25" s="24" t="str">
        <x:v>Istiophorus platypterus</x:v>
      </x:c>
      <x:c r="T25" s="32" t="n">
        <x:f>IF(O25="","",(1/'Metadata'!$B$5)^(O25-1))</x:f>
        <x:v>3162.2776601683795</x:v>
      </x:c>
      <x:c r="U25" s="31" t="n">
        <x:f>IF(T25="","",I25*T25)</x:f>
        <x:v>7200.931985456176</x:v>
      </x:c>
    </x:row>
    <x:row r="26" ht="18" customHeight="1">
      <x:c r="A26" s="24" t="str">
        <x:v>EEZ_772</x:v>
      </x:c>
      <x:c r="B26" s="24" t="str">
        <x:v>Tokelau (New Zealand)</x:v>
      </x:c>
      <x:c r="C26" s="24" t="str">
        <x:v>EEZ</x:v>
      </x:c>
      <x:c r="D26" s="30" t="n">
        <x:v>2019</x:v>
      </x:c>
      <x:c r="E26" s="24" t="str">
        <x:v>Sphyraena barracuda</x:v>
      </x:c>
      <x:c r="F26" s="24" t="str">
        <x:v>Great barracuda</x:v>
      </x:c>
      <x:c r="G26" s="24" t="str">
        <x:v>Large pelagics (&gt;=90 cm)</x:v>
      </x:c>
      <x:c r="H26" s="24" t="str">
        <x:v>Perch-likes</x:v>
      </x:c>
      <x:c r="I26" s="31" t="n">
        <x:v>2.00522732</x:v>
      </x:c>
      <x:c r="J26" s="31" t="n">
        <x:v>2.00522732</x:v>
      </x:c>
      <x:c r="K26" s="31" t="n">
        <x:v>0</x:v>
      </x:c>
      <x:c r="L26" s="31" t="n">
        <x:v>1.454007992</x:v>
      </x:c>
      <x:c r="M26" s="31" t="n">
        <x:v>0.551219328</x:v>
      </x:c>
      <x:c r="N26" s="24" t="str">
        <x:v>sphyraena barracuda</x:v>
      </x:c>
      <x:c r="O26" s="32" t="n">
        <x:v>4.49</x:v>
      </x:c>
      <x:c r="P26" s="24" t="str">
        <x:v>exact_2020_supplement</x:v>
      </x:c>
      <x:c r="Q26" s="32" t="str">
        <x:v>2020 supplement MeanTL</x:v>
      </x:c>
      <x:c r="R26" s="24" t="str">
        <x:v>high</x:v>
      </x:c>
      <x:c r="S26" s="24" t="str">
        <x:v>Sphyraena barracuda</x:v>
      </x:c>
      <x:c r="T26" s="32" t="n">
        <x:f>IF(O26="","",(1/'Metadata'!$B$5)^(O26-1))</x:f>
        <x:v>3090.295432513592</x:v>
      </x:c>
      <x:c r="U26" s="31" t="n">
        <x:f>IF(T26="","",I26*T26)</x:f>
        <x:v>6196.744828147471</x:v>
      </x:c>
    </x:row>
    <x:row r="27" ht="18" customHeight="1">
      <x:c r="A27" s="24" t="str">
        <x:v>EEZ_772</x:v>
      </x:c>
      <x:c r="B27" s="24" t="str">
        <x:v>Tokelau (New Zealand)</x:v>
      </x:c>
      <x:c r="C27" s="24" t="str">
        <x:v>EEZ</x:v>
      </x:c>
      <x:c r="D27" s="30" t="n">
        <x:v>2019</x:v>
      </x:c>
      <x:c r="E27" s="24" t="str">
        <x:v>Kajikia audax</x:v>
      </x:c>
      <x:c r="F27" s="24" t="str">
        <x:v>Striped marlin</x:v>
      </x:c>
      <x:c r="G27" s="24" t="str">
        <x:v>Large pelagics (&gt;=90 cm)</x:v>
      </x:c>
      <x:c r="H27" s="24" t="str">
        <x:v>Tuna &amp; billfishes</x:v>
      </x:c>
      <x:c r="I27" s="31" t="n">
        <x:v>1.7787299363</x:v>
      </x:c>
      <x:c r="J27" s="31" t="n">
        <x:v>1.7787299363</x:v>
      </x:c>
      <x:c r="K27" s="31" t="n">
        <x:v>0</x:v>
      </x:c>
      <x:c r="L27" s="31" t="n">
        <x:v>1.7787299363</x:v>
      </x:c>
      <x:c r="M27" s="31" t="n">
        <x:v>0</x:v>
      </x:c>
      <x:c r="N27" s="24" t="str">
        <x:v>kajikia audax</x:v>
      </x:c>
      <x:c r="O27" s="32" t="n">
        <x:v>4.58</x:v>
      </x:c>
      <x:c r="P27" s="24" t="str">
        <x:v>exact_2020_supplement</x:v>
      </x:c>
      <x:c r="Q27" s="32" t="str">
        <x:v>2020 supplement MeanTL</x:v>
      </x:c>
      <x:c r="R27" s="24" t="str">
        <x:v>high</x:v>
      </x:c>
      <x:c r="S27" s="24" t="str">
        <x:v>Kajikia audax</x:v>
      </x:c>
      <x:c r="T27" s="32" t="n">
        <x:f>IF(O27="","",(1/'Metadata'!$B$5)^(O27-1))</x:f>
        <x:v>3801.8939632056126</x:v>
      </x:c>
      <x:c r="U27" s="31" t="n">
        <x:f>IF(T27="","",I27*T27)</x:f>
        <x:v>6762.542606992074</x:v>
      </x:c>
    </x:row>
    <x:row r="28" ht="18" customHeight="1">
      <x:c r="A28" s="24" t="str">
        <x:v>EEZ_772</x:v>
      </x:c>
      <x:c r="B28" s="24" t="str">
        <x:v>Tokelau (New Zealand)</x:v>
      </x:c>
      <x:c r="C28" s="24" t="str">
        <x:v>EEZ</x:v>
      </x:c>
      <x:c r="D28" s="30" t="n">
        <x:v>2019</x:v>
      </x:c>
      <x:c r="E28" s="24" t="str">
        <x:v>Hemiramphus</x:v>
      </x:c>
      <x:c r="F28" s="24" t="str">
        <x:v>Halfbeaks</x:v>
      </x:c>
      <x:c r="G28" s="24" t="str">
        <x:v>Medium pelagics (30 - 89 cm)</x:v>
      </x:c>
      <x:c r="H28" s="24" t="str">
        <x:v>Other fishes &amp; inverts</x:v>
      </x:c>
      <x:c r="I28" s="31" t="n">
        <x:v>0.276387331</x:v>
      </x:c>
      <x:c r="J28" s="31" t="n">
        <x:v>0.276387331</x:v>
      </x:c>
      <x:c r="K28" s="31" t="n">
        <x:v>0</x:v>
      </x:c>
      <x:c r="L28" s="31" t="n">
        <x:v>0</x:v>
      </x:c>
      <x:c r="M28" s="31" t="n">
        <x:v>0.276387331</x:v>
      </x:c>
      <x:c r="N28" s="24" t="str">
        <x:v>hemiramphus</x:v>
      </x:c>
      <x:c r="O28" s="32" t="n">
        <x:v>3.05</x:v>
      </x:c>
      <x:c r="P28" s="24" t="str">
        <x:v>exact_sea_around_us</x:v>
      </x:c>
      <x:c r="Q28" s="32" t="str">
        <x:v>Sea Around Us exploited organisms</x:v>
      </x:c>
      <x:c r="R28" s="24" t="str">
        <x:v>high</x:v>
      </x:c>
      <x:c r="S28" s="24" t="str">
        <x:v>Hemiramphus</x:v>
      </x:c>
      <x:c r="T28" s="32" t="n">
        <x:f>IF(O28="","",(1/'Metadata'!$B$5)^(O28-1))</x:f>
        <x:v>112.2018454301963</x:v>
      </x:c>
      <x:c r="U28" s="31" t="n">
        <x:f>IF(T28="","",I28*T28)</x:f>
        <x:v>31.011168591726502</x:v>
      </x:c>
    </x:row>
    <x:row r="29" ht="18" customHeight="1">
      <x:c r="A29" s="24" t="str">
        <x:v>EEZ_772</x:v>
      </x:c>
      <x:c r="B29" s="24" t="str">
        <x:v>Tokelau (New Zealand)</x:v>
      </x:c>
      <x:c r="C29" s="24" t="str">
        <x:v>EEZ</x:v>
      </x:c>
      <x:c r="D29" s="30" t="n">
        <x:v>2019</x:v>
      </x:c>
      <x:c r="E29" s="24" t="str">
        <x:v>Sphyrna</x:v>
      </x:c>
      <x:c r="F29" s="24" t="str">
        <x:v>Hammerhead sharks</x:v>
      </x:c>
      <x:c r="G29" s="24" t="str">
        <x:v>Large sharks (&gt;=90 cm)</x:v>
      </x:c>
      <x:c r="H29" s="24" t="str">
        <x:v>Sharks &amp; rays</x:v>
      </x:c>
      <x:c r="I29" s="31" t="n">
        <x:v>0.1478865956</x:v>
      </x:c>
      <x:c r="J29" s="31" t="n">
        <x:v>0.1478865956</x:v>
      </x:c>
      <x:c r="K29" s="31" t="n">
        <x:v>0</x:v>
      </x:c>
      <x:c r="L29" s="31" t="n">
        <x:v>0.1478865956</x:v>
      </x:c>
      <x:c r="M29" s="31" t="n">
        <x:v>0</x:v>
      </x:c>
      <x:c r="N29" s="24" t="str">
        <x:v>sphyrna</x:v>
      </x:c>
      <x:c r="O29" s="32" t="n">
        <x:v>4.2</x:v>
      </x:c>
      <x:c r="P29" s="24" t="str">
        <x:v>exact_sea_around_us</x:v>
      </x:c>
      <x:c r="Q29" s="32" t="str">
        <x:v>Sea Around Us exploited organisms</x:v>
      </x:c>
      <x:c r="R29" s="24" t="str">
        <x:v>high</x:v>
      </x:c>
      <x:c r="S29" s="24" t="str">
        <x:v>Sphyrna</x:v>
      </x:c>
      <x:c r="T29" s="32" t="n">
        <x:f>IF(O29="","",(1/'Metadata'!$B$5)^(O29-1))</x:f>
        <x:v>1584.893192461114</x:v>
      </x:c>
      <x:c r="U29" s="31" t="n">
        <x:f>IF(T29="","",I29*T29)</x:f>
        <x:v>234.38445862268975</x:v>
      </x:c>
    </x:row>
    <x:row r="30" ht="18" customHeight="1">
      <x:c r="A30" s="24" t="str">
        <x:v>EEZ_772</x:v>
      </x:c>
      <x:c r="B30" s="24" t="str">
        <x:v>Tokelau (New Zealand)</x:v>
      </x:c>
      <x:c r="C30" s="24" t="str">
        <x:v>EEZ</x:v>
      </x:c>
      <x:c r="D30" s="30" t="n">
        <x:v>2019</x:v>
      </x:c>
      <x:c r="E30" s="24" t="str">
        <x:v>Thunnus orientalis</x:v>
      </x:c>
      <x:c r="F30" s="24" t="str">
        <x:v>Pacific bluefin tuna</x:v>
      </x:c>
      <x:c r="G30" s="24" t="str">
        <x:v>Large pelagics (&gt;=90 cm)</x:v>
      </x:c>
      <x:c r="H30" s="24" t="str">
        <x:v>Tuna &amp; billfishes</x:v>
      </x:c>
      <x:c r="I30" s="31" t="n">
        <x:v>0.1216427323</x:v>
      </x:c>
      <x:c r="J30" s="31" t="n">
        <x:v>0.1216427323</x:v>
      </x:c>
      <x:c r="K30" s="31" t="n">
        <x:v>0</x:v>
      </x:c>
      <x:c r="L30" s="31" t="n">
        <x:v>0.1216427323</x:v>
      </x:c>
      <x:c r="M30" s="31" t="n">
        <x:v>0</x:v>
      </x:c>
      <x:c r="N30" s="24" t="str">
        <x:v>thunnus orientalis</x:v>
      </x:c>
      <x:c r="O30" s="32" t="n">
        <x:v>4.05</x:v>
      </x:c>
      <x:c r="P30" s="24" t="str">
        <x:v>exact_2020_supplement</x:v>
      </x:c>
      <x:c r="Q30" s="32" t="str">
        <x:v>2020 supplement MeanTL</x:v>
      </x:c>
      <x:c r="R30" s="24" t="str">
        <x:v>high</x:v>
      </x:c>
      <x:c r="S30" s="24" t="str">
        <x:v>Thunnus orientalis</x:v>
      </x:c>
      <x:c r="T30" s="32" t="n">
        <x:f>IF(O30="","",(1/'Metadata'!$B$5)^(O30-1))</x:f>
        <x:v>1122.018454301963</x:v>
      </x:c>
      <x:c r="U30" s="31" t="n">
        <x:f>IF(T30="","",I30*T30)</x:f>
        <x:v>136.48539047231347</x:v>
      </x:c>
    </x:row>
  </x:sheetData>
  <x:conditionalFormatting sqref="R2:R30">
    <x:cfRule type="containsText" dxfId="0" priority="1" operator="containsText" text="low"/>
  </x:conditionalFormatting>
  <x:pageMargins left="0.7" right="0.7" top="0.75" bottom="0.75" header="0.3" footer="0.3"/>
  <x:tableParts count="1">
    <x:tablePart xmlns:r="http://schemas.openxmlformats.org/officeDocument/2006/relationships" r:id="R6f002cb916d04f3a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22" hidden="0" customWidth="1"/>
    <x:col min="3" max="3" width="22" hidden="0" customWidth="1"/>
    <x:col min="4" max="4" width="18" hidden="0" customWidth="1"/>
    <x:col min="5" max="5" width="18" hidden="0" customWidth="1"/>
    <x:col min="6" max="6" width="18" hidden="0" customWidth="1"/>
    <x:col min="7" max="7" width="16" hidden="0" customWidth="1"/>
    <x:col min="8" max="8" width="18" hidden="0" customWidth="1"/>
    <x:col min="9" max="9" width="18" hidden="0" customWidth="1"/>
    <x:col min="10" max="10" width="15" hidden="0" customWidth="1"/>
    <x:col min="11" max="11" width="18" hidden="0" customWidth="1"/>
    <x:col min="12" max="12" width="18" hidden="0" customWidth="1"/>
    <x:col min="13" max="13" width="18" hidden="0" customWidth="1"/>
    <x:col min="14" max="14" width="16" hidden="0" customWidth="1"/>
    <x:col min="15" max="15" width="16" hidden="0" customWidth="1"/>
  </x:cols>
  <x:sheetData>
    <x:row r="1" ht="32" customHeight="1">
      <x:c r="A1" s="29" t="str">
        <x:v>commercial_group</x:v>
      </x:c>
      <x:c r="B1" s="29" t="str">
        <x:v>taxon_count_total</x:v>
      </x:c>
      <x:c r="C1" s="29" t="str">
        <x:v>taxon_count_matched</x:v>
      </x:c>
      <x:c r="D1" s="29" t="str">
        <x:v>catch_tonnes_total</x:v>
      </x:c>
      <x:c r="E1" s="29" t="str">
        <x:v>catch_tonnes_matched</x:v>
      </x:c>
      <x:c r="F1" s="29" t="str">
        <x:v>catch_tonnes_missing_tl</x:v>
      </x:c>
      <x:c r="G1" s="29" t="str">
        <x:v>catch_coverage_fraction</x:v>
      </x:c>
      <x:c r="H1" s="29" t="str">
        <x:v>sppr_correct</x:v>
      </x:c>
      <x:c r="I1" s="29" t="str">
        <x:v>ppr_correct</x:v>
      </x:c>
      <x:c r="J1" s="29" t="str">
        <x:v>tl_weighted_jensen</x:v>
      </x:c>
      <x:c r="K1" s="29" t="str">
        <x:v>sppr_jensen</x:v>
      </x:c>
      <x:c r="L1" s="29" t="str">
        <x:v>ppr_jensen</x:v>
      </x:c>
      <x:c r="M1" s="29" t="str">
        <x:v>jensen_difference</x:v>
      </x:c>
      <x:c r="N1" s="29" t="str">
        <x:v>jensen_ratio_correct_to_error</x:v>
      </x:c>
      <x:c r="O1" s="29" t="str">
        <x:v>jensen_percent_difference</x:v>
      </x:c>
    </x:row>
    <x:row r="2" ht="18" customHeight="1">
      <x:c r="A2" s="24" t="str">
        <x:v>Crustaceans</x:v>
      </x:c>
      <x:c r="B2" s="33" t="n">
        <x:v>1</x:v>
      </x:c>
      <x:c r="C2" s="33" t="n">
        <x:v>1</x:v>
      </x:c>
      <x:c r="D2" s="31" t="n">
        <x:v>3.523004777</x:v>
      </x:c>
      <x:c r="E2" s="31" t="n">
        <x:v>3.523004777</x:v>
      </x:c>
      <x:c r="F2" s="32" t="n">
        <x:v>0</x:v>
      </x:c>
      <x:c r="G2" s="34" t="n">
        <x:v>1</x:v>
      </x:c>
      <x:c r="H2" s="32" t="n">
        <x:f>IF(E2=0,"",I2/E2)</x:f>
        <x:v>50.11872336272725</x:v>
      </x:c>
      <x:c r="I2" s="31" t="n">
        <x:f>IF(C2=0,"",SUMIF('Species'!$H$2:$H$30,A2,'Species'!$U$2:$U$30))</x:f>
        <x:v>176.56850182402962</x:v>
      </x:c>
      <x:c r="J2" s="32" t="n">
        <x:v>2.7</x:v>
      </x:c>
      <x:c r="K2" s="32" t="n">
        <x:f>IF(J2="","",(1/'Metadata'!$B$5)^(J2-1))</x:f>
        <x:v>50.11872336272725</x:v>
      </x:c>
      <x:c r="L2" s="31" t="n">
        <x:f>IF(E2=0,"",E2*K2)</x:f>
        <x:v>176.56850182402962</x:v>
      </x:c>
      <x:c r="M2" s="31" t="n">
        <x:f>IF(E2=0,"",I2-L2)</x:f>
        <x:v>0</x:v>
      </x:c>
      <x:c r="N2" s="32" t="n">
        <x:f>IF(L2=0,"",I2/L2)</x:f>
        <x:v>1</x:v>
      </x:c>
      <x:c r="O2" s="34" t="n">
        <x:f>IF(L2=0,"",M2/L2)</x:f>
        <x:v>0</x:v>
      </x:c>
    </x:row>
    <x:row r="3" ht="18" customHeight="1">
      <x:c r="A3" s="24" t="str">
        <x:v>Other fishes &amp; inverts</x:v>
      </x:c>
      <x:c r="B3" s="33" t="n">
        <x:v>4</x:v>
      </x:c>
      <x:c r="C3" s="33" t="n">
        <x:v>4</x:v>
      </x:c>
      <x:c r="D3" s="31" t="n">
        <x:v>644.1010282824001</x:v>
      </x:c>
      <x:c r="E3" s="31" t="n">
        <x:v>644.1010282824001</x:v>
      </x:c>
      <x:c r="F3" s="32" t="n">
        <x:v>0</x:v>
      </x:c>
      <x:c r="G3" s="34" t="n">
        <x:v>1</x:v>
      </x:c>
      <x:c r="H3" s="32" t="n">
        <x:f>IF(E3=0,"",I3/E3)</x:f>
        <x:v>191.47332790364754</x:v>
      </x:c>
      <x:c r="I3" s="31" t="n">
        <x:f>IF(C3=0,"",SUMIF('Species'!$H$2:$H$30,A3,'Species'!$U$2:$U$30))</x:f>
        <x:v>123328.16739139255</x:v>
      </x:c>
      <x:c r="J3" s="32" t="n">
        <x:v>3.2749945732883057</x:v>
      </x:c>
      <x:c r="K3" s="32" t="n">
        <x:f>IF(J3="","",(1/'Metadata'!$B$5)^(J3-1))</x:f>
        <x:v>188.3625552564733</x:v>
      </x:c>
      <x:c r="L3" s="31" t="n">
        <x:f>IF(E3=0,"",E3*K3)</x:f>
        <x:v>121324.51553059487</x:v>
      </x:c>
      <x:c r="M3" s="31" t="n">
        <x:f>IF(E3=0,"",I3-L3)</x:f>
        <x:v>2003.651860797676</x:v>
      </x:c>
      <x:c r="N3" s="32" t="n">
        <x:f>IF(L3=0,"",I3/L3)</x:f>
        <x:v>1.0165148144382443</x:v>
      </x:c>
      <x:c r="O3" s="34" t="n">
        <x:f>IF(L3=0,"",M3/L3)</x:f>
        <x:v>0.016514814438244405</x:v>
      </x:c>
    </x:row>
    <x:row r="4" ht="18" customHeight="1">
      <x:c r="A4" s="24" t="str">
        <x:v>Perch-likes</x:v>
      </x:c>
      <x:c r="B4" s="33" t="n">
        <x:v>7</x:v>
      </x:c>
      <x:c r="C4" s="33" t="n">
        <x:v>7</x:v>
      </x:c>
      <x:c r="D4" s="31" t="n">
        <x:v>337.66098896849996</x:v>
      </x:c>
      <x:c r="E4" s="31" t="n">
        <x:v>337.66098896849996</x:v>
      </x:c>
      <x:c r="F4" s="32" t="n">
        <x:v>0</x:v>
      </x:c>
      <x:c r="G4" s="34" t="n">
        <x:v>1</x:v>
      </x:c>
      <x:c r="H4" s="32" t="n">
        <x:f>IF(E4=0,"",I4/E4)</x:f>
        <x:v>1681.0441178640965</x:v>
      </x:c>
      <x:c r="I4" s="31" t="n">
        <x:f>IF(C4=0,"",SUMIF('Species'!$H$2:$H$30,A4,'Species'!$U$2:$U$30))</x:f>
        <x:v>567623.0193376704</x:v>
      </x:c>
      <x:c r="J4" s="32" t="n">
        <x:v>4.073864516381494</x:v>
      </x:c>
      <x:c r="K4" s="32" t="n">
        <x:f>IF(J4="","",(1/'Metadata'!$B$5)^(J4-1))</x:f>
        <x:v>1185.3988904064258</x:v>
      </x:c>
      <x:c r="L4" s="31" t="n">
        <x:f>IF(E4=0,"",E4*K4)</x:f>
        <x:v>400262.9616567963</x:v>
      </x:c>
      <x:c r="M4" s="31" t="n">
        <x:f>IF(E4=0,"",I4-L4)</x:f>
        <x:v>167360.05768087413</x:v>
      </x:c>
      <x:c r="N4" s="32" t="n">
        <x:f>IF(L4=0,"",I4/L4)</x:f>
        <x:v>1.4181252669198412</x:v>
      </x:c>
      <x:c r="O4" s="34" t="n">
        <x:f>IF(L4=0,"",M4/L4)</x:f>
        <x:v>0.41812526691984125</x:v>
      </x:c>
    </x:row>
    <x:row r="5" ht="18" customHeight="1">
      <x:c r="A5" s="24" t="str">
        <x:v>Sharks &amp; rays</x:v>
      </x:c>
      <x:c r="B5" s="33" t="n">
        <x:v>7</x:v>
      </x:c>
      <x:c r="C5" s="33" t="n">
        <x:v>7</x:v>
      </x:c>
      <x:c r="D5" s="31" t="n">
        <x:v>462.0985216226</x:v>
      </x:c>
      <x:c r="E5" s="31" t="n">
        <x:v>462.0985216226</x:v>
      </x:c>
      <x:c r="F5" s="32" t="n">
        <x:v>0</x:v>
      </x:c>
      <x:c r="G5" s="34" t="n">
        <x:v>1</x:v>
      </x:c>
      <x:c r="H5" s="32" t="n">
        <x:f>IF(E5=0,"",I5/E5)</x:f>
        <x:v>2280.6936757741546</x:v>
      </x:c>
      <x:c r="I5" s="31" t="n">
        <x:f>IF(C5=0,"",SUMIF('Species'!$H$2:$H$30,A5,'Species'!$U$2:$U$30))</x:f>
        <x:v>1053905.1758492503</x:v>
      </x:c>
      <x:c r="J5" s="32" t="n">
        <x:v>4.35121538544474</x:v>
      </x:c>
      <x:c r="K5" s="32" t="n">
        <x:f>IF(J5="","",(1/'Metadata'!$B$5)^(J5-1))</x:f>
        <x:v>2244.9950380189252</x:v>
      </x:c>
      <x:c r="L5" s="31" t="n">
        <x:f>IF(E5=0,"",E5*K5)</x:f>
        <x:v>1037408.888118618</x:v>
      </x:c>
      <x:c r="M5" s="31" t="n">
        <x:f>IF(E5=0,"",I5-L5)</x:f>
        <x:v>16496.287730632233</x:v>
      </x:c>
      <x:c r="N5" s="32" t="n">
        <x:f>IF(L5=0,"",I5/L5)</x:f>
        <x:v>1.0159014328097273</x:v>
      </x:c>
      <x:c r="O5" s="34" t="n">
        <x:f>IF(L5=0,"",M5/L5)</x:f>
        <x:v>0.015901432809727417</x:v>
      </x:c>
    </x:row>
    <x:row r="6" ht="18" customHeight="1">
      <x:c r="A6" s="24" t="str">
        <x:v>Tuna &amp; billfishes</x:v>
      </x:c>
      <x:c r="B6" s="33" t="n">
        <x:v>10</x:v>
      </x:c>
      <x:c r="C6" s="33" t="n">
        <x:v>10</x:v>
      </x:c>
      <x:c r="D6" s="31" t="n">
        <x:v>8387.9801440513</x:v>
      </x:c>
      <x:c r="E6" s="31" t="n">
        <x:v>8387.9801440513</x:v>
      </x:c>
      <x:c r="F6" s="32" t="n">
        <x:v>0</x:v>
      </x:c>
      <x:c r="G6" s="34" t="n">
        <x:v>1</x:v>
      </x:c>
      <x:c r="H6" s="32" t="n">
        <x:f>IF(E6=0,"",I6/E6)</x:f>
        <x:v>2625.0097044070994</x:v>
      </x:c>
      <x:c r="I6" s="31" t="n">
        <x:f>IF(C6=0,"",SUMIF('Species'!$H$2:$H$30,A6,'Species'!$U$2:$U$30))</x:f>
        <x:v>22018529.278508723</x:v>
      </x:c>
      <x:c r="J6" s="32" t="n">
        <x:v>4.416918208870121</x:v>
      </x:c>
      <x:c r="K6" s="32" t="n">
        <x:f>IF(J6="","",(1/'Metadata'!$B$5)^(J6-1))</x:f>
        <x:v>2611.6694496660107</x:v>
      </x:c>
      <x:c r="L6" s="31" t="n">
        <x:f>IF(E6=0,"",E6*K6)</x:f>
        <x:v>21906631.486623883</x:v>
      </x:c>
      <x:c r="M6" s="31" t="n">
        <x:f>IF(E6=0,"",I6-L6)</x:f>
        <x:v>111897.79188483953</x:v>
      </x:c>
      <x:c r="N6" s="32" t="n">
        <x:f>IF(L6=0,"",I6/L6)</x:f>
        <x:v>1.0051079414903732</x:v>
      </x:c>
      <x:c r="O6" s="34" t="n">
        <x:f>IF(L6=0,"",M6/L6)</x:f>
        <x:v>0.0051079414903730845</x:v>
      </x:c>
    </x:row>
  </x:sheetData>
  <x:conditionalFormatting sqref="G2:G6">
    <x:cfRule type="cellIs" dxfId="1" priority="1" operator="lessThan">
      <x:formula>0.9</x:formula>
    </x:cfRule>
  </x:conditionalFormatting>
  <x:conditionalFormatting sqref="O2:O6">
    <x:cfRule type="dataBar" priority="2">
      <x:dataBar>
        <x:cfvo type="min"/>
        <x:cfvo type="max"/>
        <x:color rgb="FFE28A32"/>
      </x:dataBar>
    </x:cfRule>
  </x:conditionalFormatting>
  <x:pageMargins left="0.7" right="0.7" top="0.75" bottom="0.75" header="0.3" footer="0.3"/>
  <x:tableParts count="1">
    <x:tablePart xmlns:r="http://schemas.openxmlformats.org/officeDocument/2006/relationships" r:id="R1612a846b6104452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22" hidden="0" customWidth="1"/>
    <x:col min="3" max="3" width="22" hidden="0" customWidth="1"/>
    <x:col min="4" max="4" width="18" hidden="0" customWidth="1"/>
    <x:col min="5" max="5" width="18" hidden="0" customWidth="1"/>
    <x:col min="6" max="6" width="18" hidden="0" customWidth="1"/>
    <x:col min="7" max="7" width="16" hidden="0" customWidth="1"/>
    <x:col min="8" max="8" width="18" hidden="0" customWidth="1"/>
    <x:col min="9" max="9" width="18" hidden="0" customWidth="1"/>
    <x:col min="10" max="10" width="15" hidden="0" customWidth="1"/>
    <x:col min="11" max="11" width="18" hidden="0" customWidth="1"/>
    <x:col min="12" max="12" width="18" hidden="0" customWidth="1"/>
    <x:col min="13" max="13" width="18" hidden="0" customWidth="1"/>
    <x:col min="14" max="14" width="16" hidden="0" customWidth="1"/>
    <x:col min="15" max="15" width="16" hidden="0" customWidth="1"/>
  </x:cols>
  <x:sheetData>
    <x:row r="1" ht="32" customHeight="1">
      <x:c r="A1" s="29" t="str">
        <x:v>functional_group</x:v>
      </x:c>
      <x:c r="B1" s="29" t="str">
        <x:v>taxon_count_total</x:v>
      </x:c>
      <x:c r="C1" s="29" t="str">
        <x:v>taxon_count_matched</x:v>
      </x:c>
      <x:c r="D1" s="29" t="str">
        <x:v>catch_tonnes_total</x:v>
      </x:c>
      <x:c r="E1" s="29" t="str">
        <x:v>catch_tonnes_matched</x:v>
      </x:c>
      <x:c r="F1" s="29" t="str">
        <x:v>catch_tonnes_missing_tl</x:v>
      </x:c>
      <x:c r="G1" s="29" t="str">
        <x:v>catch_coverage_fraction</x:v>
      </x:c>
      <x:c r="H1" s="29" t="str">
        <x:v>sppr_correct</x:v>
      </x:c>
      <x:c r="I1" s="29" t="str">
        <x:v>ppr_correct</x:v>
      </x:c>
      <x:c r="J1" s="29" t="str">
        <x:v>tl_weighted_jensen</x:v>
      </x:c>
      <x:c r="K1" s="29" t="str">
        <x:v>sppr_jensen</x:v>
      </x:c>
      <x:c r="L1" s="29" t="str">
        <x:v>ppr_jensen</x:v>
      </x:c>
      <x:c r="M1" s="29" t="str">
        <x:v>jensen_difference</x:v>
      </x:c>
      <x:c r="N1" s="29" t="str">
        <x:v>jensen_ratio_correct_to_error</x:v>
      </x:c>
      <x:c r="O1" s="29" t="str">
        <x:v>jensen_percent_difference</x:v>
      </x:c>
    </x:row>
    <x:row r="2" ht="18" customHeight="1">
      <x:c r="A2" s="24" t="str">
        <x:v>Large pelagics (&gt;=90 cm)</x:v>
      </x:c>
      <x:c r="B2" s="33" t="n">
        <x:v>13</x:v>
      </x:c>
      <x:c r="C2" s="33" t="n">
        <x:v>13</x:v>
      </x:c>
      <x:c r="D2" s="31" t="n">
        <x:v>8525.2466926677</x:v>
      </x:c>
      <x:c r="E2" s="31" t="n">
        <x:v>8525.2466926677</x:v>
      </x:c>
      <x:c r="F2" s="32" t="n">
        <x:v>0</x:v>
      </x:c>
      <x:c r="G2" s="34" t="n">
        <x:v>1</x:v>
      </x:c>
      <x:c r="H2" s="32" t="n">
        <x:f>IF(E2=0,"",I2/E2)</x:f>
        <x:v>2618.303820932614</x:v>
      </x:c>
      <x:c r="I2" s="31" t="n">
        <x:f>IF(C2=0,"",SUMIF('Species'!$G$2:$G$30,A2,'Species'!$U$2:$U$30))</x:f>
        <x:v>22321685.989804972</x:v>
      </x:c>
      <x:c r="J2" s="32" t="n">
        <x:v>4.415695977439189</x:v>
      </x:c>
      <x:c r="K2" s="32" t="n">
        <x:f>IF(J2="","",(1/'Metadata'!$B$5)^(J2-1))</x:f>
        <x:v>2604.329782386027</x:v>
      </x:c>
      <x:c r="L2" s="31" t="n">
        <x:f>IF(E2=0,"",E2*K2)</x:f>
        <x:v>22202553.863902472</x:v>
      </x:c>
      <x:c r="M2" s="31" t="n">
        <x:f>IF(E2=0,"",I2-L2)</x:f>
        <x:v>119132.1259025</x:v>
      </x:c>
      <x:c r="N2" s="32" t="n">
        <x:f>IF(L2=0,"",I2/L2)</x:f>
        <x:v>1.0053656947138945</x:v>
      </x:c>
      <x:c r="O2" s="34" t="n">
        <x:f>IF(L2=0,"",M2/L2)</x:f>
        <x:v>0.0053656947138945275</x:v>
      </x:c>
    </x:row>
    <x:row r="3" ht="18" customHeight="1">
      <x:c r="A3" s="24" t="str">
        <x:v>Large sharks (&gt;=90 cm)</x:v>
      </x:c>
      <x:c r="B3" s="33" t="n">
        <x:v>7</x:v>
      </x:c>
      <x:c r="C3" s="33" t="n">
        <x:v>7</x:v>
      </x:c>
      <x:c r="D3" s="31" t="n">
        <x:v>462.0985216226</x:v>
      </x:c>
      <x:c r="E3" s="31" t="n">
        <x:v>462.0985216226</x:v>
      </x:c>
      <x:c r="F3" s="32" t="n">
        <x:v>0</x:v>
      </x:c>
      <x:c r="G3" s="34" t="n">
        <x:v>1</x:v>
      </x:c>
      <x:c r="H3" s="32" t="n">
        <x:f>IF(E3=0,"",I3/E3)</x:f>
        <x:v>2280.6936757741546</x:v>
      </x:c>
      <x:c r="I3" s="31" t="n">
        <x:f>IF(C3=0,"",SUMIF('Species'!$G$2:$G$30,A3,'Species'!$U$2:$U$30))</x:f>
        <x:v>1053905.1758492503</x:v>
      </x:c>
      <x:c r="J3" s="32" t="n">
        <x:v>4.35121538544474</x:v>
      </x:c>
      <x:c r="K3" s="32" t="n">
        <x:f>IF(J3="","",(1/'Metadata'!$B$5)^(J3-1))</x:f>
        <x:v>2244.9950380189252</x:v>
      </x:c>
      <x:c r="L3" s="31" t="n">
        <x:f>IF(E3=0,"",E3*K3)</x:f>
        <x:v>1037408.888118618</x:v>
      </x:c>
      <x:c r="M3" s="31" t="n">
        <x:f>IF(E3=0,"",I3-L3)</x:f>
        <x:v>16496.287730632233</x:v>
      </x:c>
      <x:c r="N3" s="32" t="n">
        <x:f>IF(L3=0,"",I3/L3)</x:f>
        <x:v>1.0159014328097273</x:v>
      </x:c>
      <x:c r="O3" s="34" t="n">
        <x:f>IF(L3=0,"",M3/L3)</x:f>
        <x:v>0.015901432809727417</x:v>
      </x:c>
    </x:row>
    <x:row r="4" ht="18" customHeight="1">
      <x:c r="A4" s="24" t="str">
        <x:v>Medium demersals (30 - 89 cm)</x:v>
      </x:c>
      <x:c r="B4" s="33" t="n">
        <x:v>1</x:v>
      </x:c>
      <x:c r="C4" s="33" t="n">
        <x:v>1</x:v>
      </x:c>
      <x:c r="D4" s="31" t="n">
        <x:v>573.1876843746</x:v>
      </x:c>
      <x:c r="E4" s="31" t="n">
        <x:v>573.1876843746</x:v>
      </x:c>
      <x:c r="F4" s="32" t="n">
        <x:v>0</x:v>
      </x:c>
      <x:c r="G4" s="34" t="n">
        <x:v>1</x:v>
      </x:c>
      <x:c r="H4" s="32" t="n">
        <x:f>IF(E4=0,"",I4/E4)</x:f>
        <x:v>190.54607179632464</x:v>
      </x:c>
      <x:c r="I4" s="31" t="n">
        <x:f>IF(C4=0,"",SUMIF('Species'!$G$2:$G$30,A4,'Species'!$U$2:$U$30))</x:f>
        <x:v>109218.66165961161</x:v>
      </x:c>
      <x:c r="J4" s="32" t="n">
        <x:v>3.28</x:v>
      </x:c>
      <x:c r="K4" s="32" t="n">
        <x:f>IF(J4="","",(1/'Metadata'!$B$5)^(J4-1))</x:f>
        <x:v>190.54607179632464</x:v>
      </x:c>
      <x:c r="L4" s="31" t="n">
        <x:f>IF(E4=0,"",E4*K4)</x:f>
        <x:v>109218.66165961161</x:v>
      </x:c>
      <x:c r="M4" s="31" t="n">
        <x:f>IF(E4=0,"",I4-L4)</x:f>
        <x:v>0</x:v>
      </x:c>
      <x:c r="N4" s="32" t="n">
        <x:f>IF(L4=0,"",I4/L4)</x:f>
        <x:v>1</x:v>
      </x:c>
      <x:c r="O4" s="34" t="n">
        <x:f>IF(L4=0,"",M4/L4)</x:f>
        <x:v>0</x:v>
      </x:c>
    </x:row>
    <x:row r="5" ht="18" customHeight="1">
      <x:c r="A5" s="24" t="str">
        <x:v>Medium pelagics (30 - 89 cm)</x:v>
      </x:c>
      <x:c r="B5" s="33" t="n">
        <x:v>4</x:v>
      </x:c>
      <x:c r="C5" s="33" t="n">
        <x:v>4</x:v>
      </x:c>
      <x:c r="D5" s="31" t="n">
        <x:v>229.1861637899</x:v>
      </x:c>
      <x:c r="E5" s="31" t="n">
        <x:v>229.1861637899</x:v>
      </x:c>
      <x:c r="F5" s="32" t="n">
        <x:v>0</x:v>
      </x:c>
      <x:c r="G5" s="34" t="n">
        <x:v>1</x:v>
      </x:c>
      <x:c r="H5" s="32" t="n">
        <x:f>IF(E5=0,"",I5/E5)</x:f>
        <x:v>1210.6182272926064</x:v>
      </x:c>
      <x:c r="I5" s="31" t="n">
        <x:f>IF(C5=0,"",SUMIF('Species'!$G$2:$G$30,A5,'Species'!$U$2:$U$30))</x:f>
        <x:v>277456.9473273217</x:v>
      </x:c>
      <x:c r="J5" s="32" t="n">
        <x:v>3.9599199103470974</x:v>
      </x:c>
      <x:c r="K5" s="32" t="n">
        <x:f>IF(J5="","",(1/'Metadata'!$B$5)^(J5-1))</x:f>
        <x:v>911.8426679882997</x:v>
      </x:c>
      <x:c r="L5" s="31" t="n">
        <x:f>IF(E5=0,"",E5*K5)</x:f>
        <x:v>208981.72305618587</x:v>
      </x:c>
      <x:c r="M5" s="31" t="n">
        <x:f>IF(E5=0,"",I5-L5)</x:f>
        <x:v>68475.22427113581</x:v>
      </x:c>
      <x:c r="N5" s="32" t="n">
        <x:f>IF(L5=0,"",I5/L5)</x:f>
        <x:v>1.327661305829725</x:v>
      </x:c>
      <x:c r="O5" s="34" t="n">
        <x:f>IF(L5=0,"",M5/L5)</x:f>
        <x:v>0.327661305829725</x:v>
      </x:c>
    </x:row>
    <x:row r="6" ht="18" customHeight="1">
      <x:c r="A6" s="24" t="str">
        <x:v>Medium reef assoc. fish (30 - 89 cm)</x:v>
      </x:c>
      <x:c r="B6" s="33" t="n">
        <x:v>1</x:v>
      </x:c>
      <x:c r="C6" s="33" t="n">
        <x:v>1</x:v>
      </x:c>
      <x:c r="D6" s="31" t="n">
        <x:v>16.655908949</x:v>
      </x:c>
      <x:c r="E6" s="31" t="n">
        <x:v>16.655908949</x:v>
      </x:c>
      <x:c r="F6" s="32" t="n">
        <x:v>0</x:v>
      </x:c>
      <x:c r="G6" s="34" t="n">
        <x:v>1</x:v>
      </x:c>
      <x:c r="H6" s="32" t="n">
        <x:f>IF(E6=0,"",I6/E6)</x:f>
        <x:v>33.88441561392024</x:v>
      </x:c>
      <x:c r="I6" s="31" t="n">
        <x:f>IF(C6=0,"",SUMIF('Species'!$G$2:$G$30,A6,'Species'!$U$2:$U$30))</x:f>
        <x:v>564.3757412555294</x:v>
      </x:c>
      <x:c r="J6" s="32" t="n">
        <x:v>2.53</x:v>
      </x:c>
      <x:c r="K6" s="32" t="n">
        <x:f>IF(J6="","",(1/'Metadata'!$B$5)^(J6-1))</x:f>
        <x:v>33.88441561392024</x:v>
      </x:c>
      <x:c r="L6" s="31" t="n">
        <x:f>IF(E6=0,"",E6*K6)</x:f>
        <x:v>564.3757412555294</x:v>
      </x:c>
      <x:c r="M6" s="31" t="n">
        <x:f>IF(E6=0,"",I6-L6)</x:f>
        <x:v>0</x:v>
      </x:c>
      <x:c r="N6" s="32" t="n">
        <x:f>IF(L6=0,"",I6/L6)</x:f>
        <x:v>1</x:v>
      </x:c>
      <x:c r="O6" s="34" t="n">
        <x:f>IF(L6=0,"",M6/L6)</x:f>
        <x:v>0</x:v>
      </x:c>
    </x:row>
    <x:row r="7" ht="18" customHeight="1">
      <x:c r="A7" s="24" t="str">
        <x:v>Other demersal invertebrates</x:v>
      </x:c>
      <x:c r="B7" s="33" t="n">
        <x:v>1</x:v>
      </x:c>
      <x:c r="C7" s="33" t="n">
        <x:v>1</x:v>
      </x:c>
      <x:c r="D7" s="31" t="n">
        <x:v>8.809802572</x:v>
      </x:c>
      <x:c r="E7" s="31" t="n">
        <x:v>8.809802572</x:v>
      </x:c>
      <x:c r="F7" s="32" t="n">
        <x:v>0</x:v>
      </x:c>
      <x:c r="G7" s="34" t="n">
        <x:v>1</x:v>
      </x:c>
      <x:c r="H7" s="32" t="n">
        <x:f>IF(E7=0,"",I7/E7)</x:f>
        <x:v>26.915348039269166</x:v>
      </x:c>
      <x:c r="I7" s="31" t="n">
        <x:f>IF(C7=0,"",SUMIF('Species'!$G$2:$G$30,A7,'Species'!$U$2:$U$30))</x:f>
        <x:v>237.11890238262868</x:v>
      </x:c>
      <x:c r="J7" s="32" t="n">
        <x:v>2.43</x:v>
      </x:c>
      <x:c r="K7" s="32" t="n">
        <x:f>IF(J7="","",(1/'Metadata'!$B$5)^(J7-1))</x:f>
        <x:v>26.915348039269166</x:v>
      </x:c>
      <x:c r="L7" s="31" t="n">
        <x:f>IF(E7=0,"",E7*K7)</x:f>
        <x:v>237.11890238262868</x:v>
      </x:c>
      <x:c r="M7" s="31" t="n">
        <x:f>IF(E7=0,"",I7-L7)</x:f>
        <x:v>0</x:v>
      </x:c>
      <x:c r="N7" s="32" t="n">
        <x:f>IF(L7=0,"",I7/L7)</x:f>
        <x:v>1</x:v>
      </x:c>
      <x:c r="O7" s="34" t="n">
        <x:f>IF(L7=0,"",M7/L7)</x:f>
        <x:v>0</x:v>
      </x:c>
    </x:row>
    <x:row r="8" ht="18" customHeight="1">
      <x:c r="A8" s="24" t="str">
        <x:v>Shrimps</x:v>
      </x:c>
      <x:c r="B8" s="33" t="n">
        <x:v>1</x:v>
      </x:c>
      <x:c r="C8" s="33" t="n">
        <x:v>1</x:v>
      </x:c>
      <x:c r="D8" s="31" t="n">
        <x:v>3.523004777</x:v>
      </x:c>
      <x:c r="E8" s="31" t="n">
        <x:v>3.523004777</x:v>
      </x:c>
      <x:c r="F8" s="32" t="n">
        <x:v>0</x:v>
      </x:c>
      <x:c r="G8" s="34" t="n">
        <x:v>1</x:v>
      </x:c>
      <x:c r="H8" s="32" t="n">
        <x:f>IF(E8=0,"",I8/E8)</x:f>
        <x:v>50.11872336272725</x:v>
      </x:c>
      <x:c r="I8" s="31" t="n">
        <x:f>IF(C8=0,"",SUMIF('Species'!$G$2:$G$30,A8,'Species'!$U$2:$U$30))</x:f>
        <x:v>176.56850182402962</x:v>
      </x:c>
      <x:c r="J8" s="32" t="n">
        <x:v>2.7</x:v>
      </x:c>
      <x:c r="K8" s="32" t="n">
        <x:f>IF(J8="","",(1/'Metadata'!$B$5)^(J8-1))</x:f>
        <x:v>50.11872336272725</x:v>
      </x:c>
      <x:c r="L8" s="31" t="n">
        <x:f>IF(E8=0,"",E8*K8)</x:f>
        <x:v>176.56850182402962</x:v>
      </x:c>
      <x:c r="M8" s="31" t="n">
        <x:f>IF(E8=0,"",I8-L8)</x:f>
        <x:v>0</x:v>
      </x:c>
      <x:c r="N8" s="32" t="n">
        <x:f>IF(L8=0,"",I8/L8)</x:f>
        <x:v>1</x:v>
      </x:c>
      <x:c r="O8" s="34" t="n">
        <x:f>IF(L8=0,"",M8/L8)</x:f>
        <x:v>0</x:v>
      </x:c>
    </x:row>
    <x:row r="9" ht="18" customHeight="1">
      <x:c r="A9" s="24" t="str">
        <x:v>Small reef assoc. fish (&lt;30 cm)</x:v>
      </x:c>
      <x:c r="B9" s="33" t="n">
        <x:v>1</x:v>
      </x:c>
      <x:c r="C9" s="33" t="n">
        <x:v>1</x:v>
      </x:c>
      <x:c r="D9" s="31" t="n">
        <x:v>16.655908949</x:v>
      </x:c>
      <x:c r="E9" s="31" t="n">
        <x:v>16.655908949</x:v>
      </x:c>
      <x:c r="F9" s="32" t="n">
        <x:v>0</x:v>
      </x:c>
      <x:c r="G9" s="34" t="n">
        <x:v>1</x:v>
      </x:c>
      <x:c r="H9" s="32" t="n">
        <x:f>IF(E9=0,"",I9/E9)</x:f>
        <x:v>19.054607179632463</x:v>
      </x:c>
      <x:c r="I9" s="31" t="n">
        <x:f>IF(C9=0,"",SUMIF('Species'!$G$2:$G$30,A9,'Species'!$U$2:$U$30))</x:f>
        <x:v>317.37180224292</x:v>
      </x:c>
      <x:c r="J9" s="32" t="n">
        <x:v>2.28</x:v>
      </x:c>
      <x:c r="K9" s="32" t="n">
        <x:f>IF(J9="","",(1/'Metadata'!$B$5)^(J9-1))</x:f>
        <x:v>19.054607179632463</x:v>
      </x:c>
      <x:c r="L9" s="31" t="n">
        <x:f>IF(E9=0,"",E9*K9)</x:f>
        <x:v>317.37180224292</x:v>
      </x:c>
      <x:c r="M9" s="31" t="n">
        <x:f>IF(E9=0,"",I9-L9)</x:f>
        <x:v>0</x:v>
      </x:c>
      <x:c r="N9" s="32" t="n">
        <x:f>IF(L9=0,"",I9/L9)</x:f>
        <x:v>1</x:v>
      </x:c>
      <x:c r="O9" s="34" t="n">
        <x:f>IF(L9=0,"",M9/L9)</x:f>
        <x:v>0</x:v>
      </x:c>
    </x:row>
  </x:sheetData>
  <x:conditionalFormatting sqref="G2:G9">
    <x:cfRule type="cellIs" dxfId="2" priority="1" operator="lessThan">
      <x:formula>0.9</x:formula>
    </x:cfRule>
  </x:conditionalFormatting>
  <x:conditionalFormatting sqref="O2:O9">
    <x:cfRule type="dataBar" priority="2">
      <x:dataBar>
        <x:cfvo type="min"/>
        <x:cfvo type="max"/>
        <x:color rgb="FFE28A32"/>
      </x:dataBar>
    </x:cfRule>
  </x:conditionalFormatting>
  <x:pageMargins left="0.7" right="0.7" top="0.75" bottom="0.75" header="0.3" footer="0.3"/>
  <x:tableParts count="1">
    <x:tablePart xmlns:r="http://schemas.openxmlformats.org/officeDocument/2006/relationships" r:id="Ra0b41e6c7e584e73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2" hidden="0" customWidth="1"/>
    <x:col min="7" max="7" width="22" hidden="0" customWidth="1"/>
    <x:col min="8" max="8" width="22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36" hidden="0" customWidth="1"/>
    <x:col min="18" max="18" width="22" hidden="0" customWidth="1"/>
    <x:col min="19" max="19" width="22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34" hidden="0" customWidth="1"/>
    <x:col min="3" max="3" width="15" hidden="0" customWidth="1"/>
    <x:col min="4" max="4" width="34" hidden="0" customWidth="1"/>
  </x:cols>
  <x:sheetData>
    <x:row r="1" ht="32" customHeight="1">
      <x:c r="A1" s="29" t="str">
        <x:v>unit_id</x:v>
      </x:c>
      <x:c r="B1" s="29" t="str">
        <x:v>check</x:v>
      </x:c>
      <x:c r="C1" s="29" t="str">
        <x:v>value</x:v>
      </x:c>
      <x:c r="D1" s="29" t="str">
        <x:v>unit</x:v>
      </x:c>
    </x:row>
    <x:row r="2" ht="18" customHeight="1">
      <x:c r="A2" s="24" t="str">
        <x:v>EEZ_772</x:v>
      </x:c>
      <x:c r="B2" s="24" t="str">
        <x:v>raw_filtered_tonnes</x:v>
      </x:c>
      <x:c r="C2" s="24" t="n">
        <x:v>9835.3636877018</x:v>
      </x:c>
      <x:c r="D2" s="24" t="str">
        <x:v>tonnes</x:v>
      </x:c>
    </x:row>
    <x:row r="3" ht="18" customHeight="1">
      <x:c r="A3" s="24" t="str">
        <x:v>EEZ_772</x:v>
      </x:c>
      <x:c r="B3" s="24" t="str">
        <x:v>species_catch_tonnes</x:v>
      </x:c>
      <x:c r="C3" s="24" t="n">
        <x:v>9835.363687701802</x:v>
      </x:c>
      <x:c r="D3" s="24" t="str">
        <x:v>tonnes</x:v>
      </x:c>
    </x:row>
    <x:row r="4" ht="18" customHeight="1">
      <x:c r="A4" s="24" t="str">
        <x:v>EEZ_772</x:v>
      </x:c>
      <x:c r="B4" s="24" t="str">
        <x:v>catch_difference_tonnes</x:v>
      </x:c>
      <x:c r="C4" s="24" t="n">
        <x:v>1.8189894035458565e-12</x:v>
      </x:c>
      <x:c r="D4" s="24" t="str">
        <x:v>tonnes</x:v>
      </x:c>
    </x:row>
    <x:row r="5" ht="18" customHeight="1">
      <x:c r="A5" s="24" t="str">
        <x:v>EEZ_772</x:v>
      </x:c>
      <x:c r="B5" s="24" t="str">
        <x:v>catch_reconciled</x:v>
      </x:c>
      <x:c r="C5" s="35" t="b">
        <x:v>1</x:v>
      </x:c>
      <x:c r="D5" s="24" t="str">
        <x:v>boolean</x:v>
      </x:c>
    </x:row>
    <x:row r="6" ht="18" customHeight="1">
      <x:c r="A6" s="24" t="str">
        <x:v>EEZ_772</x:v>
      </x:c>
      <x:c r="B6" s="24" t="str">
        <x:v>matched_catch_tonnes</x:v>
      </x:c>
      <x:c r="C6" s="24" t="n">
        <x:v>9835.363687701802</x:v>
      </x:c>
      <x:c r="D6" s="24" t="str">
        <x:v>tonnes</x:v>
      </x:c>
    </x:row>
    <x:row r="7" ht="18" customHeight="1">
      <x:c r="A7" s="24" t="str">
        <x:v>EEZ_772</x:v>
      </x:c>
      <x:c r="B7" s="24" t="str">
        <x:v>catch_coverage_fraction</x:v>
      </x:c>
      <x:c r="C7" s="24" t="n">
        <x:v>1</x:v>
      </x:c>
      <x:c r="D7" s="24" t="str">
        <x:v>fraction</x:v>
      </x:c>
    </x:row>
    <x:row r="8" ht="18" customHeight="1">
      <x:c r="A8" s="24" t="str">
        <x:v>EEZ_772</x:v>
      </x:c>
      <x:c r="B8" s="24" t="str">
        <x:v>taxa_count</x:v>
      </x:c>
      <x:c r="C8" s="24" t="n">
        <x:v>29</x:v>
      </x:c>
      <x:c r="D8" s="24" t="str">
        <x:v>count</x:v>
      </x:c>
    </x:row>
    <x:row r="9" ht="18" customHeight="1">
      <x:c r="A9" s="24" t="str">
        <x:v>EEZ_772</x:v>
      </x:c>
      <x:c r="B9" s="24" t="str">
        <x:v>matched_taxa_count</x:v>
      </x:c>
      <x:c r="C9" s="24" t="n">
        <x:v>29</x:v>
      </x:c>
      <x:c r="D9" s="24" t="str">
        <x:v>count</x:v>
      </x:c>
    </x:row>
    <x:row r="10" ht="18" customHeight="1">
      <x:c r="A10" s="24" t="str">
        <x:v>EEZ_772</x:v>
      </x:c>
      <x:c r="B10" s="24" t="str">
        <x:v>unmatched_taxa_count</x:v>
      </x:c>
      <x:c r="C10" s="24" t="n">
        <x:v>0</x:v>
      </x:c>
      <x:c r="D10" s="24" t="str">
        <x:v>count</x:v>
      </x:c>
    </x:row>
    <x:row r="11" ht="18" customHeight="1">
      <x:c r="A11" s="24" t="str">
        <x:v>EEZ_772</x:v>
      </x:c>
      <x:c r="B11" s="24" t="str">
        <x:v>species_ppr</x:v>
      </x:c>
      <x:c r="C11" s="24" t="n">
        <x:v>23763562.20958886</x:v>
      </x:c>
      <x:c r="D11" s="24" t="str">
        <x:v>tonnes_primary_production_equivalent</x:v>
      </x:c>
    </x:row>
    <x:row r="12" ht="18" customHeight="1">
      <x:c r="A12" s="24" t="str">
        <x:v>EEZ_772</x:v>
      </x:c>
      <x:c r="B12" s="24" t="str">
        <x:v>commercial_ppr</x:v>
      </x:c>
      <x:c r="C12" s="24" t="n">
        <x:v>23763562.209588863</x:v>
      </x:c>
      <x:c r="D12" s="24" t="str">
        <x:v>tonnes_primary_production_equivalent</x:v>
      </x:c>
    </x:row>
    <x:row r="13" ht="18" customHeight="1">
      <x:c r="A13" s="24" t="str">
        <x:v>EEZ_772</x:v>
      </x:c>
      <x:c r="B13" s="24" t="str">
        <x:v>functional_ppr</x:v>
      </x:c>
      <x:c r="C13" s="24" t="n">
        <x:v>23763562.209588863</x:v>
      </x:c>
      <x:c r="D13" s="24" t="str">
        <x:v>tonnes_primary_production_equivalent</x:v>
      </x:c>
    </x:row>
    <x:row r="14" ht="18" customHeight="1">
      <x:c r="A14" s="24" t="str">
        <x:v>EEZ_772</x:v>
      </x:c>
      <x:c r="B14" s="24" t="str">
        <x:v>commercial_ppr_difference</x:v>
      </x:c>
      <x:c r="C14" s="24" t="n">
        <x:v>3.725290298461914e-9</x:v>
      </x:c>
      <x:c r="D14" s="24" t="str">
        <x:v>tonnes_primary_production_equivalent</x:v>
      </x:c>
    </x:row>
    <x:row r="15" ht="18" customHeight="1">
      <x:c r="A15" s="24" t="str">
        <x:v>EEZ_772</x:v>
      </x:c>
      <x:c r="B15" s="24" t="str">
        <x:v>functional_ppr_difference</x:v>
      </x:c>
      <x:c r="C15" s="24" t="n">
        <x:v>3.725290298461914e-9</x:v>
      </x:c>
      <x:c r="D15" s="24" t="str">
        <x:v>tonnes_primary_production_equivalent</x:v>
      </x:c>
    </x:row>
    <x:row r="16" ht="18" customHeight="1">
      <x:c r="A16" s="24" t="str">
        <x:v>EEZ_772</x:v>
      </x:c>
      <x:c r="B16" s="24" t="str">
        <x:v>commercial_ppr_reconciled</x:v>
      </x:c>
      <x:c r="C16" s="35" t="b">
        <x:v>1</x:v>
      </x:c>
      <x:c r="D16" s="24" t="str">
        <x:v>boolean</x:v>
      </x:c>
    </x:row>
    <x:row r="17" ht="18" customHeight="1">
      <x:c r="A17" s="24" t="str">
        <x:v>EEZ_772</x:v>
      </x:c>
      <x:c r="B17" s="24" t="str">
        <x:v>functional_ppr_reconciled</x:v>
      </x:c>
      <x:c r="C17" s="35" t="b">
        <x:v>1</x:v>
      </x:c>
      <x:c r="D17" s="24" t="str">
        <x:v>boolean</x:v>
      </x:c>
    </x:row>
    <x:row r="18" ht="18" customHeight="1">
      <x:c r="A18" s="24" t="str">
        <x:v>EEZ_772</x:v>
      </x:c>
      <x:c r="B18" s="24" t="str">
        <x:v>commercial_jensen_violations</x:v>
      </x:c>
      <x:c r="C18" s="24" t="n">
        <x:v>0</x:v>
      </x:c>
      <x:c r="D18" s="24" t="str">
        <x:v>count</x:v>
      </x:c>
    </x:row>
    <x:row r="19" ht="18" customHeight="1">
      <x:c r="A19" s="24" t="str">
        <x:v>EEZ_772</x:v>
      </x:c>
      <x:c r="B19" s="24" t="str">
        <x:v>functional_jensen_violations</x:v>
      </x:c>
      <x:c r="C19" s="24" t="n">
        <x:v>0</x:v>
      </x:c>
      <x:c r="D19" s="24" t="str">
        <x:v>count</x:v>
      </x:c>
    </x:row>
  </x:sheetData>
  <x:pageMargins left="0.7" right="0.7" top="0.75" bottom="0.75" header="0.3" footer="0.3"/>
  <x:tableParts count="1">
    <x:tablePart xmlns:r="http://schemas.openxmlformats.org/officeDocument/2006/relationships" r:id="Ra6108cdc32354be2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28" hidden="0" customWidth="1"/>
    <x:col min="3" max="3" width="68" hidden="0" customWidth="1"/>
  </x:cols>
  <x:sheetData>
    <x:row r="1" ht="30" customHeight="1">
      <x:c r="A1" s="3" t="str">
        <x:v>EEZ_772 - Tokelau (New Zealand)</x:v>
      </x:c>
      <x:c r="B1" s="3"/>
      <x:c r="C1" s="3"/>
    </x:row>
    <x:row r="3">
      <x:c r="A3" s="7" t="str">
        <x:v>Field</x:v>
      </x:c>
      <x:c r="B3" s="8" t="str">
        <x:v>Value</x:v>
      </x:c>
      <x:c r="C3" s="9" t="str">
        <x:v>Notes / source</x:v>
      </x:c>
    </x:row>
    <x:row r="4">
      <x:c r="A4" s="22" t="str">
        <x:v>Unit ID</x:v>
      </x:c>
      <x:c r="B4" s="17" t="str">
        <x:v>EEZ_772</x:v>
      </x:c>
      <x:c r="C4" s="18" t="str">
        <x:v>Sea Around Us region identifier</x:v>
      </x:c>
    </x:row>
    <x:row r="5">
      <x:c r="A5" s="22" t="str">
        <x:v>Transfer efficiency</x:v>
      </x:c>
      <x:c r="B5" s="36" t="n">
        <x:v>0.1</x:v>
      </x:c>
      <x:c r="C5" s="18" t="str">
        <x:v>Used by every SPPR formula</x:v>
      </x:c>
    </x:row>
    <x:row r="6">
      <x:c r="A6" s="22" t="str">
        <x:v>Year</x:v>
      </x:c>
      <x:c r="B6" s="17" t="n">
        <x:v>2019</x:v>
      </x:c>
      <x:c r="C6" s="18" t="str">
        <x:v>Latest year common to all 282 datasets</x:v>
      </x:c>
    </x:row>
    <x:row r="7">
      <x:c r="A7" s="22" t="str">
        <x:v>Region type</x:v>
      </x:c>
      <x:c r="B7" s="17" t="str">
        <x:v>EEZ</x:v>
      </x:c>
      <x:c r="C7" s="18" t="str">
        <x:v>Sea Around Us spatial classification</x:v>
      </x:c>
    </x:row>
    <x:row r="8">
      <x:c r="A8" s="22" t="str">
        <x:v>Catch scope</x:v>
      </x:c>
      <x:c r="B8" s="17" t="str">
        <x:v>Landings + Discards</x:v>
      </x:c>
      <x:c r="C8" s="18" t="str">
        <x:v>Reported + unreported; all sectors, gears, entities, and end uses</x:v>
      </x:c>
    </x:row>
    <x:row r="9">
      <x:c r="A9" s="22" t="str">
        <x:v>SPPR formula</x:v>
      </x:c>
      <x:c r="B9" s="17" t="str">
        <x:v>(1 / TE)^(TL - 1)</x:v>
      </x:c>
      <x:c r="C9" s="18" t="str">
        <x:v>TE is the Metadata!B5 value</x:v>
      </x:c>
    </x:row>
    <x:row r="10">
      <x:c r="A10" s="22" t="str">
        <x:v>PPR formula</x:v>
      </x:c>
      <x:c r="B10" s="17" t="str">
        <x:v>Catch tonnes × SPPR</x:v>
      </x:c>
      <x:c r="C10" s="18" t="str">
        <x:v>Unit: tonnes primary-production equivalent</x:v>
      </x:c>
    </x:row>
    <x:row r="11">
      <x:c r="A11" s="22" t="str">
        <x:v>Wet-weight/carbon divisor</x:v>
      </x:c>
      <x:c r="B11" s="17" t="str">
        <x:v>Not applied</x:v>
      </x:c>
      <x:c r="C11" s="18" t="str">
        <x:v>The paper's /9 conversion is intentionally omitted</x:v>
      </x:c>
    </x:row>
    <x:row r="12">
      <x:c r="A12" s="22" t="str">
        <x:v>Primary TL source</x:v>
      </x:c>
      <x:c r="B12" s="17" t="str">
        <x:v>2020 supplement MeanTL</x:v>
      </x:c>
      <x:c r="C12" s="18" t="str">
        <x:v>No SPPR regression from the supplement is used</x:v>
      </x:c>
    </x:row>
    <x:row r="13">
      <x:c r="A13" s="22" t="str">
        <x:v>Secondary TL source</x:v>
      </x:c>
      <x:c r="B13" s="17" t="str">
        <x:v>Sea Around Us exploited organisms</x:v>
      </x:c>
      <x:c r="C13" s="18" t="str">
        <x:v>Exact taxon matches, followed by documented fallbacks</x:v>
      </x:c>
    </x:row>
    <x:row r="14">
      <x:c r="A14" s="22" t="str">
        <x:v>Catch data URL</x:v>
      </x:c>
      <x:c r="B14" s="17" t="str">
        <x:v>https://www.seaaroundus.org/data/</x:v>
      </x:c>
      <x:c r="C14" s="18" t="str">
        <x:v>Frozen archive: raw_data/SAU_downloads/EEZ_772-catch.zip</x:v>
      </x:c>
    </x:row>
    <x:row r="15">
      <x:c r="A15" s="23" t="str">
        <x:v>Method source</x:v>
      </x:c>
      <x:c r="B15" s="20" t="str">
        <x:v>Pauly &amp; Christensen (1995)</x:v>
      </x:c>
      <x:c r="C15" s="21" t="str">
        <x:v>Nature 374:255-257</x:v>
      </x:c>
    </x:row>
  </x:sheetData>
  <x:mergeCells>
    <x:mergeCell ref="A1:C1"/>
  </x:mergeCells>
  <x:pageMargins left="0.7" right="0.7" top="0.75" bottom="0.75" header="0.3" footer="0.3"/>
</x:worksheet>
</file>