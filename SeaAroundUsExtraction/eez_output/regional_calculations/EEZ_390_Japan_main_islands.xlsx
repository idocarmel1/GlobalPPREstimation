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74dd1cd90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7059016da5642d3"/>
    <x:sheet xmlns:r="http://schemas.openxmlformats.org/officeDocument/2006/relationships" name="Commercial" sheetId="2" r:id="Rb699a321ef9d4f82"/>
    <x:sheet xmlns:r="http://schemas.openxmlformats.org/officeDocument/2006/relationships" name="Functional" sheetId="3" r:id="Rad79a6b10a1d4411"/>
    <x:sheet xmlns:r="http://schemas.openxmlformats.org/officeDocument/2006/relationships" name="Missing TL" sheetId="4" r:id="Rfc588dd538c74671"/>
    <x:sheet xmlns:r="http://schemas.openxmlformats.org/officeDocument/2006/relationships" name="Validation" sheetId="5" r:id="R6d46f2542c7a4bf8"/>
    <x:sheet xmlns:r="http://schemas.openxmlformats.org/officeDocument/2006/relationships" name="Metadata" sheetId="6" r:id="Re471360ef56e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ef7ee2c2e42d1" /><Relationship Type="http://schemas.openxmlformats.org/officeDocument/2006/relationships/theme" Target="/xl/theme/theme1.xml" Id="R268d854f4d1840e9" /><Relationship Type="http://schemas.microsoft.com/office/2022/11/relationships/FeaturePropertyBag" Target="/xl/featurePropertyBag/featurePropertyBag.xml" Id="R5e1c5c8ae33542e2" /><Relationship Type="http://schemas.openxmlformats.org/officeDocument/2006/relationships/sharedStrings" Target="/xl/sharedStrings.xml" Id="Rf8adecdfd7c64bce" /><Relationship Type="http://schemas.openxmlformats.org/officeDocument/2006/relationships/worksheet" Target="/xl/worksheets/sheet1.xml" Id="R97059016da5642d3" /><Relationship Type="http://schemas.openxmlformats.org/officeDocument/2006/relationships/worksheet" Target="/xl/worksheets/sheet2.xml" Id="Rb699a321ef9d4f82" /><Relationship Type="http://schemas.openxmlformats.org/officeDocument/2006/relationships/worksheet" Target="/xl/worksheets/sheet3.xml" Id="Rad79a6b10a1d4411" /><Relationship Type="http://schemas.openxmlformats.org/officeDocument/2006/relationships/worksheet" Target="/xl/worksheets/sheet4.xml" Id="Rfc588dd538c74671" /><Relationship Type="http://schemas.openxmlformats.org/officeDocument/2006/relationships/worksheet" Target="/xl/worksheets/sheet5.xml" Id="R6d46f2542c7a4bf8" /><Relationship Type="http://schemas.openxmlformats.org/officeDocument/2006/relationships/worksheet" Target="/xl/worksheets/sheet6.xml" Id="Re471360ef56e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90SpeciesTable" displayName="EEZ390SpeciesTable" ref="A1:U179" headerRowCount="1" totalsRowCount="0" totalsRowShown="0">
  <x:autoFilter ref="A1:U17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90CommercialTable" displayName="EEZ39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90FunctionalTable" displayName="EEZ390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90ValidationTable" displayName="EEZ39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792778b3f14b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457ade354542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1af140bec14e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040dc3b5a743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EEZ_390</x:v>
      </x:c>
      <x:c r="B2" s="24" t="str">
        <x:v>Japan (main islands)</x:v>
      </x:c>
      <x:c r="C2" s="24" t="str">
        <x:v>EEZ</x:v>
      </x:c>
      <x:c r="D2" s="30" t="n">
        <x:v>2019</x:v>
      </x:c>
      <x:c r="E2" s="24" t="str">
        <x:v>Sardinops sagax</x:v>
      </x:c>
      <x:c r="F2" s="24" t="str">
        <x:v>South American pilchard</x:v>
      </x:c>
      <x:c r="G2" s="24" t="str">
        <x:v>Medium pelagics (30 - 89 cm)</x:v>
      </x:c>
      <x:c r="H2" s="24" t="str">
        <x:v>Herring-likes</x:v>
      </x:c>
      <x:c r="I2" s="31" t="n">
        <x:v>1013558.9010834243</x:v>
      </x:c>
      <x:c r="J2" s="31" t="n">
        <x:v>1012959.8422266353</x:v>
      </x:c>
      <x:c r="K2" s="31" t="n">
        <x:v>599.058856789</x:v>
      </x:c>
      <x:c r="L2" s="31" t="n">
        <x:v>1012959.8422266353</x:v>
      </x:c>
      <x:c r="M2" s="31" t="n">
        <x:v>599.058856789</x:v>
      </x:c>
      <x:c r="N2" s="24" t="str">
        <x:v>sardinops sagax</x:v>
      </x:c>
      <x:c r="O2" s="32" t="n">
        <x:v>2.84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Sardinops sagax</x:v>
      </x:c>
      <x:c r="T2" s="32" t="n">
        <x:f>IF(O2="","",(1/'Metadata'!$B$5)^(O2-1))</x:f>
        <x:v>69.18309709189363</x:v>
      </x:c>
      <x:c r="U2" s="31" t="n">
        <x:f>IF(T2="","",I2*T2)</x:f>
        <x:v>70121143.86200756</x:v>
      </x:c>
    </x:row>
    <x:row r="3" ht="18" customHeight="1">
      <x:c r="A3" s="24" t="str">
        <x:v>EEZ_390</x:v>
      </x:c>
      <x:c r="B3" s="24" t="str">
        <x:v>Japan (main islands)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681980.4562713099</x:v>
      </x:c>
      <x:c r="J3" s="31" t="n">
        <x:v>578342.9433679864</x:v>
      </x:c>
      <x:c r="K3" s="31" t="n">
        <x:v>103637.5129033235</x:v>
      </x:c>
      <x:c r="L3" s="31" t="n">
        <x:v>567704.8607647135</x:v>
      </x:c>
      <x:c r="M3" s="31" t="n">
        <x:v>114275.5955065964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129948696.98436324</x:v>
      </x:c>
    </x:row>
    <x:row r="4" ht="18" customHeight="1">
      <x:c r="A4" s="24" t="str">
        <x:v>EEZ_390</x:v>
      </x:c>
      <x:c r="B4" s="24" t="str">
        <x:v>Japan (main islands)</x:v>
      </x:c>
      <x:c r="C4" s="24" t="str">
        <x:v>EEZ</x:v>
      </x:c>
      <x:c r="D4" s="30" t="n">
        <x:v>2019</x:v>
      </x:c>
      <x:c r="E4" s="24" t="str">
        <x:v>Scomber</x:v>
      </x:c>
      <x:c r="F4" s="24" t="str">
        <x:v>Chub mackerels</x:v>
      </x:c>
      <x:c r="G4" s="24" t="str">
        <x:v>Medium pelagics (30 - 89 cm)</x:v>
      </x:c>
      <x:c r="H4" s="24" t="str">
        <x:v>Perch-likes</x:v>
      </x:c>
      <x:c r="I4" s="31" t="n">
        <x:v>501693.02814620076</x:v>
      </x:c>
      <x:c r="J4" s="31" t="n">
        <x:v>495981.3212061309</x:v>
      </x:c>
      <x:c r="K4" s="31" t="n">
        <x:v>5711.7069400699</x:v>
      </x:c>
      <x:c r="L4" s="31" t="n">
        <x:v>476968.610240186</x:v>
      </x:c>
      <x:c r="M4" s="31" t="n">
        <x:v>24724.417906014798</x:v>
      </x:c>
      <x:c r="N4" s="24" t="str">
        <x:v>scomber</x:v>
      </x:c>
      <x:c r="O4" s="32" t="n">
        <x:v>3.65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Scomber</x:v>
      </x:c>
      <x:c r="T4" s="32" t="n">
        <x:f>IF(O4="","",(1/'Metadata'!$B$5)^(O4-1))</x:f>
        <x:v>446.683592150963</x:v>
      </x:c>
      <x:c r="U4" s="31" t="n">
        <x:f>IF(T4="","",I4*T4)</x:f>
        <x:v>224098043.96943915</x:v>
      </x:c>
    </x:row>
    <x:row r="5" ht="18" customHeight="1">
      <x:c r="A5" s="24" t="str">
        <x:v>EEZ_390</x:v>
      </x:c>
      <x:c r="B5" s="24" t="str">
        <x:v>Japan (main islands)</x:v>
      </x:c>
      <x:c r="C5" s="24" t="str">
        <x:v>EEZ</x:v>
      </x:c>
      <x:c r="D5" s="30" t="n">
        <x:v>2019</x:v>
      </x:c>
      <x:c r="E5" s="24" t="str">
        <x:v>Engraulis japonicus</x:v>
      </x:c>
      <x:c r="F5" s="24" t="str">
        <x:v>Japanese anchovy</x:v>
      </x:c>
      <x:c r="G5" s="24" t="str">
        <x:v>Small pelagics (&lt;30 cm)</x:v>
      </x:c>
      <x:c r="H5" s="24" t="str">
        <x:v>Anchovies</x:v>
      </x:c>
      <x:c r="I5" s="31" t="n">
        <x:v>469134.1211878016</x:v>
      </x:c>
      <x:c r="J5" s="31" t="n">
        <x:v>450079.1621941285</x:v>
      </x:c>
      <x:c r="K5" s="31" t="n">
        <x:v>19054.9589936731</x:v>
      </x:c>
      <x:c r="L5" s="31" t="n">
        <x:v>450079.1621941285</x:v>
      </x:c>
      <x:c r="M5" s="31" t="n">
        <x:v>19054.9589936731</x:v>
      </x:c>
      <x:c r="N5" s="24" t="str">
        <x:v>engraulis japonicus</x:v>
      </x:c>
      <x:c r="O5" s="32" t="n">
        <x:v>3.14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japonicus</x:v>
      </x:c>
      <x:c r="T5" s="32" t="n">
        <x:f>IF(O5="","",(1/'Metadata'!$B$5)^(O5-1))</x:f>
        <x:v>138.03842646028852</x:v>
      </x:c>
      <x:c r="U5" s="31" t="n">
        <x:f>IF(T5="","",I5*T5)</x:f>
        <x:v>64758535.88759443</x:v>
      </x:c>
    </x:row>
    <x:row r="6" ht="18" customHeight="1">
      <x:c r="A6" s="24" t="str">
        <x:v>EEZ_390</x:v>
      </x:c>
      <x:c r="B6" s="24" t="str">
        <x:v>Japan (main islands)</x:v>
      </x:c>
      <x:c r="C6" s="24" t="str">
        <x:v>EEZ</x:v>
      </x:c>
      <x:c r="D6" s="30" t="n">
        <x:v>2019</x:v>
      </x:c>
      <x:c r="E6" s="24" t="str">
        <x:v>Pectinidae</x:v>
      </x:c>
      <x:c r="F6" s="24" t="str">
        <x:v>Scallops</x:v>
      </x:c>
      <x:c r="G6" s="24" t="str">
        <x:v>Other demersal invertebrates</x:v>
      </x:c>
      <x:c r="H6" s="24" t="str">
        <x:v>Molluscs</x:v>
      </x:c>
      <x:c r="I6" s="31" t="n">
        <x:v>434254.7650317353</x:v>
      </x:c>
      <x:c r="J6" s="31" t="n">
        <x:v>339400.0000000004</x:v>
      </x:c>
      <x:c r="K6" s="31" t="n">
        <x:v>94854.7650317349</x:v>
      </x:c>
      <x:c r="L6" s="31" t="n">
        <x:v>339400.0000000004</x:v>
      </x:c>
      <x:c r="M6" s="31" t="n">
        <x:v>94854.7650317349</x:v>
      </x:c>
      <x:c r="N6" s="24" t="str">
        <x:v>pectinidae</x:v>
      </x:c>
      <x:c r="O6" s="32" t="n">
        <x:v>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Pectinidae</x:v>
      </x:c>
      <x:c r="T6" s="32" t="n">
        <x:f>IF(O6="","",(1/'Metadata'!$B$5)^(O6-1))</x:f>
        <x:v>10</x:v>
      </x:c>
      <x:c r="U6" s="31" t="n">
        <x:f>IF(T6="","",I6*T6)</x:f>
        <x:v>4342547.650317353</x:v>
      </x:c>
    </x:row>
    <x:row r="7" ht="18" customHeight="1">
      <x:c r="A7" s="24" t="str">
        <x:v>EEZ_390</x:v>
      </x:c>
      <x:c r="B7" s="24" t="str">
        <x:v>Japan (main islands)</x:v>
      </x:c>
      <x:c r="C7" s="24" t="str">
        <x:v>EEZ</x:v>
      </x:c>
      <x:c r="D7" s="30" t="n">
        <x:v>2019</x:v>
      </x:c>
      <x:c r="E7" s="24" t="str">
        <x:v>Gadus chalcogrammus</x:v>
      </x:c>
      <x:c r="F7" s="24" t="str">
        <x:v>Alaska pollock</x:v>
      </x:c>
      <x:c r="G7" s="24" t="str">
        <x:v>Medium benthopelagics (30 - 89 cm)</x:v>
      </x:c>
      <x:c r="H7" s="24" t="str">
        <x:v>Cod-likes</x:v>
      </x:c>
      <x:c r="I7" s="31" t="n">
        <x:v>188413.8064641264</x:v>
      </x:c>
      <x:c r="J7" s="31" t="n">
        <x:v>156892.1554187048</x:v>
      </x:c>
      <x:c r="K7" s="31" t="n">
        <x:v>31521.651045421597</x:v>
      </x:c>
      <x:c r="L7" s="31" t="n">
        <x:v>156892.1554187048</x:v>
      </x:c>
      <x:c r="M7" s="31" t="n">
        <x:v>31521.651045421597</x:v>
      </x:c>
      <x:c r="N7" s="24" t="str">
        <x:v>gadus chalcogrammus</x:v>
      </x:c>
      <x:c r="O7" s="32" t="n">
        <x:v>3.57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Gadus chalcogrammus</x:v>
      </x:c>
      <x:c r="T7" s="32" t="n">
        <x:f>IF(O7="","",(1/'Metadata'!$B$5)^(O7-1))</x:f>
        <x:v>371.5352290971724</x:v>
      </x:c>
      <x:c r="U7" s="31" t="n">
        <x:f>IF(T7="","",I7*T7)</x:f>
        <x:v>70002366.7497195</x:v>
      </x:c>
    </x:row>
    <x:row r="8" ht="18" customHeight="1">
      <x:c r="A8" s="24" t="str">
        <x:v>EEZ_390</x:v>
      </x:c>
      <x:c r="B8" s="24" t="str">
        <x:v>Japan (main islands)</x:v>
      </x:c>
      <x:c r="C8" s="24" t="str">
        <x:v>EEZ</x:v>
      </x:c>
      <x:c r="D8" s="30" t="n">
        <x:v>2019</x:v>
      </x:c>
      <x:c r="E8" s="24" t="str">
        <x:v>Cololabis saira</x:v>
      </x:c>
      <x:c r="F8" s="24" t="str">
        <x:v>Pacific saury</x:v>
      </x:c>
      <x:c r="G8" s="24" t="str">
        <x:v>Medium pelagics (30 - 89 cm)</x:v>
      </x:c>
      <x:c r="H8" s="24" t="str">
        <x:v>Other fishes &amp; inverts</x:v>
      </x:c>
      <x:c r="I8" s="31" t="n">
        <x:v>186479.2066437988</x:v>
      </x:c>
      <x:c r="J8" s="31" t="n">
        <x:v>179622.8559124535</x:v>
      </x:c>
      <x:c r="K8" s="31" t="n">
        <x:v>6856.3507313453</x:v>
      </x:c>
      <x:c r="L8" s="31" t="n">
        <x:v>160303.4789571659</x:v>
      </x:c>
      <x:c r="M8" s="31" t="n">
        <x:v>26175.7276866329</x:v>
      </x:c>
      <x:c r="N8" s="24" t="str">
        <x:v>cololabis saira</x:v>
      </x:c>
      <x:c r="O8" s="32" t="n">
        <x:v>3.71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Cololabis saira</x:v>
      </x:c>
      <x:c r="T8" s="32" t="n">
        <x:f>IF(O8="","",(1/'Metadata'!$B$5)^(O8-1))</x:f>
        <x:v>512.8613839913648</x:v>
      </x:c>
      <x:c r="U8" s="31" t="n">
        <x:f>IF(T8="","",I8*T8)</x:f>
        <x:v>95637984.00495037</x:v>
      </x:c>
    </x:row>
    <x:row r="9" ht="18" customHeight="1">
      <x:c r="A9" s="24" t="str">
        <x:v>EEZ_390</x:v>
      </x:c>
      <x:c r="B9" s="24" t="str">
        <x:v>Japan (main islands)</x:v>
      </x:c>
      <x:c r="C9" s="24" t="str">
        <x:v>EEZ</x:v>
      </x:c>
      <x:c r="D9" s="30" t="n">
        <x:v>2019</x:v>
      </x:c>
      <x:c r="E9" s="24" t="str">
        <x:v>Trachurus japonicus</x:v>
      </x:c>
      <x:c r="F9" s="24" t="str">
        <x:v>Japanese jack mackerel</x:v>
      </x:c>
      <x:c r="G9" s="24" t="str">
        <x:v>Medium demersals (30 - 89 cm)</x:v>
      </x:c>
      <x:c r="H9" s="24" t="str">
        <x:v>Perch-likes</x:v>
      </x:c>
      <x:c r="I9" s="31" t="n">
        <x:v>175401.1234706783</x:v>
      </x:c>
      <x:c r="J9" s="31" t="n">
        <x:v>171779.7196693752</x:v>
      </x:c>
      <x:c r="K9" s="31" t="n">
        <x:v>3621.4038013030995</x:v>
      </x:c>
      <x:c r="L9" s="31" t="n">
        <x:v>165389.1246212186</x:v>
      </x:c>
      <x:c r="M9" s="31" t="n">
        <x:v>10011.9988494597</x:v>
      </x:c>
      <x:c r="N9" s="24" t="str">
        <x:v>trachurus japonicus</x:v>
      </x:c>
      <x:c r="O9" s="32" t="n">
        <x:v>3.4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japonicus</x:v>
      </x:c>
      <x:c r="T9" s="32" t="n">
        <x:f>IF(O9="","",(1/'Metadata'!$B$5)^(O9-1))</x:f>
        <x:v>251.18864315095797</x:v>
      </x:c>
      <x:c r="U9" s="31" t="n">
        <x:f>IF(T9="","",I9*T9)</x:f>
        <x:v>44058770.21175333</x:v>
      </x:c>
    </x:row>
    <x:row r="10" ht="18" customHeight="1">
      <x:c r="A10" s="24" t="str">
        <x:v>EEZ_390</x:v>
      </x:c>
      <x:c r="B10" s="24" t="str">
        <x:v>Japan (main islands)</x:v>
      </x:c>
      <x:c r="C10" s="24" t="str">
        <x:v>EEZ</x:v>
      </x:c>
      <x:c r="D10" s="30" t="n">
        <x:v>2019</x:v>
      </x:c>
      <x:c r="E10" s="24" t="str">
        <x:v>Scomber japonicus</x:v>
      </x:c>
      <x:c r="F10" s="24" t="str">
        <x:v>Pacific chub mackerel</x:v>
      </x:c>
      <x:c r="G10" s="24" t="str">
        <x:v>Medium pelagics (30 - 89 cm)</x:v>
      </x:c>
      <x:c r="H10" s="24" t="str">
        <x:v>Perch-likes</x:v>
      </x:c>
      <x:c r="I10" s="31" t="n">
        <x:v>165406.21305217312</x:v>
      </x:c>
      <x:c r="J10" s="31" t="n">
        <x:v>165406.21305217312</x:v>
      </x:c>
      <x:c r="K10" s="31" t="n">
        <x:v>0</x:v>
      </x:c>
      <x:c r="L10" s="31" t="n">
        <x:v>165406.21305217312</x:v>
      </x:c>
      <x:c r="M10" s="31" t="n">
        <x:v>0</x:v>
      </x:c>
      <x:c r="N10" s="24" t="str">
        <x:v>scomber japonicus</x:v>
      </x:c>
      <x:c r="O10" s="32" t="n">
        <x:v>3.38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japonicus</x:v>
      </x:c>
      <x:c r="T10" s="32" t="n">
        <x:f>IF(O10="","",(1/'Metadata'!$B$5)^(O10-1))</x:f>
        <x:v>239.88329190194898</x:v>
      </x:c>
      <x:c r="U10" s="31" t="n">
        <x:f>IF(T10="","",I10*T10)</x:f>
        <x:v>39678186.88799041</x:v>
      </x:c>
    </x:row>
    <x:row r="11" ht="18" customHeight="1">
      <x:c r="A11" s="24" t="str">
        <x:v>EEZ_390</x:v>
      </x:c>
      <x:c r="B11" s="24" t="str">
        <x:v>Japan (main islands)</x:v>
      </x:c>
      <x:c r="C11" s="24" t="str">
        <x:v>EEZ</x:v>
      </x:c>
      <x:c r="D11" s="30" t="n">
        <x:v>2019</x:v>
      </x:c>
      <x:c r="E11" s="24" t="str">
        <x:v>Oncorhynchus</x:v>
      </x:c>
      <x:c r="F11" s="24" t="str">
        <x:v>Salmons, trouts</x:v>
      </x:c>
      <x:c r="G11" s="24" t="str">
        <x:v>Large benthopelagics (&gt;=90 cm)</x:v>
      </x:c>
      <x:c r="H11" s="24" t="str">
        <x:v>Salmon, smelts, etc</x:v>
      </x:c>
      <x:c r="I11" s="31" t="n">
        <x:v>118391.68956647361</x:v>
      </x:c>
      <x:c r="J11" s="31" t="n">
        <x:v>95384.9999999999</x:v>
      </x:c>
      <x:c r="K11" s="31" t="n">
        <x:v>23006.689566473702</x:v>
      </x:c>
      <x:c r="L11" s="31" t="n">
        <x:v>95384.9999999999</x:v>
      </x:c>
      <x:c r="M11" s="31" t="n">
        <x:v>23006.689566473702</x:v>
      </x:c>
      <x:c r="N11" s="24" t="str">
        <x:v>oncorhynchus</x:v>
      </x:c>
      <x:c r="O11" s="32" t="n">
        <x:v>3.95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Oncorhynchus</x:v>
      </x:c>
      <x:c r="T11" s="32" t="n">
        <x:f>IF(O11="","",(1/'Metadata'!$B$5)^(O11-1))</x:f>
        <x:v>891.2509381337459</x:v>
      </x:c>
      <x:c r="U11" s="31" t="n">
        <x:f>IF(T11="","",I11*T11)</x:f>
        <x:v>105516704.39335881</x:v>
      </x:c>
    </x:row>
    <x:row r="12" ht="18" customHeight="1">
      <x:c r="A12" s="24" t="str">
        <x:v>EEZ_390</x:v>
      </x:c>
      <x:c r="B12" s="24" t="str">
        <x:v>Japan (main islands)</x:v>
      </x:c>
      <x:c r="C12" s="24" t="str">
        <x:v>EEZ</x:v>
      </x:c>
      <x:c r="D12" s="30" t="n">
        <x:v>2019</x:v>
      </x:c>
      <x:c r="E12" s="24" t="str">
        <x:v>Seriola</x:v>
      </x:c>
      <x:c r="F12" s="24" t="str">
        <x:v>Amberjacks</x:v>
      </x:c>
      <x:c r="G12" s="24" t="str">
        <x:v>Large benthopelagics (&gt;=90 cm)</x:v>
      </x:c>
      <x:c r="H12" s="24" t="str">
        <x:v>Perch-likes</x:v>
      </x:c>
      <x:c r="I12" s="31" t="n">
        <x:v>117975.2799384184</x:v>
      </x:c>
      <x:c r="J12" s="31" t="n">
        <x:v>114080.9448257277</x:v>
      </x:c>
      <x:c r="K12" s="31" t="n">
        <x:v>3894.3351126907</x:v>
      </x:c>
      <x:c r="L12" s="31" t="n">
        <x:v>109161.0449123699</x:v>
      </x:c>
      <x:c r="M12" s="31" t="n">
        <x:v>8814.2350260485</x:v>
      </x:c>
      <x:c r="N12" s="24" t="str">
        <x:v>seriola</x:v>
      </x:c>
      <x:c r="O12" s="32" t="n">
        <x:v>4.39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Seriola</x:v>
      </x:c>
      <x:c r="T12" s="32" t="n">
        <x:f>IF(O12="","",(1/'Metadata'!$B$5)^(O12-1))</x:f>
        <x:v>2454.7089156850284</x:v>
      </x:c>
      <x:c r="U12" s="31" t="n">
        <x:f>IF(T12="","",I12*T12)</x:f>
        <x:v>289594971.4952727</x:v>
      </x:c>
    </x:row>
    <x:row r="13" ht="18" customHeight="1">
      <x:c r="A13" s="24" t="str">
        <x:v>EEZ_390</x:v>
      </x:c>
      <x:c r="B13" s="24" t="str">
        <x:v>Japan (main islands)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115967.9891409251</x:v>
      </x:c>
      <x:c r="J13" s="31" t="n">
        <x:v>115186.2322414158</x:v>
      </x:c>
      <x:c r="K13" s="31" t="n">
        <x:v>781.7568995093001</x:v>
      </x:c>
      <x:c r="L13" s="31" t="n">
        <x:v>114087.6831550952</x:v>
      </x:c>
      <x:c r="M13" s="31" t="n">
        <x:v>1880.3059858299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305026889.92184645</x:v>
      </x:c>
    </x:row>
    <x:row r="14" ht="18" customHeight="1">
      <x:c r="A14" s="24" t="str">
        <x:v>EEZ_390</x:v>
      </x:c>
      <x:c r="B14" s="24" t="str">
        <x:v>Japan (main islands)</x:v>
      </x:c>
      <x:c r="C14" s="24" t="str">
        <x:v>EEZ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102845.304785107</x:v>
      </x:c>
      <x:c r="J14" s="31" t="n">
        <x:v>102405.2926666501</x:v>
      </x:c>
      <x:c r="K14" s="31" t="n">
        <x:v>440.0121184569</x:v>
      </x:c>
      <x:c r="L14" s="31" t="n">
        <x:v>101783.17285098191</x:v>
      </x:c>
      <x:c r="M14" s="31" t="n">
        <x:v>1062.1319341250999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276811717.24958664</x:v>
      </x:c>
    </x:row>
    <x:row r="15" ht="18" customHeight="1">
      <x:c r="A15" s="24" t="str">
        <x:v>EEZ_390</x:v>
      </x:c>
      <x:c r="B15" s="24" t="str">
        <x:v>Japan (main islands)</x:v>
      </x:c>
      <x:c r="C15" s="24" t="str">
        <x:v>EEZ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83594.3583373079</x:v>
      </x:c>
      <x:c r="J15" s="31" t="n">
        <x:v>83498.165639272</x:v>
      </x:c>
      <x:c r="K15" s="31" t="n">
        <x:v>96.1926980359</x:v>
      </x:c>
      <x:c r="L15" s="31" t="n">
        <x:v>83498.165639272</x:v>
      </x:c>
      <x:c r="M15" s="31" t="n">
        <x:v>96.1926980359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214870586.1334855</x:v>
      </x:c>
    </x:row>
    <x:row r="16" ht="18" customHeight="1">
      <x:c r="A16" s="24" t="str">
        <x:v>EEZ_390</x:v>
      </x:c>
      <x:c r="B16" s="24" t="str">
        <x:v>Japan (main islands)</x:v>
      </x:c>
      <x:c r="C16" s="24" t="str">
        <x:v>EEZ</x:v>
      </x:c>
      <x:c r="D16" s="30" t="n">
        <x:v>2019</x:v>
      </x:c>
      <x:c r="E16" s="24" t="str">
        <x:v>Clupeidae</x:v>
      </x:c>
      <x:c r="F16" s="24" t="str">
        <x:v>Herrings, sardines, menhadens</x:v>
      </x:c>
      <x:c r="G16" s="24" t="str">
        <x:v>Small pelagics (&lt;30 cm)</x:v>
      </x:c>
      <x:c r="H16" s="24" t="str">
        <x:v>Herring-likes</x:v>
      </x:c>
      <x:c r="I16" s="31" t="n">
        <x:v>72156.5745420812</x:v>
      </x:c>
      <x:c r="J16" s="31" t="n">
        <x:v>59500</x:v>
      </x:c>
      <x:c r="K16" s="31" t="n">
        <x:v>12656.5745420812</x:v>
      </x:c>
      <x:c r="L16" s="31" t="n">
        <x:v>59500</x:v>
      </x:c>
      <x:c r="M16" s="31" t="n">
        <x:v>12656.5745420812</x:v>
      </x:c>
      <x:c r="N16" s="24" t="str">
        <x:v>clupeidae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Clupeidae</x:v>
      </x:c>
      <x:c r="T16" s="32" t="n">
        <x:f>IF(O16="","",(1/'Metadata'!$B$5)^(O16-1))</x:f>
        <x:v>144.5439770745928</x:v>
      </x:c>
      <x:c r="U16" s="31" t="n">
        <x:f>IF(T16="","",I16*T16)</x:f>
        <x:v>10429798.25639173</x:v>
      </x:c>
    </x:row>
    <x:row r="17" ht="18" customHeight="1">
      <x:c r="A17" s="24" t="str">
        <x:v>EEZ_390</x:v>
      </x:c>
      <x:c r="B17" s="24" t="str">
        <x:v>Japan (main islands)</x:v>
      </x:c>
      <x:c r="C17" s="24" t="str">
        <x:v>EEZ</x:v>
      </x:c>
      <x:c r="D17" s="30" t="n">
        <x:v>2019</x:v>
      </x:c>
      <x:c r="E17" s="24" t="str">
        <x:v>Portunus trituberculatus</x:v>
      </x:c>
      <x:c r="F17" s="24" t="str">
        <x:v>Gazami crab</x:v>
      </x:c>
      <x:c r="G17" s="24" t="str">
        <x:v>Lobsters, crabs</x:v>
      </x:c>
      <x:c r="H17" s="24" t="str">
        <x:v>Crustaceans</x:v>
      </x:c>
      <x:c r="I17" s="31" t="n">
        <x:v>71479.6368343601</x:v>
      </x:c>
      <x:c r="J17" s="31" t="n">
        <x:v>70977.02873214311</x:v>
      </x:c>
      <x:c r="K17" s="31" t="n">
        <x:v>502.608102217</x:v>
      </x:c>
      <x:c r="L17" s="31" t="n">
        <x:v>70977.02873214311</x:v>
      </x:c>
      <x:c r="M17" s="31" t="n">
        <x:v>502.608102217</x:v>
      </x:c>
      <x:c r="N17" s="24" t="str">
        <x:v>portunus trituberculatus</x:v>
      </x:c>
      <x:c r="O17" s="32" t="n">
        <x:v>3.73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Portunus trituberculatus</x:v>
      </x:c>
      <x:c r="T17" s="32" t="n">
        <x:f>IF(O17="","",(1/'Metadata'!$B$5)^(O17-1))</x:f>
        <x:v>537.0317963702527</x:v>
      </x:c>
      <x:c r="U17" s="31" t="n">
        <x:f>IF(T17="","",I17*T17)</x:f>
        <x:v>38386837.77304969</x:v>
      </x:c>
    </x:row>
    <x:row r="18" ht="18" customHeight="1">
      <x:c r="A18" s="24" t="str">
        <x:v>EEZ_390</x:v>
      </x:c>
      <x:c r="B18" s="24" t="str">
        <x:v>Japan (main islands)</x:v>
      </x:c>
      <x:c r="C18" s="24" t="str">
        <x:v>EEZ</x:v>
      </x:c>
      <x:c r="D18" s="30" t="n">
        <x:v>2019</x:v>
      </x:c>
      <x:c r="E18" s="24" t="str">
        <x:v>Ammodytes personatus</x:v>
      </x:c>
      <x:c r="F18" s="24" t="str">
        <x:v>Pacific sandlance</x:v>
      </x:c>
      <x:c r="G18" s="24" t="str">
        <x:v>Small demersals (&lt;30 cm)</x:v>
      </x:c>
      <x:c r="H18" s="24" t="str">
        <x:v>Perch-likes</x:v>
      </x:c>
      <x:c r="I18" s="31" t="n">
        <x:v>67437.0550647148</x:v>
      </x:c>
      <x:c r="J18" s="31" t="n">
        <x:v>58582.196607965096</x:v>
      </x:c>
      <x:c r="K18" s="31" t="n">
        <x:v>8854.8584567497</x:v>
      </x:c>
      <x:c r="L18" s="31" t="n">
        <x:v>58582.196607965096</x:v>
      </x:c>
      <x:c r="M18" s="31" t="n">
        <x:v>8854.8584567497</x:v>
      </x:c>
      <x:c r="N18" s="24" t="str">
        <x:v>ammodytes personatus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Ammodytes personatus</x:v>
      </x:c>
      <x:c r="T18" s="32" t="n">
        <x:f>IF(O18="","",(1/'Metadata'!$B$5)^(O18-1))</x:f>
        <x:v>100</x:v>
      </x:c>
      <x:c r="U18" s="31" t="n">
        <x:f>IF(T18="","",I18*T18)</x:f>
        <x:v>6743705.50647148</x:v>
      </x:c>
    </x:row>
    <x:row r="19" ht="18" customHeight="1">
      <x:c r="A19" s="24" t="str">
        <x:v>EEZ_390</x:v>
      </x:c>
      <x:c r="B19" s="24" t="str">
        <x:v>Japan (main islands)</x:v>
      </x:c>
      <x:c r="C19" s="24" t="str">
        <x:v>EEZ</x:v>
      </x:c>
      <x:c r="D19" s="30" t="n">
        <x:v>2019</x:v>
      </x:c>
      <x:c r="E19" s="24" t="str">
        <x:v>Scomberomorus</x:v>
      </x:c>
      <x:c r="F19" s="24" t="str">
        <x:v>Spanish mackerels</x:v>
      </x:c>
      <x:c r="G19" s="24" t="str">
        <x:v>Large pelagics (&gt;=90 cm)</x:v>
      </x:c>
      <x:c r="H19" s="24" t="str">
        <x:v>Perch-likes</x:v>
      </x:c>
      <x:c r="I19" s="31" t="n">
        <x:v>65570.1496740813</x:v>
      </x:c>
      <x:c r="J19" s="31" t="n">
        <x:v>65570.1496740813</x:v>
      </x:c>
      <x:c r="K19" s="31" t="n">
        <x:v>0</x:v>
      </x:c>
      <x:c r="L19" s="31" t="n">
        <x:v>65570.1496740813</x:v>
      </x:c>
      <x:c r="M19" s="31" t="n">
        <x:v>0</x:v>
      </x:c>
      <x:c r="N19" s="24" t="str">
        <x:v>scomberomorus</x:v>
      </x:c>
      <x:c r="O19" s="32" t="n">
        <x:v>4.35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Scomberomorus</x:v>
      </x:c>
      <x:c r="T19" s="32" t="n">
        <x:f>IF(O19="","",(1/'Metadata'!$B$5)^(O19-1))</x:f>
        <x:v>2238.7211385683377</x:v>
      </x:c>
      <x:c r="U19" s="31" t="n">
        <x:f>IF(T19="","",I19*T19)</x:f>
        <x:v>146793280.13445562</x:v>
      </x:c>
    </x:row>
    <x:row r="20" ht="18" customHeight="1">
      <x:c r="A20" s="24" t="str">
        <x:v>EEZ_390</x:v>
      </x:c>
      <x:c r="B20" s="24" t="str">
        <x:v>Japan (main islands)</x:v>
      </x:c>
      <x:c r="C20" s="24" t="str">
        <x:v>EEZ</x:v>
      </x:c>
      <x:c r="D20" s="30" t="n">
        <x:v>2019</x:v>
      </x:c>
      <x:c r="E20" s="24" t="str">
        <x:v>Gadus macrocephalus</x:v>
      </x:c>
      <x:c r="F20" s="24" t="str">
        <x:v>Pacific cod</x:v>
      </x:c>
      <x:c r="G20" s="24" t="str">
        <x:v>Large demersals (&gt;=90 cm)</x:v>
      </x:c>
      <x:c r="H20" s="24" t="str">
        <x:v>Cod-likes</x:v>
      </x:c>
      <x:c r="I20" s="31" t="n">
        <x:v>61788.544196180505</x:v>
      </x:c>
      <x:c r="J20" s="31" t="n">
        <x:v>53309.6795039008</x:v>
      </x:c>
      <x:c r="K20" s="31" t="n">
        <x:v>8478.8646922797</x:v>
      </x:c>
      <x:c r="L20" s="31" t="n">
        <x:v>53309.6795039008</x:v>
      </x:c>
      <x:c r="M20" s="31" t="n">
        <x:v>8478.8646922797</x:v>
      </x:c>
      <x:c r="N20" s="24" t="str">
        <x:v>gadus macrocephalus</x:v>
      </x:c>
      <x:c r="O20" s="32" t="n">
        <x:v>4.16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Gadus macrocephalus</x:v>
      </x:c>
      <x:c r="T20" s="32" t="n">
        <x:f>IF(O20="","",(1/'Metadata'!$B$5)^(O20-1))</x:f>
        <x:v>1445.439770745928</x:v>
      </x:c>
      <x:c r="U20" s="31" t="n">
        <x:f>IF(T20="","",I20*T20)</x:f>
        <x:v>89311619.15765178</x:v>
      </x:c>
    </x:row>
    <x:row r="21" ht="18" customHeight="1">
      <x:c r="A21" s="24" t="str">
        <x:v>EEZ_390</x:v>
      </x:c>
      <x:c r="B21" s="24" t="str">
        <x:v>Japan (main islands)</x:v>
      </x:c>
      <x:c r="C21" s="24" t="str">
        <x:v>EEZ</x:v>
      </x:c>
      <x:c r="D21" s="30" t="n">
        <x:v>2019</x:v>
      </x:c>
      <x:c r="E21" s="24" t="str">
        <x:v>Dussumieria</x:v>
      </x:c>
      <x:c r="F21" s="24" t="str">
        <x:v>Rainbow sardines</x:v>
      </x:c>
      <x:c r="G21" s="24" t="str">
        <x:v>Small pelagics (&lt;30 cm)</x:v>
      </x:c>
      <x:c r="H21" s="24" t="str">
        <x:v>Herring-likes</x:v>
      </x:c>
      <x:c r="I21" s="31" t="n">
        <x:v>61501.2479712645</x:v>
      </x:c>
      <x:c r="J21" s="31" t="n">
        <x:v>60700</x:v>
      </x:c>
      <x:c r="K21" s="31" t="n">
        <x:v>801.2479712644999</x:v>
      </x:c>
      <x:c r="L21" s="31" t="n">
        <x:v>60700</x:v>
      </x:c>
      <x:c r="M21" s="31" t="n">
        <x:v>801.2479712644999</x:v>
      </x:c>
      <x:c r="N21" s="24" t="str">
        <x:v>dussumieria</x:v>
      </x:c>
      <x:c r="O21" s="32" t="n">
        <x:v>3.4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Dussumieria</x:v>
      </x:c>
      <x:c r="T21" s="32" t="n">
        <x:f>IF(O21="","",(1/'Metadata'!$B$5)^(O21-1))</x:f>
        <x:v>251.18864315095797</x:v>
      </x:c>
      <x:c r="U21" s="31" t="n">
        <x:f>IF(T21="","",I21*T21)</x:f>
        <x:v>15448415.029992536</x:v>
      </x:c>
    </x:row>
    <x:row r="22" ht="18" customHeight="1">
      <x:c r="A22" s="24" t="str">
        <x:v>EEZ_390</x:v>
      </x:c>
      <x:c r="B22" s="24" t="str">
        <x:v>Japan (main islands)</x:v>
      </x:c>
      <x:c r="C22" s="24" t="str">
        <x:v>EEZ</x:v>
      </x:c>
      <x:c r="D22" s="30" t="n">
        <x:v>2019</x:v>
      </x:c>
      <x:c r="E22" s="24" t="str">
        <x:v>Miscellaneous marine crustaceans</x:v>
      </x:c>
      <x:c r="F22" s="24" t="str">
        <x:v>Marine crabs, shrimps, lobsters nei</x:v>
      </x:c>
      <x:c r="G22" s="24" t="str">
        <x:v>Shrimps</x:v>
      </x:c>
      <x:c r="H22" s="24" t="str">
        <x:v>Crustaceans</x:v>
      </x:c>
      <x:c r="I22" s="31" t="n">
        <x:v>61265.5793196944</x:v>
      </x:c>
      <x:c r="J22" s="31" t="n">
        <x:v>61265.5793196944</x:v>
      </x:c>
      <x:c r="K22" s="31" t="n">
        <x:v>0</x:v>
      </x:c>
      <x:c r="L22" s="31" t="n">
        <x:v>56067.3157008476</x:v>
      </x:c>
      <x:c r="M22" s="31" t="n">
        <x:v>5198.2636188468005</x:v>
      </x:c>
      <x:c r="N22" s="24" t="str">
        <x:v>miscellaneous marine crustaceans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Miscellaneous marine crustaceans</x:v>
      </x:c>
      <x:c r="T22" s="32" t="n">
        <x:f>IF(O22="","",(1/'Metadata'!$B$5)^(O22-1))</x:f>
        <x:v>50.11872336272725</x:v>
      </x:c>
      <x:c r="U22" s="31" t="n">
        <x:f>IF(T22="","",I22*T22)</x:f>
        <x:v>3070552.6215809872</x:v>
      </x:c>
    </x:row>
    <x:row r="23" ht="18" customHeight="1">
      <x:c r="A23" s="24" t="str">
        <x:v>EEZ_390</x:v>
      </x:c>
      <x:c r="B23" s="24" t="str">
        <x:v>Japan (main islands)</x:v>
      </x:c>
      <x:c r="C23" s="24" t="str">
        <x:v>EEZ</x:v>
      </x:c>
      <x:c r="D23" s="30" t="n">
        <x:v>2019</x:v>
      </x:c>
      <x:c r="E23" s="24" t="str">
        <x:v>Pleuronectidae</x:v>
      </x:c>
      <x:c r="F23" s="24" t="str">
        <x:v>Righteye flounders</x:v>
      </x:c>
      <x:c r="G23" s="24" t="str">
        <x:v>Small to medium flatfishes (&lt;90 cm)</x:v>
      </x:c>
      <x:c r="H23" s="24" t="str">
        <x:v>Flatfishes</x:v>
      </x:c>
      <x:c r="I23" s="31" t="n">
        <x:v>59012.0798134445</x:v>
      </x:c>
      <x:c r="J23" s="31" t="n">
        <x:v>45606.451612903096</x:v>
      </x:c>
      <x:c r="K23" s="31" t="n">
        <x:v>13405.6282005414</x:v>
      </x:c>
      <x:c r="L23" s="31" t="n">
        <x:v>39799.9999999999</x:v>
      </x:c>
      <x:c r="M23" s="31" t="n">
        <x:v>19212.0798134446</x:v>
      </x:c>
      <x:c r="N23" s="24" t="str">
        <x:v>pleuronectidae</x:v>
      </x:c>
      <x:c r="O23" s="32" t="n">
        <x:v>3.49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Pleuronectidae</x:v>
      </x:c>
      <x:c r="T23" s="32" t="n">
        <x:f>IF(O23="","",(1/'Metadata'!$B$5)^(O23-1))</x:f>
        <x:v>309.0295432513592</x:v>
      </x:c>
      <x:c r="U23" s="31" t="n">
        <x:f>IF(T23="","",I23*T23)</x:f>
        <x:v>18236476.071061507</x:v>
      </x:c>
    </x:row>
    <x:row r="24" ht="18" customHeight="1">
      <x:c r="A24" s="24" t="str">
        <x:v>EEZ_390</x:v>
      </x:c>
      <x:c r="B24" s="24" t="str">
        <x:v>Japan (main islands)</x:v>
      </x:c>
      <x:c r="C24" s="24" t="str">
        <x:v>EEZ</x:v>
      </x:c>
      <x:c r="D24" s="30" t="n">
        <x:v>2019</x:v>
      </x:c>
      <x:c r="E24" s="24" t="str">
        <x:v>Todarodes pacificus</x:v>
      </x:c>
      <x:c r="F24" s="24" t="str">
        <x:v>Japanese flying squid</x:v>
      </x:c>
      <x:c r="G24" s="24" t="str">
        <x:v>Cephalopods</x:v>
      </x:c>
      <x:c r="H24" s="24" t="str">
        <x:v>Other fishes &amp; inverts</x:v>
      </x:c>
      <x:c r="I24" s="31" t="n">
        <x:v>55196.8034352124</x:v>
      </x:c>
      <x:c r="J24" s="31" t="n">
        <x:v>49146.993563879696</x:v>
      </x:c>
      <x:c r="K24" s="31" t="n">
        <x:v>6049.8098713327</x:v>
      </x:c>
      <x:c r="L24" s="31" t="n">
        <x:v>46559.3573148383</x:v>
      </x:c>
      <x:c r="M24" s="31" t="n">
        <x:v>8637.4461203741</x:v>
      </x:c>
      <x:c r="N24" s="24" t="str">
        <x:v>todarodes pacificus</x:v>
      </x:c>
      <x:c r="O24" s="32" t="n">
        <x:v>4.28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Todarodes pacificus</x:v>
      </x:c>
      <x:c r="T24" s="32" t="n">
        <x:f>IF(O24="","",(1/'Metadata'!$B$5)^(O24-1))</x:f>
        <x:v>1905.4607179632483</x:v>
      </x:c>
      <x:c r="U24" s="31" t="n">
        <x:f>IF(T24="","",I24*T24)</x:f>
        <x:v>105175340.70293611</x:v>
      </x:c>
    </x:row>
    <x:row r="25" ht="18" customHeight="1">
      <x:c r="A25" s="24" t="str">
        <x:v>EEZ_390</x:v>
      </x:c>
      <x:c r="B25" s="24" t="str">
        <x:v>Japan (main islands)</x:v>
      </x:c>
      <x:c r="C25" s="24" t="str">
        <x:v>EEZ</x:v>
      </x:c>
      <x:c r="D25" s="30" t="n">
        <x:v>2019</x:v>
      </x:c>
      <x:c r="E25" s="24" t="str">
        <x:v>Larimichthys polyactis</x:v>
      </x:c>
      <x:c r="F25" s="24" t="str">
        <x:v>Yellow croaker</x:v>
      </x:c>
      <x:c r="G25" s="24" t="str">
        <x:v>Medium benthopelagics (30 - 89 cm)</x:v>
      </x:c>
      <x:c r="H25" s="24" t="str">
        <x:v>Perch-likes</x:v>
      </x:c>
      <x:c r="I25" s="31" t="n">
        <x:v>53982.083328494904</x:v>
      </x:c>
      <x:c r="J25" s="31" t="n">
        <x:v>53982.083328494904</x:v>
      </x:c>
      <x:c r="K25" s="31" t="n">
        <x:v>0</x:v>
      </x:c>
      <x:c r="L25" s="31" t="n">
        <x:v>53980.7678058061</x:v>
      </x:c>
      <x:c r="M25" s="31" t="n">
        <x:v>1.3155226888</x:v>
      </x:c>
      <x:c r="N25" s="24" t="str">
        <x:v>larimichthys polyactis</x:v>
      </x:c>
      <x:c r="O25" s="32" t="n">
        <x:v>3.64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Larimichthys polyactis</x:v>
      </x:c>
      <x:c r="T25" s="32" t="n">
        <x:f>IF(O25="","",(1/'Metadata'!$B$5)^(O25-1))</x:f>
        <x:v>436.5158322401661</x:v>
      </x:c>
      <x:c r="U25" s="31" t="n">
        <x:f>IF(T25="","",I25*T25)</x:f>
        <x:v>23564034.030195948</x:v>
      </x:c>
    </x:row>
    <x:row r="26" ht="18" customHeight="1">
      <x:c r="A26" s="24" t="str">
        <x:v>EEZ_390</x:v>
      </x:c>
      <x:c r="B26" s="24" t="str">
        <x:v>Japan (main islands)</x:v>
      </x:c>
      <x:c r="C26" s="24" t="str">
        <x:v>EEZ</x:v>
      </x:c>
      <x:c r="D26" s="30" t="n">
        <x:v>2019</x:v>
      </x:c>
      <x:c r="E26" s="24" t="str">
        <x:v>Pleurogrammus azonus</x:v>
      </x:c>
      <x:c r="F26" s="24" t="str">
        <x:v>Okhotsk atka mackerel</x:v>
      </x:c>
      <x:c r="G26" s="24" t="str">
        <x:v>Medium demersals (30 - 89 cm)</x:v>
      </x:c>
      <x:c r="H26" s="24" t="str">
        <x:v>Scorpionfishes</x:v>
      </x:c>
      <x:c r="I26" s="31" t="n">
        <x:v>47222.1979985805</x:v>
      </x:c>
      <x:c r="J26" s="31" t="n">
        <x:v>34099.9999999999</x:v>
      </x:c>
      <x:c r="K26" s="31" t="n">
        <x:v>13122.1979985806</x:v>
      </x:c>
      <x:c r="L26" s="31" t="n">
        <x:v>34099.9999999999</x:v>
      </x:c>
      <x:c r="M26" s="31" t="n">
        <x:v>13122.1979985806</x:v>
      </x:c>
      <x:c r="N26" s="24" t="str">
        <x:v>pleurogrammus azonus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Pleurogrammus azonus</x:v>
      </x:c>
      <x:c r="T26" s="32" t="n">
        <x:f>IF(O26="","",(1/'Metadata'!$B$5)^(O26-1))</x:f>
        <x:v>398.1071705534973</x:v>
      </x:c>
      <x:c r="U26" s="31" t="n">
        <x:f>IF(T26="","",I26*T26)</x:f>
        <x:v>18799495.632531907</x:v>
      </x:c>
    </x:row>
    <x:row r="27" ht="18" customHeight="1">
      <x:c r="A27" s="24" t="str">
        <x:v>EEZ_390</x:v>
      </x:c>
      <x:c r="B27" s="24" t="str">
        <x:v>Japan (main islands)</x:v>
      </x:c>
      <x:c r="C27" s="24" t="str">
        <x:v>EEZ</x:v>
      </x:c>
      <x:c r="D27" s="30" t="n">
        <x:v>2019</x:v>
      </x:c>
      <x:c r="E27" s="24" t="str">
        <x:v>Bivalvia</x:v>
      </x:c>
      <x:c r="F27" s="24" t="str">
        <x:v>Clams</x:v>
      </x:c>
      <x:c r="G27" s="24" t="str">
        <x:v>Other demersal invertebrates</x:v>
      </x:c>
      <x:c r="H27" s="24" t="str">
        <x:v>Molluscs</x:v>
      </x:c>
      <x:c r="I27" s="31" t="n">
        <x:v>47197.388006586</x:v>
      </x:c>
      <x:c r="J27" s="31" t="n">
        <x:v>40000</x:v>
      </x:c>
      <x:c r="K27" s="31" t="n">
        <x:v>7197.388006585999</x:v>
      </x:c>
      <x:c r="L27" s="31" t="n">
        <x:v>40000</x:v>
      </x:c>
      <x:c r="M27" s="31" t="n">
        <x:v>7197.388006585999</x:v>
      </x:c>
      <x:c r="N27" s="24" t="str">
        <x:v>bivalvia</x:v>
      </x:c>
      <x:c r="O27" s="32" t="n">
        <x:v>2.23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Bivalvia</x:v>
      </x:c>
      <x:c r="T27" s="32" t="n">
        <x:f>IF(O27="","",(1/'Metadata'!$B$5)^(O27-1))</x:f>
        <x:v>16.982436524617444</x:v>
      </x:c>
      <x:c r="U27" s="31" t="n">
        <x:f>IF(T27="","",I27*T27)</x:f>
        <x:v>801526.6459495873</x:v>
      </x:c>
    </x:row>
    <x:row r="28" ht="18" customHeight="1">
      <x:c r="A28" s="24" t="str">
        <x:v>EEZ_390</x:v>
      </x:c>
      <x:c r="B28" s="24" t="str">
        <x:v>Japan (main islands)</x:v>
      </x:c>
      <x:c r="C28" s="24" t="str">
        <x:v>EEZ</x:v>
      </x:c>
      <x:c r="D28" s="30" t="n">
        <x:v>2019</x:v>
      </x:c>
      <x:c r="E28" s="24" t="str">
        <x:v>Teuthida</x:v>
      </x:c>
      <x:c r="F28" s="24" t="str">
        <x:v>Squids</x:v>
      </x:c>
      <x:c r="G28" s="24" t="str">
        <x:v>Cephalopods</x:v>
      </x:c>
      <x:c r="H28" s="24" t="str">
        <x:v>Other fishes &amp; inverts</x:v>
      </x:c>
      <x:c r="I28" s="31" t="n">
        <x:v>46798.455401397805</x:v>
      </x:c>
      <x:c r="J28" s="31" t="n">
        <x:v>46798.455401397805</x:v>
      </x:c>
      <x:c r="K28" s="31" t="n">
        <x:v>0</x:v>
      </x:c>
      <x:c r="L28" s="31" t="n">
        <x:v>45146.842498172</x:v>
      </x:c>
      <x:c r="M28" s="31" t="n">
        <x:v>1651.6129032258</x:v>
      </x:c>
      <x:c r="N28" s="24" t="str">
        <x:v>teuthida</x:v>
      </x:c>
      <x:c r="O28" s="32" t="n">
        <x:v>4.13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Teuthida</x:v>
      </x:c>
      <x:c r="T28" s="32" t="n">
        <x:f>IF(O28="","",(1/'Metadata'!$B$5)^(O28-1))</x:f>
        <x:v>1348.9628825916532</x:v>
      </x:c>
      <x:c r="U28" s="31" t="n">
        <x:f>IF(T28="","",I28*T28)</x:f>
        <x:v>63129379.2991065</x:v>
      </x:c>
    </x:row>
    <x:row r="29" ht="18" customHeight="1">
      <x:c r="A29" s="24" t="str">
        <x:v>EEZ_390</x:v>
      </x:c>
      <x:c r="B29" s="24" t="str">
        <x:v>Japan (main islands)</x:v>
      </x:c>
      <x:c r="C29" s="24" t="str">
        <x:v>EEZ</x:v>
      </x:c>
      <x:c r="D29" s="30" t="n">
        <x:v>2019</x:v>
      </x:c>
      <x:c r="E29" s="24" t="str">
        <x:v>Penaeus chinensis</x:v>
      </x:c>
      <x:c r="F29" s="24" t="str">
        <x:v>Fleshy prawn</x:v>
      </x:c>
      <x:c r="G29" s="24" t="str">
        <x:v>Shrimps</x:v>
      </x:c>
      <x:c r="H29" s="24" t="str">
        <x:v>Crustaceans</x:v>
      </x:c>
      <x:c r="I29" s="31" t="n">
        <x:v>45626.94608193</x:v>
      </x:c>
      <x:c r="J29" s="31" t="n">
        <x:v>45626.94608193</x:v>
      </x:c>
      <x:c r="K29" s="31" t="n">
        <x:v>0</x:v>
      </x:c>
      <x:c r="L29" s="31" t="n">
        <x:v>45626.94608193</x:v>
      </x:c>
      <x:c r="M29" s="31" t="n">
        <x:v>0</x:v>
      </x:c>
      <x:c r="N29" s="24" t="str">
        <x:v>penaeus chinensis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Penaeus chinensis</x:v>
      </x:c>
      <x:c r="T29" s="32" t="n">
        <x:f>IF(O29="","",(1/'Metadata'!$B$5)^(O29-1))</x:f>
        <x:v>10</x:v>
      </x:c>
      <x:c r="U29" s="31" t="n">
        <x:f>IF(T29="","",I29*T29)</x:f>
        <x:v>456269.46081930003</x:v>
      </x:c>
    </x:row>
    <x:row r="30" ht="18" customHeight="1">
      <x:c r="A30" s="24" t="str">
        <x:v>EEZ_390</x:v>
      </x:c>
      <x:c r="B30" s="24" t="str">
        <x:v>Japan (main islands)</x:v>
      </x:c>
      <x:c r="C30" s="24" t="str">
        <x:v>EEZ</x:v>
      </x:c>
      <x:c r="D30" s="30" t="n">
        <x:v>2019</x:v>
      </x:c>
      <x:c r="E30" s="24" t="str">
        <x:v>Sciaenidae</x:v>
      </x:c>
      <x:c r="F30" s="24" t="str">
        <x:v>Drums, croakers</x:v>
      </x:c>
      <x:c r="G30" s="24" t="str">
        <x:v>Medium demersals (30 - 89 cm)</x:v>
      </x:c>
      <x:c r="H30" s="24" t="str">
        <x:v>Perch-likes</x:v>
      </x:c>
      <x:c r="I30" s="31" t="n">
        <x:v>42771.8316468448</x:v>
      </x:c>
      <x:c r="J30" s="31" t="n">
        <x:v>42771.8316468448</x:v>
      </x:c>
      <x:c r="K30" s="31" t="n">
        <x:v>0</x:v>
      </x:c>
      <x:c r="L30" s="31" t="n">
        <x:v>42752.1796105577</x:v>
      </x:c>
      <x:c r="M30" s="31" t="n">
        <x:v>19.6520362871</x:v>
      </x:c>
      <x:c r="N30" s="24" t="str">
        <x:v>sciaenidae</x:v>
      </x:c>
      <x:c r="O30" s="32" t="n">
        <x:v>3.76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Sciaenidae</x:v>
      </x:c>
      <x:c r="T30" s="32" t="n">
        <x:f>IF(O30="","",(1/'Metadata'!$B$5)^(O30-1))</x:f>
        <x:v>575.4399373371566</x:v>
      </x:c>
      <x:c r="U30" s="31" t="n">
        <x:f>IF(T30="","",I30*T30)</x:f>
        <x:v>24612620.122655787</x:v>
      </x:c>
    </x:row>
    <x:row r="31" ht="18" customHeight="1">
      <x:c r="A31" s="24" t="str">
        <x:v>EEZ_390</x:v>
      </x:c>
      <x:c r="B31" s="24" t="str">
        <x:v>Japan (main islands)</x:v>
      </x:c>
      <x:c r="C31" s="24" t="str">
        <x:v>EEZ</x:v>
      </x:c>
      <x:c r="D31" s="30" t="n">
        <x:v>2019</x:v>
      </x:c>
      <x:c r="E31" s="24" t="str">
        <x:v>Muraenesox cinereus</x:v>
      </x:c>
      <x:c r="F31" s="24" t="str">
        <x:v>Daggertooth pike conger</x:v>
      </x:c>
      <x:c r="G31" s="24" t="str">
        <x:v>Large demersals (&gt;=90 cm)</x:v>
      </x:c>
      <x:c r="H31" s="24" t="str">
        <x:v>Other fishes &amp; inverts</x:v>
      </x:c>
      <x:c r="I31" s="31" t="n">
        <x:v>37714.9929292971</x:v>
      </x:c>
      <x:c r="J31" s="31" t="n">
        <x:v>37615.4463062813</x:v>
      </x:c>
      <x:c r="K31" s="31" t="n">
        <x:v>99.5466230158</x:v>
      </x:c>
      <x:c r="L31" s="31" t="n">
        <x:v>37615.4463062813</x:v>
      </x:c>
      <x:c r="M31" s="31" t="n">
        <x:v>99.5466230158</x:v>
      </x:c>
      <x:c r="N31" s="24" t="str">
        <x:v>muraenesox cinereus</x:v>
      </x:c>
      <x:c r="O31" s="32" t="n">
        <x:v>4.38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Muraenesox cinereus</x:v>
      </x:c>
      <x:c r="T31" s="32" t="n">
        <x:f>IF(O31="","",(1/'Metadata'!$B$5)^(O31-1))</x:f>
        <x:v>2398.83291901949</x:v>
      </x:c>
      <x:c r="U31" s="31" t="n">
        <x:f>IF(T31="","",I31*T31)</x:f>
        <x:v>90471966.57938519</x:v>
      </x:c>
    </x:row>
    <x:row r="32" ht="18" customHeight="1">
      <x:c r="A32" s="24" t="str">
        <x:v>EEZ_390</x:v>
      </x:c>
      <x:c r="B32" s="24" t="str">
        <x:v>Japan (main islands)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35100</x:v>
      </x:c>
      <x:c r="J32" s="31" t="n">
        <x:v>35100</x:v>
      </x:c>
      <x:c r="K32" s="31" t="n">
        <x:v>0</x:v>
      </x:c>
      <x:c r="L32" s="31" t="n">
        <x:v>35100</x:v>
      </x:c>
      <x:c r="M32" s="31" t="n">
        <x:v>0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22146602.791254774</x:v>
      </x:c>
    </x:row>
    <x:row r="33" ht="18" customHeight="1">
      <x:c r="A33" s="24" t="str">
        <x:v>EEZ_390</x:v>
      </x:c>
      <x:c r="B33" s="24" t="str">
        <x:v>Japan (main islands)</x:v>
      </x:c>
      <x:c r="C33" s="24" t="str">
        <x:v>EEZ</x:v>
      </x:c>
      <x:c r="D33" s="30" t="n">
        <x:v>2019</x:v>
      </x:c>
      <x:c r="E33" s="24" t="str">
        <x:v>Nemipterus</x:v>
      </x:c>
      <x:c r="F33" s="24" t="str">
        <x:v>Threadfin breams</x:v>
      </x:c>
      <x:c r="G33" s="24" t="str">
        <x:v>Small demersals (&lt;30 cm)</x:v>
      </x:c>
      <x:c r="H33" s="24" t="str">
        <x:v>Perch-likes</x:v>
      </x:c>
      <x:c r="I33" s="31" t="n">
        <x:v>34129.3789775832</x:v>
      </x:c>
      <x:c r="J33" s="31" t="n">
        <x:v>34129.3789775832</x:v>
      </x:c>
      <x:c r="K33" s="31" t="n">
        <x:v>0</x:v>
      </x:c>
      <x:c r="L33" s="31" t="n">
        <x:v>34129.3789775832</x:v>
      </x:c>
      <x:c r="M33" s="31" t="n">
        <x:v>0</x:v>
      </x:c>
      <x:c r="N33" s="24" t="str">
        <x:v>nemipterus</x:v>
      </x:c>
      <x:c r="O33" s="32" t="n">
        <x:v>3.72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Nemipterus</x:v>
      </x:c>
      <x:c r="T33" s="32" t="n">
        <x:f>IF(O33="","",(1/'Metadata'!$B$5)^(O33-1))</x:f>
        <x:v>524.8074602497728</x:v>
      </x:c>
      <x:c r="U33" s="31" t="n">
        <x:f>IF(T33="","",I33*T33)</x:f>
        <x:v>17911352.701127425</x:v>
      </x:c>
    </x:row>
    <x:row r="34" ht="18" customHeight="1">
      <x:c r="A34" s="24" t="str">
        <x:v>EEZ_390</x:v>
      </x:c>
      <x:c r="B34" s="24" t="str">
        <x:v>Japan (main islands)</x:v>
      </x:c>
      <x:c r="C34" s="24" t="str">
        <x:v>EEZ</x:v>
      </x:c>
      <x:c r="D34" s="30" t="n">
        <x:v>2019</x:v>
      </x:c>
      <x:c r="E34" s="24" t="str">
        <x:v>Decapoda</x:v>
      </x:c>
      <x:c r="F34" s="24" t="str">
        <x:v>Crabs, lobsters, shrimps</x:v>
      </x:c>
      <x:c r="G34" s="24" t="str">
        <x:v>Lobsters, crabs</x:v>
      </x:c>
      <x:c r="H34" s="24" t="str">
        <x:v>Crustaceans</x:v>
      </x:c>
      <x:c r="I34" s="31" t="n">
        <x:v>32162.564096186</x:v>
      </x:c>
      <x:c r="J34" s="31" t="n">
        <x:v>27066.5300369999</x:v>
      </x:c>
      <x:c r="K34" s="31" t="n">
        <x:v>5096.0340591861</x:v>
      </x:c>
      <x:c r="L34" s="31" t="n">
        <x:v>27066.5300369999</x:v>
      </x:c>
      <x:c r="M34" s="31" t="n">
        <x:v>5096.0340591861</x:v>
      </x:c>
      <x:c r="N34" s="24" t="str">
        <x:v>decapoda</x:v>
      </x:c>
      <x:c r="O34" s="32" t="n">
        <x:v>3.43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Decapoda</x:v>
      </x:c>
      <x:c r="T34" s="32" t="n">
        <x:f>IF(O34="","",(1/'Metadata'!$B$5)^(O34-1))</x:f>
        <x:v>269.1534803926917</x:v>
      </x:c>
      <x:c r="U34" s="31" t="n">
        <x:f>IF(T34="","",I34*T34)</x:f>
        <x:v>8656666.064841488</x:v>
      </x:c>
    </x:row>
    <x:row r="35" ht="18" customHeight="1">
      <x:c r="A35" s="24" t="str">
        <x:v>EEZ_390</x:v>
      </x:c>
      <x:c r="B35" s="24" t="str">
        <x:v>Japan (main islands)</x:v>
      </x:c>
      <x:c r="C35" s="24" t="str">
        <x:v>EEZ</x:v>
      </x:c>
      <x:c r="D35" s="30" t="n">
        <x:v>2019</x:v>
      </x:c>
      <x:c r="E35" s="24" t="str">
        <x:v>Sparidae</x:v>
      </x:c>
      <x:c r="F35" s="24" t="str">
        <x:v>Porgies, seabreams</x:v>
      </x:c>
      <x:c r="G35" s="24" t="str">
        <x:v>Medium benthopelagics (30 - 89 cm)</x:v>
      </x:c>
      <x:c r="H35" s="24" t="str">
        <x:v>Perch-likes</x:v>
      </x:c>
      <x:c r="I35" s="31" t="n">
        <x:v>27756.712883108998</x:v>
      </x:c>
      <x:c r="J35" s="31" t="n">
        <x:v>27254.104780891998</x:v>
      </x:c>
      <x:c r="K35" s="31" t="n">
        <x:v>502.608102217</x:v>
      </x:c>
      <x:c r="L35" s="31" t="n">
        <x:v>27046.7315090026</x:v>
      </x:c>
      <x:c r="M35" s="31" t="n">
        <x:v>709.9813741064</x:v>
      </x:c>
      <x:c r="N35" s="24" t="str">
        <x:v>sparidae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Sparidae</x:v>
      </x:c>
      <x:c r="T35" s="32" t="n">
        <x:f>IF(O35="","",(1/'Metadata'!$B$5)^(O35-1))</x:f>
        <x:v>204.17379446695296</x:v>
      </x:c>
      <x:c r="U35" s="31" t="n">
        <x:f>IF(T35="","",I35*T35)</x:f>
        <x:v>5667193.391274122</x:v>
      </x:c>
    </x:row>
    <x:row r="36" ht="18" customHeight="1">
      <x:c r="A36" s="24" t="str">
        <x:v>EEZ_390</x:v>
      </x:c>
      <x:c r="B36" s="24" t="str">
        <x:v>Japan (main islands)</x:v>
      </x:c>
      <x:c r="C36" s="24" t="str">
        <x:v>EEZ</x:v>
      </x:c>
      <x:c r="D36" s="30" t="n">
        <x:v>2019</x:v>
      </x:c>
      <x:c r="E36" s="24" t="str">
        <x:v>Thunnus alalunga</x:v>
      </x:c>
      <x:c r="F36" s="24" t="str">
        <x:v>Albacore</x:v>
      </x:c>
      <x:c r="G36" s="24" t="str">
        <x:v>Large pelagics (&gt;=90 cm)</x:v>
      </x:c>
      <x:c r="H36" s="24" t="str">
        <x:v>Tuna &amp; billfishes</x:v>
      </x:c>
      <x:c r="I36" s="31" t="n">
        <x:v>25684.5758265213</x:v>
      </x:c>
      <x:c r="J36" s="31" t="n">
        <x:v>25621.8402782747</x:v>
      </x:c>
      <x:c r="K36" s="31" t="n">
        <x:v>62.735548246600004</x:v>
      </x:c>
      <x:c r="L36" s="31" t="n">
        <x:v>25621.8402782747</x:v>
      </x:c>
      <x:c r="M36" s="31" t="n">
        <x:v>62.735548246600004</x:v>
      </x:c>
      <x:c r="N36" s="24" t="str">
        <x:v>thunnus alalunga</x:v>
      </x:c>
      <x:c r="O36" s="32" t="n">
        <x:v>4.3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alalunga</x:v>
      </x:c>
      <x:c r="T36" s="32" t="n">
        <x:f>IF(O36="","",(1/'Metadata'!$B$5)^(O36-1))</x:f>
        <x:v>1995.2623149688789</x:v>
      </x:c>
      <x:c r="U36" s="31" t="n">
        <x:f>IF(T36="","",I36*T36)</x:f>
        <x:v>51247466.222618595</x:v>
      </x:c>
    </x:row>
    <x:row r="37" ht="18" customHeight="1">
      <x:c r="A37" s="24" t="str">
        <x:v>EEZ_390</x:v>
      </x:c>
      <x:c r="B37" s="24" t="str">
        <x:v>Japan (main islands)</x:v>
      </x:c>
      <x:c r="C37" s="24" t="str">
        <x:v>EEZ</x:v>
      </x:c>
      <x:c r="D37" s="30" t="n">
        <x:v>2019</x:v>
      </x:c>
      <x:c r="E37" s="24" t="str">
        <x:v>Trachysalambria curvirostris</x:v>
      </x:c>
      <x:c r="F37" s="24" t="str">
        <x:v>Southern rough shrimp</x:v>
      </x:c>
      <x:c r="G37" s="24" t="str">
        <x:v>Shrimps</x:v>
      </x:c>
      <x:c r="H37" s="24" t="str">
        <x:v>Crustaceans</x:v>
      </x:c>
      <x:c r="I37" s="31" t="n">
        <x:v>25386.638992669898</x:v>
      </x:c>
      <x:c r="J37" s="31" t="n">
        <x:v>25386.634171407</x:v>
      </x:c>
      <x:c r="K37" s="31" t="n">
        <x:v>0.0048212629</x:v>
      </x:c>
      <x:c r="L37" s="31" t="n">
        <x:v>25386.634171407</x:v>
      </x:c>
      <x:c r="M37" s="31" t="n">
        <x:v>0.0048212629</x:v>
      </x:c>
      <x:c r="N37" s="24" t="str">
        <x:v>trachysalambria curvirostris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Trachysalambria curvirostris</x:v>
      </x:c>
      <x:c r="T37" s="32" t="n">
        <x:f>IF(O37="","",(1/'Metadata'!$B$5)^(O37-1))</x:f>
        <x:v>50.11872336272725</x:v>
      </x:c>
      <x:c r="U37" s="31" t="n">
        <x:f>IF(T37="","",I37*T37)</x:f>
        <x:v>1272345.9367830474</x:v>
      </x:c>
    </x:row>
    <x:row r="38" ht="18" customHeight="1">
      <x:c r="A38" s="24" t="str">
        <x:v>EEZ_390</x:v>
      </x:c>
      <x:c r="B38" s="24" t="str">
        <x:v>Japan (main islands)</x:v>
      </x:c>
      <x:c r="C38" s="24" t="str">
        <x:v>EEZ</x:v>
      </x:c>
      <x:c r="D38" s="30" t="n">
        <x:v>2019</x:v>
      </x:c>
      <x:c r="E38" s="24" t="str">
        <x:v>Planiliza haematocheilus</x:v>
      </x:c>
      <x:c r="F38" s="24" t="str">
        <x:v>So-iny mullet</x:v>
      </x:c>
      <x:c r="G38" s="24" t="str">
        <x:v>Medium demersals (30 - 89 cm)</x:v>
      </x:c>
      <x:c r="H38" s="24" t="str">
        <x:v>Perch-likes</x:v>
      </x:c>
      <x:c r="I38" s="31" t="n">
        <x:v>25311.6987131712</x:v>
      </x:c>
      <x:c r="J38" s="31" t="n">
        <x:v>25311.6987131712</x:v>
      </x:c>
      <x:c r="K38" s="31" t="n">
        <x:v>0</x:v>
      </x:c>
      <x:c r="L38" s="31" t="n">
        <x:v>25311.6987131712</x:v>
      </x:c>
      <x:c r="M38" s="31" t="n">
        <x:v>0</x:v>
      </x:c>
      <x:c r="N38" s="24" t="str">
        <x:v>planiliza haematocheilus</x:v>
      </x:c>
      <x:c r="O38" s="32" t="n">
        <x:v>2.5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Planiliza haematocheilus</x:v>
      </x:c>
      <x:c r="T38" s="32" t="n">
        <x:f>IF(O38="","",(1/'Metadata'!$B$5)^(O38-1))</x:f>
        <x:v>31.622776601683793</x:v>
      </x:c>
      <x:c r="U38" s="31" t="n">
        <x:f>IF(T38="","",I38*T38)</x:f>
        <x:v>800426.19381574</x:v>
      </x:c>
    </x:row>
    <x:row r="39" ht="18" customHeight="1">
      <x:c r="A39" s="24" t="str">
        <x:v>EEZ_390</x:v>
      </x:c>
      <x:c r="B39" s="24" t="str">
        <x:v>Japan (main islands)</x:v>
      </x:c>
      <x:c r="C39" s="24" t="str">
        <x:v>EEZ</x:v>
      </x:c>
      <x:c r="D39" s="30" t="n">
        <x:v>2019</x:v>
      </x:c>
      <x:c r="E39" s="24" t="str">
        <x:v>Squillidae</x:v>
      </x:c>
      <x:c r="F39" s="24" t="str">
        <x:v>Squilla mantis shrimps</x:v>
      </x:c>
      <x:c r="G39" s="24" t="str">
        <x:v>Shrimps</x:v>
      </x:c>
      <x:c r="H39" s="24" t="str">
        <x:v>Crustaceans</x:v>
      </x:c>
      <x:c r="I39" s="31" t="n">
        <x:v>23654.4453927005</x:v>
      </x:c>
      <x:c r="J39" s="31" t="n">
        <x:v>23654.4453927005</x:v>
      </x:c>
      <x:c r="K39" s="31" t="n">
        <x:v>0</x:v>
      </x:c>
      <x:c r="L39" s="31" t="n">
        <x:v>23654.4453927005</x:v>
      </x:c>
      <x:c r="M39" s="31" t="n">
        <x:v>0</x:v>
      </x:c>
      <x:c r="N39" s="24" t="str">
        <x:v>squillidae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Squillidae</x:v>
      </x:c>
      <x:c r="T39" s="32" t="n">
        <x:f>IF(O39="","",(1/'Metadata'!$B$5)^(O39-1))</x:f>
        <x:v>316.22776601683796</x:v>
      </x:c>
      <x:c r="U39" s="31" t="n">
        <x:f>IF(T39="","",I39*T39)</x:f>
        <x:v>7480192.4229009645</x:v>
      </x:c>
    </x:row>
    <x:row r="40" ht="18" customHeight="1">
      <x:c r="A40" s="24" t="str">
        <x:v>EEZ_390</x:v>
      </x:c>
      <x:c r="B40" s="24" t="str">
        <x:v>Japan (main islands)</x:v>
      </x:c>
      <x:c r="C40" s="24" t="str">
        <x:v>EEZ</x:v>
      </x:c>
      <x:c r="D40" s="30" t="n">
        <x:v>2019</x:v>
      </x:c>
      <x:c r="E40" s="24" t="str">
        <x:v>Clupea pallasii</x:v>
      </x:c>
      <x:c r="F40" s="24" t="str">
        <x:v>Pacific herring</x:v>
      </x:c>
      <x:c r="G40" s="24" t="str">
        <x:v>Medium pelagics (30 - 89 cm)</x:v>
      </x:c>
      <x:c r="H40" s="24" t="str">
        <x:v>Herring-likes</x:v>
      </x:c>
      <x:c r="I40" s="31" t="n">
        <x:v>22954.6166423008</x:v>
      </x:c>
      <x:c r="J40" s="31" t="n">
        <x:v>22387.4831140437</x:v>
      </x:c>
      <x:c r="K40" s="31" t="n">
        <x:v>567.1335282571</x:v>
      </x:c>
      <x:c r="L40" s="31" t="n">
        <x:v>22387.4831140437</x:v>
      </x:c>
      <x:c r="M40" s="31" t="n">
        <x:v>567.1335282571</x:v>
      </x:c>
      <x:c r="N40" s="24" t="str">
        <x:v>clupea pallasii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Clupea pallasii</x:v>
      </x:c>
      <x:c r="T40" s="32" t="n">
        <x:f>IF(O40="","",(1/'Metadata'!$B$5)^(O40-1))</x:f>
        <x:v>144.5439770745928</x:v>
      </x:c>
      <x:c r="U40" s="31" t="n">
        <x:f>IF(T40="","",I40*T40)</x:f>
        <x:v>3317951.581700793</x:v>
      </x:c>
    </x:row>
    <x:row r="41" ht="18" customHeight="1">
      <x:c r="A41" s="24" t="str">
        <x:v>EEZ_390</x:v>
      </x:c>
      <x:c r="B41" s="24" t="str">
        <x:v>Japan (main islands)</x:v>
      </x:c>
      <x:c r="C41" s="24" t="str">
        <x:v>EEZ</x:v>
      </x:c>
      <x:c r="D41" s="30" t="n">
        <x:v>2019</x:v>
      </x:c>
      <x:c r="E41" s="24" t="str">
        <x:v>Pagrus major</x:v>
      </x:c>
      <x:c r="F41" s="24" t="str">
        <x:v>Japanese seabream</x:v>
      </x:c>
      <x:c r="G41" s="24" t="str">
        <x:v>Large demersals (&gt;=90 cm)</x:v>
      </x:c>
      <x:c r="H41" s="24" t="str">
        <x:v>Perch-likes</x:v>
      </x:c>
      <x:c r="I41" s="31" t="n">
        <x:v>22049.504669151</x:v>
      </x:c>
      <x:c r="J41" s="31" t="n">
        <x:v>18803.2258064516</x:v>
      </x:c>
      <x:c r="K41" s="31" t="n">
        <x:v>3246.2788626994</x:v>
      </x:c>
      <x:c r="L41" s="31" t="n">
        <x:v>15900</x:v>
      </x:c>
      <x:c r="M41" s="31" t="n">
        <x:v>6149.504669151</x:v>
      </x:c>
      <x:c r="N41" s="24" t="str">
        <x:v>pagrus major</x:v>
      </x:c>
      <x:c r="O41" s="32" t="n">
        <x:v>3.7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Pagrus major</x:v>
      </x:c>
      <x:c r="T41" s="32" t="n">
        <x:f>IF(O41="","",(1/'Metadata'!$B$5)^(O41-1))</x:f>
        <x:v>501.18723362727246</x:v>
      </x:c>
      <x:c r="U41" s="31" t="n">
        <x:f>IF(T41="","",I41*T41)</x:f>
        <x:v>11050930.247983417</x:v>
      </x:c>
    </x:row>
    <x:row r="42" ht="18" customHeight="1">
      <x:c r="A42" s="24" t="str">
        <x:v>EEZ_390</x:v>
      </x:c>
      <x:c r="B42" s="24" t="str">
        <x:v>Japan (main islands)</x:v>
      </x:c>
      <x:c r="C42" s="24" t="str">
        <x:v>EEZ</x:v>
      </x:c>
      <x:c r="D42" s="30" t="n">
        <x:v>2019</x:v>
      </x:c>
      <x:c r="E42" s="24" t="str">
        <x:v>Chondrichthyes</x:v>
      </x:c>
      <x:c r="F42" s="24" t="str">
        <x:v>Sharks, rays, chimaeras</x:v>
      </x:c>
      <x:c r="G42" s="24" t="str">
        <x:v>Large sharks (&gt;=90 cm)</x:v>
      </x:c>
      <x:c r="H42" s="24" t="str">
        <x:v>Sharks &amp; rays</x:v>
      </x:c>
      <x:c r="I42" s="31" t="n">
        <x:v>20130.3932199504</x:v>
      </x:c>
      <x:c r="J42" s="31" t="n">
        <x:v>11940.0000000001</x:v>
      </x:c>
      <x:c r="K42" s="31" t="n">
        <x:v>8190.393219950301</x:v>
      </x:c>
      <x:c r="L42" s="31" t="n">
        <x:v>11940.0000000001</x:v>
      </x:c>
      <x:c r="M42" s="31" t="n">
        <x:v>8190.393219950301</x:v>
      </x:c>
      <x:c r="N42" s="24" t="str">
        <x:v>chondrichthyes</x:v>
      </x:c>
      <x:c r="O42" s="32" t="n">
        <x:v>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Chondrichthyes</x:v>
      </x:c>
      <x:c r="T42" s="32" t="n">
        <x:f>IF(O42="","",(1/'Metadata'!$B$5)^(O42-1))</x:f>
        <x:v>1000</x:v>
      </x:c>
      <x:c r="U42" s="31" t="n">
        <x:f>IF(T42="","",I42*T42)</x:f>
        <x:v>20130393.2199504</x:v>
      </x:c>
    </x:row>
    <x:row r="43" ht="18" customHeight="1">
      <x:c r="A43" s="24" t="str">
        <x:v>EEZ_390</x:v>
      </x:c>
      <x:c r="B43" s="24" t="str">
        <x:v>Japan (main islands)</x:v>
      </x:c>
      <x:c r="C43" s="24" t="str">
        <x:v>EEZ</x:v>
      </x:c>
      <x:c r="D43" s="30" t="n">
        <x:v>2019</x:v>
      </x:c>
      <x:c r="E43" s="24" t="str">
        <x:v>Pampus</x:v>
      </x:c>
      <x:c r="F43" s="24" t="str">
        <x:v>Silver pomfrets</x:v>
      </x:c>
      <x:c r="G43" s="24" t="str">
        <x:v>Medium benthopelagics (30 - 89 cm)</x:v>
      </x:c>
      <x:c r="H43" s="24" t="str">
        <x:v>Perch-likes</x:v>
      </x:c>
      <x:c r="I43" s="31" t="n">
        <x:v>19186.6568258802</x:v>
      </x:c>
      <x:c r="J43" s="31" t="n">
        <x:v>19186.6568258802</x:v>
      </x:c>
      <x:c r="K43" s="31" t="n">
        <x:v>0</x:v>
      </x:c>
      <x:c r="L43" s="31" t="n">
        <x:v>19186.6568258802</x:v>
      </x:c>
      <x:c r="M43" s="31" t="n">
        <x:v>0</x:v>
      </x:c>
      <x:c r="N43" s="24" t="str">
        <x:v>pampus</x:v>
      </x:c>
      <x:c r="O43" s="32" t="n">
        <x:v>3.41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Pampus</x:v>
      </x:c>
      <x:c r="T43" s="32" t="n">
        <x:f>IF(O43="","",(1/'Metadata'!$B$5)^(O43-1))</x:f>
        <x:v>257.03957827688646</x:v>
      </x:c>
      <x:c r="U43" s="31" t="n">
        <x:f>IF(T43="","",I43*T43)</x:f>
        <x:v>4931730.179067591</x:v>
      </x:c>
    </x:row>
    <x:row r="44" ht="18" customHeight="1">
      <x:c r="A44" s="24" t="str">
        <x:v>EEZ_390</x:v>
      </x:c>
      <x:c r="B44" s="24" t="str">
        <x:v>Japan (main islands)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18370.2950457784</x:v>
      </x:c>
      <x:c r="J44" s="31" t="n">
        <x:v>13504.380203529601</x:v>
      </x:c>
      <x:c r="K44" s="31" t="n">
        <x:v>4865.9148422488</x:v>
      </x:c>
      <x:c r="L44" s="31" t="n">
        <x:v>13193.320295695501</x:v>
      </x:c>
      <x:c r="M44" s="31" t="n">
        <x:v>5176.9747500829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6984191.383685087</x:v>
      </x:c>
    </x:row>
    <x:row r="45" ht="18" customHeight="1">
      <x:c r="A45" s="24" t="str">
        <x:v>EEZ_390</x:v>
      </x:c>
      <x:c r="B45" s="24" t="str">
        <x:v>Japan (main islands)</x:v>
      </x:c>
      <x:c r="C45" s="24" t="str">
        <x:v>EEZ</x:v>
      </x:c>
      <x:c r="D45" s="30" t="n">
        <x:v>2019</x:v>
      </x:c>
      <x:c r="E45" s="24" t="str">
        <x:v>Pennahia argentata</x:v>
      </x:c>
      <x:c r="F45" s="24" t="str">
        <x:v>Silver croaker</x:v>
      </x:c>
      <x:c r="G45" s="24" t="str">
        <x:v>Medium benthopelagics (30 - 89 cm)</x:v>
      </x:c>
      <x:c r="H45" s="24" t="str">
        <x:v>Perch-likes</x:v>
      </x:c>
      <x:c r="I45" s="31" t="n">
        <x:v>17589.7881959091</x:v>
      </x:c>
      <x:c r="J45" s="31" t="n">
        <x:v>17582.7418296543</x:v>
      </x:c>
      <x:c r="K45" s="31" t="n">
        <x:v>7.046366254800001</x:v>
      </x:c>
      <x:c r="L45" s="31" t="n">
        <x:v>17562.7522818835</x:v>
      </x:c>
      <x:c r="M45" s="31" t="n">
        <x:v>27.0359140256</x:v>
      </x:c>
      <x:c r="N45" s="24" t="str">
        <x:v>pennahia argentata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Pennahia argentata</x:v>
      </x:c>
      <x:c r="T45" s="32" t="n">
        <x:f>IF(O45="","",(1/'Metadata'!$B$5)^(O45-1))</x:f>
        <x:v>295.1209226666387</x:v>
      </x:c>
      <x:c r="U45" s="31" t="n">
        <x:f>IF(T45="","",I45*T45)</x:f>
        <x:v>5191114.521887444</x:v>
      </x:c>
    </x:row>
    <x:row r="46" ht="18" customHeight="1">
      <x:c r="A46" s="24" t="str">
        <x:v>EEZ_390</x:v>
      </x:c>
      <x:c r="B46" s="24" t="str">
        <x:v>Japan (main islands)</x:v>
      </x:c>
      <x:c r="C46" s="24" t="str">
        <x:v>EEZ</x:v>
      </x:c>
      <x:c r="D46" s="30" t="n">
        <x:v>2019</x:v>
      </x:c>
      <x:c r="E46" s="24" t="str">
        <x:v>Decapterus maruadsi</x:v>
      </x:c>
      <x:c r="F46" s="24" t="str">
        <x:v>Japanese scad</x:v>
      </x:c>
      <x:c r="G46" s="24" t="str">
        <x:v>Small pelagics (&lt;30 cm)</x:v>
      </x:c>
      <x:c r="H46" s="24" t="str">
        <x:v>Perch-likes</x:v>
      </x:c>
      <x:c r="I46" s="31" t="n">
        <x:v>16883.8404195964</x:v>
      </x:c>
      <x:c r="J46" s="31" t="n">
        <x:v>16883.8404195964</x:v>
      </x:c>
      <x:c r="K46" s="31" t="n">
        <x:v>0</x:v>
      </x:c>
      <x:c r="L46" s="31" t="n">
        <x:v>16482.4208226966</x:v>
      </x:c>
      <x:c r="M46" s="31" t="n">
        <x:v>401.4195968998</x:v>
      </x:c>
      <x:c r="N46" s="24" t="str">
        <x:v>decapterus maruadsi</x:v>
      </x:c>
      <x:c r="O46" s="32" t="n">
        <x:v>3.4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Decapterus maruadsi</x:v>
      </x:c>
      <x:c r="T46" s="32" t="n">
        <x:f>IF(O46="","",(1/'Metadata'!$B$5)^(O46-1))</x:f>
        <x:v>251.18864315095797</x:v>
      </x:c>
      <x:c r="U46" s="31" t="n">
        <x:f>IF(T46="","",I46*T46)</x:f>
        <x:v>4241028.96617572</x:v>
      </x:c>
    </x:row>
    <x:row r="47" ht="18" customHeight="1">
      <x:c r="A47" s="24" t="str">
        <x:v>EEZ_390</x:v>
      </x:c>
      <x:c r="B47" s="24" t="str">
        <x:v>Japan (main islands)</x:v>
      </x:c>
      <x:c r="C47" s="24" t="str">
        <x:v>EEZ</x:v>
      </x:c>
      <x:c r="D47" s="30" t="n">
        <x:v>2019</x:v>
      </x:c>
      <x:c r="E47" s="24" t="str">
        <x:v>Brachyura</x:v>
      </x:c>
      <x:c r="F47" s="24" t="str">
        <x:v>Marine crabs</x:v>
      </x:c>
      <x:c r="G47" s="24" t="str">
        <x:v>Lobsters, crabs</x:v>
      </x:c>
      <x:c r="H47" s="24" t="str">
        <x:v>Crustaceans</x:v>
      </x:c>
      <x:c r="I47" s="31" t="n">
        <x:v>15072.6944905473</x:v>
      </x:c>
      <x:c r="J47" s="31" t="n">
        <x:v>14570.086388330299</x:v>
      </x:c>
      <x:c r="K47" s="31" t="n">
        <x:v>502.608102217</x:v>
      </x:c>
      <x:c r="L47" s="31" t="n">
        <x:v>14544.561266599</x:v>
      </x:c>
      <x:c r="M47" s="31" t="n">
        <x:v>528.1332239483</x:v>
      </x:c>
      <x:c r="N47" s="24" t="str">
        <x:v>brachyura</x:v>
      </x:c>
      <x:c r="O47" s="32" t="n">
        <x:v>2.6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Brachyura</x:v>
      </x:c>
      <x:c r="T47" s="32" t="n">
        <x:f>IF(O47="","",(1/'Metadata'!$B$5)^(O47-1))</x:f>
        <x:v>39.810717055349734</x:v>
      </x:c>
      <x:c r="U47" s="31" t="n">
        <x:f>IF(T47="","",I47*T47)</x:f>
        <x:v>600054.7756249073</x:v>
      </x:c>
    </x:row>
    <x:row r="48" ht="18" customHeight="1">
      <x:c r="A48" s="24" t="str">
        <x:v>EEZ_390</x:v>
      </x:c>
      <x:c r="B48" s="24" t="str">
        <x:v>Japan (main islands)</x:v>
      </x:c>
      <x:c r="C48" s="24" t="str">
        <x:v>EEZ</x:v>
      </x:c>
      <x:c r="D48" s="30" t="n">
        <x:v>2019</x:v>
      </x:c>
      <x:c r="E48" s="24" t="str">
        <x:v>Monacanthidae</x:v>
      </x:c>
      <x:c r="F48" s="24" t="str">
        <x:v>Filefishes</x:v>
      </x:c>
      <x:c r="G48" s="24" t="str">
        <x:v>Medium reef assoc. fish (30 - 89 cm)</x:v>
      </x:c>
      <x:c r="H48" s="24" t="str">
        <x:v>Other fishes &amp; inverts</x:v>
      </x:c>
      <x:c r="I48" s="31" t="n">
        <x:v>14797.2489947063</x:v>
      </x:c>
      <x:c r="J48" s="31" t="n">
        <x:v>14797.2489947063</x:v>
      </x:c>
      <x:c r="K48" s="31" t="n">
        <x:v>0</x:v>
      </x:c>
      <x:c r="L48" s="31" t="n">
        <x:v>14797.2489947063</x:v>
      </x:c>
      <x:c r="M48" s="31" t="n">
        <x:v>0</x:v>
      </x:c>
      <x:c r="N48" s="24" t="str">
        <x:v>monacanthidae</x:v>
      </x:c>
      <x:c r="O48" s="32" t="n">
        <x:v>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Monacanthidae</x:v>
      </x:c>
      <x:c r="T48" s="32" t="n">
        <x:f>IF(O48="","",(1/'Metadata'!$B$5)^(O48-1))</x:f>
        <x:v>100</x:v>
      </x:c>
      <x:c r="U48" s="31" t="n">
        <x:f>IF(T48="","",I48*T48)</x:f>
        <x:v>1479724.89947063</x:v>
      </x:c>
    </x:row>
    <x:row r="49" ht="18" customHeight="1">
      <x:c r="A49" s="24" t="str">
        <x:v>EEZ_390</x:v>
      </x:c>
      <x:c r="B49" s="24" t="str">
        <x:v>Japan (main islands)</x:v>
      </x:c>
      <x:c r="C49" s="24" t="str">
        <x:v>EEZ</x:v>
      </x:c>
      <x:c r="D49" s="30" t="n">
        <x:v>2019</x:v>
      </x:c>
      <x:c r="E49" s="24" t="str">
        <x:v>Laemonema longipes</x:v>
      </x:c>
      <x:c r="F49" s="24" t="str">
        <x:v>Longfin codling</x:v>
      </x:c>
      <x:c r="G49" s="24" t="str">
        <x:v>Medium benthopelagics (30 - 89 cm)</x:v>
      </x:c>
      <x:c r="H49" s="24" t="str">
        <x:v>Cod-likes</x:v>
      </x:c>
      <x:c r="I49" s="31" t="n">
        <x:v>14594.1416099205</x:v>
      </x:c>
      <x:c r="J49" s="31" t="n">
        <x:v>14594.1416099205</x:v>
      </x:c>
      <x:c r="K49" s="31" t="n">
        <x:v>0</x:v>
      </x:c>
      <x:c r="L49" s="31" t="n">
        <x:v>6769.5416099204995</x:v>
      </x:c>
      <x:c r="M49" s="31" t="n">
        <x:v>7824.6</x:v>
      </x:c>
      <x:c r="N49" s="24" t="str">
        <x:v>laemonema longipes</x:v>
      </x:c>
      <x:c r="O49" s="32" t="n">
        <x:v>3.24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Laemonema longipes</x:v>
      </x:c>
      <x:c r="T49" s="32" t="n">
        <x:f>IF(O49="","",(1/'Metadata'!$B$5)^(O49-1))</x:f>
        <x:v>173.78008287493762</x:v>
      </x:c>
      <x:c r="U49" s="31" t="n">
        <x:f>IF(T49="","",I49*T49)</x:f>
        <x:v>2536171.13846056</x:v>
      </x:c>
    </x:row>
    <x:row r="50" ht="18" customHeight="1">
      <x:c r="A50" s="24" t="str">
        <x:v>EEZ_390</x:v>
      </x:c>
      <x:c r="B50" s="24" t="str">
        <x:v>Japan (main islands)</x:v>
      </x:c>
      <x:c r="C50" s="24" t="str">
        <x:v>EEZ</x:v>
      </x:c>
      <x:c r="D50" s="30" t="n">
        <x:v>2019</x:v>
      </x:c>
      <x:c r="E50" s="24" t="str">
        <x:v>Chionoecetes japonicus</x:v>
      </x:c>
      <x:c r="F50" s="24" t="str">
        <x:v>Red snow crab</x:v>
      </x:c>
      <x:c r="G50" s="24" t="str">
        <x:v>Lobsters, crabs</x:v>
      </x:c>
      <x:c r="H50" s="24" t="str">
        <x:v>Crustaceans</x:v>
      </x:c>
      <x:c r="I50" s="31" t="n">
        <x:v>13200</x:v>
      </x:c>
      <x:c r="J50" s="31" t="n">
        <x:v>13200</x:v>
      </x:c>
      <x:c r="K50" s="31" t="n">
        <x:v>0</x:v>
      </x:c>
      <x:c r="L50" s="31" t="n">
        <x:v>13200</x:v>
      </x:c>
      <x:c r="M50" s="31" t="n">
        <x:v>0</x:v>
      </x:c>
      <x:c r="N50" s="24" t="str">
        <x:v>chionoecetes japonicus</x:v>
      </x:c>
      <x:c r="O50" s="32" t="n">
        <x:v>3.74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Chionoecetes japonicus</x:v>
      </x:c>
      <x:c r="T50" s="32" t="n">
        <x:f>IF(O50="","",(1/'Metadata'!$B$5)^(O50-1))</x:f>
        <x:v>549.5408738576248</x:v>
      </x:c>
      <x:c r="U50" s="31" t="n">
        <x:f>IF(T50="","",I50*T50)</x:f>
        <x:v>7253939.534920647</x:v>
      </x:c>
    </x:row>
    <x:row r="51" ht="18" customHeight="1">
      <x:c r="A51" s="24" t="str">
        <x:v>EEZ_390</x:v>
      </x:c>
      <x:c r="B51" s="24" t="str">
        <x:v>Japan (main islands)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13136.6915865032</x:v>
      </x:c>
      <x:c r="J51" s="31" t="n">
        <x:v>13136.6915865032</x:v>
      </x:c>
      <x:c r="K51" s="31" t="n">
        <x:v>0</x:v>
      </x:c>
      <x:c r="L51" s="31" t="n">
        <x:v>12945.8280534181</x:v>
      </x:c>
      <x:c r="M51" s="31" t="n">
        <x:v>190.8635330851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181336.8235495013</x:v>
      </x:c>
    </x:row>
    <x:row r="52" ht="18" customHeight="1">
      <x:c r="A52" s="24" t="str">
        <x:v>EEZ_390</x:v>
      </x:c>
      <x:c r="B52" s="24" t="str">
        <x:v>Japan (main islands)</x:v>
      </x:c>
      <x:c r="C52" s="24" t="str">
        <x:v>EEZ</x:v>
      </x:c>
      <x:c r="D52" s="30" t="n">
        <x:v>2019</x:v>
      </x:c>
      <x:c r="E52" s="24" t="str">
        <x:v>Sepiida</x:v>
      </x:c>
      <x:c r="F52" s="24" t="str">
        <x:v>Cuttlefishes, bobtail squids</x:v>
      </x:c>
      <x:c r="G52" s="24" t="str">
        <x:v>Cephalopods</x:v>
      </x:c>
      <x:c r="H52" s="24" t="str">
        <x:v>Other fishes &amp; inverts</x:v>
      </x:c>
      <x:c r="I52" s="31" t="n">
        <x:v>13127.6553795703</x:v>
      </x:c>
      <x:c r="J52" s="31" t="n">
        <x:v>13127.6553795703</x:v>
      </x:c>
      <x:c r="K52" s="31" t="n">
        <x:v>0</x:v>
      </x:c>
      <x:c r="L52" s="31" t="n">
        <x:v>13127.6553795703</x:v>
      </x:c>
      <x:c r="M52" s="31" t="n">
        <x:v>0</x:v>
      </x:c>
      <x:c r="N52" s="24" t="str">
        <x:v>sepiida</x:v>
      </x:c>
      <x:c r="O52" s="32" t="n">
        <x:v>3.7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Sepiida</x:v>
      </x:c>
      <x:c r="T52" s="32" t="n">
        <x:f>IF(O52="","",(1/'Metadata'!$B$5)^(O52-1))</x:f>
        <x:v>501.18723362727246</x:v>
      </x:c>
      <x:c r="U52" s="31" t="n">
        <x:f>IF(T52="","",I52*T52)</x:f>
        <x:v>6579413.28369902</x:v>
      </x:c>
    </x:row>
    <x:row r="53" ht="18" customHeight="1">
      <x:c r="A53" s="24" t="str">
        <x:v>EEZ_390</x:v>
      </x:c>
      <x:c r="B53" s="24" t="str">
        <x:v>Japan (main islands)</x:v>
      </x:c>
      <x:c r="C53" s="24" t="str">
        <x:v>EEZ</x:v>
      </x:c>
      <x:c r="D53" s="30" t="n">
        <x:v>2019</x:v>
      </x:c>
      <x:c r="E53" s="24" t="str">
        <x:v>Portunus pelagicus</x:v>
      </x:c>
      <x:c r="F53" s="24" t="str">
        <x:v>Blue swimming crab</x:v>
      </x:c>
      <x:c r="G53" s="24" t="str">
        <x:v>Lobsters, crabs</x:v>
      </x:c>
      <x:c r="H53" s="24" t="str">
        <x:v>Crustaceans</x:v>
      </x:c>
      <x:c r="I53" s="31" t="n">
        <x:v>12693.739342243402</x:v>
      </x:c>
      <x:c r="J53" s="31" t="n">
        <x:v>12564.867884118801</x:v>
      </x:c>
      <x:c r="K53" s="31" t="n">
        <x:v>128.8714581246</x:v>
      </x:c>
      <x:c r="L53" s="31" t="n">
        <x:v>12564.867884118801</x:v>
      </x:c>
      <x:c r="M53" s="31" t="n">
        <x:v>128.8714581246</x:v>
      </x:c>
      <x:c r="N53" s="24" t="str">
        <x:v>portunus pelagicus</x:v>
      </x:c>
      <x:c r="O53" s="32" t="n">
        <x:v>2.48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Portunus pelagicus</x:v>
      </x:c>
      <x:c r="T53" s="32" t="n">
        <x:f>IF(O53="","",(1/'Metadata'!$B$5)^(O53-1))</x:f>
        <x:v>30.19951720402016</x:v>
      </x:c>
      <x:c r="U53" s="31" t="n">
        <x:f>IF(T53="","",I53*T53)</x:f>
        <x:v>383344.7996494272</x:v>
      </x:c>
    </x:row>
    <x:row r="54" ht="18" customHeight="1">
      <x:c r="A54" s="24" t="str">
        <x:v>EEZ_390</x:v>
      </x:c>
      <x:c r="B54" s="24" t="str">
        <x:v>Japan (main islands)</x:v>
      </x:c>
      <x:c r="C54" s="24" t="str">
        <x:v>EEZ</x:v>
      </x:c>
      <x:c r="D54" s="30" t="n">
        <x:v>2019</x:v>
      </x:c>
      <x:c r="E54" s="24" t="str">
        <x:v>Epinephelus</x:v>
      </x:c>
      <x:c r="F54" s="24" t="str">
        <x:v>Seabasses, hinds</x:v>
      </x:c>
      <x:c r="G54" s="24" t="str">
        <x:v>Medium reef assoc. fish (30 - 89 cm)</x:v>
      </x:c>
      <x:c r="H54" s="24" t="str">
        <x:v>Perch-likes</x:v>
      </x:c>
      <x:c r="I54" s="31" t="n">
        <x:v>12147.1678746002</x:v>
      </x:c>
      <x:c r="J54" s="31" t="n">
        <x:v>12147.1678746002</x:v>
      </x:c>
      <x:c r="K54" s="31" t="n">
        <x:v>0</x:v>
      </x:c>
      <x:c r="L54" s="31" t="n">
        <x:v>12147.1678746002</x:v>
      </x:c>
      <x:c r="M54" s="31" t="n">
        <x:v>0</x:v>
      </x:c>
      <x:c r="N54" s="24" t="str">
        <x:v>epinephelus</x:v>
      </x:c>
      <x:c r="O54" s="32" t="n">
        <x:v>3.84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Epinephelus</x:v>
      </x:c>
      <x:c r="T54" s="32" t="n">
        <x:f>IF(O54="","",(1/'Metadata'!$B$5)^(O54-1))</x:f>
        <x:v>691.8309709189363</x:v>
      </x:c>
      <x:c r="U54" s="31" t="n">
        <x:f>IF(T54="","",I54*T54)</x:f>
        <x:v>8403786.944599967</x:v>
      </x:c>
    </x:row>
    <x:row r="55" ht="18" customHeight="1">
      <x:c r="A55" s="24" t="str">
        <x:v>EEZ_390</x:v>
      </x:c>
      <x:c r="B55" s="24" t="str">
        <x:v>Japan (main islands)</x:v>
      </x:c>
      <x:c r="C55" s="24" t="str">
        <x:v>EEZ</x:v>
      </x:c>
      <x:c r="D55" s="30" t="n">
        <x:v>2019</x:v>
      </x:c>
      <x:c r="E55" s="24" t="str">
        <x:v>Cephalopoda</x:v>
      </x:c>
      <x:c r="F55" s="24" t="str">
        <x:v>Squids, cuttlefishes, octopuses</x:v>
      </x:c>
      <x:c r="G55" s="24" t="str">
        <x:v>Cephalopods</x:v>
      </x:c>
      <x:c r="H55" s="24" t="str">
        <x:v>Other fishes &amp; inverts</x:v>
      </x:c>
      <x:c r="I55" s="31" t="n">
        <x:v>10057.681362626201</x:v>
      </x:c>
      <x:c r="J55" s="31" t="n">
        <x:v>6924.6748386614</x:v>
      </x:c>
      <x:c r="K55" s="31" t="n">
        <x:v>3133.0065239648</x:v>
      </x:c>
      <x:c r="L55" s="31" t="n">
        <x:v>6577.1859537905</x:v>
      </x:c>
      <x:c r="M55" s="31" t="n">
        <x:v>3480.4954088357003</x:v>
      </x:c>
      <x:c r="N55" s="24" t="str">
        <x:v>cephalopoda</x:v>
      </x:c>
      <x:c r="O55" s="32" t="n">
        <x:v>3.81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Cephalopoda</x:v>
      </x:c>
      <x:c r="T55" s="32" t="n">
        <x:f>IF(O55="","",(1/'Metadata'!$B$5)^(O55-1))</x:f>
        <x:v>645.6542290346556</x:v>
      </x:c>
      <x:c r="U55" s="31" t="n">
        <x:f>IF(T55="","",I55*T55)</x:f>
        <x:v>6493784.5060626445</x:v>
      </x:c>
    </x:row>
    <x:row r="56" ht="18" customHeight="1">
      <x:c r="A56" s="24" t="str">
        <x:v>EEZ_390</x:v>
      </x:c>
      <x:c r="B56" s="24" t="str">
        <x:v>Japan (main islands)</x:v>
      </x:c>
      <x:c r="C56" s="24" t="str">
        <x:v>EEZ</x:v>
      </x:c>
      <x:c r="D56" s="30" t="n">
        <x:v>2019</x:v>
      </x:c>
      <x:c r="E56" s="24" t="str">
        <x:v>Scombridae</x:v>
      </x:c>
      <x:c r="F56" s="24" t="str">
        <x:v>Mackerels, tunas, bonitos</x:v>
      </x:c>
      <x:c r="G56" s="24" t="str">
        <x:v>Medium pelagics (30 - 89 cm)</x:v>
      </x:c>
      <x:c r="H56" s="24" t="str">
        <x:v>Perch-likes</x:v>
      </x:c>
      <x:c r="I56" s="31" t="n">
        <x:v>9931.878619961899</x:v>
      </x:c>
      <x:c r="J56" s="31" t="n">
        <x:v>8849.2126405606</x:v>
      </x:c>
      <x:c r="K56" s="31" t="n">
        <x:v>1082.6659794013</x:v>
      </x:c>
      <x:c r="L56" s="31" t="n">
        <x:v>7190.226465445399</x:v>
      </x:c>
      <x:c r="M56" s="31" t="n">
        <x:v>2741.6521545165</x:v>
      </x:c>
      <x:c r="N56" s="24" t="str">
        <x:v>scombridae</x:v>
      </x:c>
      <x:c r="O56" s="32" t="n">
        <x:v>4.26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Scombridae</x:v>
      </x:c>
      <x:c r="T56" s="32" t="n">
        <x:f>IF(O56="","",(1/'Metadata'!$B$5)^(O56-1))</x:f>
        <x:v>1819.7008586099826</x:v>
      </x:c>
      <x:c r="U56" s="31" t="n">
        <x:f>IF(T56="","",I56*T56)</x:f>
        <x:v>18073048.052354798</x:v>
      </x:c>
    </x:row>
    <x:row r="57" ht="18" customHeight="1">
      <x:c r="A57" s="24" t="str">
        <x:v>EEZ_390</x:v>
      </x:c>
      <x:c r="B57" s="24" t="str">
        <x:v>Japan (main islands)</x:v>
      </x:c>
      <x:c r="C57" s="24" t="str">
        <x:v>EEZ</x:v>
      </x:c>
      <x:c r="D57" s="30" t="n">
        <x:v>2019</x:v>
      </x:c>
      <x:c r="E57" s="24" t="str">
        <x:v>Ilisha elongata</x:v>
      </x:c>
      <x:c r="F57" s="24" t="str">
        <x:v>Elongate ilisha</x:v>
      </x:c>
      <x:c r="G57" s="24" t="str">
        <x:v>Medium pelagics (30 - 89 cm)</x:v>
      </x:c>
      <x:c r="H57" s="24" t="str">
        <x:v>Herring-likes</x:v>
      </x:c>
      <x:c r="I57" s="31" t="n">
        <x:v>9727.9318473029</x:v>
      </x:c>
      <x:c r="J57" s="31" t="n">
        <x:v>9727.9318473029</x:v>
      </x:c>
      <x:c r="K57" s="31" t="n">
        <x:v>0</x:v>
      </x:c>
      <x:c r="L57" s="31" t="n">
        <x:v>9727.9318473029</x:v>
      </x:c>
      <x:c r="M57" s="31" t="n">
        <x:v>0</x:v>
      </x:c>
      <x:c r="N57" s="24" t="str">
        <x:v>ilisha elongata</x:v>
      </x:c>
      <x:c r="O57" s="32" t="n">
        <x:v>3.79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Ilisha elongata</x:v>
      </x:c>
      <x:c r="T57" s="32" t="n">
        <x:f>IF(O57="","",(1/'Metadata'!$B$5)^(O57-1))</x:f>
        <x:v>616.5950018614822</x:v>
      </x:c>
      <x:c r="U57" s="31" t="n">
        <x:f>IF(T57="","",I57*T57)</x:f>
        <x:v>5998194.155496103</x:v>
      </x:c>
    </x:row>
    <x:row r="58" ht="18" customHeight="1">
      <x:c r="A58" s="24" t="str">
        <x:v>EEZ_390</x:v>
      </x:c>
      <x:c r="B58" s="24" t="str">
        <x:v>Japan (main islands)</x:v>
      </x:c>
      <x:c r="C58" s="24" t="str">
        <x:v>EEZ</x:v>
      </x:c>
      <x:c r="D58" s="30" t="n">
        <x:v>2019</x:v>
      </x:c>
      <x:c r="E58" s="24" t="str">
        <x:v>Larimichthys crocea</x:v>
      </x:c>
      <x:c r="F58" s="24" t="str">
        <x:v>Large yellow croaker</x:v>
      </x:c>
      <x:c r="G58" s="24" t="str">
        <x:v>Medium benthopelagics (30 - 89 cm)</x:v>
      </x:c>
      <x:c r="H58" s="24" t="str">
        <x:v>Perch-likes</x:v>
      </x:c>
      <x:c r="I58" s="31" t="n">
        <x:v>9029.6347650844</x:v>
      </x:c>
      <x:c r="J58" s="31" t="n">
        <x:v>9029.6347650844</x:v>
      </x:c>
      <x:c r="K58" s="31" t="n">
        <x:v>0</x:v>
      </x:c>
      <x:c r="L58" s="31" t="n">
        <x:v>9029.6347650844</x:v>
      </x:c>
      <x:c r="M58" s="31" t="n">
        <x:v>0</x:v>
      </x:c>
      <x:c r="N58" s="24" t="str">
        <x:v>larimichthys crocea</x:v>
      </x:c>
      <x:c r="O58" s="32" t="n">
        <x:v>3.72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Larimichthys crocea</x:v>
      </x:c>
      <x:c r="T58" s="32" t="n">
        <x:f>IF(O58="","",(1/'Metadata'!$B$5)^(O58-1))</x:f>
        <x:v>524.8074602497728</x:v>
      </x:c>
      <x:c r="U58" s="31" t="n">
        <x:f>IF(T58="","",I58*T58)</x:f>
        <x:v>4738819.688046998</x:v>
      </x:c>
    </x:row>
    <x:row r="59" ht="18" customHeight="1">
      <x:c r="A59" s="24" t="str">
        <x:v>EEZ_390</x:v>
      </x:c>
      <x:c r="B59" s="24" t="str">
        <x:v>Japan (main islands)</x:v>
      </x:c>
      <x:c r="C59" s="24" t="str">
        <x:v>EEZ</x:v>
      </x:c>
      <x:c r="D59" s="30" t="n">
        <x:v>2019</x:v>
      </x:c>
      <x:c r="E59" s="24" t="str">
        <x:v>Alepes</x:v>
      </x:c>
      <x:c r="F59" s="24" t="str">
        <x:v>Crevalles</x:v>
      </x:c>
      <x:c r="G59" s="24" t="str">
        <x:v>Medium reef assoc. fish (30 - 89 cm)</x:v>
      </x:c>
      <x:c r="H59" s="24" t="str">
        <x:v>Perch-likes</x:v>
      </x:c>
      <x:c r="I59" s="31" t="n">
        <x:v>8688.5114678985</x:v>
      </x:c>
      <x:c r="J59" s="31" t="n">
        <x:v>8688.5114678985</x:v>
      </x:c>
      <x:c r="K59" s="31" t="n">
        <x:v>0</x:v>
      </x:c>
      <x:c r="L59" s="31" t="n">
        <x:v>8688.5114678985</x:v>
      </x:c>
      <x:c r="M59" s="31" t="n">
        <x:v>0</x:v>
      </x:c>
      <x:c r="N59" s="24" t="str">
        <x:v>alepes</x:v>
      </x:c>
      <x:c r="O59" s="32" t="n">
        <x:v>3.32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Alepes</x:v>
      </x:c>
      <x:c r="T59" s="32" t="n">
        <x:f>IF(O59="","",(1/'Metadata'!$B$5)^(O59-1))</x:f>
        <x:v>208.92961308540387</x:v>
      </x:c>
      <x:c r="U59" s="31" t="n">
        <x:f>IF(T59="","",I59*T59)</x:f>
        <x:v>1815287.339276128</x:v>
      </x:c>
    </x:row>
    <x:row r="60" ht="18" customHeight="1">
      <x:c r="A60" s="24" t="str">
        <x:v>EEZ_390</x:v>
      </x:c>
      <x:c r="B60" s="24" t="str">
        <x:v>Japan (main islands)</x:v>
      </x:c>
      <x:c r="C60" s="24" t="str">
        <x:v>EEZ</x:v>
      </x:c>
      <x:c r="D60" s="30" t="n">
        <x:v>2019</x:v>
      </x:c>
      <x:c r="E60" s="24" t="str">
        <x:v>Lateolabrax japonicus</x:v>
      </x:c>
      <x:c r="F60" s="24" t="str">
        <x:v>Japanese seabass</x:v>
      </x:c>
      <x:c r="G60" s="24" t="str">
        <x:v>Medium reef assoc. fish (30 - 89 cm)</x:v>
      </x:c>
      <x:c r="H60" s="24" t="str">
        <x:v>Perch-likes</x:v>
      </x:c>
      <x:c r="I60" s="31" t="n">
        <x:v>8570.6238413535</x:v>
      </x:c>
      <x:c r="J60" s="31" t="n">
        <x:v>6425.8308710752</x:v>
      </x:c>
      <x:c r="K60" s="31" t="n">
        <x:v>2144.7929702783</x:v>
      </x:c>
      <x:c r="L60" s="31" t="n">
        <x:v>6007.6807066993</x:v>
      </x:c>
      <x:c r="M60" s="31" t="n">
        <x:v>2562.9431346542</x:v>
      </x:c>
      <x:c r="N60" s="24" t="str">
        <x:v>lateolabrax japonicus</x:v>
      </x:c>
      <x:c r="O60" s="32" t="n">
        <x:v>3.36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Lateolabrax japonicus</x:v>
      </x:c>
      <x:c r="T60" s="32" t="n">
        <x:f>IF(O60="","",(1/'Metadata'!$B$5)^(O60-1))</x:f>
        <x:v>229.08676527677724</x:v>
      </x:c>
      <x:c r="U60" s="31" t="n">
        <x:f>IF(T60="","",I60*T60)</x:f>
        <x:v>1963416.4922197</x:v>
      </x:c>
    </x:row>
    <x:row r="61" ht="18" customHeight="1">
      <x:c r="A61" s="24" t="str">
        <x:v>EEZ_390</x:v>
      </x:c>
      <x:c r="B61" s="24" t="str">
        <x:v>Japan (main islands)</x:v>
      </x:c>
      <x:c r="C61" s="24" t="str">
        <x:v>EEZ</x:v>
      </x:c>
      <x:c r="D61" s="30" t="n">
        <x:v>2019</x:v>
      </x:c>
      <x:c r="E61" s="24" t="str">
        <x:v>Paralichthys olivaceus</x:v>
      </x:c>
      <x:c r="F61" s="24" t="str">
        <x:v>Bastard halibut</x:v>
      </x:c>
      <x:c r="G61" s="24" t="str">
        <x:v>Large flatfishes (&gt;=90 cm)</x:v>
      </x:c>
      <x:c r="H61" s="24" t="str">
        <x:v>Flatfishes</x:v>
      </x:c>
      <x:c r="I61" s="31" t="n">
        <x:v>8024.0388894554</x:v>
      </x:c>
      <x:c r="J61" s="31" t="n">
        <x:v>7522.1198156682</x:v>
      </x:c>
      <x:c r="K61" s="31" t="n">
        <x:v>501.91907378720003</x:v>
      </x:c>
      <x:c r="L61" s="31" t="n">
        <x:v>6900.000000000001</x:v>
      </x:c>
      <x:c r="M61" s="31" t="n">
        <x:v>1124.0388894554</x:v>
      </x:c>
      <x:c r="N61" s="24" t="str">
        <x:v>paralichthys olivaceus</x:v>
      </x:c>
      <x:c r="O61" s="32" t="n">
        <x:v>4.25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Paralichthys olivaceus</x:v>
      </x:c>
      <x:c r="T61" s="32" t="n">
        <x:f>IF(O61="","",(1/'Metadata'!$B$5)^(O61-1))</x:f>
        <x:v>1778.2794100389228</x:v>
      </x:c>
      <x:c r="U61" s="31" t="n">
        <x:f>IF(T61="","",I61*T61)</x:f>
        <x:v>14268983.142470121</x:v>
      </x:c>
    </x:row>
    <x:row r="62" ht="18" customHeight="1">
      <x:c r="A62" s="24" t="str">
        <x:v>EEZ_390</x:v>
      </x:c>
      <x:c r="B62" s="24" t="str">
        <x:v>Japan (main islands)</x:v>
      </x:c>
      <x:c r="C62" s="24" t="str">
        <x:v>EEZ</x:v>
      </x:c>
      <x:c r="D62" s="30" t="n">
        <x:v>2019</x:v>
      </x:c>
      <x:c r="E62" s="24" t="str">
        <x:v>Echinoidea</x:v>
      </x:c>
      <x:c r="F62" s="24" t="str">
        <x:v>Sea urchins, sea hedgehogs</x:v>
      </x:c>
      <x:c r="G62" s="24" t="str">
        <x:v>Other demersal invertebrates</x:v>
      </x:c>
      <x:c r="H62" s="24" t="str">
        <x:v>Other fishes &amp; inverts</x:v>
      </x:c>
      <x:c r="I62" s="31" t="n">
        <x:v>7924.980500030701</x:v>
      </x:c>
      <x:c r="J62" s="31" t="n">
        <x:v>7924.980500030701</x:v>
      </x:c>
      <x:c r="K62" s="31" t="n">
        <x:v>0</x:v>
      </x:c>
      <x:c r="L62" s="31" t="n">
        <x:v>7924.980500030701</x:v>
      </x:c>
      <x:c r="M62" s="31" t="n">
        <x:v>0</x:v>
      </x:c>
      <x:c r="N62" s="24" t="str">
        <x:v>echinoidea</x:v>
      </x:c>
      <x:c r="O62" s="32" t="n">
        <x:v>2.51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Echinoidea</x:v>
      </x:c>
      <x:c r="T62" s="32" t="n">
        <x:f>IF(O62="","",(1/'Metadata'!$B$5)^(O62-1))</x:f>
        <x:v>32.35936569296281</x:v>
      </x:c>
      <x:c r="U62" s="31" t="n">
        <x:f>IF(T62="","",I62*T62)</x:f>
        <x:v>256447.34211009272</x:v>
      </x:c>
    </x:row>
    <x:row r="63" ht="18" customHeight="1">
      <x:c r="A63" s="24" t="str">
        <x:v>EEZ_390</x:v>
      </x:c>
      <x:c r="B63" s="24" t="str">
        <x:v>Japan (main islands)</x:v>
      </x:c>
      <x:c r="C63" s="24" t="str">
        <x:v>EEZ</x:v>
      </x:c>
      <x:c r="D63" s="30" t="n">
        <x:v>2019</x:v>
      </x:c>
      <x:c r="E63" s="24" t="str">
        <x:v>Ommastrephes bartramii</x:v>
      </x:c>
      <x:c r="F63" s="24" t="str">
        <x:v>Neon flying squid</x:v>
      </x:c>
      <x:c r="G63" s="24" t="str">
        <x:v>Cephalopods</x:v>
      </x:c>
      <x:c r="H63" s="24" t="str">
        <x:v>Other fishes &amp; inverts</x:v>
      </x:c>
      <x:c r="I63" s="31" t="n">
        <x:v>7514.7465437789</x:v>
      </x:c>
      <x:c r="J63" s="31" t="n">
        <x:v>7514.7465437789</x:v>
      </x:c>
      <x:c r="K63" s="31" t="n">
        <x:v>0</x:v>
      </x:c>
      <x:c r="L63" s="31" t="n">
        <x:v>7100.0000000001</x:v>
      </x:c>
      <x:c r="M63" s="31" t="n">
        <x:v>414.7465437788</x:v>
      </x:c>
      <x:c r="N63" s="24" t="str">
        <x:v>ommastrephes bartramii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Ommastrephes bartramii</x:v>
      </x:c>
      <x:c r="T63" s="32" t="n">
        <x:f>IF(O63="","",(1/'Metadata'!$B$5)^(O63-1))</x:f>
        <x:v>2344.228815319923</x:v>
      </x:c>
      <x:c r="U63" s="31" t="n">
        <x:f>IF(T63="","",I63*T63)</x:f>
        <x:v>17616285.387752295</x:v>
      </x:c>
    </x:row>
    <x:row r="64" ht="18" customHeight="1">
      <x:c r="A64" s="24" t="str">
        <x:v>EEZ_390</x:v>
      </x:c>
      <x:c r="B64" s="24" t="str">
        <x:v>Japan (main islands)</x:v>
      </x:c>
      <x:c r="C64" s="24" t="str">
        <x:v>EEZ</x:v>
      </x:c>
      <x:c r="D64" s="30" t="n">
        <x:v>2019</x:v>
      </x:c>
      <x:c r="E64" s="24" t="str">
        <x:v>Thunnus obesus</x:v>
      </x:c>
      <x:c r="F64" s="24" t="str">
        <x:v>Bigeye tuna</x:v>
      </x:c>
      <x:c r="G64" s="24" t="str">
        <x:v>Large pelagics (&gt;=90 cm)</x:v>
      </x:c>
      <x:c r="H64" s="24" t="str">
        <x:v>Tuna &amp; billfishes</x:v>
      </x:c>
      <x:c r="I64" s="31" t="n">
        <x:v>7227.3341390686</x:v>
      </x:c>
      <x:c r="J64" s="31" t="n">
        <x:v>7223.7786002333</x:v>
      </x:c>
      <x:c r="K64" s="31" t="n">
        <x:v>3.5555388353</x:v>
      </x:c>
      <x:c r="L64" s="31" t="n">
        <x:v>7223.7786002333</x:v>
      </x:c>
      <x:c r="M64" s="31" t="n">
        <x:v>3.5555388353</x:v>
      </x:c>
      <x:c r="N64" s="24" t="str">
        <x:v>thunnus obesus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obesus</x:v>
      </x:c>
      <x:c r="T64" s="32" t="n">
        <x:f>IF(O64="","",(1/'Metadata'!$B$5)^(O64-1))</x:f>
        <x:v>3090.295432513592</x:v>
      </x:c>
      <x:c r="U64" s="31" t="n">
        <x:f>IF(T64="","",I64*T64)</x:f>
        <x:v>22334597.67921325</x:v>
      </x:c>
    </x:row>
    <x:row r="65" ht="18" customHeight="1">
      <x:c r="A65" s="24" t="str">
        <x:v>EEZ_390</x:v>
      </x:c>
      <x:c r="B65" s="24" t="str">
        <x:v>Japan (main islands)</x:v>
      </x:c>
      <x:c r="C65" s="24" t="str">
        <x:v>EEZ</x:v>
      </x:c>
      <x:c r="D65" s="30" t="n">
        <x:v>2019</x:v>
      </x:c>
      <x:c r="E65" s="24" t="str">
        <x:v>Arctoscopus japonicus</x:v>
      </x:c>
      <x:c r="F65" s="24" t="str">
        <x:v>Japanese sandfish</x:v>
      </x:c>
      <x:c r="G65" s="24" t="str">
        <x:v>Small bathydemersals (&lt;30 cm)</x:v>
      </x:c>
      <x:c r="H65" s="24" t="str">
        <x:v>Perch-likes</x:v>
      </x:c>
      <x:c r="I65" s="31" t="n">
        <x:v>7122.0483468063</x:v>
      </x:c>
      <x:c r="J65" s="31" t="n">
        <x:v>5400.0000000001</x:v>
      </x:c>
      <x:c r="K65" s="31" t="n">
        <x:v>1722.0483468062</x:v>
      </x:c>
      <x:c r="L65" s="31" t="n">
        <x:v>5400.0000000001</x:v>
      </x:c>
      <x:c r="M65" s="31" t="n">
        <x:v>1722.0483468062</x:v>
      </x:c>
      <x:c r="N65" s="24" t="str">
        <x:v>arctoscopus japonicus</x:v>
      </x:c>
      <x:c r="O65" s="32" t="n">
        <x:v>3.51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Arctoscopus japonicus</x:v>
      </x:c>
      <x:c r="T65" s="32" t="n">
        <x:f>IF(O65="","",(1/'Metadata'!$B$5)^(O65-1))</x:f>
        <x:v>323.5936569296281</x:v>
      </x:c>
      <x:c r="U65" s="31" t="n">
        <x:f>IF(T65="","",I65*T65)</x:f>
        <x:v>2304649.669372663</x:v>
      </x:c>
    </x:row>
    <x:row r="66" ht="18" customHeight="1">
      <x:c r="A66" s="24" t="str">
        <x:v>EEZ_390</x:v>
      </x:c>
      <x:c r="B66" s="24" t="str">
        <x:v>Japan (main islands)</x:v>
      </x:c>
      <x:c r="C66" s="24" t="str">
        <x:v>EEZ</x:v>
      </x:c>
      <x:c r="D66" s="30" t="n">
        <x:v>2019</x:v>
      </x:c>
      <x:c r="E66" s="24" t="str">
        <x:v>Thunnus orientalis</x:v>
      </x:c>
      <x:c r="F66" s="24" t="str">
        <x:v>Pacific bluefin tuna</x:v>
      </x:c>
      <x:c r="G66" s="24" t="str">
        <x:v>Large pelagics (&gt;=90 cm)</x:v>
      </x:c>
      <x:c r="H66" s="24" t="str">
        <x:v>Tuna &amp; billfishes</x:v>
      </x:c>
      <x:c r="I66" s="31" t="n">
        <x:v>6894.4001956335005</x:v>
      </x:c>
      <x:c r="J66" s="31" t="n">
        <x:v>6794.3767251103</x:v>
      </x:c>
      <x:c r="K66" s="31" t="n">
        <x:v>100.02347052319999</x:v>
      </x:c>
      <x:c r="L66" s="31" t="n">
        <x:v>6794.3767251103</x:v>
      </x:c>
      <x:c r="M66" s="31" t="n">
        <x:v>100.02347052319999</x:v>
      </x:c>
      <x:c r="N66" s="24" t="str">
        <x:v>thunnus orientalis</x:v>
      </x:c>
      <x:c r="O66" s="32" t="n">
        <x:v>4.05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orientalis</x:v>
      </x:c>
      <x:c r="T66" s="32" t="n">
        <x:f>IF(O66="","",(1/'Metadata'!$B$5)^(O66-1))</x:f>
        <x:v>1122.018454301963</x:v>
      </x:c>
      <x:c r="U66" s="31" t="n">
        <x:f>IF(T66="","",I66*T66)</x:f>
        <x:v>7735644.250843851</x:v>
      </x:c>
    </x:row>
    <x:row r="67" ht="18" customHeight="1">
      <x:c r="A67" s="24" t="str">
        <x:v>EEZ_390</x:v>
      </x:c>
      <x:c r="B67" s="24" t="str">
        <x:v>Japan (main islands)</x:v>
      </x:c>
      <x:c r="C67" s="24" t="str">
        <x:v>EEZ</x:v>
      </x:c>
      <x:c r="D67" s="30" t="n">
        <x:v>2019</x:v>
      </x:c>
      <x:c r="E67" s="24" t="str">
        <x:v>Ruvettus pretiosus</x:v>
      </x:c>
      <x:c r="F67" s="24" t="str">
        <x:v>Oilfish</x:v>
      </x:c>
      <x:c r="G67" s="24" t="str">
        <x:v>Large benthopelagics (&gt;=90 cm)</x:v>
      </x:c>
      <x:c r="H67" s="24" t="str">
        <x:v>Perch-likes</x:v>
      </x:c>
      <x:c r="I67" s="31" t="n">
        <x:v>6525.5038748291</x:v>
      </x:c>
      <x:c r="J67" s="31" t="n">
        <x:v>6525.5038748291</x:v>
      </x:c>
      <x:c r="K67" s="31" t="n">
        <x:v>0</x:v>
      </x:c>
      <x:c r="L67" s="31" t="n">
        <x:v>3907.4859731116</x:v>
      </x:c>
      <x:c r="M67" s="31" t="n">
        <x:v>2618.0179017175</x:v>
      </x:c>
      <x:c r="N67" s="24" t="str">
        <x:v>ruvettus pretiosus</x:v>
      </x:c>
      <x:c r="O67" s="32" t="n">
        <x:v>4.18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Ruvettus pretiosus</x:v>
      </x:c>
      <x:c r="T67" s="32" t="n">
        <x:f>IF(O67="","",(1/'Metadata'!$B$5)^(O67-1))</x:f>
        <x:v>1513.5612484362073</x:v>
      </x:c>
      <x:c r="U67" s="31" t="n">
        <x:f>IF(T67="","",I67*T67)</x:f>
        <x:v>9876749.791461641</x:v>
      </x:c>
    </x:row>
    <x:row r="68" ht="18" customHeight="1">
      <x:c r="A68" s="24" t="str">
        <x:v>EEZ_390</x:v>
      </x:c>
      <x:c r="B68" s="24" t="str">
        <x:v>Japan (main islands)</x:v>
      </x:c>
      <x:c r="C68" s="24" t="str">
        <x:v>EEZ</x:v>
      </x:c>
      <x:c r="D68" s="30" t="n">
        <x:v>2019</x:v>
      </x:c>
      <x:c r="E68" s="24" t="str">
        <x:v>Apostichopus japonicus</x:v>
      </x:c>
      <x:c r="F68" s="24" t="str">
        <x:v>Japanese sea cucumber</x:v>
      </x:c>
      <x:c r="G68" s="24" t="str">
        <x:v>Other demersal invertebrates</x:v>
      </x:c>
      <x:c r="H68" s="24" t="str">
        <x:v>Other fishes &amp; inverts</x:v>
      </x:c>
      <x:c r="I68" s="31" t="n">
        <x:v>6500</x:v>
      </x:c>
      <x:c r="J68" s="31" t="n">
        <x:v>6500</x:v>
      </x:c>
      <x:c r="K68" s="31" t="n">
        <x:v>0</x:v>
      </x:c>
      <x:c r="L68" s="31" t="n">
        <x:v>6500</x:v>
      </x:c>
      <x:c r="M68" s="31" t="n">
        <x:v>0</x:v>
      </x:c>
      <x:c r="N68" s="24" t="str">
        <x:v>apostichopus japonicus</x:v>
      </x:c>
      <x:c r="O68" s="32" t="n">
        <x:v>2.3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Apostichopus japonicus</x:v>
      </x:c>
      <x:c r="T68" s="32" t="n">
        <x:f>IF(O68="","",(1/'Metadata'!$B$5)^(O68-1))</x:f>
        <x:v>19.952623149688787</x:v>
      </x:c>
      <x:c r="U68" s="31" t="n">
        <x:f>IF(T68="","",I68*T68)</x:f>
        <x:v>129692.05047297712</x:v>
      </x:c>
    </x:row>
    <x:row r="69" ht="18" customHeight="1">
      <x:c r="A69" s="24" t="str">
        <x:v>EEZ_390</x:v>
      </x:c>
      <x:c r="B69" s="24" t="str">
        <x:v>Japan (main islands)</x:v>
      </x:c>
      <x:c r="C69" s="24" t="str">
        <x:v>EEZ</x:v>
      </x:c>
      <x:c r="D69" s="30" t="n">
        <x:v>2019</x:v>
      </x:c>
      <x:c r="E69" s="24" t="str">
        <x:v>Turbo cornutus</x:v>
      </x:c>
      <x:c r="F69" s="24" t="str">
        <x:v>Horned turban</x:v>
      </x:c>
      <x:c r="G69" s="24" t="str">
        <x:v>Other demersal invertebrates</x:v>
      </x:c>
      <x:c r="H69" s="24" t="str">
        <x:v>Molluscs</x:v>
      </x:c>
      <x:c r="I69" s="31" t="n">
        <x:v>5902.608102217</x:v>
      </x:c>
      <x:c r="J69" s="31" t="n">
        <x:v>5400</x:v>
      </x:c>
      <x:c r="K69" s="31" t="n">
        <x:v>502.608102217</x:v>
      </x:c>
      <x:c r="L69" s="31" t="n">
        <x:v>5400</x:v>
      </x:c>
      <x:c r="M69" s="31" t="n">
        <x:v>502.608102217</x:v>
      </x:c>
      <x:c r="N69" s="24" t="str">
        <x:v>turbo cornutus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Turbo cornutus</x:v>
      </x:c>
      <x:c r="T69" s="32" t="n">
        <x:f>IF(O69="","",(1/'Metadata'!$B$5)^(O69-1))</x:f>
        <x:v>10</x:v>
      </x:c>
      <x:c r="U69" s="31" t="n">
        <x:f>IF(T69="","",I69*T69)</x:f>
        <x:v>59026.08102217</x:v>
      </x:c>
    </x:row>
    <x:row r="70" ht="18" customHeight="1">
      <x:c r="A70" s="24" t="str">
        <x:v>EEZ_390</x:v>
      </x:c>
      <x:c r="B70" s="24" t="str">
        <x:v>Japan (main islands)</x:v>
      </x:c>
      <x:c r="C70" s="24" t="str">
        <x:v>EEZ</x:v>
      </x:c>
      <x:c r="D70" s="30" t="n">
        <x:v>2019</x:v>
      </x:c>
      <x:c r="E70" s="24" t="str">
        <x:v>Tetraodontidae</x:v>
      </x:c>
      <x:c r="F70" s="24" t="str">
        <x:v>Puffers, tobies</x:v>
      </x:c>
      <x:c r="G70" s="24" t="str">
        <x:v>Large reef assoc. fish (&gt;=90 cm)</x:v>
      </x:c>
      <x:c r="H70" s="24" t="str">
        <x:v>Other fishes &amp; inverts</x:v>
      </x:c>
      <x:c r="I70" s="31" t="n">
        <x:v>5612.0119928616</x:v>
      </x:c>
      <x:c r="J70" s="31" t="n">
        <x:v>5311.0599078341</x:v>
      </x:c>
      <x:c r="K70" s="31" t="n">
        <x:v>300.9520850275</x:v>
      </x:c>
      <x:c r="L70" s="31" t="n">
        <x:v>5000</x:v>
      </x:c>
      <x:c r="M70" s="31" t="n">
        <x:v>612.0119928616</x:v>
      </x:c>
      <x:c r="N70" s="24" t="str">
        <x:v>tetraodontidae</x:v>
      </x:c>
      <x:c r="O70" s="32" t="n">
        <x:v>3.5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Tetraodontidae</x:v>
      </x:c>
      <x:c r="T70" s="32" t="n">
        <x:f>IF(O70="","",(1/'Metadata'!$B$5)^(O70-1))</x:f>
        <x:v>316.22776601683796</x:v>
      </x:c>
      <x:c r="U70" s="31" t="n">
        <x:f>IF(T70="","",I70*T70)</x:f>
        <x:v>1774674.0153623268</x:v>
      </x:c>
    </x:row>
    <x:row r="71" ht="18" customHeight="1">
      <x:c r="A71" s="24" t="str">
        <x:v>EEZ_390</x:v>
      </x:c>
      <x:c r="B71" s="24" t="str">
        <x:v>Japan (main islands)</x:v>
      </x:c>
      <x:c r="C71" s="24" t="str">
        <x:v>EEZ</x:v>
      </x:c>
      <x:c r="D71" s="30" t="n">
        <x:v>2019</x:v>
      </x:c>
      <x:c r="E71" s="24" t="str">
        <x:v>Miichthys miiuy</x:v>
      </x:c>
      <x:c r="F71" s="24" t="str">
        <x:v>Mi-iuy croaker</x:v>
      </x:c>
      <x:c r="G71" s="24" t="str">
        <x:v>Medium demersals (30 - 89 cm)</x:v>
      </x:c>
      <x:c r="H71" s="24" t="str">
        <x:v>Perch-likes</x:v>
      </x:c>
      <x:c r="I71" s="31" t="n">
        <x:v>5499.7880006967</x:v>
      </x:c>
      <x:c r="J71" s="31" t="n">
        <x:v>5498.551507299</x:v>
      </x:c>
      <x:c r="K71" s="31" t="n">
        <x:v>1.2364933976999999</x:v>
      </x:c>
      <x:c r="L71" s="31" t="n">
        <x:v>5497.990634049</x:v>
      </x:c>
      <x:c r="M71" s="31" t="n">
        <x:v>1.7973666476999999</x:v>
      </x:c>
      <x:c r="N71" s="24" t="str">
        <x:v>miichthys miiuy</x:v>
      </x:c>
      <x:c r="O71" s="32" t="n">
        <x:v>3.5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Miichthys miiuy</x:v>
      </x:c>
      <x:c r="T71" s="32" t="n">
        <x:f>IF(O71="","",(1/'Metadata'!$B$5)^(O71-1))</x:f>
        <x:v>316.22776601683796</x:v>
      </x:c>
      <x:c r="U71" s="31" t="n">
        <x:f>IF(T71="","",I71*T71)</x:f>
        <x:v>1739185.6730265291</x:v>
      </x:c>
    </x:row>
    <x:row r="72" ht="18" customHeight="1">
      <x:c r="A72" s="24" t="str">
        <x:v>EEZ_390</x:v>
      </x:c>
      <x:c r="B72" s="24" t="str">
        <x:v>Japan (main islands)</x:v>
      </x:c>
      <x:c r="C72" s="24" t="str">
        <x:v>EEZ</x:v>
      </x:c>
      <x:c r="D72" s="30" t="n">
        <x:v>2019</x:v>
      </x:c>
      <x:c r="E72" s="24" t="str">
        <x:v>Coryphaena</x:v>
      </x:c>
      <x:c r="F72" s="24" t="str">
        <x:v>Dolphinfishes</x:v>
      </x:c>
      <x:c r="G72" s="24" t="str">
        <x:v>Large pelagics (&gt;=90 cm)</x:v>
      </x:c>
      <x:c r="H72" s="24" t="str">
        <x:v>Perch-likes</x:v>
      </x:c>
      <x:c r="I72" s="31" t="n">
        <x:v>5406.9827637229</x:v>
      </x:c>
      <x:c r="J72" s="31" t="n">
        <x:v>4809.7030256278</x:v>
      </x:c>
      <x:c r="K72" s="31" t="n">
        <x:v>597.2797380951</x:v>
      </x:c>
      <x:c r="L72" s="31" t="n">
        <x:v>4291.2698459043</x:v>
      </x:c>
      <x:c r="M72" s="31" t="n">
        <x:v>1115.7129178186</x:v>
      </x:c>
      <x:c r="N72" s="24" t="str">
        <x:v>coryphaena</x:v>
      </x:c>
      <x:c r="O72" s="32" t="n">
        <x:v>4.49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Coryphaena</x:v>
      </x:c>
      <x:c r="T72" s="32" t="n">
        <x:f>IF(O72="","",(1/'Metadata'!$B$5)^(O72-1))</x:f>
        <x:v>3090.295432513592</x:v>
      </x:c>
      <x:c r="U72" s="31" t="n">
        <x:f>IF(T72="","",I72*T72)</x:f>
        <x:v>16709174.138412597</x:v>
      </x:c>
    </x:row>
    <x:row r="73" ht="18" customHeight="1">
      <x:c r="A73" s="24" t="str">
        <x:v>EEZ_390</x:v>
      </x:c>
      <x:c r="B73" s="24" t="str">
        <x:v>Japan (main islands)</x:v>
      </x:c>
      <x:c r="C73" s="24" t="str">
        <x:v>EEZ</x:v>
      </x:c>
      <x:c r="D73" s="30" t="n">
        <x:v>2019</x:v>
      </x:c>
      <x:c r="E73" s="24" t="str">
        <x:v>Mollusca</x:v>
      </x:c>
      <x:c r="F73" s="24" t="str">
        <x:v>Clams, seasnails, squids, octopuses</x:v>
      </x:c>
      <x:c r="G73" s="24" t="str">
        <x:v>Other demersal invertebrates</x:v>
      </x:c>
      <x:c r="H73" s="24" t="str">
        <x:v>Molluscs</x:v>
      </x:c>
      <x:c r="I73" s="31" t="n">
        <x:v>5365.2431618766</x:v>
      </x:c>
      <x:c r="J73" s="31" t="n">
        <x:v>5365.2431618766</x:v>
      </x:c>
      <x:c r="K73" s="31" t="n">
        <x:v>0</x:v>
      </x:c>
      <x:c r="L73" s="31" t="n">
        <x:v>127.0082230679</x:v>
      </x:c>
      <x:c r="M73" s="31" t="n">
        <x:v>5238.2349388087005</x:v>
      </x:c>
      <x:c r="N73" s="24" t="str">
        <x:v>mollusca</x:v>
      </x:c>
      <x:c r="O73" s="32" t="n">
        <x:v>2.1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Mollusca</x:v>
      </x:c>
      <x:c r="T73" s="32" t="n">
        <x:f>IF(O73="","",(1/'Metadata'!$B$5)^(O73-1))</x:f>
        <x:v>12.589254117941675</x:v>
      </x:c>
      <x:c r="U73" s="31" t="n">
        <x:f>IF(T73="","",I73*T73)</x:f>
        <x:v>67544.4095694134</x:v>
      </x:c>
    </x:row>
    <x:row r="74" ht="18" customHeight="1">
      <x:c r="A74" s="24" t="str">
        <x:v>EEZ_390</x:v>
      </x:c>
      <x:c r="B74" s="24" t="str">
        <x:v>Japan (main islands)</x:v>
      </x:c>
      <x:c r="C74" s="24" t="str">
        <x:v>EEZ</x:v>
      </x:c>
      <x:c r="D74" s="30" t="n">
        <x:v>2019</x:v>
      </x:c>
      <x:c r="E74" s="24" t="str">
        <x:v>Konosirus punctatus</x:v>
      </x:c>
      <x:c r="F74" s="24" t="str">
        <x:v>Dotted gizzard shad</x:v>
      </x:c>
      <x:c r="G74" s="24" t="str">
        <x:v>Small pelagics (&lt;30 cm)</x:v>
      </x:c>
      <x:c r="H74" s="24" t="str">
        <x:v>Herring-likes</x:v>
      </x:c>
      <x:c r="I74" s="31" t="n">
        <x:v>5004.4216101538</x:v>
      </x:c>
      <x:c r="J74" s="31" t="n">
        <x:v>4900.0000000001</x:v>
      </x:c>
      <x:c r="K74" s="31" t="n">
        <x:v>104.4216101537</x:v>
      </x:c>
      <x:c r="L74" s="31" t="n">
        <x:v>4900.0000000001</x:v>
      </x:c>
      <x:c r="M74" s="31" t="n">
        <x:v>104.4216101537</x:v>
      </x:c>
      <x:c r="N74" s="24" t="str">
        <x:v>konosirus punctatus</x:v>
      </x:c>
      <x:c r="O74" s="32" t="n">
        <x:v>2.87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Konosirus punctatus</x:v>
      </x:c>
      <x:c r="T74" s="32" t="n">
        <x:f>IF(O74="","",(1/'Metadata'!$B$5)^(O74-1))</x:f>
        <x:v>74.13102413009177</x:v>
      </x:c>
      <x:c r="U74" s="31" t="n">
        <x:f>IF(T74="","",I74*T74)</x:f>
        <x:v>370982.89913946413</x:v>
      </x:c>
    </x:row>
    <x:row r="75" ht="18" customHeight="1">
      <x:c r="A75" s="24" t="str">
        <x:v>EEZ_390</x:v>
      </x:c>
      <x:c r="B75" s="24" t="str">
        <x:v>Japan (main islands)</x:v>
      </x:c>
      <x:c r="C75" s="24" t="str">
        <x:v>EEZ</x:v>
      </x:c>
      <x:c r="D75" s="30" t="n">
        <x:v>2019</x:v>
      </x:c>
      <x:c r="E75" s="24" t="str">
        <x:v>Haemulidae</x:v>
      </x:c>
      <x:c r="F75" s="24" t="str">
        <x:v>Grunts, sweetlips, bonnetmouths</x:v>
      </x:c>
      <x:c r="G75" s="24" t="str">
        <x:v>Medium demersals (30 - 89 cm)</x:v>
      </x:c>
      <x:c r="H75" s="24" t="str">
        <x:v>Perch-likes</x:v>
      </x:c>
      <x:c r="I75" s="31" t="n">
        <x:v>4955.2995391704</x:v>
      </x:c>
      <x:c r="J75" s="31" t="n">
        <x:v>4955.2995391704</x:v>
      </x:c>
      <x:c r="K75" s="31" t="n">
        <x:v>0</x:v>
      </x:c>
      <x:c r="L75" s="31" t="n">
        <x:v>3399.9999999999</x:v>
      </x:c>
      <x:c r="M75" s="31" t="n">
        <x:v>1555.2995391705</x:v>
      </x:c>
      <x:c r="N75" s="24" t="str">
        <x:v>haemulidae</x:v>
      </x:c>
      <x:c r="O75" s="32" t="n">
        <x:v>3.36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Haemulidae</x:v>
      </x:c>
      <x:c r="T75" s="32" t="n">
        <x:f>IF(O75="","",(1/'Metadata'!$B$5)^(O75-1))</x:f>
        <x:v>229.08676527677724</x:v>
      </x:c>
      <x:c r="U75" s="31" t="n">
        <x:f>IF(T75="","",I75*T75)</x:f>
        <x:v>1135193.542406052</x:v>
      </x:c>
    </x:row>
    <x:row r="76" ht="18" customHeight="1">
      <x:c r="A76" s="24" t="str">
        <x:v>EEZ_390</x:v>
      </x:c>
      <x:c r="B76" s="24" t="str">
        <x:v>Japan (main islands)</x:v>
      </x:c>
      <x:c r="C76" s="24" t="str">
        <x:v>EEZ</x:v>
      </x:c>
      <x:c r="D76" s="30" t="n">
        <x:v>2019</x:v>
      </x:c>
      <x:c r="E76" s="24" t="str">
        <x:v>Congridae</x:v>
      </x:c>
      <x:c r="F76" s="24" t="str">
        <x:v>Conger, garden eels</x:v>
      </x:c>
      <x:c r="G76" s="24" t="str">
        <x:v>Large demersals (&gt;=90 cm)</x:v>
      </x:c>
      <x:c r="H76" s="24" t="str">
        <x:v>Other fishes &amp; inverts</x:v>
      </x:c>
      <x:c r="I76" s="31" t="n">
        <x:v>4941.4958396317</x:v>
      </x:c>
      <x:c r="J76" s="31" t="n">
        <x:v>3300.0000000001</x:v>
      </x:c>
      <x:c r="K76" s="31" t="n">
        <x:v>1641.4958396316001</x:v>
      </x:c>
      <x:c r="L76" s="31" t="n">
        <x:v>3300.0000000001</x:v>
      </x:c>
      <x:c r="M76" s="31" t="n">
        <x:v>1641.4958396316001</x:v>
      </x:c>
      <x:c r="N76" s="24" t="str">
        <x:v>congridae</x:v>
      </x:c>
      <x:c r="O76" s="32" t="n">
        <x:v>4.18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Congridae</x:v>
      </x:c>
      <x:c r="T76" s="32" t="n">
        <x:f>IF(O76="","",(1/'Metadata'!$B$5)^(O76-1))</x:f>
        <x:v>1513.5612484362073</x:v>
      </x:c>
      <x:c r="U76" s="31" t="n">
        <x:f>IF(T76="","",I76*T76)</x:f>
        <x:v>7479256.612175279</x:v>
      </x:c>
    </x:row>
    <x:row r="77" ht="18" customHeight="1">
      <x:c r="A77" s="24" t="str">
        <x:v>EEZ_390</x:v>
      </x:c>
      <x:c r="B77" s="24" t="str">
        <x:v>Japan (main islands)</x:v>
      </x:c>
      <x:c r="C77" s="24" t="str">
        <x:v>EEZ</x:v>
      </x:c>
      <x:c r="D77" s="30" t="n">
        <x:v>2019</x:v>
      </x:c>
      <x:c r="E77" s="24" t="str">
        <x:v>Exocoetidae</x:v>
      </x:c>
      <x:c r="F77" s="24" t="str">
        <x:v>Flyingfishes</x:v>
      </x:c>
      <x:c r="G77" s="24" t="str">
        <x:v>Small pelagics (&lt;30 cm)</x:v>
      </x:c>
      <x:c r="H77" s="24" t="str">
        <x:v>Other fishes &amp; inverts</x:v>
      </x:c>
      <x:c r="I77" s="31" t="n">
        <x:v>4688.1672843092</x:v>
      </x:c>
      <x:c r="J77" s="31" t="n">
        <x:v>3945.1220099820002</x:v>
      </x:c>
      <x:c r="K77" s="31" t="n">
        <x:v>743.0452743272</x:v>
      </x:c>
      <x:c r="L77" s="31" t="n">
        <x:v>3924.7378886888</x:v>
      </x:c>
      <x:c r="M77" s="31" t="n">
        <x:v>763.4293956204</x:v>
      </x:c>
      <x:c r="N77" s="24" t="str">
        <x:v>exocoetidae</x:v>
      </x:c>
      <x:c r="O77" s="32" t="n">
        <x:v>3.57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Exocoetidae</x:v>
      </x:c>
      <x:c r="T77" s="32" t="n">
        <x:f>IF(O77="","",(1/'Metadata'!$B$5)^(O77-1))</x:f>
        <x:v>371.5352290971724</x:v>
      </x:c>
      <x:c r="U77" s="31" t="n">
        <x:f>IF(T77="","",I77*T77)</x:f>
        <x:v>1741819.3060216873</x:v>
      </x:c>
    </x:row>
    <x:row r="78" ht="18" customHeight="1">
      <x:c r="A78" s="24" t="str">
        <x:v>EEZ_390</x:v>
      </x:c>
      <x:c r="B78" s="24" t="str">
        <x:v>Japan (main islands)</x:v>
      </x:c>
      <x:c r="C78" s="24" t="str">
        <x:v>EEZ</x:v>
      </x:c>
      <x:c r="D78" s="30" t="n">
        <x:v>2019</x:v>
      </x:c>
      <x:c r="E78" s="24" t="str">
        <x:v>Elasmobranchii</x:v>
      </x:c>
      <x:c r="F78" s="24" t="str">
        <x:v>Sharks, rays, skates</x:v>
      </x:c>
      <x:c r="G78" s="24" t="str">
        <x:v>Large sharks (&gt;=90 cm)</x:v>
      </x:c>
      <x:c r="H78" s="24" t="str">
        <x:v>Sharks &amp; rays</x:v>
      </x:c>
      <x:c r="I78" s="31" t="n">
        <x:v>4630.028449618801</x:v>
      </x:c>
      <x:c r="J78" s="31" t="n">
        <x:v>4628.3141424758005</x:v>
      </x:c>
      <x:c r="K78" s="31" t="n">
        <x:v>1.714307143</x:v>
      </x:c>
      <x:c r="L78" s="31" t="n">
        <x:v>3377.3776171807003</x:v>
      </x:c>
      <x:c r="M78" s="31" t="n">
        <x:v>1252.6508324381</x:v>
      </x:c>
      <x:c r="N78" s="24" t="str">
        <x:v>elasmobranchii</x:v>
      </x:c>
      <x:c r="O78" s="32" t="n">
        <x:v>4.05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Elasmobranchii</x:v>
      </x:c>
      <x:c r="T78" s="32" t="n">
        <x:f>IF(O78="","",(1/'Metadata'!$B$5)^(O78-1))</x:f>
        <x:v>1122.018454301963</x:v>
      </x:c>
      <x:c r="U78" s="31" t="n">
        <x:f>IF(T78="","",I78*T78)</x:f>
        <x:v>5194977.364415401</x:v>
      </x:c>
    </x:row>
    <x:row r="79" ht="18" customHeight="1">
      <x:c r="A79" s="24" t="str">
        <x:v>EEZ_390</x:v>
      </x:c>
      <x:c r="B79" s="24" t="str">
        <x:v>Japan (main islands)</x:v>
      </x:c>
      <x:c r="C79" s="24" t="str">
        <x:v>EEZ</x:v>
      </x:c>
      <x:c r="D79" s="30" t="n">
        <x:v>2019</x:v>
      </x:c>
      <x:c r="E79" s="24" t="str">
        <x:v>Xiphias gladius</x:v>
      </x:c>
      <x:c r="F79" s="24" t="str">
        <x:v>Swordfish</x:v>
      </x:c>
      <x:c r="G79" s="24" t="str">
        <x:v>Large pelagics (&gt;=90 cm)</x:v>
      </x:c>
      <x:c r="H79" s="24" t="str">
        <x:v>Tuna &amp; billfishes</x:v>
      </x:c>
      <x:c r="I79" s="31" t="n">
        <x:v>4489.8954554827</x:v>
      </x:c>
      <x:c r="J79" s="31" t="n">
        <x:v>4460.9211901684</x:v>
      </x:c>
      <x:c r="K79" s="31" t="n">
        <x:v>28.974265314300002</x:v>
      </x:c>
      <x:c r="L79" s="31" t="n">
        <x:v>4460.9211901684</x:v>
      </x:c>
      <x:c r="M79" s="31" t="n">
        <x:v>28.974265314300002</x:v>
      </x:c>
      <x:c r="N79" s="24" t="str">
        <x:v>xiphias gladius</x:v>
      </x:c>
      <x:c r="O79" s="32" t="n">
        <x:v>4.53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Xiphias gladius</x:v>
      </x:c>
      <x:c r="T79" s="32" t="n">
        <x:f>IF(O79="","",(1/'Metadata'!$B$5)^(O79-1))</x:f>
        <x:v>3388.4415613920273</x:v>
      </x:c>
      <x:c r="U79" s="31" t="n">
        <x:f>IF(T79="","",I79*T79)</x:f>
        <x:v>15213748.367662767</x:v>
      </x:c>
    </x:row>
    <x:row r="80" ht="18" customHeight="1">
      <x:c r="A80" s="24" t="str">
        <x:v>EEZ_390</x:v>
      </x:c>
      <x:c r="B80" s="24" t="str">
        <x:v>Japan (main islands)</x:v>
      </x:c>
      <x:c r="C80" s="24" t="str">
        <x:v>EEZ</x:v>
      </x:c>
      <x:c r="D80" s="30" t="n">
        <x:v>2019</x:v>
      </x:c>
      <x:c r="E80" s="24" t="str">
        <x:v>Miscellaneous aquatic invertebrates</x:v>
      </x:c>
      <x:c r="F80" s="24" t="str">
        <x:v>Aquatic invertebrates</x:v>
      </x:c>
      <x:c r="G80" s="24" t="str">
        <x:v>Other demersal invertebrates</x:v>
      </x:c>
      <x:c r="H80" s="24" t="str">
        <x:v>Other fishes &amp; inverts</x:v>
      </x:c>
      <x:c r="I80" s="31" t="n">
        <x:v>3994.0585809231</x:v>
      </x:c>
      <x:c r="J80" s="31" t="n">
        <x:v>3994.0585809231</x:v>
      </x:c>
      <x:c r="K80" s="31" t="n">
        <x:v>0</x:v>
      </x:c>
      <x:c r="L80" s="31" t="n">
        <x:v>3993.89371105</x:v>
      </x:c>
      <x:c r="M80" s="31" t="n">
        <x:v>0.1648698731</x:v>
      </x:c>
      <x:c r="N80" s="24" t="str">
        <x:v>miscellaneous aquatic invertebrates</x:v>
      </x:c>
      <x:c r="O80" s="32" t="n">
        <x:v>2.43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Miscellaneous aquatic invertebrates</x:v>
      </x:c>
      <x:c r="T80" s="32" t="n">
        <x:f>IF(O80="","",(1/'Metadata'!$B$5)^(O80-1))</x:f>
        <x:v>26.915348039269166</x:v>
      </x:c>
      <x:c r="U80" s="31" t="n">
        <x:f>IF(T80="","",I80*T80)</x:f>
        <x:v>107501.47679477475</x:v>
      </x:c>
    </x:row>
    <x:row r="81" ht="18" customHeight="1">
      <x:c r="A81" s="24" t="str">
        <x:v>EEZ_390</x:v>
      </x:c>
      <x:c r="B81" s="24" t="str">
        <x:v>Japan (main islands)</x:v>
      </x:c>
      <x:c r="C81" s="24" t="str">
        <x:v>EEZ</x:v>
      </x:c>
      <x:c r="D81" s="30" t="n">
        <x:v>2019</x:v>
      </x:c>
      <x:c r="E81" s="24" t="str">
        <x:v>Trachurus</x:v>
      </x:c>
      <x:c r="F81" s="24" t="str">
        <x:v>Jacks, horse mackerels</x:v>
      </x:c>
      <x:c r="G81" s="24" t="str">
        <x:v>Medium pelagics (30 - 89 cm)</x:v>
      </x:c>
      <x:c r="H81" s="24" t="str">
        <x:v>Perch-likes</x:v>
      </x:c>
      <x:c r="I81" s="31" t="n">
        <x:v>3979</x:v>
      </x:c>
      <x:c r="J81" s="31" t="n">
        <x:v>3979</x:v>
      </x:c>
      <x:c r="K81" s="31" t="n">
        <x:v>0</x:v>
      </x:c>
      <x:c r="L81" s="31" t="n">
        <x:v>3979</x:v>
      </x:c>
      <x:c r="M81" s="31" t="n">
        <x:v>0</x:v>
      </x:c>
      <x:c r="N81" s="24" t="str">
        <x:v>trachurus</x:v>
      </x:c>
      <x:c r="O81" s="32" t="n">
        <x:v>3.69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Trachurus</x:v>
      </x:c>
      <x:c r="T81" s="32" t="n">
        <x:f>IF(O81="","",(1/'Metadata'!$B$5)^(O81-1))</x:f>
        <x:v>489.77881936844614</x:v>
      </x:c>
      <x:c r="U81" s="31" t="n">
        <x:f>IF(T81="","",I81*T81)</x:f>
        <x:v>1948829.9222670472</x:v>
      </x:c>
    </x:row>
    <x:row r="82" ht="18" customHeight="1">
      <x:c r="A82" s="24" t="str">
        <x:v>EEZ_390</x:v>
      </x:c>
      <x:c r="B82" s="24" t="str">
        <x:v>Japan (main islands)</x:v>
      </x:c>
      <x:c r="C82" s="24" t="str">
        <x:v>EEZ</x:v>
      </x:c>
      <x:c r="D82" s="30" t="n">
        <x:v>2019</x:v>
      </x:c>
      <x:c r="E82" s="24" t="str">
        <x:v>Gadidae</x:v>
      </x:c>
      <x:c r="F82" s="24" t="str">
        <x:v>Cods, haddocks</x:v>
      </x:c>
      <x:c r="G82" s="24" t="str">
        <x:v>Medium demersals (30 - 89 cm)</x:v>
      </x:c>
      <x:c r="H82" s="24" t="str">
        <x:v>Cod-likes</x:v>
      </x:c>
      <x:c r="I82" s="31" t="n">
        <x:v>3732.7188940092</x:v>
      </x:c>
      <x:c r="J82" s="31" t="n">
        <x:v>3732.7188940092</x:v>
      </x:c>
      <x:c r="K82" s="31" t="n">
        <x:v>0</x:v>
      </x:c>
      <x:c r="L82" s="31" t="n">
        <x:v>0</x:v>
      </x:c>
      <x:c r="M82" s="31" t="n">
        <x:v>3732.7188940092</x:v>
      </x:c>
      <x:c r="N82" s="24" t="str">
        <x:v>gadidae</x:v>
      </x:c>
      <x:c r="O82" s="32" t="n">
        <x:v>3.84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Gadidae</x:v>
      </x:c>
      <x:c r="T82" s="32" t="n">
        <x:f>IF(O82="","",(1/'Metadata'!$B$5)^(O82-1))</x:f>
        <x:v>691.8309709189363</x:v>
      </x:c>
      <x:c r="U82" s="31" t="n">
        <x:f>IF(T82="","",I82*T82)</x:f>
        <x:v>2582410.536609843</x:v>
      </x:c>
    </x:row>
    <x:row r="83" ht="18" customHeight="1">
      <x:c r="A83" s="24" t="str">
        <x:v>EEZ_390</x:v>
      </x:c>
      <x:c r="B83" s="24" t="str">
        <x:v>Japan (main islands)</x:v>
      </x:c>
      <x:c r="C83" s="24" t="str">
        <x:v>EEZ</x:v>
      </x:c>
      <x:c r="D83" s="30" t="n">
        <x:v>2019</x:v>
      </x:c>
      <x:c r="E83" s="24" t="str">
        <x:v>Chionoecetes opilio</x:v>
      </x:c>
      <x:c r="F83" s="24" t="str">
        <x:v>Snow crab</x:v>
      </x:c>
      <x:c r="G83" s="24" t="str">
        <x:v>Lobsters, crabs</x:v>
      </x:c>
      <x:c r="H83" s="24" t="str">
        <x:v>Crustaceans</x:v>
      </x:c>
      <x:c r="I83" s="31" t="n">
        <x:v>3564.5254260402</x:v>
      </x:c>
      <x:c r="J83" s="31" t="n">
        <x:v>3500.0000000001</x:v>
      </x:c>
      <x:c r="K83" s="31" t="n">
        <x:v>64.5254260401</x:v>
      </x:c>
      <x:c r="L83" s="31" t="n">
        <x:v>3500.0000000001</x:v>
      </x:c>
      <x:c r="M83" s="31" t="n">
        <x:v>64.5254260401</x:v>
      </x:c>
      <x:c r="N83" s="24" t="str">
        <x:v>chionoecetes opilio</x:v>
      </x:c>
      <x:c r="O83" s="32" t="n">
        <x:v>3.54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Chionoecetes opilio</x:v>
      </x:c>
      <x:c r="T83" s="32" t="n">
        <x:f>IF(O83="","",(1/'Metadata'!$B$5)^(O83-1))</x:f>
        <x:v>346.73685045253166</x:v>
      </x:c>
      <x:c r="U83" s="31" t="n">
        <x:f>IF(T83="","",I83*T83)</x:f>
        <x:v>1235952.3195831475</x:v>
      </x:c>
    </x:row>
    <x:row r="84" ht="18" customHeight="1">
      <x:c r="A84" s="24" t="str">
        <x:v>EEZ_390</x:v>
      </x:c>
      <x:c r="B84" s="24" t="str">
        <x:v>Japan (main islands)</x:v>
      </x:c>
      <x:c r="C84" s="24" t="str">
        <x:v>EEZ</x:v>
      </x:c>
      <x:c r="D84" s="30" t="n">
        <x:v>2019</x:v>
      </x:c>
      <x:c r="E84" s="24" t="str">
        <x:v>Gastropoda</x:v>
      </x:c>
      <x:c r="F84" s="24" t="str">
        <x:v>Sea snails</x:v>
      </x:c>
      <x:c r="G84" s="24" t="str">
        <x:v>Other demersal invertebrates</x:v>
      </x:c>
      <x:c r="H84" s="24" t="str">
        <x:v>Molluscs</x:v>
      </x:c>
      <x:c r="I84" s="31" t="n">
        <x:v>3284.6162359451005</x:v>
      </x:c>
      <x:c r="J84" s="31" t="n">
        <x:v>3284.6162359451005</x:v>
      </x:c>
      <x:c r="K84" s="31" t="n">
        <x:v>0</x:v>
      </x:c>
      <x:c r="L84" s="31" t="n">
        <x:v>3269.6206402134003</x:v>
      </x:c>
      <x:c r="M84" s="31" t="n">
        <x:v>14.9955957317</x:v>
      </x:c>
      <x:c r="N84" s="24" t="str">
        <x:v>gastropoda</x:v>
      </x:c>
      <x:c r="O84" s="32" t="n">
        <x:v>3.06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Gastropoda</x:v>
      </x:c>
      <x:c r="T84" s="32" t="n">
        <x:f>IF(O84="","",(1/'Metadata'!$B$5)^(O84-1))</x:f>
        <x:v>114.81536214968828</x:v>
      </x:c>
      <x:c r="U84" s="31" t="n">
        <x:f>IF(T84="","",I84*T84)</x:f>
        <x:v>377124.4026527827</x:v>
      </x:c>
    </x:row>
    <x:row r="85" ht="18" customHeight="1">
      <x:c r="A85" s="24" t="str">
        <x:v>EEZ_390</x:v>
      </x:c>
      <x:c r="B85" s="24" t="str">
        <x:v>Japan (main islands)</x:v>
      </x:c>
      <x:c r="C85" s="24" t="str">
        <x:v>EEZ</x:v>
      </x:c>
      <x:c r="D85" s="30" t="n">
        <x:v>2019</x:v>
      </x:c>
      <x:c r="E85" s="24" t="str">
        <x:v>Ommastrephidae</x:v>
      </x:c>
      <x:c r="F85" s="24" t="str">
        <x:v>Arrow squids</x:v>
      </x:c>
      <x:c r="G85" s="24" t="str">
        <x:v>Cephalopods</x:v>
      </x:c>
      <x:c r="H85" s="24" t="str">
        <x:v>Other fishes &amp; inverts</x:v>
      </x:c>
      <x:c r="I85" s="31" t="n">
        <x:v>3061.4954887538</x:v>
      </x:c>
      <x:c r="J85" s="31" t="n">
        <x:v>0</x:v>
      </x:c>
      <x:c r="K85" s="31" t="n">
        <x:v>3061.4954887538</x:v>
      </x:c>
      <x:c r="L85" s="31" t="n">
        <x:v>0</x:v>
      </x:c>
      <x:c r="M85" s="31" t="n">
        <x:v>3061.4954887538</x:v>
      </x:c>
      <x:c r="N85" s="24" t="str">
        <x:v>ommastrephidae</x:v>
      </x:c>
      <x:c r="O85" s="32" t="n">
        <x:v>4.09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Ommastrephidae</x:v>
      </x:c>
      <x:c r="T85" s="32" t="n">
        <x:f>IF(O85="","",(1/'Metadata'!$B$5)^(O85-1))</x:f>
        <x:v>1230.268770812381</x:v>
      </x:c>
      <x:c r="U85" s="31" t="n">
        <x:f>IF(T85="","",I85*T85)</x:f>
        <x:v>3766462.2917967876</x:v>
      </x:c>
    </x:row>
    <x:row r="86" ht="18" customHeight="1">
      <x:c r="A86" s="24" t="str">
        <x:v>EEZ_390</x:v>
      </x:c>
      <x:c r="B86" s="24" t="str">
        <x:v>Japan (main islands)</x:v>
      </x:c>
      <x:c r="C86" s="24" t="str">
        <x:v>EEZ</x:v>
      </x:c>
      <x:c r="D86" s="30" t="n">
        <x:v>2019</x:v>
      </x:c>
      <x:c r="E86" s="24" t="str">
        <x:v>Sebastes</x:v>
      </x:c>
      <x:c r="F86" s="24" t="str">
        <x:v>Redfishes</x:v>
      </x:c>
      <x:c r="G86" s="24" t="str">
        <x:v>Large reef assoc. fish (&gt;=90 cm)</x:v>
      </x:c>
      <x:c r="H86" s="24" t="str">
        <x:v>Scorpionfishes</x:v>
      </x:c>
      <x:c r="I86" s="31" t="n">
        <x:v>2799.5391705069</x:v>
      </x:c>
      <x:c r="J86" s="31" t="n">
        <x:v>2799.5391705069</x:v>
      </x:c>
      <x:c r="K86" s="31" t="n">
        <x:v>0</x:v>
      </x:c>
      <x:c r="L86" s="31" t="n">
        <x:v>0</x:v>
      </x:c>
      <x:c r="M86" s="31" t="n">
        <x:v>2799.5391705069</x:v>
      </x:c>
      <x:c r="N86" s="24" t="str">
        <x:v>sebastes</x:v>
      </x:c>
      <x:c r="O86" s="32" t="n">
        <x:v>3.79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Sebastes</x:v>
      </x:c>
      <x:c r="T86" s="32" t="n">
        <x:f>IF(O86="","",(1/'Metadata'!$B$5)^(O86-1))</x:f>
        <x:v>616.5950018614822</x:v>
      </x:c>
      <x:c r="U86" s="31" t="n">
        <x:f>IF(T86="","",I86*T86)</x:f>
        <x:v>1726181.8600499942</x:v>
      </x:c>
    </x:row>
    <x:row r="87" ht="18" customHeight="1">
      <x:c r="A87" s="24" t="str">
        <x:v>EEZ_390</x:v>
      </x:c>
      <x:c r="B87" s="24" t="str">
        <x:v>Japan (main islands)</x:v>
      </x:c>
      <x:c r="C87" s="24" t="str">
        <x:v>EEZ</x:v>
      </x:c>
      <x:c r="D87" s="30" t="n">
        <x:v>2019</x:v>
      </x:c>
      <x:c r="E87" s="24" t="str">
        <x:v>Charybdis</x:v>
      </x:c>
      <x:c r="F87" s="24" t="str">
        <x:v>Whirlpool swimming crabs</x:v>
      </x:c>
      <x:c r="G87" s="24" t="str">
        <x:v>Lobsters, crabs</x:v>
      </x:c>
      <x:c r="H87" s="24" t="str">
        <x:v>Crustaceans</x:v>
      </x:c>
      <x:c r="I87" s="31" t="n">
        <x:v>2627.5831300635</x:v>
      </x:c>
      <x:c r="J87" s="31" t="n">
        <x:v>2627.5831300635</x:v>
      </x:c>
      <x:c r="K87" s="31" t="n">
        <x:v>0</x:v>
      </x:c>
      <x:c r="L87" s="31" t="n">
        <x:v>2627.5831300635</x:v>
      </x:c>
      <x:c r="M87" s="31" t="n">
        <x:v>0</x:v>
      </x:c>
      <x:c r="N87" s="24" t="str">
        <x:v>charybdis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Charybdis</x:v>
      </x:c>
      <x:c r="T87" s="32" t="n">
        <x:f>IF(O87="","",(1/'Metadata'!$B$5)^(O87-1))</x:f>
        <x:v>50.11872336272725</x:v>
      </x:c>
      <x:c r="U87" s="31" t="n">
        <x:f>IF(T87="","",I87*T87)</x:f>
        <x:v>131691.11200822153</x:v>
      </x:c>
    </x:row>
    <x:row r="88" ht="18" customHeight="1">
      <x:c r="A88" s="24" t="str">
        <x:v>EEZ_390</x:v>
      </x:c>
      <x:c r="B88" s="24" t="str">
        <x:v>Japan (main islands)</x:v>
      </x:c>
      <x:c r="C88" s="24" t="str">
        <x:v>EEZ</x:v>
      </x:c>
      <x:c r="D88" s="30" t="n">
        <x:v>2019</x:v>
      </x:c>
      <x:c r="E88" s="24" t="str">
        <x:v>Bathylagidae</x:v>
      </x:c>
      <x:c r="F88" s="24" t="str">
        <x:v>Deepsea smelts</x:v>
      </x:c>
      <x:c r="G88" s="24" t="str">
        <x:v>Small bathypelagics (&lt;30 cm)</x:v>
      </x:c>
      <x:c r="H88" s="24" t="str">
        <x:v>Salmon, smelts, etc</x:v>
      </x:c>
      <x:c r="I88" s="31" t="n">
        <x:v>2563.5708792354</x:v>
      </x:c>
      <x:c r="J88" s="31" t="n">
        <x:v>2500.0000000001</x:v>
      </x:c>
      <x:c r="K88" s="31" t="n">
        <x:v>63.5708792353</x:v>
      </x:c>
      <x:c r="L88" s="31" t="n">
        <x:v>2500.0000000001</x:v>
      </x:c>
      <x:c r="M88" s="31" t="n">
        <x:v>63.5708792353</x:v>
      </x:c>
      <x:c r="N88" s="24" t="str">
        <x:v>bathylagidae</x:v>
      </x:c>
      <x:c r="O88" s="32" t="n">
        <x:v>3.1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Bathylagidae</x:v>
      </x:c>
      <x:c r="T88" s="32" t="n">
        <x:f>IF(O88="","",(1/'Metadata'!$B$5)^(O88-1))</x:f>
        <x:v>125.89254117941675</x:v>
      </x:c>
      <x:c r="U88" s="31" t="n">
        <x:f>IF(T88="","",I88*T88)</x:f>
        <x:v>322734.4524804962</x:v>
      </x:c>
    </x:row>
    <x:row r="89" ht="18" customHeight="1">
      <x:c r="A89" s="24" t="str">
        <x:v>EEZ_390</x:v>
      </x:c>
      <x:c r="B89" s="24" t="str">
        <x:v>Japan (main islands)</x:v>
      </x:c>
      <x:c r="C89" s="24" t="str">
        <x:v>EEZ</x:v>
      </x:c>
      <x:c r="D89" s="30" t="n">
        <x:v>2019</x:v>
      </x:c>
      <x:c r="E89" s="24" t="str">
        <x:v>Coryphaena hippurus</x:v>
      </x:c>
      <x:c r="F89" s="24" t="str">
        <x:v>Common dolphinfish</x:v>
      </x:c>
      <x:c r="G89" s="24" t="str">
        <x:v>Large pelagics (&gt;=90 cm)</x:v>
      </x:c>
      <x:c r="H89" s="24" t="str">
        <x:v>Perch-likes</x:v>
      </x:c>
      <x:c r="I89" s="31" t="n">
        <x:v>2210.2698766029</x:v>
      </x:c>
      <x:c r="J89" s="31" t="n">
        <x:v>2201.487092235</x:v>
      </x:c>
      <x:c r="K89" s="31" t="n">
        <x:v>8.7827843679</x:v>
      </x:c>
      <x:c r="L89" s="31" t="n">
        <x:v>1128.2509375630998</x:v>
      </x:c>
      <x:c r="M89" s="31" t="n">
        <x:v>1082.0189390398002</x:v>
      </x:c>
      <x:c r="N89" s="24" t="str">
        <x:v>coryphaena hippurus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Coryphaena hippurus</x:v>
      </x:c>
      <x:c r="T89" s="32" t="n">
        <x:f>IF(O89="","",(1/'Metadata'!$B$5)^(O89-1))</x:f>
        <x:v>2344.228815319923</x:v>
      </x:c>
      <x:c r="U89" s="31" t="n">
        <x:f>IF(T89="","",I89*T89)</x:f>
        <x:v>5181378.334366128</x:v>
      </x:c>
    </x:row>
    <x:row r="90" ht="18" customHeight="1">
      <x:c r="A90" s="24" t="str">
        <x:v>EEZ_390</x:v>
      </x:c>
      <x:c r="B90" s="24" t="str">
        <x:v>Japan (main islands)</x:v>
      </x:c>
      <x:c r="C90" s="24" t="str">
        <x:v>EEZ</x:v>
      </x:c>
      <x:c r="D90" s="30" t="n">
        <x:v>2019</x:v>
      </x:c>
      <x:c r="E90" s="24" t="str">
        <x:v>Synodontidae</x:v>
      </x:c>
      <x:c r="F90" s="24" t="str">
        <x:v>Lizardfishes, sauries</x:v>
      </x:c>
      <x:c r="G90" s="24" t="str">
        <x:v>Medium demersals (30 - 89 cm)</x:v>
      </x:c>
      <x:c r="H90" s="24" t="str">
        <x:v>Other fishes &amp; inverts</x:v>
      </x:c>
      <x:c r="I90" s="31" t="n">
        <x:v>2007.1588314638</x:v>
      </x:c>
      <x:c r="J90" s="31" t="n">
        <x:v>2007.1588314638</x:v>
      </x:c>
      <x:c r="K90" s="31" t="n">
        <x:v>0</x:v>
      </x:c>
      <x:c r="L90" s="31" t="n">
        <x:v>2007.1588314638</x:v>
      </x:c>
      <x:c r="M90" s="31" t="n">
        <x:v>0</x:v>
      </x:c>
      <x:c r="N90" s="24" t="str">
        <x:v>synodontidae</x:v>
      </x:c>
      <x:c r="O90" s="32" t="n">
        <x:v>4.3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Synodontidae</x:v>
      </x:c>
      <x:c r="T90" s="32" t="n">
        <x:f>IF(O90="","",(1/'Metadata'!$B$5)^(O90-1))</x:f>
        <x:v>1995.2623149688789</x:v>
      </x:c>
      <x:c r="U90" s="31" t="n">
        <x:f>IF(T90="","",I90*T90)</x:f>
        <x:v>4004808.3765766914</x:v>
      </x:c>
    </x:row>
    <x:row r="91" ht="18" customHeight="1">
      <x:c r="A91" s="24" t="str">
        <x:v>EEZ_390</x:v>
      </x:c>
      <x:c r="B91" s="24" t="str">
        <x:v>Japan (main islands)</x:v>
      </x:c>
      <x:c r="C91" s="24" t="str">
        <x:v>EEZ</x:v>
      </x:c>
      <x:c r="D91" s="30" t="n">
        <x:v>2019</x:v>
      </x:c>
      <x:c r="E91" s="24" t="str">
        <x:v>Salmonidae</x:v>
      </x:c>
      <x:c r="F91" s="24" t="str">
        <x:v>Salmonids</x:v>
      </x:c>
      <x:c r="G91" s="24" t="str">
        <x:v>Large benthopelagics (&gt;=90 cm)</x:v>
      </x:c>
      <x:c r="H91" s="24" t="str">
        <x:v>Salmon, smelts, etc</x:v>
      </x:c>
      <x:c r="I91" s="31" t="n">
        <x:v>1931.2021062659</x:v>
      </x:c>
      <x:c r="J91" s="31" t="n">
        <x:v>0</x:v>
      </x:c>
      <x:c r="K91" s="31" t="n">
        <x:v>1931.2021062659</x:v>
      </x:c>
      <x:c r="L91" s="31" t="n">
        <x:v>0</x:v>
      </x:c>
      <x:c r="M91" s="31" t="n">
        <x:v>1931.2021062659</x:v>
      </x:c>
      <x:c r="N91" s="24" t="str">
        <x:v>salmonidae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Salmonidae</x:v>
      </x:c>
      <x:c r="T91" s="32" t="n">
        <x:f>IF(O91="","",(1/'Metadata'!$B$5)^(O91-1))</x:f>
        <x:v>199.52623149688787</x:v>
      </x:c>
      <x:c r="U91" s="31" t="n">
        <x:f>IF(T91="","",I91*T91)</x:f>
        <x:v>385325.47852208745</x:v>
      </x:c>
    </x:row>
    <x:row r="92" ht="18" customHeight="1">
      <x:c r="A92" s="24" t="str">
        <x:v>EEZ_390</x:v>
      </x:c>
      <x:c r="B92" s="24" t="str">
        <x:v>Japan (main islands)</x:v>
      </x:c>
      <x:c r="C92" s="24" t="str">
        <x:v>EEZ</x:v>
      </x:c>
      <x:c r="D92" s="30" t="n">
        <x:v>2019</x:v>
      </x:c>
      <x:c r="E92" s="24" t="str">
        <x:v>Beryx</x:v>
      </x:c>
      <x:c r="F92" s="24" t="str">
        <x:v>Alfonsinos</x:v>
      </x:c>
      <x:c r="G92" s="24" t="str">
        <x:v>Medium benthopelagics (30 - 89 cm)</x:v>
      </x:c>
      <x:c r="H92" s="24" t="str">
        <x:v>Other fishes &amp; inverts</x:v>
      </x:c>
      <x:c r="I92" s="31" t="n">
        <x:v>1771.0000000001</x:v>
      </x:c>
      <x:c r="J92" s="31" t="n">
        <x:v>1771.0000000001</x:v>
      </x:c>
      <x:c r="K92" s="31" t="n">
        <x:v>0</x:v>
      </x:c>
      <x:c r="L92" s="31" t="n">
        <x:v>1771.0000000001</x:v>
      </x:c>
      <x:c r="M92" s="31" t="n">
        <x:v>0</x:v>
      </x:c>
      <x:c r="N92" s="24" t="str">
        <x:v>beryx</x:v>
      </x:c>
      <x:c r="O92" s="32" t="n">
        <x:v>3.97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Beryx</x:v>
      </x:c>
      <x:c r="T92" s="32" t="n">
        <x:f>IF(O92="","",(1/'Metadata'!$B$5)^(O92-1))</x:f>
        <x:v>933.2543007969915</x:v>
      </x:c>
      <x:c r="U92" s="31" t="n">
        <x:f>IF(T92="","",I92*T92)</x:f>
        <x:v>1652793.3667115653</x:v>
      </x:c>
    </x:row>
    <x:row r="93" ht="18" customHeight="1">
      <x:c r="A93" s="24" t="str">
        <x:v>EEZ_390</x:v>
      </x:c>
      <x:c r="B93" s="24" t="str">
        <x:v>Japan (main islands)</x:v>
      </x:c>
      <x:c r="C93" s="24" t="str">
        <x:v>EEZ</x:v>
      </x:c>
      <x:c r="D93" s="30" t="n">
        <x:v>2019</x:v>
      </x:c>
      <x:c r="E93" s="24" t="str">
        <x:v>Marine pelagic fishes not identified</x:v>
      </x:c>
      <x:c r="F93" s="24" t="str">
        <x:v>Pelagic fishes</x:v>
      </x:c>
      <x:c r="G93" s="24" t="str">
        <x:v>Medium pelagics (30 - 89 cm)</x:v>
      </x:c>
      <x:c r="H93" s="24" t="str">
        <x:v>Other fishes &amp; inverts</x:v>
      </x:c>
      <x:c r="I93" s="31" t="n">
        <x:v>1762.0480452138002</x:v>
      </x:c>
      <x:c r="J93" s="31" t="n">
        <x:v>1709.3392928981002</x:v>
      </x:c>
      <x:c r="K93" s="31" t="n">
        <x:v>52.708752315699996</x:v>
      </x:c>
      <x:c r="L93" s="31" t="n">
        <x:v>1709.3392928981002</x:v>
      </x:c>
      <x:c r="M93" s="31" t="n">
        <x:v>52.708752315699996</x:v>
      </x:c>
      <x:c r="N93" s="24" t="str">
        <x:v>marine pelagic fishes not identified</x:v>
      </x:c>
      <x:c r="O93" s="32" t="n">
        <x:v>3.35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Marine pelagic fishes not identified</x:v>
      </x:c>
      <x:c r="T93" s="32" t="n">
        <x:f>IF(O93="","",(1/'Metadata'!$B$5)^(O93-1))</x:f>
        <x:v>223.872113856834</x:v>
      </x:c>
      <x:c r="U93" s="31" t="n">
        <x:f>IF(T93="","",I93*T93)</x:f>
        <x:v>394473.42059931566</x:v>
      </x:c>
    </x:row>
    <x:row r="94" ht="18" customHeight="1">
      <x:c r="A94" s="24" t="str">
        <x:v>EEZ_390</x:v>
      </x:c>
      <x:c r="B94" s="24" t="str">
        <x:v>Japan (main islands)</x:v>
      </x:c>
      <x:c r="C94" s="24" t="str">
        <x:v>EEZ</x:v>
      </x:c>
      <x:c r="D94" s="30" t="n">
        <x:v>2019</x:v>
      </x:c>
      <x:c r="E94" s="24" t="str">
        <x:v>Dendrobranchiata</x:v>
      </x:c>
      <x:c r="F94" s="24" t="str">
        <x:v>Shrimps and prawns</x:v>
      </x:c>
      <x:c r="G94" s="24" t="str">
        <x:v>Shrimps</x:v>
      </x:c>
      <x:c r="H94" s="24" t="str">
        <x:v>Crustaceans</x:v>
      </x:c>
      <x:c r="I94" s="31" t="n">
        <x:v>1672.3045941388998</x:v>
      </x:c>
      <x:c r="J94" s="31" t="n">
        <x:v>1640.0485037321998</x:v>
      </x:c>
      <x:c r="K94" s="31" t="n">
        <x:v>32.2560904067</x:v>
      </x:c>
      <x:c r="L94" s="31" t="n">
        <x:v>1195.3910287196</x:v>
      </x:c>
      <x:c r="M94" s="31" t="n">
        <x:v>476.91356541929997</x:v>
      </x:c>
      <x:c r="N94" s="24" t="str">
        <x:v>dendrobranchiata</x:v>
      </x:c>
      <x:c r="O94" s="32" t="n">
        <x:v>3.24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Dendrobranchiata</x:v>
      </x:c>
      <x:c r="T94" s="32" t="n">
        <x:f>IF(O94="","",(1/'Metadata'!$B$5)^(O94-1))</x:f>
        <x:v>173.78008287493762</x:v>
      </x:c>
      <x:c r="U94" s="31" t="n">
        <x:f>IF(T94="","",I94*T94)</x:f>
        <x:v>290613.23096159694</x:v>
      </x:c>
    </x:row>
    <x:row r="95" ht="18" customHeight="1">
      <x:c r="A95" s="24" t="str">
        <x:v>EEZ_390</x:v>
      </x:c>
      <x:c r="B95" s="24" t="str">
        <x:v>Japan (main islands)</x:v>
      </x:c>
      <x:c r="C95" s="24" t="str">
        <x:v>EEZ</x:v>
      </x:c>
      <x:c r="D95" s="30" t="n">
        <x:v>2019</x:v>
      </x:c>
      <x:c r="E95" s="24" t="str">
        <x:v>Psenopsis anomala</x:v>
      </x:c>
      <x:c r="F95" s="24" t="str">
        <x:v>Pacific rudderfish</x:v>
      </x:c>
      <x:c r="G95" s="24" t="str">
        <x:v>Small benthopelagics (&lt;30 cm)</x:v>
      </x:c>
      <x:c r="H95" s="24" t="str">
        <x:v>Perch-likes</x:v>
      </x:c>
      <x:c r="I95" s="31" t="n">
        <x:v>1657.2797523726</x:v>
      </x:c>
      <x:c r="J95" s="31" t="n">
        <x:v>1625.639575076</x:v>
      </x:c>
      <x:c r="K95" s="31" t="n">
        <x:v>31.6401772966</x:v>
      </x:c>
      <x:c r="L95" s="31" t="n">
        <x:v>1625.639575076</x:v>
      </x:c>
      <x:c r="M95" s="31" t="n">
        <x:v>31.6401772966</x:v>
      </x:c>
      <x:c r="N95" s="24" t="str">
        <x:v>psenopsis anomala</x:v>
      </x:c>
      <x:c r="O95" s="32" t="n">
        <x:v>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Psenopsis anomala</x:v>
      </x:c>
      <x:c r="T95" s="32" t="n">
        <x:f>IF(O95="","",(1/'Metadata'!$B$5)^(O95-1))</x:f>
        <x:v>1000</x:v>
      </x:c>
      <x:c r="U95" s="31" t="n">
        <x:f>IF(T95="","",I95*T95)</x:f>
        <x:v>1657279.7523726</x:v>
      </x:c>
    </x:row>
    <x:row r="96" ht="18" customHeight="1">
      <x:c r="A96" s="24" t="str">
        <x:v>EEZ_390</x:v>
      </x:c>
      <x:c r="B96" s="24" t="str">
        <x:v>Japan (main islands)</x:v>
      </x:c>
      <x:c r="C96" s="24" t="str">
        <x:v>EEZ</x:v>
      </x:c>
      <x:c r="D96" s="30" t="n">
        <x:v>2019</x:v>
      </x:c>
      <x:c r="E96" s="24" t="str">
        <x:v>Panulirus longipes</x:v>
      </x:c>
      <x:c r="F96" s="24" t="str">
        <x:v>Longlegged spiny lobster</x:v>
      </x:c>
      <x:c r="G96" s="24" t="str">
        <x:v>Lobsters, crabs</x:v>
      </x:c>
      <x:c r="H96" s="24" t="str">
        <x:v>Crustaceans</x:v>
      </x:c>
      <x:c r="I96" s="31" t="n">
        <x:v>1604.70428528</x:v>
      </x:c>
      <x:c r="J96" s="31" t="n">
        <x:v>1102.0961830630001</x:v>
      </x:c>
      <x:c r="K96" s="31" t="n">
        <x:v>502.608102217</x:v>
      </x:c>
      <x:c r="L96" s="31" t="n">
        <x:v>1101.5378776129</x:v>
      </x:c>
      <x:c r="M96" s="31" t="n">
        <x:v>503.16640766710003</x:v>
      </x:c>
      <x:c r="N96" s="24" t="str">
        <x:v>panulirus longipes</x:v>
      </x:c>
      <x:c r="O96" s="32" t="n">
        <x:v>2.6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Panulirus longipes</x:v>
      </x:c>
      <x:c r="T96" s="32" t="n">
        <x:f>IF(O96="","",(1/'Metadata'!$B$5)^(O96-1))</x:f>
        <x:v>39.810717055349734</x:v>
      </x:c>
      <x:c r="U96" s="31" t="n">
        <x:f>IF(T96="","",I96*T96)</x:f>
        <x:v>63884.4282587893</x:v>
      </x:c>
    </x:row>
    <x:row r="97" ht="18" customHeight="1">
      <x:c r="A97" s="24" t="str">
        <x:v>EEZ_390</x:v>
      </x:c>
      <x:c r="B97" s="24" t="str">
        <x:v>Japan (main islands)</x:v>
      </x:c>
      <x:c r="C97" s="24" t="str">
        <x:v>EEZ</x:v>
      </x:c>
      <x:c r="D97" s="30" t="n">
        <x:v>2019</x:v>
      </x:c>
      <x:c r="E97" s="24" t="str">
        <x:v>Auxis</x:v>
      </x:c>
      <x:c r="F97" s="24" t="str">
        <x:v>Bullet and frigate tunas</x:v>
      </x:c>
      <x:c r="G97" s="24" t="str">
        <x:v>Medium pelagics (30 - 89 cm)</x:v>
      </x:c>
      <x:c r="H97" s="24" t="str">
        <x:v>Tuna &amp; billfishes</x:v>
      </x:c>
      <x:c r="I97" s="31" t="n">
        <x:v>1557.2874363177998</x:v>
      </x:c>
      <x:c r="J97" s="31" t="n">
        <x:v>0</x:v>
      </x:c>
      <x:c r="K97" s="31" t="n">
        <x:v>1557.2874363177998</x:v>
      </x:c>
      <x:c r="L97" s="31" t="n">
        <x:v>0</x:v>
      </x:c>
      <x:c r="M97" s="31" t="n">
        <x:v>1557.2874363177998</x:v>
      </x:c>
      <x:c r="N97" s="24" t="str">
        <x:v>auxis</x:v>
      </x:c>
      <x:c r="O97" s="32" t="n">
        <x:v>4.24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Auxis</x:v>
      </x:c>
      <x:c r="T97" s="32" t="n">
        <x:f>IF(O97="","",(1/'Metadata'!$B$5)^(O97-1))</x:f>
        <x:v>1737.8008287493763</x:v>
      </x:c>
      <x:c r="U97" s="31" t="n">
        <x:f>IF(T97="","",I97*T97)</x:f>
        <x:v>2706255.397434064</x:v>
      </x:c>
    </x:row>
    <x:row r="98" ht="18" customHeight="1">
      <x:c r="A98" s="24" t="str">
        <x:v>EEZ_390</x:v>
      </x:c>
      <x:c r="B98" s="24" t="str">
        <x:v>Japan (main islands)</x:v>
      </x:c>
      <x:c r="C98" s="24" t="str">
        <x:v>EEZ</x:v>
      </x:c>
      <x:c r="D98" s="30" t="n">
        <x:v>2019</x:v>
      </x:c>
      <x:c r="E98" s="24" t="str">
        <x:v>Sepiidae</x:v>
      </x:c>
      <x:c r="F98" s="24" t="str">
        <x:v>Cuttlefishes</x:v>
      </x:c>
      <x:c r="G98" s="24" t="str">
        <x:v>Cephalopods</x:v>
      </x:c>
      <x:c r="H98" s="24" t="str">
        <x:v>Other fishes &amp; inverts</x:v>
      </x:c>
      <x:c r="I98" s="31" t="n">
        <x:v>1467.6639636034</x:v>
      </x:c>
      <x:c r="J98" s="31" t="n">
        <x:v>30.0987816465</x:v>
      </x:c>
      <x:c r="K98" s="31" t="n">
        <x:v>1437.5651819569</x:v>
      </x:c>
      <x:c r="L98" s="31" t="n">
        <x:v>22.4144911622</x:v>
      </x:c>
      <x:c r="M98" s="31" t="n">
        <x:v>1445.2494724412</x:v>
      </x:c>
      <x:c r="N98" s="24" t="str">
        <x:v>sepiidae</x:v>
      </x:c>
      <x:c r="O98" s="32" t="n">
        <x:v>3.6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Sepiidae</x:v>
      </x:c>
      <x:c r="T98" s="32" t="n">
        <x:f>IF(O98="","",(1/'Metadata'!$B$5)^(O98-1))</x:f>
        <x:v>398.1071705534973</x:v>
      </x:c>
      <x:c r="U98" s="31" t="n">
        <x:f>IF(T98="","",I98*T98)</x:f>
        <x:v>584287.5478734806</x:v>
      </x:c>
    </x:row>
    <x:row r="99" ht="18" customHeight="1">
      <x:c r="A99" s="24" t="str">
        <x:v>EEZ_390</x:v>
      </x:c>
      <x:c r="B99" s="24" t="str">
        <x:v>Japan (main islands)</x:v>
      </x:c>
      <x:c r="C99" s="24" t="str">
        <x:v>EEZ</x:v>
      </x:c>
      <x:c r="D99" s="30" t="n">
        <x:v>2019</x:v>
      </x:c>
      <x:c r="E99" s="24" t="str">
        <x:v>Holothuroidea</x:v>
      </x:c>
      <x:c r="F99" s="24" t="str">
        <x:v>Sea cucumbers</x:v>
      </x:c>
      <x:c r="G99" s="24" t="str">
        <x:v>Other demersal invertebrates</x:v>
      </x:c>
      <x:c r="H99" s="24" t="str">
        <x:v>Other fishes &amp; inverts</x:v>
      </x:c>
      <x:c r="I99" s="31" t="n">
        <x:v>1437.5276064621</x:v>
      </x:c>
      <x:c r="J99" s="31" t="n">
        <x:v>0</x:v>
      </x:c>
      <x:c r="K99" s="31" t="n">
        <x:v>1437.5276064621</x:v>
      </x:c>
      <x:c r="L99" s="31" t="n">
        <x:v>0</x:v>
      </x:c>
      <x:c r="M99" s="31" t="n">
        <x:v>1437.5276064621</x:v>
      </x:c>
      <x:c r="N99" s="24" t="str">
        <x:v>holothuroidea</x:v>
      </x:c>
      <x:c r="O99" s="32" t="n">
        <x:v>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Holothuroidea</x:v>
      </x:c>
      <x:c r="T99" s="32" t="n">
        <x:f>IF(O99="","",(1/'Metadata'!$B$5)^(O99-1))</x:f>
        <x:v>10</x:v>
      </x:c>
      <x:c r="U99" s="31" t="n">
        <x:f>IF(T99="","",I99*T99)</x:f>
        <x:v>14375.276064621</x:v>
      </x:c>
    </x:row>
    <x:row r="100" ht="18" customHeight="1">
      <x:c r="A100" s="24" t="str">
        <x:v>EEZ_390</x:v>
      </x:c>
      <x:c r="B100" s="24" t="str">
        <x:v>Japan (main islands)</x:v>
      </x:c>
      <x:c r="C100" s="24" t="str">
        <x:v>EEZ</x:v>
      </x:c>
      <x:c r="D100" s="30" t="n">
        <x:v>2019</x:v>
      </x:c>
      <x:c r="E100" s="24" t="str">
        <x:v>Mactridae</x:v>
      </x:c>
      <x:c r="F100" s="24" t="str">
        <x:v>Mactra surf clams</x:v>
      </x:c>
      <x:c r="G100" s="24" t="str">
        <x:v>Other demersal invertebrates</x:v>
      </x:c>
      <x:c r="H100" s="24" t="str">
        <x:v>Molluscs</x:v>
      </x:c>
      <x:c r="I100" s="31" t="n">
        <x:v>1437.5276064621</x:v>
      </x:c>
      <x:c r="J100" s="31" t="n">
        <x:v>0</x:v>
      </x:c>
      <x:c r="K100" s="31" t="n">
        <x:v>1437.5276064621</x:v>
      </x:c>
      <x:c r="L100" s="31" t="n">
        <x:v>0</x:v>
      </x:c>
      <x:c r="M100" s="31" t="n">
        <x:v>1437.5276064621</x:v>
      </x:c>
      <x:c r="N100" s="24" t="str">
        <x:v>mactridae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Mactridae</x:v>
      </x:c>
      <x:c r="T100" s="32" t="n">
        <x:f>IF(O100="","",(1/'Metadata'!$B$5)^(O100-1))</x:f>
        <x:v>10</x:v>
      </x:c>
      <x:c r="U100" s="31" t="n">
        <x:f>IF(T100="","",I100*T100)</x:f>
        <x:v>14375.276064621</x:v>
      </x:c>
    </x:row>
    <x:row r="101" ht="18" customHeight="1">
      <x:c r="A101" s="24" t="str">
        <x:v>EEZ_390</x:v>
      </x:c>
      <x:c r="B101" s="24" t="str">
        <x:v>Japan (main islands)</x:v>
      </x:c>
      <x:c r="C101" s="24" t="str">
        <x:v>EEZ</x:v>
      </x:c>
      <x:c r="D101" s="30" t="n">
        <x:v>2019</x:v>
      </x:c>
      <x:c r="E101" s="24" t="str">
        <x:v>Pleuronectiformes</x:v>
      </x:c>
      <x:c r="F101" s="24" t="str">
        <x:v>Flatfishes</x:v>
      </x:c>
      <x:c r="G101" s="24" t="str">
        <x:v>Small to medium flatfishes (&lt;90 cm)</x:v>
      </x:c>
      <x:c r="H101" s="24" t="str">
        <x:v>Flatfishes</x:v>
      </x:c>
      <x:c r="I101" s="31" t="n">
        <x:v>1362.2353471695</x:v>
      </x:c>
      <x:c r="J101" s="31" t="n">
        <x:v>1362.2353471695</x:v>
      </x:c>
      <x:c r="K101" s="31" t="n">
        <x:v>0</x:v>
      </x:c>
      <x:c r="L101" s="31" t="n">
        <x:v>1334.9387645757</x:v>
      </x:c>
      <x:c r="M101" s="31" t="n">
        <x:v>27.296582593799997</x:v>
      </x:c>
      <x:c r="N101" s="24" t="str">
        <x:v>pleuronectiformes</x:v>
      </x:c>
      <x:c r="O101" s="32" t="n">
        <x:v>3.57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Pleuronectiformes</x:v>
      </x:c>
      <x:c r="T101" s="32" t="n">
        <x:f>IF(O101="","",(1/'Metadata'!$B$5)^(O101-1))</x:f>
        <x:v>371.5352290971724</x:v>
      </x:c>
      <x:c r="U101" s="31" t="n">
        <x:f>IF(T101="","",I101*T101)</x:f>
        <x:v>506118.4217948864</x:v>
      </x:c>
    </x:row>
    <x:row r="102" ht="18" customHeight="1">
      <x:c r="A102" s="24" t="str">
        <x:v>EEZ_390</x:v>
      </x:c>
      <x:c r="B102" s="24" t="str">
        <x:v>Japan (main islands)</x:v>
      </x:c>
      <x:c r="C102" s="24" t="str">
        <x:v>EEZ</x:v>
      </x:c>
      <x:c r="D102" s="30" t="n">
        <x:v>2019</x:v>
      </x:c>
      <x:c r="E102" s="24" t="str">
        <x:v>Scorpaeniformes</x:v>
      </x:c>
      <x:c r="F102" s="24" t="str">
        <x:v>Scorpionfishes, flatheads</x:v>
      </x:c>
      <x:c r="G102" s="24" t="str">
        <x:v>Medium demersals (30 - 89 cm)</x:v>
      </x:c>
      <x:c r="H102" s="24" t="str">
        <x:v>Scorpionfishes</x:v>
      </x:c>
      <x:c r="I102" s="31" t="n">
        <x:v>1347.9262672811</x:v>
      </x:c>
      <x:c r="J102" s="31" t="n">
        <x:v>1347.9262672811</x:v>
      </x:c>
      <x:c r="K102" s="31" t="n">
        <x:v>0</x:v>
      </x:c>
      <x:c r="L102" s="31" t="n">
        <x:v>0</x:v>
      </x:c>
      <x:c r="M102" s="31" t="n">
        <x:v>1347.9262672811</x:v>
      </x:c>
      <x:c r="N102" s="24" t="str">
        <x:v>scorpaeniformes</x:v>
      </x:c>
      <x:c r="O102" s="32" t="n">
        <x:v>3.78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Scorpaeniformes</x:v>
      </x:c>
      <x:c r="T102" s="32" t="n">
        <x:f>IF(O102="","",(1/'Metadata'!$B$5)^(O102-1))</x:f>
        <x:v>602.5595860743575</x:v>
      </x:c>
      <x:c r="U102" s="31" t="n">
        <x:f>IF(T102="","",I102*T102)</x:f>
        <x:v>812205.8936716535</x:v>
      </x:c>
    </x:row>
    <x:row r="103" ht="18" customHeight="1">
      <x:c r="A103" s="24" t="str">
        <x:v>EEZ_390</x:v>
      </x:c>
      <x:c r="B103" s="24" t="str">
        <x:v>Japan (main islands)</x:v>
      </x:c>
      <x:c r="C103" s="24" t="str">
        <x:v>EEZ</x:v>
      </x:c>
      <x:c r="D103" s="30" t="n">
        <x:v>2019</x:v>
      </x:c>
      <x:c r="E103" s="24" t="str">
        <x:v>Kajikia audax</x:v>
      </x:c>
      <x:c r="F103" s="24" t="str">
        <x:v>Striped marlin</x:v>
      </x:c>
      <x:c r="G103" s="24" t="str">
        <x:v>Large pelagics (&gt;=90 cm)</x:v>
      </x:c>
      <x:c r="H103" s="24" t="str">
        <x:v>Tuna &amp; billfishes</x:v>
      </x:c>
      <x:c r="I103" s="31" t="n">
        <x:v>1154.737659332</x:v>
      </x:c>
      <x:c r="J103" s="31" t="n">
        <x:v>1154.737659332</x:v>
      </x:c>
      <x:c r="K103" s="31" t="n">
        <x:v>0</x:v>
      </x:c>
      <x:c r="L103" s="31" t="n">
        <x:v>1154.737659332</x:v>
      </x:c>
      <x:c r="M103" s="31" t="n">
        <x:v>0</x:v>
      </x:c>
      <x:c r="N103" s="24" t="str">
        <x:v>kajikia audax</x:v>
      </x:c>
      <x:c r="O103" s="32" t="n">
        <x:v>4.58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Kajikia audax</x:v>
      </x:c>
      <x:c r="T103" s="32" t="n">
        <x:f>IF(O103="","",(1/'Metadata'!$B$5)^(O103-1))</x:f>
        <x:v>3801.8939632056126</x:v>
      </x:c>
      <x:c r="U103" s="31" t="n">
        <x:f>IF(T103="","",I103*T103)</x:f>
        <x:v>4390190.13610051</x:v>
      </x:c>
    </x:row>
    <x:row r="104" ht="18" customHeight="1">
      <x:c r="A104" s="24" t="str">
        <x:v>EEZ_390</x:v>
      </x:c>
      <x:c r="B104" s="24" t="str">
        <x:v>Japan (main islands)</x:v>
      </x:c>
      <x:c r="C104" s="24" t="str">
        <x:v>EEZ</x:v>
      </x:c>
      <x:c r="D104" s="30" t="n">
        <x:v>2019</x:v>
      </x:c>
      <x:c r="E104" s="24" t="str">
        <x:v>Hexagrammidae</x:v>
      </x:c>
      <x:c r="F104" s="24" t="str">
        <x:v>Greenlings</x:v>
      </x:c>
      <x:c r="G104" s="24" t="str">
        <x:v>Medium demersals (30 - 89 cm)</x:v>
      </x:c>
      <x:c r="H104" s="24" t="str">
        <x:v>Scorpionfishes</x:v>
      </x:c>
      <x:c r="I104" s="31" t="n">
        <x:v>1140.5529953917</x:v>
      </x:c>
      <x:c r="J104" s="31" t="n">
        <x:v>1140.5529953917</x:v>
      </x:c>
      <x:c r="K104" s="31" t="n">
        <x:v>0</x:v>
      </x:c>
      <x:c r="L104" s="31" t="n">
        <x:v>0</x:v>
      </x:c>
      <x:c r="M104" s="31" t="n">
        <x:v>1140.5529953917</x:v>
      </x:c>
      <x:c r="N104" s="24" t="str">
        <x:v>hexagrammidae</x:v>
      </x:c>
      <x:c r="O104" s="32" t="n">
        <x:v>3.72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Hexagrammidae</x:v>
      </x:c>
      <x:c r="T104" s="32" t="n">
        <x:f>IF(O104="","",(1/'Metadata'!$B$5)^(O104-1))</x:f>
        <x:v>524.8074602497728</x:v>
      </x:c>
      <x:c r="U104" s="31" t="n">
        <x:f>IF(T104="","",I104*T104)</x:f>
        <x:v>598570.7207917889</x:v>
      </x:c>
    </x:row>
    <x:row r="105" ht="18" customHeight="1">
      <x:c r="A105" s="24" t="str">
        <x:v>EEZ_390</x:v>
      </x:c>
      <x:c r="B105" s="24" t="str">
        <x:v>Japan (main islands)</x:v>
      </x:c>
      <x:c r="C105" s="24" t="str">
        <x:v>EEZ</x:v>
      </x:c>
      <x:c r="D105" s="30" t="n">
        <x:v>2019</x:v>
      </x:c>
      <x:c r="E105" s="24" t="str">
        <x:v>Anadara</x:v>
      </x:c>
      <x:c r="F105" s="24" t="str">
        <x:v>Arks, blood cockles</x:v>
      </x:c>
      <x:c r="G105" s="24" t="str">
        <x:v>Other demersal invertebrates</x:v>
      </x:c>
      <x:c r="H105" s="24" t="str">
        <x:v>Molluscs</x:v>
      </x:c>
      <x:c r="I105" s="31" t="n">
        <x:v>1115.4627720641</x:v>
      </x:c>
      <x:c r="J105" s="31" t="n">
        <x:v>0</x:v>
      </x:c>
      <x:c r="K105" s="31" t="n">
        <x:v>1115.4627720641</x:v>
      </x:c>
      <x:c r="L105" s="31" t="n">
        <x:v>0</x:v>
      </x:c>
      <x:c r="M105" s="31" t="n">
        <x:v>1115.4627720641</x:v>
      </x:c>
      <x:c r="N105" s="24" t="str">
        <x:v>anadara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Anadara</x:v>
      </x:c>
      <x:c r="T105" s="32" t="n">
        <x:f>IF(O105="","",(1/'Metadata'!$B$5)^(O105-1))</x:f>
        <x:v>10</x:v>
      </x:c>
      <x:c r="U105" s="31" t="n">
        <x:f>IF(T105="","",I105*T105)</x:f>
        <x:v>11154.627720641</x:v>
      </x:c>
    </x:row>
    <x:row r="106" ht="18" customHeight="1">
      <x:c r="A106" s="24" t="str">
        <x:v>EEZ_390</x:v>
      </x:c>
      <x:c r="B106" s="24" t="str">
        <x:v>Japan (main islands)</x:v>
      </x:c>
      <x:c r="C106" s="24" t="str">
        <x:v>EEZ</x:v>
      </x:c>
      <x:c r="D106" s="30" t="n">
        <x:v>2019</x:v>
      </x:c>
      <x:c r="E106" s="24" t="str">
        <x:v>Sebastidae</x:v>
      </x:c>
      <x:c r="F106" s="24" t="str">
        <x:v>Rockfishes, rockcods, thornyheads</x:v>
      </x:c>
      <x:c r="G106" s="24" t="str">
        <x:v>Medium demersals (30 - 89 cm)</x:v>
      </x:c>
      <x:c r="H106" s="24" t="str">
        <x:v>Scorpionfishes</x:v>
      </x:c>
      <x:c r="I106" s="31" t="n">
        <x:v>900</x:v>
      </x:c>
      <x:c r="J106" s="31" t="n">
        <x:v>900</x:v>
      </x:c>
      <x:c r="K106" s="31" t="n">
        <x:v>0</x:v>
      </x:c>
      <x:c r="L106" s="31" t="n">
        <x:v>900</x:v>
      </x:c>
      <x:c r="M106" s="31" t="n">
        <x:v>0</x:v>
      </x:c>
      <x:c r="N106" s="24" t="str">
        <x:v>sebastidae</x:v>
      </x:c>
      <x:c r="O106" s="32" t="n">
        <x:v>3.74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Sebastidae</x:v>
      </x:c>
      <x:c r="T106" s="32" t="n">
        <x:f>IF(O106="","",(1/'Metadata'!$B$5)^(O106-1))</x:f>
        <x:v>549.5408738576248</x:v>
      </x:c>
      <x:c r="U106" s="31" t="n">
        <x:f>IF(T106="","",I106*T106)</x:f>
        <x:v>494586.7864718623</x:v>
      </x:c>
    </x:row>
    <x:row r="107" ht="18" customHeight="1">
      <x:c r="A107" s="24" t="str">
        <x:v>EEZ_390</x:v>
      </x:c>
      <x:c r="B107" s="24" t="str">
        <x:v>Japan (main islands)</x:v>
      </x:c>
      <x:c r="C107" s="24" t="str">
        <x:v>EEZ</x:v>
      </x:c>
      <x:c r="D107" s="30" t="n">
        <x:v>2019</x:v>
      </x:c>
      <x:c r="E107" s="24" t="str">
        <x:v>Makaira mazara</x:v>
      </x:c>
      <x:c r="F107" s="24" t="str">
        <x:v>Indo-Pacific blue marlin</x:v>
      </x:c>
      <x:c r="G107" s="24" t="str">
        <x:v>Large pelagics (&gt;=90 cm)</x:v>
      </x:c>
      <x:c r="H107" s="24" t="str">
        <x:v>Tuna &amp; billfishes</x:v>
      </x:c>
      <x:c r="I107" s="31" t="n">
        <x:v>823.0000000001</x:v>
      </x:c>
      <x:c r="J107" s="31" t="n">
        <x:v>823.0000000001</x:v>
      </x:c>
      <x:c r="K107" s="31" t="n">
        <x:v>0</x:v>
      </x:c>
      <x:c r="L107" s="31" t="n">
        <x:v>823.0000000001</x:v>
      </x:c>
      <x:c r="M107" s="31" t="n">
        <x:v>0</x:v>
      </x:c>
      <x:c r="N107" s="24" t="str">
        <x:v>makaira mazara</x:v>
      </x:c>
      <x:c r="O107" s="32" t="n">
        <x:v>4.46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Makaira mazara</x:v>
      </x:c>
      <x:c r="T107" s="32" t="n">
        <x:f>IF(O107="","",(1/'Metadata'!$B$5)^(O107-1))</x:f>
        <x:v>2884.031503126606</x:v>
      </x:c>
      <x:c r="U107" s="31" t="n">
        <x:f>IF(T107="","",I107*T107)</x:f>
        <x:v>2373557.927073485</x:v>
      </x:c>
    </x:row>
    <x:row r="108" ht="18" customHeight="1">
      <x:c r="A108" s="24" t="str">
        <x:v>EEZ_390</x:v>
      </x:c>
      <x:c r="B108" s="24" t="str">
        <x:v>Japan (main islands)</x:v>
      </x:c>
      <x:c r="C108" s="24" t="str">
        <x:v>EEZ</x:v>
      </x:c>
      <x:c r="D108" s="30" t="n">
        <x:v>2019</x:v>
      </x:c>
      <x:c r="E108" s="24" t="str">
        <x:v>Haliotidae</x:v>
      </x:c>
      <x:c r="F108" s="24" t="str">
        <x:v>Abalones, ear shells</x:v>
      </x:c>
      <x:c r="G108" s="24" t="str">
        <x:v>Other demersal invertebrates</x:v>
      </x:c>
      <x:c r="H108" s="24" t="str">
        <x:v>Molluscs</x:v>
      </x:c>
      <x:c r="I108" s="31" t="n">
        <x:v>800.0000000000999</x:v>
      </x:c>
      <x:c r="J108" s="31" t="n">
        <x:v>800.0000000000999</x:v>
      </x:c>
      <x:c r="K108" s="31" t="n">
        <x:v>0</x:v>
      </x:c>
      <x:c r="L108" s="31" t="n">
        <x:v>800.0000000000999</x:v>
      </x:c>
      <x:c r="M108" s="31" t="n">
        <x:v>0</x:v>
      </x:c>
      <x:c r="N108" s="24" t="str">
        <x:v>haliotidae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Haliotidae</x:v>
      </x:c>
      <x:c r="T108" s="32" t="n">
        <x:f>IF(O108="","",(1/'Metadata'!$B$5)^(O108-1))</x:f>
        <x:v>10</x:v>
      </x:c>
      <x:c r="U108" s="31" t="n">
        <x:f>IF(T108="","",I108*T108)</x:f>
        <x:v>8000.0000000009995</x:v>
      </x:c>
    </x:row>
    <x:row r="109" ht="18" customHeight="1">
      <x:c r="A109" s="24" t="str">
        <x:v>EEZ_390</x:v>
      </x:c>
      <x:c r="B109" s="24" t="str">
        <x:v>Japan (main islands)</x:v>
      </x:c>
      <x:c r="C109" s="24" t="str">
        <x:v>EEZ</x:v>
      </x:c>
      <x:c r="D109" s="30" t="n">
        <x:v>2019</x:v>
      </x:c>
      <x:c r="E109" s="24" t="str">
        <x:v>Stephanolepis cirrhifer</x:v>
      </x:c>
      <x:c r="F109" s="24" t="str">
        <x:v>Threadsail filefish</x:v>
      </x:c>
      <x:c r="G109" s="24" t="str">
        <x:v>Small demersals (&lt;30 cm)</x:v>
      </x:c>
      <x:c r="H109" s="24" t="str">
        <x:v>Other fishes &amp; inverts</x:v>
      </x:c>
      <x:c r="I109" s="31" t="n">
        <x:v>725.8064516129</x:v>
      </x:c>
      <x:c r="J109" s="31" t="n">
        <x:v>725.8064516129</x:v>
      </x:c>
      <x:c r="K109" s="31" t="n">
        <x:v>0</x:v>
      </x:c>
      <x:c r="L109" s="31" t="n">
        <x:v>0</x:v>
      </x:c>
      <x:c r="M109" s="31" t="n">
        <x:v>725.8064516129</x:v>
      </x:c>
      <x:c r="N109" s="24" t="str">
        <x:v>stephanolepis cirrhifer</x:v>
      </x:c>
      <x:c r="O109" s="32" t="n">
        <x:v>2.84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Stephanolepis cirrhifer</x:v>
      </x:c>
      <x:c r="T109" s="32" t="n">
        <x:f>IF(O109="","",(1/'Metadata'!$B$5)^(O109-1))</x:f>
        <x:v>69.18309709189363</x:v>
      </x:c>
      <x:c r="U109" s="31" t="n">
        <x:f>IF(T109="","",I109*T109)</x:f>
        <x:v>50213.53821185805</x:v>
      </x:c>
    </x:row>
    <x:row r="110" ht="18" customHeight="1">
      <x:c r="A110" s="24" t="str">
        <x:v>EEZ_390</x:v>
      </x:c>
      <x:c r="B110" s="24" t="str">
        <x:v>Japan (main islands)</x:v>
      </x:c>
      <x:c r="C110" s="24" t="str">
        <x:v>EEZ</x:v>
      </x:c>
      <x:c r="D110" s="30" t="n">
        <x:v>2019</x:v>
      </x:c>
      <x:c r="E110" s="24" t="str">
        <x:v>Batoidea</x:v>
      </x:c>
      <x:c r="F110" s="24" t="str">
        <x:v>Batoids, skates, rays, sawfishes</x:v>
      </x:c>
      <x:c r="G110" s="24" t="str">
        <x:v>Large rays (&gt;=90 cm)</x:v>
      </x:c>
      <x:c r="H110" s="24" t="str">
        <x:v>Sharks &amp; rays</x:v>
      </x:c>
      <x:c r="I110" s="31" t="n">
        <x:v>641.9802401927</x:v>
      </x:c>
      <x:c r="J110" s="31" t="n">
        <x:v>0</x:v>
      </x:c>
      <x:c r="K110" s="31" t="n">
        <x:v>641.9802401927</x:v>
      </x:c>
      <x:c r="L110" s="31" t="n">
        <x:v>0</x:v>
      </x:c>
      <x:c r="M110" s="31" t="n">
        <x:v>641.9802401927</x:v>
      </x:c>
      <x:c r="N110" s="24" t="str">
        <x:v>batoidea</x:v>
      </x:c>
      <x:c r="O110" s="32" t="n">
        <x:v>3.72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Batoidea</x:v>
      </x:c>
      <x:c r="T110" s="32" t="n">
        <x:f>IF(O110="","",(1/'Metadata'!$B$5)^(O110-1))</x:f>
        <x:v>524.8074602497728</x:v>
      </x:c>
      <x:c r="U110" s="31" t="n">
        <x:f>IF(T110="","",I110*T110)</x:f>
        <x:v>336916.01938606997</x:v>
      </x:c>
    </x:row>
    <x:row r="111" ht="18" customHeight="1">
      <x:c r="A111" s="24" t="str">
        <x:v>EEZ_390</x:v>
      </x:c>
      <x:c r="B111" s="24" t="str">
        <x:v>Japan (main islands)</x:v>
      </x:c>
      <x:c r="C111" s="24" t="str">
        <x:v>EEZ</x:v>
      </x:c>
      <x:c r="D111" s="30" t="n">
        <x:v>2019</x:v>
      </x:c>
      <x:c r="E111" s="24" t="str">
        <x:v>Bramidae</x:v>
      </x:c>
      <x:c r="F111" s="24" t="str">
        <x:v>Pomfrets</x:v>
      </x:c>
      <x:c r="G111" s="24" t="str">
        <x:v>Medium pelagics (30 - 89 cm)</x:v>
      </x:c>
      <x:c r="H111" s="24" t="str">
        <x:v>Perch-likes</x:v>
      </x:c>
      <x:c r="I111" s="31" t="n">
        <x:v>599.0446579161</x:v>
      </x:c>
      <x:c r="J111" s="31" t="n">
        <x:v>597</x:v>
      </x:c>
      <x:c r="K111" s="31" t="n">
        <x:v>2.0446579161</x:v>
      </x:c>
      <x:c r="L111" s="31" t="n">
        <x:v>0</x:v>
      </x:c>
      <x:c r="M111" s="31" t="n">
        <x:v>599.0446579161</x:v>
      </x:c>
      <x:c r="N111" s="24" t="str">
        <x:v>bramidae</x:v>
      </x:c>
      <x:c r="O111" s="32" t="n">
        <x:v>4.14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Bramidae</x:v>
      </x:c>
      <x:c r="T111" s="32" t="n">
        <x:f>IF(O111="","",(1/'Metadata'!$B$5)^(O111-1))</x:f>
        <x:v>1380.3842646028838</x:v>
      </x:c>
      <x:c r="U111" s="31" t="n">
        <x:f>IF(T111="","",I111*T111)</x:f>
        <x:v>826911.8195818019</x:v>
      </x:c>
    </x:row>
    <x:row r="112" ht="18" customHeight="1">
      <x:c r="A112" s="24" t="str">
        <x:v>EEZ_390</x:v>
      </x:c>
      <x:c r="B112" s="24" t="str">
        <x:v>Japan (main islands)</x:v>
      </x:c>
      <x:c r="C112" s="24" t="str">
        <x:v>EEZ</x:v>
      </x:c>
      <x:c r="D112" s="30" t="n">
        <x:v>2019</x:v>
      </x:c>
      <x:c r="E112" s="24" t="str">
        <x:v>Rhopilema esculentum</x:v>
      </x:c>
      <x:c r="F112" s="24" t="str">
        <x:v>Flame jellyfish</x:v>
      </x:c>
      <x:c r="G112" s="24" t="str">
        <x:v>Jellyfish</x:v>
      </x:c>
      <x:c r="H112" s="24" t="str">
        <x:v>Other fishes &amp; inverts</x:v>
      </x:c>
      <x:c r="I112" s="31" t="n">
        <x:v>478</x:v>
      </x:c>
      <x:c r="J112" s="31" t="n">
        <x:v>478</x:v>
      </x:c>
      <x:c r="K112" s="31" t="n">
        <x:v>0</x:v>
      </x:c>
      <x:c r="L112" s="31" t="n">
        <x:v>0</x:v>
      </x:c>
      <x:c r="M112" s="31" t="n">
        <x:v>478</x:v>
      </x:c>
      <x:c r="N112" s="24" t="str">
        <x:v>rhopilema esculentum</x:v>
      </x:c>
      <x:c r="O112" s="32" t="n">
        <x:v>3.01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Rhopilema esculentum</x:v>
      </x:c>
      <x:c r="T112" s="32" t="n">
        <x:f>IF(O112="","",(1/'Metadata'!$B$5)^(O112-1))</x:f>
        <x:v>102.32929922807536</x:v>
      </x:c>
      <x:c r="U112" s="31" t="n">
        <x:f>IF(T112="","",I112*T112)</x:f>
        <x:v>48913.40503102002</x:v>
      </x:c>
    </x:row>
    <x:row r="113" ht="18" customHeight="1">
      <x:c r="A113" s="24" t="str">
        <x:v>EEZ_390</x:v>
      </x:c>
      <x:c r="B113" s="24" t="str">
        <x:v>Japan (main islands)</x:v>
      </x:c>
      <x:c r="C113" s="24" t="str">
        <x:v>EEZ</x:v>
      </x:c>
      <x:c r="D113" s="30" t="n">
        <x:v>2019</x:v>
      </x:c>
      <x:c r="E113" s="24" t="str">
        <x:v>Sillaginidae</x:v>
      </x:c>
      <x:c r="F113" s="24" t="str">
        <x:v>Smelt-whitings</x:v>
      </x:c>
      <x:c r="G113" s="24" t="str">
        <x:v>Medium demersals (30 - 89 cm)</x:v>
      </x:c>
      <x:c r="H113" s="24" t="str">
        <x:v>Perch-likes</x:v>
      </x:c>
      <x:c r="I113" s="31" t="n">
        <x:v>414.7465437788</x:v>
      </x:c>
      <x:c r="J113" s="31" t="n">
        <x:v>414.7465437788</x:v>
      </x:c>
      <x:c r="K113" s="31" t="n">
        <x:v>0</x:v>
      </x:c>
      <x:c r="L113" s="31" t="n">
        <x:v>0</x:v>
      </x:c>
      <x:c r="M113" s="31" t="n">
        <x:v>414.7465437788</x:v>
      </x:c>
      <x:c r="N113" s="24" t="str">
        <x:v>sillaginidae</x:v>
      </x:c>
      <x:c r="O113" s="32" t="n">
        <x:v>3.25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Sillaginidae</x:v>
      </x:c>
      <x:c r="T113" s="32" t="n">
        <x:f>IF(O113="","",(1/'Metadata'!$B$5)^(O113-1))</x:f>
        <x:v>177.82794100389228</x:v>
      </x:c>
      <x:c r="U113" s="31" t="n">
        <x:f>IF(T113="","",I113*T113)</x:f>
        <x:v>73753.52391866468</x:v>
      </x:c>
    </x:row>
    <x:row r="114" ht="18" customHeight="1">
      <x:c r="A114" s="24" t="str">
        <x:v>EEZ_390</x:v>
      </x:c>
      <x:c r="B114" s="24" t="str">
        <x:v>Japan (main islands)</x:v>
      </x:c>
      <x:c r="C114" s="24" t="str">
        <x:v>EEZ</x:v>
      </x:c>
      <x:c r="D114" s="30" t="n">
        <x:v>2019</x:v>
      </x:c>
      <x:c r="E114" s="24" t="str">
        <x:v>Prionace glauca</x:v>
      </x:c>
      <x:c r="F114" s="24" t="str">
        <x:v>Blue shark</x:v>
      </x:c>
      <x:c r="G114" s="24" t="str">
        <x:v>Large sharks (&gt;=90 cm)</x:v>
      </x:c>
      <x:c r="H114" s="24" t="str">
        <x:v>Sharks &amp; rays</x:v>
      </x:c>
      <x:c r="I114" s="31" t="n">
        <x:v>411.2476039006</x:v>
      </x:c>
      <x:c r="J114" s="31" t="n">
        <x:v>226.5804739159</x:v>
      </x:c>
      <x:c r="K114" s="31" t="n">
        <x:v>184.66712998469998</x:v>
      </x:c>
      <x:c r="L114" s="31" t="n">
        <x:v>226.5804739159</x:v>
      </x:c>
      <x:c r="M114" s="31" t="n">
        <x:v>184.66712998469998</x:v>
      </x:c>
      <x:c r="N114" s="24" t="str">
        <x:v>prionace glauca</x:v>
      </x:c>
      <x:c r="O114" s="32" t="n">
        <x:v>4.35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Prionace glauca</x:v>
      </x:c>
      <x:c r="T114" s="32" t="n">
        <x:f>IF(O114="","",(1/'Metadata'!$B$5)^(O114-1))</x:f>
        <x:v>2238.7211385683377</x:v>
      </x:c>
      <x:c r="U114" s="31" t="n">
        <x:f>IF(T114="","",I114*T114)</x:f>
        <x:v>920668.7040378519</x:v>
      </x:c>
    </x:row>
    <x:row r="115" ht="18" customHeight="1">
      <x:c r="A115" s="24" t="str">
        <x:v>EEZ_390</x:v>
      </x:c>
      <x:c r="B115" s="24" t="str">
        <x:v>Japan (main islands)</x:v>
      </x:c>
      <x:c r="C115" s="24" t="str">
        <x:v>EEZ</x:v>
      </x:c>
      <x:c r="D115" s="30" t="n">
        <x:v>2019</x:v>
      </x:c>
      <x:c r="E115" s="24" t="str">
        <x:v>Clupeiformes</x:v>
      </x:c>
      <x:c r="F115" s="24" t="str">
        <x:v>Herrings, shads, anchovies</x:v>
      </x:c>
      <x:c r="G115" s="24" t="str">
        <x:v>Small pelagics (&lt;30 cm)</x:v>
      </x:c>
      <x:c r="H115" s="24" t="str">
        <x:v>Other fishes &amp; inverts</x:v>
      </x:c>
      <x:c r="I115" s="31" t="n">
        <x:v>399.3737266497</x:v>
      </x:c>
      <x:c r="J115" s="31" t="n">
        <x:v>399.3737266497</x:v>
      </x:c>
      <x:c r="K115" s="31" t="n">
        <x:v>0</x:v>
      </x:c>
      <x:c r="L115" s="31" t="n">
        <x:v>99.19695560939999</x:v>
      </x:c>
      <x:c r="M115" s="31" t="n">
        <x:v>300.1767710403</x:v>
      </x:c>
      <x:c r="N115" s="24" t="str">
        <x:v>clupeiformes</x:v>
      </x:c>
      <x:c r="O115" s="32" t="n">
        <x:v>3.24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Clupeiformes</x:v>
      </x:c>
      <x:c r="T115" s="32" t="n">
        <x:f>IF(O115="","",(1/'Metadata'!$B$5)^(O115-1))</x:f>
        <x:v>173.78008287493762</x:v>
      </x:c>
      <x:c r="U115" s="31" t="n">
        <x:f>IF(T115="","",I115*T115)</x:f>
        <x:v>69403.19931525755</x:v>
      </x:c>
    </x:row>
    <x:row r="116" ht="18" customHeight="1">
      <x:c r="A116" s="24" t="str">
        <x:v>EEZ_390</x:v>
      </x:c>
      <x:c r="B116" s="24" t="str">
        <x:v>Japan (main islands)</x:v>
      </x:c>
      <x:c r="C116" s="24" t="str">
        <x:v>EEZ</x:v>
      </x:c>
      <x:c r="D116" s="30" t="n">
        <x:v>2019</x:v>
      </x:c>
      <x:c r="E116" s="24" t="str">
        <x:v>Penaeus japonicus</x:v>
      </x:c>
      <x:c r="F116" s="24" t="str">
        <x:v>Kuruma prawn</x:v>
      </x:c>
      <x:c r="G116" s="24" t="str">
        <x:v>Shrimps</x:v>
      </x:c>
      <x:c r="H116" s="24" t="str">
        <x:v>Crustaceans</x:v>
      </x:c>
      <x:c r="I116" s="31" t="n">
        <x:v>315.3032997291</x:v>
      </x:c>
      <x:c r="J116" s="31" t="n">
        <x:v>302.7372630401</x:v>
      </x:c>
      <x:c r="K116" s="31" t="n">
        <x:v>12.566036689</x:v>
      </x:c>
      <x:c r="L116" s="31" t="n">
        <x:v>302.7372630401</x:v>
      </x:c>
      <x:c r="M116" s="31" t="n">
        <x:v>12.566036689</x:v>
      </x:c>
      <x:c r="N116" s="24" t="str">
        <x:v>penaeus japonicus</x:v>
      </x:c>
      <x:c r="O116" s="32" t="n">
        <x:v>2.7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Penaeus japonicus</x:v>
      </x:c>
      <x:c r="T116" s="32" t="n">
        <x:f>IF(O116="","",(1/'Metadata'!$B$5)^(O116-1))</x:f>
        <x:v>50.11872336272725</x:v>
      </x:c>
      <x:c r="U116" s="31" t="n">
        <x:f>IF(T116="","",I116*T116)</x:f>
        <x:v>15802.598854477837</x:v>
      </x:c>
    </x:row>
    <x:row r="117" ht="18" customHeight="1">
      <x:c r="A117" s="24" t="str">
        <x:v>EEZ_390</x:v>
      </x:c>
      <x:c r="B117" s="24" t="str">
        <x:v>Japan (main islands)</x:v>
      </x:c>
      <x:c r="C117" s="24" t="str">
        <x:v>EEZ</x:v>
      </x:c>
      <x:c r="D117" s="30" t="n">
        <x:v>2019</x:v>
      </x:c>
      <x:c r="E117" s="24" t="str">
        <x:v>Beryx splendens</x:v>
      </x:c>
      <x:c r="F117" s="24" t="str">
        <x:v>Splendid alfonsino</x:v>
      </x:c>
      <x:c r="G117" s="24" t="str">
        <x:v>Medium benthopelagics (30 - 89 cm)</x:v>
      </x:c>
      <x:c r="H117" s="24" t="str">
        <x:v>Other fishes &amp; inverts</x:v>
      </x:c>
      <x:c r="I117" s="31" t="n">
        <x:v>311.0599078341</x:v>
      </x:c>
      <x:c r="J117" s="31" t="n">
        <x:v>311.0599078341</x:v>
      </x:c>
      <x:c r="K117" s="31" t="n">
        <x:v>0</x:v>
      </x:c>
      <x:c r="L117" s="31" t="n">
        <x:v>0</x:v>
      </x:c>
      <x:c r="M117" s="31" t="n">
        <x:v>311.0599078341</x:v>
      </x:c>
      <x:c r="N117" s="24" t="str">
        <x:v>beryx splendens</x:v>
      </x:c>
      <x:c r="O117" s="32" t="n">
        <x:v>4.27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Beryx splendens</x:v>
      </x:c>
      <x:c r="T117" s="32" t="n">
        <x:f>IF(O117="","",(1/'Metadata'!$B$5)^(O117-1))</x:f>
        <x:v>1862.0871366628655</x:v>
      </x:c>
      <x:c r="U117" s="31" t="n">
        <x:f>IF(T117="","",I117*T117)</x:f>
        <x:v>579220.6531094142</x:v>
      </x:c>
    </x:row>
    <x:row r="118" ht="18" customHeight="1">
      <x:c r="A118" s="24" t="str">
        <x:v>EEZ_390</x:v>
      </x:c>
      <x:c r="B118" s="24" t="str">
        <x:v>Japan (main islands)</x:v>
      </x:c>
      <x:c r="C118" s="24" t="str">
        <x:v>EEZ</x:v>
      </x:c>
      <x:c r="D118" s="30" t="n">
        <x:v>2019</x:v>
      </x:c>
      <x:c r="E118" s="24" t="str">
        <x:v>Serranidae</x:v>
      </x:c>
      <x:c r="F118" s="24" t="str">
        <x:v>Basses, groupers, hinds</x:v>
      </x:c>
      <x:c r="G118" s="24" t="str">
        <x:v>Medium reef assoc. fish (30 - 89 cm)</x:v>
      </x:c>
      <x:c r="H118" s="24" t="str">
        <x:v>Perch-likes</x:v>
      </x:c>
      <x:c r="I118" s="31" t="n">
        <x:v>311.0599078341</x:v>
      </x:c>
      <x:c r="J118" s="31" t="n">
        <x:v>311.0599078341</x:v>
      </x:c>
      <x:c r="K118" s="31" t="n">
        <x:v>0</x:v>
      </x:c>
      <x:c r="L118" s="31" t="n">
        <x:v>0</x:v>
      </x:c>
      <x:c r="M118" s="31" t="n">
        <x:v>311.0599078341</x:v>
      </x:c>
      <x:c r="N118" s="24" t="str">
        <x:v>serranidae</x:v>
      </x:c>
      <x:c r="O118" s="32" t="n">
        <x:v>3.98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Serranidae</x:v>
      </x:c>
      <x:c r="T118" s="32" t="n">
        <x:f>IF(O118="","",(1/'Metadata'!$B$5)^(O118-1))</x:f>
        <x:v>954.992586021436</x:v>
      </x:c>
      <x:c r="U118" s="31" t="n">
        <x:f>IF(T118="","",I118*T118)</x:f>
        <x:v>297059.90579007665</x:v>
      </x:c>
    </x:row>
    <x:row r="119" ht="18" customHeight="1">
      <x:c r="A119" s="24" t="str">
        <x:v>EEZ_390</x:v>
      </x:c>
      <x:c r="B119" s="24" t="str">
        <x:v>Japan (main islands)</x:v>
      </x:c>
      <x:c r="C119" s="24" t="str">
        <x:v>EEZ</x:v>
      </x:c>
      <x:c r="D119" s="30" t="n">
        <x:v>2019</x:v>
      </x:c>
      <x:c r="E119" s="24" t="str">
        <x:v>Isurus</x:v>
      </x:c>
      <x:c r="F119" s="24" t="str">
        <x:v>Mako sharks</x:v>
      </x:c>
      <x:c r="G119" s="24" t="str">
        <x:v>Large sharks (&gt;=90 cm)</x:v>
      </x:c>
      <x:c r="H119" s="24" t="str">
        <x:v>Sharks &amp; rays</x:v>
      </x:c>
      <x:c r="I119" s="31" t="n">
        <x:v>156.24751383</x:v>
      </x:c>
      <x:c r="J119" s="31" t="n">
        <x:v>8.9029178789</x:v>
      </x:c>
      <x:c r="K119" s="31" t="n">
        <x:v>147.3445959511</x:v>
      </x:c>
      <x:c r="L119" s="31" t="n">
        <x:v>8.9029178789</x:v>
      </x:c>
      <x:c r="M119" s="31" t="n">
        <x:v>147.3445959511</x:v>
      </x:c>
      <x:c r="N119" s="24" t="str">
        <x:v>isurus</x:v>
      </x:c>
      <x:c r="O119" s="32" t="n">
        <x:v>4.5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Isurus</x:v>
      </x:c>
      <x:c r="T119" s="32" t="n">
        <x:f>IF(O119="","",(1/'Metadata'!$B$5)^(O119-1))</x:f>
        <x:v>3162.2776601683795</x:v>
      </x:c>
      <x:c r="U119" s="31" t="n">
        <x:f>IF(T119="","",I119*T119)</x:f>
        <x:v>494098.02244145895</x:v>
      </x:c>
    </x:row>
    <x:row r="120" ht="18" customHeight="1">
      <x:c r="A120" s="24" t="str">
        <x:v>EEZ_390</x:v>
      </x:c>
      <x:c r="B120" s="24" t="str">
        <x:v>Japan (main islands)</x:v>
      </x:c>
      <x:c r="C120" s="24" t="str">
        <x:v>EEZ</x:v>
      </x:c>
      <x:c r="D120" s="30" t="n">
        <x:v>2019</x:v>
      </x:c>
      <x:c r="E120" s="24" t="str">
        <x:v>Ibacus ciliatus</x:v>
      </x:c>
      <x:c r="F120" s="24" t="str">
        <x:v>Sand Crayfish</x:v>
      </x:c>
      <x:c r="G120" s="24" t="str">
        <x:v>Lobsters, crabs</x:v>
      </x:c>
      <x:c r="H120" s="24" t="str">
        <x:v>Crustaceans</x:v>
      </x:c>
      <x:c r="I120" s="31" t="n">
        <x:v>142.2145906337</x:v>
      </x:c>
      <x:c r="J120" s="31" t="n">
        <x:v>0.20089788079999998</x:v>
      </x:c>
      <x:c r="K120" s="31" t="n">
        <x:v>142.0136927529</x:v>
      </x:c>
      <x:c r="L120" s="31" t="n">
        <x:v>0.20089788079999998</x:v>
      </x:c>
      <x:c r="M120" s="31" t="n">
        <x:v>142.0136927529</x:v>
      </x:c>
      <x:c r="N120" s="24" t="str">
        <x:v>ibacus ciliatus</x:v>
      </x:c>
      <x:c r="O120" s="32" t="n">
        <x:v>2.6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Ibacus ciliatus</x:v>
      </x:c>
      <x:c r="T120" s="32" t="n">
        <x:f>IF(O120="","",(1/'Metadata'!$B$5)^(O120-1))</x:f>
        <x:v>39.810717055349734</x:v>
      </x:c>
      <x:c r="U120" s="31" t="n">
        <x:f>IF(T120="","",I120*T120)</x:f>
        <x:v>5661.664828860621</x:v>
      </x:c>
    </x:row>
    <x:row r="121" ht="18" customHeight="1">
      <x:c r="A121" s="24" t="str">
        <x:v>EEZ_390</x:v>
      </x:c>
      <x:c r="B121" s="24" t="str">
        <x:v>Japan (main islands)</x:v>
      </x:c>
      <x:c r="C121" s="24" t="str">
        <x:v>EEZ</x:v>
      </x:c>
      <x:c r="D121" s="30" t="n">
        <x:v>2019</x:v>
      </x:c>
      <x:c r="E121" s="24" t="str">
        <x:v>Mene maculata</x:v>
      </x:c>
      <x:c r="F121" s="24" t="str">
        <x:v>Moonfish</x:v>
      </x:c>
      <x:c r="G121" s="24" t="str">
        <x:v>Medium reef assoc. fish (30 - 89 cm)</x:v>
      </x:c>
      <x:c r="H121" s="24" t="str">
        <x:v>Perch-likes</x:v>
      </x:c>
      <x:c r="I121" s="31" t="n">
        <x:v>139.9267671747</x:v>
      </x:c>
      <x:c r="J121" s="31" t="n">
        <x:v>139.9267671747</x:v>
      </x:c>
      <x:c r="K121" s="31" t="n">
        <x:v>0</x:v>
      </x:c>
      <x:c r="L121" s="31" t="n">
        <x:v>48.815307562600005</x:v>
      </x:c>
      <x:c r="M121" s="31" t="n">
        <x:v>91.1114596121</x:v>
      </x:c>
      <x:c r="N121" s="24" t="str">
        <x:v>mene maculata</x:v>
      </x:c>
      <x:c r="O121" s="32" t="n">
        <x:v>3.45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Mene maculata</x:v>
      </x:c>
      <x:c r="T121" s="32" t="n">
        <x:f>IF(O121="","",(1/'Metadata'!$B$5)^(O121-1))</x:f>
        <x:v>281.8382931264455</x:v>
      </x:c>
      <x:c r="U121" s="31" t="n">
        <x:f>IF(T121="","",I121*T121)</x:f>
        <x:v>39436.721223218985</x:v>
      </x:c>
    </x:row>
    <x:row r="122" ht="18" customHeight="1">
      <x:c r="A122" s="24" t="str">
        <x:v>EEZ_390</x:v>
      </x:c>
      <x:c r="B122" s="24" t="str">
        <x:v>Japan (main islands)</x:v>
      </x:c>
      <x:c r="C122" s="24" t="str">
        <x:v>EEZ</x:v>
      </x:c>
      <x:c r="D122" s="30" t="n">
        <x:v>2019</x:v>
      </x:c>
      <x:c r="E122" s="24" t="str">
        <x:v>Sillago</x:v>
      </x:c>
      <x:c r="F122" s="24" t="str">
        <x:v>Smelt-whitings</x:v>
      </x:c>
      <x:c r="G122" s="24" t="str">
        <x:v>Medium demersals (30 - 89 cm)</x:v>
      </x:c>
      <x:c r="H122" s="24" t="str">
        <x:v>Perch-likes</x:v>
      </x:c>
      <x:c r="I122" s="31" t="n">
        <x:v>120.46310667050001</x:v>
      </x:c>
      <x:c r="J122" s="31" t="n">
        <x:v>120.46310667050001</x:v>
      </x:c>
      <x:c r="K122" s="31" t="n">
        <x:v>0</x:v>
      </x:c>
      <x:c r="L122" s="31" t="n">
        <x:v>119.3325042735</x:v>
      </x:c>
      <x:c r="M122" s="31" t="n">
        <x:v>1.1306023969999999</x:v>
      </x:c>
      <x:c r="N122" s="24" t="str">
        <x:v>sillago</x:v>
      </x:c>
      <x:c r="O122" s="32" t="n">
        <x:v>3.33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Sillago</x:v>
      </x:c>
      <x:c r="T122" s="32" t="n">
        <x:f>IF(O122="","",(1/'Metadata'!$B$5)^(O122-1))</x:f>
        <x:v>213.79620895022325</x:v>
      </x:c>
      <x:c r="U122" s="31" t="n">
        <x:f>IF(T122="","",I122*T122)</x:f>
        <x:v>25754.55552451925</x:v>
      </x:c>
    </x:row>
    <x:row r="123" ht="18" customHeight="1">
      <x:c r="A123" s="24" t="str">
        <x:v>EEZ_390</x:v>
      </x:c>
      <x:c r="B123" s="24" t="str">
        <x:v>Japan (main islands)</x:v>
      </x:c>
      <x:c r="C123" s="24" t="str">
        <x:v>EEZ</x:v>
      </x:c>
      <x:c r="D123" s="30" t="n">
        <x:v>2019</x:v>
      </x:c>
      <x:c r="E123" s="24" t="str">
        <x:v>Zenopsis nebulosa</x:v>
      </x:c>
      <x:c r="F123" s="24" t="str">
        <x:v>Mirror dory</x:v>
      </x:c>
      <x:c r="G123" s="24" t="str">
        <x:v>Medium bathydemersals (30 - 89 cm)</x:v>
      </x:c>
      <x:c r="H123" s="24" t="str">
        <x:v>Other fishes &amp; inverts</x:v>
      </x:c>
      <x:c r="I123" s="31" t="n">
        <x:v>112.0000000002</x:v>
      </x:c>
      <x:c r="J123" s="31" t="n">
        <x:v>112.0000000002</x:v>
      </x:c>
      <x:c r="K123" s="31" t="n">
        <x:v>0</x:v>
      </x:c>
      <x:c r="L123" s="31" t="n">
        <x:v>112.0000000002</x:v>
      </x:c>
      <x:c r="M123" s="31" t="n">
        <x:v>0</x:v>
      </x:c>
      <x:c r="N123" s="24" t="str">
        <x:v>zenopsis nebulosa</x:v>
      </x:c>
      <x:c r="O123" s="32" t="n">
        <x:v>3.98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Zenopsis nebulosa</x:v>
      </x:c>
      <x:c r="T123" s="32" t="n">
        <x:f>IF(O123="","",(1/'Metadata'!$B$5)^(O123-1))</x:f>
        <x:v>954.992586021436</x:v>
      </x:c>
      <x:c r="U123" s="31" t="n">
        <x:f>IF(T123="","",I123*T123)</x:f>
        <x:v>106959.16963459183</x:v>
      </x:c>
    </x:row>
    <x:row r="124" ht="18" customHeight="1">
      <x:c r="A124" s="24" t="str">
        <x:v>EEZ_390</x:v>
      </x:c>
      <x:c r="B124" s="24" t="str">
        <x:v>Japan (main islands)</x:v>
      </x:c>
      <x:c r="C124" s="24" t="str">
        <x:v>EEZ</x:v>
      </x:c>
      <x:c r="D124" s="30" t="n">
        <x:v>2019</x:v>
      </x:c>
      <x:c r="E124" s="24" t="str">
        <x:v>Perciformes</x:v>
      </x:c>
      <x:c r="F124" s="24" t="str">
        <x:v>Perch-likes</x:v>
      </x:c>
      <x:c r="G124" s="24" t="str">
        <x:v>Medium demersals (30 - 89 cm)</x:v>
      </x:c>
      <x:c r="H124" s="24" t="str">
        <x:v>Perch-likes</x:v>
      </x:c>
      <x:c r="I124" s="31" t="n">
        <x:v>103.6866359447</x:v>
      </x:c>
      <x:c r="J124" s="31" t="n">
        <x:v>103.6866359447</x:v>
      </x:c>
      <x:c r="K124" s="31" t="n">
        <x:v>0</x:v>
      </x:c>
      <x:c r="L124" s="31" t="n">
        <x:v>0</x:v>
      </x:c>
      <x:c r="M124" s="31" t="n">
        <x:v>103.6866359447</x:v>
      </x:c>
      <x:c r="N124" s="24" t="str">
        <x:v>perciformes</x:v>
      </x:c>
      <x:c r="O124" s="32" t="n">
        <x:v>3.53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Perciformes</x:v>
      </x:c>
      <x:c r="T124" s="32" t="n">
        <x:f>IF(O124="","",(1/'Metadata'!$B$5)^(O124-1))</x:f>
        <x:v>338.84415613920237</x:v>
      </x:c>
      <x:c r="U124" s="31" t="n">
        <x:f>IF(T124="","",I124*T124)</x:f>
        <x:v>35133.61065959456</x:v>
      </x:c>
    </x:row>
    <x:row r="125" ht="18" customHeight="1">
      <x:c r="A125" s="24" t="str">
        <x:v>EEZ_390</x:v>
      </x:c>
      <x:c r="B125" s="24" t="str">
        <x:v>Japan (main islands)</x:v>
      </x:c>
      <x:c r="C125" s="24" t="str">
        <x:v>EEZ</x:v>
      </x:c>
      <x:c r="D125" s="30" t="n">
        <x:v>2019</x:v>
      </x:c>
      <x:c r="E125" s="24" t="str">
        <x:v>Istiophoridae</x:v>
      </x:c>
      <x:c r="F125" s="24" t="str">
        <x:v>Billfishes</x:v>
      </x:c>
      <x:c r="G125" s="24" t="str">
        <x:v>Large pelagics (&gt;=90 cm)</x:v>
      </x:c>
      <x:c r="H125" s="24" t="str">
        <x:v>Tuna &amp; billfishes</x:v>
      </x:c>
      <x:c r="I125" s="31" t="n">
        <x:v>75.5440251663</x:v>
      </x:c>
      <x:c r="J125" s="31" t="n">
        <x:v>69.9999999999</x:v>
      </x:c>
      <x:c r="K125" s="31" t="n">
        <x:v>5.5440251664</x:v>
      </x:c>
      <x:c r="L125" s="31" t="n">
        <x:v>69.9999999999</x:v>
      </x:c>
      <x:c r="M125" s="31" t="n">
        <x:v>5.5440251664</x:v>
      </x:c>
      <x:c r="N125" s="24" t="str">
        <x:v>istiophoridae</x:v>
      </x:c>
      <x:c r="O125" s="32" t="n">
        <x:v>4.48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Istiophoridae</x:v>
      </x:c>
      <x:c r="T125" s="32" t="n">
        <x:f>IF(O125="","",(1/'Metadata'!$B$5)^(O125-1))</x:f>
        <x:v>3019.951720402019</x:v>
      </x:c>
      <x:c r="U125" s="31" t="n">
        <x:f>IF(T125="","",I125*T125)</x:f>
        <x:v>228139.3087670611</x:v>
      </x:c>
    </x:row>
    <x:row r="126" ht="18" customHeight="1">
      <x:c r="A126" s="24" t="str">
        <x:v>EEZ_390</x:v>
      </x:c>
      <x:c r="B126" s="24" t="str">
        <x:v>Japan (main islands)</x:v>
      </x:c>
      <x:c r="C126" s="24" t="str">
        <x:v>EEZ</x:v>
      </x:c>
      <x:c r="D126" s="30" t="n">
        <x:v>2019</x:v>
      </x:c>
      <x:c r="E126" s="24" t="str">
        <x:v>Scomberomorus commerson</x:v>
      </x:c>
      <x:c r="F126" s="24" t="str">
        <x:v>Narrow-barred Spanish mackerel</x:v>
      </x:c>
      <x:c r="G126" s="24" t="str">
        <x:v>Large pelagics (&gt;=90 cm)</x:v>
      </x:c>
      <x:c r="H126" s="24" t="str">
        <x:v>Perch-likes</x:v>
      </x:c>
      <x:c r="I126" s="31" t="n">
        <x:v>72.0018068657</x:v>
      </x:c>
      <x:c r="J126" s="31" t="n">
        <x:v>72.0018068657</x:v>
      </x:c>
      <x:c r="K126" s="31" t="n">
        <x:v>0</x:v>
      </x:c>
      <x:c r="L126" s="31" t="n">
        <x:v>72.0018068657</x:v>
      </x:c>
      <x:c r="M126" s="31" t="n">
        <x:v>0</x:v>
      </x:c>
      <x:c r="N126" s="24" t="str">
        <x:v>scomberomorus commerson</x:v>
      </x:c>
      <x:c r="O126" s="32" t="n">
        <x:v>4.5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Scomberomorus commerson</x:v>
      </x:c>
      <x:c r="T126" s="32" t="n">
        <x:f>IF(O126="","",(1/'Metadata'!$B$5)^(O126-1))</x:f>
        <x:v>3162.2776601683795</x:v>
      </x:c>
      <x:c r="U126" s="31" t="n">
        <x:f>IF(T126="","",I126*T126)</x:f>
        <x:v>227689.70534316136</x:v>
      </x:c>
    </x:row>
    <x:row r="127" ht="18" customHeight="1">
      <x:c r="A127" s="24" t="str">
        <x:v>EEZ_390</x:v>
      </x:c>
      <x:c r="B127" s="24" t="str">
        <x:v>Japan (main islands)</x:v>
      </x:c>
      <x:c r="C127" s="24" t="str">
        <x:v>EEZ</x:v>
      </x:c>
      <x:c r="D127" s="30" t="n">
        <x:v>2019</x:v>
      </x:c>
      <x:c r="E127" s="24" t="str">
        <x:v>Seriola dumerili</x:v>
      </x:c>
      <x:c r="F127" s="24" t="str">
        <x:v>Greater amberjack</x:v>
      </x:c>
      <x:c r="G127" s="24" t="str">
        <x:v>Large reef assoc. fish (&gt;=90 cm)</x:v>
      </x:c>
      <x:c r="H127" s="24" t="str">
        <x:v>Perch-likes</x:v>
      </x:c>
      <x:c r="I127" s="31" t="n">
        <x:v>68.7271004336</x:v>
      </x:c>
      <x:c r="J127" s="31" t="n">
        <x:v>68.7271004336</x:v>
      </x:c>
      <x:c r="K127" s="31" t="n">
        <x:v>0</x:v>
      </x:c>
      <x:c r="L127" s="31" t="n">
        <x:v>36.1430058112</x:v>
      </x:c>
      <x:c r="M127" s="31" t="n">
        <x:v>32.584094622399995</x:v>
      </x:c>
      <x:c r="N127" s="24" t="str">
        <x:v>seriola dumerili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Seriola dumerili</x:v>
      </x:c>
      <x:c r="T127" s="32" t="n">
        <x:f>IF(O127="","",(1/'Metadata'!$B$5)^(O127-1))</x:f>
        <x:v>3162.2776601683795</x:v>
      </x:c>
      <x:c r="U127" s="31" t="n">
        <x:f>IF(T127="","",I127*T127)</x:f>
        <x:v>217334.17434932184</x:v>
      </x:c>
    </x:row>
    <x:row r="128" ht="18" customHeight="1">
      <x:c r="A128" s="24" t="str">
        <x:v>EEZ_390</x:v>
      </x:c>
      <x:c r="B128" s="24" t="str">
        <x:v>Japan (main islands)</x:v>
      </x:c>
      <x:c r="C128" s="24" t="str">
        <x:v>EEZ</x:v>
      </x:c>
      <x:c r="D128" s="30" t="n">
        <x:v>2019</x:v>
      </x:c>
      <x:c r="E128" s="24" t="str">
        <x:v>Mola mola</x:v>
      </x:c>
      <x:c r="F128" s="24" t="str">
        <x:v>Ocean sunfish</x:v>
      </x:c>
      <x:c r="G128" s="24" t="str">
        <x:v>Large pelagics (&gt;=90 cm)</x:v>
      </x:c>
      <x:c r="H128" s="24" t="str">
        <x:v>Other fishes &amp; inverts</x:v>
      </x:c>
      <x:c r="I128" s="31" t="n">
        <x:v>65.17956290170001</x:v>
      </x:c>
      <x:c r="J128" s="31" t="n">
        <x:v>65.17956290170001</x:v>
      </x:c>
      <x:c r="K128" s="31" t="n">
        <x:v>0</x:v>
      </x:c>
      <x:c r="L128" s="31" t="n">
        <x:v>54.6792376984</x:v>
      </x:c>
      <x:c r="M128" s="31" t="n">
        <x:v>10.500325203300001</x:v>
      </x:c>
      <x:c r="N128" s="24" t="str">
        <x:v>mola mola</x:v>
      </x:c>
      <x:c r="O128" s="32" t="n">
        <x:v>3.68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Mola mola</x:v>
      </x:c>
      <x:c r="T128" s="32" t="n">
        <x:f>IF(O128="","",(1/'Metadata'!$B$5)^(O128-1))</x:f>
        <x:v>478.6300923226385</x:v>
      </x:c>
      <x:c r="U128" s="31" t="n">
        <x:f>IF(T128="","",I128*T128)</x:f>
        <x:v>31196.9002091899</x:v>
      </x:c>
    </x:row>
    <x:row r="129" ht="18" customHeight="1">
      <x:c r="A129" s="24" t="str">
        <x:v>EEZ_390</x:v>
      </x:c>
      <x:c r="B129" s="24" t="str">
        <x:v>Japan (main islands)</x:v>
      </x:c>
      <x:c r="C129" s="24" t="str">
        <x:v>EEZ</x:v>
      </x:c>
      <x:c r="D129" s="30" t="n">
        <x:v>2019</x:v>
      </x:c>
      <x:c r="E129" s="24" t="str">
        <x:v>Acanthopagrus schlegelii</x:v>
      </x:c>
      <x:c r="F129" s="24" t="str">
        <x:v>Blackhead seabream</x:v>
      </x:c>
      <x:c r="G129" s="24" t="str">
        <x:v>Medium demersals (30 - 89 cm)</x:v>
      </x:c>
      <x:c r="H129" s="24" t="str">
        <x:v>Perch-likes</x:v>
      </x:c>
      <x:c r="I129" s="31" t="n">
        <x:v>60.821244553999996</x:v>
      </x:c>
      <x:c r="J129" s="31" t="n">
        <x:v>60.821244553999996</x:v>
      </x:c>
      <x:c r="K129" s="31" t="n">
        <x:v>0</x:v>
      </x:c>
      <x:c r="L129" s="31" t="n">
        <x:v>49.376271016</x:v>
      </x:c>
      <x:c r="M129" s="31" t="n">
        <x:v>11.444973538</x:v>
      </x:c>
      <x:c r="N129" s="24" t="str">
        <x:v>acanthopagrus schlegelii</x:v>
      </x:c>
      <x:c r="O129" s="32" t="n">
        <x:v>3.24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Acanthopagrus schlegelii</x:v>
      </x:c>
      <x:c r="T129" s="32" t="n">
        <x:f>IF(O129="","",(1/'Metadata'!$B$5)^(O129-1))</x:f>
        <x:v>173.78008287493762</x:v>
      </x:c>
      <x:c r="U129" s="31" t="n">
        <x:f>IF(T129="","",I129*T129)</x:f>
        <x:v>10569.520919150968</x:v>
      </x:c>
    </x:row>
    <x:row r="130" ht="18" customHeight="1">
      <x:c r="A130" s="24" t="str">
        <x:v>EEZ_390</x:v>
      </x:c>
      <x:c r="B130" s="24" t="str">
        <x:v>Japan (main islands)</x:v>
      </x:c>
      <x:c r="C130" s="24" t="str">
        <x:v>EEZ</x:v>
      </x:c>
      <x:c r="D130" s="30" t="n">
        <x:v>2019</x:v>
      </x:c>
      <x:c r="E130" s="24" t="str">
        <x:v>Atrobucca nibe</x:v>
      </x:c>
      <x:c r="F130" s="24" t="str">
        <x:v>Blackmouth croaker</x:v>
      </x:c>
      <x:c r="G130" s="24" t="str">
        <x:v>Medium demersals (30 - 89 cm)</x:v>
      </x:c>
      <x:c r="H130" s="24" t="str">
        <x:v>Perch-likes</x:v>
      </x:c>
      <x:c r="I130" s="31" t="n">
        <x:v>56.537436745</x:v>
      </x:c>
      <x:c r="J130" s="31" t="n">
        <x:v>56.537436745</x:v>
      </x:c>
      <x:c r="K130" s="31" t="n">
        <x:v>0</x:v>
      </x:c>
      <x:c r="L130" s="31" t="n">
        <x:v>38.0959794876</x:v>
      </x:c>
      <x:c r="M130" s="31" t="n">
        <x:v>18.441457257400003</x:v>
      </x:c>
      <x:c r="N130" s="24" t="str">
        <x:v>atrobucca nibe</x:v>
      </x:c>
      <x:c r="O130" s="32" t="n">
        <x:v>3.03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Atrobucca nibe</x:v>
      </x:c>
      <x:c r="T130" s="32" t="n">
        <x:f>IF(O130="","",(1/'Metadata'!$B$5)^(O130-1))</x:f>
        <x:v>107.1519305237606</x:v>
      </x:c>
      <x:c r="U130" s="31" t="n">
        <x:f>IF(T130="","",I130*T130)</x:f>
        <x:v>6058.09549409175</x:v>
      </x:c>
    </x:row>
    <x:row r="131" ht="18" customHeight="1">
      <x:c r="A131" s="24" t="str">
        <x:v>EEZ_390</x:v>
      </x:c>
      <x:c r="B131" s="24" t="str">
        <x:v>Japan (main islands)</x:v>
      </x:c>
      <x:c r="C131" s="24" t="str">
        <x:v>EEZ</x:v>
      </x:c>
      <x:c r="D131" s="30" t="n">
        <x:v>2019</x:v>
      </x:c>
      <x:c r="E131" s="24" t="str">
        <x:v>Decapterus</x:v>
      </x:c>
      <x:c r="F131" s="24" t="str">
        <x:v>Scads</x:v>
      </x:c>
      <x:c r="G131" s="24" t="str">
        <x:v>Medium pelagics (30 - 89 cm)</x:v>
      </x:c>
      <x:c r="H131" s="24" t="str">
        <x:v>Perch-likes</x:v>
      </x:c>
      <x:c r="I131" s="31" t="n">
        <x:v>52.0310259774</x:v>
      </x:c>
      <x:c r="J131" s="31" t="n">
        <x:v>52.0310259774</x:v>
      </x:c>
      <x:c r="K131" s="31" t="n">
        <x:v>0</x:v>
      </x:c>
      <x:c r="L131" s="31" t="n">
        <x:v>0</x:v>
      </x:c>
      <x:c r="M131" s="31" t="n">
        <x:v>52.0310259774</x:v>
      </x:c>
      <x:c r="N131" s="24" t="str">
        <x:v>decapterus</x:v>
      </x:c>
      <x:c r="O131" s="32" t="n">
        <x:v>3.63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Decapterus</x:v>
      </x:c>
      <x:c r="T131" s="32" t="n">
        <x:f>IF(O131="","",(1/'Metadata'!$B$5)^(O131-1))</x:f>
        <x:v>426.57951880159254</x:v>
      </x:c>
      <x:c r="U131" s="31" t="n">
        <x:f>IF(T131="","",I131*T131)</x:f>
        <x:v>22195.370024192453</x:v>
      </x:c>
    </x:row>
    <x:row r="132" ht="18" customHeight="1">
      <x:c r="A132" s="24" t="str">
        <x:v>EEZ_390</x:v>
      </x:c>
      <x:c r="B132" s="24" t="str">
        <x:v>Japan (main islands)</x:v>
      </x:c>
      <x:c r="C132" s="24" t="str">
        <x:v>EEZ</x:v>
      </x:c>
      <x:c r="D132" s="30" t="n">
        <x:v>2019</x:v>
      </x:c>
      <x:c r="E132" s="24" t="str">
        <x:v>Scomberomorus niphonius</x:v>
      </x:c>
      <x:c r="F132" s="24" t="str">
        <x:v>Japanese Spanish mackerel</x:v>
      </x:c>
      <x:c r="G132" s="24" t="str">
        <x:v>Large pelagics (&gt;=90 cm)</x:v>
      </x:c>
      <x:c r="H132" s="24" t="str">
        <x:v>Perch-likes</x:v>
      </x:c>
      <x:c r="I132" s="31" t="n">
        <x:v>44.323195489099994</x:v>
      </x:c>
      <x:c r="J132" s="31" t="n">
        <x:v>44.323195489099994</x:v>
      </x:c>
      <x:c r="K132" s="31" t="n">
        <x:v>0</x:v>
      </x:c>
      <x:c r="L132" s="31" t="n">
        <x:v>44.323195489099994</x:v>
      </x:c>
      <x:c r="M132" s="31" t="n">
        <x:v>0</x:v>
      </x:c>
      <x:c r="N132" s="24" t="str">
        <x:v>scomberomorus niphonius</x:v>
      </x:c>
      <x:c r="O132" s="32" t="n">
        <x:v>4.5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Scomberomorus niphonius</x:v>
      </x:c>
      <x:c r="T132" s="32" t="n">
        <x:f>IF(O132="","",(1/'Metadata'!$B$5)^(O132-1))</x:f>
        <x:v>3162.2776601683795</x:v>
      </x:c>
      <x:c r="U132" s="31" t="n">
        <x:f>IF(T132="","",I132*T132)</x:f>
        <x:v>140162.2509224568</x:v>
      </x:c>
    </x:row>
    <x:row r="133" ht="18" customHeight="1">
      <x:c r="A133" s="24" t="str">
        <x:v>EEZ_390</x:v>
      </x:c>
      <x:c r="B133" s="24" t="str">
        <x:v>Japan (main islands)</x:v>
      </x:c>
      <x:c r="C133" s="24" t="str">
        <x:v>EEZ</x:v>
      </x:c>
      <x:c r="D133" s="30" t="n">
        <x:v>2019</x:v>
      </x:c>
      <x:c r="E133" s="24" t="str">
        <x:v>Stromateidae</x:v>
      </x:c>
      <x:c r="F133" s="24" t="str">
        <x:v>Butterfishes</x:v>
      </x:c>
      <x:c r="G133" s="24" t="str">
        <x:v>Small benthopelagics (&lt;30 cm)</x:v>
      </x:c>
      <x:c r="H133" s="24" t="str">
        <x:v>Perch-likes</x:v>
      </x:c>
      <x:c r="I133" s="31" t="n">
        <x:v>40.2965781065</x:v>
      </x:c>
      <x:c r="J133" s="31" t="n">
        <x:v>40.2965781065</x:v>
      </x:c>
      <x:c r="K133" s="31" t="n">
        <x:v>0</x:v>
      </x:c>
      <x:c r="L133" s="31" t="n">
        <x:v>27.848541256300003</x:v>
      </x:c>
      <x:c r="M133" s="31" t="n">
        <x:v>12.448036850200001</x:v>
      </x:c>
      <x:c r="N133" s="24" t="str">
        <x:v>stromateidae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Stromateidae</x:v>
      </x:c>
      <x:c r="T133" s="32" t="n">
        <x:f>IF(O133="","",(1/'Metadata'!$B$5)^(O133-1))</x:f>
        <x:v>416.8693834703355</x:v>
      </x:c>
      <x:c r="U133" s="31" t="n">
        <x:f>IF(T133="","",I133*T133)</x:f>
        <x:v>16798.409671220874</x:v>
      </x:c>
    </x:row>
    <x:row r="134" ht="18" customHeight="1">
      <x:c r="A134" s="24" t="str">
        <x:v>EEZ_390</x:v>
      </x:c>
      <x:c r="B134" s="24" t="str">
        <x:v>Japan (main islands)</x:v>
      </x:c>
      <x:c r="C134" s="24" t="str">
        <x:v>EEZ</x:v>
      </x:c>
      <x:c r="D134" s="30" t="n">
        <x:v>2019</x:v>
      </x:c>
      <x:c r="E134" s="24" t="str">
        <x:v>Carangidae</x:v>
      </x:c>
      <x:c r="F134" s="24" t="str">
        <x:v>Jacks, pompanos</x:v>
      </x:c>
      <x:c r="G134" s="24" t="str">
        <x:v>Medium pelagics (30 - 89 cm)</x:v>
      </x:c>
      <x:c r="H134" s="24" t="str">
        <x:v>Perch-likes</x:v>
      </x:c>
      <x:c r="I134" s="31" t="n">
        <x:v>34.4166812035</x:v>
      </x:c>
      <x:c r="J134" s="31" t="n">
        <x:v>34.4166812035</x:v>
      </x:c>
      <x:c r="K134" s="31" t="n">
        <x:v>0</x:v>
      </x:c>
      <x:c r="L134" s="31" t="n">
        <x:v>0</x:v>
      </x:c>
      <x:c r="M134" s="31" t="n">
        <x:v>34.4166812035</x:v>
      </x:c>
      <x:c r="N134" s="24" t="str">
        <x:v>carangidae</x:v>
      </x:c>
      <x:c r="O134" s="32" t="n">
        <x:v>4.05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Carangidae</x:v>
      </x:c>
      <x:c r="T134" s="32" t="n">
        <x:f>IF(O134="","",(1/'Metadata'!$B$5)^(O134-1))</x:f>
        <x:v>1122.018454301963</x:v>
      </x:c>
      <x:c r="U134" s="31" t="n">
        <x:f>IF(T134="","",I134*T134)</x:f>
        <x:v>38616.15144615449</x:v>
      </x:c>
    </x:row>
    <x:row r="135" ht="18" customHeight="1">
      <x:c r="A135" s="24" t="str">
        <x:v>EEZ_390</x:v>
      </x:c>
      <x:c r="B135" s="24" t="str">
        <x:v>Japan (main islands)</x:v>
      </x:c>
      <x:c r="C135" s="24" t="str">
        <x:v>EEZ</x:v>
      </x:c>
      <x:c r="D135" s="30" t="n">
        <x:v>2019</x:v>
      </x:c>
      <x:c r="E135" s="24" t="str">
        <x:v>Carcharhinus falciformis</x:v>
      </x:c>
      <x:c r="F135" s="24" t="str">
        <x:v>Silky shark</x:v>
      </x:c>
      <x:c r="G135" s="24" t="str">
        <x:v>Large sharks (&gt;=90 cm)</x:v>
      </x:c>
      <x:c r="H135" s="24" t="str">
        <x:v>Sharks &amp; rays</x:v>
      </x:c>
      <x:c r="I135" s="31" t="n">
        <x:v>32.4352898507</x:v>
      </x:c>
      <x:c r="J135" s="31" t="n">
        <x:v>0.3048333605</x:v>
      </x:c>
      <x:c r="K135" s="31" t="n">
        <x:v>32.1304564902</x:v>
      </x:c>
      <x:c r="L135" s="31" t="n">
        <x:v>0.3048333605</x:v>
      </x:c>
      <x:c r="M135" s="31" t="n">
        <x:v>32.1304564902</x:v>
      </x:c>
      <x:c r="N135" s="24" t="str">
        <x:v>carcharhinus falciformis</x:v>
      </x:c>
      <x:c r="O135" s="32" t="n">
        <x:v>4.51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Carcharhinus falciformis</x:v>
      </x:c>
      <x:c r="T135" s="32" t="n">
        <x:f>IF(O135="","",(1/'Metadata'!$B$5)^(O135-1))</x:f>
        <x:v>3235.936569296281</x:v>
      </x:c>
      <x:c r="U135" s="31" t="n">
        <x:f>IF(T135="","",I135*T135)</x:f>
        <x:v>104958.54056360465</x:v>
      </x:c>
    </x:row>
    <x:row r="136" ht="18" customHeight="1">
      <x:c r="A136" s="24" t="str">
        <x:v>EEZ_390</x:v>
      </x:c>
      <x:c r="B136" s="24" t="str">
        <x:v>Japan (main islands)</x:v>
      </x:c>
      <x:c r="C136" s="24" t="str">
        <x:v>EEZ</x:v>
      </x:c>
      <x:c r="D136" s="30" t="n">
        <x:v>2019</x:v>
      </x:c>
      <x:c r="E136" s="24" t="str">
        <x:v>Pagrus auratus</x:v>
      </x:c>
      <x:c r="F136" s="24" t="str">
        <x:v>Silver seabream</x:v>
      </x:c>
      <x:c r="G136" s="24" t="str">
        <x:v>Large demersals (&gt;=90 cm)</x:v>
      </x:c>
      <x:c r="H136" s="24" t="str">
        <x:v>Perch-likes</x:v>
      </x:c>
      <x:c r="I136" s="31" t="n">
        <x:v>31.1488302479</x:v>
      </x:c>
      <x:c r="J136" s="31" t="n">
        <x:v>31.1488302479</x:v>
      </x:c>
      <x:c r="K136" s="31" t="n">
        <x:v>0</x:v>
      </x:c>
      <x:c r="L136" s="31" t="n">
        <x:v>29.747138511800003</x:v>
      </x:c>
      <x:c r="M136" s="31" t="n">
        <x:v>1.4016917360999999</x:v>
      </x:c>
      <x:c r="N136" s="24" t="str">
        <x:v>pagrus auratus</x:v>
      </x:c>
      <x:c r="O136" s="32" t="n">
        <x:v>3.59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Pagrus auratus</x:v>
      </x:c>
      <x:c r="T136" s="32" t="n">
        <x:f>IF(O136="","",(1/'Metadata'!$B$5)^(O136-1))</x:f>
        <x:v>389.04514499428046</x:v>
      </x:c>
      <x:c r="U136" s="31" t="n">
        <x:f>IF(T136="","",I136*T136)</x:f>
        <x:v>12118.301180196486</x:v>
      </x:c>
    </x:row>
    <x:row r="137" ht="18" customHeight="1">
      <x:c r="A137" s="24" t="str">
        <x:v>EEZ_390</x:v>
      </x:c>
      <x:c r="B137" s="24" t="str">
        <x:v>Japan (main islands)</x:v>
      </x:c>
      <x:c r="C137" s="24" t="str">
        <x:v>EEZ</x:v>
      </x:c>
      <x:c r="D137" s="30" t="n">
        <x:v>2019</x:v>
      </x:c>
      <x:c r="E137" s="24" t="str">
        <x:v>Megalaspis cordyla</x:v>
      </x:c>
      <x:c r="F137" s="24" t="str">
        <x:v>Torpedo scad</x:v>
      </x:c>
      <x:c r="G137" s="24" t="str">
        <x:v>Medium pelagics (30 - 89 cm)</x:v>
      </x:c>
      <x:c r="H137" s="24" t="str">
        <x:v>Perch-likes</x:v>
      </x:c>
      <x:c r="I137" s="31" t="n">
        <x:v>31.021638244600002</x:v>
      </x:c>
      <x:c r="J137" s="31" t="n">
        <x:v>31.021638244600002</x:v>
      </x:c>
      <x:c r="K137" s="31" t="n">
        <x:v>0</x:v>
      </x:c>
      <x:c r="L137" s="31" t="n">
        <x:v>3.5398571105000003</x:v>
      </x:c>
      <x:c r="M137" s="31" t="n">
        <x:v>27.4817811341</x:v>
      </x:c>
      <x:c r="N137" s="24" t="str">
        <x:v>megalaspis cordyla</x:v>
      </x:c>
      <x:c r="O137" s="32" t="n">
        <x:v>4.24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Megalaspis cordyla</x:v>
      </x:c>
      <x:c r="T137" s="32" t="n">
        <x:f>IF(O137="","",(1/'Metadata'!$B$5)^(O137-1))</x:f>
        <x:v>1737.8008287493763</x:v>
      </x:c>
      <x:c r="U137" s="31" t="n">
        <x:f>IF(T137="","",I137*T137)</x:f>
        <x:v>53909.42865062923</x:v>
      </x:c>
    </x:row>
    <x:row r="138" ht="18" customHeight="1">
      <x:c r="A138" s="24" t="str">
        <x:v>EEZ_390</x:v>
      </x:c>
      <x:c r="B138" s="24" t="str">
        <x:v>Japan (main islands)</x:v>
      </x:c>
      <x:c r="C138" s="24" t="str">
        <x:v>EEZ</x:v>
      </x:c>
      <x:c r="D138" s="30" t="n">
        <x:v>2019</x:v>
      </x:c>
      <x:c r="E138" s="24" t="str">
        <x:v>Loliginidae</x:v>
      </x:c>
      <x:c r="F138" s="24" t="str">
        <x:v>Common pencil squids</x:v>
      </x:c>
      <x:c r="G138" s="24" t="str">
        <x:v>Cephalopods</x:v>
      </x:c>
      <x:c r="H138" s="24" t="str">
        <x:v>Other fishes &amp; inverts</x:v>
      </x:c>
      <x:c r="I138" s="31" t="n">
        <x:v>28.5130445382</x:v>
      </x:c>
      <x:c r="J138" s="31" t="n">
        <x:v>0</x:v>
      </x:c>
      <x:c r="K138" s="31" t="n">
        <x:v>28.5130445382</x:v>
      </x:c>
      <x:c r="L138" s="31" t="n">
        <x:v>0</x:v>
      </x:c>
      <x:c r="M138" s="31" t="n">
        <x:v>28.5130445382</x:v>
      </x:c>
      <x:c r="N138" s="24" t="str">
        <x:v>loliginidae</x:v>
      </x:c>
      <x:c r="O138" s="32" t="n">
        <x:v>3.9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Loliginidae</x:v>
      </x:c>
      <x:c r="T138" s="32" t="n">
        <x:f>IF(O138="","",(1/'Metadata'!$B$5)^(O138-1))</x:f>
        <x:v>794.3282347242813</x:v>
      </x:c>
      <x:c r="U138" s="31" t="n">
        <x:f>IF(T138="","",I138*T138)</x:f>
        <x:v>22648.716334643217</x:v>
      </x:c>
    </x:row>
    <x:row r="139" ht="18" customHeight="1">
      <x:c r="A139" s="24" t="str">
        <x:v>EEZ_390</x:v>
      </x:c>
      <x:c r="B139" s="24" t="str">
        <x:v>Japan (main islands)</x:v>
      </x:c>
      <x:c r="C139" s="24" t="str">
        <x:v>EEZ</x:v>
      </x:c>
      <x:c r="D139" s="30" t="n">
        <x:v>2019</x:v>
      </x:c>
      <x:c r="E139" s="24" t="str">
        <x:v>Lutjanidae</x:v>
      </x:c>
      <x:c r="F139" s="24" t="str">
        <x:v>Snappers</x:v>
      </x:c>
      <x:c r="G139" s="24" t="str">
        <x:v>Medium reef assoc. fish (30 - 89 cm)</x:v>
      </x:c>
      <x:c r="H139" s="24" t="str">
        <x:v>Perch-likes</x:v>
      </x:c>
      <x:c r="I139" s="31" t="n">
        <x:v>25.3724088732</x:v>
      </x:c>
      <x:c r="J139" s="31" t="n">
        <x:v>25.3724088732</x:v>
      </x:c>
      <x:c r="K139" s="31" t="n">
        <x:v>0</x:v>
      </x:c>
      <x:c r="L139" s="31" t="n">
        <x:v>11.1094838988</x:v>
      </x:c>
      <x:c r="M139" s="31" t="n">
        <x:v>14.2629249744</x:v>
      </x:c>
      <x:c r="N139" s="24" t="str">
        <x:v>lutjanidae</x:v>
      </x:c>
      <x:c r="O139" s="32" t="n">
        <x:v>4.02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Lutjanidae</x:v>
      </x:c>
      <x:c r="T139" s="32" t="n">
        <x:f>IF(O139="","",(1/'Metadata'!$B$5)^(O139-1))</x:f>
        <x:v>1047.1285480508984</x:v>
      </x:c>
      <x:c r="U139" s="31" t="n">
        <x:f>IF(T139="","",I139*T139)</x:f>
        <x:v>26568.173663947648</x:v>
      </x:c>
    </x:row>
    <x:row r="140" ht="18" customHeight="1">
      <x:c r="A140" s="24" t="str">
        <x:v>EEZ_390</x:v>
      </x:c>
      <x:c r="B140" s="24" t="str">
        <x:v>Japan (main islands)</x:v>
      </x:c>
      <x:c r="C140" s="24" t="str">
        <x:v>EEZ</x:v>
      </x:c>
      <x:c r="D140" s="30" t="n">
        <x:v>2019</x:v>
      </x:c>
      <x:c r="E140" s="24" t="str">
        <x:v>Priacanthus macracanthus</x:v>
      </x:c>
      <x:c r="F140" s="24" t="str">
        <x:v>Red bigeye</x:v>
      </x:c>
      <x:c r="G140" s="24" t="str">
        <x:v>Medium reef assoc. fish (30 - 89 cm)</x:v>
      </x:c>
      <x:c r="H140" s="24" t="str">
        <x:v>Perch-likes</x:v>
      </x:c>
      <x:c r="I140" s="31" t="n">
        <x:v>25.133667453</x:v>
      </x:c>
      <x:c r="J140" s="31" t="n">
        <x:v>24.8386720451</x:v>
      </x:c>
      <x:c r="K140" s="31" t="n">
        <x:v>0.2949954079</x:v>
      </x:c>
      <x:c r="L140" s="31" t="n">
        <x:v>24.8386720451</x:v>
      </x:c>
      <x:c r="M140" s="31" t="n">
        <x:v>0.2949954079</x:v>
      </x:c>
      <x:c r="N140" s="24" t="str">
        <x:v>priacanthus macracanthus</x:v>
      </x:c>
      <x:c r="O140" s="32" t="n">
        <x:v>4.11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Priacanthus macracanthus</x:v>
      </x:c>
      <x:c r="T140" s="32" t="n">
        <x:f>IF(O140="","",(1/'Metadata'!$B$5)^(O140-1))</x:f>
        <x:v>1288.249551693135</x:v>
      </x:c>
      <x:c r="U140" s="31" t="n">
        <x:f>IF(T140="","",I140*T140)</x:f>
        <x:v>32378.435828731588</x:v>
      </x:c>
    </x:row>
    <x:row r="141" ht="18" customHeight="1">
      <x:c r="A141" s="24" t="str">
        <x:v>EEZ_390</x:v>
      </x:c>
      <x:c r="B141" s="24" t="str">
        <x:v>Japan (main islands)</x:v>
      </x:c>
      <x:c r="C141" s="24" t="str">
        <x:v>EEZ</x:v>
      </x:c>
      <x:c r="D141" s="30" t="n">
        <x:v>2019</x:v>
      </x:c>
      <x:c r="E141" s="24" t="str">
        <x:v>Istiompax indica</x:v>
      </x:c>
      <x:c r="F141" s="24" t="str">
        <x:v>Black marlin</x:v>
      </x:c>
      <x:c r="G141" s="24" t="str">
        <x:v>Large pelagics (&gt;=90 cm)</x:v>
      </x:c>
      <x:c r="H141" s="24" t="str">
        <x:v>Tuna &amp; billfishes</x:v>
      </x:c>
      <x:c r="I141" s="31" t="n">
        <x:v>20.455954806</x:v>
      </x:c>
      <x:c r="J141" s="31" t="n">
        <x:v>20.455954806</x:v>
      </x:c>
      <x:c r="K141" s="31" t="n">
        <x:v>0</x:v>
      </x:c>
      <x:c r="L141" s="31" t="n">
        <x:v>20.455954806</x:v>
      </x:c>
      <x:c r="M141" s="31" t="n">
        <x:v>0</x:v>
      </x:c>
      <x:c r="N141" s="24" t="str">
        <x:v>istiompax indica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Istiompax indica</x:v>
      </x:c>
      <x:c r="T141" s="32" t="n">
        <x:f>IF(O141="","",(1/'Metadata'!$B$5)^(O141-1))</x:f>
        <x:v>3162.2776601683795</x:v>
      </x:c>
      <x:c r="U141" s="31" t="n">
        <x:f>IF(T141="","",I141*T141)</x:f>
        <x:v>64687.4089004278</x:v>
      </x:c>
    </x:row>
    <x:row r="142" ht="18" customHeight="1">
      <x:c r="A142" s="24" t="str">
        <x:v>EEZ_390</x:v>
      </x:c>
      <x:c r="B142" s="24" t="str">
        <x:v>Japan (main islands)</x:v>
      </x:c>
      <x:c r="C142" s="24" t="str">
        <x:v>EEZ</x:v>
      </x:c>
      <x:c r="D142" s="30" t="n">
        <x:v>2019</x:v>
      </x:c>
      <x:c r="E142" s="24" t="str">
        <x:v>Parastromateus niger</x:v>
      </x:c>
      <x:c r="F142" s="24" t="str">
        <x:v>Black pomfret</x:v>
      </x:c>
      <x:c r="G142" s="24" t="str">
        <x:v>Medium benthopelagics (30 - 89 cm)</x:v>
      </x:c>
      <x:c r="H142" s="24" t="str">
        <x:v>Perch-likes</x:v>
      </x:c>
      <x:c r="I142" s="31" t="n">
        <x:v>18.5059960292</x:v>
      </x:c>
      <x:c r="J142" s="31" t="n">
        <x:v>13.664175958300001</x:v>
      </x:c>
      <x:c r="K142" s="31" t="n">
        <x:v>4.8418200709</x:v>
      </x:c>
      <x:c r="L142" s="31" t="n">
        <x:v>13.664175958300001</x:v>
      </x:c>
      <x:c r="M142" s="31" t="n">
        <x:v>4.8418200709</x:v>
      </x:c>
      <x:c r="N142" s="24" t="str">
        <x:v>parastromateus niger</x:v>
      </x:c>
      <x:c r="O142" s="32" t="n">
        <x:v>2.93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Parastromateus niger</x:v>
      </x:c>
      <x:c r="T142" s="32" t="n">
        <x:f>IF(O142="","",(1/'Metadata'!$B$5)^(O142-1))</x:f>
        <x:v>85.11380382023768</x:v>
      </x:c>
      <x:c r="U142" s="31" t="n">
        <x:f>IF(T142="","",I142*T142)</x:f>
        <x:v>1575.1157155274261</x:v>
      </x:c>
    </x:row>
    <x:row r="143" ht="18" customHeight="1">
      <x:c r="A143" s="24" t="str">
        <x:v>EEZ_390</x:v>
      </x:c>
      <x:c r="B143" s="24" t="str">
        <x:v>Japan (main islands)</x:v>
      </x:c>
      <x:c r="C143" s="24" t="str">
        <x:v>EEZ</x:v>
      </x:c>
      <x:c r="D143" s="30" t="n">
        <x:v>2019</x:v>
      </x:c>
      <x:c r="E143" s="24" t="str">
        <x:v>Metapenaeus</x:v>
      </x:c>
      <x:c r="F143" s="24" t="str">
        <x:v>Indo-Pacific prawns</x:v>
      </x:c>
      <x:c r="G143" s="24" t="str">
        <x:v>Shrimps</x:v>
      </x:c>
      <x:c r="H143" s="24" t="str">
        <x:v>Crustaceans</x:v>
      </x:c>
      <x:c r="I143" s="31" t="n">
        <x:v>18.3893205157</x:v>
      </x:c>
      <x:c r="J143" s="31" t="n">
        <x:v>18.3893205157</x:v>
      </x:c>
      <x:c r="K143" s="31" t="n">
        <x:v>0</x:v>
      </x:c>
      <x:c r="L143" s="31" t="n">
        <x:v>1.5170600391</x:v>
      </x:c>
      <x:c r="M143" s="31" t="n">
        <x:v>16.8722604766</x:v>
      </x:c>
      <x:c r="N143" s="24" t="str">
        <x:v>metapenaeus</x:v>
      </x:c>
      <x:c r="O143" s="32" t="n">
        <x:v>2.7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Metapenaeus</x:v>
      </x:c>
      <x:c r="T143" s="32" t="n">
        <x:f>IF(O143="","",(1/'Metadata'!$B$5)^(O143-1))</x:f>
        <x:v>50.11872336272725</x:v>
      </x:c>
      <x:c r="U143" s="31" t="n">
        <x:f>IF(T143="","",I143*T143)</x:f>
        <x:v>921.6492677548931</x:v>
      </x:c>
    </x:row>
    <x:row r="144" ht="18" customHeight="1">
      <x:c r="A144" s="24" t="str">
        <x:v>EEZ_390</x:v>
      </x:c>
      <x:c r="B144" s="24" t="str">
        <x:v>Japan (main islands)</x:v>
      </x:c>
      <x:c r="C144" s="24" t="str">
        <x:v>EEZ</x:v>
      </x:c>
      <x:c r="D144" s="30" t="n">
        <x:v>2019</x:v>
      </x:c>
      <x:c r="E144" s="24" t="str">
        <x:v>Saurida tumbil</x:v>
      </x:c>
      <x:c r="F144" s="24" t="str">
        <x:v>Greater lizardfish</x:v>
      </x:c>
      <x:c r="G144" s="24" t="str">
        <x:v>Medium demersals (30 - 89 cm)</x:v>
      </x:c>
      <x:c r="H144" s="24" t="str">
        <x:v>Other fishes &amp; inverts</x:v>
      </x:c>
      <x:c r="I144" s="31" t="n">
        <x:v>18.1491649323</x:v>
      </x:c>
      <x:c r="J144" s="31" t="n">
        <x:v>18.1491649323</x:v>
      </x:c>
      <x:c r="K144" s="31" t="n">
        <x:v>0</x:v>
      </x:c>
      <x:c r="L144" s="31" t="n">
        <x:v>18.1491649323</x:v>
      </x:c>
      <x:c r="M144" s="31" t="n">
        <x:v>0</x:v>
      </x:c>
      <x:c r="N144" s="24" t="str">
        <x:v>saurida tumbil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Saurida tumbil</x:v>
      </x:c>
      <x:c r="T144" s="32" t="n">
        <x:f>IF(O144="","",(1/'Metadata'!$B$5)^(O144-1))</x:f>
        <x:v>2511.886431509582</x:v>
      </x:c>
      <x:c r="U144" s="31" t="n">
        <x:f>IF(T144="","",I144*T144)</x:f>
        <x:v>45588.64113667389</x:v>
      </x:c>
    </x:row>
    <x:row r="145" ht="18" customHeight="1">
      <x:c r="A145" s="24" t="str">
        <x:v>EEZ_390</x:v>
      </x:c>
      <x:c r="B145" s="24" t="str">
        <x:v>Japan (main islands)</x:v>
      </x:c>
      <x:c r="C145" s="24" t="str">
        <x:v>EEZ</x:v>
      </x:c>
      <x:c r="D145" s="30" t="n">
        <x:v>2019</x:v>
      </x:c>
      <x:c r="E145" s="24" t="str">
        <x:v>Ariidae</x:v>
      </x:c>
      <x:c r="F145" s="24" t="str">
        <x:v>Sea catfishes, coblers</x:v>
      </x:c>
      <x:c r="G145" s="24" t="str">
        <x:v>Medium demersals (30 - 89 cm)</x:v>
      </x:c>
      <x:c r="H145" s="24" t="str">
        <x:v>Other fishes &amp; inverts</x:v>
      </x:c>
      <x:c r="I145" s="31" t="n">
        <x:v>16.0420774372</x:v>
      </x:c>
      <x:c r="J145" s="31" t="n">
        <x:v>15.9754080004</x:v>
      </x:c>
      <x:c r="K145" s="31" t="n">
        <x:v>0.0666694368</x:v>
      </x:c>
      <x:c r="L145" s="31" t="n">
        <x:v>7.7396854783</x:v>
      </x:c>
      <x:c r="M145" s="31" t="n">
        <x:v>8.3023919589</x:v>
      </x:c>
      <x:c r="N145" s="24" t="str">
        <x:v>ariidae</x:v>
      </x:c>
      <x:c r="O145" s="32" t="n">
        <x:v>3.48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Ariidae</x:v>
      </x:c>
      <x:c r="T145" s="32" t="n">
        <x:f>IF(O145="","",(1/'Metadata'!$B$5)^(O145-1))</x:f>
        <x:v>301.9951720402016</x:v>
      </x:c>
      <x:c r="U145" s="31" t="n">
        <x:f>IF(T145="","",I145*T145)</x:f>
        <x:v>4844.62993552945</x:v>
      </x:c>
    </x:row>
    <x:row r="146" ht="18" customHeight="1">
      <x:c r="A146" s="24" t="str">
        <x:v>EEZ_390</x:v>
      </x:c>
      <x:c r="B146" s="24" t="str">
        <x:v>Japan (main islands)</x:v>
      </x:c>
      <x:c r="C146" s="24" t="str">
        <x:v>EEZ</x:v>
      </x:c>
      <x:c r="D146" s="30" t="n">
        <x:v>2019</x:v>
      </x:c>
      <x:c r="E146" s="24" t="str">
        <x:v>Muraenidae</x:v>
      </x:c>
      <x:c r="F146" s="24" t="str">
        <x:v>Moray eels</x:v>
      </x:c>
      <x:c r="G146" s="24" t="str">
        <x:v>Large reef assoc. fish (&gt;=90 cm)</x:v>
      </x:c>
      <x:c r="H146" s="24" t="str">
        <x:v>Other fishes &amp; inverts</x:v>
      </x:c>
      <x:c r="I146" s="31" t="n">
        <x:v>12.7846100292</x:v>
      </x:c>
      <x:c r="J146" s="31" t="n">
        <x:v>0</x:v>
      </x:c>
      <x:c r="K146" s="31" t="n">
        <x:v>12.7846100292</x:v>
      </x:c>
      <x:c r="L146" s="31" t="n">
        <x:v>0</x:v>
      </x:c>
      <x:c r="M146" s="31" t="n">
        <x:v>12.7846100292</x:v>
      </x:c>
      <x:c r="N146" s="24" t="str">
        <x:v>muraenidae</x:v>
      </x:c>
      <x:c r="O146" s="32" t="n">
        <x:v>4.07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Muraenidae</x:v>
      </x:c>
      <x:c r="T146" s="32" t="n">
        <x:f>IF(O146="","",(1/'Metadata'!$B$5)^(O146-1))</x:f>
        <x:v>1174.8975549395302</x:v>
      </x:c>
      <x:c r="U146" s="31" t="n">
        <x:f>IF(T146="","",I146*T146)</x:f>
        <x:v>15020.607064162476</x:v>
      </x:c>
    </x:row>
    <x:row r="147" ht="18" customHeight="1">
      <x:c r="A147" s="24" t="str">
        <x:v>EEZ_390</x:v>
      </x:c>
      <x:c r="B147" s="24" t="str">
        <x:v>Japan (main islands)</x:v>
      </x:c>
      <x:c r="C147" s="24" t="str">
        <x:v>EEZ</x:v>
      </x:c>
      <x:c r="D147" s="30" t="n">
        <x:v>2019</x:v>
      </x:c>
      <x:c r="E147" s="24" t="str">
        <x:v>Nemipterus virgatus</x:v>
      </x:c>
      <x:c r="F147" s="24" t="str">
        <x:v>Golden threadfin bream</x:v>
      </x:c>
      <x:c r="G147" s="24" t="str">
        <x:v>Medium demersals (30 - 89 cm)</x:v>
      </x:c>
      <x:c r="H147" s="24" t="str">
        <x:v>Perch-likes</x:v>
      </x:c>
      <x:c r="I147" s="31" t="n">
        <x:v>11.469392838200001</x:v>
      </x:c>
      <x:c r="J147" s="31" t="n">
        <x:v>1.7150799626000002</x:v>
      </x:c>
      <x:c r="K147" s="31" t="n">
        <x:v>9.7543128756</x:v>
      </x:c>
      <x:c r="L147" s="31" t="n">
        <x:v>1.7150799626000002</x:v>
      </x:c>
      <x:c r="M147" s="31" t="n">
        <x:v>9.7543128756</x:v>
      </x:c>
      <x:c r="N147" s="24" t="str">
        <x:v>nemipterus virgatus</x:v>
      </x:c>
      <x:c r="O147" s="32" t="n">
        <x:v>3.99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Nemipterus virgatus</x:v>
      </x:c>
      <x:c r="T147" s="32" t="n">
        <x:f>IF(O147="","",(1/'Metadata'!$B$5)^(O147-1))</x:f>
        <x:v>977.2372209558112</x:v>
      </x:c>
      <x:c r="U147" s="31" t="n">
        <x:f>IF(T147="","",I147*T147)</x:f>
        <x:v>11208.317583253052</x:v>
      </x:c>
    </x:row>
    <x:row r="148" ht="18" customHeight="1">
      <x:c r="A148" s="24" t="str">
        <x:v>EEZ_390</x:v>
      </x:c>
      <x:c r="B148" s="24" t="str">
        <x:v>Japan (main islands)</x:v>
      </x:c>
      <x:c r="C148" s="24" t="str">
        <x:v>EEZ</x:v>
      </x:c>
      <x:c r="D148" s="30" t="n">
        <x:v>2019</x:v>
      </x:c>
      <x:c r="E148" s="24" t="str">
        <x:v>Magallana gigas</x:v>
      </x:c>
      <x:c r="F148" s="24" t="str">
        <x:v>Pacific cupped oyster</x:v>
      </x:c>
      <x:c r="G148" s="24" t="str">
        <x:v>Other demersal invertebrates</x:v>
      </x:c>
      <x:c r="H148" s="24" t="str">
        <x:v>Molluscs</x:v>
      </x:c>
      <x:c r="I148" s="31" t="n">
        <x:v>11.444719481</x:v>
      </x:c>
      <x:c r="J148" s="31" t="n">
        <x:v>11.444719481</x:v>
      </x:c>
      <x:c r="K148" s="31" t="n">
        <x:v>0</x:v>
      </x:c>
      <x:c r="L148" s="31" t="n">
        <x:v>0</x:v>
      </x:c>
      <x:c r="M148" s="31" t="n">
        <x:v>11.444719481</x:v>
      </x:c>
      <x:c r="N148" s="24" t="str">
        <x:v>magallana gigas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Magallana gigas</x:v>
      </x:c>
      <x:c r="T148" s="32" t="n">
        <x:f>IF(O148="","",(1/'Metadata'!$B$5)^(O148-1))</x:f>
        <x:v>10</x:v>
      </x:c>
      <x:c r="U148" s="31" t="n">
        <x:f>IF(T148="","",I148*T148)</x:f>
        <x:v>114.44719481</x:v>
      </x:c>
    </x:row>
    <x:row r="149" ht="18" customHeight="1">
      <x:c r="A149" s="24" t="str">
        <x:v>EEZ_390</x:v>
      </x:c>
      <x:c r="B149" s="24" t="str">
        <x:v>Japan (main islands)</x:v>
      </x:c>
      <x:c r="C149" s="24" t="str">
        <x:v>EEZ</x:v>
      </x:c>
      <x:c r="D149" s="30" t="n">
        <x:v>2019</x:v>
      </x:c>
      <x:c r="E149" s="24" t="str">
        <x:v>Pampus argenteus</x:v>
      </x:c>
      <x:c r="F149" s="24" t="str">
        <x:v>Silver pomfret</x:v>
      </x:c>
      <x:c r="G149" s="24" t="str">
        <x:v>Medium benthopelagics (30 - 89 cm)</x:v>
      </x:c>
      <x:c r="H149" s="24" t="str">
        <x:v>Perch-likes</x:v>
      </x:c>
      <x:c r="I149" s="31" t="n">
        <x:v>10.9196695293</x:v>
      </x:c>
      <x:c r="J149" s="31" t="n">
        <x:v>10.9196695293</x:v>
      </x:c>
      <x:c r="K149" s="31" t="n">
        <x:v>0</x:v>
      </x:c>
      <x:c r="L149" s="31" t="n">
        <x:v>7.680364377</x:v>
      </x:c>
      <x:c r="M149" s="31" t="n">
        <x:v>3.2393051523</x:v>
      </x:c>
      <x:c r="N149" s="24" t="str">
        <x:v>pampus argenteus</x:v>
      </x:c>
      <x:c r="O149" s="32" t="n">
        <x:v>3.3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Pampus argenteus</x:v>
      </x:c>
      <x:c r="T149" s="32" t="n">
        <x:f>IF(O149="","",(1/'Metadata'!$B$5)^(O149-1))</x:f>
        <x:v>199.52623149688787</x:v>
      </x:c>
      <x:c r="U149" s="31" t="n">
        <x:f>IF(T149="","",I149*T149)</x:f>
        <x:v>2178.7605103726246</x:v>
      </x:c>
    </x:row>
    <x:row r="150" ht="18" customHeight="1">
      <x:c r="A150" s="24" t="str">
        <x:v>EEZ_390</x:v>
      </x:c>
      <x:c r="B150" s="24" t="str">
        <x:v>Japan (main islands)</x:v>
      </x:c>
      <x:c r="C150" s="24" t="str">
        <x:v>EEZ</x:v>
      </x:c>
      <x:c r="D150" s="30" t="n">
        <x:v>2019</x:v>
      </x:c>
      <x:c r="E150" s="24" t="str">
        <x:v>Saurida</x:v>
      </x:c>
      <x:c r="F150" s="24" t="str">
        <x:v>Lizardfishes</x:v>
      </x:c>
      <x:c r="G150" s="24" t="str">
        <x:v>Medium demersals (30 - 89 cm)</x:v>
      </x:c>
      <x:c r="H150" s="24" t="str">
        <x:v>Other fishes &amp; inverts</x:v>
      </x:c>
      <x:c r="I150" s="31" t="n">
        <x:v>9.0247364121</x:v>
      </x:c>
      <x:c r="J150" s="31" t="n">
        <x:v>0</x:v>
      </x:c>
      <x:c r="K150" s="31" t="n">
        <x:v>9.0247364121</x:v>
      </x:c>
      <x:c r="L150" s="31" t="n">
        <x:v>0</x:v>
      </x:c>
      <x:c r="M150" s="31" t="n">
        <x:v>9.0247364121</x:v>
      </x:c>
      <x:c r="N150" s="24" t="str">
        <x:v>saurida</x:v>
      </x:c>
      <x:c r="O150" s="32" t="n">
        <x:v>4.35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Saurida</x:v>
      </x:c>
      <x:c r="T150" s="32" t="n">
        <x:f>IF(O150="","",(1/'Metadata'!$B$5)^(O150-1))</x:f>
        <x:v>2238.7211385683377</x:v>
      </x:c>
      <x:c r="U150" s="31" t="n">
        <x:f>IF(T150="","",I150*T150)</x:f>
        <x:v>20203.868175775646</x:v>
      </x:c>
    </x:row>
    <x:row r="151" ht="18" customHeight="1">
      <x:c r="A151" s="24" t="str">
        <x:v>EEZ_390</x:v>
      </x:c>
      <x:c r="B151" s="24" t="str">
        <x:v>Japan (main islands)</x:v>
      </x:c>
      <x:c r="C151" s="24" t="str">
        <x:v>EEZ</x:v>
      </x:c>
      <x:c r="D151" s="30" t="n">
        <x:v>2019</x:v>
      </x:c>
      <x:c r="E151" s="24" t="str">
        <x:v>Carcharhinus longimanus</x:v>
      </x:c>
      <x:c r="F151" s="24" t="str">
        <x:v>Oceanic whitetip shark</x:v>
      </x:c>
      <x:c r="G151" s="24" t="str">
        <x:v>Large sharks (&gt;=90 cm)</x:v>
      </x:c>
      <x:c r="H151" s="24" t="str">
        <x:v>Sharks &amp; rays</x:v>
      </x:c>
      <x:c r="I151" s="31" t="n">
        <x:v>8.0571584159</x:v>
      </x:c>
      <x:c r="J151" s="31" t="n">
        <x:v>0.1520482228</x:v>
      </x:c>
      <x:c r="K151" s="31" t="n">
        <x:v>7.9051101931</x:v>
      </x:c>
      <x:c r="L151" s="31" t="n">
        <x:v>0.1520482228</x:v>
      </x:c>
      <x:c r="M151" s="31" t="n">
        <x:v>7.9051101931</x:v>
      </x:c>
      <x:c r="N151" s="24" t="str">
        <x:v>carcharhinus longimanus</x:v>
      </x:c>
      <x:c r="O151" s="32" t="n">
        <x:v>4.16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Carcharhinus longimanus</x:v>
      </x:c>
      <x:c r="T151" s="32" t="n">
        <x:f>IF(O151="","",(1/'Metadata'!$B$5)^(O151-1))</x:f>
        <x:v>1445.439770745928</x:v>
      </x:c>
      <x:c r="U151" s="31" t="n">
        <x:f>IF(T151="","",I151*T151)</x:f>
        <x:v>11646.13721354212</x:v>
      </x:c>
    </x:row>
    <x:row r="152" ht="18" customHeight="1">
      <x:c r="A152" s="24" t="str">
        <x:v>EEZ_390</x:v>
      </x:c>
      <x:c r="B152" s="24" t="str">
        <x:v>Japan (main islands)</x:v>
      </x:c>
      <x:c r="C152" s="24" t="str">
        <x:v>EEZ</x:v>
      </x:c>
      <x:c r="D152" s="30" t="n">
        <x:v>2019</x:v>
      </x:c>
      <x:c r="E152" s="24" t="str">
        <x:v>Mullidae</x:v>
      </x:c>
      <x:c r="F152" s="24" t="str">
        <x:v>Goatfishes</x:v>
      </x:c>
      <x:c r="G152" s="24" t="str">
        <x:v>Medium reef assoc. fish (30 - 89 cm)</x:v>
      </x:c>
      <x:c r="H152" s="24" t="str">
        <x:v>Perch-likes</x:v>
      </x:c>
      <x:c r="I152" s="31" t="n">
        <x:v>7.7843267889000005</x:v>
      </x:c>
      <x:c r="J152" s="31" t="n">
        <x:v>7.7843267889000005</x:v>
      </x:c>
      <x:c r="K152" s="31" t="n">
        <x:v>0</x:v>
      </x:c>
      <x:c r="L152" s="31" t="n">
        <x:v>6.3167511315</x:v>
      </x:c>
      <x:c r="M152" s="31" t="n">
        <x:v>1.4675756574</x:v>
      </x:c>
      <x:c r="N152" s="24" t="str">
        <x:v>mullidae</x:v>
      </x:c>
      <x:c r="O152" s="32" t="n">
        <x:v>3.46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Mullidae</x:v>
      </x:c>
      <x:c r="T152" s="32" t="n">
        <x:f>IF(O152="","",(1/'Metadata'!$B$5)^(O152-1))</x:f>
        <x:v>288.40315031266056</x:v>
      </x:c>
      <x:c r="U152" s="31" t="n">
        <x:f>IF(T152="","",I152*T152)</x:f>
        <x:v>2245.024368981997</x:v>
      </x:c>
    </x:row>
    <x:row r="153" ht="18" customHeight="1">
      <x:c r="A153" s="24" t="str">
        <x:v>EEZ_390</x:v>
      </x:c>
      <x:c r="B153" s="24" t="str">
        <x:v>Japan (main islands)</x:v>
      </x:c>
      <x:c r="C153" s="24" t="str">
        <x:v>EEZ</x:v>
      </x:c>
      <x:c r="D153" s="30" t="n">
        <x:v>2019</x:v>
      </x:c>
      <x:c r="E153" s="24" t="str">
        <x:v>Scaridae</x:v>
      </x:c>
      <x:c r="F153" s="24" t="str">
        <x:v>Parrotfishes</x:v>
      </x:c>
      <x:c r="G153" s="24" t="str">
        <x:v>Medium reef assoc. fish (30 - 89 cm)</x:v>
      </x:c>
      <x:c r="H153" s="24" t="str">
        <x:v>Perch-likes</x:v>
      </x:c>
      <x:c r="I153" s="31" t="n">
        <x:v>7.0233698239</x:v>
      </x:c>
      <x:c r="J153" s="31" t="n">
        <x:v>7.0233698239</x:v>
      </x:c>
      <x:c r="K153" s="31" t="n">
        <x:v>0</x:v>
      </x:c>
      <x:c r="L153" s="31" t="n">
        <x:v>2.7278623128</x:v>
      </x:c>
      <x:c r="M153" s="31" t="n">
        <x:v>4.2955075111</x:v>
      </x:c>
      <x:c r="N153" s="24" t="str">
        <x:v>scaridae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Scaridae</x:v>
      </x:c>
      <x:c r="T153" s="32" t="n">
        <x:f>IF(O153="","",(1/'Metadata'!$B$5)^(O153-1))</x:f>
        <x:v>10</x:v>
      </x:c>
      <x:c r="U153" s="31" t="n">
        <x:f>IF(T153="","",I153*T153)</x:f>
        <x:v>70.233698239</x:v>
      </x:c>
    </x:row>
    <x:row r="154" ht="18" customHeight="1">
      <x:c r="A154" s="24" t="str">
        <x:v>EEZ_390</x:v>
      </x:c>
      <x:c r="B154" s="24" t="str">
        <x:v>Japan (main islands)</x:v>
      </x:c>
      <x:c r="C154" s="24" t="str">
        <x:v>EEZ</x:v>
      </x:c>
      <x:c r="D154" s="30" t="n">
        <x:v>2019</x:v>
      </x:c>
      <x:c r="E154" s="24" t="str">
        <x:v>Clupanodon thrissa</x:v>
      </x:c>
      <x:c r="F154" s="24" t="str">
        <x:v>Chinese gizzard shad</x:v>
      </x:c>
      <x:c r="G154" s="24" t="str">
        <x:v>Small pelagics (&lt;30 cm)</x:v>
      </x:c>
      <x:c r="H154" s="24" t="str">
        <x:v>Herring-likes</x:v>
      </x:c>
      <x:c r="I154" s="31" t="n">
        <x:v>6.076753882399999</x:v>
      </x:c>
      <x:c r="J154" s="31" t="n">
        <x:v>6.076753882399999</x:v>
      </x:c>
      <x:c r="K154" s="31" t="n">
        <x:v>0</x:v>
      </x:c>
      <x:c r="L154" s="31" t="n">
        <x:v>6.074919921899999</x:v>
      </x:c>
      <x:c r="M154" s="31" t="n">
        <x:v>0.0018339604999999999</x:v>
      </x:c>
      <x:c r="N154" s="24" t="str">
        <x:v>clupanodon thrissa</x:v>
      </x:c>
      <x:c r="O154" s="32" t="n">
        <x:v>3.01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Clupanodon thrissa</x:v>
      </x:c>
      <x:c r="T154" s="32" t="n">
        <x:f>IF(O154="","",(1/'Metadata'!$B$5)^(O154-1))</x:f>
        <x:v>102.32929922807536</x:v>
      </x:c>
      <x:c r="U154" s="31" t="n">
        <x:f>IF(T154="","",I154*T154)</x:f>
        <x:v>621.8299663674782</x:v>
      </x:c>
    </x:row>
    <x:row r="155" ht="18" customHeight="1">
      <x:c r="A155" s="24" t="str">
        <x:v>EEZ_390</x:v>
      </x:c>
      <x:c r="B155" s="24" t="str">
        <x:v>Japan (main islands)</x:v>
      </x:c>
      <x:c r="C155" s="24" t="str">
        <x:v>EEZ</x:v>
      </x:c>
      <x:c r="D155" s="30" t="n">
        <x:v>2019</x:v>
      </x:c>
      <x:c r="E155" s="24" t="str">
        <x:v>Rachycentron canadum</x:v>
      </x:c>
      <x:c r="F155" s="24" t="str">
        <x:v>Cobia</x:v>
      </x:c>
      <x:c r="G155" s="24" t="str">
        <x:v>Large pelagics (&gt;=90 cm)</x:v>
      </x:c>
      <x:c r="H155" s="24" t="str">
        <x:v>Perch-likes</x:v>
      </x:c>
      <x:c r="I155" s="31" t="n">
        <x:v>6.0199834098</x:v>
      </x:c>
      <x:c r="J155" s="31" t="n">
        <x:v>3.2400844161999998</x:v>
      </x:c>
      <x:c r="K155" s="31" t="n">
        <x:v>2.7798989936</x:v>
      </x:c>
      <x:c r="L155" s="31" t="n">
        <x:v>3.2400844161999998</x:v>
      </x:c>
      <x:c r="M155" s="31" t="n">
        <x:v>2.7798989936</x:v>
      </x:c>
      <x:c r="N155" s="24" t="str">
        <x:v>rachycentron canadum</x:v>
      </x:c>
      <x:c r="O155" s="32" t="n">
        <x:v>3.96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Rachycentron canadum</x:v>
      </x:c>
      <x:c r="T155" s="32" t="n">
        <x:f>IF(O155="","",(1/'Metadata'!$B$5)^(O155-1))</x:f>
        <x:v>912.0108393559096</x:v>
      </x:c>
      <x:c r="U155" s="31" t="n">
        <x:f>IF(T155="","",I155*T155)</x:f>
        <x:v>5490.290122480349</x:v>
      </x:c>
    </x:row>
    <x:row r="156" ht="18" customHeight="1">
      <x:c r="A156" s="24" t="str">
        <x:v>EEZ_390</x:v>
      </x:c>
      <x:c r="B156" s="24" t="str">
        <x:v>Japan (main islands)</x:v>
      </x:c>
      <x:c r="C156" s="24" t="str">
        <x:v>EEZ</x:v>
      </x:c>
      <x:c r="D156" s="30" t="n">
        <x:v>2019</x:v>
      </x:c>
      <x:c r="E156" s="24" t="str">
        <x:v>Octopodidae</x:v>
      </x:c>
      <x:c r="F156" s="24" t="str">
        <x:v>Octopuses</x:v>
      </x:c>
      <x:c r="G156" s="24" t="str">
        <x:v>Cephalopods</x:v>
      </x:c>
      <x:c r="H156" s="24" t="str">
        <x:v>Other fishes &amp; inverts</x:v>
      </x:c>
      <x:c r="I156" s="31" t="n">
        <x:v>5.935505285800001</x:v>
      </x:c>
      <x:c r="J156" s="31" t="n">
        <x:v>5.9013303393</x:v>
      </x:c>
      <x:c r="K156" s="31" t="n">
        <x:v>0.034174946500000004</x:v>
      </x:c>
      <x:c r="L156" s="31" t="n">
        <x:v>5.9013303393</x:v>
      </x:c>
      <x:c r="M156" s="31" t="n">
        <x:v>0.034174946500000004</x:v>
      </x:c>
      <x:c r="N156" s="24" t="str">
        <x:v>octopodidae</x:v>
      </x:c>
      <x:c r="O156" s="32" t="n">
        <x:v>3.59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Octopodidae</x:v>
      </x:c>
      <x:c r="T156" s="32" t="n">
        <x:f>IF(O156="","",(1/'Metadata'!$B$5)^(O156-1))</x:f>
        <x:v>389.04514499428046</x:v>
      </x:c>
      <x:c r="U156" s="31" t="n">
        <x:f>IF(T156="","",I156*T156)</x:f>
        <x:v>2309.1795145283795</x:v>
      </x:c>
    </x:row>
    <x:row r="157" ht="18" customHeight="1">
      <x:c r="A157" s="24" t="str">
        <x:v>EEZ_390</x:v>
      </x:c>
      <x:c r="B157" s="24" t="str">
        <x:v>Japan (main islands)</x:v>
      </x:c>
      <x:c r="C157" s="24" t="str">
        <x:v>EEZ</x:v>
      </x:c>
      <x:c r="D157" s="30" t="n">
        <x:v>2019</x:v>
      </x:c>
      <x:c r="E157" s="24" t="str">
        <x:v>Acanthocybium solandri</x:v>
      </x:c>
      <x:c r="F157" s="24" t="str">
        <x:v>Wahoo</x:v>
      </x:c>
      <x:c r="G157" s="24" t="str">
        <x:v>Large pelagics (&gt;=90 cm)</x:v>
      </x:c>
      <x:c r="H157" s="24" t="str">
        <x:v>Perch-likes</x:v>
      </x:c>
      <x:c r="I157" s="31" t="n">
        <x:v>5.6326101487999995</x:v>
      </x:c>
      <x:c r="J157" s="31" t="n">
        <x:v>0</x:v>
      </x:c>
      <x:c r="K157" s="31" t="n">
        <x:v>5.6326101487999995</x:v>
      </x:c>
      <x:c r="L157" s="31" t="n">
        <x:v>0</x:v>
      </x:c>
      <x:c r="M157" s="31" t="n">
        <x:v>5.6326101487999995</x:v>
      </x:c>
      <x:c r="N157" s="24" t="str">
        <x:v>acanthocybium solandri</x:v>
      </x:c>
      <x:c r="O157" s="32" t="n">
        <x:v>4.26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Acanthocybium solandri</x:v>
      </x:c>
      <x:c r="T157" s="32" t="n">
        <x:f>IF(O157="","",(1/'Metadata'!$B$5)^(O157-1))</x:f>
        <x:v>1819.7008586099826</x:v>
      </x:c>
      <x:c r="U157" s="31" t="n">
        <x:f>IF(T157="","",I157*T157)</x:f>
        <x:v>10249.665523986661</x:v>
      </x:c>
    </x:row>
    <x:row r="158" ht="18" customHeight="1">
      <x:c r="A158" s="24" t="str">
        <x:v>EEZ_390</x:v>
      </x:c>
      <x:c r="B158" s="24" t="str">
        <x:v>Japan (main islands)</x:v>
      </x:c>
      <x:c r="C158" s="24" t="str">
        <x:v>EEZ</x:v>
      </x:c>
      <x:c r="D158" s="30" t="n">
        <x:v>2019</x:v>
      </x:c>
      <x:c r="E158" s="24" t="str">
        <x:v>Chanos chanos</x:v>
      </x:c>
      <x:c r="F158" s="24" t="str">
        <x:v>Milkfish</x:v>
      </x:c>
      <x:c r="G158" s="24" t="str">
        <x:v>Large benthopelagics (&gt;=90 cm)</x:v>
      </x:c>
      <x:c r="H158" s="24" t="str">
        <x:v>Other fishes &amp; inverts</x:v>
      </x:c>
      <x:c r="I158" s="31" t="n">
        <x:v>5.2527094594</x:v>
      </x:c>
      <x:c r="J158" s="31" t="n">
        <x:v>5.2527094594</x:v>
      </x:c>
      <x:c r="K158" s="31" t="n">
        <x:v>0</x:v>
      </x:c>
      <x:c r="L158" s="31" t="n">
        <x:v>3.0734653999</x:v>
      </x:c>
      <x:c r="M158" s="31" t="n">
        <x:v>2.1792440595</x:v>
      </x:c>
      <x:c r="N158" s="24" t="str">
        <x:v>chanos chanos</x:v>
      </x:c>
      <x:c r="O158" s="32" t="n">
        <x:v>2.03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Chanos chanos</x:v>
      </x:c>
      <x:c r="T158" s="32" t="n">
        <x:f>IF(O158="","",(1/'Metadata'!$B$5)^(O158-1))</x:f>
        <x:v>10.71519305237606</x:v>
      </x:c>
      <x:c r="U158" s="31" t="n">
        <x:f>IF(T158="","",I158*T158)</x:f>
        <x:v>56.28379590551289</x:v>
      </x:c>
    </x:row>
    <x:row r="159" ht="18" customHeight="1">
      <x:c r="A159" s="24" t="str">
        <x:v>EEZ_390</x:v>
      </x:c>
      <x:c r="B159" s="24" t="str">
        <x:v>Japan (main islands)</x:v>
      </x:c>
      <x:c r="C159" s="24" t="str">
        <x:v>EEZ</x:v>
      </x:c>
      <x:c r="D159" s="30" t="n">
        <x:v>2019</x:v>
      </x:c>
      <x:c r="E159" s="24" t="str">
        <x:v>Alopias</x:v>
      </x:c>
      <x:c r="F159" s="24" t="str">
        <x:v>Thresher sharks</x:v>
      </x:c>
      <x:c r="G159" s="24" t="str">
        <x:v>Large sharks (&gt;=90 cm)</x:v>
      </x:c>
      <x:c r="H159" s="24" t="str">
        <x:v>Sharks &amp; rays</x:v>
      </x:c>
      <x:c r="I159" s="31" t="n">
        <x:v>4.3118478908</x:v>
      </x:c>
      <x:c r="J159" s="31" t="n">
        <x:v>2.3869738907</x:v>
      </x:c>
      <x:c r="K159" s="31" t="n">
        <x:v>1.9248740001</x:v>
      </x:c>
      <x:c r="L159" s="31" t="n">
        <x:v>2.3869738907</x:v>
      </x:c>
      <x:c r="M159" s="31" t="n">
        <x:v>1.9248740001</x:v>
      </x:c>
      <x:c r="N159" s="24" t="str">
        <x:v>alopias</x:v>
      </x:c>
      <x:c r="O159" s="32" t="n">
        <x:v>4.5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Alopias</x:v>
      </x:c>
      <x:c r="T159" s="32" t="n">
        <x:f>IF(O159="","",(1/'Metadata'!$B$5)^(O159-1))</x:f>
        <x:v>3162.2776601683795</x:v>
      </x:c>
      <x:c r="U159" s="31" t="n">
        <x:f>IF(T159="","",I159*T159)</x:f>
        <x:v>13635.260259120987</x:v>
      </x:c>
    </x:row>
    <x:row r="160" ht="18" customHeight="1">
      <x:c r="A160" s="24" t="str">
        <x:v>EEZ_390</x:v>
      </x:c>
      <x:c r="B160" s="24" t="str">
        <x:v>Japan (main islands)</x:v>
      </x:c>
      <x:c r="C160" s="24" t="str">
        <x:v>EEZ</x:v>
      </x:c>
      <x:c r="D160" s="30" t="n">
        <x:v>2019</x:v>
      </x:c>
      <x:c r="E160" s="24" t="str">
        <x:v>Spratelloides gracilis</x:v>
      </x:c>
      <x:c r="F160" s="24" t="str">
        <x:v>Silver-stripe round herring</x:v>
      </x:c>
      <x:c r="G160" s="24" t="str">
        <x:v>Small pelagics (&lt;30 cm)</x:v>
      </x:c>
      <x:c r="H160" s="24" t="str">
        <x:v>Herring-likes</x:v>
      </x:c>
      <x:c r="I160" s="31" t="n">
        <x:v>2.9041290840999996</x:v>
      </x:c>
      <x:c r="J160" s="31" t="n">
        <x:v>2.9041290840999996</x:v>
      </x:c>
      <x:c r="K160" s="31" t="n">
        <x:v>0</x:v>
      </x:c>
      <x:c r="L160" s="31" t="n">
        <x:v>2.9041290840999996</x:v>
      </x:c>
      <x:c r="M160" s="31" t="n">
        <x:v>0</x:v>
      </x:c>
      <x:c r="N160" s="24" t="str">
        <x:v>spratelloides gracilis</x:v>
      </x:c>
      <x:c r="O160" s="32" t="n">
        <x:v>3.06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Spratelloides gracilis</x:v>
      </x:c>
      <x:c r="T160" s="32" t="n">
        <x:f>IF(O160="","",(1/'Metadata'!$B$5)^(O160-1))</x:f>
        <x:v>114.81536214968828</x:v>
      </x:c>
      <x:c r="U160" s="31" t="n">
        <x:f>IF(T160="","",I160*T160)</x:f>
        <x:v>333.438632520384</x:v>
      </x:c>
    </x:row>
    <x:row r="161" ht="18" customHeight="1">
      <x:c r="A161" s="24" t="str">
        <x:v>EEZ_390</x:v>
      </x:c>
      <x:c r="B161" s="24" t="str">
        <x:v>Japan (main islands)</x:v>
      </x:c>
      <x:c r="C161" s="24" t="str">
        <x:v>EEZ</x:v>
      </x:c>
      <x:c r="D161" s="30" t="n">
        <x:v>2019</x:v>
      </x:c>
      <x:c r="E161" s="24" t="str">
        <x:v>Decapterus russelli</x:v>
      </x:c>
      <x:c r="F161" s="24" t="str">
        <x:v>Indian scad</x:v>
      </x:c>
      <x:c r="G161" s="24" t="str">
        <x:v>Medium pelagics (30 - 89 cm)</x:v>
      </x:c>
      <x:c r="H161" s="24" t="str">
        <x:v>Perch-likes</x:v>
      </x:c>
      <x:c r="I161" s="31" t="n">
        <x:v>2.5577544368</x:v>
      </x:c>
      <x:c r="J161" s="31" t="n">
        <x:v>2.5577544368</x:v>
      </x:c>
      <x:c r="K161" s="31" t="n">
        <x:v>0</x:v>
      </x:c>
      <x:c r="L161" s="31" t="n">
        <x:v>0</x:v>
      </x:c>
      <x:c r="M161" s="31" t="n">
        <x:v>2.5577544368</x:v>
      </x:c>
      <x:c r="N161" s="24" t="str">
        <x:v>decapterus russelli</x:v>
      </x:c>
      <x:c r="O161" s="32" t="n">
        <x:v>3.68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Decapterus russelli</x:v>
      </x:c>
      <x:c r="T161" s="32" t="n">
        <x:f>IF(O161="","",(1/'Metadata'!$B$5)^(O161-1))</x:f>
        <x:v>478.6300923226385</x:v>
      </x:c>
      <x:c r="U161" s="31" t="n">
        <x:f>IF(T161="","",I161*T161)</x:f>
        <x:v>1224.2182422242222</x:v>
      </x:c>
    </x:row>
    <x:row r="162" ht="18" customHeight="1">
      <x:c r="A162" s="24" t="str">
        <x:v>EEZ_390</x:v>
      </x:c>
      <x:c r="B162" s="24" t="str">
        <x:v>Japan (main islands)</x:v>
      </x:c>
      <x:c r="C162" s="24" t="str">
        <x:v>EEZ</x:v>
      </x:c>
      <x:c r="D162" s="30" t="n">
        <x:v>2019</x:v>
      </x:c>
      <x:c r="E162" s="24" t="str">
        <x:v>Polydactylus sexfilis</x:v>
      </x:c>
      <x:c r="F162" s="24" t="str">
        <x:v>Sixfinger threadfin</x:v>
      </x:c>
      <x:c r="G162" s="24" t="str">
        <x:v>Medium demersals (30 - 89 cm)</x:v>
      </x:c>
      <x:c r="H162" s="24" t="str">
        <x:v>Perch-likes</x:v>
      </x:c>
      <x:c r="I162" s="31" t="n">
        <x:v>2.3513976943</x:v>
      </x:c>
      <x:c r="J162" s="31" t="n">
        <x:v>0</x:v>
      </x:c>
      <x:c r="K162" s="31" t="n">
        <x:v>2.3513976943</x:v>
      </x:c>
      <x:c r="L162" s="31" t="n">
        <x:v>0</x:v>
      </x:c>
      <x:c r="M162" s="31" t="n">
        <x:v>2.3513976943</x:v>
      </x:c>
      <x:c r="N162" s="24" t="str">
        <x:v>polydactylus sexfilis</x:v>
      </x:c>
      <x:c r="O162" s="32" t="n">
        <x:v>3.43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Polydactylus sexfilis</x:v>
      </x:c>
      <x:c r="T162" s="32" t="n">
        <x:f>IF(O162="","",(1/'Metadata'!$B$5)^(O162-1))</x:f>
        <x:v>269.1534803926917</x:v>
      </x:c>
      <x:c r="U162" s="31" t="n">
        <x:f>IF(T162="","",I162*T162)</x:f>
        <x:v>632.8868732081955</x:v>
      </x:c>
    </x:row>
    <x:row r="163" ht="18" customHeight="1">
      <x:c r="A163" s="24" t="str">
        <x:v>EEZ_390</x:v>
      </x:c>
      <x:c r="B163" s="24" t="str">
        <x:v>Japan (main islands)</x:v>
      </x:c>
      <x:c r="C163" s="24" t="str">
        <x:v>EEZ</x:v>
      </x:c>
      <x:c r="D163" s="30" t="n">
        <x:v>2019</x:v>
      </x:c>
      <x:c r="E163" s="24" t="str">
        <x:v>Scylla serrata</x:v>
      </x:c>
      <x:c r="F163" s="24" t="str">
        <x:v>Indo-Pacific swamp crab</x:v>
      </x:c>
      <x:c r="G163" s="24" t="str">
        <x:v>Lobsters, crabs</x:v>
      </x:c>
      <x:c r="H163" s="24" t="str">
        <x:v>Crustaceans</x:v>
      </x:c>
      <x:c r="I163" s="31" t="n">
        <x:v>2.0040918079</x:v>
      </x:c>
      <x:c r="J163" s="31" t="n">
        <x:v>2.0040918079</x:v>
      </x:c>
      <x:c r="K163" s="31" t="n">
        <x:v>0</x:v>
      </x:c>
      <x:c r="L163" s="31" t="n">
        <x:v>0.6843633501</x:v>
      </x:c>
      <x:c r="M163" s="31" t="n">
        <x:v>1.3197284578</x:v>
      </x:c>
      <x:c r="N163" s="24" t="str">
        <x:v>scylla serrata</x:v>
      </x:c>
      <x:c r="O163" s="32" t="n">
        <x:v>3.17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Scylla serrata</x:v>
      </x:c>
      <x:c r="T163" s="32" t="n">
        <x:f>IF(O163="","",(1/'Metadata'!$B$5)^(O163-1))</x:f>
        <x:v>147.91083881682073</x:v>
      </x:c>
      <x:c r="U163" s="31" t="n">
        <x:f>IF(T163="","",I163*T163)</x:f>
        <x:v>296.4269003724078</x:v>
      </x:c>
    </x:row>
    <x:row r="164" ht="18" customHeight="1">
      <x:c r="A164" s="24" t="str">
        <x:v>EEZ_390</x:v>
      </x:c>
      <x:c r="B164" s="24" t="str">
        <x:v>Japan (main islands)</x:v>
      </x:c>
      <x:c r="C164" s="24" t="str">
        <x:v>EEZ</x:v>
      </x:c>
      <x:c r="D164" s="30" t="n">
        <x:v>2019</x:v>
      </x:c>
      <x:c r="E164" s="24" t="str">
        <x:v>Scomberomorus guttatus</x:v>
      </x:c>
      <x:c r="F164" s="24" t="str">
        <x:v>Indo-Pacific king mackerel</x:v>
      </x:c>
      <x:c r="G164" s="24" t="str">
        <x:v>Medium pelagics (30 - 89 cm)</x:v>
      </x:c>
      <x:c r="H164" s="24" t="str">
        <x:v>Perch-likes</x:v>
      </x:c>
      <x:c r="I164" s="31" t="n">
        <x:v>1.9447959207</x:v>
      </x:c>
      <x:c r="J164" s="31" t="n">
        <x:v>1.9447959207</x:v>
      </x:c>
      <x:c r="K164" s="31" t="n">
        <x:v>0</x:v>
      </x:c>
      <x:c r="L164" s="31" t="n">
        <x:v>1.2093505248</x:v>
      </x:c>
      <x:c r="M164" s="31" t="n">
        <x:v>0.7354453959</x:v>
      </x:c>
      <x:c r="N164" s="24" t="str">
        <x:v>scomberomorus guttatus</x:v>
      </x:c>
      <x:c r="O164" s="32" t="n">
        <x:v>4.28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Scomberomorus guttatus</x:v>
      </x:c>
      <x:c r="T164" s="32" t="n">
        <x:f>IF(O164="","",(1/'Metadata'!$B$5)^(O164-1))</x:f>
        <x:v>1905.4607179632483</x:v>
      </x:c>
      <x:c r="U164" s="31" t="n">
        <x:f>IF(T164="","",I164*T164)</x:f>
        <x:v>3705.7322313490185</x:v>
      </x:c>
    </x:row>
    <x:row r="165" ht="18" customHeight="1">
      <x:c r="A165" s="24" t="str">
        <x:v>EEZ_390</x:v>
      </x:c>
      <x:c r="B165" s="24" t="str">
        <x:v>Japan (main islands)</x:v>
      </x:c>
      <x:c r="C165" s="24" t="str">
        <x:v>EEZ</x:v>
      </x:c>
      <x:c r="D165" s="30" t="n">
        <x:v>2019</x:v>
      </x:c>
      <x:c r="E165" s="24" t="str">
        <x:v>Sphyrna</x:v>
      </x:c>
      <x:c r="F165" s="24" t="str">
        <x:v>Hammerhead sharks</x:v>
      </x:c>
      <x:c r="G165" s="24" t="str">
        <x:v>Large sharks (&gt;=90 cm)</x:v>
      </x:c>
      <x:c r="H165" s="24" t="str">
        <x:v>Sharks &amp; rays</x:v>
      </x:c>
      <x:c r="I165" s="31" t="n">
        <x:v>1.2412393092</x:v>
      </x:c>
      <x:c r="J165" s="31" t="n">
        <x:v>1.2412393092</x:v>
      </x:c>
      <x:c r="K165" s="31" t="n">
        <x:v>0</x:v>
      </x:c>
      <x:c r="L165" s="31" t="n">
        <x:v>1.2412393092</x:v>
      </x:c>
      <x:c r="M165" s="31" t="n">
        <x:v>0</x:v>
      </x:c>
      <x:c r="N165" s="24" t="str">
        <x:v>sphyrna</x:v>
      </x:c>
      <x:c r="O165" s="32" t="n">
        <x:v>4.2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Sphyrna</x:v>
      </x:c>
      <x:c r="T165" s="32" t="n">
        <x:f>IF(O165="","",(1/'Metadata'!$B$5)^(O165-1))</x:f>
        <x:v>1584.893192461114</x:v>
      </x:c>
      <x:c r="U165" s="31" t="n">
        <x:f>IF(T165="","",I165*T165)</x:f>
        <x:v>1967.2317313662159</x:v>
      </x:c>
    </x:row>
    <x:row r="166" ht="18" customHeight="1">
      <x:c r="A166" s="24" t="str">
        <x:v>EEZ_390</x:v>
      </x:c>
      <x:c r="B166" s="24" t="str">
        <x:v>Japan (main islands)</x:v>
      </x:c>
      <x:c r="C166" s="24" t="str">
        <x:v>EEZ</x:v>
      </x:c>
      <x:c r="D166" s="30" t="n">
        <x:v>2019</x:v>
      </x:c>
      <x:c r="E166" s="24" t="str">
        <x:v>Lethrinus miniatus</x:v>
      </x:c>
      <x:c r="F166" s="24" t="str">
        <x:v>Trumpet emperor</x:v>
      </x:c>
      <x:c r="G166" s="24" t="str">
        <x:v>Medium reef assoc. fish (30 - 89 cm)</x:v>
      </x:c>
      <x:c r="H166" s="24" t="str">
        <x:v>Perch-likes</x:v>
      </x:c>
      <x:c r="I166" s="31" t="n">
        <x:v>1.1270146189</x:v>
      </x:c>
      <x:c r="J166" s="31" t="n">
        <x:v>1.0944238108</x:v>
      </x:c>
      <x:c r="K166" s="31" t="n">
        <x:v>0.0325908081</x:v>
      </x:c>
      <x:c r="L166" s="31" t="n">
        <x:v>0.6469994136</x:v>
      </x:c>
      <x:c r="M166" s="31" t="n">
        <x:v>0.48001520529999997</x:v>
      </x:c>
      <x:c r="N166" s="24" t="str">
        <x:v>lethrinus miniatus</x:v>
      </x:c>
      <x:c r="O166" s="32" t="n">
        <x:v>4.19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Lethrinus miniatus</x:v>
      </x:c>
      <x:c r="T166" s="32" t="n">
        <x:f>IF(O166="","",(1/'Metadata'!$B$5)^(O166-1))</x:f>
        <x:v>1548.8166189124827</x:v>
      </x:c>
      <x:c r="U166" s="31" t="n">
        <x:f>IF(T166="","",I166*T166)</x:f>
        <x:v>1745.5389715096383</x:v>
      </x:c>
    </x:row>
    <x:row r="167" ht="18" customHeight="1">
      <x:c r="A167" s="24" t="str">
        <x:v>EEZ_390</x:v>
      </x:c>
      <x:c r="B167" s="24" t="str">
        <x:v>Japan (main islands)</x:v>
      </x:c>
      <x:c r="C167" s="24" t="str">
        <x:v>EEZ</x:v>
      </x:c>
      <x:c r="D167" s="30" t="n">
        <x:v>2019</x:v>
      </x:c>
      <x:c r="E167" s="24" t="str">
        <x:v>Penaeus penicillatus</x:v>
      </x:c>
      <x:c r="F167" s="24" t="str">
        <x:v>Redtail prawn</x:v>
      </x:c>
      <x:c r="G167" s="24" t="str">
        <x:v>Shrimps</x:v>
      </x:c>
      <x:c r="H167" s="24" t="str">
        <x:v>Crustaceans</x:v>
      </x:c>
      <x:c r="I167" s="31" t="n">
        <x:v>1.0875312766</x:v>
      </x:c>
      <x:c r="J167" s="31" t="n">
        <x:v>1.0875312766</x:v>
      </x:c>
      <x:c r="K167" s="31" t="n">
        <x:v>0</x:v>
      </x:c>
      <x:c r="L167" s="31" t="n">
        <x:v>0.489529782</x:v>
      </x:c>
      <x:c r="M167" s="31" t="n">
        <x:v>0.5980014946</x:v>
      </x:c>
      <x:c r="N167" s="24" t="str">
        <x:v>penaeus penicillatus</x:v>
      </x:c>
      <x:c r="O167" s="32" t="n">
        <x:v>2.7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Penaeus penicillatus</x:v>
      </x:c>
      <x:c r="T167" s="32" t="n">
        <x:f>IF(O167="","",(1/'Metadata'!$B$5)^(O167-1))</x:f>
        <x:v>50.11872336272725</x:v>
      </x:c>
      <x:c r="U167" s="31" t="n">
        <x:f>IF(T167="","",I167*T167)</x:f>
        <x:v>54.50567920022902</x:v>
      </x:c>
    </x:row>
    <x:row r="168" ht="18" customHeight="1">
      <x:c r="A168" s="24" t="str">
        <x:v>EEZ_390</x:v>
      </x:c>
      <x:c r="B168" s="24" t="str">
        <x:v>Japan (main islands)</x:v>
      </x:c>
      <x:c r="C168" s="24" t="str">
        <x:v>EEZ</x:v>
      </x:c>
      <x:c r="D168" s="30" t="n">
        <x:v>2019</x:v>
      </x:c>
      <x:c r="E168" s="24" t="str">
        <x:v>Penaeus monodon</x:v>
      </x:c>
      <x:c r="F168" s="24" t="str">
        <x:v>Giant tiger prawn</x:v>
      </x:c>
      <x:c r="G168" s="24" t="str">
        <x:v>Shrimps</x:v>
      </x:c>
      <x:c r="H168" s="24" t="str">
        <x:v>Crustaceans</x:v>
      </x:c>
      <x:c r="I168" s="31" t="n">
        <x:v>1.066180829</x:v>
      </x:c>
      <x:c r="J168" s="31" t="n">
        <x:v>1.066180829</x:v>
      </x:c>
      <x:c r="K168" s="31" t="n">
        <x:v>0</x:v>
      </x:c>
      <x:c r="L168" s="31" t="n">
        <x:v>0.5468936658000001</x:v>
      </x:c>
      <x:c r="M168" s="31" t="n">
        <x:v>0.5192871632</x:v>
      </x:c>
      <x:c r="N168" s="24" t="str">
        <x:v>penaeus monodon</x:v>
      </x:c>
      <x:c r="O168" s="32" t="n">
        <x:v>2.6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Penaeus monodon</x:v>
      </x:c>
      <x:c r="T168" s="32" t="n">
        <x:f>IF(O168="","",(1/'Metadata'!$B$5)^(O168-1))</x:f>
        <x:v>39.810717055349734</x:v>
      </x:c>
      <x:c r="U168" s="31" t="n">
        <x:f>IF(T168="","",I168*T168)</x:f>
        <x:v>42.44542331315722</x:v>
      </x:c>
    </x:row>
    <x:row r="169" ht="18" customHeight="1">
      <x:c r="A169" s="24" t="str">
        <x:v>EEZ_390</x:v>
      </x:c>
      <x:c r="B169" s="24" t="str">
        <x:v>Japan (main islands)</x:v>
      </x:c>
      <x:c r="C169" s="24" t="str">
        <x:v>EEZ</x:v>
      </x:c>
      <x:c r="D169" s="30" t="n">
        <x:v>2019</x:v>
      </x:c>
      <x:c r="E169" s="24" t="str">
        <x:v>Rhopilema hispidum</x:v>
      </x:c>
      <x:c r="F169" s="24" t="str">
        <x:v>Sand jellyfish</x:v>
      </x:c>
      <x:c r="G169" s="24" t="str">
        <x:v>Jellyfish</x:v>
      </x:c>
      <x:c r="H169" s="24" t="str">
        <x:v>Other fishes &amp; inverts</x:v>
      </x:c>
      <x:c r="I169" s="31" t="n">
        <x:v>1</x:v>
      </x:c>
      <x:c r="J169" s="31" t="n">
        <x:v>1</x:v>
      </x:c>
      <x:c r="K169" s="31" t="n">
        <x:v>0</x:v>
      </x:c>
      <x:c r="L169" s="31" t="n">
        <x:v>0</x:v>
      </x:c>
      <x:c r="M169" s="31" t="n">
        <x:v>1</x:v>
      </x:c>
      <x:c r="N169" s="24" t="str">
        <x:v>rhopilema hispidum</x:v>
      </x:c>
      <x:c r="O169" s="32" t="n">
        <x:v>3.46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Rhopilema hispidum</x:v>
      </x:c>
      <x:c r="T169" s="32" t="n">
        <x:f>IF(O169="","",(1/'Metadata'!$B$5)^(O169-1))</x:f>
        <x:v>288.40315031266056</x:v>
      </x:c>
      <x:c r="U169" s="31" t="n">
        <x:f>IF(T169="","",I169*T169)</x:f>
        <x:v>288.40315031266056</x:v>
      </x:c>
    </x:row>
    <x:row r="170" ht="18" customHeight="1">
      <x:c r="A170" s="24" t="str">
        <x:v>EEZ_390</x:v>
      </x:c>
      <x:c r="B170" s="24" t="str">
        <x:v>Japan (main islands)</x:v>
      </x:c>
      <x:c r="C170" s="24" t="str">
        <x:v>EEZ</x:v>
      </x:c>
      <x:c r="D170" s="30" t="n">
        <x:v>2019</x:v>
      </x:c>
      <x:c r="E170" s="24" t="str">
        <x:v>Lates calcarifer</x:v>
      </x:c>
      <x:c r="F170" s="24" t="str">
        <x:v>Barramundi</x:v>
      </x:c>
      <x:c r="G170" s="24" t="str">
        <x:v>Large demersals (&gt;=90 cm)</x:v>
      </x:c>
      <x:c r="H170" s="24" t="str">
        <x:v>Perch-likes</x:v>
      </x:c>
      <x:c r="I170" s="31" t="n">
        <x:v>0.7964337635000001</x:v>
      </x:c>
      <x:c r="J170" s="31" t="n">
        <x:v>0.7964337635000001</x:v>
      </x:c>
      <x:c r="K170" s="31" t="n">
        <x:v>0</x:v>
      </x:c>
      <x:c r="L170" s="31" t="n">
        <x:v>0.7964337635000001</x:v>
      </x:c>
      <x:c r="M170" s="31" t="n">
        <x:v>0</x:v>
      </x:c>
      <x:c r="N170" s="24" t="str">
        <x:v>lates calcarifer</x:v>
      </x:c>
      <x:c r="O170" s="32" t="n">
        <x:v>4.35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Lates calcarifer</x:v>
      </x:c>
      <x:c r="T170" s="32" t="n">
        <x:f>IF(O170="","",(1/'Metadata'!$B$5)^(O170-1))</x:f>
        <x:v>2238.7211385683377</x:v>
      </x:c>
      <x:c r="U170" s="31" t="n">
        <x:f>IF(T170="","",I170*T170)</x:f>
        <x:v>1782.9931018169864</x:v>
      </x:c>
    </x:row>
    <x:row r="171" ht="18" customHeight="1">
      <x:c r="A171" s="24" t="str">
        <x:v>EEZ_390</x:v>
      </x:c>
      <x:c r="B171" s="24" t="str">
        <x:v>Japan (main islands)</x:v>
      </x:c>
      <x:c r="C171" s="24" t="str">
        <x:v>EEZ</x:v>
      </x:c>
      <x:c r="D171" s="30" t="n">
        <x:v>2019</x:v>
      </x:c>
      <x:c r="E171" s="24" t="str">
        <x:v>Sphyraenidae</x:v>
      </x:c>
      <x:c r="F171" s="24" t="str">
        <x:v>Barracudas</x:v>
      </x:c>
      <x:c r="G171" s="24" t="str">
        <x:v>Medium reef assoc. fish (30 - 89 cm)</x:v>
      </x:c>
      <x:c r="H171" s="24" t="str">
        <x:v>Perch-likes</x:v>
      </x:c>
      <x:c r="I171" s="31" t="n">
        <x:v>0.7823051172000001</x:v>
      </x:c>
      <x:c r="J171" s="31" t="n">
        <x:v>0.7823051172000001</x:v>
      </x:c>
      <x:c r="K171" s="31" t="n">
        <x:v>0</x:v>
      </x:c>
      <x:c r="L171" s="31" t="n">
        <x:v>0.43262438680000004</x:v>
      </x:c>
      <x:c r="M171" s="31" t="n">
        <x:v>0.3496807304</x:v>
      </x:c>
      <x:c r="N171" s="24" t="str">
        <x:v>sphyraenidae</x:v>
      </x:c>
      <x:c r="O171" s="32" t="n">
        <x:v>4.4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Sphyraenidae</x:v>
      </x:c>
      <x:c r="T171" s="32" t="n">
        <x:f>IF(O171="","",(1/'Metadata'!$B$5)^(O171-1))</x:f>
        <x:v>2511.886431509582</x:v>
      </x:c>
      <x:c r="U171" s="31" t="n">
        <x:f>IF(T171="","",I171*T171)</x:f>
        <x:v>1965.0616091951936</x:v>
      </x:c>
    </x:row>
    <x:row r="172" ht="18" customHeight="1">
      <x:c r="A172" s="24" t="str">
        <x:v>EEZ_390</x:v>
      </x:c>
      <x:c r="B172" s="24" t="str">
        <x:v>Japan (main islands)</x:v>
      </x:c>
      <x:c r="C172" s="24" t="str">
        <x:v>EEZ</x:v>
      </x:c>
      <x:c r="D172" s="30" t="n">
        <x:v>2019</x:v>
      </x:c>
      <x:c r="E172" s="24" t="str">
        <x:v>Epinephelus malabaricus</x:v>
      </x:c>
      <x:c r="F172" s="24" t="str">
        <x:v>Malabar grouper</x:v>
      </x:c>
      <x:c r="G172" s="24" t="str">
        <x:v>Large reef assoc. fish (&gt;=90 cm)</x:v>
      </x:c>
      <x:c r="H172" s="24" t="str">
        <x:v>Perch-likes</x:v>
      </x:c>
      <x:c r="I172" s="31" t="n">
        <x:v>0.5896958968</x:v>
      </x:c>
      <x:c r="J172" s="31" t="n">
        <x:v>0</x:v>
      </x:c>
      <x:c r="K172" s="31" t="n">
        <x:v>0.5896958968</x:v>
      </x:c>
      <x:c r="L172" s="31" t="n">
        <x:v>0</x:v>
      </x:c>
      <x:c r="M172" s="31" t="n">
        <x:v>0.5896958968</x:v>
      </x:c>
      <x:c r="N172" s="24" t="str">
        <x:v>epinephelus malabaricus</x:v>
      </x:c>
      <x:c r="O172" s="32" t="n">
        <x:v>4.16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Epinephelus malabaricus</x:v>
      </x:c>
      <x:c r="T172" s="32" t="n">
        <x:f>IF(O172="","",(1/'Metadata'!$B$5)^(O172-1))</x:f>
        <x:v>1445.439770745928</x:v>
      </x:c>
      <x:c r="U172" s="31" t="n">
        <x:f>IF(T172="","",I172*T172)</x:f>
        <x:v>852.3699018804064</x:v>
      </x:c>
    </x:row>
    <x:row r="173" ht="18" customHeight="1">
      <x:c r="A173" s="24" t="str">
        <x:v>EEZ_390</x:v>
      </x:c>
      <x:c r="B173" s="24" t="str">
        <x:v>Japan (main islands)</x:v>
      </x:c>
      <x:c r="C173" s="24" t="str">
        <x:v>EEZ</x:v>
      </x:c>
      <x:c r="D173" s="30" t="n">
        <x:v>2019</x:v>
      </x:c>
      <x:c r="E173" s="24" t="str">
        <x:v>Sphyraena barracuda</x:v>
      </x:c>
      <x:c r="F173" s="24" t="str">
        <x:v>Great barracuda</x:v>
      </x:c>
      <x:c r="G173" s="24" t="str">
        <x:v>Large pelagics (&gt;=90 cm)</x:v>
      </x:c>
      <x:c r="H173" s="24" t="str">
        <x:v>Perch-likes</x:v>
      </x:c>
      <x:c r="I173" s="31" t="n">
        <x:v>0.492656374</x:v>
      </x:c>
      <x:c r="J173" s="31" t="n">
        <x:v>0</x:v>
      </x:c>
      <x:c r="K173" s="31" t="n">
        <x:v>0.492656374</x:v>
      </x:c>
      <x:c r="L173" s="31" t="n">
        <x:v>0</x:v>
      </x:c>
      <x:c r="M173" s="31" t="n">
        <x:v>0.492656374</x:v>
      </x:c>
      <x:c r="N173" s="24" t="str">
        <x:v>sphyraena barracuda</x:v>
      </x:c>
      <x:c r="O173" s="32" t="n">
        <x:v>4.49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Sphyraena barracuda</x:v>
      </x:c>
      <x:c r="T173" s="32" t="n">
        <x:f>IF(O173="","",(1/'Metadata'!$B$5)^(O173-1))</x:f>
        <x:v>3090.295432513592</x:v>
      </x:c>
      <x:c r="U173" s="31" t="n">
        <x:f>IF(T173="","",I173*T173)</x:f>
        <x:v>1522.453742370908</x:v>
      </x:c>
    </x:row>
    <x:row r="174" ht="18" customHeight="1">
      <x:c r="A174" s="24" t="str">
        <x:v>EEZ_390</x:v>
      </x:c>
      <x:c r="B174" s="24" t="str">
        <x:v>Japan (main islands)</x:v>
      </x:c>
      <x:c r="C174" s="24" t="str">
        <x:v>EEZ</x:v>
      </x:c>
      <x:c r="D174" s="30" t="n">
        <x:v>2019</x:v>
      </x:c>
      <x:c r="E174" s="24" t="str">
        <x:v>Sillago sihama</x:v>
      </x:c>
      <x:c r="F174" s="24" t="str">
        <x:v>Silver sillago</x:v>
      </x:c>
      <x:c r="G174" s="24" t="str">
        <x:v>Medium demersals (30 - 89 cm)</x:v>
      </x:c>
      <x:c r="H174" s="24" t="str">
        <x:v>Perch-likes</x:v>
      </x:c>
      <x:c r="I174" s="31" t="n">
        <x:v>0.3987827283</x:v>
      </x:c>
      <x:c r="J174" s="31" t="n">
        <x:v>0</x:v>
      </x:c>
      <x:c r="K174" s="31" t="n">
        <x:v>0.3987827283</x:v>
      </x:c>
      <x:c r="L174" s="31" t="n">
        <x:v>0</x:v>
      </x:c>
      <x:c r="M174" s="31" t="n">
        <x:v>0.3987827283</x:v>
      </x:c>
      <x:c r="N174" s="24" t="str">
        <x:v>sillago sihama</x:v>
      </x:c>
      <x:c r="O174" s="32" t="n">
        <x:v>3.33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Sillago sihama</x:v>
      </x:c>
      <x:c r="T174" s="32" t="n">
        <x:f>IF(O174="","",(1/'Metadata'!$B$5)^(O174-1))</x:f>
        <x:v>213.79620895022325</x:v>
      </x:c>
      <x:c r="U174" s="31" t="n">
        <x:f>IF(T174="","",I174*T174)</x:f>
        <x:v>85.25823550536691</x:v>
      </x:c>
    </x:row>
    <x:row r="175" ht="18" customHeight="1">
      <x:c r="A175" s="24" t="str">
        <x:v>EEZ_390</x:v>
      </x:c>
      <x:c r="B175" s="24" t="str">
        <x:v>Japan (main islands)</x:v>
      </x:c>
      <x:c r="C175" s="24" t="str">
        <x:v>EEZ</x:v>
      </x:c>
      <x:c r="D175" s="30" t="n">
        <x:v>2019</x:v>
      </x:c>
      <x:c r="E175" s="24" t="str">
        <x:v>Lutjanus bohar</x:v>
      </x:c>
      <x:c r="F175" s="24" t="str">
        <x:v>Two-spot red snapper</x:v>
      </x:c>
      <x:c r="G175" s="24" t="str">
        <x:v>Medium reef assoc. fish (30 - 89 cm)</x:v>
      </x:c>
      <x:c r="H175" s="24" t="str">
        <x:v>Perch-likes</x:v>
      </x:c>
      <x:c r="I175" s="31" t="n">
        <x:v>0.2604137096</x:v>
      </x:c>
      <x:c r="J175" s="31" t="n">
        <x:v>0</x:v>
      </x:c>
      <x:c r="K175" s="31" t="n">
        <x:v>0.2604137096</x:v>
      </x:c>
      <x:c r="L175" s="31" t="n">
        <x:v>0</x:v>
      </x:c>
      <x:c r="M175" s="31" t="n">
        <x:v>0.2604137096</x:v>
      </x:c>
      <x:c r="N175" s="24" t="str">
        <x:v>lutjanus bohar</x:v>
      </x:c>
      <x:c r="O175" s="32" t="n">
        <x:v>4.27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Lutjanus bohar</x:v>
      </x:c>
      <x:c r="T175" s="32" t="n">
        <x:f>IF(O175="","",(1/'Metadata'!$B$5)^(O175-1))</x:f>
        <x:v>1862.0871366628655</x:v>
      </x:c>
      <x:c r="U175" s="31" t="n">
        <x:f>IF(T175="","",I175*T175)</x:f>
        <x:v>484.91301885681895</x:v>
      </x:c>
    </x:row>
    <x:row r="176" ht="18" customHeight="1">
      <x:c r="A176" s="24" t="str">
        <x:v>EEZ_390</x:v>
      </x:c>
      <x:c r="B176" s="24" t="str">
        <x:v>Japan (main islands)</x:v>
      </x:c>
      <x:c r="C176" s="24" t="str">
        <x:v>EEZ</x:v>
      </x:c>
      <x:c r="D176" s="30" t="n">
        <x:v>2019</x:v>
      </x:c>
      <x:c r="E176" s="24" t="str">
        <x:v>Mierspenaeopsis hardwickii</x:v>
      </x:c>
      <x:c r="F176" s="24" t="str">
        <x:v>Spear shrimp</x:v>
      </x:c>
      <x:c r="G176" s="24" t="str">
        <x:v>Shrimps</x:v>
      </x:c>
      <x:c r="H176" s="24" t="str">
        <x:v>Crustaceans</x:v>
      </x:c>
      <x:c r="I176" s="31" t="n">
        <x:v>0.117088744</x:v>
      </x:c>
      <x:c r="J176" s="31" t="n">
        <x:v>0</x:v>
      </x:c>
      <x:c r="K176" s="31" t="n">
        <x:v>0.117088744</x:v>
      </x:c>
      <x:c r="L176" s="31" t="n">
        <x:v>0</x:v>
      </x:c>
      <x:c r="M176" s="31" t="n">
        <x:v>0.117088744</x:v>
      </x:c>
      <x:c r="N176" s="24" t="str">
        <x:v>mierspenaeopsis hardwickii</x:v>
      </x:c>
      <x:c r="O176" s="32" t="n">
        <x:v>2.71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Mierspenaeopsis hardwickii</x:v>
      </x:c>
      <x:c r="T176" s="32" t="n">
        <x:f>IF(O176="","",(1/'Metadata'!$B$5)^(O176-1))</x:f>
        <x:v>51.28613839913648</x:v>
      </x:c>
      <x:c r="U176" s="31" t="n">
        <x:f>IF(T176="","",I176*T176)</x:f>
        <x:v>6.0050295297650615</x:v>
      </x:c>
    </x:row>
    <x:row r="177" ht="18" customHeight="1">
      <x:c r="A177" s="24" t="str">
        <x:v>EEZ_390</x:v>
      </x:c>
      <x:c r="B177" s="24" t="str">
        <x:v>Japan (main islands)</x:v>
      </x:c>
      <x:c r="C177" s="24" t="str">
        <x:v>EEZ</x:v>
      </x:c>
      <x:c r="D177" s="30" t="n">
        <x:v>2019</x:v>
      </x:c>
      <x:c r="E177" s="24" t="str">
        <x:v>Parupeneus barberinus</x:v>
      </x:c>
      <x:c r="F177" s="24" t="str">
        <x:v>Dash-and-dot goatfish</x:v>
      </x:c>
      <x:c r="G177" s="24" t="str">
        <x:v>Medium reef assoc. fish (30 - 89 cm)</x:v>
      </x:c>
      <x:c r="H177" s="24" t="str">
        <x:v>Perch-likes</x:v>
      </x:c>
      <x:c r="I177" s="31" t="n">
        <x:v>0.07923070400000001</x:v>
      </x:c>
      <x:c r="J177" s="31" t="n">
        <x:v>0</x:v>
      </x:c>
      <x:c r="K177" s="31" t="n">
        <x:v>0.07923070400000001</x:v>
      </x:c>
      <x:c r="L177" s="31" t="n">
        <x:v>0</x:v>
      </x:c>
      <x:c r="M177" s="31" t="n">
        <x:v>0.07923070400000001</x:v>
      </x:c>
      <x:c r="N177" s="24" t="str">
        <x:v>parupeneus barberinus</x:v>
      </x:c>
      <x:c r="O177" s="32" t="n">
        <x:v>3.22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Parupeneus barberinus</x:v>
      </x:c>
      <x:c r="T177" s="32" t="n">
        <x:f>IF(O177="","",(1/'Metadata'!$B$5)^(O177-1))</x:f>
        <x:v>165.95869074375614</x:v>
      </x:c>
      <x:c r="U177" s="31" t="n">
        <x:f>IF(T177="","",I177*T177)</x:f>
        <x:v>13.149023902546084</x:v>
      </x:c>
    </x:row>
    <x:row r="178" ht="18" customHeight="1">
      <x:c r="A178" s="24" t="str">
        <x:v>EEZ_390</x:v>
      </x:c>
      <x:c r="B178" s="24" t="str">
        <x:v>Japan (main islands)</x:v>
      </x:c>
      <x:c r="C178" s="24" t="str">
        <x:v>EEZ</x:v>
      </x:c>
      <x:c r="D178" s="30" t="n">
        <x:v>2019</x:v>
      </x:c>
      <x:c r="E178" s="24" t="str">
        <x:v>Hemitrygon akajei</x:v>
      </x:c>
      <x:c r="F178" s="24" t="str">
        <x:v>Whip stingray</x:v>
      </x:c>
      <x:c r="G178" s="24" t="str">
        <x:v>Large rays (&gt;=90 cm)</x:v>
      </x:c>
      <x:c r="H178" s="24" t="str">
        <x:v>Sharks &amp; rays</x:v>
      </x:c>
      <x:c r="I178" s="31" t="n">
        <x:v>0.0416694594</x:v>
      </x:c>
      <x:c r="J178" s="31" t="n">
        <x:v>0</x:v>
      </x:c>
      <x:c r="K178" s="31" t="n">
        <x:v>0.0416694594</x:v>
      </x:c>
      <x:c r="L178" s="31" t="n">
        <x:v>0</x:v>
      </x:c>
      <x:c r="M178" s="31" t="n">
        <x:v>0.0416694594</x:v>
      </x:c>
      <x:c r="N178" s="24" t="str">
        <x:v>hemitrygon akajei</x:v>
      </x:c>
      <x:c r="O178" s="32" t="n">
        <x:v>3.84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Hemitrygon akajei</x:v>
      </x:c>
      <x:c r="T178" s="32" t="n">
        <x:f>IF(O178="","",(1/'Metadata'!$B$5)^(O178-1))</x:f>
        <x:v>691.8309709189363</x:v>
      </x:c>
      <x:c r="U178" s="31" t="n">
        <x:f>IF(T178="","",I178*T178)</x:f>
        <x:v>28.828222554369194</x:v>
      </x:c>
    </x:row>
    <x:row r="179" ht="18" customHeight="1">
      <x:c r="A179" s="24" t="str">
        <x:v>EEZ_390</x:v>
      </x:c>
      <x:c r="B179" s="24" t="str">
        <x:v>Japan (main islands)</x:v>
      </x:c>
      <x:c r="C179" s="24" t="str">
        <x:v>EEZ</x:v>
      </x:c>
      <x:c r="D179" s="30" t="n">
        <x:v>2019</x:v>
      </x:c>
      <x:c r="E179" s="24" t="str">
        <x:v>Mizuhopecten yessoensis</x:v>
      </x:c>
      <x:c r="F179" s="24" t="str">
        <x:v>Yesso scallop</x:v>
      </x:c>
      <x:c r="G179" s="24" t="str">
        <x:v>Other demersal invertebrates</x:v>
      </x:c>
      <x:c r="H179" s="24" t="str">
        <x:v>Molluscs</x:v>
      </x:c>
      <x:c r="I179" s="31" t="n">
        <x:v>0.0295993794</x:v>
      </x:c>
      <x:c r="J179" s="31" t="n">
        <x:v>0.0295993794</x:v>
      </x:c>
      <x:c r="K179" s="31" t="n">
        <x:v>0</x:v>
      </x:c>
      <x:c r="L179" s="31" t="n">
        <x:v>0</x:v>
      </x:c>
      <x:c r="M179" s="31" t="n">
        <x:v>0.0295993794</x:v>
      </x:c>
      <x:c r="N179" s="24" t="str">
        <x:v>mizuhopecten yessoensis</x:v>
      </x:c>
      <x:c r="O179" s="32" t="n">
        <x:v>2.1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Mizuhopecten yessoensis</x:v>
      </x:c>
      <x:c r="T179" s="32" t="n">
        <x:f>IF(O179="","",(1/'Metadata'!$B$5)^(O179-1))</x:f>
        <x:v>12.589254117941675</x:v>
      </x:c>
      <x:c r="U179" s="31" t="n">
        <x:f>IF(T179="","",I179*T179)</x:f>
        <x:v>0.37263410899996796</x:v>
      </x:c>
    </x:row>
  </x:sheetData>
  <x:conditionalFormatting sqref="R2:R17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2792778b3f14b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469134.1211878016</x:v>
      </x:c>
      <x:c r="E2" s="31" t="n">
        <x:v>469134.1211878016</x:v>
      </x:c>
      <x:c r="F2" s="32" t="n">
        <x:v>0</x:v>
      </x:c>
      <x:c r="G2" s="34" t="n">
        <x:v>1</x:v>
      </x:c>
      <x:c r="H2" s="32" t="n">
        <x:f>IF(E2=0,"",I2/E2)</x:f>
        <x:v>138.03842646028852</x:v>
      </x:c>
      <x:c r="I2" s="31" t="n">
        <x:f>IF(C2=0,"",SUMIF('Species'!$H$2:$H$179,A2,'Species'!$U$2:$U$179))</x:f>
        <x:v>64758535.88759443</x:v>
      </x:c>
      <x:c r="J2" s="32" t="n">
        <x:v>3.14</x:v>
      </x:c>
      <x:c r="K2" s="32" t="n">
        <x:f>IF(J2="","",(1/'Metadata'!$B$5)^(J2-1))</x:f>
        <x:v>138.03842646028852</x:v>
      </x:c>
      <x:c r="L2" s="31" t="n">
        <x:f>IF(E2=0,"",E2*K2)</x:f>
        <x:v>64758535.88759443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268529.2111642366</x:v>
      </x:c>
      <x:c r="E3" s="31" t="n">
        <x:v>268529.2111642366</x:v>
      </x:c>
      <x:c r="F3" s="32" t="n">
        <x:v>0</x:v>
      </x:c>
      <x:c r="G3" s="34" t="n">
        <x:v>1</x:v>
      </x:c>
      <x:c r="H3" s="32" t="n">
        <x:f>IF(E3=0,"",I3/E3)</x:f>
        <x:v>612.3451779027205</x:v>
      </x:c>
      <x:c r="I3" s="31" t="n">
        <x:f>IF(C3=0,"",SUMIF('Species'!$H$2:$H$179,A3,'Species'!$U$2:$U$179))</x:f>
        <x:v>164432567.58244166</x:v>
      </x:c>
      <x:c r="J3" s="32" t="n">
        <x:v>3.6915771211791477</x:v>
      </x:c>
      <x:c r="K3" s="32" t="n">
        <x:f>IF(J3="","",(1/'Metadata'!$B$5)^(J3-1))</x:f>
        <x:v>491.56066284675916</x:v>
      </x:c>
      <x:c r="L3" s="31" t="n">
        <x:f>IF(E3=0,"",E3*K3)</x:f>
        <x:v>131998397.0336095</x:v>
      </x:c>
      <x:c r="M3" s="31" t="n">
        <x:f>IF(E3=0,"",I3-L3)</x:f>
        <x:v>32434170.548832163</x:v>
      </x:c>
      <x:c r="N3" s="32" t="n">
        <x:f>IF(L3=0,"",I3/L3)</x:f>
        <x:v>1.2457163971512</x:v>
      </x:c>
      <x:c r="O3" s="34" t="n">
        <x:f>IF(L3=0,"",M3/L3)</x:f>
        <x:v>0.24571639715119994</x:v>
      </x:c>
    </x:row>
    <x:row r="4" ht="18" customHeight="1">
      <x:c r="A4" s="24" t="str">
        <x:v>Crustaceans</x:v>
      </x:c>
      <x:c r="B4" s="33" t="n">
        <x:v>20</x:v>
      </x:c>
      <x:c r="C4" s="33" t="n">
        <x:v>20</x:v>
      </x:c>
      <x:c r="D4" s="31" t="n">
        <x:v>310491.54408939014</x:v>
      </x:c>
      <x:c r="E4" s="31" t="n">
        <x:v>310491.54408939014</x:v>
      </x:c>
      <x:c r="F4" s="32" t="n">
        <x:v>0</x:v>
      </x:c>
      <x:c r="G4" s="34" t="n">
        <x:v>1</x:v>
      </x:c>
      <x:c r="H4" s="32" t="n">
        <x:f>IF(E4=0,"",I4/E4)</x:f>
        <x:v>223.2110055693268</x:v>
      </x:c>
      <x:c r="I4" s="31" t="n">
        <x:f>IF(C4=0,"",SUMIF('Species'!$H$2:$H$179,A4,'Species'!$U$2:$U$179))</x:f>
        <x:v>69305129.77696574</x:v>
      </x:c>
      <x:c r="J4" s="32" t="n">
        <x:v>3.013177257030693</x:v>
      </x:c>
      <x:c r="K4" s="32" t="n">
        <x:f>IF(J4="","",(1/'Metadata'!$B$5)^(J4-1))</x:f>
        <x:v>103.08067577504309</x:v>
      </x:c>
      <x:c r="L4" s="31" t="n">
        <x:f>IF(E4=0,"",E4*K4)</x:f>
        <x:v>32005678.187170923</x:v>
      </x:c>
      <x:c r="M4" s="31" t="n">
        <x:f>IF(E4=0,"",I4-L4)</x:f>
        <x:v>37299451.589794815</x:v>
      </x:c>
      <x:c r="N4" s="32" t="n">
        <x:f>IF(L4=0,"",I4/L4)</x:f>
        <x:v>2.165401069512279</x:v>
      </x:c>
      <x:c r="O4" s="34" t="n">
        <x:f>IF(L4=0,"",M4/L4)</x:f>
        <x:v>1.1654010695122792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68398.35405006939</x:v>
      </x:c>
      <x:c r="E5" s="31" t="n">
        <x:v>68398.35405006939</x:v>
      </x:c>
      <x:c r="F5" s="32" t="n">
        <x:v>0</x:v>
      </x:c>
      <x:c r="G5" s="34" t="n">
        <x:v>1</x:v>
      </x:c>
      <x:c r="H5" s="32" t="n">
        <x:f>IF(E5=0,"",I5/E5)</x:f>
        <x:v>482.63701800720486</x:v>
      </x:c>
      <x:c r="I5" s="31" t="n">
        <x:f>IF(C5=0,"",SUMIF('Species'!$H$2:$H$179,A5,'Species'!$U$2:$U$179))</x:f>
        <x:v>33011577.635326516</x:v>
      </x:c>
      <x:c r="J5" s="32" t="n">
        <x:v>3.5807514291822846</x:v>
      </x:c>
      <x:c r="K5" s="32" t="n">
        <x:f>IF(J5="","",(1/'Metadata'!$B$5)^(J5-1))</x:f>
        <x:v>380.84778069427057</x:v>
      </x:c>
      <x:c r="L5" s="31" t="n">
        <x:f>IF(E5=0,"",E5*K5)</x:f>
        <x:v>26049361.343109902</x:v>
      </x:c>
      <x:c r="M5" s="31" t="n">
        <x:f>IF(E5=0,"",I5-L5)</x:f>
        <x:v>6962216.292216614</x:v>
      </x:c>
      <x:c r="N5" s="32" t="n">
        <x:f>IF(L5=0,"",I5/L5)</x:f>
        <x:v>1.2672701338245336</x:v>
      </x:c>
      <x:c r="O5" s="34" t="n">
        <x:f>IF(L5=0,"",M5/L5)</x:f>
        <x:v>0.2672701338245335</x:v>
      </x:c>
    </x:row>
    <x:row r="6" ht="18" customHeight="1">
      <x:c r="A6" s="24" t="str">
        <x:v>Herring-likes</x:v>
      </x:c>
      <x:c r="B6" s="33" t="n">
        <x:v>8</x:v>
      </x:c>
      <x:c r="C6" s="33" t="n">
        <x:v>8</x:v>
      </x:c>
      <x:c r="D6" s="31" t="n">
        <x:v>1184912.674579494</x:v>
      </x:c>
      <x:c r="E6" s="31" t="n">
        <x:v>1184912.674579494</x:v>
      </x:c>
      <x:c r="F6" s="32" t="n">
        <x:v>0</x:v>
      </x:c>
      <x:c r="G6" s="34" t="n">
        <x:v>1</x:v>
      </x:c>
      <x:c r="H6" s="32" t="n">
        <x:f>IF(E6=0,"",I6/E6)</x:f>
        <x:v>89.19428690458882</x:v>
      </x:c>
      <x:c r="I6" s="31" t="n">
        <x:f>IF(C6=0,"",SUMIF('Species'!$H$2:$H$179,A6,'Species'!$U$2:$U$179))</x:f>
        <x:v>105687441.05332707</x:v>
      </x:c>
      <x:c r="J6" s="32" t="n">
        <x:v>2.9026794037198296</x:v>
      </x:c>
      <x:c r="K6" s="32" t="n">
        <x:f>IF(J6="","",(1/'Metadata'!$B$5)^(J6-1))</x:f>
        <x:v>79.92440350645934</x:v>
      </x:c>
      <x:c r="L6" s="31" t="n">
        <x:f>IF(E6=0,"",E6*K6)</x:f>
        <x:v>94703438.72300942</x:v>
      </x:c>
      <x:c r="M6" s="31" t="n">
        <x:f>IF(E6=0,"",I6-L6)</x:f>
        <x:v>10984002.330317646</x:v>
      </x:c>
      <x:c r="N6" s="32" t="n">
        <x:f>IF(L6=0,"",I6/L6)</x:f>
        <x:v>1.1159831414616725</x:v>
      </x:c>
      <x:c r="O6" s="34" t="n">
        <x:f>IF(L6=0,"",M6/L6)</x:f>
        <x:v>0.11598314146167261</x:v>
      </x:c>
    </x:row>
    <x:row r="7" ht="18" customHeight="1">
      <x:c r="A7" s="24" t="str">
        <x:v>Molluscs</x:v>
      </x:c>
      <x:c r="B7" s="33" t="n">
        <x:v>10</x:v>
      </x:c>
      <x:c r="C7" s="33" t="n">
        <x:v>10</x:v>
      </x:c>
      <x:c r="D7" s="31" t="n">
        <x:v>499369.0852357467</x:v>
      </x:c>
      <x:c r="E7" s="31" t="n">
        <x:v>499369.0852357467</x:v>
      </x:c>
      <x:c r="F7" s="32" t="n">
        <x:v>0</x:v>
      </x:c>
      <x:c r="G7" s="34" t="n">
        <x:v>1</x:v>
      </x:c>
      <x:c r="H7" s="32" t="n">
        <x:f>IF(E7=0,"",I7/E7)</x:f>
        <x:v>11.377183892838211</x:v>
      </x:c>
      <x:c r="I7" s="31" t="n">
        <x:f>IF(C7=0,"",SUMIF('Species'!$H$2:$H$179,A7,'Species'!$U$2:$U$179))</x:f>
        <x:v>5681413.913125489</x:v>
      </x:c>
      <x:c r="J7" s="32" t="n">
        <x:v>2.0297848228244257</x:v>
      </x:c>
      <x:c r="K7" s="32" t="n">
        <x:f>IF(J7="","",(1/'Metadata'!$B$5)^(J7-1))</x:f>
        <x:v>10.709885377560008</x:v>
      </x:c>
      <x:c r="L7" s="31" t="n">
        <x:f>IF(E7=0,"",E7*K7)</x:f>
        <x:v>5348185.66397184</x:v>
      </x:c>
      <x:c r="M7" s="31" t="n">
        <x:f>IF(E7=0,"",I7-L7)</x:f>
        <x:v>333228.2491536485</x:v>
      </x:c>
      <x:c r="N7" s="32" t="n">
        <x:f>IF(L7=0,"",I7/L7)</x:f>
        <x:v>1.062306784036771</x:v>
      </x:c>
      <x:c r="O7" s="34" t="n">
        <x:f>IF(L7=0,"",M7/L7)</x:f>
        <x:v>0.06230678403677106</x:v>
      </x:c>
    </x:row>
    <x:row r="8" ht="18" customHeight="1">
      <x:c r="A8" s="24" t="str">
        <x:v>Other fishes &amp; inverts</x:v>
      </x:c>
      <x:c r="B8" s="33" t="n">
        <x:v>37</x:v>
      </x:c>
      <x:c r="C8" s="33" t="n">
        <x:v>37</x:v>
      </x:c>
      <x:c r="D8" s="31" t="n">
        <x:v>1154493.2716378225</x:v>
      </x:c>
      <x:c r="E8" s="31" t="n">
        <x:v>1154493.2716378225</x:v>
      </x:c>
      <x:c r="F8" s="32" t="n">
        <x:v>0</x:v>
      </x:c>
      <x:c r="G8" s="34" t="n">
        <x:v>1</x:v>
      </x:c>
      <x:c r="H8" s="32" t="n">
        <x:f>IF(E8=0,"",I8/E8)</x:f>
        <x:v>492.4817164964909</x:v>
      </x:c>
      <x:c r="I8" s="31" t="n">
        <x:f>IF(C8=0,"",SUMIF('Species'!$H$2:$H$179,A8,'Species'!$U$2:$U$179))</x:f>
        <x:v>568566828.0998443</x:v>
      </x:c>
      <x:c r="J8" s="32" t="n">
        <x:v>3.4973975877569052</x:v>
      </x:c>
      <x:c r="K8" s="32" t="n">
        <x:f>IF(J8="","",(1/'Metadata'!$B$5)^(J8-1))</x:f>
        <x:v>314.3385082088168</x:v>
      </x:c>
      <x:c r="L8" s="31" t="n">
        <x:f>IF(E8=0,"",E8*K8)</x:f>
        <x:v>362901692.74374944</x:v>
      </x:c>
      <x:c r="M8" s="31" t="n">
        <x:f>IF(E8=0,"",I8-L8)</x:f>
        <x:v>205665135.3560949</x:v>
      </x:c>
      <x:c r="N8" s="32" t="n">
        <x:f>IF(L8=0,"",I8/L8)</x:f>
        <x:v>1.5667241004062173</x:v>
      </x:c>
      <x:c r="O8" s="34" t="n">
        <x:f>IF(L8=0,"",M8/L8)</x:f>
        <x:v>0.5667241004062173</x:v>
      </x:c>
    </x:row>
    <x:row r="9" ht="18" customHeight="1">
      <x:c r="A9" s="24" t="str">
        <x:v>Perch-likes</x:v>
      </x:c>
      <x:c r="B9" s="33" t="n">
        <x:v>66</x:v>
      </x:c>
      <x:c r="C9" s="33" t="n">
        <x:v>66</x:v>
      </x:c>
      <x:c r="D9" s="31" t="n">
        <x:v>1570282.509519579</x:v>
      </x:c>
      <x:c r="E9" s="31" t="n">
        <x:v>1570282.509519579</x:v>
      </x:c>
      <x:c r="F9" s="32" t="n">
        <x:v>0</x:v>
      </x:c>
      <x:c r="G9" s="34" t="n">
        <x:v>1</x:v>
      </x:c>
      <x:c r="H9" s="32" t="n">
        <x:f>IF(E9=0,"",I9/E9)</x:f>
        <x:v>784.4715121731101</x:v>
      </x:c>
      <x:c r="I9" s="31" t="n">
        <x:f>IF(C9=0,"",SUMIF('Species'!$H$2:$H$179,A9,'Species'!$U$2:$U$179))</x:f>
        <x:v>1231841894.7818103</x:v>
      </x:c>
      <x:c r="J9" s="32" t="n">
        <x:v>3.674474646276029</x:v>
      </x:c>
      <x:c r="K9" s="32" t="n">
        <x:f>IF(J9="","",(1/'Metadata'!$B$5)^(J9-1))</x:f>
        <x:v>472.57924733863626</x:v>
      </x:c>
      <x:c r="L9" s="31" t="n">
        <x:f>IF(E9=0,"",E9*K9)</x:f>
        <x:v>742082926.4577875</x:v>
      </x:c>
      <x:c r="M9" s="31" t="n">
        <x:f>IF(E9=0,"",I9-L9)</x:f>
        <x:v>489758968.32402277</x:v>
      </x:c>
      <x:c r="N9" s="32" t="n">
        <x:f>IF(L9=0,"",I9/L9)</x:f>
        <x:v>1.6599787582525416</x:v>
      </x:c>
      <x:c r="O9" s="34" t="n">
        <x:f>IF(L9=0,"",M9/L9)</x:f>
        <x:v>0.6599787582525416</x:v>
      </x:c>
    </x:row>
    <x:row r="10" ht="18" customHeight="1">
      <x:c r="A10" s="24" t="str">
        <x:v>Salmon, smelts, etc</x:v>
      </x:c>
      <x:c r="B10" s="33" t="n">
        <x:v>3</x:v>
      </x:c>
      <x:c r="C10" s="33" t="n">
        <x:v>3</x:v>
      </x:c>
      <x:c r="D10" s="31" t="n">
        <x:v>122886.46255197491</x:v>
      </x:c>
      <x:c r="E10" s="31" t="n">
        <x:v>122886.46255197491</x:v>
      </x:c>
      <x:c r="F10" s="32" t="n">
        <x:v>0</x:v>
      </x:c>
      <x:c r="G10" s="34" t="n">
        <x:v>1</x:v>
      </x:c>
      <x:c r="H10" s="32" t="n">
        <x:f>IF(E10=0,"",I10/E10)</x:f>
        <x:v>864.4138835018834</x:v>
      </x:c>
      <x:c r="I10" s="31" t="n">
        <x:f>IF(C10=0,"",SUMIF('Species'!$H$2:$H$179,A10,'Species'!$U$2:$U$179))</x:f>
        <x:v>106224764.3243614</x:v>
      </x:c>
      <x:c r="J10" s="32" t="n">
        <x:v>3.9220529296303055</x:v>
      </x:c>
      <x:c r="K10" s="32" t="n">
        <x:f>IF(J10="","",(1/'Metadata'!$B$5)^(J10-1))</x:f>
        <x:v>835.704863536548</x:v>
      </x:c>
      <x:c r="L10" s="31" t="n">
        <x:f>IF(E10=0,"",E10*K10)</x:f>
        <x:v>102696814.41748731</x:v>
      </x:c>
      <x:c r="M10" s="31" t="n">
        <x:f>IF(E10=0,"",I10-L10)</x:f>
        <x:v>3527949.9068740904</x:v>
      </x:c>
      <x:c r="N10" s="32" t="n">
        <x:f>IF(L10=0,"",I10/L10)</x:f>
        <x:v>1.0343530607729674</x:v>
      </x:c>
      <x:c r="O10" s="34" t="n">
        <x:f>IF(L10=0,"",M10/L10)</x:f>
        <x:v>0.03435306077296734</x:v>
      </x:c>
    </x:row>
    <x:row r="11" ht="18" customHeight="1">
      <x:c r="A11" s="24" t="str">
        <x:v>Scorpionfishes</x:v>
      </x:c>
      <x:c r="B11" s="33" t="n">
        <x:v>5</x:v>
      </x:c>
      <x:c r="C11" s="33" t="n">
        <x:v>5</x:v>
      </x:c>
      <x:c r="D11" s="31" t="n">
        <x:v>53410.2164317602</x:v>
      </x:c>
      <x:c r="E11" s="31" t="n">
        <x:v>53410.2164317602</x:v>
      </x:c>
      <x:c r="F11" s="32" t="n">
        <x:v>0</x:v>
      </x:c>
      <x:c r="G11" s="34" t="n">
        <x:v>1</x:v>
      </x:c>
      <x:c r="H11" s="32" t="n">
        <x:f>IF(E11=0,"",I11/E11)</x:f>
        <x:v>419.97659609142994</x:v>
      </x:c>
      <x:c r="I11" s="31" t="n">
        <x:f>IF(C11=0,"",SUMIF('Species'!$H$2:$H$179,A11,'Species'!$U$2:$U$179))</x:f>
        <x:v>22431040.893517207</x:v>
      </x:c>
      <x:c r="J11" s="32" t="n">
        <x:v>3.619423353793733</x:v>
      </x:c>
      <x:c r="K11" s="32" t="n">
        <x:f>IF(J11="","",(1/'Metadata'!$B$5)^(J11-1))</x:f>
        <x:v>416.3162412143033</x:v>
      </x:c>
      <x:c r="L11" s="31" t="n">
        <x:f>IF(E11=0,"",E11*K11)</x:f>
        <x:v>22235540.547312826</x:v>
      </x:c>
      <x:c r="M11" s="31" t="n">
        <x:f>IF(E11=0,"",I11-L11)</x:f>
        <x:v>195500.34620438144</x:v>
      </x:c>
      <x:c r="N11" s="32" t="n">
        <x:f>IF(L11=0,"",I11/L11)</x:f>
        <x:v>1.008792246169523</x:v>
      </x:c>
      <x:c r="O11" s="34" t="n">
        <x:f>IF(L11=0,"",M11/L11)</x:f>
        <x:v>0.00879224616952286</x:v>
      </x:c>
    </x:row>
    <x:row r="12" ht="18" customHeight="1">
      <x:c r="A12" s="24" t="str">
        <x:v>Sharks &amp; rays</x:v>
      </x:c>
      <x:c r="B12" s="33" t="n">
        <x:v>10</x:v>
      </x:c>
      <x:c r="C12" s="33" t="n">
        <x:v>10</x:v>
      </x:c>
      <x:c r="D12" s="31" t="n">
        <x:v>26015.9842324185</x:v>
      </x:c>
      <x:c r="E12" s="31" t="n">
        <x:v>26015.9842324185</x:v>
      </x:c>
      <x:c r="F12" s="32" t="n">
        <x:v>0</x:v>
      </x:c>
      <x:c r="G12" s="34" t="n">
        <x:v>1</x:v>
      </x:c>
      <x:c r="H12" s="32" t="n">
        <x:f>IF(E12=0,"",I12/E12)</x:f>
        <x:v>1045.8681511005798</x:v>
      </x:c>
      <x:c r="I12" s="31" t="n">
        <x:f>IF(C12=0,"",SUMIF('Species'!$H$2:$H$179,A12,'Species'!$U$2:$U$179))</x:f>
        <x:v>27209289.328221373</x:v>
      </x:c>
      <x:c r="J12" s="32" t="n">
        <x:v>4.011302129442597</x:v>
      </x:c>
      <x:c r="K12" s="32" t="n">
        <x:f>IF(J12="","",(1/'Metadata'!$B$5)^(J12-1))</x:f>
        <x:v>1026.3656987514862</x:v>
      </x:c>
      <x:c r="L12" s="31" t="n">
        <x:f>IF(E12=0,"",E12*K12)</x:f>
        <x:v>26701913.835413862</x:v>
      </x:c>
      <x:c r="M12" s="31" t="n">
        <x:f>IF(E12=0,"",I12-L12)</x:f>
        <x:v>507375.49280751124</x:v>
      </x:c>
      <x:c r="N12" s="32" t="n">
        <x:f>IF(L12=0,"",I12/L12)</x:f>
        <x:v>1.0190014654355821</x:v>
      </x:c>
      <x:c r="O12" s="34" t="n">
        <x:f>IF(L12=0,"",M12/L12)</x:f>
        <x:v>0.01900146543558222</x:v>
      </x:c>
    </x:row>
    <x:row r="13" ht="18" customHeight="1">
      <x:c r="A13" s="24" t="str">
        <x:v>Tuna &amp; billfishes</x:v>
      </x:c>
      <x:c r="B13" s="33" t="n">
        <x:v>11</x:v>
      </x:c>
      <x:c r="C13" s="33" t="n">
        <x:v>11</x:v>
      </x:c>
      <x:c r="D13" s="31" t="n">
        <x:v>234366.8938147432</x:v>
      </x:c>
      <x:c r="E13" s="31" t="n">
        <x:v>234366.8938147432</x:v>
      </x:c>
      <x:c r="F13" s="32" t="n">
        <x:v>0</x:v>
      </x:c>
      <x:c r="G13" s="34" t="n">
        <x:v>1</x:v>
      </x:c>
      <x:c r="H13" s="32" t="n">
        <x:f>IF(E13=0,"",I13/E13)</x:f>
        <x:v>2551.4550299683565</x:v>
      </x:c>
      <x:c r="I13" s="31" t="n">
        <x:f>IF(C13=0,"",SUMIF('Species'!$H$2:$H$179,A13,'Species'!$U$2:$U$179))</x:f>
        <x:v>597976590.0816863</x:v>
      </x:c>
      <x:c r="J13" s="32" t="n">
        <x:v>4.4008111532341445</x:v>
      </x:c>
      <x:c r="K13" s="32" t="n">
        <x:f>IF(J13="","",(1/'Metadata'!$B$5)^(J13-1))</x:f>
        <x:v>2516.5823898183135</x:v>
      </x:c>
      <x:c r="L13" s="31" t="n">
        <x:f>IF(E13=0,"",E13*K13)</x:f>
        <x:v>589803597.7306013</x:v>
      </x:c>
      <x:c r="M13" s="31" t="n">
        <x:f>IF(E13=0,"",I13-L13)</x:f>
        <x:v>8172992.351084948</x:v>
      </x:c>
      <x:c r="N13" s="32" t="n">
        <x:f>IF(L13=0,"",I13/L13)</x:f>
        <x:v>1.0138571422462195</x:v>
      </x:c>
      <x:c r="O13" s="34" t="n">
        <x:f>IF(L13=0,"",M13/L13)</x:f>
        <x:v>0.013857142246219468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b457ade354542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11</x:v>
      </x:c>
      <x:c r="C2" s="33" t="n">
        <x:v>11</x:v>
      </x:c>
      <x:c r="D2" s="31" t="n">
        <x:v>190729.24517054527</x:v>
      </x:c>
      <x:c r="E2" s="31" t="n">
        <x:v>190729.24517054527</x:v>
      </x:c>
      <x:c r="F2" s="32" t="n">
        <x:v>0</x:v>
      </x:c>
      <x:c r="G2" s="34" t="n">
        <x:v>1</x:v>
      </x:c>
      <x:c r="H2" s="32" t="n">
        <x:f>IF(E2=0,"",I2/E2)</x:f>
        <x:v>1219.009202716236</x:v>
      </x:c>
      <x:c r="I2" s="31" t="n">
        <x:f>IF(C2=0,"",SUMIF('Species'!$G$2:$G$179,A2,'Species'!$U$2:$U$179))</x:f>
        <x:v>232500705.09001586</x:v>
      </x:c>
      <x:c r="J2" s="32" t="n">
        <x:v>4.017919457171402</x:v>
      </x:c>
      <x:c r="K2" s="32" t="n">
        <x:f>IF(J2="","",(1/'Metadata'!$B$5)^(J2-1))</x:f>
        <x:v>1042.1241425490477</x:v>
      </x:c>
      <x:c r="L2" s="31" t="n">
        <x:f>IF(E2=0,"",E2*K2)</x:f>
        <x:v>198763551.0823816</x:v>
      </x:c>
      <x:c r="M2" s="31" t="n">
        <x:f>IF(E2=0,"",I2-L2)</x:f>
        <x:v>33737154.00763425</x:v>
      </x:c>
      <x:c r="N2" s="32" t="n">
        <x:f>IF(L2=0,"",I2/L2)</x:f>
        <x:v>1.1697351140282817</x:v>
      </x:c>
      <x:c r="O2" s="34" t="n">
        <x:f>IF(L2=0,"",M2/L2)</x:f>
        <x:v>0.16973511402828179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479</x:v>
      </x:c>
      <x:c r="E3" s="31" t="n">
        <x:v>479</x:v>
      </x:c>
      <x:c r="F3" s="32" t="n">
        <x:v>0</x:v>
      </x:c>
      <x:c r="G3" s="34" t="n">
        <x:v>1</x:v>
      </x:c>
      <x:c r="H3" s="32" t="n">
        <x:f>IF(E3=0,"",I3/E3)</x:f>
        <x:v>102.71776238274046</x:v>
      </x:c>
      <x:c r="I3" s="31" t="n">
        <x:f>IF(C3=0,"",SUMIF('Species'!$G$2:$G$179,A3,'Species'!$U$2:$U$179))</x:f>
        <x:v>49201.80818133268</x:v>
      </x:c>
      <x:c r="J3" s="32" t="n">
        <x:v>3.010939457202505</x:v>
      </x:c>
      <x:c r="K3" s="32" t="n">
        <x:f>IF(J3="","",(1/'Metadata'!$B$5)^(J3-1))</x:f>
        <x:v>102.55089552687535</x:v>
      </x:c>
      <x:c r="L3" s="31" t="n">
        <x:f>IF(E3=0,"",E3*K3)</x:f>
        <x:v>49121.878957373294</x:v>
      </x:c>
      <x:c r="M3" s="31" t="n">
        <x:f>IF(E3=0,"",I3-L3)</x:f>
        <x:v>79.92922395938513</x:v>
      </x:c>
      <x:c r="N3" s="32" t="n">
        <x:f>IF(L3=0,"",I3/L3)</x:f>
        <x:v>1.0016271613719978</x:v>
      </x:c>
      <x:c r="O3" s="34" t="n">
        <x:f>IF(L3=0,"",M3/L3)</x:f>
        <x:v>0.0016271613719977132</x:v>
      </x:c>
    </x:row>
    <x:row r="4" ht="18" customHeight="1">
      <x:c r="A4" s="24" t="str">
        <x:v>Large benthopelagics (&gt;=90 cm)</x:v>
      </x:c>
      <x:c r="B4" s="33" t="n">
        <x:v>7</x:v>
      </x:c>
      <x:c r="C4" s="33" t="n">
        <x:v>7</x:v>
      </x:c>
      <x:c r="D4" s="31" t="n">
        <x:v>373933.6089228747</x:v>
      </x:c>
      <x:c r="E4" s="31" t="n">
        <x:v>373933.6089228747</x:v>
      </x:c>
      <x:c r="F4" s="32" t="n">
        <x:v>0</x:v>
      </x:c>
      <x:c r="G4" s="34" t="n">
        <x:v>1</x:v>
      </x:c>
      <x:c r="H4" s="32" t="n">
        <x:f>IF(E4=0,"",I4/E4)</x:f>
        <x:v>1900.2892952967154</x:v>
      </x:c>
      <x:c r="I4" s="31" t="n">
        <x:f>IF(C4=0,"",SUMIF('Species'!$G$2:$G$179,A4,'Species'!$U$2:$U$179))</x:f>
        <x:v>710582034.1878071</x:v>
      </x:c>
      <x:c r="J4" s="32" t="n">
        <x:v>4.171622672153647</x:v>
      </x:c>
      <x:c r="K4" s="32" t="n">
        <x:f>IF(J4="","",(1/'Metadata'!$B$5)^(J4-1))</x:f>
        <x:v>1484.645178282005</x:v>
      </x:c>
      <x:c r="L4" s="31" t="n">
        <x:f>IF(E4=0,"",E4*K4)</x:f>
        <x:v>555158729.4849348</x:v>
      </x:c>
      <x:c r="M4" s="31" t="n">
        <x:f>IF(E4=0,"",I4-L4)</x:f>
        <x:v>155423304.70287228</x:v>
      </x:c>
      <x:c r="N4" s="32" t="n">
        <x:f>IF(L4=0,"",I4/L4)</x:f>
        <x:v>1.2799619216058638</x:v>
      </x:c>
      <x:c r="O4" s="34" t="n">
        <x:f>IF(L4=0,"",M4/L4)</x:f>
        <x:v>0.2799619216058638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126526.4828982717</x:v>
      </x:c>
      <x:c r="E5" s="31" t="n">
        <x:v>126526.4828982717</x:v>
      </x:c>
      <x:c r="F5" s="32" t="n">
        <x:v>0</x:v>
      </x:c>
      <x:c r="G5" s="34" t="n">
        <x:v>1</x:v>
      </x:c>
      <x:c r="H5" s="32" t="n">
        <x:f>IF(E5=0,"",I5/E5)</x:f>
        <x:v>1567.4795453765573</x:v>
      </x:c>
      <x:c r="I5" s="31" t="n">
        <x:f>IF(C5=0,"",SUMIF('Species'!$G$2:$G$179,A5,'Species'!$U$2:$U$179))</x:f>
        <x:v>198327673.89147767</x:v>
      </x:c>
      <x:c r="J5" s="32" t="n">
        <x:v>4.146056300175386</x:v>
      </x:c>
      <x:c r="K5" s="32" t="n">
        <x:f>IF(J5="","",(1/'Metadata'!$B$5)^(J5-1))</x:f>
        <x:v>1399.7687711580716</x:v>
      </x:c>
      <x:c r="L5" s="31" t="n">
        <x:f>IF(E5=0,"",E5*K5)</x:f>
        <x:v>177107819.48546654</x:v>
      </x:c>
      <x:c r="M5" s="31" t="n">
        <x:f>IF(E5=0,"",I5-L5)</x:f>
        <x:v>21219854.406011134</x:v>
      </x:c>
      <x:c r="N5" s="32" t="n">
        <x:f>IF(L5=0,"",I5/L5)</x:f>
        <x:v>1.1198131989183708</x:v>
      </x:c>
      <x:c r="O5" s="34" t="n">
        <x:f>IF(L5=0,"",M5/L5)</x:f>
        <x:v>0.11981319891837093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8024.0388894554</x:v>
      </x:c>
      <x:c r="E6" s="31" t="n">
        <x:v>8024.0388894554</x:v>
      </x:c>
      <x:c r="F6" s="32" t="n">
        <x:v>0</x:v>
      </x:c>
      <x:c r="G6" s="34" t="n">
        <x:v>1</x:v>
      </x:c>
      <x:c r="H6" s="32" t="n">
        <x:f>IF(E6=0,"",I6/E6)</x:f>
        <x:v>1778.2794100389228</x:v>
      </x:c>
      <x:c r="I6" s="31" t="n">
        <x:f>IF(C6=0,"",SUMIF('Species'!$G$2:$G$179,A6,'Species'!$U$2:$U$179))</x:f>
        <x:v>14268983.142470121</x:v>
      </x:c>
      <x:c r="J6" s="32" t="n">
        <x:v>4.25</x:v>
      </x:c>
      <x:c r="K6" s="32" t="n">
        <x:f>IF(J6="","",(1/'Metadata'!$B$5)^(J6-1))</x:f>
        <x:v>1778.2794100389228</x:v>
      </x:c>
      <x:c r="L6" s="31" t="n">
        <x:f>IF(E6=0,"",E6*K6)</x:f>
        <x:v>14268983.142470121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19</x:v>
      </x:c>
      <x:c r="C7" s="33" t="n">
        <x:v>19</x:v>
      </x:c>
      <x:c r="D7" s="31" t="n">
        <x:v>306190.6585080216</x:v>
      </x:c>
      <x:c r="E7" s="31" t="n">
        <x:v>306190.6585080216</x:v>
      </x:c>
      <x:c r="F7" s="32" t="n">
        <x:v>0</x:v>
      </x:c>
      <x:c r="G7" s="34" t="n">
        <x:v>1</x:v>
      </x:c>
      <x:c r="H7" s="32" t="n">
        <x:f>IF(E7=0,"",I7/E7)</x:f>
        <x:v>2496.3873237737102</x:v>
      </x:c>
      <x:c r="I7" s="31" t="n">
        <x:f>IF(C7=0,"",SUMIF('Species'!$G$2:$G$179,A7,'Species'!$U$2:$U$179))</x:f>
        <x:v>764370478.5573502</x:v>
      </x:c>
      <x:c r="J7" s="32" t="n">
        <x:v>4.391973617047501</x:v>
      </x:c>
      <x:c r="K7" s="32" t="n">
        <x:f>IF(J7="","",(1/'Metadata'!$B$5)^(J7-1))</x:f>
        <x:v>2465.8895323778693</x:v>
      </x:c>
      <x:c r="L7" s="31" t="n">
        <x:f>IF(E7=0,"",E7*K7)</x:f>
        <x:v>755032339.7268173</x:v>
      </x:c>
      <x:c r="M7" s="31" t="n">
        <x:f>IF(E7=0,"",I7-L7)</x:f>
        <x:v>9338138.830532908</x:v>
      </x:c>
      <x:c r="N7" s="32" t="n">
        <x:f>IF(L7=0,"",I7/L7)</x:f>
        <x:v>1.0123678660359259</x:v>
      </x:c>
      <x:c r="O7" s="34" t="n">
        <x:f>IF(L7=0,"",M7/L7)</x:f>
        <x:v>0.01236786603592582</x:v>
      </x:c>
    </x:row>
    <x:row r="8" ht="18" customHeight="1">
      <x:c r="A8" s="24" t="str">
        <x:v>Large rays (&gt;=90 cm)</x:v>
      </x:c>
      <x:c r="B8" s="33" t="n">
        <x:v>2</x:v>
      </x:c>
      <x:c r="C8" s="33" t="n">
        <x:v>2</x:v>
      </x:c>
      <x:c r="D8" s="31" t="n">
        <x:v>642.0219096521</x:v>
      </x:c>
      <x:c r="E8" s="31" t="n">
        <x:v>642.0219096521</x:v>
      </x:c>
      <x:c r="F8" s="32" t="n">
        <x:v>0</x:v>
      </x:c>
      <x:c r="G8" s="34" t="n">
        <x:v>1</x:v>
      </x:c>
      <x:c r="H8" s="32" t="n">
        <x:f>IF(E8=0,"",I8/E8)</x:f>
        <x:v>524.8183006576966</x:v>
      </x:c>
      <x:c r="I8" s="31" t="n">
        <x:f>IF(C8=0,"",SUMIF('Species'!$G$2:$G$179,A8,'Species'!$U$2:$U$179))</x:f>
        <x:v>336944.8476086243</x:v>
      </x:c>
      <x:c r="J8" s="32" t="n">
        <x:v>3.7200077884182035</x:v>
      </x:c>
      <x:c r="K8" s="32" t="n">
        <x:f>IF(J8="","",(1/'Metadata'!$B$5)^(J8-1))</x:f>
        <x:v>524.816871966472</x:v>
      </x:c>
      <x:c r="L8" s="31" t="n">
        <x:f>IF(E8=0,"",E8*K8)</x:f>
        <x:v>336943.93035755603</x:v>
      </x:c>
      <x:c r="M8" s="31" t="n">
        <x:f>IF(E8=0,"",I8-L8)</x:f>
        <x:v>0.9172510682838038</x:v>
      </x:c>
      <x:c r="N8" s="32" t="n">
        <x:f>IF(L8=0,"",I8/L8)</x:f>
        <x:v>1.0000027222661863</x:v>
      </x:c>
      <x:c r="O8" s="34" t="n">
        <x:f>IF(L8=0,"",M8/L8)</x:f>
        <x:v>0.000002722266186277465</x:v>
      </x:c>
    </x:row>
    <x:row r="9" ht="18" customHeight="1">
      <x:c r="A9" s="24" t="str">
        <x:v>Large reef assoc. fish (&gt;=90 cm)</x:v>
      </x:c>
      <x:c r="B9" s="33" t="n">
        <x:v>5</x:v>
      </x:c>
      <x:c r="C9" s="33" t="n">
        <x:v>5</x:v>
      </x:c>
      <x:c r="D9" s="31" t="n">
        <x:v>8493.652569728101</x:v>
      </x:c>
      <x:c r="E9" s="31" t="n">
        <x:v>8493.652569728101</x:v>
      </x:c>
      <x:c r="F9" s="32" t="n">
        <x:v>0</x:v>
      </x:c>
      <x:c r="G9" s="34" t="n">
        <x:v>1</x:v>
      </x:c>
      <x:c r="H9" s="32" t="n">
        <x:f>IF(E9=0,"",I9/E9)</x:f>
        <x:v>439.6298289897229</x:v>
      </x:c>
      <x:c r="I9" s="31" t="n">
        <x:f>IF(C9=0,"",SUMIF('Species'!$G$2:$G$179,A9,'Species'!$U$2:$U$179))</x:f>
        <x:v>3734063.0267276857</x:v>
      </x:c>
      <x:c r="J9" s="32" t="n">
        <x:v>3.6045804357544573</x:v>
      </x:c>
      <x:c r="K9" s="32" t="n">
        <x:f>IF(J9="","",(1/'Metadata'!$B$5)^(J9-1))</x:f>
        <x:v>402.328164365995</x:v>
      </x:c>
      <x:c r="L9" s="31" t="n">
        <x:f>IF(E9=0,"",E9*K9)</x:f>
        <x:v>3417235.6471412233</x:v>
      </x:c>
      <x:c r="M9" s="31" t="n">
        <x:f>IF(E9=0,"",I9-L9)</x:f>
        <x:v>316827.3795864624</x:v>
      </x:c>
      <x:c r="N9" s="32" t="n">
        <x:f>IF(L9=0,"",I9/L9)</x:f>
        <x:v>1.09271452492646</x:v>
      </x:c>
      <x:c r="O9" s="34" t="n">
        <x:f>IF(L9=0,"",M9/L9)</x:f>
        <x:v>0.09271452492645993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25373.9623227664</x:v>
      </x:c>
      <x:c r="E10" s="31" t="n">
        <x:v>25373.9623227664</x:v>
      </x:c>
      <x:c r="F10" s="32" t="n">
        <x:v>0</x:v>
      </x:c>
      <x:c r="G10" s="34" t="n">
        <x:v>1</x:v>
      </x:c>
      <x:c r="H10" s="32" t="n">
        <x:f>IF(E10=0,"",I10/E10)</x:f>
        <x:v>1059.0519580184741</x:v>
      </x:c>
      <x:c r="I10" s="31" t="n">
        <x:f>IF(C10=0,"",SUMIF('Species'!$G$2:$G$179,A10,'Species'!$U$2:$U$179))</x:f>
        <x:v>26872344.480612747</x:v>
      </x:c>
      <x:c r="J10" s="32" t="n">
        <x:v>4.0186725726834425</x:v>
      </x:c>
      <x:c r="K10" s="32" t="n">
        <x:f>IF(J10="","",(1/'Metadata'!$B$5)^(J10-1))</x:f>
        <x:v>1043.932870920709</x:v>
      </x:c>
      <x:c r="L10" s="31" t="n">
        <x:f>IF(E10=0,"",E10*K10)</x:f>
        <x:v>26488713.334239434</x:v>
      </x:c>
      <x:c r="M10" s="31" t="n">
        <x:f>IF(E10=0,"",I10-L10)</x:f>
        <x:v>383631.1463733129</x:v>
      </x:c>
      <x:c r="N10" s="32" t="n">
        <x:f>IF(L10=0,"",I10/L10)</x:f>
        <x:v>1.0144828154366194</x:v>
      </x:c>
      <x:c r="O10" s="34" t="n">
        <x:f>IF(L10=0,"",M10/L10)</x:f>
        <x:v>0.014482815436619547</x:v>
      </x:c>
    </x:row>
    <x:row r="11" ht="18" customHeight="1">
      <x:c r="A11" s="24" t="str">
        <x:v>Lobsters, crabs</x:v>
      </x:c>
      <x:c r="B11" s="33" t="n">
        <x:v>10</x:v>
      </x:c>
      <x:c r="C11" s="33" t="n">
        <x:v>10</x:v>
      </x:c>
      <x:c r="D11" s="31" t="n">
        <x:v>152549.6662871621</x:v>
      </x:c>
      <x:c r="E11" s="31" t="n">
        <x:v>152549.6662871621</x:v>
      </x:c>
      <x:c r="F11" s="32" t="n">
        <x:v>0</x:v>
      </x:c>
      <x:c r="G11" s="34" t="n">
        <x:v>1</x:v>
      </x:c>
      <x:c r="H11" s="32" t="n">
        <x:f>IF(E11=0,"",I11/E11)</x:f>
        <x:v>371.8023793831053</x:v>
      </x:c>
      <x:c r="I11" s="31" t="n">
        <x:f>IF(C11=0,"",SUMIF('Species'!$G$2:$G$179,A11,'Species'!$U$2:$U$179))</x:f>
        <x:v>56718328.89966555</x:v>
      </x:c>
      <x:c r="J11" s="32" t="n">
        <x:v>3.4168239674339627</x:v>
      </x:c>
      <x:c r="K11" s="32" t="n">
        <x:f>IF(J11="","",(1/'Metadata'!$B$5)^(J11-1))</x:f>
        <x:v>261.1102781685655</x:v>
      </x:c>
      <x:c r="L11" s="31" t="n">
        <x:f>IF(E11=0,"",E11*K11)</x:f>
        <x:v>39832285.79876274</x:v>
      </x:c>
      <x:c r="M11" s="31" t="n">
        <x:f>IF(E11=0,"",I11-L11)</x:f>
        <x:v>16886043.10090281</x:v>
      </x:c>
      <x:c r="N11" s="32" t="n">
        <x:f>IF(L11=0,"",I11/L11)</x:f>
        <x:v>1.4239285484697772</x:v>
      </x:c>
      <x:c r="O11" s="34" t="n">
        <x:f>IF(L11=0,"",M11/L11)</x:f>
        <x:v>0.4239285484697773</x:v>
      </x:c>
    </x:row>
    <x:row r="12" ht="18" customHeight="1">
      <x:c r="A12" s="24" t="str">
        <x:v>Medium bathydemersals (30 - 89 cm)</x:v>
      </x:c>
      <x:c r="B12" s="33" t="n">
        <x:v>1</x:v>
      </x:c>
      <x:c r="C12" s="33" t="n">
        <x:v>1</x:v>
      </x:c>
      <x:c r="D12" s="31" t="n">
        <x:v>112.0000000002</x:v>
      </x:c>
      <x:c r="E12" s="31" t="n">
        <x:v>112.0000000002</x:v>
      </x:c>
      <x:c r="F12" s="32" t="n">
        <x:v>0</x:v>
      </x:c>
      <x:c r="G12" s="34" t="n">
        <x:v>1</x:v>
      </x:c>
      <x:c r="H12" s="32" t="n">
        <x:f>IF(E12=0,"",I12/E12)</x:f>
        <x:v>954.992586021436</x:v>
      </x:c>
      <x:c r="I12" s="31" t="n">
        <x:f>IF(C12=0,"",SUMIF('Species'!$G$2:$G$179,A12,'Species'!$U$2:$U$179))</x:f>
        <x:v>106959.16963459183</x:v>
      </x:c>
      <x:c r="J12" s="32" t="n">
        <x:v>3.98</x:v>
      </x:c>
      <x:c r="K12" s="32" t="n">
        <x:f>IF(J12="","",(1/'Metadata'!$B$5)^(J12-1))</x:f>
        <x:v>954.992586021436</x:v>
      </x:c>
      <x:c r="L12" s="31" t="n">
        <x:f>IF(E12=0,"",E12*K12)</x:f>
        <x:v>106959.16963459183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Medium benthopelagics (30 - 89 cm)</x:v>
      </x:c>
      <x:c r="B13" s="33" t="n">
        <x:v>11</x:v>
      </x:c>
      <x:c r="C13" s="33" t="n">
        <x:v>11</x:v>
      </x:c>
      <x:c r="D13" s="31" t="n">
        <x:v>332664.3096459172</x:v>
      </x:c>
      <x:c r="E13" s="31" t="n">
        <x:v>332664.3096459172</x:v>
      </x:c>
      <x:c r="F13" s="32" t="n">
        <x:v>0</x:v>
      </x:c>
      <x:c r="G13" s="34" t="n">
        <x:v>1</x:v>
      </x:c>
      <x:c r="H13" s="32" t="n">
        <x:f>IF(E13=0,"",I13/E13)</x:f>
        <x:v>357.3187569211121</x:v>
      </x:c>
      <x:c r="I13" s="31" t="n">
        <x:f>IF(C13=0,"",SUMIF('Species'!$G$2:$G$179,A13,'Species'!$U$2:$U$179))</x:f>
        <x:v>118867197.59469905</x:v>
      </x:c>
      <x:c r="J13" s="32" t="n">
        <x:v>3.5374833913829895</x:v>
      </x:c>
      <x:c r="K13" s="32" t="n">
        <x:f>IF(J13="","",(1/'Metadata'!$B$5)^(J13-1))</x:f>
        <x:v>344.7334227655955</x:v>
      </x:c>
      <x:c r="L13" s="31" t="n">
        <x:f>IF(E13=0,"",E13*K13)</x:f>
        <x:v>114680506.09619094</x:v>
      </x:c>
      <x:c r="M13" s="31" t="n">
        <x:f>IF(E13=0,"",I13-L13)</x:f>
        <x:v>4186691.4985081106</x:v>
      </x:c>
      <x:c r="N13" s="32" t="n">
        <x:f>IF(L13=0,"",I13/L13)</x:f>
        <x:v>1.0365074382824613</x:v>
      </x:c>
      <x:c r="O13" s="34" t="n">
        <x:f>IF(L13=0,"",M13/L13)</x:f>
        <x:v>0.03650743828246124</x:v>
      </x:c>
    </x:row>
    <x:row r="14" ht="18" customHeight="1">
      <x:c r="A14" s="24" t="str">
        <x:v>Medium demersals (30 - 89 cm)</x:v>
      </x:c>
      <x:c r="B14" s="33" t="n">
        <x:v>23</x:v>
      </x:c>
      <x:c r="C14" s="33" t="n">
        <x:v>23</x:v>
      </x:c>
      <x:c r="D14" s="31" t="n">
        <x:v>993084.443148333</x:v>
      </x:c>
      <x:c r="E14" s="31" t="n">
        <x:v>993084.443148333</x:v>
      </x:c>
      <x:c r="F14" s="32" t="n">
        <x:v>0</x:v>
      </x:c>
      <x:c r="G14" s="34" t="n">
        <x:v>1</x:v>
      </x:c>
      <x:c r="H14" s="32" t="n">
        <x:f>IF(E14=0,"",I14/E14)</x:f>
        <x:v>231.4212101183857</x:v>
      </x:c>
      <x:c r="I14" s="31" t="n">
        <x:f>IF(C14=0,"",SUMIF('Species'!$G$2:$G$179,A14,'Species'!$U$2:$U$179))</x:f>
        <x:v>229820803.58313042</x:v>
      </x:c>
      <x:c r="J14" s="32" t="n">
        <x:v>3.3246337107731447</x:v>
      </x:c>
      <x:c r="K14" s="32" t="n">
        <x:f>IF(J14="","",(1/'Metadata'!$B$5)^(J14-1))</x:f>
        <x:v>211.17072490763164</x:v>
      </x:c>
      <x:c r="L14" s="31" t="n">
        <x:f>IF(E14=0,"",E14*K14)</x:f>
        <x:v>209710361.75412518</x:v>
      </x:c>
      <x:c r="M14" s="31" t="n">
        <x:f>IF(E14=0,"",I14-L14)</x:f>
        <x:v>20110441.82900524</x:v>
      </x:c>
      <x:c r="N14" s="32" t="n">
        <x:f>IF(L14=0,"",I14/L14)</x:f>
        <x:v>1.0958962716996488</x:v>
      </x:c>
      <x:c r="O14" s="34" t="n">
        <x:f>IF(L14=0,"",M14/L14)</x:f>
        <x:v>0.09589627169964887</x:v>
      </x:c>
    </x:row>
    <x:row r="15" ht="18" customHeight="1">
      <x:c r="A15" s="24" t="str">
        <x:v>Medium pelagics (30 - 89 cm)</x:v>
      </x:c>
      <x:c r="B15" s="33" t="n">
        <x:v>16</x:v>
      </x:c>
      <x:c r="C15" s="33" t="n">
        <x:v>16</x:v>
      </x:c>
      <x:c r="D15" s="31" t="n">
        <x:v>1917771.1280703933</x:v>
      </x:c>
      <x:c r="E15" s="31" t="n">
        <x:v>1917771.1280703933</x:v>
      </x:c>
      <x:c r="F15" s="32" t="n">
        <x:v>0</x:v>
      </x:c>
      <x:c r="G15" s="34" t="n">
        <x:v>1</x:v>
      </x:c>
      <x:c r="H15" s="32" t="n">
        <x:f>IF(E15=0,"",I15/E15)</x:f>
        <x:v>241.38473418368417</x:v>
      </x:c>
      <x:c r="I15" s="31" t="n">
        <x:f>IF(C15=0,"",SUMIF('Species'!$G$2:$G$179,A15,'Species'!$U$2:$U$179))</x:f>
        <x:v>462920673.974416</x:v>
      </x:c>
      <x:c r="J15" s="32" t="n">
        <x:v>3.202915454632573</x:v>
      </x:c>
      <x:c r="K15" s="32" t="n">
        <x:f>IF(J15="","",(1/'Metadata'!$B$5)^(J15-1))</x:f>
        <x:v>159.55685030487348</x:v>
      </x:c>
      <x:c r="L15" s="31" t="n">
        <x:f>IF(E15=0,"",E15*K15)</x:f>
        <x:v>305993520.8005361</x:v>
      </x:c>
      <x:c r="M15" s="31" t="n">
        <x:f>IF(E15=0,"",I15-L15)</x:f>
        <x:v>156927153.17387992</x:v>
      </x:c>
      <x:c r="N15" s="32" t="n">
        <x:f>IF(L15=0,"",I15/L15)</x:f>
        <x:v>1.5128446928004529</x:v>
      </x:c>
      <x:c r="O15" s="34" t="n">
        <x:f>IF(L15=0,"",M15/L15)</x:f>
        <x:v>0.5128446928004529</x:v>
      </x:c>
    </x:row>
    <x:row r="16" ht="18" customHeight="1">
      <x:c r="A16" s="24" t="str">
        <x:v>Medium reef assoc. fish (30 - 89 cm)</x:v>
      </x:c>
      <x:c r="B16" s="33" t="n">
        <x:v>14</x:v>
      </x:c>
      <x:c r="C16" s="33" t="n">
        <x:v>14</x:v>
      </x:c>
      <x:c r="D16" s="31" t="n">
        <x:v>44722.101590656</x:v>
      </x:c>
      <x:c r="E16" s="31" t="n">
        <x:v>44722.101590656</x:v>
      </x:c>
      <x:c r="F16" s="32" t="n">
        <x:v>0</x:v>
      </x:c>
      <x:c r="G16" s="34" t="n">
        <x:v>1</x:v>
      </x:c>
      <x:c r="H16" s="32" t="n">
        <x:f>IF(E16=0,"",I16/E16)</x:f>
        <x:v>314.479470609261</x:v>
      </x:c>
      <x:c r="I16" s="31" t="n">
        <x:f>IF(C16=0,"",SUMIF('Species'!$G$2:$G$179,A16,'Species'!$U$2:$U$179))</x:f>
        <x:v>14064182.832763087</x:v>
      </x:c>
      <x:c r="J16" s="32" t="n">
        <x:v>3.3687280922589626</x:v>
      </x:c>
      <x:c r="K16" s="32" t="n">
        <x:f>IF(J16="","",(1/'Metadata'!$B$5)^(J16-1))</x:f>
        <x:v>233.7373372693523</x:v>
      </x:c>
      <x:c r="L16" s="31" t="n">
        <x:f>IF(E16=0,"",E16*K16)</x:f>
        <x:v>10453224.942889398</x:v>
      </x:c>
      <x:c r="M16" s="31" t="n">
        <x:f>IF(E16=0,"",I16-L16)</x:f>
        <x:v>3610957.889873689</x:v>
      </x:c>
      <x:c r="N16" s="32" t="n">
        <x:f>IF(L16=0,"",I16/L16)</x:f>
        <x:v>1.3454396044858838</x:v>
      </x:c>
      <x:c r="O16" s="34" t="n">
        <x:f>IF(L16=0,"",M16/L16)</x:f>
        <x:v>0.3454396044858838</x:v>
      </x:c>
    </x:row>
    <x:row r="17" ht="18" customHeight="1">
      <x:c r="A17" s="24" t="str">
        <x:v>Other demersal invertebrates</x:v>
      </x:c>
      <x:c r="B17" s="33" t="n">
        <x:v>14</x:v>
      </x:c>
      <x:c r="C17" s="33" t="n">
        <x:v>14</x:v>
      </x:c>
      <x:c r="D17" s="31" t="n">
        <x:v>519225.65192316263</x:v>
      </x:c>
      <x:c r="E17" s="31" t="n">
        <x:v>519225.65192316263</x:v>
      </x:c>
      <x:c r="F17" s="32" t="n">
        <x:v>0</x:v>
      </x:c>
      <x:c r="G17" s="34" t="n">
        <x:v>1</x:v>
      </x:c>
      <x:c r="H17" s="32" t="n">
        <x:f>IF(E17=0,"",I17/E17)</x:f>
        <x:v>11.920501299662089</x:v>
      </x:c>
      <x:c r="I17" s="31" t="n">
        <x:f>IF(C17=0,"",SUMIF('Species'!$G$2:$G$179,A17,'Species'!$U$2:$U$179))</x:f>
        <x:v>6189430.058567955</x:v>
      </x:c>
      <x:c r="J17" s="32" t="n">
        <x:v>2.043493238226791</x:v>
      </x:c>
      <x:c r="K17" s="32" t="n">
        <x:f>IF(J17="","",(1/'Metadata'!$B$5)^(J17-1))</x:f>
        <x:v>11.053332596983601</x:v>
      </x:c>
      <x:c r="L17" s="31" t="n">
        <x:f>IF(E17=0,"",E17*K17)</x:f>
        <x:v>5739173.823592355</x:v>
      </x:c>
      <x:c r="M17" s="31" t="n">
        <x:f>IF(E17=0,"",I17-L17)</x:f>
        <x:v>450256.2349756006</x:v>
      </x:c>
      <x:c r="N17" s="32" t="n">
        <x:f>IF(L17=0,"",I17/L17)</x:f>
        <x:v>1.0784531447931942</x:v>
      </x:c>
      <x:c r="O17" s="34" t="n">
        <x:f>IF(L17=0,"",M17/L17)</x:f>
        <x:v>0.07845314479319414</x:v>
      </x:c>
    </x:row>
    <x:row r="18" ht="18" customHeight="1">
      <x:c r="A18" s="24" t="str">
        <x:v>Shrimps</x:v>
      </x:c>
      <x:c r="B18" s="33" t="n">
        <x:v>10</x:v>
      </x:c>
      <x:c r="C18" s="33" t="n">
        <x:v>10</x:v>
      </x:c>
      <x:c r="D18" s="31" t="n">
        <x:v>157941.87780222812</x:v>
      </x:c>
      <x:c r="E18" s="31" t="n">
        <x:v>157941.87780222812</x:v>
      </x:c>
      <x:c r="F18" s="32" t="n">
        <x:v>0</x:v>
      </x:c>
      <x:c r="G18" s="34" t="n">
        <x:v>1</x:v>
      </x:c>
      <x:c r="H18" s="32" t="n">
        <x:f>IF(E18=0,"",I18/E18)</x:f>
        <x:v>79.69261257651456</x:v>
      </x:c>
      <x:c r="I18" s="31" t="n">
        <x:f>IF(C18=0,"",SUMIF('Species'!$G$2:$G$179,A18,'Species'!$U$2:$U$179))</x:f>
        <x:v>12586800.877300171</x:v>
      </x:c>
      <x:c r="J18" s="32" t="n">
        <x:v>2.623311239057712</x:v>
      </x:c>
      <x:c r="K18" s="32" t="n">
        <x:f>IF(J18="","",(1/'Metadata'!$B$5)^(J18-1))</x:f>
        <x:v>42.00599139384797</x:v>
      </x:c>
      <x:c r="L18" s="31" t="n">
        <x:f>IF(E18=0,"",E18*K18)</x:f>
        <x:v>6634505.159688583</x:v>
      </x:c>
      <x:c r="M18" s="31" t="n">
        <x:f>IF(E18=0,"",I18-L18)</x:f>
        <x:v>5952295.717611589</x:v>
      </x:c>
      <x:c r="N18" s="32" t="n">
        <x:f>IF(L18=0,"",I18/L18)</x:f>
        <x:v>1.8971725206844188</x:v>
      </x:c>
      <x:c r="O18" s="34" t="n">
        <x:f>IF(L18=0,"",M18/L18)</x:f>
        <x:v>0.8971725206844189</x:v>
      </x:c>
    </x:row>
    <x:row r="19" ht="18" customHeight="1">
      <x:c r="A19" s="24" t="str">
        <x:v>Small bathydemersals (&lt;30 cm)</x:v>
      </x:c>
      <x:c r="B19" s="33" t="n">
        <x:v>1</x:v>
      </x:c>
      <x:c r="C19" s="33" t="n">
        <x:v>1</x:v>
      </x:c>
      <x:c r="D19" s="31" t="n">
        <x:v>7122.0483468063</x:v>
      </x:c>
      <x:c r="E19" s="31" t="n">
        <x:v>7122.0483468063</x:v>
      </x:c>
      <x:c r="F19" s="32" t="n">
        <x:v>0</x:v>
      </x:c>
      <x:c r="G19" s="34" t="n">
        <x:v>1</x:v>
      </x:c>
      <x:c r="H19" s="32" t="n">
        <x:f>IF(E19=0,"",I19/E19)</x:f>
        <x:v>323.5936569296281</x:v>
      </x:c>
      <x:c r="I19" s="31" t="n">
        <x:f>IF(C19=0,"",SUMIF('Species'!$G$2:$G$179,A19,'Species'!$U$2:$U$179))</x:f>
        <x:v>2304649.669372663</x:v>
      </x:c>
      <x:c r="J19" s="32" t="n">
        <x:v>3.51</x:v>
      </x:c>
      <x:c r="K19" s="32" t="n">
        <x:f>IF(J19="","",(1/'Metadata'!$B$5)^(J19-1))</x:f>
        <x:v>323.5936569296281</x:v>
      </x:c>
      <x:c r="L19" s="31" t="n">
        <x:f>IF(E19=0,"",E19*K19)</x:f>
        <x:v>2304649.669372663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bathypelagics (&lt;30 cm)</x:v>
      </x:c>
      <x:c r="B20" s="33" t="n">
        <x:v>1</x:v>
      </x:c>
      <x:c r="C20" s="33" t="n">
        <x:v>1</x:v>
      </x:c>
      <x:c r="D20" s="31" t="n">
        <x:v>2563.5708792354</x:v>
      </x:c>
      <x:c r="E20" s="31" t="n">
        <x:v>2563.5708792354</x:v>
      </x:c>
      <x:c r="F20" s="32" t="n">
        <x:v>0</x:v>
      </x:c>
      <x:c r="G20" s="34" t="n">
        <x:v>1</x:v>
      </x:c>
      <x:c r="H20" s="32" t="n">
        <x:f>IF(E20=0,"",I20/E20)</x:f>
        <x:v>125.89254117941675</x:v>
      </x:c>
      <x:c r="I20" s="31" t="n">
        <x:f>IF(C20=0,"",SUMIF('Species'!$G$2:$G$179,A20,'Species'!$U$2:$U$179))</x:f>
        <x:v>322734.4524804962</x:v>
      </x:c>
      <x:c r="J20" s="32" t="n">
        <x:v>3.1</x:v>
      </x:c>
      <x:c r="K20" s="32" t="n">
        <x:f>IF(J20="","",(1/'Metadata'!$B$5)^(J20-1))</x:f>
        <x:v>125.89254117941675</x:v>
      </x:c>
      <x:c r="L20" s="31" t="n">
        <x:f>IF(E20=0,"",E20*K20)</x:f>
        <x:v>322734.4524804962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benthopelagics (&lt;30 cm)</x:v>
      </x:c>
      <x:c r="B21" s="33" t="n">
        <x:v>2</x:v>
      </x:c>
      <x:c r="C21" s="33" t="n">
        <x:v>2</x:v>
      </x:c>
      <x:c r="D21" s="31" t="n">
        <x:v>1697.5763304790999</x:v>
      </x:c>
      <x:c r="E21" s="31" t="n">
        <x:v>1697.5763304790999</x:v>
      </x:c>
      <x:c r="F21" s="32" t="n">
        <x:v>0</x:v>
      </x:c>
      <x:c r="G21" s="34" t="n">
        <x:v>1</x:v>
      </x:c>
      <x:c r="H21" s="32" t="n">
        <x:f>IF(E21=0,"",I21/E21)</x:f>
        <x:v>986.1578133404774</x:v>
      </x:c>
      <x:c r="I21" s="31" t="n">
        <x:f>IF(C21=0,"",SUMIF('Species'!$G$2:$G$179,A21,'Species'!$U$2:$U$179))</x:f>
        <x:v>1674078.1620438208</x:v>
      </x:c>
      <x:c r="J21" s="32" t="n">
        <x:v>3.990979669423084</x:v>
      </x:c>
      <x:c r="K21" s="32" t="n">
        <x:f>IF(J21="","",(1/'Metadata'!$B$5)^(J21-1))</x:f>
        <x:v>979.4441337315133</x:v>
      </x:c>
      <x:c r="L21" s="31" t="n">
        <x:f>IF(E21=0,"",E21*K21)</x:f>
        <x:v>1662681.178449223</x:v>
      </x:c>
      <x:c r="M21" s="31" t="n">
        <x:f>IF(E21=0,"",I21-L21)</x:f>
        <x:v>11396.983594597783</x:v>
      </x:c>
      <x:c r="N21" s="32" t="n">
        <x:f>IF(L21=0,"",I21/L21)</x:f>
        <x:v>1.0068545814689667</x:v>
      </x:c>
      <x:c r="O21" s="34" t="n">
        <x:f>IF(L21=0,"",M21/L21)</x:f>
        <x:v>0.006854581468966715</x:v>
      </x:c>
    </x:row>
    <x:row r="22" ht="18" customHeight="1">
      <x:c r="A22" s="24" t="str">
        <x:v>Small demersals (&lt;30 cm)</x:v>
      </x:c>
      <x:c r="B22" s="33" t="n">
        <x:v>3</x:v>
      </x:c>
      <x:c r="C22" s="33" t="n">
        <x:v>3</x:v>
      </x:c>
      <x:c r="D22" s="31" t="n">
        <x:v>102292.2404939109</x:v>
      </x:c>
      <x:c r="E22" s="31" t="n">
        <x:v>102292.2404939109</x:v>
      </x:c>
      <x:c r="F22" s="32" t="n">
        <x:v>0</x:v>
      </x:c>
      <x:c r="G22" s="34" t="n">
        <x:v>1</x:v>
      </x:c>
      <x:c r="H22" s="32" t="n">
        <x:f>IF(E22=0,"",I22/E22)</x:f>
        <x:v>241.51657668776338</x:v>
      </x:c>
      <x:c r="I22" s="31" t="n">
        <x:f>IF(C22=0,"",SUMIF('Species'!$G$2:$G$179,A22,'Species'!$U$2:$U$179))</x:f>
        <x:v>24705271.745810766</x:v>
      </x:c>
      <x:c r="J22" s="32" t="n">
        <x:v>3.2390897267819416</x:v>
      </x:c>
      <x:c r="K22" s="32" t="n">
        <x:f>IF(J22="","",(1/'Metadata'!$B$5)^(J22-1))</x:f>
        <x:v>173.41622448223</x:v>
      </x:c>
      <x:c r="L22" s="31" t="n">
        <x:f>IF(E22=0,"",E22*K22)</x:f>
        <x:v>17739134.14028231</x:v>
      </x:c>
      <x:c r="M22" s="31" t="n">
        <x:f>IF(E22=0,"",I22-L22)</x:f>
        <x:v>6966137.605528455</x:v>
      </x:c>
      <x:c r="N22" s="32" t="n">
        <x:f>IF(L22=0,"",I22/L22)</x:f>
        <x:v>1.3926988516147267</x:v>
      </x:c>
      <x:c r="O22" s="34" t="n">
        <x:f>IF(L22=0,"",M22/L22)</x:f>
        <x:v>0.3926988516147267</x:v>
      </x:c>
    </x:row>
    <x:row r="23" ht="18" customHeight="1">
      <x:c r="A23" s="24" t="str">
        <x:v>Small pelagics (&lt;30 cm)</x:v>
      </x:c>
      <x:c r="B23" s="33" t="n">
        <x:v>9</x:v>
      </x:c>
      <x:c r="C23" s="33" t="n">
        <x:v>9</x:v>
      </x:c>
      <x:c r="D23" s="31" t="n">
        <x:v>629776.7276248229</x:v>
      </x:c>
      <x:c r="E23" s="31" t="n">
        <x:v>629776.7276248229</x:v>
      </x:c>
      <x:c r="F23" s="32" t="n">
        <x:v>0</x:v>
      </x:c>
      <x:c r="G23" s="34" t="n">
        <x:v>1</x:v>
      </x:c>
      <x:c r="H23" s="32" t="n">
        <x:f>IF(E23=0,"",I23/E23)</x:f>
        <x:v>154.1196023220659</x:v>
      </x:c>
      <x:c r="I23" s="31" t="n">
        <x:f>IF(C23=0,"",SUMIF('Species'!$G$2:$G$179,A23,'Species'!$U$2:$U$179))</x:f>
        <x:v>97060938.81322972</x:v>
      </x:c>
      <x:c r="J23" s="32" t="n">
        <x:v>3.175769641281077</x:v>
      </x:c>
      <x:c r="K23" s="32" t="n">
        <x:f>IF(J23="","",(1/'Metadata'!$B$5)^(J23-1))</x:f>
        <x:v>149.88895827715916</x:v>
      </x:c>
      <x:c r="L23" s="31" t="n">
        <x:f>IF(E23=0,"",E23*K23)</x:f>
        <x:v>94396577.6508829</x:v>
      </x:c>
      <x:c r="M23" s="31" t="n">
        <x:f>IF(E23=0,"",I23-L23)</x:f>
        <x:v>2664361.162346825</x:v>
      </x:c>
      <x:c r="N23" s="32" t="n">
        <x:f>IF(L23=0,"",I23/L23)</x:f>
        <x:v>1.0282251881228228</x:v>
      </x:c>
      <x:c r="O23" s="34" t="n">
        <x:f>IF(L23=0,"",M23/L23)</x:f>
        <x:v>0.02822518812282285</x:v>
      </x:c>
    </x:row>
    <x:row r="24" ht="18" customHeight="1">
      <x:c r="A24" s="24" t="str">
        <x:v>Small to medium flatfishes (&lt;90 cm)</x:v>
      </x:c>
      <x:c r="B24" s="33" t="n">
        <x:v>2</x:v>
      </x:c>
      <x:c r="C24" s="33" t="n">
        <x:v>2</x:v>
      </x:c>
      <x:c r="D24" s="31" t="n">
        <x:v>60374.315160614</x:v>
      </x:c>
      <x:c r="E24" s="31" t="n">
        <x:v>60374.315160614</x:v>
      </x:c>
      <x:c r="F24" s="32" t="n">
        <x:v>0</x:v>
      </x:c>
      <x:c r="G24" s="34" t="n">
        <x:v>1</x:v>
      </x:c>
      <x:c r="H24" s="32" t="n">
        <x:f>IF(E24=0,"",I24/E24)</x:f>
        <x:v>310.43986905682334</x:v>
      </x:c>
      <x:c r="I24" s="31" t="n">
        <x:f>IF(C24=0,"",SUMIF('Species'!$G$2:$G$179,A24,'Species'!$U$2:$U$179))</x:f>
        <x:v>18742594.492856394</x:v>
      </x:c>
      <x:c r="J24" s="32" t="n">
        <x:v>3.491805052818962</x:v>
      </x:c>
      <x:c r="K24" s="32" t="n">
        <x:f>IF(J24="","",(1/'Metadata'!$B$5)^(J24-1))</x:f>
        <x:v>310.31663184734833</x:v>
      </x:c>
      <x:c r="L24" s="31" t="n">
        <x:f>IF(E24=0,"",E24*K24)</x:f>
        <x:v>18735154.130732037</x:v>
      </x:c>
      <x:c r="M24" s="31" t="n">
        <x:f>IF(E24=0,"",I24-L24)</x:f>
        <x:v>7440.3621243573725</x:v>
      </x:c>
      <x:c r="N24" s="32" t="n">
        <x:f>IF(L24=0,"",I24/L24)</x:f>
        <x:v>1.0003971337557427</x:v>
      </x:c>
      <x:c r="O24" s="34" t="n">
        <x:f>IF(L24=0,"",M24/L24)</x:f>
        <x:v>0.00039713375574277466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31af140bec1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EEZ_390</x:v>
      </x:c>
      <x:c r="B2" s="24" t="str">
        <x:v>raw_filtered_tonnes</x:v>
      </x:c>
      <x:c r="C2" s="24" t="n">
        <x:v>5962290.328495037</x:v>
      </x:c>
      <x:c r="D2" s="24" t="str">
        <x:v>tonnes</x:v>
      </x:c>
    </x:row>
    <x:row r="3" ht="18" customHeight="1">
      <x:c r="A3" s="24" t="str">
        <x:v>EEZ_390</x:v>
      </x:c>
      <x:c r="B3" s="24" t="str">
        <x:v>species_catch_tonnes</x:v>
      </x:c>
      <x:c r="C3" s="24" t="n">
        <x:v>5962290.328495036</x:v>
      </x:c>
      <x:c r="D3" s="24" t="str">
        <x:v>tonnes</x:v>
      </x:c>
    </x:row>
    <x:row r="4" ht="18" customHeight="1">
      <x:c r="A4" s="24" t="str">
        <x:v>EEZ_390</x:v>
      </x:c>
      <x:c r="B4" s="24" t="str">
        <x:v>catch_difference_tonnes</x:v>
      </x:c>
      <x:c r="C4" s="24" t="n">
        <x:v>-9.313225746154785e-10</x:v>
      </x:c>
      <x:c r="D4" s="24" t="str">
        <x:v>tonnes</x:v>
      </x:c>
    </x:row>
    <x:row r="5" ht="18" customHeight="1">
      <x:c r="A5" s="24" t="str">
        <x:v>EEZ_390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EEZ_390</x:v>
      </x:c>
      <x:c r="B6" s="24" t="str">
        <x:v>matched_catch_tonnes</x:v>
      </x:c>
      <x:c r="C6" s="24" t="n">
        <x:v>5962290.328495036</x:v>
      </x:c>
      <x:c r="D6" s="24" t="str">
        <x:v>tonnes</x:v>
      </x:c>
    </x:row>
    <x:row r="7" ht="18" customHeight="1">
      <x:c r="A7" s="24" t="str">
        <x:v>EEZ_390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EEZ_390</x:v>
      </x:c>
      <x:c r="B8" s="24" t="str">
        <x:v>taxa_count</x:v>
      </x:c>
      <x:c r="C8" s="24" t="n">
        <x:v>178</x:v>
      </x:c>
      <x:c r="D8" s="24" t="str">
        <x:v>count</x:v>
      </x:c>
    </x:row>
    <x:row r="9" ht="18" customHeight="1">
      <x:c r="A9" s="24" t="str">
        <x:v>EEZ_390</x:v>
      </x:c>
      <x:c r="B9" s="24" t="str">
        <x:v>matched_taxa_count</x:v>
      </x:c>
      <x:c r="C9" s="24" t="n">
        <x:v>178</x:v>
      </x:c>
      <x:c r="D9" s="24" t="str">
        <x:v>count</x:v>
      </x:c>
    </x:row>
    <x:row r="10" ht="18" customHeight="1">
      <x:c r="A10" s="24" t="str">
        <x:v>EEZ_390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EEZ_390</x:v>
      </x:c>
      <x:c r="B11" s="24" t="str">
        <x:v>species_ppr</x:v>
      </x:c>
      <x:c r="C11" s="24" t="n">
        <x:v>2997127073.3582215</x:v>
      </x:c>
      <x:c r="D11" s="24" t="str">
        <x:v>tonnes_primary_production_equivalent</x:v>
      </x:c>
    </x:row>
    <x:row r="12" ht="18" customHeight="1">
      <x:c r="A12" s="24" t="str">
        <x:v>EEZ_390</x:v>
      </x:c>
      <x:c r="B12" s="24" t="str">
        <x:v>commercial_ppr</x:v>
      </x:c>
      <x:c r="C12" s="24" t="n">
        <x:v>2997127073.358222</x:v>
      </x:c>
      <x:c r="D12" s="24" t="str">
        <x:v>tonnes_primary_production_equivalent</x:v>
      </x:c>
    </x:row>
    <x:row r="13" ht="18" customHeight="1">
      <x:c r="A13" s="24" t="str">
        <x:v>EEZ_390</x:v>
      </x:c>
      <x:c r="B13" s="24" t="str">
        <x:v>functional_ppr</x:v>
      </x:c>
      <x:c r="C13" s="24" t="n">
        <x:v>2997127073.3582225</x:v>
      </x:c>
      <x:c r="D13" s="24" t="str">
        <x:v>tonnes_primary_production_equivalent</x:v>
      </x:c>
    </x:row>
    <x:row r="14" ht="18" customHeight="1">
      <x:c r="A14" s="24" t="str">
        <x:v>EEZ_390</x:v>
      </x:c>
      <x:c r="B14" s="24" t="str">
        <x:v>commercial_ppr_difference</x:v>
      </x:c>
      <x:c r="C14" s="24" t="n">
        <x:v>4.76837158203125e-7</x:v>
      </x:c>
      <x:c r="D14" s="24" t="str">
        <x:v>tonnes_primary_production_equivalent</x:v>
      </x:c>
    </x:row>
    <x:row r="15" ht="18" customHeight="1">
      <x:c r="A15" s="24" t="str">
        <x:v>EEZ_390</x:v>
      </x:c>
      <x:c r="B15" s="24" t="str">
        <x:v>functional_ppr_difference</x:v>
      </x:c>
      <x:c r="C15" s="24" t="n">
        <x:v>9.5367431640625e-7</x:v>
      </x:c>
      <x:c r="D15" s="24" t="str">
        <x:v>tonnes_primary_production_equivalent</x:v>
      </x:c>
    </x:row>
    <x:row r="16" ht="18" customHeight="1">
      <x:c r="A16" s="24" t="str">
        <x:v>EEZ_390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EEZ_390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EEZ_390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EEZ_390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9040dc3b5a743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EEZ_390 - Japan (main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EEZ_390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raw_data/SAU_downloads/EEZ_390-catch.zip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