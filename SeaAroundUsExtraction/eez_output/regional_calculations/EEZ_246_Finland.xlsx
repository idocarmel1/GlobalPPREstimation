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779058a2c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d518055c1c948da"/>
    <x:sheet xmlns:r="http://schemas.openxmlformats.org/officeDocument/2006/relationships" name="Commercial" sheetId="2" r:id="Rdd8b5ae4a8e946a3"/>
    <x:sheet xmlns:r="http://schemas.openxmlformats.org/officeDocument/2006/relationships" name="Functional" sheetId="3" r:id="R9403348b624d497f"/>
    <x:sheet xmlns:r="http://schemas.openxmlformats.org/officeDocument/2006/relationships" name="Missing TL" sheetId="4" r:id="R2761f82219de4b37"/>
    <x:sheet xmlns:r="http://schemas.openxmlformats.org/officeDocument/2006/relationships" name="Validation" sheetId="5" r:id="R2ee142cb31374afc"/>
    <x:sheet xmlns:r="http://schemas.openxmlformats.org/officeDocument/2006/relationships" name="Metadata" sheetId="6" r:id="R0bc13c2959ef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6f943ae4d4eae" /><Relationship Type="http://schemas.openxmlformats.org/officeDocument/2006/relationships/theme" Target="/xl/theme/theme1.xml" Id="R361f100b78834543" /><Relationship Type="http://schemas.microsoft.com/office/2022/11/relationships/FeaturePropertyBag" Target="/xl/featurePropertyBag/featurePropertyBag.xml" Id="R5870c1fe07a14796" /><Relationship Type="http://schemas.openxmlformats.org/officeDocument/2006/relationships/sharedStrings" Target="/xl/sharedStrings.xml" Id="Rc41093fc73924a46" /><Relationship Type="http://schemas.openxmlformats.org/officeDocument/2006/relationships/worksheet" Target="/xl/worksheets/sheet1.xml" Id="R8d518055c1c948da" /><Relationship Type="http://schemas.openxmlformats.org/officeDocument/2006/relationships/worksheet" Target="/xl/worksheets/sheet2.xml" Id="Rdd8b5ae4a8e946a3" /><Relationship Type="http://schemas.openxmlformats.org/officeDocument/2006/relationships/worksheet" Target="/xl/worksheets/sheet3.xml" Id="R9403348b624d497f" /><Relationship Type="http://schemas.openxmlformats.org/officeDocument/2006/relationships/worksheet" Target="/xl/worksheets/sheet4.xml" Id="R2761f82219de4b37" /><Relationship Type="http://schemas.openxmlformats.org/officeDocument/2006/relationships/worksheet" Target="/xl/worksheets/sheet5.xml" Id="R2ee142cb31374afc" /><Relationship Type="http://schemas.openxmlformats.org/officeDocument/2006/relationships/worksheet" Target="/xl/worksheets/sheet6.xml" Id="R0bc13c2959ef43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46SpeciesTable" displayName="EEZ246SpeciesTable" ref="A1:U44" headerRowCount="1" totalsRowCount="0" totalsRowShown="0">
  <x:autoFilter ref="A1:U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46CommercialTable" displayName="EEZ246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46FunctionalTable" displayName="EEZ246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46ValidationTable" displayName="EEZ24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abe60ce3814b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b9624eb19c4a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e50e9b731143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c192a3008446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EEZ_246</x:v>
      </x:c>
      <x:c r="B2" s="24" t="str">
        <x:v>Finland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82697.8410249174</x:v>
      </x:c>
      <x:c r="J2" s="31" t="n">
        <x:v>82132.7637727138</x:v>
      </x:c>
      <x:c r="K2" s="31" t="n">
        <x:v>565.0772522036</x:v>
      </x:c>
      <x:c r="L2" s="31" t="n">
        <x:v>73434.6426054912</x:v>
      </x:c>
      <x:c r="M2" s="31" t="n">
        <x:v>9263.1984194262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19837830.338241234</x:v>
      </x:c>
    </x:row>
    <x:row r="3" ht="18" customHeight="1">
      <x:c r="A3" s="24" t="str">
        <x:v>EEZ_246</x:v>
      </x:c>
      <x:c r="B3" s="24" t="str">
        <x:v>Finland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29302.6118866397</x:v>
      </x:c>
      <x:c r="J3" s="31" t="n">
        <x:v>28803.5127009482</x:v>
      </x:c>
      <x:c r="K3" s="31" t="n">
        <x:v>499.0991856915</x:v>
      </x:c>
      <x:c r="L3" s="31" t="n">
        <x:v>26376.1551768493</x:v>
      </x:c>
      <x:c r="M3" s="31" t="n">
        <x:v>2926.4567097904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2998515.739912112</x:v>
      </x:c>
    </x:row>
    <x:row r="4" ht="18" customHeight="1">
      <x:c r="A4" s="24" t="str">
        <x:v>EEZ_246</x:v>
      </x:c>
      <x:c r="B4" s="24" t="str">
        <x:v>Finland</x:v>
      </x:c>
      <x:c r="C4" s="24" t="str">
        <x:v>EEZ</x:v>
      </x:c>
      <x:c r="D4" s="30" t="n">
        <x:v>2019</x:v>
      </x:c>
      <x:c r="E4" s="24" t="str">
        <x:v>Perca fluviatilis</x:v>
      </x:c>
      <x:c r="F4" s="24" t="str">
        <x:v>European perch</x:v>
      </x:c>
      <x:c r="G4" s="24" t="str">
        <x:v>Medium demersals (30 - 89 cm)</x:v>
      </x:c>
      <x:c r="H4" s="24" t="str">
        <x:v>Perch-likes</x:v>
      </x:c>
      <x:c r="I4" s="31" t="n">
        <x:v>2829.3681140625</x:v>
      </x:c>
      <x:c r="J4" s="31" t="n">
        <x:v>2788.4438161258</x:v>
      </x:c>
      <x:c r="K4" s="31" t="n">
        <x:v>40.9242979367</x:v>
      </x:c>
      <x:c r="L4" s="31" t="n">
        <x:v>1757.0471327711</x:v>
      </x:c>
      <x:c r="M4" s="31" t="n">
        <x:v>1072.3209812914</x:v>
      </x:c>
      <x:c r="N4" s="24" t="str">
        <x:v>perca fluviatilis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Perca fluviatilis</x:v>
      </x:c>
      <x:c r="T4" s="32" t="n">
        <x:f>IF(O4="","",(1/'Metadata'!$B$5)^(O4-1))</x:f>
        <x:v>2238.7211385683377</x:v>
      </x:c>
      <x:c r="U4" s="31" t="n">
        <x:f>IF(T4="","",I4*T4)</x:f>
        <x:v>6334166.20574295</x:v>
      </x:c>
    </x:row>
    <x:row r="5" ht="18" customHeight="1">
      <x:c r="A5" s="24" t="str">
        <x:v>EEZ_246</x:v>
      </x:c>
      <x:c r="B5" s="24" t="str">
        <x:v>Finland</x:v>
      </x:c>
      <x:c r="C5" s="24" t="str">
        <x:v>EEZ</x:v>
      </x:c>
      <x:c r="D5" s="30" t="n">
        <x:v>2019</x:v>
      </x:c>
      <x:c r="E5" s="24" t="str">
        <x:v>Osmerus eperlanus</x:v>
      </x:c>
      <x:c r="F5" s="24" t="str">
        <x:v>European smelt</x:v>
      </x:c>
      <x:c r="G5" s="24" t="str">
        <x:v>Medium pelagics (30 - 89 cm)</x:v>
      </x:c>
      <x:c r="H5" s="24" t="str">
        <x:v>Salmon, smelts, etc</x:v>
      </x:c>
      <x:c r="I5" s="31" t="n">
        <x:v>1432.7089589685</x:v>
      </x:c>
      <x:c r="J5" s="31" t="n">
        <x:v>1390.0708870733001</x:v>
      </x:c>
      <x:c r="K5" s="31" t="n">
        <x:v>42.6380718952</x:v>
      </x:c>
      <x:c r="L5" s="31" t="n">
        <x:v>1335.7587250719</x:v>
      </x:c>
      <x:c r="M5" s="31" t="n">
        <x:v>96.9502338966</x:v>
      </x:c>
      <x:c r="N5" s="24" t="str">
        <x:v>osmerus eperlanus</x:v>
      </x:c>
      <x:c r="O5" s="32" t="n">
        <x:v>3.46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Osmerus eperlanus</x:v>
      </x:c>
      <x:c r="T5" s="32" t="n">
        <x:f>IF(O5="","",(1/'Metadata'!$B$5)^(O5-1))</x:f>
        <x:v>288.40315031266056</x:v>
      </x:c>
      <x:c r="U5" s="31" t="n">
        <x:f>IF(T5="","",I5*T5)</x:f>
        <x:v>413197.7772476877</x:v>
      </x:c>
    </x:row>
    <x:row r="6" ht="18" customHeight="1">
      <x:c r="A6" s="24" t="str">
        <x:v>EEZ_246</x:v>
      </x:c>
      <x:c r="B6" s="24" t="str">
        <x:v>Finland</x:v>
      </x:c>
      <x:c r="C6" s="24" t="str">
        <x:v>EEZ</x:v>
      </x:c>
      <x:c r="D6" s="30" t="n">
        <x:v>2019</x:v>
      </x:c>
      <x:c r="E6" s="24" t="str">
        <x:v>Esox lucius</x:v>
      </x:c>
      <x:c r="F6" s="24" t="str">
        <x:v>Northern pike</x:v>
      </x:c>
      <x:c r="G6" s="24" t="str">
        <x:v>Large demersals (&gt;=90 cm)</x:v>
      </x:c>
      <x:c r="H6" s="24" t="str">
        <x:v>Salmon, smelts, etc</x:v>
      </x:c>
      <x:c r="I6" s="31" t="n">
        <x:v>1151.5162428233</x:v>
      </x:c>
      <x:c r="J6" s="31" t="n">
        <x:v>1144.1039960951</x:v>
      </x:c>
      <x:c r="K6" s="31" t="n">
        <x:v>7.4122467282</x:v>
      </x:c>
      <x:c r="L6" s="31" t="n">
        <x:v>631.7702964639</x:v>
      </x:c>
      <x:c r="M6" s="31" t="n">
        <x:v>519.7459463594</x:v>
      </x:c>
      <x:c r="N6" s="24" t="str">
        <x:v>esox lucius</x:v>
      </x:c>
      <x:c r="O6" s="32" t="n">
        <x:v>4.07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Esox lucius</x:v>
      </x:c>
      <x:c r="T6" s="32" t="n">
        <x:f>IF(O6="","",(1/'Metadata'!$B$5)^(O6-1))</x:f>
        <x:v>1174.8975549395302</x:v>
      </x:c>
      <x:c r="U6" s="31" t="n">
        <x:f>IF(T6="","",I6*T6)</x:f>
        <x:v>1352913.6181662495</x:v>
      </x:c>
    </x:row>
    <x:row r="7" ht="18" customHeight="1">
      <x:c r="A7" s="24" t="str">
        <x:v>EEZ_246</x:v>
      </x:c>
      <x:c r="B7" s="24" t="str">
        <x:v>Finland</x:v>
      </x:c>
      <x:c r="C7" s="24" t="str">
        <x:v>EEZ</x:v>
      </x:c>
      <x:c r="D7" s="30" t="n">
        <x:v>2019</x:v>
      </x:c>
      <x:c r="E7" s="24" t="str">
        <x:v>Coregonus</x:v>
      </x:c>
      <x:c r="F7" s="24" t="str">
        <x:v>Whitefishes</x:v>
      </x:c>
      <x:c r="G7" s="24" t="str">
        <x:v>Medium pelagics (30 - 89 cm)</x:v>
      </x:c>
      <x:c r="H7" s="24" t="str">
        <x:v>Salmon, smelts, etc</x:v>
      </x:c>
      <x:c r="I7" s="31" t="n">
        <x:v>1109.8729545244998</x:v>
      </x:c>
      <x:c r="J7" s="31" t="n">
        <x:v>1094.5795974953</x:v>
      </x:c>
      <x:c r="K7" s="31" t="n">
        <x:v>15.2933570292</x:v>
      </x:c>
      <x:c r="L7" s="31" t="n">
        <x:v>549.9933299753</x:v>
      </x:c>
      <x:c r="M7" s="31" t="n">
        <x:v>559.8796245492</x:v>
      </x:c>
      <x:c r="N7" s="24" t="str">
        <x:v>coregonus</x:v>
      </x:c>
      <x:c r="O7" s="32" t="n">
        <x:v>3.3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Coregonus</x:v>
      </x:c>
      <x:c r="T7" s="32" t="n">
        <x:f>IF(O7="","",(1/'Metadata'!$B$5)^(O7-1))</x:f>
        <x:v>199.52623149688787</x:v>
      </x:c>
      <x:c r="U7" s="31" t="n">
        <x:f>IF(T7="","",I7*T7)</x:f>
        <x:v>221448.76805659026</x:v>
      </x:c>
    </x:row>
    <x:row r="8" ht="18" customHeight="1">
      <x:c r="A8" s="24" t="str">
        <x:v>EEZ_246</x:v>
      </x:c>
      <x:c r="B8" s="24" t="str">
        <x:v>Finland</x:v>
      </x:c>
      <x:c r="C8" s="24" t="str">
        <x:v>EEZ</x:v>
      </x:c>
      <x:c r="D8" s="30" t="n">
        <x:v>2019</x:v>
      </x:c>
      <x:c r="E8" s="24" t="str">
        <x:v>Coregonus albula</x:v>
      </x:c>
      <x:c r="F8" s="24" t="str">
        <x:v>Vendace</x:v>
      </x:c>
      <x:c r="G8" s="24" t="str">
        <x:v>Medium pelagics (30 - 89 cm)</x:v>
      </x:c>
      <x:c r="H8" s="24" t="str">
        <x:v>Salmon, smelts, etc</x:v>
      </x:c>
      <x:c r="I8" s="31" t="n">
        <x:v>825.4156438992</x:v>
      </x:c>
      <x:c r="J8" s="31" t="n">
        <x:v>759.5513765626999</x:v>
      </x:c>
      <x:c r="K8" s="31" t="n">
        <x:v>65.8642673365</x:v>
      </x:c>
      <x:c r="L8" s="31" t="n">
        <x:v>651.6845179255</x:v>
      </x:c>
      <x:c r="M8" s="31" t="n">
        <x:v>173.7311259737</x:v>
      </x:c>
      <x:c r="N8" s="24" t="str">
        <x:v>coregonus albula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Coregonus albula</x:v>
      </x:c>
      <x:c r="T8" s="32" t="n">
        <x:f>IF(O8="","",(1/'Metadata'!$B$5)^(O8-1))</x:f>
        <x:v>114.81536214968828</x:v>
      </x:c>
      <x:c r="U8" s="31" t="n">
        <x:f>IF(T8="","",I8*T8)</x:f>
        <x:v>94770.39607830478</x:v>
      </x:c>
    </x:row>
    <x:row r="9" ht="18" customHeight="1">
      <x:c r="A9" s="24" t="str">
        <x:v>EEZ_246</x:v>
      </x:c>
      <x:c r="B9" s="24" t="str">
        <x:v>Finland</x:v>
      </x:c>
      <x:c r="C9" s="24" t="str">
        <x:v>EEZ</x:v>
      </x:c>
      <x:c r="D9" s="30" t="n">
        <x:v>2019</x:v>
      </x:c>
      <x:c r="E9" s="24" t="str">
        <x:v>Rutilus rutilus</x:v>
      </x:c>
      <x:c r="F9" s="24" t="str">
        <x:v>Roach</x:v>
      </x:c>
      <x:c r="G9" s="24" t="str">
        <x:v>Medium benthopelagics (30 - 89 cm)</x:v>
      </x:c>
      <x:c r="H9" s="24" t="str">
        <x:v>Other fishes &amp; inverts</x:v>
      </x:c>
      <x:c r="I9" s="31" t="n">
        <x:v>714.7477546176</x:v>
      </x:c>
      <x:c r="J9" s="31" t="n">
        <x:v>699.6123517671999</x:v>
      </x:c>
      <x:c r="K9" s="31" t="n">
        <x:v>15.1354028504</x:v>
      </x:c>
      <x:c r="L9" s="31" t="n">
        <x:v>401.1323183028</x:v>
      </x:c>
      <x:c r="M9" s="31" t="n">
        <x:v>313.6154363148</x:v>
      </x:c>
      <x:c r="N9" s="24" t="str">
        <x:v>rutilus rutilus</x:v>
      </x:c>
      <x:c r="O9" s="32" t="n">
        <x:v>2.96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Rutilus rutilus</x:v>
      </x:c>
      <x:c r="T9" s="32" t="n">
        <x:f>IF(O9="","",(1/'Metadata'!$B$5)^(O9-1))</x:f>
        <x:v>91.20108393559097</x:v>
      </x:c>
      <x:c r="U9" s="31" t="n">
        <x:f>IF(T9="","",I9*T9)</x:f>
        <x:v>65185.769961654914</x:v>
      </x:c>
    </x:row>
    <x:row r="10" ht="18" customHeight="1">
      <x:c r="A10" s="24" t="str">
        <x:v>EEZ_246</x:v>
      </x:c>
      <x:c r="B10" s="24" t="str">
        <x:v>Finland</x:v>
      </x:c>
      <x:c r="C10" s="24" t="str">
        <x:v>EEZ</x:v>
      </x:c>
      <x:c r="D10" s="30" t="n">
        <x:v>2019</x:v>
      </x:c>
      <x:c r="E10" s="24" t="str">
        <x:v>Sander lucioperca</x:v>
      </x:c>
      <x:c r="F10" s="24" t="str">
        <x:v>Pike-perch</x:v>
      </x:c>
      <x:c r="G10" s="24" t="str">
        <x:v>Large pelagics (&gt;=90 cm)</x:v>
      </x:c>
      <x:c r="H10" s="24" t="str">
        <x:v>Perch-likes</x:v>
      </x:c>
      <x:c r="I10" s="31" t="n">
        <x:v>661.4755635955</x:v>
      </x:c>
      <x:c r="J10" s="31" t="n">
        <x:v>655.0515697358</x:v>
      </x:c>
      <x:c r="K10" s="31" t="n">
        <x:v>6.4239938596999995</x:v>
      </x:c>
      <x:c r="L10" s="31" t="n">
        <x:v>508.0493711749</x:v>
      </x:c>
      <x:c r="M10" s="31" t="n">
        <x:v>153.4261924206</x:v>
      </x:c>
      <x:c r="N10" s="24" t="str">
        <x:v>sander lucioperca</x:v>
      </x:c>
      <x:c r="O10" s="32" t="n">
        <x:v>4.04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Sander lucioperca</x:v>
      </x:c>
      <x:c r="T10" s="32" t="n">
        <x:f>IF(O10="","",(1/'Metadata'!$B$5)^(O10-1))</x:f>
        <x:v>1096.4781961431852</x:v>
      </x:c>
      <x:c r="U10" s="31" t="n">
        <x:f>IF(T10="","",I10*T10)</x:f>
        <x:v>725293.5327639907</x:v>
      </x:c>
    </x:row>
    <x:row r="11" ht="18" customHeight="1">
      <x:c r="A11" s="24" t="str">
        <x:v>EEZ_246</x:v>
      </x:c>
      <x:c r="B11" s="24" t="str">
        <x:v>Finland</x:v>
      </x:c>
      <x:c r="C11" s="24" t="str">
        <x:v>EEZ</x:v>
      </x:c>
      <x:c r="D11" s="30" t="n">
        <x:v>2019</x:v>
      </x:c>
      <x:c r="E11" s="24" t="str">
        <x:v>Cyprinidae</x:v>
      </x:c>
      <x:c r="F11" s="24" t="str">
        <x:v>Carps, barbels, other cyprinids</x:v>
      </x:c>
      <x:c r="G11" s="24" t="str">
        <x:v>Medium demersals (30 - 89 cm)</x:v>
      </x:c>
      <x:c r="H11" s="24" t="str">
        <x:v>Other fishes &amp; inverts</x:v>
      </x:c>
      <x:c r="I11" s="31" t="n">
        <x:v>509.64284621810003</x:v>
      </x:c>
      <x:c r="J11" s="31" t="n">
        <x:v>494.6360510152</x:v>
      </x:c>
      <x:c r="K11" s="31" t="n">
        <x:v>15.0067952029</x:v>
      </x:c>
      <x:c r="L11" s="31" t="n">
        <x:v>283.868974332</x:v>
      </x:c>
      <x:c r="M11" s="31" t="n">
        <x:v>225.7738718861</x:v>
      </x:c>
      <x:c r="N11" s="24" t="str">
        <x:v>cyprinidae</x:v>
      </x:c>
      <x:c r="O11" s="32" t="n">
        <x:v>2.8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Cyprinidae</x:v>
      </x:c>
      <x:c r="T11" s="32" t="n">
        <x:f>IF(O11="","",(1/'Metadata'!$B$5)^(O11-1))</x:f>
        <x:v>63.0957344480193</x:v>
      </x:c>
      <x:c r="U11" s="31" t="n">
        <x:f>IF(T11="","",I11*T11)</x:f>
        <x:v>32156.28968830998</x:v>
      </x:c>
    </x:row>
    <x:row r="12" ht="18" customHeight="1">
      <x:c r="A12" s="24" t="str">
        <x:v>EEZ_246</x:v>
      </x:c>
      <x:c r="B12" s="24" t="str">
        <x:v>Finland</x:v>
      </x:c>
      <x:c r="C12" s="24" t="str">
        <x:v>EEZ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475.8024238465</x:v>
      </x:c>
      <x:c r="J12" s="31" t="n">
        <x:v>452.9987845507</x:v>
      </x:c>
      <x:c r="K12" s="31" t="n">
        <x:v>22.8036392958</x:v>
      </x:c>
      <x:c r="L12" s="31" t="n">
        <x:v>157.6062568643</x:v>
      </x:c>
      <x:c r="M12" s="31" t="n">
        <x:v>318.19616698219994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90662.28281512047</x:v>
      </x:c>
    </x:row>
    <x:row r="13" ht="18" customHeight="1">
      <x:c r="A13" s="24" t="str">
        <x:v>EEZ_246</x:v>
      </x:c>
      <x:c r="B13" s="24" t="str">
        <x:v>Finland</x:v>
      </x:c>
      <x:c r="C13" s="24" t="str">
        <x:v>EEZ</x:v>
      </x:c>
      <x:c r="D13" s="30" t="n">
        <x:v>2019</x:v>
      </x:c>
      <x:c r="E13" s="24" t="str">
        <x:v>Salmo salar</x:v>
      </x:c>
      <x:c r="F13" s="24" t="str">
        <x:v>Atlantic salmon</x:v>
      </x:c>
      <x:c r="G13" s="24" t="str">
        <x:v>Large benthopelagics (&gt;=90 cm)</x:v>
      </x:c>
      <x:c r="H13" s="24" t="str">
        <x:v>Salmon, smelts, etc</x:v>
      </x:c>
      <x:c r="I13" s="31" t="n">
        <x:v>319.79356562040005</x:v>
      </x:c>
      <x:c r="J13" s="31" t="n">
        <x:v>301.3724976316</x:v>
      </x:c>
      <x:c r="K13" s="31" t="n">
        <x:v>18.4210679888</x:v>
      </x:c>
      <x:c r="L13" s="31" t="n">
        <x:v>239.3349264641</x:v>
      </x:c>
      <x:c r="M13" s="31" t="n">
        <x:v>80.45863915630001</x:v>
      </x:c>
      <x:c r="N13" s="24" t="str">
        <x:v>salmo salar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Salmo salar</x:v>
      </x:c>
      <x:c r="T13" s="32" t="n">
        <x:f>IF(O13="","",(1/'Metadata'!$B$5)^(O13-1))</x:f>
        <x:v>3162.2776601683795</x:v>
      </x:c>
      <x:c r="U13" s="31" t="n">
        <x:f>IF(T13="","",I13*T13)</x:f>
        <x:v>1011276.0484269818</x:v>
      </x:c>
    </x:row>
    <x:row r="14" ht="18" customHeight="1">
      <x:c r="A14" s="24" t="str">
        <x:v>EEZ_246</x:v>
      </x:c>
      <x:c r="B14" s="24" t="str">
        <x:v>Finland</x:v>
      </x:c>
      <x:c r="C14" s="24" t="str">
        <x:v>EEZ</x:v>
      </x:c>
      <x:c r="D14" s="30" t="n">
        <x:v>2019</x:v>
      </x:c>
      <x:c r="E14" s="24" t="str">
        <x:v>Salmo trutta</x:v>
      </x:c>
      <x:c r="F14" s="24" t="str">
        <x:v>Sea trout</x:v>
      </x:c>
      <x:c r="G14" s="24" t="str">
        <x:v>Large pelagics (&gt;=90 cm)</x:v>
      </x:c>
      <x:c r="H14" s="24" t="str">
        <x:v>Salmon, smelts, etc</x:v>
      </x:c>
      <x:c r="I14" s="31" t="n">
        <x:v>172.82226150469998</x:v>
      </x:c>
      <x:c r="J14" s="31" t="n">
        <x:v>171.72993614389998</x:v>
      </x:c>
      <x:c r="K14" s="31" t="n">
        <x:v>1.0923253608</x:v>
      </x:c>
      <x:c r="L14" s="31" t="n">
        <x:v>66.0413150798</x:v>
      </x:c>
      <x:c r="M14" s="31" t="n">
        <x:v>106.7809464249</x:v>
      </x:c>
      <x:c r="N14" s="24" t="str">
        <x:v>salmo trutta</x:v>
      </x:c>
      <x:c r="O14" s="32" t="n">
        <x:v>3.36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Salmo trutta</x:v>
      </x:c>
      <x:c r="T14" s="32" t="n">
        <x:f>IF(O14="","",(1/'Metadata'!$B$5)^(O14-1))</x:f>
        <x:v>229.08676527677724</x:v>
      </x:c>
      <x:c r="U14" s="31" t="n">
        <x:f>IF(T14="","",I14*T14)</x:f>
        <x:v>39591.29285592902</x:v>
      </x:c>
    </x:row>
    <x:row r="15" ht="18" customHeight="1">
      <x:c r="A15" s="24" t="str">
        <x:v>EEZ_246</x:v>
      </x:c>
      <x:c r="B15" s="24" t="str">
        <x:v>Finland</x:v>
      </x:c>
      <x:c r="C15" s="24" t="str">
        <x:v>EEZ</x:v>
      </x:c>
      <x:c r="D15" s="30" t="n">
        <x:v>2019</x:v>
      </x:c>
      <x:c r="E15" s="24" t="str">
        <x:v>Leuciscus idus</x:v>
      </x:c>
      <x:c r="F15" s="24" t="str">
        <x:v>Ide</x:v>
      </x:c>
      <x:c r="G15" s="24" t="str">
        <x:v>Medium benthopelagics (30 - 89 cm)</x:v>
      </x:c>
      <x:c r="H15" s="24" t="str">
        <x:v>Other fishes &amp; inverts</x:v>
      </x:c>
      <x:c r="I15" s="31" t="n">
        <x:v>136.2339010512</x:v>
      </x:c>
      <x:c r="J15" s="31" t="n">
        <x:v>133.7120281015</x:v>
      </x:c>
      <x:c r="K15" s="31" t="n">
        <x:v>2.5218729497</x:v>
      </x:c>
      <x:c r="L15" s="31" t="n">
        <x:v>68.7662962064</x:v>
      </x:c>
      <x:c r="M15" s="31" t="n">
        <x:v>67.4676048448</x:v>
      </x:c>
      <x:c r="N15" s="24" t="str">
        <x:v>leuciscus idus</x:v>
      </x:c>
      <x:c r="O15" s="32" t="n">
        <x:v>3.79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Leuciscus idus</x:v>
      </x:c>
      <x:c r="T15" s="32" t="n">
        <x:f>IF(O15="","",(1/'Metadata'!$B$5)^(O15-1))</x:f>
        <x:v>616.5950018614822</x:v>
      </x:c>
      <x:c r="U15" s="31" t="n">
        <x:f>IF(T15="","",I15*T15)</x:f>
        <x:v>84001.14247226165</x:v>
      </x:c>
    </x:row>
    <x:row r="16" ht="18" customHeight="1">
      <x:c r="A16" s="24" t="str">
        <x:v>EEZ_246</x:v>
      </x:c>
      <x:c r="B16" s="24" t="str">
        <x:v>Finland</x:v>
      </x:c>
      <x:c r="C16" s="24" t="str">
        <x:v>EEZ</x:v>
      </x:c>
      <x:c r="D16" s="30" t="n">
        <x:v>2019</x:v>
      </x:c>
      <x:c r="E16" s="24" t="str">
        <x:v>Gasterosteus aculeatus</x:v>
      </x:c>
      <x:c r="F16" s="24" t="str">
        <x:v>Three-spined stickleback</x:v>
      </x:c>
      <x:c r="G16" s="24" t="str">
        <x:v>Small benthopelagics (&lt;30 cm)</x:v>
      </x:c>
      <x:c r="H16" s="24" t="str">
        <x:v>Other fishes &amp; inverts</x:v>
      </x:c>
      <x:c r="I16" s="31" t="n">
        <x:v>89.1279376456</x:v>
      </x:c>
      <x:c r="J16" s="31" t="n">
        <x:v>87.97321243030001</x:v>
      </x:c>
      <x:c r="K16" s="31" t="n">
        <x:v>1.1547252153</x:v>
      </x:c>
      <x:c r="L16" s="31" t="n">
        <x:v>85.45331743279999</x:v>
      </x:c>
      <x:c r="M16" s="31" t="n">
        <x:v>3.6746202128</x:v>
      </x:c>
      <x:c r="N16" s="24" t="str">
        <x:v>gasterosteus aculeatus</x:v>
      </x:c>
      <x:c r="O16" s="32" t="n">
        <x:v>3.31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Gasterosteus aculeatus</x:v>
      </x:c>
      <x:c r="T16" s="32" t="n">
        <x:f>IF(O16="","",(1/'Metadata'!$B$5)^(O16-1))</x:f>
        <x:v>204.17379446695296</x:v>
      </x:c>
      <x:c r="U16" s="31" t="n">
        <x:f>IF(T16="","",I16*T16)</x:f>
        <x:v>18197.589222116134</x:v>
      </x:c>
    </x:row>
    <x:row r="17" ht="18" customHeight="1">
      <x:c r="A17" s="24" t="str">
        <x:v>EEZ_246</x:v>
      </x:c>
      <x:c r="B17" s="24" t="str">
        <x:v>Finland</x:v>
      </x:c>
      <x:c r="C17" s="24" t="str">
        <x:v>EEZ</x:v>
      </x:c>
      <x:c r="D17" s="30" t="n">
        <x:v>2019</x:v>
      </x:c>
      <x:c r="E17" s="24" t="str">
        <x:v>Platichthys flesus</x:v>
      </x:c>
      <x:c r="F17" s="24" t="str">
        <x:v>European flounder</x:v>
      </x:c>
      <x:c r="G17" s="24" t="str">
        <x:v>Small to medium flatfishes (&lt;90 cm)</x:v>
      </x:c>
      <x:c r="H17" s="24" t="str">
        <x:v>Flatfishes</x:v>
      </x:c>
      <x:c r="I17" s="31" t="n">
        <x:v>84.985520064</x:v>
      </x:c>
      <x:c r="J17" s="31" t="n">
        <x:v>76.2086345444</x:v>
      </x:c>
      <x:c r="K17" s="31" t="n">
        <x:v>8.7768855196</x:v>
      </x:c>
      <x:c r="L17" s="31" t="n">
        <x:v>67.812379549</x:v>
      </x:c>
      <x:c r="M17" s="31" t="n">
        <x:v>17.173140515</x:v>
      </x:c>
      <x:c r="N17" s="24" t="str">
        <x:v>platichthys flesus</x:v>
      </x:c>
      <x:c r="O17" s="32" t="n">
        <x:v>3.32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Platichthys flesus</x:v>
      </x:c>
      <x:c r="T17" s="32" t="n">
        <x:f>IF(O17="","",(1/'Metadata'!$B$5)^(O17-1))</x:f>
        <x:v>208.92961308540387</x:v>
      </x:c>
      <x:c r="U17" s="31" t="n">
        <x:f>IF(T17="","",I17*T17)</x:f>
        <x:v>17755.99182483335</x:v>
      </x:c>
    </x:row>
    <x:row r="18" ht="18" customHeight="1">
      <x:c r="A18" s="24" t="str">
        <x:v>EEZ_246</x:v>
      </x:c>
      <x:c r="B18" s="24" t="str">
        <x:v>Finland</x:v>
      </x:c>
      <x:c r="C18" s="24" t="str">
        <x:v>EEZ</x:v>
      </x:c>
      <x:c r="D18" s="30" t="n">
        <x:v>2019</x:v>
      </x:c>
      <x:c r="E18" s="24" t="str">
        <x:v>Lota lota</x:v>
      </x:c>
      <x:c r="F18" s="24" t="str">
        <x:v>Burbot</x:v>
      </x:c>
      <x:c r="G18" s="24" t="str">
        <x:v>Large demersals (&gt;=90 cm)</x:v>
      </x:c>
      <x:c r="H18" s="24" t="str">
        <x:v>Cod-likes</x:v>
      </x:c>
      <x:c r="I18" s="31" t="n">
        <x:v>77.81397535679999</x:v>
      </x:c>
      <x:c r="J18" s="31" t="n">
        <x:v>76.30873336229999</x:v>
      </x:c>
      <x:c r="K18" s="31" t="n">
        <x:v>1.5052419945</x:v>
      </x:c>
      <x:c r="L18" s="31" t="n">
        <x:v>7.4214008872</x:v>
      </x:c>
      <x:c r="M18" s="31" t="n">
        <x:v>70.39257446959999</x:v>
      </x:c>
      <x:c r="N18" s="24" t="str">
        <x:v>lota lota</x:v>
      </x:c>
      <x:c r="O18" s="32" t="n">
        <x:v>3.84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Lota lota</x:v>
      </x:c>
      <x:c r="T18" s="32" t="n">
        <x:f>IF(O18="","",(1/'Metadata'!$B$5)^(O18-1))</x:f>
        <x:v>691.8309709189363</x:v>
      </x:c>
      <x:c r="U18" s="31" t="n">
        <x:f>IF(T18="","",I18*T18)</x:f>
        <x:v>53834.11812215712</x:v>
      </x:c>
    </x:row>
    <x:row r="19" ht="18" customHeight="1">
      <x:c r="A19" s="24" t="str">
        <x:v>EEZ_246</x:v>
      </x:c>
      <x:c r="B19" s="24" t="str">
        <x:v>Finland</x:v>
      </x:c>
      <x:c r="C19" s="24" t="str">
        <x:v>EEZ</x:v>
      </x:c>
      <x:c r="D19" s="30" t="n">
        <x:v>2019</x:v>
      </x:c>
      <x:c r="E19" s="24" t="str">
        <x:v>Gadus morhua</x:v>
      </x:c>
      <x:c r="F19" s="24" t="str">
        <x:v>Atlantic cod</x:v>
      </x:c>
      <x:c r="G19" s="24" t="str">
        <x:v>Large benthopelagics (&gt;=90 cm)</x:v>
      </x:c>
      <x:c r="H19" s="24" t="str">
        <x:v>Cod-likes</x:v>
      </x:c>
      <x:c r="I19" s="31" t="n">
        <x:v>41.318648634199995</x:v>
      </x:c>
      <x:c r="J19" s="31" t="n">
        <x:v>33.9124007815</x:v>
      </x:c>
      <x:c r="K19" s="31" t="n">
        <x:v>7.4062478527</x:v>
      </x:c>
      <x:c r="L19" s="31" t="n">
        <x:v>27.147586830599998</x:v>
      </x:c>
      <x:c r="M19" s="31" t="n">
        <x:v>14.1710618036</x:v>
      </x:c>
      <x:c r="N19" s="24" t="str">
        <x:v>gadus morhua</x:v>
      </x:c>
      <x:c r="O19" s="32" t="n">
        <x:v>4.09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Gadus morhua</x:v>
      </x:c>
      <x:c r="T19" s="32" t="n">
        <x:f>IF(O19="","",(1/'Metadata'!$B$5)^(O19-1))</x:f>
        <x:v>1230.268770812381</x:v>
      </x:c>
      <x:c r="U19" s="31" t="n">
        <x:f>IF(T19="","",I19*T19)</x:f>
        <x:v>50833.04306682589</x:v>
      </x:c>
    </x:row>
    <x:row r="20" ht="18" customHeight="1">
      <x:c r="A20" s="24" t="str">
        <x:v>EEZ_246</x:v>
      </x:c>
      <x:c r="B20" s="24" t="str">
        <x:v>Finland</x:v>
      </x:c>
      <x:c r="C20" s="24" t="str">
        <x:v>EEZ</x:v>
      </x:c>
      <x:c r="D20" s="30" t="n">
        <x:v>2019</x:v>
      </x:c>
      <x:c r="E20" s="24" t="str">
        <x:v>Gymnocephalus cernua</x:v>
      </x:c>
      <x:c r="F20" s="24" t="str">
        <x:v>Ruffe</x:v>
      </x:c>
      <x:c r="G20" s="24" t="str">
        <x:v>Small demersals (&lt;30 cm)</x:v>
      </x:c>
      <x:c r="H20" s="24" t="str">
        <x:v>Perch-likes</x:v>
      </x:c>
      <x:c r="I20" s="31" t="n">
        <x:v>30.2181974739</x:v>
      </x:c>
      <x:c r="J20" s="31" t="n">
        <x:v>24.5237249376</x:v>
      </x:c>
      <x:c r="K20" s="31" t="n">
        <x:v>5.6944725363</x:v>
      </x:c>
      <x:c r="L20" s="31" t="n">
        <x:v>15.5746784921</x:v>
      </x:c>
      <x:c r="M20" s="31" t="n">
        <x:v>14.643518981799998</x:v>
      </x:c>
      <x:c r="N20" s="24" t="str">
        <x:v>gymnocephalus cernua</x:v>
      </x:c>
      <x:c r="O20" s="32" t="n">
        <x:v>3.32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Gymnocephalus cernua</x:v>
      </x:c>
      <x:c r="T20" s="32" t="n">
        <x:f>IF(O20="","",(1/'Metadata'!$B$5)^(O20-1))</x:f>
        <x:v>208.92961308540387</x:v>
      </x:c>
      <x:c r="U20" s="31" t="n">
        <x:f>IF(T20="","",I20*T20)</x:f>
        <x:v>6313.476306360255</x:v>
      </x:c>
    </x:row>
    <x:row r="21" ht="18" customHeight="1">
      <x:c r="A21" s="24" t="str">
        <x:v>EEZ_246</x:v>
      </x:c>
      <x:c r="B21" s="24" t="str">
        <x:v>Finland</x:v>
      </x:c>
      <x:c r="C21" s="24" t="str">
        <x:v>EEZ</x:v>
      </x:c>
      <x:c r="D21" s="30" t="n">
        <x:v>2019</x:v>
      </x:c>
      <x:c r="E21" s="24" t="str">
        <x:v>Myoxocephalus quadricornis</x:v>
      </x:c>
      <x:c r="F21" s="24" t="str">
        <x:v>Fourhorn sculpin</x:v>
      </x:c>
      <x:c r="G21" s="24" t="str">
        <x:v>Medium demersals (30 - 89 cm)</x:v>
      </x:c>
      <x:c r="H21" s="24" t="str">
        <x:v>Scorpionfishes</x:v>
      </x:c>
      <x:c r="I21" s="31" t="n">
        <x:v>26.9129287095</x:v>
      </x:c>
      <x:c r="J21" s="31" t="n">
        <x:v>26.9129287095</x:v>
      </x:c>
      <x:c r="K21" s="31" t="n">
        <x:v>0</x:v>
      </x:c>
      <x:c r="L21" s="31" t="n">
        <x:v>26.9129287095</x:v>
      </x:c>
      <x:c r="M21" s="31" t="n">
        <x:v>0</x:v>
      </x:c>
      <x:c r="N21" s="24" t="str">
        <x:v>myoxocephalus quadricornis</x:v>
      </x:c>
      <x:c r="O21" s="32" t="n">
        <x:v>3.69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Myoxocephalus quadricornis</x:v>
      </x:c>
      <x:c r="T21" s="32" t="n">
        <x:f>IF(O21="","",(1/'Metadata'!$B$5)^(O21-1))</x:f>
        <x:v>489.77881936844614</x:v>
      </x:c>
      <x:c r="U21" s="31" t="n">
        <x:f>IF(T21="","",I21*T21)</x:f>
        <x:v>13181.38244908607</x:v>
      </x:c>
    </x:row>
    <x:row r="22" ht="18" customHeight="1">
      <x:c r="A22" s="24" t="str">
        <x:v>EEZ_246</x:v>
      </x:c>
      <x:c r="B22" s="24" t="str">
        <x:v>Finland</x:v>
      </x:c>
      <x:c r="C22" s="24" t="str">
        <x:v>EEZ</x:v>
      </x:c>
      <x:c r="D22" s="30" t="n">
        <x:v>2019</x:v>
      </x:c>
      <x:c r="E22" s="24" t="str">
        <x:v>Scophthalmidae</x:v>
      </x:c>
      <x:c r="F22" s="24" t="str">
        <x:v>Turbots</x:v>
      </x:c>
      <x:c r="G22" s="24" t="str">
        <x:v>Small to medium flatfishes (&lt;90 cm)</x:v>
      </x:c>
      <x:c r="H22" s="24" t="str">
        <x:v>Flatfishes</x:v>
      </x:c>
      <x:c r="I22" s="31" t="n">
        <x:v>26.3449787058</x:v>
      </x:c>
      <x:c r="J22" s="31" t="n">
        <x:v>26.3157371366</x:v>
      </x:c>
      <x:c r="K22" s="31" t="n">
        <x:v>0.0292415692</x:v>
      </x:c>
      <x:c r="L22" s="31" t="n">
        <x:v>0</x:v>
      </x:c>
      <x:c r="M22" s="31" t="n">
        <x:v>26.3449787058</x:v>
      </x:c>
      <x:c r="N22" s="24" t="str">
        <x:v>scophthalmidae</x:v>
      </x:c>
      <x:c r="O22" s="32" t="n">
        <x:v>3.71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Scophthalmidae</x:v>
      </x:c>
      <x:c r="T22" s="32" t="n">
        <x:f>IF(O22="","",(1/'Metadata'!$B$5)^(O22-1))</x:f>
        <x:v>512.8613839913648</x:v>
      </x:c>
      <x:c r="U22" s="31" t="n">
        <x:f>IF(T22="","",I22*T22)</x:f>
        <x:v>13511.322240279624</x:v>
      </x:c>
    </x:row>
    <x:row r="23" ht="18" customHeight="1">
      <x:c r="A23" s="24" t="str">
        <x:v>EEZ_246</x:v>
      </x:c>
      <x:c r="B23" s="24" t="str">
        <x:v>Finland</x:v>
      </x:c>
      <x:c r="C23" s="24" t="str">
        <x:v>EEZ</x:v>
      </x:c>
      <x:c r="D23" s="30" t="n">
        <x:v>2019</x:v>
      </x:c>
      <x:c r="E23" s="24" t="str">
        <x:v>Belone belone</x:v>
      </x:c>
      <x:c r="F23" s="24" t="str">
        <x:v>Garfish</x:v>
      </x:c>
      <x:c r="G23" s="24" t="str">
        <x:v>Medium pelagics (30 - 89 cm)</x:v>
      </x:c>
      <x:c r="H23" s="24" t="str">
        <x:v>Other fishes &amp; inverts</x:v>
      </x:c>
      <x:c r="I23" s="31" t="n">
        <x:v>18.5948213503</x:v>
      </x:c>
      <x:c r="J23" s="31" t="n">
        <x:v>17.4645825126</x:v>
      </x:c>
      <x:c r="K23" s="31" t="n">
        <x:v>1.1302388377</x:v>
      </x:c>
      <x:c r="L23" s="31" t="n">
        <x:v>15.4067518397</x:v>
      </x:c>
      <x:c r="M23" s="31" t="n">
        <x:v>3.1880695106000005</x:v>
      </x:c>
      <x:c r="N23" s="24" t="str">
        <x:v>belone belone</x:v>
      </x:c>
      <x:c r="O23" s="32" t="n">
        <x:v>4.16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Belone belone</x:v>
      </x:c>
      <x:c r="T23" s="32" t="n">
        <x:f>IF(O23="","",(1/'Metadata'!$B$5)^(O23-1))</x:f>
        <x:v>1445.439770745928</x:v>
      </x:c>
      <x:c r="U23" s="31" t="n">
        <x:f>IF(T23="","",I23*T23)</x:f>
        <x:v>26877.694309639115</x:v>
      </x:c>
    </x:row>
    <x:row r="24" ht="18" customHeight="1">
      <x:c r="A24" s="24" t="str">
        <x:v>EEZ_246</x:v>
      </x:c>
      <x:c r="B24" s="24" t="str">
        <x:v>Finland</x:v>
      </x:c>
      <x:c r="C24" s="24" t="str">
        <x:v>EEZ</x:v>
      </x:c>
      <x:c r="D24" s="30" t="n">
        <x:v>2019</x:v>
      </x:c>
      <x:c r="E24" s="24" t="str">
        <x:v>Gobiidae</x:v>
      </x:c>
      <x:c r="F24" s="24" t="str">
        <x:v>Gobies</x:v>
      </x:c>
      <x:c r="G24" s="24" t="str">
        <x:v>Small reef assoc. fish (&lt;30 cm)</x:v>
      </x:c>
      <x:c r="H24" s="24" t="str">
        <x:v>Perch-likes</x:v>
      </x:c>
      <x:c r="I24" s="31" t="n">
        <x:v>4.6791289108</x:v>
      </x:c>
      <x:c r="J24" s="31" t="n">
        <x:v>4.0659246705</x:v>
      </x:c>
      <x:c r="K24" s="31" t="n">
        <x:v>0.6132042403</x:v>
      </x:c>
      <x:c r="L24" s="31" t="n">
        <x:v>3.2693677667000003</x:v>
      </x:c>
      <x:c r="M24" s="31" t="n">
        <x:v>1.4097611441</x:v>
      </x:c>
      <x:c r="N24" s="24" t="str">
        <x:v>gobiidae</x:v>
      </x:c>
      <x:c r="O24" s="32" t="n">
        <x:v>3.11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Gobiidae</x:v>
      </x:c>
      <x:c r="T24" s="32" t="n">
        <x:f>IF(O24="","",(1/'Metadata'!$B$5)^(O24-1))</x:f>
        <x:v>128.82495516931337</x:v>
      </x:c>
      <x:c r="U24" s="31" t="n">
        <x:f>IF(T24="","",I24*T24)</x:f>
        <x:v>602.7885721652482</x:v>
      </x:c>
    </x:row>
    <x:row r="25" ht="18" customHeight="1">
      <x:c r="A25" s="24" t="str">
        <x:v>EEZ_246</x:v>
      </x:c>
      <x:c r="B25" s="24" t="str">
        <x:v>Finland</x:v>
      </x:c>
      <x:c r="C25" s="24" t="str">
        <x:v>EEZ</x:v>
      </x:c>
      <x:c r="D25" s="30" t="n">
        <x:v>2019</x:v>
      </x:c>
      <x:c r="E25" s="24" t="str">
        <x:v>Anguilla anguilla</x:v>
      </x:c>
      <x:c r="F25" s="24" t="str">
        <x:v>European eel</x:v>
      </x:c>
      <x:c r="G25" s="24" t="str">
        <x:v>Large demersals (&gt;=90 cm)</x:v>
      </x:c>
      <x:c r="H25" s="24" t="str">
        <x:v>Other fishes &amp; inverts</x:v>
      </x:c>
      <x:c r="I25" s="31" t="n">
        <x:v>4.4373671214999995</x:v>
      </x:c>
      <x:c r="J25" s="31" t="n">
        <x:v>4.225632462299999</x:v>
      </x:c>
      <x:c r="K25" s="31" t="n">
        <x:v>0.2117346592</x:v>
      </x:c>
      <x:c r="L25" s="31" t="n">
        <x:v>0.9526980468</x:v>
      </x:c>
      <x:c r="M25" s="31" t="n">
        <x:v>3.4846690746999998</x:v>
      </x:c>
      <x:c r="N25" s="24" t="str">
        <x:v>anguilla anguilla</x:v>
      </x:c>
      <x:c r="O25" s="32" t="n">
        <x:v>3.55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Anguilla anguilla</x:v>
      </x:c>
      <x:c r="T25" s="32" t="n">
        <x:f>IF(O25="","",(1/'Metadata'!$B$5)^(O25-1))</x:f>
        <x:v>354.8133892335753</x:v>
      </x:c>
      <x:c r="U25" s="31" t="n">
        <x:f>IF(T25="","",I25*T25)</x:f>
        <x:v>1574.437267653049</x:v>
      </x:c>
    </x:row>
    <x:row r="26" ht="18" customHeight="1">
      <x:c r="A26" s="24" t="str">
        <x:v>EEZ_246</x:v>
      </x:c>
      <x:c r="B26" s="24" t="str">
        <x:v>Finland</x:v>
      </x:c>
      <x:c r="C26" s="24" t="str">
        <x:v>EEZ</x:v>
      </x:c>
      <x:c r="D26" s="30" t="n">
        <x:v>2019</x:v>
      </x:c>
      <x:c r="E26" s="24" t="str">
        <x:v>Petromyzontidae</x:v>
      </x:c>
      <x:c r="F26" s="24" t="str">
        <x:v>Lampreys</x:v>
      </x:c>
      <x:c r="G26" s="24" t="str">
        <x:v>Large demersals (&gt;=90 cm)</x:v>
      </x:c>
      <x:c r="H26" s="24" t="str">
        <x:v>Other fishes &amp; inverts</x:v>
      </x:c>
      <x:c r="I26" s="31" t="n">
        <x:v>1.3125648771</x:v>
      </x:c>
      <x:c r="J26" s="31" t="n">
        <x:v>0.8121144531</x:v>
      </x:c>
      <x:c r="K26" s="31" t="n">
        <x:v>0.500450424</x:v>
      </x:c>
      <x:c r="L26" s="31" t="n">
        <x:v>0.004419596</x:v>
      </x:c>
      <x:c r="M26" s="31" t="n">
        <x:v>1.3081452811</x:v>
      </x:c>
      <x:c r="N26" s="24" t="str">
        <x:v>petromyzontidae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Petromyzontidae</x:v>
      </x:c>
      <x:c r="T26" s="32" t="n">
        <x:f>IF(O26="","",(1/'Metadata'!$B$5)^(O26-1))</x:f>
        <x:v>1000</x:v>
      </x:c>
      <x:c r="U26" s="31" t="n">
        <x:f>IF(T26="","",I26*T26)</x:f>
        <x:v>1312.5648771</x:v>
      </x:c>
    </x:row>
    <x:row r="27" ht="18" customHeight="1">
      <x:c r="A27" s="24" t="str">
        <x:v>EEZ_246</x:v>
      </x:c>
      <x:c r="B27" s="24" t="str">
        <x:v>Finland</x:v>
      </x:c>
      <x:c r="C27" s="24" t="str">
        <x:v>EEZ</x:v>
      </x:c>
      <x:c r="D27" s="30" t="n">
        <x:v>2019</x:v>
      </x:c>
      <x:c r="E27" s="24" t="str">
        <x:v>Scophthalmus maximus</x:v>
      </x:c>
      <x:c r="F27" s="24" t="str">
        <x:v>Turbot</x:v>
      </x:c>
      <x:c r="G27" s="24" t="str">
        <x:v>Large flatfishes (&gt;=90 cm)</x:v>
      </x:c>
      <x:c r="H27" s="24" t="str">
        <x:v>Flatfishes</x:v>
      </x:c>
      <x:c r="I27" s="31" t="n">
        <x:v>1.0091597033</x:v>
      </x:c>
      <x:c r="J27" s="31" t="n">
        <x:v>0.3249307834</x:v>
      </x:c>
      <x:c r="K27" s="31" t="n">
        <x:v>0.6842289199</x:v>
      </x:c>
      <x:c r="L27" s="31" t="n">
        <x:v>0.08648861479999999</x:v>
      </x:c>
      <x:c r="M27" s="31" t="n">
        <x:v>0.9226710884999999</x:v>
      </x:c>
      <x:c r="N27" s="24" t="str">
        <x:v>scophthalmus maximus</x:v>
      </x:c>
      <x:c r="O27" s="32" t="n">
        <x:v>4.36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Scophthalmus maximus</x:v>
      </x:c>
      <x:c r="T27" s="32" t="n">
        <x:f>IF(O27="","",(1/'Metadata'!$B$5)^(O27-1))</x:f>
        <x:v>2290.867652767775</x:v>
      </x:c>
      <x:c r="U27" s="31" t="n">
        <x:f>IF(T27="","",I27*T27)</x:f>
        <x:v>2311.851320766695</x:v>
      </x:c>
    </x:row>
    <x:row r="28" ht="18" customHeight="1">
      <x:c r="A28" s="24" t="str">
        <x:v>EEZ_246</x:v>
      </x:c>
      <x:c r="B28" s="24" t="str">
        <x:v>Finland</x:v>
      </x:c>
      <x:c r="C28" s="24" t="str">
        <x:v>EEZ</x:v>
      </x:c>
      <x:c r="D28" s="30" t="n">
        <x:v>2019</x:v>
      </x:c>
      <x:c r="E28" s="24" t="str">
        <x:v>Scardinius erythrophthalmus</x:v>
      </x:c>
      <x:c r="F28" s="24" t="str">
        <x:v>Rudd</x:v>
      </x:c>
      <x:c r="G28" s="24" t="str">
        <x:v>Medium benthopelagics (30 - 89 cm)</x:v>
      </x:c>
      <x:c r="H28" s="24" t="str">
        <x:v>Other fishes &amp; inverts</x:v>
      </x:c>
      <x:c r="I28" s="31" t="n">
        <x:v>0.9902719209999999</x:v>
      </x:c>
      <x:c r="J28" s="31" t="n">
        <x:v>0.9585656182</x:v>
      </x:c>
      <x:c r="K28" s="31" t="n">
        <x:v>0.0317063028</x:v>
      </x:c>
      <x:c r="L28" s="31" t="n">
        <x:v>0.9337946933</x:v>
      </x:c>
      <x:c r="M28" s="31" t="n">
        <x:v>0.0564772277</x:v>
      </x:c>
      <x:c r="N28" s="24" t="str">
        <x:v>scardinius erythrophthalmus</x:v>
      </x:c>
      <x:c r="O28" s="32" t="n">
        <x:v>2.89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Scardinius erythrophthalmus</x:v>
      </x:c>
      <x:c r="T28" s="32" t="n">
        <x:f>IF(O28="","",(1/'Metadata'!$B$5)^(O28-1))</x:f>
        <x:v>77.6247116628692</x:v>
      </x:c>
      <x:c r="U28" s="31" t="n">
        <x:f>IF(T28="","",I28*T28)</x:f>
        <x:v>76.86957233546059</x:v>
      </x:c>
    </x:row>
    <x:row r="29" ht="18" customHeight="1">
      <x:c r="A29" s="24" t="str">
        <x:v>EEZ_246</x:v>
      </x:c>
      <x:c r="B29" s="24" t="str">
        <x:v>Finland</x:v>
      </x:c>
      <x:c r="C29" s="24" t="str">
        <x:v>EEZ</x:v>
      </x:c>
      <x:c r="D29" s="30" t="n">
        <x:v>2019</x:v>
      </x:c>
      <x:c r="E29" s="24" t="str">
        <x:v>Vimba</x:v>
      </x:c>
      <x:c r="F29" s="24" t="str">
        <x:v>Vimba breams</x:v>
      </x:c>
      <x:c r="G29" s="24" t="str">
        <x:v>Medium demersals (30 - 89 cm)</x:v>
      </x:c>
      <x:c r="H29" s="24" t="str">
        <x:v>Other fishes &amp; inverts</x:v>
      </x:c>
      <x:c r="I29" s="31" t="n">
        <x:v>0.8357913599</x:v>
      </x:c>
      <x:c r="J29" s="31" t="n">
        <x:v>0.7386459992</x:v>
      </x:c>
      <x:c r="K29" s="31" t="n">
        <x:v>0.0971453607</x:v>
      </x:c>
      <x:c r="L29" s="31" t="n">
        <x:v>0.6105968361999999</x:v>
      </x:c>
      <x:c r="M29" s="31" t="n">
        <x:v>0.22519452370000004</x:v>
      </x:c>
      <x:c r="N29" s="24" t="str">
        <x:v>vimba</x:v>
      </x:c>
      <x:c r="O29" s="32" t="n">
        <x:v>3.05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Vimba</x:v>
      </x:c>
      <x:c r="T29" s="32" t="n">
        <x:f>IF(O29="","",(1/'Metadata'!$B$5)^(O29-1))</x:f>
        <x:v>112.2018454301963</x:v>
      </x:c>
      <x:c r="U29" s="31" t="n">
        <x:f>IF(T29="","",I29*T29)</x:f>
        <x:v>93.77733297539336</x:v>
      </x:c>
    </x:row>
    <x:row r="30" ht="18" customHeight="1">
      <x:c r="A30" s="24" t="str">
        <x:v>EEZ_246</x:v>
      </x:c>
      <x:c r="B30" s="24" t="str">
        <x:v>Finland</x:v>
      </x:c>
      <x:c r="C30" s="24" t="str">
        <x:v>EEZ</x:v>
      </x:c>
      <x:c r="D30" s="30" t="n">
        <x:v>2019</x:v>
      </x:c>
      <x:c r="E30" s="24" t="str">
        <x:v>Salmo</x:v>
      </x:c>
      <x:c r="F30" s="24" t="str">
        <x:v>Trouts</x:v>
      </x:c>
      <x:c r="G30" s="24" t="str">
        <x:v>Large benthopelagics (&gt;=90 cm)</x:v>
      </x:c>
      <x:c r="H30" s="24" t="str">
        <x:v>Salmon, smelts, etc</x:v>
      </x:c>
      <x:c r="I30" s="31" t="n">
        <x:v>0.7616753223</x:v>
      </x:c>
      <x:c r="J30" s="31" t="n">
        <x:v>0.5304686303999999</x:v>
      </x:c>
      <x:c r="K30" s="31" t="n">
        <x:v>0.23120669189999998</x:v>
      </x:c>
      <x:c r="L30" s="31" t="n">
        <x:v>0.3792136975</x:v>
      </x:c>
      <x:c r="M30" s="31" t="n">
        <x:v>0.38246162479999996</x:v>
      </x:c>
      <x:c r="N30" s="24" t="str">
        <x:v>salmo</x:v>
      </x:c>
      <x:c r="O30" s="32" t="n">
        <x:v>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Salmo</x:v>
      </x:c>
      <x:c r="T30" s="32" t="n">
        <x:f>IF(O30="","",(1/'Metadata'!$B$5)^(O30-1))</x:f>
        <x:v>1000</x:v>
      </x:c>
      <x:c r="U30" s="31" t="n">
        <x:f>IF(T30="","",I30*T30)</x:f>
        <x:v>761.6753223000001</x:v>
      </x:c>
    </x:row>
    <x:row r="31" ht="18" customHeight="1">
      <x:c r="A31" s="24" t="str">
        <x:v>EEZ_246</x:v>
      </x:c>
      <x:c r="B31" s="24" t="str">
        <x:v>Finland</x:v>
      </x:c>
      <x:c r="C31" s="24" t="str">
        <x:v>EEZ</x:v>
      </x:c>
      <x:c r="D31" s="30" t="n">
        <x:v>2019</x:v>
      </x:c>
      <x:c r="E31" s="24" t="str">
        <x:v>Tinca tinca</x:v>
      </x:c>
      <x:c r="F31" s="24" t="str">
        <x:v>Tench</x:v>
      </x:c>
      <x:c r="G31" s="24" t="str">
        <x:v>Medium demersals (30 - 89 cm)</x:v>
      </x:c>
      <x:c r="H31" s="24" t="str">
        <x:v>Other fishes &amp; inverts</x:v>
      </x:c>
      <x:c r="I31" s="31" t="n">
        <x:v>0.7488759947000001</x:v>
      </x:c>
      <x:c r="J31" s="31" t="n">
        <x:v>0.7355837649</x:v>
      </x:c>
      <x:c r="K31" s="31" t="n">
        <x:v>0.013292229800000001</x:v>
      </x:c>
      <x:c r="L31" s="31" t="n">
        <x:v>0.7351215179</x:v>
      </x:c>
      <x:c r="M31" s="31" t="n">
        <x:v>0.0137544768</x:v>
      </x:c>
      <x:c r="N31" s="24" t="str">
        <x:v>tinca tinca</x:v>
      </x:c>
      <x:c r="O31" s="32" t="n">
        <x:v>3.69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Tinca tinca</x:v>
      </x:c>
      <x:c r="T31" s="32" t="n">
        <x:f>IF(O31="","",(1/'Metadata'!$B$5)^(O31-1))</x:f>
        <x:v>489.77881936844614</x:v>
      </x:c>
      <x:c r="U31" s="31" t="n">
        <x:f>IF(T31="","",I31*T31)</x:f>
        <x:v>366.78360053753676</x:v>
      </x:c>
    </x:row>
    <x:row r="32" ht="18" customHeight="1">
      <x:c r="A32" s="24" t="str">
        <x:v>EEZ_246</x:v>
      </x:c>
      <x:c r="B32" s="24" t="str">
        <x:v>Finland</x:v>
      </x:c>
      <x:c r="C32" s="24" t="str">
        <x:v>EEZ</x:v>
      </x:c>
      <x:c r="D32" s="30" t="n">
        <x:v>2019</x:v>
      </x:c>
      <x:c r="E32" s="24" t="str">
        <x:v>Marine finfishes not identified</x:v>
      </x:c>
      <x:c r="F32" s="24" t="str">
        <x:v>Finfishes</x:v>
      </x:c>
      <x:c r="G32" s="24" t="str">
        <x:v>Medium demersals (30 - 89 cm)</x:v>
      </x:c>
      <x:c r="H32" s="24" t="str">
        <x:v>Other fishes &amp; inverts</x:v>
      </x:c>
      <x:c r="I32" s="31" t="n">
        <x:v>0.722072292</x:v>
      </x:c>
      <x:c r="J32" s="31" t="n">
        <x:v>0.4645827328</x:v>
      </x:c>
      <x:c r="K32" s="31" t="n">
        <x:v>0.2574895592</x:v>
      </x:c>
      <x:c r="L32" s="31" t="n">
        <x:v>0</x:v>
      </x:c>
      <x:c r="M32" s="31" t="n">
        <x:v>0.722072292</x:v>
      </x:c>
      <x:c r="N32" s="24" t="str">
        <x:v>marine finfishes not identified</x:v>
      </x:c>
      <x:c r="O32" s="32" t="n">
        <x:v>3.23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Marine finfishes not identified</x:v>
      </x:c>
      <x:c r="T32" s="32" t="n">
        <x:f>IF(O32="","",(1/'Metadata'!$B$5)^(O32-1))</x:f>
        <x:v>169.82436524617444</x:v>
      </x:c>
      <x:c r="U32" s="31" t="n">
        <x:f>IF(T32="","",I32*T32)</x:f>
        <x:v>122.62546865075032</x:v>
      </x:c>
    </x:row>
    <x:row r="33" ht="18" customHeight="1">
      <x:c r="A33" s="24" t="str">
        <x:v>EEZ_246</x:v>
      </x:c>
      <x:c r="B33" s="24" t="str">
        <x:v>Finland</x:v>
      </x:c>
      <x:c r="C33" s="24" t="str">
        <x:v>EEZ</x:v>
      </x:c>
      <x:c r="D33" s="30" t="n">
        <x:v>2019</x:v>
      </x:c>
      <x:c r="E33" s="24" t="str">
        <x:v>Perciformes</x:v>
      </x:c>
      <x:c r="F33" s="24" t="str">
        <x:v>Perch-likes</x:v>
      </x:c>
      <x:c r="G33" s="24" t="str">
        <x:v>Medium demersals (30 - 89 cm)</x:v>
      </x:c>
      <x:c r="H33" s="24" t="str">
        <x:v>Perch-likes</x:v>
      </x:c>
      <x:c r="I33" s="31" t="n">
        <x:v>0.44594246769999996</x:v>
      </x:c>
      <x:c r="J33" s="31" t="n">
        <x:v>0.2753405476</x:v>
      </x:c>
      <x:c r="K33" s="31" t="n">
        <x:v>0.1706019201</x:v>
      </x:c>
      <x:c r="L33" s="31" t="n">
        <x:v>0</x:v>
      </x:c>
      <x:c r="M33" s="31" t="n">
        <x:v>0.44594246769999996</x:v>
      </x:c>
      <x:c r="N33" s="24" t="str">
        <x:v>perciformes</x:v>
      </x:c>
      <x:c r="O33" s="32" t="n">
        <x:v>3.53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Perciformes</x:v>
      </x:c>
      <x:c r="T33" s="32" t="n">
        <x:f>IF(O33="","",(1/'Metadata'!$B$5)^(O33-1))</x:f>
        <x:v>338.84415613920237</x:v>
      </x:c>
      <x:c r="U33" s="31" t="n">
        <x:f>IF(T33="","",I33*T33)</x:f>
        <x:v>151.10499915443998</x:v>
      </x:c>
    </x:row>
    <x:row r="34" ht="18" customHeight="1">
      <x:c r="A34" s="24" t="str">
        <x:v>EEZ_246</x:v>
      </x:c>
      <x:c r="B34" s="24" t="str">
        <x:v>Finland</x:v>
      </x:c>
      <x:c r="C34" s="24" t="str">
        <x:v>EEZ</x:v>
      </x:c>
      <x:c r="D34" s="30" t="n">
        <x:v>2019</x:v>
      </x:c>
      <x:c r="E34" s="24" t="str">
        <x:v>Pelecus cultratus</x:v>
      </x:c>
      <x:c r="F34" s="24" t="str">
        <x:v>Sichel</x:v>
      </x:c>
      <x:c r="G34" s="24" t="str">
        <x:v>Medium pelagics (30 - 89 cm)</x:v>
      </x:c>
      <x:c r="H34" s="24" t="str">
        <x:v>Other fishes &amp; inverts</x:v>
      </x:c>
      <x:c r="I34" s="31" t="n">
        <x:v>0.3012663909</x:v>
      </x:c>
      <x:c r="J34" s="31" t="n">
        <x:v>0.18601245449999998</x:v>
      </x:c>
      <x:c r="K34" s="31" t="n">
        <x:v>0.1152539364</x:v>
      </x:c>
      <x:c r="L34" s="31" t="n">
        <x:v>0</x:v>
      </x:c>
      <x:c r="M34" s="31" t="n">
        <x:v>0.3012663909</x:v>
      </x:c>
      <x:c r="N34" s="24" t="str">
        <x:v>pelecus cultratus</x:v>
      </x:c>
      <x:c r="O34" s="32" t="n">
        <x:v>3.33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Pelecus cultratus</x:v>
      </x:c>
      <x:c r="T34" s="32" t="n">
        <x:f>IF(O34="","",(1/'Metadata'!$B$5)^(O34-1))</x:f>
        <x:v>213.79620895022325</x:v>
      </x:c>
      <x:c r="U34" s="31" t="n">
        <x:f>IF(T34="","",I34*T34)</x:f>
        <x:v>64.40961225853604</x:v>
      </x:c>
    </x:row>
    <x:row r="35" ht="18" customHeight="1">
      <x:c r="A35" s="24" t="str">
        <x:v>EEZ_246</x:v>
      </x:c>
      <x:c r="B35" s="24" t="str">
        <x:v>Finland</x:v>
      </x:c>
      <x:c r="C35" s="24" t="str">
        <x:v>EEZ</x:v>
      </x:c>
      <x:c r="D35" s="30" t="n">
        <x:v>2019</x:v>
      </x:c>
      <x:c r="E35" s="24" t="str">
        <x:v>Carassius carassius</x:v>
      </x:c>
      <x:c r="F35" s="24" t="str">
        <x:v>Crucian carp</x:v>
      </x:c>
      <x:c r="G35" s="24" t="str">
        <x:v>Medium demersals (30 - 89 cm)</x:v>
      </x:c>
      <x:c r="H35" s="24" t="str">
        <x:v>Other fishes &amp; inverts</x:v>
      </x:c>
      <x:c r="I35" s="31" t="n">
        <x:v>0.0927493199</x:v>
      </x:c>
      <x:c r="J35" s="31" t="n">
        <x:v>0.0572666888</x:v>
      </x:c>
      <x:c r="K35" s="31" t="n">
        <x:v>0.0354826311</x:v>
      </x:c>
      <x:c r="L35" s="31" t="n">
        <x:v>0</x:v>
      </x:c>
      <x:c r="M35" s="31" t="n">
        <x:v>0.0927493199</x:v>
      </x:c>
      <x:c r="N35" s="24" t="str">
        <x:v>carassius carassius</x:v>
      </x:c>
      <x:c r="O35" s="32" t="n">
        <x:v>3.11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Carassius carassius</x:v>
      </x:c>
      <x:c r="T35" s="32" t="n">
        <x:f>IF(O35="","",(1/'Metadata'!$B$5)^(O35-1))</x:f>
        <x:v>128.82495516931337</x:v>
      </x:c>
      <x:c r="U35" s="31" t="n">
        <x:f>IF(T35="","",I35*T35)</x:f>
        <x:v>11.948426978101805</x:v>
      </x:c>
    </x:row>
    <x:row r="36" ht="18" customHeight="1">
      <x:c r="A36" s="24" t="str">
        <x:v>EEZ_246</x:v>
      </x:c>
      <x:c r="B36" s="24" t="str">
        <x:v>Finland</x:v>
      </x:c>
      <x:c r="C36" s="24" t="str">
        <x:v>EEZ</x:v>
      </x:c>
      <x:c r="D36" s="30" t="n">
        <x:v>2019</x:v>
      </x:c>
      <x:c r="E36" s="24" t="str">
        <x:v>Cyclopterus lumpus</x:v>
      </x:c>
      <x:c r="F36" s="24" t="str">
        <x:v>Lumpfish</x:v>
      </x:c>
      <x:c r="G36" s="24" t="str">
        <x:v>Medium benthopelagics (30 - 89 cm)</x:v>
      </x:c>
      <x:c r="H36" s="24" t="str">
        <x:v>Scorpionfishes</x:v>
      </x:c>
      <x:c r="I36" s="31" t="n">
        <x:v>0.0342297868</x:v>
      </x:c>
      <x:c r="J36" s="31" t="n">
        <x:v>0.0302572968</x:v>
      </x:c>
      <x:c r="K36" s="31" t="n">
        <x:v>0.00397249</x:v>
      </x:c>
      <x:c r="L36" s="31" t="n">
        <x:v>0.022294065</x:v>
      </x:c>
      <x:c r="M36" s="31" t="n">
        <x:v>0.0119357218</x:v>
      </x:c>
      <x:c r="N36" s="24" t="str">
        <x:v>cyclopterus lumpus</x:v>
      </x:c>
      <x:c r="O36" s="32" t="n">
        <x:v>3.89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Cyclopterus lumpus</x:v>
      </x:c>
      <x:c r="T36" s="32" t="n">
        <x:f>IF(O36="","",(1/'Metadata'!$B$5)^(O36-1))</x:f>
        <x:v>776.247116628692</x:v>
      </x:c>
      <x:c r="U36" s="31" t="n">
        <x:f>IF(T36="","",I36*T36)</x:f>
        <x:v>26.570773306314862</x:v>
      </x:c>
    </x:row>
    <x:row r="37" ht="18" customHeight="1">
      <x:c r="A37" s="24" t="str">
        <x:v>EEZ_246</x:v>
      </x:c>
      <x:c r="B37" s="24" t="str">
        <x:v>Finland</x:v>
      </x:c>
      <x:c r="C37" s="24" t="str">
        <x:v>EEZ</x:v>
      </x:c>
      <x:c r="D37" s="30" t="n">
        <x:v>2019</x:v>
      </x:c>
      <x:c r="E37" s="24" t="str">
        <x:v>Osteichthyes</x:v>
      </x:c>
      <x:c r="F37" s="24" t="str">
        <x:v>Bony fishes</x:v>
      </x:c>
      <x:c r="G37" s="24" t="str">
        <x:v>Medium demersals (30 - 89 cm)</x:v>
      </x:c>
      <x:c r="H37" s="24" t="str">
        <x:v>Other fishes &amp; inverts</x:v>
      </x:c>
      <x:c r="I37" s="31" t="n">
        <x:v>0.0280480188</x:v>
      </x:c>
      <x:c r="J37" s="31" t="n">
        <x:v>0.0280480188</x:v>
      </x:c>
      <x:c r="K37" s="31" t="n">
        <x:v>0</x:v>
      </x:c>
      <x:c r="L37" s="31" t="n">
        <x:v>0.0280480188</x:v>
      </x:c>
      <x:c r="M37" s="31" t="n">
        <x:v>0</x:v>
      </x:c>
      <x:c r="N37" s="24" t="str">
        <x:v>osteichthyes</x:v>
      </x:c>
      <x:c r="O37" s="32" t="n">
        <x:v>3.79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Osteichthyes</x:v>
      </x:c>
      <x:c r="T37" s="32" t="n">
        <x:f>IF(O37="","",(1/'Metadata'!$B$5)^(O37-1))</x:f>
        <x:v>616.5950018614822</x:v>
      </x:c>
      <x:c r="U37" s="31" t="n">
        <x:f>IF(T37="","",I37*T37)</x:f>
        <x:v>17.294268204196886</x:v>
      </x:c>
    </x:row>
    <x:row r="38" ht="18" customHeight="1">
      <x:c r="A38" s="24" t="str">
        <x:v>EEZ_246</x:v>
      </x:c>
      <x:c r="B38" s="24" t="str">
        <x:v>Finland</x:v>
      </x:c>
      <x:c r="C38" s="24" t="str">
        <x:v>EEZ</x:v>
      </x:c>
      <x:c r="D38" s="30" t="n">
        <x:v>2019</x:v>
      </x:c>
      <x:c r="E38" s="24" t="str">
        <x:v>Salmonidae</x:v>
      </x:c>
      <x:c r="F38" s="24" t="str">
        <x:v>Salmonids</x:v>
      </x:c>
      <x:c r="G38" s="24" t="str">
        <x:v>Large benthopelagics (&gt;=90 cm)</x:v>
      </x:c>
      <x:c r="H38" s="24" t="str">
        <x:v>Salmon, smelts, etc</x:v>
      </x:c>
      <x:c r="I38" s="31" t="n">
        <x:v>0.009670792999999999</x:v>
      </x:c>
      <x:c r="J38" s="31" t="n">
        <x:v>0.0095072298</x:v>
      </x:c>
      <x:c r="K38" s="31" t="n">
        <x:v>0.0001635632</x:v>
      </x:c>
      <x:c r="L38" s="31" t="n">
        <x:v>0.009179352</x:v>
      </x:c>
      <x:c r="M38" s="31" t="n">
        <x:v>0.000491441</x:v>
      </x:c>
      <x:c r="N38" s="24" t="str">
        <x:v>salmonidae</x:v>
      </x:c>
      <x:c r="O38" s="32" t="n">
        <x:v>3.3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Salmonidae</x:v>
      </x:c>
      <x:c r="T38" s="32" t="n">
        <x:f>IF(O38="","",(1/'Metadata'!$B$5)^(O38-1))</x:f>
        <x:v>199.52623149688787</x:v>
      </x:c>
      <x:c r="U38" s="31" t="n">
        <x:f>IF(T38="","",I38*T38)</x:f>
        <x:v>1.9295768828764825</x:v>
      </x:c>
    </x:row>
    <x:row r="39" ht="18" customHeight="1">
      <x:c r="A39" s="24" t="str">
        <x:v>EEZ_246</x:v>
      </x:c>
      <x:c r="B39" s="24" t="str">
        <x:v>Finland</x:v>
      </x:c>
      <x:c r="C39" s="24" t="str">
        <x:v>EEZ</x:v>
      </x:c>
      <x:c r="D39" s="30" t="n">
        <x:v>2019</x:v>
      </x:c>
      <x:c r="E39" s="24" t="str">
        <x:v>Pleuronectes platessa</x:v>
      </x:c>
      <x:c r="F39" s="24" t="str">
        <x:v>European plaice</x:v>
      </x:c>
      <x:c r="G39" s="24" t="str">
        <x:v>Large flatfishes (&gt;=90 cm)</x:v>
      </x:c>
      <x:c r="H39" s="24" t="str">
        <x:v>Flatfishes</x:v>
      </x:c>
      <x:c r="I39" s="31" t="n">
        <x:v>0.006754545099999999</x:v>
      </x:c>
      <x:c r="J39" s="31" t="n">
        <x:v>0.006754545099999999</x:v>
      </x:c>
      <x:c r="K39" s="31" t="n">
        <x:v>0</x:v>
      </x:c>
      <x:c r="L39" s="31" t="n">
        <x:v>0.006754545099999999</x:v>
      </x:c>
      <x:c r="M39" s="31" t="n">
        <x:v>0</x:v>
      </x:c>
      <x:c r="N39" s="24" t="str">
        <x:v>pleuronectes platessa</x:v>
      </x:c>
      <x:c r="O39" s="32" t="n">
        <x:v>3.26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Pleuronectes platessa</x:v>
      </x:c>
      <x:c r="T39" s="32" t="n">
        <x:f>IF(O39="","",(1/'Metadata'!$B$5)^(O39-1))</x:f>
        <x:v>181.97008586099827</x:v>
      </x:c>
      <x:c r="U39" s="31" t="n">
        <x:f>IF(T39="","",I39*T39)</x:f>
        <x:v>1.229125151798985</x:v>
      </x:c>
    </x:row>
    <x:row r="40" ht="18" customHeight="1">
      <x:c r="A40" s="24" t="str">
        <x:v>EEZ_246</x:v>
      </x:c>
      <x:c r="B40" s="24" t="str">
        <x:v>Finland</x:v>
      </x:c>
      <x:c r="C40" s="24" t="str">
        <x:v>EEZ</x:v>
      </x:c>
      <x:c r="D40" s="30" t="n">
        <x:v>2019</x:v>
      </x:c>
      <x:c r="E40" s="24" t="str">
        <x:v>Zoarces viviparus</x:v>
      </x:c>
      <x:c r="F40" s="24" t="str">
        <x:v>Eelpout</x:v>
      </x:c>
      <x:c r="G40" s="24" t="str">
        <x:v>Medium demersals (30 - 89 cm)</x:v>
      </x:c>
      <x:c r="H40" s="24" t="str">
        <x:v>Perch-likes</x:v>
      </x:c>
      <x:c r="I40" s="31" t="n">
        <x:v>0.0014347372</x:v>
      </x:c>
      <x:c r="J40" s="31" t="n">
        <x:v>0.0014347372</x:v>
      </x:c>
      <x:c r="K40" s="31" t="n">
        <x:v>0</x:v>
      </x:c>
      <x:c r="L40" s="31" t="n">
        <x:v>0.0014347372</x:v>
      </x:c>
      <x:c r="M40" s="31" t="n">
        <x:v>0</x:v>
      </x:c>
      <x:c r="N40" s="24" t="str">
        <x:v>zoarces viviparus</x:v>
      </x:c>
      <x:c r="O40" s="32" t="n">
        <x:v>3.47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Zoarces viviparus</x:v>
      </x:c>
      <x:c r="T40" s="32" t="n">
        <x:f>IF(O40="","",(1/'Metadata'!$B$5)^(O40-1))</x:f>
        <x:v>295.1209226666387</x:v>
      </x:c>
      <x:c r="U40" s="31" t="n">
        <x:f>IF(T40="","",I40*T40)</x:f>
        <x:v>0.42342096624814973</x:v>
      </x:c>
    </x:row>
    <x:row r="41" ht="18" customHeight="1">
      <x:c r="A41" s="24" t="str">
        <x:v>EEZ_246</x:v>
      </x:c>
      <x:c r="B41" s="24" t="str">
        <x:v>Finland</x:v>
      </x:c>
      <x:c r="C41" s="24" t="str">
        <x:v>EEZ</x:v>
      </x:c>
      <x:c r="D41" s="30" t="n">
        <x:v>2019</x:v>
      </x:c>
      <x:c r="E41" s="24" t="str">
        <x:v>Salvelinus</x:v>
      </x:c>
      <x:c r="F41" s="24" t="str">
        <x:v>Chars</x:v>
      </x:c>
      <x:c r="G41" s="24" t="str">
        <x:v>Large benthopelagics (&gt;=90 cm)</x:v>
      </x:c>
      <x:c r="H41" s="24" t="str">
        <x:v>Salmon, smelts, etc</x:v>
      </x:c>
      <x:c r="I41" s="31" t="n">
        <x:v>0.0011171892</x:v>
      </x:c>
      <x:c r="J41" s="31" t="n">
        <x:v>0.0011171892</x:v>
      </x:c>
      <x:c r="K41" s="31" t="n">
        <x:v>0</x:v>
      </x:c>
      <x:c r="L41" s="31" t="n">
        <x:v>0.0011171892</x:v>
      </x:c>
      <x:c r="M41" s="31" t="n">
        <x:v>0</x:v>
      </x:c>
      <x:c r="N41" s="24" t="str">
        <x:v>salvelinus</x:v>
      </x:c>
      <x:c r="O41" s="32" t="n">
        <x:v>4.1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Salvelinus</x:v>
      </x:c>
      <x:c r="T41" s="32" t="n">
        <x:f>IF(O41="","",(1/'Metadata'!$B$5)^(O41-1))</x:f>
        <x:v>1258.9254117941662</x:v>
      </x:c>
      <x:c r="U41" s="31" t="n">
        <x:f>IF(T41="","",I41*T41)</x:f>
        <x:v>1.406457873661995</x:v>
      </x:c>
    </x:row>
    <x:row r="42" ht="18" customHeight="1">
      <x:c r="A42" s="24" t="str">
        <x:v>EEZ_246</x:v>
      </x:c>
      <x:c r="B42" s="24" t="str">
        <x:v>Finland</x:v>
      </x:c>
      <x:c r="C42" s="24" t="str">
        <x:v>EEZ</x:v>
      </x:c>
      <x:c r="D42" s="30" t="n">
        <x:v>2019</x:v>
      </x:c>
      <x:c r="E42" s="24" t="str">
        <x:v>Cyprinus carpio</x:v>
      </x:c>
      <x:c r="F42" s="24" t="str">
        <x:v>Common carp</x:v>
      </x:c>
      <x:c r="G42" s="24" t="str">
        <x:v>Large benthopelagics (&gt;=90 cm)</x:v>
      </x:c>
      <x:c r="H42" s="24" t="str">
        <x:v>Other fishes &amp; inverts</x:v>
      </x:c>
      <x:c r="I42" s="31" t="n">
        <x:v>0.000800557</x:v>
      </x:c>
      <x:c r="J42" s="31" t="n">
        <x:v>0.000800557</x:v>
      </x:c>
      <x:c r="K42" s="31" t="n">
        <x:v>0</x:v>
      </x:c>
      <x:c r="L42" s="31" t="n">
        <x:v>0.000800557</x:v>
      </x:c>
      <x:c r="M42" s="31" t="n">
        <x:v>0</x:v>
      </x:c>
      <x:c r="N42" s="24" t="str">
        <x:v>cyprinus carpio</x:v>
      </x:c>
      <x:c r="O42" s="32" t="n">
        <x:v>3.06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Cyprinus carpio</x:v>
      </x:c>
      <x:c r="T42" s="32" t="n">
        <x:f>IF(O42="","",(1/'Metadata'!$B$5)^(O42-1))</x:f>
        <x:v>114.81536214968828</x:v>
      </x:c>
      <x:c r="U42" s="31" t="n">
        <x:f>IF(T42="","",I42*T42)</x:f>
        <x:v>0.091916241876468</x:v>
      </x:c>
    </x:row>
    <x:row r="43" ht="18" customHeight="1">
      <x:c r="A43" s="24" t="str">
        <x:v>EEZ_246</x:v>
      </x:c>
      <x:c r="B43" s="24" t="str">
        <x:v>Finland</x:v>
      </x:c>
      <x:c r="C43" s="24" t="str">
        <x:v>EEZ</x:v>
      </x:c>
      <x:c r="D43" s="30" t="n">
        <x:v>2019</x:v>
      </x:c>
      <x:c r="E43" s="24" t="str">
        <x:v>Alosa fallax</x:v>
      </x:c>
      <x:c r="F43" s="24" t="str">
        <x:v>Twaite shad</x:v>
      </x:c>
      <x:c r="G43" s="24" t="str">
        <x:v>Medium pelagics (30 - 89 cm)</x:v>
      </x:c>
      <x:c r="H43" s="24" t="str">
        <x:v>Herring-likes</x:v>
      </x:c>
      <x:c r="I43" s="31" t="n">
        <x:v>0.000357628</x:v>
      </x:c>
      <x:c r="J43" s="31" t="n">
        <x:v>0.000357628</x:v>
      </x:c>
      <x:c r="K43" s="31" t="n">
        <x:v>0</x:v>
      </x:c>
      <x:c r="L43" s="31" t="n">
        <x:v>0.000357628</x:v>
      </x:c>
      <x:c r="M43" s="31" t="n">
        <x:v>0</x:v>
      </x:c>
      <x:c r="N43" s="24" t="str">
        <x:v>alosa fallax</x:v>
      </x:c>
      <x:c r="O43" s="32" t="n">
        <x:v>4.03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Alosa fallax</x:v>
      </x:c>
      <x:c r="T43" s="32" t="n">
        <x:f>IF(O43="","",(1/'Metadata'!$B$5)^(O43-1))</x:f>
        <x:v>1071.519305237607</x:v>
      </x:c>
      <x:c r="U43" s="31" t="n">
        <x:f>IF(T43="","",I43*T43)</x:f>
        <x:v>0.383205306093515</x:v>
      </x:c>
    </x:row>
    <x:row r="44" ht="18" customHeight="1">
      <x:c r="A44" s="24" t="str">
        <x:v>EEZ_246</x:v>
      </x:c>
      <x:c r="B44" s="24" t="str">
        <x:v>Finland</x:v>
      </x:c>
      <x:c r="C44" s="24" t="str">
        <x:v>EEZ</x:v>
      </x:c>
      <x:c r="D44" s="30" t="n">
        <x:v>2019</x:v>
      </x:c>
      <x:c r="E44" s="24" t="str">
        <x:v>Gastropoda</x:v>
      </x:c>
      <x:c r="F44" s="24" t="str">
        <x:v>Sea snails</x:v>
      </x:c>
      <x:c r="G44" s="24" t="str">
        <x:v>Other demersal invertebrates</x:v>
      </x:c>
      <x:c r="H44" s="24" t="str">
        <x:v>Molluscs</x:v>
      </x:c>
      <x:c r="I44" s="31" t="n">
        <x:v>0.0000314661</x:v>
      </x:c>
      <x:c r="J44" s="31" t="n">
        <x:v>0.0000314661</x:v>
      </x:c>
      <x:c r="K44" s="31" t="n">
        <x:v>0</x:v>
      </x:c>
      <x:c r="L44" s="31" t="n">
        <x:v>0.0000314661</x:v>
      </x:c>
      <x:c r="M44" s="31" t="n">
        <x:v>0</x:v>
      </x:c>
      <x:c r="N44" s="24" t="str">
        <x:v>gastropoda</x:v>
      </x:c>
      <x:c r="O44" s="32" t="n">
        <x:v>3.06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Gastropoda</x:v>
      </x:c>
      <x:c r="T44" s="32" t="n">
        <x:f>IF(O44="","",(1/'Metadata'!$B$5)^(O44-1))</x:f>
        <x:v>114.81536214968828</x:v>
      </x:c>
      <x:c r="U44" s="31" t="n">
        <x:f>IF(T44="","",I44*T44)</x:f>
        <x:v>0.0036127916669383064</x:v>
      </x:c>
    </x:row>
  </x:sheetData>
  <x:conditionalFormatting sqref="R2:R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5abe60ce3814b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119.13262399099997</x:v>
      </x:c>
      <x:c r="E2" s="31" t="n">
        <x:v>119.13262399099997</x:v>
      </x:c>
      <x:c r="F2" s="32" t="n">
        <x:v>0</x:v>
      </x:c>
      <x:c r="G2" s="34" t="n">
        <x:v>1</x:v>
      </x:c>
      <x:c r="H2" s="32" t="n">
        <x:f>IF(E2=0,"",I2/E2)</x:f>
        <x:v>878.5768136601291</x:v>
      </x:c>
      <x:c r="I2" s="31" t="n">
        <x:f>IF(C2=0,"",SUMIF('Species'!$H$2:$H$44,A2,'Species'!$U$2:$U$44))</x:f>
        <x:v>104667.16118898301</x:v>
      </x:c>
      <x:c r="J2" s="32" t="n">
        <x:v>3.9267072495551707</x:v>
      </x:c>
      <x:c r="K2" s="32" t="n">
        <x:f>IF(J2="","",(1/'Metadata'!$B$5)^(J2-1))</x:f>
        <x:v>844.7092492198993</x:v>
      </x:c>
      <x:c r="L2" s="31" t="n">
        <x:f>IF(E2=0,"",E2*K2)</x:f>
        <x:v>100632.42936903416</x:v>
      </x:c>
      <x:c r="M2" s="31" t="n">
        <x:f>IF(E2=0,"",I2-L2)</x:f>
        <x:v>4034.731819948851</x:v>
      </x:c>
      <x:c r="N2" s="32" t="n">
        <x:f>IF(L2=0,"",I2/L2)</x:f>
        <x:v>1.0400937535270354</x:v>
      </x:c>
      <x:c r="O2" s="34" t="n">
        <x:f>IF(L2=0,"",M2/L2)</x:f>
        <x:v>0.04009375352703537</x:v>
      </x:c>
    </x:row>
    <x:row r="3" ht="18" customHeight="1">
      <x:c r="A3" s="24" t="str">
        <x:v>Flatfishes</x:v>
      </x:c>
      <x:c r="B3" s="33" t="n">
        <x:v>4</x:v>
      </x:c>
      <x:c r="C3" s="33" t="n">
        <x:v>4</x:v>
      </x:c>
      <x:c r="D3" s="31" t="n">
        <x:v>112.3464130182</x:v>
      </x:c>
      <x:c r="E3" s="31" t="n">
        <x:v>112.3464130182</x:v>
      </x:c>
      <x:c r="F3" s="32" t="n">
        <x:v>0</x:v>
      </x:c>
      <x:c r="G3" s="34" t="n">
        <x:v>1</x:v>
      </x:c>
      <x:c r="H3" s="32" t="n">
        <x:f>IF(E3=0,"",I3/E3)</x:f>
        <x:v>298.9004598267991</x:v>
      </x:c>
      <x:c r="I3" s="31" t="n">
        <x:f>IF(C3=0,"",SUMIF('Species'!$H$2:$H$44,A3,'Species'!$U$2:$U$44))</x:f>
        <x:v>33580.39451103147</x:v>
      </x:c>
      <x:c r="J3" s="32" t="n">
        <x:v>3.420792381436811</x:v>
      </x:c>
      <x:c r="K3" s="32" t="n">
        <x:f>IF(J3="","",(1/'Metadata'!$B$5)^(J3-1))</x:f>
        <x:v>263.5071364008765</x:v>
      </x:c>
      <x:c r="L3" s="31" t="n">
        <x:f>IF(E3=0,"",E3*K3)</x:f>
        <x:v>29604.081579336034</x:v>
      </x:c>
      <x:c r="M3" s="31" t="n">
        <x:f>IF(E3=0,"",I3-L3)</x:f>
        <x:v>3976.312931695433</x:v>
      </x:c>
      <x:c r="N3" s="32" t="n">
        <x:f>IF(L3=0,"",I3/L3)</x:f>
        <x:v>1.1343163752957275</x:v>
      </x:c>
      <x:c r="O3" s="34" t="n">
        <x:f>IF(L3=0,"",M3/L3)</x:f>
        <x:v>0.1343163752957275</x:v>
      </x:c>
    </x:row>
    <x:row r="4" ht="18" customHeight="1">
      <x:c r="A4" s="24" t="str">
        <x:v>Herring-likes</x:v>
      </x:c>
      <x:c r="B4" s="33" t="n">
        <x:v>3</x:v>
      </x:c>
      <x:c r="C4" s="33" t="n">
        <x:v>3</x:v>
      </x:c>
      <x:c r="D4" s="31" t="n">
        <x:v>112000.4532691851</x:v>
      </x:c>
      <x:c r="E4" s="31" t="n">
        <x:v>112000.4532691851</x:v>
      </x:c>
      <x:c r="F4" s="32" t="n">
        <x:v>0</x:v>
      </x:c>
      <x:c r="G4" s="34" t="n">
        <x:v>1</x:v>
      </x:c>
      <x:c r="H4" s="32" t="n">
        <x:f>IF(E4=0,"",I4/E4)</x:f>
        <x:v>203.89512537483327</x:v>
      </x:c>
      <x:c r="I4" s="31" t="n">
        <x:f>IF(C4=0,"",SUMIF('Species'!$H$2:$H$44,A4,'Species'!$U$2:$U$44))</x:f>
        <x:v>22836346.46135865</x:v>
      </x:c>
      <x:c r="J4" s="32" t="n">
        <x:v>3.283197122430026</x:v>
      </x:c>
      <x:c r="K4" s="32" t="n">
        <x:f>IF(J4="","",(1/'Metadata'!$B$5)^(J4-1))</x:f>
        <x:v>191.95398051369517</x:v>
      </x:c>
      <x:c r="L4" s="31" t="n">
        <x:f>IF(E4=0,"",E4*K4)</x:f>
        <x:v>21498932.824358184</x:v>
      </x:c>
      <x:c r="M4" s="31" t="n">
        <x:f>IF(E4=0,"",I4-L4)</x:f>
        <x:v>1337413.6370004676</x:v>
      </x:c>
      <x:c r="N4" s="32" t="n">
        <x:f>IF(L4=0,"",I4/L4)</x:f>
        <x:v>1.0622083732214458</x:v>
      </x:c>
      <x:c r="O4" s="34" t="n">
        <x:f>IF(L4=0,"",M4/L4)</x:f>
        <x:v>0.06220837322144589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0.0000314661</x:v>
      </x:c>
      <x:c r="E5" s="31" t="n">
        <x:v>0.0000314661</x:v>
      </x:c>
      <x:c r="F5" s="32" t="n">
        <x:v>0</x:v>
      </x:c>
      <x:c r="G5" s="34" t="n">
        <x:v>1</x:v>
      </x:c>
      <x:c r="H5" s="32" t="n">
        <x:f>IF(E5=0,"",I5/E5)</x:f>
        <x:v>114.81536214968828</x:v>
      </x:c>
      <x:c r="I5" s="31" t="n">
        <x:f>IF(C5=0,"",SUMIF('Species'!$H$2:$H$44,A5,'Species'!$U$2:$U$44))</x:f>
        <x:v>0.0036127916669383064</x:v>
      </x:c>
      <x:c r="J5" s="32" t="n">
        <x:v>3.06</x:v>
      </x:c>
      <x:c r="K5" s="32" t="n">
        <x:f>IF(J5="","",(1/'Metadata'!$B$5)^(J5-1))</x:f>
        <x:v>114.81536214968828</x:v>
      </x:c>
      <x:c r="L5" s="31" t="n">
        <x:f>IF(E5=0,"",E5*K5)</x:f>
        <x:v>0.0036127916669383064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16</x:v>
      </x:c>
      <x:c r="C6" s="33" t="n">
        <x:v>16</x:v>
      </x:c>
      <x:c r="D6" s="31" t="n">
        <x:v>1953.6194925821</x:v>
      </x:c>
      <x:c r="E6" s="31" t="n">
        <x:v>1953.6194925821</x:v>
      </x:c>
      <x:c r="F6" s="32" t="n">
        <x:v>0</x:v>
      </x:c>
      <x:c r="G6" s="34" t="n">
        <x:v>1</x:v>
      </x:c>
      <x:c r="H6" s="32" t="n">
        <x:f>IF(E6=0,"",I6/E6)</x:f>
        <x:v>164.16788019868662</x:v>
      </x:c>
      <x:c r="I6" s="31" t="n">
        <x:f>IF(C6=0,"",SUMIF('Species'!$H$2:$H$44,A6,'Species'!$U$2:$U$44))</x:f>
        <x:v>320721.57081203716</x:v>
      </x:c>
      <x:c r="J6" s="32" t="n">
        <x:v>3.08396273632354</x:v>
      </x:c>
      <x:c r="K6" s="32" t="n">
        <x:f>IF(J6="","",(1/'Metadata'!$B$5)^(J6-1))</x:f>
        <x:v>121.32847427876229</x:v>
      </x:c>
      <x:c r="L6" s="31" t="n">
        <x:f>IF(E6=0,"",E6*K6)</x:f>
        <x:v>237029.67235623597</x:v>
      </x:c>
      <x:c r="M6" s="31" t="n">
        <x:f>IF(E6=0,"",I6-L6)</x:f>
        <x:v>83691.89845580119</x:v>
      </x:c>
      <x:c r="N6" s="32" t="n">
        <x:f>IF(L6=0,"",I6/L6)</x:f>
        <x:v>1.353086166908332</x:v>
      </x:c>
      <x:c r="O6" s="34" t="n">
        <x:f>IF(L6=0,"",M6/L6)</x:f>
        <x:v>0.353086166908332</x:v>
      </x:c>
    </x:row>
    <x:row r="7" ht="18" customHeight="1">
      <x:c r="A7" s="24" t="str">
        <x:v>Perch-likes</x:v>
      </x:c>
      <x:c r="B7" s="33" t="n">
        <x:v>6</x:v>
      </x:c>
      <x:c r="C7" s="33" t="n">
        <x:v>6</x:v>
      </x:c>
      <x:c r="D7" s="31" t="n">
        <x:v>3526.1883812476003</x:v>
      </x:c>
      <x:c r="E7" s="31" t="n">
        <x:v>3526.1883812476003</x:v>
      </x:c>
      <x:c r="F7" s="32" t="n">
        <x:v>0</x:v>
      </x:c>
      <x:c r="G7" s="34" t="n">
        <x:v>1</x:v>
      </x:c>
      <x:c r="H7" s="32" t="n">
        <x:f>IF(E7=0,"",I7/E7)</x:f>
        <x:v>2004.0130497240705</x:v>
      </x:c>
      <x:c r="I7" s="31" t="n">
        <x:f>IF(C7=0,"",SUMIF('Species'!$H$2:$H$44,A7,'Species'!$U$2:$U$44))</x:f>
        <x:v>7066527.531805587</x:v>
      </x:c>
      <x:c r="J7" s="32" t="n">
        <x:v>4.281271050451189</x:v>
      </x:c>
      <x:c r="K7" s="32" t="n">
        <x:f>IF(J7="","",(1/'Metadata'!$B$5)^(J7-1))</x:f>
        <x:v>1911.045601975648</x:v>
      </x:c>
      <x:c r="L7" s="31" t="n">
        <x:f>IF(E7=0,"",E7*K7)</x:f>
        <x:v>6738706.797720856</x:v>
      </x:c>
      <x:c r="M7" s="31" t="n">
        <x:f>IF(E7=0,"",I7-L7)</x:f>
        <x:v>327820.73408473097</x:v>
      </x:c>
      <x:c r="N7" s="32" t="n">
        <x:f>IF(L7=0,"",I7/L7)</x:f>
        <x:v>1.0486474250809674</x:v>
      </x:c>
      <x:c r="O7" s="34" t="n">
        <x:f>IF(L7=0,"",M7/L7)</x:f>
        <x:v>0.04864742508096738</x:v>
      </x:c>
    </x:row>
    <x:row r="8" ht="18" customHeight="1">
      <x:c r="A8" s="24" t="str">
        <x:v>Salmon, smelts, etc</x:v>
      </x:c>
      <x:c r="B8" s="33" t="n">
        <x:v>9</x:v>
      </x:c>
      <x:c r="C8" s="33" t="n">
        <x:v>9</x:v>
      </x:c>
      <x:c r="D8" s="31" t="n">
        <x:v>5012.9020906451005</x:v>
      </x:c>
      <x:c r="E8" s="31" t="n">
        <x:v>5012.9020906451005</x:v>
      </x:c>
      <x:c r="F8" s="32" t="n">
        <x:v>0</x:v>
      </x:c>
      <x:c r="G8" s="34" t="n">
        <x:v>1</x:v>
      </x:c>
      <x:c r="H8" s="32" t="n">
        <x:f>IF(E8=0,"",I8/E8)</x:f>
        <x:v>625.1793582877451</x:v>
      </x:c>
      <x:c r="I8" s="31" t="n">
        <x:f>IF(C8=0,"",SUMIF('Species'!$H$2:$H$44,A8,'Species'!$U$2:$U$44))</x:f>
        <x:v>3133962.9121887996</x:v>
      </x:c>
      <x:c r="J8" s="32" t="n">
        <x:v>3.561815779173921</x:v>
      </x:c>
      <x:c r="K8" s="32" t="n">
        <x:f>IF(J8="","",(1/'Metadata'!$B$5)^(J8-1))</x:f>
        <x:v>364.59925690156143</x:v>
      </x:c>
      <x:c r="L8" s="31" t="n">
        <x:f>IF(E8=0,"",E8*K8)</x:f>
        <x:v>1827700.3771694873</x:v>
      </x:c>
      <x:c r="M8" s="31" t="n">
        <x:f>IF(E8=0,"",I8-L8)</x:f>
        <x:v>1306262.5350193123</x:v>
      </x:c>
      <x:c r="N8" s="32" t="n">
        <x:f>IF(L8=0,"",I8/L8)</x:f>
        <x:v>1.7147027769629766</x:v>
      </x:c>
      <x:c r="O8" s="34" t="n">
        <x:f>IF(L8=0,"",M8/L8)</x:f>
        <x:v>0.7147027769629766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26.947158496300002</x:v>
      </x:c>
      <x:c r="E9" s="31" t="n">
        <x:v>26.947158496300002</x:v>
      </x:c>
      <x:c r="F9" s="32" t="n">
        <x:v>0</x:v>
      </x:c>
      <x:c r="G9" s="34" t="n">
        <x:v>1</x:v>
      </x:c>
      <x:c r="H9" s="32" t="n">
        <x:f>IF(E9=0,"",I9/E9)</x:f>
        <x:v>490.1427074103532</x:v>
      </x:c>
      <x:c r="I9" s="31" t="n">
        <x:f>IF(C9=0,"",SUMIF('Species'!$H$2:$H$44,A9,'Species'!$U$2:$U$44))</x:f>
        <x:v>13207.953222392385</x:v>
      </x:c>
      <x:c r="J9" s="32" t="n">
        <x:v>3.6902540511780093</x:v>
      </x:c>
      <x:c r="K9" s="32" t="n">
        <x:f>IF(J9="","",(1/'Metadata'!$B$5)^(J9-1))</x:f>
        <x:v>490.0654112828462</x:v>
      </x:c>
      <x:c r="L9" s="31" t="n">
        <x:f>IF(E9=0,"",E9*K9)</x:f>
        <x:v>13205.870311393304</x:v>
      </x:c>
      <x:c r="M9" s="31" t="n">
        <x:f>IF(E9=0,"",I9-L9)</x:f>
        <x:v>2.082910999080923</x:v>
      </x:c>
      <x:c r="N9" s="32" t="n">
        <x:f>IF(L9=0,"",I9/L9)</x:f>
        <x:v>1.0001577261437502</x:v>
      </x:c>
      <x:c r="O9" s="34" t="n">
        <x:f>IF(L9=0,"",M9/L9)</x:f>
        <x:v>0.00015772614375017004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ab9624eb19c4a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6</x:v>
      </x:c>
      <x:c r="C2" s="33" t="n">
        <x:v>6</x:v>
      </x:c>
      <x:c r="D2" s="31" t="n">
        <x:v>361.8854781161</x:v>
      </x:c>
      <x:c r="E2" s="31" t="n">
        <x:v>361.8854781161</x:v>
      </x:c>
      <x:c r="F2" s="32" t="n">
        <x:v>0</x:v>
      </x:c>
      <x:c r="G2" s="34" t="n">
        <x:v>1</x:v>
      </x:c>
      <x:c r="H2" s="32" t="n">
        <x:f>IF(E2=0,"",I2/E2)</x:f>
        <x:v>2937.0457203759784</x:v>
      </x:c>
      <x:c r="I2" s="31" t="n">
        <x:f>IF(C2=0,"",SUMIF('Species'!$G$2:$G$44,A2,'Species'!$U$2:$U$44))</x:f>
        <x:v>1062874.1947671063</x:v>
      </x:c>
      <x:c r="J2" s="32" t="n">
        <x:v>4.452098966997039</x:v>
      </x:c>
      <x:c r="K2" s="32" t="n">
        <x:f>IF(J2="","",(1/'Metadata'!$B$5)^(J2-1))</x:f>
        <x:v>2832.0372867367114</x:v>
      </x:c>
      <x:c r="L2" s="31" t="n">
        <x:f>IF(E2=0,"",E2*K2)</x:f>
        <x:v>1024873.1675533374</x:v>
      </x:c>
      <x:c r="M2" s="31" t="n">
        <x:f>IF(E2=0,"",I2-L2)</x:f>
        <x:v>38001.02721376892</x:v>
      </x:c>
      <x:c r="N2" s="32" t="n">
        <x:f>IF(L2=0,"",I2/L2)</x:f>
        <x:v>1.0370787609792615</x:v>
      </x:c>
      <x:c r="O2" s="34" t="n">
        <x:f>IF(L2=0,"",M2/L2)</x:f>
        <x:v>0.0370787609792616</x:v>
      </x:c>
    </x:row>
    <x:row r="3" ht="18" customHeight="1">
      <x:c r="A3" s="24" t="str">
        <x:v>Large demersals (&gt;=90 cm)</x:v>
      </x:c>
      <x:c r="B3" s="33" t="n">
        <x:v>4</x:v>
      </x:c>
      <x:c r="C3" s="33" t="n">
        <x:v>4</x:v>
      </x:c>
      <x:c r="D3" s="31" t="n">
        <x:v>1235.0801501787</x:v>
      </x:c>
      <x:c r="E3" s="31" t="n">
        <x:v>1235.0801501787</x:v>
      </x:c>
      <x:c r="F3" s="32" t="n">
        <x:v>0</x:v>
      </x:c>
      <x:c r="G3" s="34" t="n">
        <x:v>1</x:v>
      </x:c>
      <x:c r="H3" s="32" t="n">
        <x:f>IF(E3=0,"",I3/E3)</x:f>
        <x:v>1141.3305753713262</x:v>
      </x:c>
      <x:c r="I3" s="31" t="n">
        <x:f>IF(C3=0,"",SUMIF('Species'!$G$2:$G$44,A3,'Species'!$U$2:$U$44))</x:f>
        <x:v>1409634.7384331597</x:v>
      </x:c>
      <x:c r="J3" s="32" t="n">
        <x:v>4.053566633490382</x:v>
      </x:c>
      <x:c r="K3" s="32" t="n">
        <x:f>IF(J3="","",(1/'Metadata'!$B$5)^(J3-1))</x:f>
        <x:v>1131.2709461076297</x:v>
      </x:c>
      <x:c r="L3" s="31" t="n">
        <x:f>IF(E3=0,"",E3*K3)</x:f>
        <x:v>1397210.2900114113</x:v>
      </x:c>
      <x:c r="M3" s="31" t="n">
        <x:f>IF(E3=0,"",I3-L3)</x:f>
        <x:v>12424.448421748355</x:v>
      </x:c>
      <x:c r="N3" s="32" t="n">
        <x:f>IF(L3=0,"",I3/L3)</x:f>
        <x:v>1.008892325307486</x:v>
      </x:c>
      <x:c r="O3" s="34" t="n">
        <x:f>IF(L3=0,"",M3/L3)</x:f>
        <x:v>0.00889232530748602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1.0159142483999999</x:v>
      </x:c>
      <x:c r="E4" s="31" t="n">
        <x:v>1.0159142483999999</x:v>
      </x:c>
      <x:c r="F4" s="32" t="n">
        <x:v>0</x:v>
      </x:c>
      <x:c r="G4" s="34" t="n">
        <x:v>1</x:v>
      </x:c>
      <x:c r="H4" s="32" t="n">
        <x:f>IF(E4=0,"",I4/E4)</x:f>
        <x:v>2276.846150707551</x:v>
      </x:c>
      <x:c r="I4" s="31" t="n">
        <x:f>IF(C4=0,"",SUMIF('Species'!$G$2:$G$44,A4,'Species'!$U$2:$U$44))</x:f>
        <x:v>2313.080445918494</x:v>
      </x:c>
      <x:c r="J4" s="32" t="n">
        <x:v>4.352686390980635</x:v>
      </x:c>
      <x:c r="K4" s="32" t="n">
        <x:f>IF(J4="","",(1/'Metadata'!$B$5)^(J4-1))</x:f>
        <x:v>2252.6119877888736</x:v>
      </x:c>
      <x:c r="L4" s="31" t="n">
        <x:f>IF(E4=0,"",E4*K4)</x:f>
        <x:v>2288.4606145113635</x:v>
      </x:c>
      <x:c r="M4" s="31" t="n">
        <x:f>IF(E4=0,"",I4-L4)</x:f>
        <x:v>24.619831407130732</x:v>
      </x:c>
      <x:c r="N4" s="32" t="n">
        <x:f>IF(L4=0,"",I4/L4)</x:f>
        <x:v>1.0107582500004648</x:v>
      </x:c>
      <x:c r="O4" s="34" t="n">
        <x:f>IF(L4=0,"",M4/L4)</x:f>
        <x:v>0.010758250000464879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834.2978251002</x:v>
      </x:c>
      <x:c r="E5" s="31" t="n">
        <x:v>834.2978251002</x:v>
      </x:c>
      <x:c r="F5" s="32" t="n">
        <x:v>0</x:v>
      </x:c>
      <x:c r="G5" s="34" t="n">
        <x:v>1</x:v>
      </x:c>
      <x:c r="H5" s="32" t="n">
        <x:f>IF(E5=0,"",I5/E5)</x:f>
        <x:v>916.8006946776545</x:v>
      </x:c>
      <x:c r="I5" s="31" t="n">
        <x:f>IF(C5=0,"",SUMIF('Species'!$G$2:$G$44,A5,'Species'!$U$2:$U$44))</x:f>
        <x:v>764884.8256199197</x:v>
      </x:c>
      <x:c r="J5" s="32" t="n">
        <x:v>3.899140064509839</x:v>
      </x:c>
      <x:c r="K5" s="32" t="n">
        <x:f>IF(J5="","",(1/'Metadata'!$B$5)^(J5-1))</x:f>
        <x:v>792.7569616627509</x:v>
      </x:c>
      <x:c r="L5" s="31" t="n">
        <x:f>IF(E5=0,"",E5*K5)</x:f>
        <x:v>661395.4089482757</x:v>
      </x:c>
      <x:c r="M5" s="31" t="n">
        <x:f>IF(E5=0,"",I5-L5)</x:f>
        <x:v>103489.41667164396</x:v>
      </x:c>
      <x:c r="N5" s="32" t="n">
        <x:f>IF(L5=0,"",I5/L5)</x:f>
        <x:v>1.1564713260350699</x:v>
      </x:c>
      <x:c r="O5" s="34" t="n">
        <x:f>IF(L5=0,"",M5/L5)</x:f>
        <x:v>0.15647132603506977</x:v>
      </x:c>
    </x:row>
    <x:row r="6" ht="18" customHeight="1">
      <x:c r="A6" s="24" t="str">
        <x:v>Medium benthopelagics (30 - 89 cm)</x:v>
      </x:c>
      <x:c r="B6" s="33" t="n">
        <x:v>4</x:v>
      </x:c>
      <x:c r="C6" s="33" t="n">
        <x:v>4</x:v>
      </x:c>
      <x:c r="D6" s="31" t="n">
        <x:v>852.0061573766</x:v>
      </x:c>
      <x:c r="E6" s="31" t="n">
        <x:v>852.0061573766</x:v>
      </x:c>
      <x:c r="F6" s="32" t="n">
        <x:v>0</x:v>
      </x:c>
      <x:c r="G6" s="34" t="n">
        <x:v>1</x:v>
      </x:c>
      <x:c r="H6" s="32" t="n">
        <x:f>IF(E6=0,"",I6/E6)</x:f>
        <x:v>175.2221524304896</x:v>
      </x:c>
      <x:c r="I6" s="31" t="n">
        <x:f>IF(C6=0,"",SUMIF('Species'!$G$2:$G$44,A6,'Species'!$U$2:$U$44))</x:f>
        <x:v>149290.3527795583</x:v>
      </x:c>
      <x:c r="J6" s="32" t="n">
        <x:v>3.0926711685838044</x:v>
      </x:c>
      <x:c r="K6" s="32" t="n">
        <x:f>IF(J6="","",(1/'Metadata'!$B$5)^(J6-1))</x:f>
        <x:v>123.78589714447699</x:v>
      </x:c>
      <x:c r="L6" s="31" t="n">
        <x:f>IF(E6=0,"",E6*K6)</x:f>
        <x:v>105466.34656348088</x:v>
      </x:c>
      <x:c r="M6" s="31" t="n">
        <x:f>IF(E6=0,"",I6-L6)</x:f>
        <x:v>43824.006216077425</x:v>
      </x:c>
      <x:c r="N6" s="32" t="n">
        <x:f>IF(L6=0,"",I6/L6)</x:f>
        <x:v>1.4155259724456224</x:v>
      </x:c>
      <x:c r="O6" s="34" t="n">
        <x:f>IF(L6=0,"",M6/L6)</x:f>
        <x:v>0.41552597244562245</x:v>
      </x:c>
    </x:row>
    <x:row r="7" ht="18" customHeight="1">
      <x:c r="A7" s="24" t="str">
        <x:v>Medium demersals (30 - 89 cm)</x:v>
      </x:c>
      <x:c r="B7" s="33" t="n">
        <x:v>11</x:v>
      </x:c>
      <x:c r="C7" s="33" t="n">
        <x:v>11</x:v>
      </x:c>
      <x:c r="D7" s="31" t="n">
        <x:v>3844.6012270268</x:v>
      </x:c>
      <x:c r="E7" s="31" t="n">
        <x:v>3844.6012270268</x:v>
      </x:c>
      <x:c r="F7" s="32" t="n">
        <x:v>0</x:v>
      </x:c>
      <x:c r="G7" s="34" t="n">
        <x:v>1</x:v>
      </x:c>
      <x:c r="H7" s="32" t="n">
        <x:f>IF(E7=0,"",I7/E7)</x:f>
        <x:v>1683.1212747692919</x:v>
      </x:c>
      <x:c r="I7" s="31" t="n">
        <x:f>IF(C7=0,"",SUMIF('Species'!$G$2:$G$44,A7,'Species'!$U$2:$U$44))</x:f>
        <x:v>6470930.118212932</x:v>
      </x:c>
      <x:c r="J7" s="32" t="n">
        <x:v>4.006738210414208</x:v>
      </x:c>
      <x:c r="K7" s="32" t="n">
        <x:f>IF(J7="","",(1/'Metadata'!$B$5)^(J7-1))</x:f>
        <x:v>1015.6362900724566</x:v>
      </x:c>
      <x:c r="L7" s="31" t="n">
        <x:f>IF(E7=0,"",E7*K7)</x:f>
        <x:v>3904716.527025514</x:v>
      </x:c>
      <x:c r="M7" s="31" t="n">
        <x:f>IF(E7=0,"",I7-L7)</x:f>
        <x:v>2566213.591187418</x:v>
      </x:c>
      <x:c r="N7" s="32" t="n">
        <x:f>IF(L7=0,"",I7/L7)</x:f>
        <x:v>1.6572086791514866</x:v>
      </x:c>
      <x:c r="O7" s="34" t="n">
        <x:f>IF(L7=0,"",M7/L7)</x:f>
        <x:v>0.6572086791514866</x:v>
      </x:c>
    </x:row>
    <x:row r="8" ht="18" customHeight="1">
      <x:c r="A8" s="24" t="str">
        <x:v>Medium pelagics (30 - 89 cm)</x:v>
      </x:c>
      <x:c r="B8" s="33" t="n">
        <x:v>7</x:v>
      </x:c>
      <x:c r="C8" s="33" t="n">
        <x:v>7</x:v>
      </x:c>
      <x:c r="D8" s="31" t="n">
        <x:v>86084.73502767882</x:v>
      </x:c>
      <x:c r="E8" s="31" t="n">
        <x:v>86084.73502767882</x:v>
      </x:c>
      <x:c r="F8" s="32" t="n">
        <x:v>0</x:v>
      </x:c>
      <x:c r="G8" s="34" t="n">
        <x:v>1</x:v>
      </x:c>
      <x:c r="H8" s="32" t="n">
        <x:f>IF(E8=0,"",I8/E8)</x:f>
        <x:v>239.23161011216877</x:v>
      </x:c>
      <x:c r="I8" s="31" t="n">
        <x:f>IF(C8=0,"",SUMIF('Species'!$G$2:$G$44,A8,'Species'!$U$2:$U$44))</x:f>
        <x:v>20594189.766751017</x:v>
      </x:c>
      <x:c r="J8" s="32" t="n">
        <x:v>3.3774000385105634</x:v>
      </x:c>
      <x:c r="K8" s="32" t="n">
        <x:f>IF(J8="","",(1/'Metadata'!$B$5)^(J8-1))</x:f>
        <x:v>238.45148888970553</x:v>
      </x:c>
      <x:c r="L8" s="31" t="n">
        <x:f>IF(E8=0,"",E8*K8)</x:f>
        <x:v>20527033.2380258</x:v>
      </x:c>
      <x:c r="M8" s="31" t="n">
        <x:f>IF(E8=0,"",I8-L8)</x:f>
        <x:v>67156.52872521803</x:v>
      </x:c>
      <x:c r="N8" s="32" t="n">
        <x:f>IF(L8=0,"",I8/L8)</x:f>
        <x:v>1.003271613971025</x:v>
      </x:c>
      <x:c r="O8" s="34" t="n">
        <x:f>IF(L8=0,"",M8/L8)</x:f>
        <x:v>0.0032716139710249163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0.0000314661</x:v>
      </x:c>
      <x:c r="E9" s="31" t="n">
        <x:v>0.0000314661</x:v>
      </x:c>
      <x:c r="F9" s="32" t="n">
        <x:v>0</x:v>
      </x:c>
      <x:c r="G9" s="34" t="n">
        <x:v>1</x:v>
      </x:c>
      <x:c r="H9" s="32" t="n">
        <x:f>IF(E9=0,"",I9/E9)</x:f>
        <x:v>114.81536214968828</x:v>
      </x:c>
      <x:c r="I9" s="31" t="n">
        <x:f>IF(C9=0,"",SUMIF('Species'!$G$2:$G$44,A9,'Species'!$U$2:$U$44))</x:f>
        <x:v>0.0036127916669383064</x:v>
      </x:c>
      <x:c r="J9" s="32" t="n">
        <x:v>3.06</x:v>
      </x:c>
      <x:c r="K9" s="32" t="n">
        <x:f>IF(J9="","",(1/'Metadata'!$B$5)^(J9-1))</x:f>
        <x:v>114.81536214968828</x:v>
      </x:c>
      <x:c r="L9" s="31" t="n">
        <x:f>IF(E9=0,"",E9*K9)</x:f>
        <x:v>0.0036127916669383064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benthopelagics (&lt;30 cm)</x:v>
      </x:c>
      <x:c r="B10" s="33" t="n">
        <x:v>1</x:v>
      </x:c>
      <x:c r="C10" s="33" t="n">
        <x:v>1</x:v>
      </x:c>
      <x:c r="D10" s="31" t="n">
        <x:v>89.1279376456</x:v>
      </x:c>
      <x:c r="E10" s="31" t="n">
        <x:v>89.1279376456</x:v>
      </x:c>
      <x:c r="F10" s="32" t="n">
        <x:v>0</x:v>
      </x:c>
      <x:c r="G10" s="34" t="n">
        <x:v>1</x:v>
      </x:c>
      <x:c r="H10" s="32" t="n">
        <x:f>IF(E10=0,"",I10/E10)</x:f>
        <x:v>204.17379446695296</x:v>
      </x:c>
      <x:c r="I10" s="31" t="n">
        <x:f>IF(C10=0,"",SUMIF('Species'!$G$2:$G$44,A10,'Species'!$U$2:$U$44))</x:f>
        <x:v>18197.589222116134</x:v>
      </x:c>
      <x:c r="J10" s="32" t="n">
        <x:v>3.3099999999999996</x:v>
      </x:c>
      <x:c r="K10" s="32" t="n">
        <x:f>IF(J10="","",(1/'Metadata'!$B$5)^(J10-1))</x:f>
        <x:v>204.17379446695276</x:v>
      </x:c>
      <x:c r="L10" s="31" t="n">
        <x:f>IF(E10=0,"",E10*K10)</x:f>
        <x:v>18197.589222116116</x:v>
      </x:c>
      <x:c r="M10" s="31" t="n">
        <x:f>IF(E10=0,"",I10-L10)</x:f>
        <x:v>1.8189894035458565e-11</x:v>
      </x:c>
      <x:c r="N10" s="32" t="n">
        <x:f>IF(L10=0,"",I10/L10)</x:f>
        <x:v>1.000000000000001</x:v>
      </x:c>
      <x:c r="O10" s="34" t="n">
        <x:f>IF(L10=0,"",M10/L10)</x:f>
        <x:v>9.995771315329945e-16</x:v>
      </x:c>
    </x:row>
    <x:row r="11" ht="18" customHeight="1">
      <x:c r="A11" s="24" t="str">
        <x:v>Small demersals (&lt;30 cm)</x:v>
      </x:c>
      <x:c r="B11" s="33" t="n">
        <x:v>1</x:v>
      </x:c>
      <x:c r="C11" s="33" t="n">
        <x:v>1</x:v>
      </x:c>
      <x:c r="D11" s="31" t="n">
        <x:v>30.2181974739</x:v>
      </x:c>
      <x:c r="E11" s="31" t="n">
        <x:v>30.2181974739</x:v>
      </x:c>
      <x:c r="F11" s="32" t="n">
        <x:v>0</x:v>
      </x:c>
      <x:c r="G11" s="34" t="n">
        <x:v>1</x:v>
      </x:c>
      <x:c r="H11" s="32" t="n">
        <x:f>IF(E11=0,"",I11/E11)</x:f>
        <x:v>208.92961308540387</x:v>
      </x:c>
      <x:c r="I11" s="31" t="n">
        <x:f>IF(C11=0,"",SUMIF('Species'!$G$2:$G$44,A11,'Species'!$U$2:$U$44))</x:f>
        <x:v>6313.476306360255</x:v>
      </x:c>
      <x:c r="J11" s="32" t="n">
        <x:v>3.32</x:v>
      </x:c>
      <x:c r="K11" s="32" t="n">
        <x:f>IF(J11="","",(1/'Metadata'!$B$5)^(J11-1))</x:f>
        <x:v>208.92961308540387</x:v>
      </x:c>
      <x:c r="L11" s="31" t="n">
        <x:f>IF(E11=0,"",E11*K11)</x:f>
        <x:v>6313.476306360255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pelagics (&lt;30 cm)</x:v>
      </x:c>
      <x:c r="B12" s="33" t="n">
        <x:v>1</x:v>
      </x:c>
      <x:c r="C12" s="33" t="n">
        <x:v>1</x:v>
      </x:c>
      <x:c r="D12" s="31" t="n">
        <x:v>29302.6118866397</x:v>
      </x:c>
      <x:c r="E12" s="31" t="n">
        <x:v>29302.6118866397</x:v>
      </x:c>
      <x:c r="F12" s="32" t="n">
        <x:v>0</x:v>
      </x:c>
      <x:c r="G12" s="34" t="n">
        <x:v>1</x:v>
      </x:c>
      <x:c r="H12" s="32" t="n">
        <x:f>IF(E12=0,"",I12/E12)</x:f>
        <x:v>102.32929922807536</x:v>
      </x:c>
      <x:c r="I12" s="31" t="n">
        <x:f>IF(C12=0,"",SUMIF('Species'!$G$2:$G$44,A12,'Species'!$U$2:$U$44))</x:f>
        <x:v>2998515.739912112</x:v>
      </x:c>
      <x:c r="J12" s="32" t="n">
        <x:v>3.01</x:v>
      </x:c>
      <x:c r="K12" s="32" t="n">
        <x:f>IF(J12="","",(1/'Metadata'!$B$5)^(J12-1))</x:f>
        <x:v>102.32929922807536</x:v>
      </x:c>
      <x:c r="L12" s="31" t="n">
        <x:f>IF(E12=0,"",E12*K12)</x:f>
        <x:v>2998515.739912112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reef assoc. fish (&lt;30 cm)</x:v>
      </x:c>
      <x:c r="B13" s="33" t="n">
        <x:v>1</x:v>
      </x:c>
      <x:c r="C13" s="33" t="n">
        <x:v>1</x:v>
      </x:c>
      <x:c r="D13" s="31" t="n">
        <x:v>4.6791289108</x:v>
      </x:c>
      <x:c r="E13" s="31" t="n">
        <x:v>4.6791289108</x:v>
      </x:c>
      <x:c r="F13" s="32" t="n">
        <x:v>0</x:v>
      </x:c>
      <x:c r="G13" s="34" t="n">
        <x:v>1</x:v>
      </x:c>
      <x:c r="H13" s="32" t="n">
        <x:f>IF(E13=0,"",I13/E13)</x:f>
        <x:v>128.82495516931337</x:v>
      </x:c>
      <x:c r="I13" s="31" t="n">
        <x:f>IF(C13=0,"",SUMIF('Species'!$G$2:$G$44,A13,'Species'!$U$2:$U$44))</x:f>
        <x:v>602.7885721652482</x:v>
      </x:c>
      <x:c r="J13" s="32" t="n">
        <x:v>3.11</x:v>
      </x:c>
      <x:c r="K13" s="32" t="n">
        <x:f>IF(J13="","",(1/'Metadata'!$B$5)^(J13-1))</x:f>
        <x:v>128.82495516931337</x:v>
      </x:c>
      <x:c r="L13" s="31" t="n">
        <x:f>IF(E13=0,"",E13*K13)</x:f>
        <x:v>602.7885721652482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to medium flatfishes (&lt;90 cm)</x:v>
      </x:c>
      <x:c r="B14" s="33" t="n">
        <x:v>2</x:v>
      </x:c>
      <x:c r="C14" s="33" t="n">
        <x:v>2</x:v>
      </x:c>
      <x:c r="D14" s="31" t="n">
        <x:v>111.3304987698</x:v>
      </x:c>
      <x:c r="E14" s="31" t="n">
        <x:v>111.3304987698</x:v>
      </x:c>
      <x:c r="F14" s="32" t="n">
        <x:v>0</x:v>
      </x:c>
      <x:c r="G14" s="34" t="n">
        <x:v>1</x:v>
      </x:c>
      <x:c r="H14" s="32" t="n">
        <x:f>IF(E14=0,"",I14/E14)</x:f>
        <x:v>280.8512888257596</x:v>
      </x:c>
      <x:c r="I14" s="31" t="n">
        <x:f>IF(C14=0,"",SUMIF('Species'!$G$2:$G$44,A14,'Species'!$U$2:$U$44))</x:f>
        <x:v>31267.314065112972</x:v>
      </x:c>
      <x:c r="J14" s="32" t="n">
        <x:v>3.4122886523351235</x:v>
      </x:c>
      <x:c r="K14" s="32" t="n">
        <x:f>IF(J14="","",(1/'Metadata'!$B$5)^(J14-1))</x:f>
        <x:v>258.39770514870617</x:v>
      </x:c>
      <x:c r="L14" s="31" t="n">
        <x:f>IF(E14=0,"",E14*K14)</x:f>
        <x:v>28767.545395177174</x:v>
      </x:c>
      <x:c r="M14" s="31" t="n">
        <x:f>IF(E14=0,"",I14-L14)</x:f>
        <x:v>2499.7686699357982</x:v>
      </x:c>
      <x:c r="N14" s="32" t="n">
        <x:f>IF(L14=0,"",I14/L14)</x:f>
        <x:v>1.0868954453915585</x:v>
      </x:c>
      <x:c r="O14" s="34" t="n">
        <x:f>IF(L14=0,"",M14/L14)</x:f>
        <x:v>0.0868954453915585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ce50e9b731143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EEZ_246</x:v>
      </x:c>
      <x:c r="B2" s="24" t="str">
        <x:v>raw_filtered_tonnes</x:v>
      </x:c>
      <x:c r="C2" s="24" t="n">
        <x:v>122751.58946063151</x:v>
      </x:c>
      <x:c r="D2" s="24" t="str">
        <x:v>tonnes</x:v>
      </x:c>
    </x:row>
    <x:row r="3" ht="18" customHeight="1">
      <x:c r="A3" s="24" t="str">
        <x:v>EEZ_246</x:v>
      </x:c>
      <x:c r="B3" s="24" t="str">
        <x:v>species_catch_tonnes</x:v>
      </x:c>
      <x:c r="C3" s="24" t="n">
        <x:v>122751.58946063148</x:v>
      </x:c>
      <x:c r="D3" s="24" t="str">
        <x:v>tonnes</x:v>
      </x:c>
    </x:row>
    <x:row r="4" ht="18" customHeight="1">
      <x:c r="A4" s="24" t="str">
        <x:v>EEZ_246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EEZ_246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EEZ_246</x:v>
      </x:c>
      <x:c r="B6" s="24" t="str">
        <x:v>matched_catch_tonnes</x:v>
      </x:c>
      <x:c r="C6" s="24" t="n">
        <x:v>122751.58946063148</x:v>
      </x:c>
      <x:c r="D6" s="24" t="str">
        <x:v>tonnes</x:v>
      </x:c>
    </x:row>
    <x:row r="7" ht="18" customHeight="1">
      <x:c r="A7" s="24" t="str">
        <x:v>EEZ_246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EEZ_246</x:v>
      </x:c>
      <x:c r="B8" s="24" t="str">
        <x:v>taxa_count</x:v>
      </x:c>
      <x:c r="C8" s="24" t="n">
        <x:v>43</x:v>
      </x:c>
      <x:c r="D8" s="24" t="str">
        <x:v>count</x:v>
      </x:c>
    </x:row>
    <x:row r="9" ht="18" customHeight="1">
      <x:c r="A9" s="24" t="str">
        <x:v>EEZ_246</x:v>
      </x:c>
      <x:c r="B9" s="24" t="str">
        <x:v>matched_taxa_count</x:v>
      </x:c>
      <x:c r="C9" s="24" t="n">
        <x:v>43</x:v>
      </x:c>
      <x:c r="D9" s="24" t="str">
        <x:v>count</x:v>
      </x:c>
    </x:row>
    <x:row r="10" ht="18" customHeight="1">
      <x:c r="A10" s="24" t="str">
        <x:v>EEZ_246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EEZ_246</x:v>
      </x:c>
      <x:c r="B11" s="24" t="str">
        <x:v>species_ppr</x:v>
      </x:c>
      <x:c r="C11" s="24" t="n">
        <x:v>33509013.98870027</x:v>
      </x:c>
      <x:c r="D11" s="24" t="str">
        <x:v>tonnes_primary_production_equivalent</x:v>
      </x:c>
    </x:row>
    <x:row r="12" ht="18" customHeight="1">
      <x:c r="A12" s="24" t="str">
        <x:v>EEZ_246</x:v>
      </x:c>
      <x:c r="B12" s="24" t="str">
        <x:v>commercial_ppr</x:v>
      </x:c>
      <x:c r="C12" s="24" t="n">
        <x:v>33509013.988700274</x:v>
      </x:c>
      <x:c r="D12" s="24" t="str">
        <x:v>tonnes_primary_production_equivalent</x:v>
      </x:c>
    </x:row>
    <x:row r="13" ht="18" customHeight="1">
      <x:c r="A13" s="24" t="str">
        <x:v>EEZ_246</x:v>
      </x:c>
      <x:c r="B13" s="24" t="str">
        <x:v>functional_ppr</x:v>
      </x:c>
      <x:c r="C13" s="24" t="n">
        <x:v>33509013.98870027</x:v>
      </x:c>
      <x:c r="D13" s="24" t="str">
        <x:v>tonnes_primary_production_equivalent</x:v>
      </x:c>
    </x:row>
    <x:row r="14" ht="18" customHeight="1">
      <x:c r="A14" s="24" t="str">
        <x:v>EEZ_246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EEZ_246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EEZ_246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EEZ_246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EEZ_246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EEZ_246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cc192a3008446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EEZ_246 - Finland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EEZ_246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raw_data/SAU_downloads/EEZ_246-catch.zip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