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b76c4cff5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0f7905e991d4dbb"/>
    <x:sheet xmlns:r="http://schemas.openxmlformats.org/officeDocument/2006/relationships" name="Commercial" sheetId="2" r:id="R177ab74cb6f8401f"/>
    <x:sheet xmlns:r="http://schemas.openxmlformats.org/officeDocument/2006/relationships" name="Functional" sheetId="3" r:id="Ref2d6f08272a4ce3"/>
    <x:sheet xmlns:r="http://schemas.openxmlformats.org/officeDocument/2006/relationships" name="Missing TL" sheetId="4" r:id="Rd0c65e16a4ae4057"/>
    <x:sheet xmlns:r="http://schemas.openxmlformats.org/officeDocument/2006/relationships" name="Validation" sheetId="5" r:id="Rb46b02f51ce04874"/>
    <x:sheet xmlns:r="http://schemas.openxmlformats.org/officeDocument/2006/relationships" name="Metadata" sheetId="6" r:id="Rdbb481b5c113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d37284b754679" /><Relationship Type="http://schemas.openxmlformats.org/officeDocument/2006/relationships/theme" Target="/xl/theme/theme1.xml" Id="R34dcf6dac1b4450f" /><Relationship Type="http://schemas.microsoft.com/office/2022/11/relationships/FeaturePropertyBag" Target="/xl/featurePropertyBag/featurePropertyBag.xml" Id="Rff69411c28d5418e" /><Relationship Type="http://schemas.openxmlformats.org/officeDocument/2006/relationships/sharedStrings" Target="/xl/sharedStrings.xml" Id="R671b8c18c27046b7" /><Relationship Type="http://schemas.openxmlformats.org/officeDocument/2006/relationships/worksheet" Target="/xl/worksheets/sheet1.xml" Id="R10f7905e991d4dbb" /><Relationship Type="http://schemas.openxmlformats.org/officeDocument/2006/relationships/worksheet" Target="/xl/worksheets/sheet2.xml" Id="R177ab74cb6f8401f" /><Relationship Type="http://schemas.openxmlformats.org/officeDocument/2006/relationships/worksheet" Target="/xl/worksheets/sheet3.xml" Id="Ref2d6f08272a4ce3" /><Relationship Type="http://schemas.openxmlformats.org/officeDocument/2006/relationships/worksheet" Target="/xl/worksheets/sheet4.xml" Id="Rd0c65e16a4ae4057" /><Relationship Type="http://schemas.openxmlformats.org/officeDocument/2006/relationships/worksheet" Target="/xl/worksheets/sheet5.xml" Id="Rb46b02f51ce04874" /><Relationship Type="http://schemas.openxmlformats.org/officeDocument/2006/relationships/worksheet" Target="/xl/worksheets/sheet6.xml" Id="Rdbb481b5c11344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56SpeciesTable" displayName="EEZ356SpeciesTable" ref="A1:U152" headerRowCount="1" totalsRowCount="0" totalsRowShown="0">
  <x:autoFilter ref="A1:U15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56CommercialTable" displayName="EEZ35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56FunctionalTable" displayName="EEZ356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56ValidationTable" displayName="EEZ35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3979d4862b4c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3f40ed215445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40945cc5a24c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4ebf70926448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EEZ_356</x:v>
      </x:c>
      <x:c r="B2" s="24" t="str">
        <x:v>India (mainland)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542082.349868354</x:v>
      </x:c>
      <x:c r="J2" s="31" t="n">
        <x:v>511961.6068220055</x:v>
      </x:c>
      <x:c r="K2" s="31" t="n">
        <x:v>30120.743046348598</x:v>
      </x:c>
      <x:c r="L2" s="31" t="n">
        <x:v>444382.5804316863</x:v>
      </x:c>
      <x:c r="M2" s="31" t="n">
        <x:v>97699.7694366678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103291662.35753576</x:v>
      </x:c>
    </x:row>
    <x:row r="3" ht="18" customHeight="1">
      <x:c r="A3" s="24" t="str">
        <x:v>EEZ_356</x:v>
      </x:c>
      <x:c r="B3" s="24" t="str">
        <x:v>India (mainland)</x:v>
      </x:c>
      <x:c r="C3" s="24" t="str">
        <x:v>EEZ</x:v>
      </x:c>
      <x:c r="D3" s="30" t="n">
        <x:v>2019</x:v>
      </x:c>
      <x:c r="E3" s="24" t="str">
        <x:v>Sardinella longiceps</x:v>
      </x:c>
      <x:c r="F3" s="24" t="str">
        <x:v>Indian oil sardine</x:v>
      </x:c>
      <x:c r="G3" s="24" t="str">
        <x:v>Small pelagics (&lt;30 cm)</x:v>
      </x:c>
      <x:c r="H3" s="24" t="str">
        <x:v>Herring-likes</x:v>
      </x:c>
      <x:c r="I3" s="31" t="n">
        <x:v>308141.589605215</x:v>
      </x:c>
      <x:c r="J3" s="31" t="n">
        <x:v>301696.181127235</x:v>
      </x:c>
      <x:c r="K3" s="31" t="n">
        <x:v>6445.4084779800005</x:v>
      </x:c>
      <x:c r="L3" s="31" t="n">
        <x:v>301696.181127235</x:v>
      </x:c>
      <x:c r="M3" s="31" t="n">
        <x:v>6445.4084779800005</x:v>
      </x:c>
      <x:c r="N3" s="24" t="str">
        <x:v>sardinella longiceps</x:v>
      </x:c>
      <x:c r="O3" s="32" t="n">
        <x:v>2.41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longiceps</x:v>
      </x:c>
      <x:c r="T3" s="32" t="n">
        <x:f>IF(O3="","",(1/'Metadata'!$B$5)^(O3-1))</x:f>
        <x:v>25.703957827688647</x:v>
      </x:c>
      <x:c r="U3" s="31" t="n">
        <x:f>IF(T3="","",I3*T3)</x:f>
        <x:v>7920458.424169389</x:v>
      </x:c>
    </x:row>
    <x:row r="4" ht="18" customHeight="1">
      <x:c r="A4" s="24" t="str">
        <x:v>EEZ_356</x:v>
      </x:c>
      <x:c r="B4" s="24" t="str">
        <x:v>India (mainland)</x:v>
      </x:c>
      <x:c r="C4" s="24" t="str">
        <x:v>EEZ</x:v>
      </x:c>
      <x:c r="D4" s="30" t="n">
        <x:v>2019</x:v>
      </x:c>
      <x:c r="E4" s="24" t="str">
        <x:v>Rastrelliger kanagurta</x:v>
      </x:c>
      <x:c r="F4" s="24" t="str">
        <x:v>Indian mackerel</x:v>
      </x:c>
      <x:c r="G4" s="24" t="str">
        <x:v>Medium pelagics (30 - 89 cm)</x:v>
      </x:c>
      <x:c r="H4" s="24" t="str">
        <x:v>Perch-likes</x:v>
      </x:c>
      <x:c r="I4" s="31" t="n">
        <x:v>279761.6320923073</x:v>
      </x:c>
      <x:c r="J4" s="31" t="n">
        <x:v>257961.88417788022</x:v>
      </x:c>
      <x:c r="K4" s="31" t="n">
        <x:v>21799.7479144271</x:v>
      </x:c>
      <x:c r="L4" s="31" t="n">
        <x:v>257867.49722964442</x:v>
      </x:c>
      <x:c r="M4" s="31" t="n">
        <x:v>21894.1348626629</x:v>
      </x:c>
      <x:c r="N4" s="24" t="str">
        <x:v>rastrelliger kanagurta</x:v>
      </x:c>
      <x:c r="O4" s="32" t="n">
        <x:v>3.19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Rastrelliger kanagurta</x:v>
      </x:c>
      <x:c r="T4" s="32" t="n">
        <x:f>IF(O4="","",(1/'Metadata'!$B$5)^(O4-1))</x:f>
        <x:v>154.88166189124811</x:v>
      </x:c>
      <x:c r="U4" s="31" t="n">
        <x:f>IF(T4="","",I4*T4)</x:f>
        <x:v>43329946.51186449</x:v>
      </x:c>
    </x:row>
    <x:row r="5" ht="18" customHeight="1">
      <x:c r="A5" s="24" t="str">
        <x:v>EEZ_356</x:v>
      </x:c>
      <x:c r="B5" s="24" t="str">
        <x:v>India (mainland)</x:v>
      </x:c>
      <x:c r="C5" s="24" t="str">
        <x:v>EEZ</x:v>
      </x:c>
      <x:c r="D5" s="30" t="n">
        <x:v>2019</x:v>
      </x:c>
      <x:c r="E5" s="24" t="str">
        <x:v>Clupeiformes</x:v>
      </x:c>
      <x:c r="F5" s="24" t="str">
        <x:v>Herrings, shads, anchovies</x:v>
      </x:c>
      <x:c r="G5" s="24" t="str">
        <x:v>Small pelagics (&lt;30 cm)</x:v>
      </x:c>
      <x:c r="H5" s="24" t="str">
        <x:v>Other fishes &amp; inverts</x:v>
      </x:c>
      <x:c r="I5" s="31" t="n">
        <x:v>237324.81408907</x:v>
      </x:c>
      <x:c r="J5" s="31" t="n">
        <x:v>222633.16668529998</x:v>
      </x:c>
      <x:c r="K5" s="31" t="n">
        <x:v>14691.64740377</x:v>
      </x:c>
      <x:c r="L5" s="31" t="n">
        <x:v>222633.16668529998</x:v>
      </x:c>
      <x:c r="M5" s="31" t="n">
        <x:v>14691.64740377</x:v>
      </x:c>
      <x:c r="N5" s="24" t="str">
        <x:v>clupeiformes</x:v>
      </x:c>
      <x:c r="O5" s="32" t="n">
        <x:v>3.24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Clupeiformes</x:v>
      </x:c>
      <x:c r="T5" s="32" t="n">
        <x:f>IF(O5="","",(1/'Metadata'!$B$5)^(O5-1))</x:f>
        <x:v>173.78008287493762</x:v>
      </x:c>
      <x:c r="U5" s="31" t="n">
        <x:f>IF(T5="","",I5*T5)</x:f>
        <x:v>41242325.86067775</x:v>
      </x:c>
    </x:row>
    <x:row r="6" ht="18" customHeight="1">
      <x:c r="A6" s="24" t="str">
        <x:v>EEZ_356</x:v>
      </x:c>
      <x:c r="B6" s="24" t="str">
        <x:v>India (mainland)</x:v>
      </x:c>
      <x:c r="C6" s="24" t="str">
        <x:v>EEZ</x:v>
      </x:c>
      <x:c r="D6" s="30" t="n">
        <x:v>2019</x:v>
      </x:c>
      <x:c r="E6" s="24" t="str">
        <x:v>Decapoda</x:v>
      </x:c>
      <x:c r="F6" s="24" t="str">
        <x:v>Crabs, lobsters, shrimps</x:v>
      </x:c>
      <x:c r="G6" s="24" t="str">
        <x:v>Lobsters, crabs</x:v>
      </x:c>
      <x:c r="H6" s="24" t="str">
        <x:v>Crustaceans</x:v>
      </x:c>
      <x:c r="I6" s="31" t="n">
        <x:v>235410.973585124</x:v>
      </x:c>
      <x:c r="J6" s="31" t="n">
        <x:v>230792.410078244</x:v>
      </x:c>
      <x:c r="K6" s="31" t="n">
        <x:v>4618.563506879999</x:v>
      </x:c>
      <x:c r="L6" s="31" t="n">
        <x:v>227753.6732788</x:v>
      </x:c>
      <x:c r="M6" s="31" t="n">
        <x:v>7657.300306324</x:v>
      </x:c>
      <x:c r="N6" s="24" t="str">
        <x:v>decapoda</x:v>
      </x:c>
      <x:c r="O6" s="32" t="n">
        <x:v>3.43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Decapoda</x:v>
      </x:c>
      <x:c r="T6" s="32" t="n">
        <x:f>IF(O6="","",(1/'Metadata'!$B$5)^(O6-1))</x:f>
        <x:v>269.1534803926917</x:v>
      </x:c>
      <x:c r="U6" s="31" t="n">
        <x:f>IF(T6="","",I6*T6)</x:f>
        <x:v>63361682.86306813</x:v>
      </x:c>
    </x:row>
    <x:row r="7" ht="18" customHeight="1">
      <x:c r="A7" s="24" t="str">
        <x:v>EEZ_356</x:v>
      </x:c>
      <x:c r="B7" s="24" t="str">
        <x:v>India (mainland)</x:v>
      </x:c>
      <x:c r="C7" s="24" t="str">
        <x:v>EEZ</x:v>
      </x:c>
      <x:c r="D7" s="30" t="n">
        <x:v>2019</x:v>
      </x:c>
      <x:c r="E7" s="24" t="str">
        <x:v>Penaeidae</x:v>
      </x:c>
      <x:c r="F7" s="24" t="str">
        <x:v>Commercial shrimps and prawns</x:v>
      </x:c>
      <x:c r="G7" s="24" t="str">
        <x:v>Shrimps</x:v>
      </x:c>
      <x:c r="H7" s="24" t="str">
        <x:v>Crustaceans</x:v>
      </x:c>
      <x:c r="I7" s="31" t="n">
        <x:v>201599.34198000003</x:v>
      </x:c>
      <x:c r="J7" s="31" t="n">
        <x:v>201599.34198000003</x:v>
      </x:c>
      <x:c r="K7" s="31" t="n">
        <x:v>0</x:v>
      </x:c>
      <x:c r="L7" s="31" t="n">
        <x:v>201599.34198000003</x:v>
      </x:c>
      <x:c r="M7" s="31" t="n">
        <x:v>0</x:v>
      </x:c>
      <x:c r="N7" s="24" t="str">
        <x:v>penaeidae</x:v>
      </x:c>
      <x:c r="O7" s="32" t="n">
        <x:v>3.31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Penaeidae</x:v>
      </x:c>
      <x:c r="T7" s="32" t="n">
        <x:f>IF(O7="","",(1/'Metadata'!$B$5)^(O7-1))</x:f>
        <x:v>204.17379446695296</x:v>
      </x:c>
      <x:c r="U7" s="31" t="n">
        <x:f>IF(T7="","",I7*T7)</x:f>
        <x:v>41161302.61409748</x:v>
      </x:c>
    </x:row>
    <x:row r="8" ht="18" customHeight="1">
      <x:c r="A8" s="24" t="str">
        <x:v>EEZ_356</x:v>
      </x:c>
      <x:c r="B8" s="24" t="str">
        <x:v>India (mainland)</x:v>
      </x:c>
      <x:c r="C8" s="24" t="str">
        <x:v>EEZ</x:v>
      </x:c>
      <x:c r="D8" s="30" t="n">
        <x:v>2019</x:v>
      </x:c>
      <x:c r="E8" s="24" t="str">
        <x:v>Carangidae</x:v>
      </x:c>
      <x:c r="F8" s="24" t="str">
        <x:v>Jacks, pompanos</x:v>
      </x:c>
      <x:c r="G8" s="24" t="str">
        <x:v>Medium pelagics (30 - 89 cm)</x:v>
      </x:c>
      <x:c r="H8" s="24" t="str">
        <x:v>Perch-likes</x:v>
      </x:c>
      <x:c r="I8" s="31" t="n">
        <x:v>189085.6997610678</x:v>
      </x:c>
      <x:c r="J8" s="31" t="n">
        <x:v>178624.4714839589</x:v>
      </x:c>
      <x:c r="K8" s="31" t="n">
        <x:v>10461.2282771089</x:v>
      </x:c>
      <x:c r="L8" s="31" t="n">
        <x:v>178391.1397030112</x:v>
      </x:c>
      <x:c r="M8" s="31" t="n">
        <x:v>10694.560058056599</x:v>
      </x:c>
      <x:c r="N8" s="24" t="str">
        <x:v>carangidae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Carangidae</x:v>
      </x:c>
      <x:c r="T8" s="32" t="n">
        <x:f>IF(O8="","",(1/'Metadata'!$B$5)^(O8-1))</x:f>
        <x:v>1122.018454301963</x:v>
      </x:c>
      <x:c r="U8" s="31" t="n">
        <x:f>IF(T8="","",I8*T8)</x:f>
        <x:v>212157644.57651836</x:v>
      </x:c>
    </x:row>
    <x:row r="9" ht="18" customHeight="1">
      <x:c r="A9" s="24" t="str">
        <x:v>EEZ_356</x:v>
      </x:c>
      <x:c r="B9" s="24" t="str">
        <x:v>India (mainland)</x:v>
      </x:c>
      <x:c r="C9" s="24" t="str">
        <x:v>EEZ</x:v>
      </x:c>
      <x:c r="D9" s="30" t="n">
        <x:v>2019</x:v>
      </x:c>
      <x:c r="E9" s="24" t="str">
        <x:v>Nemipteridae</x:v>
      </x:c>
      <x:c r="F9" s="24" t="str">
        <x:v>Threadfins, whiptail breams</x:v>
      </x:c>
      <x:c r="G9" s="24" t="str">
        <x:v>Small demersals (&lt;30 cm)</x:v>
      </x:c>
      <x:c r="H9" s="24" t="str">
        <x:v>Perch-likes</x:v>
      </x:c>
      <x:c r="I9" s="31" t="n">
        <x:v>172815.262046882</x:v>
      </x:c>
      <x:c r="J9" s="31" t="n">
        <x:v>159364.6208072741</x:v>
      </x:c>
      <x:c r="K9" s="31" t="n">
        <x:v>13450.6412396079</x:v>
      </x:c>
      <x:c r="L9" s="31" t="n">
        <x:v>159233.6523675594</x:v>
      </x:c>
      <x:c r="M9" s="31" t="n">
        <x:v>13581.6096793226</x:v>
      </x:c>
      <x:c r="N9" s="24" t="str">
        <x:v>nemipteridae</x:v>
      </x:c>
      <x:c r="O9" s="32" t="n">
        <x:v>3.51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Nemipteridae</x:v>
      </x:c>
      <x:c r="T9" s="32" t="n">
        <x:f>IF(O9="","",(1/'Metadata'!$B$5)^(O9-1))</x:f>
        <x:v>323.5936569296281</x:v>
      </x:c>
      <x:c r="U9" s="31" t="n">
        <x:f>IF(T9="","",I9*T9)</x:f>
        <x:v>55921922.61900251</x:v>
      </x:c>
    </x:row>
    <x:row r="10" ht="18" customHeight="1">
      <x:c r="A10" s="24" t="str">
        <x:v>EEZ_356</x:v>
      </x:c>
      <x:c r="B10" s="24" t="str">
        <x:v>India (mainland)</x:v>
      </x:c>
      <x:c r="C10" s="24" t="str">
        <x:v>EEZ</x:v>
      </x:c>
      <x:c r="D10" s="30" t="n">
        <x:v>2019</x:v>
      </x:c>
      <x:c r="E10" s="24" t="str">
        <x:v>Sciaenidae</x:v>
      </x:c>
      <x:c r="F10" s="24" t="str">
        <x:v>Drums, croakers</x:v>
      </x:c>
      <x:c r="G10" s="24" t="str">
        <x:v>Medium demersals (30 - 89 cm)</x:v>
      </x:c>
      <x:c r="H10" s="24" t="str">
        <x:v>Perch-likes</x:v>
      </x:c>
      <x:c r="I10" s="31" t="n">
        <x:v>168862.14211639191</x:v>
      </x:c>
      <x:c r="J10" s="31" t="n">
        <x:v>159097.2848602343</x:v>
      </x:c>
      <x:c r="K10" s="31" t="n">
        <x:v>9764.8572561576</x:v>
      </x:c>
      <x:c r="L10" s="31" t="n">
        <x:v>153244.4440335154</x:v>
      </x:c>
      <x:c r="M10" s="31" t="n">
        <x:v>15617.698082876499</x:v>
      </x:c>
      <x:c r="N10" s="24" t="str">
        <x:v>sciaenidae</x:v>
      </x:c>
      <x:c r="O10" s="32" t="n">
        <x:v>3.76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Sciaenidae</x:v>
      </x:c>
      <x:c r="T10" s="32" t="n">
        <x:f>IF(O10="","",(1/'Metadata'!$B$5)^(O10-1))</x:f>
        <x:v>575.4399373371566</x:v>
      </x:c>
      <x:c r="U10" s="31" t="n">
        <x:f>IF(T10="","",I10*T10)</x:f>
        <x:v>97170020.4780746</x:v>
      </x:c>
    </x:row>
    <x:row r="11" ht="18" customHeight="1">
      <x:c r="A11" s="24" t="str">
        <x:v>EEZ_356</x:v>
      </x:c>
      <x:c r="B11" s="24" t="str">
        <x:v>India (mainland)</x:v>
      </x:c>
      <x:c r="C11" s="24" t="str">
        <x:v>EEZ</x:v>
      </x:c>
      <x:c r="D11" s="30" t="n">
        <x:v>2019</x:v>
      </x:c>
      <x:c r="E11" s="24" t="str">
        <x:v>Clupeidae</x:v>
      </x:c>
      <x:c r="F11" s="24" t="str">
        <x:v>Herrings, sardines, menhadens</x:v>
      </x:c>
      <x:c r="G11" s="24" t="str">
        <x:v>Small pelagics (&lt;30 cm)</x:v>
      </x:c>
      <x:c r="H11" s="24" t="str">
        <x:v>Herring-likes</x:v>
      </x:c>
      <x:c r="I11" s="31" t="n">
        <x:v>154528.637885804</x:v>
      </x:c>
      <x:c r="J11" s="31" t="n">
        <x:v>150276.4693057</x:v>
      </x:c>
      <x:c r="K11" s="31" t="n">
        <x:v>4252.168580104</x:v>
      </x:c>
      <x:c r="L11" s="31" t="n">
        <x:v>142240.10396206</x:v>
      </x:c>
      <x:c r="M11" s="31" t="n">
        <x:v>12288.533923744</x:v>
      </x:c>
      <x:c r="N11" s="24" t="str">
        <x:v>clupeidae</x:v>
      </x:c>
      <x:c r="O11" s="32" t="n">
        <x:v>3.16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Clupeidae</x:v>
      </x:c>
      <x:c r="T11" s="32" t="n">
        <x:f>IF(O11="","",(1/'Metadata'!$B$5)^(O11-1))</x:f>
        <x:v>144.5439770745928</x:v>
      </x:c>
      <x:c r="U11" s="31" t="n">
        <x:f>IF(T11="","",I11*T11)</x:f>
        <x:v>22336183.891933702</x:v>
      </x:c>
    </x:row>
    <x:row r="12" ht="18" customHeight="1">
      <x:c r="A12" s="24" t="str">
        <x:v>EEZ_356</x:v>
      </x:c>
      <x:c r="B12" s="24" t="str">
        <x:v>India (mainland)</x:v>
      </x:c>
      <x:c r="C12" s="24" t="str">
        <x:v>EEZ</x:v>
      </x:c>
      <x:c r="D12" s="30" t="n">
        <x:v>2019</x:v>
      </x:c>
      <x:c r="E12" s="24" t="str">
        <x:v>Decapterus</x:v>
      </x:c>
      <x:c r="F12" s="24" t="str">
        <x:v>Scads</x:v>
      </x:c>
      <x:c r="G12" s="24" t="str">
        <x:v>Medium pelagics (30 - 89 cm)</x:v>
      </x:c>
      <x:c r="H12" s="24" t="str">
        <x:v>Perch-likes</x:v>
      </x:c>
      <x:c r="I12" s="31" t="n">
        <x:v>148835.99609234</x:v>
      </x:c>
      <x:c r="J12" s="31" t="n">
        <x:v>139094.5811986</x:v>
      </x:c>
      <x:c r="K12" s="31" t="n">
        <x:v>9741.414893739999</x:v>
      </x:c>
      <x:c r="L12" s="31" t="n">
        <x:v>139094.5811986</x:v>
      </x:c>
      <x:c r="M12" s="31" t="n">
        <x:v>9741.414893739999</x:v>
      </x:c>
      <x:c r="N12" s="24" t="str">
        <x:v>decapterus</x:v>
      </x:c>
      <x:c r="O12" s="32" t="n">
        <x:v>3.63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Decapterus</x:v>
      </x:c>
      <x:c r="T12" s="32" t="n">
        <x:f>IF(O12="","",(1/'Metadata'!$B$5)^(O12-1))</x:f>
        <x:v>426.57951880159254</x:v>
      </x:c>
      <x:c r="U12" s="31" t="n">
        <x:f>IF(T12="","",I12*T12)</x:f>
        <x:v>63490387.59342611</x:v>
      </x:c>
    </x:row>
    <x:row r="13" ht="18" customHeight="1">
      <x:c r="A13" s="24" t="str">
        <x:v>EEZ_356</x:v>
      </x:c>
      <x:c r="B13" s="24" t="str">
        <x:v>India (mainland)</x:v>
      </x:c>
      <x:c r="C13" s="24" t="str">
        <x:v>EEZ</x:v>
      </x:c>
      <x:c r="D13" s="30" t="n">
        <x:v>2019</x:v>
      </x:c>
      <x:c r="E13" s="24" t="str">
        <x:v>Perciformes</x:v>
      </x:c>
      <x:c r="F13" s="24" t="str">
        <x:v>Perch-likes</x:v>
      </x:c>
      <x:c r="G13" s="24" t="str">
        <x:v>Medium demersals (30 - 89 cm)</x:v>
      </x:c>
      <x:c r="H13" s="24" t="str">
        <x:v>Perch-likes</x:v>
      </x:c>
      <x:c r="I13" s="31" t="n">
        <x:v>136503.4095862201</x:v>
      </x:c>
      <x:c r="J13" s="31" t="n">
        <x:v>122982.3422710001</x:v>
      </x:c>
      <x:c r="K13" s="31" t="n">
        <x:v>13521.06731522</x:v>
      </x:c>
      <x:c r="L13" s="31" t="n">
        <x:v>122007.0799575</x:v>
      </x:c>
      <x:c r="M13" s="31" t="n">
        <x:v>14496.3296287201</x:v>
      </x:c>
      <x:c r="N13" s="24" t="str">
        <x:v>perciformes</x:v>
      </x:c>
      <x:c r="O13" s="32" t="n">
        <x:v>3.53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Perciformes</x:v>
      </x:c>
      <x:c r="T13" s="32" t="n">
        <x:f>IF(O13="","",(1/'Metadata'!$B$5)^(O13-1))</x:f>
        <x:v>338.84415613920237</x:v>
      </x:c>
      <x:c r="U13" s="31" t="n">
        <x:f>IF(T13="","",I13*T13)</x:f>
        <x:v>46253382.63136666</x:v>
      </x:c>
    </x:row>
    <x:row r="14" ht="18" customHeight="1">
      <x:c r="A14" s="24" t="str">
        <x:v>EEZ_356</x:v>
      </x:c>
      <x:c r="B14" s="24" t="str">
        <x:v>India (mainland)</x:v>
      </x:c>
      <x:c r="C14" s="24" t="str">
        <x:v>EEZ</x:v>
      </x:c>
      <x:c r="D14" s="30" t="n">
        <x:v>2019</x:v>
      </x:c>
      <x:c r="E14" s="24" t="str">
        <x:v>Harpadon nehereus</x:v>
      </x:c>
      <x:c r="F14" s="24" t="str">
        <x:v>Bombay-duck</x:v>
      </x:c>
      <x:c r="G14" s="24" t="str">
        <x:v>Medium benthopelagics (30 - 89 cm)</x:v>
      </x:c>
      <x:c r="H14" s="24" t="str">
        <x:v>Other fishes &amp; inverts</x:v>
      </x:c>
      <x:c r="I14" s="31" t="n">
        <x:v>131975.2373062279</x:v>
      </x:c>
      <x:c r="J14" s="31" t="n">
        <x:v>122351.3197801</x:v>
      </x:c>
      <x:c r="K14" s="31" t="n">
        <x:v>9623.9175261279</x:v>
      </x:c>
      <x:c r="L14" s="31" t="n">
        <x:v>122351.3197801</x:v>
      </x:c>
      <x:c r="M14" s="31" t="n">
        <x:v>9623.9175261279</x:v>
      </x:c>
      <x:c r="N14" s="24" t="str">
        <x:v>harpadon nehereus</x:v>
      </x:c>
      <x:c r="O14" s="32" t="n">
        <x:v>4.2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Harpadon nehereus</x:v>
      </x:c>
      <x:c r="T14" s="32" t="n">
        <x:f>IF(O14="","",(1/'Metadata'!$B$5)^(O14-1))</x:f>
        <x:v>1584.893192461114</x:v>
      </x:c>
      <x:c r="U14" s="31" t="n">
        <x:f>IF(T14="","",I14*T14)</x:f>
        <x:v>209166655.18008065</x:v>
      </x:c>
    </x:row>
    <x:row r="15" ht="18" customHeight="1">
      <x:c r="A15" s="24" t="str">
        <x:v>EEZ_356</x:v>
      </x:c>
      <x:c r="B15" s="24" t="str">
        <x:v>India (mainland)</x:v>
      </x:c>
      <x:c r="C15" s="24" t="str">
        <x:v>EEZ</x:v>
      </x:c>
      <x:c r="D15" s="30" t="n">
        <x:v>2019</x:v>
      </x:c>
      <x:c r="E15" s="24" t="str">
        <x:v>Teuthida</x:v>
      </x:c>
      <x:c r="F15" s="24" t="str">
        <x:v>Squids</x:v>
      </x:c>
      <x:c r="G15" s="24" t="str">
        <x:v>Cephalopods</x:v>
      </x:c>
      <x:c r="H15" s="24" t="str">
        <x:v>Other fishes &amp; inverts</x:v>
      </x:c>
      <x:c r="I15" s="31" t="n">
        <x:v>107347.2549955</x:v>
      </x:c>
      <x:c r="J15" s="31" t="n">
        <x:v>107347.2549955</x:v>
      </x:c>
      <x:c r="K15" s="31" t="n">
        <x:v>0</x:v>
      </x:c>
      <x:c r="L15" s="31" t="n">
        <x:v>107347.2549955</x:v>
      </x:c>
      <x:c r="M15" s="31" t="n">
        <x:v>0</x:v>
      </x:c>
      <x:c r="N15" s="24" t="str">
        <x:v>teuthida</x:v>
      </x:c>
      <x:c r="O15" s="32" t="n">
        <x:v>4.13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Teuthida</x:v>
      </x:c>
      <x:c r="T15" s="32" t="n">
        <x:f>IF(O15="","",(1/'Metadata'!$B$5)^(O15-1))</x:f>
        <x:v>1348.9628825916532</x:v>
      </x:c>
      <x:c r="U15" s="31" t="n">
        <x:f>IF(T15="","",I15*T15)</x:f>
        <x:v>144807462.5370309</x:v>
      </x:c>
    </x:row>
    <x:row r="16" ht="18" customHeight="1">
      <x:c r="A16" s="24" t="str">
        <x:v>EEZ_356</x:v>
      </x:c>
      <x:c r="B16" s="24" t="str">
        <x:v>India (mainland)</x:v>
      </x:c>
      <x:c r="C16" s="24" t="str">
        <x:v>EEZ</x:v>
      </x:c>
      <x:c r="D16" s="30" t="n">
        <x:v>2019</x:v>
      </x:c>
      <x:c r="E16" s="24" t="str">
        <x:v>Leiognathidae</x:v>
      </x:c>
      <x:c r="F16" s="24" t="str">
        <x:v>Slipmouths, ponyfishes</x:v>
      </x:c>
      <x:c r="G16" s="24" t="str">
        <x:v>Small benthopelagics (&lt;30 cm)</x:v>
      </x:c>
      <x:c r="H16" s="24" t="str">
        <x:v>Perch-likes</x:v>
      </x:c>
      <x:c r="I16" s="31" t="n">
        <x:v>103137.0962058319</x:v>
      </x:c>
      <x:c r="J16" s="31" t="n">
        <x:v>97777.2373589187</x:v>
      </x:c>
      <x:c r="K16" s="31" t="n">
        <x:v>5359.8588469132</x:v>
      </x:c>
      <x:c r="L16" s="31" t="n">
        <x:v>97477.847830076</x:v>
      </x:c>
      <x:c r="M16" s="31" t="n">
        <x:v>5659.2483757559</x:v>
      </x:c>
      <x:c r="N16" s="24" t="str">
        <x:v>leiognathidae</x:v>
      </x:c>
      <x:c r="O16" s="32" t="n">
        <x:v>3.24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Leiognathidae</x:v>
      </x:c>
      <x:c r="T16" s="32" t="n">
        <x:f>IF(O16="","",(1/'Metadata'!$B$5)^(O16-1))</x:f>
        <x:v>173.78008287493762</x:v>
      </x:c>
      <x:c r="U16" s="31" t="n">
        <x:f>IF(T16="","",I16*T16)</x:f>
        <x:v>17923173.12612988</x:v>
      </x:c>
    </x:row>
    <x:row r="17" ht="18" customHeight="1">
      <x:c r="A17" s="24" t="str">
        <x:v>EEZ_356</x:v>
      </x:c>
      <x:c r="B17" s="24" t="str">
        <x:v>India (mainland)</x:v>
      </x:c>
      <x:c r="C17" s="24" t="str">
        <x:v>EEZ</x:v>
      </x:c>
      <x:c r="D17" s="30" t="n">
        <x:v>2019</x:v>
      </x:c>
      <x:c r="E17" s="24" t="str">
        <x:v>Sepiidae</x:v>
      </x:c>
      <x:c r="F17" s="24" t="str">
        <x:v>Cuttlefishes</x:v>
      </x:c>
      <x:c r="G17" s="24" t="str">
        <x:v>Cephalopods</x:v>
      </x:c>
      <x:c r="H17" s="24" t="str">
        <x:v>Other fishes &amp; inverts</x:v>
      </x:c>
      <x:c r="I17" s="31" t="n">
        <x:v>97913.5326522679</x:v>
      </x:c>
      <x:c r="J17" s="31" t="n">
        <x:v>97913.5326522679</x:v>
      </x:c>
      <x:c r="K17" s="31" t="n">
        <x:v>0</x:v>
      </x:c>
      <x:c r="L17" s="31" t="n">
        <x:v>97910.48668114039</x:v>
      </x:c>
      <x:c r="M17" s="31" t="n">
        <x:v>3.0459711275</x:v>
      </x:c>
      <x:c r="N17" s="24" t="str">
        <x:v>sepiidae</x:v>
      </x:c>
      <x:c r="O17" s="32" t="n">
        <x:v>3.6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Sepiidae</x:v>
      </x:c>
      <x:c r="T17" s="32" t="n">
        <x:f>IF(O17="","",(1/'Metadata'!$B$5)^(O17-1))</x:f>
        <x:v>398.1071705534973</x:v>
      </x:c>
      <x:c r="U17" s="31" t="n">
        <x:f>IF(T17="","",I17*T17)</x:f>
        <x:v>38980079.44309185</x:v>
      </x:c>
    </x:row>
    <x:row r="18" ht="18" customHeight="1">
      <x:c r="A18" s="24" t="str">
        <x:v>EEZ_356</x:v>
      </x:c>
      <x:c r="B18" s="24" t="str">
        <x:v>India (mainland)</x:v>
      </x:c>
      <x:c r="C18" s="24" t="str">
        <x:v>EEZ</x:v>
      </x:c>
      <x:c r="D18" s="30" t="n">
        <x:v>2019</x:v>
      </x:c>
      <x:c r="E18" s="24" t="str">
        <x:v>Siluriformes</x:v>
      </x:c>
      <x:c r="F18" s="24" t="str">
        <x:v>Catfishes</x:v>
      </x:c>
      <x:c r="G18" s="24" t="str">
        <x:v>Medium demersals (30 - 89 cm)</x:v>
      </x:c>
      <x:c r="H18" s="24" t="str">
        <x:v>Other fishes &amp; inverts</x:v>
      </x:c>
      <x:c r="I18" s="31" t="n">
        <x:v>86775.12351756</x:v>
      </x:c>
      <x:c r="J18" s="31" t="n">
        <x:v>81927.6098122</x:v>
      </x:c>
      <x:c r="K18" s="31" t="n">
        <x:v>4847.51370536</x:v>
      </x:c>
      <x:c r="L18" s="31" t="n">
        <x:v>75398.72181100001</x:v>
      </x:c>
      <x:c r="M18" s="31" t="n">
        <x:v>11376.40170656</x:v>
      </x:c>
      <x:c r="N18" s="24" t="str">
        <x:v>siluriformes</x:v>
      </x:c>
      <x:c r="O18" s="32" t="n">
        <x:v>3.48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Siluriformes</x:v>
      </x:c>
      <x:c r="T18" s="32" t="n">
        <x:f>IF(O18="","",(1/'Metadata'!$B$5)^(O18-1))</x:f>
        <x:v>301.9951720402016</x:v>
      </x:c>
      <x:c r="U18" s="31" t="n">
        <x:f>IF(T18="","",I18*T18)</x:f>
        <x:v>26205668.355495278</x:v>
      </x:c>
    </x:row>
    <x:row r="19" ht="18" customHeight="1">
      <x:c r="A19" s="24" t="str">
        <x:v>EEZ_356</x:v>
      </x:c>
      <x:c r="B19" s="24" t="str">
        <x:v>India (mainland)</x:v>
      </x:c>
      <x:c r="C19" s="24" t="str">
        <x:v>EEZ</x:v>
      </x:c>
      <x:c r="D19" s="30" t="n">
        <x:v>2019</x:v>
      </x:c>
      <x:c r="E19" s="24" t="str">
        <x:v>Synodontidae</x:v>
      </x:c>
      <x:c r="F19" s="24" t="str">
        <x:v>Lizardfishes, sauries</x:v>
      </x:c>
      <x:c r="G19" s="24" t="str">
        <x:v>Medium demersals (30 - 89 cm)</x:v>
      </x:c>
      <x:c r="H19" s="24" t="str">
        <x:v>Other fishes &amp; inverts</x:v>
      </x:c>
      <x:c r="I19" s="31" t="n">
        <x:v>75825.9975413966</x:v>
      </x:c>
      <x:c r="J19" s="31" t="n">
        <x:v>70424.66846772839</x:v>
      </x:c>
      <x:c r="K19" s="31" t="n">
        <x:v>5401.3290736682</x:v>
      </x:c>
      <x:c r="L19" s="31" t="n">
        <x:v>70359.9133864835</x:v>
      </x:c>
      <x:c r="M19" s="31" t="n">
        <x:v>5466.0841549131</x:v>
      </x:c>
      <x:c r="N19" s="24" t="str">
        <x:v>synodontidae</x:v>
      </x:c>
      <x:c r="O19" s="32" t="n">
        <x:v>4.3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Synodontidae</x:v>
      </x:c>
      <x:c r="T19" s="32" t="n">
        <x:f>IF(O19="","",(1/'Metadata'!$B$5)^(O19-1))</x:f>
        <x:v>1995.2623149688789</x:v>
      </x:c>
      <x:c r="U19" s="31" t="n">
        <x:f>IF(T19="","",I19*T19)</x:f>
        <x:v>151292755.3892715</x:v>
      </x:c>
    </x:row>
    <x:row r="20" ht="18" customHeight="1">
      <x:c r="A20" s="24" t="str">
        <x:v>EEZ_356</x:v>
      </x:c>
      <x:c r="B20" s="24" t="str">
        <x:v>India (mainland)</x:v>
      </x:c>
      <x:c r="C20" s="24" t="str">
        <x:v>EEZ</x:v>
      </x:c>
      <x:c r="D20" s="30" t="n">
        <x:v>2019</x:v>
      </x:c>
      <x:c r="E20" s="24" t="str">
        <x:v>Bivalvia</x:v>
      </x:c>
      <x:c r="F20" s="24" t="str">
        <x:v>Clams</x:v>
      </x:c>
      <x:c r="G20" s="24" t="str">
        <x:v>Other demersal invertebrates</x:v>
      </x:c>
      <x:c r="H20" s="24" t="str">
        <x:v>Molluscs</x:v>
      </x:c>
      <x:c r="I20" s="31" t="n">
        <x:v>75507.47500186019</x:v>
      </x:c>
      <x:c r="J20" s="31" t="n">
        <x:v>75448.5067450042</x:v>
      </x:c>
      <x:c r="K20" s="31" t="n">
        <x:v>58.968256856</x:v>
      </x:c>
      <x:c r="L20" s="31" t="n">
        <x:v>3028.4890160301</x:v>
      </x:c>
      <x:c r="M20" s="31" t="n">
        <x:v>72478.98598583009</x:v>
      </x:c>
      <x:c r="N20" s="24" t="str">
        <x:v>bivalvia</x:v>
      </x:c>
      <x:c r="O20" s="32" t="n">
        <x:v>2.23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Bivalvia</x:v>
      </x:c>
      <x:c r="T20" s="32" t="n">
        <x:f>IF(O20="","",(1/'Metadata'!$B$5)^(O20-1))</x:f>
        <x:v>16.982436524617444</x:v>
      </x:c>
      <x:c r="U20" s="31" t="n">
        <x:f>IF(T20="","",I20*T20)</x:f>
        <x:v>1282300.901353229</x:v>
      </x:c>
    </x:row>
    <x:row r="21" ht="18" customHeight="1">
      <x:c r="A21" s="24" t="str">
        <x:v>EEZ_356</x:v>
      </x:c>
      <x:c r="B21" s="24" t="str">
        <x:v>India (mainland)</x:v>
      </x:c>
      <x:c r="C21" s="24" t="str">
        <x:v>EEZ</x:v>
      </x:c>
      <x:c r="D21" s="30" t="n">
        <x:v>2019</x:v>
      </x:c>
      <x:c r="E21" s="24" t="str">
        <x:v>Stolephorus</x:v>
      </x:c>
      <x:c r="F21" s="24" t="str">
        <x:v>Garment anchovies</x:v>
      </x:c>
      <x:c r="G21" s="24" t="str">
        <x:v>Small pelagics (&lt;30 cm)</x:v>
      </x:c>
      <x:c r="H21" s="24" t="str">
        <x:v>Anchovies</x:v>
      </x:c>
      <x:c r="I21" s="31" t="n">
        <x:v>69247.96652222</x:v>
      </x:c>
      <x:c r="J21" s="31" t="n">
        <x:v>63920.1948574</x:v>
      </x:c>
      <x:c r="K21" s="31" t="n">
        <x:v>5327.77166482</x:v>
      </x:c>
      <x:c r="L21" s="31" t="n">
        <x:v>63920.1948574</x:v>
      </x:c>
      <x:c r="M21" s="31" t="n">
        <x:v>5327.77166482</x:v>
      </x:c>
      <x:c r="N21" s="24" t="str">
        <x:v>stolephorus</x:v>
      </x:c>
      <x:c r="O21" s="32" t="n">
        <x:v>3.44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Stolephorus</x:v>
      </x:c>
      <x:c r="T21" s="32" t="n">
        <x:f>IF(O21="","",(1/'Metadata'!$B$5)^(O21-1))</x:f>
        <x:v>275.4228703338166</x:v>
      </x:c>
      <x:c r="U21" s="31" t="n">
        <x:f>IF(T21="","",I21*T21)</x:f>
        <x:v>19072473.70432987</x:v>
      </x:c>
    </x:row>
    <x:row r="22" ht="18" customHeight="1">
      <x:c r="A22" s="24" t="str">
        <x:v>EEZ_356</x:v>
      </x:c>
      <x:c r="B22" s="24" t="str">
        <x:v>India (mainland)</x:v>
      </x:c>
      <x:c r="C22" s="24" t="str">
        <x:v>EEZ</x:v>
      </x:c>
      <x:c r="D22" s="30" t="n">
        <x:v>2019</x:v>
      </x:c>
      <x:c r="E22" s="24" t="str">
        <x:v>Sphyraena</x:v>
      </x:c>
      <x:c r="F22" s="24" t="str">
        <x:v>Barracudas, sennets</x:v>
      </x:c>
      <x:c r="G22" s="24" t="str">
        <x:v>Large pelagics (&gt;=90 cm)</x:v>
      </x:c>
      <x:c r="H22" s="24" t="str">
        <x:v>Perch-likes</x:v>
      </x:c>
      <x:c r="I22" s="31" t="n">
        <x:v>68245.4872537024</x:v>
      </x:c>
      <x:c r="J22" s="31" t="n">
        <x:v>64435.0404967724</x:v>
      </x:c>
      <x:c r="K22" s="31" t="n">
        <x:v>3810.44675693</x:v>
      </x:c>
      <x:c r="L22" s="31" t="n">
        <x:v>64368.2432886027</x:v>
      </x:c>
      <x:c r="M22" s="31" t="n">
        <x:v>3877.2439650997</x:v>
      </x:c>
      <x:c r="N22" s="24" t="str">
        <x:v>sphyraena</x:v>
      </x:c>
      <x:c r="O22" s="32" t="n">
        <x:v>4.4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Sphyraena</x:v>
      </x:c>
      <x:c r="T22" s="32" t="n">
        <x:f>IF(O22="","",(1/'Metadata'!$B$5)^(O22-1))</x:f>
        <x:v>2511.886431509582</x:v>
      </x:c>
      <x:c r="U22" s="31" t="n">
        <x:f>IF(T22="","",I22*T22)</x:f>
        <x:v>171424913.4443352</x:v>
      </x:c>
    </x:row>
    <x:row r="23" ht="18" customHeight="1">
      <x:c r="A23" s="24" t="str">
        <x:v>EEZ_356</x:v>
      </x:c>
      <x:c r="B23" s="24" t="str">
        <x:v>India (mainland)</x:v>
      </x:c>
      <x:c r="C23" s="24" t="str">
        <x:v>EEZ</x:v>
      </x:c>
      <x:c r="D23" s="30" t="n">
        <x:v>2019</x:v>
      </x:c>
      <x:c r="E23" s="24" t="str">
        <x:v>Thryssa</x:v>
      </x:c>
      <x:c r="F23" s="24" t="str">
        <x:v>Thryssas</x:v>
      </x:c>
      <x:c r="G23" s="24" t="str">
        <x:v>Small pelagics (&lt;30 cm)</x:v>
      </x:c>
      <x:c r="H23" s="24" t="str">
        <x:v>Anchovies</x:v>
      </x:c>
      <x:c r="I23" s="31" t="n">
        <x:v>51046.123435509995</x:v>
      </x:c>
      <x:c r="J23" s="31" t="n">
        <x:v>47731.5694601</x:v>
      </x:c>
      <x:c r="K23" s="31" t="n">
        <x:v>3314.55397541</x:v>
      </x:c>
      <x:c r="L23" s="31" t="n">
        <x:v>47731.5694601</x:v>
      </x:c>
      <x:c r="M23" s="31" t="n">
        <x:v>3314.55397541</x:v>
      </x:c>
      <x:c r="N23" s="24" t="str">
        <x:v>thryssa</x:v>
      </x:c>
      <x:c r="O23" s="32" t="n">
        <x:v>3.34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Thryssa</x:v>
      </x:c>
      <x:c r="T23" s="32" t="n">
        <x:f>IF(O23="","",(1/'Metadata'!$B$5)^(O23-1))</x:f>
        <x:v>218.77616239495518</x:v>
      </x:c>
      <x:c r="U23" s="31" t="n">
        <x:f>IF(T23="","",I23*T23)</x:f>
        <x:v>11167674.990360063</x:v>
      </x:c>
    </x:row>
    <x:row r="24" ht="18" customHeight="1">
      <x:c r="A24" s="24" t="str">
        <x:v>EEZ_356</x:v>
      </x:c>
      <x:c r="B24" s="24" t="str">
        <x:v>India (mainland)</x:v>
      </x:c>
      <x:c r="C24" s="24" t="str">
        <x:v>EEZ</x:v>
      </x:c>
      <x:c r="D24" s="30" t="n">
        <x:v>2019</x:v>
      </x:c>
      <x:c r="E24" s="24" t="str">
        <x:v>Serranidae</x:v>
      </x:c>
      <x:c r="F24" s="24" t="str">
        <x:v>Basses, groupers, hinds</x:v>
      </x:c>
      <x:c r="G24" s="24" t="str">
        <x:v>Medium reef assoc. fish (30 - 89 cm)</x:v>
      </x:c>
      <x:c r="H24" s="24" t="str">
        <x:v>Perch-likes</x:v>
      </x:c>
      <x:c r="I24" s="31" t="n">
        <x:v>47636.9757159414</x:v>
      </x:c>
      <x:c r="J24" s="31" t="n">
        <x:v>43413.6489434014</x:v>
      </x:c>
      <x:c r="K24" s="31" t="n">
        <x:v>4223.32677254</x:v>
      </x:c>
      <x:c r="L24" s="31" t="n">
        <x:v>43411.6535247392</x:v>
      </x:c>
      <x:c r="M24" s="31" t="n">
        <x:v>4225.3221912022</x:v>
      </x:c>
      <x:c r="N24" s="24" t="str">
        <x:v>serranidae</x:v>
      </x:c>
      <x:c r="O24" s="32" t="n">
        <x:v>3.98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Serranidae</x:v>
      </x:c>
      <x:c r="T24" s="32" t="n">
        <x:f>IF(O24="","",(1/'Metadata'!$B$5)^(O24-1))</x:f>
        <x:v>954.992586021436</x:v>
      </x:c>
      <x:c r="U24" s="31" t="n">
        <x:f>IF(T24="","",I24*T24)</x:f>
        <x:v>45492958.62920722</x:v>
      </x:c>
    </x:row>
    <x:row r="25" ht="18" customHeight="1">
      <x:c r="A25" s="24" t="str">
        <x:v>EEZ_356</x:v>
      </x:c>
      <x:c r="B25" s="24" t="str">
        <x:v>India (mainland)</x:v>
      </x:c>
      <x:c r="C25" s="24" t="str">
        <x:v>EEZ</x:v>
      </x:c>
      <x:c r="D25" s="30" t="n">
        <x:v>2019</x:v>
      </x:c>
      <x:c r="E25" s="24" t="str">
        <x:v>Tenualosa ilisha</x:v>
      </x:c>
      <x:c r="F25" s="24" t="str">
        <x:v>Hilsa shad</x:v>
      </x:c>
      <x:c r="G25" s="24" t="str">
        <x:v>Medium pelagics (30 - 89 cm)</x:v>
      </x:c>
      <x:c r="H25" s="24" t="str">
        <x:v>Herring-likes</x:v>
      </x:c>
      <x:c r="I25" s="31" t="n">
        <x:v>47625.425348389</x:v>
      </x:c>
      <x:c r="J25" s="31" t="n">
        <x:v>43068.38064822</x:v>
      </x:c>
      <x:c r="K25" s="31" t="n">
        <x:v>4557.044700169</x:v>
      </x:c>
      <x:c r="L25" s="31" t="n">
        <x:v>43068.38064822</x:v>
      </x:c>
      <x:c r="M25" s="31" t="n">
        <x:v>4557.044700169</x:v>
      </x:c>
      <x:c r="N25" s="24" t="str">
        <x:v>tenualosa ilisha</x:v>
      </x:c>
      <x:c r="O25" s="32" t="n">
        <x:v>2.2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Tenualosa ilisha</x:v>
      </x:c>
      <x:c r="T25" s="32" t="n">
        <x:f>IF(O25="","",(1/'Metadata'!$B$5)^(O25-1))</x:f>
        <x:v>15.848931924611142</x:v>
      </x:c>
      <x:c r="U25" s="31" t="n">
        <x:f>IF(T25="","",I25*T25)</x:f>
        <x:v>754812.1242272671</x:v>
      </x:c>
    </x:row>
    <x:row r="26" ht="18" customHeight="1">
      <x:c r="A26" s="24" t="str">
        <x:v>EEZ_356</x:v>
      </x:c>
      <x:c r="B26" s="24" t="str">
        <x:v>India (mainland)</x:v>
      </x:c>
      <x:c r="C26" s="24" t="str">
        <x:v>EEZ</x:v>
      </x:c>
      <x:c r="D26" s="30" t="n">
        <x:v>2019</x:v>
      </x:c>
      <x:c r="E26" s="24" t="str">
        <x:v>Soleidae</x:v>
      </x:c>
      <x:c r="F26" s="24" t="str">
        <x:v>Soles</x:v>
      </x:c>
      <x:c r="G26" s="24" t="str">
        <x:v>Small to medium flatfishes (&lt;90 cm)</x:v>
      </x:c>
      <x:c r="H26" s="24" t="str">
        <x:v>Flatfishes</x:v>
      </x:c>
      <x:c r="I26" s="31" t="n">
        <x:v>47612.420797009894</x:v>
      </x:c>
      <x:c r="J26" s="31" t="n">
        <x:v>44428.1793032</x:v>
      </x:c>
      <x:c r="K26" s="31" t="n">
        <x:v>3184.2414938099</x:v>
      </x:c>
      <x:c r="L26" s="31" t="n">
        <x:v>44428.1793032</x:v>
      </x:c>
      <x:c r="M26" s="31" t="n">
        <x:v>3184.2414938099</x:v>
      </x:c>
      <x:c r="N26" s="24" t="str">
        <x:v>soleidae</x:v>
      </x:c>
      <x:c r="O26" s="32" t="n">
        <x:v>3.15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Soleidae</x:v>
      </x:c>
      <x:c r="T26" s="32" t="n">
        <x:f>IF(O26="","",(1/'Metadata'!$B$5)^(O26-1))</x:f>
        <x:v>141.2537544622754</x:v>
      </x:c>
      <x:c r="U26" s="31" t="n">
        <x:f>IF(T26="","",I26*T26)</x:f>
        <x:v>6725433.19661537</x:v>
      </x:c>
    </x:row>
    <x:row r="27" ht="18" customHeight="1">
      <x:c r="A27" s="24" t="str">
        <x:v>EEZ_356</x:v>
      </x:c>
      <x:c r="B27" s="24" t="str">
        <x:v>India (mainland)</x:v>
      </x:c>
      <x:c r="C27" s="24" t="str">
        <x:v>EEZ</x:v>
      </x:c>
      <x:c r="D27" s="30" t="n">
        <x:v>2019</x:v>
      </x:c>
      <x:c r="E27" s="24" t="str">
        <x:v>Engraulidae</x:v>
      </x:c>
      <x:c r="F27" s="24" t="str">
        <x:v>Anchovies, round herrings</x:v>
      </x:c>
      <x:c r="G27" s="24" t="str">
        <x:v>Small pelagics (&lt;30 cm)</x:v>
      </x:c>
      <x:c r="H27" s="24" t="str">
        <x:v>Anchovies</x:v>
      </x:c>
      <x:c r="I27" s="31" t="n">
        <x:v>47178.244884219595</x:v>
      </x:c>
      <x:c r="J27" s="31" t="n">
        <x:v>43458.6411630976</x:v>
      </x:c>
      <x:c r="K27" s="31" t="n">
        <x:v>3719.603721122</x:v>
      </x:c>
      <x:c r="L27" s="31" t="n">
        <x:v>39996.7473086498</x:v>
      </x:c>
      <x:c r="M27" s="31" t="n">
        <x:v>7181.4975755698</x:v>
      </x:c>
      <x:c r="N27" s="24" t="str">
        <x:v>engraulidae</x:v>
      </x:c>
      <x:c r="O27" s="32" t="n">
        <x:v>3.2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Engraulidae</x:v>
      </x:c>
      <x:c r="T27" s="32" t="n">
        <x:f>IF(O27="","",(1/'Metadata'!$B$5)^(O27-1))</x:f>
        <x:v>158.48931924611142</x:v>
      </x:c>
      <x:c r="U27" s="31" t="n">
        <x:f>IF(T27="","",I27*T27)</x:f>
        <x:v>7477247.914926303</x:v>
      </x:c>
    </x:row>
    <x:row r="28" ht="18" customHeight="1">
      <x:c r="A28" s="24" t="str">
        <x:v>EEZ_356</x:v>
      </x:c>
      <x:c r="B28" s="24" t="str">
        <x:v>India (mainland)</x:v>
      </x:c>
      <x:c r="C28" s="24" t="str">
        <x:v>EEZ</x:v>
      </x:c>
      <x:c r="D28" s="30" t="n">
        <x:v>2019</x:v>
      </x:c>
      <x:c r="E28" s="24" t="str">
        <x:v>Mullidae</x:v>
      </x:c>
      <x:c r="F28" s="24" t="str">
        <x:v>Goatfishes</x:v>
      </x:c>
      <x:c r="G28" s="24" t="str">
        <x:v>Medium reef assoc. fish (30 - 89 cm)</x:v>
      </x:c>
      <x:c r="H28" s="24" t="str">
        <x:v>Perch-likes</x:v>
      </x:c>
      <x:c r="I28" s="31" t="n">
        <x:v>40689.1358370112</x:v>
      </x:c>
      <x:c r="J28" s="31" t="n">
        <x:v>39164.5862549602</x:v>
      </x:c>
      <x:c r="K28" s="31" t="n">
        <x:v>1524.549582051</x:v>
      </x:c>
      <x:c r="L28" s="31" t="n">
        <x:v>33319.5165055501</x:v>
      </x:c>
      <x:c r="M28" s="31" t="n">
        <x:v>7369.6193314611</x:v>
      </x:c>
      <x:c r="N28" s="24" t="str">
        <x:v>mullidae</x:v>
      </x:c>
      <x:c r="O28" s="32" t="n">
        <x:v>3.46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Mullidae</x:v>
      </x:c>
      <x:c r="T28" s="32" t="n">
        <x:f>IF(O28="","",(1/'Metadata'!$B$5)^(O28-1))</x:f>
        <x:v>288.40315031266056</x:v>
      </x:c>
      <x:c r="U28" s="31" t="n">
        <x:f>IF(T28="","",I28*T28)</x:f>
        <x:v>11734874.958893804</x:v>
      </x:c>
    </x:row>
    <x:row r="29" ht="18" customHeight="1">
      <x:c r="A29" s="24" t="str">
        <x:v>EEZ_356</x:v>
      </x:c>
      <x:c r="B29" s="24" t="str">
        <x:v>India (mainland)</x:v>
      </x:c>
      <x:c r="C29" s="24" t="str">
        <x:v>EEZ</x:v>
      </x:c>
      <x:c r="D29" s="30" t="n">
        <x:v>2019</x:v>
      </x:c>
      <x:c r="E29" s="24" t="str">
        <x:v>Scomberomorus commerson</x:v>
      </x:c>
      <x:c r="F29" s="24" t="str">
        <x:v>Narrow-barred Spanish mackerel</x:v>
      </x:c>
      <x:c r="G29" s="24" t="str">
        <x:v>Large pelagics (&gt;=90 cm)</x:v>
      </x:c>
      <x:c r="H29" s="24" t="str">
        <x:v>Perch-likes</x:v>
      </x:c>
      <x:c r="I29" s="31" t="n">
        <x:v>40126.9131248754</x:v>
      </x:c>
      <x:c r="J29" s="31" t="n">
        <x:v>40126.9131248754</x:v>
      </x:c>
      <x:c r="K29" s="31" t="n">
        <x:v>0</x:v>
      </x:c>
      <x:c r="L29" s="31" t="n">
        <x:v>40126.9131248754</x:v>
      </x:c>
      <x:c r="M29" s="31" t="n">
        <x:v>0</x:v>
      </x:c>
      <x:c r="N29" s="24" t="str">
        <x:v>scomberomorus commerson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Scomberomorus commerson</x:v>
      </x:c>
      <x:c r="T29" s="32" t="n">
        <x:f>IF(O29="","",(1/'Metadata'!$B$5)^(O29-1))</x:f>
        <x:v>3162.2776601683795</x:v>
      </x:c>
      <x:c r="U29" s="31" t="n">
        <x:f>IF(T29="","",I29*T29)</x:f>
        <x:v>126892440.94631082</x:v>
      </x:c>
    </x:row>
    <x:row r="30" ht="18" customHeight="1">
      <x:c r="A30" s="24" t="str">
        <x:v>EEZ_356</x:v>
      </x:c>
      <x:c r="B30" s="24" t="str">
        <x:v>India (mainland)</x:v>
      </x:c>
      <x:c r="C30" s="24" t="str">
        <x:v>EEZ</x:v>
      </x:c>
      <x:c r="D30" s="30" t="n">
        <x:v>2019</x:v>
      </x:c>
      <x:c r="E30" s="24" t="str">
        <x:v>Chirocentrus</x:v>
      </x:c>
      <x:c r="F30" s="24" t="str">
        <x:v>Wolf herrings</x:v>
      </x:c>
      <x:c r="G30" s="24" t="str">
        <x:v>Large pelagics (&gt;=90 cm)</x:v>
      </x:c>
      <x:c r="H30" s="24" t="str">
        <x:v>Herring-likes</x:v>
      </x:c>
      <x:c r="I30" s="31" t="n">
        <x:v>34665.5309810361</x:v>
      </x:c>
      <x:c r="J30" s="31" t="n">
        <x:v>33606.4833418521</x:v>
      </x:c>
      <x:c r="K30" s="31" t="n">
        <x:v>1059.047639184</x:v>
      </x:c>
      <x:c r="L30" s="31" t="n">
        <x:v>33098.5875901621</x:v>
      </x:c>
      <x:c r="M30" s="31" t="n">
        <x:v>1566.943390874</x:v>
      </x:c>
      <x:c r="N30" s="24" t="str">
        <x:v>chirocentrus</x:v>
      </x:c>
      <x:c r="O30" s="32" t="n">
        <x:v>4.3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Chirocentrus</x:v>
      </x:c>
      <x:c r="T30" s="32" t="n">
        <x:f>IF(O30="","",(1/'Metadata'!$B$5)^(O30-1))</x:f>
        <x:v>1995.2623149688789</x:v>
      </x:c>
      <x:c r="U30" s="31" t="n">
        <x:f>IF(T30="","",I30*T30)</x:f>
        <x:v>69166827.59484749</x:v>
      </x:c>
    </x:row>
    <x:row r="31" ht="18" customHeight="1">
      <x:c r="A31" s="24" t="str">
        <x:v>EEZ_356</x:v>
      </x:c>
      <x:c r="B31" s="24" t="str">
        <x:v>India (mainland)</x:v>
      </x:c>
      <x:c r="C31" s="24" t="str">
        <x:v>EEZ</x:v>
      </x:c>
      <x:c r="D31" s="30" t="n">
        <x:v>2019</x:v>
      </x:c>
      <x:c r="E31" s="24" t="str">
        <x:v>Batoidea</x:v>
      </x:c>
      <x:c r="F31" s="24" t="str">
        <x:v>Batoids, skates, rays, sawfishes</x:v>
      </x:c>
      <x:c r="G31" s="24" t="str">
        <x:v>Large rays (&gt;=90 cm)</x:v>
      </x:c>
      <x:c r="H31" s="24" t="str">
        <x:v>Sharks &amp; rays</x:v>
      </x:c>
      <x:c r="I31" s="31" t="n">
        <x:v>27006.628830672205</x:v>
      </x:c>
      <x:c r="J31" s="31" t="n">
        <x:v>25418.022942358202</x:v>
      </x:c>
      <x:c r="K31" s="31" t="n">
        <x:v>1588.605888314</x:v>
      </x:c>
      <x:c r="L31" s="31" t="n">
        <x:v>25417.3303712771</x:v>
      </x:c>
      <x:c r="M31" s="31" t="n">
        <x:v>1589.2984593950998</x:v>
      </x:c>
      <x:c r="N31" s="24" t="str">
        <x:v>batoidea</x:v>
      </x:c>
      <x:c r="O31" s="32" t="n">
        <x:v>3.72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Batoidea</x:v>
      </x:c>
      <x:c r="T31" s="32" t="n">
        <x:f>IF(O31="","",(1/'Metadata'!$B$5)^(O31-1))</x:f>
        <x:v>524.8074602497728</x:v>
      </x:c>
      <x:c r="U31" s="31" t="n">
        <x:f>IF(T31="","",I31*T31)</x:f>
        <x:v>14173280.286533372</x:v>
      </x:c>
    </x:row>
    <x:row r="32" ht="18" customHeight="1">
      <x:c r="A32" s="24" t="str">
        <x:v>EEZ_356</x:v>
      </x:c>
      <x:c r="B32" s="24" t="str">
        <x:v>India (mainland)</x:v>
      </x:c>
      <x:c r="C32" s="24" t="str">
        <x:v>EEZ</x:v>
      </x:c>
      <x:c r="D32" s="30" t="n">
        <x:v>2019</x:v>
      </x:c>
      <x:c r="E32" s="24" t="str">
        <x:v>Pampus</x:v>
      </x:c>
      <x:c r="F32" s="24" t="str">
        <x:v>Silver pomfrets</x:v>
      </x:c>
      <x:c r="G32" s="24" t="str">
        <x:v>Medium benthopelagics (30 - 89 cm)</x:v>
      </x:c>
      <x:c r="H32" s="24" t="str">
        <x:v>Perch-likes</x:v>
      </x:c>
      <x:c r="I32" s="31" t="n">
        <x:v>26585.344936</x:v>
      </x:c>
      <x:c r="J32" s="31" t="n">
        <x:v>26585.344936</x:v>
      </x:c>
      <x:c r="K32" s="31" t="n">
        <x:v>0</x:v>
      </x:c>
      <x:c r="L32" s="31" t="n">
        <x:v>26585.344936</x:v>
      </x:c>
      <x:c r="M32" s="31" t="n">
        <x:v>0</x:v>
      </x:c>
      <x:c r="N32" s="24" t="str">
        <x:v>pampus</x:v>
      </x:c>
      <x:c r="O32" s="32" t="n">
        <x:v>3.41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Pampus</x:v>
      </x:c>
      <x:c r="T32" s="32" t="n">
        <x:f>IF(O32="","",(1/'Metadata'!$B$5)^(O32-1))</x:f>
        <x:v>257.03957827688646</x:v>
      </x:c>
      <x:c r="U32" s="31" t="n">
        <x:f>IF(T32="","",I32*T32)</x:f>
        <x:v>6833485.850694999</x:v>
      </x:c>
    </x:row>
    <x:row r="33" ht="18" customHeight="1">
      <x:c r="A33" s="24" t="str">
        <x:v>EEZ_356</x:v>
      </x:c>
      <x:c r="B33" s="24" t="str">
        <x:v>India (mainland)</x:v>
      </x:c>
      <x:c r="C33" s="24" t="str">
        <x:v>EEZ</x:v>
      </x:c>
      <x:c r="D33" s="30" t="n">
        <x:v>2019</x:v>
      </x:c>
      <x:c r="E33" s="24" t="str">
        <x:v>Elasmobranchii</x:v>
      </x:c>
      <x:c r="F33" s="24" t="str">
        <x:v>Sharks, rays, skates</x:v>
      </x:c>
      <x:c r="G33" s="24" t="str">
        <x:v>Large sharks (&gt;=90 cm)</x:v>
      </x:c>
      <x:c r="H33" s="24" t="str">
        <x:v>Sharks &amp; rays</x:v>
      </x:c>
      <x:c r="I33" s="31" t="n">
        <x:v>22030.8244062028</x:v>
      </x:c>
      <x:c r="J33" s="31" t="n">
        <x:v>22030.8244062028</x:v>
      </x:c>
      <x:c r="K33" s="31" t="n">
        <x:v>0</x:v>
      </x:c>
      <x:c r="L33" s="31" t="n">
        <x:v>22030.7644446866</x:v>
      </x:c>
      <x:c r="M33" s="31" t="n">
        <x:v>0.059961516199999995</x:v>
      </x:c>
      <x:c r="N33" s="24" t="str">
        <x:v>elasmobranchii</x:v>
      </x:c>
      <x:c r="O33" s="32" t="n">
        <x:v>4.05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Elasmobranchii</x:v>
      </x:c>
      <x:c r="T33" s="32" t="n">
        <x:f>IF(O33="","",(1/'Metadata'!$B$5)^(O33-1))</x:f>
        <x:v>1122.018454301963</x:v>
      </x:c>
      <x:c r="U33" s="31" t="n">
        <x:f>IF(T33="","",I33*T33)</x:f>
        <x:v>24718991.547245625</x:v>
      </x:c>
    </x:row>
    <x:row r="34" ht="18" customHeight="1">
      <x:c r="A34" s="24" t="str">
        <x:v>EEZ_356</x:v>
      </x:c>
      <x:c r="B34" s="24" t="str">
        <x:v>India (mainland)</x:v>
      </x:c>
      <x:c r="C34" s="24" t="str">
        <x:v>EEZ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21647.9894372766</x:v>
      </x:c>
      <x:c r="J34" s="31" t="n">
        <x:v>21647.9894372766</x:v>
      </x:c>
      <x:c r="K34" s="31" t="n">
        <x:v>0</x:v>
      </x:c>
      <x:c r="L34" s="31" t="n">
        <x:v>21647.9894372766</x:v>
      </x:c>
      <x:c r="M34" s="31" t="n">
        <x:v>0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39392864.96619206</x:v>
      </x:c>
    </x:row>
    <x:row r="35" ht="18" customHeight="1">
      <x:c r="A35" s="24" t="str">
        <x:v>EEZ_356</x:v>
      </x:c>
      <x:c r="B35" s="24" t="str">
        <x:v>India (mainland)</x:v>
      </x:c>
      <x:c r="C35" s="24" t="str">
        <x:v>EEZ</x:v>
      </x:c>
      <x:c r="D35" s="30" t="n">
        <x:v>2019</x:v>
      </x:c>
      <x:c r="E35" s="24" t="str">
        <x:v>Scomberomorus guttatus</x:v>
      </x:c>
      <x:c r="F35" s="24" t="str">
        <x:v>Indo-Pacific king mackerel</x:v>
      </x:c>
      <x:c r="G35" s="24" t="str">
        <x:v>Medium pelagics (30 - 89 cm)</x:v>
      </x:c>
      <x:c r="H35" s="24" t="str">
        <x:v>Perch-likes</x:v>
      </x:c>
      <x:c r="I35" s="31" t="n">
        <x:v>20790.8637019586</x:v>
      </x:c>
      <x:c r="J35" s="31" t="n">
        <x:v>20790.8637019586</x:v>
      </x:c>
      <x:c r="K35" s="31" t="n">
        <x:v>0</x:v>
      </x:c>
      <x:c r="L35" s="31" t="n">
        <x:v>20790.8637019586</x:v>
      </x:c>
      <x:c r="M35" s="31" t="n">
        <x:v>0</x:v>
      </x:c>
      <x:c r="N35" s="24" t="str">
        <x:v>scomberomorus guttatus</x:v>
      </x:c>
      <x:c r="O35" s="32" t="n">
        <x:v>4.28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Scomberomorus guttatus</x:v>
      </x:c>
      <x:c r="T35" s="32" t="n">
        <x:f>IF(O35="","",(1/'Metadata'!$B$5)^(O35-1))</x:f>
        <x:v>1905.4607179632483</x:v>
      </x:c>
      <x:c r="U35" s="31" t="n">
        <x:f>IF(T35="","",I35*T35)</x:f>
        <x:v>39616174.076610066</x:v>
      </x:c>
    </x:row>
    <x:row r="36" ht="18" customHeight="1">
      <x:c r="A36" s="24" t="str">
        <x:v>EEZ_356</x:v>
      </x:c>
      <x:c r="B36" s="24" t="str">
        <x:v>India (mainland)</x:v>
      </x:c>
      <x:c r="C36" s="24" t="str">
        <x:v>EEZ</x:v>
      </x:c>
      <x:c r="D36" s="30" t="n">
        <x:v>2019</x:v>
      </x:c>
      <x:c r="E36" s="24" t="str">
        <x:v>Katsuwonus pelamis</x:v>
      </x:c>
      <x:c r="F36" s="24" t="str">
        <x:v>Skipjack tuna</x:v>
      </x:c>
      <x:c r="G36" s="24" t="str">
        <x:v>Large pelagics (&gt;=90 cm)</x:v>
      </x:c>
      <x:c r="H36" s="24" t="str">
        <x:v>Tuna &amp; billfishes</x:v>
      </x:c>
      <x:c r="I36" s="31" t="n">
        <x:v>18604.6824363668</x:v>
      </x:c>
      <x:c r="J36" s="31" t="n">
        <x:v>18604.6824363668</x:v>
      </x:c>
      <x:c r="K36" s="31" t="n">
        <x:v>0</x:v>
      </x:c>
      <x:c r="L36" s="31" t="n">
        <x:v>18604.6824363668</x:v>
      </x:c>
      <x:c r="M36" s="31" t="n">
        <x:v>0</x:v>
      </x:c>
      <x:c r="N36" s="24" t="str">
        <x:v>katsuwonus pelamis</x:v>
      </x:c>
      <x:c r="O36" s="32" t="n">
        <x:v>4.43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Katsuwonus pelamis</x:v>
      </x:c>
      <x:c r="T36" s="32" t="n">
        <x:f>IF(O36="","",(1/'Metadata'!$B$5)^(O36-1))</x:f>
        <x:v>2691.534803926914</x:v>
      </x:c>
      <x:c r="U36" s="31" t="n">
        <x:f>IF(T36="","",I36*T36)</x:f>
        <x:v>50075150.29348901</x:v>
      </x:c>
    </x:row>
    <x:row r="37" ht="18" customHeight="1">
      <x:c r="A37" s="24" t="str">
        <x:v>EEZ_356</x:v>
      </x:c>
      <x:c r="B37" s="24" t="str">
        <x:v>India (mainland)</x:v>
      </x:c>
      <x:c r="C37" s="24" t="str">
        <x:v>EEZ</x:v>
      </x:c>
      <x:c r="D37" s="30" t="n">
        <x:v>2019</x:v>
      </x:c>
      <x:c r="E37" s="24" t="str">
        <x:v>Monacanthidae</x:v>
      </x:c>
      <x:c r="F37" s="24" t="str">
        <x:v>Filefishes</x:v>
      </x:c>
      <x:c r="G37" s="24" t="str">
        <x:v>Medium reef assoc. fish (30 - 89 cm)</x:v>
      </x:c>
      <x:c r="H37" s="24" t="str">
        <x:v>Other fishes &amp; inverts</x:v>
      </x:c>
      <x:c r="I37" s="31" t="n">
        <x:v>17137.1877906911</x:v>
      </x:c>
      <x:c r="J37" s="31" t="n">
        <x:v>16046.5400761201</x:v>
      </x:c>
      <x:c r="K37" s="31" t="n">
        <x:v>1090.647714571</x:v>
      </x:c>
      <x:c r="L37" s="31" t="n">
        <x:v>16046.5400761201</x:v>
      </x:c>
      <x:c r="M37" s="31" t="n">
        <x:v>1090.647714571</x:v>
      </x:c>
      <x:c r="N37" s="24" t="str">
        <x:v>monacanthidae</x:v>
      </x:c>
      <x:c r="O37" s="32" t="n">
        <x:v>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Monacanthidae</x:v>
      </x:c>
      <x:c r="T37" s="32" t="n">
        <x:f>IF(O37="","",(1/'Metadata'!$B$5)^(O37-1))</x:f>
        <x:v>100</x:v>
      </x:c>
      <x:c r="U37" s="31" t="n">
        <x:f>IF(T37="","",I37*T37)</x:f>
        <x:v>1713718.77906911</x:v>
      </x:c>
    </x:row>
    <x:row r="38" ht="18" customHeight="1">
      <x:c r="A38" s="24" t="str">
        <x:v>EEZ_356</x:v>
      </x:c>
      <x:c r="B38" s="24" t="str">
        <x:v>India (mainland)</x:v>
      </x:c>
      <x:c r="C38" s="24" t="str">
        <x:v>EEZ</x:v>
      </x:c>
      <x:c r="D38" s="30" t="n">
        <x:v>2019</x:v>
      </x:c>
      <x:c r="E38" s="24" t="str">
        <x:v>Auxis</x:v>
      </x:c>
      <x:c r="F38" s="24" t="str">
        <x:v>Bullet and frigate tunas</x:v>
      </x:c>
      <x:c r="G38" s="24" t="str">
        <x:v>Medium pelagics (30 - 89 cm)</x:v>
      </x:c>
      <x:c r="H38" s="24" t="str">
        <x:v>Tuna &amp; billfishes</x:v>
      </x:c>
      <x:c r="I38" s="31" t="n">
        <x:v>16632.412316828</x:v>
      </x:c>
      <x:c r="J38" s="31" t="n">
        <x:v>16632.412316828</x:v>
      </x:c>
      <x:c r="K38" s="31" t="n">
        <x:v>0</x:v>
      </x:c>
      <x:c r="L38" s="31" t="n">
        <x:v>16618.5639068635</x:v>
      </x:c>
      <x:c r="M38" s="31" t="n">
        <x:v>13.8484099645</x:v>
      </x:c>
      <x:c r="N38" s="24" t="str">
        <x:v>auxis</x:v>
      </x:c>
      <x:c r="O38" s="32" t="n">
        <x:v>4.24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Auxis</x:v>
      </x:c>
      <x:c r="T38" s="32" t="n">
        <x:f>IF(O38="","",(1/'Metadata'!$B$5)^(O38-1))</x:f>
        <x:v>1737.8008287493763</x:v>
      </x:c>
      <x:c r="U38" s="31" t="n">
        <x:f>IF(T38="","",I38*T38)</x:f>
        <x:v>28903819.90828503</x:v>
      </x:c>
    </x:row>
    <x:row r="39" ht="18" customHeight="1">
      <x:c r="A39" s="24" t="str">
        <x:v>EEZ_356</x:v>
      </x:c>
      <x:c r="B39" s="24" t="str">
        <x:v>India (mainland)</x:v>
      </x:c>
      <x:c r="C39" s="24" t="str">
        <x:v>EEZ</x:v>
      </x:c>
      <x:c r="D39" s="30" t="n">
        <x:v>2019</x:v>
      </x:c>
      <x:c r="E39" s="24" t="str">
        <x:v>Lethrinidae</x:v>
      </x:c>
      <x:c r="F39" s="24" t="str">
        <x:v>Emperors, scavengers</x:v>
      </x:c>
      <x:c r="G39" s="24" t="str">
        <x:v>Medium reef assoc. fish (30 - 89 cm)</x:v>
      </x:c>
      <x:c r="H39" s="24" t="str">
        <x:v>Perch-likes</x:v>
      </x:c>
      <x:c r="I39" s="31" t="n">
        <x:v>16553.2754083</x:v>
      </x:c>
      <x:c r="J39" s="31" t="n">
        <x:v>15550.375244</x:v>
      </x:c>
      <x:c r="K39" s="31" t="n">
        <x:v>1002.9001643</x:v>
      </x:c>
      <x:c r="L39" s="31" t="n">
        <x:v>15550.375244</x:v>
      </x:c>
      <x:c r="M39" s="31" t="n">
        <x:v>1002.9001643</x:v>
      </x:c>
      <x:c r="N39" s="24" t="str">
        <x:v>lethrinidae</x:v>
      </x:c>
      <x:c r="O39" s="32" t="n">
        <x:v>3.59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Lethrinidae</x:v>
      </x:c>
      <x:c r="T39" s="32" t="n">
        <x:f>IF(O39="","",(1/'Metadata'!$B$5)^(O39-1))</x:f>
        <x:v>389.04514499428046</x:v>
      </x:c>
      <x:c r="U39" s="31" t="n">
        <x:f>IF(T39="","",I39*T39)</x:f>
        <x:v>6439971.43135233</x:v>
      </x:c>
    </x:row>
    <x:row r="40" ht="18" customHeight="1">
      <x:c r="A40" s="24" t="str">
        <x:v>EEZ_356</x:v>
      </x:c>
      <x:c r="B40" s="24" t="str">
        <x:v>India (mainland)</x:v>
      </x:c>
      <x:c r="C40" s="24" t="str">
        <x:v>EEZ</x:v>
      </x:c>
      <x:c r="D40" s="30" t="n">
        <x:v>2019</x:v>
      </x:c>
      <x:c r="E40" s="24" t="str">
        <x:v>Polynemidae</x:v>
      </x:c>
      <x:c r="F40" s="24" t="str">
        <x:v>Threadfins</x:v>
      </x:c>
      <x:c r="G40" s="24" t="str">
        <x:v>Small demersals (&lt;30 cm)</x:v>
      </x:c>
      <x:c r="H40" s="24" t="str">
        <x:v>Perch-likes</x:v>
      </x:c>
      <x:c r="I40" s="31" t="n">
        <x:v>15826.072262017802</x:v>
      </x:c>
      <x:c r="J40" s="31" t="n">
        <x:v>15187.5854491038</x:v>
      </x:c>
      <x:c r="K40" s="31" t="n">
        <x:v>638.486812914</x:v>
      </x:c>
      <x:c r="L40" s="31" t="n">
        <x:v>9952.3901581569</x:v>
      </x:c>
      <x:c r="M40" s="31" t="n">
        <x:v>5873.6821038609005</x:v>
      </x:c>
      <x:c r="N40" s="24" t="str">
        <x:v>polynemidae</x:v>
      </x:c>
      <x:c r="O40" s="32" t="n">
        <x:v>3.62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Polynemidae</x:v>
      </x:c>
      <x:c r="T40" s="32" t="n">
        <x:f>IF(O40="","",(1/'Metadata'!$B$5)^(O40-1))</x:f>
        <x:v>416.8693834703355</x:v>
      </x:c>
      <x:c r="U40" s="31" t="n">
        <x:f>IF(T40="","",I40*T40)</x:f>
        <x:v>6597404.986624339</x:v>
      </x:c>
    </x:row>
    <x:row r="41" ht="18" customHeight="1">
      <x:c r="A41" s="24" t="str">
        <x:v>EEZ_356</x:v>
      </x:c>
      <x:c r="B41" s="24" t="str">
        <x:v>India (mainland)</x:v>
      </x:c>
      <x:c r="C41" s="24" t="str">
        <x:v>EEZ</x:v>
      </x:c>
      <x:c r="D41" s="30" t="n">
        <x:v>2019</x:v>
      </x:c>
      <x:c r="E41" s="24" t="str">
        <x:v>Parastromateus niger</x:v>
      </x:c>
      <x:c r="F41" s="24" t="str">
        <x:v>Black pomfret</x:v>
      </x:c>
      <x:c r="G41" s="24" t="str">
        <x:v>Medium benthopelagics (30 - 89 cm)</x:v>
      </x:c>
      <x:c r="H41" s="24" t="str">
        <x:v>Perch-likes</x:v>
      </x:c>
      <x:c r="I41" s="31" t="n">
        <x:v>15273.2764776048</x:v>
      </x:c>
      <x:c r="J41" s="31" t="n">
        <x:v>15273.2764776048</x:v>
      </x:c>
      <x:c r="K41" s="31" t="n">
        <x:v>0</x:v>
      </x:c>
      <x:c r="L41" s="31" t="n">
        <x:v>15270.1656932647</x:v>
      </x:c>
      <x:c r="M41" s="31" t="n">
        <x:v>3.1107843401</x:v>
      </x:c>
      <x:c r="N41" s="24" t="str">
        <x:v>parastromateus niger</x:v>
      </x:c>
      <x:c r="O41" s="32" t="n">
        <x:v>2.93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Parastromateus niger</x:v>
      </x:c>
      <x:c r="T41" s="32" t="n">
        <x:f>IF(O41="","",(1/'Metadata'!$B$5)^(O41-1))</x:f>
        <x:v>85.11380382023768</x:v>
      </x:c>
      <x:c r="U41" s="31" t="n">
        <x:f>IF(T41="","",I41*T41)</x:f>
        <x:v>1299966.6578071057</x:v>
      </x:c>
    </x:row>
    <x:row r="42" ht="18" customHeight="1">
      <x:c r="A42" s="24" t="str">
        <x:v>EEZ_356</x:v>
      </x:c>
      <x:c r="B42" s="24" t="str">
        <x:v>India (mainland)</x:v>
      </x:c>
      <x:c r="C42" s="24" t="str">
        <x:v>EEZ</x:v>
      </x:c>
      <x:c r="D42" s="30" t="n">
        <x:v>2019</x:v>
      </x:c>
      <x:c r="E42" s="24" t="str">
        <x:v>Dendrobranchiata</x:v>
      </x:c>
      <x:c r="F42" s="24" t="str">
        <x:v>Shrimps and prawns</x:v>
      </x:c>
      <x:c r="G42" s="24" t="str">
        <x:v>Shrimps</x:v>
      </x:c>
      <x:c r="H42" s="24" t="str">
        <x:v>Crustaceans</x:v>
      </x:c>
      <x:c r="I42" s="31" t="n">
        <x:v>15003.913296</x:v>
      </x:c>
      <x:c r="J42" s="31" t="n">
        <x:v>15003.913296</x:v>
      </x:c>
      <x:c r="K42" s="31" t="n">
        <x:v>0</x:v>
      </x:c>
      <x:c r="L42" s="31" t="n">
        <x:v>0</x:v>
      </x:c>
      <x:c r="M42" s="31" t="n">
        <x:v>15003.913296</x:v>
      </x:c>
      <x:c r="N42" s="24" t="str">
        <x:v>dendrobranchiata</x:v>
      </x:c>
      <x:c r="O42" s="32" t="n">
        <x:v>3.24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Dendrobranchiata</x:v>
      </x:c>
      <x:c r="T42" s="32" t="n">
        <x:f>IF(O42="","",(1/'Metadata'!$B$5)^(O42-1))</x:f>
        <x:v>173.78008287493762</x:v>
      </x:c>
      <x:c r="U42" s="31" t="n">
        <x:f>IF(T42="","",I42*T42)</x:f>
        <x:v>2607381.2960272585</x:v>
      </x:c>
    </x:row>
    <x:row r="43" ht="18" customHeight="1">
      <x:c r="A43" s="24" t="str">
        <x:v>EEZ_356</x:v>
      </x:c>
      <x:c r="B43" s="24" t="str">
        <x:v>India (mainland)</x:v>
      </x:c>
      <x:c r="C43" s="24" t="str">
        <x:v>EEZ</x:v>
      </x:c>
      <x:c r="D43" s="30" t="n">
        <x:v>2019</x:v>
      </x:c>
      <x:c r="E43" s="24" t="str">
        <x:v>Rhizostomeae</x:v>
      </x:c>
      <x:c r="F43" s="24" t="str">
        <x:v>Oral arm jellyfishes</x:v>
      </x:c>
      <x:c r="G43" s="24" t="str">
        <x:v>Jellyfish</x:v>
      </x:c>
      <x:c r="H43" s="24" t="str">
        <x:v>Other fishes &amp; inverts</x:v>
      </x:c>
      <x:c r="I43" s="31" t="n">
        <x:v>13309.199999999999</x:v>
      </x:c>
      <x:c r="J43" s="31" t="n">
        <x:v>13309.199999999999</x:v>
      </x:c>
      <x:c r="K43" s="31" t="n">
        <x:v>0</x:v>
      </x:c>
      <x:c r="L43" s="31" t="n">
        <x:v>0</x:v>
      </x:c>
      <x:c r="M43" s="31" t="n">
        <x:v>13309.199999999999</x:v>
      </x:c>
      <x:c r="N43" s="24" t="str">
        <x:v>rhizostomeae</x:v>
      </x:c>
      <x:c r="O43" s="32" t="n">
        <x:v>3.46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Rhizostomeae</x:v>
      </x:c>
      <x:c r="T43" s="32" t="n">
        <x:f>IF(O43="","",(1/'Metadata'!$B$5)^(O43-1))</x:f>
        <x:v>288.40315031266056</x:v>
      </x:c>
      <x:c r="U43" s="31" t="n">
        <x:f>IF(T43="","",I43*T43)</x:f>
        <x:v>3838415.2081412617</x:v>
      </x:c>
    </x:row>
    <x:row r="44" ht="18" customHeight="1">
      <x:c r="A44" s="24" t="str">
        <x:v>EEZ_356</x:v>
      </x:c>
      <x:c r="B44" s="24" t="str">
        <x:v>India (mainland)</x:v>
      </x:c>
      <x:c r="C44" s="24" t="str">
        <x:v>EEZ</x:v>
      </x:c>
      <x:c r="D44" s="30" t="n">
        <x:v>2019</x:v>
      </x:c>
      <x:c r="E44" s="24" t="str">
        <x:v>Octopus</x:v>
      </x:c>
      <x:c r="F44" s="24" t="str">
        <x:v>Octopuses, pikas</x:v>
      </x:c>
      <x:c r="G44" s="24" t="str">
        <x:v>Cephalopods</x:v>
      </x:c>
      <x:c r="H44" s="24" t="str">
        <x:v>Other fishes &amp; inverts</x:v>
      </x:c>
      <x:c r="I44" s="31" t="n">
        <x:v>12063.426293417</x:v>
      </x:c>
      <x:c r="J44" s="31" t="n">
        <x:v>12063.426293417</x:v>
      </x:c>
      <x:c r="K44" s="31" t="n">
        <x:v>0</x:v>
      </x:c>
      <x:c r="L44" s="31" t="n">
        <x:v>12063.426293417</x:v>
      </x:c>
      <x:c r="M44" s="31" t="n">
        <x:v>0</x:v>
      </x:c>
      <x:c r="N44" s="24" t="str">
        <x:v>octopus</x:v>
      </x:c>
      <x:c r="O44" s="32" t="n">
        <x:v>3.8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Octopus</x:v>
      </x:c>
      <x:c r="T44" s="32" t="n">
        <x:f>IF(O44="","",(1/'Metadata'!$B$5)^(O44-1))</x:f>
        <x:v>630.957344480193</x:v>
      </x:c>
      <x:c r="U44" s="31" t="n">
        <x:f>IF(T44="","",I44*T44)</x:f>
        <x:v>7611507.419426928</x:v>
      </x:c>
    </x:row>
    <x:row r="45" ht="18" customHeight="1">
      <x:c r="A45" s="24" t="str">
        <x:v>EEZ_356</x:v>
      </x:c>
      <x:c r="B45" s="24" t="str">
        <x:v>India (mainland)</x:v>
      </x:c>
      <x:c r="C45" s="24" t="str">
        <x:v>EEZ</x:v>
      </x:c>
      <x:c r="D45" s="30" t="n">
        <x:v>2019</x:v>
      </x:c>
      <x:c r="E45" s="24" t="str">
        <x:v>Lutjanidae</x:v>
      </x:c>
      <x:c r="F45" s="24" t="str">
        <x:v>Snappers</x:v>
      </x:c>
      <x:c r="G45" s="24" t="str">
        <x:v>Medium reef assoc. fish (30 - 89 cm)</x:v>
      </x:c>
      <x:c r="H45" s="24" t="str">
        <x:v>Perch-likes</x:v>
      </x:c>
      <x:c r="I45" s="31" t="n">
        <x:v>11847.7428467218</x:v>
      </x:c>
      <x:c r="J45" s="31" t="n">
        <x:v>10899.8270943748</x:v>
      </x:c>
      <x:c r="K45" s="31" t="n">
        <x:v>947.915752347</x:v>
      </x:c>
      <x:c r="L45" s="31" t="n">
        <x:v>10893.311583250199</x:v>
      </x:c>
      <x:c r="M45" s="31" t="n">
        <x:v>954.4312634716</x:v>
      </x:c>
      <x:c r="N45" s="24" t="str">
        <x:v>lutjanidae</x:v>
      </x:c>
      <x:c r="O45" s="32" t="n">
        <x:v>4.02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Lutjanidae</x:v>
      </x:c>
      <x:c r="T45" s="32" t="n">
        <x:f>IF(O45="","",(1/'Metadata'!$B$5)^(O45-1))</x:f>
        <x:v>1047.1285480508984</x:v>
      </x:c>
      <x:c r="U45" s="31" t="n">
        <x:f>IF(T45="","",I45*T45)</x:f>
        <x:v>12406109.764768217</x:v>
      </x:c>
    </x:row>
    <x:row r="46" ht="18" customHeight="1">
      <x:c r="A46" s="24" t="str">
        <x:v>EEZ_356</x:v>
      </x:c>
      <x:c r="B46" s="24" t="str">
        <x:v>India (mainland)</x:v>
      </x:c>
      <x:c r="C46" s="24" t="str">
        <x:v>EEZ</x:v>
      </x:c>
      <x:c r="D46" s="30" t="n">
        <x:v>2019</x:v>
      </x:c>
      <x:c r="E46" s="24" t="str">
        <x:v>Thunnus albacares</x:v>
      </x:c>
      <x:c r="F46" s="24" t="str">
        <x:v>Yellowfin tuna</x:v>
      </x:c>
      <x:c r="G46" s="24" t="str">
        <x:v>Large pelagics (&gt;=90 cm)</x:v>
      </x:c>
      <x:c r="H46" s="24" t="str">
        <x:v>Tuna &amp; billfishes</x:v>
      </x:c>
      <x:c r="I46" s="31" t="n">
        <x:v>11768.2716820851</x:v>
      </x:c>
      <x:c r="J46" s="31" t="n">
        <x:v>11768.2716820851</x:v>
      </x:c>
      <x:c r="K46" s="31" t="n">
        <x:v>0</x:v>
      </x:c>
      <x:c r="L46" s="31" t="n">
        <x:v>11768.2716820851</x:v>
      </x:c>
      <x:c r="M46" s="31" t="n">
        <x:v>0</x:v>
      </x:c>
      <x:c r="N46" s="24" t="str">
        <x:v>thunnus albacares</x:v>
      </x:c>
      <x:c r="O46" s="32" t="n">
        <x:v>4.41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albacares</x:v>
      </x:c>
      <x:c r="T46" s="32" t="n">
        <x:f>IF(O46="","",(1/'Metadata'!$B$5)^(O46-1))</x:f>
        <x:v>2570.3957827688646</x:v>
      </x:c>
      <x:c r="U46" s="31" t="n">
        <x:f>IF(T46="","",I46*T46)</x:f>
        <x:v>30249115.902109794</x:v>
      </x:c>
    </x:row>
    <x:row r="47" ht="18" customHeight="1">
      <x:c r="A47" s="24" t="str">
        <x:v>EEZ_356</x:v>
      </x:c>
      <x:c r="B47" s="24" t="str">
        <x:v>India (mainland)</x:v>
      </x:c>
      <x:c r="C47" s="24" t="str">
        <x:v>EEZ</x:v>
      </x:c>
      <x:c r="D47" s="30" t="n">
        <x:v>2019</x:v>
      </x:c>
      <x:c r="E47" s="24" t="str">
        <x:v>Anguilliformes</x:v>
      </x:c>
      <x:c r="F47" s="24" t="str">
        <x:v>Eels, morays</x:v>
      </x:c>
      <x:c r="G47" s="24" t="str">
        <x:v>Large demersals (&gt;=90 cm)</x:v>
      </x:c>
      <x:c r="H47" s="24" t="str">
        <x:v>Other fishes &amp; inverts</x:v>
      </x:c>
      <x:c r="I47" s="31" t="n">
        <x:v>11646.1493330861</x:v>
      </x:c>
      <x:c r="J47" s="31" t="n">
        <x:v>11646.1493330861</x:v>
      </x:c>
      <x:c r="K47" s="31" t="n">
        <x:v>0</x:v>
      </x:c>
      <x:c r="L47" s="31" t="n">
        <x:v>11602.1473539001</x:v>
      </x:c>
      <x:c r="M47" s="31" t="n">
        <x:v>44.00197918600001</x:v>
      </x:c>
      <x:c r="N47" s="24" t="str">
        <x:v>anguilliformes</x:v>
      </x:c>
      <x:c r="O47" s="32" t="n">
        <x:v>3.89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Anguilliformes</x:v>
      </x:c>
      <x:c r="T47" s="32" t="n">
        <x:f>IF(O47="","",(1/'Metadata'!$B$5)^(O47-1))</x:f>
        <x:v>776.247116628692</x:v>
      </x:c>
      <x:c r="U47" s="31" t="n">
        <x:f>IF(T47="","",I47*T47)</x:f>
        <x:v>9040289.83963525</x:v>
      </x:c>
    </x:row>
    <x:row r="48" ht="18" customHeight="1">
      <x:c r="A48" s="24" t="str">
        <x:v>EEZ_356</x:v>
      </x:c>
      <x:c r="B48" s="24" t="str">
        <x:v>India (mainland)</x:v>
      </x:c>
      <x:c r="C48" s="24" t="str">
        <x:v>EEZ</x:v>
      </x:c>
      <x:c r="D48" s="30" t="n">
        <x:v>2019</x:v>
      </x:c>
      <x:c r="E48" s="24" t="str">
        <x:v>Trichiuridae</x:v>
      </x:c>
      <x:c r="F48" s="24" t="str">
        <x:v>Cutlassfishes</x:v>
      </x:c>
      <x:c r="G48" s="24" t="str">
        <x:v>Large benthopelagics (&gt;=90 cm)</x:v>
      </x:c>
      <x:c r="H48" s="24" t="str">
        <x:v>Perch-likes</x:v>
      </x:c>
      <x:c r="I48" s="31" t="n">
        <x:v>10840.4383851</x:v>
      </x:c>
      <x:c r="J48" s="31" t="n">
        <x:v>10840.4383851</x:v>
      </x:c>
      <x:c r="K48" s="31" t="n">
        <x:v>0</x:v>
      </x:c>
      <x:c r="L48" s="31" t="n">
        <x:v>0</x:v>
      </x:c>
      <x:c r="M48" s="31" t="n">
        <x:v>10840.4383851</x:v>
      </x:c>
      <x:c r="N48" s="24" t="str">
        <x:v>trichiuridae</x:v>
      </x:c>
      <x:c r="O48" s="32" t="n">
        <x:v>4.15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Trichiuridae</x:v>
      </x:c>
      <x:c r="T48" s="32" t="n">
        <x:f>IF(O48="","",(1/'Metadata'!$B$5)^(O48-1))</x:f>
        <x:v>1412.5375446227554</x:v>
      </x:c>
      <x:c r="U48" s="31" t="n">
        <x:f>IF(T48="","",I48*T48)</x:f>
        <x:v>15312526.219123421</x:v>
      </x:c>
    </x:row>
    <x:row r="49" ht="18" customHeight="1">
      <x:c r="A49" s="24" t="str">
        <x:v>EEZ_356</x:v>
      </x:c>
      <x:c r="B49" s="24" t="str">
        <x:v>India (mainland)</x:v>
      </x:c>
      <x:c r="C49" s="24" t="str">
        <x:v>EEZ</x:v>
      </x:c>
      <x:c r="D49" s="30" t="n">
        <x:v>2019</x:v>
      </x:c>
      <x:c r="E49" s="24" t="str">
        <x:v>Pteriomorphia</x:v>
      </x:c>
      <x:c r="F49" s="24" t="str">
        <x:v>Clams, cockles, arkshells</x:v>
      </x:c>
      <x:c r="G49" s="24" t="str">
        <x:v>Other demersal invertebrates</x:v>
      </x:c>
      <x:c r="H49" s="24" t="str">
        <x:v>Molluscs</x:v>
      </x:c>
      <x:c r="I49" s="31" t="n">
        <x:v>9988.2646986819</x:v>
      </x:c>
      <x:c r="J49" s="31" t="n">
        <x:v>9988.2646986819</x:v>
      </x:c>
      <x:c r="K49" s="31" t="n">
        <x:v>0</x:v>
      </x:c>
      <x:c r="L49" s="31" t="n">
        <x:v>0</x:v>
      </x:c>
      <x:c r="M49" s="31" t="n">
        <x:v>9988.2646986819</x:v>
      </x:c>
      <x:c r="N49" s="24" t="str">
        <x:v>pteriomorphia</x:v>
      </x:c>
      <x:c r="O49" s="32" t="n">
        <x:v>2.27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Pteriomorphia</x:v>
      </x:c>
      <x:c r="T49" s="32" t="n">
        <x:f>IF(O49="","",(1/'Metadata'!$B$5)^(O49-1))</x:f>
        <x:v>18.620871366628677</x:v>
      </x:c>
      <x:c r="U49" s="31" t="n">
        <x:f>IF(T49="","",I49*T49)</x:f>
        <x:v>185990.1921299938</x:v>
      </x:c>
    </x:row>
    <x:row r="50" ht="18" customHeight="1">
      <x:c r="A50" s="24" t="str">
        <x:v>EEZ_356</x:v>
      </x:c>
      <x:c r="B50" s="24" t="str">
        <x:v>India (mainland)</x:v>
      </x:c>
      <x:c r="C50" s="24" t="str">
        <x:v>EEZ</x:v>
      </x:c>
      <x:c r="D50" s="30" t="n">
        <x:v>2019</x:v>
      </x:c>
      <x:c r="E50" s="24" t="str">
        <x:v>Euthynnus affinis</x:v>
      </x:c>
      <x:c r="F50" s="24" t="str">
        <x:v>Kawakawa</x:v>
      </x:c>
      <x:c r="G50" s="24" t="str">
        <x:v>Large pelagics (&gt;=90 cm)</x:v>
      </x:c>
      <x:c r="H50" s="24" t="str">
        <x:v>Tuna &amp; billfishes</x:v>
      </x:c>
      <x:c r="I50" s="31" t="n">
        <x:v>8913.9574927456</x:v>
      </x:c>
      <x:c r="J50" s="31" t="n">
        <x:v>8913.9574927456</x:v>
      </x:c>
      <x:c r="K50" s="31" t="n">
        <x:v>0</x:v>
      </x:c>
      <x:c r="L50" s="31" t="n">
        <x:v>8913.9574927456</x:v>
      </x:c>
      <x:c r="M50" s="31" t="n">
        <x:v>0</x:v>
      </x:c>
      <x:c r="N50" s="24" t="str">
        <x:v>euthynnus affinis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Euthynnus affinis</x:v>
      </x:c>
      <x:c r="T50" s="32" t="n">
        <x:f>IF(O50="","",(1/'Metadata'!$B$5)^(O50-1))</x:f>
        <x:v>3162.2776601683795</x:v>
      </x:c>
      <x:c r="U50" s="31" t="n">
        <x:f>IF(T50="","",I50*T50)</x:f>
        <x:v>28188408.64299995</x:v>
      </x:c>
    </x:row>
    <x:row r="51" ht="18" customHeight="1">
      <x:c r="A51" s="24" t="str">
        <x:v>EEZ_356</x:v>
      </x:c>
      <x:c r="B51" s="24" t="str">
        <x:v>India (mainland)</x:v>
      </x:c>
      <x:c r="C51" s="24" t="str">
        <x:v>EEZ</x:v>
      </x:c>
      <x:c r="D51" s="30" t="n">
        <x:v>2019</x:v>
      </x:c>
      <x:c r="E51" s="24" t="str">
        <x:v>Sillaginidae</x:v>
      </x:c>
      <x:c r="F51" s="24" t="str">
        <x:v>Smelt-whitings</x:v>
      </x:c>
      <x:c r="G51" s="24" t="str">
        <x:v>Medium demersals (30 - 89 cm)</x:v>
      </x:c>
      <x:c r="H51" s="24" t="str">
        <x:v>Perch-likes</x:v>
      </x:c>
      <x:c r="I51" s="31" t="n">
        <x:v>8849.437843100002</x:v>
      </x:c>
      <x:c r="J51" s="31" t="n">
        <x:v>8849.437843100002</x:v>
      </x:c>
      <x:c r="K51" s="31" t="n">
        <x:v>0</x:v>
      </x:c>
      <x:c r="L51" s="31" t="n">
        <x:v>0</x:v>
      </x:c>
      <x:c r="M51" s="31" t="n">
        <x:v>8849.437843100002</x:v>
      </x:c>
      <x:c r="N51" s="24" t="str">
        <x:v>sillaginidae</x:v>
      </x:c>
      <x:c r="O51" s="32" t="n">
        <x:v>3.25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Sillaginidae</x:v>
      </x:c>
      <x:c r="T51" s="32" t="n">
        <x:f>IF(O51="","",(1/'Metadata'!$B$5)^(O51-1))</x:f>
        <x:v>177.82794100389228</x:v>
      </x:c>
      <x:c r="U51" s="31" t="n">
        <x:f>IF(T51="","",I51*T51)</x:f>
        <x:v>1573677.310680399</x:v>
      </x:c>
    </x:row>
    <x:row r="52" ht="18" customHeight="1">
      <x:c r="A52" s="24" t="str">
        <x:v>EEZ_356</x:v>
      </x:c>
      <x:c r="B52" s="24" t="str">
        <x:v>India (mainland)</x:v>
      </x:c>
      <x:c r="C52" s="24" t="str">
        <x:v>EEZ</x:v>
      </x:c>
      <x:c r="D52" s="30" t="n">
        <x:v>2019</x:v>
      </x:c>
      <x:c r="E52" s="24" t="str">
        <x:v>Mytilidae</x:v>
      </x:c>
      <x:c r="F52" s="24" t="str">
        <x:v>Sea mussels</x:v>
      </x:c>
      <x:c r="G52" s="24" t="str">
        <x:v>Other demersal invertebrates</x:v>
      </x:c>
      <x:c r="H52" s="24" t="str">
        <x:v>Molluscs</x:v>
      </x:c>
      <x:c r="I52" s="31" t="n">
        <x:v>8182.7859888</x:v>
      </x:c>
      <x:c r="J52" s="31" t="n">
        <x:v>8182.7859888</x:v>
      </x:c>
      <x:c r="K52" s="31" t="n">
        <x:v>0</x:v>
      </x:c>
      <x:c r="L52" s="31" t="n">
        <x:v>0</x:v>
      </x:c>
      <x:c r="M52" s="31" t="n">
        <x:v>8182.7859888</x:v>
      </x:c>
      <x:c r="N52" s="24" t="str">
        <x:v>mytilidae</x:v>
      </x:c>
      <x:c r="O52" s="32" t="n">
        <x:v>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Mytilidae</x:v>
      </x:c>
      <x:c r="T52" s="32" t="n">
        <x:f>IF(O52="","",(1/'Metadata'!$B$5)^(O52-1))</x:f>
        <x:v>10</x:v>
      </x:c>
      <x:c r="U52" s="31" t="n">
        <x:f>IF(T52="","",I52*T52)</x:f>
        <x:v>81827.859888</x:v>
      </x:c>
    </x:row>
    <x:row r="53" ht="18" customHeight="1">
      <x:c r="A53" s="24" t="str">
        <x:v>EEZ_356</x:v>
      </x:c>
      <x:c r="B53" s="24" t="str">
        <x:v>India (mainland)</x:v>
      </x:c>
      <x:c r="C53" s="24" t="str">
        <x:v>EEZ</x:v>
      </x:c>
      <x:c r="D53" s="30" t="n">
        <x:v>2019</x:v>
      </x:c>
      <x:c r="E53" s="24" t="str">
        <x:v>Hemiramphus</x:v>
      </x:c>
      <x:c r="F53" s="24" t="str">
        <x:v>Halfbeaks</x:v>
      </x:c>
      <x:c r="G53" s="24" t="str">
        <x:v>Medium pelagics (30 - 89 cm)</x:v>
      </x:c>
      <x:c r="H53" s="24" t="str">
        <x:v>Other fishes &amp; inverts</x:v>
      </x:c>
      <x:c r="I53" s="31" t="n">
        <x:v>7187.408419827</x:v>
      </x:c>
      <x:c r="J53" s="31" t="n">
        <x:v>6633.907195340001</x:v>
      </x:c>
      <x:c r="K53" s="31" t="n">
        <x:v>553.501224487</x:v>
      </x:c>
      <x:c r="L53" s="31" t="n">
        <x:v>6585.3802719000005</x:v>
      </x:c>
      <x:c r="M53" s="31" t="n">
        <x:v>602.028147927</x:v>
      </x:c>
      <x:c r="N53" s="24" t="str">
        <x:v>hemiramphus</x:v>
      </x:c>
      <x:c r="O53" s="32" t="n">
        <x:v>3.05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Hemiramphus</x:v>
      </x:c>
      <x:c r="T53" s="32" t="n">
        <x:f>IF(O53="","",(1/'Metadata'!$B$5)^(O53-1))</x:f>
        <x:v>112.2018454301963</x:v>
      </x:c>
      <x:c r="U53" s="31" t="n">
        <x:f>IF(T53="","",I53*T53)</x:f>
        <x:v>806440.4885651205</x:v>
      </x:c>
    </x:row>
    <x:row r="54" ht="18" customHeight="1">
      <x:c r="A54" s="24" t="str">
        <x:v>EEZ_356</x:v>
      </x:c>
      <x:c r="B54" s="24" t="str">
        <x:v>India (mainland)</x:v>
      </x:c>
      <x:c r="C54" s="24" t="str">
        <x:v>EEZ</x:v>
      </x:c>
      <x:c r="D54" s="30" t="n">
        <x:v>2019</x:v>
      </x:c>
      <x:c r="E54" s="24" t="str">
        <x:v>Lactarius lactarius</x:v>
      </x:c>
      <x:c r="F54" s="24" t="str">
        <x:v>False trevally</x:v>
      </x:c>
      <x:c r="G54" s="24" t="str">
        <x:v>Medium pelagics (30 - 89 cm)</x:v>
      </x:c>
      <x:c r="H54" s="24" t="str">
        <x:v>Perch-likes</x:v>
      </x:c>
      <x:c r="I54" s="31" t="n">
        <x:v>6643.447766883</x:v>
      </x:c>
      <x:c r="J54" s="31" t="n">
        <x:v>6224.5320603001</x:v>
      </x:c>
      <x:c r="K54" s="31" t="n">
        <x:v>418.9157065829</x:v>
      </x:c>
      <x:c r="L54" s="31" t="n">
        <x:v>6224.5320603001</x:v>
      </x:c>
      <x:c r="M54" s="31" t="n">
        <x:v>418.9157065829</x:v>
      </x:c>
      <x:c r="N54" s="24" t="str">
        <x:v>lactarius lactarius</x:v>
      </x:c>
      <x:c r="O54" s="32" t="n">
        <x:v>3.97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Lactarius lactarius</x:v>
      </x:c>
      <x:c r="T54" s="32" t="n">
        <x:f>IF(O54="","",(1/'Metadata'!$B$5)^(O54-1))</x:f>
        <x:v>933.2543007969915</x:v>
      </x:c>
      <x:c r="U54" s="31" t="n">
        <x:f>IF(T54="","",I54*T54)</x:f>
        <x:v>6200026.200563729</x:v>
      </x:c>
    </x:row>
    <x:row r="55" ht="18" customHeight="1">
      <x:c r="A55" s="24" t="str">
        <x:v>EEZ_356</x:v>
      </x:c>
      <x:c r="B55" s="24" t="str">
        <x:v>India (mainland)</x:v>
      </x:c>
      <x:c r="C55" s="24" t="str">
        <x:v>EEZ</x:v>
      </x:c>
      <x:c r="D55" s="30" t="n">
        <x:v>2019</x:v>
      </x:c>
      <x:c r="E55" s="24" t="str">
        <x:v>Stromateidae</x:v>
      </x:c>
      <x:c r="F55" s="24" t="str">
        <x:v>Butterfishes</x:v>
      </x:c>
      <x:c r="G55" s="24" t="str">
        <x:v>Small benthopelagics (&lt;30 cm)</x:v>
      </x:c>
      <x:c r="H55" s="24" t="str">
        <x:v>Perch-likes</x:v>
      </x:c>
      <x:c r="I55" s="31" t="n">
        <x:v>5274.4912327</x:v>
      </x:c>
      <x:c r="J55" s="31" t="n">
        <x:v>5274.4912327</x:v>
      </x:c>
      <x:c r="K55" s="31" t="n">
        <x:v>0</x:v>
      </x:c>
      <x:c r="L55" s="31" t="n">
        <x:v>0</x:v>
      </x:c>
      <x:c r="M55" s="31" t="n">
        <x:v>5274.4912327</x:v>
      </x:c>
      <x:c r="N55" s="24" t="str">
        <x:v>stromateidae</x:v>
      </x:c>
      <x:c r="O55" s="32" t="n">
        <x:v>3.62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Stromateidae</x:v>
      </x:c>
      <x:c r="T55" s="32" t="n">
        <x:f>IF(O55="","",(1/'Metadata'!$B$5)^(O55-1))</x:f>
        <x:v>416.8693834703355</x:v>
      </x:c>
      <x:c r="U55" s="31" t="n">
        <x:f>IF(T55="","",I55*T55)</x:f>
        <x:v>2198773.908295339</x:v>
      </x:c>
    </x:row>
    <x:row r="56" ht="18" customHeight="1">
      <x:c r="A56" s="24" t="str">
        <x:v>EEZ_356</x:v>
      </x:c>
      <x:c r="B56" s="24" t="str">
        <x:v>India (mainland)</x:v>
      </x:c>
      <x:c r="C56" s="24" t="str">
        <x:v>EEZ</x:v>
      </x:c>
      <x:c r="D56" s="30" t="n">
        <x:v>2019</x:v>
      </x:c>
      <x:c r="E56" s="24" t="str">
        <x:v>Pampus chinensis</x:v>
      </x:c>
      <x:c r="F56" s="24" t="str">
        <x:v>Chinese silver pomfret</x:v>
      </x:c>
      <x:c r="G56" s="24" t="str">
        <x:v>Medium benthopelagics (30 - 89 cm)</x:v>
      </x:c>
      <x:c r="H56" s="24" t="str">
        <x:v>Perch-likes</x:v>
      </x:c>
      <x:c r="I56" s="31" t="n">
        <x:v>4256.0150531401</x:v>
      </x:c>
      <x:c r="J56" s="31" t="n">
        <x:v>4256.0150531401</x:v>
      </x:c>
      <x:c r="K56" s="31" t="n">
        <x:v>0</x:v>
      </x:c>
      <x:c r="L56" s="31" t="n">
        <x:v>4256.0150531401</x:v>
      </x:c>
      <x:c r="M56" s="31" t="n">
        <x:v>0</x:v>
      </x:c>
      <x:c r="N56" s="24" t="str">
        <x:v>pampus chinensis</x:v>
      </x:c>
      <x:c r="O56" s="32" t="n">
        <x:v>3.6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Pampus chinensis</x:v>
      </x:c>
      <x:c r="T56" s="32" t="n">
        <x:f>IF(O56="","",(1/'Metadata'!$B$5)^(O56-1))</x:f>
        <x:v>398.1071705534973</x:v>
      </x:c>
      <x:c r="U56" s="31" t="n">
        <x:f>IF(T56="","",I56*T56)</x:f>
        <x:v>1694350.1106386976</x:v>
      </x:c>
    </x:row>
    <x:row r="57" ht="18" customHeight="1">
      <x:c r="A57" s="24" t="str">
        <x:v>EEZ_356</x:v>
      </x:c>
      <x:c r="B57" s="24" t="str">
        <x:v>India (mainland)</x:v>
      </x:c>
      <x:c r="C57" s="24" t="str">
        <x:v>EEZ</x:v>
      </x:c>
      <x:c r="D57" s="30" t="n">
        <x:v>2019</x:v>
      </x:c>
      <x:c r="E57" s="24" t="str">
        <x:v>Lates calcarifer</x:v>
      </x:c>
      <x:c r="F57" s="24" t="str">
        <x:v>Barramundi</x:v>
      </x:c>
      <x:c r="G57" s="24" t="str">
        <x:v>Large demersals (&gt;=90 cm)</x:v>
      </x:c>
      <x:c r="H57" s="24" t="str">
        <x:v>Perch-likes</x:v>
      </x:c>
      <x:c r="I57" s="31" t="n">
        <x:v>3581.2511350346</x:v>
      </x:c>
      <x:c r="J57" s="31" t="n">
        <x:v>3581.2511350346</x:v>
      </x:c>
      <x:c r="K57" s="31" t="n">
        <x:v>0</x:v>
      </x:c>
      <x:c r="L57" s="31" t="n">
        <x:v>2.3698188396</x:v>
      </x:c>
      <x:c r="M57" s="31" t="n">
        <x:v>3578.8813161949997</x:v>
      </x:c>
      <x:c r="N57" s="24" t="str">
        <x:v>lates calcarifer</x:v>
      </x:c>
      <x:c r="O57" s="32" t="n">
        <x:v>4.35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Lates calcarifer</x:v>
      </x:c>
      <x:c r="T57" s="32" t="n">
        <x:f>IF(O57="","",(1/'Metadata'!$B$5)^(O57-1))</x:f>
        <x:v>2238.7211385683377</x:v>
      </x:c>
      <x:c r="U57" s="31" t="n">
        <x:f>IF(T57="","",I57*T57)</x:f>
        <x:v>8017422.618523811</x:v>
      </x:c>
    </x:row>
    <x:row r="58" ht="18" customHeight="1">
      <x:c r="A58" s="24" t="str">
        <x:v>EEZ_356</x:v>
      </x:c>
      <x:c r="B58" s="24" t="str">
        <x:v>India (mainland)</x:v>
      </x:c>
      <x:c r="C58" s="24" t="str">
        <x:v>EEZ</x:v>
      </x:c>
      <x:c r="D58" s="30" t="n">
        <x:v>2019</x:v>
      </x:c>
      <x:c r="E58" s="24" t="str">
        <x:v>Istiophoridae</x:v>
      </x:c>
      <x:c r="F58" s="24" t="str">
        <x:v>Billfishes</x:v>
      </x:c>
      <x:c r="G58" s="24" t="str">
        <x:v>Large pelagics (&gt;=90 cm)</x:v>
      </x:c>
      <x:c r="H58" s="24" t="str">
        <x:v>Tuna &amp; billfishes</x:v>
      </x:c>
      <x:c r="I58" s="31" t="n">
        <x:v>2990.852677</x:v>
      </x:c>
      <x:c r="J58" s="31" t="n">
        <x:v>2990.852677</x:v>
      </x:c>
      <x:c r="K58" s="31" t="n">
        <x:v>0</x:v>
      </x:c>
      <x:c r="L58" s="31" t="n">
        <x:v>2990.852677</x:v>
      </x:c>
      <x:c r="M58" s="31" t="n">
        <x:v>0</x:v>
      </x:c>
      <x:c r="N58" s="24" t="str">
        <x:v>istiophoridae</x:v>
      </x:c>
      <x:c r="O58" s="32" t="n">
        <x:v>4.48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Istiophoridae</x:v>
      </x:c>
      <x:c r="T58" s="32" t="n">
        <x:f>IF(O58="","",(1/'Metadata'!$B$5)^(O58-1))</x:f>
        <x:v>3019.951720402019</x:v>
      </x:c>
      <x:c r="U58" s="31" t="n">
        <x:f>IF(T58="","",I58*T58)</x:f>
        <x:v>9032230.687375134</x:v>
      </x:c>
    </x:row>
    <x:row r="59" ht="18" customHeight="1">
      <x:c r="A59" s="24" t="str">
        <x:v>EEZ_356</x:v>
      </x:c>
      <x:c r="B59" s="24" t="str">
        <x:v>India (mainland)</x:v>
      </x:c>
      <x:c r="C59" s="24" t="str">
        <x:v>EEZ</x:v>
      </x:c>
      <x:c r="D59" s="30" t="n">
        <x:v>2019</x:v>
      </x:c>
      <x:c r="E59" s="24" t="str">
        <x:v>Gastropoda</x:v>
      </x:c>
      <x:c r="F59" s="24" t="str">
        <x:v>Sea snails</x:v>
      </x:c>
      <x:c r="G59" s="24" t="str">
        <x:v>Other demersal invertebrates</x:v>
      </x:c>
      <x:c r="H59" s="24" t="str">
        <x:v>Molluscs</x:v>
      </x:c>
      <x:c r="I59" s="31" t="n">
        <x:v>2669.8363855459997</x:v>
      </x:c>
      <x:c r="J59" s="31" t="n">
        <x:v>2459.930927305</x:v>
      </x:c>
      <x:c r="K59" s="31" t="n">
        <x:v>209.905458241</x:v>
      </x:c>
      <x:c r="L59" s="31" t="n">
        <x:v>2459.930927305</x:v>
      </x:c>
      <x:c r="M59" s="31" t="n">
        <x:v>209.905458241</x:v>
      </x:c>
      <x:c r="N59" s="24" t="str">
        <x:v>gastropoda</x:v>
      </x:c>
      <x:c r="O59" s="32" t="n">
        <x:v>3.06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Gastropoda</x:v>
      </x:c>
      <x:c r="T59" s="32" t="n">
        <x:f>IF(O59="","",(1/'Metadata'!$B$5)^(O59-1))</x:f>
        <x:v>114.81536214968828</x:v>
      </x:c>
      <x:c r="U59" s="31" t="n">
        <x:f>IF(T59="","",I59*T59)</x:f>
        <x:v>306538.23148687877</x:v>
      </x:c>
    </x:row>
    <x:row r="60" ht="18" customHeight="1">
      <x:c r="A60" s="24" t="str">
        <x:v>EEZ_356</x:v>
      </x:c>
      <x:c r="B60" s="24" t="str">
        <x:v>India (mainland)</x:v>
      </x:c>
      <x:c r="C60" s="24" t="str">
        <x:v>EEZ</x:v>
      </x:c>
      <x:c r="D60" s="30" t="n">
        <x:v>2019</x:v>
      </x:c>
      <x:c r="E60" s="24" t="str">
        <x:v>Prionace glauca</x:v>
      </x:c>
      <x:c r="F60" s="24" t="str">
        <x:v>Blue shark</x:v>
      </x:c>
      <x:c r="G60" s="24" t="str">
        <x:v>Large sharks (&gt;=90 cm)</x:v>
      </x:c>
      <x:c r="H60" s="24" t="str">
        <x:v>Sharks &amp; rays</x:v>
      </x:c>
      <x:c r="I60" s="31" t="n">
        <x:v>2482.6089860958</x:v>
      </x:c>
      <x:c r="J60" s="31" t="n">
        <x:v>2482.6089860958</x:v>
      </x:c>
      <x:c r="K60" s="31" t="n">
        <x:v>0</x:v>
      </x:c>
      <x:c r="L60" s="31" t="n">
        <x:v>2482.6089860958</x:v>
      </x:c>
      <x:c r="M60" s="31" t="n">
        <x:v>0</x:v>
      </x:c>
      <x:c r="N60" s="24" t="str">
        <x:v>prionace glauca</x:v>
      </x:c>
      <x:c r="O60" s="32" t="n">
        <x:v>4.35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Prionace glauca</x:v>
      </x:c>
      <x:c r="T60" s="32" t="n">
        <x:f>IF(O60="","",(1/'Metadata'!$B$5)^(O60-1))</x:f>
        <x:v>2238.7211385683377</x:v>
      </x:c>
      <x:c r="U60" s="31" t="n">
        <x:f>IF(T60="","",I60*T60)</x:f>
        <x:v>5557869.215972376</x:v>
      </x:c>
    </x:row>
    <x:row r="61" ht="18" customHeight="1">
      <x:c r="A61" s="24" t="str">
        <x:v>EEZ_356</x:v>
      </x:c>
      <x:c r="B61" s="24" t="str">
        <x:v>India (mainland)</x:v>
      </x:c>
      <x:c r="C61" s="24" t="str">
        <x:v>EEZ</x:v>
      </x:c>
      <x:c r="D61" s="30" t="n">
        <x:v>2019</x:v>
      </x:c>
      <x:c r="E61" s="24" t="str">
        <x:v>Rastrelliger</x:v>
      </x:c>
      <x:c r="F61" s="24" t="str">
        <x:v>Indian mackerels</x:v>
      </x:c>
      <x:c r="G61" s="24" t="str">
        <x:v>Medium pelagics (30 - 89 cm)</x:v>
      </x:c>
      <x:c r="H61" s="24" t="str">
        <x:v>Perch-likes</x:v>
      </x:c>
      <x:c r="I61" s="31" t="n">
        <x:v>2110.801948883</x:v>
      </x:c>
      <x:c r="J61" s="31" t="n">
        <x:v>1954.335194114</x:v>
      </x:c>
      <x:c r="K61" s="31" t="n">
        <x:v>156.466754769</x:v>
      </x:c>
      <x:c r="L61" s="31" t="n">
        <x:v>985.226500664</x:v>
      </x:c>
      <x:c r="M61" s="31" t="n">
        <x:v>1125.575448219</x:v>
      </x:c>
      <x:c r="N61" s="24" t="str">
        <x:v>rastrelliger</x:v>
      </x:c>
      <x:c r="O61" s="32" t="n">
        <x:v>3.1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Rastrelliger</x:v>
      </x:c>
      <x:c r="T61" s="32" t="n">
        <x:f>IF(O61="","",(1/'Metadata'!$B$5)^(O61-1))</x:f>
        <x:v>125.89254117941675</x:v>
      </x:c>
      <x:c r="U61" s="31" t="n">
        <x:f>IF(T61="","",I61*T61)</x:f>
        <x:v>265734.2212713462</x:v>
      </x:c>
    </x:row>
    <x:row r="62" ht="18" customHeight="1">
      <x:c r="A62" s="24" t="str">
        <x:v>EEZ_356</x:v>
      </x:c>
      <x:c r="B62" s="24" t="str">
        <x:v>India (mainland)</x:v>
      </x:c>
      <x:c r="C62" s="24" t="str">
        <x:v>EEZ</x:v>
      </x:c>
      <x:c r="D62" s="30" t="n">
        <x:v>2019</x:v>
      </x:c>
      <x:c r="E62" s="24" t="str">
        <x:v>Holothuroidea</x:v>
      </x:c>
      <x:c r="F62" s="24" t="str">
        <x:v>Sea cucumbers</x:v>
      </x:c>
      <x:c r="G62" s="24" t="str">
        <x:v>Other demersal invertebrates</x:v>
      </x:c>
      <x:c r="H62" s="24" t="str">
        <x:v>Other fishes &amp; inverts</x:v>
      </x:c>
      <x:c r="I62" s="31" t="n">
        <x:v>1997.5</x:v>
      </x:c>
      <x:c r="J62" s="31" t="n">
        <x:v>1997.5</x:v>
      </x:c>
      <x:c r="K62" s="31" t="n">
        <x:v>0</x:v>
      </x:c>
      <x:c r="L62" s="31" t="n">
        <x:v>1997.5</x:v>
      </x:c>
      <x:c r="M62" s="31" t="n">
        <x:v>0</x:v>
      </x:c>
      <x:c r="N62" s="24" t="str">
        <x:v>holothuroidea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Holothuroidea</x:v>
      </x:c>
      <x:c r="T62" s="32" t="n">
        <x:f>IF(O62="","",(1/'Metadata'!$B$5)^(O62-1))</x:f>
        <x:v>10</x:v>
      </x:c>
      <x:c r="U62" s="31" t="n">
        <x:f>IF(T62="","",I62*T62)</x:f>
        <x:v>19975</x:v>
      </x:c>
    </x:row>
    <x:row r="63" ht="18" customHeight="1">
      <x:c r="A63" s="24" t="str">
        <x:v>EEZ_356</x:v>
      </x:c>
      <x:c r="B63" s="24" t="str">
        <x:v>India (mainland)</x:v>
      </x:c>
      <x:c r="C63" s="24" t="str">
        <x:v>EEZ</x:v>
      </x:c>
      <x:c r="D63" s="30" t="n">
        <x:v>2019</x:v>
      </x:c>
      <x:c r="E63" s="24" t="str">
        <x:v>Thunnus tonggol</x:v>
      </x:c>
      <x:c r="F63" s="24" t="str">
        <x:v>Longtail tuna</x:v>
      </x:c>
      <x:c r="G63" s="24" t="str">
        <x:v>Large pelagics (&gt;=90 cm)</x:v>
      </x:c>
      <x:c r="H63" s="24" t="str">
        <x:v>Tuna &amp; billfishes</x:v>
      </x:c>
      <x:c r="I63" s="31" t="n">
        <x:v>1866.7519006352</x:v>
      </x:c>
      <x:c r="J63" s="31" t="n">
        <x:v>1866.7519006352</x:v>
      </x:c>
      <x:c r="K63" s="31" t="n">
        <x:v>0</x:v>
      </x:c>
      <x:c r="L63" s="31" t="n">
        <x:v>1866.7519006352</x:v>
      </x:c>
      <x:c r="M63" s="31" t="n">
        <x:v>0</x:v>
      </x:c>
      <x:c r="N63" s="24" t="str">
        <x:v>thunnus tonggol</x:v>
      </x:c>
      <x:c r="O63" s="32" t="n">
        <x:v>4.5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tonggol</x:v>
      </x:c>
      <x:c r="T63" s="32" t="n">
        <x:f>IF(O63="","",(1/'Metadata'!$B$5)^(O63-1))</x:f>
        <x:v>3162.2776601683795</x:v>
      </x:c>
      <x:c r="U63" s="31" t="n">
        <x:f>IF(T63="","",I63*T63)</x:f>
        <x:v>5903187.832455555</x:v>
      </x:c>
    </x:row>
    <x:row r="64" ht="18" customHeight="1">
      <x:c r="A64" s="24" t="str">
        <x:v>EEZ_356</x:v>
      </x:c>
      <x:c r="B64" s="24" t="str">
        <x:v>India (mainland)</x:v>
      </x:c>
      <x:c r="C64" s="24" t="str">
        <x:v>EEZ</x:v>
      </x:c>
      <x:c r="D64" s="30" t="n">
        <x:v>2019</x:v>
      </x:c>
      <x:c r="E64" s="24" t="str">
        <x:v>Elagatis bipinnulata</x:v>
      </x:c>
      <x:c r="F64" s="24" t="str">
        <x:v>Rainbow runner</x:v>
      </x:c>
      <x:c r="G64" s="24" t="str">
        <x:v>Large pelagics (&gt;=90 cm)</x:v>
      </x:c>
      <x:c r="H64" s="24" t="str">
        <x:v>Perch-likes</x:v>
      </x:c>
      <x:c r="I64" s="31" t="n">
        <x:v>1757.2</x:v>
      </x:c>
      <x:c r="J64" s="31" t="n">
        <x:v>1757.2</x:v>
      </x:c>
      <x:c r="K64" s="31" t="n">
        <x:v>0</x:v>
      </x:c>
      <x:c r="L64" s="31" t="n">
        <x:v>1757.2</x:v>
      </x:c>
      <x:c r="M64" s="31" t="n">
        <x:v>0</x:v>
      </x:c>
      <x:c r="N64" s="24" t="str">
        <x:v>elagatis bipinnulata</x:v>
      </x:c>
      <x:c r="O64" s="32" t="n">
        <x:v>4.27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Elagatis bipinnulata</x:v>
      </x:c>
      <x:c r="T64" s="32" t="n">
        <x:f>IF(O64="","",(1/'Metadata'!$B$5)^(O64-1))</x:f>
        <x:v>1862.0871366628655</x:v>
      </x:c>
      <x:c r="U64" s="31" t="n">
        <x:f>IF(T64="","",I64*T64)</x:f>
        <x:v>3272059.516543987</x:v>
      </x:c>
    </x:row>
    <x:row r="65" ht="18" customHeight="1">
      <x:c r="A65" s="24" t="str">
        <x:v>EEZ_356</x:v>
      </x:c>
      <x:c r="B65" s="24" t="str">
        <x:v>India (mainland)</x:v>
      </x:c>
      <x:c r="C65" s="24" t="str">
        <x:v>EEZ</x:v>
      </x:c>
      <x:c r="D65" s="30" t="n">
        <x:v>2019</x:v>
      </x:c>
      <x:c r="E65" s="24" t="str">
        <x:v>Thunnus obesus</x:v>
      </x:c>
      <x:c r="F65" s="24" t="str">
        <x:v>Bigeye tuna</x:v>
      </x:c>
      <x:c r="G65" s="24" t="str">
        <x:v>Large pelagics (&gt;=90 cm)</x:v>
      </x:c>
      <x:c r="H65" s="24" t="str">
        <x:v>Tuna &amp; billfishes</x:v>
      </x:c>
      <x:c r="I65" s="31" t="n">
        <x:v>1539.7191738980998</x:v>
      </x:c>
      <x:c r="J65" s="31" t="n">
        <x:v>1539.7191738980998</x:v>
      </x:c>
      <x:c r="K65" s="31" t="n">
        <x:v>0</x:v>
      </x:c>
      <x:c r="L65" s="31" t="n">
        <x:v>1539.7191738980998</x:v>
      </x:c>
      <x:c r="M65" s="31" t="n">
        <x:v>0</x:v>
      </x:c>
      <x:c r="N65" s="24" t="str">
        <x:v>thunnus obesus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Thunnus obesus</x:v>
      </x:c>
      <x:c r="T65" s="32" t="n">
        <x:f>IF(O65="","",(1/'Metadata'!$B$5)^(O65-1))</x:f>
        <x:v>3090.295432513592</x:v>
      </x:c>
      <x:c r="U65" s="31" t="n">
        <x:f>IF(T65="","",I65*T65)</x:f>
        <x:v>4758187.130450899</x:v>
      </x:c>
    </x:row>
    <x:row r="66" ht="18" customHeight="1">
      <x:c r="A66" s="24" t="str">
        <x:v>EEZ_356</x:v>
      </x:c>
      <x:c r="B66" s="24" t="str">
        <x:v>India (mainland)</x:v>
      </x:c>
      <x:c r="C66" s="24" t="str">
        <x:v>EEZ</x:v>
      </x:c>
      <x:c r="D66" s="30" t="n">
        <x:v>2019</x:v>
      </x:c>
      <x:c r="E66" s="24" t="str">
        <x:v>Isurus</x:v>
      </x:c>
      <x:c r="F66" s="24" t="str">
        <x:v>Mako sharks</x:v>
      </x:c>
      <x:c r="G66" s="24" t="str">
        <x:v>Large sharks (&gt;=90 cm)</x:v>
      </x:c>
      <x:c r="H66" s="24" t="str">
        <x:v>Sharks &amp; rays</x:v>
      </x:c>
      <x:c r="I66" s="31" t="n">
        <x:v>1425.3544650098</x:v>
      </x:c>
      <x:c r="J66" s="31" t="n">
        <x:v>1425.3544650098</x:v>
      </x:c>
      <x:c r="K66" s="31" t="n">
        <x:v>0</x:v>
      </x:c>
      <x:c r="L66" s="31" t="n">
        <x:v>1425.3544650098</x:v>
      </x:c>
      <x:c r="M66" s="31" t="n">
        <x:v>0</x:v>
      </x:c>
      <x:c r="N66" s="24" t="str">
        <x:v>isurus</x:v>
      </x:c>
      <x:c r="O66" s="32" t="n">
        <x:v>4.5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Isurus</x:v>
      </x:c>
      <x:c r="T66" s="32" t="n">
        <x:f>IF(O66="","",(1/'Metadata'!$B$5)^(O66-1))</x:f>
        <x:v>3162.2776601683795</x:v>
      </x:c>
      <x:c r="U66" s="31" t="n">
        <x:f>IF(T66="","",I66*T66)</x:f>
        <x:v>4507366.582521742</x:v>
      </x:c>
    </x:row>
    <x:row r="67" ht="18" customHeight="1">
      <x:c r="A67" s="24" t="str">
        <x:v>EEZ_356</x:v>
      </x:c>
      <x:c r="B67" s="24" t="str">
        <x:v>India (mainland)</x:v>
      </x:c>
      <x:c r="C67" s="24" t="str">
        <x:v>EEZ</x:v>
      </x:c>
      <x:c r="D67" s="30" t="n">
        <x:v>2019</x:v>
      </x:c>
      <x:c r="E67" s="24" t="str">
        <x:v>Decapterus russelli</x:v>
      </x:c>
      <x:c r="F67" s="24" t="str">
        <x:v>Indian scad</x:v>
      </x:c>
      <x:c r="G67" s="24" t="str">
        <x:v>Medium pelagics (30 - 89 cm)</x:v>
      </x:c>
      <x:c r="H67" s="24" t="str">
        <x:v>Perch-likes</x:v>
      </x:c>
      <x:c r="I67" s="31" t="n">
        <x:v>861.2644481152</x:v>
      </x:c>
      <x:c r="J67" s="31" t="n">
        <x:v>861.2644481152</x:v>
      </x:c>
      <x:c r="K67" s="31" t="n">
        <x:v>0</x:v>
      </x:c>
      <x:c r="L67" s="31" t="n">
        <x:v>356.2211897894</x:v>
      </x:c>
      <x:c r="M67" s="31" t="n">
        <x:v>505.0432583258</x:v>
      </x:c>
      <x:c r="N67" s="24" t="str">
        <x:v>decapterus russelli</x:v>
      </x:c>
      <x:c r="O67" s="32" t="n">
        <x:v>3.68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Decapterus russelli</x:v>
      </x:c>
      <x:c r="T67" s="32" t="n">
        <x:f>IF(O67="","",(1/'Metadata'!$B$5)^(O67-1))</x:f>
        <x:v>478.6300923226385</x:v>
      </x:c>
      <x:c r="U67" s="31" t="n">
        <x:f>IF(T67="","",I67*T67)</x:f>
        <x:v>412227.0823155845</x:v>
      </x:c>
    </x:row>
    <x:row r="68" ht="18" customHeight="1">
      <x:c r="A68" s="24" t="str">
        <x:v>EEZ_356</x:v>
      </x:c>
      <x:c r="B68" s="24" t="str">
        <x:v>India (mainland)</x:v>
      </x:c>
      <x:c r="C68" s="24" t="str">
        <x:v>EEZ</x:v>
      </x:c>
      <x:c r="D68" s="30" t="n">
        <x:v>2019</x:v>
      </x:c>
      <x:c r="E68" s="24" t="str">
        <x:v>Acanthocybium solandri</x:v>
      </x:c>
      <x:c r="F68" s="24" t="str">
        <x:v>Wahoo</x:v>
      </x:c>
      <x:c r="G68" s="24" t="str">
        <x:v>Large pelagics (&gt;=90 cm)</x:v>
      </x:c>
      <x:c r="H68" s="24" t="str">
        <x:v>Perch-likes</x:v>
      </x:c>
      <x:c r="I68" s="31" t="n">
        <x:v>779.5847151939</x:v>
      </x:c>
      <x:c r="J68" s="31" t="n">
        <x:v>779.5847151939</x:v>
      </x:c>
      <x:c r="K68" s="31" t="n">
        <x:v>0</x:v>
      </x:c>
      <x:c r="L68" s="31" t="n">
        <x:v>779.5847151939</x:v>
      </x:c>
      <x:c r="M68" s="31" t="n">
        <x:v>0</x:v>
      </x:c>
      <x:c r="N68" s="24" t="str">
        <x:v>acanthocybium solandri</x:v>
      </x:c>
      <x:c r="O68" s="32" t="n">
        <x:v>4.26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Acanthocybium solandri</x:v>
      </x:c>
      <x:c r="T68" s="32" t="n">
        <x:f>IF(O68="","",(1/'Metadata'!$B$5)^(O68-1))</x:f>
        <x:v>1819.7008586099826</x:v>
      </x:c>
      <x:c r="U68" s="31" t="n">
        <x:f>IF(T68="","",I68*T68)</x:f>
        <x:v>1418610.9755975585</x:v>
      </x:c>
    </x:row>
    <x:row r="69" ht="18" customHeight="1">
      <x:c r="A69" s="24" t="str">
        <x:v>EEZ_356</x:v>
      </x:c>
      <x:c r="B69" s="24" t="str">
        <x:v>India (mainland)</x:v>
      </x:c>
      <x:c r="C69" s="24" t="str">
        <x:v>EEZ</x:v>
      </x:c>
      <x:c r="D69" s="30" t="n">
        <x:v>2019</x:v>
      </x:c>
      <x:c r="E69" s="24" t="str">
        <x:v>Carcharhinus falciformis</x:v>
      </x:c>
      <x:c r="F69" s="24" t="str">
        <x:v>Silky shark</x:v>
      </x:c>
      <x:c r="G69" s="24" t="str">
        <x:v>Large sharks (&gt;=90 cm)</x:v>
      </x:c>
      <x:c r="H69" s="24" t="str">
        <x:v>Sharks &amp; rays</x:v>
      </x:c>
      <x:c r="I69" s="31" t="n">
        <x:v>650.0757936715</x:v>
      </x:c>
      <x:c r="J69" s="31" t="n">
        <x:v>650.0757936715</x:v>
      </x:c>
      <x:c r="K69" s="31" t="n">
        <x:v>0</x:v>
      </x:c>
      <x:c r="L69" s="31" t="n">
        <x:v>650.0757936715</x:v>
      </x:c>
      <x:c r="M69" s="31" t="n">
        <x:v>0</x:v>
      </x:c>
      <x:c r="N69" s="24" t="str">
        <x:v>carcharhinus falciformis</x:v>
      </x:c>
      <x:c r="O69" s="32" t="n">
        <x:v>4.51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Carcharhinus falciformis</x:v>
      </x:c>
      <x:c r="T69" s="32" t="n">
        <x:f>IF(O69="","",(1/'Metadata'!$B$5)^(O69-1))</x:f>
        <x:v>3235.936569296281</x:v>
      </x:c>
      <x:c r="U69" s="31" t="n">
        <x:f>IF(T69="","",I69*T69)</x:f>
        <x:v>2103604.033555911</x:v>
      </x:c>
    </x:row>
    <x:row r="70" ht="18" customHeight="1">
      <x:c r="A70" s="24" t="str">
        <x:v>EEZ_356</x:v>
      </x:c>
      <x:c r="B70" s="24" t="str">
        <x:v>India (mainland)</x:v>
      </x:c>
      <x:c r="C70" s="24" t="str">
        <x:v>EEZ</x:v>
      </x:c>
      <x:c r="D70" s="30" t="n">
        <x:v>2019</x:v>
      </x:c>
      <x:c r="E70" s="24" t="str">
        <x:v>Placuna placenta</x:v>
      </x:c>
      <x:c r="F70" s="24" t="str">
        <x:v>Windowpane oyster</x:v>
      </x:c>
      <x:c r="G70" s="24" t="str">
        <x:v>Other demersal invertebrates</x:v>
      </x:c>
      <x:c r="H70" s="24" t="str">
        <x:v>Molluscs</x:v>
      </x:c>
      <x:c r="I70" s="31" t="n">
        <x:v>646.620611142</x:v>
      </x:c>
      <x:c r="J70" s="31" t="n">
        <x:v>646.620611142</x:v>
      </x:c>
      <x:c r="K70" s="31" t="n">
        <x:v>0</x:v>
      </x:c>
      <x:c r="L70" s="31" t="n">
        <x:v>0</x:v>
      </x:c>
      <x:c r="M70" s="31" t="n">
        <x:v>646.620611142</x:v>
      </x:c>
      <x:c r="N70" s="24" t="str">
        <x:v>placuna placenta</x:v>
      </x:c>
      <x:c r="O70" s="32" t="n">
        <x:v>2.41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Placuna placenta</x:v>
      </x:c>
      <x:c r="T70" s="32" t="n">
        <x:f>IF(O70="","",(1/'Metadata'!$B$5)^(O70-1))</x:f>
        <x:v>25.703957827688647</x:v>
      </x:c>
      <x:c r="U70" s="31" t="n">
        <x:f>IF(T70="","",I70*T70)</x:f>
        <x:v>16620.70891930823</x:v>
      </x:c>
    </x:row>
    <x:row r="71" ht="18" customHeight="1">
      <x:c r="A71" s="24" t="str">
        <x:v>EEZ_356</x:v>
      </x:c>
      <x:c r="B71" s="24" t="str">
        <x:v>India (mainland)</x:v>
      </x:c>
      <x:c r="C71" s="24" t="str">
        <x:v>EEZ</x:v>
      </x:c>
      <x:c r="D71" s="30" t="n">
        <x:v>2019</x:v>
      </x:c>
      <x:c r="E71" s="24" t="str">
        <x:v>Balistidae</x:v>
      </x:c>
      <x:c r="F71" s="24" t="str">
        <x:v>Triggerfishes</x:v>
      </x:c>
      <x:c r="G71" s="24" t="str">
        <x:v>Medium reef assoc. fish (30 - 89 cm)</x:v>
      </x:c>
      <x:c r="H71" s="24" t="str">
        <x:v>Other fishes &amp; inverts</x:v>
      </x:c>
      <x:c r="I71" s="31" t="n">
        <x:v>565.1</x:v>
      </x:c>
      <x:c r="J71" s="31" t="n">
        <x:v>565.1</x:v>
      </x:c>
      <x:c r="K71" s="31" t="n">
        <x:v>0</x:v>
      </x:c>
      <x:c r="L71" s="31" t="n">
        <x:v>565.1</x:v>
      </x:c>
      <x:c r="M71" s="31" t="n">
        <x:v>0</x:v>
      </x:c>
      <x:c r="N71" s="24" t="str">
        <x:v>balistidae</x:v>
      </x:c>
      <x:c r="O71" s="32" t="n">
        <x:v>3.25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Balistidae</x:v>
      </x:c>
      <x:c r="T71" s="32" t="n">
        <x:f>IF(O71="","",(1/'Metadata'!$B$5)^(O71-1))</x:f>
        <x:v>177.82794100389228</x:v>
      </x:c>
      <x:c r="U71" s="31" t="n">
        <x:f>IF(T71="","",I71*T71)</x:f>
        <x:v>100490.56946129953</x:v>
      </x:c>
    </x:row>
    <x:row r="72" ht="18" customHeight="1">
      <x:c r="A72" s="24" t="str">
        <x:v>EEZ_356</x:v>
      </x:c>
      <x:c r="B72" s="24" t="str">
        <x:v>India (mainland)</x:v>
      </x:c>
      <x:c r="C72" s="24" t="str">
        <x:v>EEZ</x:v>
      </x:c>
      <x:c r="D72" s="30" t="n">
        <x:v>2019</x:v>
      </x:c>
      <x:c r="E72" s="24" t="str">
        <x:v>Xiphias gladius</x:v>
      </x:c>
      <x:c r="F72" s="24" t="str">
        <x:v>Swordfish</x:v>
      </x:c>
      <x:c r="G72" s="24" t="str">
        <x:v>Large pelagics (&gt;=90 cm)</x:v>
      </x:c>
      <x:c r="H72" s="24" t="str">
        <x:v>Tuna &amp; billfishes</x:v>
      </x:c>
      <x:c r="I72" s="31" t="n">
        <x:v>516.0959198542</x:v>
      </x:c>
      <x:c r="J72" s="31" t="n">
        <x:v>516.0959198542</x:v>
      </x:c>
      <x:c r="K72" s="31" t="n">
        <x:v>0</x:v>
      </x:c>
      <x:c r="L72" s="31" t="n">
        <x:v>516.0959198542</x:v>
      </x:c>
      <x:c r="M72" s="31" t="n">
        <x:v>0</x:v>
      </x:c>
      <x:c r="N72" s="24" t="str">
        <x:v>xiphias gladius</x:v>
      </x:c>
      <x:c r="O72" s="32" t="n">
        <x:v>4.53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Xiphias gladius</x:v>
      </x:c>
      <x:c r="T72" s="32" t="n">
        <x:f>IF(O72="","",(1/'Metadata'!$B$5)^(O72-1))</x:f>
        <x:v>3388.4415613920273</x:v>
      </x:c>
      <x:c r="U72" s="31" t="n">
        <x:f>IF(T72="","",I72*T72)</x:f>
        <x:v>1748760.8644988202</x:v>
      </x:c>
    </x:row>
    <x:row r="73" ht="18" customHeight="1">
      <x:c r="A73" s="24" t="str">
        <x:v>EEZ_356</x:v>
      </x:c>
      <x:c r="B73" s="24" t="str">
        <x:v>India (mainland)</x:v>
      </x:c>
      <x:c r="C73" s="24" t="str">
        <x:v>EEZ</x:v>
      </x:c>
      <x:c r="D73" s="30" t="n">
        <x:v>2019</x:v>
      </x:c>
      <x:c r="E73" s="24" t="str">
        <x:v>Coryphaena hippurus</x:v>
      </x:c>
      <x:c r="F73" s="24" t="str">
        <x:v>Common dolphinfish</x:v>
      </x:c>
      <x:c r="G73" s="24" t="str">
        <x:v>Large pelagics (&gt;=90 cm)</x:v>
      </x:c>
      <x:c r="H73" s="24" t="str">
        <x:v>Perch-likes</x:v>
      </x:c>
      <x:c r="I73" s="31" t="n">
        <x:v>478.1138116898</x:v>
      </x:c>
      <x:c r="J73" s="31" t="n">
        <x:v>478.1138116898</x:v>
      </x:c>
      <x:c r="K73" s="31" t="n">
        <x:v>0</x:v>
      </x:c>
      <x:c r="L73" s="31" t="n">
        <x:v>478.1138116898</x:v>
      </x:c>
      <x:c r="M73" s="31" t="n">
        <x:v>0</x:v>
      </x:c>
      <x:c r="N73" s="24" t="str">
        <x:v>coryphaena hippurus</x:v>
      </x:c>
      <x:c r="O73" s="32" t="n">
        <x:v>4.37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Coryphaena hippurus</x:v>
      </x:c>
      <x:c r="T73" s="32" t="n">
        <x:f>IF(O73="","",(1/'Metadata'!$B$5)^(O73-1))</x:f>
        <x:v>2344.228815319923</x:v>
      </x:c>
      <x:c r="U73" s="31" t="n">
        <x:f>IF(T73="","",I73*T73)</x:f>
        <x:v>1120808.1743656725</x:v>
      </x:c>
    </x:row>
    <x:row r="74" ht="18" customHeight="1">
      <x:c r="A74" s="24" t="str">
        <x:v>EEZ_356</x:v>
      </x:c>
      <x:c r="B74" s="24" t="str">
        <x:v>India (mainland)</x:v>
      </x:c>
      <x:c r="C74" s="24" t="str">
        <x:v>EEZ</x:v>
      </x:c>
      <x:c r="D74" s="30" t="n">
        <x:v>2019</x:v>
      </x:c>
      <x:c r="E74" s="24" t="str">
        <x:v>Chondrichthyes</x:v>
      </x:c>
      <x:c r="F74" s="24" t="str">
        <x:v>Sharks, rays, chimaeras</x:v>
      </x:c>
      <x:c r="G74" s="24" t="str">
        <x:v>Large sharks (&gt;=90 cm)</x:v>
      </x:c>
      <x:c r="H74" s="24" t="str">
        <x:v>Sharks &amp; rays</x:v>
      </x:c>
      <x:c r="I74" s="31" t="n">
        <x:v>407.93501537009996</x:v>
      </x:c>
      <x:c r="J74" s="31" t="n">
        <x:v>407.93501537009996</x:v>
      </x:c>
      <x:c r="K74" s="31" t="n">
        <x:v>0</x:v>
      </x:c>
      <x:c r="L74" s="31" t="n">
        <x:v>0</x:v>
      </x:c>
      <x:c r="M74" s="31" t="n">
        <x:v>407.93501537009996</x:v>
      </x:c>
      <x:c r="N74" s="24" t="str">
        <x:v>chondrichthyes</x:v>
      </x:c>
      <x:c r="O74" s="32" t="n">
        <x:v>4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Chondrichthyes</x:v>
      </x:c>
      <x:c r="T74" s="32" t="n">
        <x:f>IF(O74="","",(1/'Metadata'!$B$5)^(O74-1))</x:f>
        <x:v>1000</x:v>
      </x:c>
      <x:c r="U74" s="31" t="n">
        <x:f>IF(T74="","",I74*T74)</x:f>
        <x:v>407935.0153701</x:v>
      </x:c>
    </x:row>
    <x:row r="75" ht="18" customHeight="1">
      <x:c r="A75" s="24" t="str">
        <x:v>EEZ_356</x:v>
      </x:c>
      <x:c r="B75" s="24" t="str">
        <x:v>India (mainland)</x:v>
      </x:c>
      <x:c r="C75" s="24" t="str">
        <x:v>EEZ</x:v>
      </x:c>
      <x:c r="D75" s="30" t="n">
        <x:v>2019</x:v>
      </x:c>
      <x:c r="E75" s="24" t="str">
        <x:v>Selar crumenophthalmus</x:v>
      </x:c>
      <x:c r="F75" s="24" t="str">
        <x:v>Bigeye scad</x:v>
      </x:c>
      <x:c r="G75" s="24" t="str">
        <x:v>Medium pelagics (30 - 89 cm)</x:v>
      </x:c>
      <x:c r="H75" s="24" t="str">
        <x:v>Perch-likes</x:v>
      </x:c>
      <x:c r="I75" s="31" t="n">
        <x:v>381.9922056966</x:v>
      </x:c>
      <x:c r="J75" s="31" t="n">
        <x:v>381.9922056966</x:v>
      </x:c>
      <x:c r="K75" s="31" t="n">
        <x:v>0</x:v>
      </x:c>
      <x:c r="L75" s="31" t="n">
        <x:v>217.7863513625</x:v>
      </x:c>
      <x:c r="M75" s="31" t="n">
        <x:v>164.2058543341</x:v>
      </x:c>
      <x:c r="N75" s="24" t="str">
        <x:v>selar crumenophthalmus</x:v>
      </x:c>
      <x:c r="O75" s="32" t="n">
        <x:v>3.81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Selar crumenophthalmus</x:v>
      </x:c>
      <x:c r="T75" s="32" t="n">
        <x:f>IF(O75="","",(1/'Metadata'!$B$5)^(O75-1))</x:f>
        <x:v>645.6542290346556</x:v>
      </x:c>
      <x:c r="U75" s="31" t="n">
        <x:f>IF(T75="","",I75*T75)</x:f>
        <x:v>246634.88306628587</x:v>
      </x:c>
    </x:row>
    <x:row r="76" ht="18" customHeight="1">
      <x:c r="A76" s="24" t="str">
        <x:v>EEZ_356</x:v>
      </x:c>
      <x:c r="B76" s="24" t="str">
        <x:v>India (mainland)</x:v>
      </x:c>
      <x:c r="C76" s="24" t="str">
        <x:v>EEZ</x:v>
      </x:c>
      <x:c r="D76" s="30" t="n">
        <x:v>2019</x:v>
      </x:c>
      <x:c r="E76" s="24" t="str">
        <x:v>Cephea</x:v>
      </x:c>
      <x:c r="F76" s="24" t="str">
        <x:v>Cepheid jellyfishes</x:v>
      </x:c>
      <x:c r="G76" s="24" t="str">
        <x:v>Jellyfish</x:v>
      </x:c>
      <x:c r="H76" s="24" t="str">
        <x:v>Other fishes &amp; inverts</x:v>
      </x:c>
      <x:c r="I76" s="31" t="n">
        <x:v>372.5007521338</x:v>
      </x:c>
      <x:c r="J76" s="31" t="n">
        <x:v>372.5007521338</x:v>
      </x:c>
      <x:c r="K76" s="31" t="n">
        <x:v>0</x:v>
      </x:c>
      <x:c r="L76" s="31" t="n">
        <x:v>76.5077303281</x:v>
      </x:c>
      <x:c r="M76" s="31" t="n">
        <x:v>295.9930218057</x:v>
      </x:c>
      <x:c r="N76" s="24" t="str">
        <x:v>cephea</x:v>
      </x:c>
      <x:c r="O76" s="32" t="n">
        <x:v>3.46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Cephea</x:v>
      </x:c>
      <x:c r="T76" s="32" t="n">
        <x:f>IF(O76="","",(1/'Metadata'!$B$5)^(O76-1))</x:f>
        <x:v>288.40315031266056</x:v>
      </x:c>
      <x:c r="U76" s="31" t="n">
        <x:f>IF(T76="","",I76*T76)</x:f>
        <x:v>107430.39040922343</x:v>
      </x:c>
    </x:row>
    <x:row r="77" ht="18" customHeight="1">
      <x:c r="A77" s="24" t="str">
        <x:v>EEZ_356</x:v>
      </x:c>
      <x:c r="B77" s="24" t="str">
        <x:v>India (mainland)</x:v>
      </x:c>
      <x:c r="C77" s="24" t="str">
        <x:v>EEZ</x:v>
      </x:c>
      <x:c r="D77" s="30" t="n">
        <x:v>2019</x:v>
      </x:c>
      <x:c r="E77" s="24" t="str">
        <x:v>Thunnus alalunga</x:v>
      </x:c>
      <x:c r="F77" s="24" t="str">
        <x:v>Albacore</x:v>
      </x:c>
      <x:c r="G77" s="24" t="str">
        <x:v>Large pelagics (&gt;=90 cm)</x:v>
      </x:c>
      <x:c r="H77" s="24" t="str">
        <x:v>Tuna &amp; billfishes</x:v>
      </x:c>
      <x:c r="I77" s="31" t="n">
        <x:v>303.6050419594</x:v>
      </x:c>
      <x:c r="J77" s="31" t="n">
        <x:v>303.6050419594</x:v>
      </x:c>
      <x:c r="K77" s="31" t="n">
        <x:v>0</x:v>
      </x:c>
      <x:c r="L77" s="31" t="n">
        <x:v>303.6050419594</x:v>
      </x:c>
      <x:c r="M77" s="31" t="n">
        <x:v>0</x:v>
      </x:c>
      <x:c r="N77" s="24" t="str">
        <x:v>thunnus alalunga</x:v>
      </x:c>
      <x:c r="O77" s="32" t="n">
        <x:v>4.3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Thunnus alalunga</x:v>
      </x:c>
      <x:c r="T77" s="32" t="n">
        <x:f>IF(O77="","",(1/'Metadata'!$B$5)^(O77-1))</x:f>
        <x:v>1995.2623149688789</x:v>
      </x:c>
      <x:c r="U77" s="31" t="n">
        <x:f>IF(T77="","",I77*T77)</x:f>
        <x:v>605771.6988561361</x:v>
      </x:c>
    </x:row>
    <x:row r="78" ht="18" customHeight="1">
      <x:c r="A78" s="24" t="str">
        <x:v>EEZ_356</x:v>
      </x:c>
      <x:c r="B78" s="24" t="str">
        <x:v>India (mainland)</x:v>
      </x:c>
      <x:c r="C78" s="24" t="str">
        <x:v>EEZ</x:v>
      </x:c>
      <x:c r="D78" s="30" t="n">
        <x:v>2019</x:v>
      </x:c>
      <x:c r="E78" s="24" t="str">
        <x:v>Megalaspis cordyla</x:v>
      </x:c>
      <x:c r="F78" s="24" t="str">
        <x:v>Torpedo scad</x:v>
      </x:c>
      <x:c r="G78" s="24" t="str">
        <x:v>Medium pelagics (30 - 89 cm)</x:v>
      </x:c>
      <x:c r="H78" s="24" t="str">
        <x:v>Perch-likes</x:v>
      </x:c>
      <x:c r="I78" s="31" t="n">
        <x:v>244.57114950020002</x:v>
      </x:c>
      <x:c r="J78" s="31" t="n">
        <x:v>244.57114950020002</x:v>
      </x:c>
      <x:c r="K78" s="31" t="n">
        <x:v>0</x:v>
      </x:c>
      <x:c r="L78" s="31" t="n">
        <x:v>114.9112682608</x:v>
      </x:c>
      <x:c r="M78" s="31" t="n">
        <x:v>129.65988123940002</x:v>
      </x:c>
      <x:c r="N78" s="24" t="str">
        <x:v>megalaspis cordyla</x:v>
      </x:c>
      <x:c r="O78" s="32" t="n">
        <x:v>4.24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Megalaspis cordyla</x:v>
      </x:c>
      <x:c r="T78" s="32" t="n">
        <x:f>IF(O78="","",(1/'Metadata'!$B$5)^(O78-1))</x:f>
        <x:v>1737.8008287493763</x:v>
      </x:c>
      <x:c r="U78" s="31" t="n">
        <x:f>IF(T78="","",I78*T78)</x:f>
        <x:v>425015.9462896352</x:v>
      </x:c>
    </x:row>
    <x:row r="79" ht="18" customHeight="1">
      <x:c r="A79" s="24" t="str">
        <x:v>EEZ_356</x:v>
      </x:c>
      <x:c r="B79" s="24" t="str">
        <x:v>India (mainland)</x:v>
      </x:c>
      <x:c r="C79" s="24" t="str">
        <x:v>EEZ</x:v>
      </x:c>
      <x:c r="D79" s="30" t="n">
        <x:v>2019</x:v>
      </x:c>
      <x:c r="E79" s="24" t="str">
        <x:v>Loliginidae</x:v>
      </x:c>
      <x:c r="F79" s="24" t="str">
        <x:v>Common pencil squids</x:v>
      </x:c>
      <x:c r="G79" s="24" t="str">
        <x:v>Cephalopods</x:v>
      </x:c>
      <x:c r="H79" s="24" t="str">
        <x:v>Other fishes &amp; inverts</x:v>
      </x:c>
      <x:c r="I79" s="31" t="n">
        <x:v>243.2637388116</x:v>
      </x:c>
      <x:c r="J79" s="31" t="n">
        <x:v>243.2637388116</x:v>
      </x:c>
      <x:c r="K79" s="31" t="n">
        <x:v>0</x:v>
      </x:c>
      <x:c r="L79" s="31" t="n">
        <x:v>231.69344613200002</x:v>
      </x:c>
      <x:c r="M79" s="31" t="n">
        <x:v>11.5702926796</x:v>
      </x:c>
      <x:c r="N79" s="24" t="str">
        <x:v>loliginidae</x:v>
      </x:c>
      <x:c r="O79" s="32" t="n">
        <x:v>3.9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Loliginidae</x:v>
      </x:c>
      <x:c r="T79" s="32" t="n">
        <x:f>IF(O79="","",(1/'Metadata'!$B$5)^(O79-1))</x:f>
        <x:v>794.3282347242813</x:v>
      </x:c>
      <x:c r="U79" s="31" t="n">
        <x:f>IF(T79="","",I79*T79)</x:f>
        <x:v>193231.25622264686</x:v>
      </x:c>
    </x:row>
    <x:row r="80" ht="18" customHeight="1">
      <x:c r="A80" s="24" t="str">
        <x:v>EEZ_356</x:v>
      </x:c>
      <x:c r="B80" s="24" t="str">
        <x:v>India (mainland)</x:v>
      </x:c>
      <x:c r="C80" s="24" t="str">
        <x:v>EEZ</x:v>
      </x:c>
      <x:c r="D80" s="30" t="n">
        <x:v>2019</x:v>
      </x:c>
      <x:c r="E80" s="24" t="str">
        <x:v>Bregmaceros mcclellandi</x:v>
      </x:c>
      <x:c r="F80" s="24" t="str">
        <x:v>Unicorn cod</x:v>
      </x:c>
      <x:c r="G80" s="24" t="str">
        <x:v>Small pelagics (&lt;30 cm)</x:v>
      </x:c>
      <x:c r="H80" s="24" t="str">
        <x:v>Cod-likes</x:v>
      </x:c>
      <x:c r="I80" s="31" t="n">
        <x:v>228.4255138298</x:v>
      </x:c>
      <x:c r="J80" s="31" t="n">
        <x:v>224.4247627258</x:v>
      </x:c>
      <x:c r="K80" s="31" t="n">
        <x:v>4.000751104</x:v>
      </x:c>
      <x:c r="L80" s="31" t="n">
        <x:v>224.4247627258</x:v>
      </x:c>
      <x:c r="M80" s="31" t="n">
        <x:v>4.000751104</x:v>
      </x:c>
      <x:c r="N80" s="24" t="str">
        <x:v>bregmaceros mcclellandi</x:v>
      </x:c>
      <x:c r="O80" s="32" t="n">
        <x:v>3.3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Bregmaceros mcclellandi</x:v>
      </x:c>
      <x:c r="T80" s="32" t="n">
        <x:f>IF(O80="","",(1/'Metadata'!$B$5)^(O80-1))</x:f>
        <x:v>199.52623149688787</x:v>
      </x:c>
      <x:c r="U80" s="31" t="n">
        <x:f>IF(T80="","",I80*T80)</x:f>
        <x:v>45576.88195220024</x:v>
      </x:c>
    </x:row>
    <x:row r="81" ht="18" customHeight="1">
      <x:c r="A81" s="24" t="str">
        <x:v>EEZ_356</x:v>
      </x:c>
      <x:c r="B81" s="24" t="str">
        <x:v>India (mainland)</x:v>
      </x:c>
      <x:c r="C81" s="24" t="str">
        <x:v>EEZ</x:v>
      </x:c>
      <x:c r="D81" s="30" t="n">
        <x:v>2019</x:v>
      </x:c>
      <x:c r="E81" s="24" t="str">
        <x:v>Sardinella</x:v>
      </x:c>
      <x:c r="F81" s="24" t="str">
        <x:v>Sardinellas</x:v>
      </x:c>
      <x:c r="G81" s="24" t="str">
        <x:v>Small pelagics (&lt;30 cm)</x:v>
      </x:c>
      <x:c r="H81" s="24" t="str">
        <x:v>Herring-likes</x:v>
      </x:c>
      <x:c r="I81" s="31" t="n">
        <x:v>226.31573959419998</x:v>
      </x:c>
      <x:c r="J81" s="31" t="n">
        <x:v>226.31573959419998</x:v>
      </x:c>
      <x:c r="K81" s="31" t="n">
        <x:v>0</x:v>
      </x:c>
      <x:c r="L81" s="31" t="n">
        <x:v>166.98491907899998</x:v>
      </x:c>
      <x:c r="M81" s="31" t="n">
        <x:v>59.3308205152</x:v>
      </x:c>
      <x:c r="N81" s="24" t="str">
        <x:v>sardinella</x:v>
      </x:c>
      <x:c r="O81" s="32" t="n">
        <x:v>2.77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Sardinella</x:v>
      </x:c>
      <x:c r="T81" s="32" t="n">
        <x:f>IF(O81="","",(1/'Metadata'!$B$5)^(O81-1))</x:f>
        <x:v>58.8843655355589</x:v>
      </x:c>
      <x:c r="U81" s="31" t="n">
        <x:f>IF(T81="","",I81*T81)</x:f>
        <x:v>13326.458736715233</x:v>
      </x:c>
    </x:row>
    <x:row r="82" ht="18" customHeight="1">
      <x:c r="A82" s="24" t="str">
        <x:v>EEZ_356</x:v>
      </x:c>
      <x:c r="B82" s="24" t="str">
        <x:v>India (mainland)</x:v>
      </x:c>
      <x:c r="C82" s="24" t="str">
        <x:v>EEZ</x:v>
      </x:c>
      <x:c r="D82" s="30" t="n">
        <x:v>2019</x:v>
      </x:c>
      <x:c r="E82" s="24" t="str">
        <x:v>Auxis thazard</x:v>
      </x:c>
      <x:c r="F82" s="24" t="str">
        <x:v>Frigate tuna</x:v>
      </x:c>
      <x:c r="G82" s="24" t="str">
        <x:v>Medium pelagics (30 - 89 cm)</x:v>
      </x:c>
      <x:c r="H82" s="24" t="str">
        <x:v>Tuna &amp; billfishes</x:v>
      </x:c>
      <x:c r="I82" s="31" t="n">
        <x:v>218.49132869390002</x:v>
      </x:c>
      <x:c r="J82" s="31" t="n">
        <x:v>218.49132869390002</x:v>
      </x:c>
      <x:c r="K82" s="31" t="n">
        <x:v>0</x:v>
      </x:c>
      <x:c r="L82" s="31" t="n">
        <x:v>218.49132869390002</x:v>
      </x:c>
      <x:c r="M82" s="31" t="n">
        <x:v>0</x:v>
      </x:c>
      <x:c r="N82" s="24" t="str">
        <x:v>auxis thazard</x:v>
      </x:c>
      <x:c r="O82" s="32" t="n">
        <x:v>4.37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Auxis thazard</x:v>
      </x:c>
      <x:c r="T82" s="32" t="n">
        <x:f>IF(O82="","",(1/'Metadata'!$B$5)^(O82-1))</x:f>
        <x:v>2344.228815319923</x:v>
      </x:c>
      <x:c r="U82" s="31" t="n">
        <x:f>IF(T82="","",I82*T82)</x:f>
        <x:v>512193.6686217771</x:v>
      </x:c>
    </x:row>
    <x:row r="83" ht="18" customHeight="1">
      <x:c r="A83" s="24" t="str">
        <x:v>EEZ_356</x:v>
      </x:c>
      <x:c r="B83" s="24" t="str">
        <x:v>India (mainland)</x:v>
      </x:c>
      <x:c r="C83" s="24" t="str">
        <x:v>EEZ</x:v>
      </x:c>
      <x:c r="D83" s="30" t="n">
        <x:v>2019</x:v>
      </x:c>
      <x:c r="E83" s="24" t="str">
        <x:v>Marine pelagic fishes not identified</x:v>
      </x:c>
      <x:c r="F83" s="24" t="str">
        <x:v>Pelagic fishes</x:v>
      </x:c>
      <x:c r="G83" s="24" t="str">
        <x:v>Medium pelagics (30 - 89 cm)</x:v>
      </x:c>
      <x:c r="H83" s="24" t="str">
        <x:v>Other fishes &amp; inverts</x:v>
      </x:c>
      <x:c r="I83" s="31" t="n">
        <x:v>214.7460559852</x:v>
      </x:c>
      <x:c r="J83" s="31" t="n">
        <x:v>214.7460559852</x:v>
      </x:c>
      <x:c r="K83" s="31" t="n">
        <x:v>0</x:v>
      </x:c>
      <x:c r="L83" s="31" t="n">
        <x:v>214.7460559852</x:v>
      </x:c>
      <x:c r="M83" s="31" t="n">
        <x:v>0</x:v>
      </x:c>
      <x:c r="N83" s="24" t="str">
        <x:v>marine pelagic fishes not identified</x:v>
      </x:c>
      <x:c r="O83" s="32" t="n">
        <x:v>3.35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Marine pelagic fishes not identified</x:v>
      </x:c>
      <x:c r="T83" s="32" t="n">
        <x:f>IF(O83="","",(1/'Metadata'!$B$5)^(O83-1))</x:f>
        <x:v>223.872113856834</x:v>
      </x:c>
      <x:c r="U83" s="31" t="n">
        <x:f>IF(T83="","",I83*T83)</x:f>
        <x:v>48075.65349582474</x:v>
      </x:c>
    </x:row>
    <x:row r="84" ht="18" customHeight="1">
      <x:c r="A84" s="24" t="str">
        <x:v>EEZ_356</x:v>
      </x:c>
      <x:c r="B84" s="24" t="str">
        <x:v>India (mainland)</x:v>
      </x:c>
      <x:c r="C84" s="24" t="str">
        <x:v>EEZ</x:v>
      </x:c>
      <x:c r="D84" s="30" t="n">
        <x:v>2019</x:v>
      </x:c>
      <x:c r="E84" s="24" t="str">
        <x:v>Sphyrna</x:v>
      </x:c>
      <x:c r="F84" s="24" t="str">
        <x:v>Hammerhead sharks</x:v>
      </x:c>
      <x:c r="G84" s="24" t="str">
        <x:v>Large sharks (&gt;=90 cm)</x:v>
      </x:c>
      <x:c r="H84" s="24" t="str">
        <x:v>Sharks &amp; rays</x:v>
      </x:c>
      <x:c r="I84" s="31" t="n">
        <x:v>213.9717819032</x:v>
      </x:c>
      <x:c r="J84" s="31" t="n">
        <x:v>213.9717819032</x:v>
      </x:c>
      <x:c r="K84" s="31" t="n">
        <x:v>0</x:v>
      </x:c>
      <x:c r="L84" s="31" t="n">
        <x:v>213.9717819032</x:v>
      </x:c>
      <x:c r="M84" s="31" t="n">
        <x:v>0</x:v>
      </x:c>
      <x:c r="N84" s="24" t="str">
        <x:v>sphyrna</x:v>
      </x:c>
      <x:c r="O84" s="32" t="n">
        <x:v>4.2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Sphyrna</x:v>
      </x:c>
      <x:c r="T84" s="32" t="n">
        <x:f>IF(O84="","",(1/'Metadata'!$B$5)^(O84-1))</x:f>
        <x:v>1584.893192461114</x:v>
      </x:c>
      <x:c r="U84" s="31" t="n">
        <x:f>IF(T84="","",I84*T84)</x:f>
        <x:v>339122.42051715584</x:v>
      </x:c>
    </x:row>
    <x:row r="85" ht="18" customHeight="1">
      <x:c r="A85" s="24" t="str">
        <x:v>EEZ_356</x:v>
      </x:c>
      <x:c r="B85" s="24" t="str">
        <x:v>India (mainland)</x:v>
      </x:c>
      <x:c r="C85" s="24" t="str">
        <x:v>EEZ</x:v>
      </x:c>
      <x:c r="D85" s="30" t="n">
        <x:v>2019</x:v>
      </x:c>
      <x:c r="E85" s="24" t="str">
        <x:v>Platycephalidae</x:v>
      </x:c>
      <x:c r="F85" s="24" t="str">
        <x:v>Flatheads</x:v>
      </x:c>
      <x:c r="G85" s="24" t="str">
        <x:v>Medium demersals (30 - 89 cm)</x:v>
      </x:c>
      <x:c r="H85" s="24" t="str">
        <x:v>Scorpionfishes</x:v>
      </x:c>
      <x:c r="I85" s="31" t="n">
        <x:v>190.26734009979998</x:v>
      </x:c>
      <x:c r="J85" s="31" t="n">
        <x:v>155.0252687561</x:v>
      </x:c>
      <x:c r="K85" s="31" t="n">
        <x:v>35.2420713437</x:v>
      </x:c>
      <x:c r="L85" s="31" t="n">
        <x:v>149.2468736865</x:v>
      </x:c>
      <x:c r="M85" s="31" t="n">
        <x:v>41.0204664133</x:v>
      </x:c>
      <x:c r="N85" s="24" t="str">
        <x:v>platycephalidae</x:v>
      </x:c>
      <x:c r="O85" s="32" t="n">
        <x:v>3.9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Platycephalidae</x:v>
      </x:c>
      <x:c r="T85" s="32" t="n">
        <x:f>IF(O85="","",(1/'Metadata'!$B$5)^(O85-1))</x:f>
        <x:v>794.3282347242813</x:v>
      </x:c>
      <x:c r="U85" s="31" t="n">
        <x:f>IF(T85="","",I85*T85)</x:f>
        <x:v>151134.72038715857</x:v>
      </x:c>
    </x:row>
    <x:row r="86" ht="18" customHeight="1">
      <x:c r="A86" s="24" t="str">
        <x:v>EEZ_356</x:v>
      </x:c>
      <x:c r="B86" s="24" t="str">
        <x:v>India (mainland)</x:v>
      </x:c>
      <x:c r="C86" s="24" t="str">
        <x:v>EEZ</x:v>
      </x:c>
      <x:c r="D86" s="30" t="n">
        <x:v>2019</x:v>
      </x:c>
      <x:c r="E86" s="24" t="str">
        <x:v>Carcharhinidae</x:v>
      </x:c>
      <x:c r="F86" s="24" t="str">
        <x:v>Requiem sharks</x:v>
      </x:c>
      <x:c r="G86" s="24" t="str">
        <x:v>Large sharks (&gt;=90 cm)</x:v>
      </x:c>
      <x:c r="H86" s="24" t="str">
        <x:v>Sharks &amp; rays</x:v>
      </x:c>
      <x:c r="I86" s="31" t="n">
        <x:v>185.85281782479998</x:v>
      </x:c>
      <x:c r="J86" s="31" t="n">
        <x:v>185.85281782479998</x:v>
      </x:c>
      <x:c r="K86" s="31" t="n">
        <x:v>0</x:v>
      </x:c>
      <x:c r="L86" s="31" t="n">
        <x:v>185.85281782479998</x:v>
      </x:c>
      <x:c r="M86" s="31" t="n">
        <x:v>0</x:v>
      </x:c>
      <x:c r="N86" s="24" t="str">
        <x:v>carcharhinidae</x:v>
      </x:c>
      <x:c r="O86" s="32" t="n">
        <x:v>4.24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Carcharhinidae</x:v>
      </x:c>
      <x:c r="T86" s="32" t="n">
        <x:f>IF(O86="","",(1/'Metadata'!$B$5)^(O86-1))</x:f>
        <x:v>1737.8008287493763</x:v>
      </x:c>
      <x:c r="U86" s="31" t="n">
        <x:f>IF(T86="","",I86*T86)</x:f>
        <x:v>322975.18084134423</x:v>
      </x:c>
    </x:row>
    <x:row r="87" ht="18" customHeight="1">
      <x:c r="A87" s="24" t="str">
        <x:v>EEZ_356</x:v>
      </x:c>
      <x:c r="B87" s="24" t="str">
        <x:v>India (mainland)</x:v>
      </x:c>
      <x:c r="C87" s="24" t="str">
        <x:v>EEZ</x:v>
      </x:c>
      <x:c r="D87" s="30" t="n">
        <x:v>2019</x:v>
      </x:c>
      <x:c r="E87" s="24" t="str">
        <x:v>Saurida</x:v>
      </x:c>
      <x:c r="F87" s="24" t="str">
        <x:v>Lizardfishes</x:v>
      </x:c>
      <x:c r="G87" s="24" t="str">
        <x:v>Medium demersals (30 - 89 cm)</x:v>
      </x:c>
      <x:c r="H87" s="24" t="str">
        <x:v>Other fishes &amp; inverts</x:v>
      </x:c>
      <x:c r="I87" s="31" t="n">
        <x:v>175.9201811698</x:v>
      </x:c>
      <x:c r="J87" s="31" t="n">
        <x:v>175.9201811698</x:v>
      </x:c>
      <x:c r="K87" s="31" t="n">
        <x:v>0</x:v>
      </x:c>
      <x:c r="L87" s="31" t="n">
        <x:v>164.6774638931</x:v>
      </x:c>
      <x:c r="M87" s="31" t="n">
        <x:v>11.2427172767</x:v>
      </x:c>
      <x:c r="N87" s="24" t="str">
        <x:v>saurida</x:v>
      </x:c>
      <x:c r="O87" s="32" t="n">
        <x:v>4.35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Saurida</x:v>
      </x:c>
      <x:c r="T87" s="32" t="n">
        <x:f>IF(O87="","",(1/'Metadata'!$B$5)^(O87-1))</x:f>
        <x:v>2238.7211385683377</x:v>
      </x:c>
      <x:c r="U87" s="31" t="n">
        <x:f>IF(T87="","",I87*T87)</x:f>
        <x:v>393836.2282856029</x:v>
      </x:c>
    </x:row>
    <x:row r="88" ht="18" customHeight="1">
      <x:c r="A88" s="24" t="str">
        <x:v>EEZ_356</x:v>
      </x:c>
      <x:c r="B88" s="24" t="str">
        <x:v>India (mainland)</x:v>
      </x:c>
      <x:c r="C88" s="24" t="str">
        <x:v>EEZ</x:v>
      </x:c>
      <x:c r="D88" s="30" t="n">
        <x:v>2019</x:v>
      </x:c>
      <x:c r="E88" s="24" t="str">
        <x:v>Istiompax indica</x:v>
      </x:c>
      <x:c r="F88" s="24" t="str">
        <x:v>Black marlin</x:v>
      </x:c>
      <x:c r="G88" s="24" t="str">
        <x:v>Large pelagics (&gt;=90 cm)</x:v>
      </x:c>
      <x:c r="H88" s="24" t="str">
        <x:v>Tuna &amp; billfishes</x:v>
      </x:c>
      <x:c r="I88" s="31" t="n">
        <x:v>163.4547924935</x:v>
      </x:c>
      <x:c r="J88" s="31" t="n">
        <x:v>163.4547924935</x:v>
      </x:c>
      <x:c r="K88" s="31" t="n">
        <x:v>0</x:v>
      </x:c>
      <x:c r="L88" s="31" t="n">
        <x:v>163.4547924935</x:v>
      </x:c>
      <x:c r="M88" s="31" t="n">
        <x:v>0</x:v>
      </x:c>
      <x:c r="N88" s="24" t="str">
        <x:v>istiompax indica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Istiompax indica</x:v>
      </x:c>
      <x:c r="T88" s="32" t="n">
        <x:f>IF(O88="","",(1/'Metadata'!$B$5)^(O88-1))</x:f>
        <x:v>3162.2776601683795</x:v>
      </x:c>
      <x:c r="U88" s="31" t="n">
        <x:f>IF(T88="","",I88*T88)</x:f>
        <x:v>516889.4387496532</x:v>
      </x:c>
    </x:row>
    <x:row r="89" ht="18" customHeight="1">
      <x:c r="A89" s="24" t="str">
        <x:v>EEZ_356</x:v>
      </x:c>
      <x:c r="B89" s="24" t="str">
        <x:v>India (mainland)</x:v>
      </x:c>
      <x:c r="C89" s="24" t="str">
        <x:v>EEZ</x:v>
      </x:c>
      <x:c r="D89" s="30" t="n">
        <x:v>2019</x:v>
      </x:c>
      <x:c r="E89" s="24" t="str">
        <x:v>Caranx</x:v>
      </x:c>
      <x:c r="F89" s="24" t="str">
        <x:v>Jacks</x:v>
      </x:c>
      <x:c r="G89" s="24" t="str">
        <x:v>Medium reef assoc. fish (30 - 89 cm)</x:v>
      </x:c>
      <x:c r="H89" s="24" t="str">
        <x:v>Perch-likes</x:v>
      </x:c>
      <x:c r="I89" s="31" t="n">
        <x:v>163.01218063400003</x:v>
      </x:c>
      <x:c r="J89" s="31" t="n">
        <x:v>163.01218063400003</x:v>
      </x:c>
      <x:c r="K89" s="31" t="n">
        <x:v>0</x:v>
      </x:c>
      <x:c r="L89" s="31" t="n">
        <x:v>163.01218063400003</x:v>
      </x:c>
      <x:c r="M89" s="31" t="n">
        <x:v>0</x:v>
      </x:c>
      <x:c r="N89" s="24" t="str">
        <x:v>caranx</x:v>
      </x:c>
      <x:c r="O89" s="32" t="n">
        <x:v>4.12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Caranx</x:v>
      </x:c>
      <x:c r="T89" s="32" t="n">
        <x:f>IF(O89="","",(1/'Metadata'!$B$5)^(O89-1))</x:f>
        <x:v>1318.2567385564075</x:v>
      </x:c>
      <x:c r="U89" s="31" t="n">
        <x:f>IF(T89="","",I89*T89)</x:f>
        <x:v>214891.90558754487</x:v>
      </x:c>
    </x:row>
    <x:row r="90" ht="18" customHeight="1">
      <x:c r="A90" s="24" t="str">
        <x:v>EEZ_356</x:v>
      </x:c>
      <x:c r="B90" s="24" t="str">
        <x:v>India (mainland)</x:v>
      </x:c>
      <x:c r="C90" s="24" t="str">
        <x:v>EEZ</x:v>
      </x:c>
      <x:c r="D90" s="30" t="n">
        <x:v>2019</x:v>
      </x:c>
      <x:c r="E90" s="24" t="str">
        <x:v>Istiophorus platypterus</x:v>
      </x:c>
      <x:c r="F90" s="24" t="str">
        <x:v>Indo-Pacific sailfish</x:v>
      </x:c>
      <x:c r="G90" s="24" t="str">
        <x:v>Large pelagics (&gt;=90 cm)</x:v>
      </x:c>
      <x:c r="H90" s="24" t="str">
        <x:v>Tuna &amp; billfishes</x:v>
      </x:c>
      <x:c r="I90" s="31" t="n">
        <x:v>159.4656047547</x:v>
      </x:c>
      <x:c r="J90" s="31" t="n">
        <x:v>159.4656047547</x:v>
      </x:c>
      <x:c r="K90" s="31" t="n">
        <x:v>0</x:v>
      </x:c>
      <x:c r="L90" s="31" t="n">
        <x:v>159.4656047547</x:v>
      </x:c>
      <x:c r="M90" s="31" t="n">
        <x:v>0</x:v>
      </x:c>
      <x:c r="N90" s="24" t="str">
        <x:v>istiophorus platypterus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Istiophorus platypterus</x:v>
      </x:c>
      <x:c r="T90" s="32" t="n">
        <x:f>IF(O90="","",(1/'Metadata'!$B$5)^(O90-1))</x:f>
        <x:v>3162.2776601683795</x:v>
      </x:c>
      <x:c r="U90" s="31" t="n">
        <x:f>IF(T90="","",I90*T90)</x:f>
        <x:v>504274.5194810283</x:v>
      </x:c>
    </x:row>
    <x:row r="91" ht="18" customHeight="1">
      <x:c r="A91" s="24" t="str">
        <x:v>EEZ_356</x:v>
      </x:c>
      <x:c r="B91" s="24" t="str">
        <x:v>India (mainland)</x:v>
      </x:c>
      <x:c r="C91" s="24" t="str">
        <x:v>EEZ</x:v>
      </x:c>
      <x:c r="D91" s="30" t="n">
        <x:v>2019</x:v>
      </x:c>
      <x:c r="E91" s="24" t="str">
        <x:v>Portunus pelagicus</x:v>
      </x:c>
      <x:c r="F91" s="24" t="str">
        <x:v>Blue swimming crab</x:v>
      </x:c>
      <x:c r="G91" s="24" t="str">
        <x:v>Lobsters, crabs</x:v>
      </x:c>
      <x:c r="H91" s="24" t="str">
        <x:v>Crustaceans</x:v>
      </x:c>
      <x:c r="I91" s="31" t="n">
        <x:v>147.6832358581</x:v>
      </x:c>
      <x:c r="J91" s="31" t="n">
        <x:v>147.6832358581</x:v>
      </x:c>
      <x:c r="K91" s="31" t="n">
        <x:v>0</x:v>
      </x:c>
      <x:c r="L91" s="31" t="n">
        <x:v>112.4416675753</x:v>
      </x:c>
      <x:c r="M91" s="31" t="n">
        <x:v>35.2415682828</x:v>
      </x:c>
      <x:c r="N91" s="24" t="str">
        <x:v>portunus pelagicus</x:v>
      </x:c>
      <x:c r="O91" s="32" t="n">
        <x:v>2.48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Portunus pelagicus</x:v>
      </x:c>
      <x:c r="T91" s="32" t="n">
        <x:f>IF(O91="","",(1/'Metadata'!$B$5)^(O91-1))</x:f>
        <x:v>30.19951720402016</x:v>
      </x:c>
      <x:c r="U91" s="31" t="n">
        <x:f>IF(T91="","",I91*T91)</x:f>
        <x:v>4459.962422042058</x:v>
      </x:c>
    </x:row>
    <x:row r="92" ht="18" customHeight="1">
      <x:c r="A92" s="24" t="str">
        <x:v>EEZ_356</x:v>
      </x:c>
      <x:c r="B92" s="24" t="str">
        <x:v>India (mainland)</x:v>
      </x:c>
      <x:c r="C92" s="24" t="str">
        <x:v>EEZ</x:v>
      </x:c>
      <x:c r="D92" s="30" t="n">
        <x:v>2019</x:v>
      </x:c>
      <x:c r="E92" s="24" t="str">
        <x:v>Pleuronectiformes</x:v>
      </x:c>
      <x:c r="F92" s="24" t="str">
        <x:v>Flatfishes</x:v>
      </x:c>
      <x:c r="G92" s="24" t="str">
        <x:v>Small to medium flatfishes (&lt;90 cm)</x:v>
      </x:c>
      <x:c r="H92" s="24" t="str">
        <x:v>Flatfishes</x:v>
      </x:c>
      <x:c r="I92" s="31" t="n">
        <x:v>140.813973871</x:v>
      </x:c>
      <x:c r="J92" s="31" t="n">
        <x:v>138.506987255</x:v>
      </x:c>
      <x:c r="K92" s="31" t="n">
        <x:v>2.3069866159999997</x:v>
      </x:c>
      <x:c r="L92" s="31" t="n">
        <x:v>131.3161523259</x:v>
      </x:c>
      <x:c r="M92" s="31" t="n">
        <x:v>9.497821545099999</x:v>
      </x:c>
      <x:c r="N92" s="24" t="str">
        <x:v>pleuronectiformes</x:v>
      </x:c>
      <x:c r="O92" s="32" t="n">
        <x:v>3.57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Pleuronectiformes</x:v>
      </x:c>
      <x:c r="T92" s="32" t="n">
        <x:f>IF(O92="","",(1/'Metadata'!$B$5)^(O92-1))</x:f>
        <x:v>371.5352290971724</x:v>
      </x:c>
      <x:c r="U92" s="31" t="n">
        <x:f>IF(T92="","",I92*T92)</x:f>
        <x:v>52317.352042245235</x:v>
      </x:c>
    </x:row>
    <x:row r="93" ht="18" customHeight="1">
      <x:c r="A93" s="24" t="str">
        <x:v>EEZ_356</x:v>
      </x:c>
      <x:c r="B93" s="24" t="str">
        <x:v>India (mainland)</x:v>
      </x:c>
      <x:c r="C93" s="24" t="str">
        <x:v>EEZ</x:v>
      </x:c>
      <x:c r="D93" s="30" t="n">
        <x:v>2019</x:v>
      </x:c>
      <x:c r="E93" s="24" t="str">
        <x:v>Trichiurus lepturus</x:v>
      </x:c>
      <x:c r="F93" s="24" t="str">
        <x:v>Largehead hairtail</x:v>
      </x:c>
      <x:c r="G93" s="24" t="str">
        <x:v>Large benthopelagics (&gt;=90 cm)</x:v>
      </x:c>
      <x:c r="H93" s="24" t="str">
        <x:v>Perch-likes</x:v>
      </x:c>
      <x:c r="I93" s="31" t="n">
        <x:v>134.4536989126</x:v>
      </x:c>
      <x:c r="J93" s="31" t="n">
        <x:v>134.4536989126</x:v>
      </x:c>
      <x:c r="K93" s="31" t="n">
        <x:v>0</x:v>
      </x:c>
      <x:c r="L93" s="31" t="n">
        <x:v>131.7537115393</x:v>
      </x:c>
      <x:c r="M93" s="31" t="n">
        <x:v>2.6999873733000004</x:v>
      </x:c>
      <x:c r="N93" s="24" t="str">
        <x:v>trichiurus lepturus</x:v>
      </x:c>
      <x:c r="O93" s="32" t="n">
        <x:v>4.42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Trichiurus lepturus</x:v>
      </x:c>
      <x:c r="T93" s="32" t="n">
        <x:f>IF(O93="","",(1/'Metadata'!$B$5)^(O93-1))</x:f>
        <x:v>2630.2679918953813</x:v>
      </x:c>
      <x:c r="U93" s="31" t="n">
        <x:f>IF(T93="","",I93*T93)</x:f>
        <x:v>353649.26064175065</x:v>
      </x:c>
    </x:row>
    <x:row r="94" ht="18" customHeight="1">
      <x:c r="A94" s="24" t="str">
        <x:v>EEZ_356</x:v>
      </x:c>
      <x:c r="B94" s="24" t="str">
        <x:v>India (mainland)</x:v>
      </x:c>
      <x:c r="C94" s="24" t="str">
        <x:v>EEZ</x:v>
      </x:c>
      <x:c r="D94" s="30" t="n">
        <x:v>2019</x:v>
      </x:c>
      <x:c r="E94" s="24" t="str">
        <x:v>Auxis rochei</x:v>
      </x:c>
      <x:c r="F94" s="24" t="str">
        <x:v>Bullet tuna</x:v>
      </x:c>
      <x:c r="G94" s="24" t="str">
        <x:v>Medium pelagics (30 - 89 cm)</x:v>
      </x:c>
      <x:c r="H94" s="24" t="str">
        <x:v>Tuna &amp; billfishes</x:v>
      </x:c>
      <x:c r="I94" s="31" t="n">
        <x:v>131.3702121737</x:v>
      </x:c>
      <x:c r="J94" s="31" t="n">
        <x:v>131.3702121737</x:v>
      </x:c>
      <x:c r="K94" s="31" t="n">
        <x:v>0</x:v>
      </x:c>
      <x:c r="L94" s="31" t="n">
        <x:v>131.3702121737</x:v>
      </x:c>
      <x:c r="M94" s="31" t="n">
        <x:v>0</x:v>
      </x:c>
      <x:c r="N94" s="24" t="str">
        <x:v>auxis rochei</x:v>
      </x:c>
      <x:c r="O94" s="32" t="n">
        <x:v>4.13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Auxis rochei</x:v>
      </x:c>
      <x:c r="T94" s="32" t="n">
        <x:f>IF(O94="","",(1/'Metadata'!$B$5)^(O94-1))</x:f>
        <x:v>1348.9628825916532</x:v>
      </x:c>
      <x:c r="U94" s="31" t="n">
        <x:f>IF(T94="","",I94*T94)</x:f>
        <x:v>177213.54010051143</x:v>
      </x:c>
    </x:row>
    <x:row r="95" ht="18" customHeight="1">
      <x:c r="A95" s="24" t="str">
        <x:v>EEZ_356</x:v>
      </x:c>
      <x:c r="B95" s="24" t="str">
        <x:v>India (mainland)</x:v>
      </x:c>
      <x:c r="C95" s="24" t="str">
        <x:v>EEZ</x:v>
      </x:c>
      <x:c r="D95" s="30" t="n">
        <x:v>2019</x:v>
      </x:c>
      <x:c r="E95" s="24" t="str">
        <x:v>Scomberomorus</x:v>
      </x:c>
      <x:c r="F95" s="24" t="str">
        <x:v>Spanish mackerels</x:v>
      </x:c>
      <x:c r="G95" s="24" t="str">
        <x:v>Large pelagics (&gt;=90 cm)</x:v>
      </x:c>
      <x:c r="H95" s="24" t="str">
        <x:v>Perch-likes</x:v>
      </x:c>
      <x:c r="I95" s="31" t="n">
        <x:v>126.3143580135</x:v>
      </x:c>
      <x:c r="J95" s="31" t="n">
        <x:v>126.3143580135</x:v>
      </x:c>
      <x:c r="K95" s="31" t="n">
        <x:v>0</x:v>
      </x:c>
      <x:c r="L95" s="31" t="n">
        <x:v>115.1924024953</x:v>
      </x:c>
      <x:c r="M95" s="31" t="n">
        <x:v>11.1219555182</x:v>
      </x:c>
      <x:c r="N95" s="24" t="str">
        <x:v>scomberomorus</x:v>
      </x:c>
      <x:c r="O95" s="32" t="n">
        <x:v>4.35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Scomberomorus</x:v>
      </x:c>
      <x:c r="T95" s="32" t="n">
        <x:f>IF(O95="","",(1/'Metadata'!$B$5)^(O95-1))</x:f>
        <x:v>2238.7211385683377</x:v>
      </x:c>
      <x:c r="U95" s="31" t="n">
        <x:f>IF(T95="","",I95*T95)</x:f>
        <x:v>282782.62338951137</x:v>
      </x:c>
    </x:row>
    <x:row r="96" ht="18" customHeight="1">
      <x:c r="A96" s="24" t="str">
        <x:v>EEZ_356</x:v>
      </x:c>
      <x:c r="B96" s="24" t="str">
        <x:v>India (mainland)</x:v>
      </x:c>
      <x:c r="C96" s="24" t="str">
        <x:v>EEZ</x:v>
      </x:c>
      <x:c r="D96" s="30" t="n">
        <x:v>2019</x:v>
      </x:c>
      <x:c r="E96" s="24" t="str">
        <x:v>Bohadschia marmorata</x:v>
      </x:c>
      <x:c r="F96" s="24" t="str">
        <x:v>Chalky cucumber</x:v>
      </x:c>
      <x:c r="G96" s="24" t="str">
        <x:v>Other demersal invertebrates</x:v>
      </x:c>
      <x:c r="H96" s="24" t="str">
        <x:v>Other fishes &amp; inverts</x:v>
      </x:c>
      <x:c r="I96" s="31" t="n">
        <x:v>117.5</x:v>
      </x:c>
      <x:c r="J96" s="31" t="n">
        <x:v>117.5</x:v>
      </x:c>
      <x:c r="K96" s="31" t="n">
        <x:v>0</x:v>
      </x:c>
      <x:c r="L96" s="31" t="n">
        <x:v>117.5</x:v>
      </x:c>
      <x:c r="M96" s="31" t="n">
        <x:v>0</x:v>
      </x:c>
      <x:c r="N96" s="24" t="str">
        <x:v>bohadschia marmorata</x:v>
      </x:c>
      <x:c r="O96" s="32" t="n">
        <x:v>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Bohadschia marmorata</x:v>
      </x:c>
      <x:c r="T96" s="32" t="n">
        <x:f>IF(O96="","",(1/'Metadata'!$B$5)^(O96-1))</x:f>
        <x:v>10</x:v>
      </x:c>
      <x:c r="U96" s="31" t="n">
        <x:f>IF(T96="","",I96*T96)</x:f>
        <x:v>1175</x:v>
      </x:c>
    </x:row>
    <x:row r="97" ht="18" customHeight="1">
      <x:c r="A97" s="24" t="str">
        <x:v>EEZ_356</x:v>
      </x:c>
      <x:c r="B97" s="24" t="str">
        <x:v>India (mainland)</x:v>
      </x:c>
      <x:c r="C97" s="24" t="str">
        <x:v>EEZ</x:v>
      </x:c>
      <x:c r="D97" s="30" t="n">
        <x:v>2019</x:v>
      </x:c>
      <x:c r="E97" s="24" t="str">
        <x:v>Holothuria atra</x:v>
      </x:c>
      <x:c r="F97" s="24" t="str">
        <x:v>Lollyfish</x:v>
      </x:c>
      <x:c r="G97" s="24" t="str">
        <x:v>Other demersal invertebrates</x:v>
      </x:c>
      <x:c r="H97" s="24" t="str">
        <x:v>Other fishes &amp; inverts</x:v>
      </x:c>
      <x:c r="I97" s="31" t="n">
        <x:v>117.5</x:v>
      </x:c>
      <x:c r="J97" s="31" t="n">
        <x:v>117.5</x:v>
      </x:c>
      <x:c r="K97" s="31" t="n">
        <x:v>0</x:v>
      </x:c>
      <x:c r="L97" s="31" t="n">
        <x:v>117.5</x:v>
      </x:c>
      <x:c r="M97" s="31" t="n">
        <x:v>0</x:v>
      </x:c>
      <x:c r="N97" s="24" t="str">
        <x:v>holothuria atra</x:v>
      </x:c>
      <x:c r="O97" s="32" t="n">
        <x:v>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Holothuria atra</x:v>
      </x:c>
      <x:c r="T97" s="32" t="n">
        <x:f>IF(O97="","",(1/'Metadata'!$B$5)^(O97-1))</x:f>
        <x:v>10</x:v>
      </x:c>
      <x:c r="U97" s="31" t="n">
        <x:f>IF(T97="","",I97*T97)</x:f>
        <x:v>1175</x:v>
      </x:c>
    </x:row>
    <x:row r="98" ht="18" customHeight="1">
      <x:c r="A98" s="24" t="str">
        <x:v>EEZ_356</x:v>
      </x:c>
      <x:c r="B98" s="24" t="str">
        <x:v>India (mainland)</x:v>
      </x:c>
      <x:c r="C98" s="24" t="str">
        <x:v>EEZ</x:v>
      </x:c>
      <x:c r="D98" s="30" t="n">
        <x:v>2019</x:v>
      </x:c>
      <x:c r="E98" s="24" t="str">
        <x:v>Holothuria edulis</x:v>
      </x:c>
      <x:c r="F98" s="24" t="str">
        <x:v>Pinkfish</x:v>
      </x:c>
      <x:c r="G98" s="24" t="str">
        <x:v>Other demersal invertebrates</x:v>
      </x:c>
      <x:c r="H98" s="24" t="str">
        <x:v>Other fishes &amp; inverts</x:v>
      </x:c>
      <x:c r="I98" s="31" t="n">
        <x:v>117.5</x:v>
      </x:c>
      <x:c r="J98" s="31" t="n">
        <x:v>117.5</x:v>
      </x:c>
      <x:c r="K98" s="31" t="n">
        <x:v>0</x:v>
      </x:c>
      <x:c r="L98" s="31" t="n">
        <x:v>117.5</x:v>
      </x:c>
      <x:c r="M98" s="31" t="n">
        <x:v>0</x:v>
      </x:c>
      <x:c r="N98" s="24" t="str">
        <x:v>holothuria edulis</x:v>
      </x:c>
      <x:c r="O98" s="32" t="n">
        <x:v>2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Holothuria edulis</x:v>
      </x:c>
      <x:c r="T98" s="32" t="n">
        <x:f>IF(O98="","",(1/'Metadata'!$B$5)^(O98-1))</x:f>
        <x:v>10</x:v>
      </x:c>
      <x:c r="U98" s="31" t="n">
        <x:f>IF(T98="","",I98*T98)</x:f>
        <x:v>1175</x:v>
      </x:c>
    </x:row>
    <x:row r="99" ht="18" customHeight="1">
      <x:c r="A99" s="24" t="str">
        <x:v>EEZ_356</x:v>
      </x:c>
      <x:c r="B99" s="24" t="str">
        <x:v>India (mainland)</x:v>
      </x:c>
      <x:c r="C99" s="24" t="str">
        <x:v>EEZ</x:v>
      </x:c>
      <x:c r="D99" s="30" t="n">
        <x:v>2019</x:v>
      </x:c>
      <x:c r="E99" s="24" t="str">
        <x:v>Istiophorus</x:v>
      </x:c>
      <x:c r="F99" s="24" t="str">
        <x:v>Sailfishes</x:v>
      </x:c>
      <x:c r="G99" s="24" t="str">
        <x:v>Large pelagics (&gt;=90 cm)</x:v>
      </x:c>
      <x:c r="H99" s="24" t="str">
        <x:v>Tuna &amp; billfishes</x:v>
      </x:c>
      <x:c r="I99" s="31" t="n">
        <x:v>94.5915163681</x:v>
      </x:c>
      <x:c r="J99" s="31" t="n">
        <x:v>94.5915163681</x:v>
      </x:c>
      <x:c r="K99" s="31" t="n">
        <x:v>0</x:v>
      </x:c>
      <x:c r="L99" s="31" t="n">
        <x:v>94.5915163681</x:v>
      </x:c>
      <x:c r="M99" s="31" t="n">
        <x:v>0</x:v>
      </x:c>
      <x:c r="N99" s="24" t="str">
        <x:v>istiophorus</x:v>
      </x:c>
      <x:c r="O99" s="32" t="n">
        <x:v>4.5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Istiophorus</x:v>
      </x:c>
      <x:c r="T99" s="32" t="n">
        <x:f>IF(O99="","",(1/'Metadata'!$B$5)^(O99-1))</x:f>
        <x:v>3162.2776601683795</x:v>
      </x:c>
      <x:c r="U99" s="31" t="n">
        <x:f>IF(T99="","",I99*T99)</x:f>
        <x:v>299124.63905229425</x:v>
      </x:c>
    </x:row>
    <x:row r="100" ht="18" customHeight="1">
      <x:c r="A100" s="24" t="str">
        <x:v>EEZ_356</x:v>
      </x:c>
      <x:c r="B100" s="24" t="str">
        <x:v>India (mainland)</x:v>
      </x:c>
      <x:c r="C100" s="24" t="str">
        <x:v>EEZ</x:v>
      </x:c>
      <x:c r="D100" s="30" t="n">
        <x:v>2019</x:v>
      </x:c>
      <x:c r="E100" s="24" t="str">
        <x:v>Priacanthus</x:v>
      </x:c>
      <x:c r="F100" s="24" t="str">
        <x:v>Bigeyes</x:v>
      </x:c>
      <x:c r="G100" s="24" t="str">
        <x:v>Medium reef assoc. fish (30 - 89 cm)</x:v>
      </x:c>
      <x:c r="H100" s="24" t="str">
        <x:v>Perch-likes</x:v>
      </x:c>
      <x:c r="I100" s="31" t="n">
        <x:v>72.30360974739999</x:v>
      </x:c>
      <x:c r="J100" s="31" t="n">
        <x:v>72.30360974739999</x:v>
      </x:c>
      <x:c r="K100" s="31" t="n">
        <x:v>0</x:v>
      </x:c>
      <x:c r="L100" s="31" t="n">
        <x:v>70.69543780549999</x:v>
      </x:c>
      <x:c r="M100" s="31" t="n">
        <x:v>1.6081719419</x:v>
      </x:c>
      <x:c r="N100" s="24" t="str">
        <x:v>priacanthus</x:v>
      </x:c>
      <x:c r="O100" s="32" t="n">
        <x:v>3.81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Priacanthus</x:v>
      </x:c>
      <x:c r="T100" s="32" t="n">
        <x:f>IF(O100="","",(1/'Metadata'!$B$5)^(O100-1))</x:f>
        <x:v>645.6542290346556</x:v>
      </x:c>
      <x:c r="U100" s="31" t="n">
        <x:f>IF(T100="","",I100*T100)</x:f>
        <x:v>46683.13140788015</x:v>
      </x:c>
    </x:row>
    <x:row r="101" ht="18" customHeight="1">
      <x:c r="A101" s="24" t="str">
        <x:v>EEZ_356</x:v>
      </x:c>
      <x:c r="B101" s="24" t="str">
        <x:v>India (mainland)</x:v>
      </x:c>
      <x:c r="C101" s="24" t="str">
        <x:v>EEZ</x:v>
      </x:c>
      <x:c r="D101" s="30" t="n">
        <x:v>2019</x:v>
      </x:c>
      <x:c r="E101" s="24" t="str">
        <x:v>Scombroidei</x:v>
      </x:c>
      <x:c r="F101" s="24" t="str">
        <x:v>Tunas, bonitos, billfishes</x:v>
      </x:c>
      <x:c r="G101" s="24" t="str">
        <x:v>Large pelagics (&gt;=90 cm)</x:v>
      </x:c>
      <x:c r="H101" s="24" t="str">
        <x:v>Tuna &amp; billfishes</x:v>
      </x:c>
      <x:c r="I101" s="31" t="n">
        <x:v>69.96880043680001</x:v>
      </x:c>
      <x:c r="J101" s="31" t="n">
        <x:v>69.96880043680001</x:v>
      </x:c>
      <x:c r="K101" s="31" t="n">
        <x:v>0</x:v>
      </x:c>
      <x:c r="L101" s="31" t="n">
        <x:v>69.96880043680001</x:v>
      </x:c>
      <x:c r="M101" s="31" t="n">
        <x:v>0</x:v>
      </x:c>
      <x:c r="N101" s="24" t="str">
        <x:v>scombroidei</x:v>
      </x:c>
      <x:c r="O101" s="32" t="n">
        <x:v>4.2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Scombroidei</x:v>
      </x:c>
      <x:c r="T101" s="32" t="n">
        <x:f>IF(O101="","",(1/'Metadata'!$B$5)^(O101-1))</x:f>
        <x:v>1584.893192461114</x:v>
      </x:c>
      <x:c r="U101" s="31" t="n">
        <x:f>IF(T101="","",I101*T101)</x:f>
        <x:v>110893.07549695455</x:v>
      </x:c>
    </x:row>
    <x:row r="102" ht="18" customHeight="1">
      <x:c r="A102" s="24" t="str">
        <x:v>EEZ_356</x:v>
      </x:c>
      <x:c r="B102" s="24" t="str">
        <x:v>India (mainland)</x:v>
      </x:c>
      <x:c r="C102" s="24" t="str">
        <x:v>EEZ</x:v>
      </x:c>
      <x:c r="D102" s="30" t="n">
        <x:v>2019</x:v>
      </x:c>
      <x:c r="E102" s="24" t="str">
        <x:v>Scolopsis</x:v>
      </x:c>
      <x:c r="F102" s="24" t="str">
        <x:v>Monocle breams</x:v>
      </x:c>
      <x:c r="G102" s="24" t="str">
        <x:v>Small reef assoc. fish (&lt;30 cm)</x:v>
      </x:c>
      <x:c r="H102" s="24" t="str">
        <x:v>Perch-likes</x:v>
      </x:c>
      <x:c r="I102" s="31" t="n">
        <x:v>45.8349523801</x:v>
      </x:c>
      <x:c r="J102" s="31" t="n">
        <x:v>45.8349523801</x:v>
      </x:c>
      <x:c r="K102" s="31" t="n">
        <x:v>0</x:v>
      </x:c>
      <x:c r="L102" s="31" t="n">
        <x:v>20.2557147136</x:v>
      </x:c>
      <x:c r="M102" s="31" t="n">
        <x:v>25.5792376665</x:v>
      </x:c>
      <x:c r="N102" s="24" t="str">
        <x:v>scolopsis</x:v>
      </x:c>
      <x:c r="O102" s="32" t="n">
        <x:v>3.3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Scolopsis</x:v>
      </x:c>
      <x:c r="T102" s="32" t="n">
        <x:f>IF(O102="","",(1/'Metadata'!$B$5)^(O102-1))</x:f>
        <x:v>199.52623149688787</x:v>
      </x:c>
      <x:c r="U102" s="31" t="n">
        <x:f>IF(T102="","",I102*T102)</x:f>
        <x:v>9145.275319240664</x:v>
      </x:c>
    </x:row>
    <x:row r="103" ht="18" customHeight="1">
      <x:c r="A103" s="24" t="str">
        <x:v>EEZ_356</x:v>
      </x:c>
      <x:c r="B103" s="24" t="str">
        <x:v>India (mainland)</x:v>
      </x:c>
      <x:c r="C103" s="24" t="str">
        <x:v>EEZ</x:v>
      </x:c>
      <x:c r="D103" s="30" t="n">
        <x:v>2019</x:v>
      </x:c>
      <x:c r="E103" s="24" t="str">
        <x:v>Scomberomorus lineolatus</x:v>
      </x:c>
      <x:c r="F103" s="24" t="str">
        <x:v>Streaked seerfish</x:v>
      </x:c>
      <x:c r="G103" s="24" t="str">
        <x:v>Large pelagics (&gt;=90 cm)</x:v>
      </x:c>
      <x:c r="H103" s="24" t="str">
        <x:v>Perch-likes</x:v>
      </x:c>
      <x:c r="I103" s="31" t="n">
        <x:v>32.1632829161</x:v>
      </x:c>
      <x:c r="J103" s="31" t="n">
        <x:v>32.1632829161</x:v>
      </x:c>
      <x:c r="K103" s="31" t="n">
        <x:v>0</x:v>
      </x:c>
      <x:c r="L103" s="31" t="n">
        <x:v>32.1632829161</x:v>
      </x:c>
      <x:c r="M103" s="31" t="n">
        <x:v>0</x:v>
      </x:c>
      <x:c r="N103" s="24" t="str">
        <x:v>scomberomorus lineolatus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Scomberomorus lineolatus</x:v>
      </x:c>
      <x:c r="T103" s="32" t="n">
        <x:f>IF(O103="","",(1/'Metadata'!$B$5)^(O103-1))</x:f>
        <x:v>3162.2776601683795</x:v>
      </x:c>
      <x:c r="U103" s="31" t="n">
        <x:f>IF(T103="","",I103*T103)</x:f>
        <x:v>101709.23104325833</x:v>
      </x:c>
    </x:row>
    <x:row r="104" ht="18" customHeight="1">
      <x:c r="A104" s="24" t="str">
        <x:v>EEZ_356</x:v>
      </x:c>
      <x:c r="B104" s="24" t="str">
        <x:v>India (mainland)</x:v>
      </x:c>
      <x:c r="C104" s="24" t="str">
        <x:v>EEZ</x:v>
      </x:c>
      <x:c r="D104" s="30" t="n">
        <x:v>2019</x:v>
      </x:c>
      <x:c r="E104" s="24" t="str">
        <x:v>Chirocentrus dorab</x:v>
      </x:c>
      <x:c r="F104" s="24" t="str">
        <x:v>Dorab wolf-herring</x:v>
      </x:c>
      <x:c r="G104" s="24" t="str">
        <x:v>Large benthopelagics (&gt;=90 cm)</x:v>
      </x:c>
      <x:c r="H104" s="24" t="str">
        <x:v>Herring-likes</x:v>
      </x:c>
      <x:c r="I104" s="31" t="n">
        <x:v>30.9781201511</x:v>
      </x:c>
      <x:c r="J104" s="31" t="n">
        <x:v>30.9781201511</x:v>
      </x:c>
      <x:c r="K104" s="31" t="n">
        <x:v>0</x:v>
      </x:c>
      <x:c r="L104" s="31" t="n">
        <x:v>14.830076843799999</x:v>
      </x:c>
      <x:c r="M104" s="31" t="n">
        <x:v>16.1480433073</x:v>
      </x:c>
      <x:c r="N104" s="24" t="str">
        <x:v>chirocentrus dorab</x:v>
      </x:c>
      <x:c r="O104" s="32" t="n">
        <x:v>4.2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Chirocentrus dorab</x:v>
      </x:c>
      <x:c r="T104" s="32" t="n">
        <x:f>IF(O104="","",(1/'Metadata'!$B$5)^(O104-1))</x:f>
        <x:v>1584.893192461114</x:v>
      </x:c>
      <x:c r="U104" s="31" t="n">
        <x:f>IF(T104="","",I104*T104)</x:f>
        <x:v>49097.011742720846</x:v>
      </x:c>
    </x:row>
    <x:row r="105" ht="18" customHeight="1">
      <x:c r="A105" s="24" t="str">
        <x:v>EEZ_356</x:v>
      </x:c>
      <x:c r="B105" s="24" t="str">
        <x:v>India (mainland)</x:v>
      </x:c>
      <x:c r="C105" s="24" t="str">
        <x:v>EEZ</x:v>
      </x:c>
      <x:c r="D105" s="30" t="n">
        <x:v>2019</x:v>
      </x:c>
      <x:c r="E105" s="24" t="str">
        <x:v>Gymnosarda unicolor</x:v>
      </x:c>
      <x:c r="F105" s="24" t="str">
        <x:v>Dogtooth tuna</x:v>
      </x:c>
      <x:c r="G105" s="24" t="str">
        <x:v>Large reef assoc. fish (&gt;=90 cm)</x:v>
      </x:c>
      <x:c r="H105" s="24" t="str">
        <x:v>Tuna &amp; billfishes</x:v>
      </x:c>
      <x:c r="I105" s="31" t="n">
        <x:v>25.9278213681</x:v>
      </x:c>
      <x:c r="J105" s="31" t="n">
        <x:v>25.9278213681</x:v>
      </x:c>
      <x:c r="K105" s="31" t="n">
        <x:v>0</x:v>
      </x:c>
      <x:c r="L105" s="31" t="n">
        <x:v>25.9278213681</x:v>
      </x:c>
      <x:c r="M105" s="31" t="n">
        <x:v>0</x:v>
      </x:c>
      <x:c r="N105" s="24" t="str">
        <x:v>gymnosarda unicolor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Gymnosarda unicolor</x:v>
      </x:c>
      <x:c r="T105" s="32" t="n">
        <x:f>IF(O105="","",(1/'Metadata'!$B$5)^(O105-1))</x:f>
        <x:v>3162.2776601683795</x:v>
      </x:c>
      <x:c r="U105" s="31" t="n">
        <x:f>IF(T105="","",I105*T105)</x:f>
        <x:v>81990.97028917898</x:v>
      </x:c>
    </x:row>
    <x:row r="106" ht="18" customHeight="1">
      <x:c r="A106" s="24" t="str">
        <x:v>EEZ_356</x:v>
      </x:c>
      <x:c r="B106" s="24" t="str">
        <x:v>India (mainland)</x:v>
      </x:c>
      <x:c r="C106" s="24" t="str">
        <x:v>EEZ</x:v>
      </x:c>
      <x:c r="D106" s="30" t="n">
        <x:v>2019</x:v>
      </x:c>
      <x:c r="E106" s="24" t="str">
        <x:v>Sepioteuthis lessoniana</x:v>
      </x:c>
      <x:c r="F106" s="24" t="str">
        <x:v>Bigfin reef squid</x:v>
      </x:c>
      <x:c r="G106" s="24" t="str">
        <x:v>Cephalopods</x:v>
      </x:c>
      <x:c r="H106" s="24" t="str">
        <x:v>Other fishes &amp; inverts</x:v>
      </x:c>
      <x:c r="I106" s="31" t="n">
        <x:v>24.174745651</x:v>
      </x:c>
      <x:c r="J106" s="31" t="n">
        <x:v>24.174745651</x:v>
      </x:c>
      <x:c r="K106" s="31" t="n">
        <x:v>0</x:v>
      </x:c>
      <x:c r="L106" s="31" t="n">
        <x:v>9.7287299733</x:v>
      </x:c>
      <x:c r="M106" s="31" t="n">
        <x:v>14.4460156777</x:v>
      </x:c>
      <x:c r="N106" s="24" t="str">
        <x:v>sepioteuthis lessoniana</x:v>
      </x:c>
      <x:c r="O106" s="32" t="n">
        <x:v>3.98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Sepioteuthis lessoniana</x:v>
      </x:c>
      <x:c r="T106" s="32" t="n">
        <x:f>IF(O106="","",(1/'Metadata'!$B$5)^(O106-1))</x:f>
        <x:v>954.992586021436</x:v>
      </x:c>
      <x:c r="U106" s="31" t="n">
        <x:f>IF(T106="","",I106*T106)</x:f>
        <x:v>23086.70286565895</x:v>
      </x:c>
    </x:row>
    <x:row r="107" ht="18" customHeight="1">
      <x:c r="A107" s="24" t="str">
        <x:v>EEZ_356</x:v>
      </x:c>
      <x:c r="B107" s="24" t="str">
        <x:v>India (mainland)</x:v>
      </x:c>
      <x:c r="C107" s="24" t="str">
        <x:v>EEZ</x:v>
      </x:c>
      <x:c r="D107" s="30" t="n">
        <x:v>2019</x:v>
      </x:c>
      <x:c r="E107" s="24" t="str">
        <x:v>Penaeus</x:v>
      </x:c>
      <x:c r="F107" s="24" t="str">
        <x:v>Tiger prawns</x:v>
      </x:c>
      <x:c r="G107" s="24" t="str">
        <x:v>Shrimps</x:v>
      </x:c>
      <x:c r="H107" s="24" t="str">
        <x:v>Crustaceans</x:v>
      </x:c>
      <x:c r="I107" s="31" t="n">
        <x:v>22.5048293005</x:v>
      </x:c>
      <x:c r="J107" s="31" t="n">
        <x:v>22.5048293005</x:v>
      </x:c>
      <x:c r="K107" s="31" t="n">
        <x:v>0</x:v>
      </x:c>
      <x:c r="L107" s="31" t="n">
        <x:v>21.502987787000002</x:v>
      </x:c>
      <x:c r="M107" s="31" t="n">
        <x:v>1.0018415134999998</x:v>
      </x:c>
      <x:c r="N107" s="24" t="str">
        <x:v>penaeus</x:v>
      </x:c>
      <x:c r="O107" s="32" t="n">
        <x:v>2.7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Penaeus</x:v>
      </x:c>
      <x:c r="T107" s="32" t="n">
        <x:f>IF(O107="","",(1/'Metadata'!$B$5)^(O107-1))</x:f>
        <x:v>50.11872336272725</x:v>
      </x:c>
      <x:c r="U107" s="31" t="n">
        <x:f>IF(T107="","",I107*T107)</x:f>
        <x:v>1127.9133140371582</x:v>
      </x:c>
    </x:row>
    <x:row r="108" ht="18" customHeight="1">
      <x:c r="A108" s="24" t="str">
        <x:v>EEZ_356</x:v>
      </x:c>
      <x:c r="B108" s="24" t="str">
        <x:v>India (mainland)</x:v>
      </x:c>
      <x:c r="C108" s="24" t="str">
        <x:v>EEZ</x:v>
      </x:c>
      <x:c r="D108" s="30" t="n">
        <x:v>2019</x:v>
      </x:c>
      <x:c r="E108" s="24" t="str">
        <x:v>Penaeus merguiensis</x:v>
      </x:c>
      <x:c r="F108" s="24" t="str">
        <x:v>Banana prawn</x:v>
      </x:c>
      <x:c r="G108" s="24" t="str">
        <x:v>Shrimps</x:v>
      </x:c>
      <x:c r="H108" s="24" t="str">
        <x:v>Crustaceans</x:v>
      </x:c>
      <x:c r="I108" s="31" t="n">
        <x:v>21.453096864</x:v>
      </x:c>
      <x:c r="J108" s="31" t="n">
        <x:v>21.453096864</x:v>
      </x:c>
      <x:c r="K108" s="31" t="n">
        <x:v>0</x:v>
      </x:c>
      <x:c r="L108" s="31" t="n">
        <x:v>21.453096864</x:v>
      </x:c>
      <x:c r="M108" s="31" t="n">
        <x:v>0</x:v>
      </x:c>
      <x:c r="N108" s="24" t="str">
        <x:v>penaeus merguiensis</x:v>
      </x:c>
      <x:c r="O108" s="32" t="n">
        <x:v>3.77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Penaeus merguiensis</x:v>
      </x:c>
      <x:c r="T108" s="32" t="n">
        <x:f>IF(O108="","",(1/'Metadata'!$B$5)^(O108-1))</x:f>
        <x:v>588.843655355589</x:v>
      </x:c>
      <x:c r="U108" s="31" t="n">
        <x:f>IF(T108="","",I108*T108)</x:f>
        <x:v>12632.519976095284</x:v>
      </x:c>
    </x:row>
    <x:row r="109" ht="18" customHeight="1">
      <x:c r="A109" s="24" t="str">
        <x:v>EEZ_356</x:v>
      </x:c>
      <x:c r="B109" s="24" t="str">
        <x:v>India (mainland)</x:v>
      </x:c>
      <x:c r="C109" s="24" t="str">
        <x:v>EEZ</x:v>
      </x:c>
      <x:c r="D109" s="30" t="n">
        <x:v>2019</x:v>
      </x:c>
      <x:c r="E109" s="24" t="str">
        <x:v>Carcharhinus longimanus</x:v>
      </x:c>
      <x:c r="F109" s="24" t="str">
        <x:v>Oceanic whitetip shark</x:v>
      </x:c>
      <x:c r="G109" s="24" t="str">
        <x:v>Large sharks (&gt;=90 cm)</x:v>
      </x:c>
      <x:c r="H109" s="24" t="str">
        <x:v>Sharks &amp; rays</x:v>
      </x:c>
      <x:c r="I109" s="31" t="n">
        <x:v>18.6504188148</x:v>
      </x:c>
      <x:c r="J109" s="31" t="n">
        <x:v>18.6504188148</x:v>
      </x:c>
      <x:c r="K109" s="31" t="n">
        <x:v>0</x:v>
      </x:c>
      <x:c r="L109" s="31" t="n">
        <x:v>18.6504188148</x:v>
      </x:c>
      <x:c r="M109" s="31" t="n">
        <x:v>0</x:v>
      </x:c>
      <x:c r="N109" s="24" t="str">
        <x:v>carcharhinus longimanus</x:v>
      </x:c>
      <x:c r="O109" s="32" t="n">
        <x:v>4.16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Carcharhinus longimanus</x:v>
      </x:c>
      <x:c r="T109" s="32" t="n">
        <x:f>IF(O109="","",(1/'Metadata'!$B$5)^(O109-1))</x:f>
        <x:v>1445.439770745928</x:v>
      </x:c>
      <x:c r="U109" s="31" t="n">
        <x:f>IF(T109="","",I109*T109)</x:f>
        <x:v>26958.05709598005</x:v>
      </x:c>
    </x:row>
    <x:row r="110" ht="18" customHeight="1">
      <x:c r="A110" s="24" t="str">
        <x:v>EEZ_356</x:v>
      </x:c>
      <x:c r="B110" s="24" t="str">
        <x:v>India (mainland)</x:v>
      </x:c>
      <x:c r="C110" s="24" t="str">
        <x:v>EEZ</x:v>
      </x:c>
      <x:c r="D110" s="30" t="n">
        <x:v>2019</x:v>
      </x:c>
      <x:c r="E110" s="24" t="str">
        <x:v>Isurus oxyrinchus</x:v>
      </x:c>
      <x:c r="F110" s="24" t="str">
        <x:v>Shortfin mako</x:v>
      </x:c>
      <x:c r="G110" s="24" t="str">
        <x:v>Large sharks (&gt;=90 cm)</x:v>
      </x:c>
      <x:c r="H110" s="24" t="str">
        <x:v>Sharks &amp; rays</x:v>
      </x:c>
      <x:c r="I110" s="31" t="n">
        <x:v>16.5938425893</x:v>
      </x:c>
      <x:c r="J110" s="31" t="n">
        <x:v>16.5938425893</x:v>
      </x:c>
      <x:c r="K110" s="31" t="n">
        <x:v>0</x:v>
      </x:c>
      <x:c r="L110" s="31" t="n">
        <x:v>16.5938425893</x:v>
      </x:c>
      <x:c r="M110" s="31" t="n">
        <x:v>0</x:v>
      </x:c>
      <x:c r="N110" s="24" t="str">
        <x:v>isurus oxyrinchus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Isurus oxyrinchus</x:v>
      </x:c>
      <x:c r="T110" s="32" t="n">
        <x:f>IF(O110="","",(1/'Metadata'!$B$5)^(O110-1))</x:f>
        <x:v>3162.2776601683795</x:v>
      </x:c>
      <x:c r="U110" s="31" t="n">
        <x:f>IF(T110="","",I110*T110)</x:f>
        <x:v>52474.337716494</x:v>
      </x:c>
    </x:row>
    <x:row r="111" ht="18" customHeight="1">
      <x:c r="A111" s="24" t="str">
        <x:v>EEZ_356</x:v>
      </x:c>
      <x:c r="B111" s="24" t="str">
        <x:v>India (mainland)</x:v>
      </x:c>
      <x:c r="C111" s="24" t="str">
        <x:v>EEZ</x:v>
      </x:c>
      <x:c r="D111" s="30" t="n">
        <x:v>2019</x:v>
      </x:c>
      <x:c r="E111" s="24" t="str">
        <x:v>Octopodidae</x:v>
      </x:c>
      <x:c r="F111" s="24" t="str">
        <x:v>Octopuses</x:v>
      </x:c>
      <x:c r="G111" s="24" t="str">
        <x:v>Cephalopods</x:v>
      </x:c>
      <x:c r="H111" s="24" t="str">
        <x:v>Other fishes &amp; inverts</x:v>
      </x:c>
      <x:c r="I111" s="31" t="n">
        <x:v>13.556342476700001</x:v>
      </x:c>
      <x:c r="J111" s="31" t="n">
        <x:v>13.556342476700001</x:v>
      </x:c>
      <x:c r="K111" s="31" t="n">
        <x:v>0</x:v>
      </x:c>
      <x:c r="L111" s="31" t="n">
        <x:v>13.0090581566</x:v>
      </x:c>
      <x:c r="M111" s="31" t="n">
        <x:v>0.5472843200999999</x:v>
      </x:c>
      <x:c r="N111" s="24" t="str">
        <x:v>octopodidae</x:v>
      </x:c>
      <x:c r="O111" s="32" t="n">
        <x:v>3.59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Octopodidae</x:v>
      </x:c>
      <x:c r="T111" s="32" t="n">
        <x:f>IF(O111="","",(1/'Metadata'!$B$5)^(O111-1))</x:f>
        <x:v>389.04514499428046</x:v>
      </x:c>
      <x:c r="U111" s="31" t="n">
        <x:f>IF(T111="","",I111*T111)</x:f>
        <x:v>5274.029224439875</x:v>
      </x:c>
    </x:row>
    <x:row r="112" ht="18" customHeight="1">
      <x:c r="A112" s="24" t="str">
        <x:v>EEZ_356</x:v>
      </x:c>
      <x:c r="B112" s="24" t="str">
        <x:v>India (mainland)</x:v>
      </x:c>
      <x:c r="C112" s="24" t="str">
        <x:v>EEZ</x:v>
      </x:c>
      <x:c r="D112" s="30" t="n">
        <x:v>2019</x:v>
      </x:c>
      <x:c r="E112" s="24" t="str">
        <x:v>Sphyrna lewini</x:v>
      </x:c>
      <x:c r="F112" s="24" t="str">
        <x:v>Scalloped hammerhead</x:v>
      </x:c>
      <x:c r="G112" s="24" t="str">
        <x:v>Large sharks (&gt;=90 cm)</x:v>
      </x:c>
      <x:c r="H112" s="24" t="str">
        <x:v>Sharks &amp; rays</x:v>
      </x:c>
      <x:c r="I112" s="31" t="n">
        <x:v>12.3168130004</x:v>
      </x:c>
      <x:c r="J112" s="31" t="n">
        <x:v>12.3168130004</x:v>
      </x:c>
      <x:c r="K112" s="31" t="n">
        <x:v>0</x:v>
      </x:c>
      <x:c r="L112" s="31" t="n">
        <x:v>12.3168130004</x:v>
      </x:c>
      <x:c r="M112" s="31" t="n">
        <x:v>0</x:v>
      </x:c>
      <x:c r="N112" s="24" t="str">
        <x:v>sphyrna lewini</x:v>
      </x:c>
      <x:c r="O112" s="32" t="n">
        <x:v>4.08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Sphyrna lewini</x:v>
      </x:c>
      <x:c r="T112" s="32" t="n">
        <x:f>IF(O112="","",(1/'Metadata'!$B$5)^(O112-1))</x:f>
        <x:v>1202.2644346174131</x:v>
      </x:c>
      <x:c r="U112" s="31" t="n">
        <x:f>IF(T112="","",I112*T112)</x:f>
        <x:v>14808.06621821431</x:v>
      </x:c>
    </x:row>
    <x:row r="113" ht="18" customHeight="1">
      <x:c r="A113" s="24" t="str">
        <x:v>EEZ_356</x:v>
      </x:c>
      <x:c r="B113" s="24" t="str">
        <x:v>India (mainland)</x:v>
      </x:c>
      <x:c r="C113" s="24" t="str">
        <x:v>EEZ</x:v>
      </x:c>
      <x:c r="D113" s="30" t="n">
        <x:v>2019</x:v>
      </x:c>
      <x:c r="E113" s="24" t="str">
        <x:v>Plotosidae</x:v>
      </x:c>
      <x:c r="F113" s="24" t="str">
        <x:v>Eeltail catfishes</x:v>
      </x:c>
      <x:c r="G113" s="24" t="str">
        <x:v>Medium reef assoc. fish (30 - 89 cm)</x:v>
      </x:c>
      <x:c r="H113" s="24" t="str">
        <x:v>Other fishes &amp; inverts</x:v>
      </x:c>
      <x:c r="I113" s="31" t="n">
        <x:v>11.395767551099999</x:v>
      </x:c>
      <x:c r="J113" s="31" t="n">
        <x:v>11.395767551099999</x:v>
      </x:c>
      <x:c r="K113" s="31" t="n">
        <x:v>0</x:v>
      </x:c>
      <x:c r="L113" s="31" t="n">
        <x:v>10.714075701399999</x:v>
      </x:c>
      <x:c r="M113" s="31" t="n">
        <x:v>0.6816918497</x:v>
      </x:c>
      <x:c r="N113" s="24" t="str">
        <x:v>plotosidae</x:v>
      </x:c>
      <x:c r="O113" s="32" t="n">
        <x:v>3.49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Plotosidae</x:v>
      </x:c>
      <x:c r="T113" s="32" t="n">
        <x:f>IF(O113="","",(1/'Metadata'!$B$5)^(O113-1))</x:f>
        <x:v>309.0295432513592</x:v>
      </x:c>
      <x:c r="U113" s="31" t="n">
        <x:f>IF(T113="","",I113*T113)</x:f>
        <x:v>3521.628841315093</x:v>
      </x:c>
    </x:row>
    <x:row r="114" ht="18" customHeight="1">
      <x:c r="A114" s="24" t="str">
        <x:v>EEZ_356</x:v>
      </x:c>
      <x:c r="B114" s="24" t="str">
        <x:v>India (mainland)</x:v>
      </x:c>
      <x:c r="C114" s="24" t="str">
        <x:v>EEZ</x:v>
      </x:c>
      <x:c r="D114" s="30" t="n">
        <x:v>2019</x:v>
      </x:c>
      <x:c r="E114" s="24" t="str">
        <x:v>Miscellaneous aquatic invertebrates</x:v>
      </x:c>
      <x:c r="F114" s="24" t="str">
        <x:v>Aquatic invertebrates</x:v>
      </x:c>
      <x:c r="G114" s="24" t="str">
        <x:v>Other demersal invertebrates</x:v>
      </x:c>
      <x:c r="H114" s="24" t="str">
        <x:v>Other fishes &amp; inverts</x:v>
      </x:c>
      <x:c r="I114" s="31" t="n">
        <x:v>8.3875263612</x:v>
      </x:c>
      <x:c r="J114" s="31" t="n">
        <x:v>8.3875263612</x:v>
      </x:c>
      <x:c r="K114" s="31" t="n">
        <x:v>0</x:v>
      </x:c>
      <x:c r="L114" s="31" t="n">
        <x:v>3.8291283357</x:v>
      </x:c>
      <x:c r="M114" s="31" t="n">
        <x:v>4.558398025500001</x:v>
      </x:c>
      <x:c r="N114" s="24" t="str">
        <x:v>miscellaneous aquatic invertebrates</x:v>
      </x:c>
      <x:c r="O114" s="32" t="n">
        <x:v>2.43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Miscellaneous aquatic invertebrates</x:v>
      </x:c>
      <x:c r="T114" s="32" t="n">
        <x:f>IF(O114="","",(1/'Metadata'!$B$5)^(O114-1))</x:f>
        <x:v>26.915348039269166</x:v>
      </x:c>
      <x:c r="U114" s="31" t="n">
        <x:f>IF(T114="","",I114*T114)</x:f>
        <x:v>225.75319120024287</x:v>
      </x:c>
    </x:row>
    <x:row r="115" ht="18" customHeight="1">
      <x:c r="A115" s="24" t="str">
        <x:v>EEZ_356</x:v>
      </x:c>
      <x:c r="B115" s="24" t="str">
        <x:v>India (mainland)</x:v>
      </x:c>
      <x:c r="C115" s="24" t="str">
        <x:v>EEZ</x:v>
      </x:c>
      <x:c r="D115" s="30" t="n">
        <x:v>2019</x:v>
      </x:c>
      <x:c r="E115" s="24" t="str">
        <x:v>Penaeus semisulcatus</x:v>
      </x:c>
      <x:c r="F115" s="24" t="str">
        <x:v>Green tiger prawn</x:v>
      </x:c>
      <x:c r="G115" s="24" t="str">
        <x:v>Shrimps</x:v>
      </x:c>
      <x:c r="H115" s="24" t="str">
        <x:v>Crustaceans</x:v>
      </x:c>
      <x:c r="I115" s="31" t="n">
        <x:v>7.765484818799999</x:v>
      </x:c>
      <x:c r="J115" s="31" t="n">
        <x:v>7.765484818799999</x:v>
      </x:c>
      <x:c r="K115" s="31" t="n">
        <x:v>0</x:v>
      </x:c>
      <x:c r="L115" s="31" t="n">
        <x:v>6.710329135499999</x:v>
      </x:c>
      <x:c r="M115" s="31" t="n">
        <x:v>1.0551556833</x:v>
      </x:c>
      <x:c r="N115" s="24" t="str">
        <x:v>penaeus semisulcatus</x:v>
      </x:c>
      <x:c r="O115" s="32" t="n">
        <x:v>2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Penaeus semisulcatus</x:v>
      </x:c>
      <x:c r="T115" s="32" t="n">
        <x:f>IF(O115="","",(1/'Metadata'!$B$5)^(O115-1))</x:f>
        <x:v>10</x:v>
      </x:c>
      <x:c r="U115" s="31" t="n">
        <x:f>IF(T115="","",I115*T115)</x:f>
        <x:v>77.65484818799999</x:v>
      </x:c>
    </x:row>
    <x:row r="116" ht="18" customHeight="1">
      <x:c r="A116" s="24" t="str">
        <x:v>EEZ_356</x:v>
      </x:c>
      <x:c r="B116" s="24" t="str">
        <x:v>India (mainland)</x:v>
      </x:c>
      <x:c r="C116" s="24" t="str">
        <x:v>EEZ</x:v>
      </x:c>
      <x:c r="D116" s="30" t="n">
        <x:v>2019</x:v>
      </x:c>
      <x:c r="E116" s="24" t="str">
        <x:v>Sillago</x:v>
      </x:c>
      <x:c r="F116" s="24" t="str">
        <x:v>Smelt-whitings</x:v>
      </x:c>
      <x:c r="G116" s="24" t="str">
        <x:v>Medium demersals (30 - 89 cm)</x:v>
      </x:c>
      <x:c r="H116" s="24" t="str">
        <x:v>Perch-likes</x:v>
      </x:c>
      <x:c r="I116" s="31" t="n">
        <x:v>7.4432022195</x:v>
      </x:c>
      <x:c r="J116" s="31" t="n">
        <x:v>7.4432022195</x:v>
      </x:c>
      <x:c r="K116" s="31" t="n">
        <x:v>0</x:v>
      </x:c>
      <x:c r="L116" s="31" t="n">
        <x:v>7.246656557</x:v>
      </x:c>
      <x:c r="M116" s="31" t="n">
        <x:v>0.1965456625</x:v>
      </x:c>
      <x:c r="N116" s="24" t="str">
        <x:v>sillago</x:v>
      </x:c>
      <x:c r="O116" s="32" t="n">
        <x:v>3.33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Sillago</x:v>
      </x:c>
      <x:c r="T116" s="32" t="n">
        <x:f>IF(O116="","",(1/'Metadata'!$B$5)^(O116-1))</x:f>
        <x:v>213.79620895022325</x:v>
      </x:c>
      <x:c r="U116" s="31" t="n">
        <x:f>IF(T116="","",I116*T116)</x:f>
        <x:v>1591.3284169789874</x:v>
      </x:c>
    </x:row>
    <x:row r="117" ht="18" customHeight="1">
      <x:c r="A117" s="24" t="str">
        <x:v>EEZ_356</x:v>
      </x:c>
      <x:c r="B117" s="24" t="str">
        <x:v>India (mainland)</x:v>
      </x:c>
      <x:c r="C117" s="24" t="str">
        <x:v>EEZ</x:v>
      </x:c>
      <x:c r="D117" s="30" t="n">
        <x:v>2019</x:v>
      </x:c>
      <x:c r="E117" s="24" t="str">
        <x:v>Sphyrnidae</x:v>
      </x:c>
      <x:c r="F117" s="24" t="str">
        <x:v>Hammer, bonnet, scoophead sharks</x:v>
      </x:c>
      <x:c r="G117" s="24" t="str">
        <x:v>Large sharks (&gt;=90 cm)</x:v>
      </x:c>
      <x:c r="H117" s="24" t="str">
        <x:v>Sharks &amp; rays</x:v>
      </x:c>
      <x:c r="I117" s="31" t="n">
        <x:v>7.2782658528</x:v>
      </x:c>
      <x:c r="J117" s="31" t="n">
        <x:v>7.2782658528</x:v>
      </x:c>
      <x:c r="K117" s="31" t="n">
        <x:v>0</x:v>
      </x:c>
      <x:c r="L117" s="31" t="n">
        <x:v>7.2782658528</x:v>
      </x:c>
      <x:c r="M117" s="31" t="n">
        <x:v>0</x:v>
      </x:c>
      <x:c r="N117" s="24" t="str">
        <x:v>sphyrnidae</x:v>
      </x:c>
      <x:c r="O117" s="32" t="n">
        <x:v>4.19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Sphyrnidae</x:v>
      </x:c>
      <x:c r="T117" s="32" t="n">
        <x:f>IF(O117="","",(1/'Metadata'!$B$5)^(O117-1))</x:f>
        <x:v>1548.8166189124827</x:v>
      </x:c>
      <x:c r="U117" s="31" t="n">
        <x:f>IF(T117="","",I117*T117)</x:f>
        <x:v>11272.699109679874</x:v>
      </x:c>
    </x:row>
    <x:row r="118" ht="18" customHeight="1">
      <x:c r="A118" s="24" t="str">
        <x:v>EEZ_356</x:v>
      </x:c>
      <x:c r="B118" s="24" t="str">
        <x:v>India (mainland)</x:v>
      </x:c>
      <x:c r="C118" s="24" t="str">
        <x:v>EEZ</x:v>
      </x:c>
      <x:c r="D118" s="30" t="n">
        <x:v>2019</x:v>
      </x:c>
      <x:c r="E118" s="24" t="str">
        <x:v>Kajikia audax</x:v>
      </x:c>
      <x:c r="F118" s="24" t="str">
        <x:v>Striped marlin</x:v>
      </x:c>
      <x:c r="G118" s="24" t="str">
        <x:v>Large pelagics (&gt;=90 cm)</x:v>
      </x:c>
      <x:c r="H118" s="24" t="str">
        <x:v>Tuna &amp; billfishes</x:v>
      </x:c>
      <x:c r="I118" s="31" t="n">
        <x:v>6.5712565398</x:v>
      </x:c>
      <x:c r="J118" s="31" t="n">
        <x:v>6.5712565398</x:v>
      </x:c>
      <x:c r="K118" s="31" t="n">
        <x:v>0</x:v>
      </x:c>
      <x:c r="L118" s="31" t="n">
        <x:v>6.5712565398</x:v>
      </x:c>
      <x:c r="M118" s="31" t="n">
        <x:v>0</x:v>
      </x:c>
      <x:c r="N118" s="24" t="str">
        <x:v>kajikia audax</x:v>
      </x:c>
      <x:c r="O118" s="32" t="n">
        <x:v>4.58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Kajikia audax</x:v>
      </x:c>
      <x:c r="T118" s="32" t="n">
        <x:f>IF(O118="","",(1/'Metadata'!$B$5)^(O118-1))</x:f>
        <x:v>3801.8939632056126</x:v>
      </x:c>
      <x:c r="U118" s="31" t="n">
        <x:f>IF(T118="","",I118*T118)</x:f>
        <x:v>24983.220569341025</x:v>
      </x:c>
    </x:row>
    <x:row r="119" ht="18" customHeight="1">
      <x:c r="A119" s="24" t="str">
        <x:v>EEZ_356</x:v>
      </x:c>
      <x:c r="B119" s="24" t="str">
        <x:v>India (mainland)</x:v>
      </x:c>
      <x:c r="C119" s="24" t="str">
        <x:v>EEZ</x:v>
      </x:c>
      <x:c r="D119" s="30" t="n">
        <x:v>2019</x:v>
      </x:c>
      <x:c r="E119" s="24" t="str">
        <x:v>Mugilidae</x:v>
      </x:c>
      <x:c r="F119" s="24" t="str">
        <x:v>Mullets, grey mullets</x:v>
      </x:c>
      <x:c r="G119" s="24" t="str">
        <x:v>Medium reef assoc. fish (30 - 89 cm)</x:v>
      </x:c>
      <x:c r="H119" s="24" t="str">
        <x:v>Perch-likes</x:v>
      </x:c>
      <x:c r="I119" s="31" t="n">
        <x:v>6.4636430833</x:v>
      </x:c>
      <x:c r="J119" s="31" t="n">
        <x:v>5.887128907</x:v>
      </x:c>
      <x:c r="K119" s="31" t="n">
        <x:v>0.5765141763</x:v>
      </x:c>
      <x:c r="L119" s="31" t="n">
        <x:v>5.887128907</x:v>
      </x:c>
      <x:c r="M119" s="31" t="n">
        <x:v>0.5765141763</x:v>
      </x:c>
      <x:c r="N119" s="24" t="str">
        <x:v>mugilidae</x:v>
      </x:c>
      <x:c r="O119" s="32" t="n">
        <x:v>2.53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Mugilidae</x:v>
      </x:c>
      <x:c r="T119" s="32" t="n">
        <x:f>IF(O119="","",(1/'Metadata'!$B$5)^(O119-1))</x:f>
        <x:v>33.88441561392024</x:v>
      </x:c>
      <x:c r="U119" s="31" t="n">
        <x:f>IF(T119="","",I119*T119)</x:f>
        <x:v>219.01676861457807</x:v>
      </x:c>
    </x:row>
    <x:row r="120" ht="18" customHeight="1">
      <x:c r="A120" s="24" t="str">
        <x:v>EEZ_356</x:v>
      </x:c>
      <x:c r="B120" s="24" t="str">
        <x:v>India (mainland)</x:v>
      </x:c>
      <x:c r="C120" s="24" t="str">
        <x:v>EEZ</x:v>
      </x:c>
      <x:c r="D120" s="30" t="n">
        <x:v>2019</x:v>
      </x:c>
      <x:c r="E120" s="24" t="str">
        <x:v>Muraenesocidae</x:v>
      </x:c>
      <x:c r="F120" s="24" t="str">
        <x:v>Pike congers</x:v>
      </x:c>
      <x:c r="G120" s="24" t="str">
        <x:v>Large demersals (&gt;=90 cm)</x:v>
      </x:c>
      <x:c r="H120" s="24" t="str">
        <x:v>Other fishes &amp; inverts</x:v>
      </x:c>
      <x:c r="I120" s="31" t="n">
        <x:v>5.5961709865</x:v>
      </x:c>
      <x:c r="J120" s="31" t="n">
        <x:v>5.5961709865</x:v>
      </x:c>
      <x:c r="K120" s="31" t="n">
        <x:v>0</x:v>
      </x:c>
      <x:c r="L120" s="31" t="n">
        <x:v>5.5961709865</x:v>
      </x:c>
      <x:c r="M120" s="31" t="n">
        <x:v>0</x:v>
      </x:c>
      <x:c r="N120" s="24" t="str">
        <x:v>muraenesocidae</x:v>
      </x:c>
      <x:c r="O120" s="32" t="n">
        <x:v>3.9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Muraenesocidae</x:v>
      </x:c>
      <x:c r="T120" s="32" t="n">
        <x:f>IF(O120="","",(1/'Metadata'!$B$5)^(O120-1))</x:f>
        <x:v>794.3282347242813</x:v>
      </x:c>
      <x:c r="U120" s="31" t="n">
        <x:f>IF(T120="","",I120*T120)</x:f>
        <x:v>4445.196620921784</x:v>
      </x:c>
    </x:row>
    <x:row r="121" ht="18" customHeight="1">
      <x:c r="A121" s="24" t="str">
        <x:v>EEZ_356</x:v>
      </x:c>
      <x:c r="B121" s="24" t="str">
        <x:v>India (mainland)</x:v>
      </x:c>
      <x:c r="C121" s="24" t="str">
        <x:v>EEZ</x:v>
      </x:c>
      <x:c r="D121" s="30" t="n">
        <x:v>2019</x:v>
      </x:c>
      <x:c r="E121" s="24" t="str">
        <x:v>Sarda orientalis</x:v>
      </x:c>
      <x:c r="F121" s="24" t="str">
        <x:v>Striped bonito</x:v>
      </x:c>
      <x:c r="G121" s="24" t="str">
        <x:v>Large pelagics (&gt;=90 cm)</x:v>
      </x:c>
      <x:c r="H121" s="24" t="str">
        <x:v>Tuna &amp; billfishes</x:v>
      </x:c>
      <x:c r="I121" s="31" t="n">
        <x:v>5.5913360149</x:v>
      </x:c>
      <x:c r="J121" s="31" t="n">
        <x:v>5.5913360149</x:v>
      </x:c>
      <x:c r="K121" s="31" t="n">
        <x:v>0</x:v>
      </x:c>
      <x:c r="L121" s="31" t="n">
        <x:v>5.5913360149</x:v>
      </x:c>
      <x:c r="M121" s="31" t="n">
        <x:v>0</x:v>
      </x:c>
      <x:c r="N121" s="24" t="str">
        <x:v>sarda orientalis</x:v>
      </x:c>
      <x:c r="O121" s="32" t="n">
        <x:v>4.21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Sarda orientalis</x:v>
      </x:c>
      <x:c r="T121" s="32" t="n">
        <x:f>IF(O121="","",(1/'Metadata'!$B$5)^(O121-1))</x:f>
        <x:v>1621.8100973589299</x:v>
      </x:c>
      <x:c r="U121" s="31" t="n">
        <x:f>IF(T121="","",I121*T121)</x:f>
        <x:v>9068.085206691461</x:v>
      </x:c>
    </x:row>
    <x:row r="122" ht="18" customHeight="1">
      <x:c r="A122" s="24" t="str">
        <x:v>EEZ_356</x:v>
      </x:c>
      <x:c r="B122" s="24" t="str">
        <x:v>India (mainland)</x:v>
      </x:c>
      <x:c r="C122" s="24" t="str">
        <x:v>EEZ</x:v>
      </x:c>
      <x:c r="D122" s="30" t="n">
        <x:v>2019</x:v>
      </x:c>
      <x:c r="E122" s="24" t="str">
        <x:v>Ariidae</x:v>
      </x:c>
      <x:c r="F122" s="24" t="str">
        <x:v>Sea catfishes, coblers</x:v>
      </x:c>
      <x:c r="G122" s="24" t="str">
        <x:v>Medium demersals (30 - 89 cm)</x:v>
      </x:c>
      <x:c r="H122" s="24" t="str">
        <x:v>Other fishes &amp; inverts</x:v>
      </x:c>
      <x:c r="I122" s="31" t="n">
        <x:v>5.325316109</x:v>
      </x:c>
      <x:c r="J122" s="31" t="n">
        <x:v>5.325316109</x:v>
      </x:c>
      <x:c r="K122" s="31" t="n">
        <x:v>0</x:v>
      </x:c>
      <x:c r="L122" s="31" t="n">
        <x:v>5.051891446000001</x:v>
      </x:c>
      <x:c r="M122" s="31" t="n">
        <x:v>0.273424663</x:v>
      </x:c>
      <x:c r="N122" s="24" t="str">
        <x:v>ariidae</x:v>
      </x:c>
      <x:c r="O122" s="32" t="n">
        <x:v>3.48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Ariidae</x:v>
      </x:c>
      <x:c r="T122" s="32" t="n">
        <x:f>IF(O122="","",(1/'Metadata'!$B$5)^(O122-1))</x:f>
        <x:v>301.9951720402016</x:v>
      </x:c>
      <x:c r="U122" s="31" t="n">
        <x:f>IF(T122="","",I122*T122)</x:f>
        <x:v>1608.219754505912</x:v>
      </x:c>
    </x:row>
    <x:row r="123" ht="18" customHeight="1">
      <x:c r="A123" s="24" t="str">
        <x:v>EEZ_356</x:v>
      </x:c>
      <x:c r="B123" s="24" t="str">
        <x:v>India (mainland)</x:v>
      </x:c>
      <x:c r="C123" s="24" t="str">
        <x:v>EEZ</x:v>
      </x:c>
      <x:c r="D123" s="30" t="n">
        <x:v>2019</x:v>
      </x:c>
      <x:c r="E123" s="24" t="str">
        <x:v>Metapenaeus</x:v>
      </x:c>
      <x:c r="F123" s="24" t="str">
        <x:v>Indo-Pacific prawns</x:v>
      </x:c>
      <x:c r="G123" s="24" t="str">
        <x:v>Shrimps</x:v>
      </x:c>
      <x:c r="H123" s="24" t="str">
        <x:v>Crustaceans</x:v>
      </x:c>
      <x:c r="I123" s="31" t="n">
        <x:v>5.2215994208000005</x:v>
      </x:c>
      <x:c r="J123" s="31" t="n">
        <x:v>5.2215994208000005</x:v>
      </x:c>
      <x:c r="K123" s="31" t="n">
        <x:v>0</x:v>
      </x:c>
      <x:c r="L123" s="31" t="n">
        <x:v>4.7396376792</x:v>
      </x:c>
      <x:c r="M123" s="31" t="n">
        <x:v>0.4819617416</x:v>
      </x:c>
      <x:c r="N123" s="24" t="str">
        <x:v>metapenaeus</x:v>
      </x:c>
      <x:c r="O123" s="32" t="n">
        <x:v>2.7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Metapenaeus</x:v>
      </x:c>
      <x:c r="T123" s="32" t="n">
        <x:f>IF(O123="","",(1/'Metadata'!$B$5)^(O123-1))</x:f>
        <x:v>50.11872336272725</x:v>
      </x:c>
      <x:c r="U123" s="31" t="n">
        <x:f>IF(T123="","",I123*T123)</x:f>
        <x:v>261.6998968820521</x:v>
      </x:c>
    </x:row>
    <x:row r="124" ht="18" customHeight="1">
      <x:c r="A124" s="24" t="str">
        <x:v>EEZ_356</x:v>
      </x:c>
      <x:c r="B124" s="24" t="str">
        <x:v>India (mainland)</x:v>
      </x:c>
      <x:c r="C124" s="24" t="str">
        <x:v>EEZ</x:v>
      </x:c>
      <x:c r="D124" s="30" t="n">
        <x:v>2019</x:v>
      </x:c>
      <x:c r="E124" s="24" t="str">
        <x:v>Scylla serrata</x:v>
      </x:c>
      <x:c r="F124" s="24" t="str">
        <x:v>Indo-Pacific swamp crab</x:v>
      </x:c>
      <x:c r="G124" s="24" t="str">
        <x:v>Lobsters, crabs</x:v>
      </x:c>
      <x:c r="H124" s="24" t="str">
        <x:v>Crustaceans</x:v>
      </x:c>
      <x:c r="I124" s="31" t="n">
        <x:v>4.7770558714</x:v>
      </x:c>
      <x:c r="J124" s="31" t="n">
        <x:v>4.7770558714</x:v>
      </x:c>
      <x:c r="K124" s="31" t="n">
        <x:v>0</x:v>
      </x:c>
      <x:c r="L124" s="31" t="n">
        <x:v>4.7770558714</x:v>
      </x:c>
      <x:c r="M124" s="31" t="n">
        <x:v>0</x:v>
      </x:c>
      <x:c r="N124" s="24" t="str">
        <x:v>scylla serrata</x:v>
      </x:c>
      <x:c r="O124" s="32" t="n">
        <x:v>3.17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Scylla serrata</x:v>
      </x:c>
      <x:c r="T124" s="32" t="n">
        <x:f>IF(O124="","",(1/'Metadata'!$B$5)^(O124-1))</x:f>
        <x:v>147.91083881682073</x:v>
      </x:c>
      <x:c r="U124" s="31" t="n">
        <x:f>IF(T124="","",I124*T124)</x:f>
        <x:v>706.5783410135925</x:v>
      </x:c>
    </x:row>
    <x:row r="125" ht="18" customHeight="1">
      <x:c r="A125" s="24" t="str">
        <x:v>EEZ_356</x:v>
      </x:c>
      <x:c r="B125" s="24" t="str">
        <x:v>India (mainland)</x:v>
      </x:c>
      <x:c r="C125" s="24" t="str">
        <x:v>EEZ</x:v>
      </x:c>
      <x:c r="D125" s="30" t="n">
        <x:v>2019</x:v>
      </x:c>
      <x:c r="E125" s="24" t="str">
        <x:v>Otolithes ruber</x:v>
      </x:c>
      <x:c r="F125" s="24" t="str">
        <x:v>Tigertooth croaker</x:v>
      </x:c>
      <x:c r="G125" s="24" t="str">
        <x:v>Medium benthopelagics (30 - 89 cm)</x:v>
      </x:c>
      <x:c r="H125" s="24" t="str">
        <x:v>Perch-likes</x:v>
      </x:c>
      <x:c r="I125" s="31" t="n">
        <x:v>3.4955010493</x:v>
      </x:c>
      <x:c r="J125" s="31" t="n">
        <x:v>0</x:v>
      </x:c>
      <x:c r="K125" s="31" t="n">
        <x:v>3.4955010493</x:v>
      </x:c>
      <x:c r="L125" s="31" t="n">
        <x:v>0</x:v>
      </x:c>
      <x:c r="M125" s="31" t="n">
        <x:v>3.4955010493</x:v>
      </x:c>
      <x:c r="N125" s="24" t="str">
        <x:v>otolithes ruber</x:v>
      </x:c>
      <x:c r="O125" s="32" t="n">
        <x:v>3.6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Otolithes ruber</x:v>
      </x:c>
      <x:c r="T125" s="32" t="n">
        <x:f>IF(O125="","",(1/'Metadata'!$B$5)^(O125-1))</x:f>
        <x:v>398.1071705534973</x:v>
      </x:c>
      <x:c r="U125" s="31" t="n">
        <x:f>IF(T125="","",I125*T125)</x:f>
        <x:v>1391.584032403604</x:v>
      </x:c>
    </x:row>
    <x:row r="126" ht="18" customHeight="1">
      <x:c r="A126" s="24" t="str">
        <x:v>EEZ_356</x:v>
      </x:c>
      <x:c r="B126" s="24" t="str">
        <x:v>India (mainland)</x:v>
      </x:c>
      <x:c r="C126" s="24" t="str">
        <x:v>EEZ</x:v>
      </x:c>
      <x:c r="D126" s="30" t="n">
        <x:v>2019</x:v>
      </x:c>
      <x:c r="E126" s="24" t="str">
        <x:v>Muraenesox cinereus</x:v>
      </x:c>
      <x:c r="F126" s="24" t="str">
        <x:v>Daggertooth pike conger</x:v>
      </x:c>
      <x:c r="G126" s="24" t="str">
        <x:v>Large demersals (&gt;=90 cm)</x:v>
      </x:c>
      <x:c r="H126" s="24" t="str">
        <x:v>Other fishes &amp; inverts</x:v>
      </x:c>
      <x:c r="I126" s="31" t="n">
        <x:v>3.4462500709</x:v>
      </x:c>
      <x:c r="J126" s="31" t="n">
        <x:v>3.4462500709</x:v>
      </x:c>
      <x:c r="K126" s="31" t="n">
        <x:v>0</x:v>
      </x:c>
      <x:c r="L126" s="31" t="n">
        <x:v>3.0059281072</x:v>
      </x:c>
      <x:c r="M126" s="31" t="n">
        <x:v>0.4403219637</x:v>
      </x:c>
      <x:c r="N126" s="24" t="str">
        <x:v>muraenesox cinereus</x:v>
      </x:c>
      <x:c r="O126" s="32" t="n">
        <x:v>4.38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Muraenesox cinereus</x:v>
      </x:c>
      <x:c r="T126" s="32" t="n">
        <x:f>IF(O126="","",(1/'Metadata'!$B$5)^(O126-1))</x:f>
        <x:v>2398.83291901949</x:v>
      </x:c>
      <x:c r="U126" s="31" t="n">
        <x:f>IF(T126="","",I126*T126)</x:f>
        <x:v>8266.97811724817</x:v>
      </x:c>
    </x:row>
    <x:row r="127" ht="18" customHeight="1">
      <x:c r="A127" s="24" t="str">
        <x:v>EEZ_356</x:v>
      </x:c>
      <x:c r="B127" s="24" t="str">
        <x:v>India (mainland)</x:v>
      </x:c>
      <x:c r="C127" s="24" t="str">
        <x:v>EEZ</x:v>
      </x:c>
      <x:c r="D127" s="30" t="n">
        <x:v>2019</x:v>
      </x:c>
      <x:c r="E127" s="24" t="str">
        <x:v>Seriolina nigrofasciata</x:v>
      </x:c>
      <x:c r="F127" s="24" t="str">
        <x:v>Blackbanded trevally</x:v>
      </x:c>
      <x:c r="G127" s="24" t="str">
        <x:v>Medium reef assoc. fish (30 - 89 cm)</x:v>
      </x:c>
      <x:c r="H127" s="24" t="str">
        <x:v>Perch-likes</x:v>
      </x:c>
      <x:c r="I127" s="31" t="n">
        <x:v>2.3064087998</x:v>
      </x:c>
      <x:c r="J127" s="31" t="n">
        <x:v>2.3064087998</x:v>
      </x:c>
      <x:c r="K127" s="31" t="n">
        <x:v>0</x:v>
      </x:c>
      <x:c r="L127" s="31" t="n">
        <x:v>1.4717822267</x:v>
      </x:c>
      <x:c r="M127" s="31" t="n">
        <x:v>0.8346265731</x:v>
      </x:c>
      <x:c r="N127" s="24" t="str">
        <x:v>seriolina nigrofasciata</x:v>
      </x:c>
      <x:c r="O127" s="32" t="n">
        <x:v>4.17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Seriolina nigrofasciata</x:v>
      </x:c>
      <x:c r="T127" s="32" t="n">
        <x:f>IF(O127="","",(1/'Metadata'!$B$5)^(O127-1))</x:f>
        <x:v>1479.1083881682073</x:v>
      </x:c>
      <x:c r="U127" s="31" t="n">
        <x:f>IF(T127="","",I127*T127)</x:f>
        <x:v>3411.428602329147</x:v>
      </x:c>
    </x:row>
    <x:row r="128" ht="18" customHeight="1">
      <x:c r="A128" s="24" t="str">
        <x:v>EEZ_356</x:v>
      </x:c>
      <x:c r="B128" s="24" t="str">
        <x:v>India (mainland)</x:v>
      </x:c>
      <x:c r="C128" s="24" t="str">
        <x:v>EEZ</x:v>
      </x:c>
      <x:c r="D128" s="30" t="n">
        <x:v>2019</x:v>
      </x:c>
      <x:c r="E128" s="24" t="str">
        <x:v>Terapon jarbua</x:v>
      </x:c>
      <x:c r="F128" s="24" t="str">
        <x:v>Jarbua terapon</x:v>
      </x:c>
      <x:c r="G128" s="24" t="str">
        <x:v>Medium demersals (30 - 89 cm)</x:v>
      </x:c>
      <x:c r="H128" s="24" t="str">
        <x:v>Perch-likes</x:v>
      </x:c>
      <x:c r="I128" s="31" t="n">
        <x:v>2.1264301876</x:v>
      </x:c>
      <x:c r="J128" s="31" t="n">
        <x:v>0</x:v>
      </x:c>
      <x:c r="K128" s="31" t="n">
        <x:v>2.1264301876</x:v>
      </x:c>
      <x:c r="L128" s="31" t="n">
        <x:v>0</x:v>
      </x:c>
      <x:c r="M128" s="31" t="n">
        <x:v>2.1264301876</x:v>
      </x:c>
      <x:c r="N128" s="24" t="str">
        <x:v>terapon jarbua</x:v>
      </x:c>
      <x:c r="O128" s="32" t="n">
        <x:v>3.93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Terapon jarbua</x:v>
      </x:c>
      <x:c r="T128" s="32" t="n">
        <x:f>IF(O128="","",(1/'Metadata'!$B$5)^(O128-1))</x:f>
        <x:v>851.1380382023768</x:v>
      </x:c>
      <x:c r="U128" s="31" t="n">
        <x:f>IF(T128="","",I128*T128)</x:f>
        <x:v>1809.8856182481761</x:v>
      </x:c>
    </x:row>
    <x:row r="129" ht="18" customHeight="1">
      <x:c r="A129" s="24" t="str">
        <x:v>EEZ_356</x:v>
      </x:c>
      <x:c r="B129" s="24" t="str">
        <x:v>India (mainland)</x:v>
      </x:c>
      <x:c r="C129" s="24" t="str">
        <x:v>EEZ</x:v>
      </x:c>
      <x:c r="D129" s="30" t="n">
        <x:v>2019</x:v>
      </x:c>
      <x:c r="E129" s="24" t="str">
        <x:v>Glaucostegus granulatus</x:v>
      </x:c>
      <x:c r="F129" s="24" t="str">
        <x:v>Granulated guitarfish</x:v>
      </x:c>
      <x:c r="G129" s="24" t="str">
        <x:v>Large rays (&gt;=90 cm)</x:v>
      </x:c>
      <x:c r="H129" s="24" t="str">
        <x:v>Sharks &amp; rays</x:v>
      </x:c>
      <x:c r="I129" s="31" t="n">
        <x:v>2.1166036056</x:v>
      </x:c>
      <x:c r="J129" s="31" t="n">
        <x:v>0</x:v>
      </x:c>
      <x:c r="K129" s="31" t="n">
        <x:v>2.1166036056</x:v>
      </x:c>
      <x:c r="L129" s="31" t="n">
        <x:v>0</x:v>
      </x:c>
      <x:c r="M129" s="31" t="n">
        <x:v>2.1166036056</x:v>
      </x:c>
      <x:c r="N129" s="24" t="str">
        <x:v>glaucostegus granulatus</x:v>
      </x:c>
      <x:c r="O129" s="32" t="n">
        <x:v>3.5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Glaucostegus granulatus</x:v>
      </x:c>
      <x:c r="T129" s="32" t="n">
        <x:f>IF(O129="","",(1/'Metadata'!$B$5)^(O129-1))</x:f>
        <x:v>316.22776601683796</x:v>
      </x:c>
      <x:c r="U129" s="31" t="n">
        <x:f>IF(T129="","",I129*T129)</x:f>
        <x:v>669.3288297420723</x:v>
      </x:c>
    </x:row>
    <x:row r="130" ht="18" customHeight="1">
      <x:c r="A130" s="24" t="str">
        <x:v>EEZ_356</x:v>
      </x:c>
      <x:c r="B130" s="24" t="str">
        <x:v>India (mainland)</x:v>
      </x:c>
      <x:c r="C130" s="24" t="str">
        <x:v>EEZ</x:v>
      </x:c>
      <x:c r="D130" s="30" t="n">
        <x:v>2019</x:v>
      </x:c>
      <x:c r="E130" s="24" t="str">
        <x:v>Pampus argenteus</x:v>
      </x:c>
      <x:c r="F130" s="24" t="str">
        <x:v>Silver pomfret</x:v>
      </x:c>
      <x:c r="G130" s="24" t="str">
        <x:v>Medium benthopelagics (30 - 89 cm)</x:v>
      </x:c>
      <x:c r="H130" s="24" t="str">
        <x:v>Perch-likes</x:v>
      </x:c>
      <x:c r="I130" s="31" t="n">
        <x:v>2.0159692635999997</x:v>
      </x:c>
      <x:c r="J130" s="31" t="n">
        <x:v>2.0159692635999997</x:v>
      </x:c>
      <x:c r="K130" s="31" t="n">
        <x:v>0</x:v>
      </x:c>
      <x:c r="L130" s="31" t="n">
        <x:v>0.2868728069</x:v>
      </x:c>
      <x:c r="M130" s="31" t="n">
        <x:v>1.7290964567</x:v>
      </x:c>
      <x:c r="N130" s="24" t="str">
        <x:v>pampus argenteus</x:v>
      </x:c>
      <x:c r="O130" s="32" t="n">
        <x:v>3.3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Pampus argenteus</x:v>
      </x:c>
      <x:c r="T130" s="32" t="n">
        <x:f>IF(O130="","",(1/'Metadata'!$B$5)^(O130-1))</x:f>
        <x:v>199.52623149688787</x:v>
      </x:c>
      <x:c r="U130" s="31" t="n">
        <x:f>IF(T130="","",I130*T130)</x:f>
        <x:v>402.23874997966414</x:v>
      </x:c>
    </x:row>
    <x:row r="131" ht="18" customHeight="1">
      <x:c r="A131" s="24" t="str">
        <x:v>EEZ_356</x:v>
      </x:c>
      <x:c r="B131" s="24" t="str">
        <x:v>India (mainland)</x:v>
      </x:c>
      <x:c r="C131" s="24" t="str">
        <x:v>EEZ</x:v>
      </x:c>
      <x:c r="D131" s="30" t="n">
        <x:v>2019</x:v>
      </x:c>
      <x:c r="E131" s="24" t="str">
        <x:v>Mugil cephalus</x:v>
      </x:c>
      <x:c r="F131" s="24" t="str">
        <x:v>Flathead grey mullet</x:v>
      </x:c>
      <x:c r="G131" s="24" t="str">
        <x:v>Large benthopelagics (&gt;=90 cm)</x:v>
      </x:c>
      <x:c r="H131" s="24" t="str">
        <x:v>Perch-likes</x:v>
      </x:c>
      <x:c r="I131" s="31" t="n">
        <x:v>1.9697720566</x:v>
      </x:c>
      <x:c r="J131" s="31" t="n">
        <x:v>0</x:v>
      </x:c>
      <x:c r="K131" s="31" t="n">
        <x:v>1.9697720566</x:v>
      </x:c>
      <x:c r="L131" s="31" t="n">
        <x:v>0</x:v>
      </x:c>
      <x:c r="M131" s="31" t="n">
        <x:v>1.9697720566</x:v>
      </x:c>
      <x:c r="N131" s="24" t="str">
        <x:v>mugil cephalus</x:v>
      </x:c>
      <x:c r="O131" s="32" t="n">
        <x:v>2.14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Mugil cephalus</x:v>
      </x:c>
      <x:c r="T131" s="32" t="n">
        <x:f>IF(O131="","",(1/'Metadata'!$B$5)^(O131-1))</x:f>
        <x:v>13.803842646028853</x:v>
      </x:c>
      <x:c r="U131" s="31" t="n">
        <x:f>IF(T131="","",I131*T131)</x:f>
        <x:v>27.19042351785104</x:v>
      </x:c>
    </x:row>
    <x:row r="132" ht="18" customHeight="1">
      <x:c r="A132" s="24" t="str">
        <x:v>EEZ_356</x:v>
      </x:c>
      <x:c r="B132" s="24" t="str">
        <x:v>India (mainland)</x:v>
      </x:c>
      <x:c r="C132" s="24" t="str">
        <x:v>EEZ</x:v>
      </x:c>
      <x:c r="D132" s="30" t="n">
        <x:v>2019</x:v>
      </x:c>
      <x:c r="E132" s="24" t="str">
        <x:v>Scomberoides</x:v>
      </x:c>
      <x:c r="F132" s="24" t="str">
        <x:v>Queenfishes</x:v>
      </x:c>
      <x:c r="G132" s="24" t="str">
        <x:v>Medium pelagics (30 - 89 cm)</x:v>
      </x:c>
      <x:c r="H132" s="24" t="str">
        <x:v>Perch-likes</x:v>
      </x:c>
      <x:c r="I132" s="31" t="n">
        <x:v>1.5718642493</x:v>
      </x:c>
      <x:c r="J132" s="31" t="n">
        <x:v>1.5718642493</x:v>
      </x:c>
      <x:c r="K132" s="31" t="n">
        <x:v>0</x:v>
      </x:c>
      <x:c r="L132" s="31" t="n">
        <x:v>1.5718642493</x:v>
      </x:c>
      <x:c r="M132" s="31" t="n">
        <x:v>0</x:v>
      </x:c>
      <x:c r="N132" s="24" t="str">
        <x:v>scomberoides</x:v>
      </x:c>
      <x:c r="O132" s="32" t="n">
        <x:v>4.47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Scomberoides</x:v>
      </x:c>
      <x:c r="T132" s="32" t="n">
        <x:f>IF(O132="","",(1/'Metadata'!$B$5)^(O132-1))</x:f>
        <x:v>2951.209226666384</x:v>
      </x:c>
      <x:c r="U132" s="31" t="n">
        <x:f>IF(T132="","",I132*T132)</x:f>
        <x:v>4638.900275601189</x:v>
      </x:c>
    </x:row>
    <x:row r="133" ht="18" customHeight="1">
      <x:c r="A133" s="24" t="str">
        <x:v>EEZ_356</x:v>
      </x:c>
      <x:c r="B133" s="24" t="str">
        <x:v>India (mainland)</x:v>
      </x:c>
      <x:c r="C133" s="24" t="str">
        <x:v>EEZ</x:v>
      </x:c>
      <x:c r="D133" s="30" t="n">
        <x:v>2019</x:v>
      </x:c>
      <x:c r="E133" s="24" t="str">
        <x:v>Penaeus monodon</x:v>
      </x:c>
      <x:c r="F133" s="24" t="str">
        <x:v>Giant tiger prawn</x:v>
      </x:c>
      <x:c r="G133" s="24" t="str">
        <x:v>Shrimps</x:v>
      </x:c>
      <x:c r="H133" s="24" t="str">
        <x:v>Crustaceans</x:v>
      </x:c>
      <x:c r="I133" s="31" t="n">
        <x:v>1.4467226855</x:v>
      </x:c>
      <x:c r="J133" s="31" t="n">
        <x:v>1.4467226855</x:v>
      </x:c>
      <x:c r="K133" s="31" t="n">
        <x:v>0</x:v>
      </x:c>
      <x:c r="L133" s="31" t="n">
        <x:v>1.3969458423</x:v>
      </x:c>
      <x:c r="M133" s="31" t="n">
        <x:v>0.0497768432</x:v>
      </x:c>
      <x:c r="N133" s="24" t="str">
        <x:v>penaeus monodon</x:v>
      </x:c>
      <x:c r="O133" s="32" t="n">
        <x:v>2.6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Penaeus monodon</x:v>
      </x:c>
      <x:c r="T133" s="32" t="n">
        <x:f>IF(O133="","",(1/'Metadata'!$B$5)^(O133-1))</x:f>
        <x:v>39.810717055349734</x:v>
      </x:c>
      <x:c r="U133" s="31" t="n">
        <x:f>IF(T133="","",I133*T133)</x:f>
        <x:v>57.59506748999622</x:v>
      </x:c>
    </x:row>
    <x:row r="134" ht="18" customHeight="1">
      <x:c r="A134" s="24" t="str">
        <x:v>EEZ_356</x:v>
      </x:c>
      <x:c r="B134" s="24" t="str">
        <x:v>India (mainland)</x:v>
      </x:c>
      <x:c r="C134" s="24" t="str">
        <x:v>EEZ</x:v>
      </x:c>
      <x:c r="D134" s="30" t="n">
        <x:v>2019</x:v>
      </x:c>
      <x:c r="E134" s="24" t="str">
        <x:v>Nemipterus japonicus</x:v>
      </x:c>
      <x:c r="F134" s="24" t="str">
        <x:v>Japanese threadfin bream</x:v>
      </x:c>
      <x:c r="G134" s="24" t="str">
        <x:v>Small demersals (&lt;30 cm)</x:v>
      </x:c>
      <x:c r="H134" s="24" t="str">
        <x:v>Perch-likes</x:v>
      </x:c>
      <x:c r="I134" s="31" t="n">
        <x:v>1.3611585712</x:v>
      </x:c>
      <x:c r="J134" s="31" t="n">
        <x:v>0</x:v>
      </x:c>
      <x:c r="K134" s="31" t="n">
        <x:v>1.3611585712</x:v>
      </x:c>
      <x:c r="L134" s="31" t="n">
        <x:v>0</x:v>
      </x:c>
      <x:c r="M134" s="31" t="n">
        <x:v>1.3611585712</x:v>
      </x:c>
      <x:c r="N134" s="24" t="str">
        <x:v>nemipterus japonicus</x:v>
      </x:c>
      <x:c r="O134" s="32" t="n">
        <x:v>3.77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Nemipterus japonicus</x:v>
      </x:c>
      <x:c r="T134" s="32" t="n">
        <x:f>IF(O134="","",(1/'Metadata'!$B$5)^(O134-1))</x:f>
        <x:v>588.843655355589</x:v>
      </x:c>
      <x:c r="U134" s="31" t="n">
        <x:f>IF(T134="","",I134*T134)</x:f>
        <x:v>801.5095885839988</x:v>
      </x:c>
    </x:row>
    <x:row r="135" ht="18" customHeight="1">
      <x:c r="A135" s="24" t="str">
        <x:v>EEZ_356</x:v>
      </x:c>
      <x:c r="B135" s="24" t="str">
        <x:v>India (mainland)</x:v>
      </x:c>
      <x:c r="C135" s="24" t="str">
        <x:v>EEZ</x:v>
      </x:c>
      <x:c r="D135" s="30" t="n">
        <x:v>2019</x:v>
      </x:c>
      <x:c r="E135" s="24" t="str">
        <x:v>Psettodes erumei</x:v>
      </x:c>
      <x:c r="F135" s="24" t="str">
        <x:v>Indian halibut</x:v>
      </x:c>
      <x:c r="G135" s="24" t="str">
        <x:v>Small to medium flatfishes (&lt;90 cm)</x:v>
      </x:c>
      <x:c r="H135" s="24" t="str">
        <x:v>Flatfishes</x:v>
      </x:c>
      <x:c r="I135" s="31" t="n">
        <x:v>1.2594962991</x:v>
      </x:c>
      <x:c r="J135" s="31" t="n">
        <x:v>1.2594962991</x:v>
      </x:c>
      <x:c r="K135" s="31" t="n">
        <x:v>0</x:v>
      </x:c>
      <x:c r="L135" s="31" t="n">
        <x:v>1.1849094198</x:v>
      </x:c>
      <x:c r="M135" s="31" t="n">
        <x:v>0.07458687929999999</x:v>
      </x:c>
      <x:c r="N135" s="24" t="str">
        <x:v>psettodes erumei</x:v>
      </x:c>
      <x:c r="O135" s="32" t="n">
        <x:v>4.39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Psettodes erumei</x:v>
      </x:c>
      <x:c r="T135" s="32" t="n">
        <x:f>IF(O135="","",(1/'Metadata'!$B$5)^(O135-1))</x:f>
        <x:v>2454.7089156850284</x:v>
      </x:c>
      <x:c r="U135" s="31" t="n">
        <x:f>IF(T135="","",I135*T135)</x:f>
        <x:v>3091.6967946730674</x:v>
      </x:c>
    </x:row>
    <x:row r="136" ht="18" customHeight="1">
      <x:c r="A136" s="24" t="str">
        <x:v>EEZ_356</x:v>
      </x:c>
      <x:c r="B136" s="24" t="str">
        <x:v>India (mainland)</x:v>
      </x:c>
      <x:c r="C136" s="24" t="str">
        <x:v>EEZ</x:v>
      </x:c>
      <x:c r="D136" s="30" t="n">
        <x:v>2019</x:v>
      </x:c>
      <x:c r="E136" s="24" t="str">
        <x:v>Pomadasys</x:v>
      </x:c>
      <x:c r="F136" s="24" t="str">
        <x:v>Grunters</x:v>
      </x:c>
      <x:c r="G136" s="24" t="str">
        <x:v>Medium demersals (30 - 89 cm)</x:v>
      </x:c>
      <x:c r="H136" s="24" t="str">
        <x:v>Perch-likes</x:v>
      </x:c>
      <x:c r="I136" s="31" t="n">
        <x:v>1.2085644993</x:v>
      </x:c>
      <x:c r="J136" s="31" t="n">
        <x:v>1.2085644993</x:v>
      </x:c>
      <x:c r="K136" s="31" t="n">
        <x:v>0</x:v>
      </x:c>
      <x:c r="L136" s="31" t="n">
        <x:v>1.2085644993</x:v>
      </x:c>
      <x:c r="M136" s="31" t="n">
        <x:v>0</x:v>
      </x:c>
      <x:c r="N136" s="24" t="str">
        <x:v>pomadasys</x:v>
      </x:c>
      <x:c r="O136" s="32" t="n">
        <x:v>3.59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Pomadasys</x:v>
      </x:c>
      <x:c r="T136" s="32" t="n">
        <x:f>IF(O136="","",(1/'Metadata'!$B$5)^(O136-1))</x:f>
        <x:v>389.04514499428046</x:v>
      </x:c>
      <x:c r="U136" s="31" t="n">
        <x:f>IF(T136="","",I136*T136)</x:f>
        <x:v>470.18615086510846</x:v>
      </x:c>
    </x:row>
    <x:row r="137" ht="18" customHeight="1">
      <x:c r="A137" s="24" t="str">
        <x:v>EEZ_356</x:v>
      </x:c>
      <x:c r="B137" s="24" t="str">
        <x:v>India (mainland)</x:v>
      </x:c>
      <x:c r="C137" s="24" t="str">
        <x:v>EEZ</x:v>
      </x:c>
      <x:c r="D137" s="30" t="n">
        <x:v>2019</x:v>
      </x:c>
      <x:c r="E137" s="24" t="str">
        <x:v>Scomberoides lysan</x:v>
      </x:c>
      <x:c r="F137" s="24" t="str">
        <x:v>Doublespotted queenfish</x:v>
      </x:c>
      <x:c r="G137" s="24" t="str">
        <x:v>Medium reef assoc. fish (30 - 89 cm)</x:v>
      </x:c>
      <x:c r="H137" s="24" t="str">
        <x:v>Perch-likes</x:v>
      </x:c>
      <x:c r="I137" s="31" t="n">
        <x:v>1.1561404634</x:v>
      </x:c>
      <x:c r="J137" s="31" t="n">
        <x:v>0</x:v>
      </x:c>
      <x:c r="K137" s="31" t="n">
        <x:v>1.1561404634</x:v>
      </x:c>
      <x:c r="L137" s="31" t="n">
        <x:v>0</x:v>
      </x:c>
      <x:c r="M137" s="31" t="n">
        <x:v>1.1561404634</x:v>
      </x:c>
      <x:c r="N137" s="24" t="str">
        <x:v>scomberoides lysan</x:v>
      </x:c>
      <x:c r="O137" s="32" t="n">
        <x:v>4.38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Scomberoides lysan</x:v>
      </x:c>
      <x:c r="T137" s="32" t="n">
        <x:f>IF(O137="","",(1/'Metadata'!$B$5)^(O137-1))</x:f>
        <x:v>2398.83291901949</x:v>
      </x:c>
      <x:c r="U137" s="31" t="n">
        <x:f>IF(T137="","",I137*T137)</x:f>
        <x:v>2773.387802614368</x:v>
      </x:c>
    </x:row>
    <x:row r="138" ht="18" customHeight="1">
      <x:c r="A138" s="24" t="str">
        <x:v>EEZ_356</x:v>
      </x:c>
      <x:c r="B138" s="24" t="str">
        <x:v>India (mainland)</x:v>
      </x:c>
      <x:c r="C138" s="24" t="str">
        <x:v>EEZ</x:v>
      </x:c>
      <x:c r="D138" s="30" t="n">
        <x:v>2019</x:v>
      </x:c>
      <x:c r="E138" s="24" t="str">
        <x:v>Sillago sihama</x:v>
      </x:c>
      <x:c r="F138" s="24" t="str">
        <x:v>Silver sillago</x:v>
      </x:c>
      <x:c r="G138" s="24" t="str">
        <x:v>Medium demersals (30 - 89 cm)</x:v>
      </x:c>
      <x:c r="H138" s="24" t="str">
        <x:v>Perch-likes</x:v>
      </x:c>
      <x:c r="I138" s="31" t="n">
        <x:v>1.1455645953</x:v>
      </x:c>
      <x:c r="J138" s="31" t="n">
        <x:v>0</x:v>
      </x:c>
      <x:c r="K138" s="31" t="n">
        <x:v>1.1455645953</x:v>
      </x:c>
      <x:c r="L138" s="31" t="n">
        <x:v>0</x:v>
      </x:c>
      <x:c r="M138" s="31" t="n">
        <x:v>1.1455645953</x:v>
      </x:c>
      <x:c r="N138" s="24" t="str">
        <x:v>sillago sihama</x:v>
      </x:c>
      <x:c r="O138" s="32" t="n">
        <x:v>3.33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Sillago sihama</x:v>
      </x:c>
      <x:c r="T138" s="32" t="n">
        <x:f>IF(O138="","",(1/'Metadata'!$B$5)^(O138-1))</x:f>
        <x:v>213.79620895022325</x:v>
      </x:c>
      <x:c r="U138" s="31" t="n">
        <x:f>IF(T138="","",I138*T138)</x:f>
        <x:v>244.91736758273672</x:v>
      </x:c>
    </x:row>
    <x:row r="139" ht="18" customHeight="1">
      <x:c r="A139" s="24" t="str">
        <x:v>EEZ_356</x:v>
      </x:c>
      <x:c r="B139" s="24" t="str">
        <x:v>India (mainland)</x:v>
      </x:c>
      <x:c r="C139" s="24" t="str">
        <x:v>EEZ</x:v>
      </x:c>
      <x:c r="D139" s="30" t="n">
        <x:v>2019</x:v>
      </x:c>
      <x:c r="E139" s="24" t="str">
        <x:v>Epinephelus</x:v>
      </x:c>
      <x:c r="F139" s="24" t="str">
        <x:v>Seabasses, hinds</x:v>
      </x:c>
      <x:c r="G139" s="24" t="str">
        <x:v>Medium reef assoc. fish (30 - 89 cm)</x:v>
      </x:c>
      <x:c r="H139" s="24" t="str">
        <x:v>Perch-likes</x:v>
      </x:c>
      <x:c r="I139" s="31" t="n">
        <x:v>1.1279528543000001</x:v>
      </x:c>
      <x:c r="J139" s="31" t="n">
        <x:v>1.1279528543000001</x:v>
      </x:c>
      <x:c r="K139" s="31" t="n">
        <x:v>0</x:v>
      </x:c>
      <x:c r="L139" s="31" t="n">
        <x:v>1.1279528543000001</x:v>
      </x:c>
      <x:c r="M139" s="31" t="n">
        <x:v>0</x:v>
      </x:c>
      <x:c r="N139" s="24" t="str">
        <x:v>epinephelus</x:v>
      </x:c>
      <x:c r="O139" s="32" t="n">
        <x:v>3.84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Epinephelus</x:v>
      </x:c>
      <x:c r="T139" s="32" t="n">
        <x:f>IF(O139="","",(1/'Metadata'!$B$5)^(O139-1))</x:f>
        <x:v>691.8309709189363</x:v>
      </x:c>
      <x:c r="U139" s="31" t="n">
        <x:f>IF(T139="","",I139*T139)</x:f>
        <x:v>780.3527183411545</x:v>
      </x:c>
    </x:row>
    <x:row r="140" ht="18" customHeight="1">
      <x:c r="A140" s="24" t="str">
        <x:v>EEZ_356</x:v>
      </x:c>
      <x:c r="B140" s="24" t="str">
        <x:v>India (mainland)</x:v>
      </x:c>
      <x:c r="C140" s="24" t="str">
        <x:v>EEZ</x:v>
      </x:c>
      <x:c r="D140" s="30" t="n">
        <x:v>2019</x:v>
      </x:c>
      <x:c r="E140" s="24" t="str">
        <x:v>Netuma thalassina</x:v>
      </x:c>
      <x:c r="F140" s="24" t="str">
        <x:v>Giant catfish</x:v>
      </x:c>
      <x:c r="G140" s="24" t="str">
        <x:v>Large demersals (&gt;=90 cm)</x:v>
      </x:c>
      <x:c r="H140" s="24" t="str">
        <x:v>Other fishes &amp; inverts</x:v>
      </x:c>
      <x:c r="I140" s="31" t="n">
        <x:v>1.0467634912</x:v>
      </x:c>
      <x:c r="J140" s="31" t="n">
        <x:v>0</x:v>
      </x:c>
      <x:c r="K140" s="31" t="n">
        <x:v>1.0467634912</x:v>
      </x:c>
      <x:c r="L140" s="31" t="n">
        <x:v>0</x:v>
      </x:c>
      <x:c r="M140" s="31" t="n">
        <x:v>1.0467634912</x:v>
      </x:c>
      <x:c r="N140" s="24" t="str">
        <x:v>netuma thalassina</x:v>
      </x:c>
      <x:c r="O140" s="32" t="n">
        <x:v>3.54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Netuma thalassina</x:v>
      </x:c>
      <x:c r="T140" s="32" t="n">
        <x:f>IF(O140="","",(1/'Metadata'!$B$5)^(O140-1))</x:f>
        <x:v>346.73685045253166</x:v>
      </x:c>
      <x:c r="U140" s="31" t="n">
        <x:f>IF(T140="","",I140*T140)</x:f>
        <x:v>362.9514761073843</x:v>
      </x:c>
    </x:row>
    <x:row r="141" ht="18" customHeight="1">
      <x:c r="A141" s="24" t="str">
        <x:v>EEZ_356</x:v>
      </x:c>
      <x:c r="B141" s="24" t="str">
        <x:v>India (mainland)</x:v>
      </x:c>
      <x:c r="C141" s="24" t="str">
        <x:v>EEZ</x:v>
      </x:c>
      <x:c r="D141" s="30" t="n">
        <x:v>2019</x:v>
      </x:c>
      <x:c r="E141" s="24" t="str">
        <x:v>Thenus orientalis</x:v>
      </x:c>
      <x:c r="F141" s="24" t="str">
        <x:v>Flathead lobster</x:v>
      </x:c>
      <x:c r="G141" s="24" t="str">
        <x:v>Lobsters, crabs</x:v>
      </x:c>
      <x:c r="H141" s="24" t="str">
        <x:v>Crustaceans</x:v>
      </x:c>
      <x:c r="I141" s="31" t="n">
        <x:v>0.9978184587</x:v>
      </x:c>
      <x:c r="J141" s="31" t="n">
        <x:v>0.9978184587</x:v>
      </x:c>
      <x:c r="K141" s="31" t="n">
        <x:v>0</x:v>
      </x:c>
      <x:c r="L141" s="31" t="n">
        <x:v>0.9978184587</x:v>
      </x:c>
      <x:c r="M141" s="31" t="n">
        <x:v>0</x:v>
      </x:c>
      <x:c r="N141" s="24" t="str">
        <x:v>thenus orientalis</x:v>
      </x:c>
      <x:c r="O141" s="32" t="n">
        <x:v>2.5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Thenus orientalis</x:v>
      </x:c>
      <x:c r="T141" s="32" t="n">
        <x:f>IF(O141="","",(1/'Metadata'!$B$5)^(O141-1))</x:f>
        <x:v>31.622776601683793</x:v>
      </x:c>
      <x:c r="U141" s="31" t="n">
        <x:f>IF(T141="","",I141*T141)</x:f>
        <x:v>31.553790208506545</x:v>
      </x:c>
    </x:row>
    <x:row r="142" ht="18" customHeight="1">
      <x:c r="A142" s="24" t="str">
        <x:v>EEZ_356</x:v>
      </x:c>
      <x:c r="B142" s="24" t="str">
        <x:v>India (mainland)</x:v>
      </x:c>
      <x:c r="C142" s="24" t="str">
        <x:v>EEZ</x:v>
      </x:c>
      <x:c r="D142" s="30" t="n">
        <x:v>2019</x:v>
      </x:c>
      <x:c r="E142" s="24" t="str">
        <x:v>Sphyraena barracuda</x:v>
      </x:c>
      <x:c r="F142" s="24" t="str">
        <x:v>Great barracuda</x:v>
      </x:c>
      <x:c r="G142" s="24" t="str">
        <x:v>Large pelagics (&gt;=90 cm)</x:v>
      </x:c>
      <x:c r="H142" s="24" t="str">
        <x:v>Perch-likes</x:v>
      </x:c>
      <x:c r="I142" s="31" t="n">
        <x:v>0.8622690815999999</x:v>
      </x:c>
      <x:c r="J142" s="31" t="n">
        <x:v>0.7530614884</x:v>
      </x:c>
      <x:c r="K142" s="31" t="n">
        <x:v>0.1092075932</x:v>
      </x:c>
      <x:c r="L142" s="31" t="n">
        <x:v>0.7530614884</x:v>
      </x:c>
      <x:c r="M142" s="31" t="n">
        <x:v>0.1092075932</x:v>
      </x:c>
      <x:c r="N142" s="24" t="str">
        <x:v>sphyraena barracuda</x:v>
      </x:c>
      <x:c r="O142" s="32" t="n">
        <x:v>4.49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Sphyraena barracuda</x:v>
      </x:c>
      <x:c r="T142" s="32" t="n">
        <x:f>IF(O142="","",(1/'Metadata'!$B$5)^(O142-1))</x:f>
        <x:v>3090.295432513592</x:v>
      </x:c>
      <x:c r="U142" s="31" t="n">
        <x:f>IF(T142="","",I142*T142)</x:f>
        <x:v>2664.6662044661693</x:v>
      </x:c>
    </x:row>
    <x:row r="143" ht="18" customHeight="1">
      <x:c r="A143" s="24" t="str">
        <x:v>EEZ_356</x:v>
      </x:c>
      <x:c r="B143" s="24" t="str">
        <x:v>India (mainland)</x:v>
      </x:c>
      <x:c r="C143" s="24" t="str">
        <x:v>EEZ</x:v>
      </x:c>
      <x:c r="D143" s="30" t="n">
        <x:v>2019</x:v>
      </x:c>
      <x:c r="E143" s="24" t="str">
        <x:v>Himantura uarnak</x:v>
      </x:c>
      <x:c r="F143" s="24" t="str">
        <x:v>Honeycomb stingray</x:v>
      </x:c>
      <x:c r="G143" s="24" t="str">
        <x:v>Large rays (&gt;=90 cm)</x:v>
      </x:c>
      <x:c r="H143" s="24" t="str">
        <x:v>Sharks &amp; rays</x:v>
      </x:c>
      <x:c r="I143" s="31" t="n">
        <x:v>0.5277086501</x:v>
      </x:c>
      <x:c r="J143" s="31" t="n">
        <x:v>0</x:v>
      </x:c>
      <x:c r="K143" s="31" t="n">
        <x:v>0.5277086501</x:v>
      </x:c>
      <x:c r="L143" s="31" t="n">
        <x:v>0</x:v>
      </x:c>
      <x:c r="M143" s="31" t="n">
        <x:v>0.5277086501</x:v>
      </x:c>
      <x:c r="N143" s="24" t="str">
        <x:v>himantura uarnak</x:v>
      </x:c>
      <x:c r="O143" s="32" t="n">
        <x:v>3.6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Himantura uarnak</x:v>
      </x:c>
      <x:c r="T143" s="32" t="n">
        <x:f>IF(O143="","",(1/'Metadata'!$B$5)^(O143-1))</x:f>
        <x:v>398.1071705534973</x:v>
      </x:c>
      <x:c r="U143" s="31" t="n">
        <x:f>IF(T143="","",I143*T143)</x:f>
        <x:v>210.08459756791655</x:v>
      </x:c>
    </x:row>
    <x:row r="144" ht="18" customHeight="1">
      <x:c r="A144" s="24" t="str">
        <x:v>EEZ_356</x:v>
      </x:c>
      <x:c r="B144" s="24" t="str">
        <x:v>India (mainland)</x:v>
      </x:c>
      <x:c r="C144" s="24" t="str">
        <x:v>EEZ</x:v>
      </x:c>
      <x:c r="D144" s="30" t="n">
        <x:v>2019</x:v>
      </x:c>
      <x:c r="E144" s="24" t="str">
        <x:v>Saurida tumbil</x:v>
      </x:c>
      <x:c r="F144" s="24" t="str">
        <x:v>Greater lizardfish</x:v>
      </x:c>
      <x:c r="G144" s="24" t="str">
        <x:v>Medium demersals (30 - 89 cm)</x:v>
      </x:c>
      <x:c r="H144" s="24" t="str">
        <x:v>Other fishes &amp; inverts</x:v>
      </x:c>
      <x:c r="I144" s="31" t="n">
        <x:v>0.3126193299</x:v>
      </x:c>
      <x:c r="J144" s="31" t="n">
        <x:v>0</x:v>
      </x:c>
      <x:c r="K144" s="31" t="n">
        <x:v>0.3126193299</x:v>
      </x:c>
      <x:c r="L144" s="31" t="n">
        <x:v>0</x:v>
      </x:c>
      <x:c r="M144" s="31" t="n">
        <x:v>0.3126193299</x:v>
      </x:c>
      <x:c r="N144" s="24" t="str">
        <x:v>saurida tumbil</x:v>
      </x:c>
      <x:c r="O144" s="32" t="n">
        <x:v>4.4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Saurida tumbil</x:v>
      </x:c>
      <x:c r="T144" s="32" t="n">
        <x:f>IF(O144="","",(1/'Metadata'!$B$5)^(O144-1))</x:f>
        <x:v>2511.886431509582</x:v>
      </x:c>
      <x:c r="U144" s="31" t="n">
        <x:f>IF(T144="","",I144*T144)</x:f>
        <x:v>785.2642530034278</x:v>
      </x:c>
    </x:row>
    <x:row r="145" ht="18" customHeight="1">
      <x:c r="A145" s="24" t="str">
        <x:v>EEZ_356</x:v>
      </x:c>
      <x:c r="B145" s="24" t="str">
        <x:v>India (mainland)</x:v>
      </x:c>
      <x:c r="C145" s="24" t="str">
        <x:v>EEZ</x:v>
      </x:c>
      <x:c r="D145" s="30" t="n">
        <x:v>2019</x:v>
      </x:c>
      <x:c r="E145" s="24" t="str">
        <x:v>Mollusca</x:v>
      </x:c>
      <x:c r="F145" s="24" t="str">
        <x:v>Clams, seasnails, squids, octopuses</x:v>
      </x:c>
      <x:c r="G145" s="24" t="str">
        <x:v>Other demersal invertebrates</x:v>
      </x:c>
      <x:c r="H145" s="24" t="str">
        <x:v>Molluscs</x:v>
      </x:c>
      <x:c r="I145" s="31" t="n">
        <x:v>0.236938796</x:v>
      </x:c>
      <x:c r="J145" s="31" t="n">
        <x:v>0.236938796</x:v>
      </x:c>
      <x:c r="K145" s="31" t="n">
        <x:v>0</x:v>
      </x:c>
      <x:c r="L145" s="31" t="n">
        <x:v>0.21203642250000002</x:v>
      </x:c>
      <x:c r="M145" s="31" t="n">
        <x:v>0.024902373499999998</x:v>
      </x:c>
      <x:c r="N145" s="24" t="str">
        <x:v>mollusca</x:v>
      </x:c>
      <x:c r="O145" s="32" t="n">
        <x:v>2.1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Mollusca</x:v>
      </x:c>
      <x:c r="T145" s="32" t="n">
        <x:f>IF(O145="","",(1/'Metadata'!$B$5)^(O145-1))</x:f>
        <x:v>12.589254117941675</x:v>
      </x:c>
      <x:c r="U145" s="31" t="n">
        <x:f>IF(T145="","",I145*T145)</x:f>
        <x:v>2.9828827132431424</x:v>
      </x:c>
    </x:row>
    <x:row r="146" ht="18" customHeight="1">
      <x:c r="A146" s="24" t="str">
        <x:v>EEZ_356</x:v>
      </x:c>
      <x:c r="B146" s="24" t="str">
        <x:v>India (mainland)</x:v>
      </x:c>
      <x:c r="C146" s="24" t="str">
        <x:v>EEZ</x:v>
      </x:c>
      <x:c r="D146" s="30" t="n">
        <x:v>2019</x:v>
      </x:c>
      <x:c r="E146" s="24" t="str">
        <x:v>Decapterus macarellus</x:v>
      </x:c>
      <x:c r="F146" s="24" t="str">
        <x:v>Mackerel scad</x:v>
      </x:c>
      <x:c r="G146" s="24" t="str">
        <x:v>Medium pelagics (30 - 89 cm)</x:v>
      </x:c>
      <x:c r="H146" s="24" t="str">
        <x:v>Perch-likes</x:v>
      </x:c>
      <x:c r="I146" s="31" t="n">
        <x:v>0.2054551707</x:v>
      </x:c>
      <x:c r="J146" s="31" t="n">
        <x:v>0.2054551707</x:v>
      </x:c>
      <x:c r="K146" s="31" t="n">
        <x:v>0</x:v>
      </x:c>
      <x:c r="L146" s="31" t="n">
        <x:v>0.2054551707</x:v>
      </x:c>
      <x:c r="M146" s="31" t="n">
        <x:v>0</x:v>
      </x:c>
      <x:c r="N146" s="24" t="str">
        <x:v>decapterus macarellus</x:v>
      </x:c>
      <x:c r="O146" s="32" t="n">
        <x:v>3.96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Decapterus macarellus</x:v>
      </x:c>
      <x:c r="T146" s="32" t="n">
        <x:f>IF(O146="","",(1/'Metadata'!$B$5)^(O146-1))</x:f>
        <x:v>912.0108393559096</x:v>
      </x:c>
      <x:c r="U146" s="31" t="n">
        <x:f>IF(T146="","",I146*T146)</x:f>
        <x:v>187.3773426801187</x:v>
      </x:c>
    </x:row>
    <x:row r="147" ht="18" customHeight="1">
      <x:c r="A147" s="24" t="str">
        <x:v>EEZ_356</x:v>
      </x:c>
      <x:c r="B147" s="24" t="str">
        <x:v>India (mainland)</x:v>
      </x:c>
      <x:c r="C147" s="24" t="str">
        <x:v>EEZ</x:v>
      </x:c>
      <x:c r="D147" s="30" t="n">
        <x:v>2019</x:v>
      </x:c>
      <x:c r="E147" s="24" t="str">
        <x:v>Lepturacanthus savala</x:v>
      </x:c>
      <x:c r="F147" s="24" t="str">
        <x:v>Savalai hairtail</x:v>
      </x:c>
      <x:c r="G147" s="24" t="str">
        <x:v>Large benthopelagics (&gt;=90 cm)</x:v>
      </x:c>
      <x:c r="H147" s="24" t="str">
        <x:v>Perch-likes</x:v>
      </x:c>
      <x:c r="I147" s="31" t="n">
        <x:v>0.1604434906</x:v>
      </x:c>
      <x:c r="J147" s="31" t="n">
        <x:v>0</x:v>
      </x:c>
      <x:c r="K147" s="31" t="n">
        <x:v>0.1604434906</x:v>
      </x:c>
      <x:c r="L147" s="31" t="n">
        <x:v>0</x:v>
      </x:c>
      <x:c r="M147" s="31" t="n">
        <x:v>0.1604434906</x:v>
      </x:c>
      <x:c r="N147" s="24" t="str">
        <x:v>lepturacanthus savala</x:v>
      </x:c>
      <x:c r="O147" s="32" t="n">
        <x:v>4.31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Lepturacanthus savala</x:v>
      </x:c>
      <x:c r="T147" s="32" t="n">
        <x:f>IF(O147="","",(1/'Metadata'!$B$5)^(O147-1))</x:f>
        <x:v>2041.7379446695275</x:v>
      </x:c>
      <x:c r="U147" s="31" t="n">
        <x:f>IF(T147="","",I147*T147)</x:f>
        <x:v>327.58356273324864</x:v>
      </x:c>
    </x:row>
    <x:row r="148" ht="18" customHeight="1">
      <x:c r="A148" s="24" t="str">
        <x:v>EEZ_356</x:v>
      </x:c>
      <x:c r="B148" s="24" t="str">
        <x:v>India (mainland)</x:v>
      </x:c>
      <x:c r="C148" s="24" t="str">
        <x:v>EEZ</x:v>
      </x:c>
      <x:c r="D148" s="30" t="n">
        <x:v>2019</x:v>
      </x:c>
      <x:c r="E148" s="24" t="str">
        <x:v>Sergestidae</x:v>
      </x:c>
      <x:c r="F148" s="24" t="str">
        <x:v>Sergestid shrimp</x:v>
      </x:c>
      <x:c r="G148" s="24" t="str">
        <x:v>Shrimps</x:v>
      </x:c>
      <x:c r="H148" s="24" t="str">
        <x:v>Crustaceans</x:v>
      </x:c>
      <x:c r="I148" s="31" t="n">
        <x:v>0.1122545766</x:v>
      </x:c>
      <x:c r="J148" s="31" t="n">
        <x:v>0.1122545766</x:v>
      </x:c>
      <x:c r="K148" s="31" t="n">
        <x:v>0</x:v>
      </x:c>
      <x:c r="L148" s="31" t="n">
        <x:v>0.1122545766</x:v>
      </x:c>
      <x:c r="M148" s="31" t="n">
        <x:v>0</x:v>
      </x:c>
      <x:c r="N148" s="24" t="str">
        <x:v>sergestidae</x:v>
      </x:c>
      <x:c r="O148" s="32" t="n">
        <x:v>2.93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Sergestidae</x:v>
      </x:c>
      <x:c r="T148" s="32" t="n">
        <x:f>IF(O148="","",(1/'Metadata'!$B$5)^(O148-1))</x:f>
        <x:v>85.11380382023768</x:v>
      </x:c>
      <x:c r="U148" s="31" t="n">
        <x:f>IF(T148="","",I148*T148)</x:f>
        <x:v>9.554414010656243</x:v>
      </x:c>
    </x:row>
    <x:row r="149" ht="18" customHeight="1">
      <x:c r="A149" s="24" t="str">
        <x:v>EEZ_356</x:v>
      </x:c>
      <x:c r="B149" s="24" t="str">
        <x:v>India (mainland)</x:v>
      </x:c>
      <x:c r="C149" s="24" t="str">
        <x:v>EEZ</x:v>
      </x:c>
      <x:c r="D149" s="30" t="n">
        <x:v>2019</x:v>
      </x:c>
      <x:c r="E149" s="24" t="str">
        <x:v>Makaira</x:v>
      </x:c>
      <x:c r="F149" s="24" t="str">
        <x:v>Blue marlins</x:v>
      </x:c>
      <x:c r="G149" s="24" t="str">
        <x:v>Large pelagics (&gt;=90 cm)</x:v>
      </x:c>
      <x:c r="H149" s="24" t="str">
        <x:v>Tuna &amp; billfishes</x:v>
      </x:c>
      <x:c r="I149" s="31" t="n">
        <x:v>0.0858148613</x:v>
      </x:c>
      <x:c r="J149" s="31" t="n">
        <x:v>0.0858148613</x:v>
      </x:c>
      <x:c r="K149" s="31" t="n">
        <x:v>0</x:v>
      </x:c>
      <x:c r="L149" s="31" t="n">
        <x:v>0.0858148613</x:v>
      </x:c>
      <x:c r="M149" s="31" t="n">
        <x:v>0</x:v>
      </x:c>
      <x:c r="N149" s="24" t="str">
        <x:v>makaira</x:v>
      </x:c>
      <x:c r="O149" s="32" t="n">
        <x:v>4.47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Makaira</x:v>
      </x:c>
      <x:c r="T149" s="32" t="n">
        <x:f>IF(O149="","",(1/'Metadata'!$B$5)^(O149-1))</x:f>
        <x:v>2951.209226666384</x:v>
      </x:c>
      <x:c r="U149" s="31" t="n">
        <x:f>IF(T149="","",I149*T149)</x:f>
        <x:v>253.257610453656</x:v>
      </x:c>
    </x:row>
    <x:row r="150" ht="18" customHeight="1">
      <x:c r="A150" s="24" t="str">
        <x:v>EEZ_356</x:v>
      </x:c>
      <x:c r="B150" s="24" t="str">
        <x:v>India (mainland)</x:v>
      </x:c>
      <x:c r="C150" s="24" t="str">
        <x:v>EEZ</x:v>
      </x:c>
      <x:c r="D150" s="30" t="n">
        <x:v>2019</x:v>
      </x:c>
      <x:c r="E150" s="24" t="str">
        <x:v>Mobula birostris</x:v>
      </x:c>
      <x:c r="F150" s="24" t="str">
        <x:v>Giant manta</x:v>
      </x:c>
      <x:c r="G150" s="24" t="str">
        <x:v>Large rays (&gt;=90 cm)</x:v>
      </x:c>
      <x:c r="H150" s="24" t="str">
        <x:v>Sharks &amp; rays</x:v>
      </x:c>
      <x:c r="I150" s="31" t="n">
        <x:v>0.0494978135</x:v>
      </x:c>
      <x:c r="J150" s="31" t="n">
        <x:v>0.0494978135</x:v>
      </x:c>
      <x:c r="K150" s="31" t="n">
        <x:v>0</x:v>
      </x:c>
      <x:c r="L150" s="31" t="n">
        <x:v>0.0494978135</x:v>
      </x:c>
      <x:c r="M150" s="31" t="n">
        <x:v>0</x:v>
      </x:c>
      <x:c r="N150" s="24" t="str">
        <x:v>mobula birostris</x:v>
      </x:c>
      <x:c r="O150" s="32" t="n">
        <x:v>3.46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Mobula birostris</x:v>
      </x:c>
      <x:c r="T150" s="32" t="n">
        <x:f>IF(O150="","",(1/'Metadata'!$B$5)^(O150-1))</x:f>
        <x:v>288.40315031266056</x:v>
      </x:c>
      <x:c r="U150" s="31" t="n">
        <x:f>IF(T150="","",I150*T150)</x:f>
        <x:v>14.27532534698854</x:v>
      </x:c>
    </x:row>
    <x:row r="151" ht="18" customHeight="1">
      <x:c r="A151" s="24" t="str">
        <x:v>EEZ_356</x:v>
      </x:c>
      <x:c r="B151" s="24" t="str">
        <x:v>India (mainland)</x:v>
      </x:c>
      <x:c r="C151" s="24" t="str">
        <x:v>EEZ</x:v>
      </x:c>
      <x:c r="D151" s="30" t="n">
        <x:v>2019</x:v>
      </x:c>
      <x:c r="E151" s="24" t="str">
        <x:v>Sphyraenidae</x:v>
      </x:c>
      <x:c r="F151" s="24" t="str">
        <x:v>Barracudas</x:v>
      </x:c>
      <x:c r="G151" s="24" t="str">
        <x:v>Medium reef assoc. fish (30 - 89 cm)</x:v>
      </x:c>
      <x:c r="H151" s="24" t="str">
        <x:v>Perch-likes</x:v>
      </x:c>
      <x:c r="I151" s="31" t="n">
        <x:v>0.0467700526</x:v>
      </x:c>
      <x:c r="J151" s="31" t="n">
        <x:v>0.0467700526</x:v>
      </x:c>
      <x:c r="K151" s="31" t="n">
        <x:v>0</x:v>
      </x:c>
      <x:c r="L151" s="31" t="n">
        <x:v>0.0467700526</x:v>
      </x:c>
      <x:c r="M151" s="31" t="n">
        <x:v>0</x:v>
      </x:c>
      <x:c r="N151" s="24" t="str">
        <x:v>sphyraenidae</x:v>
      </x:c>
      <x:c r="O151" s="32" t="n">
        <x:v>4.4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Sphyraenidae</x:v>
      </x:c>
      <x:c r="T151" s="32" t="n">
        <x:f>IF(O151="","",(1/'Metadata'!$B$5)^(O151-1))</x:f>
        <x:v>2511.886431509582</x:v>
      </x:c>
      <x:c r="U151" s="31" t="n">
        <x:f>IF(T151="","",I151*T151)</x:f>
        <x:v>117.48106052692945</x:v>
      </x:c>
    </x:row>
    <x:row r="152" ht="18" customHeight="1">
      <x:c r="A152" s="24" t="str">
        <x:v>EEZ_356</x:v>
      </x:c>
      <x:c r="B152" s="24" t="str">
        <x:v>India (mainland)</x:v>
      </x:c>
      <x:c r="C152" s="24" t="str">
        <x:v>EEZ</x:v>
      </x:c>
      <x:c r="D152" s="30" t="n">
        <x:v>2019</x:v>
      </x:c>
      <x:c r="E152" s="24" t="str">
        <x:v>Rajiformes</x:v>
      </x:c>
      <x:c r="F152" s="24" t="str">
        <x:v>Skates and rays</x:v>
      </x:c>
      <x:c r="G152" s="24" t="str">
        <x:v>Large rays (&gt;=90 cm)</x:v>
      </x:c>
      <x:c r="H152" s="24" t="str">
        <x:v>Sharks &amp; rays</x:v>
      </x:c>
      <x:c r="I152" s="31" t="n">
        <x:v>0.0085063465</x:v>
      </x:c>
      <x:c r="J152" s="31" t="n">
        <x:v>0.0085063465</x:v>
      </x:c>
      <x:c r="K152" s="31" t="n">
        <x:v>0</x:v>
      </x:c>
      <x:c r="L152" s="31" t="n">
        <x:v>0.0085063465</x:v>
      </x:c>
      <x:c r="M152" s="31" t="n">
        <x:v>0</x:v>
      </x:c>
      <x:c r="N152" s="24" t="str">
        <x:v>rajiformes</x:v>
      </x:c>
      <x:c r="O152" s="32" t="n">
        <x:v>3.61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Rajiformes</x:v>
      </x:c>
      <x:c r="T152" s="32" t="n">
        <x:f>IF(O152="","",(1/'Metadata'!$B$5)^(O152-1))</x:f>
        <x:v>407.3802778041126</x:v>
      </x:c>
      <x:c r="U152" s="31" t="n">
        <x:f>IF(T152="","",I152*T152)</x:f>
        <x:v>3.465317800268041</x:v>
      </x:c>
    </x:row>
  </x:sheetData>
  <x:conditionalFormatting sqref="R2:R15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53979d4862b4c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3</x:v>
      </x:c>
      <x:c r="C2" s="33" t="n">
        <x:v>3</x:v>
      </x:c>
      <x:c r="D2" s="31" t="n">
        <x:v>167472.3348419496</x:v>
      </x:c>
      <x:c r="E2" s="31" t="n">
        <x:v>167472.3348419496</x:v>
      </x:c>
      <x:c r="F2" s="32" t="n">
        <x:v>0</x:v>
      </x:c>
      <x:c r="G2" s="34" t="n">
        <x:v>1</x:v>
      </x:c>
      <x:c r="H2" s="32" t="n">
        <x:f>IF(E2=0,"",I2/E2)</x:f>
        <x:v>225.2156849978336</x:v>
      </x:c>
      <x:c r="I2" s="31" t="n">
        <x:f>IF(C2=0,"",SUMIF('Species'!$H$2:$H$152,A2,'Species'!$U$2:$U$152))</x:f>
        <x:v>37717396.609616235</x:v>
      </x:c>
      <x:c r="J2" s="32" t="n">
        <x:v>3.3419098221132044</x:v>
      </x:c>
      <x:c r="K2" s="32" t="n">
        <x:f>IF(J2="","",(1/'Metadata'!$B$5)^(J2-1))</x:f>
        <x:v>219.74035515758175</x:v>
      </x:c>
      <x:c r="L2" s="31" t="n">
        <x:f>IF(E2=0,"",E2*K2)</x:f>
        <x:v>36800430.33723946</x:v>
      </x:c>
      <x:c r="M2" s="31" t="n">
        <x:f>IF(E2=0,"",I2-L2)</x:f>
        <x:v>916966.2723767757</x:v>
      </x:c>
      <x:c r="N2" s="32" t="n">
        <x:f>IF(L2=0,"",I2/L2)</x:f>
        <x:v>1.0249172703681366</x:v>
      </x:c>
      <x:c r="O2" s="34" t="n">
        <x:f>IF(L2=0,"",M2/L2)</x:f>
        <x:v>0.024917270368136703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228.4255138298</x:v>
      </x:c>
      <x:c r="E3" s="31" t="n">
        <x:v>228.4255138298</x:v>
      </x:c>
      <x:c r="F3" s="32" t="n">
        <x:v>0</x:v>
      </x:c>
      <x:c r="G3" s="34" t="n">
        <x:v>1</x:v>
      </x:c>
      <x:c r="H3" s="32" t="n">
        <x:f>IF(E3=0,"",I3/E3)</x:f>
        <x:v>199.52623149688787</x:v>
      </x:c>
      <x:c r="I3" s="31" t="n">
        <x:f>IF(C3=0,"",SUMIF('Species'!$H$2:$H$152,A3,'Species'!$U$2:$U$152))</x:f>
        <x:v>45576.88195220024</x:v>
      </x:c>
      <x:c r="J3" s="32" t="n">
        <x:v>3.3</x:v>
      </x:c>
      <x:c r="K3" s="32" t="n">
        <x:f>IF(J3="","",(1/'Metadata'!$B$5)^(J3-1))</x:f>
        <x:v>199.52623149688787</x:v>
      </x:c>
      <x:c r="L3" s="31" t="n">
        <x:f>IF(E3=0,"",E3*K3)</x:f>
        <x:v>45576.88195220024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12</x:v>
      </x:c>
      <x:c r="C4" s="33" t="n">
        <x:v>12</x:v>
      </x:c>
      <x:c r="D4" s="31" t="n">
        <x:v>452226.1909589784</x:v>
      </x:c>
      <x:c r="E4" s="31" t="n">
        <x:v>452226.1909589784</x:v>
      </x:c>
      <x:c r="F4" s="32" t="n">
        <x:v>0</x:v>
      </x:c>
      <x:c r="G4" s="34" t="n">
        <x:v>1</x:v>
      </x:c>
      <x:c r="H4" s="32" t="n">
        <x:f>IF(E4=0,"",I4/E4)</x:f>
        <x:v>236.9383594922799</x:v>
      </x:c>
      <x:c r="I4" s="31" t="n">
        <x:f>IF(C4=0,"",SUMIF('Species'!$H$2:$H$152,A4,'Species'!$U$2:$U$152))</x:f>
        <x:v>107149731.80526283</x:v>
      </x:c>
      <x:c r="J4" s="32" t="n">
        <x:v>3.3698300187427503</x:v>
      </x:c>
      <x:c r="K4" s="32" t="n">
        <x:f>IF(J4="","",(1/'Metadata'!$B$5)^(J4-1))</x:f>
        <x:v>234.33114723481182</x:v>
      </x:c>
      <x:c r="L4" s="31" t="n">
        <x:f>IF(E4=0,"",E4*K4)</x:f>
        <x:v>105970682.13704649</x:v>
      </x:c>
      <x:c r="M4" s="31" t="n">
        <x:f>IF(E4=0,"",I4-L4)</x:f>
        <x:v>1179049.6682163477</x:v>
      </x:c>
      <x:c r="N4" s="32" t="n">
        <x:f>IF(L4=0,"",I4/L4)</x:f>
        <x:v>1.0111261873986197</x:v>
      </x:c>
      <x:c r="O4" s="34" t="n">
        <x:f>IF(L4=0,"",M4/L4)</x:f>
        <x:v>0.01112618739861977</x:v>
      </x:c>
    </x:row>
    <x:row r="5" ht="18" customHeight="1">
      <x:c r="A5" s="24" t="str">
        <x:v>Flatfishes</x:v>
      </x:c>
      <x:c r="B5" s="33" t="n">
        <x:v>3</x:v>
      </x:c>
      <x:c r="C5" s="33" t="n">
        <x:v>3</x:v>
      </x:c>
      <x:c r="D5" s="31" t="n">
        <x:v>47754.494267179994</x:v>
      </x:c>
      <x:c r="E5" s="31" t="n">
        <x:v>47754.494267179994</x:v>
      </x:c>
      <x:c r="F5" s="32" t="n">
        <x:v>0</x:v>
      </x:c>
      <x:c r="G5" s="34" t="n">
        <x:v>1</x:v>
      </x:c>
      <x:c r="H5" s="32" t="n">
        <x:f>IF(E5=0,"",I5/E5)</x:f>
        <x:v>141.99380287673836</x:v>
      </x:c>
      <x:c r="I5" s="31" t="n">
        <x:f>IF(C5=0,"",SUMIF('Species'!$H$2:$H$152,A5,'Species'!$U$2:$U$152))</x:f>
        <x:v>6780842.245452289</x:v>
      </x:c>
      <x:c r="J5" s="32" t="n">
        <x:v>3.151271160869112</x:v>
      </x:c>
      <x:c r="K5" s="32" t="n">
        <x:f>IF(J5="","",(1/'Metadata'!$B$5)^(J5-1))</x:f>
        <x:v>141.66780365232427</x:v>
      </x:c>
      <x:c r="L5" s="31" t="n">
        <x:f>IF(E5=0,"",E5*K5)</x:f>
        <x:v>6765274.3173589</x:v>
      </x:c>
      <x:c r="M5" s="31" t="n">
        <x:f>IF(E5=0,"",I5-L5)</x:f>
        <x:v>15567.928093388677</x:v>
      </x:c>
      <x:c r="N5" s="32" t="n">
        <x:f>IF(L5=0,"",I5/L5)</x:f>
        <x:v>1.0023011525273178</x:v>
      </x:c>
      <x:c r="O5" s="34" t="n">
        <x:f>IF(L5=0,"",M5/L5)</x:f>
        <x:v>0.002301152527317806</x:v>
      </x:c>
    </x:row>
    <x:row r="6" ht="18" customHeight="1">
      <x:c r="A6" s="24" t="str">
        <x:v>Herring-likes</x:v>
      </x:c>
      <x:c r="B6" s="33" t="n">
        <x:v>6</x:v>
      </x:c>
      <x:c r="C6" s="33" t="n">
        <x:v>6</x:v>
      </x:c>
      <x:c r="D6" s="31" t="n">
        <x:v>545218.4776801894</x:v>
      </x:c>
      <x:c r="E6" s="31" t="n">
        <x:v>545218.4776801894</x:v>
      </x:c>
      <x:c r="F6" s="32" t="n">
        <x:v>0</x:v>
      </x:c>
      <x:c r="G6" s="34" t="n">
        <x:v>1</x:v>
      </x:c>
      <x:c r="H6" s="32" t="n">
        <x:f>IF(E6=0,"",I6/E6)</x:f>
        <x:v>183.85419718745447</x:v>
      </x:c>
      <x:c r="I6" s="31" t="n">
        <x:f>IF(C6=0,"",SUMIF('Species'!$H$2:$H$152,A6,'Species'!$U$2:$U$152))</x:f>
        <x:v>100240705.50565729</x:v>
      </x:c>
      <x:c r="J6" s="32" t="n">
        <x:v>2.724644356656049</x:v>
      </x:c>
      <x:c r="K6" s="32" t="n">
        <x:f>IF(J6="","",(1/'Metadata'!$B$5)^(J6-1))</x:f>
        <x:v>53.04498814132957</x:v>
      </x:c>
      <x:c r="L6" s="31" t="n">
        <x:f>IF(E6=0,"",E6*K6)</x:f>
        <x:v>28921107.68297941</x:v>
      </x:c>
      <x:c r="M6" s="31" t="n">
        <x:f>IF(E6=0,"",I6-L6)</x:f>
        <x:v>71319597.82267788</x:v>
      </x:c>
      <x:c r="N6" s="32" t="n">
        <x:f>IF(L6=0,"",I6/L6)</x:f>
        <x:v>3.4660050577748356</x:v>
      </x:c>
      <x:c r="O6" s="34" t="n">
        <x:f>IF(L6=0,"",M6/L6)</x:f>
        <x:v>2.4660050577748356</x:v>
      </x:c>
    </x:row>
    <x:row r="7" ht="18" customHeight="1">
      <x:c r="A7" s="24" t="str">
        <x:v>Molluscs</x:v>
      </x:c>
      <x:c r="B7" s="33" t="n">
        <x:v>6</x:v>
      </x:c>
      <x:c r="C7" s="33" t="n">
        <x:v>6</x:v>
      </x:c>
      <x:c r="D7" s="31" t="n">
        <x:v>96995.2196248261</x:v>
      </x:c>
      <x:c r="E7" s="31" t="n">
        <x:v>96995.2196248261</x:v>
      </x:c>
      <x:c r="F7" s="32" t="n">
        <x:v>0</x:v>
      </x:c>
      <x:c r="G7" s="34" t="n">
        <x:v>1</x:v>
      </x:c>
      <x:c r="H7" s="32" t="n">
        <x:f>IF(E7=0,"",I7/E7)</x:f>
        <x:v>19.313125779867335</x:v>
      </x:c>
      <x:c r="I7" s="31" t="n">
        <x:f>IF(C7=0,"",SUMIF('Species'!$H$2:$H$152,A7,'Species'!$U$2:$U$152))</x:f>
        <x:v>1873280.876660123</x:v>
      </x:c>
      <x:c r="J7" s="32" t="n">
        <x:v>2.238761410322855</x:v>
      </x:c>
      <x:c r="K7" s="32" t="n">
        <x:f>IF(J7="","",(1/'Metadata'!$B$5)^(J7-1))</x:f>
        <x:v>17.328517541840604</x:v>
      </x:c>
      <x:c r="L7" s="31" t="n">
        <x:f>IF(E7=0,"",E7*K7)</x:f>
        <x:v>1680783.3647434812</x:v>
      </x:c>
      <x:c r="M7" s="31" t="n">
        <x:f>IF(E7=0,"",I7-L7)</x:f>
        <x:v>192497.51191664184</x:v>
      </x:c>
      <x:c r="N7" s="32" t="n">
        <x:f>IF(L7=0,"",I7/L7)</x:f>
        <x:v>1.114528449028302</x:v>
      </x:c>
      <x:c r="O7" s="34" t="n">
        <x:f>IF(L7=0,"",M7/L7)</x:f>
        <x:v>0.11452844902830207</x:v>
      </x:c>
    </x:row>
    <x:row r="8" ht="18" customHeight="1">
      <x:c r="A8" s="24" t="str">
        <x:v>Other fishes &amp; inverts</x:v>
      </x:c>
      <x:c r="B8" s="33" t="n">
        <x:v>30</x:v>
      </x:c>
      <x:c r="C8" s="33" t="n">
        <x:v>30</x:v>
      </x:c>
      <x:c r="D8" s="31" t="n">
        <x:v>1344582.4540375255</x:v>
      </x:c>
      <x:c r="E8" s="31" t="n">
        <x:v>1344582.4540375255</x:v>
      </x:c>
      <x:c r="F8" s="32" t="n">
        <x:v>0</x:v>
      </x:c>
      <x:c r="G8" s="34" t="n">
        <x:v>1</x:v>
      </x:c>
      <x:c r="H8" s="32" t="n">
        <x:f>IF(E8=0,"",I8/E8)</x:f>
        <x:v>549.5469016879035</x:v>
      </x:c>
      <x:c r="I8" s="31" t="n">
        <x:f>IF(C8=0,"",SUMIF('Species'!$H$2:$H$152,A8,'Species'!$U$2:$U$152))</x:f>
        <x:v>738911121.68024</x:v>
      </x:c>
      <x:c r="J8" s="32" t="n">
        <x:v>3.5298486130154596</x:v>
      </x:c>
      <x:c r="K8" s="32" t="n">
        <x:f>IF(J8="","",(1/'Metadata'!$B$5)^(J8-1))</x:f>
        <x:v>338.72606194808776</x:v>
      </x:c>
      <x:c r="L8" s="31" t="n">
        <x:f>IF(E8=0,"",E8*K8)</x:f>
        <x:v>455445119.6206267</x:v>
      </x:c>
      <x:c r="M8" s="31" t="n">
        <x:f>IF(E8=0,"",I8-L8)</x:f>
        <x:v>283466002.05961335</x:v>
      </x:c>
      <x:c r="N8" s="32" t="n">
        <x:f>IF(L8=0,"",I8/L8)</x:f>
        <x:v>1.622393324349886</x:v>
      </x:c>
      <x:c r="O8" s="34" t="n">
        <x:f>IF(L8=0,"",M8/L8)</x:f>
        <x:v>0.622393324349886</x:v>
      </x:c>
    </x:row>
    <x:row r="9" ht="18" customHeight="1">
      <x:c r="A9" s="24" t="str">
        <x:v>Perch-likes</x:v>
      </x:c>
      <x:c r="B9" s="33" t="n">
        <x:v>54</x:v>
      </x:c>
      <x:c r="C9" s="33" t="n">
        <x:v>54</x:v>
      </x:c>
      <x:c r="D9" s="31" t="n">
        <x:v>1570891.6737897792</x:v>
      </x:c>
      <x:c r="E9" s="31" t="n">
        <x:v>1570891.6737897792</x:v>
      </x:c>
      <x:c r="F9" s="32" t="n">
        <x:v>0</x:v>
      </x:c>
      <x:c r="G9" s="34" t="n">
        <x:v>1</x:v>
      </x:c>
      <x:c r="H9" s="32" t="n">
        <x:f>IF(E9=0,"",I9/E9)</x:f>
        <x:v>666.8608971306555</x:v>
      </x:c>
      <x:c r="I9" s="31" t="n">
        <x:f>IF(C9=0,"",SUMIF('Species'!$H$2:$H$152,A9,'Species'!$U$2:$U$152))</x:f>
        <x:v>1047566230.8785293</x:v>
      </x:c>
      <x:c r="J9" s="32" t="n">
        <x:v>3.6450404039158717</x:v>
      </x:c>
      <x:c r="K9" s="32" t="n">
        <x:f>IF(J9="","",(1/'Metadata'!$B$5)^(J9-1))</x:f>
        <x:v>441.61153008838875</x:v>
      </x:c>
      <x:c r="L9" s="31" t="n">
        <x:f>IF(E9=0,"",E9*K9)</x:f>
        <x:v>693723875.6654145</x:v>
      </x:c>
      <x:c r="M9" s="31" t="n">
        <x:f>IF(E9=0,"",I9-L9)</x:f>
        <x:v>353842355.21311486</x:v>
      </x:c>
      <x:c r="N9" s="32" t="n">
        <x:f>IF(L9=0,"",I9/L9)</x:f>
        <x:v>1.5100622418014835</x:v>
      </x:c>
      <x:c r="O9" s="34" t="n">
        <x:f>IF(L9=0,"",M9/L9)</x:f>
        <x:v>0.5100622418014834</x:v>
      </x:c>
    </x:row>
    <x:row r="10" ht="18" customHeight="1">
      <x:c r="A10" s="24" t="str">
        <x:v>Scorpionfishes</x:v>
      </x:c>
      <x:c r="B10" s="33" t="n">
        <x:v>1</x:v>
      </x:c>
      <x:c r="C10" s="33" t="n">
        <x:v>1</x:v>
      </x:c>
      <x:c r="D10" s="31" t="n">
        <x:v>190.26734009979998</x:v>
      </x:c>
      <x:c r="E10" s="31" t="n">
        <x:v>190.26734009979998</x:v>
      </x:c>
      <x:c r="F10" s="32" t="n">
        <x:v>0</x:v>
      </x:c>
      <x:c r="G10" s="34" t="n">
        <x:v>1</x:v>
      </x:c>
      <x:c r="H10" s="32" t="n">
        <x:f>IF(E10=0,"",I10/E10)</x:f>
        <x:v>794.3282347242813</x:v>
      </x:c>
      <x:c r="I10" s="31" t="n">
        <x:f>IF(C10=0,"",SUMIF('Species'!$H$2:$H$152,A10,'Species'!$U$2:$U$152))</x:f>
        <x:v>151134.72038715857</x:v>
      </x:c>
      <x:c r="J10" s="32" t="n">
        <x:v>3.9</x:v>
      </x:c>
      <x:c r="K10" s="32" t="n">
        <x:f>IF(J10="","",(1/'Metadata'!$B$5)^(J10-1))</x:f>
        <x:v>794.3282347242813</x:v>
      </x:c>
      <x:c r="L10" s="31" t="n">
        <x:f>IF(E10=0,"",E10*K10)</x:f>
        <x:v>151134.72038715857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Sharks &amp; rays</x:v>
      </x:c>
      <x:c r="B11" s="33" t="n">
        <x:v>16</x:v>
      </x:c>
      <x:c r="C11" s="33" t="n">
        <x:v>16</x:v>
      </x:c>
      <x:c r="D11" s="31" t="n">
        <x:v>54460.7937534232</x:v>
      </x:c>
      <x:c r="E11" s="31" t="n">
        <x:v>54460.7937534232</x:v>
      </x:c>
      <x:c r="F11" s="32" t="n">
        <x:v>0</x:v>
      </x:c>
      <x:c r="G11" s="34" t="n">
        <x:v>1</x:v>
      </x:c>
      <x:c r="H11" s="32" t="n">
        <x:f>IF(E11=0,"",I11/E11)</x:f>
        <x:v>959.1772538843139</x:v>
      </x:c>
      <x:c r="I11" s="31" t="n">
        <x:f>IF(C11=0,"",SUMIF('Species'!$H$2:$H$152,A11,'Species'!$U$2:$U$152))</x:f>
        <x:v>52237554.59676846</x:v>
      </x:c>
      <x:c r="J11" s="32" t="n">
        <x:v>3.9183369042499647</x:v>
      </x:c>
      <x:c r="K11" s="32" t="n">
        <x:f>IF(J11="","",(1/'Metadata'!$B$5)^(J11-1))</x:f>
        <x:v>828.584689616225</x:v>
      </x:c>
      <x:c r="L11" s="31" t="n">
        <x:f>IF(E11=0,"",E11*K11)</x:f>
        <x:v>45125379.888433404</x:v>
      </x:c>
      <x:c r="M11" s="31" t="n">
        <x:f>IF(E11=0,"",I11-L11)</x:f>
        <x:v>7112174.708335057</x:v>
      </x:c>
      <x:c r="N11" s="32" t="n">
        <x:f>IF(L11=0,"",I11/L11)</x:f>
        <x:v>1.1576091930066623</x:v>
      </x:c>
      <x:c r="O11" s="34" t="n">
        <x:f>IF(L11=0,"",M11/L11)</x:f>
        <x:v>0.1576091930066623</x:v>
      </x:c>
    </x:row>
    <x:row r="12" ht="18" customHeight="1">
      <x:c r="A12" s="24" t="str">
        <x:v>Tuna &amp; billfishes</x:v>
      </x:c>
      <x:c r="B12" s="33" t="n">
        <x:v>19</x:v>
      </x:c>
      <x:c r="C12" s="33" t="n">
        <x:v>19</x:v>
      </x:c>
      <x:c r="D12" s="31" t="n">
        <x:v>64011.86712507719</x:v>
      </x:c>
      <x:c r="E12" s="31" t="n">
        <x:v>64011.86712507719</x:v>
      </x:c>
      <x:c r="F12" s="32" t="n">
        <x:v>0</x:v>
      </x:c>
      <x:c r="G12" s="34" t="n">
        <x:v>1</x:v>
      </x:c>
      <x:c r="H12" s="32" t="n">
        <x:f>IF(E12=0,"",I12/E12)</x:f>
        <x:v>2526.117806558251</x:v>
      </x:c>
      <x:c r="I12" s="31" t="n">
        <x:f>IF(C12=0,"",SUMIF('Species'!$H$2:$H$152,A12,'Species'!$U$2:$U$152))</x:f>
        <x:v>161701517.37569818</x:v>
      </x:c>
      <x:c r="J12" s="32" t="n">
        <x:v>4.392122321012395</x:v>
      </x:c>
      <x:c r="K12" s="32" t="n">
        <x:f>IF(J12="","",(1/'Metadata'!$B$5)^(J12-1))</x:f>
        <x:v>2466.7340062324974</x:v>
      </x:c>
      <x:c r="L12" s="31" t="n">
        <x:f>IF(E12=0,"",E12*K12)</x:f>
        <x:v>157900249.43986395</x:v>
      </x:c>
      <x:c r="M12" s="31" t="n">
        <x:f>IF(E12=0,"",I12-L12)</x:f>
        <x:v>3801267.935834229</x:v>
      </x:c>
      <x:c r="N12" s="32" t="n">
        <x:f>IF(L12=0,"",I12/L12)</x:f>
        <x:v>1.0240738564335323</x:v>
      </x:c>
      <x:c r="O12" s="34" t="n">
        <x:f>IF(L12=0,"",M12/L12)</x:f>
        <x:v>0.024073856433532333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d3f40ed215445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217605.20876812417</x:v>
      </x:c>
      <x:c r="E2" s="31" t="n">
        <x:v>217605.20876812417</x:v>
      </x:c>
      <x:c r="F2" s="32" t="n">
        <x:v>0</x:v>
      </x:c>
      <x:c r="G2" s="34" t="n">
        <x:v>1</x:v>
      </x:c>
      <x:c r="H2" s="32" t="n">
        <x:f>IF(E2=0,"",I2/E2)</x:f>
        <x:v>880.5884862436798</x:v>
      </x:c>
      <x:c r="I2" s="31" t="n">
        <x:f>IF(C2=0,"",SUMIF('Species'!$G$2:$G$152,A2,'Species'!$U$2:$U$152))</x:f>
        <x:v>191620641.38786238</x:v>
      </x:c>
      <x:c r="J2" s="32" t="n">
        <x:v>3.8729197554785926</x:v>
      </x:c>
      <x:c r="K2" s="32" t="n">
        <x:f>IF(J2="","",(1/'Metadata'!$B$5)^(J2-1))</x:f>
        <x:v>746.310849934368</x:v>
      </x:c>
      <x:c r="L2" s="31" t="n">
        <x:f>IF(E2=0,"",E2*K2)</x:f>
        <x:v>162401128.30588433</x:v>
      </x:c>
      <x:c r="M2" s="31" t="n">
        <x:f>IF(E2=0,"",I2-L2)</x:f>
        <x:v>29219513.081978053</x:v>
      </x:c>
      <x:c r="N2" s="32" t="n">
        <x:f>IF(L2=0,"",I2/L2)</x:f>
        <x:v>1.179921860068255</x:v>
      </x:c>
      <x:c r="O2" s="34" t="n">
        <x:f>IF(L2=0,"",M2/L2)</x:f>
        <x:v>0.17992186006825503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13681.700752133798</x:v>
      </x:c>
      <x:c r="E3" s="31" t="n">
        <x:v>13681.700752133798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IF(C3=0,"",SUMIF('Species'!$G$2:$G$152,A3,'Species'!$U$2:$U$152))</x:f>
        <x:v>3945845.598550485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3945845.598550485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5</x:v>
      </x:c>
      <x:c r="C4" s="33" t="n">
        <x:v>5</x:v>
      </x:c>
      <x:c r="D4" s="31" t="n">
        <x:v>11008.000419710901</x:v>
      </x:c>
      <x:c r="E4" s="31" t="n">
        <x:v>11008.000419710901</x:v>
      </x:c>
      <x:c r="F4" s="32" t="n">
        <x:v>0</x:v>
      </x:c>
      <x:c r="G4" s="34" t="n">
        <x:v>1</x:v>
      </x:c>
      <x:c r="H4" s="32" t="n">
        <x:f>IF(E4=0,"",I4/E4)</x:f>
        <x:v>1427.6550387256323</x:v>
      </x:c>
      <x:c r="I4" s="31" t="n">
        <x:f>IF(C4=0,"",SUMIF('Species'!$G$2:$G$152,A4,'Species'!$U$2:$U$152))</x:f>
        <x:v>15715627.265494144</x:v>
      </x:c>
      <x:c r="J4" s="32" t="n">
        <x:v>4.153081198450716</x:v>
      </x:c>
      <x:c r="K4" s="32" t="n">
        <x:f>IF(J4="","",(1/'Metadata'!$B$5)^(J4-1))</x:f>
        <x:v>1422.5947395948483</x:v>
      </x:c>
      <x:c r="L4" s="31" t="n">
        <x:f>IF(E4=0,"",E4*K4)</x:f>
        <x:v>15659923.49053861</x:v>
      </x:c>
      <x:c r="M4" s="31" t="n">
        <x:f>IF(E4=0,"",I4-L4)</x:f>
        <x:v>55703.774955533445</x:v>
      </x:c>
      <x:c r="N4" s="32" t="n">
        <x:f>IF(L4=0,"",I4/L4)</x:f>
        <x:v>1.0035570911306935</x:v>
      </x:c>
      <x:c r="O4" s="34" t="n">
        <x:f>IF(L4=0,"",M4/L4)</x:f>
        <x:v>0.0035570911306934848</x:v>
      </x:c>
    </x:row>
    <x:row r="5" ht="18" customHeight="1">
      <x:c r="A5" s="24" t="str">
        <x:v>Large demersals (&gt;=90 cm)</x:v>
      </x:c>
      <x:c r="B5" s="33" t="n">
        <x:v>5</x:v>
      </x:c>
      <x:c r="C5" s="33" t="n">
        <x:v>5</x:v>
      </x:c>
      <x:c r="D5" s="31" t="n">
        <x:v>15237.4896526693</x:v>
      </x:c>
      <x:c r="E5" s="31" t="n">
        <x:v>15237.4896526693</x:v>
      </x:c>
      <x:c r="F5" s="32" t="n">
        <x:v>0</x:v>
      </x:c>
      <x:c r="G5" s="34" t="n">
        <x:v>1</x:v>
      </x:c>
      <x:c r="H5" s="32" t="n">
        <x:f>IF(E5=0,"",I5/E5)</x:f>
        <x:v>1120.3149582702347</x:v>
      </x:c>
      <x:c r="I5" s="31" t="n">
        <x:f>IF(C5=0,"",SUMIF('Species'!$G$2:$G$152,A5,'Species'!$U$2:$U$152))</x:f>
        <x:v>17070787.58437334</x:v>
      </x:c>
      <x:c r="J5" s="32" t="n">
        <x:v>3.99820376694069</x:v>
      </x:c>
      <x:c r="K5" s="32" t="n">
        <x:f>IF(J5="","",(1/'Metadata'!$B$5)^(J5-1))</x:f>
        <x:v>995.8725619174409</x:v>
      </x:c>
      <x:c r="L5" s="31" t="n">
        <x:f>IF(E5=0,"",E5*K5)</x:f>
        <x:v>15174597.85759427</x:v>
      </x:c>
      <x:c r="M5" s="31" t="n">
        <x:f>IF(E5=0,"",I5-L5)</x:f>
        <x:v>1896189.7267790698</x:v>
      </x:c>
      <x:c r="N5" s="32" t="n">
        <x:f>IF(L5=0,"",I5/L5)</x:f>
        <x:v>1.124958153393838</x:v>
      </x:c>
      <x:c r="O5" s="34" t="n">
        <x:f>IF(L5=0,"",M5/L5)</x:f>
        <x:v>0.12495815339383796</x:v>
      </x:c>
    </x:row>
    <x:row r="6" ht="18" customHeight="1">
      <x:c r="A6" s="24" t="str">
        <x:v>Large pelagics (&gt;=90 cm)</x:v>
      </x:c>
      <x:c r="B6" s="33" t="n">
        <x:v>24</x:v>
      </x:c>
      <x:c r="C6" s="33" t="n">
        <x:v>24</x:v>
      </x:c>
      <x:c r="D6" s="31" t="n">
        <x:v>193215.83524252227</x:v>
      </x:c>
      <x:c r="E6" s="31" t="n">
        <x:v>193215.83524252227</x:v>
      </x:c>
      <x:c r="F6" s="32" t="n">
        <x:v>0</x:v>
      </x:c>
      <x:c r="G6" s="34" t="n">
        <x:v>1</x:v>
      </x:c>
      <x:c r="H6" s="32" t="n">
        <x:f>IF(E6=0,"",I6/E6)</x:f>
        <x:v>2617.3274867780865</x:v>
      </x:c>
      <x:c r="I6" s="31" t="n">
        <x:f>IF(C6=0,"",SUMIF('Species'!$G$2:$G$152,A6,'Species'!$U$2:$U$152))</x:f>
        <x:v>505709116.4610396</x:v>
      </x:c>
      <x:c r="J6" s="32" t="n">
        <x:v>4.412356896610531</x:v>
      </x:c>
      <x:c r="K6" s="32" t="n">
        <x:f>IF(J6="","",(1/'Metadata'!$B$5)^(J6-1))</x:f>
        <x:v>2584.3831250261705</x:v>
      </x:c>
      <x:c r="L6" s="31" t="n">
        <x:f>IF(E6=0,"",E6*K6)</x:f>
        <x:v>499343744.0886114</x:v>
      </x:c>
      <x:c r="M6" s="31" t="n">
        <x:f>IF(E6=0,"",I6-L6)</x:f>
        <x:v>6365372.372428179</x:v>
      </x:c>
      <x:c r="N6" s="32" t="n">
        <x:f>IF(L6=0,"",I6/L6)</x:f>
        <x:v>1.0127474759577615</x:v>
      </x:c>
      <x:c r="O6" s="34" t="n">
        <x:f>IF(L6=0,"",M6/L6)</x:f>
        <x:v>0.012747475957761488</x:v>
      </x:c>
    </x:row>
    <x:row r="7" ht="18" customHeight="1">
      <x:c r="A7" s="24" t="str">
        <x:v>Large rays (&gt;=90 cm)</x:v>
      </x:c>
      <x:c r="B7" s="33" t="n">
        <x:v>5</x:v>
      </x:c>
      <x:c r="C7" s="33" t="n">
        <x:v>5</x:v>
      </x:c>
      <x:c r="D7" s="31" t="n">
        <x:v>27009.331147087905</x:v>
      </x:c>
      <x:c r="E7" s="31" t="n">
        <x:v>27009.331147087905</x:v>
      </x:c>
      <x:c r="F7" s="32" t="n">
        <x:v>0</x:v>
      </x:c>
      <x:c r="G7" s="34" t="n">
        <x:v>1</x:v>
      </x:c>
      <x:c r="H7" s="32" t="n">
        <x:f>IF(E7=0,"",I7/E7)</x:f>
        <x:v>524.788169074378</x:v>
      </x:c>
      <x:c r="I7" s="31" t="n">
        <x:f>IF(C7=0,"",SUMIF('Species'!$G$2:$G$152,A7,'Species'!$U$2:$U$152))</x:f>
        <x:v>14174177.44060383</x:v>
      </x:c>
      <x:c r="J7" s="32" t="n">
        <x:v>3.7199799038725576</x:v>
      </x:c>
      <x:c r="K7" s="32" t="n">
        <x:f>IF(J7="","",(1/'Metadata'!$B$5)^(J7-1))</x:f>
        <x:v>524.7831763731969</x:v>
      </x:c>
      <x:c r="L7" s="31" t="n">
        <x:f>IF(E7=0,"",E7*K7)</x:f>
        <x:v>14174042.59108431</x:v>
      </x:c>
      <x:c r="M7" s="31" t="n">
        <x:f>IF(E7=0,"",I7-L7)</x:f>
        <x:v>134.84951951913536</x:v>
      </x:c>
      <x:c r="N7" s="32" t="n">
        <x:f>IF(L7=0,"",I7/L7)</x:f>
        <x:v>1.000009513836201</x:v>
      </x:c>
      <x:c r="O7" s="34" t="n">
        <x:f>IF(L7=0,"",M7/L7)</x:f>
        <x:v>0.000009513836201110173</x:v>
      </x:c>
    </x:row>
    <x:row r="8" ht="18" customHeight="1">
      <x:c r="A8" s="24" t="str">
        <x:v>Large reef assoc. fish (&gt;=90 cm)</x:v>
      </x:c>
      <x:c r="B8" s="33" t="n">
        <x:v>1</x:v>
      </x:c>
      <x:c r="C8" s="33" t="n">
        <x:v>1</x:v>
      </x:c>
      <x:c r="D8" s="31" t="n">
        <x:v>25.9278213681</x:v>
      </x:c>
      <x:c r="E8" s="31" t="n">
        <x:v>25.9278213681</x:v>
      </x:c>
      <x:c r="F8" s="32" t="n">
        <x:v>0</x:v>
      </x:c>
      <x:c r="G8" s="34" t="n">
        <x:v>1</x:v>
      </x:c>
      <x:c r="H8" s="32" t="n">
        <x:f>IF(E8=0,"",I8/E8)</x:f>
        <x:v>3162.2776601683795</x:v>
      </x:c>
      <x:c r="I8" s="31" t="n">
        <x:f>IF(C8=0,"",SUMIF('Species'!$G$2:$G$152,A8,'Species'!$U$2:$U$152))</x:f>
        <x:v>81990.97028917898</x:v>
      </x:c>
      <x:c r="J8" s="32" t="n">
        <x:v>4.5</x:v>
      </x:c>
      <x:c r="K8" s="32" t="n">
        <x:f>IF(J8="","",(1/'Metadata'!$B$5)^(J8-1))</x:f>
        <x:v>3162.2776601683795</x:v>
      </x:c>
      <x:c r="L8" s="31" t="n">
        <x:f>IF(E8=0,"",E8*K8)</x:f>
        <x:v>81990.97028917898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sharks (&gt;=90 cm)</x:v>
      </x:c>
      <x:c r="B9" s="33" t="n">
        <x:v>11</x:v>
      </x:c>
      <x:c r="C9" s="33" t="n">
        <x:v>11</x:v>
      </x:c>
      <x:c r="D9" s="31" t="n">
        <x:v>27451.4626063353</x:v>
      </x:c>
      <x:c r="E9" s="31" t="n">
        <x:v>27451.4626063353</x:v>
      </x:c>
      <x:c r="F9" s="32" t="n">
        <x:v>0</x:v>
      </x:c>
      <x:c r="G9" s="34" t="n">
        <x:v>1</x:v>
      </x:c>
      <x:c r="H9" s="32" t="n">
        <x:f>IF(E9=0,"",I9/E9)</x:f>
        <x:v>1386.570096537599</x:v>
      </x:c>
      <x:c r="I9" s="31" t="n">
        <x:f>IF(C9=0,"",SUMIF('Species'!$G$2:$G$152,A9,'Species'!$U$2:$U$152))</x:f>
        <x:v>38063377.156164624</x:v>
      </x:c>
      <x:c r="J9" s="32" t="n">
        <x:v>4.11349917976748</x:v>
      </x:c>
      <x:c r="K9" s="32" t="n">
        <x:f>IF(J9="","",(1/'Metadata'!$B$5)^(J9-1))</x:f>
        <x:v>1298.6711110849353</x:v>
      </x:c>
      <x:c r="L9" s="31" t="n">
        <x:f>IF(E9=0,"",E9*K9)</x:f>
        <x:v>35650421.44387602</x:v>
      </x:c>
      <x:c r="M9" s="31" t="n">
        <x:f>IF(E9=0,"",I9-L9)</x:f>
        <x:v>2412955.712288603</x:v>
      </x:c>
      <x:c r="N9" s="32" t="n">
        <x:f>IF(L9=0,"",I9/L9)</x:f>
        <x:v>1.0676837920720597</x:v>
      </x:c>
      <x:c r="O9" s="34" t="n">
        <x:f>IF(L9=0,"",M9/L9)</x:f>
        <x:v>0.06768379207205971</x:v>
      </x:c>
    </x:row>
    <x:row r="10" ht="18" customHeight="1">
      <x:c r="A10" s="24" t="str">
        <x:v>Lobsters, crabs</x:v>
      </x:c>
      <x:c r="B10" s="33" t="n">
        <x:v>4</x:v>
      </x:c>
      <x:c r="C10" s="33" t="n">
        <x:v>4</x:v>
      </x:c>
      <x:c r="D10" s="31" t="n">
        <x:v>235564.43169531223</x:v>
      </x:c>
      <x:c r="E10" s="31" t="n">
        <x:v>235564.43169531223</x:v>
      </x:c>
      <x:c r="F10" s="32" t="n">
        <x:v>0</x:v>
      </x:c>
      <x:c r="G10" s="34" t="n">
        <x:v>1</x:v>
      </x:c>
      <x:c r="H10" s="32" t="n">
        <x:f>IF(E10=0,"",I10/E10)</x:f>
        <x:v>269.0002072960763</x:v>
      </x:c>
      <x:c r="I10" s="31" t="n">
        <x:f>IF(C10=0,"",SUMIF('Species'!$G$2:$G$152,A10,'Species'!$U$2:$U$152))</x:f>
        <x:v>63366880.9576214</x:v>
      </x:c>
      <x:c r="J10" s="32" t="n">
        <x:v>3.429395201224849</x:v>
      </x:c>
      <x:c r="K10" s="32" t="n">
        <x:f>IF(J10="","",(1/'Metadata'!$B$5)^(J10-1))</x:f>
        <x:v>268.7789179510648</x:v>
      </x:c>
      <x:c r="L10" s="31" t="n">
        <x:f>IF(E10=0,"",E10*K10)</x:f>
        <x:v>63314753.05882353</x:v>
      </x:c>
      <x:c r="M10" s="31" t="n">
        <x:f>IF(E10=0,"",I10-L10)</x:f>
        <x:v>52127.89879786968</x:v>
      </x:c>
      <x:c r="N10" s="32" t="n">
        <x:f>IF(L10=0,"",I10/L10)</x:f>
        <x:v>1.0008233136240685</x:v>
      </x:c>
      <x:c r="O10" s="34" t="n">
        <x:f>IF(L10=0,"",M10/L10)</x:f>
        <x:v>0.0008233136240686189</x:v>
      </x:c>
    </x:row>
    <x:row r="11" ht="18" customHeight="1">
      <x:c r="A11" s="24" t="str">
        <x:v>Medium benthopelagics (30 - 89 cm)</x:v>
      </x:c>
      <x:c r="B11" s="33" t="n">
        <x:v>6</x:v>
      </x:c>
      <x:c r="C11" s="33" t="n">
        <x:v>6</x:v>
      </x:c>
      <x:c r="D11" s="31" t="n">
        <x:v>178095.3852432857</x:v>
      </x:c>
      <x:c r="E11" s="31" t="n">
        <x:v>178095.3852432857</x:v>
      </x:c>
      <x:c r="F11" s="32" t="n">
        <x:v>0</x:v>
      </x:c>
      <x:c r="G11" s="34" t="n">
        <x:v>1</x:v>
      </x:c>
      <x:c r="H11" s="32" t="n">
        <x:f>IF(E11=0,"",I11/E11)</x:f>
        <x:v>1229.657081360339</x:v>
      </x:c>
      <x:c r="I11" s="31" t="n">
        <x:f>IF(C11=0,"",SUMIF('Species'!$G$2:$G$152,A11,'Species'!$U$2:$U$152))</x:f>
        <x:v>218996251.62200388</x:v>
      </x:c>
      <x:c r="J11" s="32" t="n">
        <x:v>3.958797768554374</x:v>
      </x:c>
      <x:c r="K11" s="32" t="n">
        <x:f>IF(J11="","",(1/'Metadata'!$B$5)^(J11-1))</x:f>
        <x:v>909.4896655004113</x:v>
      </x:c>
      <x:c r="L11" s="31" t="n">
        <x:f>IF(E11=0,"",E11*K11)</x:f>
        <x:v>161975912.35208282</x:v>
      </x:c>
      <x:c r="M11" s="31" t="n">
        <x:f>IF(E11=0,"",I11-L11)</x:f>
        <x:v>57020339.269921064</x:v>
      </x:c>
      <x:c r="N11" s="32" t="n">
        <x:f>IF(L11=0,"",I11/L11)</x:f>
        <x:v>1.3520297459166486</x:v>
      </x:c>
      <x:c r="O11" s="34" t="n">
        <x:f>IF(L11=0,"",M11/L11)</x:f>
        <x:v>0.35202974591664865</x:v>
      </x:c>
    </x:row>
    <x:row r="12" ht="18" customHeight="1">
      <x:c r="A12" s="24" t="str">
        <x:v>Medium demersals (30 - 89 cm)</x:v>
      </x:c>
      <x:c r="B12" s="33" t="n">
        <x:v>14</x:v>
      </x:c>
      <x:c r="C12" s="33" t="n">
        <x:v>14</x:v>
      </x:c>
      <x:c r="D12" s="31" t="n">
        <x:v>1019282.209691233</x:v>
      </x:c>
      <x:c r="E12" s="31" t="n">
        <x:v>1019282.209691233</x:v>
      </x:c>
      <x:c r="F12" s="32" t="n">
        <x:v>0</x:v>
      </x:c>
      <x:c r="G12" s="34" t="n">
        <x:v>1</x:v>
      </x:c>
      <x:c r="H12" s="32" t="n">
        <x:f>IF(E12=0,"",I12/E12)</x:f>
        <x:v>418.2734116411266</x:v>
      </x:c>
      <x:c r="I12" s="31" t="n">
        <x:f>IF(C12=0,"",SUMIF('Species'!$G$2:$G$152,A12,'Species'!$U$2:$U$152))</x:f>
        <x:v>426338647.2726582</x:v>
      </x:c>
      <x:c r="J12" s="32" t="n">
        <x:v>3.485950363394451</x:v>
      </x:c>
      <x:c r="K12" s="32" t="n">
        <x:f>IF(J12="","",(1/'Metadata'!$B$5)^(J12-1))</x:f>
        <x:v>306.16134942085347</x:v>
      </x:c>
      <x:c r="L12" s="31" t="n">
        <x:f>IF(E12=0,"",E12*K12)</x:f>
        <x:v>312064816.7597372</x:v>
      </x:c>
      <x:c r="M12" s="31" t="n">
        <x:f>IF(E12=0,"",I12-L12)</x:f>
        <x:v>114273830.51292104</x:v>
      </x:c>
      <x:c r="N12" s="32" t="n">
        <x:f>IF(L12=0,"",I12/L12)</x:f>
        <x:v>1.3661862035568781</x:v>
      </x:c>
      <x:c r="O12" s="34" t="n">
        <x:f>IF(L12=0,"",M12/L12)</x:f>
        <x:v>0.36618620355687825</x:v>
      </x:c>
    </x:row>
    <x:row r="13" ht="18" customHeight="1">
      <x:c r="A13" s="24" t="str">
        <x:v>Medium pelagics (30 - 89 cm)</x:v>
      </x:c>
      <x:c r="B13" s="33" t="n">
        <x:v>18</x:v>
      </x:c>
      <x:c r="C13" s="33" t="n">
        <x:v>18</x:v>
      </x:c>
      <x:c r="D13" s="31" t="n">
        <x:v>742375.8896053452</x:v>
      </x:c>
      <x:c r="E13" s="31" t="n">
        <x:v>742375.8896053452</x:v>
      </x:c>
      <x:c r="F13" s="32" t="n">
        <x:v>0</x:v>
      </x:c>
      <x:c r="G13" s="34" t="n">
        <x:v>1</x:v>
      </x:c>
      <x:c r="H13" s="32" t="n">
        <x:f>IF(E13=0,"",I13/E13)</x:f>
        <x:v>588.305794725108</x:v>
      </x:c>
      <x:c r="I13" s="31" t="n">
        <x:f>IF(C13=0,"",SUMIF('Species'!$G$2:$G$152,A13,'Species'!$U$2:$U$152))</x:f>
        <x:v>436744037.7190316</x:v>
      </x:c>
      <x:c r="J13" s="32" t="n">
        <x:v>3.5261652327632294</x:v>
      </x:c>
      <x:c r="K13" s="32" t="n">
        <x:f>IF(J13="","",(1/'Metadata'!$B$5)^(J13-1))</x:f>
        <x:v>335.86537411654876</x:v>
      </x:c>
      <x:c r="L13" s="31" t="n">
        <x:f>IF(E13=0,"",E13*K13)</x:f>
        <x:v>249338355.89740497</x:v>
      </x:c>
      <x:c r="M13" s="31" t="n">
        <x:f>IF(E13=0,"",I13-L13)</x:f>
        <x:v>187405681.8216266</x:v>
      </x:c>
      <x:c r="N13" s="32" t="n">
        <x:f>IF(L13=0,"",I13/L13)</x:f>
        <x:v>1.7516119256787681</x:v>
      </x:c>
      <x:c r="O13" s="34" t="n">
        <x:f>IF(L13=0,"",M13/L13)</x:f>
        <x:v>0.7516119256787682</x:v>
      </x:c>
    </x:row>
    <x:row r="14" ht="18" customHeight="1">
      <x:c r="A14" s="24" t="str">
        <x:v>Medium reef assoc. fish (30 - 89 cm)</x:v>
      </x:c>
      <x:c r="B14" s="33" t="n">
        <x:v>14</x:v>
      </x:c>
      <x:c r="C14" s="33" t="n">
        <x:v>14</x:v>
      </x:c>
      <x:c r="D14" s="31" t="n">
        <x:v>134687.23007185137</x:v>
      </x:c>
      <x:c r="E14" s="31" t="n">
        <x:v>134687.23007185137</x:v>
      </x:c>
      <x:c r="F14" s="32" t="n">
        <x:v>0</x:v>
      </x:c>
      <x:c r="G14" s="34" t="n">
        <x:v>1</x:v>
      </x:c>
      <x:c r="H14" s="32" t="n">
        <x:f>IF(E14=0,"",I14/E14)</x:f>
        <x:v>580.3113066015611</x:v>
      </x:c>
      <x:c r="I14" s="31" t="n">
        <x:f>IF(C14=0,"",SUMIF('Species'!$G$2:$G$152,A14,'Species'!$U$2:$U$152))</x:f>
        <x:v>78160522.46554114</x:v>
      </x:c>
      <x:c r="J14" s="32" t="n">
        <x:v>3.6507122935493546</x:v>
      </x:c>
      <x:c r="K14" s="32" t="n">
        <x:f>IF(J14="","",(1/'Metadata'!$B$5)^(J14-1))</x:f>
        <x:v>447.4168063985964</x:v>
      </x:c>
      <x:c r="L14" s="31" t="n">
        <x:f>IF(E14=0,"",E14*K14)</x:f>
        <x:v>60261330.34142074</x:v>
      </x:c>
      <x:c r="M14" s="31" t="n">
        <x:f>IF(E14=0,"",I14-L14)</x:f>
        <x:v>17899192.1241204</x:v>
      </x:c>
      <x:c r="N14" s="32" t="n">
        <x:f>IF(L14=0,"",I14/L14)</x:f>
        <x:v>1.297026169563624</x:v>
      </x:c>
      <x:c r="O14" s="34" t="n">
        <x:f>IF(L14=0,"",M14/L14)</x:f>
        <x:v>0.29702616956362404</x:v>
      </x:c>
    </x:row>
    <x:row r="15" ht="18" customHeight="1">
      <x:c r="A15" s="24" t="str">
        <x:v>Other demersal invertebrates</x:v>
      </x:c>
      <x:c r="B15" s="33" t="n">
        <x:v>11</x:v>
      </x:c>
      <x:c r="C15" s="33" t="n">
        <x:v>11</x:v>
      </x:c>
      <x:c r="D15" s="31" t="n">
        <x:v>99353.6071511873</x:v>
      </x:c>
      <x:c r="E15" s="31" t="n">
        <x:v>99353.6071511873</x:v>
      </x:c>
      <x:c r="F15" s="32" t="n">
        <x:v>0</x:v>
      </x:c>
      <x:c r="G15" s="34" t="n">
        <x:v>1</x:v>
      </x:c>
      <x:c r="H15" s="32" t="n">
        <x:f>IF(E15=0,"",I15/E15)</x:f>
        <x:v>19.0934852215746</x:v>
      </x:c>
      <x:c r="I15" s="31" t="n">
        <x:f>IF(C15=0,"",SUMIF('Species'!$G$2:$G$152,A15,'Species'!$U$2:$U$152))</x:f>
        <x:v>1897006.6298513233</x:v>
      </x:c>
      <x:c r="J15" s="32" t="n">
        <x:v>2.2331301573508804</x:v>
      </x:c>
      <x:c r="K15" s="32" t="n">
        <x:f>IF(J15="","",(1/'Metadata'!$B$5)^(J15-1))</x:f>
        <x:v>17.10527880706656</x:v>
      </x:c>
      <x:c r="L15" s="31" t="n">
        <x:f>IF(E15=0,"",E15*K15)</x:f>
        <x:v>1699471.150808821</x:v>
      </x:c>
      <x:c r="M15" s="31" t="n">
        <x:f>IF(E15=0,"",I15-L15)</x:f>
        <x:v>197535.47904250235</x:v>
      </x:c>
      <x:c r="N15" s="32" t="n">
        <x:f>IF(L15=0,"",I15/L15)</x:f>
        <x:v>1.1162334994321559</x:v>
      </x:c>
      <x:c r="O15" s="34" t="n">
        <x:f>IF(L15=0,"",M15/L15)</x:f>
        <x:v>0.11623349943215586</x:v>
      </x:c>
    </x:row>
    <x:row r="16" ht="18" customHeight="1">
      <x:c r="A16" s="24" t="str">
        <x:v>Shrimps</x:v>
      </x:c>
      <x:c r="B16" s="33" t="n">
        <x:v>8</x:v>
      </x:c>
      <x:c r="C16" s="33" t="n">
        <x:v>8</x:v>
      </x:c>
      <x:c r="D16" s="31" t="n">
        <x:v>216661.75926366623</x:v>
      </x:c>
      <x:c r="E16" s="31" t="n">
        <x:v>216661.75926366623</x:v>
      </x:c>
      <x:c r="F16" s="32" t="n">
        <x:v>0</x:v>
      </x:c>
      <x:c r="G16" s="34" t="n">
        <x:v>1</x:v>
      </x:c>
      <x:c r="H16" s="32" t="n">
        <x:f>IF(E16=0,"",I16/E16)</x:f>
        <x:v>202.0792732249532</x:v>
      </x:c>
      <x:c r="I16" s="31" t="n">
        <x:f>IF(C16=0,"",SUMIF('Species'!$G$2:$G$152,A16,'Species'!$U$2:$U$152))</x:f>
        <x:v>43782850.847641446</x:v>
      </x:c>
      <x:c r="J16" s="32" t="n">
        <x:v>3.3050680671740476</x:v>
      </x:c>
      <x:c r="K16" s="32" t="n">
        <x:f>IF(J16="","",(1/'Metadata'!$B$5)^(J16-1))</x:f>
        <x:v>201.8682727962075</x:v>
      </x:c>
      <x:c r="L16" s="31" t="n">
        <x:f>IF(E16=0,"",E16*K16)</x:f>
        <x:v>43737135.12354401</x:v>
      </x:c>
      <x:c r="M16" s="31" t="n">
        <x:f>IF(E16=0,"",I16-L16)</x:f>
        <x:v>45715.72409743816</x:v>
      </x:c>
      <x:c r="N16" s="32" t="n">
        <x:f>IF(L16=0,"",I16/L16)</x:f>
        <x:v>1.001045238193318</x:v>
      </x:c>
      <x:c r="O16" s="34" t="n">
        <x:f>IF(L16=0,"",M16/L16)</x:f>
        <x:v>0.0010452381933179948</x:v>
      </x:c>
    </x:row>
    <x:row r="17" ht="18" customHeight="1">
      <x:c r="A17" s="24" t="str">
        <x:v>Small benthopelagics (&lt;30 cm)</x:v>
      </x:c>
      <x:c r="B17" s="33" t="n">
        <x:v>2</x:v>
      </x:c>
      <x:c r="C17" s="33" t="n">
        <x:v>2</x:v>
      </x:c>
      <x:c r="D17" s="31" t="n">
        <x:v>108411.5874385319</x:v>
      </x:c>
      <x:c r="E17" s="31" t="n">
        <x:v>108411.5874385319</x:v>
      </x:c>
      <x:c r="F17" s="32" t="n">
        <x:v>0</x:v>
      </x:c>
      <x:c r="G17" s="34" t="n">
        <x:v>1</x:v>
      </x:c>
      <x:c r="H17" s="32" t="n">
        <x:f>IF(E17=0,"",I17/E17)</x:f>
        <x:v>185.60697716776934</x:v>
      </x:c>
      <x:c r="I17" s="31" t="n">
        <x:f>IF(C17=0,"",SUMIF('Species'!$G$2:$G$152,A17,'Species'!$U$2:$U$152))</x:f>
        <x:v>20121947.03442522</x:v>
      </x:c>
      <x:c r="J17" s="32" t="n">
        <x:v>3.2584879376437725</x:v>
      </x:c>
      <x:c r="K17" s="32" t="n">
        <x:f>IF(J17="","",(1/'Metadata'!$B$5)^(J17-1))</x:f>
        <x:v>181.33763093667432</x:v>
      </x:c>
      <x:c r="L17" s="31" t="n">
        <x:f>IF(E17=0,"",E17*K17)</x:f>
        <x:v>19659100.432187494</x:v>
      </x:c>
      <x:c r="M17" s="31" t="n">
        <x:f>IF(E17=0,"",I17-L17)</x:f>
        <x:v>462846.6022377275</x:v>
      </x:c>
      <x:c r="N17" s="32" t="n">
        <x:f>IF(L17=0,"",I17/L17)</x:f>
        <x:v>1.0235436307899377</x:v>
      </x:c>
      <x:c r="O17" s="34" t="n">
        <x:f>IF(L17=0,"",M17/L17)</x:f>
        <x:v>0.023543630789937722</x:v>
      </x:c>
    </x:row>
    <x:row r="18" ht="18" customHeight="1">
      <x:c r="A18" s="24" t="str">
        <x:v>Small demersals (&lt;30 cm)</x:v>
      </x:c>
      <x:c r="B18" s="33" t="n">
        <x:v>3</x:v>
      </x:c>
      <x:c r="C18" s="33" t="n">
        <x:v>3</x:v>
      </x:c>
      <x:c r="D18" s="31" t="n">
        <x:v>188642.69546747103</x:v>
      </x:c>
      <x:c r="E18" s="31" t="n">
        <x:v>188642.69546747103</x:v>
      </x:c>
      <x:c r="F18" s="32" t="n">
        <x:v>0</x:v>
      </x:c>
      <x:c r="G18" s="34" t="n">
        <x:v>1</x:v>
      </x:c>
      <x:c r="H18" s="32" t="n">
        <x:f>IF(E18=0,"",I18/E18)</x:f>
        <x:v>331.4208851834192</x:v>
      </x:c>
      <x:c r="I18" s="31" t="n">
        <x:f>IF(C18=0,"",SUMIF('Species'!$G$2:$G$152,A18,'Species'!$U$2:$U$152))</x:f>
        <x:v>62520129.115215436</x:v>
      </x:c>
      <x:c r="J18" s="32" t="n">
        <x:v>3.5192302638368025</x:v>
      </x:c>
      <x:c r="K18" s="32" t="n">
        <x:f>IF(J18="","",(1/'Metadata'!$B$5)^(J18-1))</x:f>
        <x:v>330.5447500980055</x:v>
      </x:c>
      <x:c r="L18" s="31" t="n">
        <x:f>IF(E18=0,"",E18*K18)</x:f>
        <x:v>62354852.63110937</x:v>
      </x:c>
      <x:c r="M18" s="31" t="n">
        <x:f>IF(E18=0,"",I18-L18)</x:f>
        <x:v>165276.48410606384</x:v>
      </x:c>
      <x:c r="N18" s="32" t="n">
        <x:f>IF(L18=0,"",I18/L18)</x:f>
        <x:v>1.002650579339572</x:v>
      </x:c>
      <x:c r="O18" s="34" t="n">
        <x:f>IF(L18=0,"",M18/L18)</x:f>
        <x:v>0.002650579339571817</x:v>
      </x:c>
    </x:row>
    <x:row r="19" ht="18" customHeight="1">
      <x:c r="A19" s="24" t="str">
        <x:v>Small pelagics (&lt;30 cm)</x:v>
      </x:c>
      <x:c r="B19" s="33" t="n">
        <x:v>8</x:v>
      </x:c>
      <x:c r="C19" s="33" t="n">
        <x:v>8</x:v>
      </x:c>
      <x:c r="D19" s="31" t="n">
        <x:v>867922.1176754625</x:v>
      </x:c>
      <x:c r="E19" s="31" t="n">
        <x:v>867922.1176754625</x:v>
      </x:c>
      <x:c r="F19" s="32" t="n">
        <x:v>0</x:v>
      </x:c>
      <x:c r="G19" s="34" t="n">
        <x:v>1</x:v>
      </x:c>
      <x:c r="H19" s="32" t="n">
        <x:f>IF(E19=0,"",I19/E19)</x:f>
        <x:v>125.90446297158051</x:v>
      </x:c>
      <x:c r="I19" s="31" t="n">
        <x:f>IF(C19=0,"",SUMIF('Species'!$G$2:$G$152,A19,'Species'!$U$2:$U$152))</x:f>
        <x:v>109275268.12708601</x:v>
      </x:c>
      <x:c r="J19" s="32" t="n">
        <x:v>2.9506360210176656</x:v>
      </x:c>
      <x:c r="K19" s="32" t="n">
        <x:f>IF(J19="","",(1/'Metadata'!$B$5)^(J19-1))</x:f>
        <x:v>89.25571246775894</x:v>
      </x:c>
      <x:c r="L19" s="31" t="n">
        <x:f>IF(E19=0,"",E19*K19)</x:f>
        <x:v>77467006.97964951</x:v>
      </x:c>
      <x:c r="M19" s="31" t="n">
        <x:f>IF(E19=0,"",I19-L19)</x:f>
        <x:v>31808261.1474365</x:v>
      </x:c>
      <x:c r="N19" s="32" t="n">
        <x:f>IF(L19=0,"",I19/L19)</x:f>
        <x:v>1.4106039769394019</x:v>
      </x:c>
      <x:c r="O19" s="34" t="n">
        <x:f>IF(L19=0,"",M19/L19)</x:f>
        <x:v>0.410603976939402</x:v>
      </x:c>
    </x:row>
    <x:row r="20" ht="18" customHeight="1">
      <x:c r="A20" s="24" t="str">
        <x:v>Small reef assoc. fish (&lt;30 cm)</x:v>
      </x:c>
      <x:c r="B20" s="33" t="n">
        <x:v>1</x:v>
      </x:c>
      <x:c r="C20" s="33" t="n">
        <x:v>1</x:v>
      </x:c>
      <x:c r="D20" s="31" t="n">
        <x:v>45.8349523801</x:v>
      </x:c>
      <x:c r="E20" s="31" t="n">
        <x:v>45.8349523801</x:v>
      </x:c>
      <x:c r="F20" s="32" t="n">
        <x:v>0</x:v>
      </x:c>
      <x:c r="G20" s="34" t="n">
        <x:v>1</x:v>
      </x:c>
      <x:c r="H20" s="32" t="n">
        <x:f>IF(E20=0,"",I20/E20)</x:f>
        <x:v>199.52623149688785</x:v>
      </x:c>
      <x:c r="I20" s="31" t="n">
        <x:f>IF(C20=0,"",SUMIF('Species'!$G$2:$G$152,A20,'Species'!$U$2:$U$152))</x:f>
        <x:v>9145.275319240664</x:v>
      </x:c>
      <x:c r="J20" s="32" t="n">
        <x:v>3.3</x:v>
      </x:c>
      <x:c r="K20" s="32" t="n">
        <x:f>IF(J20="","",(1/'Metadata'!$B$5)^(J20-1))</x:f>
        <x:v>199.52623149688787</x:v>
      </x:c>
      <x:c r="L20" s="31" t="n">
        <x:f>IF(E20=0,"",E20*K20)</x:f>
        <x:v>9145.275319240664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to medium flatfishes (&lt;90 cm)</x:v>
      </x:c>
      <x:c r="B21" s="33" t="n">
        <x:v>3</x:v>
      </x:c>
      <x:c r="C21" s="33" t="n">
        <x:v>3</x:v>
      </x:c>
      <x:c r="D21" s="31" t="n">
        <x:v>47754.494267179994</x:v>
      </x:c>
      <x:c r="E21" s="31" t="n">
        <x:v>47754.494267179994</x:v>
      </x:c>
      <x:c r="F21" s="32" t="n">
        <x:v>0</x:v>
      </x:c>
      <x:c r="G21" s="34" t="n">
        <x:v>1</x:v>
      </x:c>
      <x:c r="H21" s="32" t="n">
        <x:f>IF(E21=0,"",I21/E21)</x:f>
        <x:v>141.99380287673836</x:v>
      </x:c>
      <x:c r="I21" s="31" t="n">
        <x:f>IF(C21=0,"",SUMIF('Species'!$G$2:$G$152,A21,'Species'!$U$2:$U$152))</x:f>
        <x:v>6780842.245452289</x:v>
      </x:c>
      <x:c r="J21" s="32" t="n">
        <x:v>3.151271160869112</x:v>
      </x:c>
      <x:c r="K21" s="32" t="n">
        <x:f>IF(J21="","",(1/'Metadata'!$B$5)^(J21-1))</x:f>
        <x:v>141.66780365232427</x:v>
      </x:c>
      <x:c r="L21" s="31" t="n">
        <x:f>IF(E21=0,"",E21*K21)</x:f>
        <x:v>6765274.3173589</x:v>
      </x:c>
      <x:c r="M21" s="31" t="n">
        <x:f>IF(E21=0,"",I21-L21)</x:f>
        <x:v>15567.928093388677</x:v>
      </x:c>
      <x:c r="N21" s="32" t="n">
        <x:f>IF(L21=0,"",I21/L21)</x:f>
        <x:v>1.0023011525273178</x:v>
      </x:c>
      <x:c r="O21" s="34" t="n">
        <x:f>IF(L21=0,"",M21/L21)</x:f>
        <x:v>0.002301152527317806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040945cc5a24c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EEZ_356</x:v>
      </x:c>
      <x:c r="B2" s="24" t="str">
        <x:v>raw_filtered_tonnes</x:v>
      </x:c>
      <x:c r="C2" s="24" t="n">
        <x:v>4344032.198932858</x:v>
      </x:c>
      <x:c r="D2" s="24" t="str">
        <x:v>tonnes</x:v>
      </x:c>
    </x:row>
    <x:row r="3" ht="18" customHeight="1">
      <x:c r="A3" s="24" t="str">
        <x:v>EEZ_356</x:v>
      </x:c>
      <x:c r="B3" s="24" t="str">
        <x:v>species_catch_tonnes</x:v>
      </x:c>
      <x:c r="C3" s="24" t="n">
        <x:v>4344032.198932858</x:v>
      </x:c>
      <x:c r="D3" s="24" t="str">
        <x:v>tonnes</x:v>
      </x:c>
    </x:row>
    <x:row r="4" ht="18" customHeight="1">
      <x:c r="A4" s="24" t="str">
        <x:v>EEZ_356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EEZ_356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EEZ_356</x:v>
      </x:c>
      <x:c r="B6" s="24" t="str">
        <x:v>matched_catch_tonnes</x:v>
      </x:c>
      <x:c r="C6" s="24" t="n">
        <x:v>4344032.198932858</x:v>
      </x:c>
      <x:c r="D6" s="24" t="str">
        <x:v>tonnes</x:v>
      </x:c>
    </x:row>
    <x:row r="7" ht="18" customHeight="1">
      <x:c r="A7" s="24" t="str">
        <x:v>EEZ_356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EEZ_356</x:v>
      </x:c>
      <x:c r="B8" s="24" t="str">
        <x:v>taxa_count</x:v>
      </x:c>
      <x:c r="C8" s="24" t="n">
        <x:v>151</x:v>
      </x:c>
      <x:c r="D8" s="24" t="str">
        <x:v>count</x:v>
      </x:c>
    </x:row>
    <x:row r="9" ht="18" customHeight="1">
      <x:c r="A9" s="24" t="str">
        <x:v>EEZ_356</x:v>
      </x:c>
      <x:c r="B9" s="24" t="str">
        <x:v>matched_taxa_count</x:v>
      </x:c>
      <x:c r="C9" s="24" t="n">
        <x:v>151</x:v>
      </x:c>
      <x:c r="D9" s="24" t="str">
        <x:v>count</x:v>
      </x:c>
    </x:row>
    <x:row r="10" ht="18" customHeight="1">
      <x:c r="A10" s="24" t="str">
        <x:v>EEZ_356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EEZ_356</x:v>
      </x:c>
      <x:c r="B11" s="24" t="str">
        <x:v>species_ppr</x:v>
      </x:c>
      <x:c r="C11" s="24" t="n">
        <x:v>2254375093.1762247</x:v>
      </x:c>
      <x:c r="D11" s="24" t="str">
        <x:v>tonnes_primary_production_equivalent</x:v>
      </x:c>
    </x:row>
    <x:row r="12" ht="18" customHeight="1">
      <x:c r="A12" s="24" t="str">
        <x:v>EEZ_356</x:v>
      </x:c>
      <x:c r="B12" s="24" t="str">
        <x:v>commercial_ppr</x:v>
      </x:c>
      <x:c r="C12" s="24" t="n">
        <x:v>2254375093.176224</x:v>
      </x:c>
      <x:c r="D12" s="24" t="str">
        <x:v>tonnes_primary_production_equivalent</x:v>
      </x:c>
    </x:row>
    <x:row r="13" ht="18" customHeight="1">
      <x:c r="A13" s="24" t="str">
        <x:v>EEZ_356</x:v>
      </x:c>
      <x:c r="B13" s="24" t="str">
        <x:v>functional_ppr</x:v>
      </x:c>
      <x:c r="C13" s="24" t="n">
        <x:v>2254375093.1762247</x:v>
      </x:c>
      <x:c r="D13" s="24" t="str">
        <x:v>tonnes_primary_production_equivalent</x:v>
      </x:c>
    </x:row>
    <x:row r="14" ht="18" customHeight="1">
      <x:c r="A14" s="24" t="str">
        <x:v>EEZ_356</x:v>
      </x:c>
      <x:c r="B14" s="24" t="str">
        <x:v>commercial_ppr_difference</x:v>
      </x:c>
      <x:c r="C14" s="24" t="n">
        <x:v>-4.76837158203125e-7</x:v>
      </x:c>
      <x:c r="D14" s="24" t="str">
        <x:v>tonnes_primary_production_equivalent</x:v>
      </x:c>
    </x:row>
    <x:row r="15" ht="18" customHeight="1">
      <x:c r="A15" s="24" t="str">
        <x:v>EEZ_356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EEZ_356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EEZ_356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EEZ_356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EEZ_356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14ebf70926448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EEZ_356 - India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EEZ_356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raw_data/SAU_downloads/EEZ_356-catch.zip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