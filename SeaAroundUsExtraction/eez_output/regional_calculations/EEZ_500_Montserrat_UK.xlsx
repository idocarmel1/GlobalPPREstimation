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336c49c9d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d20fe4b68424f57"/>
    <x:sheet xmlns:r="http://schemas.openxmlformats.org/officeDocument/2006/relationships" name="Commercial" sheetId="2" r:id="R5592d8ca6b4a4616"/>
    <x:sheet xmlns:r="http://schemas.openxmlformats.org/officeDocument/2006/relationships" name="Functional" sheetId="3" r:id="R7c95eeef76434a8d"/>
    <x:sheet xmlns:r="http://schemas.openxmlformats.org/officeDocument/2006/relationships" name="Missing TL" sheetId="4" r:id="R84630afd211d45e9"/>
    <x:sheet xmlns:r="http://schemas.openxmlformats.org/officeDocument/2006/relationships" name="Validation" sheetId="5" r:id="Rdeb76b79735743ef"/>
    <x:sheet xmlns:r="http://schemas.openxmlformats.org/officeDocument/2006/relationships" name="Metadata" sheetId="6" r:id="Re96b239d4b12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9da08ac644b33" /><Relationship Type="http://schemas.openxmlformats.org/officeDocument/2006/relationships/theme" Target="/xl/theme/theme1.xml" Id="R43cdfe7d2b3d4b56" /><Relationship Type="http://schemas.microsoft.com/office/2022/11/relationships/FeaturePropertyBag" Target="/xl/featurePropertyBag/featurePropertyBag.xml" Id="Re03f09d5a3484bb5" /><Relationship Type="http://schemas.openxmlformats.org/officeDocument/2006/relationships/sharedStrings" Target="/xl/sharedStrings.xml" Id="R3b845a8e40cb484f" /><Relationship Type="http://schemas.openxmlformats.org/officeDocument/2006/relationships/worksheet" Target="/xl/worksheets/sheet1.xml" Id="R3d20fe4b68424f57" /><Relationship Type="http://schemas.openxmlformats.org/officeDocument/2006/relationships/worksheet" Target="/xl/worksheets/sheet2.xml" Id="R5592d8ca6b4a4616" /><Relationship Type="http://schemas.openxmlformats.org/officeDocument/2006/relationships/worksheet" Target="/xl/worksheets/sheet3.xml" Id="R7c95eeef76434a8d" /><Relationship Type="http://schemas.openxmlformats.org/officeDocument/2006/relationships/worksheet" Target="/xl/worksheets/sheet4.xml" Id="R84630afd211d45e9" /><Relationship Type="http://schemas.openxmlformats.org/officeDocument/2006/relationships/worksheet" Target="/xl/worksheets/sheet5.xml" Id="Rdeb76b79735743ef" /><Relationship Type="http://schemas.openxmlformats.org/officeDocument/2006/relationships/worksheet" Target="/xl/worksheets/sheet6.xml" Id="Re96b239d4b1242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00SpeciesTable" displayName="EEZ500SpeciesTable" ref="A1:U88" headerRowCount="1" totalsRowCount="0" totalsRowShown="0">
  <x:autoFilter ref="A1:U8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00CommercialTable" displayName="EEZ500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00FunctionalTable" displayName="EEZ500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00ValidationTable" displayName="EEZ50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385eeb482144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1f298cb63343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a8860c175743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a2df44032941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EEZ_500</x:v>
      </x:c>
      <x:c r="B2" s="24" t="str">
        <x:v>Montserrat (UK)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18.017591277999998</x:v>
      </x:c>
      <x:c r="J2" s="31" t="n">
        <x:v>18.017591277999998</x:v>
      </x:c>
      <x:c r="K2" s="31" t="n">
        <x:v>0</x:v>
      </x:c>
      <x:c r="L2" s="31" t="n">
        <x:v>15.139341942</x:v>
      </x:c>
      <x:c r="M2" s="31" t="n">
        <x:v>2.878249336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3433.18124125462</x:v>
      </x:c>
    </x:row>
    <x:row r="3" ht="18" customHeight="1">
      <x:c r="A3" s="24" t="str">
        <x:v>EEZ_500</x:v>
      </x:c>
      <x:c r="B3" s="24" t="str">
        <x:v>Montserrat (UK)</x:v>
      </x:c>
      <x:c r="C3" s="24" t="str">
        <x:v>EEZ</x:v>
      </x:c>
      <x:c r="D3" s="30" t="n">
        <x:v>2019</x:v>
      </x:c>
      <x:c r="E3" s="24" t="str">
        <x:v>Acanthocybium solandri</x:v>
      </x:c>
      <x:c r="F3" s="24" t="str">
        <x:v>Wahoo</x:v>
      </x:c>
      <x:c r="G3" s="24" t="str">
        <x:v>Large pelagics (&gt;=90 cm)</x:v>
      </x:c>
      <x:c r="H3" s="24" t="str">
        <x:v>Perch-likes</x:v>
      </x:c>
      <x:c r="I3" s="31" t="n">
        <x:v>3.469185865</x:v>
      </x:c>
      <x:c r="J3" s="31" t="n">
        <x:v>3.469185865</x:v>
      </x:c>
      <x:c r="K3" s="31" t="n">
        <x:v>0</x:v>
      </x:c>
      <x:c r="L3" s="31" t="n">
        <x:v>0.225517671</x:v>
      </x:c>
      <x:c r="M3" s="31" t="n">
        <x:v>3.243668194</x:v>
      </x:c>
      <x:c r="N3" s="24" t="str">
        <x:v>acanthocybium solandri</x:v>
      </x:c>
      <x:c r="O3" s="32" t="n">
        <x:v>4.26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Acanthocybium solandri</x:v>
      </x:c>
      <x:c r="T3" s="32" t="n">
        <x:f>IF(O3="","",(1/'Metadata'!$B$5)^(O3-1))</x:f>
        <x:v>1819.7008586099826</x:v>
      </x:c>
      <x:c r="U3" s="31" t="n">
        <x:f>IF(T3="","",I3*T3)</x:f>
        <x:v>6312.880497218115</x:v>
      </x:c>
    </x:row>
    <x:row r="4" ht="18" customHeight="1">
      <x:c r="A4" s="24" t="str">
        <x:v>EEZ_500</x:v>
      </x:c>
      <x:c r="B4" s="24" t="str">
        <x:v>Montserrat (UK)</x:v>
      </x:c>
      <x:c r="C4" s="24" t="str">
        <x:v>EEZ</x:v>
      </x:c>
      <x:c r="D4" s="30" t="n">
        <x:v>2019</x:v>
      </x:c>
      <x:c r="E4" s="24" t="str">
        <x:v>Scomberomorus cavalla</x:v>
      </x:c>
      <x:c r="F4" s="24" t="str">
        <x:v>King mackerel</x:v>
      </x:c>
      <x:c r="G4" s="24" t="str">
        <x:v>Large pelagics (&gt;=90 cm)</x:v>
      </x:c>
      <x:c r="H4" s="24" t="str">
        <x:v>Perch-likes</x:v>
      </x:c>
      <x:c r="I4" s="31" t="n">
        <x:v>3.261304288</x:v>
      </x:c>
      <x:c r="J4" s="31" t="n">
        <x:v>3.261304288</x:v>
      </x:c>
      <x:c r="K4" s="31" t="n">
        <x:v>0</x:v>
      </x:c>
      <x:c r="L4" s="31" t="n">
        <x:v>0.044237098</x:v>
      </x:c>
      <x:c r="M4" s="31" t="n">
        <x:v>3.21706719</x:v>
      </x:c>
      <x:c r="N4" s="24" t="str">
        <x:v>scomberomorus cavalla</x:v>
      </x:c>
      <x:c r="O4" s="32" t="n">
        <x:v>4.42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Scomberomorus cavalla</x:v>
      </x:c>
      <x:c r="T4" s="32" t="n">
        <x:f>IF(O4="","",(1/'Metadata'!$B$5)^(O4-1))</x:f>
        <x:v>2630.2679918953813</x:v>
      </x:c>
      <x:c r="U4" s="31" t="n">
        <x:f>IF(T4="","",I4*T4)</x:f>
        <x:v>8578.104280557556</x:v>
      </x:c>
    </x:row>
    <x:row r="5" ht="18" customHeight="1">
      <x:c r="A5" s="24" t="str">
        <x:v>EEZ_500</x:v>
      </x:c>
      <x:c r="B5" s="24" t="str">
        <x:v>Montserrat (UK)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3.2486005860000002</x:v>
      </x:c>
      <x:c r="J5" s="31" t="n">
        <x:v>3.2486005860000002</x:v>
      </x:c>
      <x:c r="K5" s="31" t="n">
        <x:v>0</x:v>
      </x:c>
      <x:c r="L5" s="31" t="n">
        <x:v>0.038519477</x:v>
      </x:c>
      <x:c r="M5" s="31" t="n">
        <x:v>3.2100811090000003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7615.463103166388</x:v>
      </x:c>
    </x:row>
    <x:row r="6" ht="18" customHeight="1">
      <x:c r="A6" s="24" t="str">
        <x:v>EEZ_500</x:v>
      </x:c>
      <x:c r="B6" s="24" t="str">
        <x:v>Montserrat (UK)</x:v>
      </x:c>
      <x:c r="C6" s="24" t="str">
        <x:v>EEZ</x:v>
      </x:c>
      <x:c r="D6" s="30" t="n">
        <x:v>2019</x:v>
      </x:c>
      <x:c r="E6" s="24" t="str">
        <x:v>Thunnus</x:v>
      </x:c>
      <x:c r="F6" s="24" t="str">
        <x:v>Tunas</x:v>
      </x:c>
      <x:c r="G6" s="24" t="str">
        <x:v>Large pelagics (&gt;=90 cm)</x:v>
      </x:c>
      <x:c r="H6" s="24" t="str">
        <x:v>Tuna &amp; billfishes</x:v>
      </x:c>
      <x:c r="I6" s="31" t="n">
        <x:v>3.203162556</x:v>
      </x:c>
      <x:c r="J6" s="31" t="n">
        <x:v>3.203162556</x:v>
      </x:c>
      <x:c r="K6" s="31" t="n">
        <x:v>0</x:v>
      </x:c>
      <x:c r="L6" s="31" t="n">
        <x:v>0</x:v>
      </x:c>
      <x:c r="M6" s="31" t="n">
        <x:v>3.203162556</x:v>
      </x:c>
      <x:c r="N6" s="24" t="str">
        <x:v>thunnus</x:v>
      </x:c>
      <x:c r="O6" s="32" t="n">
        <x:v>4.34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Thunnus</x:v>
      </x:c>
      <x:c r="T6" s="32" t="n">
        <x:f>IF(O6="","",(1/'Metadata'!$B$5)^(O6-1))</x:f>
        <x:v>2187.761623949552</x:v>
      </x:c>
      <x:c r="U6" s="31" t="n">
        <x:f>IF(T6="","",I6*T6)</x:f>
        <x:v>7007.7561152889575</x:v>
      </x:c>
    </x:row>
    <x:row r="7" ht="18" customHeight="1">
      <x:c r="A7" s="24" t="str">
        <x:v>EEZ_500</x:v>
      </x:c>
      <x:c r="B7" s="24" t="str">
        <x:v>Montserrat (UK)</x:v>
      </x:c>
      <x:c r="C7" s="24" t="str">
        <x:v>EEZ</x:v>
      </x:c>
      <x:c r="D7" s="30" t="n">
        <x:v>2019</x:v>
      </x:c>
      <x:c r="E7" s="24" t="str">
        <x:v>Acanthurus</x:v>
      </x:c>
      <x:c r="F7" s="24" t="str">
        <x:v>Surgeonfishes</x:v>
      </x:c>
      <x:c r="G7" s="24" t="str">
        <x:v>Small reef assoc. fish (&lt;30 cm)</x:v>
      </x:c>
      <x:c r="H7" s="24" t="str">
        <x:v>Perch-likes</x:v>
      </x:c>
      <x:c r="I7" s="31" t="n">
        <x:v>2.254674262</x:v>
      </x:c>
      <x:c r="J7" s="31" t="n">
        <x:v>2.254674262</x:v>
      </x:c>
      <x:c r="K7" s="31" t="n">
        <x:v>0</x:v>
      </x:c>
      <x:c r="L7" s="31" t="n">
        <x:v>1.639105106</x:v>
      </x:c>
      <x:c r="M7" s="31" t="n">
        <x:v>0.615569156</x:v>
      </x:c>
      <x:c r="N7" s="24" t="str">
        <x:v>acanthurus</x:v>
      </x:c>
      <x:c r="O7" s="32" t="n">
        <x:v>2.03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Acanthurus</x:v>
      </x:c>
      <x:c r="T7" s="32" t="n">
        <x:f>IF(O7="","",(1/'Metadata'!$B$5)^(O7-1))</x:f>
        <x:v>10.71519305237606</x:v>
      </x:c>
      <x:c r="U7" s="31" t="n">
        <x:f>IF(T7="","",I7*T7)</x:f>
        <x:v>24.15926998755352</x:v>
      </x:c>
    </x:row>
    <x:row r="8" ht="18" customHeight="1">
      <x:c r="A8" s="24" t="str">
        <x:v>EEZ_500</x:v>
      </x:c>
      <x:c r="B8" s="24" t="str">
        <x:v>Montserrat (UK)</x:v>
      </x:c>
      <x:c r="C8" s="24" t="str">
        <x:v>EEZ</x:v>
      </x:c>
      <x:c r="D8" s="30" t="n">
        <x:v>2019</x:v>
      </x:c>
      <x:c r="E8" s="24" t="str">
        <x:v>Hemiramphus</x:v>
      </x:c>
      <x:c r="F8" s="24" t="str">
        <x:v>Halfbeaks</x:v>
      </x:c>
      <x:c r="G8" s="24" t="str">
        <x:v>Medium pelagics (30 - 89 cm)</x:v>
      </x:c>
      <x:c r="H8" s="24" t="str">
        <x:v>Other fishes &amp; inverts</x:v>
      </x:c>
      <x:c r="I8" s="31" t="n">
        <x:v>2.043538073</x:v>
      </x:c>
      <x:c r="J8" s="31" t="n">
        <x:v>2.043538073</x:v>
      </x:c>
      <x:c r="K8" s="31" t="n">
        <x:v>0</x:v>
      </x:c>
      <x:c r="L8" s="31" t="n">
        <x:v>1.732381831</x:v>
      </x:c>
      <x:c r="M8" s="31" t="n">
        <x:v>0.311156242</x:v>
      </x:c>
      <x:c r="N8" s="24" t="str">
        <x:v>hemiramphus</x:v>
      </x:c>
      <x:c r="O8" s="32" t="n">
        <x:v>3.05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Hemiramphus</x:v>
      </x:c>
      <x:c r="T8" s="32" t="n">
        <x:f>IF(O8="","",(1/'Metadata'!$B$5)^(O8-1))</x:f>
        <x:v>112.2018454301963</x:v>
      </x:c>
      <x:c r="U8" s="31" t="n">
        <x:f>IF(T8="","",I8*T8)</x:f>
        <x:v>229.2887429974672</x:v>
      </x:c>
    </x:row>
    <x:row r="9" ht="18" customHeight="1">
      <x:c r="A9" s="24" t="str">
        <x:v>EEZ_500</x:v>
      </x:c>
      <x:c r="B9" s="24" t="str">
        <x:v>Montserrat (UK)</x:v>
      </x:c>
      <x:c r="C9" s="24" t="str">
        <x:v>EEZ</x:v>
      </x:c>
      <x:c r="D9" s="30" t="n">
        <x:v>2019</x:v>
      </x:c>
      <x:c r="E9" s="24" t="str">
        <x:v>Epinephelus guttatus</x:v>
      </x:c>
      <x:c r="F9" s="24" t="str">
        <x:v>Red hind</x:v>
      </x:c>
      <x:c r="G9" s="24" t="str">
        <x:v>Medium reef assoc. fish (30 - 89 cm)</x:v>
      </x:c>
      <x:c r="H9" s="24" t="str">
        <x:v>Perch-likes</x:v>
      </x:c>
      <x:c r="I9" s="31" t="n">
        <x:v>1.918269326</x:v>
      </x:c>
      <x:c r="J9" s="31" t="n">
        <x:v>1.918269326</x:v>
      </x:c>
      <x:c r="K9" s="31" t="n">
        <x:v>0</x:v>
      </x:c>
      <x:c r="L9" s="31" t="n">
        <x:v>1.626186941</x:v>
      </x:c>
      <x:c r="M9" s="31" t="n">
        <x:v>0.292082385</x:v>
      </x:c>
      <x:c r="N9" s="24" t="str">
        <x:v>epinephelus guttatus</x:v>
      </x:c>
      <x:c r="O9" s="32" t="n">
        <x:v>3.84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Epinephelus guttatus</x:v>
      </x:c>
      <x:c r="T9" s="32" t="n">
        <x:f>IF(O9="","",(1/'Metadata'!$B$5)^(O9-1))</x:f>
        <x:v>691.8309709189363</x:v>
      </x:c>
      <x:c r="U9" s="31" t="n">
        <x:f>IF(T9="","",I9*T9)</x:f>
        <x:v>1327.1181302905936</x:v>
      </x:c>
    </x:row>
    <x:row r="10" ht="18" customHeight="1">
      <x:c r="A10" s="24" t="str">
        <x:v>EEZ_500</x:v>
      </x:c>
      <x:c r="B10" s="24" t="str">
        <x:v>Montserrat (UK)</x:v>
      </x:c>
      <x:c r="C10" s="24" t="str">
        <x:v>EEZ</x:v>
      </x:c>
      <x:c r="D10" s="30" t="n">
        <x:v>2019</x:v>
      </x:c>
      <x:c r="E10" s="24" t="str">
        <x:v>Holocentridae</x:v>
      </x:c>
      <x:c r="F10" s="24" t="str">
        <x:v>Squirrel-, soldierfishes</x:v>
      </x:c>
      <x:c r="G10" s="24" t="str">
        <x:v>Small reef assoc. fish (&lt;30 cm)</x:v>
      </x:c>
      <x:c r="H10" s="24" t="str">
        <x:v>Other fishes &amp; inverts</x:v>
      </x:c>
      <x:c r="I10" s="31" t="n">
        <x:v>1.640405384</x:v>
      </x:c>
      <x:c r="J10" s="31" t="n">
        <x:v>1.640405384</x:v>
      </x:c>
      <x:c r="K10" s="31" t="n">
        <x:v>0</x:v>
      </x:c>
      <x:c r="L10" s="31" t="n">
        <x:v>1.1925433689999998</x:v>
      </x:c>
      <x:c r="M10" s="31" t="n">
        <x:v>0.447862015</x:v>
      </x:c>
      <x:c r="N10" s="24" t="str">
        <x:v>holocentridae</x:v>
      </x:c>
      <x:c r="O10" s="32" t="n">
        <x:v>3.49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Holocentridae</x:v>
      </x:c>
      <x:c r="T10" s="32" t="n">
        <x:f>IF(O10="","",(1/'Metadata'!$B$5)^(O10-1))</x:f>
        <x:v>309.0295432513592</x:v>
      </x:c>
      <x:c r="U10" s="31" t="n">
        <x:f>IF(T10="","",I10*T10)</x:f>
        <x:v>506.9337265645905</x:v>
      </x:c>
    </x:row>
    <x:row r="11" ht="18" customHeight="1">
      <x:c r="A11" s="24" t="str">
        <x:v>EEZ_500</x:v>
      </x:c>
      <x:c r="B11" s="24" t="str">
        <x:v>Montserrat (UK)</x:v>
      </x:c>
      <x:c r="C11" s="24" t="str">
        <x:v>EEZ</x:v>
      </x:c>
      <x:c r="D11" s="30" t="n">
        <x:v>2019</x:v>
      </x:c>
      <x:c r="E11" s="24" t="str">
        <x:v>Balistidae</x:v>
      </x:c>
      <x:c r="F11" s="24" t="str">
        <x:v>Triggerfishes</x:v>
      </x:c>
      <x:c r="G11" s="24" t="str">
        <x:v>Medium reef assoc. fish (30 - 89 cm)</x:v>
      </x:c>
      <x:c r="H11" s="24" t="str">
        <x:v>Other fishes &amp; inverts</x:v>
      </x:c>
      <x:c r="I11" s="31" t="n">
        <x:v>1.330583299</x:v>
      </x:c>
      <x:c r="J11" s="31" t="n">
        <x:v>1.330583299</x:v>
      </x:c>
      <x:c r="K11" s="31" t="n">
        <x:v>0</x:v>
      </x:c>
      <x:c r="L11" s="31" t="n">
        <x:v>1.020598884</x:v>
      </x:c>
      <x:c r="M11" s="31" t="n">
        <x:v>0.309984415</x:v>
      </x:c>
      <x:c r="N11" s="24" t="str">
        <x:v>balistidae</x:v>
      </x:c>
      <x:c r="O11" s="32" t="n">
        <x:v>3.25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Balistidae</x:v>
      </x:c>
      <x:c r="T11" s="32" t="n">
        <x:f>IF(O11="","",(1/'Metadata'!$B$5)^(O11-1))</x:f>
        <x:v>177.82794100389228</x:v>
      </x:c>
      <x:c r="U11" s="31" t="n">
        <x:f>IF(T11="","",I11*T11)</x:f>
        <x:v>236.61488839533635</x:v>
      </x:c>
    </x:row>
    <x:row r="12" ht="18" customHeight="1">
      <x:c r="A12" s="24" t="str">
        <x:v>EEZ_500</x:v>
      </x:c>
      <x:c r="B12" s="24" t="str">
        <x:v>Montserrat (UK)</x:v>
      </x:c>
      <x:c r="C12" s="24" t="str">
        <x:v>EEZ</x:v>
      </x:c>
      <x:c r="D12" s="30" t="n">
        <x:v>2019</x:v>
      </x:c>
      <x:c r="E12" s="24" t="str">
        <x:v>Lutjanus vivanus</x:v>
      </x:c>
      <x:c r="F12" s="24" t="str">
        <x:v>Silk snapper</x:v>
      </x:c>
      <x:c r="G12" s="24" t="str">
        <x:v>Medium demersals (30 - 89 cm)</x:v>
      </x:c>
      <x:c r="H12" s="24" t="str">
        <x:v>Perch-likes</x:v>
      </x:c>
      <x:c r="I12" s="31" t="n">
        <x:v>1.09294958</x:v>
      </x:c>
      <x:c r="J12" s="31" t="n">
        <x:v>1.09294958</x:v>
      </x:c>
      <x:c r="K12" s="31" t="n">
        <x:v>0</x:v>
      </x:c>
      <x:c r="L12" s="31" t="n">
        <x:v>0.926533261</x:v>
      </x:c>
      <x:c r="M12" s="31" t="n">
        <x:v>0.166416319</x:v>
      </x:c>
      <x:c r="N12" s="24" t="str">
        <x:v>lutjanus vivanus</x:v>
      </x:c>
      <x:c r="O12" s="32" t="n">
        <x:v>3.09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Lutjanus vivanus</x:v>
      </x:c>
      <x:c r="T12" s="32" t="n">
        <x:f>IF(O12="","",(1/'Metadata'!$B$5)^(O12-1))</x:f>
        <x:v>123.02687708123811</x:v>
      </x:c>
      <x:c r="U12" s="31" t="n">
        <x:f>IF(T12="","",I12*T12)</x:f>
        <x:v>134.4621736346508</x:v>
      </x:c>
    </x:row>
    <x:row r="13" ht="18" customHeight="1">
      <x:c r="A13" s="24" t="str">
        <x:v>EEZ_500</x:v>
      </x:c>
      <x:c r="B13" s="24" t="str">
        <x:v>Montserrat (UK)</x:v>
      </x:c>
      <x:c r="C13" s="24" t="str">
        <x:v>EEZ</x:v>
      </x:c>
      <x:c r="D13" s="30" t="n">
        <x:v>2019</x:v>
      </x:c>
      <x:c r="E13" s="24" t="str">
        <x:v>Ostraciidae</x:v>
      </x:c>
      <x:c r="F13" s="24" t="str">
        <x:v>Box-, cow-, trunkfishes</x:v>
      </x:c>
      <x:c r="G13" s="24" t="str">
        <x:v>Medium reef assoc. fish (30 - 89 cm)</x:v>
      </x:c>
      <x:c r="H13" s="24" t="str">
        <x:v>Other fishes &amp; inverts</x:v>
      </x:c>
      <x:c r="I13" s="31" t="n">
        <x:v>1.003018504</x:v>
      </x:c>
      <x:c r="J13" s="31" t="n">
        <x:v>1.003018504</x:v>
      </x:c>
      <x:c r="K13" s="31" t="n">
        <x:v>0</x:v>
      </x:c>
      <x:c r="L13" s="31" t="n">
        <x:v>0.699854521</x:v>
      </x:c>
      <x:c r="M13" s="31" t="n">
        <x:v>0.303163983</x:v>
      </x:c>
      <x:c r="N13" s="24" t="str">
        <x:v>ostraciidae</x:v>
      </x:c>
      <x:c r="O13" s="32" t="n">
        <x:v>2.83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Ostraciidae</x:v>
      </x:c>
      <x:c r="T13" s="32" t="n">
        <x:f>IF(O13="","",(1/'Metadata'!$B$5)^(O13-1))</x:f>
        <x:v>67.60829753919819</x:v>
      </x:c>
      <x:c r="U13" s="31" t="n">
        <x:f>IF(T13="","",I13*T13)</x:f>
        <x:v>67.81237345575344</x:v>
      </x:c>
    </x:row>
    <x:row r="14" ht="18" customHeight="1">
      <x:c r="A14" s="24" t="str">
        <x:v>EEZ_500</x:v>
      </x:c>
      <x:c r="B14" s="24" t="str">
        <x:v>Montserrat (UK)</x:v>
      </x:c>
      <x:c r="C14" s="24" t="str">
        <x:v>EEZ</x:v>
      </x:c>
      <x:c r="D14" s="30" t="n">
        <x:v>2019</x:v>
      </x:c>
      <x:c r="E14" s="24" t="str">
        <x:v>Haemulidae</x:v>
      </x:c>
      <x:c r="F14" s="24" t="str">
        <x:v>Grunts, sweetlips, bonnetmouths</x:v>
      </x:c>
      <x:c r="G14" s="24" t="str">
        <x:v>Medium demersals (30 - 89 cm)</x:v>
      </x:c>
      <x:c r="H14" s="24" t="str">
        <x:v>Perch-likes</x:v>
      </x:c>
      <x:c r="I14" s="31" t="n">
        <x:v>0.9724546999999999</x:v>
      </x:c>
      <x:c r="J14" s="31" t="n">
        <x:v>0.9724546999999999</x:v>
      </x:c>
      <x:c r="K14" s="31" t="n">
        <x:v>0</x:v>
      </x:c>
      <x:c r="L14" s="31" t="n">
        <x:v>0.658443011</x:v>
      </x:c>
      <x:c r="M14" s="31" t="n">
        <x:v>0.314011689</x:v>
      </x:c>
      <x:c r="N14" s="24" t="str">
        <x:v>haemulidae</x:v>
      </x:c>
      <x:c r="O14" s="32" t="n">
        <x:v>3.36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Haemulidae</x:v>
      </x:c>
      <x:c r="T14" s="32" t="n">
        <x:f>IF(O14="","",(1/'Metadata'!$B$5)^(O14-1))</x:f>
        <x:v>229.08676527677724</x:v>
      </x:c>
      <x:c r="U14" s="31" t="n">
        <x:f>IF(T14="","",I14*T14)</x:f>
        <x:v>222.77650160119882</x:v>
      </x:c>
    </x:row>
    <x:row r="15" ht="18" customHeight="1">
      <x:c r="A15" s="24" t="str">
        <x:v>EEZ_500</x:v>
      </x:c>
      <x:c r="B15" s="24" t="str">
        <x:v>Montserrat (UK)</x:v>
      </x:c>
      <x:c r="C15" s="24" t="str">
        <x:v>EEZ</x:v>
      </x:c>
      <x:c r="D15" s="30" t="n">
        <x:v>2019</x:v>
      </x:c>
      <x:c r="E15" s="24" t="str">
        <x:v>Caranx</x:v>
      </x:c>
      <x:c r="F15" s="24" t="str">
        <x:v>Jacks</x:v>
      </x:c>
      <x:c r="G15" s="24" t="str">
        <x:v>Medium reef assoc. fish (30 - 89 cm)</x:v>
      </x:c>
      <x:c r="H15" s="24" t="str">
        <x:v>Perch-likes</x:v>
      </x:c>
      <x:c r="I15" s="31" t="n">
        <x:v>0.825777244</x:v>
      </x:c>
      <x:c r="J15" s="31" t="n">
        <x:v>0.825777244</x:v>
      </x:c>
      <x:c r="K15" s="31" t="n">
        <x:v>0</x:v>
      </x:c>
      <x:c r="L15" s="31" t="n">
        <x:v>0.628292061</x:v>
      </x:c>
      <x:c r="M15" s="31" t="n">
        <x:v>0.197485183</x:v>
      </x:c>
      <x:c r="N15" s="24" t="str">
        <x:v>caranx</x:v>
      </x:c>
      <x:c r="O15" s="32" t="n">
        <x:v>4.12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Caranx</x:v>
      </x:c>
      <x:c r="T15" s="32" t="n">
        <x:f>IF(O15="","",(1/'Metadata'!$B$5)^(O15-1))</x:f>
        <x:v>1318.2567385564075</x:v>
      </x:c>
      <x:c r="U15" s="31" t="n">
        <x:f>IF(T15="","",I15*T15)</x:f>
        <x:v>1088.5864164495388</x:v>
      </x:c>
    </x:row>
    <x:row r="16" ht="18" customHeight="1">
      <x:c r="A16" s="24" t="str">
        <x:v>EEZ_500</x:v>
      </x:c>
      <x:c r="B16" s="24" t="str">
        <x:v>Montserrat (UK)</x:v>
      </x:c>
      <x:c r="C16" s="24" t="str">
        <x:v>EEZ</x:v>
      </x:c>
      <x:c r="D16" s="30" t="n">
        <x:v>2019</x:v>
      </x:c>
      <x:c r="E16" s="24" t="str">
        <x:v>Cephalopholis fulva</x:v>
      </x:c>
      <x:c r="F16" s="24" t="str">
        <x:v>Coney</x:v>
      </x:c>
      <x:c r="G16" s="24" t="str">
        <x:v>Medium reef assoc. fish (30 - 89 cm)</x:v>
      </x:c>
      <x:c r="H16" s="24" t="str">
        <x:v>Perch-likes</x:v>
      </x:c>
      <x:c r="I16" s="31" t="n">
        <x:v>0.788068224</x:v>
      </x:c>
      <x:c r="J16" s="31" t="n">
        <x:v>0.788068224</x:v>
      </x:c>
      <x:c r="K16" s="31" t="n">
        <x:v>0</x:v>
      </x:c>
      <x:c r="L16" s="31" t="n">
        <x:v>0.668074205</x:v>
      </x:c>
      <x:c r="M16" s="31" t="n">
        <x:v>0.119994019</x:v>
      </x:c>
      <x:c r="N16" s="24" t="str">
        <x:v>cephalopholis fulva</x:v>
      </x:c>
      <x:c r="O16" s="32" t="n">
        <x:v>4.05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Cephalopholis fulva</x:v>
      </x:c>
      <x:c r="T16" s="32" t="n">
        <x:f>IF(O16="","",(1/'Metadata'!$B$5)^(O16-1))</x:f>
        <x:v>1122.018454301963</x:v>
      </x:c>
      <x:c r="U16" s="31" t="n">
        <x:f>IF(T16="","",I16*T16)</x:f>
        <x:v>884.2270905769731</x:v>
      </x:c>
    </x:row>
    <x:row r="17" ht="18" customHeight="1">
      <x:c r="A17" s="24" t="str">
        <x:v>EEZ_500</x:v>
      </x:c>
      <x:c r="B17" s="24" t="str">
        <x:v>Montserrat (UK)</x:v>
      </x:c>
      <x:c r="C17" s="24" t="str">
        <x:v>EEZ</x:v>
      </x:c>
      <x:c r="D17" s="30" t="n">
        <x:v>2019</x:v>
      </x:c>
      <x:c r="E17" s="24" t="str">
        <x:v>Archosargus rhomboidalis</x:v>
      </x:c>
      <x:c r="F17" s="24" t="str">
        <x:v>Western Atlantic seabream</x:v>
      </x:c>
      <x:c r="G17" s="24" t="str">
        <x:v>Medium reef assoc. fish (30 - 89 cm)</x:v>
      </x:c>
      <x:c r="H17" s="24" t="str">
        <x:v>Perch-likes</x:v>
      </x:c>
      <x:c r="I17" s="31" t="n">
        <x:v>0.538795847</x:v>
      </x:c>
      <x:c r="J17" s="31" t="n">
        <x:v>0.538795847</x:v>
      </x:c>
      <x:c r="K17" s="31" t="n">
        <x:v>0</x:v>
      </x:c>
      <x:c r="L17" s="31" t="n">
        <x:v>0.538795847</x:v>
      </x:c>
      <x:c r="M17" s="31" t="n">
        <x:v>0</x:v>
      </x:c>
      <x:c r="N17" s="24" t="str">
        <x:v>archosargus rhomboidalis</x:v>
      </x:c>
      <x:c r="O17" s="32" t="n">
        <x:v>2.89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Archosargus rhomboidalis</x:v>
      </x:c>
      <x:c r="T17" s="32" t="n">
        <x:f>IF(O17="","",(1/'Metadata'!$B$5)^(O17-1))</x:f>
        <x:v>77.6247116628692</x:v>
      </x:c>
      <x:c r="U17" s="31" t="n">
        <x:f>IF(T17="","",I17*T17)</x:f>
        <x:v>41.823872268526394</x:v>
      </x:c>
    </x:row>
    <x:row r="18" ht="18" customHeight="1">
      <x:c r="A18" s="24" t="str">
        <x:v>EEZ_500</x:v>
      </x:c>
      <x:c r="B18" s="24" t="str">
        <x:v>Montserrat (UK)</x:v>
      </x:c>
      <x:c r="C18" s="24" t="str">
        <x:v>EEZ</x:v>
      </x:c>
      <x:c r="D18" s="30" t="n">
        <x:v>2019</x:v>
      </x:c>
      <x:c r="E18" s="24" t="str">
        <x:v>Monacanthidae</x:v>
      </x:c>
      <x:c r="F18" s="24" t="str">
        <x:v>Filefishes</x:v>
      </x:c>
      <x:c r="G18" s="24" t="str">
        <x:v>Medium reef assoc. fish (30 - 89 cm)</x:v>
      </x:c>
      <x:c r="H18" s="24" t="str">
        <x:v>Other fishes &amp; inverts</x:v>
      </x:c>
      <x:c r="I18" s="31" t="n">
        <x:v>0.332245698</x:v>
      </x:c>
      <x:c r="J18" s="31" t="n">
        <x:v>0.332245698</x:v>
      </x:c>
      <x:c r="K18" s="31" t="n">
        <x:v>0</x:v>
      </x:c>
      <x:c r="L18" s="31" t="n">
        <x:v>0.281656808</x:v>
      </x:c>
      <x:c r="M18" s="31" t="n">
        <x:v>0.05058889</x:v>
      </x:c>
      <x:c r="N18" s="24" t="str">
        <x:v>monacanthidae</x:v>
      </x:c>
      <x:c r="O18" s="32" t="n">
        <x:v>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Monacanthidae</x:v>
      </x:c>
      <x:c r="T18" s="32" t="n">
        <x:f>IF(O18="","",(1/'Metadata'!$B$5)^(O18-1))</x:f>
        <x:v>100</x:v>
      </x:c>
      <x:c r="U18" s="31" t="n">
        <x:f>IF(T18="","",I18*T18)</x:f>
        <x:v>33.2245698</x:v>
      </x:c>
    </x:row>
    <x:row r="19" ht="18" customHeight="1">
      <x:c r="A19" s="24" t="str">
        <x:v>EEZ_500</x:v>
      </x:c>
      <x:c r="B19" s="24" t="str">
        <x:v>Montserrat (UK)</x:v>
      </x:c>
      <x:c r="C19" s="24" t="str">
        <x:v>EEZ</x:v>
      </x:c>
      <x:c r="D19" s="30" t="n">
        <x:v>2019</x:v>
      </x:c>
      <x:c r="E19" s="24" t="str">
        <x:v>Panulirus argus</x:v>
      </x:c>
      <x:c r="F19" s="24" t="str">
        <x:v>Caribbean spiny lobster</x:v>
      </x:c>
      <x:c r="G19" s="24" t="str">
        <x:v>Lobsters, crabs</x:v>
      </x:c>
      <x:c r="H19" s="24" t="str">
        <x:v>Crustaceans</x:v>
      </x:c>
      <x:c r="I19" s="31" t="n">
        <x:v>0.327022449</x:v>
      </x:c>
      <x:c r="J19" s="31" t="n">
        <x:v>0.327022449</x:v>
      </x:c>
      <x:c r="K19" s="31" t="n">
        <x:v>0</x:v>
      </x:c>
      <x:c r="L19" s="31" t="n">
        <x:v>0.24881481</x:v>
      </x:c>
      <x:c r="M19" s="31" t="n">
        <x:v>0.078207639</x:v>
      </x:c>
      <x:c r="N19" s="24" t="str">
        <x:v>panulirus argus</x:v>
      </x:c>
      <x:c r="O19" s="32" t="n">
        <x:v>3.2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Panulirus argus</x:v>
      </x:c>
      <x:c r="T19" s="32" t="n">
        <x:f>IF(O19="","",(1/'Metadata'!$B$5)^(O19-1))</x:f>
        <x:v>158.48931924611142</x:v>
      </x:c>
      <x:c r="U19" s="31" t="n">
        <x:f>IF(T19="","",I19*T19)</x:f>
        <x:v>51.82956532020619</x:v>
      </x:c>
    </x:row>
    <x:row r="20" ht="18" customHeight="1">
      <x:c r="A20" s="24" t="str">
        <x:v>EEZ_500</x:v>
      </x:c>
      <x:c r="B20" s="24" t="str">
        <x:v>Montserrat (UK)</x:v>
      </x:c>
      <x:c r="C20" s="24" t="str">
        <x:v>EEZ</x:v>
      </x:c>
      <x:c r="D20" s="30" t="n">
        <x:v>2019</x:v>
      </x:c>
      <x:c r="E20" s="24" t="str">
        <x:v>Mullidae</x:v>
      </x:c>
      <x:c r="F20" s="24" t="str">
        <x:v>Goatfishes</x:v>
      </x:c>
      <x:c r="G20" s="24" t="str">
        <x:v>Medium reef assoc. fish (30 - 89 cm)</x:v>
      </x:c>
      <x:c r="H20" s="24" t="str">
        <x:v>Perch-likes</x:v>
      </x:c>
      <x:c r="I20" s="31" t="n">
        <x:v>0.211176996</x:v>
      </x:c>
      <x:c r="J20" s="31" t="n">
        <x:v>0.211176996</x:v>
      </x:c>
      <x:c r="K20" s="31" t="n">
        <x:v>0</x:v>
      </x:c>
      <x:c r="L20" s="31" t="n">
        <x:v>0.179022449</x:v>
      </x:c>
      <x:c r="M20" s="31" t="n">
        <x:v>0.032154547</x:v>
      </x:c>
      <x:c r="N20" s="24" t="str">
        <x:v>mullidae</x:v>
      </x:c>
      <x:c r="O20" s="32" t="n">
        <x:v>3.46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Mullidae</x:v>
      </x:c>
      <x:c r="T20" s="32" t="n">
        <x:f>IF(O20="","",(1/'Metadata'!$B$5)^(O20-1))</x:f>
        <x:v>288.40315031266056</x:v>
      </x:c>
      <x:c r="U20" s="31" t="n">
        <x:f>IF(T20="","",I20*T20)</x:f>
        <x:v>60.90411091996412</x:v>
      </x:c>
    </x:row>
    <x:row r="21" ht="18" customHeight="1">
      <x:c r="A21" s="24" t="str">
        <x:v>EEZ_500</x:v>
      </x:c>
      <x:c r="B21" s="24" t="str">
        <x:v>Montserrat (UK)</x:v>
      </x:c>
      <x:c r="C21" s="24" t="str">
        <x:v>EEZ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0.188658204</x:v>
      </x:c>
      <x:c r="J21" s="31" t="n">
        <x:v>0.188658204</x:v>
      </x:c>
      <x:c r="K21" s="31" t="n">
        <x:v>0</x:v>
      </x:c>
      <x:c r="L21" s="31" t="n">
        <x:v>0.188658204</x:v>
      </x:c>
      <x:c r="M21" s="31" t="n">
        <x:v>0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211.6779864434644</x:v>
      </x:c>
    </x:row>
    <x:row r="22" ht="18" customHeight="1">
      <x:c r="A22" s="24" t="str">
        <x:v>EEZ_500</x:v>
      </x:c>
      <x:c r="B22" s="24" t="str">
        <x:v>Montserrat (UK)</x:v>
      </x:c>
      <x:c r="C22" s="24" t="str">
        <x:v>EEZ</x:v>
      </x:c>
      <x:c r="D22" s="30" t="n">
        <x:v>2019</x:v>
      </x:c>
      <x:c r="E22" s="24" t="str">
        <x:v>Epinephelus adscensionis</x:v>
      </x:c>
      <x:c r="F22" s="24" t="str">
        <x:v>Rock hind</x:v>
      </x:c>
      <x:c r="G22" s="24" t="str">
        <x:v>Medium reef assoc. fish (30 - 89 cm)</x:v>
      </x:c>
      <x:c r="H22" s="24" t="str">
        <x:v>Perch-likes</x:v>
      </x:c>
      <x:c r="I22" s="31" t="n">
        <x:v>0.183171852</x:v>
      </x:c>
      <x:c r="J22" s="31" t="n">
        <x:v>0.183171852</x:v>
      </x:c>
      <x:c r="K22" s="31" t="n">
        <x:v>0</x:v>
      </x:c>
      <x:c r="L22" s="31" t="n">
        <x:v>0.15528146599999998</x:v>
      </x:c>
      <x:c r="M22" s="31" t="n">
        <x:v>0.027890386</x:v>
      </x:c>
      <x:c r="N22" s="24" t="str">
        <x:v>epinephelus adscensionis</x:v>
      </x:c>
      <x:c r="O22" s="32" t="n">
        <x:v>3.53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Epinephelus adscensionis</x:v>
      </x:c>
      <x:c r="T22" s="32" t="n">
        <x:f>IF(O22="","",(1/'Metadata'!$B$5)^(O22-1))</x:f>
        <x:v>338.84415613920237</x:v>
      </x:c>
      <x:c r="U22" s="31" t="n">
        <x:f>IF(T22="","",I22*T22)</x:f>
        <x:v>62.066711619394866</x:v>
      </x:c>
    </x:row>
    <x:row r="23" ht="18" customHeight="1">
      <x:c r="A23" s="24" t="str">
        <x:v>EEZ_500</x:v>
      </x:c>
      <x:c r="B23" s="24" t="str">
        <x:v>Montserrat (UK)</x:v>
      </x:c>
      <x:c r="C23" s="24" t="str">
        <x:v>EEZ</x:v>
      </x:c>
      <x:c r="D23" s="30" t="n">
        <x:v>2019</x:v>
      </x:c>
      <x:c r="E23" s="24" t="str">
        <x:v>Lutjanus griseus</x:v>
      </x:c>
      <x:c r="F23" s="24" t="str">
        <x:v>Grey snapper</x:v>
      </x:c>
      <x:c r="G23" s="24" t="str">
        <x:v>Medium reef assoc. fish (30 - 89 cm)</x:v>
      </x:c>
      <x:c r="H23" s="24" t="str">
        <x:v>Perch-likes</x:v>
      </x:c>
      <x:c r="I23" s="31" t="n">
        <x:v>0.14072433499999998</x:v>
      </x:c>
      <x:c r="J23" s="31" t="n">
        <x:v>0.14072433499999998</x:v>
      </x:c>
      <x:c r="K23" s="31" t="n">
        <x:v>0</x:v>
      </x:c>
      <x:c r="L23" s="31" t="n">
        <x:v>0.10707001599999999</x:v>
      </x:c>
      <x:c r="M23" s="31" t="n">
        <x:v>0.033654319</x:v>
      </x:c>
      <x:c r="N23" s="24" t="str">
        <x:v>lutjanus griseus</x:v>
      </x:c>
      <x:c r="O23" s="32" t="n">
        <x:v>4.23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Lutjanus griseus</x:v>
      </x:c>
      <x:c r="T23" s="32" t="n">
        <x:f>IF(O23="","",(1/'Metadata'!$B$5)^(O23-1))</x:f>
        <x:v>1698.243652461746</x:v>
      </x:c>
      <x:c r="U23" s="31" t="n">
        <x:f>IF(T23="","",I23*T23)</x:f>
        <x:v>238.9842086606503</x:v>
      </x:c>
    </x:row>
    <x:row r="24" ht="18" customHeight="1">
      <x:c r="A24" s="24" t="str">
        <x:v>EEZ_500</x:v>
      </x:c>
      <x:c r="B24" s="24" t="str">
        <x:v>Montserrat (UK)</x:v>
      </x:c>
      <x:c r="C24" s="24" t="str">
        <x:v>EEZ</x:v>
      </x:c>
      <x:c r="D24" s="30" t="n">
        <x:v>2019</x:v>
      </x:c>
      <x:c r="E24" s="24" t="str">
        <x:v>Caranx crysos</x:v>
      </x:c>
      <x:c r="F24" s="24" t="str">
        <x:v>Blue runner</x:v>
      </x:c>
      <x:c r="G24" s="24" t="str">
        <x:v>Medium reef assoc. fish (30 - 89 cm)</x:v>
      </x:c>
      <x:c r="H24" s="24" t="str">
        <x:v>Perch-likes</x:v>
      </x:c>
      <x:c r="I24" s="31" t="n">
        <x:v>0.132620097</x:v>
      </x:c>
      <x:c r="J24" s="31" t="n">
        <x:v>0.132620097</x:v>
      </x:c>
      <x:c r="K24" s="31" t="n">
        <x:v>0</x:v>
      </x:c>
      <x:c r="L24" s="31" t="n">
        <x:v>0.112426898</x:v>
      </x:c>
      <x:c r="M24" s="31" t="n">
        <x:v>0.020193199</x:v>
      </x:c>
      <x:c r="N24" s="24" t="str">
        <x:v>caranx crysos</x:v>
      </x:c>
      <x:c r="O24" s="32" t="n">
        <x:v>4.13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crysos</x:v>
      </x:c>
      <x:c r="T24" s="32" t="n">
        <x:f>IF(O24="","",(1/'Metadata'!$B$5)^(O24-1))</x:f>
        <x:v>1348.9628825916532</x:v>
      </x:c>
      <x:c r="U24" s="31" t="n">
        <x:f>IF(T24="","",I24*T24)</x:f>
        <x:v>178.89958833870463</x:v>
      </x:c>
    </x:row>
    <x:row r="25" ht="18" customHeight="1">
      <x:c r="A25" s="24" t="str">
        <x:v>EEZ_500</x:v>
      </x:c>
      <x:c r="B25" s="24" t="str">
        <x:v>Montserrat (UK)</x:v>
      </x:c>
      <x:c r="C25" s="24" t="str">
        <x:v>EEZ</x:v>
      </x:c>
      <x:c r="D25" s="30" t="n">
        <x:v>2019</x:v>
      </x:c>
      <x:c r="E25" s="24" t="str">
        <x:v>Caranx hippos</x:v>
      </x:c>
      <x:c r="F25" s="24" t="str">
        <x:v>Crevalle jack</x:v>
      </x:c>
      <x:c r="G25" s="24" t="str">
        <x:v>Large reef assoc. fish (&gt;=90 cm)</x:v>
      </x:c>
      <x:c r="H25" s="24" t="str">
        <x:v>Perch-likes</x:v>
      </x:c>
      <x:c r="I25" s="31" t="n">
        <x:v>0.132190456</x:v>
      </x:c>
      <x:c r="J25" s="31" t="n">
        <x:v>0.132190456</x:v>
      </x:c>
      <x:c r="K25" s="31" t="n">
        <x:v>0</x:v>
      </x:c>
      <x:c r="L25" s="31" t="n">
        <x:v>0.112062676</x:v>
      </x:c>
      <x:c r="M25" s="31" t="n">
        <x:v>0.02012778</x:v>
      </x:c>
      <x:c r="N25" s="24" t="str">
        <x:v>caranx hippos</x:v>
      </x:c>
      <x:c r="O25" s="32" t="n">
        <x:v>3.56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Caranx hippos</x:v>
      </x:c>
      <x:c r="T25" s="32" t="n">
        <x:f>IF(O25="","",(1/'Metadata'!$B$5)^(O25-1))</x:f>
        <x:v>363.0780547701014</x:v>
      </x:c>
      <x:c r="U25" s="31" t="n">
        <x:f>IF(T25="","",I25*T25)</x:f>
        <x:v>47.995453623652686</x:v>
      </x:c>
    </x:row>
    <x:row r="26" ht="18" customHeight="1">
      <x:c r="A26" s="24" t="str">
        <x:v>EEZ_500</x:v>
      </x:c>
      <x:c r="B26" s="24" t="str">
        <x:v>Montserrat (UK)</x:v>
      </x:c>
      <x:c r="C26" s="24" t="str">
        <x:v>EEZ</x:v>
      </x:c>
      <x:c r="D26" s="30" t="n">
        <x:v>2019</x:v>
      </x:c>
      <x:c r="E26" s="24" t="str">
        <x:v>Sparisoma viride</x:v>
      </x:c>
      <x:c r="F26" s="24" t="str">
        <x:v>Stoplight parrotfish</x:v>
      </x:c>
      <x:c r="G26" s="24" t="str">
        <x:v>Medium reef assoc. fish (30 - 89 cm)</x:v>
      </x:c>
      <x:c r="H26" s="24" t="str">
        <x:v>Perch-likes</x:v>
      </x:c>
      <x:c r="I26" s="31" t="n">
        <x:v>0.128766315</x:v>
      </x:c>
      <x:c r="J26" s="31" t="n">
        <x:v>0.128766315</x:v>
      </x:c>
      <x:c r="K26" s="31" t="n">
        <x:v>0</x:v>
      </x:c>
      <x:c r="L26" s="31" t="n">
        <x:v>0.109159906</x:v>
      </x:c>
      <x:c r="M26" s="31" t="n">
        <x:v>0.019606409</x:v>
      </x:c>
      <x:c r="N26" s="24" t="str">
        <x:v>sparisoma viride</x:v>
      </x:c>
      <x:c r="O26" s="32" t="n">
        <x:v>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Sparisoma viride</x:v>
      </x:c>
      <x:c r="T26" s="32" t="n">
        <x:f>IF(O26="","",(1/'Metadata'!$B$5)^(O26-1))</x:f>
        <x:v>10</x:v>
      </x:c>
      <x:c r="U26" s="31" t="n">
        <x:f>IF(T26="","",I26*T26)</x:f>
        <x:v>1.28766315</x:v>
      </x:c>
    </x:row>
    <x:row r="27" ht="18" customHeight="1">
      <x:c r="A27" s="24" t="str">
        <x:v>EEZ_500</x:v>
      </x:c>
      <x:c r="B27" s="24" t="str">
        <x:v>Montserrat (UK)</x:v>
      </x:c>
      <x:c r="C27" s="24" t="str">
        <x:v>EEZ</x:v>
      </x:c>
      <x:c r="D27" s="30" t="n">
        <x:v>2019</x:v>
      </x:c>
      <x:c r="E27" s="24" t="str">
        <x:v>Cantherhines</x:v>
      </x:c>
      <x:c r="F27" s="24" t="str">
        <x:v>Mideye spined filefishes</x:v>
      </x:c>
      <x:c r="G27" s="24" t="str">
        <x:v>Medium reef assoc. fish (30 - 89 cm)</x:v>
      </x:c>
      <x:c r="H27" s="24" t="str">
        <x:v>Other fishes &amp; inverts</x:v>
      </x:c>
      <x:c r="I27" s="31" t="n">
        <x:v>0.12464919099999999</x:v>
      </x:c>
      <x:c r="J27" s="31" t="n">
        <x:v>0.12464919099999999</x:v>
      </x:c>
      <x:c r="K27" s="31" t="n">
        <x:v>0</x:v>
      </x:c>
      <x:c r="L27" s="31" t="n">
        <x:v>0.10566967</x:v>
      </x:c>
      <x:c r="M27" s="31" t="n">
        <x:v>0.018979521</x:v>
      </x:c>
      <x:c r="N27" s="24" t="str">
        <x:v>cantherhines</x:v>
      </x:c>
      <x:c r="O27" s="32" t="n">
        <x:v>3.5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Cantherhines</x:v>
      </x:c>
      <x:c r="T27" s="32" t="n">
        <x:f>IF(O27="","",(1/'Metadata'!$B$5)^(O27-1))</x:f>
        <x:v>316.22776601683796</x:v>
      </x:c>
      <x:c r="U27" s="31" t="n">
        <x:f>IF(T27="","",I27*T27)</x:f>
        <x:v>39.417535205736144</x:v>
      </x:c>
    </x:row>
    <x:row r="28" ht="18" customHeight="1">
      <x:c r="A28" s="24" t="str">
        <x:v>EEZ_500</x:v>
      </x:c>
      <x:c r="B28" s="24" t="str">
        <x:v>Montserrat (UK)</x:v>
      </x:c>
      <x:c r="C28" s="24" t="str">
        <x:v>EEZ</x:v>
      </x:c>
      <x:c r="D28" s="30" t="n">
        <x:v>2019</x:v>
      </x:c>
      <x:c r="E28" s="24" t="str">
        <x:v>Kyphosus sectatrix</x:v>
      </x:c>
      <x:c r="F28" s="24" t="str">
        <x:v>Bermuda sea chub</x:v>
      </x:c>
      <x:c r="G28" s="24" t="str">
        <x:v>Medium reef assoc. fish (30 - 89 cm)</x:v>
      </x:c>
      <x:c r="H28" s="24" t="str">
        <x:v>Perch-likes</x:v>
      </x:c>
      <x:c r="I28" s="31" t="n">
        <x:v>0.124511521</x:v>
      </x:c>
      <x:c r="J28" s="31" t="n">
        <x:v>0.124511521</x:v>
      </x:c>
      <x:c r="K28" s="31" t="n">
        <x:v>0</x:v>
      </x:c>
      <x:c r="L28" s="31" t="n">
        <x:v>0.105552962</x:v>
      </x:c>
      <x:c r="M28" s="31" t="n">
        <x:v>0.018958559</x:v>
      </x:c>
      <x:c r="N28" s="24" t="str">
        <x:v>kyphosus sectatrix</x:v>
      </x:c>
      <x:c r="O28" s="32" t="n">
        <x:v>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Kyphosus sectatrix</x:v>
      </x:c>
      <x:c r="T28" s="32" t="n">
        <x:f>IF(O28="","",(1/'Metadata'!$B$5)^(O28-1))</x:f>
        <x:v>10</x:v>
      </x:c>
      <x:c r="U28" s="31" t="n">
        <x:f>IF(T28="","",I28*T28)</x:f>
        <x:v>1.24511521</x:v>
      </x:c>
    </x:row>
    <x:row r="29" ht="18" customHeight="1">
      <x:c r="A29" s="24" t="str">
        <x:v>EEZ_500</x:v>
      </x:c>
      <x:c r="B29" s="24" t="str">
        <x:v>Montserrat (UK)</x:v>
      </x:c>
      <x:c r="C29" s="24" t="str">
        <x:v>EEZ</x:v>
      </x:c>
      <x:c r="D29" s="30" t="n">
        <x:v>2019</x:v>
      </x:c>
      <x:c r="E29" s="24" t="str">
        <x:v>Lutjanus campechanus</x:v>
      </x:c>
      <x:c r="F29" s="24" t="str">
        <x:v>Northern red snapper</x:v>
      </x:c>
      <x:c r="G29" s="24" t="str">
        <x:v>Medium reef assoc. fish (30 - 89 cm)</x:v>
      </x:c>
      <x:c r="H29" s="24" t="str">
        <x:v>Perch-likes</x:v>
      </x:c>
      <x:c r="I29" s="31" t="n">
        <x:v>0.11657503500000001</x:v>
      </x:c>
      <x:c r="J29" s="31" t="n">
        <x:v>0.11657503500000001</x:v>
      </x:c>
      <x:c r="K29" s="31" t="n">
        <x:v>0</x:v>
      </x:c>
      <x:c r="L29" s="31" t="n">
        <x:v>0.112213987</x:v>
      </x:c>
      <x:c r="M29" s="31" t="n">
        <x:v>0.004361048</x:v>
      </x:c>
      <x:c r="N29" s="24" t="str">
        <x:v>lutjanus campechanus</x:v>
      </x:c>
      <x:c r="O29" s="32" t="n">
        <x:v>4.01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campechanus</x:v>
      </x:c>
      <x:c r="T29" s="32" t="n">
        <x:f>IF(O29="","",(1/'Metadata'!$B$5)^(O29-1))</x:f>
        <x:v>1023.2929922807537</x:v>
      </x:c>
      <x:c r="U29" s="31" t="n">
        <x:f>IF(T29="","",I29*T29)</x:f>
        <x:v>119.2904163903836</x:v>
      </x:c>
    </x:row>
    <x:row r="30" ht="18" customHeight="1">
      <x:c r="A30" s="24" t="str">
        <x:v>EEZ_500</x:v>
      </x:c>
      <x:c r="B30" s="24" t="str">
        <x:v>Montserrat (UK)</x:v>
      </x:c>
      <x:c r="C30" s="24" t="str">
        <x:v>EEZ</x:v>
      </x:c>
      <x:c r="D30" s="30" t="n">
        <x:v>2019</x:v>
      </x:c>
      <x:c r="E30" s="24" t="str">
        <x:v>Carcharhinidae</x:v>
      </x:c>
      <x:c r="F30" s="24" t="str">
        <x:v>Requiem sharks</x:v>
      </x:c>
      <x:c r="G30" s="24" t="str">
        <x:v>Large sharks (&gt;=90 cm)</x:v>
      </x:c>
      <x:c r="H30" s="24" t="str">
        <x:v>Sharks &amp; rays</x:v>
      </x:c>
      <x:c r="I30" s="31" t="n">
        <x:v>0.113983296</x:v>
      </x:c>
      <x:c r="J30" s="31" t="n">
        <x:v>0.113983296</x:v>
      </x:c>
      <x:c r="K30" s="31" t="n">
        <x:v>0</x:v>
      </x:c>
      <x:c r="L30" s="31" t="n">
        <x:v>0.086724114</x:v>
      </x:c>
      <x:c r="M30" s="31" t="n">
        <x:v>0.027259182</x:v>
      </x:c>
      <x:c r="N30" s="24" t="str">
        <x:v>carcharhinidae</x:v>
      </x:c>
      <x:c r="O30" s="32" t="n">
        <x:v>4.24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Carcharhinidae</x:v>
      </x:c>
      <x:c r="T30" s="32" t="n">
        <x:f>IF(O30="","",(1/'Metadata'!$B$5)^(O30-1))</x:f>
        <x:v>1737.8008287493763</x:v>
      </x:c>
      <x:c r="U30" s="31" t="n">
        <x:f>IF(T30="","",I30*T30)</x:f>
        <x:v>198.08026625238546</x:v>
      </x:c>
    </x:row>
    <x:row r="31" ht="18" customHeight="1">
      <x:c r="A31" s="24" t="str">
        <x:v>EEZ_500</x:v>
      </x:c>
      <x:c r="B31" s="24" t="str">
        <x:v>Montserrat (UK)</x:v>
      </x:c>
      <x:c r="C31" s="24" t="str">
        <x:v>EEZ</x:v>
      </x:c>
      <x:c r="D31" s="30" t="n">
        <x:v>2019</x:v>
      </x:c>
      <x:c r="E31" s="24" t="str">
        <x:v>Labridae</x:v>
      </x:c>
      <x:c r="F31" s="24" t="str">
        <x:v>Wrasses, gropers, tuskfishes</x:v>
      </x:c>
      <x:c r="G31" s="24" t="str">
        <x:v>Medium reef assoc. fish (30 - 89 cm)</x:v>
      </x:c>
      <x:c r="H31" s="24" t="str">
        <x:v>Perch-likes</x:v>
      </x:c>
      <x:c r="I31" s="31" t="n">
        <x:v>0.105055699</x:v>
      </x:c>
      <x:c r="J31" s="31" t="n">
        <x:v>0.105055699</x:v>
      </x:c>
      <x:c r="K31" s="31" t="n">
        <x:v>0</x:v>
      </x:c>
      <x:c r="L31" s="31" t="n">
        <x:v>0.076373486</x:v>
      </x:c>
      <x:c r="M31" s="31" t="n">
        <x:v>0.028682213</x:v>
      </x:c>
      <x:c r="N31" s="24" t="str">
        <x:v>labridae</x:v>
      </x:c>
      <x:c r="O31" s="32" t="n">
        <x:v>3.46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Labridae</x:v>
      </x:c>
      <x:c r="T31" s="32" t="n">
        <x:f>IF(O31="","",(1/'Metadata'!$B$5)^(O31-1))</x:f>
        <x:v>288.40315031266056</x:v>
      </x:c>
      <x:c r="U31" s="31" t="n">
        <x:f>IF(T31="","",I31*T31)</x:f>
        <x:v>30.298394549898624</x:v>
      </x:c>
    </x:row>
    <x:row r="32" ht="18" customHeight="1">
      <x:c r="A32" s="24" t="str">
        <x:v>EEZ_500</x:v>
      </x:c>
      <x:c r="B32" s="24" t="str">
        <x:v>Montserrat (UK)</x:v>
      </x:c>
      <x:c r="C32" s="24" t="str">
        <x:v>EEZ</x:v>
      </x:c>
      <x:c r="D32" s="30" t="n">
        <x:v>2019</x:v>
      </x:c>
      <x:c r="E32" s="24" t="str">
        <x:v>Lutjanidae</x:v>
      </x:c>
      <x:c r="F32" s="24" t="str">
        <x:v>Snappers</x:v>
      </x:c>
      <x:c r="G32" s="24" t="str">
        <x:v>Medium reef assoc. fish (30 - 89 cm)</x:v>
      </x:c>
      <x:c r="H32" s="24" t="str">
        <x:v>Perch-likes</x:v>
      </x:c>
      <x:c r="I32" s="31" t="n">
        <x:v>0.102826601</x:v>
      </x:c>
      <x:c r="J32" s="31" t="n">
        <x:v>0.102826601</x:v>
      </x:c>
      <x:c r="K32" s="31" t="n">
        <x:v>0</x:v>
      </x:c>
      <x:c r="L32" s="31" t="n">
        <x:v>0.07174709300000001</x:v>
      </x:c>
      <x:c r="M32" s="31" t="n">
        <x:v>0.031079508</x:v>
      </x:c>
      <x:c r="N32" s="24" t="str">
        <x:v>lutjanidae</x:v>
      </x:c>
      <x:c r="O32" s="32" t="n">
        <x:v>4.02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Lutjanidae</x:v>
      </x:c>
      <x:c r="T32" s="32" t="n">
        <x:f>IF(O32="","",(1/'Metadata'!$B$5)^(O32-1))</x:f>
        <x:v>1047.1285480508984</x:v>
      </x:c>
      <x:c r="U32" s="31" t="n">
        <x:f>IF(T32="","",I32*T32)</x:f>
        <x:v>107.67266940613906</x:v>
      </x:c>
    </x:row>
    <x:row r="33" ht="18" customHeight="1">
      <x:c r="A33" s="24" t="str">
        <x:v>EEZ_500</x:v>
      </x:c>
      <x:c r="B33" s="24" t="str">
        <x:v>Montserrat (UK)</x:v>
      </x:c>
      <x:c r="C33" s="24" t="str">
        <x:v>EEZ</x:v>
      </x:c>
      <x:c r="D33" s="30" t="n">
        <x:v>2019</x:v>
      </x:c>
      <x:c r="E33" s="24" t="str">
        <x:v>Lutjanus synagris</x:v>
      </x:c>
      <x:c r="F33" s="24" t="str">
        <x:v>Lane snapper</x:v>
      </x:c>
      <x:c r="G33" s="24" t="str">
        <x:v>Medium reef assoc. fish (30 - 89 cm)</x:v>
      </x:c>
      <x:c r="H33" s="24" t="str">
        <x:v>Perch-likes</x:v>
      </x:c>
      <x:c r="I33" s="31" t="n">
        <x:v>0.099926285</x:v>
      </x:c>
      <x:c r="J33" s="31" t="n">
        <x:v>0.099926285</x:v>
      </x:c>
      <x:c r="K33" s="31" t="n">
        <x:v>0</x:v>
      </x:c>
      <x:c r="L33" s="31" t="n">
        <x:v>0.099926285</x:v>
      </x:c>
      <x:c r="M33" s="31" t="n">
        <x:v>0</x:v>
      </x:c>
      <x:c r="N33" s="24" t="str">
        <x:v>lutjanus synagris</x:v>
      </x:c>
      <x:c r="O33" s="32" t="n">
        <x:v>3.82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Lutjanus synagris</x:v>
      </x:c>
      <x:c r="T33" s="32" t="n">
        <x:f>IF(O33="","",(1/'Metadata'!$B$5)^(O33-1))</x:f>
        <x:v>660.6934480075957</x:v>
      </x:c>
      <x:c r="U33" s="31" t="n">
        <x:f>IF(T33="","",I33*T33)</x:f>
        <x:v>66.0206417832397</x:v>
      </x:c>
    </x:row>
    <x:row r="34" ht="18" customHeight="1">
      <x:c r="A34" s="24" t="str">
        <x:v>EEZ_500</x:v>
      </x:c>
      <x:c r="B34" s="24" t="str">
        <x:v>Montserrat (UK)</x:v>
      </x:c>
      <x:c r="C34" s="24" t="str">
        <x:v>EEZ</x:v>
      </x:c>
      <x:c r="D34" s="30" t="n">
        <x:v>2019</x:v>
      </x:c>
      <x:c r="E34" s="24" t="str">
        <x:v>Ocyurus chrysurus</x:v>
      </x:c>
      <x:c r="F34" s="24" t="str">
        <x:v>Yellowtail snapper</x:v>
      </x:c>
      <x:c r="G34" s="24" t="str">
        <x:v>Medium reef assoc. fish (30 - 89 cm)</x:v>
      </x:c>
      <x:c r="H34" s="24" t="str">
        <x:v>Perch-likes</x:v>
      </x:c>
      <x:c r="I34" s="31" t="n">
        <x:v>0.093603297</x:v>
      </x:c>
      <x:c r="J34" s="31" t="n">
        <x:v>0.093603297</x:v>
      </x:c>
      <x:c r="K34" s="31" t="n">
        <x:v>0</x:v>
      </x:c>
      <x:c r="L34" s="31" t="n">
        <x:v>0.07935093200000001</x:v>
      </x:c>
      <x:c r="M34" s="31" t="n">
        <x:v>0.014252365</x:v>
      </x:c>
      <x:c r="N34" s="24" t="str">
        <x:v>ocyurus chrysurus</x:v>
      </x:c>
      <x:c r="O34" s="32" t="n">
        <x:v>4.03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Ocyurus chrysurus</x:v>
      </x:c>
      <x:c r="T34" s="32" t="n">
        <x:f>IF(O34="","",(1/'Metadata'!$B$5)^(O34-1))</x:f>
        <x:v>1071.519305237607</x:v>
      </x:c>
      <x:c r="U34" s="31" t="n">
        <x:f>IF(T34="","",I34*T34)</x:f>
        <x:v>100.2977397693894</x:v>
      </x:c>
    </x:row>
    <x:row r="35" ht="18" customHeight="1">
      <x:c r="A35" s="24" t="str">
        <x:v>EEZ_500</x:v>
      </x:c>
      <x:c r="B35" s="24" t="str">
        <x:v>Montserrat (UK)</x:v>
      </x:c>
      <x:c r="C35" s="24" t="str">
        <x:v>EEZ</x:v>
      </x:c>
      <x:c r="D35" s="30" t="n">
        <x:v>2019</x:v>
      </x:c>
      <x:c r="E35" s="24" t="str">
        <x:v>Canthidermis sufflamen</x:v>
      </x:c>
      <x:c r="F35" s="24" t="str">
        <x:v>Ocean triggerfish</x:v>
      </x:c>
      <x:c r="G35" s="24" t="str">
        <x:v>Medium reef assoc. fish (30 - 89 cm)</x:v>
      </x:c>
      <x:c r="H35" s="24" t="str">
        <x:v>Other fishes &amp; inverts</x:v>
      </x:c>
      <x:c r="I35" s="31" t="n">
        <x:v>0.090575239</x:v>
      </x:c>
      <x:c r="J35" s="31" t="n">
        <x:v>0.090575239</x:v>
      </x:c>
      <x:c r="K35" s="31" t="n">
        <x:v>0</x:v>
      </x:c>
      <x:c r="L35" s="31" t="n">
        <x:v>0.07678393700000001</x:v>
      </x:c>
      <x:c r="M35" s="31" t="n">
        <x:v>0.013791302</x:v>
      </x:c>
      <x:c r="N35" s="24" t="str">
        <x:v>canthidermis sufflamen</x:v>
      </x:c>
      <x:c r="O35" s="32" t="n">
        <x:v>3.45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Canthidermis sufflamen</x:v>
      </x:c>
      <x:c r="T35" s="32" t="n">
        <x:f>IF(O35="","",(1/'Metadata'!$B$5)^(O35-1))</x:f>
        <x:v>281.8382931264455</x:v>
      </x:c>
      <x:c r="U35" s="31" t="n">
        <x:f>IF(T35="","",I35*T35)</x:f>
        <x:v>25.527570759279858</x:v>
      </x:c>
    </x:row>
    <x:row r="36" ht="18" customHeight="1">
      <x:c r="A36" s="24" t="str">
        <x:v>EEZ_500</x:v>
      </x:c>
      <x:c r="B36" s="24" t="str">
        <x:v>Montserrat (UK)</x:v>
      </x:c>
      <x:c r="C36" s="24" t="str">
        <x:v>EEZ</x:v>
      </x:c>
      <x:c r="D36" s="30" t="n">
        <x:v>2019</x:v>
      </x:c>
      <x:c r="E36" s="24" t="str">
        <x:v>Scomberomorus regalis</x:v>
      </x:c>
      <x:c r="F36" s="24" t="str">
        <x:v>Cero</x:v>
      </x:c>
      <x:c r="G36" s="24" t="str">
        <x:v>Large reef assoc. fish (&gt;=90 cm)</x:v>
      </x:c>
      <x:c r="H36" s="24" t="str">
        <x:v>Perch-likes</x:v>
      </x:c>
      <x:c r="I36" s="31" t="n">
        <x:v>0.079139517</x:v>
      </x:c>
      <x:c r="J36" s="31" t="n">
        <x:v>0.079139517</x:v>
      </x:c>
      <x:c r="K36" s="31" t="n">
        <x:v>0</x:v>
      </x:c>
      <x:c r="L36" s="31" t="n">
        <x:v>0.079139517</x:v>
      </x:c>
      <x:c r="M36" s="31" t="n">
        <x:v>0</x:v>
      </x:c>
      <x:c r="N36" s="24" t="str">
        <x:v>scomberomorus regalis</x:v>
      </x:c>
      <x:c r="O36" s="32" t="n">
        <x:v>4.51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Scomberomorus regalis</x:v>
      </x:c>
      <x:c r="T36" s="32" t="n">
        <x:f>IF(O36="","",(1/'Metadata'!$B$5)^(O36-1))</x:f>
        <x:v>3235.936569296281</x:v>
      </x:c>
      <x:c r="U36" s="31" t="n">
        <x:f>IF(T36="","",I36*T36)</x:f>
        <x:v>256.09045713674476</x:v>
      </x:c>
    </x:row>
    <x:row r="37" ht="18" customHeight="1">
      <x:c r="A37" s="24" t="str">
        <x:v>EEZ_500</x:v>
      </x:c>
      <x:c r="B37" s="24" t="str">
        <x:v>Montserrat (UK)</x:v>
      </x:c>
      <x:c r="C37" s="24" t="str">
        <x:v>EEZ</x:v>
      </x:c>
      <x:c r="D37" s="30" t="n">
        <x:v>2019</x:v>
      </x:c>
      <x:c r="E37" s="24" t="str">
        <x:v>Trachinotus goodei</x:v>
      </x:c>
      <x:c r="F37" s="24" t="str">
        <x:v>Great pompano</x:v>
      </x:c>
      <x:c r="G37" s="24" t="str">
        <x:v>Medium reef assoc. fish (30 - 89 cm)</x:v>
      </x:c>
      <x:c r="H37" s="24" t="str">
        <x:v>Perch-likes</x:v>
      </x:c>
      <x:c r="I37" s="31" t="n">
        <x:v>0.071145555</x:v>
      </x:c>
      <x:c r="J37" s="31" t="n">
        <x:v>0.071145555</x:v>
      </x:c>
      <x:c r="K37" s="31" t="n">
        <x:v>0</x:v>
      </x:c>
      <x:c r="L37" s="31" t="n">
        <x:v>0.071145555</x:v>
      </x:c>
      <x:c r="M37" s="31" t="n">
        <x:v>0</x:v>
      </x:c>
      <x:c r="N37" s="24" t="str">
        <x:v>trachinotus goodei</x:v>
      </x:c>
      <x:c r="O37" s="32" t="n">
        <x:v>4.34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Trachinotus goodei</x:v>
      </x:c>
      <x:c r="T37" s="32" t="n">
        <x:f>IF(O37="","",(1/'Metadata'!$B$5)^(O37-1))</x:f>
        <x:v>2187.761623949552</x:v>
      </x:c>
      <x:c r="U37" s="31" t="n">
        <x:f>IF(T37="","",I37*T37)</x:f>
        <x:v>155.64951494359215</x:v>
      </x:c>
    </x:row>
    <x:row r="38" ht="18" customHeight="1">
      <x:c r="A38" s="24" t="str">
        <x:v>EEZ_500</x:v>
      </x:c>
      <x:c r="B38" s="24" t="str">
        <x:v>Montserrat (UK)</x:v>
      </x:c>
      <x:c r="C38" s="24" t="str">
        <x:v>EEZ</x:v>
      </x:c>
      <x:c r="D38" s="30" t="n">
        <x:v>2019</x:v>
      </x:c>
      <x:c r="E38" s="24" t="str">
        <x:v>Etelis oculatus</x:v>
      </x:c>
      <x:c r="F38" s="24" t="str">
        <x:v>Queen snapper</x:v>
      </x:c>
      <x:c r="G38" s="24" t="str">
        <x:v>Medium bathydemersals (30 - 89 cm)</x:v>
      </x:c>
      <x:c r="H38" s="24" t="str">
        <x:v>Perch-likes</x:v>
      </x:c>
      <x:c r="I38" s="31" t="n">
        <x:v>0.067801854</x:v>
      </x:c>
      <x:c r="J38" s="31" t="n">
        <x:v>0.067801854</x:v>
      </x:c>
      <x:c r="K38" s="31" t="n">
        <x:v>0</x:v>
      </x:c>
      <x:c r="L38" s="31" t="n">
        <x:v>0.057478107</x:v>
      </x:c>
      <x:c r="M38" s="31" t="n">
        <x:v>0.010323747</x:v>
      </x:c>
      <x:c r="N38" s="24" t="str">
        <x:v>etelis oculatus</x:v>
      </x:c>
      <x:c r="O38" s="32" t="n">
        <x:v>4.18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Etelis oculatus</x:v>
      </x:c>
      <x:c r="T38" s="32" t="n">
        <x:f>IF(O38="","",(1/'Metadata'!$B$5)^(O38-1))</x:f>
        <x:v>1513.5612484362073</x:v>
      </x:c>
      <x:c r="U38" s="31" t="n">
        <x:f>IF(T38="","",I38*T38)</x:f>
        <x:v>102.62225878652944</x:v>
      </x:c>
    </x:row>
    <x:row r="39" ht="18" customHeight="1">
      <x:c r="A39" s="24" t="str">
        <x:v>EEZ_500</x:v>
      </x:c>
      <x:c r="B39" s="24" t="str">
        <x:v>Montserrat (UK)</x:v>
      </x:c>
      <x:c r="C39" s="24" t="str">
        <x:v>EEZ</x:v>
      </x:c>
      <x:c r="D39" s="30" t="n">
        <x:v>2019</x:v>
      </x:c>
      <x:c r="E39" s="24" t="str">
        <x:v>Pseudupeneus maculatus</x:v>
      </x:c>
      <x:c r="F39" s="24" t="str">
        <x:v>Spotted goatfish</x:v>
      </x:c>
      <x:c r="G39" s="24" t="str">
        <x:v>Medium reef assoc. fish (30 - 89 cm)</x:v>
      </x:c>
      <x:c r="H39" s="24" t="str">
        <x:v>Perch-likes</x:v>
      </x:c>
      <x:c r="I39" s="31" t="n">
        <x:v>0.065778898</x:v>
      </x:c>
      <x:c r="J39" s="31" t="n">
        <x:v>0.065778898</x:v>
      </x:c>
      <x:c r="K39" s="31" t="n">
        <x:v>0</x:v>
      </x:c>
      <x:c r="L39" s="31" t="n">
        <x:v>0.055763173</x:v>
      </x:c>
      <x:c r="M39" s="31" t="n">
        <x:v>0.010015725</x:v>
      </x:c>
      <x:c r="N39" s="24" t="str">
        <x:v>pseudupeneus maculatus</x:v>
      </x:c>
      <x:c r="O39" s="32" t="n">
        <x:v>3.65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Pseudupeneus maculatus</x:v>
      </x:c>
      <x:c r="T39" s="32" t="n">
        <x:f>IF(O39="","",(1/'Metadata'!$B$5)^(O39-1))</x:f>
        <x:v>446.683592150963</x:v>
      </x:c>
      <x:c r="U39" s="31" t="n">
        <x:f>IF(T39="","",I39*T39)</x:f>
        <x:v>29.3823544463718</x:v>
      </x:c>
    </x:row>
    <x:row r="40" ht="18" customHeight="1">
      <x:c r="A40" s="24" t="str">
        <x:v>EEZ_500</x:v>
      </x:c>
      <x:c r="B40" s="24" t="str">
        <x:v>Montserrat (UK)</x:v>
      </x:c>
      <x:c r="C40" s="24" t="str">
        <x:v>EEZ</x:v>
      </x:c>
      <x:c r="D40" s="30" t="n">
        <x:v>2019</x:v>
      </x:c>
      <x:c r="E40" s="24" t="str">
        <x:v>Myripristis jacobus</x:v>
      </x:c>
      <x:c r="F40" s="24" t="str">
        <x:v>Blackbar soldierfish</x:v>
      </x:c>
      <x:c r="G40" s="24" t="str">
        <x:v>Small reef assoc. fish (&lt;30 cm)</x:v>
      </x:c>
      <x:c r="H40" s="24" t="str">
        <x:v>Other fishes &amp; inverts</x:v>
      </x:c>
      <x:c r="I40" s="31" t="n">
        <x:v>0.065134885</x:v>
      </x:c>
      <x:c r="J40" s="31" t="n">
        <x:v>0.065134885</x:v>
      </x:c>
      <x:c r="K40" s="31" t="n">
        <x:v>0</x:v>
      </x:c>
      <x:c r="L40" s="31" t="n">
        <x:v>0.049557833999999995</x:v>
      </x:c>
      <x:c r="M40" s="31" t="n">
        <x:v>0.015577051</x:v>
      </x:c>
      <x:c r="N40" s="24" t="str">
        <x:v>myripristis jacobus</x:v>
      </x:c>
      <x:c r="O40" s="32" t="n">
        <x:v>3.39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Myripristis jacobus</x:v>
      </x:c>
      <x:c r="T40" s="32" t="n">
        <x:f>IF(O40="","",(1/'Metadata'!$B$5)^(O40-1))</x:f>
        <x:v>245.4708915685031</x:v>
      </x:c>
      <x:c r="U40" s="31" t="n">
        <x:f>IF(T40="","",I40*T40)</x:f>
        <x:v>15.98871829316192</x:v>
      </x:c>
    </x:row>
    <x:row r="41" ht="18" customHeight="1">
      <x:c r="A41" s="24" t="str">
        <x:v>EEZ_500</x:v>
      </x:c>
      <x:c r="B41" s="24" t="str">
        <x:v>Montserrat (UK)</x:v>
      </x:c>
      <x:c r="C41" s="24" t="str">
        <x:v>EEZ</x:v>
      </x:c>
      <x:c r="D41" s="30" t="n">
        <x:v>2019</x:v>
      </x:c>
      <x:c r="E41" s="24" t="str">
        <x:v>Makaira nigricans</x:v>
      </x:c>
      <x:c r="F41" s="24" t="str">
        <x:v>Blue marlin</x:v>
      </x:c>
      <x:c r="G41" s="24" t="str">
        <x:v>Large pelagics (&gt;=90 cm)</x:v>
      </x:c>
      <x:c r="H41" s="24" t="str">
        <x:v>Tuna &amp; billfishes</x:v>
      </x:c>
      <x:c r="I41" s="31" t="n">
        <x:v>0.060495215</x:v>
      </x:c>
      <x:c r="J41" s="31" t="n">
        <x:v>0.060495215</x:v>
      </x:c>
      <x:c r="K41" s="31" t="n">
        <x:v>0</x:v>
      </x:c>
      <x:c r="L41" s="31" t="n">
        <x:v>0.051284001999999995</x:v>
      </x:c>
      <x:c r="M41" s="31" t="n">
        <x:v>0.009211213</x:v>
      </x:c>
      <x:c r="N41" s="24" t="str">
        <x:v>makaira nigricans</x:v>
      </x:c>
      <x:c r="O41" s="32" t="n">
        <x:v>4.49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Makaira nigricans</x:v>
      </x:c>
      <x:c r="T41" s="32" t="n">
        <x:f>IF(O41="","",(1/'Metadata'!$B$5)^(O41-1))</x:f>
        <x:v>3090.295432513592</x:v>
      </x:c>
      <x:c r="U41" s="31" t="n">
        <x:f>IF(T41="","",I41*T41)</x:f>
        <x:v>186.94808660342773</x:v>
      </x:c>
    </x:row>
    <x:row r="42" ht="18" customHeight="1">
      <x:c r="A42" s="24" t="str">
        <x:v>EEZ_500</x:v>
      </x:c>
      <x:c r="B42" s="24" t="str">
        <x:v>Montserrat (UK)</x:v>
      </x:c>
      <x:c r="C42" s="24" t="str">
        <x:v>EEZ</x:v>
      </x:c>
      <x:c r="D42" s="30" t="n">
        <x:v>2019</x:v>
      </x:c>
      <x:c r="E42" s="24" t="str">
        <x:v>Sphyraenidae</x:v>
      </x:c>
      <x:c r="F42" s="24" t="str">
        <x:v>Barracudas</x:v>
      </x:c>
      <x:c r="G42" s="24" t="str">
        <x:v>Medium reef assoc. fish (30 - 89 cm)</x:v>
      </x:c>
      <x:c r="H42" s="24" t="str">
        <x:v>Perch-likes</x:v>
      </x:c>
      <x:c r="I42" s="31" t="n">
        <x:v>0.05434677</x:v>
      </x:c>
      <x:c r="J42" s="31" t="n">
        <x:v>0.05434677</x:v>
      </x:c>
      <x:c r="K42" s="31" t="n">
        <x:v>0</x:v>
      </x:c>
      <x:c r="L42" s="31" t="n">
        <x:v>0.046071741</x:v>
      </x:c>
      <x:c r="M42" s="31" t="n">
        <x:v>0.008275029</x:v>
      </x:c>
      <x:c r="N42" s="24" t="str">
        <x:v>sphyraenidae</x:v>
      </x:c>
      <x:c r="O42" s="32" t="n">
        <x:v>4.4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Sphyraenidae</x:v>
      </x:c>
      <x:c r="T42" s="32" t="n">
        <x:f>IF(O42="","",(1/'Metadata'!$B$5)^(O42-1))</x:f>
        <x:v>2511.886431509582</x:v>
      </x:c>
      <x:c r="U42" s="31" t="n">
        <x:f>IF(T42="","",I42*T42)</x:f>
        <x:v>136.512914159372</x:v>
      </x:c>
    </x:row>
    <x:row r="43" ht="18" customHeight="1">
      <x:c r="A43" s="24" t="str">
        <x:v>EEZ_500</x:v>
      </x:c>
      <x:c r="B43" s="24" t="str">
        <x:v>Montserrat (UK)</x:v>
      </x:c>
      <x:c r="C43" s="24" t="str">
        <x:v>EEZ</x:v>
      </x:c>
      <x:c r="D43" s="30" t="n">
        <x:v>2019</x:v>
      </x:c>
      <x:c r="E43" s="24" t="str">
        <x:v>Ginglymostoma cirratum</x:v>
      </x:c>
      <x:c r="F43" s="24" t="str">
        <x:v>Nurse shark</x:v>
      </x:c>
      <x:c r="G43" s="24" t="str">
        <x:v>Large sharks (&gt;=90 cm)</x:v>
      </x:c>
      <x:c r="H43" s="24" t="str">
        <x:v>Sharks &amp; rays</x:v>
      </x:c>
      <x:c r="I43" s="31" t="n">
        <x:v>0.051318710000000003</x:v>
      </x:c>
      <x:c r="J43" s="31" t="n">
        <x:v>0.051318710000000003</x:v>
      </x:c>
      <x:c r="K43" s="31" t="n">
        <x:v>0</x:v>
      </x:c>
      <x:c r="L43" s="31" t="n">
        <x:v>0.043504744000000005</x:v>
      </x:c>
      <x:c r="M43" s="31" t="n">
        <x:v>0.007813966</x:v>
      </x:c>
      <x:c r="N43" s="24" t="str">
        <x:v>ginglymostoma cirratum</x:v>
      </x:c>
      <x:c r="O43" s="32" t="n">
        <x:v>4.15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Ginglymostoma cirratum</x:v>
      </x:c>
      <x:c r="T43" s="32" t="n">
        <x:f>IF(O43="","",(1/'Metadata'!$B$5)^(O43-1))</x:f>
        <x:v>1412.5375446227554</x:v>
      </x:c>
      <x:c r="U43" s="31" t="n">
        <x:f>IF(T43="","",I43*T43)</x:f>
        <x:v>72.48960461660725</x:v>
      </x:c>
    </x:row>
    <x:row r="44" ht="18" customHeight="1">
      <x:c r="A44" s="24" t="str">
        <x:v>EEZ_500</x:v>
      </x:c>
      <x:c r="B44" s="24" t="str">
        <x:v>Montserrat (UK)</x:v>
      </x:c>
      <x:c r="C44" s="24" t="str">
        <x:v>EEZ</x:v>
      </x:c>
      <x:c r="D44" s="30" t="n">
        <x:v>2019</x:v>
      </x:c>
      <x:c r="E44" s="24" t="str">
        <x:v>Sphyraena barracuda</x:v>
      </x:c>
      <x:c r="F44" s="24" t="str">
        <x:v>Great barracuda</x:v>
      </x:c>
      <x:c r="G44" s="24" t="str">
        <x:v>Large pelagics (&gt;=90 cm)</x:v>
      </x:c>
      <x:c r="H44" s="24" t="str">
        <x:v>Perch-likes</x:v>
      </x:c>
      <x:c r="I44" s="31" t="n">
        <x:v>0.047147745000000005</x:v>
      </x:c>
      <x:c r="J44" s="31" t="n">
        <x:v>0.047147745000000005</x:v>
      </x:c>
      <x:c r="K44" s="31" t="n">
        <x:v>0</x:v>
      </x:c>
      <x:c r="L44" s="31" t="n">
        <x:v>0.039968865</x:v>
      </x:c>
      <x:c r="M44" s="31" t="n">
        <x:v>0.00717888</x:v>
      </x:c>
      <x:c r="N44" s="24" t="str">
        <x:v>sphyraena barracuda</x:v>
      </x:c>
      <x:c r="O44" s="32" t="n">
        <x:v>4.49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Sphyraena barracuda</x:v>
      </x:c>
      <x:c r="T44" s="32" t="n">
        <x:f>IF(O44="","",(1/'Metadata'!$B$5)^(O44-1))</x:f>
        <x:v>3090.295432513592</x:v>
      </x:c>
      <x:c r="U44" s="31" t="n">
        <x:f>IF(T44="","",I44*T44)</x:f>
        <x:v>145.70046102681556</x:v>
      </x:c>
    </x:row>
    <x:row r="45" ht="18" customHeight="1">
      <x:c r="A45" s="24" t="str">
        <x:v>EEZ_500</x:v>
      </x:c>
      <x:c r="B45" s="24" t="str">
        <x:v>Montserrat (UK)</x:v>
      </x:c>
      <x:c r="C45" s="24" t="str">
        <x:v>EEZ</x:v>
      </x:c>
      <x:c r="D45" s="30" t="n">
        <x:v>2019</x:v>
      </x:c>
      <x:c r="E45" s="24" t="str">
        <x:v>Lutjanus analis</x:v>
      </x:c>
      <x:c r="F45" s="24" t="str">
        <x:v>Mutton snapper</x:v>
      </x:c>
      <x:c r="G45" s="24" t="str">
        <x:v>Medium reef assoc. fish (30 - 89 cm)</x:v>
      </x:c>
      <x:c r="H45" s="24" t="str">
        <x:v>Perch-likes</x:v>
      </x:c>
      <x:c r="I45" s="31" t="n">
        <x:v>0.044424357</x:v>
      </x:c>
      <x:c r="J45" s="31" t="n">
        <x:v>0.044424357</x:v>
      </x:c>
      <x:c r="K45" s="31" t="n">
        <x:v>0</x:v>
      </x:c>
      <x:c r="L45" s="31" t="n">
        <x:v>0.037660149</x:v>
      </x:c>
      <x:c r="M45" s="31" t="n">
        <x:v>0.006764208</x:v>
      </x:c>
      <x:c r="N45" s="24" t="str">
        <x:v>lutjanus analis</x:v>
      </x:c>
      <x:c r="O45" s="32" t="n">
        <x:v>3.91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Lutjanus analis</x:v>
      </x:c>
      <x:c r="T45" s="32" t="n">
        <x:f>IF(O45="","",(1/'Metadata'!$B$5)^(O45-1))</x:f>
        <x:v>812.8305161640995</x:v>
      </x:c>
      <x:c r="U45" s="31" t="n">
        <x:f>IF(T45="","",I45*T45)</x:f>
        <x:v>36.109473030568225</x:v>
      </x:c>
    </x:row>
    <x:row r="46" ht="18" customHeight="1">
      <x:c r="A46" s="24" t="str">
        <x:v>EEZ_500</x:v>
      </x:c>
      <x:c r="B46" s="24" t="str">
        <x:v>Montserrat (UK)</x:v>
      </x:c>
      <x:c r="C46" s="24" t="str">
        <x:v>EEZ</x:v>
      </x:c>
      <x:c r="D46" s="30" t="n">
        <x:v>2019</x:v>
      </x:c>
      <x:c r="E46" s="24" t="str">
        <x:v>Lutjanus jocu</x:v>
      </x:c>
      <x:c r="F46" s="24" t="str">
        <x:v>Dog snapper</x:v>
      </x:c>
      <x:c r="G46" s="24" t="str">
        <x:v>Large reef assoc. fish (&gt;=90 cm)</x:v>
      </x:c>
      <x:c r="H46" s="24" t="str">
        <x:v>Perch-likes</x:v>
      </x:c>
      <x:c r="I46" s="31" t="n">
        <x:v>0.041173441000000005</x:v>
      </x:c>
      <x:c r="J46" s="31" t="n">
        <x:v>0.041173441000000005</x:v>
      </x:c>
      <x:c r="K46" s="31" t="n">
        <x:v>0</x:v>
      </x:c>
      <x:c r="L46" s="31" t="n">
        <x:v>0.034904229</x:v>
      </x:c>
      <x:c r="M46" s="31" t="n">
        <x:v>0.006269212</x:v>
      </x:c>
      <x:c r="N46" s="24" t="str">
        <x:v>lutjanus jocu</x:v>
      </x:c>
      <x:c r="O46" s="32" t="n">
        <x:v>4.41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Lutjanus jocu</x:v>
      </x:c>
      <x:c r="T46" s="32" t="n">
        <x:f>IF(O46="","",(1/'Metadata'!$B$5)^(O46-1))</x:f>
        <x:v>2570.3957827688646</x:v>
      </x:c>
      <x:c r="U46" s="31" t="n">
        <x:f>IF(T46="","",I46*T46)</x:f>
        <x:v>105.83203910848268</x:v>
      </x:c>
    </x:row>
    <x:row r="47" ht="18" customHeight="1">
      <x:c r="A47" s="24" t="str">
        <x:v>EEZ_500</x:v>
      </x:c>
      <x:c r="B47" s="24" t="str">
        <x:v>Montserrat (UK)</x:v>
      </x:c>
      <x:c r="C47" s="24" t="str">
        <x:v>EEZ</x:v>
      </x:c>
      <x:c r="D47" s="30" t="n">
        <x:v>2019</x:v>
      </x:c>
      <x:c r="E47" s="24" t="str">
        <x:v>Cephalopholis cruentata</x:v>
      </x:c>
      <x:c r="F47" s="24" t="str">
        <x:v>Graysby</x:v>
      </x:c>
      <x:c r="G47" s="24" t="str">
        <x:v>Medium reef assoc. fish (30 - 89 cm)</x:v>
      </x:c>
      <x:c r="H47" s="24" t="str">
        <x:v>Perch-likes</x:v>
      </x:c>
      <x:c r="I47" s="31" t="n">
        <x:v>0.040367413</x:v>
      </x:c>
      <x:c r="J47" s="31" t="n">
        <x:v>0.040367413</x:v>
      </x:c>
      <x:c r="K47" s="31" t="n">
        <x:v>0</x:v>
      </x:c>
      <x:c r="L47" s="31" t="n">
        <x:v>0.03422093</x:v>
      </x:c>
      <x:c r="M47" s="31" t="n">
        <x:v>0.006146483</x:v>
      </x:c>
      <x:c r="N47" s="24" t="str">
        <x:v>cephalopholis cruentata</x:v>
      </x:c>
      <x:c r="O47" s="32" t="n">
        <x:v>4.25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Cephalopholis cruentata</x:v>
      </x:c>
      <x:c r="T47" s="32" t="n">
        <x:f>IF(O47="","",(1/'Metadata'!$B$5)^(O47-1))</x:f>
        <x:v>1778.2794100389228</x:v>
      </x:c>
      <x:c r="U47" s="31" t="n">
        <x:f>IF(T47="","",I47*T47)</x:f>
        <x:v>71.78453937443754</x:v>
      </x:c>
    </x:row>
    <x:row r="48" ht="18" customHeight="1">
      <x:c r="A48" s="24" t="str">
        <x:v>EEZ_500</x:v>
      </x:c>
      <x:c r="B48" s="24" t="str">
        <x:v>Montserrat (UK)</x:v>
      </x:c>
      <x:c r="C48" s="24" t="str">
        <x:v>EEZ</x:v>
      </x:c>
      <x:c r="D48" s="30" t="n">
        <x:v>2019</x:v>
      </x:c>
      <x:c r="E48" s="24" t="str">
        <x:v>Clupeidae</x:v>
      </x:c>
      <x:c r="F48" s="24" t="str">
        <x:v>Herrings, sardines, menhadens</x:v>
      </x:c>
      <x:c r="G48" s="24" t="str">
        <x:v>Small pelagics (&lt;30 cm)</x:v>
      </x:c>
      <x:c r="H48" s="24" t="str">
        <x:v>Herring-likes</x:v>
      </x:c>
      <x:c r="I48" s="31" t="n">
        <x:v>0.039552592</x:v>
      </x:c>
      <x:c r="J48" s="31" t="n">
        <x:v>0.039552592</x:v>
      </x:c>
      <x:c r="K48" s="31" t="n">
        <x:v>0</x:v>
      </x:c>
      <x:c r="L48" s="31" t="n">
        <x:v>0.033530175999999995</x:v>
      </x:c>
      <x:c r="M48" s="31" t="n">
        <x:v>0.006022416</x:v>
      </x:c>
      <x:c r="N48" s="24" t="str">
        <x:v>clupeidae</x:v>
      </x:c>
      <x:c r="O48" s="32" t="n">
        <x:v>3.16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Clupeidae</x:v>
      </x:c>
      <x:c r="T48" s="32" t="n">
        <x:f>IF(O48="","",(1/'Metadata'!$B$5)^(O48-1))</x:f>
        <x:v>144.5439770745928</x:v>
      </x:c>
      <x:c r="U48" s="31" t="n">
        <x:f>IF(T48="","",I48*T48)</x:f>
        <x:v>5.717088951288722</x:v>
      </x:c>
    </x:row>
    <x:row r="49" ht="18" customHeight="1">
      <x:c r="A49" s="24" t="str">
        <x:v>EEZ_500</x:v>
      </x:c>
      <x:c r="B49" s="24" t="str">
        <x:v>Montserrat (UK)</x:v>
      </x:c>
      <x:c r="C49" s="24" t="str">
        <x:v>EEZ</x:v>
      </x:c>
      <x:c r="D49" s="30" t="n">
        <x:v>2019</x:v>
      </x:c>
      <x:c r="E49" s="24" t="str">
        <x:v>Caranx latus</x:v>
      </x:c>
      <x:c r="F49" s="24" t="str">
        <x:v>Horse-eye jack</x:v>
      </x:c>
      <x:c r="G49" s="24" t="str">
        <x:v>Large reef assoc. fish (&gt;=90 cm)</x:v>
      </x:c>
      <x:c r="H49" s="24" t="str">
        <x:v>Perch-likes</x:v>
      </x:c>
      <x:c r="I49" s="31" t="n">
        <x:v>0.035338145</x:v>
      </x:c>
      <x:c r="J49" s="31" t="n">
        <x:v>0.035338145</x:v>
      </x:c>
      <x:c r="K49" s="31" t="n">
        <x:v>0</x:v>
      </x:c>
      <x:c r="L49" s="31" t="n">
        <x:v>0.029957436</x:v>
      </x:c>
      <x:c r="M49" s="31" t="n">
        <x:v>0.005380709</x:v>
      </x:c>
      <x:c r="N49" s="24" t="str">
        <x:v>caranx latus</x:v>
      </x:c>
      <x:c r="O49" s="32" t="n">
        <x:v>4.16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latus</x:v>
      </x:c>
      <x:c r="T49" s="32" t="n">
        <x:f>IF(O49="","",(1/'Metadata'!$B$5)^(O49-1))</x:f>
        <x:v>1445.439770745928</x:v>
      </x:c>
      <x:c r="U49" s="31" t="n">
        <x:f>IF(T49="","",I49*T49)</x:f>
        <x:v>51.07916020738636</x:v>
      </x:c>
    </x:row>
    <x:row r="50" ht="18" customHeight="1">
      <x:c r="A50" s="24" t="str">
        <x:v>EEZ_500</x:v>
      </x:c>
      <x:c r="B50" s="24" t="str">
        <x:v>Montserrat (UK)</x:v>
      </x:c>
      <x:c r="C50" s="24" t="str">
        <x:v>EEZ</x:v>
      </x:c>
      <x:c r="D50" s="30" t="n">
        <x:v>2019</x:v>
      </x:c>
      <x:c r="E50" s="24" t="str">
        <x:v>Thunnus atlanticus</x:v>
      </x:c>
      <x:c r="F50" s="24" t="str">
        <x:v>Blackfin tuna</x:v>
      </x:c>
      <x:c r="G50" s="24" t="str">
        <x:v>Large pelagics (&gt;=90 cm)</x:v>
      </x:c>
      <x:c r="H50" s="24" t="str">
        <x:v>Tuna &amp; billfishes</x:v>
      </x:c>
      <x:c r="I50" s="31" t="n">
        <x:v>0.030079044</x:v>
      </x:c>
      <x:c r="J50" s="31" t="n">
        <x:v>0.030079044</x:v>
      </x:c>
      <x:c r="K50" s="31" t="n">
        <x:v>0</x:v>
      </x:c>
      <x:c r="L50" s="31" t="n">
        <x:v>0.025499103999999998</x:v>
      </x:c>
      <x:c r="M50" s="31" t="n">
        <x:v>0.00457994</x:v>
      </x:c>
      <x:c r="N50" s="24" t="str">
        <x:v>thunnus atlanticus</x:v>
      </x:c>
      <x:c r="O50" s="32" t="n">
        <x:v>4.35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atlanticus</x:v>
      </x:c>
      <x:c r="T50" s="32" t="n">
        <x:f>IF(O50="","",(1/'Metadata'!$B$5)^(O50-1))</x:f>
        <x:v>2238.7211385683377</x:v>
      </x:c>
      <x:c r="U50" s="31" t="n">
        <x:f>IF(T50="","",I50*T50)</x:f>
        <x:v>67.33859163072712</x:v>
      </x:c>
    </x:row>
    <x:row r="51" ht="18" customHeight="1">
      <x:c r="A51" s="24" t="str">
        <x:v>EEZ_500</x:v>
      </x:c>
      <x:c r="B51" s="24" t="str">
        <x:v>Montserrat (UK)</x:v>
      </x:c>
      <x:c r="C51" s="24" t="str">
        <x:v>EEZ</x:v>
      </x:c>
      <x:c r="D51" s="30" t="n">
        <x:v>2019</x:v>
      </x:c>
      <x:c r="E51" s="24" t="str">
        <x:v>Lutjanus apodus</x:v>
      </x:c>
      <x:c r="F51" s="24" t="str">
        <x:v>Schoolmaster snapper</x:v>
      </x:c>
      <x:c r="G51" s="24" t="str">
        <x:v>Medium reef assoc. fish (30 - 89 cm)</x:v>
      </x:c>
      <x:c r="H51" s="24" t="str">
        <x:v>Perch-likes</x:v>
      </x:c>
      <x:c r="I51" s="31" t="n">
        <x:v>0.026378664</x:v>
      </x:c>
      <x:c r="J51" s="31" t="n">
        <x:v>0.026378664</x:v>
      </x:c>
      <x:c r="K51" s="31" t="n">
        <x:v>0</x:v>
      </x:c>
      <x:c r="L51" s="31" t="n">
        <x:v>0.026378664</x:v>
      </x:c>
      <x:c r="M51" s="31" t="n">
        <x:v>0</x:v>
      </x:c>
      <x:c r="N51" s="24" t="str">
        <x:v>lutjanus apodus</x:v>
      </x:c>
      <x:c r="O51" s="32" t="n">
        <x:v>4.25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Lutjanus apodus</x:v>
      </x:c>
      <x:c r="T51" s="32" t="n">
        <x:f>IF(O51="","",(1/'Metadata'!$B$5)^(O51-1))</x:f>
        <x:v>1778.2794100389228</x:v>
      </x:c>
      <x:c r="U51" s="31" t="n">
        <x:f>IF(T51="","",I51*T51)</x:f>
        <x:v>46.90863505553497</x:v>
      </x:c>
    </x:row>
    <x:row r="52" ht="18" customHeight="1">
      <x:c r="A52" s="24" t="str">
        <x:v>EEZ_500</x:v>
      </x:c>
      <x:c r="B52" s="24" t="str">
        <x:v>Montserrat (UK)</x:v>
      </x:c>
      <x:c r="C52" s="24" t="str">
        <x:v>EEZ</x:v>
      </x:c>
      <x:c r="D52" s="30" t="n">
        <x:v>2019</x:v>
      </x:c>
      <x:c r="E52" s="24" t="str">
        <x:v>Euthynnus alletteratus</x:v>
      </x:c>
      <x:c r="F52" s="24" t="str">
        <x:v>Little tunny </x:v>
      </x:c>
      <x:c r="G52" s="24" t="str">
        <x:v>Large pelagics (&gt;=90 cm)</x:v>
      </x:c>
      <x:c r="H52" s="24" t="str">
        <x:v>Tuna &amp; billfishes</x:v>
      </x:c>
      <x:c r="I52" s="31" t="n">
        <x:v>0.025341496</x:v>
      </x:c>
      <x:c r="J52" s="31" t="n">
        <x:v>0.025341496</x:v>
      </x:c>
      <x:c r="K52" s="31" t="n">
        <x:v>0</x:v>
      </x:c>
      <x:c r="L52" s="31" t="n">
        <x:v>0.021482911</x:v>
      </x:c>
      <x:c r="M52" s="31" t="n">
        <x:v>0.003858585</x:v>
      </x:c>
      <x:c r="N52" s="24" t="str">
        <x:v>euthynnus alletteratus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Euthynnus alletteratus</x:v>
      </x:c>
      <x:c r="T52" s="32" t="n">
        <x:f>IF(O52="","",(1/'Metadata'!$B$5)^(O52-1))</x:f>
        <x:v>3090.295432513592</x:v>
      </x:c>
      <x:c r="U52" s="31" t="n">
        <x:f>IF(T52="","",I52*T52)</x:f>
        <x:v>78.31270934186146</x:v>
      </x:c>
    </x:row>
    <x:row r="53" ht="18" customHeight="1">
      <x:c r="A53" s="24" t="str">
        <x:v>EEZ_500</x:v>
      </x:c>
      <x:c r="B53" s="24" t="str">
        <x:v>Montserrat (UK)</x:v>
      </x:c>
      <x:c r="C53" s="24" t="str">
        <x:v>EEZ</x:v>
      </x:c>
      <x:c r="D53" s="30" t="n">
        <x:v>2019</x:v>
      </x:c>
      <x:c r="E53" s="24" t="str">
        <x:v>Selene vomer</x:v>
      </x:c>
      <x:c r="F53" s="24" t="str">
        <x:v>Lookdown</x:v>
      </x:c>
      <x:c r="G53" s="24" t="str">
        <x:v>Medium demersals (30 - 89 cm)</x:v>
      </x:c>
      <x:c r="H53" s="24" t="str">
        <x:v>Perch-likes</x:v>
      </x:c>
      <x:c r="I53" s="31" t="n">
        <x:v>0.019119003</x:v>
      </x:c>
      <x:c r="J53" s="31" t="n">
        <x:v>0.019119003</x:v>
      </x:c>
      <x:c r="K53" s="31" t="n">
        <x:v>0</x:v>
      </x:c>
      <x:c r="L53" s="31" t="n">
        <x:v>0.016207877</x:v>
      </x:c>
      <x:c r="M53" s="31" t="n">
        <x:v>0.002911126</x:v>
      </x:c>
      <x:c r="N53" s="24" t="str">
        <x:v>selene vomer</x:v>
      </x:c>
      <x:c r="O53" s="32" t="n">
        <x:v>4.29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Selene vomer</x:v>
      </x:c>
      <x:c r="T53" s="32" t="n">
        <x:f>IF(O53="","",(1/'Metadata'!$B$5)^(O53-1))</x:f>
        <x:v>1949.8445997580454</x:v>
      </x:c>
      <x:c r="U53" s="31" t="n">
        <x:f>IF(T53="","",I53*T53)</x:f>
        <x:v>37.27908475230787</x:v>
      </x:c>
    </x:row>
    <x:row r="54" ht="18" customHeight="1">
      <x:c r="A54" s="24" t="str">
        <x:v>EEZ_500</x:v>
      </x:c>
      <x:c r="B54" s="24" t="str">
        <x:v>Montserrat (UK)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0.018353508</x:v>
      </x:c>
      <x:c r="J54" s="31" t="n">
        <x:v>0.018353508</x:v>
      </x:c>
      <x:c r="K54" s="31" t="n">
        <x:v>0</x:v>
      </x:c>
      <x:c r="L54" s="31" t="n">
        <x:v>0.013964253999999999</x:v>
      </x:c>
      <x:c r="M54" s="31" t="n">
        <x:v>0.004389254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33.39789426610518</x:v>
      </x:c>
    </x:row>
    <x:row r="55" ht="18" customHeight="1">
      <x:c r="A55" s="24" t="str">
        <x:v>EEZ_500</x:v>
      </x:c>
      <x:c r="B55" s="24" t="str">
        <x:v>Montserrat (UK)</x:v>
      </x:c>
      <x:c r="C55" s="24" t="str">
        <x:v>EEZ</x:v>
      </x:c>
      <x:c r="D55" s="30" t="n">
        <x:v>2019</x:v>
      </x:c>
      <x:c r="E55" s="24" t="str">
        <x:v>Caranx lugubris</x:v>
      </x:c>
      <x:c r="F55" s="24" t="str">
        <x:v>Black jack</x:v>
      </x:c>
      <x:c r="G55" s="24" t="str">
        <x:v>Large benthopelagics (&gt;=90 cm)</x:v>
      </x:c>
      <x:c r="H55" s="24" t="str">
        <x:v>Perch-likes</x:v>
      </x:c>
      <x:c r="I55" s="31" t="n">
        <x:v>0.017333039</x:v>
      </x:c>
      <x:c r="J55" s="31" t="n">
        <x:v>0.017333039</x:v>
      </x:c>
      <x:c r="K55" s="31" t="n">
        <x:v>0</x:v>
      </x:c>
      <x:c r="L55" s="31" t="n">
        <x:v>0.01469385</x:v>
      </x:c>
      <x:c r="M55" s="31" t="n">
        <x:v>0.002639189</x:v>
      </x:c>
      <x:c r="N55" s="24" t="str">
        <x:v>caranx lugubris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Caranx lugubris</x:v>
      </x:c>
      <x:c r="T55" s="32" t="n">
        <x:f>IF(O55="","",(1/'Metadata'!$B$5)^(O55-1))</x:f>
        <x:v>3162.2776601683795</x:v>
      </x:c>
      <x:c r="U55" s="31" t="n">
        <x:f>IF(T55="","",I55*T55)</x:f>
        <x:v>54.81188201252727</x:v>
      </x:c>
    </x:row>
    <x:row r="56" ht="18" customHeight="1">
      <x:c r="A56" s="24" t="str">
        <x:v>EEZ_500</x:v>
      </x:c>
      <x:c r="B56" s="24" t="str">
        <x:v>Montserrat (UK)</x:v>
      </x:c>
      <x:c r="C56" s="24" t="str">
        <x:v>EEZ</x:v>
      </x:c>
      <x:c r="D56" s="30" t="n">
        <x:v>2019</x:v>
      </x:c>
      <x:c r="E56" s="24" t="str">
        <x:v>Muraenidae</x:v>
      </x:c>
      <x:c r="F56" s="24" t="str">
        <x:v>Moray eels</x:v>
      </x:c>
      <x:c r="G56" s="24" t="str">
        <x:v>Large reef assoc. fish (&gt;=90 cm)</x:v>
      </x:c>
      <x:c r="H56" s="24" t="str">
        <x:v>Other fishes &amp; inverts</x:v>
      </x:c>
      <x:c r="I56" s="31" t="n">
        <x:v>0.01699318</x:v>
      </x:c>
      <x:c r="J56" s="31" t="n">
        <x:v>0.01699318</x:v>
      </x:c>
      <x:c r="K56" s="31" t="n">
        <x:v>0</x:v>
      </x:c>
      <x:c r="L56" s="31" t="n">
        <x:v>0.015605547</x:v>
      </x:c>
      <x:c r="M56" s="31" t="n">
        <x:v>0.001387633</x:v>
      </x:c>
      <x:c r="N56" s="24" t="str">
        <x:v>muraenidae</x:v>
      </x:c>
      <x:c r="O56" s="32" t="n">
        <x:v>4.07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Muraenidae</x:v>
      </x:c>
      <x:c r="T56" s="32" t="n">
        <x:f>IF(O56="","",(1/'Metadata'!$B$5)^(O56-1))</x:f>
        <x:v>1174.8975549395302</x:v>
      </x:c>
      <x:c r="U56" s="31" t="n">
        <x:f>IF(T56="","",I56*T56)</x:f>
        <x:v>19.965245632647328</x:v>
      </x:c>
    </x:row>
    <x:row r="57" ht="18" customHeight="1">
      <x:c r="A57" s="24" t="str">
        <x:v>EEZ_500</x:v>
      </x:c>
      <x:c r="B57" s="24" t="str">
        <x:v>Montserrat (UK)</x:v>
      </x:c>
      <x:c r="C57" s="24" t="str">
        <x:v>EEZ</x:v>
      </x:c>
      <x:c r="D57" s="30" t="n">
        <x:v>2019</x:v>
      </x:c>
      <x:c r="E57" s="24" t="str">
        <x:v>Albula vulpes</x:v>
      </x:c>
      <x:c r="F57" s="24" t="str">
        <x:v>Bonefish</x:v>
      </x:c>
      <x:c r="G57" s="24" t="str">
        <x:v>Medium reef assoc. fish (30 - 89 cm)</x:v>
      </x:c>
      <x:c r="H57" s="24" t="str">
        <x:v>Other fishes &amp; inverts</x:v>
      </x:c>
      <x:c r="I57" s="31" t="n">
        <x:v>0.016262633999999998</x:v>
      </x:c>
      <x:c r="J57" s="31" t="n">
        <x:v>0.016262633999999998</x:v>
      </x:c>
      <x:c r="K57" s="31" t="n">
        <x:v>0</x:v>
      </x:c>
      <x:c r="L57" s="31" t="n">
        <x:v>0.013786429</x:v>
      </x:c>
      <x:c r="M57" s="31" t="n">
        <x:v>0.002476205</x:v>
      </x:c>
      <x:c r="N57" s="24" t="str">
        <x:v>albula vulpes</x:v>
      </x:c>
      <x:c r="O57" s="32" t="n">
        <x:v>3.73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Albula vulpes</x:v>
      </x:c>
      <x:c r="T57" s="32" t="n">
        <x:f>IF(O57="","",(1/'Metadata'!$B$5)^(O57-1))</x:f>
        <x:v>537.0317963702527</x:v>
      </x:c>
      <x:c r="U57" s="31" t="n">
        <x:f>IF(T57="","",I57*T57)</x:f>
        <x:v>8.733551550731946</x:v>
      </x:c>
    </x:row>
    <x:row r="58" ht="18" customHeight="1">
      <x:c r="A58" s="24" t="str">
        <x:v>EEZ_500</x:v>
      </x:c>
      <x:c r="B58" s="24" t="str">
        <x:v>Montserrat (UK)</x:v>
      </x:c>
      <x:c r="C58" s="24" t="str">
        <x:v>EEZ</x:v>
      </x:c>
      <x:c r="D58" s="30" t="n">
        <x:v>2019</x:v>
      </x:c>
      <x:c r="E58" s="24" t="str">
        <x:v>Heteropriacanthus cruentatus</x:v>
      </x:c>
      <x:c r="F58" s="24" t="str">
        <x:v>Glasseye</x:v>
      </x:c>
      <x:c r="G58" s="24" t="str">
        <x:v>Medium reef assoc. fish (30 - 89 cm)</x:v>
      </x:c>
      <x:c r="H58" s="24" t="str">
        <x:v>Perch-likes</x:v>
      </x:c>
      <x:c r="I58" s="31" t="n">
        <x:v>0.013211608</x:v>
      </x:c>
      <x:c r="J58" s="31" t="n">
        <x:v>0.013211608</x:v>
      </x:c>
      <x:c r="K58" s="31" t="n">
        <x:v>0</x:v>
      </x:c>
      <x:c r="L58" s="31" t="n">
        <x:v>0.011199961999999999</x:v>
      </x:c>
      <x:c r="M58" s="31" t="n">
        <x:v>0.002011646</x:v>
      </x:c>
      <x:c r="N58" s="24" t="str">
        <x:v>heteropriacanthus cruentatus</x:v>
      </x:c>
      <x:c r="O58" s="32" t="n">
        <x:v>3.61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Heteropriacanthus cruentatus</x:v>
      </x:c>
      <x:c r="T58" s="32" t="n">
        <x:f>IF(O58="","",(1/'Metadata'!$B$5)^(O58-1))</x:f>
        <x:v>407.3802778041126</x:v>
      </x:c>
      <x:c r="U58" s="31" t="n">
        <x:f>IF(T58="","",I58*T58)</x:f>
        <x:v>5.382148537279036</x:v>
      </x:c>
    </x:row>
    <x:row r="59" ht="18" customHeight="1">
      <x:c r="A59" s="24" t="str">
        <x:v>EEZ_500</x:v>
      </x:c>
      <x:c r="B59" s="24" t="str">
        <x:v>Montserrat (UK)</x:v>
      </x:c>
      <x:c r="C59" s="24" t="str">
        <x:v>EEZ</x:v>
      </x:c>
      <x:c r="D59" s="30" t="n">
        <x:v>2019</x:v>
      </x:c>
      <x:c r="E59" s="24" t="str">
        <x:v>Galeocerdo cuvier</x:v>
      </x:c>
      <x:c r="F59" s="24" t="str">
        <x:v>Tiger shark</x:v>
      </x:c>
      <x:c r="G59" s="24" t="str">
        <x:v>Large sharks (&gt;=90 cm)</x:v>
      </x:c>
      <x:c r="H59" s="24" t="str">
        <x:v>Sharks &amp; rays</x:v>
      </x:c>
      <x:c r="I59" s="31" t="n">
        <x:v>0.011949377</x:v>
      </x:c>
      <x:c r="J59" s="31" t="n">
        <x:v>0.011949377</x:v>
      </x:c>
      <x:c r="K59" s="31" t="n">
        <x:v>0</x:v>
      </x:c>
      <x:c r="L59" s="31" t="n">
        <x:v>0.010129923</x:v>
      </x:c>
      <x:c r="M59" s="31" t="n">
        <x:v>0.001819454</x:v>
      </x:c>
      <x:c r="N59" s="24" t="str">
        <x:v>galeocerdo cuvier</x:v>
      </x:c>
      <x:c r="O59" s="32" t="n">
        <x:v>4.54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Galeocerdo cuvier</x:v>
      </x:c>
      <x:c r="T59" s="32" t="n">
        <x:f>IF(O59="","",(1/'Metadata'!$B$5)^(O59-1))</x:f>
        <x:v>3467.368504525317</x:v>
      </x:c>
      <x:c r="U59" s="31" t="n">
        <x:f>IF(T59="","",I59*T59)</x:f>
        <x:v>41.43289345849922</x:v>
      </x:c>
    </x:row>
    <x:row r="60" ht="18" customHeight="1">
      <x:c r="A60" s="24" t="str">
        <x:v>EEZ_500</x:v>
      </x:c>
      <x:c r="B60" s="24" t="str">
        <x:v>Montserrat (UK)</x:v>
      </x:c>
      <x:c r="C60" s="24" t="str">
        <x:v>EEZ</x:v>
      </x:c>
      <x:c r="D60" s="30" t="n">
        <x:v>2019</x:v>
      </x:c>
      <x:c r="E60" s="24" t="str">
        <x:v>Sarda sarda</x:v>
      </x:c>
      <x:c r="F60" s="24" t="str">
        <x:v>Atlantic bonito</x:v>
      </x:c>
      <x:c r="G60" s="24" t="str">
        <x:v>Medium pelagics (30 - 89 cm)</x:v>
      </x:c>
      <x:c r="H60" s="24" t="str">
        <x:v>Tuna &amp; billfishes</x:v>
      </x:c>
      <x:c r="I60" s="31" t="n">
        <x:v>0.009466653</x:v>
      </x:c>
      <x:c r="J60" s="31" t="n">
        <x:v>0.009466653</x:v>
      </x:c>
      <x:c r="K60" s="31" t="n">
        <x:v>0</x:v>
      </x:c>
      <x:c r="L60" s="31" t="n">
        <x:v>0.008025227</x:v>
      </x:c>
      <x:c r="M60" s="31" t="n">
        <x:v>0.001441426</x:v>
      </x:c>
      <x:c r="N60" s="24" t="str">
        <x:v>sarda sarda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sarda</x:v>
      </x:c>
      <x:c r="T60" s="32" t="n">
        <x:f>IF(O60="","",(1/'Metadata'!$B$5)^(O60-1))</x:f>
        <x:v>3162.2776601683795</x:v>
      </x:c>
      <x:c r="U60" s="31" t="n">
        <x:f>IF(T60="","",I60*T60)</x:f>
        <x:v>29.936185298465972</x:v>
      </x:c>
    </x:row>
    <x:row r="61" ht="18" customHeight="1">
      <x:c r="A61" s="24" t="str">
        <x:v>EEZ_500</x:v>
      </x:c>
      <x:c r="B61" s="24" t="str">
        <x:v>Montserrat (UK)</x:v>
      </x:c>
      <x:c r="C61" s="24" t="str">
        <x:v>EEZ</x:v>
      </x:c>
      <x:c r="D61" s="30" t="n">
        <x:v>2019</x:v>
      </x:c>
      <x:c r="E61" s="24" t="str">
        <x:v>Mugilidae</x:v>
      </x:c>
      <x:c r="F61" s="24" t="str">
        <x:v>Mullets, grey mullets</x:v>
      </x:c>
      <x:c r="G61" s="24" t="str">
        <x:v>Medium reef assoc. fish (30 - 89 cm)</x:v>
      </x:c>
      <x:c r="H61" s="24" t="str">
        <x:v>Perch-likes</x:v>
      </x:c>
      <x:c r="I61" s="31" t="n">
        <x:v>0.009161586999999999</x:v>
      </x:c>
      <x:c r="J61" s="31" t="n">
        <x:v>0.009161586999999999</x:v>
      </x:c>
      <x:c r="K61" s="31" t="n">
        <x:v>0</x:v>
      </x:c>
      <x:c r="L61" s="31" t="n">
        <x:v>0.007766612</x:v>
      </x:c>
      <x:c r="M61" s="31" t="n">
        <x:v>0.001394975</x:v>
      </x:c>
      <x:c r="N61" s="24" t="str">
        <x:v>mugilidae</x:v>
      </x:c>
      <x:c r="O61" s="32" t="n">
        <x:v>2.53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Mugilidae</x:v>
      </x:c>
      <x:c r="T61" s="32" t="n">
        <x:f>IF(O61="","",(1/'Metadata'!$B$5)^(O61-1))</x:f>
        <x:v>33.88441561392024</x:v>
      </x:c>
      <x:c r="U61" s="31" t="n">
        <x:f>IF(T61="","",I61*T61)</x:f>
        <x:v>0.31043502159108866</x:v>
      </x:c>
    </x:row>
    <x:row r="62" ht="18" customHeight="1">
      <x:c r="A62" s="24" t="str">
        <x:v>EEZ_500</x:v>
      </x:c>
      <x:c r="B62" s="24" t="str">
        <x:v>Montserrat (UK)</x:v>
      </x:c>
      <x:c r="C62" s="24" t="str">
        <x:v>EEZ</x:v>
      </x:c>
      <x:c r="D62" s="30" t="n">
        <x:v>2019</x:v>
      </x:c>
      <x:c r="E62" s="24" t="str">
        <x:v>Gymnothorax moringa</x:v>
      </x:c>
      <x:c r="F62" s="24" t="str">
        <x:v>Spotted moray</x:v>
      </x:c>
      <x:c r="G62" s="24" t="str">
        <x:v>Large reef assoc. fish (&gt;=90 cm)</x:v>
      </x:c>
      <x:c r="H62" s="24" t="str">
        <x:v>Other fishes &amp; inverts</x:v>
      </x:c>
      <x:c r="I62" s="31" t="n">
        <x:v>0.007855553000000001</x:v>
      </x:c>
      <x:c r="J62" s="31" t="n">
        <x:v>0.007855553000000001</x:v>
      </x:c>
      <x:c r="K62" s="31" t="n">
        <x:v>0</x:v>
      </x:c>
      <x:c r="L62" s="31" t="n">
        <x:v>0.0066594390000000005</x:v>
      </x:c>
      <x:c r="M62" s="31" t="n">
        <x:v>0.001196114</x:v>
      </x:c>
      <x:c r="N62" s="24" t="str">
        <x:v>gymnothorax moringa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Gymnothorax moringa</x:v>
      </x:c>
      <x:c r="T62" s="32" t="n">
        <x:f>IF(O62="","",(1/'Metadata'!$B$5)^(O62-1))</x:f>
        <x:v>3162.2776601683795</x:v>
      </x:c>
      <x:c r="U62" s="31" t="n">
        <x:f>IF(T62="","",I62*T62)</x:f>
        <x:v>24.841439760168697</x:v>
      </x:c>
    </x:row>
    <x:row r="63" ht="18" customHeight="1">
      <x:c r="A63" s="24" t="str">
        <x:v>EEZ_500</x:v>
      </x:c>
      <x:c r="B63" s="24" t="str">
        <x:v>Montserrat (UK)</x:v>
      </x:c>
      <x:c r="C63" s="24" t="str">
        <x:v>EEZ</x:v>
      </x:c>
      <x:c r="D63" s="30" t="n">
        <x:v>2019</x:v>
      </x:c>
      <x:c r="E63" s="24" t="str">
        <x:v>Serranidae</x:v>
      </x:c>
      <x:c r="F63" s="24" t="str">
        <x:v>Basses, groupers, hinds</x:v>
      </x:c>
      <x:c r="G63" s="24" t="str">
        <x:v>Medium reef assoc. fish (30 - 89 cm)</x:v>
      </x:c>
      <x:c r="H63" s="24" t="str">
        <x:v>Perch-likes</x:v>
      </x:c>
      <x:c r="I63" s="31" t="n">
        <x:v>0.007195624</x:v>
      </x:c>
      <x:c r="J63" s="31" t="n">
        <x:v>0.007195624</x:v>
      </x:c>
      <x:c r="K63" s="31" t="n">
        <x:v>0</x:v>
      </x:c>
      <x:c r="L63" s="31" t="n">
        <x:v>0.007195624</x:v>
      </x:c>
      <x:c r="M63" s="31" t="n">
        <x:v>0</x:v>
      </x:c>
      <x:c r="N63" s="24" t="str">
        <x:v>serranidae</x:v>
      </x:c>
      <x:c r="O63" s="32" t="n">
        <x:v>3.98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Serranidae</x:v>
      </x:c>
      <x:c r="T63" s="32" t="n">
        <x:f>IF(O63="","",(1/'Metadata'!$B$5)^(O63-1))</x:f>
        <x:v>954.992586021436</x:v>
      </x:c>
      <x:c r="U63" s="31" t="n">
        <x:f>IF(T63="","",I63*T63)</x:f>
        <x:v>6.87176757179791</x:v>
      </x:c>
    </x:row>
    <x:row r="64" ht="18" customHeight="1">
      <x:c r="A64" s="24" t="str">
        <x:v>EEZ_500</x:v>
      </x:c>
      <x:c r="B64" s="24" t="str">
        <x:v>Montserrat (UK)</x:v>
      </x:c>
      <x:c r="C64" s="24" t="str">
        <x:v>EEZ</x:v>
      </x:c>
      <x:c r="D64" s="30" t="n">
        <x:v>2019</x:v>
      </x:c>
      <x:c r="E64" s="24" t="str">
        <x:v>Thunnus thynnus</x:v>
      </x:c>
      <x:c r="F64" s="24" t="str">
        <x:v>Atlantic bluefin tuna</x:v>
      </x:c>
      <x:c r="G64" s="24" t="str">
        <x:v>Large pelagics (&gt;=90 cm)</x:v>
      </x:c>
      <x:c r="H64" s="24" t="str">
        <x:v>Tuna &amp; billfishes</x:v>
      </x:c>
      <x:c r="I64" s="31" t="n">
        <x:v>0.006395522</x:v>
      </x:c>
      <x:c r="J64" s="31" t="n">
        <x:v>0.006395522</x:v>
      </x:c>
      <x:c r="K64" s="31" t="n">
        <x:v>0</x:v>
      </x:c>
      <x:c r="L64" s="31" t="n">
        <x:v>0.006395522</x:v>
      </x:c>
      <x:c r="M64" s="31" t="n">
        <x:v>0</x:v>
      </x:c>
      <x:c r="N64" s="24" t="str">
        <x:v>thunnus thynnus</x:v>
      </x:c>
      <x:c r="O64" s="32" t="n">
        <x:v>4.45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thynnus</x:v>
      </x:c>
      <x:c r="T64" s="32" t="n">
        <x:f>IF(O64="","",(1/'Metadata'!$B$5)^(O64-1))</x:f>
        <x:v>2818.382931264455</x:v>
      </x:c>
      <x:c r="U64" s="31" t="n">
        <x:f>IF(T64="","",I64*T64)</x:f>
        <x:v>18.025030041326307</x:v>
      </x:c>
    </x:row>
    <x:row r="65" ht="18" customHeight="1">
      <x:c r="A65" s="24" t="str">
        <x:v>EEZ_500</x:v>
      </x:c>
      <x:c r="B65" s="24" t="str">
        <x:v>Montserrat (UK)</x:v>
      </x:c>
      <x:c r="C65" s="24" t="str">
        <x:v>EEZ</x:v>
      </x:c>
      <x:c r="D65" s="30" t="n">
        <x:v>2019</x:v>
      </x:c>
      <x:c r="E65" s="24" t="str">
        <x:v>Melichthys niger</x:v>
      </x:c>
      <x:c r="F65" s="24" t="str">
        <x:v>Black triggerfish</x:v>
      </x:c>
      <x:c r="G65" s="24" t="str">
        <x:v>Medium reef assoc. fish (30 - 89 cm)</x:v>
      </x:c>
      <x:c r="H65" s="24" t="str">
        <x:v>Other fishes &amp; inverts</x:v>
      </x:c>
      <x:c r="I65" s="31" t="n">
        <x:v>0.006177665</x:v>
      </x:c>
      <x:c r="J65" s="31" t="n">
        <x:v>0.006177665</x:v>
      </x:c>
      <x:c r="K65" s="31" t="n">
        <x:v>0</x:v>
      </x:c>
      <x:c r="L65" s="31" t="n">
        <x:v>0</x:v>
      </x:c>
      <x:c r="M65" s="31" t="n">
        <x:v>0.006177665</x:v>
      </x:c>
      <x:c r="N65" s="24" t="str">
        <x:v>melichthys niger</x:v>
      </x:c>
      <x:c r="O65" s="32" t="n">
        <x:v>2.39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Melichthys niger</x:v>
      </x:c>
      <x:c r="T65" s="32" t="n">
        <x:f>IF(O65="","",(1/'Metadata'!$B$5)^(O65-1))</x:f>
        <x:v>24.547089156850312</x:v>
      </x:c>
      <x:c r="U65" s="31" t="n">
        <x:f>IF(T65="","",I65*T65)</x:f>
        <x:v>0.15164369353615367</x:v>
      </x:c>
    </x:row>
    <x:row r="66" ht="18" customHeight="1">
      <x:c r="A66" s="24" t="str">
        <x:v>EEZ_500</x:v>
      </x:c>
      <x:c r="B66" s="24" t="str">
        <x:v>Montserrat (UK)</x:v>
      </x:c>
      <x:c r="C66" s="24" t="str">
        <x:v>EEZ</x:v>
      </x:c>
      <x:c r="D66" s="30" t="n">
        <x:v>2019</x:v>
      </x:c>
      <x:c r="E66" s="24" t="str">
        <x:v>Seriola dumerili</x:v>
      </x:c>
      <x:c r="F66" s="24" t="str">
        <x:v>Greater amberjack</x:v>
      </x:c>
      <x:c r="G66" s="24" t="str">
        <x:v>Large reef assoc. fish (&gt;=90 cm)</x:v>
      </x:c>
      <x:c r="H66" s="24" t="str">
        <x:v>Perch-likes</x:v>
      </x:c>
      <x:c r="I66" s="31" t="n">
        <x:v>0.005684067</x:v>
      </x:c>
      <x:c r="J66" s="31" t="n">
        <x:v>0.005684067</x:v>
      </x:c>
      <x:c r="K66" s="31" t="n">
        <x:v>0</x:v>
      </x:c>
      <x:c r="L66" s="31" t="n">
        <x:v>0.004799775</x:v>
      </x:c>
      <x:c r="M66" s="31" t="n">
        <x:v>0.000884292</x:v>
      </x:c>
      <x:c r="N66" s="24" t="str">
        <x:v>seriola dumerili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Seriola dumerili</x:v>
      </x:c>
      <x:c r="T66" s="32" t="n">
        <x:f>IF(O66="","",(1/'Metadata'!$B$5)^(O66-1))</x:f>
        <x:v>3162.2776601683795</x:v>
      </x:c>
      <x:c r="U66" s="31" t="n">
        <x:f>IF(T66="","",I66*T66)</x:f>
        <x:v>17.9745980930003</x:v>
      </x:c>
    </x:row>
    <x:row r="67" ht="18" customHeight="1">
      <x:c r="A67" s="24" t="str">
        <x:v>EEZ_500</x:v>
      </x:c>
      <x:c r="B67" s="24" t="str">
        <x:v>Montserrat (UK)</x:v>
      </x:c>
      <x:c r="C67" s="24" t="str">
        <x:v>EEZ</x:v>
      </x:c>
      <x:c r="D67" s="30" t="n">
        <x:v>2019</x:v>
      </x:c>
      <x:c r="E67" s="24" t="str">
        <x:v>Sciaenidae</x:v>
      </x:c>
      <x:c r="F67" s="24" t="str">
        <x:v>Drums, croakers</x:v>
      </x:c>
      <x:c r="G67" s="24" t="str">
        <x:v>Medium demersals (30 - 89 cm)</x:v>
      </x:c>
      <x:c r="H67" s="24" t="str">
        <x:v>Perch-likes</x:v>
      </x:c>
      <x:c r="I67" s="31" t="n">
        <x:v>0.005585038</x:v>
      </x:c>
      <x:c r="J67" s="31" t="n">
        <x:v>0.005585038</x:v>
      </x:c>
      <x:c r="K67" s="31" t="n">
        <x:v>0</x:v>
      </x:c>
      <x:c r="L67" s="31" t="n">
        <x:v>0.0050998499999999995</x:v>
      </x:c>
      <x:c r="M67" s="31" t="n">
        <x:v>0.000485188</x:v>
      </x:c>
      <x:c r="N67" s="24" t="str">
        <x:v>sciaenidae</x:v>
      </x:c>
      <x:c r="O67" s="32" t="n">
        <x:v>3.76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Sciaenidae</x:v>
      </x:c>
      <x:c r="T67" s="32" t="n">
        <x:f>IF(O67="","",(1/'Metadata'!$B$5)^(O67-1))</x:f>
        <x:v>575.4399373371566</x:v>
      </x:c>
      <x:c r="U67" s="31" t="n">
        <x:f>IF(T67="","",I67*T67)</x:f>
        <x:v>3.2138539167456384</x:v>
      </x:c>
    </x:row>
    <x:row r="68" ht="18" customHeight="1">
      <x:c r="A68" s="24" t="str">
        <x:v>EEZ_500</x:v>
      </x:c>
      <x:c r="B68" s="24" t="str">
        <x:v>Montserrat (UK)</x:v>
      </x:c>
      <x:c r="C68" s="24" t="str">
        <x:v>EEZ</x:v>
      </x:c>
      <x:c r="D68" s="30" t="n">
        <x:v>2019</x:v>
      </x:c>
      <x:c r="E68" s="24" t="str">
        <x:v>Carcharhinus limbatus</x:v>
      </x:c>
      <x:c r="F68" s="24" t="str">
        <x:v>Blacktip shark</x:v>
      </x:c>
      <x:c r="G68" s="24" t="str">
        <x:v>Large sharks (&gt;=90 cm)</x:v>
      </x:c>
      <x:c r="H68" s="24" t="str">
        <x:v>Sharks &amp; rays</x:v>
      </x:c>
      <x:c r="I68" s="31" t="n">
        <x:v>0.00483966</x:v>
      </x:c>
      <x:c r="J68" s="31" t="n">
        <x:v>0.00483966</x:v>
      </x:c>
      <x:c r="K68" s="31" t="n">
        <x:v>0</x:v>
      </x:c>
      <x:c r="L68" s="31" t="n">
        <x:v>0.004102757</x:v>
      </x:c>
      <x:c r="M68" s="31" t="n">
        <x:v>0.000736903</x:v>
      </x:c>
      <x:c r="N68" s="24" t="str">
        <x:v>carcharhinus limbatus</x:v>
      </x:c>
      <x:c r="O68" s="32" t="n">
        <x:v>4.37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Carcharhinus limbatus</x:v>
      </x:c>
      <x:c r="T68" s="32" t="n">
        <x:f>IF(O68="","",(1/'Metadata'!$B$5)^(O68-1))</x:f>
        <x:v>2344.228815319923</x:v>
      </x:c>
      <x:c r="U68" s="31" t="n">
        <x:f>IF(T68="","",I68*T68)</x:f>
        <x:v>11.345270428351219</x:v>
      </x:c>
    </x:row>
    <x:row r="69" ht="18" customHeight="1">
      <x:c r="A69" s="24" t="str">
        <x:v>EEZ_500</x:v>
      </x:c>
      <x:c r="B69" s="24" t="str">
        <x:v>Montserrat (UK)</x:v>
      </x:c>
      <x:c r="C69" s="24" t="str">
        <x:v>EEZ</x:v>
      </x:c>
      <x:c r="D69" s="30" t="n">
        <x:v>2019</x:v>
      </x:c>
      <x:c r="E69" s="24" t="str">
        <x:v>Thunnus obesus</x:v>
      </x:c>
      <x:c r="F69" s="24" t="str">
        <x:v>Bigeye tuna</x:v>
      </x:c>
      <x:c r="G69" s="24" t="str">
        <x:v>Large pelagics (&gt;=90 cm)</x:v>
      </x:c>
      <x:c r="H69" s="24" t="str">
        <x:v>Tuna &amp; billfishes</x:v>
      </x:c>
      <x:c r="I69" s="31" t="n">
        <x:v>0.003664226</x:v>
      </x:c>
      <x:c r="J69" s="31" t="n">
        <x:v>0.003664226</x:v>
      </x:c>
      <x:c r="K69" s="31" t="n">
        <x:v>0</x:v>
      </x:c>
      <x:c r="L69" s="31" t="n">
        <x:v>0.003106303</x:v>
      </x:c>
      <x:c r="M69" s="31" t="n">
        <x:v>0.000557923</x:v>
      </x:c>
      <x:c r="N69" s="24" t="str">
        <x:v>thunnus obesus</x:v>
      </x:c>
      <x:c r="O69" s="32" t="n">
        <x:v>4.49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Thunnus obesus</x:v>
      </x:c>
      <x:c r="T69" s="32" t="n">
        <x:f>IF(O69="","",(1/'Metadata'!$B$5)^(O69-1))</x:f>
        <x:v>3090.295432513592</x:v>
      </x:c>
      <x:c r="U69" s="31" t="n">
        <x:f>IF(T69="","",I69*T69)</x:f>
        <x:v>11.32354087149755</x:v>
      </x:c>
    </x:row>
    <x:row r="70" ht="18" customHeight="1">
      <x:c r="A70" s="24" t="str">
        <x:v>EEZ_500</x:v>
      </x:c>
      <x:c r="B70" s="24" t="str">
        <x:v>Montserrat (UK)</x:v>
      </x:c>
      <x:c r="C70" s="24" t="str">
        <x:v>EEZ</x:v>
      </x:c>
      <x:c r="D70" s="30" t="n">
        <x:v>2019</x:v>
      </x:c>
      <x:c r="E70" s="24" t="str">
        <x:v>Balistes capriscus</x:v>
      </x:c>
      <x:c r="F70" s="24" t="str">
        <x:v>Grey triggerfish</x:v>
      </x:c>
      <x:c r="G70" s="24" t="str">
        <x:v>Medium benthopelagics (30 - 89 cm)</x:v>
      </x:c>
      <x:c r="H70" s="24" t="str">
        <x:v>Other fishes &amp; inverts</x:v>
      </x:c>
      <x:c r="I70" s="31" t="n">
        <x:v>0.003585277</x:v>
      </x:c>
      <x:c r="J70" s="31" t="n">
        <x:v>0.003585277</x:v>
      </x:c>
      <x:c r="K70" s="31" t="n">
        <x:v>0</x:v>
      </x:c>
      <x:c r="L70" s="31" t="n">
        <x:v>0.0030393720000000003</x:v>
      </x:c>
      <x:c r="M70" s="31" t="n">
        <x:v>0.000545905</x:v>
      </x:c>
      <x:c r="N70" s="24" t="str">
        <x:v>balistes capriscus</x:v>
      </x:c>
      <x:c r="O70" s="32" t="n">
        <x:v>4.06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Balistes capriscus</x:v>
      </x:c>
      <x:c r="T70" s="32" t="n">
        <x:f>IF(O70="","",(1/'Metadata'!$B$5)^(O70-1))</x:f>
        <x:v>1148.1536214968817</x:v>
      </x:c>
      <x:c r="U70" s="31" t="n">
        <x:f>IF(T70="","",I70*T70)</x:f>
        <x:v>4.116448771619475</x:v>
      </x:c>
    </x:row>
    <x:row r="71" ht="18" customHeight="1">
      <x:c r="A71" s="24" t="str">
        <x:v>EEZ_500</x:v>
      </x:c>
      <x:c r="B71" s="24" t="str">
        <x:v>Montserrat (UK)</x:v>
      </x:c>
      <x:c r="C71" s="24" t="str">
        <x:v>EEZ</x:v>
      </x:c>
      <x:c r="D71" s="30" t="n">
        <x:v>2019</x:v>
      </x:c>
      <x:c r="E71" s="24" t="str">
        <x:v>Caranx ruber</x:v>
      </x:c>
      <x:c r="F71" s="24" t="str">
        <x:v>Bar jack</x:v>
      </x:c>
      <x:c r="G71" s="24" t="str">
        <x:v>Medium reef assoc. fish (30 - 89 cm)</x:v>
      </x:c>
      <x:c r="H71" s="24" t="str">
        <x:v>Perch-likes</x:v>
      </x:c>
      <x:c r="I71" s="31" t="n">
        <x:v>0.0035086880000000003</x:v>
      </x:c>
      <x:c r="J71" s="31" t="n">
        <x:v>0.0035086880000000003</x:v>
      </x:c>
      <x:c r="K71" s="31" t="n">
        <x:v>0</x:v>
      </x:c>
      <x:c r="L71" s="31" t="n">
        <x:v>0.002974449</x:v>
      </x:c>
      <x:c r="M71" s="31" t="n">
        <x:v>0.000534239</x:v>
      </x:c>
      <x:c r="N71" s="24" t="str">
        <x:v>caranx ruber</x:v>
      </x:c>
      <x:c r="O71" s="32" t="n">
        <x:v>4.28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Caranx ruber</x:v>
      </x:c>
      <x:c r="T71" s="32" t="n">
        <x:f>IF(O71="","",(1/'Metadata'!$B$5)^(O71-1))</x:f>
        <x:v>1905.4607179632483</x:v>
      </x:c>
      <x:c r="U71" s="31" t="n">
        <x:f>IF(T71="","",I71*T71)</x:f>
        <x:v>6.685667155589035</x:v>
      </x:c>
    </x:row>
    <x:row r="72" ht="18" customHeight="1">
      <x:c r="A72" s="24" t="str">
        <x:v>EEZ_500</x:v>
      </x:c>
      <x:c r="B72" s="24" t="str">
        <x:v>Montserrat (UK)</x:v>
      </x:c>
      <x:c r="C72" s="24" t="str">
        <x:v>EEZ</x:v>
      </x:c>
      <x:c r="D72" s="30" t="n">
        <x:v>2019</x:v>
      </x:c>
      <x:c r="E72" s="24" t="str">
        <x:v>Tylosurus crocodilus</x:v>
      </x:c>
      <x:c r="F72" s="24" t="str">
        <x:v>Hound needlefish</x:v>
      </x:c>
      <x:c r="G72" s="24" t="str">
        <x:v>Large pelagics (&gt;=90 cm)</x:v>
      </x:c>
      <x:c r="H72" s="24" t="str">
        <x:v>Other fishes &amp; inverts</x:v>
      </x:c>
      <x:c r="I72" s="31" t="n">
        <x:v>0.002661721</x:v>
      </x:c>
      <x:c r="J72" s="31" t="n">
        <x:v>0.002661721</x:v>
      </x:c>
      <x:c r="K72" s="31" t="n">
        <x:v>0</x:v>
      </x:c>
      <x:c r="L72" s="31" t="n">
        <x:v>0.002256432</x:v>
      </x:c>
      <x:c r="M72" s="31" t="n">
        <x:v>0.000405289</x:v>
      </x:c>
      <x:c r="N72" s="24" t="str">
        <x:v>tylosurus crocodilus</x:v>
      </x:c>
      <x:c r="O72" s="32" t="n">
        <x:v>4.43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Tylosurus crocodilus</x:v>
      </x:c>
      <x:c r="T72" s="32" t="n">
        <x:f>IF(O72="","",(1/'Metadata'!$B$5)^(O72-1))</x:f>
        <x:v>2691.534803926914</x:v>
      </x:c>
      <x:c r="U72" s="31" t="n">
        <x:f>IF(T72="","",I72*T72)</x:f>
        <x:v>7.164114709843149</x:v>
      </x:c>
    </x:row>
    <x:row r="73" ht="18" customHeight="1">
      <x:c r="A73" s="24" t="str">
        <x:v>EEZ_500</x:v>
      </x:c>
      <x:c r="B73" s="24" t="str">
        <x:v>Montserrat (UK)</x:v>
      </x:c>
      <x:c r="C73" s="24" t="str">
        <x:v>EEZ</x:v>
      </x:c>
      <x:c r="D73" s="30" t="n">
        <x:v>2019</x:v>
      </x:c>
      <x:c r="E73" s="24" t="str">
        <x:v>Rhomboplites aurorubens</x:v>
      </x:c>
      <x:c r="F73" s="24" t="str">
        <x:v>Vermilion snapper</x:v>
      </x:c>
      <x:c r="G73" s="24" t="str">
        <x:v>Medium demersals (30 - 89 cm)</x:v>
      </x:c>
      <x:c r="H73" s="24" t="str">
        <x:v>Perch-likes</x:v>
      </x:c>
      <x:c r="I73" s="31" t="n">
        <x:v>0.002489592</x:v>
      </x:c>
      <x:c r="J73" s="31" t="n">
        <x:v>0.002489592</x:v>
      </x:c>
      <x:c r="K73" s="31" t="n">
        <x:v>0</x:v>
      </x:c>
      <x:c r="L73" s="31" t="n">
        <x:v>0.002110522</x:v>
      </x:c>
      <x:c r="M73" s="31" t="n">
        <x:v>0.00037907</x:v>
      </x:c>
      <x:c r="N73" s="24" t="str">
        <x:v>rhomboplites aurorubens</x:v>
      </x:c>
      <x:c r="O73" s="32" t="n">
        <x:v>4.36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Rhomboplites aurorubens</x:v>
      </x:c>
      <x:c r="T73" s="32" t="n">
        <x:f>IF(O73="","",(1/'Metadata'!$B$5)^(O73-1))</x:f>
        <x:v>2290.867652767775</x:v>
      </x:c>
      <x:c r="U73" s="31" t="n">
        <x:f>IF(T73="","",I73*T73)</x:f>
        <x:v>5.70332578138943</x:v>
      </x:c>
    </x:row>
    <x:row r="74" ht="18" customHeight="1">
      <x:c r="A74" s="24" t="str">
        <x:v>EEZ_500</x:v>
      </x:c>
      <x:c r="B74" s="24" t="str">
        <x:v>Montserrat (UK)</x:v>
      </x:c>
      <x:c r="C74" s="24" t="str">
        <x:v>EEZ</x:v>
      </x:c>
      <x:c r="D74" s="30" t="n">
        <x:v>2019</x:v>
      </x:c>
      <x:c r="E74" s="24" t="str">
        <x:v>Megalops atlanticus</x:v>
      </x:c>
      <x:c r="F74" s="24" t="str">
        <x:v>Tarpon</x:v>
      </x:c>
      <x:c r="G74" s="24" t="str">
        <x:v>Large pelagics (&gt;=90 cm)</x:v>
      </x:c>
      <x:c r="H74" s="24" t="str">
        <x:v>Other fishes &amp; inverts</x:v>
      </x:c>
      <x:c r="I74" s="31" t="n">
        <x:v>0.00236713</x:v>
      </x:c>
      <x:c r="J74" s="31" t="n">
        <x:v>0.00236713</x:v>
      </x:c>
      <x:c r="K74" s="31" t="n">
        <x:v>0</x:v>
      </x:c>
      <x:c r="L74" s="31" t="n">
        <x:v>0.002006707</x:v>
      </x:c>
      <x:c r="M74" s="31" t="n">
        <x:v>0.000360423</x:v>
      </x:c>
      <x:c r="N74" s="24" t="str">
        <x:v>megalops atlanticus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Megalops atlanticus</x:v>
      </x:c>
      <x:c r="T74" s="32" t="n">
        <x:f>IF(O74="","",(1/'Metadata'!$B$5)^(O74-1))</x:f>
        <x:v>3162.2776601683795</x:v>
      </x:c>
      <x:c r="U74" s="31" t="n">
        <x:f>IF(T74="","",I74*T74)</x:f>
        <x:v>7.485522317714375</x:v>
      </x:c>
    </x:row>
    <x:row r="75" ht="18" customHeight="1">
      <x:c r="A75" s="24" t="str">
        <x:v>EEZ_500</x:v>
      </x:c>
      <x:c r="B75" s="24" t="str">
        <x:v>Montserrat (UK)</x:v>
      </x:c>
      <x:c r="C75" s="24" t="str">
        <x:v>EEZ</x:v>
      </x:c>
      <x:c r="D75" s="30" t="n">
        <x:v>2019</x:v>
      </x:c>
      <x:c r="E75" s="24" t="str">
        <x:v>Portunidae</x:v>
      </x:c>
      <x:c r="F75" s="24" t="str">
        <x:v>Swimming crabs</x:v>
      </x:c>
      <x:c r="G75" s="24" t="str">
        <x:v>Lobsters, crabs</x:v>
      </x:c>
      <x:c r="H75" s="24" t="str">
        <x:v>Crustaceans</x:v>
      </x:c>
      <x:c r="I75" s="31" t="n">
        <x:v>0.002071665</x:v>
      </x:c>
      <x:c r="J75" s="31" t="n">
        <x:v>0.002071665</x:v>
      </x:c>
      <x:c r="K75" s="31" t="n">
        <x:v>0</x:v>
      </x:c>
      <x:c r="L75" s="31" t="n">
        <x:v>0.001756229</x:v>
      </x:c>
      <x:c r="M75" s="31" t="n">
        <x:v>0.000315436</x:v>
      </x:c>
      <x:c r="N75" s="24" t="str">
        <x:v>portunidae</x:v>
      </x:c>
      <x:c r="O75" s="32" t="n">
        <x:v>3.56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Portunidae</x:v>
      </x:c>
      <x:c r="T75" s="32" t="n">
        <x:f>IF(O75="","",(1/'Metadata'!$B$5)^(O75-1))</x:f>
        <x:v>363.0780547701014</x:v>
      </x:c>
      <x:c r="U75" s="31" t="n">
        <x:f>IF(T75="","",I75*T75)</x:f>
        <x:v>0.7521760983353021</x:v>
      </x:c>
    </x:row>
    <x:row r="76" ht="18" customHeight="1">
      <x:c r="A76" s="24" t="str">
        <x:v>EEZ_500</x:v>
      </x:c>
      <x:c r="B76" s="24" t="str">
        <x:v>Montserrat (UK)</x:v>
      </x:c>
      <x:c r="C76" s="24" t="str">
        <x:v>EEZ</x:v>
      </x:c>
      <x:c r="D76" s="30" t="n">
        <x:v>2019</x:v>
      </x:c>
      <x:c r="E76" s="24" t="str">
        <x:v>Epinephelus morio</x:v>
      </x:c>
      <x:c r="F76" s="24" t="str">
        <x:v>Red grouper</x:v>
      </x:c>
      <x:c r="G76" s="24" t="str">
        <x:v>Large reef assoc. fish (&gt;=90 cm)</x:v>
      </x:c>
      <x:c r="H76" s="24" t="str">
        <x:v>Perch-likes</x:v>
      </x:c>
      <x:c r="I76" s="31" t="n">
        <x:v>0.0020568360000000003</x:v>
      </x:c>
      <x:c r="J76" s="31" t="n">
        <x:v>0.0020568360000000003</x:v>
      </x:c>
      <x:c r="K76" s="31" t="n">
        <x:v>0</x:v>
      </x:c>
      <x:c r="L76" s="31" t="n">
        <x:v>0.0017436600000000002</x:v>
      </x:c>
      <x:c r="M76" s="31" t="n">
        <x:v>0.000313176</x:v>
      </x:c>
      <x:c r="N76" s="24" t="str">
        <x:v>epinephelus morio</x:v>
      </x:c>
      <x:c r="O76" s="32" t="n">
        <x:v>3.5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Epinephelus morio</x:v>
      </x:c>
      <x:c r="T76" s="32" t="n">
        <x:f>IF(O76="","",(1/'Metadata'!$B$5)^(O76-1))</x:f>
        <x:v>316.22776601683796</x:v>
      </x:c>
      <x:c r="U76" s="31" t="n">
        <x:f>IF(T76="","",I76*T76)</x:f>
        <x:v>0.650428653343009</x:v>
      </x:c>
    </x:row>
    <x:row r="77" ht="18" customHeight="1">
      <x:c r="A77" s="24" t="str">
        <x:v>EEZ_500</x:v>
      </x:c>
      <x:c r="B77" s="24" t="str">
        <x:v>Montserrat (UK)</x:v>
      </x:c>
      <x:c r="C77" s="24" t="str">
        <x:v>EEZ</x:v>
      </x:c>
      <x:c r="D77" s="30" t="n">
        <x:v>2019</x:v>
      </x:c>
      <x:c r="E77" s="24" t="str">
        <x:v>Scyllaridae</x:v>
      </x:c>
      <x:c r="F77" s="24" t="str">
        <x:v>Slipper lobsters</x:v>
      </x:c>
      <x:c r="G77" s="24" t="str">
        <x:v>Lobsters, crabs</x:v>
      </x:c>
      <x:c r="H77" s="24" t="str">
        <x:v>Crustaceans</x:v>
      </x:c>
      <x:c r="I77" s="31" t="n">
        <x:v>0.0016732020000000002</x:v>
      </x:c>
      <x:c r="J77" s="31" t="n">
        <x:v>0.0016732020000000002</x:v>
      </x:c>
      <x:c r="K77" s="31" t="n">
        <x:v>0</x:v>
      </x:c>
      <x:c r="L77" s="31" t="n">
        <x:v>0.001273066</x:v>
      </x:c>
      <x:c r="M77" s="31" t="n">
        <x:v>0.000400136</x:v>
      </x:c>
      <x:c r="N77" s="24" t="str">
        <x:v>scyllaridae</x:v>
      </x:c>
      <x:c r="O77" s="32" t="n">
        <x:v>2.87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Scyllaridae</x:v>
      </x:c>
      <x:c r="T77" s="32" t="n">
        <x:f>IF(O77="","",(1/'Metadata'!$B$5)^(O77-1))</x:f>
        <x:v>74.13102413009177</x:v>
      </x:c>
      <x:c r="U77" s="31" t="n">
        <x:f>IF(T77="","",I77*T77)</x:f>
        <x:v>0.12403617783651782</x:v>
      </x:c>
    </x:row>
    <x:row r="78" ht="18" customHeight="1">
      <x:c r="A78" s="24" t="str">
        <x:v>EEZ_500</x:v>
      </x:c>
      <x:c r="B78" s="24" t="str">
        <x:v>Montserrat (UK)</x:v>
      </x:c>
      <x:c r="C78" s="24" t="str">
        <x:v>EEZ</x:v>
      </x:c>
      <x:c r="D78" s="30" t="n">
        <x:v>2019</x:v>
      </x:c>
      <x:c r="E78" s="24" t="str">
        <x:v>Pomacentridae</x:v>
      </x:c>
      <x:c r="F78" s="24" t="str">
        <x:v>Damselfishes</x:v>
      </x:c>
      <x:c r="G78" s="24" t="str">
        <x:v>Small reef assoc. fish (&lt;30 cm)</x:v>
      </x:c>
      <x:c r="H78" s="24" t="str">
        <x:v>Perch-likes</x:v>
      </x:c>
      <x:c r="I78" s="31" t="n">
        <x:v>0.001572973</x:v>
      </x:c>
      <x:c r="J78" s="31" t="n">
        <x:v>0.001572973</x:v>
      </x:c>
      <x:c r="K78" s="31" t="n">
        <x:v>0</x:v>
      </x:c>
      <x:c r="L78" s="31" t="n">
        <x:v>0.0013334710000000001</x:v>
      </x:c>
      <x:c r="M78" s="31" t="n">
        <x:v>0.000239502</x:v>
      </x:c>
      <x:c r="N78" s="24" t="str">
        <x:v>pomacentridae</x:v>
      </x:c>
      <x:c r="O78" s="32" t="n">
        <x:v>2.57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Pomacentridae</x:v>
      </x:c>
      <x:c r="T78" s="32" t="n">
        <x:f>IF(O78="","",(1/'Metadata'!$B$5)^(O78-1))</x:f>
        <x:v>37.15352290971724</x:v>
      </x:c>
      <x:c r="U78" s="31" t="n">
        <x:f>IF(T78="","",I78*T78)</x:f>
        <x:v>0.05844148839186666</x:v>
      </x:c>
    </x:row>
    <x:row r="79" ht="18" customHeight="1">
      <x:c r="A79" s="24" t="str">
        <x:v>EEZ_500</x:v>
      </x:c>
      <x:c r="B79" s="24" t="str">
        <x:v>Montserrat (UK)</x:v>
      </x:c>
      <x:c r="C79" s="24" t="str">
        <x:v>EEZ</x:v>
      </x:c>
      <x:c r="D79" s="30" t="n">
        <x:v>2019</x:v>
      </x:c>
      <x:c r="E79" s="24" t="str">
        <x:v>Lutjanus</x:v>
      </x:c>
      <x:c r="F79" s="24" t="str">
        <x:v>Snappers</x:v>
      </x:c>
      <x:c r="G79" s="24" t="str">
        <x:v>Medium reef assoc. fish (30 - 89 cm)</x:v>
      </x:c>
      <x:c r="H79" s="24" t="str">
        <x:v>Perch-likes</x:v>
      </x:c>
      <x:c r="I79" s="31" t="n">
        <x:v>0.001451852</x:v>
      </x:c>
      <x:c r="J79" s="31" t="n">
        <x:v>0.001451852</x:v>
      </x:c>
      <x:c r="K79" s="31" t="n">
        <x:v>0</x:v>
      </x:c>
      <x:c r="L79" s="31" t="n">
        <x:v>0.001230789</x:v>
      </x:c>
      <x:c r="M79" s="31" t="n">
        <x:v>0.000221063</x:v>
      </x:c>
      <x:c r="N79" s="24" t="str">
        <x:v>lutjanus</x:v>
      </x:c>
      <x:c r="O79" s="32" t="n">
        <x:v>4.02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Lutjanus</x:v>
      </x:c>
      <x:c r="T79" s="32" t="n">
        <x:f>IF(O79="","",(1/'Metadata'!$B$5)^(O79-1))</x:f>
        <x:v>1047.1285480508984</x:v>
      </x:c>
      <x:c r="U79" s="31" t="n">
        <x:f>IF(T79="","",I79*T79)</x:f>
        <x:v>1.520275676744793</x:v>
      </x:c>
    </x:row>
    <x:row r="80" ht="18" customHeight="1">
      <x:c r="A80" s="24" t="str">
        <x:v>EEZ_500</x:v>
      </x:c>
      <x:c r="B80" s="24" t="str">
        <x:v>Montserrat (UK)</x:v>
      </x:c>
      <x:c r="C80" s="24" t="str">
        <x:v>EEZ</x:v>
      </x:c>
      <x:c r="D80" s="30" t="n">
        <x:v>2019</x:v>
      </x:c>
      <x:c r="E80" s="24" t="str">
        <x:v>Decapterus punctatus</x:v>
      </x:c>
      <x:c r="F80" s="24" t="str">
        <x:v>Round scad</x:v>
      </x:c>
      <x:c r="G80" s="24" t="str">
        <x:v>Medium benthopelagics (30 - 89 cm)</x:v>
      </x:c>
      <x:c r="H80" s="24" t="str">
        <x:v>Perch-likes</x:v>
      </x:c>
      <x:c r="I80" s="31" t="n">
        <x:v>0.001451852</x:v>
      </x:c>
      <x:c r="J80" s="31" t="n">
        <x:v>0.001451852</x:v>
      </x:c>
      <x:c r="K80" s="31" t="n">
        <x:v>0</x:v>
      </x:c>
      <x:c r="L80" s="31" t="n">
        <x:v>0.001230789</x:v>
      </x:c>
      <x:c r="M80" s="31" t="n">
        <x:v>0.000221063</x:v>
      </x:c>
      <x:c r="N80" s="24" t="str">
        <x:v>decapterus punctatus</x:v>
      </x:c>
      <x:c r="O80" s="32" t="n">
        <x:v>4.43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Decapterus punctatus</x:v>
      </x:c>
      <x:c r="T80" s="32" t="n">
        <x:f>IF(O80="","",(1/'Metadata'!$B$5)^(O80-1))</x:f>
        <x:v>2691.534803926914</x:v>
      </x:c>
      <x:c r="U80" s="31" t="n">
        <x:f>IF(T80="","",I80*T80)</x:f>
        <x:v>3.9077101881508978</x:v>
      </x:c>
    </x:row>
    <x:row r="81" ht="18" customHeight="1">
      <x:c r="A81" s="24" t="str">
        <x:v>EEZ_500</x:v>
      </x:c>
      <x:c r="B81" s="24" t="str">
        <x:v>Montserrat (UK)</x:v>
      </x:c>
      <x:c r="C81" s="24" t="str">
        <x:v>EEZ</x:v>
      </x:c>
      <x:c r="D81" s="30" t="n">
        <x:v>2019</x:v>
      </x:c>
      <x:c r="E81" s="24" t="str">
        <x:v>Epinephelus striatus</x:v>
      </x:c>
      <x:c r="F81" s="24" t="str">
        <x:v>Nassau grouper</x:v>
      </x:c>
      <x:c r="G81" s="24" t="str">
        <x:v>Large reef assoc. fish (&gt;=90 cm)</x:v>
      </x:c>
      <x:c r="H81" s="24" t="str">
        <x:v>Perch-likes</x:v>
      </x:c>
      <x:c r="I81" s="31" t="n">
        <x:v>0.001434168</x:v>
      </x:c>
      <x:c r="J81" s="31" t="n">
        <x:v>0.001434168</x:v>
      </x:c>
      <x:c r="K81" s="31" t="n">
        <x:v>0</x:v>
      </x:c>
      <x:c r="L81" s="31" t="n">
        <x:v>0.0012157939999999999</x:v>
      </x:c>
      <x:c r="M81" s="31" t="n">
        <x:v>0.000218374</x:v>
      </x:c>
      <x:c r="N81" s="24" t="str">
        <x:v>epinephelus striatus</x:v>
      </x:c>
      <x:c r="O81" s="32" t="n">
        <x:v>4.06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Epinephelus striatus</x:v>
      </x:c>
      <x:c r="T81" s="32" t="n">
        <x:f>IF(O81="","",(1/'Metadata'!$B$5)^(O81-1))</x:f>
        <x:v>1148.1536214968817</x:v>
      </x:c>
      <x:c r="U81" s="31" t="n">
        <x:f>IF(T81="","",I81*T81)</x:f>
        <x:v>1.6466451830349398</x:v>
      </x:c>
    </x:row>
    <x:row r="82" ht="18" customHeight="1">
      <x:c r="A82" s="24" t="str">
        <x:v>EEZ_500</x:v>
      </x:c>
      <x:c r="B82" s="24" t="str">
        <x:v>Montserrat (UK)</x:v>
      </x:c>
      <x:c r="C82" s="24" t="str">
        <x:v>EEZ</x:v>
      </x:c>
      <x:c r="D82" s="30" t="n">
        <x:v>2019</x:v>
      </x:c>
      <x:c r="E82" s="24" t="str">
        <x:v>Calamus</x:v>
      </x:c>
      <x:c r="F82" s="24" t="str">
        <x:v>Porgies</x:v>
      </x:c>
      <x:c r="G82" s="24" t="str">
        <x:v>Medium reef assoc. fish (30 - 89 cm)</x:v>
      </x:c>
      <x:c r="H82" s="24" t="str">
        <x:v>Perch-likes</x:v>
      </x:c>
      <x:c r="I82" s="31" t="n">
        <x:v>0.0013980560000000002</x:v>
      </x:c>
      <x:c r="J82" s="31" t="n">
        <x:v>0.0013980560000000002</x:v>
      </x:c>
      <x:c r="K82" s="31" t="n">
        <x:v>0</x:v>
      </x:c>
      <x:c r="L82" s="31" t="n">
        <x:v>0.00106371</x:v>
      </x:c>
      <x:c r="M82" s="31" t="n">
        <x:v>0.000334346</x:v>
      </x:c>
      <x:c r="N82" s="24" t="str">
        <x:v>calamus</x:v>
      </x:c>
      <x:c r="O82" s="32" t="n">
        <x:v>3.51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Calamus</x:v>
      </x:c>
      <x:c r="T82" s="32" t="n">
        <x:f>IF(O82="","",(1/'Metadata'!$B$5)^(O82-1))</x:f>
        <x:v>323.5936569296281</x:v>
      </x:c>
      <x:c r="U82" s="31" t="n">
        <x:f>IF(T82="","",I82*T82)</x:f>
        <x:v>0.45240205363240815</x:v>
      </x:c>
    </x:row>
    <x:row r="83" ht="18" customHeight="1">
      <x:c r="A83" s="24" t="str">
        <x:v>EEZ_500</x:v>
      </x:c>
      <x:c r="B83" s="24" t="str">
        <x:v>Montserrat (UK)</x:v>
      </x:c>
      <x:c r="C83" s="24" t="str">
        <x:v>EEZ</x:v>
      </x:c>
      <x:c r="D83" s="30" t="n">
        <x:v>2019</x:v>
      </x:c>
      <x:c r="E83" s="24" t="str">
        <x:v>Calamus bajonado</x:v>
      </x:c>
      <x:c r="F83" s="24" t="str">
        <x:v>Jolthead porgy</x:v>
      </x:c>
      <x:c r="G83" s="24" t="str">
        <x:v>Medium reef assoc. fish (30 - 89 cm)</x:v>
      </x:c>
      <x:c r="H83" s="24" t="str">
        <x:v>Perch-likes</x:v>
      </x:c>
      <x:c r="I83" s="31" t="n">
        <x:v>0.001079944</x:v>
      </x:c>
      <x:c r="J83" s="31" t="n">
        <x:v>0.001079944</x:v>
      </x:c>
      <x:c r="K83" s="31" t="n">
        <x:v>0</x:v>
      </x:c>
      <x:c r="L83" s="31" t="n">
        <x:v>0.000915511</x:v>
      </x:c>
      <x:c r="M83" s="31" t="n">
        <x:v>0.000164433</x:v>
      </x:c>
      <x:c r="N83" s="24" t="str">
        <x:v>calamus bajonado</x:v>
      </x:c>
      <x:c r="O83" s="32" t="n">
        <x:v>3.5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Calamus bajonado</x:v>
      </x:c>
      <x:c r="T83" s="32" t="n">
        <x:f>IF(O83="","",(1/'Metadata'!$B$5)^(O83-1))</x:f>
        <x:v>316.22776601683796</x:v>
      </x:c>
      <x:c r="U83" s="31" t="n">
        <x:f>IF(T83="","",I83*T83)</x:f>
        <x:v>0.3415082785432881</x:v>
      </x:c>
    </x:row>
    <x:row r="84" ht="18" customHeight="1">
      <x:c r="A84" s="24" t="str">
        <x:v>EEZ_500</x:v>
      </x:c>
      <x:c r="B84" s="24" t="str">
        <x:v>Montserrat (UK)</x:v>
      </x:c>
      <x:c r="C84" s="24" t="str">
        <x:v>EEZ</x:v>
      </x:c>
      <x:c r="D84" s="30" t="n">
        <x:v>2019</x:v>
      </x:c>
      <x:c r="E84" s="24" t="str">
        <x:v>Lachnolaimus maximus</x:v>
      </x:c>
      <x:c r="F84" s="24" t="str">
        <x:v>Hogfish</x:v>
      </x:c>
      <x:c r="G84" s="24" t="str">
        <x:v>Medium reef assoc. fish (30 - 89 cm)</x:v>
      </x:c>
      <x:c r="H84" s="24" t="str">
        <x:v>Perch-likes</x:v>
      </x:c>
      <x:c r="I84" s="31" t="n">
        <x:v>0.000967988</x:v>
      </x:c>
      <x:c r="J84" s="31" t="n">
        <x:v>0.000967988</x:v>
      </x:c>
      <x:c r="K84" s="31" t="n">
        <x:v>0</x:v>
      </x:c>
      <x:c r="L84" s="31" t="n">
        <x:v>0.000820599</x:v>
      </x:c>
      <x:c r="M84" s="31" t="n">
        <x:v>0.000147389</x:v>
      </x:c>
      <x:c r="N84" s="24" t="str">
        <x:v>lachnolaimus maximus</x:v>
      </x:c>
      <x:c r="O84" s="32" t="n">
        <x:v>4.17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Lachnolaimus maximus</x:v>
      </x:c>
      <x:c r="T84" s="32" t="n">
        <x:f>IF(O84="","",(1/'Metadata'!$B$5)^(O84-1))</x:f>
        <x:v>1479.1083881682073</x:v>
      </x:c>
      <x:c r="U84" s="31" t="n">
        <x:f>IF(T84="","",I84*T84)</x:f>
        <x:v>1.4317591704461667</x:v>
      </x:c>
    </x:row>
    <x:row r="85" ht="18" customHeight="1">
      <x:c r="A85" s="24" t="str">
        <x:v>EEZ_500</x:v>
      </x:c>
      <x:c r="B85" s="24" t="str">
        <x:v>Montserrat (UK)</x:v>
      </x:c>
      <x:c r="C85" s="24" t="str">
        <x:v>EEZ</x:v>
      </x:c>
      <x:c r="D85" s="30" t="n">
        <x:v>2019</x:v>
      </x:c>
      <x:c r="E85" s="24" t="str">
        <x:v>Chaetodontidae</x:v>
      </x:c>
      <x:c r="F85" s="24" t="str">
        <x:v>Butterflyfishes</x:v>
      </x:c>
      <x:c r="G85" s="24" t="str">
        <x:v>Small reef assoc. fish (&lt;30 cm)</x:v>
      </x:c>
      <x:c r="H85" s="24" t="str">
        <x:v>Perch-likes</x:v>
      </x:c>
      <x:c r="I85" s="31" t="n">
        <x:v>0.000800101</x:v>
      </x:c>
      <x:c r="J85" s="31" t="n">
        <x:v>0.000800101</x:v>
      </x:c>
      <x:c r="K85" s="31" t="n">
        <x:v>0</x:v>
      </x:c>
      <x:c r="L85" s="31" t="n">
        <x:v>0.000800101</x:v>
      </x:c>
      <x:c r="M85" s="31" t="n">
        <x:v>0</x:v>
      </x:c>
      <x:c r="N85" s="24" t="str">
        <x:v>chaetodontidae</x:v>
      </x:c>
      <x:c r="O85" s="32" t="n">
        <x:v>3.24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Chaetodontidae</x:v>
      </x:c>
      <x:c r="T85" s="32" t="n">
        <x:f>IF(O85="","",(1/'Metadata'!$B$5)^(O85-1))</x:f>
        <x:v>173.78008287493762</x:v>
      </x:c>
      <x:c r="U85" s="31" t="n">
        <x:f>IF(T85="","",I85*T85)</x:f>
        <x:v>0.13904161808832047</x:v>
      </x:c>
    </x:row>
    <x:row r="86" ht="18" customHeight="1">
      <x:c r="A86" s="24" t="str">
        <x:v>EEZ_500</x:v>
      </x:c>
      <x:c r="B86" s="24" t="str">
        <x:v>Montserrat (UK)</x:v>
      </x:c>
      <x:c r="C86" s="24" t="str">
        <x:v>EEZ</x:v>
      </x:c>
      <x:c r="D86" s="30" t="n">
        <x:v>2019</x:v>
      </x:c>
      <x:c r="E86" s="24" t="str">
        <x:v>Elagatis bipinnulata</x:v>
      </x:c>
      <x:c r="F86" s="24" t="str">
        <x:v>Rainbow runner</x:v>
      </x:c>
      <x:c r="G86" s="24" t="str">
        <x:v>Large pelagics (&gt;=90 cm)</x:v>
      </x:c>
      <x:c r="H86" s="24" t="str">
        <x:v>Perch-likes</x:v>
      </x:c>
      <x:c r="I86" s="31" t="n">
        <x:v>0.0007260060000000001</x:v>
      </x:c>
      <x:c r="J86" s="31" t="n">
        <x:v>0.0007260060000000001</x:v>
      </x:c>
      <x:c r="K86" s="31" t="n">
        <x:v>0</x:v>
      </x:c>
      <x:c r="L86" s="31" t="n">
        <x:v>0.0006154540000000001</x:v>
      </x:c>
      <x:c r="M86" s="31" t="n">
        <x:v>0.000110552</x:v>
      </x:c>
      <x:c r="N86" s="24" t="str">
        <x:v>elagatis bipinnulata</x:v>
      </x:c>
      <x:c r="O86" s="32" t="n">
        <x:v>4.27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Elagatis bipinnulata</x:v>
      </x:c>
      <x:c r="T86" s="32" t="n">
        <x:f>IF(O86="","",(1/'Metadata'!$B$5)^(O86-1))</x:f>
        <x:v>1862.0871366628655</x:v>
      </x:c>
      <x:c r="U86" s="31" t="n">
        <x:f>IF(T86="","",I86*T86)</x:f>
        <x:v>1.3518864337400605</x:v>
      </x:c>
    </x:row>
    <x:row r="87" ht="18" customHeight="1">
      <x:c r="A87" s="24" t="str">
        <x:v>EEZ_500</x:v>
      </x:c>
      <x:c r="B87" s="24" t="str">
        <x:v>Montserrat (UK)</x:v>
      </x:c>
      <x:c r="C87" s="24" t="str">
        <x:v>EEZ</x:v>
      </x:c>
      <x:c r="D87" s="30" t="n">
        <x:v>2019</x:v>
      </x:c>
      <x:c r="E87" s="24" t="str">
        <x:v>Mycteroperca</x:v>
      </x:c>
      <x:c r="F87" s="24" t="str">
        <x:v>Scamps, gags</x:v>
      </x:c>
      <x:c r="G87" s="24" t="str">
        <x:v>Medium reef assoc. fish (30 - 89 cm)</x:v>
      </x:c>
      <x:c r="H87" s="24" t="str">
        <x:v>Perch-likes</x:v>
      </x:c>
      <x:c r="I87" s="31" t="n">
        <x:v>0.000358472</x:v>
      </x:c>
      <x:c r="J87" s="31" t="n">
        <x:v>0.000358472</x:v>
      </x:c>
      <x:c r="K87" s="31" t="n">
        <x:v>0</x:v>
      </x:c>
      <x:c r="L87" s="31" t="n">
        <x:v>0.000303872</x:v>
      </x:c>
      <x:c r="M87" s="31" t="n">
        <x:v>0.0000546</x:v>
      </x:c>
      <x:c r="N87" s="24" t="str">
        <x:v>mycteroperca</x:v>
      </x:c>
      <x:c r="O87" s="32" t="n">
        <x:v>4.35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Mycteroperca</x:v>
      </x:c>
      <x:c r="T87" s="32" t="n">
        <x:f>IF(O87="","",(1/'Metadata'!$B$5)^(O87-1))</x:f>
        <x:v>2238.7211385683377</x:v>
      </x:c>
      <x:c r="U87" s="31" t="n">
        <x:f>IF(T87="","",I87*T87)</x:f>
        <x:v>0.8025188439848691</x:v>
      </x:c>
    </x:row>
    <x:row r="88" ht="18" customHeight="1">
      <x:c r="A88" s="24" t="str">
        <x:v>EEZ_500</x:v>
      </x:c>
      <x:c r="B88" s="24" t="str">
        <x:v>Montserrat (UK)</x:v>
      </x:c>
      <x:c r="C88" s="24" t="str">
        <x:v>EEZ</x:v>
      </x:c>
      <x:c r="D88" s="30" t="n">
        <x:v>2019</x:v>
      </x:c>
      <x:c r="E88" s="24" t="str">
        <x:v>Panulirus</x:v>
      </x:c>
      <x:c r="F88" s="24" t="str">
        <x:v>Spiny lobsters</x:v>
      </x:c>
      <x:c r="G88" s="24" t="str">
        <x:v>Lobsters, crabs</x:v>
      </x:c>
      <x:c r="H88" s="24" t="str">
        <x:v>Crustaceans</x:v>
      </x:c>
      <x:c r="I88" s="31" t="n">
        <x:v>0.000121063</x:v>
      </x:c>
      <x:c r="J88" s="31" t="n">
        <x:v>0.000121063</x:v>
      </x:c>
      <x:c r="K88" s="31" t="n">
        <x:v>0</x:v>
      </x:c>
      <x:c r="L88" s="31" t="n">
        <x:v>0.000102663</x:v>
      </x:c>
      <x:c r="M88" s="31" t="n">
        <x:v>0.0000184</x:v>
      </x:c>
      <x:c r="N88" s="24" t="str">
        <x:v>panulirus</x:v>
      </x:c>
      <x:c r="O88" s="32" t="n">
        <x:v>2.6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Panulirus</x:v>
      </x:c>
      <x:c r="T88" s="32" t="n">
        <x:f>IF(O88="","",(1/'Metadata'!$B$5)^(O88-1))</x:f>
        <x:v>39.810717055349734</x:v>
      </x:c>
      <x:c r="U88" s="31" t="n">
        <x:f>IF(T88="","",I88*T88)</x:f>
        <x:v>0.004819604838871805</x:v>
      </x:c>
    </x:row>
  </x:sheetData>
  <x:conditionalFormatting sqref="R2:R8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e385eeb482144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4</x:v>
      </x:c>
      <x:c r="C2" s="33" t="n">
        <x:v>4</x:v>
      </x:c>
      <x:c r="D2" s="31" t="n">
        <x:v>0.33088837899999995</x:v>
      </x:c>
      <x:c r="E2" s="31" t="n">
        <x:v>0.33088837899999995</x:v>
      </x:c>
      <x:c r="F2" s="32" t="n">
        <x:v>0</x:v>
      </x:c>
      <x:c r="G2" s="34" t="n">
        <x:v>1</x:v>
      </x:c>
      <x:c r="H2" s="32" t="n">
        <x:f>IF(E2=0,"",I2/E2)</x:f>
        <x:v>159.30023701804558</x:v>
      </x:c>
      <x:c r="I2" s="31" t="n">
        <x:f>IF(C2=0,"",SUMIF('Species'!$H$2:$H$88,A2,'Species'!$U$2:$U$88))</x:f>
        <x:v>52.710597201216885</x:v>
      </x:c>
      <x:c r="J2" s="32" t="n">
        <x:v>3.2003656971585586</x:v>
      </x:c>
      <x:c r="K2" s="32" t="n">
        <x:f>IF(J2="","",(1/'Metadata'!$B$5)^(J2-1))</x:f>
        <x:v>158.622831195193</x:v>
      </x:c>
      <x:c r="L2" s="31" t="n">
        <x:f>IF(E2=0,"",E2*K2)</x:f>
        <x:v>52.486451486568036</x:v>
      </x:c>
      <x:c r="M2" s="31" t="n">
        <x:f>IF(E2=0,"",I2-L2)</x:f>
        <x:v>0.22414571464884858</x:v>
      </x:c>
      <x:c r="N2" s="32" t="n">
        <x:f>IF(L2=0,"",I2/L2)</x:f>
        <x:v>1.0042705442700048</x:v>
      </x:c>
      <x:c r="O2" s="34" t="n">
        <x:f>IF(L2=0,"",M2/L2)</x:f>
        <x:v>0.00427054427000481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0.039552592</x:v>
      </x:c>
      <x:c r="E3" s="31" t="n">
        <x:v>0.039552592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IF(C3=0,"",SUMIF('Species'!$H$2:$H$88,A3,'Species'!$U$2:$U$88))</x:f>
        <x:v>5.717088951288722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5.717088951288722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16</x:v>
      </x:c>
      <x:c r="C4" s="33" t="n">
        <x:v>16</x:v>
      </x:c>
      <x:c r="D4" s="31" t="n">
        <x:v>24.703644711</x:v>
      </x:c>
      <x:c r="E4" s="31" t="n">
        <x:v>24.703644711</x:v>
      </x:c>
      <x:c r="F4" s="32" t="n">
        <x:v>0</x:v>
      </x:c>
      <x:c r="G4" s="34" t="n">
        <x:v>1</x:v>
      </x:c>
      <x:c r="H4" s="32" t="n">
        <x:f>IF(E4=0,"",I4/E4)</x:f>
        <x:v>188.65424060632685</x:v>
      </x:c>
      <x:c r="I4" s="31" t="n">
        <x:f>IF(C4=0,"",SUMIF('Species'!$H$2:$H$88,A4,'Species'!$U$2:$U$88))</x:f>
        <x:v>4660.4473331622075</x:v>
      </x:c>
      <x:c r="J4" s="32" t="n">
        <x:v>3.254648520063878</x:v>
      </x:c>
      <x:c r="K4" s="32" t="n">
        <x:f>IF(J4="","",(1/'Metadata'!$B$5)^(J4-1))</x:f>
        <x:v>179.74156554400545</x:v>
      </x:c>
      <x:c r="L4" s="31" t="n">
        <x:f>IF(E4=0,"",E4*K4)</x:f>
        <x:v>4440.27177499803</x:v>
      </x:c>
      <x:c r="M4" s="31" t="n">
        <x:f>IF(E4=0,"",I4-L4)</x:f>
        <x:v>220.17555816417735</x:v>
      </x:c>
      <x:c r="N4" s="32" t="n">
        <x:f>IF(L4=0,"",I4/L4)</x:f>
        <x:v>1.0495860544852067</x:v>
      </x:c>
      <x:c r="O4" s="34" t="n">
        <x:f>IF(L4=0,"",M4/L4)</x:f>
        <x:v>0.0495860544852066</x:v>
      </x:c>
    </x:row>
    <x:row r="5" ht="18" customHeight="1">
      <x:c r="A5" s="24" t="str">
        <x:v>Perch-likes</x:v>
      </x:c>
      <x:c r="B5" s="33" t="n">
        <x:v>55</x:v>
      </x:c>
      <x:c r="C5" s="33" t="n">
        <x:v>55</x:v>
      </x:c>
      <x:c r="D5" s="31" t="n">
        <x:v>20.817868976</x:v>
      </x:c>
      <x:c r="E5" s="31" t="n">
        <x:v>20.817868976</x:v>
      </x:c>
      <x:c r="F5" s="32" t="n">
        <x:v>0</x:v>
      </x:c>
      <x:c r="G5" s="34" t="n">
        <x:v>1</x:v>
      </x:c>
      <x:c r="H5" s="32" t="n">
        <x:f>IF(E5=0,"",I5/E5)</x:f>
        <x:v>1382.3627745359026</x:v>
      </x:c>
      <x:c r="I5" s="31" t="n">
        <x:f>IF(C5=0,"",SUMIF('Species'!$H$2:$H$88,A5,'Species'!$U$2:$U$88))</x:f>
        <x:v>28777.847117588248</x:v>
      </x:c>
      <x:c r="J5" s="32" t="n">
        <x:v>3.8082216693018545</x:v>
      </x:c>
      <x:c r="K5" s="32" t="n">
        <x:f>IF(J5="","",(1/'Metadata'!$B$5)^(J5-1))</x:f>
        <x:v>643.0158368475822</x:v>
      </x:c>
      <x:c r="L5" s="31" t="n">
        <x:f>IF(E5=0,"",E5*K5)</x:f>
        <x:v>13386.21944098596</x:v>
      </x:c>
      <x:c r="M5" s="31" t="n">
        <x:f>IF(E5=0,"",I5-L5)</x:f>
        <x:v>15391.627676602287</x:v>
      </x:c>
      <x:c r="N5" s="32" t="n">
        <x:f>IF(L5=0,"",I5/L5)</x:f>
        <x:v>2.1498113970458426</x:v>
      </x:c>
      <x:c r="O5" s="34" t="n">
        <x:f>IF(L5=0,"",M5/L5)</x:f>
        <x:v>1.1498113970458428</x:v>
      </x:c>
    </x:row>
    <x:row r="6" ht="18" customHeight="1">
      <x:c r="A6" s="24" t="str">
        <x:v>Sharks &amp; rays</x:v>
      </x:c>
      <x:c r="B6" s="33" t="n">
        <x:v>4</x:v>
      </x:c>
      <x:c r="C6" s="33" t="n">
        <x:v>4</x:v>
      </x:c>
      <x:c r="D6" s="31" t="n">
        <x:v>0.182091043</x:v>
      </x:c>
      <x:c r="E6" s="31" t="n">
        <x:v>0.182091043</x:v>
      </x:c>
      <x:c r="F6" s="32" t="n">
        <x:v>0</x:v>
      </x:c>
      <x:c r="G6" s="34" t="n">
        <x:v>1</x:v>
      </x:c>
      <x:c r="H6" s="32" t="n">
        <x:f>IF(E6=0,"",I6/E6)</x:f>
        <x:v>1775.7492594286648</x:v>
      </x:c>
      <x:c r="I6" s="31" t="n">
        <x:f>IF(C6=0,"",SUMIF('Species'!$H$2:$H$88,A6,'Species'!$U$2:$U$88))</x:f>
        <x:v>323.3480347558432</x:v>
      </x:c>
      <x:c r="J6" s="32" t="n">
        <x:v>4.2377774030323945</x:v>
      </x:c>
      <x:c r="K6" s="32" t="n">
        <x:f>IF(J6="","",(1/'Metadata'!$B$5)^(J6-1))</x:f>
        <x:v>1728.929971682907</x:v>
      </x:c>
      <x:c r="L6" s="31" t="n">
        <x:f>IF(E6=0,"",E6*K6)</x:f>
        <x:v>314.82266181770103</x:v>
      </x:c>
      <x:c r="M6" s="31" t="n">
        <x:f>IF(E6=0,"",I6-L6)</x:f>
        <x:v>8.52537293814214</x:v>
      </x:c>
      <x:c r="N6" s="32" t="n">
        <x:f>IF(L6=0,"",I6/L6)</x:f>
        <x:v>1.0270799214037483</x:v>
      </x:c>
      <x:c r="O6" s="34" t="n">
        <x:f>IF(L6=0,"",M6/L6)</x:f>
        <x:v>0.02707992140374819</x:v>
      </x:c>
    </x:row>
    <x:row r="7" ht="18" customHeight="1">
      <x:c r="A7" s="24" t="str">
        <x:v>Tuna &amp; billfishes</x:v>
      </x:c>
      <x:c r="B7" s="33" t="n">
        <x:v>7</x:v>
      </x:c>
      <x:c r="C7" s="33" t="n">
        <x:v>7</x:v>
      </x:c>
      <x:c r="D7" s="31" t="n">
        <x:v>3.338604712</x:v>
      </x:c>
      <x:c r="E7" s="31" t="n">
        <x:v>3.338604712</x:v>
      </x:c>
      <x:c r="F7" s="32" t="n">
        <x:v>0</x:v>
      </x:c>
      <x:c r="G7" s="34" t="n">
        <x:v>1</x:v>
      </x:c>
      <x:c r="H7" s="32" t="n">
        <x:f>IF(E7=0,"",I7/E7)</x:f>
        <x:v>2216.3870530942518</x:v>
      </x:c>
      <x:c r="I7" s="31" t="n">
        <x:f>IF(C7=0,"",SUMIF('Species'!$H$2:$H$88,A7,'Species'!$U$2:$U$88))</x:f>
        <x:v>7399.640259076263</x:v>
      </x:c>
      <x:c r="J7" s="32" t="n">
        <x:v>4.344775678544002</x:v>
      </x:c>
      <x:c r="K7" s="32" t="n">
        <x:f>IF(J7="","",(1/'Metadata'!$B$5)^(J7-1))</x:f>
        <x:v>2211.9518987741103</x:v>
      </x:c>
      <x:c r="L7" s="31" t="n">
        <x:f>IF(E7=0,"",E7*K7)</x:f>
        <x:v>7384.833031964592</x:v>
      </x:c>
      <x:c r="M7" s="31" t="n">
        <x:f>IF(E7=0,"",I7-L7)</x:f>
        <x:v>14.807227111670727</x:v>
      </x:c>
      <x:c r="N7" s="32" t="n">
        <x:f>IF(L7=0,"",I7/L7)</x:f>
        <x:v>1.0020050862419745</x:v>
      </x:c>
      <x:c r="O7" s="34" t="n">
        <x:f>IF(L7=0,"",M7/L7)</x:f>
        <x:v>0.002005086241974458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11f298cb63343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0.017333039</x:v>
      </x:c>
      <x:c r="E2" s="31" t="n">
        <x:v>0.017333039</x:v>
      </x:c>
      <x:c r="F2" s="32" t="n">
        <x:v>0</x:v>
      </x:c>
      <x:c r="G2" s="34" t="n">
        <x:v>1</x:v>
      </x:c>
      <x:c r="H2" s="32" t="n">
        <x:f>IF(E2=0,"",I2/E2)</x:f>
        <x:v>3162.2776601683795</x:v>
      </x:c>
      <x:c r="I2" s="31" t="n">
        <x:f>IF(C2=0,"",SUMIF('Species'!$G$2:$G$88,A2,'Species'!$U$2:$U$88))</x:f>
        <x:v>54.81188201252727</x:v>
      </x:c>
      <x:c r="J2" s="32" t="n">
        <x:v>4.5</x:v>
      </x:c>
      <x:c r="K2" s="32" t="n">
        <x:f>IF(J2="","",(1/'Metadata'!$B$5)^(J2-1))</x:f>
        <x:v>3162.2776601683795</x:v>
      </x:c>
      <x:c r="L2" s="31" t="n">
        <x:f>IF(E2=0,"",E2*K2)</x:f>
        <x:v>54.81188201252727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13</x:v>
      </x:c>
      <x:c r="C3" s="33" t="n">
        <x:v>13</x:v>
      </x:c>
      <x:c r="D3" s="31" t="n">
        <x:v>13.361131400000001</x:v>
      </x:c>
      <x:c r="E3" s="31" t="n">
        <x:v>13.361131400000001</x:v>
      </x:c>
      <x:c r="F3" s="32" t="n">
        <x:v>0</x:v>
      </x:c>
      <x:c r="G3" s="34" t="n">
        <x:v>1</x:v>
      </x:c>
      <x:c r="H3" s="32" t="n">
        <x:f>IF(E3=0,"",I3/E3)</x:f>
        <x:v>2248.151974555685</x:v>
      </x:c>
      <x:c r="I3" s="31" t="n">
        <x:f>IF(C3=0,"",SUMIF('Species'!$G$2:$G$88,A3,'Species'!$U$2:$U$88))</x:f>
        <x:v>30037.853939207966</x:v>
      </x:c>
      <x:c r="J3" s="32" t="n">
        <x:v>4.347701186656244</x:v>
      </x:c>
      <x:c r="K3" s="32" t="n">
        <x:f>IF(J3="","",(1/'Metadata'!$B$5)^(J3-1))</x:f>
        <x:v>2226.9024170819876</x:v>
      </x:c>
      <x:c r="L3" s="31" t="n">
        <x:f>IF(E3=0,"",E3*K3)</x:f>
        <x:v>29753.935809610044</x:v>
      </x:c>
      <x:c r="M3" s="31" t="n">
        <x:f>IF(E3=0,"",I3-L3)</x:f>
        <x:v>283.9181295979215</x:v>
      </x:c>
      <x:c r="N3" s="32" t="n">
        <x:f>IF(L3=0,"",I3/L3)</x:f>
        <x:v>1.0095422041445092</x:v>
      </x:c>
      <x:c r="O3" s="34" t="n">
        <x:f>IF(L3=0,"",M3/L3)</x:f>
        <x:v>0.009542204144509195</x:v>
      </x:c>
    </x:row>
    <x:row r="4" ht="18" customHeight="1">
      <x:c r="A4" s="24" t="str">
        <x:v>Large reef assoc. fish (&gt;=90 cm)</x:v>
      </x:c>
      <x:c r="B4" s="33" t="n">
        <x:v>9</x:v>
      </x:c>
      <x:c r="C4" s="33" t="n">
        <x:v>9</x:v>
      </x:c>
      <x:c r="D4" s="31" t="n">
        <x:v>0.32186536300000007</x:v>
      </x:c>
      <x:c r="E4" s="31" t="n">
        <x:v>0.32186536300000007</x:v>
      </x:c>
      <x:c r="F4" s="32" t="n">
        <x:v>0</x:v>
      </x:c>
      <x:c r="G4" s="34" t="n">
        <x:v>1</x:v>
      </x:c>
      <x:c r="H4" s="32" t="n">
        <x:f>IF(E4=0,"",I4/E4)</x:f>
        <x:v>1634.458155096548</x:v>
      </x:c>
      <x:c r="I4" s="31" t="n">
        <x:f>IF(C4=0,"",SUMIF('Species'!$G$2:$G$88,A4,'Species'!$U$2:$U$88))</x:f>
        <x:v>526.0754673984608</x:v>
      </x:c>
      <x:c r="J4" s="32" t="n">
        <x:v>4.036504492470039</x:v>
      </x:c>
      <x:c r="K4" s="32" t="n">
        <x:f>IF(J4="","",(1/'Metadata'!$B$5)^(J4-1))</x:f>
        <x:v>1087.6883889418716</x:v>
      </x:c>
      <x:c r="L4" s="31" t="n">
        <x:f>IF(E4=0,"",E4*K4)</x:f>
        <x:v>350.0892181376608</x:v>
      </x:c>
      <x:c r="M4" s="31" t="n">
        <x:f>IF(E4=0,"",I4-L4)</x:f>
        <x:v>175.98624926079998</x:v>
      </x:c>
      <x:c r="N4" s="32" t="n">
        <x:f>IF(L4=0,"",I4/L4)</x:f>
        <x:v>1.5026897149160399</x:v>
      </x:c>
      <x:c r="O4" s="34" t="n">
        <x:f>IF(L4=0,"",M4/L4)</x:f>
        <x:v>0.5026897149160399</x:v>
      </x:c>
    </x:row>
    <x:row r="5" ht="18" customHeight="1">
      <x:c r="A5" s="24" t="str">
        <x:v>Large sharks (&gt;=90 cm)</x:v>
      </x:c>
      <x:c r="B5" s="33" t="n">
        <x:v>4</x:v>
      </x:c>
      <x:c r="C5" s="33" t="n">
        <x:v>4</x:v>
      </x:c>
      <x:c r="D5" s="31" t="n">
        <x:v>0.182091043</x:v>
      </x:c>
      <x:c r="E5" s="31" t="n">
        <x:v>0.182091043</x:v>
      </x:c>
      <x:c r="F5" s="32" t="n">
        <x:v>0</x:v>
      </x:c>
      <x:c r="G5" s="34" t="n">
        <x:v>1</x:v>
      </x:c>
      <x:c r="H5" s="32" t="n">
        <x:f>IF(E5=0,"",I5/E5)</x:f>
        <x:v>1775.7492594286648</x:v>
      </x:c>
      <x:c r="I5" s="31" t="n">
        <x:f>IF(C5=0,"",SUMIF('Species'!$G$2:$G$88,A5,'Species'!$U$2:$U$88))</x:f>
        <x:v>323.3480347558432</x:v>
      </x:c>
      <x:c r="J5" s="32" t="n">
        <x:v>4.2377774030323945</x:v>
      </x:c>
      <x:c r="K5" s="32" t="n">
        <x:f>IF(J5="","",(1/'Metadata'!$B$5)^(J5-1))</x:f>
        <x:v>1728.929971682907</x:v>
      </x:c>
      <x:c r="L5" s="31" t="n">
        <x:f>IF(E5=0,"",E5*K5)</x:f>
        <x:v>314.82266181770103</x:v>
      </x:c>
      <x:c r="M5" s="31" t="n">
        <x:f>IF(E5=0,"",I5-L5)</x:f>
        <x:v>8.52537293814214</x:v>
      </x:c>
      <x:c r="N5" s="32" t="n">
        <x:f>IF(L5=0,"",I5/L5)</x:f>
        <x:v>1.0270799214037483</x:v>
      </x:c>
      <x:c r="O5" s="34" t="n">
        <x:f>IF(L5=0,"",M5/L5)</x:f>
        <x:v>0.02707992140374819</x:v>
      </x:c>
    </x:row>
    <x:row r="6" ht="18" customHeight="1">
      <x:c r="A6" s="24" t="str">
        <x:v>Lobsters, crabs</x:v>
      </x:c>
      <x:c r="B6" s="33" t="n">
        <x:v>4</x:v>
      </x:c>
      <x:c r="C6" s="33" t="n">
        <x:v>4</x:v>
      </x:c>
      <x:c r="D6" s="31" t="n">
        <x:v>0.33088837899999995</x:v>
      </x:c>
      <x:c r="E6" s="31" t="n">
        <x:v>0.33088837899999995</x:v>
      </x:c>
      <x:c r="F6" s="32" t="n">
        <x:v>0</x:v>
      </x:c>
      <x:c r="G6" s="34" t="n">
        <x:v>1</x:v>
      </x:c>
      <x:c r="H6" s="32" t="n">
        <x:f>IF(E6=0,"",I6/E6)</x:f>
        <x:v>159.30023701804558</x:v>
      </x:c>
      <x:c r="I6" s="31" t="n">
        <x:f>IF(C6=0,"",SUMIF('Species'!$G$2:$G$88,A6,'Species'!$U$2:$U$88))</x:f>
        <x:v>52.710597201216885</x:v>
      </x:c>
      <x:c r="J6" s="32" t="n">
        <x:v>3.2003656971585586</x:v>
      </x:c>
      <x:c r="K6" s="32" t="n">
        <x:f>IF(J6="","",(1/'Metadata'!$B$5)^(J6-1))</x:f>
        <x:v>158.622831195193</x:v>
      </x:c>
      <x:c r="L6" s="31" t="n">
        <x:f>IF(E6=0,"",E6*K6)</x:f>
        <x:v>52.486451486568036</x:v>
      </x:c>
      <x:c r="M6" s="31" t="n">
        <x:f>IF(E6=0,"",I6-L6)</x:f>
        <x:v>0.22414571464884858</x:v>
      </x:c>
      <x:c r="N6" s="32" t="n">
        <x:f>IF(L6=0,"",I6/L6)</x:f>
        <x:v>1.0042705442700048</x:v>
      </x:c>
      <x:c r="O6" s="34" t="n">
        <x:f>IF(L6=0,"",M6/L6)</x:f>
        <x:v>0.00427054427000481</x:v>
      </x:c>
    </x:row>
    <x:row r="7" ht="18" customHeight="1">
      <x:c r="A7" s="24" t="str">
        <x:v>Medium bathydemersals (30 - 89 cm)</x:v>
      </x:c>
      <x:c r="B7" s="33" t="n">
        <x:v>1</x:v>
      </x:c>
      <x:c r="C7" s="33" t="n">
        <x:v>1</x:v>
      </x:c>
      <x:c r="D7" s="31" t="n">
        <x:v>0.067801854</x:v>
      </x:c>
      <x:c r="E7" s="31" t="n">
        <x:v>0.067801854</x:v>
      </x:c>
      <x:c r="F7" s="32" t="n">
        <x:v>0</x:v>
      </x:c>
      <x:c r="G7" s="34" t="n">
        <x:v>1</x:v>
      </x:c>
      <x:c r="H7" s="32" t="n">
        <x:f>IF(E7=0,"",I7/E7)</x:f>
        <x:v>1513.5612484362073</x:v>
      </x:c>
      <x:c r="I7" s="31" t="n">
        <x:f>IF(C7=0,"",SUMIF('Species'!$G$2:$G$88,A7,'Species'!$U$2:$U$88))</x:f>
        <x:v>102.62225878652944</x:v>
      </x:c>
      <x:c r="J7" s="32" t="n">
        <x:v>4.18</x:v>
      </x:c>
      <x:c r="K7" s="32" t="n">
        <x:f>IF(J7="","",(1/'Metadata'!$B$5)^(J7-1))</x:f>
        <x:v>1513.5612484362073</x:v>
      </x:c>
      <x:c r="L7" s="31" t="n">
        <x:f>IF(E7=0,"",E7*K7)</x:f>
        <x:v>102.62225878652944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benthopelagics (30 - 89 cm)</x:v>
      </x:c>
      <x:c r="B8" s="33" t="n">
        <x:v>2</x:v>
      </x:c>
      <x:c r="C8" s="33" t="n">
        <x:v>2</x:v>
      </x:c>
      <x:c r="D8" s="31" t="n">
        <x:v>0.0050371289999999996</x:v>
      </x:c>
      <x:c r="E8" s="31" t="n">
        <x:v>0.0050371289999999996</x:v>
      </x:c>
      <x:c r="F8" s="32" t="n">
        <x:v>0</x:v>
      </x:c>
      <x:c r="G8" s="34" t="n">
        <x:v>1</x:v>
      </x:c>
      <x:c r="H8" s="32" t="n">
        <x:f>IF(E8=0,"",I8/E8)</x:f>
        <x:v>1593.0024741812992</x:v>
      </x:c>
      <x:c r="I8" s="31" t="n">
        <x:f>IF(C8=0,"",SUMIF('Species'!$G$2:$G$88,A8,'Species'!$U$2:$U$88))</x:f>
        <x:v>8.024158959770373</x:v>
      </x:c>
      <x:c r="J8" s="32" t="n">
        <x:v>4.166645122648238</x:v>
      </x:c>
      <x:c r="K8" s="32" t="n">
        <x:f>IF(J8="","",(1/'Metadata'!$B$5)^(J8-1))</x:f>
        <x:v>1467.7264564042</x:v>
      </x:c>
      <x:c r="L8" s="31" t="n">
        <x:f>IF(E8=0,"",E8*K8)</x:f>
        <x:v>7.3931274976208305</x:v>
      </x:c>
      <x:c r="M8" s="31" t="n">
        <x:f>IF(E8=0,"",I8-L8)</x:f>
        <x:v>0.6310314621495428</x:v>
      </x:c>
      <x:c r="N8" s="32" t="n">
        <x:f>IF(L8=0,"",I8/L8)</x:f>
        <x:v>1.0853537913897215</x:v>
      </x:c>
      <x:c r="O8" s="34" t="n">
        <x:f>IF(L8=0,"",M8/L8)</x:f>
        <x:v>0.08535379138972159</x:v>
      </x:c>
    </x:row>
    <x:row r="9" ht="18" customHeight="1">
      <x:c r="A9" s="24" t="str">
        <x:v>Medium demersals (30 - 89 cm)</x:v>
      </x:c>
      <x:c r="B9" s="33" t="n">
        <x:v>6</x:v>
      </x:c>
      <x:c r="C9" s="33" t="n">
        <x:v>6</x:v>
      </x:c>
      <x:c r="D9" s="31" t="n">
        <x:v>20.110189190999996</x:v>
      </x:c>
      <x:c r="E9" s="31" t="n">
        <x:v>20.110189190999996</x:v>
      </x:c>
      <x:c r="F9" s="32" t="n">
        <x:v>0</x:v>
      </x:c>
      <x:c r="G9" s="34" t="n">
        <x:v>1</x:v>
      </x:c>
      <x:c r="H9" s="32" t="n">
        <x:f>IF(E9=0,"",I9/E9)</x:f>
        <x:v>190.7797159192282</x:v>
      </x:c>
      <x:c r="I9" s="31" t="n">
        <x:f>IF(C9=0,"",SUMIF('Species'!$G$2:$G$88,A9,'Species'!$U$2:$U$88))</x:f>
        <x:v>3836.616180940913</x:v>
      </x:c>
      <x:c r="J9" s="32" t="n">
        <x:v>3.2747696029822992</x:v>
      </x:c>
      <x:c r="K9" s="32" t="n">
        <x:f>IF(J9="","",(1/'Metadata'!$B$5)^(J9-1))</x:f>
        <x:v>188.26500622074764</x:v>
      </x:c>
      <x:c r="L9" s="31" t="n">
        <x:f>IF(E9=0,"",E9*K9)</x:f>
        <x:v>3786.044893144026</x:v>
      </x:c>
      <x:c r="M9" s="31" t="n">
        <x:f>IF(E9=0,"",I9-L9)</x:f>
        <x:v>50.57128779688719</x:v>
      </x:c>
      <x:c r="N9" s="32" t="n">
        <x:f>IF(L9=0,"",I9/L9)</x:f>
        <x:v>1.0133572868849137</x:v>
      </x:c>
      <x:c r="O9" s="34" t="n">
        <x:f>IF(L9=0,"",M9/L9)</x:f>
        <x:v>0.0133572868849137</x:v>
      </x:c>
    </x:row>
    <x:row r="10" ht="18" customHeight="1">
      <x:c r="A10" s="24" t="str">
        <x:v>Medium pelagics (30 - 89 cm)</x:v>
      </x:c>
      <x:c r="B10" s="33" t="n">
        <x:v>4</x:v>
      </x:c>
      <x:c r="C10" s="33" t="n">
        <x:v>4</x:v>
      </x:c>
      <x:c r="D10" s="31" t="n">
        <x:v>2.260016438</x:v>
      </x:c>
      <x:c r="E10" s="31" t="n">
        <x:v>2.260016438</x:v>
      </x:c>
      <x:c r="F10" s="32" t="n">
        <x:v>0</x:v>
      </x:c>
      <x:c r="G10" s="34" t="n">
        <x:v>1</x:v>
      </x:c>
      <x:c r="H10" s="32" t="n">
        <x:f>IF(E10=0,"",I10/E10)</x:f>
        <x:v>223.14032788707652</x:v>
      </x:c>
      <x:c r="I10" s="31" t="n">
        <x:f>IF(C10=0,"",SUMIF('Species'!$G$2:$G$88,A10,'Species'!$U$2:$U$88))</x:f>
        <x:v>504.30080900550274</x:v>
      </x:c>
      <x:c r="J10" s="32" t="n">
        <x:v>3.149376531848925</x:v>
      </x:c>
      <x:c r="K10" s="32" t="n">
        <x:f>IF(J10="","",(1/'Metadata'!$B$5)^(J10-1))</x:f>
        <x:v>141.05111768724777</x:v>
      </x:c>
      <x:c r="L10" s="31" t="n">
        <x:f>IF(E10=0,"",E10*K10)</x:f>
        <x:v>318.77784457145253</x:v>
      </x:c>
      <x:c r="M10" s="31" t="n">
        <x:f>IF(E10=0,"",I10-L10)</x:f>
        <x:v>185.5229644340502</x:v>
      </x:c>
      <x:c r="N10" s="32" t="n">
        <x:f>IF(L10=0,"",I10/L10)</x:f>
        <x:v>1.58198199025863</x:v>
      </x:c>
      <x:c r="O10" s="34" t="n">
        <x:f>IF(L10=0,"",M10/L10)</x:f>
        <x:v>0.5819819902586302</x:v>
      </x:c>
    </x:row>
    <x:row r="11" ht="18" customHeight="1">
      <x:c r="A11" s="24" t="str">
        <x:v>Medium reef assoc. fish (30 - 89 cm)</x:v>
      </x:c>
      <x:c r="B11" s="33" t="n">
        <x:v>37</x:v>
      </x:c>
      <x:c r="C11" s="33" t="n">
        <x:v>37</x:v>
      </x:c>
      <x:c r="D11" s="31" t="n">
        <x:v>8.754156380000001</x:v>
      </x:c>
      <x:c r="E11" s="31" t="n">
        <x:v>8.754156380000001</x:v>
      </x:c>
      <x:c r="F11" s="32" t="n">
        <x:v>0</x:v>
      </x:c>
      <x:c r="G11" s="34" t="n">
        <x:v>1</x:v>
      </x:c>
      <x:c r="H11" s="32" t="n">
        <x:f>IF(E11=0,"",I11/E11)</x:f>
        <x:v>596.3282569968503</x:v>
      </x:c>
      <x:c r="I11" s="31" t="n">
        <x:f>IF(C11=0,"",SUMIF('Species'!$G$2:$G$88,A11,'Species'!$U$2:$U$88))</x:f>
        <x:v>5220.350815563258</x:v>
      </x:c>
      <x:c r="J11" s="32" t="n">
        <x:v>3.531018501153391</x:v>
      </x:c>
      <x:c r="K11" s="32" t="n">
        <x:f>IF(J11="","",(1/'Metadata'!$B$5)^(J11-1))</x:f>
        <x:v>339.63974109822203</x:v>
      </x:c>
      <x:c r="L11" s="31" t="n">
        <x:f>IF(E11=0,"",E11*K11)</x:f>
        <x:v>2973.259406436549</x:v>
      </x:c>
      <x:c r="M11" s="31" t="n">
        <x:f>IF(E11=0,"",I11-L11)</x:f>
        <x:v>2247.091409126709</x:v>
      </x:c>
      <x:c r="N11" s="32" t="n">
        <x:f>IF(L11=0,"",I11/L11)</x:f>
        <x:v>1.7557670226358917</x:v>
      </x:c>
      <x:c r="O11" s="34" t="n">
        <x:f>IF(L11=0,"",M11/L11)</x:f>
        <x:v>0.7557670226358917</x:v>
      </x:c>
    </x:row>
    <x:row r="12" ht="18" customHeight="1">
      <x:c r="A12" s="24" t="str">
        <x:v>Small pelagics (&lt;30 cm)</x:v>
      </x:c>
      <x:c r="B12" s="33" t="n">
        <x:v>1</x:v>
      </x:c>
      <x:c r="C12" s="33" t="n">
        <x:v>1</x:v>
      </x:c>
      <x:c r="D12" s="31" t="n">
        <x:v>0.039552592</x:v>
      </x:c>
      <x:c r="E12" s="31" t="n">
        <x:v>0.039552592</x:v>
      </x:c>
      <x:c r="F12" s="32" t="n">
        <x:v>0</x:v>
      </x:c>
      <x:c r="G12" s="34" t="n">
        <x:v>1</x:v>
      </x:c>
      <x:c r="H12" s="32" t="n">
        <x:f>IF(E12=0,"",I12/E12)</x:f>
        <x:v>144.5439770745928</x:v>
      </x:c>
      <x:c r="I12" s="31" t="n">
        <x:f>IF(C12=0,"",SUMIF('Species'!$G$2:$G$88,A12,'Species'!$U$2:$U$88))</x:f>
        <x:v>5.717088951288722</x:v>
      </x:c>
      <x:c r="J12" s="32" t="n">
        <x:v>3.16</x:v>
      </x:c>
      <x:c r="K12" s="32" t="n">
        <x:f>IF(J12="","",(1/'Metadata'!$B$5)^(J12-1))</x:f>
        <x:v>144.5439770745928</x:v>
      </x:c>
      <x:c r="L12" s="31" t="n">
        <x:f>IF(E12=0,"",E12*K12)</x:f>
        <x:v>5.717088951288722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reef assoc. fish (&lt;30 cm)</x:v>
      </x:c>
      <x:c r="B13" s="33" t="n">
        <x:v>5</x:v>
      </x:c>
      <x:c r="C13" s="33" t="n">
        <x:v>5</x:v>
      </x:c>
      <x:c r="D13" s="31" t="n">
        <x:v>3.962587605</x:v>
      </x:c>
      <x:c r="E13" s="31" t="n">
        <x:v>3.962587605</x:v>
      </x:c>
      <x:c r="F13" s="32" t="n">
        <x:v>0</x:v>
      </x:c>
      <x:c r="G13" s="34" t="n">
        <x:v>1</x:v>
      </x:c>
      <x:c r="H13" s="32" t="n">
        <x:f>IF(E13=0,"",I13/E13)</x:f>
        <x:v>138.11157064672292</x:v>
      </x:c>
      <x:c r="I13" s="31" t="n">
        <x:f>IF(C13=0,"",SUMIF('Species'!$G$2:$G$88,A13,'Species'!$U$2:$U$88))</x:f>
        <x:v>547.279197951786</x:v>
      </x:c>
      <x:c r="J13" s="32" t="n">
        <x:v>2.6572146081348276</x:v>
      </x:c>
      <x:c r="K13" s="32" t="n">
        <x:f>IF(J13="","",(1/'Metadata'!$B$5)^(J13-1))</x:f>
        <x:v>45.416598891787956</x:v>
      </x:c>
      <x:c r="L13" s="31" t="n">
        <x:f>IF(E13=0,"",E13*K13)</x:f>
        <x:v>179.96725182985568</x:v>
      </x:c>
      <x:c r="M13" s="31" t="n">
        <x:f>IF(E13=0,"",I13-L13)</x:f>
        <x:v>367.31194612193036</x:v>
      </x:c>
      <x:c r="N13" s="32" t="n">
        <x:f>IF(L13=0,"",I13/L13)</x:f>
        <x:v>3.040993249534053</x:v>
      </x:c>
      <x:c r="O13" s="34" t="n">
        <x:f>IF(L13=0,"",M13/L13)</x:f>
        <x:v>2.040993249534053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3a8860c175743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EEZ_500</x:v>
      </x:c>
      <x:c r="B2" s="24" t="str">
        <x:v>raw_filtered_tonnes</x:v>
      </x:c>
      <x:c r="C2" s="24" t="n">
        <x:v>49.41265041300001</x:v>
      </x:c>
      <x:c r="D2" s="24" t="str">
        <x:v>tonnes</x:v>
      </x:c>
    </x:row>
    <x:row r="3" ht="18" customHeight="1">
      <x:c r="A3" s="24" t="str">
        <x:v>EEZ_500</x:v>
      </x:c>
      <x:c r="B3" s="24" t="str">
        <x:v>species_catch_tonnes</x:v>
      </x:c>
      <x:c r="C3" s="24" t="n">
        <x:v>49.412650413</x:v>
      </x:c>
      <x:c r="D3" s="24" t="str">
        <x:v>tonnes</x:v>
      </x:c>
    </x:row>
    <x:row r="4" ht="18" customHeight="1">
      <x:c r="A4" s="24" t="str">
        <x:v>EEZ_500</x:v>
      </x:c>
      <x:c r="B4" s="24" t="str">
        <x:v>catch_difference_tonnes</x:v>
      </x:c>
      <x:c r="C4" s="24" t="n">
        <x:v>-7.105427357601002e-15</x:v>
      </x:c>
      <x:c r="D4" s="24" t="str">
        <x:v>tonnes</x:v>
      </x:c>
    </x:row>
    <x:row r="5" ht="18" customHeight="1">
      <x:c r="A5" s="24" t="str">
        <x:v>EEZ_500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EEZ_500</x:v>
      </x:c>
      <x:c r="B6" s="24" t="str">
        <x:v>matched_catch_tonnes</x:v>
      </x:c>
      <x:c r="C6" s="24" t="n">
        <x:v>49.412650413</x:v>
      </x:c>
      <x:c r="D6" s="24" t="str">
        <x:v>tonnes</x:v>
      </x:c>
    </x:row>
    <x:row r="7" ht="18" customHeight="1">
      <x:c r="A7" s="24" t="str">
        <x:v>EEZ_500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EEZ_500</x:v>
      </x:c>
      <x:c r="B8" s="24" t="str">
        <x:v>taxa_count</x:v>
      </x:c>
      <x:c r="C8" s="24" t="n">
        <x:v>87</x:v>
      </x:c>
      <x:c r="D8" s="24" t="str">
        <x:v>count</x:v>
      </x:c>
    </x:row>
    <x:row r="9" ht="18" customHeight="1">
      <x:c r="A9" s="24" t="str">
        <x:v>EEZ_500</x:v>
      </x:c>
      <x:c r="B9" s="24" t="str">
        <x:v>matched_taxa_count</x:v>
      </x:c>
      <x:c r="C9" s="24" t="n">
        <x:v>87</x:v>
      </x:c>
      <x:c r="D9" s="24" t="str">
        <x:v>count</x:v>
      </x:c>
    </x:row>
    <x:row r="10" ht="18" customHeight="1">
      <x:c r="A10" s="24" t="str">
        <x:v>EEZ_500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EEZ_500</x:v>
      </x:c>
      <x:c r="B11" s="24" t="str">
        <x:v>species_ppr</x:v>
      </x:c>
      <x:c r="C11" s="24" t="n">
        <x:v>41219.71043073506</x:v>
      </x:c>
      <x:c r="D11" s="24" t="str">
        <x:v>tonnes_primary_production_equivalent</x:v>
      </x:c>
    </x:row>
    <x:row r="12" ht="18" customHeight="1">
      <x:c r="A12" s="24" t="str">
        <x:v>EEZ_500</x:v>
      </x:c>
      <x:c r="B12" s="24" t="str">
        <x:v>commercial_ppr</x:v>
      </x:c>
      <x:c r="C12" s="24" t="n">
        <x:v>41219.71043073505</x:v>
      </x:c>
      <x:c r="D12" s="24" t="str">
        <x:v>tonnes_primary_production_equivalent</x:v>
      </x:c>
    </x:row>
    <x:row r="13" ht="18" customHeight="1">
      <x:c r="A13" s="24" t="str">
        <x:v>EEZ_500</x:v>
      </x:c>
      <x:c r="B13" s="24" t="str">
        <x:v>functional_ppr</x:v>
      </x:c>
      <x:c r="C13" s="24" t="n">
        <x:v>41219.71043073505</x:v>
      </x:c>
      <x:c r="D13" s="24" t="str">
        <x:v>tonnes_primary_production_equivalent</x:v>
      </x:c>
    </x:row>
    <x:row r="14" ht="18" customHeight="1">
      <x:c r="A14" s="24" t="str">
        <x:v>EEZ_500</x:v>
      </x:c>
      <x:c r="B14" s="24" t="str">
        <x:v>commercial_ppr_difference</x:v>
      </x:c>
      <x:c r="C14" s="24" t="n">
        <x:v>-7.275957614183426e-12</x:v>
      </x:c>
      <x:c r="D14" s="24" t="str">
        <x:v>tonnes_primary_production_equivalent</x:v>
      </x:c>
    </x:row>
    <x:row r="15" ht="18" customHeight="1">
      <x:c r="A15" s="24" t="str">
        <x:v>EEZ_500</x:v>
      </x:c>
      <x:c r="B15" s="24" t="str">
        <x:v>functional_ppr_difference</x:v>
      </x:c>
      <x:c r="C15" s="24" t="n">
        <x:v>-7.275957614183426e-12</x:v>
      </x:c>
      <x:c r="D15" s="24" t="str">
        <x:v>tonnes_primary_production_equivalent</x:v>
      </x:c>
    </x:row>
    <x:row r="16" ht="18" customHeight="1">
      <x:c r="A16" s="24" t="str">
        <x:v>EEZ_500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EEZ_500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EEZ_500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EEZ_500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aa2df44032941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EEZ_500 - Montserrat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EEZ_500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