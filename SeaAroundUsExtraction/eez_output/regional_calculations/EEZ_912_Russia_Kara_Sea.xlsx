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ba45e5b8b42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8baaa11cdb57427f"/>
    <x:sheet xmlns:r="http://schemas.openxmlformats.org/officeDocument/2006/relationships" name="Commercial" sheetId="2" r:id="R5a64904e7b9e47d7"/>
    <x:sheet xmlns:r="http://schemas.openxmlformats.org/officeDocument/2006/relationships" name="Functional" sheetId="3" r:id="R2f33e845df7e45fa"/>
    <x:sheet xmlns:r="http://schemas.openxmlformats.org/officeDocument/2006/relationships" name="Missing TL" sheetId="4" r:id="R4aaa806da4df4aa0"/>
    <x:sheet xmlns:r="http://schemas.openxmlformats.org/officeDocument/2006/relationships" name="Validation" sheetId="5" r:id="R77a731f1815b4cda"/>
    <x:sheet xmlns:r="http://schemas.openxmlformats.org/officeDocument/2006/relationships" name="Metadata" sheetId="6" r:id="R28a262c32fa14e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4d9cd46b7e440d" /><Relationship Type="http://schemas.openxmlformats.org/officeDocument/2006/relationships/theme" Target="/xl/theme/theme1.xml" Id="R48cbb5cf646440cb" /><Relationship Type="http://schemas.microsoft.com/office/2022/11/relationships/FeaturePropertyBag" Target="/xl/featurePropertyBag/featurePropertyBag.xml" Id="Ra705904076f84daa" /><Relationship Type="http://schemas.openxmlformats.org/officeDocument/2006/relationships/sharedStrings" Target="/xl/sharedStrings.xml" Id="R078c3e902a744ac9" /><Relationship Type="http://schemas.openxmlformats.org/officeDocument/2006/relationships/worksheet" Target="/xl/worksheets/sheet1.xml" Id="R8baaa11cdb57427f" /><Relationship Type="http://schemas.openxmlformats.org/officeDocument/2006/relationships/worksheet" Target="/xl/worksheets/sheet2.xml" Id="R5a64904e7b9e47d7" /><Relationship Type="http://schemas.openxmlformats.org/officeDocument/2006/relationships/worksheet" Target="/xl/worksheets/sheet3.xml" Id="R2f33e845df7e45fa" /><Relationship Type="http://schemas.openxmlformats.org/officeDocument/2006/relationships/worksheet" Target="/xl/worksheets/sheet4.xml" Id="R4aaa806da4df4aa0" /><Relationship Type="http://schemas.openxmlformats.org/officeDocument/2006/relationships/worksheet" Target="/xl/worksheets/sheet5.xml" Id="R77a731f1815b4cda" /><Relationship Type="http://schemas.openxmlformats.org/officeDocument/2006/relationships/worksheet" Target="/xl/worksheets/sheet6.xml" Id="R28a262c32fa14e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12SpeciesTable" displayName="EEZ912SpeciesTable" ref="A1:U6" headerRowCount="1" totalsRowCount="0" totalsRowShown="0">
  <x:autoFilter ref="A1:U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12CommercialTable" displayName="EEZ912CommercialTable" ref="A1:O3" headerRowCount="1" totalsRowCount="0" totalsRowShown="0">
  <x:autoFilter ref="A1:O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12FunctionalTable" displayName="EEZ912FunctionalTable" ref="A1:O4" headerRowCount="1" totalsRowCount="0" totalsRowShown="0">
  <x:autoFilter ref="A1:O4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12ValidationTable" displayName="EEZ91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ed5359601b418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27765d5736c49f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7e3bb6a147846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b334336a0d341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EEZ_912</x:v>
      </x:c>
      <x:c r="B2" s="24" t="str">
        <x:v>Russia (Kara Sea)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296.56235155</x:v>
      </x:c>
      <x:c r="J2" s="31" t="n">
        <x:v>296.56235155</x:v>
      </x:c>
      <x:c r="K2" s="31" t="n">
        <x:v>0</x:v>
      </x:c>
      <x:c r="L2" s="31" t="n">
        <x:v>0</x:v>
      </x:c>
      <x:c r="M2" s="31" t="n">
        <x:v>296.56235155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56508.79113053317</x:v>
      </x:c>
    </x:row>
    <x:row r="3" ht="18" customHeight="1">
      <x:c r="A3" s="24" t="str">
        <x:v>EEZ_912</x:v>
      </x:c>
      <x:c r="B3" s="24" t="str">
        <x:v>Russia (Kara Sea)</x:v>
      </x:c>
      <x:c r="C3" s="24" t="str">
        <x:v>EEZ</x:v>
      </x:c>
      <x:c r="D3" s="30" t="n">
        <x:v>2019</x:v>
      </x:c>
      <x:c r="E3" s="24" t="str">
        <x:v>Coregonus muksun</x:v>
      </x:c>
      <x:c r="F3" s="24" t="str">
        <x:v>Muksun</x:v>
      </x:c>
      <x:c r="G3" s="24" t="str">
        <x:v>Large benthopelagics (&gt;=90 cm)</x:v>
      </x:c>
      <x:c r="H3" s="24" t="str">
        <x:v>Salmon, smelts, etc</x:v>
      </x:c>
      <x:c r="I3" s="31" t="n">
        <x:v>200.882191</x:v>
      </x:c>
      <x:c r="J3" s="31" t="n">
        <x:v>200.882191</x:v>
      </x:c>
      <x:c r="K3" s="31" t="n">
        <x:v>0</x:v>
      </x:c>
      <x:c r="L3" s="31" t="n">
        <x:v>0</x:v>
      </x:c>
      <x:c r="M3" s="31" t="n">
        <x:v>200.882191</x:v>
      </x:c>
      <x:c r="N3" s="24" t="str">
        <x:v>coregonus muksun</x:v>
      </x:c>
      <x:c r="O3" s="32" t="n">
        <x:v>3.27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Coregonus muksun</x:v>
      </x:c>
      <x:c r="T3" s="32" t="n">
        <x:f>IF(O3="","",(1/'Metadata'!$B$5)^(O3-1))</x:f>
        <x:v>186.20871366628674</x:v>
      </x:c>
      <x:c r="U3" s="31" t="n">
        <x:f>IF(T3="","",I3*T3)</x:f>
        <x:v>37406.01438457533</x:v>
      </x:c>
    </x:row>
    <x:row r="4" ht="18" customHeight="1">
      <x:c r="A4" s="24" t="str">
        <x:v>EEZ_912</x:v>
      </x:c>
      <x:c r="B4" s="24" t="str">
        <x:v>Russia (Kara Sea)</x:v>
      </x:c>
      <x:c r="C4" s="24" t="str">
        <x:v>EEZ</x:v>
      </x:c>
      <x:c r="D4" s="30" t="n">
        <x:v>2019</x:v>
      </x:c>
      <x:c r="E4" s="24" t="str">
        <x:v>Coregonus sardinella</x:v>
      </x:c>
      <x:c r="F4" s="24" t="str">
        <x:v>Sardine cisco</x:v>
      </x:c>
      <x:c r="G4" s="24" t="str">
        <x:v>Medium pelagics (30 - 89 cm)</x:v>
      </x:c>
      <x:c r="H4" s="24" t="str">
        <x:v>Salmon, smelts, etc</x:v>
      </x:c>
      <x:c r="I4" s="31" t="n">
        <x:v>120.0250831</x:v>
      </x:c>
      <x:c r="J4" s="31" t="n">
        <x:v>120.0250831</x:v>
      </x:c>
      <x:c r="K4" s="31" t="n">
        <x:v>0</x:v>
      </x:c>
      <x:c r="L4" s="31" t="n">
        <x:v>0</x:v>
      </x:c>
      <x:c r="M4" s="31" t="n">
        <x:v>120.0250831</x:v>
      </x:c>
      <x:c r="N4" s="24" t="str">
        <x:v>coregonus sardinella</x:v>
      </x:c>
      <x:c r="O4" s="32" t="n">
        <x:v>3.21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Coregonus sardinella</x:v>
      </x:c>
      <x:c r="T4" s="32" t="n">
        <x:f>IF(O4="","",(1/'Metadata'!$B$5)^(O4-1))</x:f>
        <x:v>162.18100973589299</x:v>
      </x:c>
      <x:c r="U4" s="31" t="n">
        <x:f>IF(T4="","",I4*T4)</x:f>
        <x:v>19465.789170792465</x:v>
      </x:c>
    </x:row>
    <x:row r="5" ht="18" customHeight="1">
      <x:c r="A5" s="24" t="str">
        <x:v>EEZ_912</x:v>
      </x:c>
      <x:c r="B5" s="24" t="str">
        <x:v>Russia (Kara Sea)</x:v>
      </x:c>
      <x:c r="C5" s="24" t="str">
        <x:v>EEZ</x:v>
      </x:c>
      <x:c r="D5" s="30" t="n">
        <x:v>2019</x:v>
      </x:c>
      <x:c r="E5" s="24" t="str">
        <x:v>Coregonus</x:v>
      </x:c>
      <x:c r="F5" s="24" t="str">
        <x:v>Whitefishes</x:v>
      </x:c>
      <x:c r="G5" s="24" t="str">
        <x:v>Medium pelagics (30 - 89 cm)</x:v>
      </x:c>
      <x:c r="H5" s="24" t="str">
        <x:v>Salmon, smelts, etc</x:v>
      </x:c>
      <x:c r="I5" s="31" t="n">
        <x:v>118.4718704</x:v>
      </x:c>
      <x:c r="J5" s="31" t="n">
        <x:v>118.4718704</x:v>
      </x:c>
      <x:c r="K5" s="31" t="n">
        <x:v>0</x:v>
      </x:c>
      <x:c r="L5" s="31" t="n">
        <x:v>0</x:v>
      </x:c>
      <x:c r="M5" s="31" t="n">
        <x:v>118.4718704</x:v>
      </x:c>
      <x:c r="N5" s="24" t="str">
        <x:v>coregonus</x:v>
      </x:c>
      <x:c r="O5" s="32" t="n">
        <x:v>3.3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Coregonus</x:v>
      </x:c>
      <x:c r="T5" s="32" t="n">
        <x:f>IF(O5="","",(1/'Metadata'!$B$5)^(O5-1))</x:f>
        <x:v>199.52623149688787</x:v>
      </x:c>
      <x:c r="U5" s="31" t="n">
        <x:f>IF(T5="","",I5*T5)</x:f>
        <x:v>23638.2458392997</x:v>
      </x:c>
    </x:row>
    <x:row r="6" ht="18" customHeight="1">
      <x:c r="A6" s="24" t="str">
        <x:v>EEZ_912</x:v>
      </x:c>
      <x:c r="B6" s="24" t="str">
        <x:v>Russia (Kara Sea)</x:v>
      </x:c>
      <x:c r="C6" s="24" t="str">
        <x:v>EEZ</x:v>
      </x:c>
      <x:c r="D6" s="30" t="n">
        <x:v>2019</x:v>
      </x:c>
      <x:c r="E6" s="24" t="str">
        <x:v>Coregonus autumnalis</x:v>
      </x:c>
      <x:c r="F6" s="24" t="str">
        <x:v>Arctic cisco</x:v>
      </x:c>
      <x:c r="G6" s="24" t="str">
        <x:v>Medium pelagics (30 - 89 cm)</x:v>
      </x:c>
      <x:c r="H6" s="24" t="str">
        <x:v>Salmon, smelts, etc</x:v>
      </x:c>
      <x:c r="I6" s="31" t="n">
        <x:v>11.5928203</x:v>
      </x:c>
      <x:c r="J6" s="31" t="n">
        <x:v>11.5928203</x:v>
      </x:c>
      <x:c r="K6" s="31" t="n">
        <x:v>0</x:v>
      </x:c>
      <x:c r="L6" s="31" t="n">
        <x:v>0</x:v>
      </x:c>
      <x:c r="M6" s="31" t="n">
        <x:v>11.5928203</x:v>
      </x:c>
      <x:c r="N6" s="24" t="str">
        <x:v>coregonus autumnalis</x:v>
      </x:c>
      <x:c r="O6" s="32" t="n">
        <x:v>3.67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Coregonus autumnalis</x:v>
      </x:c>
      <x:c r="T6" s="32" t="n">
        <x:f>IF(O6="","",(1/'Metadata'!$B$5)^(O6-1))</x:f>
        <x:v>467.73514128719813</x:v>
      </x:c>
      <x:c r="U6" s="31" t="n">
        <x:f>IF(T6="","",I6*T6)</x:f>
        <x:v>5422.3694409375985</x:v>
      </x:c>
    </x:row>
  </x:sheetData>
  <x:conditionalFormatting sqref="R2:R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80ed5359601b418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1</x:v>
      </x:c>
      <x:c r="C2" s="33" t="n">
        <x:v>1</x:v>
      </x:c>
      <x:c r="D2" s="31" t="n">
        <x:v>296.56235155</x:v>
      </x:c>
      <x:c r="E2" s="31" t="n">
        <x:v>296.56235155</x:v>
      </x:c>
      <x:c r="F2" s="32" t="n">
        <x:v>0</x:v>
      </x:c>
      <x:c r="G2" s="34" t="n">
        <x:v>1</x:v>
      </x:c>
      <x:c r="H2" s="32" t="n">
        <x:f>IF(E2=0,"",I2/E2)</x:f>
        <x:v>190.54607179632464</x:v>
      </x:c>
      <x:c r="I2" s="31" t="n">
        <x:f>IF(C2=0,"",SUMIF('Species'!$H$2:$H$6,A2,'Species'!$U$2:$U$6))</x:f>
        <x:v>56508.79113053317</x:v>
      </x:c>
      <x:c r="J2" s="32" t="n">
        <x:v>3.28</x:v>
      </x:c>
      <x:c r="K2" s="32" t="n">
        <x:f>IF(J2="","",(1/'Metadata'!$B$5)^(J2-1))</x:f>
        <x:v>190.54607179632464</x:v>
      </x:c>
      <x:c r="L2" s="31" t="n">
        <x:f>IF(E2=0,"",E2*K2)</x:f>
        <x:v>56508.79113053317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Salmon, smelts, etc</x:v>
      </x:c>
      <x:c r="B3" s="33" t="n">
        <x:v>4</x:v>
      </x:c>
      <x:c r="C3" s="33" t="n">
        <x:v>4</x:v>
      </x:c>
      <x:c r="D3" s="31" t="n">
        <x:v>450.9719648</x:v>
      </x:c>
      <x:c r="E3" s="31" t="n">
        <x:v>450.9719648</x:v>
      </x:c>
      <x:c r="F3" s="32" t="n">
        <x:v>0</x:v>
      </x:c>
      <x:c r="G3" s="34" t="n">
        <x:v>1</x:v>
      </x:c>
      <x:c r="H3" s="32" t="n">
        <x:f>IF(E3=0,"",I3/E3)</x:f>
        <x:v>190.5493590354668</x:v>
      </x:c>
      <x:c r="I3" s="31" t="n">
        <x:f>IF(C3=0,"",SUMIF('Species'!$H$2:$H$6,A3,'Species'!$U$2:$U$6))</x:f>
        <x:v>85932.4188356051</x:v>
      </x:c>
      <x:c r="J3" s="32" t="n">
        <x:v>3.272194768906397</x:v>
      </x:c>
      <x:c r="K3" s="32" t="n">
        <x:f>IF(J3="","",(1/'Metadata'!$B$5)^(J3-1))</x:f>
        <x:v>187.1521277040659</x:v>
      </x:c>
      <x:c r="L3" s="31" t="n">
        <x:f>IF(E3=0,"",E3*K3)</x:f>
        <x:v>84400.36274720311</x:v>
      </x:c>
      <x:c r="M3" s="31" t="n">
        <x:f>IF(E3=0,"",I3-L3)</x:f>
        <x:v>1532.0560884019942</x:v>
      </x:c>
      <x:c r="N3" s="32" t="n">
        <x:f>IF(L3=0,"",I3/L3)</x:f>
        <x:v>1.0181522453048077</x:v>
      </x:c>
      <x:c r="O3" s="34" t="n">
        <x:f>IF(L3=0,"",M3/L3)</x:f>
        <x:v>0.01815224530480782</x:v>
      </x:c>
    </x:row>
  </x:sheetData>
  <x:conditionalFormatting sqref="G2:G3">
    <x:cfRule type="cellIs" dxfId="1" priority="1" operator="lessThan">
      <x:formula>0.9</x:formula>
    </x:cfRule>
  </x:conditionalFormatting>
  <x:conditionalFormatting sqref="O2:O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27765d5736c49f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benthopelagics (&gt;=90 cm)</x:v>
      </x:c>
      <x:c r="B2" s="33" t="n">
        <x:v>1</x:v>
      </x:c>
      <x:c r="C2" s="33" t="n">
        <x:v>1</x:v>
      </x:c>
      <x:c r="D2" s="31" t="n">
        <x:v>200.882191</x:v>
      </x:c>
      <x:c r="E2" s="31" t="n">
        <x:v>200.882191</x:v>
      </x:c>
      <x:c r="F2" s="32" t="n">
        <x:v>0</x:v>
      </x:c>
      <x:c r="G2" s="34" t="n">
        <x:v>1</x:v>
      </x:c>
      <x:c r="H2" s="32" t="n">
        <x:f>IF(E2=0,"",I2/E2)</x:f>
        <x:v>186.20871366628674</x:v>
      </x:c>
      <x:c r="I2" s="31" t="n">
        <x:f>IF(C2=0,"",SUMIF('Species'!$G$2:$G$6,A2,'Species'!$U$2:$U$6))</x:f>
        <x:v>37406.01438457533</x:v>
      </x:c>
      <x:c r="J2" s="32" t="n">
        <x:v>3.27</x:v>
      </x:c>
      <x:c r="K2" s="32" t="n">
        <x:f>IF(J2="","",(1/'Metadata'!$B$5)^(J2-1))</x:f>
        <x:v>186.20871366628674</x:v>
      </x:c>
      <x:c r="L2" s="31" t="n">
        <x:f>IF(E2=0,"",E2*K2)</x:f>
        <x:v>37406.01438457533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Medium demersals (30 - 89 cm)</x:v>
      </x:c>
      <x:c r="B3" s="33" t="n">
        <x:v>1</x:v>
      </x:c>
      <x:c r="C3" s="33" t="n">
        <x:v>1</x:v>
      </x:c>
      <x:c r="D3" s="31" t="n">
        <x:v>296.56235155</x:v>
      </x:c>
      <x:c r="E3" s="31" t="n">
        <x:v>296.56235155</x:v>
      </x:c>
      <x:c r="F3" s="32" t="n">
        <x:v>0</x:v>
      </x:c>
      <x:c r="G3" s="34" t="n">
        <x:v>1</x:v>
      </x:c>
      <x:c r="H3" s="32" t="n">
        <x:f>IF(E3=0,"",I3/E3)</x:f>
        <x:v>190.54607179632464</x:v>
      </x:c>
      <x:c r="I3" s="31" t="n">
        <x:f>IF(C3=0,"",SUMIF('Species'!$G$2:$G$6,A3,'Species'!$U$2:$U$6))</x:f>
        <x:v>56508.79113053317</x:v>
      </x:c>
      <x:c r="J3" s="32" t="n">
        <x:v>3.28</x:v>
      </x:c>
      <x:c r="K3" s="32" t="n">
        <x:f>IF(J3="","",(1/'Metadata'!$B$5)^(J3-1))</x:f>
        <x:v>190.54607179632464</x:v>
      </x:c>
      <x:c r="L3" s="31" t="n">
        <x:f>IF(E3=0,"",E3*K3)</x:f>
        <x:v>56508.79113053317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Medium pelagics (30 - 89 cm)</x:v>
      </x:c>
      <x:c r="B4" s="33" t="n">
        <x:v>3</x:v>
      </x:c>
      <x:c r="C4" s="33" t="n">
        <x:v>3</x:v>
      </x:c>
      <x:c r="D4" s="31" t="n">
        <x:v>250.08977380000002</x:v>
      </x:c>
      <x:c r="E4" s="31" t="n">
        <x:v>250.08977380000002</x:v>
      </x:c>
      <x:c r="F4" s="32" t="n">
        <x:v>0</x:v>
      </x:c>
      <x:c r="G4" s="34" t="n">
        <x:v>1</x:v>
      </x:c>
      <x:c r="H4" s="32" t="n">
        <x:f>IF(E4=0,"",I4/E4)</x:f>
        <x:v>194.0359404292834</x:v>
      </x:c>
      <x:c r="I4" s="31" t="n">
        <x:f>IF(C4=0,"",SUMIF('Species'!$G$2:$G$6,A4,'Species'!$U$2:$U$6))</x:f>
        <x:v>48526.40445102976</x:v>
      </x:c>
      <x:c r="J4" s="32" t="n">
        <x:v>3.2739576957944365</x:v>
      </x:c>
      <x:c r="K4" s="32" t="n">
        <x:f>IF(J4="","",(1/'Metadata'!$B$5)^(J4-1))</x:f>
        <x:v>187.91337632849303</x:v>
      </x:c>
      <x:c r="L4" s="31" t="n">
        <x:f>IF(E4=0,"",E4*K4)</x:f>
        <x:v>46995.2137799871</x:v>
      </x:c>
      <x:c r="M4" s="31" t="n">
        <x:f>IF(E4=0,"",I4-L4)</x:f>
        <x:v>1531.1906710426629</x:v>
      </x:c>
      <x:c r="N4" s="32" t="n">
        <x:f>IF(L4=0,"",I4/L4)</x:f>
        <x:v>1.0325818428704483</x:v>
      </x:c>
      <x:c r="O4" s="34" t="n">
        <x:f>IF(L4=0,"",M4/L4)</x:f>
        <x:v>0.03258184287044823</x:v>
      </x:c>
    </x:row>
  </x:sheetData>
  <x:conditionalFormatting sqref="G2:G4">
    <x:cfRule type="cellIs" dxfId="2" priority="1" operator="lessThan">
      <x:formula>0.9</x:formula>
    </x:cfRule>
  </x:conditionalFormatting>
  <x:conditionalFormatting sqref="O2:O4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7e3bb6a147846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EEZ_912</x:v>
      </x:c>
      <x:c r="B2" s="24" t="str">
        <x:v>raw_filtered_tonnes</x:v>
      </x:c>
      <x:c r="C2" s="24" t="n">
        <x:v>747.53431635</x:v>
      </x:c>
      <x:c r="D2" s="24" t="str">
        <x:v>tonnes</x:v>
      </x:c>
    </x:row>
    <x:row r="3" ht="18" customHeight="1">
      <x:c r="A3" s="24" t="str">
        <x:v>EEZ_912</x:v>
      </x:c>
      <x:c r="B3" s="24" t="str">
        <x:v>species_catch_tonnes</x:v>
      </x:c>
      <x:c r="C3" s="24" t="n">
        <x:v>747.53431635</x:v>
      </x:c>
      <x:c r="D3" s="24" t="str">
        <x:v>tonnes</x:v>
      </x:c>
    </x:row>
    <x:row r="4" ht="18" customHeight="1">
      <x:c r="A4" s="24" t="str">
        <x:v>EEZ_912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EEZ_912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EEZ_912</x:v>
      </x:c>
      <x:c r="B6" s="24" t="str">
        <x:v>matched_catch_tonnes</x:v>
      </x:c>
      <x:c r="C6" s="24" t="n">
        <x:v>747.53431635</x:v>
      </x:c>
      <x:c r="D6" s="24" t="str">
        <x:v>tonnes</x:v>
      </x:c>
    </x:row>
    <x:row r="7" ht="18" customHeight="1">
      <x:c r="A7" s="24" t="str">
        <x:v>EEZ_912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EEZ_912</x:v>
      </x:c>
      <x:c r="B8" s="24" t="str">
        <x:v>taxa_count</x:v>
      </x:c>
      <x:c r="C8" s="24" t="n">
        <x:v>5</x:v>
      </x:c>
      <x:c r="D8" s="24" t="str">
        <x:v>count</x:v>
      </x:c>
    </x:row>
    <x:row r="9" ht="18" customHeight="1">
      <x:c r="A9" s="24" t="str">
        <x:v>EEZ_912</x:v>
      </x:c>
      <x:c r="B9" s="24" t="str">
        <x:v>matched_taxa_count</x:v>
      </x:c>
      <x:c r="C9" s="24" t="n">
        <x:v>5</x:v>
      </x:c>
      <x:c r="D9" s="24" t="str">
        <x:v>count</x:v>
      </x:c>
    </x:row>
    <x:row r="10" ht="18" customHeight="1">
      <x:c r="A10" s="24" t="str">
        <x:v>EEZ_912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EEZ_912</x:v>
      </x:c>
      <x:c r="B11" s="24" t="str">
        <x:v>species_ppr</x:v>
      </x:c>
      <x:c r="C11" s="24" t="n">
        <x:v>142441.20996613824</x:v>
      </x:c>
      <x:c r="D11" s="24" t="str">
        <x:v>tonnes_primary_production_equivalent</x:v>
      </x:c>
    </x:row>
    <x:row r="12" ht="18" customHeight="1">
      <x:c r="A12" s="24" t="str">
        <x:v>EEZ_912</x:v>
      </x:c>
      <x:c r="B12" s="24" t="str">
        <x:v>commercial_ppr</x:v>
      </x:c>
      <x:c r="C12" s="24" t="n">
        <x:v>142441.20996613827</x:v>
      </x:c>
      <x:c r="D12" s="24" t="str">
        <x:v>tonnes_primary_production_equivalent</x:v>
      </x:c>
    </x:row>
    <x:row r="13" ht="18" customHeight="1">
      <x:c r="A13" s="24" t="str">
        <x:v>EEZ_912</x:v>
      </x:c>
      <x:c r="B13" s="24" t="str">
        <x:v>functional_ppr</x:v>
      </x:c>
      <x:c r="C13" s="24" t="n">
        <x:v>142441.20996613827</x:v>
      </x:c>
      <x:c r="D13" s="24" t="str">
        <x:v>tonnes_primary_production_equivalent</x:v>
      </x:c>
    </x:row>
    <x:row r="14" ht="18" customHeight="1">
      <x:c r="A14" s="24" t="str">
        <x:v>EEZ_912</x:v>
      </x:c>
      <x:c r="B14" s="24" t="str">
        <x:v>commercial_ppr_difference</x:v>
      </x:c>
      <x:c r="C14" s="24" t="n">
        <x:v>2.9103830456733704e-11</x:v>
      </x:c>
      <x:c r="D14" s="24" t="str">
        <x:v>tonnes_primary_production_equivalent</x:v>
      </x:c>
    </x:row>
    <x:row r="15" ht="18" customHeight="1">
      <x:c r="A15" s="24" t="str">
        <x:v>EEZ_912</x:v>
      </x:c>
      <x:c r="B15" s="24" t="str">
        <x:v>functional_ppr_difference</x:v>
      </x:c>
      <x:c r="C15" s="24" t="n">
        <x:v>2.9103830456733704e-11</x:v>
      </x:c>
      <x:c r="D15" s="24" t="str">
        <x:v>tonnes_primary_production_equivalent</x:v>
      </x:c>
    </x:row>
    <x:row r="16" ht="18" customHeight="1">
      <x:c r="A16" s="24" t="str">
        <x:v>EEZ_912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EEZ_912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EEZ_912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EEZ_912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b334336a0d341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EEZ_912 - Russia (Kara Sea)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EEZ_912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raw_data/SAU_downloads/EEZ_912-catch.zip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