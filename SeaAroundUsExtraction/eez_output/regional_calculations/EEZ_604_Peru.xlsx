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d9ba9bab6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b9c0f31653a4be8"/>
    <x:sheet xmlns:r="http://schemas.openxmlformats.org/officeDocument/2006/relationships" name="Commercial" sheetId="2" r:id="R597d7ffc27214700"/>
    <x:sheet xmlns:r="http://schemas.openxmlformats.org/officeDocument/2006/relationships" name="Functional" sheetId="3" r:id="R115fb2560fee42e4"/>
    <x:sheet xmlns:r="http://schemas.openxmlformats.org/officeDocument/2006/relationships" name="Missing TL" sheetId="4" r:id="R2b50385ad8184c1e"/>
    <x:sheet xmlns:r="http://schemas.openxmlformats.org/officeDocument/2006/relationships" name="Validation" sheetId="5" r:id="R61cc3510d5d44fbc"/>
    <x:sheet xmlns:r="http://schemas.openxmlformats.org/officeDocument/2006/relationships" name="Metadata" sheetId="6" r:id="R00465d0b6eff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87b96be514497" /><Relationship Type="http://schemas.openxmlformats.org/officeDocument/2006/relationships/theme" Target="/xl/theme/theme1.xml" Id="Rd085f773bf774dc9" /><Relationship Type="http://schemas.microsoft.com/office/2022/11/relationships/FeaturePropertyBag" Target="/xl/featurePropertyBag/featurePropertyBag.xml" Id="Rd4884ab46a694a54" /><Relationship Type="http://schemas.openxmlformats.org/officeDocument/2006/relationships/sharedStrings" Target="/xl/sharedStrings.xml" Id="R0480b8e29b334471" /><Relationship Type="http://schemas.openxmlformats.org/officeDocument/2006/relationships/worksheet" Target="/xl/worksheets/sheet1.xml" Id="R8b9c0f31653a4be8" /><Relationship Type="http://schemas.openxmlformats.org/officeDocument/2006/relationships/worksheet" Target="/xl/worksheets/sheet2.xml" Id="R597d7ffc27214700" /><Relationship Type="http://schemas.openxmlformats.org/officeDocument/2006/relationships/worksheet" Target="/xl/worksheets/sheet3.xml" Id="R115fb2560fee42e4" /><Relationship Type="http://schemas.openxmlformats.org/officeDocument/2006/relationships/worksheet" Target="/xl/worksheets/sheet4.xml" Id="R2b50385ad8184c1e" /><Relationship Type="http://schemas.openxmlformats.org/officeDocument/2006/relationships/worksheet" Target="/xl/worksheets/sheet5.xml" Id="R61cc3510d5d44fbc" /><Relationship Type="http://schemas.openxmlformats.org/officeDocument/2006/relationships/worksheet" Target="/xl/worksheets/sheet6.xml" Id="R00465d0b6eff40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04SpeciesTable" displayName="EEZ604SpeciesTable" ref="A1:U114" headerRowCount="1" totalsRowCount="0" totalsRowShown="0">
  <x:autoFilter ref="A1:U11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04CommercialTable" displayName="EEZ60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04FunctionalTable" displayName="EEZ604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04ValidationTable" displayName="EEZ60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7507e6b0a94e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b720fe180346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f454bdc52a41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b207ab72c441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EEZ_604</x:v>
      </x:c>
      <x:c r="B2" s="24" t="str">
        <x:v>Peru</x:v>
      </x:c>
      <x:c r="C2" s="24" t="str">
        <x:v>EEZ</x:v>
      </x:c>
      <x:c r="D2" s="30" t="n">
        <x:v>2019</x:v>
      </x:c>
      <x:c r="E2" s="24" t="str">
        <x:v>Engraulis ringens</x:v>
      </x:c>
      <x:c r="F2" s="24" t="str">
        <x:v>Anchoveta</x:v>
      </x:c>
      <x:c r="G2" s="24" t="str">
        <x:v>Small pelagics (&lt;30 cm)</x:v>
      </x:c>
      <x:c r="H2" s="24" t="str">
        <x:v>Anchovies</x:v>
      </x:c>
      <x:c r="I2" s="31" t="n">
        <x:v>4058467.593259968</x:v>
      </x:c>
      <x:c r="J2" s="31" t="n">
        <x:v>3910558.4700125037</x:v>
      </x:c>
      <x:c r="K2" s="31" t="n">
        <x:v>147909.123247464</x:v>
      </x:c>
      <x:c r="L2" s="31" t="n">
        <x:v>3610892.324699994</x:v>
      </x:c>
      <x:c r="M2" s="31" t="n">
        <x:v>447575.2685599734</x:v>
      </x:c>
      <x:c r="N2" s="24" t="str">
        <x:v>engraulis ringens</x:v>
      </x:c>
      <x:c r="O2" s="32" t="n">
        <x:v>2.7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ringens</x:v>
      </x:c>
      <x:c r="T2" s="32" t="n">
        <x:f>IF(O2="","",(1/'Metadata'!$B$5)^(O2-1))</x:f>
        <x:v>50.11872336272725</x:v>
      </x:c>
      <x:c r="U2" s="31" t="n">
        <x:f>IF(T2="","",I2*T2)</x:f>
        <x:v>203405214.5831898</x:v>
      </x:c>
    </x:row>
    <x:row r="3" ht="18" customHeight="1">
      <x:c r="A3" s="24" t="str">
        <x:v>EEZ_604</x:v>
      </x:c>
      <x:c r="B3" s="24" t="str">
        <x:v>Peru</x:v>
      </x:c>
      <x:c r="C3" s="24" t="str">
        <x:v>EEZ</x:v>
      </x:c>
      <x:c r="D3" s="30" t="n">
        <x:v>2019</x:v>
      </x:c>
      <x:c r="E3" s="24" t="str">
        <x:v>Dosidicus gigas</x:v>
      </x:c>
      <x:c r="F3" s="24" t="str">
        <x:v>Jumbo flying squid</x:v>
      </x:c>
      <x:c r="G3" s="24" t="str">
        <x:v>Cephalopods</x:v>
      </x:c>
      <x:c r="H3" s="24" t="str">
        <x:v>Other fishes &amp; inverts</x:v>
      </x:c>
      <x:c r="I3" s="31" t="n">
        <x:v>778885.5459603574</x:v>
      </x:c>
      <x:c r="J3" s="31" t="n">
        <x:v>719510.5459603574</x:v>
      </x:c>
      <x:c r="K3" s="31" t="n">
        <x:v>59375</x:v>
      </x:c>
      <x:c r="L3" s="31" t="n">
        <x:v>692771.4910200003</x:v>
      </x:c>
      <x:c r="M3" s="31" t="n">
        <x:v>86114.05494035709</x:v>
      </x:c>
      <x:c r="N3" s="24" t="str">
        <x:v>dosidicus gigas</x:v>
      </x:c>
      <x:c r="O3" s="32" t="n">
        <x:v>4.14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Dosidicus gigas</x:v>
      </x:c>
      <x:c r="T3" s="32" t="n">
        <x:f>IF(O3="","",(1/'Metadata'!$B$5)^(O3-1))</x:f>
        <x:v>1380.3842646028838</x:v>
      </x:c>
      <x:c r="U3" s="31" t="n">
        <x:f>IF(T3="","",I3*T3)</x:f>
        <x:v>1075161351.5703037</x:v>
      </x:c>
    </x:row>
    <x:row r="4" ht="18" customHeight="1">
      <x:c r="A4" s="24" t="str">
        <x:v>EEZ_604</x:v>
      </x:c>
      <x:c r="B4" s="24" t="str">
        <x:v>Peru</x:v>
      </x:c>
      <x:c r="C4" s="24" t="str">
        <x:v>EEZ</x:v>
      </x:c>
      <x:c r="D4" s="30" t="n">
        <x:v>2019</x:v>
      </x:c>
      <x:c r="E4" s="24" t="str">
        <x:v>Trachurus murphyi</x:v>
      </x:c>
      <x:c r="F4" s="24" t="str">
        <x:v>Chilean jack mackerel</x:v>
      </x:c>
      <x:c r="G4" s="24" t="str">
        <x:v>Medium pelagics (30 - 89 cm)</x:v>
      </x:c>
      <x:c r="H4" s="24" t="str">
        <x:v>Perch-likes</x:v>
      </x:c>
      <x:c r="I4" s="31" t="n">
        <x:v>305727.1612841214</x:v>
      </x:c>
      <x:c r="J4" s="31" t="n">
        <x:v>305661.4591092132</x:v>
      </x:c>
      <x:c r="K4" s="31" t="n">
        <x:v>65.70217490819999</x:v>
      </x:c>
      <x:c r="L4" s="31" t="n">
        <x:v>298515.6482780554</x:v>
      </x:c>
      <x:c r="M4" s="31" t="n">
        <x:v>7211.513006065999</x:v>
      </x:c>
      <x:c r="N4" s="24" t="str">
        <x:v>trachurus murphyi</x:v>
      </x:c>
      <x:c r="O4" s="32" t="n">
        <x:v>3.33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murphyi</x:v>
      </x:c>
      <x:c r="T4" s="32" t="n">
        <x:f>IF(O4="","",(1/'Metadata'!$B$5)^(O4-1))</x:f>
        <x:v>213.79620895022325</x:v>
      </x:c>
      <x:c r="U4" s="31" t="n">
        <x:f>IF(T4="","",I4*T4)</x:f>
        <x:v>65363308.05565862</x:v>
      </x:c>
    </x:row>
    <x:row r="5" ht="18" customHeight="1">
      <x:c r="A5" s="24" t="str">
        <x:v>EEZ_604</x:v>
      </x:c>
      <x:c r="B5" s="24" t="str">
        <x:v>Peru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180325.6219305146</x:v>
      </x:c>
      <x:c r="J5" s="31" t="n">
        <x:v>173470.6523179429</x:v>
      </x:c>
      <x:c r="K5" s="31" t="n">
        <x:v>6854.9696125717</x:v>
      </x:c>
      <x:c r="L5" s="31" t="n">
        <x:v>164048.9559800933</x:v>
      </x:c>
      <x:c r="M5" s="31" t="n">
        <x:v>16276.6659504213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34360338.903088726</x:v>
      </x:c>
    </x:row>
    <x:row r="6" ht="18" customHeight="1">
      <x:c r="A6" s="24" t="str">
        <x:v>EEZ_604</x:v>
      </x:c>
      <x:c r="B6" s="24" t="str">
        <x:v>Peru</x:v>
      </x:c>
      <x:c r="C6" s="24" t="str">
        <x:v>EEZ</x:v>
      </x:c>
      <x:c r="D6" s="30" t="n">
        <x:v>2019</x:v>
      </x:c>
      <x:c r="E6" s="24" t="str">
        <x:v>Sarda chiliensis</x:v>
      </x:c>
      <x:c r="F6" s="24" t="str">
        <x:v>Eastern Pacific bonito</x:v>
      </x:c>
      <x:c r="G6" s="24" t="str">
        <x:v>Medium pelagics (30 - 89 cm)</x:v>
      </x:c>
      <x:c r="H6" s="24" t="str">
        <x:v>Tuna &amp; billfishes</x:v>
      </x:c>
      <x:c r="I6" s="31" t="n">
        <x:v>101378.7233840757</x:v>
      </x:c>
      <x:c r="J6" s="31" t="n">
        <x:v>101358.0531665849</x:v>
      </x:c>
      <x:c r="K6" s="31" t="n">
        <x:v>20.6702174908</x:v>
      </x:c>
      <x:c r="L6" s="31" t="n">
        <x:v>82866</x:v>
      </x:c>
      <x:c r="M6" s="31" t="n">
        <x:v>18512.7233840757</x:v>
      </x:c>
      <x:c r="N6" s="24" t="str">
        <x:v>sarda chiliensis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Sarda chiliensis</x:v>
      </x:c>
      <x:c r="T6" s="32" t="n">
        <x:f>IF(O6="","",(1/'Metadata'!$B$5)^(O6-1))</x:f>
        <x:v>3090.295432513592</x:v>
      </x:c>
      <x:c r="U6" s="31" t="n">
        <x:f>IF(T6="","",I6*T6)</x:f>
        <x:v>313290205.827868</x:v>
      </x:c>
    </x:row>
    <x:row r="7" ht="18" customHeight="1">
      <x:c r="A7" s="24" t="str">
        <x:v>EEZ_604</x:v>
      </x:c>
      <x:c r="B7" s="24" t="str">
        <x:v>Peru</x:v>
      </x:c>
      <x:c r="C7" s="24" t="str">
        <x:v>EEZ</x:v>
      </x:c>
      <x:c r="D7" s="30" t="n">
        <x:v>2019</x:v>
      </x:c>
      <x:c r="E7" s="24" t="str">
        <x:v>Scomber japonicus</x:v>
      </x:c>
      <x:c r="F7" s="24" t="str">
        <x:v>Pacific chub mackerel</x:v>
      </x:c>
      <x:c r="G7" s="24" t="str">
        <x:v>Medium pelagics (30 - 89 cm)</x:v>
      </x:c>
      <x:c r="H7" s="24" t="str">
        <x:v>Perch-likes</x:v>
      </x:c>
      <x:c r="I7" s="31" t="n">
        <x:v>92749.92152749331</x:v>
      </x:c>
      <x:c r="J7" s="31" t="n">
        <x:v>92480.0926325764</x:v>
      </x:c>
      <x:c r="K7" s="31" t="n">
        <x:v>269.8288949169</x:v>
      </x:c>
      <x:c r="L7" s="31" t="n">
        <x:v>80242.0228811734</x:v>
      </x:c>
      <x:c r="M7" s="31" t="n">
        <x:v>12507.8986463199</x:v>
      </x:c>
      <x:c r="N7" s="24" t="str">
        <x:v>scomber japonicus</x:v>
      </x:c>
      <x:c r="O7" s="32" t="n">
        <x:v>3.38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 japonicus</x:v>
      </x:c>
      <x:c r="T7" s="32" t="n">
        <x:f>IF(O7="","",(1/'Metadata'!$B$5)^(O7-1))</x:f>
        <x:v>239.88329190194898</x:v>
      </x:c>
      <x:c r="U7" s="31" t="n">
        <x:f>IF(T7="","",I7*T7)</x:f>
        <x:v>22249156.499662537</x:v>
      </x:c>
    </x:row>
    <x:row r="8" ht="18" customHeight="1">
      <x:c r="A8" s="24" t="str">
        <x:v>EEZ_604</x:v>
      </x:c>
      <x:c r="B8" s="24" t="str">
        <x:v>Peru</x:v>
      </x:c>
      <x:c r="C8" s="24" t="str">
        <x:v>EEZ</x:v>
      </x:c>
      <x:c r="D8" s="30" t="n">
        <x:v>2019</x:v>
      </x:c>
      <x:c r="E8" s="24" t="str">
        <x:v>Merluccius peruanus</x:v>
      </x:c>
      <x:c r="F8" s="24" t="str">
        <x:v>Peruvian hake</x:v>
      </x:c>
      <x:c r="G8" s="24" t="str">
        <x:v>Medium bathydemersals (30 - 89 cm)</x:v>
      </x:c>
      <x:c r="H8" s="24" t="str">
        <x:v>Cod-likes</x:v>
      </x:c>
      <x:c r="I8" s="31" t="n">
        <x:v>64956.5698671911</x:v>
      </x:c>
      <x:c r="J8" s="31" t="n">
        <x:v>64820.4846474113</x:v>
      </x:c>
      <x:c r="K8" s="31" t="n">
        <x:v>136.0852197798</x:v>
      </x:c>
      <x:c r="L8" s="31" t="n">
        <x:v>54604.36</x:v>
      </x:c>
      <x:c r="M8" s="31" t="n">
        <x:v>10352.2098671911</x:v>
      </x:c>
      <x:c r="N8" s="24" t="str">
        <x:v>merluccius peruanus</x:v>
      </x:c>
      <x:c r="O8" s="32" t="n">
        <x:v>4.4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Merluccius peruanus</x:v>
      </x:c>
      <x:c r="T8" s="32" t="n">
        <x:f>IF(O8="","",(1/'Metadata'!$B$5)^(O8-1))</x:f>
        <x:v>2511.886431509582</x:v>
      </x:c>
      <x:c r="U8" s="31" t="n">
        <x:f>IF(T8="","",I8*T8)</x:f>
        <x:v>163163526.4868015</x:v>
      </x:c>
    </x:row>
    <x:row r="9" ht="18" customHeight="1">
      <x:c r="A9" s="24" t="str">
        <x:v>EEZ_604</x:v>
      </x:c>
      <x:c r="B9" s="24" t="str">
        <x:v>Peru</x:v>
      </x:c>
      <x:c r="C9" s="24" t="str">
        <x:v>EEZ</x:v>
      </x:c>
      <x:c r="D9" s="30" t="n">
        <x:v>2019</x:v>
      </x:c>
      <x:c r="E9" s="24" t="str">
        <x:v>Argopecten purpuratus</x:v>
      </x:c>
      <x:c r="F9" s="24" t="str">
        <x:v>Peruvian calico scallop</x:v>
      </x:c>
      <x:c r="G9" s="24" t="str">
        <x:v>Other demersal invertebrates</x:v>
      </x:c>
      <x:c r="H9" s="24" t="str">
        <x:v>Molluscs</x:v>
      </x:c>
      <x:c r="I9" s="31" t="n">
        <x:v>56958.0909409086</x:v>
      </x:c>
      <x:c r="J9" s="31" t="n">
        <x:v>56958.0909409086</x:v>
      </x:c>
      <x:c r="K9" s="31" t="n">
        <x:v>0</x:v>
      </x:c>
      <x:c r="L9" s="31" t="n">
        <x:v>53957.04</x:v>
      </x:c>
      <x:c r="M9" s="31" t="n">
        <x:v>3001.0509409086</x:v>
      </x:c>
      <x:c r="N9" s="24" t="str">
        <x:v>argopecten purpuratus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Argopecten purpuratus</x:v>
      </x:c>
      <x:c r="T9" s="32" t="n">
        <x:f>IF(O9="","",(1/'Metadata'!$B$5)^(O9-1))</x:f>
        <x:v>10</x:v>
      </x:c>
      <x:c r="U9" s="31" t="n">
        <x:f>IF(T9="","",I9*T9)</x:f>
        <x:v>569580.909409086</x:v>
      </x:c>
    </x:row>
    <x:row r="10" ht="18" customHeight="1">
      <x:c r="A10" s="24" t="str">
        <x:v>EEZ_604</x:v>
      </x:c>
      <x:c r="B10" s="24" t="str">
        <x:v>Peru</x:v>
      </x:c>
      <x:c r="C10" s="24" t="str">
        <x:v>EEZ</x:v>
      </x:c>
      <x:c r="D10" s="30" t="n">
        <x:v>2019</x:v>
      </x:c>
      <x:c r="E10" s="24" t="str">
        <x:v>Katsuwonus pelamis</x:v>
      </x:c>
      <x:c r="F10" s="24" t="str">
        <x:v>Skipjack tuna</x:v>
      </x:c>
      <x:c r="G10" s="24" t="str">
        <x:v>Large pelagics (&gt;=90 cm)</x:v>
      </x:c>
      <x:c r="H10" s="24" t="str">
        <x:v>Tuna &amp; billfishes</x:v>
      </x:c>
      <x:c r="I10" s="31" t="n">
        <x:v>52882.4405058982</x:v>
      </x:c>
      <x:c r="J10" s="31" t="n">
        <x:v>52742.4286225823</x:v>
      </x:c>
      <x:c r="K10" s="31" t="n">
        <x:v>140.0118833159</x:v>
      </x:c>
      <x:c r="L10" s="31" t="n">
        <x:v>52550.9330535227</x:v>
      </x:c>
      <x:c r="M10" s="31" t="n">
        <x:v>331.5074523755</x:v>
      </x:c>
      <x:c r="N10" s="24" t="str">
        <x:v>katsuwonus pelamis</x:v>
      </x:c>
      <x:c r="O10" s="32" t="n">
        <x:v>4.43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Katsuwonus pelamis</x:v>
      </x:c>
      <x:c r="T10" s="32" t="n">
        <x:f>IF(O10="","",(1/'Metadata'!$B$5)^(O10-1))</x:f>
        <x:v>2691.534803926914</x:v>
      </x:c>
      <x:c r="U10" s="31" t="n">
        <x:f>IF(T10="","",I10*T10)</x:f>
        <x:v>142334929.1382194</x:v>
      </x:c>
    </x:row>
    <x:row r="11" ht="18" customHeight="1">
      <x:c r="A11" s="24" t="str">
        <x:v>EEZ_604</x:v>
      </x:c>
      <x:c r="B11" s="24" t="str">
        <x:v>Peru</x:v>
      </x:c>
      <x:c r="C11" s="24" t="str">
        <x:v>EEZ</x:v>
      </x:c>
      <x:c r="D11" s="30" t="n">
        <x:v>2019</x:v>
      </x:c>
      <x:c r="E11" s="24" t="str">
        <x:v>Coryphaena hippurus</x:v>
      </x:c>
      <x:c r="F11" s="24" t="str">
        <x:v>Common dolphinfish</x:v>
      </x:c>
      <x:c r="G11" s="24" t="str">
        <x:v>Large pelagics (&gt;=90 cm)</x:v>
      </x:c>
      <x:c r="H11" s="24" t="str">
        <x:v>Perch-likes</x:v>
      </x:c>
      <x:c r="I11" s="31" t="n">
        <x:v>51104.423128769</x:v>
      </x:c>
      <x:c r="J11" s="31" t="n">
        <x:v>49054.0520096646</x:v>
      </x:c>
      <x:c r="K11" s="31" t="n">
        <x:v>2050.3711191044</x:v>
      </x:c>
      <x:c r="L11" s="31" t="n">
        <x:v>34896.7802179503</x:v>
      </x:c>
      <x:c r="M11" s="31" t="n">
        <x:v>16207.642910818699</x:v>
      </x:c>
      <x:c r="N11" s="24" t="str">
        <x:v>coryphaena hippurus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Coryphaena hippurus</x:v>
      </x:c>
      <x:c r="T11" s="32" t="n">
        <x:f>IF(O11="","",(1/'Metadata'!$B$5)^(O11-1))</x:f>
        <x:v>2344.228815319923</x:v>
      </x:c>
      <x:c r="U11" s="31" t="n">
        <x:f>IF(T11="","",I11*T11)</x:f>
        <x:v>119800461.28876221</x:v>
      </x:c>
    </x:row>
    <x:row r="12" ht="18" customHeight="1">
      <x:c r="A12" s="24" t="str">
        <x:v>EEZ_604</x:v>
      </x:c>
      <x:c r="B12" s="24" t="str">
        <x:v>Peru</x:v>
      </x:c>
      <x:c r="C12" s="24" t="str">
        <x:v>EEZ</x:v>
      </x:c>
      <x:c r="D12" s="30" t="n">
        <x:v>2019</x:v>
      </x:c>
      <x:c r="E12" s="24" t="str">
        <x:v>Mollusca</x:v>
      </x:c>
      <x:c r="F12" s="24" t="str">
        <x:v>Clams, seasnails, squids, octopuses</x:v>
      </x:c>
      <x:c r="G12" s="24" t="str">
        <x:v>Other demersal invertebrates</x:v>
      </x:c>
      <x:c r="H12" s="24" t="str">
        <x:v>Molluscs</x:v>
      </x:c>
      <x:c r="I12" s="31" t="n">
        <x:v>41786.300000000105</x:v>
      </x:c>
      <x:c r="J12" s="31" t="n">
        <x:v>41786.300000000105</x:v>
      </x:c>
      <x:c r="K12" s="31" t="n">
        <x:v>0</x:v>
      </x:c>
      <x:c r="L12" s="31" t="n">
        <x:v>41786.300000000105</x:v>
      </x:c>
      <x:c r="M12" s="31" t="n">
        <x:v>0</x:v>
      </x:c>
      <x:c r="N12" s="24" t="str">
        <x:v>mollusca</x:v>
      </x:c>
      <x:c r="O12" s="32" t="n">
        <x:v>2.1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Mollusca</x:v>
      </x:c>
      <x:c r="T12" s="32" t="n">
        <x:f>IF(O12="","",(1/'Metadata'!$B$5)^(O12-1))</x:f>
        <x:v>12.589254117941675</x:v>
      </x:c>
      <x:c r="U12" s="31" t="n">
        <x:f>IF(T12="","",I12*T12)</x:f>
        <x:v>526058.3493485475</x:v>
      </x:c>
    </x:row>
    <x:row r="13" ht="18" customHeight="1">
      <x:c r="A13" s="24" t="str">
        <x:v>EEZ_604</x:v>
      </x:c>
      <x:c r="B13" s="24" t="str">
        <x:v>Peru</x:v>
      </x:c>
      <x:c r="C13" s="24" t="str">
        <x:v>EEZ</x:v>
      </x:c>
      <x:c r="D13" s="30" t="n">
        <x:v>2019</x:v>
      </x:c>
      <x:c r="E13" s="24" t="str">
        <x:v>Scombridae</x:v>
      </x:c>
      <x:c r="F13" s="24" t="str">
        <x:v>Mackerels, tunas, bonitos</x:v>
      </x:c>
      <x:c r="G13" s="24" t="str">
        <x:v>Medium pelagics (30 - 89 cm)</x:v>
      </x:c>
      <x:c r="H13" s="24" t="str">
        <x:v>Perch-likes</x:v>
      </x:c>
      <x:c r="I13" s="31" t="n">
        <x:v>39249.2580597393</x:v>
      </x:c>
      <x:c r="J13" s="31" t="n">
        <x:v>38839</x:v>
      </x:c>
      <x:c r="K13" s="31" t="n">
        <x:v>410.25805973930005</x:v>
      </x:c>
      <x:c r="L13" s="31" t="n">
        <x:v>38839</x:v>
      </x:c>
      <x:c r="M13" s="31" t="n">
        <x:v>410.25805973930005</x:v>
      </x:c>
      <x:c r="N13" s="24" t="str">
        <x:v>scombridae</x:v>
      </x:c>
      <x:c r="O13" s="32" t="n">
        <x:v>4.26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Scombridae</x:v>
      </x:c>
      <x:c r="T13" s="32" t="n">
        <x:f>IF(O13="","",(1/'Metadata'!$B$5)^(O13-1))</x:f>
        <x:v>1819.7008586099826</x:v>
      </x:c>
      <x:c r="U13" s="31" t="n">
        <x:f>IF(T13="","",I13*T13)</x:f>
        <x:v>71421908.59111239</x:v>
      </x:c>
    </x:row>
    <x:row r="14" ht="18" customHeight="1">
      <x:c r="A14" s="24" t="str">
        <x:v>EEZ_604</x:v>
      </x:c>
      <x:c r="B14" s="24" t="str">
        <x:v>Peru</x:v>
      </x:c>
      <x:c r="C14" s="24" t="str">
        <x:v>EEZ</x:v>
      </x:c>
      <x:c r="D14" s="30" t="n">
        <x:v>2019</x:v>
      </x:c>
      <x:c r="E14" s="24" t="str">
        <x:v>Mugil cephalus</x:v>
      </x:c>
      <x:c r="F14" s="24" t="str">
        <x:v>Flathead grey mullet</x:v>
      </x:c>
      <x:c r="G14" s="24" t="str">
        <x:v>Large benthopelagics (&gt;=90 cm)</x:v>
      </x:c>
      <x:c r="H14" s="24" t="str">
        <x:v>Perch-likes</x:v>
      </x:c>
      <x:c r="I14" s="31" t="n">
        <x:v>34165.9835347641</x:v>
      </x:c>
      <x:c r="J14" s="31" t="n">
        <x:v>34165.9835347641</x:v>
      </x:c>
      <x:c r="K14" s="31" t="n">
        <x:v>0</x:v>
      </x:c>
      <x:c r="L14" s="31" t="n">
        <x:v>24147.000000000004</x:v>
      </x:c>
      <x:c r="M14" s="31" t="n">
        <x:v>10018.9835347641</x:v>
      </x:c>
      <x:c r="N14" s="24" t="str">
        <x:v>mugil cephalus</x:v>
      </x:c>
      <x:c r="O14" s="32" t="n">
        <x:v>2.14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Mugil cephalus</x:v>
      </x:c>
      <x:c r="T14" s="32" t="n">
        <x:f>IF(O14="","",(1/'Metadata'!$B$5)^(O14-1))</x:f>
        <x:v>13.803842646028853</x:v>
      </x:c>
      <x:c r="U14" s="31" t="n">
        <x:f>IF(T14="","",I14*T14)</x:f>
        <x:v>471621.8605606963</x:v>
      </x:c>
    </x:row>
    <x:row r="15" ht="18" customHeight="1">
      <x:c r="A15" s="24" t="str">
        <x:v>EEZ_604</x:v>
      </x:c>
      <x:c r="B15" s="24" t="str">
        <x:v>Peru</x:v>
      </x:c>
      <x:c r="C15" s="24" t="str">
        <x:v>EEZ</x:v>
      </x:c>
      <x:c r="D15" s="30" t="n">
        <x:v>2019</x:v>
      </x:c>
      <x:c r="E15" s="24" t="str">
        <x:v>Coryphaena</x:v>
      </x:c>
      <x:c r="F15" s="24" t="str">
        <x:v>Dolphinfishes</x:v>
      </x:c>
      <x:c r="G15" s="24" t="str">
        <x:v>Large pelagics (&gt;=90 cm)</x:v>
      </x:c>
      <x:c r="H15" s="24" t="str">
        <x:v>Perch-likes</x:v>
      </x:c>
      <x:c r="I15" s="31" t="n">
        <x:v>12740.0478760492</x:v>
      </x:c>
      <x:c r="J15" s="31" t="n">
        <x:v>12740.0478760492</x:v>
      </x:c>
      <x:c r="K15" s="31" t="n">
        <x:v>0</x:v>
      </x:c>
      <x:c r="L15" s="31" t="n">
        <x:v>12740.0478760492</x:v>
      </x:c>
      <x:c r="M15" s="31" t="n">
        <x:v>0</x:v>
      </x:c>
      <x:c r="N15" s="24" t="str">
        <x:v>coryphaena</x:v>
      </x:c>
      <x:c r="O15" s="32" t="n">
        <x:v>4.49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Coryphaena</x:v>
      </x:c>
      <x:c r="T15" s="32" t="n">
        <x:f>IF(O15="","",(1/'Metadata'!$B$5)^(O15-1))</x:f>
        <x:v>3090.295432513592</x:v>
      </x:c>
      <x:c r="U15" s="31" t="n">
        <x:f>IF(T15="","",I15*T15)</x:f>
        <x:v>39370511.761359334</x:v>
      </x:c>
    </x:row>
    <x:row r="16" ht="18" customHeight="1">
      <x:c r="A16" s="24" t="str">
        <x:v>EEZ_604</x:v>
      </x:c>
      <x:c r="B16" s="24" t="str">
        <x:v>Peru</x:v>
      </x:c>
      <x:c r="C16" s="24" t="str">
        <x:v>EEZ</x:v>
      </x:c>
      <x:c r="D16" s="30" t="n">
        <x:v>2019</x:v>
      </x:c>
      <x:c r="E16" s="24" t="str">
        <x:v>Doryteuthis gahi</x:v>
      </x:c>
      <x:c r="F16" s="24" t="str">
        <x:v>Patagonian squid</x:v>
      </x:c>
      <x:c r="G16" s="24" t="str">
        <x:v>Cephalopods</x:v>
      </x:c>
      <x:c r="H16" s="24" t="str">
        <x:v>Other fishes &amp; inverts</x:v>
      </x:c>
      <x:c r="I16" s="31" t="n">
        <x:v>11529.7100000001</x:v>
      </x:c>
      <x:c r="J16" s="31" t="n">
        <x:v>11529.7100000001</x:v>
      </x:c>
      <x:c r="K16" s="31" t="n">
        <x:v>0</x:v>
      </x:c>
      <x:c r="L16" s="31" t="n">
        <x:v>11378.7100000001</x:v>
      </x:c>
      <x:c r="M16" s="31" t="n">
        <x:v>151</x:v>
      </x:c>
      <x:c r="N16" s="24" t="str">
        <x:v>doryteuthis gahi</x:v>
      </x:c>
      <x:c r="O16" s="32" t="n">
        <x:v>3.2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Doryteuthis gahi</x:v>
      </x:c>
      <x:c r="T16" s="32" t="n">
        <x:f>IF(O16="","",(1/'Metadata'!$B$5)^(O16-1))</x:f>
        <x:v>158.48931924611142</x:v>
      </x:c>
      <x:c r="U16" s="31" t="n">
        <x:f>IF(T16="","",I16*T16)</x:f>
        <x:v>1827335.889005099</x:v>
      </x:c>
    </x:row>
    <x:row r="17" ht="18" customHeight="1">
      <x:c r="A17" s="24" t="str">
        <x:v>EEZ_604</x:v>
      </x:c>
      <x:c r="B17" s="24" t="str">
        <x:v>Peru</x:v>
      </x:c>
      <x:c r="C17" s="24" t="str">
        <x:v>EEZ</x:v>
      </x:c>
      <x:c r="D17" s="30" t="n">
        <x:v>2019</x:v>
      </x:c>
      <x:c r="E17" s="24" t="str">
        <x:v>Sciaenidae</x:v>
      </x:c>
      <x:c r="F17" s="24" t="str">
        <x:v>Drums, croakers</x:v>
      </x:c>
      <x:c r="G17" s="24" t="str">
        <x:v>Medium demersals (30 - 89 cm)</x:v>
      </x:c>
      <x:c r="H17" s="24" t="str">
        <x:v>Perch-likes</x:v>
      </x:c>
      <x:c r="I17" s="31" t="n">
        <x:v>11509.948169650499</x:v>
      </x:c>
      <x:c r="J17" s="31" t="n">
        <x:v>11494.948169650499</x:v>
      </x:c>
      <x:c r="K17" s="31" t="n">
        <x:v>15</x:v>
      </x:c>
      <x:c r="L17" s="31" t="n">
        <x:v>9517.48</x:v>
      </x:c>
      <x:c r="M17" s="31" t="n">
        <x:v>1992.4681696505</x:v>
      </x:c>
      <x:c r="N17" s="24" t="str">
        <x:v>sciaenidae</x:v>
      </x:c>
      <x:c r="O17" s="32" t="n">
        <x:v>3.76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Sciaenidae</x:v>
      </x:c>
      <x:c r="T17" s="32" t="n">
        <x:f>IF(O17="","",(1/'Metadata'!$B$5)^(O17-1))</x:f>
        <x:v>575.4399373371566</x:v>
      </x:c>
      <x:c r="U17" s="31" t="n">
        <x:f>IF(T17="","",I17*T17)</x:f>
        <x:v>6623283.853497604</x:v>
      </x:c>
    </x:row>
    <x:row r="18" ht="18" customHeight="1">
      <x:c r="A18" s="24" t="str">
        <x:v>EEZ_604</x:v>
      </x:c>
      <x:c r="B18" s="24" t="str">
        <x:v>Peru</x:v>
      </x:c>
      <x:c r="C18" s="24" t="str">
        <x:v>EEZ</x:v>
      </x:c>
      <x:c r="D18" s="30" t="n">
        <x:v>2019</x:v>
      </x:c>
      <x:c r="E18" s="24" t="str">
        <x:v>Prionace glauca</x:v>
      </x:c>
      <x:c r="F18" s="24" t="str">
        <x:v>Blue shark</x:v>
      </x:c>
      <x:c r="G18" s="24" t="str">
        <x:v>Large sharks (&gt;=90 cm)</x:v>
      </x:c>
      <x:c r="H18" s="24" t="str">
        <x:v>Sharks &amp; rays</x:v>
      </x:c>
      <x:c r="I18" s="31" t="n">
        <x:v>10792.8763403916</x:v>
      </x:c>
      <x:c r="J18" s="31" t="n">
        <x:v>7898.2480119888005</x:v>
      </x:c>
      <x:c r="K18" s="31" t="n">
        <x:v>2894.6283284028</x:v>
      </x:c>
      <x:c r="L18" s="31" t="n">
        <x:v>7166.2480119888005</x:v>
      </x:c>
      <x:c r="M18" s="31" t="n">
        <x:v>3626.6283284028</x:v>
      </x:c>
      <x:c r="N18" s="24" t="str">
        <x:v>prionace glauca</x:v>
      </x:c>
      <x:c r="O18" s="32" t="n">
        <x:v>4.35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Prionace glauca</x:v>
      </x:c>
      <x:c r="T18" s="32" t="n">
        <x:f>IF(O18="","",(1/'Metadata'!$B$5)^(O18-1))</x:f>
        <x:v>2238.7211385683377</x:v>
      </x:c>
      <x:c r="U18" s="31" t="n">
        <x:f>IF(T18="","",I18*T18)</x:f>
        <x:v>24162240.409188755</x:v>
      </x:c>
    </x:row>
    <x:row r="19" ht="18" customHeight="1">
      <x:c r="A19" s="24" t="str">
        <x:v>EEZ_604</x:v>
      </x:c>
      <x:c r="B19" s="24" t="str">
        <x:v>Peru</x:v>
      </x:c>
      <x:c r="C19" s="24" t="str">
        <x:v>EEZ</x:v>
      </x:c>
      <x:c r="D19" s="30" t="n">
        <x:v>2019</x:v>
      </x:c>
      <x:c r="E19" s="24" t="str">
        <x:v>Thunnus albacares</x:v>
      </x:c>
      <x:c r="F19" s="24" t="str">
        <x:v>Yellowfin tuna</x:v>
      </x:c>
      <x:c r="G19" s="24" t="str">
        <x:v>Large pelagics (&gt;=90 cm)</x:v>
      </x:c>
      <x:c r="H19" s="24" t="str">
        <x:v>Tuna &amp; billfishes</x:v>
      </x:c>
      <x:c r="I19" s="31" t="n">
        <x:v>8388.0425023652</x:v>
      </x:c>
      <x:c r="J19" s="31" t="n">
        <x:v>7966.3058811002</x:v>
      </x:c>
      <x:c r="K19" s="31" t="n">
        <x:v>421.736621265</x:v>
      </x:c>
      <x:c r="L19" s="31" t="n">
        <x:v>7856.5086254049</x:v>
      </x:c>
      <x:c r="M19" s="31" t="n">
        <x:v>531.5338769603</x:v>
      </x:c>
      <x:c r="N19" s="24" t="str">
        <x:v>thunnus albacares</x:v>
      </x:c>
      <x:c r="O19" s="32" t="n">
        <x:v>4.41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albacares</x:v>
      </x:c>
      <x:c r="T19" s="32" t="n">
        <x:f>IF(O19="","",(1/'Metadata'!$B$5)^(O19-1))</x:f>
        <x:v>2570.3957827688646</x:v>
      </x:c>
      <x:c r="U19" s="31" t="n">
        <x:f>IF(T19="","",I19*T19)</x:f>
        <x:v>21560589.073765505</x:v>
      </x:c>
    </x:row>
    <x:row r="20" ht="18" customHeight="1">
      <x:c r="A20" s="24" t="str">
        <x:v>EEZ_604</x:v>
      </x:c>
      <x:c r="B20" s="24" t="str">
        <x:v>Peru</x:v>
      </x:c>
      <x:c r="C20" s="24" t="str">
        <x:v>EEZ</x:v>
      </x:c>
      <x:c r="D20" s="30" t="n">
        <x:v>2019</x:v>
      </x:c>
      <x:c r="E20" s="24" t="str">
        <x:v>Ophichthus</x:v>
      </x:c>
      <x:c r="F20" s="24" t="str">
        <x:v>Snake eel</x:v>
      </x:c>
      <x:c r="G20" s="24" t="str">
        <x:v>Medium demersals (30 - 89 cm)</x:v>
      </x:c>
      <x:c r="H20" s="24" t="str">
        <x:v>Other fishes &amp; inverts</x:v>
      </x:c>
      <x:c r="I20" s="31" t="n">
        <x:v>7989.69</x:v>
      </x:c>
      <x:c r="J20" s="31" t="n">
        <x:v>7989.69</x:v>
      </x:c>
      <x:c r="K20" s="31" t="n">
        <x:v>0</x:v>
      </x:c>
      <x:c r="L20" s="31" t="n">
        <x:v>4020.69</x:v>
      </x:c>
      <x:c r="M20" s="31" t="n">
        <x:v>3969</x:v>
      </x:c>
      <x:c r="N20" s="24" t="str">
        <x:v>ophichthus</x:v>
      </x:c>
      <x:c r="O20" s="32" t="n">
        <x:v>4.05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Ophichthus</x:v>
      </x:c>
      <x:c r="T20" s="32" t="n">
        <x:f>IF(O20="","",(1/'Metadata'!$B$5)^(O20-1))</x:f>
        <x:v>1122.018454301963</x:v>
      </x:c>
      <x:c r="U20" s="31" t="n">
        <x:f>IF(T20="","",I20*T20)</x:f>
        <x:v>8964579.62415185</x:v>
      </x:c>
    </x:row>
    <x:row r="21" ht="18" customHeight="1">
      <x:c r="A21" s="24" t="str">
        <x:v>EEZ_604</x:v>
      </x:c>
      <x:c r="B21" s="24" t="str">
        <x:v>Peru</x:v>
      </x:c>
      <x:c r="C21" s="24" t="str">
        <x:v>EEZ</x:v>
      </x:c>
      <x:c r="D21" s="30" t="n">
        <x:v>2019</x:v>
      </x:c>
      <x:c r="E21" s="24" t="str">
        <x:v>Cynoscion analis</x:v>
      </x:c>
      <x:c r="F21" s="24" t="str">
        <x:v>Peruvian weakfish</x:v>
      </x:c>
      <x:c r="G21" s="24" t="str">
        <x:v>Medium demersals (30 - 89 cm)</x:v>
      </x:c>
      <x:c r="H21" s="24" t="str">
        <x:v>Perch-likes</x:v>
      </x:c>
      <x:c r="I21" s="31" t="n">
        <x:v>7985.9653432611</x:v>
      </x:c>
      <x:c r="J21" s="31" t="n">
        <x:v>7970.8621475194</x:v>
      </x:c>
      <x:c r="K21" s="31" t="n">
        <x:v>15.103195741699999</x:v>
      </x:c>
      <x:c r="L21" s="31" t="n">
        <x:v>6612.02</x:v>
      </x:c>
      <x:c r="M21" s="31" t="n">
        <x:v>1373.9453432611</x:v>
      </x:c>
      <x:c r="N21" s="24" t="str">
        <x:v>cynoscion analis</x:v>
      </x:c>
      <x:c r="O21" s="32" t="n">
        <x:v>4.06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Cynoscion analis</x:v>
      </x:c>
      <x:c r="T21" s="32" t="n">
        <x:f>IF(O21="","",(1/'Metadata'!$B$5)^(O21-1))</x:f>
        <x:v>1148.1536214968817</x:v>
      </x:c>
      <x:c r="U21" s="31" t="n">
        <x:f>IF(T21="","",I21*T21)</x:f>
        <x:v>9169115.03001382</x:v>
      </x:c>
    </x:row>
    <x:row r="22" ht="18" customHeight="1">
      <x:c r="A22" s="24" t="str">
        <x:v>EEZ_604</x:v>
      </x:c>
      <x:c r="B22" s="24" t="str">
        <x:v>Peru</x:v>
      </x:c>
      <x:c r="C22" s="24" t="str">
        <x:v>EEZ</x:v>
      </x:c>
      <x:c r="D22" s="30" t="n">
        <x:v>2019</x:v>
      </x:c>
      <x:c r="E22" s="24" t="str">
        <x:v>Merluccius gayi</x:v>
      </x:c>
      <x:c r="F22" s="24" t="str">
        <x:v>South Pacific hake</x:v>
      </x:c>
      <x:c r="G22" s="24" t="str">
        <x:v>Medium bathydemersals (30 - 89 cm)</x:v>
      </x:c>
      <x:c r="H22" s="24" t="str">
        <x:v>Cod-likes</x:v>
      </x:c>
      <x:c r="I22" s="31" t="n">
        <x:v>6598.9153430611</x:v>
      </x:c>
      <x:c r="J22" s="31" t="n">
        <x:v>5292</x:v>
      </x:c>
      <x:c r="K22" s="31" t="n">
        <x:v>1306.9153430611</x:v>
      </x:c>
      <x:c r="L22" s="31" t="n">
        <x:v>5292</x:v>
      </x:c>
      <x:c r="M22" s="31" t="n">
        <x:v>1306.9153430611</x:v>
      </x:c>
      <x:c r="N22" s="24" t="str">
        <x:v>merluccius gayi</x:v>
      </x:c>
      <x:c r="O22" s="32" t="n">
        <x:v>4.26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Merluccius gayi</x:v>
      </x:c>
      <x:c r="T22" s="32" t="n">
        <x:f>IF(O22="","",(1/'Metadata'!$B$5)^(O22-1))</x:f>
        <x:v>1819.7008586099826</x:v>
      </x:c>
      <x:c r="U22" s="31" t="n">
        <x:f>IF(T22="","",I22*T22)</x:f>
        <x:v>12008051.915662872</x:v>
      </x:c>
    </x:row>
    <x:row r="23" ht="18" customHeight="1">
      <x:c r="A23" s="24" t="str">
        <x:v>EEZ_604</x:v>
      </x:c>
      <x:c r="B23" s="24" t="str">
        <x:v>Peru</x:v>
      </x:c>
      <x:c r="C23" s="24" t="str">
        <x:v>EEZ</x:v>
      </x:c>
      <x:c r="D23" s="30" t="n">
        <x:v>2019</x:v>
      </x:c>
      <x:c r="E23" s="24" t="str">
        <x:v>Xiphias gladius</x:v>
      </x:c>
      <x:c r="F23" s="24" t="str">
        <x:v>Swordfish</x:v>
      </x:c>
      <x:c r="G23" s="24" t="str">
        <x:v>Large pelagics (&gt;=90 cm)</x:v>
      </x:c>
      <x:c r="H23" s="24" t="str">
        <x:v>Tuna &amp; billfishes</x:v>
      </x:c>
      <x:c r="I23" s="31" t="n">
        <x:v>5976.4287047823</x:v>
      </x:c>
      <x:c r="J23" s="31" t="n">
        <x:v>5906.6689456846</x:v>
      </x:c>
      <x:c r="K23" s="31" t="n">
        <x:v>69.7597590977</x:v>
      </x:c>
      <x:c r="L23" s="31" t="n">
        <x:v>5838.894911029</x:v>
      </x:c>
      <x:c r="M23" s="31" t="n">
        <x:v>137.53379375330002</x:v>
      </x:c>
      <x:c r="N23" s="24" t="str">
        <x:v>xiphias gladius</x:v>
      </x:c>
      <x:c r="O23" s="32" t="n">
        <x:v>4.53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Xiphias gladius</x:v>
      </x:c>
      <x:c r="T23" s="32" t="n">
        <x:f>IF(O23="","",(1/'Metadata'!$B$5)^(O23-1))</x:f>
        <x:v>3388.4415613920273</x:v>
      </x:c>
      <x:c r="U23" s="31" t="n">
        <x:f>IF(T23="","",I23*T23)</x:f>
        <x:v>20250779.411980666</x:v>
      </x:c>
    </x:row>
    <x:row r="24" ht="18" customHeight="1">
      <x:c r="A24" s="24" t="str">
        <x:v>EEZ_604</x:v>
      </x:c>
      <x:c r="B24" s="24" t="str">
        <x:v>Peru</x:v>
      </x:c>
      <x:c r="C24" s="24" t="str">
        <x:v>EEZ</x:v>
      </x:c>
      <x:c r="D24" s="30" t="n">
        <x:v>2019</x:v>
      </x:c>
      <x:c r="E24" s="24" t="str">
        <x:v>Elasmobranchii</x:v>
      </x:c>
      <x:c r="F24" s="24" t="str">
        <x:v>Sharks, rays, skates</x:v>
      </x:c>
      <x:c r="G24" s="24" t="str">
        <x:v>Large sharks (&gt;=90 cm)</x:v>
      </x:c>
      <x:c r="H24" s="24" t="str">
        <x:v>Sharks &amp; rays</x:v>
      </x:c>
      <x:c r="I24" s="31" t="n">
        <x:v>5772.706007446501</x:v>
      </x:c>
      <x:c r="J24" s="31" t="n">
        <x:v>5452.4556365483</x:v>
      </x:c>
      <x:c r="K24" s="31" t="n">
        <x:v>320.2503708982</x:v>
      </x:c>
      <x:c r="L24" s="31" t="n">
        <x:v>5448.4556365483</x:v>
      </x:c>
      <x:c r="M24" s="31" t="n">
        <x:v>324.2503708982</x:v>
      </x:c>
      <x:c r="N24" s="24" t="str">
        <x:v>elasmobranchii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Elasmobranchii</x:v>
      </x:c>
      <x:c r="T24" s="32" t="n">
        <x:f>IF(O24="","",(1/'Metadata'!$B$5)^(O24-1))</x:f>
        <x:v>1122.018454301963</x:v>
      </x:c>
      <x:c r="U24" s="31" t="n">
        <x:f>IF(T24="","",I24*T24)</x:f>
        <x:v>6477082.671614778</x:v>
      </x:c>
    </x:row>
    <x:row r="25" ht="18" customHeight="1">
      <x:c r="A25" s="24" t="str">
        <x:v>EEZ_604</x:v>
      </x:c>
      <x:c r="B25" s="24" t="str">
        <x:v>Peru</x:v>
      </x:c>
      <x:c r="C25" s="24" t="str">
        <x:v>EEZ</x:v>
      </x:c>
      <x:c r="D25" s="30" t="n">
        <x:v>2019</x:v>
      </x:c>
      <x:c r="E25" s="24" t="str">
        <x:v>Odontesthes regia</x:v>
      </x:c>
      <x:c r="F25" s="24" t="str">
        <x:v>Chilean silverside</x:v>
      </x:c>
      <x:c r="G25" s="24" t="str">
        <x:v>Small pelagics (&lt;30 cm)</x:v>
      </x:c>
      <x:c r="H25" s="24" t="str">
        <x:v>Other fishes &amp; inverts</x:v>
      </x:c>
      <x:c r="I25" s="31" t="n">
        <x:v>5113.1265089338995</x:v>
      </x:c>
      <x:c r="J25" s="31" t="n">
        <x:v>5113.1265089338995</x:v>
      </x:c>
      <x:c r="K25" s="31" t="n">
        <x:v>0</x:v>
      </x:c>
      <x:c r="L25" s="31" t="n">
        <x:v>4370.129999999999</x:v>
      </x:c>
      <x:c r="M25" s="31" t="n">
        <x:v>742.9965089338999</x:v>
      </x:c>
      <x:c r="N25" s="24" t="str">
        <x:v>odontesthes regia</x:v>
      </x:c>
      <x:c r="O25" s="32" t="n">
        <x:v>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Odontesthes regia</x:v>
      </x:c>
      <x:c r="T25" s="32" t="n">
        <x:f>IF(O25="","",(1/'Metadata'!$B$5)^(O25-1))</x:f>
        <x:v>1000</x:v>
      </x:c>
      <x:c r="U25" s="31" t="n">
        <x:f>IF(T25="","",I25*T25)</x:f>
        <x:v>5113126.5089339</x:v>
      </x:c>
    </x:row>
    <x:row r="26" ht="18" customHeight="1">
      <x:c r="A26" s="24" t="str">
        <x:v>EEZ_604</x:v>
      </x:c>
      <x:c r="B26" s="24" t="str">
        <x:v>Peru</x:v>
      </x:c>
      <x:c r="C26" s="24" t="str">
        <x:v>EEZ</x:v>
      </x:c>
      <x:c r="D26" s="30" t="n">
        <x:v>2019</x:v>
      </x:c>
      <x:c r="E26" s="24" t="str">
        <x:v>Loxechinus albus</x:v>
      </x:c>
      <x:c r="F26" s="24" t="str">
        <x:v>Chilean sea urchin</x:v>
      </x:c>
      <x:c r="G26" s="24" t="str">
        <x:v>Other demersal invertebrates</x:v>
      </x:c>
      <x:c r="H26" s="24" t="str">
        <x:v>Other fishes &amp; inverts</x:v>
      </x:c>
      <x:c r="I26" s="31" t="n">
        <x:v>4347.55</x:v>
      </x:c>
      <x:c r="J26" s="31" t="n">
        <x:v>4347.55</x:v>
      </x:c>
      <x:c r="K26" s="31" t="n">
        <x:v>0</x:v>
      </x:c>
      <x:c r="L26" s="31" t="n">
        <x:v>4207.55</x:v>
      </x:c>
      <x:c r="M26" s="31" t="n">
        <x:v>140</x:v>
      </x:c>
      <x:c r="N26" s="24" t="str">
        <x:v>loxechinus albus</x:v>
      </x:c>
      <x:c r="O26" s="32" t="n">
        <x:v>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Loxechinus albus</x:v>
      </x:c>
      <x:c r="T26" s="32" t="n">
        <x:f>IF(O26="","",(1/'Metadata'!$B$5)^(O26-1))</x:f>
        <x:v>10</x:v>
      </x:c>
      <x:c r="U26" s="31" t="n">
        <x:f>IF(T26="","",I26*T26)</x:f>
        <x:v>43475.5</x:v>
      </x:c>
    </x:row>
    <x:row r="27" ht="18" customHeight="1">
      <x:c r="A27" s="24" t="str">
        <x:v>EEZ_604</x:v>
      </x:c>
      <x:c r="B27" s="24" t="str">
        <x:v>Peru</x:v>
      </x:c>
      <x:c r="C27" s="24" t="str">
        <x:v>EEZ</x:v>
      </x:c>
      <x:c r="D27" s="30" t="n">
        <x:v>2019</x:v>
      </x:c>
      <x:c r="E27" s="24" t="str">
        <x:v>Selene peruviana</x:v>
      </x:c>
      <x:c r="F27" s="24" t="str">
        <x:v>Peruvian moonfish</x:v>
      </x:c>
      <x:c r="G27" s="24" t="str">
        <x:v>Small pelagics (&lt;30 cm)</x:v>
      </x:c>
      <x:c r="H27" s="24" t="str">
        <x:v>Perch-likes</x:v>
      </x:c>
      <x:c r="I27" s="31" t="n">
        <x:v>3602.0000000001</x:v>
      </x:c>
      <x:c r="J27" s="31" t="n">
        <x:v>3602.0000000001</x:v>
      </x:c>
      <x:c r="K27" s="31" t="n">
        <x:v>0</x:v>
      </x:c>
      <x:c r="L27" s="31" t="n">
        <x:v>3602.0000000001</x:v>
      </x:c>
      <x:c r="M27" s="31" t="n">
        <x:v>0</x:v>
      </x:c>
      <x:c r="N27" s="24" t="str">
        <x:v>selene peruviana</x:v>
      </x:c>
      <x:c r="O27" s="32" t="n">
        <x:v>4.26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Selene peruviana</x:v>
      </x:c>
      <x:c r="T27" s="32" t="n">
        <x:f>IF(O27="","",(1/'Metadata'!$B$5)^(O27-1))</x:f>
        <x:v>1819.7008586099826</x:v>
      </x:c>
      <x:c r="U27" s="31" t="n">
        <x:f>IF(T27="","",I27*T27)</x:f>
        <x:v>6554562.49271334</x:v>
      </x:c>
    </x:row>
    <x:row r="28" ht="18" customHeight="1">
      <x:c r="A28" s="24" t="str">
        <x:v>EEZ_604</x:v>
      </x:c>
      <x:c r="B28" s="24" t="str">
        <x:v>Peru</x:v>
      </x:c>
      <x:c r="C28" s="24" t="str">
        <x:v>EEZ</x:v>
      </x:c>
      <x:c r="D28" s="30" t="n">
        <x:v>2019</x:v>
      </x:c>
      <x:c r="E28" s="24" t="str">
        <x:v>Ethmidium maculatum</x:v>
      </x:c>
      <x:c r="F28" s="24" t="str">
        <x:v>Pacific menhaden</x:v>
      </x:c>
      <x:c r="G28" s="24" t="str">
        <x:v>Small pelagics (&lt;30 cm)</x:v>
      </x:c>
      <x:c r="H28" s="24" t="str">
        <x:v>Herring-likes</x:v>
      </x:c>
      <x:c r="I28" s="31" t="n">
        <x:v>3558.1315517946</x:v>
      </x:c>
      <x:c r="J28" s="31" t="n">
        <x:v>3546.1315517946</x:v>
      </x:c>
      <x:c r="K28" s="31" t="n">
        <x:v>12</x:v>
      </x:c>
      <x:c r="L28" s="31" t="n">
        <x:v>2121.9099999997998</x:v>
      </x:c>
      <x:c r="M28" s="31" t="n">
        <x:v>1436.2215517948</x:v>
      </x:c>
      <x:c r="N28" s="24" t="str">
        <x:v>ethmidium maculatum</x:v>
      </x:c>
      <x:c r="O28" s="32" t="n">
        <x:v>2.07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Ethmidium maculatum</x:v>
      </x:c>
      <x:c r="T28" s="32" t="n">
        <x:f>IF(O28="","",(1/'Metadata'!$B$5)^(O28-1))</x:f>
        <x:v>11.748975549395292</x:v>
      </x:c>
      <x:c r="U28" s="31" t="n">
        <x:f>IF(T28="","",I28*T28)</x:f>
        <x:v>41804.40060356668</x:v>
      </x:c>
    </x:row>
    <x:row r="29" ht="18" customHeight="1">
      <x:c r="A29" s="24" t="str">
        <x:v>EEZ_604</x:v>
      </x:c>
      <x:c r="B29" s="24" t="str">
        <x:v>Peru</x:v>
      </x:c>
      <x:c r="C29" s="24" t="str">
        <x:v>EEZ</x:v>
      </x:c>
      <x:c r="D29" s="30" t="n">
        <x:v>2019</x:v>
      </x:c>
      <x:c r="E29" s="24" t="str">
        <x:v>Penaeus californiensis</x:v>
      </x:c>
      <x:c r="F29" s="24" t="str">
        <x:v>Yellowleg shrimp</x:v>
      </x:c>
      <x:c r="G29" s="24" t="str">
        <x:v>Shrimps</x:v>
      </x:c>
      <x:c r="H29" s="24" t="str">
        <x:v>Crustaceans</x:v>
      </x:c>
      <x:c r="I29" s="31" t="n">
        <x:v>3550.5699999999997</x:v>
      </x:c>
      <x:c r="J29" s="31" t="n">
        <x:v>3550.5699999999997</x:v>
      </x:c>
      <x:c r="K29" s="31" t="n">
        <x:v>0</x:v>
      </x:c>
      <x:c r="L29" s="31" t="n">
        <x:v>3550.5699999999997</x:v>
      </x:c>
      <x:c r="M29" s="31" t="n">
        <x:v>0</x:v>
      </x:c>
      <x:c r="N29" s="24" t="str">
        <x:v>penaeus californiensis</x:v>
      </x:c>
      <x:c r="O29" s="32" t="n">
        <x:v>2.7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Penaeus californiensis</x:v>
      </x:c>
      <x:c r="T29" s="32" t="n">
        <x:f>IF(O29="","",(1/'Metadata'!$B$5)^(O29-1))</x:f>
        <x:v>50.11872336272725</x:v>
      </x:c>
      <x:c r="U29" s="31" t="n">
        <x:f>IF(T29="","",I29*T29)</x:f>
        <x:v>177950.03560999848</x:v>
      </x:c>
    </x:row>
    <x:row r="30" ht="18" customHeight="1">
      <x:c r="A30" s="24" t="str">
        <x:v>EEZ_604</x:v>
      </x:c>
      <x:c r="B30" s="24" t="str">
        <x:v>Peru</x:v>
      </x:c>
      <x:c r="C30" s="24" t="str">
        <x:v>EEZ</x:v>
      </x:c>
      <x:c r="D30" s="30" t="n">
        <x:v>2019</x:v>
      </x:c>
      <x:c r="E30" s="24" t="str">
        <x:v>Aulacomya atra</x:v>
      </x:c>
      <x:c r="F30" s="24" t="str">
        <x:v>Chilean ribbed mussel</x:v>
      </x:c>
      <x:c r="G30" s="24" t="str">
        <x:v>Other demersal invertebrates</x:v>
      </x:c>
      <x:c r="H30" s="24" t="str">
        <x:v>Molluscs</x:v>
      </x:c>
      <x:c r="I30" s="31" t="n">
        <x:v>3482.2862087051</x:v>
      </x:c>
      <x:c r="J30" s="31" t="n">
        <x:v>3482.2862087051</x:v>
      </x:c>
      <x:c r="K30" s="31" t="n">
        <x:v>0</x:v>
      </x:c>
      <x:c r="L30" s="31" t="n">
        <x:v>1701.85</x:v>
      </x:c>
      <x:c r="M30" s="31" t="n">
        <x:v>1780.4362087051</x:v>
      </x:c>
      <x:c r="N30" s="24" t="str">
        <x:v>aulacomya atra</x:v>
      </x:c>
      <x:c r="O30" s="32" t="n">
        <x:v>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Aulacomya atra</x:v>
      </x:c>
      <x:c r="T30" s="32" t="n">
        <x:f>IF(O30="","",(1/'Metadata'!$B$5)^(O30-1))</x:f>
        <x:v>10</x:v>
      </x:c>
      <x:c r="U30" s="31" t="n">
        <x:f>IF(T30="","",I30*T30)</x:f>
        <x:v>34822.862087051</x:v>
      </x:c>
    </x:row>
    <x:row r="31" ht="18" customHeight="1">
      <x:c r="A31" s="24" t="str">
        <x:v>EEZ_604</x:v>
      </x:c>
      <x:c r="B31" s="24" t="str">
        <x:v>Peru</x:v>
      </x:c>
      <x:c r="C31" s="24" t="str">
        <x:v>EEZ</x:v>
      </x:c>
      <x:c r="D31" s="30" t="n">
        <x:v>2019</x:v>
      </x:c>
      <x:c r="E31" s="24" t="str">
        <x:v>Paralabrax humeralis</x:v>
      </x:c>
      <x:c r="F31" s="24" t="str">
        <x:v>Peruvian rock seabass</x:v>
      </x:c>
      <x:c r="G31" s="24" t="str">
        <x:v>Medium benthopelagics (30 - 89 cm)</x:v>
      </x:c>
      <x:c r="H31" s="24" t="str">
        <x:v>Perch-likes</x:v>
      </x:c>
      <x:c r="I31" s="31" t="n">
        <x:v>3167.5517267999003</x:v>
      </x:c>
      <x:c r="J31" s="31" t="n">
        <x:v>3156.2112918183</x:v>
      </x:c>
      <x:c r="K31" s="31" t="n">
        <x:v>11.3404349816</x:v>
      </x:c>
      <x:c r="L31" s="31" t="n">
        <x:v>2773.3500000000004</x:v>
      </x:c>
      <x:c r="M31" s="31" t="n">
        <x:v>394.20172679990003</x:v>
      </x:c>
      <x:c r="N31" s="24" t="str">
        <x:v>paralabrax humeralis</x:v>
      </x:c>
      <x:c r="O31" s="32" t="n">
        <x:v>4.12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Paralabrax humeralis</x:v>
      </x:c>
      <x:c r="T31" s="32" t="n">
        <x:f>IF(O31="","",(1/'Metadata'!$B$5)^(O31-1))</x:f>
        <x:v>1318.2567385564075</x:v>
      </x:c>
      <x:c r="U31" s="31" t="n">
        <x:f>IF(T31="","",I31*T31)</x:f>
        <x:v>4175646.4085799535</x:v>
      </x:c>
    </x:row>
    <x:row r="32" ht="18" customHeight="1">
      <x:c r="A32" s="24" t="str">
        <x:v>EEZ_604</x:v>
      </x:c>
      <x:c r="B32" s="24" t="str">
        <x:v>Peru</x:v>
      </x:c>
      <x:c r="C32" s="24" t="str">
        <x:v>EEZ</x:v>
      </x:c>
      <x:c r="D32" s="30" t="n">
        <x:v>2019</x:v>
      </x:c>
      <x:c r="E32" s="24" t="str">
        <x:v>Gastropoda</x:v>
      </x:c>
      <x:c r="F32" s="24" t="str">
        <x:v>Sea snails</x:v>
      </x:c>
      <x:c r="G32" s="24" t="str">
        <x:v>Other demersal invertebrates</x:v>
      </x:c>
      <x:c r="H32" s="24" t="str">
        <x:v>Molluscs</x:v>
      </x:c>
      <x:c r="I32" s="31" t="n">
        <x:v>2534.0887442789003</x:v>
      </x:c>
      <x:c r="J32" s="31" t="n">
        <x:v>2534.0887442789003</x:v>
      </x:c>
      <x:c r="K32" s="31" t="n">
        <x:v>0</x:v>
      </x:c>
      <x:c r="L32" s="31" t="n">
        <x:v>2188.48</x:v>
      </x:c>
      <x:c r="M32" s="31" t="n">
        <x:v>345.6087442789</x:v>
      </x:c>
      <x:c r="N32" s="24" t="str">
        <x:v>gastropoda</x:v>
      </x:c>
      <x:c r="O32" s="32" t="n">
        <x:v>3.06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Gastropoda</x:v>
      </x:c>
      <x:c r="T32" s="32" t="n">
        <x:f>IF(O32="","",(1/'Metadata'!$B$5)^(O32-1))</x:f>
        <x:v>114.81536214968828</x:v>
      </x:c>
      <x:c r="U32" s="31" t="n">
        <x:f>IF(T32="","",I32*T32)</x:f>
        <x:v>290952.3168938308</x:v>
      </x:c>
    </x:row>
    <x:row r="33" ht="18" customHeight="1">
      <x:c r="A33" s="24" t="str">
        <x:v>EEZ_604</x:v>
      </x:c>
      <x:c r="B33" s="24" t="str">
        <x:v>Peru</x:v>
      </x:c>
      <x:c r="C33" s="24" t="str">
        <x:v>EEZ</x:v>
      </x:c>
      <x:c r="D33" s="30" t="n">
        <x:v>2019</x:v>
      </x:c>
      <x:c r="E33" s="24" t="str">
        <x:v>Isurus oxyrinchus</x:v>
      </x:c>
      <x:c r="F33" s="24" t="str">
        <x:v>Shortfin mako</x:v>
      </x:c>
      <x:c r="G33" s="24" t="str">
        <x:v>Large sharks (&gt;=90 cm)</x:v>
      </x:c>
      <x:c r="H33" s="24" t="str">
        <x:v>Sharks &amp; rays</x:v>
      </x:c>
      <x:c r="I33" s="31" t="n">
        <x:v>2527.6346457127</x:v>
      </x:c>
      <x:c r="J33" s="31" t="n">
        <x:v>1761.6346457127</x:v>
      </x:c>
      <x:c r="K33" s="31" t="n">
        <x:v>766</x:v>
      </x:c>
      <x:c r="L33" s="31" t="n">
        <x:v>1562.6346457127</x:v>
      </x:c>
      <x:c r="M33" s="31" t="n">
        <x:v>965</x:v>
      </x:c>
      <x:c r="N33" s="24" t="str">
        <x:v>isurus oxyrinchus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Isurus oxyrinchus</x:v>
      </x:c>
      <x:c r="T33" s="32" t="n">
        <x:f>IF(O33="","",(1/'Metadata'!$B$5)^(O33-1))</x:f>
        <x:v>3162.2776601683795</x:v>
      </x:c>
      <x:c r="U33" s="31" t="n">
        <x:f>IF(T33="","",I33*T33)</x:f>
        <x:v>7993082.573204888</x:v>
      </x:c>
    </x:row>
    <x:row r="34" ht="18" customHeight="1">
      <x:c r="A34" s="24" t="str">
        <x:v>EEZ_604</x:v>
      </x:c>
      <x:c r="B34" s="24" t="str">
        <x:v>Peru</x:v>
      </x:c>
      <x:c r="C34" s="24" t="str">
        <x:v>EEZ</x:v>
      </x:c>
      <x:c r="D34" s="30" t="n">
        <x:v>2019</x:v>
      </x:c>
      <x:c r="E34" s="24" t="str">
        <x:v>Isacia conceptionis</x:v>
      </x:c>
      <x:c r="F34" s="24" t="str">
        <x:v>Cabinza grunt</x:v>
      </x:c>
      <x:c r="G34" s="24" t="str">
        <x:v>Medium benthopelagics (30 - 89 cm)</x:v>
      </x:c>
      <x:c r="H34" s="24" t="str">
        <x:v>Perch-likes</x:v>
      </x:c>
      <x:c r="I34" s="31" t="n">
        <x:v>2506.6387564314</x:v>
      </x:c>
      <x:c r="J34" s="31" t="n">
        <x:v>2504.6387564314</x:v>
      </x:c>
      <x:c r="K34" s="31" t="n">
        <x:v>2</x:v>
      </x:c>
      <x:c r="L34" s="31" t="n">
        <x:v>1841.7299999999998</x:v>
      </x:c>
      <x:c r="M34" s="31" t="n">
        <x:v>664.9087564314</x:v>
      </x:c>
      <x:c r="N34" s="24" t="str">
        <x:v>isacia conceptionis</x:v>
      </x:c>
      <x:c r="O34" s="32" t="n">
        <x:v>2.91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Isacia conceptionis</x:v>
      </x:c>
      <x:c r="T34" s="32" t="n">
        <x:f>IF(O34="","",(1/'Metadata'!$B$5)^(O34-1))</x:f>
        <x:v>81.28305161640995</x:v>
      </x:c>
      <x:c r="U34" s="31" t="n">
        <x:f>IF(T34="","",I34*T34)</x:f>
        <x:v>203747.24742270712</x:v>
      </x:c>
    </x:row>
    <x:row r="35" ht="18" customHeight="1">
      <x:c r="A35" s="24" t="str">
        <x:v>EEZ_604</x:v>
      </x:c>
      <x:c r="B35" s="24" t="str">
        <x:v>Peru</x:v>
      </x:c>
      <x:c r="C35" s="24" t="str">
        <x:v>EEZ</x:v>
      </x:c>
      <x:c r="D35" s="30" t="n">
        <x:v>2019</x:v>
      </x:c>
      <x:c r="E35" s="24" t="str">
        <x:v>Batoidea</x:v>
      </x:c>
      <x:c r="F35" s="24" t="str">
        <x:v>Batoids, skates, rays, sawfishes</x:v>
      </x:c>
      <x:c r="G35" s="24" t="str">
        <x:v>Large rays (&gt;=90 cm)</x:v>
      </x:c>
      <x:c r="H35" s="24" t="str">
        <x:v>Sharks &amp; rays</x:v>
      </x:c>
      <x:c r="I35" s="31" t="n">
        <x:v>2108.4971001916</x:v>
      </x:c>
      <x:c r="J35" s="31" t="n">
        <x:v>1856.4864477191002</x:v>
      </x:c>
      <x:c r="K35" s="31" t="n">
        <x:v>252.0106524725</x:v>
      </x:c>
      <x:c r="L35" s="31" t="n">
        <x:v>1707.0000000000002</x:v>
      </x:c>
      <x:c r="M35" s="31" t="n">
        <x:v>401.4971001916</x:v>
      </x:c>
      <x:c r="N35" s="24" t="str">
        <x:v>batoidea</x:v>
      </x:c>
      <x:c r="O35" s="32" t="n">
        <x:v>3.72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Batoidea</x:v>
      </x:c>
      <x:c r="T35" s="32" t="n">
        <x:f>IF(O35="","",(1/'Metadata'!$B$5)^(O35-1))</x:f>
        <x:v>524.8074602497728</x:v>
      </x:c>
      <x:c r="U35" s="31" t="n">
        <x:f>IF(T35="","",I35*T35)</x:f>
        <x:v>1106555.0080955643</x:v>
      </x:c>
    </x:row>
    <x:row r="36" ht="18" customHeight="1">
      <x:c r="A36" s="24" t="str">
        <x:v>EEZ_604</x:v>
      </x:c>
      <x:c r="B36" s="24" t="str">
        <x:v>Peru</x:v>
      </x:c>
      <x:c r="C36" s="24" t="str">
        <x:v>EEZ</x:v>
      </x:c>
      <x:c r="D36" s="30" t="n">
        <x:v>2019</x:v>
      </x:c>
      <x:c r="E36" s="24" t="str">
        <x:v>Cilus gilberti</x:v>
      </x:c>
      <x:c r="F36" s="24" t="str">
        <x:v>Corvina drum</x:v>
      </x:c>
      <x:c r="G36" s="24" t="str">
        <x:v>Medium demersals (30 - 89 cm)</x:v>
      </x:c>
      <x:c r="H36" s="24" t="str">
        <x:v>Perch-likes</x:v>
      </x:c>
      <x:c r="I36" s="31" t="n">
        <x:v>1848.6816879233002</x:v>
      </x:c>
      <x:c r="J36" s="31" t="n">
        <x:v>1846.6816879233002</x:v>
      </x:c>
      <x:c r="K36" s="31" t="n">
        <x:v>2</x:v>
      </x:c>
      <x:c r="L36" s="31" t="n">
        <x:v>1599.19</x:v>
      </x:c>
      <x:c r="M36" s="31" t="n">
        <x:v>249.49168792330002</x:v>
      </x:c>
      <x:c r="N36" s="24" t="str">
        <x:v>cilus gilberti</x:v>
      </x:c>
      <x:c r="O36" s="32" t="n">
        <x:v>3.67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Cilus gilberti</x:v>
      </x:c>
      <x:c r="T36" s="32" t="n">
        <x:f>IF(O36="","",(1/'Metadata'!$B$5)^(O36-1))</x:f>
        <x:v>467.73514128719813</x:v>
      </x:c>
      <x:c r="U36" s="31" t="n">
        <x:f>IF(T36="","",I36*T36)</x:f>
        <x:v>864693.3904958607</x:v>
      </x:c>
    </x:row>
    <x:row r="37" ht="18" customHeight="1">
      <x:c r="A37" s="24" t="str">
        <x:v>EEZ_604</x:v>
      </x:c>
      <x:c r="B37" s="24" t="str">
        <x:v>Peru</x:v>
      </x:c>
      <x:c r="C37" s="24" t="str">
        <x:v>EEZ</x:v>
      </x:c>
      <x:c r="D37" s="30" t="n">
        <x:v>2019</x:v>
      </x:c>
      <x:c r="E37" s="24" t="str">
        <x:v>Marine pelagic fishes not identified</x:v>
      </x:c>
      <x:c r="F37" s="24" t="str">
        <x:v>Pelagic fishes</x:v>
      </x:c>
      <x:c r="G37" s="24" t="str">
        <x:v>Medium pelagics (30 - 89 cm)</x:v>
      </x:c>
      <x:c r="H37" s="24" t="str">
        <x:v>Other fishes &amp; inverts</x:v>
      </x:c>
      <x:c r="I37" s="31" t="n">
        <x:v>1823.5140253301001</x:v>
      </x:c>
      <x:c r="J37" s="31" t="n">
        <x:v>1741.8765531949</x:v>
      </x:c>
      <x:c r="K37" s="31" t="n">
        <x:v>81.6374721352</x:v>
      </x:c>
      <x:c r="L37" s="31" t="n">
        <x:v>1741.8765531949</x:v>
      </x:c>
      <x:c r="M37" s="31" t="n">
        <x:v>81.6374721352</x:v>
      </x:c>
      <x:c r="N37" s="24" t="str">
        <x:v>marine pelagic fishes not identified</x:v>
      </x:c>
      <x:c r="O37" s="32" t="n">
        <x:v>3.35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Marine pelagic fishes not identified</x:v>
      </x:c>
      <x:c r="T37" s="32" t="n">
        <x:f>IF(O37="","",(1/'Metadata'!$B$5)^(O37-1))</x:f>
        <x:v>223.872113856834</x:v>
      </x:c>
      <x:c r="U37" s="31" t="n">
        <x:f>IF(T37="","",I37*T37)</x:f>
        <x:v>408233.93949823384</x:v>
      </x:c>
    </x:row>
    <x:row r="38" ht="18" customHeight="1">
      <x:c r="A38" s="24" t="str">
        <x:v>EEZ_604</x:v>
      </x:c>
      <x:c r="B38" s="24" t="str">
        <x:v>Peru</x:v>
      </x:c>
      <x:c r="C38" s="24" t="str">
        <x:v>EEZ</x:v>
      </x:c>
      <x:c r="D38" s="30" t="n">
        <x:v>2019</x:v>
      </x:c>
      <x:c r="E38" s="24" t="str">
        <x:v>Bivalvia</x:v>
      </x:c>
      <x:c r="F38" s="24" t="str">
        <x:v>Clams</x:v>
      </x:c>
      <x:c r="G38" s="24" t="str">
        <x:v>Other demersal invertebrates</x:v>
      </x:c>
      <x:c r="H38" s="24" t="str">
        <x:v>Molluscs</x:v>
      </x:c>
      <x:c r="I38" s="31" t="n">
        <x:v>1436.8332673097</x:v>
      </x:c>
      <x:c r="J38" s="31" t="n">
        <x:v>1436.8332673097</x:v>
      </x:c>
      <x:c r="K38" s="31" t="n">
        <x:v>0</x:v>
      </x:c>
      <x:c r="L38" s="31" t="n">
        <x:v>1202.56</x:v>
      </x:c>
      <x:c r="M38" s="31" t="n">
        <x:v>234.2732673097</x:v>
      </x:c>
      <x:c r="N38" s="24" t="str">
        <x:v>bivalvia</x:v>
      </x:c>
      <x:c r="O38" s="32" t="n">
        <x:v>2.23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Bivalvia</x:v>
      </x:c>
      <x:c r="T38" s="32" t="n">
        <x:f>IF(O38="","",(1/'Metadata'!$B$5)^(O38-1))</x:f>
        <x:v>16.982436524617444</x:v>
      </x:c>
      <x:c r="U38" s="31" t="n">
        <x:f>IF(T38="","",I38*T38)</x:f>
        <x:v>24400.92975854567</x:v>
      </x:c>
    </x:row>
    <x:row r="39" ht="18" customHeight="1">
      <x:c r="A39" s="24" t="str">
        <x:v>EEZ_604</x:v>
      </x:c>
      <x:c r="B39" s="24" t="str">
        <x:v>Peru</x:v>
      </x:c>
      <x:c r="C39" s="24" t="str">
        <x:v>EEZ</x:v>
      </x:c>
      <x:c r="D39" s="30" t="n">
        <x:v>2019</x:v>
      </x:c>
      <x:c r="E39" s="24" t="str">
        <x:v>Mustelus</x:v>
      </x:c>
      <x:c r="F39" s="24" t="str">
        <x:v>Smoothhounds</x:v>
      </x:c>
      <x:c r="G39" s="24" t="str">
        <x:v>Large sharks (&gt;=90 cm)</x:v>
      </x:c>
      <x:c r="H39" s="24" t="str">
        <x:v>Sharks &amp; rays</x:v>
      </x:c>
      <x:c r="I39" s="31" t="n">
        <x:v>1367.2799999999997</x:v>
      </x:c>
      <x:c r="J39" s="31" t="n">
        <x:v>1367.2799999999997</x:v>
      </x:c>
      <x:c r="K39" s="31" t="n">
        <x:v>0</x:v>
      </x:c>
      <x:c r="L39" s="31" t="n">
        <x:v>1367.2799999999997</x:v>
      </x:c>
      <x:c r="M39" s="31" t="n">
        <x:v>0</x:v>
      </x:c>
      <x:c r="N39" s="24" t="str">
        <x:v>mustelus</x:v>
      </x:c>
      <x:c r="O39" s="32" t="n">
        <x:v>3.73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Mustelus</x:v>
      </x:c>
      <x:c r="T39" s="32" t="n">
        <x:f>IF(O39="","",(1/'Metadata'!$B$5)^(O39-1))</x:f>
        <x:v>537.0317963702527</x:v>
      </x:c>
      <x:c r="U39" s="31" t="n">
        <x:f>IF(T39="","",I39*T39)</x:f>
        <x:v>734272.8345411189</x:v>
      </x:c>
    </x:row>
    <x:row r="40" ht="18" customHeight="1">
      <x:c r="A40" s="24" t="str">
        <x:v>EEZ_604</x:v>
      </x:c>
      <x:c r="B40" s="24" t="str">
        <x:v>Peru</x:v>
      </x:c>
      <x:c r="C40" s="24" t="str">
        <x:v>EEZ</x:v>
      </x:c>
      <x:c r="D40" s="30" t="n">
        <x:v>2019</x:v>
      </x:c>
      <x:c r="E40" s="24" t="str">
        <x:v>Paralonchurus peruanus</x:v>
      </x:c>
      <x:c r="F40" s="24" t="str">
        <x:v>Peruvian banded croaker</x:v>
      </x:c>
      <x:c r="G40" s="24" t="str">
        <x:v>Medium demersals (30 - 89 cm)</x:v>
      </x:c>
      <x:c r="H40" s="24" t="str">
        <x:v>Perch-likes</x:v>
      </x:c>
      <x:c r="I40" s="31" t="n">
        <x:v>1356.9560551467</x:v>
      </x:c>
      <x:c r="J40" s="31" t="n">
        <x:v>1354.6879681504</x:v>
      </x:c>
      <x:c r="K40" s="31" t="n">
        <x:v>2.2680869963</x:v>
      </x:c>
      <x:c r="L40" s="31" t="n">
        <x:v>1114.44</x:v>
      </x:c>
      <x:c r="M40" s="31" t="n">
        <x:v>242.5160551467</x:v>
      </x:c>
      <x:c r="N40" s="24" t="str">
        <x:v>paralonchurus peruanus</x:v>
      </x:c>
      <x:c r="O40" s="32" t="n">
        <x:v>2.17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Paralonchurus peruanus</x:v>
      </x:c>
      <x:c r="T40" s="32" t="n">
        <x:f>IF(O40="","",(1/'Metadata'!$B$5)^(O40-1))</x:f>
        <x:v>14.791083881682072</x:v>
      </x:c>
      <x:c r="U40" s="31" t="n">
        <x:f>IF(T40="","",I40*T40)</x:f>
        <x:v>20070.850835431243</x:v>
      </x:c>
    </x:row>
    <x:row r="41" ht="18" customHeight="1">
      <x:c r="A41" s="24" t="str">
        <x:v>EEZ_604</x:v>
      </x:c>
      <x:c r="B41" s="24" t="str">
        <x:v>Peru</x:v>
      </x:c>
      <x:c r="C41" s="24" t="str">
        <x:v>EEZ</x:v>
      </x:c>
      <x:c r="D41" s="30" t="n">
        <x:v>2019</x:v>
      </x:c>
      <x:c r="E41" s="24" t="str">
        <x:v>Sphyrna zygaena</x:v>
      </x:c>
      <x:c r="F41" s="24" t="str">
        <x:v>Smooth hammerhead</x:v>
      </x:c>
      <x:c r="G41" s="24" t="str">
        <x:v>Large sharks (&gt;=90 cm)</x:v>
      </x:c>
      <x:c r="H41" s="24" t="str">
        <x:v>Sharks &amp; rays</x:v>
      </x:c>
      <x:c r="I41" s="31" t="n">
        <x:v>1241.7090292026</x:v>
      </x:c>
      <x:c r="J41" s="31" t="n">
        <x:v>855.7090292025999</x:v>
      </x:c>
      <x:c r="K41" s="31" t="n">
        <x:v>386</x:v>
      </x:c>
      <x:c r="L41" s="31" t="n">
        <x:v>681.7090292025999</x:v>
      </x:c>
      <x:c r="M41" s="31" t="n">
        <x:v>560</x:v>
      </x:c>
      <x:c r="N41" s="24" t="str">
        <x:v>sphyrna zygaena</x:v>
      </x:c>
      <x:c r="O41" s="32" t="n">
        <x:v>4.94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Sphyrna zygaena</x:v>
      </x:c>
      <x:c r="T41" s="32" t="n">
        <x:f>IF(O41="","",(1/'Metadata'!$B$5)^(O41-1))</x:f>
        <x:v>8709.635899560813</x:v>
      </x:c>
      <x:c r="U41" s="31" t="n">
        <x:f>IF(T41="","",I41*T41)</x:f>
        <x:v>10814833.537551772</x:v>
      </x:c>
    </x:row>
    <x:row r="42" ht="18" customHeight="1">
      <x:c r="A42" s="24" t="str">
        <x:v>EEZ_604</x:v>
      </x:c>
      <x:c r="B42" s="24" t="str">
        <x:v>Peru</x:v>
      </x:c>
      <x:c r="C42" s="24" t="str">
        <x:v>EEZ</x:v>
      </x:c>
      <x:c r="D42" s="30" t="n">
        <x:v>2019</x:v>
      </x:c>
      <x:c r="E42" s="24" t="str">
        <x:v>Tagelus dombeii</x:v>
      </x:c>
      <x:c r="F42" s="24" t="str">
        <x:v>Hard razor clam</x:v>
      </x:c>
      <x:c r="G42" s="24" t="str">
        <x:v>Other demersal invertebrates</x:v>
      </x:c>
      <x:c r="H42" s="24" t="str">
        <x:v>Molluscs</x:v>
      </x:c>
      <x:c r="I42" s="31" t="n">
        <x:v>1028.45</x:v>
      </x:c>
      <x:c r="J42" s="31" t="n">
        <x:v>1028.45</x:v>
      </x:c>
      <x:c r="K42" s="31" t="n">
        <x:v>0</x:v>
      </x:c>
      <x:c r="L42" s="31" t="n">
        <x:v>1028.45</x:v>
      </x:c>
      <x:c r="M42" s="31" t="n">
        <x:v>0</x:v>
      </x:c>
      <x:c r="N42" s="24" t="str">
        <x:v>tagelus dombeii</x:v>
      </x:c>
      <x:c r="O42" s="32" t="n">
        <x:v>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Tagelus dombeii</x:v>
      </x:c>
      <x:c r="T42" s="32" t="n">
        <x:f>IF(O42="","",(1/'Metadata'!$B$5)^(O42-1))</x:f>
        <x:v>10</x:v>
      </x:c>
      <x:c r="U42" s="31" t="n">
        <x:f>IF(T42="","",I42*T42)</x:f>
        <x:v>10284.5</x:v>
      </x:c>
    </x:row>
    <x:row r="43" ht="18" customHeight="1">
      <x:c r="A43" s="24" t="str">
        <x:v>EEZ_604</x:v>
      </x:c>
      <x:c r="B43" s="24" t="str">
        <x:v>Peru</x:v>
      </x:c>
      <x:c r="C43" s="24" t="str">
        <x:v>EEZ</x:v>
      </x:c>
      <x:c r="D43" s="30" t="n">
        <x:v>2019</x:v>
      </x:c>
      <x:c r="E43" s="24" t="str">
        <x:v>Genypterus</x:v>
      </x:c>
      <x:c r="F43" s="24" t="str">
        <x:v>Genypterid cuskeels</x:v>
      </x:c>
      <x:c r="G43" s="24" t="str">
        <x:v>Large bathydemersals (&gt;=90 cm)</x:v>
      </x:c>
      <x:c r="H43" s="24" t="str">
        <x:v>Other fishes &amp; inverts</x:v>
      </x:c>
      <x:c r="I43" s="31" t="n">
        <x:v>1024.55</x:v>
      </x:c>
      <x:c r="J43" s="31" t="n">
        <x:v>1024.55</x:v>
      </x:c>
      <x:c r="K43" s="31" t="n">
        <x:v>0</x:v>
      </x:c>
      <x:c r="L43" s="31" t="n">
        <x:v>1024.55</x:v>
      </x:c>
      <x:c r="M43" s="31" t="n">
        <x:v>0</x:v>
      </x:c>
      <x:c r="N43" s="24" t="str">
        <x:v>genypterus</x:v>
      </x:c>
      <x:c r="O43" s="32" t="n">
        <x:v>4.2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Genypterus</x:v>
      </x:c>
      <x:c r="T43" s="32" t="n">
        <x:f>IF(O43="","",(1/'Metadata'!$B$5)^(O43-1))</x:f>
        <x:v>1584.893192461114</x:v>
      </x:c>
      <x:c r="U43" s="31" t="n">
        <x:f>IF(T43="","",I43*T43)</x:f>
        <x:v>1623802.3203360343</x:v>
      </x:c>
    </x:row>
    <x:row r="44" ht="18" customHeight="1">
      <x:c r="A44" s="24" t="str">
        <x:v>EEZ_604</x:v>
      </x:c>
      <x:c r="B44" s="24" t="str">
        <x:v>Peru</x:v>
      </x:c>
      <x:c r="C44" s="24" t="str">
        <x:v>EEZ</x:v>
      </x:c>
      <x:c r="D44" s="30" t="n">
        <x:v>2019</x:v>
      </x:c>
      <x:c r="E44" s="24" t="str">
        <x:v>Alopias vulpinus</x:v>
      </x:c>
      <x:c r="F44" s="24" t="str">
        <x:v>Thresher</x:v>
      </x:c>
      <x:c r="G44" s="24" t="str">
        <x:v>Large sharks (&gt;=90 cm)</x:v>
      </x:c>
      <x:c r="H44" s="24" t="str">
        <x:v>Sharks &amp; rays</x:v>
      </x:c>
      <x:c r="I44" s="31" t="n">
        <x:v>894.355958958</x:v>
      </x:c>
      <x:c r="J44" s="31" t="n">
        <x:v>611.355958958</x:v>
      </x:c>
      <x:c r="K44" s="31" t="n">
        <x:v>283</x:v>
      </x:c>
      <x:c r="L44" s="31" t="n">
        <x:v>520.355958958</x:v>
      </x:c>
      <x:c r="M44" s="31" t="n">
        <x:v>374</x:v>
      </x:c>
      <x:c r="N44" s="24" t="str">
        <x:v>alopias vulpinus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Alopias vulpinus</x:v>
      </x:c>
      <x:c r="T44" s="32" t="n">
        <x:f>IF(O44="","",(1/'Metadata'!$B$5)^(O44-1))</x:f>
        <x:v>3162.2776601683795</x:v>
      </x:c>
      <x:c r="U44" s="31" t="n">
        <x:f>IF(T44="","",I44*T44)</x:f>
        <x:v>2828201.8692513513</x:v>
      </x:c>
    </x:row>
    <x:row r="45" ht="18" customHeight="1">
      <x:c r="A45" s="24" t="str">
        <x:v>EEZ_604</x:v>
      </x:c>
      <x:c r="B45" s="24" t="str">
        <x:v>Peru</x:v>
      </x:c>
      <x:c r="C45" s="24" t="str">
        <x:v>EEZ</x:v>
      </x:c>
      <x:c r="D45" s="30" t="n">
        <x:v>2019</x:v>
      </x:c>
      <x:c r="E45" s="24" t="str">
        <x:v>Pleuronectiformes</x:v>
      </x:c>
      <x:c r="F45" s="24" t="str">
        <x:v>Flatfishes</x:v>
      </x:c>
      <x:c r="G45" s="24" t="str">
        <x:v>Small to medium flatfishes (&lt;90 cm)</x:v>
      </x:c>
      <x:c r="H45" s="24" t="str">
        <x:v>Flatfishes</x:v>
      </x:c>
      <x:c r="I45" s="31" t="n">
        <x:v>832.651613771</x:v>
      </x:c>
      <x:c r="J45" s="31" t="n">
        <x:v>832.651613771</x:v>
      </x:c>
      <x:c r="K45" s="31" t="n">
        <x:v>0</x:v>
      </x:c>
      <x:c r="L45" s="31" t="n">
        <x:v>780.4</x:v>
      </x:c>
      <x:c r="M45" s="31" t="n">
        <x:v>52.251613771</x:v>
      </x:c>
      <x:c r="N45" s="24" t="str">
        <x:v>pleuronectiformes</x:v>
      </x:c>
      <x:c r="O45" s="32" t="n">
        <x:v>3.57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Pleuronectiformes</x:v>
      </x:c>
      <x:c r="T45" s="32" t="n">
        <x:f>IF(O45="","",(1/'Metadata'!$B$5)^(O45-1))</x:f>
        <x:v>371.5352290971724</x:v>
      </x:c>
      <x:c r="U45" s="31" t="n">
        <x:f>IF(T45="","",I45*T45)</x:f>
        <x:v>309359.4080805388</x:v>
      </x:c>
    </x:row>
    <x:row r="46" ht="18" customHeight="1">
      <x:c r="A46" s="24" t="str">
        <x:v>EEZ_604</x:v>
      </x:c>
      <x:c r="B46" s="24" t="str">
        <x:v>Peru</x:v>
      </x:c>
      <x:c r="C46" s="24" t="str">
        <x:v>EEZ</x:v>
      </x:c>
      <x:c r="D46" s="30" t="n">
        <x:v>2019</x:v>
      </x:c>
      <x:c r="E46" s="24" t="str">
        <x:v>Grimothea monodon</x:v>
      </x:c>
      <x:c r="F46" s="24" t="str">
        <x:v>Squat Lobster</x:v>
      </x:c>
      <x:c r="G46" s="24" t="str">
        <x:v>Lobsters, crabs</x:v>
      </x:c>
      <x:c r="H46" s="24" t="str">
        <x:v>Crustaceans</x:v>
      </x:c>
      <x:c r="I46" s="31" t="n">
        <x:v>792.8057724739999</x:v>
      </x:c>
      <x:c r="J46" s="31" t="n">
        <x:v>8.6565666373</x:v>
      </x:c>
      <x:c r="K46" s="31" t="n">
        <x:v>784.1492058367</x:v>
      </x:c>
      <x:c r="L46" s="31" t="n">
        <x:v>2.3</x:v>
      </x:c>
      <x:c r="M46" s="31" t="n">
        <x:v>790.505772474</x:v>
      </x:c>
      <x:c r="N46" s="24" t="str">
        <x:v>grimothea monodon</x:v>
      </x:c>
      <x:c r="O46" s="32" t="n">
        <x:v>2.74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Grimothea monodon</x:v>
      </x:c>
      <x:c r="T46" s="32" t="n">
        <x:f>IF(O46="","",(1/'Metadata'!$B$5)^(O46-1))</x:f>
        <x:v>54.954087385762485</x:v>
      </x:c>
      <x:c r="U46" s="31" t="n">
        <x:f>IF(T46="","",I46*T46)</x:f>
        <x:v>43567.917700473125</x:v>
      </x:c>
    </x:row>
    <x:row r="47" ht="18" customHeight="1">
      <x:c r="A47" s="24" t="str">
        <x:v>EEZ_604</x:v>
      </x:c>
      <x:c r="B47" s="24" t="str">
        <x:v>Peru</x:v>
      </x:c>
      <x:c r="C47" s="24" t="str">
        <x:v>EEZ</x:v>
      </x:c>
      <x:c r="D47" s="30" t="n">
        <x:v>2019</x:v>
      </x:c>
      <x:c r="E47" s="24" t="str">
        <x:v>Sardinops sagax</x:v>
      </x:c>
      <x:c r="F47" s="24" t="str">
        <x:v>South American pilchard</x:v>
      </x:c>
      <x:c r="G47" s="24" t="str">
        <x:v>Medium pelagics (30 - 89 cm)</x:v>
      </x:c>
      <x:c r="H47" s="24" t="str">
        <x:v>Herring-likes</x:v>
      </x:c>
      <x:c r="I47" s="31" t="n">
        <x:v>785.7725734042999</x:v>
      </x:c>
      <x:c r="J47" s="31" t="n">
        <x:v>785.7725734042999</x:v>
      </x:c>
      <x:c r="K47" s="31" t="n">
        <x:v>0</x:v>
      </x:c>
      <x:c r="L47" s="31" t="n">
        <x:v>22.33105</x:v>
      </x:c>
      <x:c r="M47" s="31" t="n">
        <x:v>763.4415234042999</x:v>
      </x:c>
      <x:c r="N47" s="24" t="str">
        <x:v>sardinops sagax</x:v>
      </x:c>
      <x:c r="O47" s="32" t="n">
        <x:v>2.84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Sardinops sagax</x:v>
      </x:c>
      <x:c r="T47" s="32" t="n">
        <x:f>IF(O47="","",(1/'Metadata'!$B$5)^(O47-1))</x:f>
        <x:v>69.18309709189363</x:v>
      </x:c>
      <x:c r="U47" s="31" t="n">
        <x:f>IF(T47="","",I47*T47)</x:f>
        <x:v>54362.1802379768</x:v>
      </x:c>
    </x:row>
    <x:row r="48" ht="18" customHeight="1">
      <x:c r="A48" s="24" t="str">
        <x:v>EEZ_604</x:v>
      </x:c>
      <x:c r="B48" s="24" t="str">
        <x:v>Peru</x:v>
      </x:c>
      <x:c r="C48" s="24" t="str">
        <x:v>EEZ</x:v>
      </x:c>
      <x:c r="D48" s="30" t="n">
        <x:v>2019</x:v>
      </x:c>
      <x:c r="E48" s="24" t="str">
        <x:v>Clupeidae</x:v>
      </x:c>
      <x:c r="F48" s="24" t="str">
        <x:v>Herrings, sardines, menhadens</x:v>
      </x:c>
      <x:c r="G48" s="24" t="str">
        <x:v>Small pelagics (&lt;30 cm)</x:v>
      </x:c>
      <x:c r="H48" s="24" t="str">
        <x:v>Herring-likes</x:v>
      </x:c>
      <x:c r="I48" s="31" t="n">
        <x:v>761.0609929079</x:v>
      </x:c>
      <x:c r="J48" s="31" t="n">
        <x:v>761.0609929079</x:v>
      </x:c>
      <x:c r="K48" s="31" t="n">
        <x:v>0</x:v>
      </x:c>
      <x:c r="L48" s="31" t="n">
        <x:v>0</x:v>
      </x:c>
      <x:c r="M48" s="31" t="n">
        <x:v>761.0609929079</x:v>
      </x:c>
      <x:c r="N48" s="24" t="str">
        <x:v>clupeidae</x:v>
      </x:c>
      <x:c r="O48" s="32" t="n">
        <x:v>3.16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Clupeidae</x:v>
      </x:c>
      <x:c r="T48" s="32" t="n">
        <x:f>IF(O48="","",(1/'Metadata'!$B$5)^(O48-1))</x:f>
        <x:v>144.5439770745928</x:v>
      </x:c>
      <x:c r="U48" s="31" t="n">
        <x:f>IF(T48="","",I48*T48)</x:f>
        <x:v>110006.78271124631</x:v>
      </x:c>
    </x:row>
    <x:row r="49" ht="18" customHeight="1">
      <x:c r="A49" s="24" t="str">
        <x:v>EEZ_604</x:v>
      </x:c>
      <x:c r="B49" s="24" t="str">
        <x:v>Peru</x:v>
      </x:c>
      <x:c r="C49" s="24" t="str">
        <x:v>EEZ</x:v>
      </x:c>
      <x:c r="D49" s="30" t="n">
        <x:v>2019</x:v>
      </x:c>
      <x:c r="E49" s="24" t="str">
        <x:v>Haemulidae</x:v>
      </x:c>
      <x:c r="F49" s="24" t="str">
        <x:v>Grunts, sweetlips, bonnetmouths</x:v>
      </x:c>
      <x:c r="G49" s="24" t="str">
        <x:v>Medium demersals (30 - 89 cm)</x:v>
      </x:c>
      <x:c r="H49" s="24" t="str">
        <x:v>Perch-likes</x:v>
      </x:c>
      <x:c r="I49" s="31" t="n">
        <x:v>668.9194977818</x:v>
      </x:c>
      <x:c r="J49" s="31" t="n">
        <x:v>668.9194977818</x:v>
      </x:c>
      <x:c r="K49" s="31" t="n">
        <x:v>0</x:v>
      </x:c>
      <x:c r="L49" s="31" t="n">
        <x:v>497.7</x:v>
      </x:c>
      <x:c r="M49" s="31" t="n">
        <x:v>171.21949778180002</x:v>
      </x:c>
      <x:c r="N49" s="24" t="str">
        <x:v>haemulidae</x:v>
      </x:c>
      <x:c r="O49" s="32" t="n">
        <x:v>3.36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Haemulidae</x:v>
      </x:c>
      <x:c r="T49" s="32" t="n">
        <x:f>IF(O49="","",(1/'Metadata'!$B$5)^(O49-1))</x:f>
        <x:v>229.08676527677724</x:v>
      </x:c>
      <x:c r="U49" s="31" t="n">
        <x:f>IF(T49="","",I49*T49)</x:f>
        <x:v>153240.60397739895</x:v>
      </x:c>
    </x:row>
    <x:row r="50" ht="18" customHeight="1">
      <x:c r="A50" s="24" t="str">
        <x:v>EEZ_604</x:v>
      </x:c>
      <x:c r="B50" s="24" t="str">
        <x:v>Peru</x:v>
      </x:c>
      <x:c r="C50" s="24" t="str">
        <x:v>EEZ</x:v>
      </x:c>
      <x:c r="D50" s="30" t="n">
        <x:v>2019</x:v>
      </x:c>
      <x:c r="E50" s="24" t="str">
        <x:v>Fistularia corneta</x:v>
      </x:c>
      <x:c r="F50" s="24" t="str">
        <x:v>Pacific cornetfish</x:v>
      </x:c>
      <x:c r="G50" s="24" t="str">
        <x:v>Large pelagics (&gt;=90 cm)</x:v>
      </x:c>
      <x:c r="H50" s="24" t="str">
        <x:v>Other fishes &amp; inverts</x:v>
      </x:c>
      <x:c r="I50" s="31" t="n">
        <x:v>604.2</x:v>
      </x:c>
      <x:c r="J50" s="31" t="n">
        <x:v>604.2</x:v>
      </x:c>
      <x:c r="K50" s="31" t="n">
        <x:v>0</x:v>
      </x:c>
      <x:c r="L50" s="31" t="n">
        <x:v>604.2</x:v>
      </x:c>
      <x:c r="M50" s="31" t="n">
        <x:v>0</x:v>
      </x:c>
      <x:c r="N50" s="24" t="str">
        <x:v>fistularia corneta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Fistularia corneta</x:v>
      </x:c>
      <x:c r="T50" s="32" t="n">
        <x:f>IF(O50="","",(1/'Metadata'!$B$5)^(O50-1))</x:f>
        <x:v>3162.2776601683795</x:v>
      </x:c>
      <x:c r="U50" s="31" t="n">
        <x:f>IF(T50="","",I50*T50)</x:f>
        <x:v>1910648.162273735</x:v>
      </x:c>
    </x:row>
    <x:row r="51" ht="18" customHeight="1">
      <x:c r="A51" s="24" t="str">
        <x:v>EEZ_604</x:v>
      </x:c>
      <x:c r="B51" s="24" t="str">
        <x:v>Peru</x:v>
      </x:c>
      <x:c r="C51" s="24" t="str">
        <x:v>EEZ</x:v>
      </x:c>
      <x:c r="D51" s="30" t="n">
        <x:v>2019</x:v>
      </x:c>
      <x:c r="E51" s="24" t="str">
        <x:v>Scomberomorus sierra</x:v>
      </x:c>
      <x:c r="F51" s="24" t="str">
        <x:v>Pacific sierra</x:v>
      </x:c>
      <x:c r="G51" s="24" t="str">
        <x:v>Large pelagics (&gt;=90 cm)</x:v>
      </x:c>
      <x:c r="H51" s="24" t="str">
        <x:v>Perch-likes</x:v>
      </x:c>
      <x:c r="I51" s="31" t="n">
        <x:v>601.9619052341001</x:v>
      </x:c>
      <x:c r="J51" s="31" t="n">
        <x:v>601.9619052341001</x:v>
      </x:c>
      <x:c r="K51" s="31" t="n">
        <x:v>0</x:v>
      </x:c>
      <x:c r="L51" s="31" t="n">
        <x:v>552</x:v>
      </x:c>
      <x:c r="M51" s="31" t="n">
        <x:v>49.9619052341</x:v>
      </x:c>
      <x:c r="N51" s="24" t="str">
        <x:v>scomberomorus sierra</x:v>
      </x:c>
      <x:c r="O51" s="32" t="n">
        <x:v>4.49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Scomberomorus sierra</x:v>
      </x:c>
      <x:c r="T51" s="32" t="n">
        <x:f>IF(O51="","",(1/'Metadata'!$B$5)^(O51-1))</x:f>
        <x:v>3090.295432513592</x:v>
      </x:c>
      <x:c r="U51" s="31" t="n">
        <x:f>IF(T51="","",I51*T51)</x:f>
        <x:v>1860240.1262921193</x:v>
      </x:c>
    </x:row>
    <x:row r="52" ht="18" customHeight="1">
      <x:c r="A52" s="24" t="str">
        <x:v>EEZ_604</x:v>
      </x:c>
      <x:c r="B52" s="24" t="str">
        <x:v>Peru</x:v>
      </x:c>
      <x:c r="C52" s="24" t="str">
        <x:v>EEZ</x:v>
      </x:c>
      <x:c r="D52" s="30" t="n">
        <x:v>2019</x:v>
      </x:c>
      <x:c r="E52" s="24" t="str">
        <x:v>Prionotus stephanophrys</x:v>
      </x:c>
      <x:c r="F52" s="24" t="str">
        <x:v>Lumptail searobin</x:v>
      </x:c>
      <x:c r="G52" s="24" t="str">
        <x:v>Medium demersals (30 - 89 cm)</x:v>
      </x:c>
      <x:c r="H52" s="24" t="str">
        <x:v>Scorpionfishes</x:v>
      </x:c>
      <x:c r="I52" s="31" t="n">
        <x:v>539.0979294041999</x:v>
      </x:c>
      <x:c r="J52" s="31" t="n">
        <x:v>499.4064069684</x:v>
      </x:c>
      <x:c r="K52" s="31" t="n">
        <x:v>39.6915224358</x:v>
      </x:c>
      <x:c r="L52" s="31" t="n">
        <x:v>0</x:v>
      </x:c>
      <x:c r="M52" s="31" t="n">
        <x:v>539.0979294041999</x:v>
      </x:c>
      <x:c r="N52" s="24" t="str">
        <x:v>prionotus stephanophrys</x:v>
      </x:c>
      <x:c r="O52" s="32" t="n">
        <x:v>3.5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Prionotus stephanophrys</x:v>
      </x:c>
      <x:c r="T52" s="32" t="n">
        <x:f>IF(O52="","",(1/'Metadata'!$B$5)^(O52-1))</x:f>
        <x:v>316.22776601683796</x:v>
      </x:c>
      <x:c r="U52" s="31" t="n">
        <x:f>IF(T52="","",I52*T52)</x:f>
        <x:v>170477.73387979317</x:v>
      </x:c>
    </x:row>
    <x:row r="53" ht="18" customHeight="1">
      <x:c r="A53" s="24" t="str">
        <x:v>EEZ_604</x:v>
      </x:c>
      <x:c r="B53" s="24" t="str">
        <x:v>Peru</x:v>
      </x:c>
      <x:c r="C53" s="24" t="str">
        <x:v>EEZ</x:v>
      </x:c>
      <x:c r="D53" s="30" t="n">
        <x:v>2019</x:v>
      </x:c>
      <x:c r="E53" s="24" t="str">
        <x:v>Larimus pacificus</x:v>
      </x:c>
      <x:c r="F53" s="24" t="str">
        <x:v>Pacific drum</x:v>
      </x:c>
      <x:c r="G53" s="24" t="str">
        <x:v>Small pelagics (&lt;30 cm)</x:v>
      </x:c>
      <x:c r="H53" s="24" t="str">
        <x:v>Perch-likes</x:v>
      </x:c>
      <x:c r="I53" s="31" t="n">
        <x:v>538.4795361147</x:v>
      </x:c>
      <x:c r="J53" s="31" t="n">
        <x:v>538.4795361147</x:v>
      </x:c>
      <x:c r="K53" s="31" t="n">
        <x:v>0</x:v>
      </x:c>
      <x:c r="L53" s="31" t="n">
        <x:v>467</x:v>
      </x:c>
      <x:c r="M53" s="31" t="n">
        <x:v>71.4795361147</x:v>
      </x:c>
      <x:c r="N53" s="24" t="str">
        <x:v>larimus pacificus</x:v>
      </x:c>
      <x:c r="O53" s="32" t="n">
        <x:v>4.46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Larimus pacificus</x:v>
      </x:c>
      <x:c r="T53" s="32" t="n">
        <x:f>IF(O53="","",(1/'Metadata'!$B$5)^(O53-1))</x:f>
        <x:v>2884.031503126606</x:v>
      </x:c>
      <x:c r="U53" s="31" t="n">
        <x:f>IF(T53="","",I53*T53)</x:f>
        <x:v>1552991.9459437956</x:v>
      </x:c>
    </x:row>
    <x:row r="54" ht="18" customHeight="1">
      <x:c r="A54" s="24" t="str">
        <x:v>EEZ_604</x:v>
      </x:c>
      <x:c r="B54" s="24" t="str">
        <x:v>Peru</x:v>
      </x:c>
      <x:c r="C54" s="24" t="str">
        <x:v>EEZ</x:v>
      </x:c>
      <x:c r="D54" s="30" t="n">
        <x:v>2019</x:v>
      </x:c>
      <x:c r="E54" s="24" t="str">
        <x:v>Brama australis</x:v>
      </x:c>
      <x:c r="F54" s="24" t="str">
        <x:v>Southern rays bream</x:v>
      </x:c>
      <x:c r="G54" s="24" t="str">
        <x:v>Medium pelagics (30 - 89 cm)</x:v>
      </x:c>
      <x:c r="H54" s="24" t="str">
        <x:v>Perch-likes</x:v>
      </x:c>
      <x:c r="I54" s="31" t="n">
        <x:v>522.7661372243999</x:v>
      </x:c>
      <x:c r="J54" s="31" t="n">
        <x:v>0</x:v>
      </x:c>
      <x:c r="K54" s="31" t="n">
        <x:v>522.7661372243999</x:v>
      </x:c>
      <x:c r="L54" s="31" t="n">
        <x:v>0</x:v>
      </x:c>
      <x:c r="M54" s="31" t="n">
        <x:v>522.7661372243999</x:v>
      </x:c>
      <x:c r="N54" s="24" t="str">
        <x:v>brama australis</x:v>
      </x:c>
      <x:c r="O54" s="32" t="n">
        <x:v>4.2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Brama australis</x:v>
      </x:c>
      <x:c r="T54" s="32" t="n">
        <x:f>IF(O54="","",(1/'Metadata'!$B$5)^(O54-1))</x:f>
        <x:v>1584.893192461114</x:v>
      </x:c>
      <x:c r="U54" s="31" t="n">
        <x:f>IF(T54="","",I54*T54)</x:f>
        <x:v>828528.4921361441</x:v>
      </x:c>
    </x:row>
    <x:row r="55" ht="18" customHeight="1">
      <x:c r="A55" s="24" t="str">
        <x:v>EEZ_604</x:v>
      </x:c>
      <x:c r="B55" s="24" t="str">
        <x:v>Peru</x:v>
      </x:c>
      <x:c r="C55" s="24" t="str">
        <x:v>EEZ</x:v>
      </x:c>
      <x:c r="D55" s="30" t="n">
        <x:v>2019</x:v>
      </x:c>
      <x:c r="E55" s="24" t="str">
        <x:v>Epinephelus</x:v>
      </x:c>
      <x:c r="F55" s="24" t="str">
        <x:v>Seabasses, hinds</x:v>
      </x:c>
      <x:c r="G55" s="24" t="str">
        <x:v>Medium reef assoc. fish (30 - 89 cm)</x:v>
      </x:c>
      <x:c r="H55" s="24" t="str">
        <x:v>Perch-likes</x:v>
      </x:c>
      <x:c r="I55" s="31" t="n">
        <x:v>466.12000000000006</x:v>
      </x:c>
      <x:c r="J55" s="31" t="n">
        <x:v>466.12000000000006</x:v>
      </x:c>
      <x:c r="K55" s="31" t="n">
        <x:v>0</x:v>
      </x:c>
      <x:c r="L55" s="31" t="n">
        <x:v>466.12000000000006</x:v>
      </x:c>
      <x:c r="M55" s="31" t="n">
        <x:v>0</x:v>
      </x:c>
      <x:c r="N55" s="24" t="str">
        <x:v>epinephelus</x:v>
      </x:c>
      <x:c r="O55" s="32" t="n">
        <x:v>3.84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Epinephelus</x:v>
      </x:c>
      <x:c r="T55" s="32" t="n">
        <x:f>IF(O55="","",(1/'Metadata'!$B$5)^(O55-1))</x:f>
        <x:v>691.8309709189363</x:v>
      </x:c>
      <x:c r="U55" s="31" t="n">
        <x:f>IF(T55="","",I55*T55)</x:f>
        <x:v>322476.2521647346</x:v>
      </x:c>
    </x:row>
    <x:row r="56" ht="18" customHeight="1">
      <x:c r="A56" s="24" t="str">
        <x:v>EEZ_604</x:v>
      </x:c>
      <x:c r="B56" s="24" t="str">
        <x:v>Peru</x:v>
      </x:c>
      <x:c r="C56" s="24" t="str">
        <x:v>EEZ</x:v>
      </x:c>
      <x:c r="D56" s="30" t="n">
        <x:v>2019</x:v>
      </x:c>
      <x:c r="E56" s="24" t="str">
        <x:v>Cynoglossidae</x:v>
      </x:c>
      <x:c r="F56" s="24" t="str">
        <x:v>Tonguefishes</x:v>
      </x:c>
      <x:c r="G56" s="24" t="str">
        <x:v>Small to medium flatfishes (&lt;90 cm)</x:v>
      </x:c>
      <x:c r="H56" s="24" t="str">
        <x:v>Flatfishes</x:v>
      </x:c>
      <x:c r="I56" s="31" t="n">
        <x:v>462.40000000000003</x:v>
      </x:c>
      <x:c r="J56" s="31" t="n">
        <x:v>462.40000000000003</x:v>
      </x:c>
      <x:c r="K56" s="31" t="n">
        <x:v>0</x:v>
      </x:c>
      <x:c r="L56" s="31" t="n">
        <x:v>462.40000000000003</x:v>
      </x:c>
      <x:c r="M56" s="31" t="n">
        <x:v>0</x:v>
      </x:c>
      <x:c r="N56" s="24" t="str">
        <x:v>cynoglossidae</x:v>
      </x:c>
      <x:c r="O56" s="32" t="n">
        <x:v>3.29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Cynoglossidae</x:v>
      </x:c>
      <x:c r="T56" s="32" t="n">
        <x:f>IF(O56="","",(1/'Metadata'!$B$5)^(O56-1))</x:f>
        <x:v>194.98445997580455</x:v>
      </x:c>
      <x:c r="U56" s="31" t="n">
        <x:f>IF(T56="","",I56*T56)</x:f>
        <x:v>90160.81429281204</x:v>
      </x:c>
    </x:row>
    <x:row r="57" ht="18" customHeight="1">
      <x:c r="A57" s="24" t="str">
        <x:v>EEZ_604</x:v>
      </x:c>
      <x:c r="B57" s="24" t="str">
        <x:v>Peru</x:v>
      </x:c>
      <x:c r="C57" s="24" t="str">
        <x:v>EEZ</x:v>
      </x:c>
      <x:c r="D57" s="30" t="n">
        <x:v>2019</x:v>
      </x:c>
      <x:c r="E57" s="24" t="str">
        <x:v>Chirodactylus variegatus</x:v>
      </x:c>
      <x:c r="F57" s="24" t="str">
        <x:v>Peruvian morwong</x:v>
      </x:c>
      <x:c r="G57" s="24" t="str">
        <x:v>Medium benthopelagics (30 - 89 cm)</x:v>
      </x:c>
      <x:c r="H57" s="24" t="str">
        <x:v>Perch-likes</x:v>
      </x:c>
      <x:c r="I57" s="31" t="n">
        <x:v>361.777255695</x:v>
      </x:c>
      <x:c r="J57" s="31" t="n">
        <x:v>361.777255695</x:v>
      </x:c>
      <x:c r="K57" s="31" t="n">
        <x:v>0</x:v>
      </x:c>
      <x:c r="L57" s="31" t="n">
        <x:v>294.97999999970006</x:v>
      </x:c>
      <x:c r="M57" s="31" t="n">
        <x:v>66.7972556953</x:v>
      </x:c>
      <x:c r="N57" s="24" t="str">
        <x:v>chirodactylus variegatus</x:v>
      </x:c>
      <x:c r="O57" s="32" t="n">
        <x:v>3.65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Chirodactylus variegatus</x:v>
      </x:c>
      <x:c r="T57" s="32" t="n">
        <x:f>IF(O57="","",(1/'Metadata'!$B$5)^(O57-1))</x:f>
        <x:v>446.683592150963</x:v>
      </x:c>
      <x:c r="U57" s="31" t="n">
        <x:f>IF(T57="","",I57*T57)</x:f>
        <x:v>161599.96413236004</x:v>
      </x:c>
    </x:row>
    <x:row r="58" ht="18" customHeight="1">
      <x:c r="A58" s="24" t="str">
        <x:v>EEZ_604</x:v>
      </x:c>
      <x:c r="B58" s="24" t="str">
        <x:v>Peru</x:v>
      </x:c>
      <x:c r="C58" s="24" t="str">
        <x:v>EEZ</x:v>
      </x:c>
      <x:c r="D58" s="30" t="n">
        <x:v>2019</x:v>
      </x:c>
      <x:c r="E58" s="24" t="str">
        <x:v>Stellifer minor</x:v>
      </x:c>
      <x:c r="F58" s="24" t="str">
        <x:v>Minor stardrum</x:v>
      </x:c>
      <x:c r="G58" s="24" t="str">
        <x:v>Medium demersals (30 - 89 cm)</x:v>
      </x:c>
      <x:c r="H58" s="24" t="str">
        <x:v>Perch-likes</x:v>
      </x:c>
      <x:c r="I58" s="31" t="n">
        <x:v>317.4672181658</x:v>
      </x:c>
      <x:c r="J58" s="31" t="n">
        <x:v>317.4672181658</x:v>
      </x:c>
      <x:c r="K58" s="31" t="n">
        <x:v>0</x:v>
      </x:c>
      <x:c r="L58" s="31" t="n">
        <x:v>0</x:v>
      </x:c>
      <x:c r="M58" s="31" t="n">
        <x:v>317.4672181658</x:v>
      </x:c>
      <x:c r="N58" s="24" t="str">
        <x:v>stellifer minor</x:v>
      </x:c>
      <x:c r="O58" s="32" t="n">
        <x:v>3.45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Stellifer minor</x:v>
      </x:c>
      <x:c r="T58" s="32" t="n">
        <x:f>IF(O58="","",(1/'Metadata'!$B$5)^(O58-1))</x:f>
        <x:v>281.8382931264455</x:v>
      </x:c>
      <x:c r="U58" s="31" t="n">
        <x:f>IF(T58="","",I58*T58)</x:f>
        <x:v>89474.41889144995</x:v>
      </x:c>
    </x:row>
    <x:row r="59" ht="18" customHeight="1">
      <x:c r="A59" s="24" t="str">
        <x:v>EEZ_604</x:v>
      </x:c>
      <x:c r="B59" s="24" t="str">
        <x:v>Peru</x:v>
      </x:c>
      <x:c r="C59" s="24" t="str">
        <x:v>EEZ</x:v>
      </x:c>
      <x:c r="D59" s="30" t="n">
        <x:v>2019</x:v>
      </x:c>
      <x:c r="E59" s="24" t="str">
        <x:v>Seriolella violacea</x:v>
      </x:c>
      <x:c r="F59" s="24" t="str">
        <x:v>Palm ruff</x:v>
      </x:c>
      <x:c r="G59" s="24" t="str">
        <x:v>Medium pelagics (30 - 89 cm)</x:v>
      </x:c>
      <x:c r="H59" s="24" t="str">
        <x:v>Perch-likes</x:v>
      </x:c>
      <x:c r="I59" s="31" t="n">
        <x:v>304.8075564469</x:v>
      </x:c>
      <x:c r="J59" s="31" t="n">
        <x:v>304.8075564469</x:v>
      </x:c>
      <x:c r="K59" s="31" t="n">
        <x:v>0</x:v>
      </x:c>
      <x:c r="L59" s="31" t="n">
        <x:v>234.40000000000003</x:v>
      </x:c>
      <x:c r="M59" s="31" t="n">
        <x:v>70.4075564469</x:v>
      </x:c>
      <x:c r="N59" s="24" t="str">
        <x:v>seriolella violacea</x:v>
      </x:c>
      <x:c r="O59" s="32" t="n">
        <x:v>3.53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Seriolella violacea</x:v>
      </x:c>
      <x:c r="T59" s="32" t="n">
        <x:f>IF(O59="","",(1/'Metadata'!$B$5)^(O59-1))</x:f>
        <x:v>338.84415613920237</x:v>
      </x:c>
      <x:c r="U59" s="31" t="n">
        <x:f>IF(T59="","",I59*T59)</x:f>
        <x:v>103282.25924910212</x:v>
      </x:c>
    </x:row>
    <x:row r="60" ht="18" customHeight="1">
      <x:c r="A60" s="24" t="str">
        <x:v>EEZ_604</x:v>
      </x:c>
      <x:c r="B60" s="24" t="str">
        <x:v>Peru</x:v>
      </x:c>
      <x:c r="C60" s="24" t="str">
        <x:v>EEZ</x:v>
      </x:c>
      <x:c r="D60" s="30" t="n">
        <x:v>2019</x:v>
      </x:c>
      <x:c r="E60" s="24" t="str">
        <x:v>Thunnus obesus</x:v>
      </x:c>
      <x:c r="F60" s="24" t="str">
        <x:v>Bigeye tuna</x:v>
      </x:c>
      <x:c r="G60" s="24" t="str">
        <x:v>Large pelagics (&gt;=90 cm)</x:v>
      </x:c>
      <x:c r="H60" s="24" t="str">
        <x:v>Tuna &amp; billfishes</x:v>
      </x:c>
      <x:c r="I60" s="31" t="n">
        <x:v>269.7178566591</x:v>
      </x:c>
      <x:c r="J60" s="31" t="n">
        <x:v>256.89996239879997</x:v>
      </x:c>
      <x:c r="K60" s="31" t="n">
        <x:v>12.8178942603</x:v>
      </x:c>
      <x:c r="L60" s="31" t="n">
        <x:v>256.89996239879997</x:v>
      </x:c>
      <x:c r="M60" s="31" t="n">
        <x:v>12.8178942603</x:v>
      </x:c>
      <x:c r="N60" s="24" t="str">
        <x:v>thunnus obesus</x:v>
      </x:c>
      <x:c r="O60" s="32" t="n">
        <x:v>4.49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obesus</x:v>
      </x:c>
      <x:c r="T60" s="32" t="n">
        <x:f>IF(O60="","",(1/'Metadata'!$B$5)^(O60-1))</x:f>
        <x:v>3090.295432513592</x:v>
      </x:c>
      <x:c r="U60" s="31" t="n">
        <x:f>IF(T60="","",I60*T60)</x:f>
        <x:v>833507.8605009724</x:v>
      </x:c>
    </x:row>
    <x:row r="61" ht="18" customHeight="1">
      <x:c r="A61" s="24" t="str">
        <x:v>EEZ_604</x:v>
      </x:c>
      <x:c r="B61" s="24" t="str">
        <x:v>Peru</x:v>
      </x:c>
      <x:c r="C61" s="24" t="str">
        <x:v>EEZ</x:v>
      </x:c>
      <x:c r="D61" s="30" t="n">
        <x:v>2019</x:v>
      </x:c>
      <x:c r="E61" s="24" t="str">
        <x:v>Hippoglossina macrops</x:v>
      </x:c>
      <x:c r="F61" s="24" t="str">
        <x:v>Bigeye flounder</x:v>
      </x:c>
      <x:c r="G61" s="24" t="str">
        <x:v>Small to medium flatfishes (&lt;90 cm)</x:v>
      </x:c>
      <x:c r="H61" s="24" t="str">
        <x:v>Flatfishes</x:v>
      </x:c>
      <x:c r="I61" s="31" t="n">
        <x:v>257.9220263457</x:v>
      </x:c>
      <x:c r="J61" s="31" t="n">
        <x:v>0</x:v>
      </x:c>
      <x:c r="K61" s="31" t="n">
        <x:v>257.9220263457</x:v>
      </x:c>
      <x:c r="L61" s="31" t="n">
        <x:v>0</x:v>
      </x:c>
      <x:c r="M61" s="31" t="n">
        <x:v>257.9220263457</x:v>
      </x:c>
      <x:c r="N61" s="24" t="str">
        <x:v>hippoglossina macrops</x:v>
      </x:c>
      <x:c r="O61" s="32" t="n">
        <x:v>3.73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Hippoglossina macrops</x:v>
      </x:c>
      <x:c r="T61" s="32" t="n">
        <x:f>IF(O61="","",(1/'Metadata'!$B$5)^(O61-1))</x:f>
        <x:v>537.0317963702527</x:v>
      </x:c>
      <x:c r="U61" s="31" t="n">
        <x:f>IF(T61="","",I61*T61)</x:f>
        <x:v>138512.3291318869</x:v>
      </x:c>
    </x:row>
    <x:row r="62" ht="18" customHeight="1">
      <x:c r="A62" s="24" t="str">
        <x:v>EEZ_604</x:v>
      </x:c>
      <x:c r="B62" s="24" t="str">
        <x:v>Peru</x:v>
      </x:c>
      <x:c r="C62" s="24" t="str">
        <x:v>EEZ</x:v>
      </x:c>
      <x:c r="D62" s="30" t="n">
        <x:v>2019</x:v>
      </x:c>
      <x:c r="E62" s="24" t="str">
        <x:v>Holothuriidae</x:v>
      </x:c>
      <x:c r="F62" s="24" t="str">
        <x:v>Fleshy sea cucumbers</x:v>
      </x:c>
      <x:c r="G62" s="24" t="str">
        <x:v>Other demersal invertebrates</x:v>
      </x:c>
      <x:c r="H62" s="24" t="str">
        <x:v>Other fishes &amp; inverts</x:v>
      </x:c>
      <x:c r="I62" s="31" t="n">
        <x:v>223.00000000000003</x:v>
      </x:c>
      <x:c r="J62" s="31" t="n">
        <x:v>223.00000000000003</x:v>
      </x:c>
      <x:c r="K62" s="31" t="n">
        <x:v>0</x:v>
      </x:c>
      <x:c r="L62" s="31" t="n">
        <x:v>223.00000000000003</x:v>
      </x:c>
      <x:c r="M62" s="31" t="n">
        <x:v>0</x:v>
      </x:c>
      <x:c r="N62" s="24" t="str">
        <x:v>holothuriidae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Holothuriidae</x:v>
      </x:c>
      <x:c r="T62" s="32" t="n">
        <x:f>IF(O62="","",(1/'Metadata'!$B$5)^(O62-1))</x:f>
        <x:v>10</x:v>
      </x:c>
      <x:c r="U62" s="31" t="n">
        <x:f>IF(T62="","",I62*T62)</x:f>
        <x:v>2230.0000000000005</x:v>
      </x:c>
    </x:row>
    <x:row r="63" ht="18" customHeight="1">
      <x:c r="A63" s="24" t="str">
        <x:v>EEZ_604</x:v>
      </x:c>
      <x:c r="B63" s="24" t="str">
        <x:v>Peru</x:v>
      </x:c>
      <x:c r="C63" s="24" t="str">
        <x:v>EEZ</x:v>
      </x:c>
      <x:c r="D63" s="30" t="n">
        <x:v>2019</x:v>
      </x:c>
      <x:c r="E63" s="24" t="str">
        <x:v>Rajiformes</x:v>
      </x:c>
      <x:c r="F63" s="24" t="str">
        <x:v>Skates and rays</x:v>
      </x:c>
      <x:c r="G63" s="24" t="str">
        <x:v>Large rays (&gt;=90 cm)</x:v>
      </x:c>
      <x:c r="H63" s="24" t="str">
        <x:v>Sharks &amp; rays</x:v>
      </x:c>
      <x:c r="I63" s="31" t="n">
        <x:v>213.22</x:v>
      </x:c>
      <x:c r="J63" s="31" t="n">
        <x:v>213.22</x:v>
      </x:c>
      <x:c r="K63" s="31" t="n">
        <x:v>0</x:v>
      </x:c>
      <x:c r="L63" s="31" t="n">
        <x:v>213.22</x:v>
      </x:c>
      <x:c r="M63" s="31" t="n">
        <x:v>0</x:v>
      </x:c>
      <x:c r="N63" s="24" t="str">
        <x:v>rajiformes</x:v>
      </x:c>
      <x:c r="O63" s="32" t="n">
        <x:v>3.61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Rajiformes</x:v>
      </x:c>
      <x:c r="T63" s="32" t="n">
        <x:f>IF(O63="","",(1/'Metadata'!$B$5)^(O63-1))</x:f>
        <x:v>407.3802778041126</x:v>
      </x:c>
      <x:c r="U63" s="31" t="n">
        <x:f>IF(T63="","",I63*T63)</x:f>
        <x:v>86861.62283339289</x:v>
      </x:c>
    </x:row>
    <x:row r="64" ht="18" customHeight="1">
      <x:c r="A64" s="24" t="str">
        <x:v>EEZ_604</x:v>
      </x:c>
      <x:c r="B64" s="24" t="str">
        <x:v>Peru</x:v>
      </x:c>
      <x:c r="C64" s="24" t="str">
        <x:v>EEZ</x:v>
      </x:c>
      <x:c r="D64" s="30" t="n">
        <x:v>2019</x:v>
      </x:c>
      <x:c r="E64" s="24" t="str">
        <x:v>Paralichthyidae</x:v>
      </x:c>
      <x:c r="F64" s="24" t="str">
        <x:v>Largetooth flounders</x:v>
      </x:c>
      <x:c r="G64" s="24" t="str">
        <x:v>Small to medium flatfishes (&lt;90 cm)</x:v>
      </x:c>
      <x:c r="H64" s="24" t="str">
        <x:v>Flatfishes</x:v>
      </x:c>
      <x:c r="I64" s="31" t="n">
        <x:v>195.6232655486</x:v>
      </x:c>
      <x:c r="J64" s="31" t="n">
        <x:v>0</x:v>
      </x:c>
      <x:c r="K64" s="31" t="n">
        <x:v>195.6232655486</x:v>
      </x:c>
      <x:c r="L64" s="31" t="n">
        <x:v>0</x:v>
      </x:c>
      <x:c r="M64" s="31" t="n">
        <x:v>195.6232655486</x:v>
      </x:c>
      <x:c r="N64" s="24" t="str">
        <x:v>paralichthyidae</x:v>
      </x:c>
      <x:c r="O64" s="32" t="n">
        <x:v>4.06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Paralichthyidae</x:v>
      </x:c>
      <x:c r="T64" s="32" t="n">
        <x:f>IF(O64="","",(1/'Metadata'!$B$5)^(O64-1))</x:f>
        <x:v>1148.1536214968817</x:v>
      </x:c>
      <x:c r="U64" s="31" t="n">
        <x:f>IF(T64="","",I64*T64)</x:f>
        <x:v>224605.56078867125</x:v>
      </x:c>
    </x:row>
    <x:row r="65" ht="18" customHeight="1">
      <x:c r="A65" s="24" t="str">
        <x:v>EEZ_604</x:v>
      </x:c>
      <x:c r="B65" s="24" t="str">
        <x:v>Peru</x:v>
      </x:c>
      <x:c r="C65" s="24" t="str">
        <x:v>EEZ</x:v>
      </x:c>
      <x:c r="D65" s="30" t="n">
        <x:v>2019</x:v>
      </x:c>
      <x:c r="E65" s="24" t="str">
        <x:v>Pseudobatos planiceps</x:v>
      </x:c>
      <x:c r="F65" s="24" t="str">
        <x:v>Pacific guitarfish</x:v>
      </x:c>
      <x:c r="G65" s="24" t="str">
        <x:v>Small to medium rays (&lt;90 cm)</x:v>
      </x:c>
      <x:c r="H65" s="24" t="str">
        <x:v>Sharks &amp; rays</x:v>
      </x:c>
      <x:c r="I65" s="31" t="n">
        <x:v>193.9978696945</x:v>
      </x:c>
      <x:c r="J65" s="31" t="n">
        <x:v>157.9978696945</x:v>
      </x:c>
      <x:c r="K65" s="31" t="n">
        <x:v>36</x:v>
      </x:c>
      <x:c r="L65" s="31" t="n">
        <x:v>117.4200000003</x:v>
      </x:c>
      <x:c r="M65" s="31" t="n">
        <x:v>76.57786969419999</x:v>
      </x:c>
      <x:c r="N65" s="24" t="str">
        <x:v>pseudobatos planiceps</x:v>
      </x:c>
      <x:c r="O65" s="32" t="n">
        <x:v>3.56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Pseudobatos planiceps</x:v>
      </x:c>
      <x:c r="T65" s="32" t="n">
        <x:f>IF(O65="","",(1/'Metadata'!$B$5)^(O65-1))</x:f>
        <x:v>363.0780547701014</x:v>
      </x:c>
      <x:c r="U65" s="31" t="n">
        <x:f>IF(T65="","",I65*T65)</x:f>
        <x:v>70436.36915822266</x:v>
      </x:c>
    </x:row>
    <x:row r="66" ht="18" customHeight="1">
      <x:c r="A66" s="24" t="str">
        <x:v>EEZ_604</x:v>
      </x:c>
      <x:c r="B66" s="24" t="str">
        <x:v>Peru</x:v>
      </x:c>
      <x:c r="C66" s="24" t="str">
        <x:v>EEZ</x:v>
      </x:c>
      <x:c r="D66" s="30" t="n">
        <x:v>2019</x:v>
      </x:c>
      <x:c r="E66" s="24" t="str">
        <x:v>Caulolatilus</x:v>
      </x:c>
      <x:c r="F66" s="24" t="str">
        <x:v>Pacific and Atlantic tilefishes</x:v>
      </x:c>
      <x:c r="G66" s="24" t="str">
        <x:v>Medium demersals (30 - 89 cm)</x:v>
      </x:c>
      <x:c r="H66" s="24" t="str">
        <x:v>Perch-likes</x:v>
      </x:c>
      <x:c r="I66" s="31" t="n">
        <x:v>180.0490300856</x:v>
      </x:c>
      <x:c r="J66" s="31" t="n">
        <x:v>180.0490300856</x:v>
      </x:c>
      <x:c r="K66" s="31" t="n">
        <x:v>0</x:v>
      </x:c>
      <x:c r="L66" s="31" t="n">
        <x:v>0</x:v>
      </x:c>
      <x:c r="M66" s="31" t="n">
        <x:v>180.0490300856</x:v>
      </x:c>
      <x:c r="N66" s="24" t="str">
        <x:v>caulolatilus</x:v>
      </x:c>
      <x:c r="O66" s="32" t="n">
        <x:v>4.28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Caulolatilus</x:v>
      </x:c>
      <x:c r="T66" s="32" t="n">
        <x:f>IF(O66="","",(1/'Metadata'!$B$5)^(O66-1))</x:f>
        <x:v>1905.4607179632483</x:v>
      </x:c>
      <x:c r="U66" s="31" t="n">
        <x:f>IF(T66="","",I66*T66)</x:f>
        <x:v>343076.35413549386</x:v>
      </x:c>
    </x:row>
    <x:row r="67" ht="18" customHeight="1">
      <x:c r="A67" s="24" t="str">
        <x:v>EEZ_604</x:v>
      </x:c>
      <x:c r="B67" s="24" t="str">
        <x:v>Peru</x:v>
      </x:c>
      <x:c r="C67" s="24" t="str">
        <x:v>EEZ</x:v>
      </x:c>
      <x:c r="D67" s="30" t="n">
        <x:v>2019</x:v>
      </x:c>
      <x:c r="E67" s="24" t="str">
        <x:v>Mobula birostris</x:v>
      </x:c>
      <x:c r="F67" s="24" t="str">
        <x:v>Giant manta</x:v>
      </x:c>
      <x:c r="G67" s="24" t="str">
        <x:v>Large rays (&gt;=90 cm)</x:v>
      </x:c>
      <x:c r="H67" s="24" t="str">
        <x:v>Sharks &amp; rays</x:v>
      </x:c>
      <x:c r="I67" s="31" t="n">
        <x:v>177</x:v>
      </x:c>
      <x:c r="J67" s="31" t="n">
        <x:v>177</x:v>
      </x:c>
      <x:c r="K67" s="31" t="n">
        <x:v>0</x:v>
      </x:c>
      <x:c r="L67" s="31" t="n">
        <x:v>177</x:v>
      </x:c>
      <x:c r="M67" s="31" t="n">
        <x:v>0</x:v>
      </x:c>
      <x:c r="N67" s="24" t="str">
        <x:v>mobula birostris</x:v>
      </x:c>
      <x:c r="O67" s="32" t="n">
        <x:v>3.46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Mobula birostris</x:v>
      </x:c>
      <x:c r="T67" s="32" t="n">
        <x:f>IF(O67="","",(1/'Metadata'!$B$5)^(O67-1))</x:f>
        <x:v>288.40315031266056</x:v>
      </x:c>
      <x:c r="U67" s="31" t="n">
        <x:f>IF(T67="","",I67*T67)</x:f>
        <x:v>51047.35760534092</x:v>
      </x:c>
    </x:row>
    <x:row r="68" ht="18" customHeight="1">
      <x:c r="A68" s="24" t="str">
        <x:v>EEZ_604</x:v>
      </x:c>
      <x:c r="B68" s="24" t="str">
        <x:v>Peru</x:v>
      </x:c>
      <x:c r="C68" s="24" t="str">
        <x:v>EEZ</x:v>
      </x:c>
      <x:c r="D68" s="30" t="n">
        <x:v>2019</x:v>
      </x:c>
      <x:c r="E68" s="24" t="str">
        <x:v>Malacanthidae</x:v>
      </x:c>
      <x:c r="F68" s="24" t="str">
        <x:v>Tilefishes</x:v>
      </x:c>
      <x:c r="G68" s="24" t="str">
        <x:v>Medium demersals (30 - 89 cm)</x:v>
      </x:c>
      <x:c r="H68" s="24" t="str">
        <x:v>Perch-likes</x:v>
      </x:c>
      <x:c r="I68" s="31" t="n">
        <x:v>154.3</x:v>
      </x:c>
      <x:c r="J68" s="31" t="n">
        <x:v>154.3</x:v>
      </x:c>
      <x:c r="K68" s="31" t="n">
        <x:v>0</x:v>
      </x:c>
      <x:c r="L68" s="31" t="n">
        <x:v>154.3</x:v>
      </x:c>
      <x:c r="M68" s="31" t="n">
        <x:v>0</x:v>
      </x:c>
      <x:c r="N68" s="24" t="str">
        <x:v>malacanthidae</x:v>
      </x:c>
      <x:c r="O68" s="32" t="n">
        <x:v>3.62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Malacanthidae</x:v>
      </x:c>
      <x:c r="T68" s="32" t="n">
        <x:f>IF(O68="","",(1/'Metadata'!$B$5)^(O68-1))</x:f>
        <x:v>416.8693834703355</x:v>
      </x:c>
      <x:c r="U68" s="31" t="n">
        <x:f>IF(T68="","",I68*T68)</x:f>
        <x:v>64322.94586947277</x:v>
      </x:c>
    </x:row>
    <x:row r="69" ht="18" customHeight="1">
      <x:c r="A69" s="24" t="str">
        <x:v>EEZ_604</x:v>
      </x:c>
      <x:c r="B69" s="24" t="str">
        <x:v>Peru</x:v>
      </x:c>
      <x:c r="C69" s="24" t="str">
        <x:v>EEZ</x:v>
      </x:c>
      <x:c r="D69" s="30" t="n">
        <x:v>2019</x:v>
      </x:c>
      <x:c r="E69" s="24" t="str">
        <x:v>Mustelus whitneyi</x:v>
      </x:c>
      <x:c r="F69" s="24" t="str">
        <x:v>Humpback smooth-hound</x:v>
      </x:c>
      <x:c r="G69" s="24" t="str">
        <x:v>Small to medium sharks (&lt;90 cm)</x:v>
      </x:c>
      <x:c r="H69" s="24" t="str">
        <x:v>Sharks &amp; rays</x:v>
      </x:c>
      <x:c r="I69" s="31" t="n">
        <x:v>139.81452633229998</x:v>
      </x:c>
      <x:c r="J69" s="31" t="n">
        <x:v>139.81452633229998</x:v>
      </x:c>
      <x:c r="K69" s="31" t="n">
        <x:v>0</x:v>
      </x:c>
      <x:c r="L69" s="31" t="n">
        <x:v>0</x:v>
      </x:c>
      <x:c r="M69" s="31" t="n">
        <x:v>139.81452633229998</x:v>
      </x:c>
      <x:c r="N69" s="24" t="str">
        <x:v>mustelus whitneyi</x:v>
      </x:c>
      <x:c r="O69" s="32" t="n">
        <x:v>3.66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Mustelus whitneyi</x:v>
      </x:c>
      <x:c r="T69" s="32" t="n">
        <x:f>IF(O69="","",(1/'Metadata'!$B$5)^(O69-1))</x:f>
        <x:v>457.0881896148752</x:v>
      </x:c>
      <x:c r="U69" s="31" t="n">
        <x:f>IF(T69="","",I69*T69)</x:f>
        <x:v>63907.56872309229</x:v>
      </x:c>
    </x:row>
    <x:row r="70" ht="18" customHeight="1">
      <x:c r="A70" s="24" t="str">
        <x:v>EEZ_604</x:v>
      </x:c>
      <x:c r="B70" s="24" t="str">
        <x:v>Peru</x:v>
      </x:c>
      <x:c r="C70" s="24" t="str">
        <x:v>EEZ</x:v>
      </x:c>
      <x:c r="D70" s="30" t="n">
        <x:v>2019</x:v>
      </x:c>
      <x:c r="E70" s="24" t="str">
        <x:v>Anadara tuberculosa</x:v>
      </x:c>
      <x:c r="F70" s="24" t="str">
        <x:v>Pustulose ark</x:v>
      </x:c>
      <x:c r="G70" s="24" t="str">
        <x:v>Other demersal invertebrates</x:v>
      </x:c>
      <x:c r="H70" s="24" t="str">
        <x:v>Molluscs</x:v>
      </x:c>
      <x:c r="I70" s="31" t="n">
        <x:v>138.5</x:v>
      </x:c>
      <x:c r="J70" s="31" t="n">
        <x:v>138.5</x:v>
      </x:c>
      <x:c r="K70" s="31" t="n">
        <x:v>0</x:v>
      </x:c>
      <x:c r="L70" s="31" t="n">
        <x:v>138.5</x:v>
      </x:c>
      <x:c r="M70" s="31" t="n">
        <x:v>0</x:v>
      </x:c>
      <x:c r="N70" s="24" t="str">
        <x:v>anadara tuberculosa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Anadara tuberculosa</x:v>
      </x:c>
      <x:c r="T70" s="32" t="n">
        <x:f>IF(O70="","",(1/'Metadata'!$B$5)^(O70-1))</x:f>
        <x:v>10</x:v>
      </x:c>
      <x:c r="U70" s="31" t="n">
        <x:f>IF(T70="","",I70*T70)</x:f>
        <x:v>1385</x:v>
      </x:c>
    </x:row>
    <x:row r="71" ht="18" customHeight="1">
      <x:c r="A71" s="24" t="str">
        <x:v>EEZ_604</x:v>
      </x:c>
      <x:c r="B71" s="24" t="str">
        <x:v>Peru</x:v>
      </x:c>
      <x:c r="C71" s="24" t="str">
        <x:v>EEZ</x:v>
      </x:c>
      <x:c r="D71" s="30" t="n">
        <x:v>2019</x:v>
      </x:c>
      <x:c r="E71" s="24" t="str">
        <x:v>Carangidae</x:v>
      </x:c>
      <x:c r="F71" s="24" t="str">
        <x:v>Jacks, pompanos</x:v>
      </x:c>
      <x:c r="G71" s="24" t="str">
        <x:v>Medium pelagics (30 - 89 cm)</x:v>
      </x:c>
      <x:c r="H71" s="24" t="str">
        <x:v>Perch-likes</x:v>
      </x:c>
      <x:c r="I71" s="31" t="n">
        <x:v>137.1955899265</x:v>
      </x:c>
      <x:c r="J71" s="31" t="n">
        <x:v>5.5915208741</x:v>
      </x:c>
      <x:c r="K71" s="31" t="n">
        <x:v>131.6040690524</x:v>
      </x:c>
      <x:c r="L71" s="31" t="n">
        <x:v>5.5915208741</x:v>
      </x:c>
      <x:c r="M71" s="31" t="n">
        <x:v>131.6040690524</x:v>
      </x:c>
      <x:c r="N71" s="24" t="str">
        <x:v>carangidae</x:v>
      </x:c>
      <x:c r="O71" s="32" t="n">
        <x:v>4.05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Carangidae</x:v>
      </x:c>
      <x:c r="T71" s="32" t="n">
        <x:f>IF(O71="","",(1/'Metadata'!$B$5)^(O71-1))</x:f>
        <x:v>1122.018454301963</x:v>
      </x:c>
      <x:c r="U71" s="31" t="n">
        <x:f>IF(T71="","",I71*T71)</x:f>
        <x:v>153935.9837463775</x:v>
      </x:c>
    </x:row>
    <x:row r="72" ht="18" customHeight="1">
      <x:c r="A72" s="24" t="str">
        <x:v>EEZ_604</x:v>
      </x:c>
      <x:c r="B72" s="24" t="str">
        <x:v>Peru</x:v>
      </x:c>
      <x:c r="C72" s="24" t="str">
        <x:v>EEZ</x:v>
      </x:c>
      <x:c r="D72" s="30" t="n">
        <x:v>2019</x:v>
      </x:c>
      <x:c r="E72" s="24" t="str">
        <x:v>Trichiurus lepturus</x:v>
      </x:c>
      <x:c r="F72" s="24" t="str">
        <x:v>Largehead hairtail</x:v>
      </x:c>
      <x:c r="G72" s="24" t="str">
        <x:v>Large benthopelagics (&gt;=90 cm)</x:v>
      </x:c>
      <x:c r="H72" s="24" t="str">
        <x:v>Perch-likes</x:v>
      </x:c>
      <x:c r="I72" s="31" t="n">
        <x:v>131</x:v>
      </x:c>
      <x:c r="J72" s="31" t="n">
        <x:v>131</x:v>
      </x:c>
      <x:c r="K72" s="31" t="n">
        <x:v>0</x:v>
      </x:c>
      <x:c r="L72" s="31" t="n">
        <x:v>131</x:v>
      </x:c>
      <x:c r="M72" s="31" t="n">
        <x:v>0</x:v>
      </x:c>
      <x:c r="N72" s="24" t="str">
        <x:v>trichiurus lepturus</x:v>
      </x:c>
      <x:c r="O72" s="32" t="n">
        <x:v>4.42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Trichiurus lepturus</x:v>
      </x:c>
      <x:c r="T72" s="32" t="n">
        <x:f>IF(O72="","",(1/'Metadata'!$B$5)^(O72-1))</x:f>
        <x:v>2630.2679918953813</x:v>
      </x:c>
      <x:c r="U72" s="31" t="n">
        <x:f>IF(T72="","",I72*T72)</x:f>
        <x:v>344565.10693829495</x:v>
      </x:c>
    </x:row>
    <x:row r="73" ht="18" customHeight="1">
      <x:c r="A73" s="24" t="str">
        <x:v>EEZ_604</x:v>
      </x:c>
      <x:c r="B73" s="24" t="str">
        <x:v>Peru</x:v>
      </x:c>
      <x:c r="C73" s="24" t="str">
        <x:v>EEZ</x:v>
      </x:c>
      <x:c r="D73" s="30" t="n">
        <x:v>2019</x:v>
      </x:c>
      <x:c r="E73" s="24" t="str">
        <x:v>Scorpaena histrio</x:v>
      </x:c>
      <x:c r="F73" s="24" t="str">
        <x:v>Player scorpionfish</x:v>
      </x:c>
      <x:c r="G73" s="24" t="str">
        <x:v>Small demersals (&lt;30 cm)</x:v>
      </x:c>
      <x:c r="H73" s="24" t="str">
        <x:v>Scorpionfishes</x:v>
      </x:c>
      <x:c r="I73" s="31" t="n">
        <x:v>122.6</x:v>
      </x:c>
      <x:c r="J73" s="31" t="n">
        <x:v>122.6</x:v>
      </x:c>
      <x:c r="K73" s="31" t="n">
        <x:v>0</x:v>
      </x:c>
      <x:c r="L73" s="31" t="n">
        <x:v>122.6</x:v>
      </x:c>
      <x:c r="M73" s="31" t="n">
        <x:v>0</x:v>
      </x:c>
      <x:c r="N73" s="24" t="str">
        <x:v>scorpaena histrio</x:v>
      </x:c>
      <x:c r="O73" s="32" t="n">
        <x:v>3.7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Scorpaena histrio</x:v>
      </x:c>
      <x:c r="T73" s="32" t="n">
        <x:f>IF(O73="","",(1/'Metadata'!$B$5)^(O73-1))</x:f>
        <x:v>501.18723362727246</x:v>
      </x:c>
      <x:c r="U73" s="31" t="n">
        <x:f>IF(T73="","",I73*T73)</x:f>
        <x:v>61445.554842703605</x:v>
      </x:c>
    </x:row>
    <x:row r="74" ht="18" customHeight="1">
      <x:c r="A74" s="24" t="str">
        <x:v>EEZ_604</x:v>
      </x:c>
      <x:c r="B74" s="24" t="str">
        <x:v>Peru</x:v>
      </x:c>
      <x:c r="C74" s="24" t="str">
        <x:v>EEZ</x:v>
      </x:c>
      <x:c r="D74" s="30" t="n">
        <x:v>2019</x:v>
      </x:c>
      <x:c r="E74" s="24" t="str">
        <x:v>Istiophoridae</x:v>
      </x:c>
      <x:c r="F74" s="24" t="str">
        <x:v>Billfishes</x:v>
      </x:c>
      <x:c r="G74" s="24" t="str">
        <x:v>Large pelagics (&gt;=90 cm)</x:v>
      </x:c>
      <x:c r="H74" s="24" t="str">
        <x:v>Tuna &amp; billfishes</x:v>
      </x:c>
      <x:c r="I74" s="31" t="n">
        <x:v>107.7593657632</x:v>
      </x:c>
      <x:c r="J74" s="31" t="n">
        <x:v>49.779141654</x:v>
      </x:c>
      <x:c r="K74" s="31" t="n">
        <x:v>57.9802241092</x:v>
      </x:c>
      <x:c r="L74" s="31" t="n">
        <x:v>49.779141654</x:v>
      </x:c>
      <x:c r="M74" s="31" t="n">
        <x:v>57.9802241092</x:v>
      </x:c>
      <x:c r="N74" s="24" t="str">
        <x:v>istiophoridae</x:v>
      </x:c>
      <x:c r="O74" s="32" t="n">
        <x:v>4.48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Istiophoridae</x:v>
      </x:c>
      <x:c r="T74" s="32" t="n">
        <x:f>IF(O74="","",(1/'Metadata'!$B$5)^(O74-1))</x:f>
        <x:v>3019.951720402019</x:v>
      </x:c>
      <x:c r="U74" s="31" t="n">
        <x:f>IF(T74="","",I74*T74)</x:f>
        <x:v>325428.08202600625</x:v>
      </x:c>
    </x:row>
    <x:row r="75" ht="18" customHeight="1">
      <x:c r="A75" s="24" t="str">
        <x:v>EEZ_604</x:v>
      </x:c>
      <x:c r="B75" s="24" t="str">
        <x:v>Peru</x:v>
      </x:c>
      <x:c r="C75" s="24" t="str">
        <x:v>EEZ</x:v>
      </x:c>
      <x:c r="D75" s="30" t="n">
        <x:v>2019</x:v>
      </x:c>
      <x:c r="E75" s="24" t="str">
        <x:v>Labrisomus philippii</x:v>
      </x:c>
      <x:c r="F75" s="24" t="str">
        <x:v>Chalapo clinid</x:v>
      </x:c>
      <x:c r="G75" s="24" t="str">
        <x:v>Medium demersals (30 - 89 cm)</x:v>
      </x:c>
      <x:c r="H75" s="24" t="str">
        <x:v>Perch-likes</x:v>
      </x:c>
      <x:c r="I75" s="31" t="n">
        <x:v>99.4016544973</x:v>
      </x:c>
      <x:c r="J75" s="31" t="n">
        <x:v>99.4016544973</x:v>
      </x:c>
      <x:c r="K75" s="31" t="n">
        <x:v>0</x:v>
      </x:c>
      <x:c r="L75" s="31" t="n">
        <x:v>0</x:v>
      </x:c>
      <x:c r="M75" s="31" t="n">
        <x:v>99.4016544973</x:v>
      </x:c>
      <x:c r="N75" s="24" t="str">
        <x:v>labrisomus philippii</x:v>
      </x:c>
      <x:c r="O75" s="32" t="n">
        <x:v>3.7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Labrisomus philippii</x:v>
      </x:c>
      <x:c r="T75" s="32" t="n">
        <x:f>IF(O75="","",(1/'Metadata'!$B$5)^(O75-1))</x:f>
        <x:v>501.18723362727246</x:v>
      </x:c>
      <x:c r="U75" s="31" t="n">
        <x:f>IF(T75="","",I75*T75)</x:f>
        <x:v>49818.84023547571</x:v>
      </x:c>
    </x:row>
    <x:row r="76" ht="18" customHeight="1">
      <x:c r="A76" s="24" t="str">
        <x:v>EEZ_604</x:v>
      </x:c>
      <x:c r="B76" s="24" t="str">
        <x:v>Peru</x:v>
      </x:c>
      <x:c r="C76" s="24" t="str">
        <x:v>EEZ</x:v>
      </x:c>
      <x:c r="D76" s="30" t="n">
        <x:v>2019</x:v>
      </x:c>
      <x:c r="E76" s="24" t="str">
        <x:v>Penaeidae</x:v>
      </x:c>
      <x:c r="F76" s="24" t="str">
        <x:v>Commercial shrimps and prawns</x:v>
      </x:c>
      <x:c r="G76" s="24" t="str">
        <x:v>Shrimps</x:v>
      </x:c>
      <x:c r="H76" s="24" t="str">
        <x:v>Crustaceans</x:v>
      </x:c>
      <x:c r="I76" s="31" t="n">
        <x:v>98.3034116993</x:v>
      </x:c>
      <x:c r="J76" s="31" t="n">
        <x:v>98.3034116993</x:v>
      </x:c>
      <x:c r="K76" s="31" t="n">
        <x:v>0</x:v>
      </x:c>
      <x:c r="L76" s="31" t="n">
        <x:v>0</x:v>
      </x:c>
      <x:c r="M76" s="31" t="n">
        <x:v>98.3034116993</x:v>
      </x:c>
      <x:c r="N76" s="24" t="str">
        <x:v>penaeidae</x:v>
      </x:c>
      <x:c r="O76" s="32" t="n">
        <x:v>3.31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Penaeidae</x:v>
      </x:c>
      <x:c r="T76" s="32" t="n">
        <x:f>IF(O76="","",(1/'Metadata'!$B$5)^(O76-1))</x:f>
        <x:v>204.17379446695296</x:v>
      </x:c>
      <x:c r="U76" s="31" t="n">
        <x:f>IF(T76="","",I76*T76)</x:f>
        <x:v>20070.98057569314</x:v>
      </x:c>
    </x:row>
    <x:row r="77" ht="18" customHeight="1">
      <x:c r="A77" s="24" t="str">
        <x:v>EEZ_604</x:v>
      </x:c>
      <x:c r="B77" s="24" t="str">
        <x:v>Peru</x:v>
      </x:c>
      <x:c r="C77" s="24" t="str">
        <x:v>EEZ</x:v>
      </x:c>
      <x:c r="D77" s="30" t="n">
        <x:v>2019</x:v>
      </x:c>
      <x:c r="E77" s="24" t="str">
        <x:v>Paralabrax</x:v>
      </x:c>
      <x:c r="F77" s="24" t="str">
        <x:v>Sand basses</x:v>
      </x:c>
      <x:c r="G77" s="24" t="str">
        <x:v>Medium reef assoc. fish (30 - 89 cm)</x:v>
      </x:c>
      <x:c r="H77" s="24" t="str">
        <x:v>Perch-likes</x:v>
      </x:c>
      <x:c r="I77" s="31" t="n">
        <x:v>91.8</x:v>
      </x:c>
      <x:c r="J77" s="31" t="n">
        <x:v>91.8</x:v>
      </x:c>
      <x:c r="K77" s="31" t="n">
        <x:v>0</x:v>
      </x:c>
      <x:c r="L77" s="31" t="n">
        <x:v>91.8</x:v>
      </x:c>
      <x:c r="M77" s="31" t="n">
        <x:v>0</x:v>
      </x:c>
      <x:c r="N77" s="24" t="str">
        <x:v>paralabrax</x:v>
      </x:c>
      <x:c r="O77" s="32" t="n">
        <x:v>4.14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Paralabrax</x:v>
      </x:c>
      <x:c r="T77" s="32" t="n">
        <x:f>IF(O77="","",(1/'Metadata'!$B$5)^(O77-1))</x:f>
        <x:v>1380.3842646028838</x:v>
      </x:c>
      <x:c r="U77" s="31" t="n">
        <x:f>IF(T77="","",I77*T77)</x:f>
        <x:v>126719.27549054474</x:v>
      </x:c>
    </x:row>
    <x:row r="78" ht="18" customHeight="1">
      <x:c r="A78" s="24" t="str">
        <x:v>EEZ_604</x:v>
      </x:c>
      <x:c r="B78" s="24" t="str">
        <x:v>Peru</x:v>
      </x:c>
      <x:c r="C78" s="24" t="str">
        <x:v>EEZ</x:v>
      </x:c>
      <x:c r="D78" s="30" t="n">
        <x:v>2019</x:v>
      </x:c>
      <x:c r="E78" s="24" t="str">
        <x:v>Callorhinchus callorynchus</x:v>
      </x:c>
      <x:c r="F78" s="24" t="str">
        <x:v>Plownose chimaera</x:v>
      </x:c>
      <x:c r="G78" s="24" t="str">
        <x:v>Small to medium rays (&lt;90 cm)</x:v>
      </x:c>
      <x:c r="H78" s="24" t="str">
        <x:v>Sharks &amp; rays</x:v>
      </x:c>
      <x:c r="I78" s="31" t="n">
        <x:v>82.6</x:v>
      </x:c>
      <x:c r="J78" s="31" t="n">
        <x:v>82.6</x:v>
      </x:c>
      <x:c r="K78" s="31" t="n">
        <x:v>0</x:v>
      </x:c>
      <x:c r="L78" s="31" t="n">
        <x:v>82.6</x:v>
      </x:c>
      <x:c r="M78" s="31" t="n">
        <x:v>0</x:v>
      </x:c>
      <x:c r="N78" s="24" t="str">
        <x:v>callorhinchus callorynchus</x:v>
      </x:c>
      <x:c r="O78" s="32" t="n">
        <x:v>3.35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Callorhinchus callorynchus</x:v>
      </x:c>
      <x:c r="T78" s="32" t="n">
        <x:f>IF(O78="","",(1/'Metadata'!$B$5)^(O78-1))</x:f>
        <x:v>223.872113856834</x:v>
      </x:c>
      <x:c r="U78" s="31" t="n">
        <x:f>IF(T78="","",I78*T78)</x:f>
        <x:v>18491.836604574488</x:v>
      </x:c>
    </x:row>
    <x:row r="79" ht="18" customHeight="1">
      <x:c r="A79" s="24" t="str">
        <x:v>EEZ_604</x:v>
      </x:c>
      <x:c r="B79" s="24" t="str">
        <x:v>Peru</x:v>
      </x:c>
      <x:c r="C79" s="24" t="str">
        <x:v>EEZ</x:v>
      </x:c>
      <x:c r="D79" s="30" t="n">
        <x:v>2019</x:v>
      </x:c>
      <x:c r="E79" s="24" t="str">
        <x:v>Diplectrum pacificum</x:v>
      </x:c>
      <x:c r="F79" s="24" t="str">
        <x:v>Inshore sand perch</x:v>
      </x:c>
      <x:c r="G79" s="24" t="str">
        <x:v>Small demersals (&lt;30 cm)</x:v>
      </x:c>
      <x:c r="H79" s="24" t="str">
        <x:v>Perch-likes</x:v>
      </x:c>
      <x:c r="I79" s="31" t="n">
        <x:v>71</x:v>
      </x:c>
      <x:c r="J79" s="31" t="n">
        <x:v>71</x:v>
      </x:c>
      <x:c r="K79" s="31" t="n">
        <x:v>0</x:v>
      </x:c>
      <x:c r="L79" s="31" t="n">
        <x:v>71</x:v>
      </x:c>
      <x:c r="M79" s="31" t="n">
        <x:v>0</x:v>
      </x:c>
      <x:c r="N79" s="24" t="str">
        <x:v>diplectrum pacificum</x:v>
      </x:c>
      <x:c r="O79" s="32" t="n">
        <x:v>3.99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Diplectrum pacificum</x:v>
      </x:c>
      <x:c r="T79" s="32" t="n">
        <x:f>IF(O79="","",(1/'Metadata'!$B$5)^(O79-1))</x:f>
        <x:v>977.2372209558112</x:v>
      </x:c>
      <x:c r="U79" s="31" t="n">
        <x:f>IF(T79="","",I79*T79)</x:f>
        <x:v>69383.84268786259</x:v>
      </x:c>
    </x:row>
    <x:row r="80" ht="18" customHeight="1">
      <x:c r="A80" s="24" t="str">
        <x:v>EEZ_604</x:v>
      </x:c>
      <x:c r="B80" s="24" t="str">
        <x:v>Peru</x:v>
      </x:c>
      <x:c r="C80" s="24" t="str">
        <x:v>EEZ</x:v>
      </x:c>
      <x:c r="D80" s="30" t="n">
        <x:v>2019</x:v>
      </x:c>
      <x:c r="E80" s="24" t="str">
        <x:v>Dasyatis</x:v>
      </x:c>
      <x:c r="F80" s="24" t="str">
        <x:v>Rough whip stingrays</x:v>
      </x:c>
      <x:c r="G80" s="24" t="str">
        <x:v>Large rays (&gt;=90 cm)</x:v>
      </x:c>
      <x:c r="H80" s="24" t="str">
        <x:v>Sharks &amp; rays</x:v>
      </x:c>
      <x:c r="I80" s="31" t="n">
        <x:v>60.2</x:v>
      </x:c>
      <x:c r="J80" s="31" t="n">
        <x:v>60.2</x:v>
      </x:c>
      <x:c r="K80" s="31" t="n">
        <x:v>0</x:v>
      </x:c>
      <x:c r="L80" s="31" t="n">
        <x:v>60.2</x:v>
      </x:c>
      <x:c r="M80" s="31" t="n">
        <x:v>0</x:v>
      </x:c>
      <x:c r="N80" s="24" t="str">
        <x:v>dasyatis</x:v>
      </x:c>
      <x:c r="O80" s="32" t="n">
        <x:v>3.28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Dasyatis</x:v>
      </x:c>
      <x:c r="T80" s="32" t="n">
        <x:f>IF(O80="","",(1/'Metadata'!$B$5)^(O80-1))</x:f>
        <x:v>190.54607179632464</x:v>
      </x:c>
      <x:c r="U80" s="31" t="n">
        <x:f>IF(T80="","",I80*T80)</x:f>
        <x:v>11470.873522138743</x:v>
      </x:c>
    </x:row>
    <x:row r="81" ht="18" customHeight="1">
      <x:c r="A81" s="24" t="str">
        <x:v>EEZ_604</x:v>
      </x:c>
      <x:c r="B81" s="24" t="str">
        <x:v>Peru</x:v>
      </x:c>
      <x:c r="C81" s="24" t="str">
        <x:v>EEZ</x:v>
      </x:c>
      <x:c r="D81" s="30" t="n">
        <x:v>2019</x:v>
      </x:c>
      <x:c r="E81" s="24" t="str">
        <x:v>Decapterus macrosoma</x:v>
      </x:c>
      <x:c r="F81" s="24" t="str">
        <x:v>Shortfin scad</x:v>
      </x:c>
      <x:c r="G81" s="24" t="str">
        <x:v>Medium pelagics (30 - 89 cm)</x:v>
      </x:c>
      <x:c r="H81" s="24" t="str">
        <x:v>Perch-likes</x:v>
      </x:c>
      <x:c r="I81" s="31" t="n">
        <x:v>57</x:v>
      </x:c>
      <x:c r="J81" s="31" t="n">
        <x:v>57</x:v>
      </x:c>
      <x:c r="K81" s="31" t="n">
        <x:v>0</x:v>
      </x:c>
      <x:c r="L81" s="31" t="n">
        <x:v>57</x:v>
      </x:c>
      <x:c r="M81" s="31" t="n">
        <x:v>0</x:v>
      </x:c>
      <x:c r="N81" s="24" t="str">
        <x:v>decapterus macrosoma</x:v>
      </x:c>
      <x:c r="O81" s="32" t="n">
        <x:v>3.4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Decapterus macrosoma</x:v>
      </x:c>
      <x:c r="T81" s="32" t="n">
        <x:f>IF(O81="","",(1/'Metadata'!$B$5)^(O81-1))</x:f>
        <x:v>251.18864315095797</x:v>
      </x:c>
      <x:c r="U81" s="31" t="n">
        <x:f>IF(T81="","",I81*T81)</x:f>
        <x:v>14317.752659604605</x:v>
      </x:c>
    </x:row>
    <x:row r="82" ht="18" customHeight="1">
      <x:c r="A82" s="24" t="str">
        <x:v>EEZ_604</x:v>
      </x:c>
      <x:c r="B82" s="24" t="str">
        <x:v>Peru</x:v>
      </x:c>
      <x:c r="C82" s="24" t="str">
        <x:v>EEZ</x:v>
      </x:c>
      <x:c r="D82" s="30" t="n">
        <x:v>2019</x:v>
      </x:c>
      <x:c r="E82" s="24" t="str">
        <x:v>Seriola</x:v>
      </x:c>
      <x:c r="F82" s="24" t="str">
        <x:v>Amberjacks</x:v>
      </x:c>
      <x:c r="G82" s="24" t="str">
        <x:v>Large benthopelagics (&gt;=90 cm)</x:v>
      </x:c>
      <x:c r="H82" s="24" t="str">
        <x:v>Perch-likes</x:v>
      </x:c>
      <x:c r="I82" s="31" t="n">
        <x:v>49.599999999999994</x:v>
      </x:c>
      <x:c r="J82" s="31" t="n">
        <x:v>49.599999999999994</x:v>
      </x:c>
      <x:c r="K82" s="31" t="n">
        <x:v>0</x:v>
      </x:c>
      <x:c r="L82" s="31" t="n">
        <x:v>9.6</x:v>
      </x:c>
      <x:c r="M82" s="31" t="n">
        <x:v>40</x:v>
      </x:c>
      <x:c r="N82" s="24" t="str">
        <x:v>seriola</x:v>
      </x:c>
      <x:c r="O82" s="32" t="n">
        <x:v>4.39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Seriola</x:v>
      </x:c>
      <x:c r="T82" s="32" t="n">
        <x:f>IF(O82="","",(1/'Metadata'!$B$5)^(O82-1))</x:f>
        <x:v>2454.7089156850284</x:v>
      </x:c>
      <x:c r="U82" s="31" t="n">
        <x:f>IF(T82="","",I82*T82)</x:f>
        <x:v>121753.56221797739</x:v>
      </x:c>
    </x:row>
    <x:row r="83" ht="18" customHeight="1">
      <x:c r="A83" s="24" t="str">
        <x:v>EEZ_604</x:v>
      </x:c>
      <x:c r="B83" s="24" t="str">
        <x:v>Peru</x:v>
      </x:c>
      <x:c r="C83" s="24" t="str">
        <x:v>EEZ</x:v>
      </x:c>
      <x:c r="D83" s="30" t="n">
        <x:v>2019</x:v>
      </x:c>
      <x:c r="E83" s="24" t="str">
        <x:v>Diapterus peruvianus</x:v>
      </x:c>
      <x:c r="F83" s="24" t="str">
        <x:v>Peruvian mojarra</x:v>
      </x:c>
      <x:c r="G83" s="24" t="str">
        <x:v>Small demersals (&lt;30 cm)</x:v>
      </x:c>
      <x:c r="H83" s="24" t="str">
        <x:v>Perch-likes</x:v>
      </x:c>
      <x:c r="I83" s="31" t="n">
        <x:v>47.2</x:v>
      </x:c>
      <x:c r="J83" s="31" t="n">
        <x:v>47.2</x:v>
      </x:c>
      <x:c r="K83" s="31" t="n">
        <x:v>0</x:v>
      </x:c>
      <x:c r="L83" s="31" t="n">
        <x:v>47.2</x:v>
      </x:c>
      <x:c r="M83" s="31" t="n">
        <x:v>0</x:v>
      </x:c>
      <x:c r="N83" s="24" t="str">
        <x:v>diapterus peruvianus</x:v>
      </x:c>
      <x:c r="O83" s="32" t="n">
        <x:v>3.66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Diapterus peruvianus</x:v>
      </x:c>
      <x:c r="T83" s="32" t="n">
        <x:f>IF(O83="","",(1/'Metadata'!$B$5)^(O83-1))</x:f>
        <x:v>457.0881896148752</x:v>
      </x:c>
      <x:c r="U83" s="31" t="n">
        <x:f>IF(T83="","",I83*T83)</x:f>
        <x:v>21574.562549822112</x:v>
      </x:c>
    </x:row>
    <x:row r="84" ht="18" customHeight="1">
      <x:c r="A84" s="24" t="str">
        <x:v>EEZ_604</x:v>
      </x:c>
      <x:c r="B84" s="24" t="str">
        <x:v>Peru</x:v>
      </x:c>
      <x:c r="C84" s="24" t="str">
        <x:v>EEZ</x:v>
      </x:c>
      <x:c r="D84" s="30" t="n">
        <x:v>2019</x:v>
      </x:c>
      <x:c r="E84" s="24" t="str">
        <x:v>Kajikia audax</x:v>
      </x:c>
      <x:c r="F84" s="24" t="str">
        <x:v>Striped marlin</x:v>
      </x:c>
      <x:c r="G84" s="24" t="str">
        <x:v>Large pelagics (&gt;=90 cm)</x:v>
      </x:c>
      <x:c r="H84" s="24" t="str">
        <x:v>Tuna &amp; billfishes</x:v>
      </x:c>
      <x:c r="I84" s="31" t="n">
        <x:v>45.903569109399996</x:v>
      </x:c>
      <x:c r="J84" s="31" t="n">
        <x:v>45.903569109399996</x:v>
      </x:c>
      <x:c r="K84" s="31" t="n">
        <x:v>0</x:v>
      </x:c>
      <x:c r="L84" s="31" t="n">
        <x:v>45.903569109399996</x:v>
      </x:c>
      <x:c r="M84" s="31" t="n">
        <x:v>0</x:v>
      </x:c>
      <x:c r="N84" s="24" t="str">
        <x:v>kajikia audax</x:v>
      </x:c>
      <x:c r="O84" s="32" t="n">
        <x:v>4.58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Kajikia audax</x:v>
      </x:c>
      <x:c r="T84" s="32" t="n">
        <x:f>IF(O84="","",(1/'Metadata'!$B$5)^(O84-1))</x:f>
        <x:v>3801.8939632056126</x:v>
      </x:c>
      <x:c r="U84" s="31" t="n">
        <x:f>IF(T84="","",I84*T84)</x:f>
        <x:v>174520.50228661948</x:v>
      </x:c>
    </x:row>
    <x:row r="85" ht="18" customHeight="1">
      <x:c r="A85" s="24" t="str">
        <x:v>EEZ_604</x:v>
      </x:c>
      <x:c r="B85" s="24" t="str">
        <x:v>Peru</x:v>
      </x:c>
      <x:c r="C85" s="24" t="str">
        <x:v>EEZ</x:v>
      </x:c>
      <x:c r="D85" s="30" t="n">
        <x:v>2019</x:v>
      </x:c>
      <x:c r="E85" s="24" t="str">
        <x:v>Serranidae</x:v>
      </x:c>
      <x:c r="F85" s="24" t="str">
        <x:v>Basses, groupers, hinds</x:v>
      </x:c>
      <x:c r="G85" s="24" t="str">
        <x:v>Medium reef assoc. fish (30 - 89 cm)</x:v>
      </x:c>
      <x:c r="H85" s="24" t="str">
        <x:v>Perch-likes</x:v>
      </x:c>
      <x:c r="I85" s="31" t="n">
        <x:v>41.806489751</x:v>
      </x:c>
      <x:c r="J85" s="31" t="n">
        <x:v>41.806489751</x:v>
      </x:c>
      <x:c r="K85" s="31" t="n">
        <x:v>0</x:v>
      </x:c>
      <x:c r="L85" s="31" t="n">
        <x:v>23.04</x:v>
      </x:c>
      <x:c r="M85" s="31" t="n">
        <x:v>18.766489750999998</x:v>
      </x:c>
      <x:c r="N85" s="24" t="str">
        <x:v>serranidae</x:v>
      </x:c>
      <x:c r="O85" s="32" t="n">
        <x:v>3.98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Serranidae</x:v>
      </x:c>
      <x:c r="T85" s="32" t="n">
        <x:f>IF(O85="","",(1/'Metadata'!$B$5)^(O85-1))</x:f>
        <x:v>954.992586021436</x:v>
      </x:c>
      <x:c r="U85" s="31" t="n">
        <x:f>IF(T85="","",I85*T85)</x:f>
        <x:v>39924.88775978615</x:v>
      </x:c>
    </x:row>
    <x:row r="86" ht="18" customHeight="1">
      <x:c r="A86" s="24" t="str">
        <x:v>EEZ_604</x:v>
      </x:c>
      <x:c r="B86" s="24" t="str">
        <x:v>Peru</x:v>
      </x:c>
      <x:c r="C86" s="24" t="str">
        <x:v>EEZ</x:v>
      </x:c>
      <x:c r="D86" s="30" t="n">
        <x:v>2019</x:v>
      </x:c>
      <x:c r="E86" s="24" t="str">
        <x:v>Anchoa nasus</x:v>
      </x:c>
      <x:c r="F86" s="24" t="str">
        <x:v>Longnose anchovy</x:v>
      </x:c>
      <x:c r="G86" s="24" t="str">
        <x:v>Small pelagics (&lt;30 cm)</x:v>
      </x:c>
      <x:c r="H86" s="24" t="str">
        <x:v>Anchovies</x:v>
      </x:c>
      <x:c r="I86" s="31" t="n">
        <x:v>40.449885</x:v>
      </x:c>
      <x:c r="J86" s="31" t="n">
        <x:v>40.449885</x:v>
      </x:c>
      <x:c r="K86" s="31" t="n">
        <x:v>0</x:v>
      </x:c>
      <x:c r="L86" s="31" t="n">
        <x:v>40.449885</x:v>
      </x:c>
      <x:c r="M86" s="31" t="n">
        <x:v>0</x:v>
      </x:c>
      <x:c r="N86" s="24" t="str">
        <x:v>anchoa nasus</x:v>
      </x:c>
      <x:c r="O86" s="32" t="n">
        <x:v>3.4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Anchoa nasus</x:v>
      </x:c>
      <x:c r="T86" s="32" t="n">
        <x:f>IF(O86="","",(1/'Metadata'!$B$5)^(O86-1))</x:f>
        <x:v>251.18864315095797</x:v>
      </x:c>
      <x:c r="U86" s="31" t="n">
        <x:f>IF(T86="","",I86*T86)</x:f>
        <x:v>10160.551728762288</x:v>
      </x:c>
    </x:row>
    <x:row r="87" ht="18" customHeight="1">
      <x:c r="A87" s="24" t="str">
        <x:v>EEZ_604</x:v>
      </x:c>
      <x:c r="B87" s="24" t="str">
        <x:v>Peru</x:v>
      </x:c>
      <x:c r="C87" s="24" t="str">
        <x:v>EEZ</x:v>
      </x:c>
      <x:c r="D87" s="30" t="n">
        <x:v>2019</x:v>
      </x:c>
      <x:c r="E87" s="24" t="str">
        <x:v>Panulirus gracilis</x:v>
      </x:c>
      <x:c r="F87" s="24" t="str">
        <x:v>Blue spiny lobster</x:v>
      </x:c>
      <x:c r="G87" s="24" t="str">
        <x:v>Lobsters, crabs</x:v>
      </x:c>
      <x:c r="H87" s="24" t="str">
        <x:v>Crustaceans</x:v>
      </x:c>
      <x:c r="I87" s="31" t="n">
        <x:v>33.48</x:v>
      </x:c>
      <x:c r="J87" s="31" t="n">
        <x:v>33.48</x:v>
      </x:c>
      <x:c r="K87" s="31" t="n">
        <x:v>0</x:v>
      </x:c>
      <x:c r="L87" s="31" t="n">
        <x:v>31.479999999999997</x:v>
      </x:c>
      <x:c r="M87" s="31" t="n">
        <x:v>2</x:v>
      </x:c>
      <x:c r="N87" s="24" t="str">
        <x:v>panulirus gracilis</x:v>
      </x:c>
      <x:c r="O87" s="32" t="n">
        <x:v>2.6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Panulirus gracilis</x:v>
      </x:c>
      <x:c r="T87" s="32" t="n">
        <x:f>IF(O87="","",(1/'Metadata'!$B$5)^(O87-1))</x:f>
        <x:v>39.810717055349734</x:v>
      </x:c>
      <x:c r="U87" s="31" t="n">
        <x:f>IF(T87="","",I87*T87)</x:f>
        <x:v>1332.862807013109</x:v>
      </x:c>
    </x:row>
    <x:row r="88" ht="18" customHeight="1">
      <x:c r="A88" s="24" t="str">
        <x:v>EEZ_604</x:v>
      </x:c>
      <x:c r="B88" s="24" t="str">
        <x:v>Peru</x:v>
      </x:c>
      <x:c r="C88" s="24" t="str">
        <x:v>EEZ</x:v>
      </x:c>
      <x:c r="D88" s="30" t="n">
        <x:v>2019</x:v>
      </x:c>
      <x:c r="E88" s="24" t="str">
        <x:v>Seriola rivoliana</x:v>
      </x:c>
      <x:c r="F88" s="24" t="str">
        <x:v>Longfin yellowtail</x:v>
      </x:c>
      <x:c r="G88" s="24" t="str">
        <x:v>Large benthopelagics (&gt;=90 cm)</x:v>
      </x:c>
      <x:c r="H88" s="24" t="str">
        <x:v>Perch-likes</x:v>
      </x:c>
      <x:c r="I88" s="31" t="n">
        <x:v>29.6</x:v>
      </x:c>
      <x:c r="J88" s="31" t="n">
        <x:v>29.6</x:v>
      </x:c>
      <x:c r="K88" s="31" t="n">
        <x:v>0</x:v>
      </x:c>
      <x:c r="L88" s="31" t="n">
        <x:v>29.6</x:v>
      </x:c>
      <x:c r="M88" s="31" t="n">
        <x:v>0</x:v>
      </x:c>
      <x:c r="N88" s="24" t="str">
        <x:v>seriola rivoliana</x:v>
      </x:c>
      <x:c r="O88" s="32" t="n">
        <x:v>4.45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Seriola rivoliana</x:v>
      </x:c>
      <x:c r="T88" s="32" t="n">
        <x:f>IF(O88="","",(1/'Metadata'!$B$5)^(O88-1))</x:f>
        <x:v>2818.382931264455</x:v>
      </x:c>
      <x:c r="U88" s="31" t="n">
        <x:f>IF(T88="","",I88*T88)</x:f>
        <x:v>83424.13476542787</x:v>
      </x:c>
    </x:row>
    <x:row r="89" ht="18" customHeight="1">
      <x:c r="A89" s="24" t="str">
        <x:v>EEZ_604</x:v>
      </x:c>
      <x:c r="B89" s="24" t="str">
        <x:v>Peru</x:v>
      </x:c>
      <x:c r="C89" s="24" t="str">
        <x:v>EEZ</x:v>
      </x:c>
      <x:c r="D89" s="30" t="n">
        <x:v>2019</x:v>
      </x:c>
      <x:c r="E89" s="24" t="str">
        <x:v>Thunnus alalunga</x:v>
      </x:c>
      <x:c r="F89" s="24" t="str">
        <x:v>Albacore</x:v>
      </x:c>
      <x:c r="G89" s="24" t="str">
        <x:v>Large pelagics (&gt;=90 cm)</x:v>
      </x:c>
      <x:c r="H89" s="24" t="str">
        <x:v>Tuna &amp; billfishes</x:v>
      </x:c>
      <x:c r="I89" s="31" t="n">
        <x:v>28.3341220816</x:v>
      </x:c>
      <x:c r="J89" s="31" t="n">
        <x:v>28.0508089116</x:v>
      </x:c>
      <x:c r="K89" s="31" t="n">
        <x:v>0.28331317</x:v>
      </x:c>
      <x:c r="L89" s="31" t="n">
        <x:v>28.0508089116</x:v>
      </x:c>
      <x:c r="M89" s="31" t="n">
        <x:v>0.28331317</x:v>
      </x:c>
      <x:c r="N89" s="24" t="str">
        <x:v>thunnus alalunga</x:v>
      </x:c>
      <x:c r="O89" s="32" t="n">
        <x:v>4.3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Thunnus alalunga</x:v>
      </x:c>
      <x:c r="T89" s="32" t="n">
        <x:f>IF(O89="","",(1/'Metadata'!$B$5)^(O89-1))</x:f>
        <x:v>1995.2623149688789</x:v>
      </x:c>
      <x:c r="U89" s="31" t="n">
        <x:f>IF(T89="","",I89*T89)</x:f>
        <x:v>56534.00601714404</x:v>
      </x:c>
    </x:row>
    <x:row r="90" ht="18" customHeight="1">
      <x:c r="A90" s="24" t="str">
        <x:v>EEZ_604</x:v>
      </x:c>
      <x:c r="B90" s="24" t="str">
        <x:v>Peru</x:v>
      </x:c>
      <x:c r="C90" s="24" t="str">
        <x:v>EEZ</x:v>
      </x:c>
      <x:c r="D90" s="30" t="n">
        <x:v>2019</x:v>
      </x:c>
      <x:c r="E90" s="24" t="str">
        <x:v>Euthynnus lineatus</x:v>
      </x:c>
      <x:c r="F90" s="24" t="str">
        <x:v>Black skipjack</x:v>
      </x:c>
      <x:c r="G90" s="24" t="str">
        <x:v>Medium pelagics (30 - 89 cm)</x:v>
      </x:c>
      <x:c r="H90" s="24" t="str">
        <x:v>Tuna &amp; billfishes</x:v>
      </x:c>
      <x:c r="I90" s="31" t="n">
        <x:v>25.925</x:v>
      </x:c>
      <x:c r="J90" s="31" t="n">
        <x:v>25.925</x:v>
      </x:c>
      <x:c r="K90" s="31" t="n">
        <x:v>0</x:v>
      </x:c>
      <x:c r="L90" s="31" t="n">
        <x:v>25.925</x:v>
      </x:c>
      <x:c r="M90" s="31" t="n">
        <x:v>0</x:v>
      </x:c>
      <x:c r="N90" s="24" t="str">
        <x:v>euthynnus lineatus</x:v>
      </x:c>
      <x:c r="O90" s="32" t="n">
        <x:v>3.83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Euthynnus lineatus</x:v>
      </x:c>
      <x:c r="T90" s="32" t="n">
        <x:f>IF(O90="","",(1/'Metadata'!$B$5)^(O90-1))</x:f>
        <x:v>676.0829753919819</x:v>
      </x:c>
      <x:c r="U90" s="31" t="n">
        <x:f>IF(T90="","",I90*T90)</x:f>
        <x:v>17527.451137037133</x:v>
      </x:c>
    </x:row>
    <x:row r="91" ht="18" customHeight="1">
      <x:c r="A91" s="24" t="str">
        <x:v>EEZ_604</x:v>
      </x:c>
      <x:c r="B91" s="24" t="str">
        <x:v>Peru</x:v>
      </x:c>
      <x:c r="C91" s="24" t="str">
        <x:v>EEZ</x:v>
      </x:c>
      <x:c r="D91" s="30" t="n">
        <x:v>2019</x:v>
      </x:c>
      <x:c r="E91" s="24" t="str">
        <x:v>Galeorhinus galeus</x:v>
      </x:c>
      <x:c r="F91" s="24" t="str">
        <x:v>Tope shark</x:v>
      </x:c>
      <x:c r="G91" s="24" t="str">
        <x:v>Large sharks (&gt;=90 cm)</x:v>
      </x:c>
      <x:c r="H91" s="24" t="str">
        <x:v>Sharks &amp; rays</x:v>
      </x:c>
      <x:c r="I91" s="31" t="n">
        <x:v>25.7699289661</x:v>
      </x:c>
      <x:c r="J91" s="31" t="n">
        <x:v>25.7699289661</x:v>
      </x:c>
      <x:c r="K91" s="31" t="n">
        <x:v>0</x:v>
      </x:c>
      <x:c r="L91" s="31" t="n">
        <x:v>14.7699289661</x:v>
      </x:c>
      <x:c r="M91" s="31" t="n">
        <x:v>11</x:v>
      </x:c>
      <x:c r="N91" s="24" t="str">
        <x:v>galeorhinus galeus</x:v>
      </x:c>
      <x:c r="O91" s="32" t="n">
        <x:v>4.34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Galeorhinus galeus</x:v>
      </x:c>
      <x:c r="T91" s="32" t="n">
        <x:f>IF(O91="","",(1/'Metadata'!$B$5)^(O91-1))</x:f>
        <x:v>2187.761623949552</x:v>
      </x:c>
      <x:c r="U91" s="31" t="n">
        <x:f>IF(T91="","",I91*T91)</x:f>
        <x:v>56378.46164393953</x:v>
      </x:c>
    </x:row>
    <x:row r="92" ht="18" customHeight="1">
      <x:c r="A92" s="24" t="str">
        <x:v>EEZ_604</x:v>
      </x:c>
      <x:c r="B92" s="24" t="str">
        <x:v>Peru</x:v>
      </x:c>
      <x:c r="C92" s="24" t="str">
        <x:v>EEZ</x:v>
      </x:c>
      <x:c r="D92" s="30" t="n">
        <x:v>2019</x:v>
      </x:c>
      <x:c r="E92" s="24" t="str">
        <x:v>Miscellaneous marine crustaceans</x:v>
      </x:c>
      <x:c r="F92" s="24" t="str">
        <x:v>Marine crabs, shrimps, lobsters nei</x:v>
      </x:c>
      <x:c r="G92" s="24" t="str">
        <x:v>Shrimps</x:v>
      </x:c>
      <x:c r="H92" s="24" t="str">
        <x:v>Crustaceans</x:v>
      </x:c>
      <x:c r="I92" s="31" t="n">
        <x:v>25.400000000000002</x:v>
      </x:c>
      <x:c r="J92" s="31" t="n">
        <x:v>25.400000000000002</x:v>
      </x:c>
      <x:c r="K92" s="31" t="n">
        <x:v>0</x:v>
      </x:c>
      <x:c r="L92" s="31" t="n">
        <x:v>25.400000000000002</x:v>
      </x:c>
      <x:c r="M92" s="31" t="n">
        <x:v>0</x:v>
      </x:c>
      <x:c r="N92" s="24" t="str">
        <x:v>miscellaneous marine crustaceans</x:v>
      </x:c>
      <x:c r="O92" s="32" t="n">
        <x:v>2.7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Miscellaneous marine crustaceans</x:v>
      </x:c>
      <x:c r="T92" s="32" t="n">
        <x:f>IF(O92="","",(1/'Metadata'!$B$5)^(O92-1))</x:f>
        <x:v>50.11872336272725</x:v>
      </x:c>
      <x:c r="U92" s="31" t="n">
        <x:f>IF(T92="","",I92*T92)</x:f>
        <x:v>1273.0155734132723</x:v>
      </x:c>
    </x:row>
    <x:row r="93" ht="18" customHeight="1">
      <x:c r="A93" s="24" t="str">
        <x:v>EEZ_604</x:v>
      </x:c>
      <x:c r="B93" s="24" t="str">
        <x:v>Peru</x:v>
      </x:c>
      <x:c r="C93" s="24" t="str">
        <x:v>EEZ</x:v>
      </x:c>
      <x:c r="D93" s="30" t="n">
        <x:v>2019</x:v>
      </x:c>
      <x:c r="E93" s="24" t="str">
        <x:v>Auxis rochei</x:v>
      </x:c>
      <x:c r="F93" s="24" t="str">
        <x:v>Bullet tuna</x:v>
      </x:c>
      <x:c r="G93" s="24" t="str">
        <x:v>Medium pelagics (30 - 89 cm)</x:v>
      </x:c>
      <x:c r="H93" s="24" t="str">
        <x:v>Tuna &amp; billfishes</x:v>
      </x:c>
      <x:c r="I93" s="31" t="n">
        <x:v>23.799999999999997</x:v>
      </x:c>
      <x:c r="J93" s="31" t="n">
        <x:v>23.799999999999997</x:v>
      </x:c>
      <x:c r="K93" s="31" t="n">
        <x:v>0</x:v>
      </x:c>
      <x:c r="L93" s="31" t="n">
        <x:v>23.799999999999997</x:v>
      </x:c>
      <x:c r="M93" s="31" t="n">
        <x:v>0</x:v>
      </x:c>
      <x:c r="N93" s="24" t="str">
        <x:v>auxis rochei</x:v>
      </x:c>
      <x:c r="O93" s="32" t="n">
        <x:v>4.13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Auxis rochei</x:v>
      </x:c>
      <x:c r="T93" s="32" t="n">
        <x:f>IF(O93="","",(1/'Metadata'!$B$5)^(O93-1))</x:f>
        <x:v>1348.9628825916532</x:v>
      </x:c>
      <x:c r="U93" s="31" t="n">
        <x:f>IF(T93="","",I93*T93)</x:f>
        <x:v>32105.316605681342</x:v>
      </x:c>
    </x:row>
    <x:row r="94" ht="18" customHeight="1">
      <x:c r="A94" s="24" t="str">
        <x:v>EEZ_604</x:v>
      </x:c>
      <x:c r="B94" s="24" t="str">
        <x:v>Peru</x:v>
      </x:c>
      <x:c r="C94" s="24" t="str">
        <x:v>EEZ</x:v>
      </x:c>
      <x:c r="D94" s="30" t="n">
        <x:v>2019</x:v>
      </x:c>
      <x:c r="E94" s="24" t="str">
        <x:v>Tetrapturus angustirostris</x:v>
      </x:c>
      <x:c r="F94" s="24" t="str">
        <x:v>Shortbill spearfish</x:v>
      </x:c>
      <x:c r="G94" s="24" t="str">
        <x:v>Large pelagics (&gt;=90 cm)</x:v>
      </x:c>
      <x:c r="H94" s="24" t="str">
        <x:v>Tuna &amp; billfishes</x:v>
      </x:c>
      <x:c r="I94" s="31" t="n">
        <x:v>22.0301260697</x:v>
      </x:c>
      <x:c r="J94" s="31" t="n">
        <x:v>22.0301260697</x:v>
      </x:c>
      <x:c r="K94" s="31" t="n">
        <x:v>0</x:v>
      </x:c>
      <x:c r="L94" s="31" t="n">
        <x:v>22.0301260697</x:v>
      </x:c>
      <x:c r="M94" s="31" t="n">
        <x:v>0</x:v>
      </x:c>
      <x:c r="N94" s="24" t="str">
        <x:v>tetrapturus angustirostris</x:v>
      </x:c>
      <x:c r="O94" s="32" t="n">
        <x:v>4.5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Tetrapturus angustirostris</x:v>
      </x:c>
      <x:c r="T94" s="32" t="n">
        <x:f>IF(O94="","",(1/'Metadata'!$B$5)^(O94-1))</x:f>
        <x:v>3162.2776601683795</x:v>
      </x:c>
      <x:c r="U94" s="31" t="n">
        <x:f>IF(T94="","",I94*T94)</x:f>
        <x:v>69665.37552090533</x:v>
      </x:c>
    </x:row>
    <x:row r="95" ht="18" customHeight="1">
      <x:c r="A95" s="24" t="str">
        <x:v>EEZ_604</x:v>
      </x:c>
      <x:c r="B95" s="24" t="str">
        <x:v>Peru</x:v>
      </x:c>
      <x:c r="C95" s="24" t="str">
        <x:v>EEZ</x:v>
      </x:c>
      <x:c r="D95" s="30" t="n">
        <x:v>2019</x:v>
      </x:c>
      <x:c r="E95" s="24" t="str">
        <x:v>Ruvettus pretiosus</x:v>
      </x:c>
      <x:c r="F95" s="24" t="str">
        <x:v>Oilfish</x:v>
      </x:c>
      <x:c r="G95" s="24" t="str">
        <x:v>Large benthopelagics (&gt;=90 cm)</x:v>
      </x:c>
      <x:c r="H95" s="24" t="str">
        <x:v>Perch-likes</x:v>
      </x:c>
      <x:c r="I95" s="31" t="n">
        <x:v>20.8</x:v>
      </x:c>
      <x:c r="J95" s="31" t="n">
        <x:v>20.8</x:v>
      </x:c>
      <x:c r="K95" s="31" t="n">
        <x:v>0</x:v>
      </x:c>
      <x:c r="L95" s="31" t="n">
        <x:v>20.8</x:v>
      </x:c>
      <x:c r="M95" s="31" t="n">
        <x:v>0</x:v>
      </x:c>
      <x:c r="N95" s="24" t="str">
        <x:v>ruvettus pretiosus</x:v>
      </x:c>
      <x:c r="O95" s="32" t="n">
        <x:v>4.18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Ruvettus pretiosus</x:v>
      </x:c>
      <x:c r="T95" s="32" t="n">
        <x:f>IF(O95="","",(1/'Metadata'!$B$5)^(O95-1))</x:f>
        <x:v>1513.5612484362073</x:v>
      </x:c>
      <x:c r="U95" s="31" t="n">
        <x:f>IF(T95="","",I95*T95)</x:f>
        <x:v>31482.073967473112</x:v>
      </x:c>
    </x:row>
    <x:row r="96" ht="18" customHeight="1">
      <x:c r="A96" s="24" t="str">
        <x:v>EEZ_604</x:v>
      </x:c>
      <x:c r="B96" s="24" t="str">
        <x:v>Peru</x:v>
      </x:c>
      <x:c r="C96" s="24" t="str">
        <x:v>EEZ</x:v>
      </x:c>
      <x:c r="D96" s="30" t="n">
        <x:v>2019</x:v>
      </x:c>
      <x:c r="E96" s="24" t="str">
        <x:v>Polydactylus approximans</x:v>
      </x:c>
      <x:c r="F96" s="24" t="str">
        <x:v>Blue bobo</x:v>
      </x:c>
      <x:c r="G96" s="24" t="str">
        <x:v>Medium demersals (30 - 89 cm)</x:v>
      </x:c>
      <x:c r="H96" s="24" t="str">
        <x:v>Perch-likes</x:v>
      </x:c>
      <x:c r="I96" s="31" t="n">
        <x:v>17.2</x:v>
      </x:c>
      <x:c r="J96" s="31" t="n">
        <x:v>17.2</x:v>
      </x:c>
      <x:c r="K96" s="31" t="n">
        <x:v>0</x:v>
      </x:c>
      <x:c r="L96" s="31" t="n">
        <x:v>17.2</x:v>
      </x:c>
      <x:c r="M96" s="31" t="n">
        <x:v>0</x:v>
      </x:c>
      <x:c r="N96" s="24" t="str">
        <x:v>polydactylus approximans</x:v>
      </x:c>
      <x:c r="O96" s="32" t="n">
        <x:v>3.59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Polydactylus approximans</x:v>
      </x:c>
      <x:c r="T96" s="32" t="n">
        <x:f>IF(O96="","",(1/'Metadata'!$B$5)^(O96-1))</x:f>
        <x:v>389.04514499428046</x:v>
      </x:c>
      <x:c r="U96" s="31" t="n">
        <x:f>IF(T96="","",I96*T96)</x:f>
        <x:v>6691.5764939016235</x:v>
      </x:c>
    </x:row>
    <x:row r="97" ht="18" customHeight="1">
      <x:c r="A97" s="24" t="str">
        <x:v>EEZ_604</x:v>
      </x:c>
      <x:c r="B97" s="24" t="str">
        <x:v>Peru</x:v>
      </x:c>
      <x:c r="C97" s="24" t="str">
        <x:v>EEZ</x:v>
      </x:c>
      <x:c r="D97" s="30" t="n">
        <x:v>2019</x:v>
      </x:c>
      <x:c r="E97" s="24" t="str">
        <x:v>Istiophorus platypterus</x:v>
      </x:c>
      <x:c r="F97" s="24" t="str">
        <x:v>Indo-Pacific sailfish</x:v>
      </x:c>
      <x:c r="G97" s="24" t="str">
        <x:v>Large pelagics (&gt;=90 cm)</x:v>
      </x:c>
      <x:c r="H97" s="24" t="str">
        <x:v>Tuna &amp; billfishes</x:v>
      </x:c>
      <x:c r="I97" s="31" t="n">
        <x:v>15.8239632235</x:v>
      </x:c>
      <x:c r="J97" s="31" t="n">
        <x:v>15.8239632235</x:v>
      </x:c>
      <x:c r="K97" s="31" t="n">
        <x:v>0</x:v>
      </x:c>
      <x:c r="L97" s="31" t="n">
        <x:v>15.8239632235</x:v>
      </x:c>
      <x:c r="M97" s="31" t="n">
        <x:v>0</x:v>
      </x:c>
      <x:c r="N97" s="24" t="str">
        <x:v>istiophorus platypterus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Istiophorus platypterus</x:v>
      </x:c>
      <x:c r="T97" s="32" t="n">
        <x:f>IF(O97="","",(1/'Metadata'!$B$5)^(O97-1))</x:f>
        <x:v>3162.2776601683795</x:v>
      </x:c>
      <x:c r="U97" s="31" t="n">
        <x:f>IF(T97="","",I97*T97)</x:f>
        <x:v>50039.76539700007</x:v>
      </x:c>
    </x:row>
    <x:row r="98" ht="18" customHeight="1">
      <x:c r="A98" s="24" t="str">
        <x:v>EEZ_604</x:v>
      </x:c>
      <x:c r="B98" s="24" t="str">
        <x:v>Peru</x:v>
      </x:c>
      <x:c r="C98" s="24" t="str">
        <x:v>EEZ</x:v>
      </x:c>
      <x:c r="D98" s="30" t="n">
        <x:v>2019</x:v>
      </x:c>
      <x:c r="E98" s="24" t="str">
        <x:v>Seriola lalandi</x:v>
      </x:c>
      <x:c r="F98" s="24" t="str">
        <x:v>Yellowtail amberjack</x:v>
      </x:c>
      <x:c r="G98" s="24" t="str">
        <x:v>Large benthopelagics (&gt;=90 cm)</x:v>
      </x:c>
      <x:c r="H98" s="24" t="str">
        <x:v>Perch-likes</x:v>
      </x:c>
      <x:c r="I98" s="31" t="n">
        <x:v>11.500000000000002</x:v>
      </x:c>
      <x:c r="J98" s="31" t="n">
        <x:v>11.500000000000002</x:v>
      </x:c>
      <x:c r="K98" s="31" t="n">
        <x:v>0</x:v>
      </x:c>
      <x:c r="L98" s="31" t="n">
        <x:v>11.500000000000002</x:v>
      </x:c>
      <x:c r="M98" s="31" t="n">
        <x:v>0</x:v>
      </x:c>
      <x:c r="N98" s="24" t="str">
        <x:v>seriola lalandi</x:v>
      </x:c>
      <x:c r="O98" s="32" t="n">
        <x:v>4.16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Seriola lalandi</x:v>
      </x:c>
      <x:c r="T98" s="32" t="n">
        <x:f>IF(O98="","",(1/'Metadata'!$B$5)^(O98-1))</x:f>
        <x:v>1445.439770745928</x:v>
      </x:c>
      <x:c r="U98" s="31" t="n">
        <x:f>IF(T98="","",I98*T98)</x:f>
        <x:v>16622.557363578173</x:v>
      </x:c>
    </x:row>
    <x:row r="99" ht="18" customHeight="1">
      <x:c r="A99" s="24" t="str">
        <x:v>EEZ_604</x:v>
      </x:c>
      <x:c r="B99" s="24" t="str">
        <x:v>Peru</x:v>
      </x:c>
      <x:c r="C99" s="24" t="str">
        <x:v>EEZ</x:v>
      </x:c>
      <x:c r="D99" s="30" t="n">
        <x:v>2019</x:v>
      </x:c>
      <x:c r="E99" s="24" t="str">
        <x:v>Caranx</x:v>
      </x:c>
      <x:c r="F99" s="24" t="str">
        <x:v>Jacks</x:v>
      </x:c>
      <x:c r="G99" s="24" t="str">
        <x:v>Medium reef assoc. fish (30 - 89 cm)</x:v>
      </x:c>
      <x:c r="H99" s="24" t="str">
        <x:v>Perch-likes</x:v>
      </x:c>
      <x:c r="I99" s="31" t="n">
        <x:v>11.2</x:v>
      </x:c>
      <x:c r="J99" s="31" t="n">
        <x:v>11.2</x:v>
      </x:c>
      <x:c r="K99" s="31" t="n">
        <x:v>0</x:v>
      </x:c>
      <x:c r="L99" s="31" t="n">
        <x:v>11.2</x:v>
      </x:c>
      <x:c r="M99" s="31" t="n">
        <x:v>0</x:v>
      </x:c>
      <x:c r="N99" s="24" t="str">
        <x:v>caranx</x:v>
      </x:c>
      <x:c r="O99" s="32" t="n">
        <x:v>4.12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Caranx</x:v>
      </x:c>
      <x:c r="T99" s="32" t="n">
        <x:f>IF(O99="","",(1/'Metadata'!$B$5)^(O99-1))</x:f>
        <x:v>1318.2567385564075</x:v>
      </x:c>
      <x:c r="U99" s="31" t="n">
        <x:f>IF(T99="","",I99*T99)</x:f>
        <x:v>14764.475471831764</x:v>
      </x:c>
    </x:row>
    <x:row r="100" ht="18" customHeight="1">
      <x:c r="A100" s="24" t="str">
        <x:v>EEZ_604</x:v>
      </x:c>
      <x:c r="B100" s="24" t="str">
        <x:v>Peru</x:v>
      </x:c>
      <x:c r="C100" s="24" t="str">
        <x:v>EEZ</x:v>
      </x:c>
      <x:c r="D100" s="30" t="n">
        <x:v>2019</x:v>
      </x:c>
      <x:c r="E100" s="24" t="str">
        <x:v>Aplodactylus punctatus</x:v>
      </x:c>
      <x:c r="F100" s="24" t="str">
        <x:v>Aplodactylus punctatus</x:v>
      </x:c>
      <x:c r="G100" s="24" t="str">
        <x:v>Medium demersals (30 - 89 cm)</x:v>
      </x:c>
      <x:c r="H100" s="24" t="str">
        <x:v>Perch-likes</x:v>
      </x:c>
      <x:c r="I100" s="31" t="n">
        <x:v>6.2</x:v>
      </x:c>
      <x:c r="J100" s="31" t="n">
        <x:v>6.2</x:v>
      </x:c>
      <x:c r="K100" s="31" t="n">
        <x:v>0</x:v>
      </x:c>
      <x:c r="L100" s="31" t="n">
        <x:v>6.2</x:v>
      </x:c>
      <x:c r="M100" s="31" t="n">
        <x:v>0</x:v>
      </x:c>
      <x:c r="N100" s="24" t="str">
        <x:v>aplodactylus punctatus</x:v>
      </x:c>
      <x:c r="O100" s="32" t="n">
        <x:v>2.04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Aplodactylus punctatus</x:v>
      </x:c>
      <x:c r="T100" s="32" t="n">
        <x:f>IF(O100="","",(1/'Metadata'!$B$5)^(O100-1))</x:f>
        <x:v>10.964781961431852</x:v>
      </x:c>
      <x:c r="U100" s="31" t="n">
        <x:f>IF(T100="","",I100*T100)</x:f>
        <x:v>67.98164816087748</x:v>
      </x:c>
    </x:row>
    <x:row r="101" ht="18" customHeight="1">
      <x:c r="A101" s="24" t="str">
        <x:v>EEZ_604</x:v>
      </x:c>
      <x:c r="B101" s="24" t="str">
        <x:v>Peru</x:v>
      </x:c>
      <x:c r="C101" s="24" t="str">
        <x:v>EEZ</x:v>
      </x:c>
      <x:c r="D101" s="30" t="n">
        <x:v>2019</x:v>
      </x:c>
      <x:c r="E101" s="24" t="str">
        <x:v>Stromateus stellatus</x:v>
      </x:c>
      <x:c r="F101" s="24" t="str">
        <x:v>Starry butterfish</x:v>
      </x:c>
      <x:c r="G101" s="24" t="str">
        <x:v>Small benthopelagics (&lt;30 cm)</x:v>
      </x:c>
      <x:c r="H101" s="24" t="str">
        <x:v>Perch-likes</x:v>
      </x:c>
      <x:c r="I101" s="31" t="n">
        <x:v>5.66</x:v>
      </x:c>
      <x:c r="J101" s="31" t="n">
        <x:v>5.66</x:v>
      </x:c>
      <x:c r="K101" s="31" t="n">
        <x:v>0</x:v>
      </x:c>
      <x:c r="L101" s="31" t="n">
        <x:v>5.66</x:v>
      </x:c>
      <x:c r="M101" s="31" t="n">
        <x:v>0</x:v>
      </x:c>
      <x:c r="N101" s="24" t="str">
        <x:v>stromateus stellatus</x:v>
      </x:c>
      <x:c r="O101" s="32" t="n">
        <x:v>3.59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Stromateus stellatus</x:v>
      </x:c>
      <x:c r="T101" s="32" t="n">
        <x:f>IF(O101="","",(1/'Metadata'!$B$5)^(O101-1))</x:f>
        <x:v>389.04514499428046</x:v>
      </x:c>
      <x:c r="U101" s="31" t="n">
        <x:f>IF(T101="","",I101*T101)</x:f>
        <x:v>2201.9955206676273</x:v>
      </x:c>
    </x:row>
    <x:row r="102" ht="18" customHeight="1">
      <x:c r="A102" s="24" t="str">
        <x:v>EEZ_604</x:v>
      </x:c>
      <x:c r="B102" s="24" t="str">
        <x:v>Peru</x:v>
      </x:c>
      <x:c r="C102" s="24" t="str">
        <x:v>EEZ</x:v>
      </x:c>
      <x:c r="D102" s="30" t="n">
        <x:v>2019</x:v>
      </x:c>
      <x:c r="E102" s="24" t="str">
        <x:v>Rhinoptera steindachneri</x:v>
      </x:c>
      <x:c r="F102" s="24" t="str">
        <x:v>Pacific cownose ray</x:v>
      </x:c>
      <x:c r="G102" s="24" t="str">
        <x:v>Large rays (&gt;=90 cm)</x:v>
      </x:c>
      <x:c r="H102" s="24" t="str">
        <x:v>Sharks &amp; rays</x:v>
      </x:c>
      <x:c r="I102" s="31" t="n">
        <x:v>5.3</x:v>
      </x:c>
      <x:c r="J102" s="31" t="n">
        <x:v>5.3</x:v>
      </x:c>
      <x:c r="K102" s="31" t="n">
        <x:v>0</x:v>
      </x:c>
      <x:c r="L102" s="31" t="n">
        <x:v>5.3</x:v>
      </x:c>
      <x:c r="M102" s="31" t="n">
        <x:v>0</x:v>
      </x:c>
      <x:c r="N102" s="24" t="str">
        <x:v>rhinoptera steindachneri</x:v>
      </x:c>
      <x:c r="O102" s="32" t="n">
        <x:v>3.55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Rhinoptera steindachneri</x:v>
      </x:c>
      <x:c r="T102" s="32" t="n">
        <x:f>IF(O102="","",(1/'Metadata'!$B$5)^(O102-1))</x:f>
        <x:v>354.8133892335753</x:v>
      </x:c>
      <x:c r="U102" s="31" t="n">
        <x:f>IF(T102="","",I102*T102)</x:f>
        <x:v>1880.5109629379492</x:v>
      </x:c>
    </x:row>
    <x:row r="103" ht="18" customHeight="1">
      <x:c r="A103" s="24" t="str">
        <x:v>EEZ_604</x:v>
      </x:c>
      <x:c r="B103" s="24" t="str">
        <x:v>Peru</x:v>
      </x:c>
      <x:c r="C103" s="24" t="str">
        <x:v>EEZ</x:v>
      </x:c>
      <x:c r="D103" s="30" t="n">
        <x:v>2019</x:v>
      </x:c>
      <x:c r="E103" s="24" t="str">
        <x:v>Cetengraulis mysticetus</x:v>
      </x:c>
      <x:c r="F103" s="24" t="str">
        <x:v>Pacific anchoveta</x:v>
      </x:c>
      <x:c r="G103" s="24" t="str">
        <x:v>Small pelagics (&lt;30 cm)</x:v>
      </x:c>
      <x:c r="H103" s="24" t="str">
        <x:v>Anchovies</x:v>
      </x:c>
      <x:c r="I103" s="31" t="n">
        <x:v>4</x:v>
      </x:c>
      <x:c r="J103" s="31" t="n">
        <x:v>4</x:v>
      </x:c>
      <x:c r="K103" s="31" t="n">
        <x:v>0</x:v>
      </x:c>
      <x:c r="L103" s="31" t="n">
        <x:v>4</x:v>
      </x:c>
      <x:c r="M103" s="31" t="n">
        <x:v>0</x:v>
      </x:c>
      <x:c r="N103" s="24" t="str">
        <x:v>cetengraulis mysticetus</x:v>
      </x:c>
      <x:c r="O103" s="32" t="n">
        <x:v>2.47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Cetengraulis mysticetus</x:v>
      </x:c>
      <x:c r="T103" s="32" t="n">
        <x:f>IF(O103="","",(1/'Metadata'!$B$5)^(O103-1))</x:f>
        <x:v>29.51209226666387</x:v>
      </x:c>
      <x:c r="U103" s="31" t="n">
        <x:f>IF(T103="","",I103*T103)</x:f>
        <x:v>118.04836906665548</x:v>
      </x:c>
    </x:row>
    <x:row r="104" ht="18" customHeight="1">
      <x:c r="A104" s="24" t="str">
        <x:v>EEZ_604</x:v>
      </x:c>
      <x:c r="B104" s="24" t="str">
        <x:v>Peru</x:v>
      </x:c>
      <x:c r="C104" s="24" t="str">
        <x:v>EEZ</x:v>
      </x:c>
      <x:c r="D104" s="30" t="n">
        <x:v>2019</x:v>
      </x:c>
      <x:c r="E104" s="24" t="str">
        <x:v>Auxis</x:v>
      </x:c>
      <x:c r="F104" s="24" t="str">
        <x:v>Bullet and frigate tunas</x:v>
      </x:c>
      <x:c r="G104" s="24" t="str">
        <x:v>Medium pelagics (30 - 89 cm)</x:v>
      </x:c>
      <x:c r="H104" s="24" t="str">
        <x:v>Tuna &amp; billfishes</x:v>
      </x:c>
      <x:c r="I104" s="31" t="n">
        <x:v>3.7</x:v>
      </x:c>
      <x:c r="J104" s="31" t="n">
        <x:v>3.7</x:v>
      </x:c>
      <x:c r="K104" s="31" t="n">
        <x:v>0</x:v>
      </x:c>
      <x:c r="L104" s="31" t="n">
        <x:v>3.7</x:v>
      </x:c>
      <x:c r="M104" s="31" t="n">
        <x:v>0</x:v>
      </x:c>
      <x:c r="N104" s="24" t="str">
        <x:v>auxis</x:v>
      </x:c>
      <x:c r="O104" s="32" t="n">
        <x:v>4.24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Auxis</x:v>
      </x:c>
      <x:c r="T104" s="32" t="n">
        <x:f>IF(O104="","",(1/'Metadata'!$B$5)^(O104-1))</x:f>
        <x:v>1737.8008287493763</x:v>
      </x:c>
      <x:c r="U104" s="31" t="n">
        <x:f>IF(T104="","",I104*T104)</x:f>
        <x:v>6429.863066372693</x:v>
      </x:c>
    </x:row>
    <x:row r="105" ht="18" customHeight="1">
      <x:c r="A105" s="24" t="str">
        <x:v>EEZ_604</x:v>
      </x:c>
      <x:c r="B105" s="24" t="str">
        <x:v>Peru</x:v>
      </x:c>
      <x:c r="C105" s="24" t="str">
        <x:v>EEZ</x:v>
      </x:c>
      <x:c r="D105" s="30" t="n">
        <x:v>2019</x:v>
      </x:c>
      <x:c r="E105" s="24" t="str">
        <x:v>Parapsettus panamensis</x:v>
      </x:c>
      <x:c r="F105" s="24" t="str">
        <x:v>Panama spadefish</x:v>
      </x:c>
      <x:c r="G105" s="24" t="str">
        <x:v>Small reef assoc. fish (&lt;30 cm)</x:v>
      </x:c>
      <x:c r="H105" s="24" t="str">
        <x:v>Perch-likes</x:v>
      </x:c>
      <x:c r="I105" s="31" t="n">
        <x:v>2.4</x:v>
      </x:c>
      <x:c r="J105" s="31" t="n">
        <x:v>2.4</x:v>
      </x:c>
      <x:c r="K105" s="31" t="n">
        <x:v>0</x:v>
      </x:c>
      <x:c r="L105" s="31" t="n">
        <x:v>2.4</x:v>
      </x:c>
      <x:c r="M105" s="31" t="n">
        <x:v>0</x:v>
      </x:c>
      <x:c r="N105" s="24" t="str">
        <x:v>parapsettus panamensis</x:v>
      </x:c>
      <x:c r="O105" s="32" t="n">
        <x:v>3.5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Parapsettus panamensis</x:v>
      </x:c>
      <x:c r="T105" s="32" t="n">
        <x:f>IF(O105="","",(1/'Metadata'!$B$5)^(O105-1))</x:f>
        <x:v>316.22776601683796</x:v>
      </x:c>
      <x:c r="U105" s="31" t="n">
        <x:f>IF(T105="","",I105*T105)</x:f>
        <x:v>758.9466384404111</x:v>
      </x:c>
    </x:row>
    <x:row r="106" ht="18" customHeight="1">
      <x:c r="A106" s="24" t="str">
        <x:v>EEZ_604</x:v>
      </x:c>
      <x:c r="B106" s="24" t="str">
        <x:v>Peru</x:v>
      </x:c>
      <x:c r="C106" s="24" t="str">
        <x:v>EEZ</x:v>
      </x:c>
      <x:c r="D106" s="30" t="n">
        <x:v>2019</x:v>
      </x:c>
      <x:c r="E106" s="24" t="str">
        <x:v>Mesodesma donacium</x:v>
      </x:c>
      <x:c r="F106" s="24" t="str">
        <x:v>Macha clam</x:v>
      </x:c>
      <x:c r="G106" s="24" t="str">
        <x:v>Other demersal invertebrates</x:v>
      </x:c>
      <x:c r="H106" s="24" t="str">
        <x:v>Molluscs</x:v>
      </x:c>
      <x:c r="I106" s="31" t="n">
        <x:v>1.7</x:v>
      </x:c>
      <x:c r="J106" s="31" t="n">
        <x:v>1.7</x:v>
      </x:c>
      <x:c r="K106" s="31" t="n">
        <x:v>0</x:v>
      </x:c>
      <x:c r="L106" s="31" t="n">
        <x:v>1.7</x:v>
      </x:c>
      <x:c r="M106" s="31" t="n">
        <x:v>0</x:v>
      </x:c>
      <x:c r="N106" s="24" t="str">
        <x:v>mesodesma donacium</x:v>
      </x:c>
      <x:c r="O106" s="32" t="n">
        <x:v>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Mesodesma donacium</x:v>
      </x:c>
      <x:c r="T106" s="32" t="n">
        <x:f>IF(O106="","",(1/'Metadata'!$B$5)^(O106-1))</x:f>
        <x:v>10</x:v>
      </x:c>
      <x:c r="U106" s="31" t="n">
        <x:f>IF(T106="","",I106*T106)</x:f>
        <x:v>17</x:v>
      </x:c>
    </x:row>
    <x:row r="107" ht="18" customHeight="1">
      <x:c r="A107" s="24" t="str">
        <x:v>EEZ_604</x:v>
      </x:c>
      <x:c r="B107" s="24" t="str">
        <x:v>Peru</x:v>
      </x:c>
      <x:c r="C107" s="24" t="str">
        <x:v>EEZ</x:v>
      </x:c>
      <x:c r="D107" s="30" t="n">
        <x:v>2019</x:v>
      </x:c>
      <x:c r="E107" s="24" t="str">
        <x:v>Isurus</x:v>
      </x:c>
      <x:c r="F107" s="24" t="str">
        <x:v>Mako sharks</x:v>
      </x:c>
      <x:c r="G107" s="24" t="str">
        <x:v>Large sharks (&gt;=90 cm)</x:v>
      </x:c>
      <x:c r="H107" s="24" t="str">
        <x:v>Sharks &amp; rays</x:v>
      </x:c>
      <x:c r="I107" s="31" t="n">
        <x:v>1.6680253096</x:v>
      </x:c>
      <x:c r="J107" s="31" t="n">
        <x:v>0</x:v>
      </x:c>
      <x:c r="K107" s="31" t="n">
        <x:v>1.6680253096</x:v>
      </x:c>
      <x:c r="L107" s="31" t="n">
        <x:v>0</x:v>
      </x:c>
      <x:c r="M107" s="31" t="n">
        <x:v>1.6680253096</x:v>
      </x:c>
      <x:c r="N107" s="24" t="str">
        <x:v>isurus</x:v>
      </x:c>
      <x:c r="O107" s="32" t="n">
        <x:v>4.5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Isurus</x:v>
      </x:c>
      <x:c r="T107" s="32" t="n">
        <x:f>IF(O107="","",(1/'Metadata'!$B$5)^(O107-1))</x:f>
        <x:v>3162.2776601683795</x:v>
      </x:c>
      <x:c r="U107" s="31" t="n">
        <x:f>IF(T107="","",I107*T107)</x:f>
        <x:v>5274.759173143525</x:v>
      </x:c>
    </x:row>
    <x:row r="108" ht="18" customHeight="1">
      <x:c r="A108" s="24" t="str">
        <x:v>EEZ_604</x:v>
      </x:c>
      <x:c r="B108" s="24" t="str">
        <x:v>Peru</x:v>
      </x:c>
      <x:c r="C108" s="24" t="str">
        <x:v>EEZ</x:v>
      </x:c>
      <x:c r="D108" s="30" t="n">
        <x:v>2019</x:v>
      </x:c>
      <x:c r="E108" s="24" t="str">
        <x:v>Istiompax indica</x:v>
      </x:c>
      <x:c r="F108" s="24" t="str">
        <x:v>Black marlin</x:v>
      </x:c>
      <x:c r="G108" s="24" t="str">
        <x:v>Large pelagics (&gt;=90 cm)</x:v>
      </x:c>
      <x:c r="H108" s="24" t="str">
        <x:v>Tuna &amp; billfishes</x:v>
      </x:c>
      <x:c r="I108" s="31" t="n">
        <x:v>0.6560322018999999</x:v>
      </x:c>
      <x:c r="J108" s="31" t="n">
        <x:v>0.6560322018999999</x:v>
      </x:c>
      <x:c r="K108" s="31" t="n">
        <x:v>0</x:v>
      </x:c>
      <x:c r="L108" s="31" t="n">
        <x:v>0.6560322018999999</x:v>
      </x:c>
      <x:c r="M108" s="31" t="n">
        <x:v>0</x:v>
      </x:c>
      <x:c r="N108" s="24" t="str">
        <x:v>istiompax indica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Istiompax indica</x:v>
      </x:c>
      <x:c r="T108" s="32" t="n">
        <x:f>IF(O108="","",(1/'Metadata'!$B$5)^(O108-1))</x:f>
        <x:v>3162.2776601683795</x:v>
      </x:c>
      <x:c r="U108" s="31" t="n">
        <x:f>IF(T108="","",I108*T108)</x:f>
        <x:v>2074.555976419442</x:v>
      </x:c>
    </x:row>
    <x:row r="109" ht="18" customHeight="1">
      <x:c r="A109" s="24" t="str">
        <x:v>EEZ_604</x:v>
      </x:c>
      <x:c r="B109" s="24" t="str">
        <x:v>Peru</x:v>
      </x:c>
      <x:c r="C109" s="24" t="str">
        <x:v>EEZ</x:v>
      </x:c>
      <x:c r="D109" s="30" t="n">
        <x:v>2019</x:v>
      </x:c>
      <x:c r="E109" s="24" t="str">
        <x:v>Chondrichthyes</x:v>
      </x:c>
      <x:c r="F109" s="24" t="str">
        <x:v>Sharks, rays, chimaeras</x:v>
      </x:c>
      <x:c r="G109" s="24" t="str">
        <x:v>Large sharks (&gt;=90 cm)</x:v>
      </x:c>
      <x:c r="H109" s="24" t="str">
        <x:v>Sharks &amp; rays</x:v>
      </x:c>
      <x:c r="I109" s="31" t="n">
        <x:v>0.4299297694</x:v>
      </x:c>
      <x:c r="J109" s="31" t="n">
        <x:v>0.4299297694</x:v>
      </x:c>
      <x:c r="K109" s="31" t="n">
        <x:v>0</x:v>
      </x:c>
      <x:c r="L109" s="31" t="n">
        <x:v>0.4299297694</x:v>
      </x:c>
      <x:c r="M109" s="31" t="n">
        <x:v>0</x:v>
      </x:c>
      <x:c r="N109" s="24" t="str">
        <x:v>chondrichthyes</x:v>
      </x:c>
      <x:c r="O109" s="32" t="n">
        <x:v>4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Chondrichthyes</x:v>
      </x:c>
      <x:c r="T109" s="32" t="n">
        <x:f>IF(O109="","",(1/'Metadata'!$B$5)^(O109-1))</x:f>
        <x:v>1000</x:v>
      </x:c>
      <x:c r="U109" s="31" t="n">
        <x:f>IF(T109="","",I109*T109)</x:f>
        <x:v>429.9297694</x:v>
      </x:c>
    </x:row>
    <x:row r="110" ht="18" customHeight="1">
      <x:c r="A110" s="24" t="str">
        <x:v>EEZ_604</x:v>
      </x:c>
      <x:c r="B110" s="24" t="str">
        <x:v>Peru</x:v>
      </x:c>
      <x:c r="C110" s="24" t="str">
        <x:v>EEZ</x:v>
      </x:c>
      <x:c r="D110" s="30" t="n">
        <x:v>2019</x:v>
      </x:c>
      <x:c r="E110" s="24" t="str">
        <x:v>Lepidocybium flavobrunneum</x:v>
      </x:c>
      <x:c r="F110" s="24" t="str">
        <x:v>Escolar</x:v>
      </x:c>
      <x:c r="G110" s="24" t="str">
        <x:v>Large bathypelagics (&gt;=90 cm)</x:v>
      </x:c>
      <x:c r="H110" s="24" t="str">
        <x:v>Perch-likes</x:v>
      </x:c>
      <x:c r="I110" s="31" t="n">
        <x:v>0.4</x:v>
      </x:c>
      <x:c r="J110" s="31" t="n">
        <x:v>0.4</x:v>
      </x:c>
      <x:c r="K110" s="31" t="n">
        <x:v>0</x:v>
      </x:c>
      <x:c r="L110" s="31" t="n">
        <x:v>0.4</x:v>
      </x:c>
      <x:c r="M110" s="31" t="n">
        <x:v>0</x:v>
      </x:c>
      <x:c r="N110" s="24" t="str">
        <x:v>lepidocybium flavobrunneum</x:v>
      </x:c>
      <x:c r="O110" s="32" t="n">
        <x:v>4.34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Lepidocybium flavobrunneum</x:v>
      </x:c>
      <x:c r="T110" s="32" t="n">
        <x:f>IF(O110="","",(1/'Metadata'!$B$5)^(O110-1))</x:f>
        <x:v>2187.761623949552</x:v>
      </x:c>
      <x:c r="U110" s="31" t="n">
        <x:f>IF(T110="","",I110*T110)</x:f>
        <x:v>875.1046495798208</x:v>
      </x:c>
    </x:row>
    <x:row r="111" ht="18" customHeight="1">
      <x:c r="A111" s="24" t="str">
        <x:v>EEZ_604</x:v>
      </x:c>
      <x:c r="B111" s="24" t="str">
        <x:v>Peru</x:v>
      </x:c>
      <x:c r="C111" s="24" t="str">
        <x:v>EEZ</x:v>
      </x:c>
      <x:c r="D111" s="30" t="n">
        <x:v>2019</x:v>
      </x:c>
      <x:c r="E111" s="24" t="str">
        <x:v>Hippocampus</x:v>
      </x:c>
      <x:c r="F111" s="24" t="str">
        <x:v>Seahorses</x:v>
      </x:c>
      <x:c r="G111" s="24" t="str">
        <x:v>Small reef assoc. fish (&lt;30 cm)</x:v>
      </x:c>
      <x:c r="H111" s="24" t="str">
        <x:v>Other fishes &amp; inverts</x:v>
      </x:c>
      <x:c r="I111" s="31" t="n">
        <x:v>0.2</x:v>
      </x:c>
      <x:c r="J111" s="31" t="n">
        <x:v>0.2</x:v>
      </x:c>
      <x:c r="K111" s="31" t="n">
        <x:v>0</x:v>
      </x:c>
      <x:c r="L111" s="31" t="n">
        <x:v>0.2</x:v>
      </x:c>
      <x:c r="M111" s="31" t="n">
        <x:v>0</x:v>
      </x:c>
      <x:c r="N111" s="24" t="str">
        <x:v>hippocampus</x:v>
      </x:c>
      <x:c r="O111" s="32" t="n">
        <x:v>3.33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Hippocampus</x:v>
      </x:c>
      <x:c r="T111" s="32" t="n">
        <x:f>IF(O111="","",(1/'Metadata'!$B$5)^(O111-1))</x:f>
        <x:v>213.79620895022325</x:v>
      </x:c>
      <x:c r="U111" s="31" t="n">
        <x:f>IF(T111="","",I111*T111)</x:f>
        <x:v>42.759241790044655</x:v>
      </x:c>
    </x:row>
    <x:row r="112" ht="18" customHeight="1">
      <x:c r="A112" s="24" t="str">
        <x:v>EEZ_604</x:v>
      </x:c>
      <x:c r="B112" s="24" t="str">
        <x:v>Peru</x:v>
      </x:c>
      <x:c r="C112" s="24" t="str">
        <x:v>EEZ</x:v>
      </x:c>
      <x:c r="D112" s="30" t="n">
        <x:v>2019</x:v>
      </x:c>
      <x:c r="E112" s="24" t="str">
        <x:v>Carcharhinus falciformis</x:v>
      </x:c>
      <x:c r="F112" s="24" t="str">
        <x:v>Silky shark</x:v>
      </x:c>
      <x:c r="G112" s="24" t="str">
        <x:v>Large sharks (&gt;=90 cm)</x:v>
      </x:c>
      <x:c r="H112" s="24" t="str">
        <x:v>Sharks &amp; rays</x:v>
      </x:c>
      <x:c r="I112" s="31" t="n">
        <x:v>0.1646825085</x:v>
      </x:c>
      <x:c r="J112" s="31" t="n">
        <x:v>0</x:v>
      </x:c>
      <x:c r="K112" s="31" t="n">
        <x:v>0.1646825085</x:v>
      </x:c>
      <x:c r="L112" s="31" t="n">
        <x:v>0</x:v>
      </x:c>
      <x:c r="M112" s="31" t="n">
        <x:v>0.1646825085</x:v>
      </x:c>
      <x:c r="N112" s="24" t="str">
        <x:v>carcharhinus falciformis</x:v>
      </x:c>
      <x:c r="O112" s="32" t="n">
        <x:v>4.51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Carcharhinus falciformis</x:v>
      </x:c>
      <x:c r="T112" s="32" t="n">
        <x:f>IF(O112="","",(1/'Metadata'!$B$5)^(O112-1))</x:f>
        <x:v>3235.936569296281</x:v>
      </x:c>
      <x:c r="U112" s="31" t="n">
        <x:f>IF(T112="","",I112*T112)</x:f>
        <x:v>532.9021515785956</x:v>
      </x:c>
    </x:row>
    <x:row r="113" ht="18" customHeight="1">
      <x:c r="A113" s="24" t="str">
        <x:v>EEZ_604</x:v>
      </x:c>
      <x:c r="B113" s="24" t="str">
        <x:v>Peru</x:v>
      </x:c>
      <x:c r="C113" s="24" t="str">
        <x:v>EEZ</x:v>
      </x:c>
      <x:c r="D113" s="30" t="n">
        <x:v>2019</x:v>
      </x:c>
      <x:c r="E113" s="24" t="str">
        <x:v>Caulolatilus princeps</x:v>
      </x:c>
      <x:c r="F113" s="24" t="str">
        <x:v>Ocean whitefish</x:v>
      </x:c>
      <x:c r="G113" s="24" t="str">
        <x:v>Medium reef assoc. fish (30 - 89 cm)</x:v>
      </x:c>
      <x:c r="H113" s="24" t="str">
        <x:v>Perch-likes</x:v>
      </x:c>
      <x:c r="I113" s="31" t="n">
        <x:v>0.1</x:v>
      </x:c>
      <x:c r="J113" s="31" t="n">
        <x:v>0.1</x:v>
      </x:c>
      <x:c r="K113" s="31" t="n">
        <x:v>0</x:v>
      </x:c>
      <x:c r="L113" s="31" t="n">
        <x:v>0.1</x:v>
      </x:c>
      <x:c r="M113" s="31" t="n">
        <x:v>0</x:v>
      </x:c>
      <x:c r="N113" s="24" t="str">
        <x:v>caulolatilus princeps</x:v>
      </x:c>
      <x:c r="O113" s="32" t="n">
        <x:v>3.7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Caulolatilus princeps</x:v>
      </x:c>
      <x:c r="T113" s="32" t="n">
        <x:f>IF(O113="","",(1/'Metadata'!$B$5)^(O113-1))</x:f>
        <x:v>501.18723362727246</x:v>
      </x:c>
      <x:c r="U113" s="31" t="n">
        <x:f>IF(T113="","",I113*T113)</x:f>
        <x:v>50.11872336272725</x:v>
      </x:c>
    </x:row>
    <x:row r="114" ht="18" customHeight="1">
      <x:c r="A114" s="24" t="str">
        <x:v>EEZ_604</x:v>
      </x:c>
      <x:c r="B114" s="24" t="str">
        <x:v>Peru</x:v>
      </x:c>
      <x:c r="C114" s="24" t="str">
        <x:v>EEZ</x:v>
      </x:c>
      <x:c r="D114" s="30" t="n">
        <x:v>2019</x:v>
      </x:c>
      <x:c r="E114" s="24" t="str">
        <x:v>Carcharhinus longimanus</x:v>
      </x:c>
      <x:c r="F114" s="24" t="str">
        <x:v>Oceanic whitetip shark</x:v>
      </x:c>
      <x:c r="G114" s="24" t="str">
        <x:v>Large sharks (&gt;=90 cm)</x:v>
      </x:c>
      <x:c r="H114" s="24" t="str">
        <x:v>Sharks &amp; rays</x:v>
      </x:c>
      <x:c r="I114" s="31" t="n">
        <x:v>0.0855565785</x:v>
      </x:c>
      <x:c r="J114" s="31" t="n">
        <x:v>0</x:v>
      </x:c>
      <x:c r="K114" s="31" t="n">
        <x:v>0.0855565785</x:v>
      </x:c>
      <x:c r="L114" s="31" t="n">
        <x:v>0</x:v>
      </x:c>
      <x:c r="M114" s="31" t="n">
        <x:v>0.0855565785</x:v>
      </x:c>
      <x:c r="N114" s="24" t="str">
        <x:v>carcharhinus longimanus</x:v>
      </x:c>
      <x:c r="O114" s="32" t="n">
        <x:v>4.16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Carcharhinus longimanus</x:v>
      </x:c>
      <x:c r="T114" s="32" t="n">
        <x:f>IF(O114="","",(1/'Metadata'!$B$5)^(O114-1))</x:f>
        <x:v>1445.439770745928</x:v>
      </x:c>
      <x:c r="U114" s="31" t="n">
        <x:f>IF(T114="","",I114*T114)</x:f>
        <x:v>123.66688121284598</x:v>
      </x:c>
    </x:row>
  </x:sheetData>
  <x:conditionalFormatting sqref="R2:R11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57507e6b0a94e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3</x:v>
      </x:c>
      <x:c r="C2" s="33" t="n">
        <x:v>3</x:v>
      </x:c>
      <x:c r="D2" s="31" t="n">
        <x:v>4058512.043144968</x:v>
      </x:c>
      <x:c r="E2" s="31" t="n">
        <x:v>4058512.043144968</x:v>
      </x:c>
      <x:c r="F2" s="32" t="n">
        <x:v>0</x:v>
      </x:c>
      <x:c r="G2" s="34" t="n">
        <x:v>1</x:v>
      </x:c>
      <x:c r="H2" s="32" t="n">
        <x:f>IF(E2=0,"",I2/E2)</x:f>
        <x:v>50.12070705244467</x:v>
      </x:c>
      <x:c r="I2" s="31" t="n">
        <x:f>IF(C2=0,"",SUMIF('Species'!$H$2:$H$114,A2,'Species'!$U$2:$U$114))</x:f>
        <x:v>203415493.18328762</x:v>
      </x:c>
      <x:c r="J2" s="32" t="n">
        <x:v>2.7000067499909353</x:v>
      </x:c>
      <x:c r="K2" s="32" t="n">
        <x:f>IF(J2="","",(1/'Metadata'!$B$5)^(J2-1))</x:f>
        <x:v>50.11950233545542</x:v>
      </x:c>
      <x:c r="L2" s="31" t="n">
        <x:f>IF(E2=0,"",E2*K2)</x:f>
        <x:v>203410603.8248782</x:v>
      </x:c>
      <x:c r="M2" s="31" t="n">
        <x:f>IF(E2=0,"",I2-L2)</x:f>
        <x:v>4889.358409434557</x:v>
      </x:c>
      <x:c r="N2" s="32" t="n">
        <x:f>IF(L2=0,"",I2/L2)</x:f>
        <x:v>1.0000240368904938</x:v>
      </x:c>
      <x:c r="O2" s="34" t="n">
        <x:f>IF(L2=0,"",M2/L2)</x:f>
        <x:v>0.000024036890493889593</x:v>
      </x:c>
    </x:row>
    <x:row r="3" ht="18" customHeight="1">
      <x:c r="A3" s="24" t="str">
        <x:v>Cod-likes</x:v>
      </x:c>
      <x:c r="B3" s="33" t="n">
        <x:v>2</x:v>
      </x:c>
      <x:c r="C3" s="33" t="n">
        <x:v>2</x:v>
      </x:c>
      <x:c r="D3" s="31" t="n">
        <x:v>71555.4852102522</x:v>
      </x:c>
      <x:c r="E3" s="31" t="n">
        <x:v>71555.4852102522</x:v>
      </x:c>
      <x:c r="F3" s="32" t="n">
        <x:v>0</x:v>
      </x:c>
      <x:c r="G3" s="34" t="n">
        <x:v>1</x:v>
      </x:c>
      <x:c r="H3" s="32" t="n">
        <x:f>IF(E3=0,"",I3/E3)</x:f>
        <x:v>2448.0524153774654</x:v>
      </x:c>
      <x:c r="I3" s="31" t="n">
        <x:f>IF(C3=0,"",SUMIF('Species'!$H$2:$H$114,A3,'Species'!$U$2:$U$114))</x:f>
        <x:v>175171578.4024644</x:v>
      </x:c>
      <x:c r="J3" s="32" t="n">
        <x:v>4.387089065984055</x:v>
      </x:c>
      <x:c r="K3" s="32" t="n">
        <x:f>IF(J3="","",(1/'Metadata'!$B$5)^(J3-1))</x:f>
        <x:v>2438.3108207735</x:v>
      </x:c>
      <x:c r="L3" s="31" t="n">
        <x:f>IF(E3=0,"",E3*K3)</x:f>
        <x:v>174474513.87385607</x:v>
      </x:c>
      <x:c r="M3" s="31" t="n">
        <x:f>IF(E3=0,"",I3-L3)</x:f>
        <x:v>697064.5286083221</x:v>
      </x:c>
      <x:c r="N3" s="32" t="n">
        <x:f>IF(L3=0,"",I3/L3)</x:f>
        <x:v>1.0039952226438773</x:v>
      </x:c>
      <x:c r="O3" s="34" t="n">
        <x:f>IF(L3=0,"",M3/L3)</x:f>
        <x:v>0.003995222643877347</x:v>
      </x:c>
    </x:row>
    <x:row r="4" ht="18" customHeight="1">
      <x:c r="A4" s="24" t="str">
        <x:v>Crustaceans</x:v>
      </x:c>
      <x:c r="B4" s="33" t="n">
        <x:v>5</x:v>
      </x:c>
      <x:c r="C4" s="33" t="n">
        <x:v>5</x:v>
      </x:c>
      <x:c r="D4" s="31" t="n">
        <x:v>4500.559184173299</x:v>
      </x:c>
      <x:c r="E4" s="31" t="n">
        <x:v>4500.559184173299</x:v>
      </x:c>
      <x:c r="F4" s="32" t="n">
        <x:v>0</x:v>
      </x:c>
      <x:c r="G4" s="34" t="n">
        <x:v>1</x:v>
      </x:c>
      <x:c r="H4" s="32" t="n">
        <x:f>IF(E4=0,"",I4/E4)</x:f>
        <x:v>54.25877147118261</x:v>
      </x:c>
      <x:c r="I4" s="31" t="n">
        <x:f>IF(C4=0,"",SUMIF('Species'!$H$2:$H$114,A4,'Species'!$U$2:$U$114))</x:f>
        <x:v>244194.81226659112</x:v>
      </x:c>
      <x:c r="J4" s="32" t="n">
        <x:v>2.7196262971823937</x:v>
      </x:c>
      <x:c r="K4" s="32" t="n">
        <x:f>IF(J4="","",(1/'Metadata'!$B$5)^(J4-1))</x:f>
        <x:v>52.435606683085375</x:v>
      </x:c>
      <x:c r="L4" s="31" t="n">
        <x:f>IF(E4=0,"",E4*K4)</x:f>
        <x:v>235989.55123525872</x:v>
      </x:c>
      <x:c r="M4" s="31" t="n">
        <x:f>IF(E4=0,"",I4-L4)</x:f>
        <x:v>8205.261031332397</x:v>
      </x:c>
      <x:c r="N4" s="32" t="n">
        <x:f>IF(L4=0,"",I4/L4)</x:f>
        <x:v>1.0347695946213844</x:v>
      </x:c>
      <x:c r="O4" s="34" t="n">
        <x:f>IF(L4=0,"",M4/L4)</x:f>
        <x:v>0.034769594621384514</x:v>
      </x:c>
    </x:row>
    <x:row r="5" ht="18" customHeight="1">
      <x:c r="A5" s="24" t="str">
        <x:v>Flatfishes</x:v>
      </x:c>
      <x:c r="B5" s="33" t="n">
        <x:v>4</x:v>
      </x:c>
      <x:c r="C5" s="33" t="n">
        <x:v>4</x:v>
      </x:c>
      <x:c r="D5" s="31" t="n">
        <x:v>1748.5969056653003</x:v>
      </x:c>
      <x:c r="E5" s="31" t="n">
        <x:v>1748.5969056653003</x:v>
      </x:c>
      <x:c r="F5" s="32" t="n">
        <x:v>0</x:v>
      </x:c>
      <x:c r="G5" s="34" t="n">
        <x:v>1</x:v>
      </x:c>
      <x:c r="H5" s="32" t="n">
        <x:f>IF(E5=0,"",I5/E5)</x:f>
        <x:v>436.1428925231587</x:v>
      </x:c>
      <x:c r="I5" s="31" t="n">
        <x:f>IF(C5=0,"",SUMIF('Species'!$H$2:$H$114,A5,'Species'!$U$2:$U$114))</x:f>
        <x:v>762638.112293909</x:v>
      </x:c>
      <x:c r="J5" s="32" t="n">
        <x:v>3.5743754648709123</x:v>
      </x:c>
      <x:c r="K5" s="32" t="n">
        <x:f>IF(J5="","",(1/'Metadata'!$B$5)^(J5-1))</x:f>
        <x:v>375.2973215086218</x:v>
      </x:c>
      <x:c r="L5" s="31" t="n">
        <x:f>IF(E5=0,"",E5*K5)</x:f>
        <x:v>656243.7350944513</x:v>
      </x:c>
      <x:c r="M5" s="31" t="n">
        <x:f>IF(E5=0,"",I5-L5)</x:f>
        <x:v>106394.37719945761</x:v>
      </x:c>
      <x:c r="N5" s="32" t="n">
        <x:f>IF(L5=0,"",I5/L5)</x:f>
        <x:v>1.1621263129988504</x:v>
      </x:c>
      <x:c r="O5" s="34" t="n">
        <x:f>IF(L5=0,"",M5/L5)</x:f>
        <x:v>0.16212631299885027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5104.9651181068</x:v>
      </x:c>
      <x:c r="E6" s="31" t="n">
        <x:v>5104.9651181068</x:v>
      </x:c>
      <x:c r="F6" s="32" t="n">
        <x:v>0</x:v>
      </x:c>
      <x:c r="G6" s="34" t="n">
        <x:v>1</x:v>
      </x:c>
      <x:c r="H6" s="32" t="n">
        <x:f>IF(E6=0,"",I6/E6)</x:f>
        <x:v>40.38683101310791</x:v>
      </x:c>
      <x:c r="I6" s="31" t="n">
        <x:f>IF(C6=0,"",SUMIF('Species'!$H$2:$H$114,A6,'Species'!$U$2:$U$114))</x:f>
        <x:v>206173.3635527898</x:v>
      </x:c>
      <x:c r="J6" s="32" t="n">
        <x:v>2.3510207965383607</x:v>
      </x:c>
      <x:c r="K6" s="32" t="n">
        <x:f>IF(J6="","",(1/'Metadata'!$B$5)^(J6-1))</x:f>
        <x:v>22.43989376434739</x:v>
      </x:c>
      <x:c r="L6" s="31" t="n">
        <x:f>IF(E6=0,"",E6*K6)</x:f>
        <x:v>114554.87492101571</x:v>
      </x:c>
      <x:c r="M6" s="31" t="n">
        <x:f>IF(E6=0,"",I6-L6)</x:f>
        <x:v>91618.48863177407</x:v>
      </x:c>
      <x:c r="N6" s="32" t="n">
        <x:f>IF(L6=0,"",I6/L6)</x:f>
        <x:v>1.7997781735167881</x:v>
      </x:c>
      <x:c r="O6" s="34" t="n">
        <x:f>IF(L6=0,"",M6/L6)</x:f>
        <x:v>0.7997781735167883</x:v>
      </x:c>
    </x:row>
    <x:row r="7" ht="18" customHeight="1">
      <x:c r="A7" s="24" t="str">
        <x:v>Molluscs</x:v>
      </x:c>
      <x:c r="B7" s="33" t="n">
        <x:v>8</x:v>
      </x:c>
      <x:c r="C7" s="33" t="n">
        <x:v>8</x:v>
      </x:c>
      <x:c r="D7" s="31" t="n">
        <x:v>107366.2491612024</x:v>
      </x:c>
      <x:c r="E7" s="31" t="n">
        <x:v>107366.2491612024</x:v>
      </x:c>
      <x:c r="F7" s="32" t="n">
        <x:v>0</x:v>
      </x:c>
      <x:c r="G7" s="34" t="n">
        <x:v>1</x:v>
      </x:c>
      <x:c r="H7" s="32" t="n">
        <x:f>IF(E7=0,"",I7/E7)</x:f>
        <x:v>13.575046896802094</x:v>
      </x:c>
      <x:c r="I7" s="31" t="n">
        <x:f>IF(C7=0,"",SUMIF('Species'!$H$2:$H$114,A7,'Species'!$U$2:$U$114))</x:f>
        <x:v>1457501.8674970611</x:v>
      </x:c>
      <x:c r="J7" s="32" t="n">
        <x:v>2.0670158059597834</x:v>
      </x:c>
      <x:c r="K7" s="32" t="n">
        <x:f>IF(J7="","",(1/'Metadata'!$B$5)^(J7-1))</x:f>
        <x:v>11.668520833649543</x:v>
      </x:c>
      <x:c r="L7" s="31" t="n">
        <x:f>IF(E7=0,"",E7*K7)</x:f>
        <x:v>1252805.315168298</x:v>
      </x:c>
      <x:c r="M7" s="31" t="n">
        <x:f>IF(E7=0,"",I7-L7)</x:f>
        <x:v>204696.55232876306</x:v>
      </x:c>
      <x:c r="N7" s="32" t="n">
        <x:f>IF(L7=0,"",I7/L7)</x:f>
        <x:v>1.1633905522673047</x:v>
      </x:c>
      <x:c r="O7" s="34" t="n">
        <x:f>IF(L7=0,"",M7/L7)</x:f>
        <x:v>0.16339055226730478</x:v>
      </x:c>
    </x:row>
    <x:row r="8" ht="18" customHeight="1">
      <x:c r="A8" s="24" t="str">
        <x:v>Other fishes &amp; inverts</x:v>
      </x:c>
      <x:c r="B8" s="33" t="n">
        <x:v>11</x:v>
      </x:c>
      <x:c r="C8" s="33" t="n">
        <x:v>11</x:v>
      </x:c>
      <x:c r="D8" s="31" t="n">
        <x:v>991866.708425136</x:v>
      </x:c>
      <x:c r="E8" s="31" t="n">
        <x:v>991866.708425136</x:v>
      </x:c>
      <x:c r="F8" s="32" t="n">
        <x:v>0</x:v>
      </x:c>
      <x:c r="G8" s="34" t="n">
        <x:v>1</x:v>
      </x:c>
      <x:c r="H8" s="32" t="n">
        <x:f>IF(E8=0,"",I8/E8)</x:f>
        <x:v>1138.6763519566994</x:v>
      </x:c>
      <x:c r="I8" s="31" t="n">
        <x:f>IF(C8=0,"",SUMIF('Species'!$H$2:$H$114,A8,'Species'!$U$2:$U$114))</x:f>
        <x:v>1129415165.1768332</x:v>
      </x:c>
      <x:c r="J8" s="32" t="n">
        <x:v>3.9602423766852723</x:v>
      </x:c>
      <x:c r="K8" s="32" t="n">
        <x:f>IF(J8="","",(1/'Metadata'!$B$5)^(J8-1))</x:f>
        <x:v>912.5199682261441</x:v>
      </x:c>
      <x:c r="L8" s="31" t="n">
        <x:f>IF(E8=0,"",E8*K8)</x:f>
        <x:v>905098177.2566752</x:v>
      </x:c>
      <x:c r="M8" s="31" t="n">
        <x:f>IF(E8=0,"",I8-L8)</x:f>
        <x:v>224316987.9201579</x:v>
      </x:c>
      <x:c r="N8" s="32" t="n">
        <x:f>IF(L8=0,"",I8/L8)</x:f>
        <x:v>1.2478371888893378</x:v>
      </x:c>
      <x:c r="O8" s="34" t="n">
        <x:f>IF(L8=0,"",M8/L8)</x:f>
        <x:v>0.24783718888933773</x:v>
      </x:c>
    </x:row>
    <x:row r="9" ht="18" customHeight="1">
      <x:c r="A9" s="24" t="str">
        <x:v>Perch-likes</x:v>
      </x:c>
      <x:c r="B9" s="33" t="n">
        <x:v>42</x:v>
      </x:c>
      <x:c r="C9" s="33" t="n">
        <x:v>42</x:v>
      </x:c>
      <x:c r="D9" s="31" t="n">
        <x:v>572662.2490210724</x:v>
      </x:c>
      <x:c r="E9" s="31" t="n">
        <x:v>572662.2490210724</x:v>
      </x:c>
      <x:c r="F9" s="32" t="n">
        <x:v>0</x:v>
      </x:c>
      <x:c r="G9" s="34" t="n">
        <x:v>1</x:v>
      </x:c>
      <x:c r="H9" s="32" t="n">
        <x:f>IF(E9=0,"",I9/E9)</x:f>
        <x:v>616.1856383517436</x:v>
      </x:c>
      <x:c r="I9" s="31" t="n">
        <x:f>IF(C9=0,"",SUMIF('Species'!$H$2:$H$114,A9,'Species'!$U$2:$U$114))</x:f>
        <x:v>352866253.4729946</x:v>
      </x:c>
      <x:c r="J9" s="32" t="n">
        <x:v>3.4802782317082332</x:v>
      </x:c>
      <x:c r="K9" s="32" t="n">
        <x:f>IF(J9="","",(1/'Metadata'!$B$5)^(J9-1))</x:f>
        <x:v>302.1887078946234</x:v>
      </x:c>
      <x:c r="L9" s="31" t="n">
        <x:f>IF(E9=0,"",E9*K9)</x:f>
        <x:v>173052065.09170693</x:v>
      </x:c>
      <x:c r="M9" s="31" t="n">
        <x:f>IF(E9=0,"",I9-L9)</x:f>
        <x:v>179814188.3812877</x:v>
      </x:c>
      <x:c r="N9" s="32" t="n">
        <x:f>IF(L9=0,"",I9/L9)</x:f>
        <x:v>2.0390756578720817</x:v>
      </x:c>
      <x:c r="O9" s="34" t="n">
        <x:f>IF(L9=0,"",M9/L9)</x:f>
        <x:v>1.0390756578720817</x:v>
      </x:c>
    </x:row>
    <x:row r="10" ht="18" customHeight="1">
      <x:c r="A10" s="24" t="str">
        <x:v>Scorpionfishes</x:v>
      </x:c>
      <x:c r="B10" s="33" t="n">
        <x:v>2</x:v>
      </x:c>
      <x:c r="C10" s="33" t="n">
        <x:v>2</x:v>
      </x:c>
      <x:c r="D10" s="31" t="n">
        <x:v>661.6979294042</x:v>
      </x:c>
      <x:c r="E10" s="31" t="n">
        <x:v>661.6979294042</x:v>
      </x:c>
      <x:c r="F10" s="32" t="n">
        <x:v>0</x:v>
      </x:c>
      <x:c r="G10" s="34" t="n">
        <x:v>1</x:v>
      </x:c>
      <x:c r="H10" s="32" t="n">
        <x:f>IF(E10=0,"",I10/E10)</x:f>
        <x:v>350.4972260247558</x:v>
      </x:c>
      <x:c r="I10" s="31" t="n">
        <x:f>IF(C10=0,"",SUMIF('Species'!$H$2:$H$114,A10,'Species'!$U$2:$U$114))</x:f>
        <x:v>231923.28872249677</x:v>
      </x:c>
      <x:c r="J10" s="32" t="n">
        <x:v>3.5370561836608405</x:v>
      </x:c>
      <x:c r="K10" s="32" t="n">
        <x:f>IF(J10="","",(1/'Metadata'!$B$5)^(J10-1))</x:f>
        <x:v>344.39448138971835</x:v>
      </x:c>
      <x:c r="L10" s="31" t="n">
        <x:f>IF(E10=0,"",E10*K10)</x:f>
        <x:v>227885.11523380992</x:v>
      </x:c>
      <x:c r="M10" s="31" t="n">
        <x:f>IF(E10=0,"",I10-L10)</x:f>
        <x:v>4038.1734886868508</x:v>
      </x:c>
      <x:c r="N10" s="32" t="n">
        <x:f>IF(L10=0,"",I10/L10)</x:f>
        <x:v>1.0177202161033805</x:v>
      </x:c>
      <x:c r="O10" s="34" t="n">
        <x:f>IF(L10=0,"",M10/L10)</x:f>
        <x:v>0.017720216103380374</x:v>
      </x:c>
    </x:row>
    <x:row r="11" ht="18" customHeight="1">
      <x:c r="A11" s="24" t="str">
        <x:v>Sharks &amp; rays</x:v>
      </x:c>
      <x:c r="B11" s="33" t="n">
        <x:v>19</x:v>
      </x:c>
      <x:c r="C11" s="33" t="n">
        <x:v>19</x:v>
      </x:c>
      <x:c r="D11" s="31" t="n">
        <x:v>25605.3096010619</x:v>
      </x:c>
      <x:c r="E11" s="31" t="n">
        <x:v>25605.3096010619</x:v>
      </x:c>
      <x:c r="F11" s="32" t="n">
        <x:v>0</x:v>
      </x:c>
      <x:c r="G11" s="34" t="n">
        <x:v>1</x:v>
      </x:c>
      <x:c r="H11" s="32" t="n">
        <x:f>IF(E11=0,"",I11/E11)</x:f>
        <x:v>2127.8049596485903</x:v>
      </x:c>
      <x:c r="I11" s="31" t="n">
        <x:f>IF(C11=0,"",SUMIF('Species'!$H$2:$H$114,A11,'Species'!$U$2:$U$114))</x:f>
        <x:v>54483104.76247718</x:v>
      </x:c>
      <x:c r="J11" s="32" t="n">
        <x:v>4.2180579642367055</x:v>
      </x:c>
      <x:c r="K11" s="32" t="n">
        <x:f>IF(J11="","",(1/'Metadata'!$B$5)^(J11-1))</x:f>
        <x:v>1652.182296298989</x:v>
      </x:c>
      <x:c r="L11" s="31" t="n">
        <x:f>IF(E11=0,"",E11*K11)</x:f>
        <x:v>42304639.214129</x:v>
      </x:c>
      <x:c r="M11" s="31" t="n">
        <x:f>IF(E11=0,"",I11-L11)</x:f>
        <x:v>12178465.548348181</x:v>
      </x:c>
      <x:c r="N11" s="32" t="n">
        <x:f>IF(L11=0,"",I11/L11)</x:f>
        <x:v>1.2878754144836386</x:v>
      </x:c>
      <x:c r="O11" s="34" t="n">
        <x:f>IF(L11=0,"",M11/L11)</x:f>
        <x:v>0.2878754144836387</x:v>
      </x:c>
    </x:row>
    <x:row r="12" ht="18" customHeight="1">
      <x:c r="A12" s="24" t="str">
        <x:v>Tuna &amp; billfishes</x:v>
      </x:c>
      <x:c r="B12" s="33" t="n">
        <x:v>14</x:v>
      </x:c>
      <x:c r="C12" s="33" t="n">
        <x:v>14</x:v>
      </x:c>
      <x:c r="D12" s="31" t="n">
        <x:v>169169.28513222976</x:v>
      </x:c>
      <x:c r="E12" s="31" t="n">
        <x:v>169169.28513222976</x:v>
      </x:c>
      <x:c r="F12" s="32" t="n">
        <x:v>0</x:v>
      </x:c>
      <x:c r="G12" s="34" t="n">
        <x:v>1</x:v>
      </x:c>
      <x:c r="H12" s="32" t="n">
        <x:f>IF(E12=0,"",I12/E12)</x:f>
        <x:v>2949.7336696807884</x:v>
      </x:c>
      <x:c r="I12" s="31" t="n">
        <x:f>IF(C12=0,"",SUMIF('Species'!$H$2:$H$114,A12,'Species'!$U$2:$U$114))</x:f>
        <x:v>499004336.2303677</x:v>
      </x:c>
      <x:c r="J12" s="32" t="n">
        <x:v>4.46852162800162</x:v>
      </x:c>
      <x:c r="K12" s="32" t="n">
        <x:f>IF(J12="","",(1/'Metadata'!$B$5)^(J12-1))</x:f>
        <x:v>2941.1801617961423</x:v>
      </x:c>
      <x:c r="L12" s="31" t="n">
        <x:f>IF(E12=0,"",E12*K12)</x:f>
        <x:v>497557345.41614926</x:v>
      </x:c>
      <x:c r="M12" s="31" t="n">
        <x:f>IF(E12=0,"",I12-L12)</x:f>
        <x:v>1446990.8142184615</x:v>
      </x:c>
      <x:c r="N12" s="32" t="n">
        <x:f>IF(L12=0,"",I12/L12)</x:f>
        <x:v>1.0029081890309712</x:v>
      </x:c>
      <x:c r="O12" s="34" t="n">
        <x:f>IF(L12=0,"",M12/L12)</x:f>
        <x:v>0.002908189030971336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bb720fe180346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790415.2559603575</x:v>
      </x:c>
      <x:c r="E2" s="31" t="n">
        <x:v>790415.2559603575</x:v>
      </x:c>
      <x:c r="F2" s="32" t="n">
        <x:v>0</x:v>
      </x:c>
      <x:c r="G2" s="34" t="n">
        <x:v>1</x:v>
      </x:c>
      <x:c r="H2" s="32" t="n">
        <x:f>IF(E2=0,"",I2/E2)</x:f>
        <x:v>1362.5606025920686</x:v>
      </x:c>
      <x:c r="I2" s="31" t="n">
        <x:f>IF(C2=0,"",SUMIF('Species'!$G$2:$G$114,A2,'Species'!$U$2:$U$114))</x:f>
        <x:v>1076988687.4593089</x:v>
      </x:c>
      <x:c r="J2" s="32" t="n">
        <x:v>4.12628831197491</x:v>
      </x:c>
      <x:c r="K2" s="32" t="n">
        <x:f>IF(J2="","",(1/'Metadata'!$B$5)^(J2-1))</x:f>
        <x:v>1337.4831272560752</x:v>
      </x:c>
      <x:c r="L2" s="31" t="n">
        <x:f>IF(E2=0,"",E2*K2)</x:f>
        <x:v>1057167068.3727701</x:v>
      </x:c>
      <x:c r="M2" s="31" t="n">
        <x:f>IF(E2=0,"",I2-L2)</x:f>
        <x:v>19821619.08653879</x:v>
      </x:c>
      <x:c r="N2" s="32" t="n">
        <x:f>IF(L2=0,"",I2/L2)</x:f>
        <x:v>1.0187497508005512</x:v>
      </x:c>
      <x:c r="O2" s="34" t="n">
        <x:f>IF(L2=0,"",M2/L2)</x:f>
        <x:v>0.018749750800551277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1024.55</x:v>
      </x:c>
      <x:c r="E3" s="31" t="n">
        <x:v>1024.55</x:v>
      </x:c>
      <x:c r="F3" s="32" t="n">
        <x:v>0</x:v>
      </x:c>
      <x:c r="G3" s="34" t="n">
        <x:v>1</x:v>
      </x:c>
      <x:c r="H3" s="32" t="n">
        <x:f>IF(E3=0,"",I3/E3)</x:f>
        <x:v>1584.893192461114</x:v>
      </x:c>
      <x:c r="I3" s="31" t="n">
        <x:f>IF(C3=0,"",SUMIF('Species'!$G$2:$G$114,A3,'Species'!$U$2:$U$114))</x:f>
        <x:v>1623802.3203360343</x:v>
      </x:c>
      <x:c r="J3" s="32" t="n">
        <x:v>4.2</x:v>
      </x:c>
      <x:c r="K3" s="32" t="n">
        <x:f>IF(J3="","",(1/'Metadata'!$B$5)^(J3-1))</x:f>
        <x:v>1584.893192461114</x:v>
      </x:c>
      <x:c r="L3" s="31" t="n">
        <x:f>IF(E3=0,"",E3*K3)</x:f>
        <x:v>1623802.3203360343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0.4</x:v>
      </x:c>
      <x:c r="E4" s="31" t="n">
        <x:v>0.4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IF(C4=0,"",SUMIF('Species'!$G$2:$G$114,A4,'Species'!$U$2:$U$114))</x:f>
        <x:v>875.1046495798208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875.1046495798208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6</x:v>
      </x:c>
      <x:c r="C5" s="33" t="n">
        <x:v>6</x:v>
      </x:c>
      <x:c r="D5" s="31" t="n">
        <x:v>34408.4835347641</x:v>
      </x:c>
      <x:c r="E5" s="31" t="n">
        <x:v>34408.4835347641</x:v>
      </x:c>
      <x:c r="F5" s="32" t="n">
        <x:v>0</x:v>
      </x:c>
      <x:c r="G5" s="34" t="n">
        <x:v>1</x:v>
      </x:c>
      <x:c r="H5" s="32" t="n">
        <x:f>IF(E5=0,"",I5/E5)</x:f>
        <x:v>31.081558556131228</x:v>
      </x:c>
      <x:c r="I5" s="31" t="n">
        <x:f>IF(C5=0,"",SUMIF('Species'!$G$2:$G$114,A5,'Species'!$U$2:$U$114))</x:f>
        <x:v>1069469.2958134476</x:v>
      </x:c>
      <x:c r="J5" s="32" t="n">
        <x:v>2.155819296408401</x:v>
      </x:c>
      <x:c r="K5" s="32" t="n">
        <x:f>IF(J5="","",(1/'Metadata'!$B$5)^(J5-1))</x:f>
        <x:v>14.315921107619918</x:v>
      </x:c>
      <x:c r="L5" s="31" t="n">
        <x:f>IF(E5=0,"",E5*K5)</x:f>
        <x:v>492589.13571652176</x:v>
      </x:c>
      <x:c r="M5" s="31" t="n">
        <x:f>IF(E5=0,"",I5-L5)</x:f>
        <x:v>576880.1600969258</x:v>
      </x:c>
      <x:c r="N5" s="32" t="n">
        <x:f>IF(L5=0,"",I5/L5)</x:f>
        <x:v>2.171118318023385</x:v>
      </x:c>
      <x:c r="O5" s="34" t="n">
        <x:f>IF(L5=0,"",M5/L5)</x:f>
        <x:v>1.1711183180233848</x:v>
      </x:c>
    </x:row>
    <x:row r="6" ht="18" customHeight="1">
      <x:c r="A6" s="24" t="str">
        <x:v>Large pelagics (&gt;=90 cm)</x:v>
      </x:c>
      <x:c r="B6" s="33" t="n">
        <x:v>14</x:v>
      </x:c>
      <x:c r="C6" s="33" t="n">
        <x:v>14</x:v>
      </x:c>
      <x:c r="D6" s="31" t="n">
        <x:v>132787.76965820638</x:v>
      </x:c>
      <x:c r="E6" s="31" t="n">
        <x:v>132787.76965820638</x:v>
      </x:c>
      <x:c r="F6" s="32" t="n">
        <x:v>0</x:v>
      </x:c>
      <x:c r="G6" s="34" t="n">
        <x:v>1</x:v>
      </x:c>
      <x:c r="H6" s="32" t="n">
        <x:f>IF(E6=0,"",I6/E6)</x:f>
        <x:v>2625.241240271365</x:v>
      </x:c>
      <x:c r="I6" s="31" t="n">
        <x:f>IF(C6=0,"",SUMIF('Species'!$G$2:$G$114,A6,'Species'!$U$2:$U$114))</x:f>
        <x:v>348599929.110378</x:v>
      </x:c>
      <x:c r="J6" s="32" t="n">
        <x:v>4.416699829831649</x:v>
      </x:c>
      <x:c r="K6" s="32" t="n">
        <x:f>IF(J6="","",(1/'Metadata'!$B$5)^(J6-1))</x:f>
        <x:v>2610.3565375321355</x:v>
      </x:c>
      <x:c r="L6" s="31" t="n">
        <x:f>IF(E6=0,"",E6*K6)</x:f>
        <x:v>346623422.63161033</x:v>
      </x:c>
      <x:c r="M6" s="31" t="n">
        <x:f>IF(E6=0,"",I6-L6)</x:f>
        <x:v>1976506.478767693</x:v>
      </x:c>
      <x:c r="N6" s="32" t="n">
        <x:f>IF(L6=0,"",I6/L6)</x:f>
        <x:v>1.0057021722991533</x:v>
      </x:c>
      <x:c r="O6" s="34" t="n">
        <x:f>IF(L6=0,"",M6/L6)</x:f>
        <x:v>0.005702172299153351</x:v>
      </x:c>
    </x:row>
    <x:row r="7" ht="18" customHeight="1">
      <x:c r="A7" s="24" t="str">
        <x:v>Large rays (&gt;=90 cm)</x:v>
      </x:c>
      <x:c r="B7" s="33" t="n">
        <x:v>5</x:v>
      </x:c>
      <x:c r="C7" s="33" t="n">
        <x:v>5</x:v>
      </x:c>
      <x:c r="D7" s="31" t="n">
        <x:v>2564.2171001916</x:v>
      </x:c>
      <x:c r="E7" s="31" t="n">
        <x:v>2564.2171001916</x:v>
      </x:c>
      <x:c r="F7" s="32" t="n">
        <x:v>0</x:v>
      </x:c>
      <x:c r="G7" s="34" t="n">
        <x:v>1</x:v>
      </x:c>
      <x:c r="H7" s="32" t="n">
        <x:f>IF(E7=0,"",I7/E7)</x:f>
        <x:v>490.52608413125</x:v>
      </x:c>
      <x:c r="I7" s="31" t="n">
        <x:f>IF(C7=0,"",SUMIF('Species'!$G$2:$G$114,A7,'Species'!$U$2:$U$114))</x:f>
        <x:v>1257815.3730193747</x:v>
      </x:c>
      <x:c r="J7" s="32" t="n">
        <x:v>3.6822250393725398</x:v>
      </x:c>
      <x:c r="K7" s="32" t="n">
        <x:f>IF(J7="","",(1/'Metadata'!$B$5)^(J7-1))</x:f>
        <x:v>481.08857064747536</x:v>
      </x:c>
      <x:c r="L7" s="31" t="n">
        <x:f>IF(E7=0,"",E7*K7)</x:f>
        <x:v>1233615.5395609909</x:v>
      </x:c>
      <x:c r="M7" s="31" t="n">
        <x:f>IF(E7=0,"",I7-L7)</x:f>
        <x:v>24199.8334583838</x:v>
      </x:c>
      <x:c r="N7" s="32" t="n">
        <x:f>IF(L7=0,"",I7/L7)</x:f>
        <x:v>1.0196169979076268</x:v>
      </x:c>
      <x:c r="O7" s="34" t="n">
        <x:f>IF(L7=0,"",M7/L7)</x:f>
        <x:v>0.01961699790762675</x:v>
      </x:c>
    </x:row>
    <x:row r="8" ht="18" customHeight="1">
      <x:c r="A8" s="24" t="str">
        <x:v>Large sharks (&gt;=90 cm)</x:v>
      </x:c>
      <x:c r="B8" s="33" t="n">
        <x:v>11</x:v>
      </x:c>
      <x:c r="C8" s="33" t="n">
        <x:v>11</x:v>
      </x:c>
      <x:c r="D8" s="31" t="n">
        <x:v>22624.6801048435</x:v>
      </x:c>
      <x:c r="E8" s="31" t="n">
        <x:v>22624.6801048435</x:v>
      </x:c>
      <x:c r="F8" s="32" t="n">
        <x:v>0</x:v>
      </x:c>
      <x:c r="G8" s="34" t="n">
        <x:v>1</x:v>
      </x:c>
      <x:c r="H8" s="32" t="n">
        <x:f>IF(E8=0,"",I8/E8)</x:f>
        <x:v>2345.7769731564135</x:v>
      </x:c>
      <x:c r="I8" s="31" t="n">
        <x:f>IF(C8=0,"",SUMIF('Species'!$G$2:$G$114,A8,'Species'!$U$2:$U$114))</x:f>
        <x:v>53072453.61497192</x:v>
      </x:c>
      <x:c r="J8" s="32" t="n">
        <x:v>4.291048167064278</x:v>
      </x:c>
      <x:c r="K8" s="32" t="n">
        <x:f>IF(J8="","",(1/'Metadata'!$B$5)^(J8-1))</x:f>
        <x:v>1954.556221169591</x:v>
      </x:c>
      <x:c r="L8" s="31" t="n">
        <x:f>IF(E8=0,"",E8*K8)</x:f>
        <x:v>44221209.25089374</x:v>
      </x:c>
      <x:c r="M8" s="31" t="n">
        <x:f>IF(E8=0,"",I8-L8)</x:f>
        <x:v>8851244.364078179</x:v>
      </x:c>
      <x:c r="N8" s="32" t="n">
        <x:f>IF(L8=0,"",I8/L8)</x:f>
        <x:v>1.200158351931529</x:v>
      </x:c>
      <x:c r="O8" s="34" t="n">
        <x:f>IF(L8=0,"",M8/L8)</x:f>
        <x:v>0.2001583519315291</x:v>
      </x:c>
    </x:row>
    <x:row r="9" ht="18" customHeight="1">
      <x:c r="A9" s="24" t="str">
        <x:v>Lobsters, crabs</x:v>
      </x:c>
      <x:c r="B9" s="33" t="n">
        <x:v>2</x:v>
      </x:c>
      <x:c r="C9" s="33" t="n">
        <x:v>2</x:v>
      </x:c>
      <x:c r="D9" s="31" t="n">
        <x:v>826.2857724739999</x:v>
      </x:c>
      <x:c r="E9" s="31" t="n">
        <x:v>826.2857724739999</x:v>
      </x:c>
      <x:c r="F9" s="32" t="n">
        <x:v>0</x:v>
      </x:c>
      <x:c r="G9" s="34" t="n">
        <x:v>1</x:v>
      </x:c>
      <x:c r="H9" s="32" t="n">
        <x:f>IF(E9=0,"",I9/E9)</x:f>
        <x:v>54.340498170563734</x:v>
      </x:c>
      <x:c r="I9" s="31" t="n">
        <x:f>IF(C9=0,"",SUMIF('Species'!$G$2:$G$114,A9,'Species'!$U$2:$U$114))</x:f>
        <x:v>44900.78050748623</x:v>
      </x:c>
      <x:c r="J9" s="32" t="n">
        <x:v>2.7343273862915907</x:v>
      </x:c>
      <x:c r="K9" s="32" t="n">
        <x:f>IF(J9="","",(1/'Metadata'!$B$5)^(J9-1))</x:f>
        <x:v>54.24096235708358</x:v>
      </x:c>
      <x:c r="L9" s="31" t="n">
        <x:f>IF(E9=0,"",E9*K9)</x:f>
        <x:v>44818.53548095596</x:v>
      </x:c>
      <x:c r="M9" s="31" t="n">
        <x:f>IF(E9=0,"",I9-L9)</x:f>
        <x:v>82.24502653027594</x:v>
      </x:c>
      <x:c r="N9" s="32" t="n">
        <x:f>IF(L9=0,"",I9/L9)</x:f>
        <x:v>1.001835067247238</x:v>
      </x:c>
      <x:c r="O9" s="34" t="n">
        <x:f>IF(L9=0,"",M9/L9)</x:f>
        <x:v>0.0018350672472379878</x:v>
      </x:c>
    </x:row>
    <x:row r="10" ht="18" customHeight="1">
      <x:c r="A10" s="24" t="str">
        <x:v>Medium bathydemersals (30 - 89 cm)</x:v>
      </x:c>
      <x:c r="B10" s="33" t="n">
        <x:v>2</x:v>
      </x:c>
      <x:c r="C10" s="33" t="n">
        <x:v>2</x:v>
      </x:c>
      <x:c r="D10" s="31" t="n">
        <x:v>71555.4852102522</x:v>
      </x:c>
      <x:c r="E10" s="31" t="n">
        <x:v>71555.4852102522</x:v>
      </x:c>
      <x:c r="F10" s="32" t="n">
        <x:v>0</x:v>
      </x:c>
      <x:c r="G10" s="34" t="n">
        <x:v>1</x:v>
      </x:c>
      <x:c r="H10" s="32" t="n">
        <x:f>IF(E10=0,"",I10/E10)</x:f>
        <x:v>2448.0524153774654</x:v>
      </x:c>
      <x:c r="I10" s="31" t="n">
        <x:f>IF(C10=0,"",SUMIF('Species'!$G$2:$G$114,A10,'Species'!$U$2:$U$114))</x:f>
        <x:v>175171578.4024644</x:v>
      </x:c>
      <x:c r="J10" s="32" t="n">
        <x:v>4.387089065984055</x:v>
      </x:c>
      <x:c r="K10" s="32" t="n">
        <x:f>IF(J10="","",(1/'Metadata'!$B$5)^(J10-1))</x:f>
        <x:v>2438.3108207735</x:v>
      </x:c>
      <x:c r="L10" s="31" t="n">
        <x:f>IF(E10=0,"",E10*K10)</x:f>
        <x:v>174474513.87385607</x:v>
      </x:c>
      <x:c r="M10" s="31" t="n">
        <x:f>IF(E10=0,"",I10-L10)</x:f>
        <x:v>697064.5286083221</x:v>
      </x:c>
      <x:c r="N10" s="32" t="n">
        <x:f>IF(L10=0,"",I10/L10)</x:f>
        <x:v>1.0039952226438773</x:v>
      </x:c>
      <x:c r="O10" s="34" t="n">
        <x:f>IF(L10=0,"",M10/L10)</x:f>
        <x:v>0.003995222643877347</x:v>
      </x:c>
    </x:row>
    <x:row r="11" ht="18" customHeight="1">
      <x:c r="A11" s="24" t="str">
        <x:v>Medium benthopelagics (30 - 89 cm)</x:v>
      </x:c>
      <x:c r="B11" s="33" t="n">
        <x:v>3</x:v>
      </x:c>
      <x:c r="C11" s="33" t="n">
        <x:v>3</x:v>
      </x:c>
      <x:c r="D11" s="31" t="n">
        <x:v>6035.967738926301</x:v>
      </x:c>
      <x:c r="E11" s="31" t="n">
        <x:v>6035.967738926301</x:v>
      </x:c>
      <x:c r="F11" s="32" t="n">
        <x:v>0</x:v>
      </x:c>
      <x:c r="G11" s="34" t="n">
        <x:v>1</x:v>
      </x:c>
      <x:c r="H11" s="32" t="n">
        <x:f>IF(E11=0,"",I11/E11)</x:f>
        <x:v>752.3223808586473</x:v>
      </x:c>
      <x:c r="I11" s="31" t="n">
        <x:f>IF(C11=0,"",SUMIF('Species'!$G$2:$G$114,A11,'Species'!$U$2:$U$114))</x:f>
        <x:v>4540993.62013502</x:v>
      </x:c>
      <x:c r="J11" s="32" t="n">
        <x:v>3.5893364272307364</x:v>
      </x:c>
      <x:c r="K11" s="32" t="n">
        <x:f>IF(J11="","",(1/'Metadata'!$B$5)^(J11-1))</x:f>
        <x:v>388.45116406656723</x:v>
      </x:c>
      <x:c r="L11" s="31" t="n">
        <x:f>IF(E11=0,"",E11*K11)</x:f>
        <x:v>2344678.694454167</x:v>
      </x:c>
      <x:c r="M11" s="31" t="n">
        <x:f>IF(E11=0,"",I11-L11)</x:f>
        <x:v>2196314.9256808534</x:v>
      </x:c>
      <x:c r="N11" s="32" t="n">
        <x:f>IF(L11=0,"",I11/L11)</x:f>
        <x:v>1.9367231983110367</x:v>
      </x:c>
      <x:c r="O11" s="34" t="n">
        <x:f>IF(L11=0,"",M11/L11)</x:f>
        <x:v>0.9367231983110368</x:v>
      </x:c>
    </x:row>
    <x:row r="12" ht="18" customHeight="1">
      <x:c r="A12" s="24" t="str">
        <x:v>Medium demersals (30 - 89 cm)</x:v>
      </x:c>
      <x:c r="B12" s="33" t="n">
        <x:v>14</x:v>
      </x:c>
      <x:c r="C12" s="33" t="n">
        <x:v>14</x:v>
      </x:c>
      <x:c r="D12" s="31" t="n">
        <x:v>212999.49851643096</x:v>
      </x:c>
      <x:c r="E12" s="31" t="n">
        <x:v>212999.49851643096</x:v>
      </x:c>
      <x:c r="F12" s="32" t="n">
        <x:v>0</x:v>
      </x:c>
      <x:c r="G12" s="34" t="n">
        <x:v>1</x:v>
      </x:c>
      <x:c r="H12" s="32" t="n">
        <x:f>IF(E12=0,"",I12/E12)</x:f>
        <x:v>285.8187579372078</x:v>
      </x:c>
      <x:c r="I12" s="31" t="n">
        <x:f>IF(C12=0,"",SUMIF('Species'!$G$2:$G$114,A12,'Species'!$U$2:$U$114))</x:f>
        <x:v>60879252.107214436</x:v>
      </x:c>
      <x:c r="J12" s="32" t="n">
        <x:v>3.3627168251818587</x:v>
      </x:c>
      <x:c r="K12" s="32" t="n">
        <x:f>IF(J12="","",(1/'Metadata'!$B$5)^(J12-1))</x:f>
        <x:v>230.52436011069074</x:v>
      </x:c>
      <x:c r="L12" s="31" t="n">
        <x:f>IF(E12=0,"",E12*K12)</x:f>
        <x:v>49101573.09939827</x:v>
      </x:c>
      <x:c r="M12" s="31" t="n">
        <x:f>IF(E12=0,"",I12-L12)</x:f>
        <x:v>11777679.007816166</x:v>
      </x:c>
      <x:c r="N12" s="32" t="n">
        <x:f>IF(L12=0,"",I12/L12)</x:f>
        <x:v>1.2398635779748672</x:v>
      </x:c>
      <x:c r="O12" s="34" t="n">
        <x:f>IF(L12=0,"",M12/L12)</x:f>
        <x:v>0.23986357797486735</x:v>
      </x:c>
    </x:row>
    <x:row r="13" ht="18" customHeight="1">
      <x:c r="A13" s="24" t="str">
        <x:v>Medium pelagics (30 - 89 cm)</x:v>
      </x:c>
      <x:c r="B13" s="33" t="n">
        <x:v>13</x:v>
      </x:c>
      <x:c r="C13" s="33" t="n">
        <x:v>13</x:v>
      </x:c>
      <x:c r="D13" s="31" t="n">
        <x:v>542789.5451377619</x:v>
      </x:c>
      <x:c r="E13" s="31" t="n">
        <x:v>542789.5451377619</x:v>
      </x:c>
      <x:c r="F13" s="32" t="n">
        <x:v>0</x:v>
      </x:c>
      <x:c r="G13" s="34" t="n">
        <x:v>1</x:v>
      </x:c>
      <x:c r="H13" s="32" t="n">
        <x:f>IF(E13=0,"",I13/E13)</x:f>
        <x:v>873.1621794453495</x:v>
      </x:c>
      <x:c r="I13" s="31" t="n">
        <x:f>IF(C13=0,"",SUMIF('Species'!$G$2:$G$114,A13,'Species'!$U$2:$U$114))</x:f>
        <x:v>473943302.212638</x:v>
      </x:c>
      <x:c r="J13" s="32" t="n">
        <x:v>3.6230122304622774</x:v>
      </x:c>
      <x:c r="K13" s="32" t="n">
        <x:f>IF(J13="","",(1/'Metadata'!$B$5)^(J13-1))</x:f>
        <x:v>419.7708052756952</x:v>
      </x:c>
      <x:c r="L13" s="31" t="n">
        <x:f>IF(E13=0,"",E13*K13)</x:f>
        <x:v>227847204.4577066</x:v>
      </x:c>
      <x:c r="M13" s="31" t="n">
        <x:f>IF(E13=0,"",I13-L13)</x:f>
        <x:v>246096097.75493142</x:v>
      </x:c>
      <x:c r="N13" s="32" t="n">
        <x:f>IF(L13=0,"",I13/L13)</x:f>
        <x:v>2.0800926802707917</x:v>
      </x:c>
      <x:c r="O13" s="34" t="n">
        <x:f>IF(L13=0,"",M13/L13)</x:f>
        <x:v>1.0800926802707917</x:v>
      </x:c>
    </x:row>
    <x:row r="14" ht="18" customHeight="1">
      <x:c r="A14" s="24" t="str">
        <x:v>Medium reef assoc. fish (30 - 89 cm)</x:v>
      </x:c>
      <x:c r="B14" s="33" t="n">
        <x:v>5</x:v>
      </x:c>
      <x:c r="C14" s="33" t="n">
        <x:v>5</x:v>
      </x:c>
      <x:c r="D14" s="31" t="n">
        <x:v>611.0264897510001</x:v>
      </x:c>
      <x:c r="E14" s="31" t="n">
        <x:v>611.0264897510001</x:v>
      </x:c>
      <x:c r="F14" s="32" t="n">
        <x:v>0</x:v>
      </x:c>
      <x:c r="G14" s="34" t="n">
        <x:v>1</x:v>
      </x:c>
      <x:c r="H14" s="32" t="n">
        <x:f>IF(E14=0,"",I14/E14)</x:f>
        <x:v>824.7351269756225</x:v>
      </x:c>
      <x:c r="I14" s="31" t="n">
        <x:f>IF(C14=0,"",SUMIF('Species'!$G$2:$G$114,A14,'Species'!$U$2:$U$114))</x:f>
        <x:v>503935.00961025996</x:v>
      </x:c>
      <x:c r="J14" s="32" t="n">
        <x:v>3.8997599435992036</x:v>
      </x:c>
      <x:c r="K14" s="32" t="n">
        <x:f>IF(J14="","",(1/'Metadata'!$B$5)^(J14-1))</x:f>
        <x:v>793.8892908865638</x:v>
      </x:c>
      <x:c r="L14" s="31" t="n">
        <x:f>IF(E14=0,"",E14*K14)</x:f>
        <x:v>485087.38666132774</x:v>
      </x:c>
      <x:c r="M14" s="31" t="n">
        <x:f>IF(E14=0,"",I14-L14)</x:f>
        <x:v>18847.62294893223</x:v>
      </x:c>
      <x:c r="N14" s="32" t="n">
        <x:f>IF(L14=0,"",I14/L14)</x:f>
        <x:v>1.0388540775686899</x:v>
      </x:c>
      <x:c r="O14" s="34" t="n">
        <x:f>IF(L14=0,"",M14/L14)</x:f>
        <x:v>0.038854077568689756</x:v>
      </x:c>
    </x:row>
    <x:row r="15" ht="18" customHeight="1">
      <x:c r="A15" s="24" t="str">
        <x:v>Other demersal invertebrates</x:v>
      </x:c>
      <x:c r="B15" s="33" t="n">
        <x:v>10</x:v>
      </x:c>
      <x:c r="C15" s="33" t="n">
        <x:v>10</x:v>
      </x:c>
      <x:c r="D15" s="31" t="n">
        <x:v>111936.7991612024</x:v>
      </x:c>
      <x:c r="E15" s="31" t="n">
        <x:v>111936.7991612024</x:v>
      </x:c>
      <x:c r="F15" s="32" t="n">
        <x:v>0</x:v>
      </x:c>
      <x:c r="G15" s="34" t="n">
        <x:v>1</x:v>
      </x:c>
      <x:c r="H15" s="32" t="n">
        <x:f>IF(E15=0,"",I15/E15)</x:f>
        <x:v>13.429072286873796</x:v>
      </x:c>
      <x:c r="I15" s="31" t="n">
        <x:f>IF(C15=0,"",SUMIF('Species'!$G$2:$G$114,A15,'Species'!$U$2:$U$114))</x:f>
        <x:v>1503207.3674970611</x:v>
      </x:c>
      <x:c r="J15" s="32" t="n">
        <x:v>2.064279448531085</x:v>
      </x:c>
      <x:c r="K15" s="32" t="n">
        <x:f>IF(J15="","",(1/'Metadata'!$B$5)^(J15-1))</x:f>
        <x:v>11.595232160430102</x:v>
      </x:c>
      <x:c r="L15" s="31" t="n">
        <x:f>IF(E15=0,"",E15*K15)</x:f>
        <x:v>1297933.1735695794</x:v>
      </x:c>
      <x:c r="M15" s="31" t="n">
        <x:f>IF(E15=0,"",I15-L15)</x:f>
        <x:v>205274.19392748177</x:v>
      </x:c>
      <x:c r="N15" s="32" t="n">
        <x:f>IF(L15=0,"",I15/L15)</x:f>
        <x:v>1.1581546709087773</x:v>
      </x:c>
      <x:c r="O15" s="34" t="n">
        <x:f>IF(L15=0,"",M15/L15)</x:f>
        <x:v>0.1581546709087773</x:v>
      </x:c>
    </x:row>
    <x:row r="16" ht="18" customHeight="1">
      <x:c r="A16" s="24" t="str">
        <x:v>Shrimps</x:v>
      </x:c>
      <x:c r="B16" s="33" t="n">
        <x:v>3</x:v>
      </x:c>
      <x:c r="C16" s="33" t="n">
        <x:v>3</x:v>
      </x:c>
      <x:c r="D16" s="31" t="n">
        <x:v>3674.2734116992997</x:v>
      </x:c>
      <x:c r="E16" s="31" t="n">
        <x:v>3674.2734116992997</x:v>
      </x:c>
      <x:c r="F16" s="32" t="n">
        <x:v>0</x:v>
      </x:c>
      <x:c r="G16" s="34" t="n">
        <x:v>1</x:v>
      </x:c>
      <x:c r="H16" s="32" t="n">
        <x:f>IF(E16=0,"",I16/E16)</x:f>
        <x:v>54.2403924336524</x:v>
      </x:c>
      <x:c r="I16" s="31" t="n">
        <x:f>IF(C16=0,"",SUMIF('Species'!$G$2:$G$114,A16,'Species'!$U$2:$U$114))</x:f>
        <x:v>199294.0317591049</x:v>
      </x:c>
      <x:c r="J16" s="32" t="n">
        <x:v>2.716320255576419</x:v>
      </x:c>
      <x:c r="K16" s="32" t="n">
        <x:f>IF(J16="","",(1/'Metadata'!$B$5)^(J16-1))</x:f>
        <x:v>52.0379591170701</x:v>
      </x:c>
      <x:c r="L16" s="31" t="n">
        <x:f>IF(E16=0,"",E16*K16)</x:f>
        <x:v>191201.68958294584</x:v>
      </x:c>
      <x:c r="M16" s="31" t="n">
        <x:f>IF(E16=0,"",I16-L16)</x:f>
        <x:v>8092.342176159058</x:v>
      </x:c>
      <x:c r="N16" s="32" t="n">
        <x:f>IF(L16=0,"",I16/L16)</x:f>
        <x:v>1.0423235913542934</x:v>
      </x:c>
      <x:c r="O16" s="34" t="n">
        <x:f>IF(L16=0,"",M16/L16)</x:f>
        <x:v>0.04232359135429341</x:v>
      </x:c>
    </x:row>
    <x:row r="17" ht="18" customHeight="1">
      <x:c r="A17" s="24" t="str">
        <x:v>Small benthopelagics (&lt;30 cm)</x:v>
      </x:c>
      <x:c r="B17" s="33" t="n">
        <x:v>1</x:v>
      </x:c>
      <x:c r="C17" s="33" t="n">
        <x:v>1</x:v>
      </x:c>
      <x:c r="D17" s="31" t="n">
        <x:v>5.66</x:v>
      </x:c>
      <x:c r="E17" s="31" t="n">
        <x:v>5.66</x:v>
      </x:c>
      <x:c r="F17" s="32" t="n">
        <x:v>0</x:v>
      </x:c>
      <x:c r="G17" s="34" t="n">
        <x:v>1</x:v>
      </x:c>
      <x:c r="H17" s="32" t="n">
        <x:f>IF(E17=0,"",I17/E17)</x:f>
        <x:v>389.0451449942804</x:v>
      </x:c>
      <x:c r="I17" s="31" t="n">
        <x:f>IF(C17=0,"",SUMIF('Species'!$G$2:$G$114,A17,'Species'!$U$2:$U$114))</x:f>
        <x:v>2201.9955206676273</x:v>
      </x:c>
      <x:c r="J17" s="32" t="n">
        <x:v>3.5899999999999994</x:v>
      </x:c>
      <x:c r="K17" s="32" t="n">
        <x:f>IF(J17="","",(1/'Metadata'!$B$5)^(J17-1))</x:f>
        <x:v>389.04514499428007</x:v>
      </x:c>
      <x:c r="L17" s="31" t="n">
        <x:f>IF(E17=0,"",E17*K17)</x:f>
        <x:v>2201.9955206676254</x:v>
      </x:c>
      <x:c r="M17" s="31" t="n">
        <x:f>IF(E17=0,"",I17-L17)</x:f>
        <x:v>1.8189894035458565e-12</x:v>
      </x:c>
      <x:c r="N17" s="32" t="n">
        <x:f>IF(L17=0,"",I17/L17)</x:f>
        <x:v>1.0000000000000009</x:v>
      </x:c>
      <x:c r="O17" s="34" t="n">
        <x:f>IF(L17=0,"",M17/L17)</x:f>
        <x:v>8.260640798189976e-16</x:v>
      </x:c>
    </x:row>
    <x:row r="18" ht="18" customHeight="1">
      <x:c r="A18" s="24" t="str">
        <x:v>Small demersals (&lt;30 cm)</x:v>
      </x:c>
      <x:c r="B18" s="33" t="n">
        <x:v>3</x:v>
      </x:c>
      <x:c r="C18" s="33" t="n">
        <x:v>3</x:v>
      </x:c>
      <x:c r="D18" s="31" t="n">
        <x:v>240.8</x:v>
      </x:c>
      <x:c r="E18" s="31" t="n">
        <x:v>240.8</x:v>
      </x:c>
      <x:c r="F18" s="32" t="n">
        <x:v>0</x:v>
      </x:c>
      <x:c r="G18" s="34" t="n">
        <x:v>1</x:v>
      </x:c>
      <x:c r="H18" s="32" t="n">
        <x:f>IF(E18=0,"",I18/E18)</x:f>
        <x:v>632.9068109650677</x:v>
      </x:c>
      <x:c r="I18" s="31" t="n">
        <x:f>IF(C18=0,"",SUMIF('Species'!$G$2:$G$114,A18,'Species'!$U$2:$U$114))</x:f>
        <x:v>152403.96008038832</x:v>
      </x:c>
      <x:c r="J18" s="32" t="n">
        <x:v>3.7776661129568105</x:v>
      </x:c>
      <x:c r="K18" s="32" t="n">
        <x:f>IF(J18="","",(1/'Metadata'!$B$5)^(J18-1))</x:f>
        <x:v>599.3301320901525</x:v>
      </x:c>
      <x:c r="L18" s="31" t="n">
        <x:f>IF(E18=0,"",E18*K18)</x:f>
        <x:v>144318.69580730872</x:v>
      </x:c>
      <x:c r="M18" s="31" t="n">
        <x:f>IF(E18=0,"",I18-L18)</x:f>
        <x:v>8085.264273079607</x:v>
      </x:c>
      <x:c r="N18" s="32" t="n">
        <x:f>IF(L18=0,"",I18/L18)</x:f>
        <x:v>1.056023678899336</x:v>
      </x:c>
      <x:c r="O18" s="34" t="n">
        <x:f>IF(L18=0,"",M18/L18)</x:f>
        <x:v>0.05602367889933597</x:v>
      </x:c>
    </x:row>
    <x:row r="19" ht="18" customHeight="1">
      <x:c r="A19" s="24" t="str">
        <x:v>Small pelagics (&lt;30 cm)</x:v>
      </x:c>
      <x:c r="B19" s="33" t="n">
        <x:v>8</x:v>
      </x:c>
      <x:c r="C19" s="33" t="n">
        <x:v>8</x:v>
      </x:c>
      <x:c r="D19" s="31" t="n">
        <x:v>4072084.841734719</x:v>
      </x:c>
      <x:c r="E19" s="31" t="n">
        <x:v>4072084.841734719</x:v>
      </x:c>
      <x:c r="F19" s="32" t="n">
        <x:v>0</x:v>
      </x:c>
      <x:c r="G19" s="34" t="n">
        <x:v>1</x:v>
      </x:c>
      <x:c r="H19" s="32" t="n">
        <x:f>IF(E19=0,"",I19/E19)</x:f>
        <x:v>53.237590507038945</x:v>
      </x:c>
      <x:c r="I19" s="31" t="n">
        <x:f>IF(C19=0,"",SUMIF('Species'!$G$2:$G$114,A19,'Species'!$U$2:$U$114))</x:f>
        <x:v>216787985.31419346</x:v>
      </x:c>
      <x:c r="J19" s="32" t="n">
        <x:v>2.702787213180693</x:v>
      </x:c>
      <x:c r="K19" s="32" t="n">
        <x:f>IF(J19="","",(1/'Metadata'!$B$5)^(J19-1))</x:f>
        <x:v>50.441409440098674</x:v>
      </x:c>
      <x:c r="L19" s="31" t="n">
        <x:f>IF(E19=0,"",E19*K19)</x:f>
        <x:v>205401698.77676037</x:v>
      </x:c>
      <x:c r="M19" s="31" t="n">
        <x:f>IF(E19=0,"",I19-L19)</x:f>
        <x:v>11386286.537433088</x:v>
      </x:c>
      <x:c r="N19" s="32" t="n">
        <x:f>IF(L19=0,"",I19/L19)</x:f>
        <x:v>1.0554342374247265</x:v>
      </x:c>
      <x:c r="O19" s="34" t="n">
        <x:f>IF(L19=0,"",M19/L19)</x:f>
        <x:v>0.055434237424726494</x:v>
      </x:c>
    </x:row>
    <x:row r="20" ht="18" customHeight="1">
      <x:c r="A20" s="24" t="str">
        <x:v>Small reef assoc. fish (&lt;30 cm)</x:v>
      </x:c>
      <x:c r="B20" s="33" t="n">
        <x:v>2</x:v>
      </x:c>
      <x:c r="C20" s="33" t="n">
        <x:v>2</x:v>
      </x:c>
      <x:c r="D20" s="31" t="n">
        <x:v>2.6</x:v>
      </x:c>
      <x:c r="E20" s="31" t="n">
        <x:v>2.6</x:v>
      </x:c>
      <x:c r="F20" s="32" t="n">
        <x:v>0</x:v>
      </x:c>
      <x:c r="G20" s="34" t="n">
        <x:v>1</x:v>
      </x:c>
      <x:c r="H20" s="32" t="n">
        <x:f>IF(E20=0,"",I20/E20)</x:f>
        <x:v>308.3484154732522</x:v>
      </x:c>
      <x:c r="I20" s="31" t="n">
        <x:f>IF(C20=0,"",SUMIF('Species'!$G$2:$G$114,A20,'Species'!$U$2:$U$114))</x:f>
        <x:v>801.7058802304557</x:v>
      </x:c>
      <x:c r="J20" s="32" t="n">
        <x:v>3.4869230769230772</x:v>
      </x:c>
      <x:c r="K20" s="32" t="n">
        <x:f>IF(J20="","",(1/'Metadata'!$B$5)^(J20-1))</x:f>
        <x:v>306.8478445430767</x:v>
      </x:c>
      <x:c r="L20" s="31" t="n">
        <x:f>IF(E20=0,"",E20*K20)</x:f>
        <x:v>797.8043958119994</x:v>
      </x:c>
      <x:c r="M20" s="31" t="n">
        <x:f>IF(E20=0,"",I20-L20)</x:f>
        <x:v>3.9014844184563344</x:v>
      </x:c>
      <x:c r="N20" s="32" t="n">
        <x:f>IF(L20=0,"",I20/L20)</x:f>
        <x:v>1.0048902769136605</x:v>
      </x:c>
      <x:c r="O20" s="34" t="n">
        <x:f>IF(L20=0,"",M20/L20)</x:f>
        <x:v>0.004890276913660563</x:v>
      </x:c>
    </x:row>
    <x:row r="21" ht="18" customHeight="1">
      <x:c r="A21" s="24" t="str">
        <x:v>Small to medium flatfishes (&lt;90 cm)</x:v>
      </x:c>
      <x:c r="B21" s="33" t="n">
        <x:v>4</x:v>
      </x:c>
      <x:c r="C21" s="33" t="n">
        <x:v>4</x:v>
      </x:c>
      <x:c r="D21" s="31" t="n">
        <x:v>1748.5969056653003</x:v>
      </x:c>
      <x:c r="E21" s="31" t="n">
        <x:v>1748.5969056653003</x:v>
      </x:c>
      <x:c r="F21" s="32" t="n">
        <x:v>0</x:v>
      </x:c>
      <x:c r="G21" s="34" t="n">
        <x:v>1</x:v>
      </x:c>
      <x:c r="H21" s="32" t="n">
        <x:f>IF(E21=0,"",I21/E21)</x:f>
        <x:v>436.1428925231587</x:v>
      </x:c>
      <x:c r="I21" s="31" t="n">
        <x:f>IF(C21=0,"",SUMIF('Species'!$G$2:$G$114,A21,'Species'!$U$2:$U$114))</x:f>
        <x:v>762638.112293909</x:v>
      </x:c>
      <x:c r="J21" s="32" t="n">
        <x:v>3.5743754648709123</x:v>
      </x:c>
      <x:c r="K21" s="32" t="n">
        <x:f>IF(J21="","",(1/'Metadata'!$B$5)^(J21-1))</x:f>
        <x:v>375.2973215086218</x:v>
      </x:c>
      <x:c r="L21" s="31" t="n">
        <x:f>IF(E21=0,"",E21*K21)</x:f>
        <x:v>656243.7350944513</x:v>
      </x:c>
      <x:c r="M21" s="31" t="n">
        <x:f>IF(E21=0,"",I21-L21)</x:f>
        <x:v>106394.37719945761</x:v>
      </x:c>
      <x:c r="N21" s="32" t="n">
        <x:f>IF(L21=0,"",I21/L21)</x:f>
        <x:v>1.1621263129988504</x:v>
      </x:c>
      <x:c r="O21" s="34" t="n">
        <x:f>IF(L21=0,"",M21/L21)</x:f>
        <x:v>0.16212631299885027</x:v>
      </x:c>
    </x:row>
    <x:row r="22" ht="18" customHeight="1">
      <x:c r="A22" s="24" t="str">
        <x:v>Small to medium rays (&lt;90 cm)</x:v>
      </x:c>
      <x:c r="B22" s="33" t="n">
        <x:v>2</x:v>
      </x:c>
      <x:c r="C22" s="33" t="n">
        <x:v>2</x:v>
      </x:c>
      <x:c r="D22" s="31" t="n">
        <x:v>276.5978696945</x:v>
      </x:c>
      <x:c r="E22" s="31" t="n">
        <x:v>276.5978696945</x:v>
      </x:c>
      <x:c r="F22" s="32" t="n">
        <x:v>0</x:v>
      </x:c>
      <x:c r="G22" s="34" t="n">
        <x:v>1</x:v>
      </x:c>
      <x:c r="H22" s="32" t="n">
        <x:f>IF(E22=0,"",I22/E22)</x:f>
        <x:v>321.50719693184044</x:v>
      </x:c>
      <x:c r="I22" s="31" t="n">
        <x:f>IF(C22=0,"",SUMIF('Species'!$G$2:$G$114,A22,'Species'!$U$2:$U$114))</x:f>
        <x:v>88928.20576279715</x:v>
      </x:c>
      <x:c r="J22" s="32" t="n">
        <x:v>3.497288020261477</x:v>
      </x:c>
      <x:c r="K22" s="32" t="n">
        <x:f>IF(J22="","",(1/'Metadata'!$B$5)^(J22-1))</x:f>
        <x:v>314.25921422675657</x:v>
      </x:c>
      <x:c r="L22" s="31" t="n">
        <x:f>IF(E22=0,"",E22*K22)</x:f>
        <x:v>86923.42918698837</x:v>
      </x:c>
      <x:c r="M22" s="31" t="n">
        <x:f>IF(E22=0,"",I22-L22)</x:f>
        <x:v>2004.7765758087771</x:v>
      </x:c>
      <x:c r="N22" s="32" t="n">
        <x:f>IF(L22=0,"",I22/L22)</x:f>
        <x:v>1.0230637078467777</x:v>
      </x:c>
      <x:c r="O22" s="34" t="n">
        <x:f>IF(L22=0,"",M22/L22)</x:f>
        <x:v>0.023063707846777786</x:v>
      </x:c>
    </x:row>
    <x:row r="23" ht="18" customHeight="1">
      <x:c r="A23" s="24" t="str">
        <x:v>Small to medium sharks (&lt;90 cm)</x:v>
      </x:c>
      <x:c r="B23" s="33" t="n">
        <x:v>1</x:v>
      </x:c>
      <x:c r="C23" s="33" t="n">
        <x:v>1</x:v>
      </x:c>
      <x:c r="D23" s="31" t="n">
        <x:v>139.81452633229998</x:v>
      </x:c>
      <x:c r="E23" s="31" t="n">
        <x:v>139.81452633229998</x:v>
      </x:c>
      <x:c r="F23" s="32" t="n">
        <x:v>0</x:v>
      </x:c>
      <x:c r="G23" s="34" t="n">
        <x:v>1</x:v>
      </x:c>
      <x:c r="H23" s="32" t="n">
        <x:f>IF(E23=0,"",I23/E23)</x:f>
        <x:v>457.0881896148752</x:v>
      </x:c>
      <x:c r="I23" s="31" t="n">
        <x:f>IF(C23=0,"",SUMIF('Species'!$G$2:$G$114,A23,'Species'!$U$2:$U$114))</x:f>
        <x:v>63907.56872309229</x:v>
      </x:c>
      <x:c r="J23" s="32" t="n">
        <x:v>3.66</x:v>
      </x:c>
      <x:c r="K23" s="32" t="n">
        <x:f>IF(J23="","",(1/'Metadata'!$B$5)^(J23-1))</x:f>
        <x:v>457.0881896148752</x:v>
      </x:c>
      <x:c r="L23" s="31" t="n">
        <x:f>IF(E23=0,"",E23*K23)</x:f>
        <x:v>63907.56872309229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6f454bdc52a41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EEZ_604</x:v>
      </x:c>
      <x:c r="B2" s="24" t="str">
        <x:v>raw_filtered_tonnes</x:v>
      </x:c>
      <x:c r="C2" s="24" t="n">
        <x:v>6008753.148833273</x:v>
      </x:c>
      <x:c r="D2" s="24" t="str">
        <x:v>tonnes</x:v>
      </x:c>
    </x:row>
    <x:row r="3" ht="18" customHeight="1">
      <x:c r="A3" s="24" t="str">
        <x:v>EEZ_604</x:v>
      </x:c>
      <x:c r="B3" s="24" t="str">
        <x:v>species_catch_tonnes</x:v>
      </x:c>
      <x:c r="C3" s="24" t="n">
        <x:v>6008753.148833272</x:v>
      </x:c>
      <x:c r="D3" s="24" t="str">
        <x:v>tonnes</x:v>
      </x:c>
    </x:row>
    <x:row r="4" ht="18" customHeight="1">
      <x:c r="A4" s="24" t="str">
        <x:v>EEZ_604</x:v>
      </x:c>
      <x:c r="B4" s="24" t="str">
        <x:v>catch_difference_tonnes</x:v>
      </x:c>
      <x:c r="C4" s="24" t="n">
        <x:v>-9.313225746154785e-10</x:v>
      </x:c>
      <x:c r="D4" s="24" t="str">
        <x:v>tonnes</x:v>
      </x:c>
    </x:row>
    <x:row r="5" ht="18" customHeight="1">
      <x:c r="A5" s="24" t="str">
        <x:v>EEZ_604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EEZ_604</x:v>
      </x:c>
      <x:c r="B6" s="24" t="str">
        <x:v>matched_catch_tonnes</x:v>
      </x:c>
      <x:c r="C6" s="24" t="n">
        <x:v>6008753.148833272</x:v>
      </x:c>
      <x:c r="D6" s="24" t="str">
        <x:v>tonnes</x:v>
      </x:c>
    </x:row>
    <x:row r="7" ht="18" customHeight="1">
      <x:c r="A7" s="24" t="str">
        <x:v>EEZ_604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EEZ_604</x:v>
      </x:c>
      <x:c r="B8" s="24" t="str">
        <x:v>taxa_count</x:v>
      </x:c>
      <x:c r="C8" s="24" t="n">
        <x:v>113</x:v>
      </x:c>
      <x:c r="D8" s="24" t="str">
        <x:v>count</x:v>
      </x:c>
    </x:row>
    <x:row r="9" ht="18" customHeight="1">
      <x:c r="A9" s="24" t="str">
        <x:v>EEZ_604</x:v>
      </x:c>
      <x:c r="B9" s="24" t="str">
        <x:v>matched_taxa_count</x:v>
      </x:c>
      <x:c r="C9" s="24" t="n">
        <x:v>113</x:v>
      </x:c>
      <x:c r="D9" s="24" t="str">
        <x:v>count</x:v>
      </x:c>
    </x:row>
    <x:row r="10" ht="18" customHeight="1">
      <x:c r="A10" s="24" t="str">
        <x:v>EEZ_604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EEZ_604</x:v>
      </x:c>
      <x:c r="B11" s="24" t="str">
        <x:v>species_ppr</x:v>
      </x:c>
      <x:c r="C11" s="24" t="n">
        <x:v>2417258362.672758</x:v>
      </x:c>
      <x:c r="D11" s="24" t="str">
        <x:v>tonnes_primary_production_equivalent</x:v>
      </x:c>
    </x:row>
    <x:row r="12" ht="18" customHeight="1">
      <x:c r="A12" s="24" t="str">
        <x:v>EEZ_604</x:v>
      </x:c>
      <x:c r="B12" s="24" t="str">
        <x:v>commercial_ppr</x:v>
      </x:c>
      <x:c r="C12" s="24" t="n">
        <x:v>2417258362.672757</x:v>
      </x:c>
      <x:c r="D12" s="24" t="str">
        <x:v>tonnes_primary_production_equivalent</x:v>
      </x:c>
    </x:row>
    <x:row r="13" ht="18" customHeight="1">
      <x:c r="A13" s="24" t="str">
        <x:v>EEZ_604</x:v>
      </x:c>
      <x:c r="B13" s="24" t="str">
        <x:v>functional_ppr</x:v>
      </x:c>
      <x:c r="C13" s="24" t="n">
        <x:v>2417258362.6727576</x:v>
      </x:c>
      <x:c r="D13" s="24" t="str">
        <x:v>tonnes_primary_production_equivalent</x:v>
      </x:c>
    </x:row>
    <x:row r="14" ht="18" customHeight="1">
      <x:c r="A14" s="24" t="str">
        <x:v>EEZ_604</x:v>
      </x:c>
      <x:c r="B14" s="24" t="str">
        <x:v>commercial_ppr_difference</x:v>
      </x:c>
      <x:c r="C14" s="24" t="n">
        <x:v>-9.5367431640625e-7</x:v>
      </x:c>
      <x:c r="D14" s="24" t="str">
        <x:v>tonnes_primary_production_equivalent</x:v>
      </x:c>
    </x:row>
    <x:row r="15" ht="18" customHeight="1">
      <x:c r="A15" s="24" t="str">
        <x:v>EEZ_604</x:v>
      </x:c>
      <x:c r="B15" s="24" t="str">
        <x:v>functional_ppr_difference</x:v>
      </x:c>
      <x:c r="C15" s="24" t="n">
        <x:v>-4.76837158203125e-7</x:v>
      </x:c>
      <x:c r="D15" s="24" t="str">
        <x:v>tonnes_primary_production_equivalent</x:v>
      </x:c>
    </x:row>
    <x:row r="16" ht="18" customHeight="1">
      <x:c r="A16" s="24" t="str">
        <x:v>EEZ_604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EEZ_604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EEZ_604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EEZ_604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eb207ab72c441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EEZ_604 - Peru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EEZ_604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