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ee9968c68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12a25d101f54507"/>
    <x:sheet xmlns:r="http://schemas.openxmlformats.org/officeDocument/2006/relationships" name="Commercial" sheetId="2" r:id="Re2b4219862954128"/>
    <x:sheet xmlns:r="http://schemas.openxmlformats.org/officeDocument/2006/relationships" name="Functional" sheetId="3" r:id="Rb3b9f9cd2ae74028"/>
    <x:sheet xmlns:r="http://schemas.openxmlformats.org/officeDocument/2006/relationships" name="Missing TL" sheetId="4" r:id="Rfacd0d3948ea47c7"/>
    <x:sheet xmlns:r="http://schemas.openxmlformats.org/officeDocument/2006/relationships" name="Validation" sheetId="5" r:id="Rd2b71deda72248de"/>
    <x:sheet xmlns:r="http://schemas.openxmlformats.org/officeDocument/2006/relationships" name="Metadata" sheetId="6" r:id="Rdfeb11451dfd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648b906a9459a" /><Relationship Type="http://schemas.openxmlformats.org/officeDocument/2006/relationships/theme" Target="/xl/theme/theme1.xml" Id="Rc86cb4f87a7d4074" /><Relationship Type="http://schemas.microsoft.com/office/2022/11/relationships/FeaturePropertyBag" Target="/xl/featurePropertyBag/featurePropertyBag.xml" Id="R0ee4c23804f64ee8" /><Relationship Type="http://schemas.openxmlformats.org/officeDocument/2006/relationships/sharedStrings" Target="/xl/sharedStrings.xml" Id="R6a385fe9c67c48df" /><Relationship Type="http://schemas.openxmlformats.org/officeDocument/2006/relationships/worksheet" Target="/xl/worksheets/sheet1.xml" Id="Re12a25d101f54507" /><Relationship Type="http://schemas.openxmlformats.org/officeDocument/2006/relationships/worksheet" Target="/xl/worksheets/sheet2.xml" Id="Re2b4219862954128" /><Relationship Type="http://schemas.openxmlformats.org/officeDocument/2006/relationships/worksheet" Target="/xl/worksheets/sheet3.xml" Id="Rb3b9f9cd2ae74028" /><Relationship Type="http://schemas.openxmlformats.org/officeDocument/2006/relationships/worksheet" Target="/xl/worksheets/sheet4.xml" Id="Rfacd0d3948ea47c7" /><Relationship Type="http://schemas.openxmlformats.org/officeDocument/2006/relationships/worksheet" Target="/xl/worksheets/sheet5.xml" Id="Rd2b71deda72248de" /><Relationship Type="http://schemas.openxmlformats.org/officeDocument/2006/relationships/worksheet" Target="/xl/worksheets/sheet6.xml" Id="Rdfeb11451dfd45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24SpeciesTable" displayName="EEZ024SpeciesTable" ref="A1:U121" headerRowCount="1" totalsRowCount="0" totalsRowShown="0">
  <x:autoFilter ref="A1:U12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24CommercialTable" displayName="EEZ02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24FunctionalTable" displayName="EEZ024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24ValidationTable" displayName="EEZ02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d520ab8b3d47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6f4436267944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d3f05b2a4d48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e05f548cc04f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EEZ_024</x:v>
      </x:c>
      <x:c r="B2" s="24" t="str">
        <x:v>Angola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196192.6147611313</x:v>
      </x:c>
      <x:c r="J2" s="31" t="n">
        <x:v>189454.4554255778</x:v>
      </x:c>
      <x:c r="K2" s="31" t="n">
        <x:v>6738.1593355535</x:v>
      </x:c>
      <x:c r="L2" s="31" t="n">
        <x:v>55667.281221917</x:v>
      </x:c>
      <x:c r="M2" s="31" t="n">
        <x:v>140525.33353921428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37383732.058183186</x:v>
      </x:c>
    </x:row>
    <x:row r="3" ht="18" customHeight="1">
      <x:c r="A3" s="24" t="str">
        <x:v>EEZ_024</x:v>
      </x:c>
      <x:c r="B3" s="24" t="str">
        <x:v>Angola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179406.42695028312</x:v>
      </x:c>
      <x:c r="J3" s="31" t="n">
        <x:v>176935.6382454594</x:v>
      </x:c>
      <x:c r="K3" s="31" t="n">
        <x:v>2470.7887048237</x:v>
      </x:c>
      <x:c r="L3" s="31" t="n">
        <x:v>176935.6382454594</x:v>
      </x:c>
      <x:c r="M3" s="31" t="n">
        <x:v>2470.7887048237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10564233.623969017</x:v>
      </x:c>
    </x:row>
    <x:row r="4" ht="18" customHeight="1">
      <x:c r="A4" s="24" t="str">
        <x:v>EEZ_024</x:v>
      </x:c>
      <x:c r="B4" s="24" t="str">
        <x:v>Angola</x:v>
      </x:c>
      <x:c r="C4" s="24" t="str">
        <x:v>EEZ</x:v>
      </x:c>
      <x:c r="D4" s="30" t="n">
        <x:v>2019</x:v>
      </x:c>
      <x:c r="E4" s="24" t="str">
        <x:v>Trachurus trecae</x:v>
      </x:c>
      <x:c r="F4" s="24" t="str">
        <x:v>Cunene horse mackerel</x:v>
      </x:c>
      <x:c r="G4" s="24" t="str">
        <x:v>Medium benthopelagics (30 - 89 cm)</x:v>
      </x:c>
      <x:c r="H4" s="24" t="str">
        <x:v>Perch-likes</x:v>
      </x:c>
      <x:c r="I4" s="31" t="n">
        <x:v>76197.3957498364</x:v>
      </x:c>
      <x:c r="J4" s="31" t="n">
        <x:v>76197.3957498364</x:v>
      </x:c>
      <x:c r="K4" s="31" t="n">
        <x:v>0</x:v>
      </x:c>
      <x:c r="L4" s="31" t="n">
        <x:v>68469.6419878923</x:v>
      </x:c>
      <x:c r="M4" s="31" t="n">
        <x:v>7727.7537619441</x:v>
      </x:c>
      <x:c r="N4" s="24" t="str">
        <x:v>trachurus trecae</x:v>
      </x:c>
      <x:c r="O4" s="32" t="n">
        <x:v>3.49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trecae</x:v>
      </x:c>
      <x:c r="T4" s="32" t="n">
        <x:f>IF(O4="","",(1/'Metadata'!$B$5)^(O4-1))</x:f>
        <x:v>309.0295432513592</x:v>
      </x:c>
      <x:c r="U4" s="31" t="n">
        <x:f>IF(T4="","",I4*T4)</x:f>
        <x:v>23547246.405515004</x:v>
      </x:c>
    </x:row>
    <x:row r="5" ht="18" customHeight="1">
      <x:c r="A5" s="24" t="str">
        <x:v>EEZ_024</x:v>
      </x:c>
      <x:c r="B5" s="24" t="str">
        <x:v>Angola</x:v>
      </x:c>
      <x:c r="C5" s="24" t="str">
        <x:v>EEZ</x:v>
      </x:c>
      <x:c r="D5" s="30" t="n">
        <x:v>2019</x:v>
      </x:c>
      <x:c r="E5" s="24" t="str">
        <x:v>Clupeidae</x:v>
      </x:c>
      <x:c r="F5" s="24" t="str">
        <x:v>Herrings, sardines, menhadens</x:v>
      </x:c>
      <x:c r="G5" s="24" t="str">
        <x:v>Small pelagics (&lt;30 cm)</x:v>
      </x:c>
      <x:c r="H5" s="24" t="str">
        <x:v>Herring-likes</x:v>
      </x:c>
      <x:c r="I5" s="31" t="n">
        <x:v>16054.8348771229</x:v>
      </x:c>
      <x:c r="J5" s="31" t="n">
        <x:v>0</x:v>
      </x:c>
      <x:c r="K5" s="31" t="n">
        <x:v>16054.8348771229</x:v>
      </x:c>
      <x:c r="L5" s="31" t="n">
        <x:v>0</x:v>
      </x:c>
      <x:c r="M5" s="31" t="n">
        <x:v>16054.8348771229</x:v>
      </x:c>
      <x:c r="N5" s="24" t="str">
        <x:v>clupeidae</x:v>
      </x:c>
      <x:c r="O5" s="32" t="n">
        <x:v>3.16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Clupeidae</x:v>
      </x:c>
      <x:c r="T5" s="32" t="n">
        <x:f>IF(O5="","",(1/'Metadata'!$B$5)^(O5-1))</x:f>
        <x:v>144.5439770745928</x:v>
      </x:c>
      <x:c r="U5" s="31" t="n">
        <x:f>IF(T5="","",I5*T5)</x:f>
        <x:v>2320629.684415225</x:v>
      </x:c>
    </x:row>
    <x:row r="6" ht="18" customHeight="1">
      <x:c r="A6" s="24" t="str">
        <x:v>EEZ_024</x:v>
      </x:c>
      <x:c r="B6" s="24" t="str">
        <x:v>Angola</x:v>
      </x:c>
      <x:c r="C6" s="24" t="str">
        <x:v>EEZ</x:v>
      </x:c>
      <x:c r="D6" s="30" t="n">
        <x:v>2019</x:v>
      </x:c>
      <x:c r="E6" s="24" t="str">
        <x:v>Trichiurus lepturus</x:v>
      </x:c>
      <x:c r="F6" s="24" t="str">
        <x:v>Largehead hairtail</x:v>
      </x:c>
      <x:c r="G6" s="24" t="str">
        <x:v>Large benthopelagics (&gt;=90 cm)</x:v>
      </x:c>
      <x:c r="H6" s="24" t="str">
        <x:v>Perch-likes</x:v>
      </x:c>
      <x:c r="I6" s="31" t="n">
        <x:v>15223.760497617399</x:v>
      </x:c>
      <x:c r="J6" s="31" t="n">
        <x:v>15222.4786964588</x:v>
      </x:c>
      <x:c r="K6" s="31" t="n">
        <x:v>1.2818011586</x:v>
      </x:c>
      <x:c r="L6" s="31" t="n">
        <x:v>13187.720002621</x:v>
      </x:c>
      <x:c r="M6" s="31" t="n">
        <x:v>2036.0404949964</x:v>
      </x:c>
      <x:c r="N6" s="24" t="str">
        <x:v>trichiurus lepturus</x:v>
      </x:c>
      <x:c r="O6" s="32" t="n">
        <x:v>4.42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Trichiurus lepturus</x:v>
      </x:c>
      <x:c r="T6" s="32" t="n">
        <x:f>IF(O6="","",(1/'Metadata'!$B$5)^(O6-1))</x:f>
        <x:v>2630.2679918953813</x:v>
      </x:c>
      <x:c r="U6" s="31" t="n">
        <x:f>IF(T6="","",I6*T6)</x:f>
        <x:v>40042569.95316435</x:v>
      </x:c>
    </x:row>
    <x:row r="7" ht="18" customHeight="1">
      <x:c r="A7" s="24" t="str">
        <x:v>EEZ_024</x:v>
      </x:c>
      <x:c r="B7" s="24" t="str">
        <x:v>Angola</x:v>
      </x:c>
      <x:c r="C7" s="24" t="str">
        <x:v>EEZ</x:v>
      </x:c>
      <x:c r="D7" s="30" t="n">
        <x:v>2019</x:v>
      </x:c>
      <x:c r="E7" s="24" t="str">
        <x:v>Pleuronectiformes</x:v>
      </x:c>
      <x:c r="F7" s="24" t="str">
        <x:v>Flatfishes</x:v>
      </x:c>
      <x:c r="G7" s="24" t="str">
        <x:v>Small to medium flatfishes (&lt;90 cm)</x:v>
      </x:c>
      <x:c r="H7" s="24" t="str">
        <x:v>Flatfishes</x:v>
      </x:c>
      <x:c r="I7" s="31" t="n">
        <x:v>12858.9036654221</x:v>
      </x:c>
      <x:c r="J7" s="31" t="n">
        <x:v>12858.9036654221</x:v>
      </x:c>
      <x:c r="K7" s="31" t="n">
        <x:v>0</x:v>
      </x:c>
      <x:c r="L7" s="31" t="n">
        <x:v>12858.9036654221</x:v>
      </x:c>
      <x:c r="M7" s="31" t="n">
        <x:v>0</x:v>
      </x:c>
      <x:c r="N7" s="24" t="str">
        <x:v>pleuronectiformes</x:v>
      </x:c>
      <x:c r="O7" s="32" t="n">
        <x:v>3.57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Pleuronectiformes</x:v>
      </x:c>
      <x:c r="T7" s="32" t="n">
        <x:f>IF(O7="","",(1/'Metadata'!$B$5)^(O7-1))</x:f>
        <x:v>371.5352290971724</x:v>
      </x:c>
      <x:c r="U7" s="31" t="n">
        <x:f>IF(T7="","",I7*T7)</x:f>
        <x:v>4777535.71927107</x:v>
      </x:c>
    </x:row>
    <x:row r="8" ht="18" customHeight="1">
      <x:c r="A8" s="24" t="str">
        <x:v>EEZ_024</x:v>
      </x:c>
      <x:c r="B8" s="24" t="str">
        <x:v>Angola</x:v>
      </x:c>
      <x:c r="C8" s="24" t="str">
        <x:v>EEZ</x:v>
      </x:c>
      <x:c r="D8" s="30" t="n">
        <x:v>2019</x:v>
      </x:c>
      <x:c r="E8" s="24" t="str">
        <x:v>Dentex macrophthalmus</x:v>
      </x:c>
      <x:c r="F8" s="24" t="str">
        <x:v>Large-eye dentex</x:v>
      </x:c>
      <x:c r="G8" s="24" t="str">
        <x:v>Medium benthopelagics (30 - 89 cm)</x:v>
      </x:c>
      <x:c r="H8" s="24" t="str">
        <x:v>Perch-likes</x:v>
      </x:c>
      <x:c r="I8" s="31" t="n">
        <x:v>11730.6570809277</x:v>
      </x:c>
      <x:c r="J8" s="31" t="n">
        <x:v>11730.6570809277</x:v>
      </x:c>
      <x:c r="K8" s="31" t="n">
        <x:v>0</x:v>
      </x:c>
      <x:c r="L8" s="31" t="n">
        <x:v>11730.6570809277</x:v>
      </x:c>
      <x:c r="M8" s="31" t="n">
        <x:v>0</x:v>
      </x:c>
      <x:c r="N8" s="24" t="str">
        <x:v>dentex macrophthalmus</x:v>
      </x:c>
      <x:c r="O8" s="32" t="n">
        <x:v>3.52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Dentex macrophthalmus</x:v>
      </x:c>
      <x:c r="T8" s="32" t="n">
        <x:f>IF(O8="","",(1/'Metadata'!$B$5)^(O8-1))</x:f>
        <x:v>331.1311214825911</x:v>
      </x:c>
      <x:c r="U8" s="31" t="n">
        <x:f>IF(T8="","",I8*T8)</x:f>
        <x:v>3884385.6349352878</x:v>
      </x:c>
    </x:row>
    <x:row r="9" ht="18" customHeight="1">
      <x:c r="A9" s="24" t="str">
        <x:v>EEZ_024</x:v>
      </x:c>
      <x:c r="B9" s="24" t="str">
        <x:v>Angola</x:v>
      </x:c>
      <x:c r="C9" s="24" t="str">
        <x:v>EEZ</x:v>
      </x:c>
      <x:c r="D9" s="30" t="n">
        <x:v>2019</x:v>
      </x:c>
      <x:c r="E9" s="24" t="str">
        <x:v>Merluccius capensis</x:v>
      </x:c>
      <x:c r="F9" s="24" t="str">
        <x:v>Shallow-water Cape hake</x:v>
      </x:c>
      <x:c r="G9" s="24" t="str">
        <x:v>Large bathydemersals (&gt;=90 cm)</x:v>
      </x:c>
      <x:c r="H9" s="24" t="str">
        <x:v>Cod-likes</x:v>
      </x:c>
      <x:c r="I9" s="31" t="n">
        <x:v>11526.4601442161</x:v>
      </x:c>
      <x:c r="J9" s="31" t="n">
        <x:v>11526.4601442161</x:v>
      </x:c>
      <x:c r="K9" s="31" t="n">
        <x:v>0</x:v>
      </x:c>
      <x:c r="L9" s="31" t="n">
        <x:v>11526.4601442161</x:v>
      </x:c>
      <x:c r="M9" s="31" t="n">
        <x:v>0</x:v>
      </x:c>
      <x:c r="N9" s="24" t="str">
        <x:v>merluccius capensis</x:v>
      </x:c>
      <x:c r="O9" s="32" t="n">
        <x:v>4.46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Merluccius capensis</x:v>
      </x:c>
      <x:c r="T9" s="32" t="n">
        <x:f>IF(O9="","",(1/'Metadata'!$B$5)^(O9-1))</x:f>
        <x:v>2884.031503126606</x:v>
      </x:c>
      <x:c r="U9" s="31" t="n">
        <x:f>IF(T9="","",I9*T9)</x:f>
        <x:v>33242674.175452475</x:v>
      </x:c>
    </x:row>
    <x:row r="10" ht="18" customHeight="1">
      <x:c r="A10" s="24" t="str">
        <x:v>EEZ_024</x:v>
      </x:c>
      <x:c r="B10" s="24" t="str">
        <x:v>Angola</x:v>
      </x:c>
      <x:c r="C10" s="24" t="str">
        <x:v>EEZ</x:v>
      </x:c>
      <x:c r="D10" s="30" t="n">
        <x:v>2019</x:v>
      </x:c>
      <x:c r="E10" s="24" t="str">
        <x:v>Dentex</x:v>
      </x:c>
      <x:c r="F10" s="24" t="str">
        <x:v>Toothed seabreams</x:v>
      </x:c>
      <x:c r="G10" s="24" t="str">
        <x:v>Large benthopelagics (&gt;=90 cm)</x:v>
      </x:c>
      <x:c r="H10" s="24" t="str">
        <x:v>Perch-likes</x:v>
      </x:c>
      <x:c r="I10" s="31" t="n">
        <x:v>9630.2703409776</x:v>
      </x:c>
      <x:c r="J10" s="31" t="n">
        <x:v>9630.2703409776</x:v>
      </x:c>
      <x:c r="K10" s="31" t="n">
        <x:v>0</x:v>
      </x:c>
      <x:c r="L10" s="31" t="n">
        <x:v>3176.0446246649</x:v>
      </x:c>
      <x:c r="M10" s="31" t="n">
        <x:v>6454.2257163127</x:v>
      </x:c>
      <x:c r="N10" s="24" t="str">
        <x:v>dentex</x:v>
      </x:c>
      <x:c r="O10" s="32" t="n">
        <x:v>3.96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Dentex</x:v>
      </x:c>
      <x:c r="T10" s="32" t="n">
        <x:f>IF(O10="","",(1/'Metadata'!$B$5)^(O10-1))</x:f>
        <x:v>912.0108393559096</x:v>
      </x:c>
      <x:c r="U10" s="31" t="n">
        <x:f>IF(T10="","",I10*T10)</x:f>
        <x:v>8782910.936899304</x:v>
      </x:c>
    </x:row>
    <x:row r="11" ht="18" customHeight="1">
      <x:c r="A11" s="24" t="str">
        <x:v>EEZ_024</x:v>
      </x:c>
      <x:c r="B11" s="24" t="str">
        <x:v>Angola</x:v>
      </x:c>
      <x:c r="C11" s="24" t="str">
        <x:v>EEZ</x:v>
      </x:c>
      <x:c r="D11" s="30" t="n">
        <x:v>2019</x:v>
      </x:c>
      <x:c r="E11" s="24" t="str">
        <x:v>Ariidae</x:v>
      </x:c>
      <x:c r="F11" s="24" t="str">
        <x:v>Sea catfishes, coblers</x:v>
      </x:c>
      <x:c r="G11" s="24" t="str">
        <x:v>Medium demersals (30 - 89 cm)</x:v>
      </x:c>
      <x:c r="H11" s="24" t="str">
        <x:v>Other fishes &amp; inverts</x:v>
      </x:c>
      <x:c r="I11" s="31" t="n">
        <x:v>6170.1907500077</x:v>
      </x:c>
      <x:c r="J11" s="31" t="n">
        <x:v>3193.3368883364</x:v>
      </x:c>
      <x:c r="K11" s="31" t="n">
        <x:v>2976.8538616713</x:v>
      </x:c>
      <x:c r="L11" s="31" t="n">
        <x:v>1957.4616962763</x:v>
      </x:c>
      <x:c r="M11" s="31" t="n">
        <x:v>4212.7290537314</x:v>
      </x:c>
      <x:c r="N11" s="24" t="str">
        <x:v>ariidae</x:v>
      </x:c>
      <x:c r="O11" s="32" t="n">
        <x:v>3.48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Ariidae</x:v>
      </x:c>
      <x:c r="T11" s="32" t="n">
        <x:f>IF(O11="","",(1/'Metadata'!$B$5)^(O11-1))</x:f>
        <x:v>301.9951720402016</x:v>
      </x:c>
      <x:c r="U11" s="31" t="n">
        <x:f>IF(T11="","",I11*T11)</x:f>
        <x:v>1863367.8170694362</x:v>
      </x:c>
    </x:row>
    <x:row r="12" ht="18" customHeight="1">
      <x:c r="A12" s="24" t="str">
        <x:v>EEZ_024</x:v>
      </x:c>
      <x:c r="B12" s="24" t="str">
        <x:v>Angola</x:v>
      </x:c>
      <x:c r="C12" s="24" t="str">
        <x:v>EEZ</x:v>
      </x:c>
      <x:c r="D12" s="30" t="n">
        <x:v>2019</x:v>
      </x:c>
      <x:c r="E12" s="24" t="str">
        <x:v>Trachurus capensis</x:v>
      </x:c>
      <x:c r="F12" s="24" t="str">
        <x:v>Cape horse mackerel</x:v>
      </x:c>
      <x:c r="G12" s="24" t="str">
        <x:v>Medium pelagics (30 - 89 cm)</x:v>
      </x:c>
      <x:c r="H12" s="24" t="str">
        <x:v>Perch-likes</x:v>
      </x:c>
      <x:c r="I12" s="31" t="n">
        <x:v>5818.5307363868</x:v>
      </x:c>
      <x:c r="J12" s="31" t="n">
        <x:v>5818.5307363868</x:v>
      </x:c>
      <x:c r="K12" s="31" t="n">
        <x:v>0</x:v>
      </x:c>
      <x:c r="L12" s="31" t="n">
        <x:v>5818.5307363868</x:v>
      </x:c>
      <x:c r="M12" s="31" t="n">
        <x:v>0</x:v>
      </x:c>
      <x:c r="N12" s="24" t="str">
        <x:v>trachurus capensis</x:v>
      </x:c>
      <x:c r="O12" s="32" t="n">
        <x:v>3.47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Trachurus capensis</x:v>
      </x:c>
      <x:c r="T12" s="32" t="n">
        <x:f>IF(O12="","",(1/'Metadata'!$B$5)^(O12-1))</x:f>
        <x:v>295.1209226666387</x:v>
      </x:c>
      <x:c r="U12" s="31" t="n">
        <x:f>IF(T12="","",I12*T12)</x:f>
        <x:v>1717170.159486669</x:v>
      </x:c>
    </x:row>
    <x:row r="13" ht="18" customHeight="1">
      <x:c r="A13" s="24" t="str">
        <x:v>EEZ_024</x:v>
      </x:c>
      <x:c r="B13" s="24" t="str">
        <x:v>Angola</x:v>
      </x:c>
      <x:c r="C13" s="24" t="str">
        <x:v>EEZ</x:v>
      </x:c>
      <x:c r="D13" s="30" t="n">
        <x:v>2019</x:v>
      </x:c>
      <x:c r="E13" s="24" t="str">
        <x:v>Pomadasys</x:v>
      </x:c>
      <x:c r="F13" s="24" t="str">
        <x:v>Grunters</x:v>
      </x:c>
      <x:c r="G13" s="24" t="str">
        <x:v>Medium demersals (30 - 89 cm)</x:v>
      </x:c>
      <x:c r="H13" s="24" t="str">
        <x:v>Perch-likes</x:v>
      </x:c>
      <x:c r="I13" s="31" t="n">
        <x:v>5531.1254124496</x:v>
      </x:c>
      <x:c r="J13" s="31" t="n">
        <x:v>2554.2715507783</x:v>
      </x:c>
      <x:c r="K13" s="31" t="n">
        <x:v>2976.8538616713</x:v>
      </x:c>
      <x:c r="L13" s="31" t="n">
        <x:v>0</x:v>
      </x:c>
      <x:c r="M13" s="31" t="n">
        <x:v>5531.1254124496</x:v>
      </x:c>
      <x:c r="N13" s="24" t="str">
        <x:v>pomadasys</x:v>
      </x:c>
      <x:c r="O13" s="32" t="n">
        <x:v>3.59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Pomadasys</x:v>
      </x:c>
      <x:c r="T13" s="32" t="n">
        <x:f>IF(O13="","",(1/'Metadata'!$B$5)^(O13-1))</x:f>
        <x:v>389.04514499428046</x:v>
      </x:c>
      <x:c r="U13" s="31" t="n">
        <x:f>IF(T13="","",I13*T13)</x:f>
        <x:v>2151857.488068004</x:v>
      </x:c>
    </x:row>
    <x:row r="14" ht="18" customHeight="1">
      <x:c r="A14" s="24" t="str">
        <x:v>EEZ_024</x:v>
      </x:c>
      <x:c r="B14" s="24" t="str">
        <x:v>Angola</x:v>
      </x:c>
      <x:c r="C14" s="24" t="str">
        <x:v>EEZ</x:v>
      </x:c>
      <x:c r="D14" s="30" t="n">
        <x:v>2019</x:v>
      </x:c>
      <x:c r="E14" s="24" t="str">
        <x:v>Cynoglossus</x:v>
      </x:c>
      <x:c r="F14" s="24" t="str">
        <x:v>Tonguesoles</x:v>
      </x:c>
      <x:c r="G14" s="24" t="str">
        <x:v>Small to medium flatfishes (&lt;90 cm)</x:v>
      </x:c>
      <x:c r="H14" s="24" t="str">
        <x:v>Flatfishes</x:v>
      </x:c>
      <x:c r="I14" s="31" t="n">
        <x:v>4745.716266032699</x:v>
      </x:c>
      <x:c r="J14" s="31" t="n">
        <x:v>1024.6489403783</x:v>
      </x:c>
      <x:c r="K14" s="31" t="n">
        <x:v>3721.0673256543996</x:v>
      </x:c>
      <x:c r="L14" s="31" t="n">
        <x:v>0.0541367839</x:v>
      </x:c>
      <x:c r="M14" s="31" t="n">
        <x:v>4745.6621292488</x:v>
      </x:c>
      <x:c r="N14" s="24" t="str">
        <x:v>cynoglossus</x:v>
      </x:c>
      <x:c r="O14" s="32" t="n">
        <x:v>3.36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Cynoglossus</x:v>
      </x:c>
      <x:c r="T14" s="32" t="n">
        <x:f>IF(O14="","",(1/'Metadata'!$B$5)^(O14-1))</x:f>
        <x:v>229.08676527677724</x:v>
      </x:c>
      <x:c r="U14" s="31" t="n">
        <x:f>IF(T14="","",I14*T14)</x:f>
        <x:v>1087180.7883068167</x:v>
      </x:c>
    </x:row>
    <x:row r="15" ht="18" customHeight="1">
      <x:c r="A15" s="24" t="str">
        <x:v>EEZ_024</x:v>
      </x:c>
      <x:c r="B15" s="24" t="str">
        <x:v>Angola</x:v>
      </x:c>
      <x:c r="C15" s="24" t="str">
        <x:v>EEZ</x:v>
      </x:c>
      <x:c r="D15" s="30" t="n">
        <x:v>2019</x:v>
      </x:c>
      <x:c r="E15" s="24" t="str">
        <x:v>Zeus faber</x:v>
      </x:c>
      <x:c r="F15" s="24" t="str">
        <x:v>John dory</x:v>
      </x:c>
      <x:c r="G15" s="24" t="str">
        <x:v>Medium benthopelagics (30 - 89 cm)</x:v>
      </x:c>
      <x:c r="H15" s="24" t="str">
        <x:v>Other fishes &amp; inverts</x:v>
      </x:c>
      <x:c r="I15" s="31" t="n">
        <x:v>4583.6490922866</x:v>
      </x:c>
      <x:c r="J15" s="31" t="n">
        <x:v>4583.6490922866</x:v>
      </x:c>
      <x:c r="K15" s="31" t="n">
        <x:v>0</x:v>
      </x:c>
      <x:c r="L15" s="31" t="n">
        <x:v>4583.6490922866</x:v>
      </x:c>
      <x:c r="M15" s="31" t="n">
        <x:v>0</x:v>
      </x:c>
      <x:c r="N15" s="24" t="str">
        <x:v>zeus faber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Zeus faber</x:v>
      </x:c>
      <x:c r="T15" s="32" t="n">
        <x:f>IF(O15="","",(1/'Metadata'!$B$5)^(O15-1))</x:f>
        <x:v>3162.2776601683795</x:v>
      </x:c>
      <x:c r="U15" s="31" t="n">
        <x:f>IF(T15="","",I15*T15)</x:f>
        <x:v>14494771.126588985</x:v>
      </x:c>
    </x:row>
    <x:row r="16" ht="18" customHeight="1">
      <x:c r="A16" s="24" t="str">
        <x:v>EEZ_024</x:v>
      </x:c>
      <x:c r="B16" s="24" t="str">
        <x:v>Angola</x:v>
      </x:c>
      <x:c r="C16" s="24" t="str">
        <x:v>EEZ</x:v>
      </x:c>
      <x:c r="D16" s="30" t="n">
        <x:v>2019</x:v>
      </x:c>
      <x:c r="E16" s="24" t="str">
        <x:v>Pseudotolithus</x:v>
      </x:c>
      <x:c r="F16" s="24" t="str">
        <x:v>African croakers</x:v>
      </x:c>
      <x:c r="G16" s="24" t="str">
        <x:v>Large demersals (&gt;=90 cm)</x:v>
      </x:c>
      <x:c r="H16" s="24" t="str">
        <x:v>Perch-likes</x:v>
      </x:c>
      <x:c r="I16" s="31" t="n">
        <x:v>4290.0427932179</x:v>
      </x:c>
      <x:c r="J16" s="31" t="n">
        <x:v>4289.5729036785</x:v>
      </x:c>
      <x:c r="K16" s="31" t="n">
        <x:v>0.4698895394</x:v>
      </x:c>
      <x:c r="L16" s="31" t="n">
        <x:v>4289.5729036785</x:v>
      </x:c>
      <x:c r="M16" s="31" t="n">
        <x:v>0.4698895394</x:v>
      </x:c>
      <x:c r="N16" s="24" t="str">
        <x:v>pseudotolithus</x:v>
      </x:c>
      <x:c r="O16" s="32" t="n">
        <x:v>3.79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Pseudotolithus</x:v>
      </x:c>
      <x:c r="T16" s="32" t="n">
        <x:f>IF(O16="","",(1/'Metadata'!$B$5)^(O16-1))</x:f>
        <x:v>616.5950018614822</x:v>
      </x:c>
      <x:c r="U16" s="31" t="n">
        <x:f>IF(T16="","",I16*T16)</x:f>
        <x:v>2645218.944070029</x:v>
      </x:c>
    </x:row>
    <x:row r="17" ht="18" customHeight="1">
      <x:c r="A17" s="24" t="str">
        <x:v>EEZ_024</x:v>
      </x:c>
      <x:c r="B17" s="24" t="str">
        <x:v>Angola</x:v>
      </x:c>
      <x:c r="C17" s="24" t="str">
        <x:v>EEZ</x:v>
      </x:c>
      <x:c r="D17" s="30" t="n">
        <x:v>2019</x:v>
      </x:c>
      <x:c r="E17" s="24" t="str">
        <x:v>Sciaenidae</x:v>
      </x:c>
      <x:c r="F17" s="24" t="str">
        <x:v>Drums, croakers</x:v>
      </x:c>
      <x:c r="G17" s="24" t="str">
        <x:v>Medium demersals (30 - 89 cm)</x:v>
      </x:c>
      <x:c r="H17" s="24" t="str">
        <x:v>Perch-likes</x:v>
      </x:c>
      <x:c r="I17" s="31" t="n">
        <x:v>4099.4877184301995</x:v>
      </x:c>
      <x:c r="J17" s="31" t="n">
        <x:v>378.4203927758</x:v>
      </x:c>
      <x:c r="K17" s="31" t="n">
        <x:v>3721.0673256543996</x:v>
      </x:c>
      <x:c r="L17" s="31" t="n">
        <x:v>327.4828986544</x:v>
      </x:c>
      <x:c r="M17" s="31" t="n">
        <x:v>3772.0048197757997</x:v>
      </x:c>
      <x:c r="N17" s="24" t="str">
        <x:v>sciaenidae</x:v>
      </x:c>
      <x:c r="O17" s="32" t="n">
        <x:v>3.76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Sciaenidae</x:v>
      </x:c>
      <x:c r="T17" s="32" t="n">
        <x:f>IF(O17="","",(1/'Metadata'!$B$5)^(O17-1))</x:f>
        <x:v>575.4399373371566</x:v>
      </x:c>
      <x:c r="U17" s="31" t="n">
        <x:f>IF(T17="","",I17*T17)</x:f>
        <x:v>2359008.9558079173</x:v>
      </x:c>
    </x:row>
    <x:row r="18" ht="18" customHeight="1">
      <x:c r="A18" s="24" t="str">
        <x:v>EEZ_024</x:v>
      </x:c>
      <x:c r="B18" s="24" t="str">
        <x:v>Angola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3849.6657707698</x:v>
      </x:c>
      <x:c r="J18" s="31" t="n">
        <x:v>3849.6657707698</x:v>
      </x:c>
      <x:c r="K18" s="31" t="n">
        <x:v>0</x:v>
      </x:c>
      <x:c r="L18" s="31" t="n">
        <x:v>3849.6657707698</x:v>
      </x:c>
      <x:c r="M18" s="31" t="n">
        <x:v>0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10361509.405513044</x:v>
      </x:c>
    </x:row>
    <x:row r="19" ht="18" customHeight="1">
      <x:c r="A19" s="24" t="str">
        <x:v>EEZ_024</x:v>
      </x:c>
      <x:c r="B19" s="24" t="str">
        <x:v>Angola</x:v>
      </x:c>
      <x:c r="C19" s="24" t="str">
        <x:v>EEZ</x:v>
      </x:c>
      <x:c r="D19" s="30" t="n">
        <x:v>2019</x:v>
      </x:c>
      <x:c r="E19" s="24" t="str">
        <x:v>Sardinella maderensis</x:v>
      </x:c>
      <x:c r="F19" s="24" t="str">
        <x:v>Madeiran sardinella</x:v>
      </x:c>
      <x:c r="G19" s="24" t="str">
        <x:v>Medium pelagics (30 - 89 cm)</x:v>
      </x:c>
      <x:c r="H19" s="24" t="str">
        <x:v>Herring-likes</x:v>
      </x:c>
      <x:c r="I19" s="31" t="n">
        <x:v>3326.3253835584997</x:v>
      </x:c>
      <x:c r="J19" s="31" t="n">
        <x:v>3326.3253835584997</x:v>
      </x:c>
      <x:c r="K19" s="31" t="n">
        <x:v>0</x:v>
      </x:c>
      <x:c r="L19" s="31" t="n">
        <x:v>0</x:v>
      </x:c>
      <x:c r="M19" s="31" t="n">
        <x:v>3326.3253835584997</x:v>
      </x:c>
      <x:c r="N19" s="24" t="str">
        <x:v>sardinella maderensis</x:v>
      </x:c>
      <x:c r="O19" s="32" t="n">
        <x:v>3.2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Sardinella maderensis</x:v>
      </x:c>
      <x:c r="T19" s="32" t="n">
        <x:f>IF(O19="","",(1/'Metadata'!$B$5)^(O19-1))</x:f>
        <x:v>158.48931924611142</x:v>
      </x:c>
      <x:c r="U19" s="31" t="n">
        <x:f>IF(T19="","",I19*T19)</x:f>
        <x:v>527187.0456312471</x:v>
      </x:c>
    </x:row>
    <x:row r="20" ht="18" customHeight="1">
      <x:c r="A20" s="24" t="str">
        <x:v>EEZ_024</x:v>
      </x:c>
      <x:c r="B20" s="24" t="str">
        <x:v>Angola</x:v>
      </x:c>
      <x:c r="C20" s="24" t="str">
        <x:v>EEZ</x:v>
      </x:c>
      <x:c r="D20" s="30" t="n">
        <x:v>2019</x:v>
      </x:c>
      <x:c r="E20" s="24" t="str">
        <x:v>Sardinella aurita</x:v>
      </x:c>
      <x:c r="F20" s="24" t="str">
        <x:v>Round sardinella</x:v>
      </x:c>
      <x:c r="G20" s="24" t="str">
        <x:v>Small pelagics (&lt;30 cm)</x:v>
      </x:c>
      <x:c r="H20" s="24" t="str">
        <x:v>Herring-likes</x:v>
      </x:c>
      <x:c r="I20" s="31" t="n">
        <x:v>3326.3253820932</x:v>
      </x:c>
      <x:c r="J20" s="31" t="n">
        <x:v>3326.3253820932</x:v>
      </x:c>
      <x:c r="K20" s="31" t="n">
        <x:v>0</x:v>
      </x:c>
      <x:c r="L20" s="31" t="n">
        <x:v>0</x:v>
      </x:c>
      <x:c r="M20" s="31" t="n">
        <x:v>3326.3253820932</x:v>
      </x:c>
      <x:c r="N20" s="24" t="str">
        <x:v>sardinella aurita</x:v>
      </x:c>
      <x:c r="O20" s="32" t="n">
        <x:v>3.4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Sardinella aurita</x:v>
      </x:c>
      <x:c r="T20" s="32" t="n">
        <x:f>IF(O20="","",(1/'Metadata'!$B$5)^(O20-1))</x:f>
        <x:v>251.18864315095797</x:v>
      </x:c>
      <x:c r="U20" s="31" t="n">
        <x:f>IF(T20="","",I20*T20)</x:f>
        <x:v>835535.1594065827</x:v>
      </x:c>
    </x:row>
    <x:row r="21" ht="18" customHeight="1">
      <x:c r="A21" s="24" t="str">
        <x:v>EEZ_024</x:v>
      </x:c>
      <x:c r="B21" s="24" t="str">
        <x:v>Angola</x:v>
      </x:c>
      <x:c r="C21" s="24" t="str">
        <x:v>EEZ</x:v>
      </x:c>
      <x:c r="D21" s="30" t="n">
        <x:v>2019</x:v>
      </x:c>
      <x:c r="E21" s="24" t="str">
        <x:v>Sparidae</x:v>
      </x:c>
      <x:c r="F21" s="24" t="str">
        <x:v>Porgies, seabreams</x:v>
      </x:c>
      <x:c r="G21" s="24" t="str">
        <x:v>Medium benthopelagics (30 - 89 cm)</x:v>
      </x:c>
      <x:c r="H21" s="24" t="str">
        <x:v>Perch-likes</x:v>
      </x:c>
      <x:c r="I21" s="31" t="n">
        <x:v>3135.5939016213997</x:v>
      </x:c>
      <x:c r="J21" s="31" t="n">
        <x:v>158.7400399501</x:v>
      </x:c>
      <x:c r="K21" s="31" t="n">
        <x:v>2976.8538616713</x:v>
      </x:c>
      <x:c r="L21" s="31" t="n">
        <x:v>0</x:v>
      </x:c>
      <x:c r="M21" s="31" t="n">
        <x:v>3135.5939016213997</x:v>
      </x:c>
      <x:c r="N21" s="24" t="str">
        <x:v>sparidae</x:v>
      </x:c>
      <x:c r="O21" s="32" t="n">
        <x:v>3.31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Sparidae</x:v>
      </x:c>
      <x:c r="T21" s="32" t="n">
        <x:f>IF(O21="","",(1/'Metadata'!$B$5)^(O21-1))</x:f>
        <x:v>204.17379446695296</x:v>
      </x:c>
      <x:c r="U21" s="31" t="n">
        <x:f>IF(T21="","",I21*T21)</x:f>
        <x:v>640206.1048014788</x:v>
      </x:c>
    </x:row>
    <x:row r="22" ht="18" customHeight="1">
      <x:c r="A22" s="24" t="str">
        <x:v>EEZ_024</x:v>
      </x:c>
      <x:c r="B22" s="24" t="str">
        <x:v>Angola</x:v>
      </x:c>
      <x:c r="C22" s="24" t="str">
        <x:v>EEZ</x:v>
      </x:c>
      <x:c r="D22" s="30" t="n">
        <x:v>2019</x:v>
      </x:c>
      <x:c r="E22" s="24" t="str">
        <x:v>Lutjanus</x:v>
      </x:c>
      <x:c r="F22" s="24" t="str">
        <x:v>Snappers</x:v>
      </x:c>
      <x:c r="G22" s="24" t="str">
        <x:v>Medium reef assoc. fish (30 - 89 cm)</x:v>
      </x:c>
      <x:c r="H22" s="24" t="str">
        <x:v>Perch-likes</x:v>
      </x:c>
      <x:c r="I22" s="31" t="n">
        <x:v>2976.8538616713</x:v>
      </x:c>
      <x:c r="J22" s="31" t="n">
        <x:v>0</x:v>
      </x:c>
      <x:c r="K22" s="31" t="n">
        <x:v>2976.8538616713</x:v>
      </x:c>
      <x:c r="L22" s="31" t="n">
        <x:v>0</x:v>
      </x:c>
      <x:c r="M22" s="31" t="n">
        <x:v>2976.8538616713</x:v>
      </x:c>
      <x:c r="N22" s="24" t="str">
        <x:v>lutjanus</x:v>
      </x:c>
      <x:c r="O22" s="32" t="n">
        <x:v>4.02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Lutjanus</x:v>
      </x:c>
      <x:c r="T22" s="32" t="n">
        <x:f>IF(O22="","",(1/'Metadata'!$B$5)^(O22-1))</x:f>
        <x:v>1047.1285480508984</x:v>
      </x:c>
      <x:c r="U22" s="31" t="n">
        <x:f>IF(T22="","",I22*T22)</x:f>
        <x:v>3117148.661931578</x:v>
      </x:c>
    </x:row>
    <x:row r="23" ht="18" customHeight="1">
      <x:c r="A23" s="24" t="str">
        <x:v>EEZ_024</x:v>
      </x:c>
      <x:c r="B23" s="24" t="str">
        <x:v>Angola</x:v>
      </x:c>
      <x:c r="C23" s="24" t="str">
        <x:v>EEZ</x:v>
      </x:c>
      <x:c r="D23" s="30" t="n">
        <x:v>2019</x:v>
      </x:c>
      <x:c r="E23" s="24" t="str">
        <x:v>Sardinops sagax</x:v>
      </x:c>
      <x:c r="F23" s="24" t="str">
        <x:v>South American pilchard</x:v>
      </x:c>
      <x:c r="G23" s="24" t="str">
        <x:v>Medium pelagics (30 - 89 cm)</x:v>
      </x:c>
      <x:c r="H23" s="24" t="str">
        <x:v>Herring-likes</x:v>
      </x:c>
      <x:c r="I23" s="31" t="n">
        <x:v>2585.6277495405</x:v>
      </x:c>
      <x:c r="J23" s="31" t="n">
        <x:v>2585.6277495405</x:v>
      </x:c>
      <x:c r="K23" s="31" t="n">
        <x:v>0</x:v>
      </x:c>
      <x:c r="L23" s="31" t="n">
        <x:v>1062.8529585317</x:v>
      </x:c>
      <x:c r="M23" s="31" t="n">
        <x:v>1522.7747910087999</x:v>
      </x:c>
      <x:c r="N23" s="24" t="str">
        <x:v>sardinops sagax</x:v>
      </x:c>
      <x:c r="O23" s="32" t="n">
        <x:v>2.84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Sardinops sagax</x:v>
      </x:c>
      <x:c r="T23" s="32" t="n">
        <x:f>IF(O23="","",(1/'Metadata'!$B$5)^(O23-1))</x:f>
        <x:v>69.18309709189363</x:v>
      </x:c>
      <x:c r="U23" s="31" t="n">
        <x:f>IF(T23="","",I23*T23)</x:f>
        <x:v>178881.73563995486</x:v>
      </x:c>
    </x:row>
    <x:row r="24" ht="18" customHeight="1">
      <x:c r="A24" s="24" t="str">
        <x:v>EEZ_024</x:v>
      </x:c>
      <x:c r="B24" s="24" t="str">
        <x:v>Angola</x:v>
      </x:c>
      <x:c r="C24" s="24" t="str">
        <x:v>EEZ</x:v>
      </x:c>
      <x:c r="D24" s="30" t="n">
        <x:v>2019</x:v>
      </x:c>
      <x:c r="E24" s="24" t="str">
        <x:v>Epinephelus</x:v>
      </x:c>
      <x:c r="F24" s="24" t="str">
        <x:v>Seabasses, hinds</x:v>
      </x:c>
      <x:c r="G24" s="24" t="str">
        <x:v>Medium reef assoc. fish (30 - 89 cm)</x:v>
      </x:c>
      <x:c r="H24" s="24" t="str">
        <x:v>Perch-likes</x:v>
      </x:c>
      <x:c r="I24" s="31" t="n">
        <x:v>2491.2311977045997</x:v>
      </x:c>
      <x:c r="J24" s="31" t="n">
        <x:v>2491.2311977045997</x:v>
      </x:c>
      <x:c r="K24" s="31" t="n">
        <x:v>0</x:v>
      </x:c>
      <x:c r="L24" s="31" t="n">
        <x:v>9.1142096217</x:v>
      </x:c>
      <x:c r="M24" s="31" t="n">
        <x:v>2482.1169880828998</x:v>
      </x:c>
      <x:c r="N24" s="24" t="str">
        <x:v>epinephelus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Epinephelus</x:v>
      </x:c>
      <x:c r="T24" s="32" t="n">
        <x:f>IF(O24="","",(1/'Metadata'!$B$5)^(O24-1))</x:f>
        <x:v>691.8309709189363</x:v>
      </x:c>
      <x:c r="U24" s="31" t="n">
        <x:f>IF(T24="","",I24*T24)</x:f>
        <x:v>1723510.8982915177</x:v>
      </x:c>
    </x:row>
    <x:row r="25" ht="18" customHeight="1">
      <x:c r="A25" s="24" t="str">
        <x:v>EEZ_024</x:v>
      </x:c>
      <x:c r="B25" s="24" t="str">
        <x:v>Angola</x:v>
      </x:c>
      <x:c r="C25" s="24" t="str">
        <x:v>EEZ</x:v>
      </x:c>
      <x:c r="D25" s="30" t="n">
        <x:v>2019</x:v>
      </x:c>
      <x:c r="E25" s="24" t="str">
        <x:v>Ethmalosa fimbriata</x:v>
      </x:c>
      <x:c r="F25" s="24" t="str">
        <x:v>Bonga shad</x:v>
      </x:c>
      <x:c r="G25" s="24" t="str">
        <x:v>Medium pelagics (30 - 89 cm)</x:v>
      </x:c>
      <x:c r="H25" s="24" t="str">
        <x:v>Herring-likes</x:v>
      </x:c>
      <x:c r="I25" s="31" t="n">
        <x:v>2470.7887048237</x:v>
      </x:c>
      <x:c r="J25" s="31" t="n">
        <x:v>0</x:v>
      </x:c>
      <x:c r="K25" s="31" t="n">
        <x:v>2470.7887048237</x:v>
      </x:c>
      <x:c r="L25" s="31" t="n">
        <x:v>0</x:v>
      </x:c>
      <x:c r="M25" s="31" t="n">
        <x:v>2470.7887048237</x:v>
      </x:c>
      <x:c r="N25" s="24" t="str">
        <x:v>ethmalosa fimbriata</x:v>
      </x:c>
      <x:c r="O25" s="32" t="n">
        <x:v>2.5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Ethmalosa fimbriata</x:v>
      </x:c>
      <x:c r="T25" s="32" t="n">
        <x:f>IF(O25="","",(1/'Metadata'!$B$5)^(O25-1))</x:f>
        <x:v>31.622776601683793</x:v>
      </x:c>
      <x:c r="U25" s="31" t="n">
        <x:f>IF(T25="","",I25*T25)</x:f>
        <x:v>78133.1992426035</x:v>
      </x:c>
    </x:row>
    <x:row r="26" ht="18" customHeight="1">
      <x:c r="A26" s="24" t="str">
        <x:v>EEZ_024</x:v>
      </x:c>
      <x:c r="B26" s="24" t="str">
        <x:v>Angola</x:v>
      </x:c>
      <x:c r="C26" s="24" t="str">
        <x:v>EEZ</x:v>
      </x:c>
      <x:c r="D26" s="30" t="n">
        <x:v>2019</x:v>
      </x:c>
      <x:c r="E26" s="24" t="str">
        <x:v>Chondrichthyes</x:v>
      </x:c>
      <x:c r="F26" s="24" t="str">
        <x:v>Sharks, rays, chimaeras</x:v>
      </x:c>
      <x:c r="G26" s="24" t="str">
        <x:v>Large sharks (&gt;=90 cm)</x:v>
      </x:c>
      <x:c r="H26" s="24" t="str">
        <x:v>Sharks &amp; rays</x:v>
      </x:c>
      <x:c r="I26" s="31" t="n">
        <x:v>2400.5125600334</x:v>
      </x:c>
      <x:c r="J26" s="31" t="n">
        <x:v>2400.5125600334</x:v>
      </x:c>
      <x:c r="K26" s="31" t="n">
        <x:v>0</x:v>
      </x:c>
      <x:c r="L26" s="31" t="n">
        <x:v>521.0140529167</x:v>
      </x:c>
      <x:c r="M26" s="31" t="n">
        <x:v>1879.4985071167</x:v>
      </x:c>
      <x:c r="N26" s="24" t="str">
        <x:v>chondrichthyes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Chondrichthyes</x:v>
      </x:c>
      <x:c r="T26" s="32" t="n">
        <x:f>IF(O26="","",(1/'Metadata'!$B$5)^(O26-1))</x:f>
        <x:v>1000</x:v>
      </x:c>
      <x:c r="U26" s="31" t="n">
        <x:f>IF(T26="","",I26*T26)</x:f>
        <x:v>2400512.5600334</x:v>
      </x:c>
    </x:row>
    <x:row r="27" ht="18" customHeight="1">
      <x:c r="A27" s="24" t="str">
        <x:v>EEZ_024</x:v>
      </x:c>
      <x:c r="B27" s="24" t="str">
        <x:v>Angola</x:v>
      </x:c>
      <x:c r="C27" s="24" t="str">
        <x:v>EEZ</x:v>
      </x:c>
      <x:c r="D27" s="30" t="n">
        <x:v>2019</x:v>
      </x:c>
      <x:c r="E27" s="24" t="str">
        <x:v>Brachydeuterus auritus</x:v>
      </x:c>
      <x:c r="F27" s="24" t="str">
        <x:v>Bigeye grunt</x:v>
      </x:c>
      <x:c r="G27" s="24" t="str">
        <x:v>Small demersals (&lt;30 cm)</x:v>
      </x:c>
      <x:c r="H27" s="24" t="str">
        <x:v>Perch-likes</x:v>
      </x:c>
      <x:c r="I27" s="31" t="n">
        <x:v>2355.7749600934</x:v>
      </x:c>
      <x:c r="J27" s="31" t="n">
        <x:v>2355.3354570358997</x:v>
      </x:c>
      <x:c r="K27" s="31" t="n">
        <x:v>0.4395030575</x:v>
      </x:c>
      <x:c r="L27" s="31" t="n">
        <x:v>1229.7242650355001</x:v>
      </x:c>
      <x:c r="M27" s="31" t="n">
        <x:v>1126.0506950579</x:v>
      </x:c>
      <x:c r="N27" s="24" t="str">
        <x:v>brachydeuterus auritus</x:v>
      </x:c>
      <x:c r="O27" s="32" t="n">
        <x:v>3.03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Brachydeuterus auritus</x:v>
      </x:c>
      <x:c r="T27" s="32" t="n">
        <x:f>IF(O27="","",(1/'Metadata'!$B$5)^(O27-1))</x:f>
        <x:v>107.1519305237606</x:v>
      </x:c>
      <x:c r="U27" s="31" t="n">
        <x:f>IF(T27="","",I27*T27)</x:f>
        <x:v>252425.83485354288</x:v>
      </x:c>
    </x:row>
    <x:row r="28" ht="18" customHeight="1">
      <x:c r="A28" s="24" t="str">
        <x:v>EEZ_024</x:v>
      </x:c>
      <x:c r="B28" s="24" t="str">
        <x:v>Angola</x:v>
      </x:c>
      <x:c r="C28" s="24" t="str">
        <x:v>EEZ</x:v>
      </x:c>
      <x:c r="D28" s="30" t="n">
        <x:v>2019</x:v>
      </x:c>
      <x:c r="E28" s="24" t="str">
        <x:v>Umbrina canariensis</x:v>
      </x:c>
      <x:c r="F28" s="24" t="str">
        <x:v>Canary drum</x:v>
      </x:c>
      <x:c r="G28" s="24" t="str">
        <x:v>Medium demersals (30 - 89 cm)</x:v>
      </x:c>
      <x:c r="H28" s="24" t="str">
        <x:v>Perch-likes</x:v>
      </x:c>
      <x:c r="I28" s="31" t="n">
        <x:v>2164.0870702162</x:v>
      </x:c>
      <x:c r="J28" s="31" t="n">
        <x:v>2164.0870702162</x:v>
      </x:c>
      <x:c r="K28" s="31" t="n">
        <x:v>0</x:v>
      </x:c>
      <x:c r="L28" s="31" t="n">
        <x:v>6.6656188023</x:v>
      </x:c>
      <x:c r="M28" s="31" t="n">
        <x:v>2157.4214514139</x:v>
      </x:c>
      <x:c r="N28" s="24" t="str">
        <x:v>umbrina canariensis</x:v>
      </x:c>
      <x:c r="O28" s="32" t="n">
        <x:v>3.37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Umbrina canariensis</x:v>
      </x:c>
      <x:c r="T28" s="32" t="n">
        <x:f>IF(O28="","",(1/'Metadata'!$B$5)^(O28-1))</x:f>
        <x:v>234.42288153199226</x:v>
      </x:c>
      <x:c r="U28" s="31" t="n">
        <x:f>IF(T28="","",I28*T28)</x:f>
        <x:v>507311.5268862085</x:v>
      </x:c>
    </x:row>
    <x:row r="29" ht="18" customHeight="1">
      <x:c r="A29" s="24" t="str">
        <x:v>EEZ_024</x:v>
      </x:c>
      <x:c r="B29" s="24" t="str">
        <x:v>Angola</x:v>
      </x:c>
      <x:c r="C29" s="24" t="str">
        <x:v>EEZ</x:v>
      </x:c>
      <x:c r="D29" s="30" t="n">
        <x:v>2019</x:v>
      </x:c>
      <x:c r="E29" s="24" t="str">
        <x:v>Dasyatidae</x:v>
      </x:c>
      <x:c r="F29" s="24" t="str">
        <x:v>Whiptail stingrays</x:v>
      </x:c>
      <x:c r="G29" s="24" t="str">
        <x:v>Large rays (&gt;=90 cm)</x:v>
      </x:c>
      <x:c r="H29" s="24" t="str">
        <x:v>Sharks &amp; rays</x:v>
      </x:c>
      <x:c r="I29" s="31" t="n">
        <x:v>1733.1537074438</x:v>
      </x:c>
      <x:c r="J29" s="31" t="n">
        <x:v>1733.1537074438</x:v>
      </x:c>
      <x:c r="K29" s="31" t="n">
        <x:v>0</x:v>
      </x:c>
      <x:c r="L29" s="31" t="n">
        <x:v>1733.1537074438</x:v>
      </x:c>
      <x:c r="M29" s="31" t="n">
        <x:v>0</x:v>
      </x:c>
      <x:c r="N29" s="24" t="str">
        <x:v>dasyatidae</x:v>
      </x:c>
      <x:c r="O29" s="32" t="n">
        <x:v>3.38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Dasyatidae</x:v>
      </x:c>
      <x:c r="T29" s="32" t="n">
        <x:f>IF(O29="","",(1/'Metadata'!$B$5)^(O29-1))</x:f>
        <x:v>239.88329190194898</x:v>
      </x:c>
      <x:c r="U29" s="31" t="n">
        <x:f>IF(T29="","",I29*T29)</x:f>
        <x:v>415754.61671368615</x:v>
      </x:c>
    </x:row>
    <x:row r="30" ht="18" customHeight="1">
      <x:c r="A30" s="24" t="str">
        <x:v>EEZ_024</x:v>
      </x:c>
      <x:c r="B30" s="24" t="str">
        <x:v>Angola</x:v>
      </x:c>
      <x:c r="C30" s="24" t="str">
        <x:v>EEZ</x:v>
      </x:c>
      <x:c r="D30" s="30" t="n">
        <x:v>2019</x:v>
      </x:c>
      <x:c r="E30" s="24" t="str">
        <x:v>Polynemidae</x:v>
      </x:c>
      <x:c r="F30" s="24" t="str">
        <x:v>Threadfins</x:v>
      </x:c>
      <x:c r="G30" s="24" t="str">
        <x:v>Small demersals (&lt;30 cm)</x:v>
      </x:c>
      <x:c r="H30" s="24" t="str">
        <x:v>Perch-likes</x:v>
      </x:c>
      <x:c r="I30" s="31" t="n">
        <x:v>1703.2577761743</x:v>
      </x:c>
      <x:c r="J30" s="31" t="n">
        <x:v>1703.2577761743</x:v>
      </x:c>
      <x:c r="K30" s="31" t="n">
        <x:v>0</x:v>
      </x:c>
      <x:c r="L30" s="31" t="n">
        <x:v>1703.2577761743</x:v>
      </x:c>
      <x:c r="M30" s="31" t="n">
        <x:v>0</x:v>
      </x:c>
      <x:c r="N30" s="24" t="str">
        <x:v>polynemidae</x:v>
      </x:c>
      <x:c r="O30" s="32" t="n">
        <x:v>3.62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Polynemidae</x:v>
      </x:c>
      <x:c r="T30" s="32" t="n">
        <x:f>IF(O30="","",(1/'Metadata'!$B$5)^(O30-1))</x:f>
        <x:v>416.8693834703355</x:v>
      </x:c>
      <x:c r="U30" s="31" t="n">
        <x:f>IF(T30="","",I30*T30)</x:f>
        <x:v>710036.0190448351</x:v>
      </x:c>
    </x:row>
    <x:row r="31" ht="18" customHeight="1">
      <x:c r="A31" s="24" t="str">
        <x:v>EEZ_024</x:v>
      </x:c>
      <x:c r="B31" s="24" t="str">
        <x:v>Angola</x:v>
      </x:c>
      <x:c r="C31" s="24" t="str">
        <x:v>EEZ</x:v>
      </x:c>
      <x:c r="D31" s="30" t="n">
        <x:v>2019</x:v>
      </x:c>
      <x:c r="E31" s="24" t="str">
        <x:v>Plectorhinchus mediterraneus</x:v>
      </x:c>
      <x:c r="F31" s="24" t="str">
        <x:v>Rubberlip grunt</x:v>
      </x:c>
      <x:c r="G31" s="24" t="str">
        <x:v>Medium demersals (30 - 89 cm)</x:v>
      </x:c>
      <x:c r="H31" s="24" t="str">
        <x:v>Perch-likes</x:v>
      </x:c>
      <x:c r="I31" s="31" t="n">
        <x:v>1659.5549632551001</x:v>
      </x:c>
      <x:c r="J31" s="31" t="n">
        <x:v>1659.5549632551001</x:v>
      </x:c>
      <x:c r="K31" s="31" t="n">
        <x:v>0</x:v>
      </x:c>
      <x:c r="L31" s="31" t="n">
        <x:v>0</x:v>
      </x:c>
      <x:c r="M31" s="31" t="n">
        <x:v>1659.5549632551001</x:v>
      </x:c>
      <x:c r="N31" s="24" t="str">
        <x:v>plectorhinchus mediterraneus</x:v>
      </x:c>
      <x:c r="O31" s="32" t="n">
        <x:v>3.49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Plectorhinchus mediterraneus</x:v>
      </x:c>
      <x:c r="T31" s="32" t="n">
        <x:f>IF(O31="","",(1/'Metadata'!$B$5)^(O31-1))</x:f>
        <x:v>309.0295432513592</x:v>
      </x:c>
      <x:c r="U31" s="31" t="n">
        <x:f>IF(T31="","",I31*T31)</x:f>
        <x:v>512851.5122952498</x:v>
      </x:c>
    </x:row>
    <x:row r="32" ht="18" customHeight="1">
      <x:c r="A32" s="24" t="str">
        <x:v>EEZ_024</x:v>
      </x:c>
      <x:c r="B32" s="24" t="str">
        <x:v>Angola</x:v>
      </x:c>
      <x:c r="C32" s="24" t="str">
        <x:v>EEZ</x:v>
      </x:c>
      <x:c r="D32" s="30" t="n">
        <x:v>2019</x:v>
      </x:c>
      <x:c r="E32" s="24" t="str">
        <x:v>Euthynnus alletteratus</x:v>
      </x:c>
      <x:c r="F32" s="24" t="str">
        <x:v>Little tunny </x:v>
      </x:c>
      <x:c r="G32" s="24" t="str">
        <x:v>Large pelagics (&gt;=90 cm)</x:v>
      </x:c>
      <x:c r="H32" s="24" t="str">
        <x:v>Tuna &amp; billfishes</x:v>
      </x:c>
      <x:c r="I32" s="31" t="n">
        <x:v>1529.0374999872</x:v>
      </x:c>
      <x:c r="J32" s="31" t="n">
        <x:v>1529.0374999872</x:v>
      </x:c>
      <x:c r="K32" s="31" t="n">
        <x:v>0</x:v>
      </x:c>
      <x:c r="L32" s="31" t="n">
        <x:v>223.0398988929</x:v>
      </x:c>
      <x:c r="M32" s="31" t="n">
        <x:v>1305.9976010942999</x:v>
      </x:c>
      <x:c r="N32" s="24" t="str">
        <x:v>euthynnus alletteratus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Euthynnus alletteratus</x:v>
      </x:c>
      <x:c r="T32" s="32" t="n">
        <x:f>IF(O32="","",(1/'Metadata'!$B$5)^(O32-1))</x:f>
        <x:v>3090.295432513592</x:v>
      </x:c>
      <x:c r="U32" s="31" t="n">
        <x:f>IF(T32="","",I32*T32)</x:f>
        <x:v>4725177.602352445</x:v>
      </x:c>
    </x:row>
    <x:row r="33" ht="18" customHeight="1">
      <x:c r="A33" s="24" t="str">
        <x:v>EEZ_024</x:v>
      </x:c>
      <x:c r="B33" s="24" t="str">
        <x:v>Angola</x:v>
      </x:c>
      <x:c r="C33" s="24" t="str">
        <x:v>EEZ</x:v>
      </x:c>
      <x:c r="D33" s="30" t="n">
        <x:v>2019</x:v>
      </x:c>
      <x:c r="E33" s="24" t="str">
        <x:v>Teuthida</x:v>
      </x:c>
      <x:c r="F33" s="24" t="str">
        <x:v>Squids</x:v>
      </x:c>
      <x:c r="G33" s="24" t="str">
        <x:v>Cephalopods</x:v>
      </x:c>
      <x:c r="H33" s="24" t="str">
        <x:v>Other fishes &amp; inverts</x:v>
      </x:c>
      <x:c r="I33" s="31" t="n">
        <x:v>1436.4486506888</x:v>
      </x:c>
      <x:c r="J33" s="31" t="n">
        <x:v>1436.4486506888</x:v>
      </x:c>
      <x:c r="K33" s="31" t="n">
        <x:v>0</x:v>
      </x:c>
      <x:c r="L33" s="31" t="n">
        <x:v>1436.4486506888</x:v>
      </x:c>
      <x:c r="M33" s="31" t="n">
        <x:v>0</x:v>
      </x:c>
      <x:c r="N33" s="24" t="str">
        <x:v>teuthida</x:v>
      </x:c>
      <x:c r="O33" s="32" t="n">
        <x:v>4.13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Teuthida</x:v>
      </x:c>
      <x:c r="T33" s="32" t="n">
        <x:f>IF(O33="","",(1/'Metadata'!$B$5)^(O33-1))</x:f>
        <x:v>1348.9628825916532</x:v>
      </x:c>
      <x:c r="U33" s="31" t="n">
        <x:f>IF(T33="","",I33*T33)</x:f>
        <x:v>1937715.9125280543</x:v>
      </x:c>
    </x:row>
    <x:row r="34" ht="18" customHeight="1">
      <x:c r="A34" s="24" t="str">
        <x:v>EEZ_024</x:v>
      </x:c>
      <x:c r="B34" s="24" t="str">
        <x:v>Angola</x:v>
      </x:c>
      <x:c r="C34" s="24" t="str">
        <x:v>EEZ</x:v>
      </x:c>
      <x:c r="D34" s="30" t="n">
        <x:v>2019</x:v>
      </x:c>
      <x:c r="E34" s="24" t="str">
        <x:v>Aristeus varidens</x:v>
      </x:c>
      <x:c r="F34" s="24" t="str">
        <x:v>Striped red shrimp</x:v>
      </x:c>
      <x:c r="G34" s="24" t="str">
        <x:v>Shrimps</x:v>
      </x:c>
      <x:c r="H34" s="24" t="str">
        <x:v>Crustaceans</x:v>
      </x:c>
      <x:c r="I34" s="31" t="n">
        <x:v>1316.3122651552</x:v>
      </x:c>
      <x:c r="J34" s="31" t="n">
        <x:v>1316.3122651552</x:v>
      </x:c>
      <x:c r="K34" s="31" t="n">
        <x:v>0</x:v>
      </x:c>
      <x:c r="L34" s="31" t="n">
        <x:v>1316.3122651552</x:v>
      </x:c>
      <x:c r="M34" s="31" t="n">
        <x:v>0</x:v>
      </x:c>
      <x:c r="N34" s="24" t="str">
        <x:v>aristeus varidens</x:v>
      </x:c>
      <x:c r="O34" s="32" t="n">
        <x:v>3.77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Aristeus varidens</x:v>
      </x:c>
      <x:c r="T34" s="32" t="n">
        <x:f>IF(O34="","",(1/'Metadata'!$B$5)^(O34-1))</x:f>
        <x:v>588.843655355589</x:v>
      </x:c>
      <x:c r="U34" s="31" t="n">
        <x:f>IF(T34="","",I34*T34)</x:f>
        <x:v>775102.1258033833</x:v>
      </x:c>
    </x:row>
    <x:row r="35" ht="18" customHeight="1">
      <x:c r="A35" s="24" t="str">
        <x:v>EEZ_024</x:v>
      </x:c>
      <x:c r="B35" s="24" t="str">
        <x:v>Angola</x:v>
      </x:c>
      <x:c r="C35" s="24" t="str">
        <x:v>EEZ</x:v>
      </x:c>
      <x:c r="D35" s="30" t="n">
        <x:v>2019</x:v>
      </x:c>
      <x:c r="E35" s="24" t="str">
        <x:v>Galeoides decadactylus</x:v>
      </x:c>
      <x:c r="F35" s="24" t="str">
        <x:v>Lesser African threadfin</x:v>
      </x:c>
      <x:c r="G35" s="24" t="str">
        <x:v>Medium demersals (30 - 89 cm)</x:v>
      </x:c>
      <x:c r="H35" s="24" t="str">
        <x:v>Perch-likes</x:v>
      </x:c>
      <x:c r="I35" s="31" t="n">
        <x:v>1291.8333056134</x:v>
      </x:c>
      <x:c r="J35" s="31" t="n">
        <x:v>1291.5666888604999</x:v>
      </x:c>
      <x:c r="K35" s="31" t="n">
        <x:v>0.2666167529</x:v>
      </x:c>
      <x:c r="L35" s="31" t="n">
        <x:v>0</x:v>
      </x:c>
      <x:c r="M35" s="31" t="n">
        <x:v>1291.8333056134</x:v>
      </x:c>
      <x:c r="N35" s="24" t="str">
        <x:v>galeoides decadactylus</x:v>
      </x:c>
      <x:c r="O35" s="32" t="n">
        <x:v>3.57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Galeoides decadactylus</x:v>
      </x:c>
      <x:c r="T35" s="32" t="n">
        <x:f>IF(O35="","",(1/'Metadata'!$B$5)^(O35-1))</x:f>
        <x:v>371.5352290971724</x:v>
      </x:c>
      <x:c r="U35" s="31" t="n">
        <x:f>IF(T35="","",I35*T35)</x:f>
        <x:v>479961.5831564321</x:v>
      </x:c>
    </x:row>
    <x:row r="36" ht="18" customHeight="1">
      <x:c r="A36" s="24" t="str">
        <x:v>EEZ_024</x:v>
      </x:c>
      <x:c r="B36" s="24" t="str">
        <x:v>Angola</x:v>
      </x:c>
      <x:c r="C36" s="24" t="str">
        <x:v>EEZ</x:v>
      </x:c>
      <x:c r="D36" s="30" t="n">
        <x:v>2019</x:v>
      </x:c>
      <x:c r="E36" s="24" t="str">
        <x:v>Pagrus</x:v>
      </x:c>
      <x:c r="F36" s="24" t="str">
        <x:v>Subtropical seabreams</x:v>
      </x:c>
      <x:c r="G36" s="24" t="str">
        <x:v>Medium benthopelagics (30 - 89 cm)</x:v>
      </x:c>
      <x:c r="H36" s="24" t="str">
        <x:v>Perch-likes</x:v>
      </x:c>
      <x:c r="I36" s="31" t="n">
        <x:v>1230.8635102284</x:v>
      </x:c>
      <x:c r="J36" s="31" t="n">
        <x:v>1230.8635102284</x:v>
      </x:c>
      <x:c r="K36" s="31" t="n">
        <x:v>0</x:v>
      </x:c>
      <x:c r="L36" s="31" t="n">
        <x:v>1230.8635102284</x:v>
      </x:c>
      <x:c r="M36" s="31" t="n">
        <x:v>0</x:v>
      </x:c>
      <x:c r="N36" s="24" t="str">
        <x:v>pagrus</x:v>
      </x:c>
      <x:c r="O36" s="32" t="n">
        <x:v>3.55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Pagrus</x:v>
      </x:c>
      <x:c r="T36" s="32" t="n">
        <x:f>IF(O36="","",(1/'Metadata'!$B$5)^(O36-1))</x:f>
        <x:v>354.8133892335753</x:v>
      </x:c>
      <x:c r="U36" s="31" t="n">
        <x:f>IF(T36="","",I36*T36)</x:f>
        <x:v>436726.8537480741</x:v>
      </x:c>
    </x:row>
    <x:row r="37" ht="18" customHeight="1">
      <x:c r="A37" s="24" t="str">
        <x:v>EEZ_024</x:v>
      </x:c>
      <x:c r="B37" s="24" t="str">
        <x:v>Angola</x:v>
      </x:c>
      <x:c r="C37" s="24" t="str">
        <x:v>EEZ</x:v>
      </x:c>
      <x:c r="D37" s="30" t="n">
        <x:v>2019</x:v>
      </x:c>
      <x:c r="E37" s="24" t="str">
        <x:v>Sarda sarda</x:v>
      </x:c>
      <x:c r="F37" s="24" t="str">
        <x:v>Atlantic bonito</x:v>
      </x:c>
      <x:c r="G37" s="24" t="str">
        <x:v>Medium pelagics (30 - 89 cm)</x:v>
      </x:c>
      <x:c r="H37" s="24" t="str">
        <x:v>Tuna &amp; billfishes</x:v>
      </x:c>
      <x:c r="I37" s="31" t="n">
        <x:v>1010.3258861775</x:v>
      </x:c>
      <x:c r="J37" s="31" t="n">
        <x:v>1010.3258861775</x:v>
      </x:c>
      <x:c r="K37" s="31" t="n">
        <x:v>0</x:v>
      </x:c>
      <x:c r="L37" s="31" t="n">
        <x:v>0.1619952861</x:v>
      </x:c>
      <x:c r="M37" s="31" t="n">
        <x:v>1010.1638908914</x:v>
      </x:c>
      <x:c r="N37" s="24" t="str">
        <x:v>sarda sarda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Sarda sarda</x:v>
      </x:c>
      <x:c r="T37" s="32" t="n">
        <x:f>IF(O37="","",(1/'Metadata'!$B$5)^(O37-1))</x:f>
        <x:v>3162.2776601683795</x:v>
      </x:c>
      <x:c r="U37" s="31" t="n">
        <x:f>IF(T37="","",I37*T37)</x:f>
        <x:v>3194930.979348929</x:v>
      </x:c>
    </x:row>
    <x:row r="38" ht="18" customHeight="1">
      <x:c r="A38" s="24" t="str">
        <x:v>EEZ_024</x:v>
      </x:c>
      <x:c r="B38" s="24" t="str">
        <x:v>Angola</x:v>
      </x:c>
      <x:c r="C38" s="24" t="str">
        <x:v>EEZ</x:v>
      </x:c>
      <x:c r="D38" s="30" t="n">
        <x:v>2019</x:v>
      </x:c>
      <x:c r="E38" s="24" t="str">
        <x:v>Merluccius</x:v>
      </x:c>
      <x:c r="F38" s="24" t="str">
        <x:v>Hakes</x:v>
      </x:c>
      <x:c r="G38" s="24" t="str">
        <x:v>Medium bathydemersals (30 - 89 cm)</x:v>
      </x:c>
      <x:c r="H38" s="24" t="str">
        <x:v>Cod-likes</x:v>
      </x:c>
      <x:c r="I38" s="31" t="n">
        <x:v>995.6046780155999</x:v>
      </x:c>
      <x:c r="J38" s="31" t="n">
        <x:v>995.6046780155999</x:v>
      </x:c>
      <x:c r="K38" s="31" t="n">
        <x:v>0</x:v>
      </x:c>
      <x:c r="L38" s="31" t="n">
        <x:v>995.6046780155999</x:v>
      </x:c>
      <x:c r="M38" s="31" t="n">
        <x:v>0</x:v>
      </x:c>
      <x:c r="N38" s="24" t="str">
        <x:v>merluccius</x:v>
      </x:c>
      <x:c r="O38" s="32" t="n">
        <x:v>4.27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Merluccius</x:v>
      </x:c>
      <x:c r="T38" s="32" t="n">
        <x:f>IF(O38="","",(1/'Metadata'!$B$5)^(O38-1))</x:f>
        <x:v>1862.0871366628655</x:v>
      </x:c>
      <x:c r="U38" s="31" t="n">
        <x:f>IF(T38="","",I38*T38)</x:f>
        <x:v>1853902.6641342225</x:v>
      </x:c>
    </x:row>
    <x:row r="39" ht="18" customHeight="1">
      <x:c r="A39" s="24" t="str">
        <x:v>EEZ_024</x:v>
      </x:c>
      <x:c r="B39" s="24" t="str">
        <x:v>Angola</x:v>
      </x:c>
      <x:c r="C39" s="24" t="str">
        <x:v>EEZ</x:v>
      </x:c>
      <x:c r="D39" s="30" t="n">
        <x:v>2019</x:v>
      </x:c>
      <x:c r="E39" s="24" t="str">
        <x:v>Lithognathus mormyrus</x:v>
      </x:c>
      <x:c r="F39" s="24" t="str">
        <x:v>Sand steenbras</x:v>
      </x:c>
      <x:c r="G39" s="24" t="str">
        <x:v>Medium benthopelagics (30 - 89 cm)</x:v>
      </x:c>
      <x:c r="H39" s="24" t="str">
        <x:v>Perch-likes</x:v>
      </x:c>
      <x:c r="I39" s="31" t="n">
        <x:v>957.506917312</x:v>
      </x:c>
      <x:c r="J39" s="31" t="n">
        <x:v>957.506917312</x:v>
      </x:c>
      <x:c r="K39" s="31" t="n">
        <x:v>0</x:v>
      </x:c>
      <x:c r="L39" s="31" t="n">
        <x:v>452.4249720985</x:v>
      </x:c>
      <x:c r="M39" s="31" t="n">
        <x:v>505.08194521350003</x:v>
      </x:c>
      <x:c r="N39" s="24" t="str">
        <x:v>lithognathus mormyrus</x:v>
      </x:c>
      <x:c r="O39" s="32" t="n">
        <x:v>3.42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Lithognathus mormyrus</x:v>
      </x:c>
      <x:c r="T39" s="32" t="n">
        <x:f>IF(O39="","",(1/'Metadata'!$B$5)^(O39-1))</x:f>
        <x:v>263.02679918953817</x:v>
      </x:c>
      <x:c r="U39" s="31" t="n">
        <x:f>IF(T39="","",I39*T39)</x:f>
        <x:v>251849.97966241717</x:v>
      </x:c>
    </x:row>
    <x:row r="40" ht="18" customHeight="1">
      <x:c r="A40" s="24" t="str">
        <x:v>EEZ_024</x:v>
      </x:c>
      <x:c r="B40" s="24" t="str">
        <x:v>Angola</x:v>
      </x:c>
      <x:c r="C40" s="24" t="str">
        <x:v>EEZ</x:v>
      </x:c>
      <x:c r="D40" s="30" t="n">
        <x:v>2019</x:v>
      </x:c>
      <x:c r="E40" s="24" t="str">
        <x:v>Selene dorsalis</x:v>
      </x:c>
      <x:c r="F40" s="24" t="str">
        <x:v>African moonfish</x:v>
      </x:c>
      <x:c r="G40" s="24" t="str">
        <x:v>Small demersals (&lt;30 cm)</x:v>
      </x:c>
      <x:c r="H40" s="24" t="str">
        <x:v>Perch-likes</x:v>
      </x:c>
      <x:c r="I40" s="31" t="n">
        <x:v>923.5784142565</x:v>
      </x:c>
      <x:c r="J40" s="31" t="n">
        <x:v>923.5784142565</x:v>
      </x:c>
      <x:c r="K40" s="31" t="n">
        <x:v>0</x:v>
      </x:c>
      <x:c r="L40" s="31" t="n">
        <x:v>0</x:v>
      </x:c>
      <x:c r="M40" s="31" t="n">
        <x:v>923.5784142565</x:v>
      </x:c>
      <x:c r="N40" s="24" t="str">
        <x:v>selene dorsalis</x:v>
      </x:c>
      <x:c r="O40" s="32" t="n">
        <x:v>4.08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Selene dorsalis</x:v>
      </x:c>
      <x:c r="T40" s="32" t="n">
        <x:f>IF(O40="","",(1/'Metadata'!$B$5)^(O40-1))</x:f>
        <x:v>1202.2644346174131</x:v>
      </x:c>
      <x:c r="U40" s="31" t="n">
        <x:f>IF(T40="","",I40*T40)</x:f>
        <x:v>1110385.480040938</x:v>
      </x:c>
    </x:row>
    <x:row r="41" ht="18" customHeight="1">
      <x:c r="A41" s="24" t="str">
        <x:v>EEZ_024</x:v>
      </x:c>
      <x:c r="B41" s="24" t="str">
        <x:v>Angola</x:v>
      </x:c>
      <x:c r="C41" s="24" t="str">
        <x:v>EEZ</x:v>
      </x:c>
      <x:c r="D41" s="30" t="n">
        <x:v>2019</x:v>
      </x:c>
      <x:c r="E41" s="24" t="str">
        <x:v>Haemulidae</x:v>
      </x:c>
      <x:c r="F41" s="24" t="str">
        <x:v>Grunts, sweetlips, bonnetmouths</x:v>
      </x:c>
      <x:c r="G41" s="24" t="str">
        <x:v>Medium demersals (30 - 89 cm)</x:v>
      </x:c>
      <x:c r="H41" s="24" t="str">
        <x:v>Perch-likes</x:v>
      </x:c>
      <x:c r="I41" s="31" t="n">
        <x:v>810.5342414667999</x:v>
      </x:c>
      <x:c r="J41" s="31" t="n">
        <x:v>810.5342414667999</x:v>
      </x:c>
      <x:c r="K41" s="31" t="n">
        <x:v>0</x:v>
      </x:c>
      <x:c r="L41" s="31" t="n">
        <x:v>810.5342414667999</x:v>
      </x:c>
      <x:c r="M41" s="31" t="n">
        <x:v>0</x:v>
      </x:c>
      <x:c r="N41" s="24" t="str">
        <x:v>haemulidae</x:v>
      </x:c>
      <x:c r="O41" s="32" t="n">
        <x:v>3.36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Haemulidae</x:v>
      </x:c>
      <x:c r="T41" s="32" t="n">
        <x:f>IF(O41="","",(1/'Metadata'!$B$5)^(O41-1))</x:f>
        <x:v>229.08676527677724</x:v>
      </x:c>
      <x:c r="U41" s="31" t="n">
        <x:f>IF(T41="","",I41*T41)</x:f>
        <x:v>185682.66752369548</x:v>
      </x:c>
    </x:row>
    <x:row r="42" ht="18" customHeight="1">
      <x:c r="A42" s="24" t="str">
        <x:v>EEZ_024</x:v>
      </x:c>
      <x:c r="B42" s="24" t="str">
        <x:v>Angola</x:v>
      </x:c>
      <x:c r="C42" s="24" t="str">
        <x:v>EEZ</x:v>
      </x:c>
      <x:c r="D42" s="30" t="n">
        <x:v>2019</x:v>
      </x:c>
      <x:c r="E42" s="24" t="str">
        <x:v>Rajidae</x:v>
      </x:c>
      <x:c r="F42" s="24" t="str">
        <x:v>Stingrays</x:v>
      </x:c>
      <x:c r="G42" s="24" t="str">
        <x:v>Large rays (&gt;=90 cm)</x:v>
      </x:c>
      <x:c r="H42" s="24" t="str">
        <x:v>Sharks &amp; rays</x:v>
      </x:c>
      <x:c r="I42" s="31" t="n">
        <x:v>728.7610926126</x:v>
      </x:c>
      <x:c r="J42" s="31" t="n">
        <x:v>728.7610926126</x:v>
      </x:c>
      <x:c r="K42" s="31" t="n">
        <x:v>0</x:v>
      </x:c>
      <x:c r="L42" s="31" t="n">
        <x:v>0</x:v>
      </x:c>
      <x:c r="M42" s="31" t="n">
        <x:v>728.7610926126</x:v>
      </x:c>
      <x:c r="N42" s="24" t="str">
        <x:v>rajidae</x:v>
      </x:c>
      <x:c r="O42" s="32" t="n">
        <x:v>3.82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Rajidae</x:v>
      </x:c>
      <x:c r="T42" s="32" t="n">
        <x:f>IF(O42="","",(1/'Metadata'!$B$5)^(O42-1))</x:f>
        <x:v>660.6934480075957</x:v>
      </x:c>
      <x:c r="U42" s="31" t="n">
        <x:f>IF(T42="","",I42*T42)</x:f>
        <x:v>481487.6790520015</x:v>
      </x:c>
    </x:row>
    <x:row r="43" ht="18" customHeight="1">
      <x:c r="A43" s="24" t="str">
        <x:v>EEZ_024</x:v>
      </x:c>
      <x:c r="B43" s="24" t="str">
        <x:v>Angola</x:v>
      </x:c>
      <x:c r="C43" s="24" t="str">
        <x:v>EEZ</x:v>
      </x:c>
      <x:c r="D43" s="30" t="n">
        <x:v>2019</x:v>
      </x:c>
      <x:c r="E43" s="24" t="str">
        <x:v>Chaceon maritae</x:v>
      </x:c>
      <x:c r="F43" s="24" t="str">
        <x:v>West African geryon</x:v>
      </x:c>
      <x:c r="G43" s="24" t="str">
        <x:v>Lobsters, crabs</x:v>
      </x:c>
      <x:c r="H43" s="24" t="str">
        <x:v>Crustaceans</x:v>
      </x:c>
      <x:c r="I43" s="31" t="n">
        <x:v>700.4920836538</x:v>
      </x:c>
      <x:c r="J43" s="31" t="n">
        <x:v>700.4920836538</x:v>
      </x:c>
      <x:c r="K43" s="31" t="n">
        <x:v>0</x:v>
      </x:c>
      <x:c r="L43" s="31" t="n">
        <x:v>700.4920836538</x:v>
      </x:c>
      <x:c r="M43" s="31" t="n">
        <x:v>0</x:v>
      </x:c>
      <x:c r="N43" s="24" t="str">
        <x:v>chaceon maritae</x:v>
      </x:c>
      <x:c r="O43" s="32" t="n">
        <x:v>2.85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Chaceon maritae</x:v>
      </x:c>
      <x:c r="T43" s="32" t="n">
        <x:f>IF(O43="","",(1/'Metadata'!$B$5)^(O43-1))</x:f>
        <x:v>70.79457843841381</x:v>
      </x:c>
      <x:c r="U43" s="31" t="n">
        <x:f>IF(T43="","",I43*T43)</x:f>
        <x:v>49591.04176171687</x:v>
      </x:c>
    </x:row>
    <x:row r="44" ht="18" customHeight="1">
      <x:c r="A44" s="24" t="str">
        <x:v>EEZ_024</x:v>
      </x:c>
      <x:c r="B44" s="24" t="str">
        <x:v>Angola</x:v>
      </x:c>
      <x:c r="C44" s="24" t="str">
        <x:v>EEZ</x:v>
      </x:c>
      <x:c r="D44" s="30" t="n">
        <x:v>2019</x:v>
      </x:c>
      <x:c r="E44" s="24" t="str">
        <x:v>Seriola lalandi</x:v>
      </x:c>
      <x:c r="F44" s="24" t="str">
        <x:v>Yellowtail amberjack</x:v>
      </x:c>
      <x:c r="G44" s="24" t="str">
        <x:v>Large benthopelagics (&gt;=90 cm)</x:v>
      </x:c>
      <x:c r="H44" s="24" t="str">
        <x:v>Perch-likes</x:v>
      </x:c>
      <x:c r="I44" s="31" t="n">
        <x:v>599.292593244</x:v>
      </x:c>
      <x:c r="J44" s="31" t="n">
        <x:v>599.292593244</x:v>
      </x:c>
      <x:c r="K44" s="31" t="n">
        <x:v>0</x:v>
      </x:c>
      <x:c r="L44" s="31" t="n">
        <x:v>411.7043945164</x:v>
      </x:c>
      <x:c r="M44" s="31" t="n">
        <x:v>187.5881987276</x:v>
      </x:c>
      <x:c r="N44" s="24" t="str">
        <x:v>seriola lalandi</x:v>
      </x:c>
      <x:c r="O44" s="32" t="n">
        <x:v>4.16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Seriola lalandi</x:v>
      </x:c>
      <x:c r="T44" s="32" t="n">
        <x:f>IF(O44="","",(1/'Metadata'!$B$5)^(O44-1))</x:f>
        <x:v>1445.439770745928</x:v>
      </x:c>
      <x:c r="U44" s="31" t="n">
        <x:f>IF(T44="","",I44*T44)</x:f>
        <x:v>866241.3485883401</x:v>
      </x:c>
    </x:row>
    <x:row r="45" ht="18" customHeight="1">
      <x:c r="A45" s="24" t="str">
        <x:v>EEZ_024</x:v>
      </x:c>
      <x:c r="B45" s="24" t="str">
        <x:v>Angola</x:v>
      </x:c>
      <x:c r="C45" s="24" t="str">
        <x:v>EEZ</x:v>
      </x:c>
      <x:c r="D45" s="30" t="n">
        <x:v>2019</x:v>
      </x:c>
      <x:c r="E45" s="24" t="str">
        <x:v>Caranx</x:v>
      </x:c>
      <x:c r="F45" s="24" t="str">
        <x:v>Jacks</x:v>
      </x:c>
      <x:c r="G45" s="24" t="str">
        <x:v>Medium reef assoc. fish (30 - 89 cm)</x:v>
      </x:c>
      <x:c r="H45" s="24" t="str">
        <x:v>Perch-likes</x:v>
      </x:c>
      <x:c r="I45" s="31" t="n">
        <x:v>584.4519654101</x:v>
      </x:c>
      <x:c r="J45" s="31" t="n">
        <x:v>584.4519654101</x:v>
      </x:c>
      <x:c r="K45" s="31" t="n">
        <x:v>0</x:v>
      </x:c>
      <x:c r="L45" s="31" t="n">
        <x:v>0</x:v>
      </x:c>
      <x:c r="M45" s="31" t="n">
        <x:v>584.4519654101</x:v>
      </x:c>
      <x:c r="N45" s="24" t="str">
        <x:v>caranx</x:v>
      </x:c>
      <x:c r="O45" s="32" t="n">
        <x:v>4.12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Caranx</x:v>
      </x:c>
      <x:c r="T45" s="32" t="n">
        <x:f>IF(O45="","",(1/'Metadata'!$B$5)^(O45-1))</x:f>
        <x:v>1318.2567385564075</x:v>
      </x:c>
      <x:c r="U45" s="31" t="n">
        <x:f>IF(T45="","",I45*T45)</x:f>
        <x:v>770457.7417644007</x:v>
      </x:c>
    </x:row>
    <x:row r="46" ht="18" customHeight="1">
      <x:c r="A46" s="24" t="str">
        <x:v>EEZ_024</x:v>
      </x:c>
      <x:c r="B46" s="24" t="str">
        <x:v>Angola</x:v>
      </x:c>
      <x:c r="C46" s="24" t="str">
        <x:v>EEZ</x:v>
      </x:c>
      <x:c r="D46" s="30" t="n">
        <x:v>2019</x:v>
      </x:c>
      <x:c r="E46" s="24" t="str">
        <x:v>Thunnus albacares</x:v>
      </x:c>
      <x:c r="F46" s="24" t="str">
        <x:v>Yellowfin tuna</x:v>
      </x:c>
      <x:c r="G46" s="24" t="str">
        <x:v>Large pelagics (&gt;=90 cm)</x:v>
      </x:c>
      <x:c r="H46" s="24" t="str">
        <x:v>Tuna &amp; billfishes</x:v>
      </x:c>
      <x:c r="I46" s="31" t="n">
        <x:v>500.22409523609997</x:v>
      </x:c>
      <x:c r="J46" s="31" t="n">
        <x:v>500.22409523609997</x:v>
      </x:c>
      <x:c r="K46" s="31" t="n">
        <x:v>0</x:v>
      </x:c>
      <x:c r="L46" s="31" t="n">
        <x:v>500.22409523609997</x:v>
      </x:c>
      <x:c r="M46" s="31" t="n">
        <x:v>0</x:v>
      </x:c>
      <x:c r="N46" s="24" t="str">
        <x:v>thunnus albacares</x:v>
      </x:c>
      <x:c r="O46" s="32" t="n">
        <x:v>4.41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albacares</x:v>
      </x:c>
      <x:c r="T46" s="32" t="n">
        <x:f>IF(O46="","",(1/'Metadata'!$B$5)^(O46-1))</x:f>
        <x:v>2570.3957827688646</x:v>
      </x:c>
      <x:c r="U46" s="31" t="n">
        <x:f>IF(T46="","",I46*T46)</x:f>
        <x:v>1285773.9048342423</x:v>
      </x:c>
    </x:row>
    <x:row r="47" ht="18" customHeight="1">
      <x:c r="A47" s="24" t="str">
        <x:v>EEZ_024</x:v>
      </x:c>
      <x:c r="B47" s="24" t="str">
        <x:v>Angola</x:v>
      </x:c>
      <x:c r="C47" s="24" t="str">
        <x:v>EEZ</x:v>
      </x:c>
      <x:c r="D47" s="30" t="n">
        <x:v>2019</x:v>
      </x:c>
      <x:c r="E47" s="24" t="str">
        <x:v>Sphyraena</x:v>
      </x:c>
      <x:c r="F47" s="24" t="str">
        <x:v>Barracudas, sennets</x:v>
      </x:c>
      <x:c r="G47" s="24" t="str">
        <x:v>Large pelagics (&gt;=90 cm)</x:v>
      </x:c>
      <x:c r="H47" s="24" t="str">
        <x:v>Perch-likes</x:v>
      </x:c>
      <x:c r="I47" s="31" t="n">
        <x:v>483.3479124542</x:v>
      </x:c>
      <x:c r="J47" s="31" t="n">
        <x:v>483.3479124542</x:v>
      </x:c>
      <x:c r="K47" s="31" t="n">
        <x:v>0</x:v>
      </x:c>
      <x:c r="L47" s="31" t="n">
        <x:v>7.127792594600001</x:v>
      </x:c>
      <x:c r="M47" s="31" t="n">
        <x:v>476.2201198596</x:v>
      </x:c>
      <x:c r="N47" s="24" t="str">
        <x:v>sphyraena</x:v>
      </x:c>
      <x:c r="O47" s="32" t="n">
        <x:v>4.4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Sphyraena</x:v>
      </x:c>
      <x:c r="T47" s="32" t="n">
        <x:f>IF(O47="","",(1/'Metadata'!$B$5)^(O47-1))</x:f>
        <x:v>2511.886431509582</x:v>
      </x:c>
      <x:c r="U47" s="31" t="n">
        <x:f>IF(T47="","",I47*T47)</x:f>
        <x:v>1214115.0629921863</x:v>
      </x:c>
    </x:row>
    <x:row r="48" ht="18" customHeight="1">
      <x:c r="A48" s="24" t="str">
        <x:v>EEZ_024</x:v>
      </x:c>
      <x:c r="B48" s="24" t="str">
        <x:v>Angola</x:v>
      </x:c>
      <x:c r="C48" s="24" t="str">
        <x:v>EEZ</x:v>
      </x:c>
      <x:c r="D48" s="30" t="n">
        <x:v>2019</x:v>
      </x:c>
      <x:c r="E48" s="24" t="str">
        <x:v>Mugilidae</x:v>
      </x:c>
      <x:c r="F48" s="24" t="str">
        <x:v>Mullets, grey mullets</x:v>
      </x:c>
      <x:c r="G48" s="24" t="str">
        <x:v>Medium reef assoc. fish (30 - 89 cm)</x:v>
      </x:c>
      <x:c r="H48" s="24" t="str">
        <x:v>Perch-likes</x:v>
      </x:c>
      <x:c r="I48" s="31" t="n">
        <x:v>454.09838454830003</x:v>
      </x:c>
      <x:c r="J48" s="31" t="n">
        <x:v>454.09838454830003</x:v>
      </x:c>
      <x:c r="K48" s="31" t="n">
        <x:v>0</x:v>
      </x:c>
      <x:c r="L48" s="31" t="n">
        <x:v>13.9555464895</x:v>
      </x:c>
      <x:c r="M48" s="31" t="n">
        <x:v>440.1428380588</x:v>
      </x:c>
      <x:c r="N48" s="24" t="str">
        <x:v>mugilidae</x:v>
      </x:c>
      <x:c r="O48" s="32" t="n">
        <x:v>2.53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Mugilidae</x:v>
      </x:c>
      <x:c r="T48" s="32" t="n">
        <x:f>IF(O48="","",(1/'Metadata'!$B$5)^(O48-1))</x:f>
        <x:v>33.88441561392024</x:v>
      </x:c>
      <x:c r="U48" s="31" t="n">
        <x:f>IF(T48="","",I48*T48)</x:f>
        <x:v>15386.858391644375</x:v>
      </x:c>
    </x:row>
    <x:row r="49" ht="18" customHeight="1">
      <x:c r="A49" s="24" t="str">
        <x:v>EEZ_024</x:v>
      </x:c>
      <x:c r="B49" s="24" t="str">
        <x:v>Angola</x:v>
      </x:c>
      <x:c r="C49" s="24" t="str">
        <x:v>EEZ</x:v>
      </x:c>
      <x:c r="D49" s="30" t="n">
        <x:v>2019</x:v>
      </x:c>
      <x:c r="E49" s="24" t="str">
        <x:v>Thunnus obesus</x:v>
      </x:c>
      <x:c r="F49" s="24" t="str">
        <x:v>Bigeye tuna</x:v>
      </x:c>
      <x:c r="G49" s="24" t="str">
        <x:v>Large pelagics (&gt;=90 cm)</x:v>
      </x:c>
      <x:c r="H49" s="24" t="str">
        <x:v>Tuna &amp; billfishes</x:v>
      </x:c>
      <x:c r="I49" s="31" t="n">
        <x:v>442.212642759</x:v>
      </x:c>
      <x:c r="J49" s="31" t="n">
        <x:v>442.212642759</x:v>
      </x:c>
      <x:c r="K49" s="31" t="n">
        <x:v>0</x:v>
      </x:c>
      <x:c r="L49" s="31" t="n">
        <x:v>442.212642759</x:v>
      </x:c>
      <x:c r="M49" s="31" t="n">
        <x:v>0</x:v>
      </x:c>
      <x:c r="N49" s="24" t="str">
        <x:v>thunnus obesus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obesus</x:v>
      </x:c>
      <x:c r="T49" s="32" t="n">
        <x:f>IF(O49="","",(1/'Metadata'!$B$5)^(O49-1))</x:f>
        <x:v>3090.295432513592</x:v>
      </x:c>
      <x:c r="U49" s="31" t="n">
        <x:f>IF(T49="","",I49*T49)</x:f>
        <x:v>1366567.7101179024</x:v>
      </x:c>
    </x:row>
    <x:row r="50" ht="18" customHeight="1">
      <x:c r="A50" s="24" t="str">
        <x:v>EEZ_024</x:v>
      </x:c>
      <x:c r="B50" s="24" t="str">
        <x:v>Angola</x:v>
      </x:c>
      <x:c r="C50" s="24" t="str">
        <x:v>EEZ</x:v>
      </x:c>
      <x:c r="D50" s="30" t="n">
        <x:v>2019</x:v>
      </x:c>
      <x:c r="E50" s="24" t="str">
        <x:v>Marine pelagic fishes not identified</x:v>
      </x:c>
      <x:c r="F50" s="24" t="str">
        <x:v>Pelagic fishes</x:v>
      </x:c>
      <x:c r="G50" s="24" t="str">
        <x:v>Medium pelagics (30 - 89 cm)</x:v>
      </x:c>
      <x:c r="H50" s="24" t="str">
        <x:v>Other fishes &amp; inverts</x:v>
      </x:c>
      <x:c r="I50" s="31" t="n">
        <x:v>419.6625443356</x:v>
      </x:c>
      <x:c r="J50" s="31" t="n">
        <x:v>419.6625443356</x:v>
      </x:c>
      <x:c r="K50" s="31" t="n">
        <x:v>0</x:v>
      </x:c>
      <x:c r="L50" s="31" t="n">
        <x:v>419.6625443356</x:v>
      </x:c>
      <x:c r="M50" s="31" t="n">
        <x:v>0</x:v>
      </x:c>
      <x:c r="N50" s="24" t="str">
        <x:v>marine pelagic fishes not identified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Marine pelagic fishes not identified</x:v>
      </x:c>
      <x:c r="T50" s="32" t="n">
        <x:f>IF(O50="","",(1/'Metadata'!$B$5)^(O50-1))</x:f>
        <x:v>223.872113856834</x:v>
      </x:c>
      <x:c r="U50" s="31" t="n">
        <x:f>IF(T50="","",I50*T50)</x:f>
        <x:v>93950.7409069481</x:v>
      </x:c>
    </x:row>
    <x:row r="51" ht="18" customHeight="1">
      <x:c r="A51" s="24" t="str">
        <x:v>EEZ_024</x:v>
      </x:c>
      <x:c r="B51" s="24" t="str">
        <x:v>Angola</x:v>
      </x:c>
      <x:c r="C51" s="24" t="str">
        <x:v>EEZ</x:v>
      </x:c>
      <x:c r="D51" s="30" t="n">
        <x:v>2019</x:v>
      </x:c>
      <x:c r="E51" s="24" t="str">
        <x:v>Cephalopoda</x:v>
      </x:c>
      <x:c r="F51" s="24" t="str">
        <x:v>Squids, cuttlefishes, octopuses</x:v>
      </x:c>
      <x:c r="G51" s="24" t="str">
        <x:v>Cephalopods</x:v>
      </x:c>
      <x:c r="H51" s="24" t="str">
        <x:v>Other fishes &amp; inverts</x:v>
      </x:c>
      <x:c r="I51" s="31" t="n">
        <x:v>327.21150848369996</x:v>
      </x:c>
      <x:c r="J51" s="31" t="n">
        <x:v>295.91095795719997</x:v>
      </x:c>
      <x:c r="K51" s="31" t="n">
        <x:v>31.3005505265</x:v>
      </x:c>
      <x:c r="L51" s="31" t="n">
        <x:v>295.91095795719997</x:v>
      </x:c>
      <x:c r="M51" s="31" t="n">
        <x:v>31.3005505265</x:v>
      </x:c>
      <x:c r="N51" s="24" t="str">
        <x:v>cephalopoda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Cephalopoda</x:v>
      </x:c>
      <x:c r="T51" s="32" t="n">
        <x:f>IF(O51="","",(1/'Metadata'!$B$5)^(O51-1))</x:f>
        <x:v>645.6542290346556</x:v>
      </x:c>
      <x:c r="U51" s="31" t="n">
        <x:f>IF(T51="","",I51*T51)</x:f>
        <x:v>211265.49424130996</x:v>
      </x:c>
    </x:row>
    <x:row r="52" ht="18" customHeight="1">
      <x:c r="A52" s="24" t="str">
        <x:v>EEZ_024</x:v>
      </x:c>
      <x:c r="B52" s="24" t="str">
        <x:v>Angola</x:v>
      </x:c>
      <x:c r="C52" s="24" t="str">
        <x:v>EEZ</x:v>
      </x:c>
      <x:c r="D52" s="30" t="n">
        <x:v>2019</x:v>
      </x:c>
      <x:c r="E52" s="24" t="str">
        <x:v>Scomber colias</x:v>
      </x:c>
      <x:c r="F52" s="24" t="str">
        <x:v>Atlantic chub mackerel</x:v>
      </x:c>
      <x:c r="G52" s="24" t="str">
        <x:v>Medium pelagics (30 - 89 cm)</x:v>
      </x:c>
      <x:c r="H52" s="24" t="str">
        <x:v>Perch-likes</x:v>
      </x:c>
      <x:c r="I52" s="31" t="n">
        <x:v>322.66323384400005</x:v>
      </x:c>
      <x:c r="J52" s="31" t="n">
        <x:v>322.66323384400005</x:v>
      </x:c>
      <x:c r="K52" s="31" t="n">
        <x:v>0</x:v>
      </x:c>
      <x:c r="L52" s="31" t="n">
        <x:v>322.66323384400005</x:v>
      </x:c>
      <x:c r="M52" s="31" t="n">
        <x:v>0</x:v>
      </x:c>
      <x:c r="N52" s="24" t="str">
        <x:v>scomber colias</x:v>
      </x:c>
      <x:c r="O52" s="32" t="n">
        <x:v>3.91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Scomber colias</x:v>
      </x:c>
      <x:c r="T52" s="32" t="n">
        <x:f>IF(O52="","",(1/'Metadata'!$B$5)^(O52-1))</x:f>
        <x:v>812.8305161640995</x:v>
      </x:c>
      <x:c r="U52" s="31" t="n">
        <x:f>IF(T52="","",I52*T52)</x:f>
        <x:v>262270.5229125961</x:v>
      </x:c>
    </x:row>
    <x:row r="53" ht="18" customHeight="1">
      <x:c r="A53" s="24" t="str">
        <x:v>EEZ_024</x:v>
      </x:c>
      <x:c r="B53" s="24" t="str">
        <x:v>Angola</x:v>
      </x:c>
      <x:c r="C53" s="24" t="str">
        <x:v>EEZ</x:v>
      </x:c>
      <x:c r="D53" s="30" t="n">
        <x:v>2019</x:v>
      </x:c>
      <x:c r="E53" s="24" t="str">
        <x:v>Trachinotus</x:v>
      </x:c>
      <x:c r="F53" s="24" t="str">
        <x:v>Pompanos</x:v>
      </x:c>
      <x:c r="G53" s="24" t="str">
        <x:v>Medium pelagics (30 - 89 cm)</x:v>
      </x:c>
      <x:c r="H53" s="24" t="str">
        <x:v>Perch-likes</x:v>
      </x:c>
      <x:c r="I53" s="31" t="n">
        <x:v>281.4027981884</x:v>
      </x:c>
      <x:c r="J53" s="31" t="n">
        <x:v>281.4027981884</x:v>
      </x:c>
      <x:c r="K53" s="31" t="n">
        <x:v>0</x:v>
      </x:c>
      <x:c r="L53" s="31" t="n">
        <x:v>0</x:v>
      </x:c>
      <x:c r="M53" s="31" t="n">
        <x:v>281.4027981884</x:v>
      </x:c>
      <x:c r="N53" s="24" t="str">
        <x:v>trachinotus</x:v>
      </x:c>
      <x:c r="O53" s="32" t="n">
        <x:v>3.69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Trachinotus</x:v>
      </x:c>
      <x:c r="T53" s="32" t="n">
        <x:f>IF(O53="","",(1/'Metadata'!$B$5)^(O53-1))</x:f>
        <x:v>489.77881936844614</x:v>
      </x:c>
      <x:c r="U53" s="31" t="n">
        <x:f>IF(T53="","",I53*T53)</x:f>
        <x:v>137825.13026369168</x:v>
      </x:c>
    </x:row>
    <x:row r="54" ht="18" customHeight="1">
      <x:c r="A54" s="24" t="str">
        <x:v>EEZ_024</x:v>
      </x:c>
      <x:c r="B54" s="24" t="str">
        <x:v>Angola</x:v>
      </x:c>
      <x:c r="C54" s="24" t="str">
        <x:v>EEZ</x:v>
      </x:c>
      <x:c r="D54" s="30" t="n">
        <x:v>2019</x:v>
      </x:c>
      <x:c r="E54" s="24" t="str">
        <x:v>Auxis thazard</x:v>
      </x:c>
      <x:c r="F54" s="24" t="str">
        <x:v>Frigate tuna</x:v>
      </x:c>
      <x:c r="G54" s="24" t="str">
        <x:v>Medium pelagics (30 - 89 cm)</x:v>
      </x:c>
      <x:c r="H54" s="24" t="str">
        <x:v>Tuna &amp; billfishes</x:v>
      </x:c>
      <x:c r="I54" s="31" t="n">
        <x:v>267.56805275290003</x:v>
      </x:c>
      <x:c r="J54" s="31" t="n">
        <x:v>267.56805275290003</x:v>
      </x:c>
      <x:c r="K54" s="31" t="n">
        <x:v>0</x:v>
      </x:c>
      <x:c r="L54" s="31" t="n">
        <x:v>267.56805275290003</x:v>
      </x:c>
      <x:c r="M54" s="31" t="n">
        <x:v>0</x:v>
      </x:c>
      <x:c r="N54" s="24" t="str">
        <x:v>auxis thazard</x:v>
      </x:c>
      <x:c r="O54" s="32" t="n">
        <x:v>4.37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Auxis thazard</x:v>
      </x:c>
      <x:c r="T54" s="32" t="n">
        <x:f>IF(O54="","",(1/'Metadata'!$B$5)^(O54-1))</x:f>
        <x:v>2344.228815319923</x:v>
      </x:c>
      <x:c r="U54" s="31" t="n">
        <x:f>IF(T54="","",I54*T54)</x:f>
        <x:v>627240.7393223895</x:v>
      </x:c>
    </x:row>
    <x:row r="55" ht="18" customHeight="1">
      <x:c r="A55" s="24" t="str">
        <x:v>EEZ_024</x:v>
      </x:c>
      <x:c r="B55" s="24" t="str">
        <x:v>Angola</x:v>
      </x:c>
      <x:c r="C55" s="24" t="str">
        <x:v>EEZ</x:v>
      </x:c>
      <x:c r="D55" s="30" t="n">
        <x:v>2019</x:v>
      </x:c>
      <x:c r="E55" s="24" t="str">
        <x:v>Isurus oxyrinchus</x:v>
      </x:c>
      <x:c r="F55" s="24" t="str">
        <x:v>Shortfin mako</x:v>
      </x:c>
      <x:c r="G55" s="24" t="str">
        <x:v>Large sharks (&gt;=90 cm)</x:v>
      </x:c>
      <x:c r="H55" s="24" t="str">
        <x:v>Sharks &amp; rays</x:v>
      </x:c>
      <x:c r="I55" s="31" t="n">
        <x:v>208.77652057839998</x:v>
      </x:c>
      <x:c r="J55" s="31" t="n">
        <x:v>208.77652057839998</x:v>
      </x:c>
      <x:c r="K55" s="31" t="n">
        <x:v>0</x:v>
      </x:c>
      <x:c r="L55" s="31" t="n">
        <x:v>208.77652057839998</x:v>
      </x:c>
      <x:c r="M55" s="31" t="n">
        <x:v>0</x:v>
      </x:c>
      <x:c r="N55" s="24" t="str">
        <x:v>isurus oxyrinchus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Isurus oxyrinchus</x:v>
      </x:c>
      <x:c r="T55" s="32" t="n">
        <x:f>IF(O55="","",(1/'Metadata'!$B$5)^(O55-1))</x:f>
        <x:v>3162.2776601683795</x:v>
      </x:c>
      <x:c r="U55" s="31" t="n">
        <x:f>IF(T55="","",I55*T55)</x:f>
        <x:v>660209.3269927582</x:v>
      </x:c>
    </x:row>
    <x:row r="56" ht="18" customHeight="1">
      <x:c r="A56" s="24" t="str">
        <x:v>EEZ_024</x:v>
      </x:c>
      <x:c r="B56" s="24" t="str">
        <x:v>Angola</x:v>
      </x:c>
      <x:c r="C56" s="24" t="str">
        <x:v>EEZ</x:v>
      </x:c>
      <x:c r="D56" s="30" t="n">
        <x:v>2019</x:v>
      </x:c>
      <x:c r="E56" s="24" t="str">
        <x:v>Zenopsis conchifer</x:v>
      </x:c>
      <x:c r="F56" s="24" t="str">
        <x:v>Silvery John dory</x:v>
      </x:c>
      <x:c r="G56" s="24" t="str">
        <x:v>Medium benthopelagics (30 - 89 cm)</x:v>
      </x:c>
      <x:c r="H56" s="24" t="str">
        <x:v>Other fishes &amp; inverts</x:v>
      </x:c>
      <x:c r="I56" s="31" t="n">
        <x:v>207.5</x:v>
      </x:c>
      <x:c r="J56" s="31" t="n">
        <x:v>207.5</x:v>
      </x:c>
      <x:c r="K56" s="31" t="n">
        <x:v>0</x:v>
      </x:c>
      <x:c r="L56" s="31" t="n">
        <x:v>207.5</x:v>
      </x:c>
      <x:c r="M56" s="31" t="n">
        <x:v>0</x:v>
      </x:c>
      <x:c r="N56" s="24" t="str">
        <x:v>zenopsis conchifer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Zenopsis conchifer</x:v>
      </x:c>
      <x:c r="T56" s="32" t="n">
        <x:f>IF(O56="","",(1/'Metadata'!$B$5)^(O56-1))</x:f>
        <x:v>3162.2776601683795</x:v>
      </x:c>
      <x:c r="U56" s="31" t="n">
        <x:f>IF(T56="","",I56*T56)</x:f>
        <x:v>656172.6144849388</x:v>
      </x:c>
    </x:row>
    <x:row r="57" ht="18" customHeight="1">
      <x:c r="A57" s="24" t="str">
        <x:v>EEZ_024</x:v>
      </x:c>
      <x:c r="B57" s="24" t="str">
        <x:v>Angola</x:v>
      </x:c>
      <x:c r="C57" s="24" t="str">
        <x:v>EEZ</x:v>
      </x:c>
      <x:c r="D57" s="30" t="n">
        <x:v>2019</x:v>
      </x:c>
      <x:c r="E57" s="24" t="str">
        <x:v>Octopodidae</x:v>
      </x:c>
      <x:c r="F57" s="24" t="str">
        <x:v>Octopuses</x:v>
      </x:c>
      <x:c r="G57" s="24" t="str">
        <x:v>Cephalopods</x:v>
      </x:c>
      <x:c r="H57" s="24" t="str">
        <x:v>Other fishes &amp; inverts</x:v>
      </x:c>
      <x:c r="I57" s="31" t="n">
        <x:v>193.409699736</x:v>
      </x:c>
      <x:c r="J57" s="31" t="n">
        <x:v>193.409699736</x:v>
      </x:c>
      <x:c r="K57" s="31" t="n">
        <x:v>0</x:v>
      </x:c>
      <x:c r="L57" s="31" t="n">
        <x:v>193.409699736</x:v>
      </x:c>
      <x:c r="M57" s="31" t="n">
        <x:v>0</x:v>
      </x:c>
      <x:c r="N57" s="24" t="str">
        <x:v>octopodidae</x:v>
      </x:c>
      <x:c r="O57" s="32" t="n">
        <x:v>3.59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Octopodidae</x:v>
      </x:c>
      <x:c r="T57" s="32" t="n">
        <x:f>IF(O57="","",(1/'Metadata'!$B$5)^(O57-1))</x:f>
        <x:v>389.04514499428046</x:v>
      </x:c>
      <x:c r="U57" s="31" t="n">
        <x:f>IF(T57="","",I57*T57)</x:f>
        <x:v>75245.10467709237</x:v>
      </x:c>
    </x:row>
    <x:row r="58" ht="18" customHeight="1">
      <x:c r="A58" s="24" t="str">
        <x:v>EEZ_024</x:v>
      </x:c>
      <x:c r="B58" s="24" t="str">
        <x:v>Angola</x:v>
      </x:c>
      <x:c r="C58" s="24" t="str">
        <x:v>EEZ</x:v>
      </x:c>
      <x:c r="D58" s="30" t="n">
        <x:v>2019</x:v>
      </x:c>
      <x:c r="E58" s="24" t="str">
        <x:v>Cymbium</x:v>
      </x:c>
      <x:c r="F58" s="24" t="str">
        <x:v>Volutes</x:v>
      </x:c>
      <x:c r="G58" s="24" t="str">
        <x:v>Other demersal invertebrates</x:v>
      </x:c>
      <x:c r="H58" s="24" t="str">
        <x:v>Molluscs</x:v>
      </x:c>
      <x:c r="I58" s="31" t="n">
        <x:v>155.7164954853</x:v>
      </x:c>
      <x:c r="J58" s="31" t="n">
        <x:v>155.7164954853</x:v>
      </x:c>
      <x:c r="K58" s="31" t="n">
        <x:v>0</x:v>
      </x:c>
      <x:c r="L58" s="31" t="n">
        <x:v>155.7164954853</x:v>
      </x:c>
      <x:c r="M58" s="31" t="n">
        <x:v>0</x:v>
      </x:c>
      <x:c r="N58" s="24" t="str">
        <x:v>cymbium</x:v>
      </x:c>
      <x:c r="O58" s="32" t="n">
        <x:v>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Cymbium</x:v>
      </x:c>
      <x:c r="T58" s="32" t="n">
        <x:f>IF(O58="","",(1/'Metadata'!$B$5)^(O58-1))</x:f>
        <x:v>10</x:v>
      </x:c>
      <x:c r="U58" s="31" t="n">
        <x:f>IF(T58="","",I58*T58)</x:f>
        <x:v>1557.164954853</x:v>
      </x:c>
    </x:row>
    <x:row r="59" ht="18" customHeight="1">
      <x:c r="A59" s="24" t="str">
        <x:v>EEZ_024</x:v>
      </x:c>
      <x:c r="B59" s="24" t="str">
        <x:v>Angola</x:v>
      </x:c>
      <x:c r="C59" s="24" t="str">
        <x:v>EEZ</x:v>
      </x:c>
      <x:c r="D59" s="30" t="n">
        <x:v>2019</x:v>
      </x:c>
      <x:c r="E59" s="24" t="str">
        <x:v>Parapenaeus longirostris</x:v>
      </x:c>
      <x:c r="F59" s="24" t="str">
        <x:v>Deepwater rose shrimp</x:v>
      </x:c>
      <x:c r="G59" s="24" t="str">
        <x:v>Shrimps</x:v>
      </x:c>
      <x:c r="H59" s="24" t="str">
        <x:v>Crustaceans</x:v>
      </x:c>
      <x:c r="I59" s="31" t="n">
        <x:v>140.347436163</x:v>
      </x:c>
      <x:c r="J59" s="31" t="n">
        <x:v>140.347436163</x:v>
      </x:c>
      <x:c r="K59" s="31" t="n">
        <x:v>0</x:v>
      </x:c>
      <x:c r="L59" s="31" t="n">
        <x:v>140.347436163</x:v>
      </x:c>
      <x:c r="M59" s="31" t="n">
        <x:v>0</x:v>
      </x:c>
      <x:c r="N59" s="24" t="str">
        <x:v>parapenaeus longirostris</x:v>
      </x:c>
      <x:c r="O59" s="32" t="n">
        <x:v>3.3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Parapenaeus longirostris</x:v>
      </x:c>
      <x:c r="T59" s="32" t="n">
        <x:f>IF(O59="","",(1/'Metadata'!$B$5)^(O59-1))</x:f>
        <x:v>199.52623149688787</x:v>
      </x:c>
      <x:c r="U59" s="31" t="n">
        <x:f>IF(T59="","",I59*T59)</x:f>
        <x:v>28002.99503785343</x:v>
      </x:c>
    </x:row>
    <x:row r="60" ht="18" customHeight="1">
      <x:c r="A60" s="24" t="str">
        <x:v>EEZ_024</x:v>
      </x:c>
      <x:c r="B60" s="24" t="str">
        <x:v>Angola</x:v>
      </x:c>
      <x:c r="C60" s="24" t="str">
        <x:v>EEZ</x:v>
      </x:c>
      <x:c r="D60" s="30" t="n">
        <x:v>2019</x:v>
      </x:c>
      <x:c r="E60" s="24" t="str">
        <x:v>Trachurus</x:v>
      </x:c>
      <x:c r="F60" s="24" t="str">
        <x:v>Jacks, horse mackerels</x:v>
      </x:c>
      <x:c r="G60" s="24" t="str">
        <x:v>Medium pelagics (30 - 89 cm)</x:v>
      </x:c>
      <x:c r="H60" s="24" t="str">
        <x:v>Perch-likes</x:v>
      </x:c>
      <x:c r="I60" s="31" t="n">
        <x:v>116.9316016181</x:v>
      </x:c>
      <x:c r="J60" s="31" t="n">
        <x:v>116.9316016181</x:v>
      </x:c>
      <x:c r="K60" s="31" t="n">
        <x:v>0</x:v>
      </x:c>
      <x:c r="L60" s="31" t="n">
        <x:v>116.9316016181</x:v>
      </x:c>
      <x:c r="M60" s="31" t="n">
        <x:v>0</x:v>
      </x:c>
      <x:c r="N60" s="24" t="str">
        <x:v>trachurus</x:v>
      </x:c>
      <x:c r="O60" s="32" t="n">
        <x:v>3.69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Trachurus</x:v>
      </x:c>
      <x:c r="T60" s="32" t="n">
        <x:f>IF(O60="","",(1/'Metadata'!$B$5)^(O60-1))</x:f>
        <x:v>489.77881936844614</x:v>
      </x:c>
      <x:c r="U60" s="31" t="n">
        <x:f>IF(T60="","",I60*T60)</x:f>
        <x:v>57270.621787374504</x:v>
      </x:c>
    </x:row>
    <x:row r="61" ht="18" customHeight="1">
      <x:c r="A61" s="24" t="str">
        <x:v>EEZ_024</x:v>
      </x:c>
      <x:c r="B61" s="24" t="str">
        <x:v>Angola</x:v>
      </x:c>
      <x:c r="C61" s="24" t="str">
        <x:v>EEZ</x:v>
      </x:c>
      <x:c r="D61" s="30" t="n">
        <x:v>2019</x:v>
      </x:c>
      <x:c r="E61" s="24" t="str">
        <x:v>Prionace glauca</x:v>
      </x:c>
      <x:c r="F61" s="24" t="str">
        <x:v>Blue shark</x:v>
      </x:c>
      <x:c r="G61" s="24" t="str">
        <x:v>Large sharks (&gt;=90 cm)</x:v>
      </x:c>
      <x:c r="H61" s="24" t="str">
        <x:v>Sharks &amp; rays</x:v>
      </x:c>
      <x:c r="I61" s="31" t="n">
        <x:v>100.7422188371</x:v>
      </x:c>
      <x:c r="J61" s="31" t="n">
        <x:v>100.7422188371</x:v>
      </x:c>
      <x:c r="K61" s="31" t="n">
        <x:v>0</x:v>
      </x:c>
      <x:c r="L61" s="31" t="n">
        <x:v>100.7422188371</x:v>
      </x:c>
      <x:c r="M61" s="31" t="n">
        <x:v>0</x:v>
      </x:c>
      <x:c r="N61" s="24" t="str">
        <x:v>prionace glauca</x:v>
      </x:c>
      <x:c r="O61" s="32" t="n">
        <x:v>4.35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Prionace glauca</x:v>
      </x:c>
      <x:c r="T61" s="32" t="n">
        <x:f>IF(O61="","",(1/'Metadata'!$B$5)^(O61-1))</x:f>
        <x:v>2238.7211385683377</x:v>
      </x:c>
      <x:c r="U61" s="31" t="n">
        <x:f>IF(T61="","",I61*T61)</x:f>
        <x:v>225533.73485689313</x:v>
      </x:c>
    </x:row>
    <x:row r="62" ht="18" customHeight="1">
      <x:c r="A62" s="24" t="str">
        <x:v>EEZ_024</x:v>
      </x:c>
      <x:c r="B62" s="24" t="str">
        <x:v>Angola</x:v>
      </x:c>
      <x:c r="C62" s="24" t="str">
        <x:v>EEZ</x:v>
      </x:c>
      <x:c r="D62" s="30" t="n">
        <x:v>2019</x:v>
      </x:c>
      <x:c r="E62" s="24" t="str">
        <x:v>Pomadasys incisus</x:v>
      </x:c>
      <x:c r="F62" s="24" t="str">
        <x:v>Bastard grunt</x:v>
      </x:c>
      <x:c r="G62" s="24" t="str">
        <x:v>Medium demersals (30 - 89 cm)</x:v>
      </x:c>
      <x:c r="H62" s="24" t="str">
        <x:v>Perch-likes</x:v>
      </x:c>
      <x:c r="I62" s="31" t="n">
        <x:v>93.80093271599999</x:v>
      </x:c>
      <x:c r="J62" s="31" t="n">
        <x:v>93.80093271599999</x:v>
      </x:c>
      <x:c r="K62" s="31" t="n">
        <x:v>0</x:v>
      </x:c>
      <x:c r="L62" s="31" t="n">
        <x:v>0</x:v>
      </x:c>
      <x:c r="M62" s="31" t="n">
        <x:v>93.80093271599999</x:v>
      </x:c>
      <x:c r="N62" s="24" t="str">
        <x:v>pomadasys incisus</x:v>
      </x:c>
      <x:c r="O62" s="32" t="n">
        <x:v>3.8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Pomadasys incisus</x:v>
      </x:c>
      <x:c r="T62" s="32" t="n">
        <x:f>IF(O62="","",(1/'Metadata'!$B$5)^(O62-1))</x:f>
        <x:v>630.957344480193</x:v>
      </x:c>
      <x:c r="U62" s="31" t="n">
        <x:f>IF(T62="","",I62*T62)</x:f>
        <x:v>59184.38741625261</x:v>
      </x:c>
    </x:row>
    <x:row r="63" ht="18" customHeight="1">
      <x:c r="A63" s="24" t="str">
        <x:v>EEZ_024</x:v>
      </x:c>
      <x:c r="B63" s="24" t="str">
        <x:v>Angola</x:v>
      </x:c>
      <x:c r="C63" s="24" t="str">
        <x:v>EEZ</x:v>
      </x:c>
      <x:c r="D63" s="30" t="n">
        <x:v>2019</x:v>
      </x:c>
      <x:c r="E63" s="24" t="str">
        <x:v>Mollusca</x:v>
      </x:c>
      <x:c r="F63" s="24" t="str">
        <x:v>Clams, seasnails, squids, octopuses</x:v>
      </x:c>
      <x:c r="G63" s="24" t="str">
        <x:v>Other demersal invertebrates</x:v>
      </x:c>
      <x:c r="H63" s="24" t="str">
        <x:v>Molluscs</x:v>
      </x:c>
      <x:c r="I63" s="31" t="n">
        <x:v>87.79762562270001</x:v>
      </x:c>
      <x:c r="J63" s="31" t="n">
        <x:v>87.79762562270001</x:v>
      </x:c>
      <x:c r="K63" s="31" t="n">
        <x:v>0</x:v>
      </x:c>
      <x:c r="L63" s="31" t="n">
        <x:v>87.79762562270001</x:v>
      </x:c>
      <x:c r="M63" s="31" t="n">
        <x:v>0</x:v>
      </x:c>
      <x:c r="N63" s="24" t="str">
        <x:v>mollusca</x:v>
      </x:c>
      <x:c r="O63" s="32" t="n">
        <x:v>2.1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Mollusca</x:v>
      </x:c>
      <x:c r="T63" s="32" t="n">
        <x:f>IF(O63="","",(1/'Metadata'!$B$5)^(O63-1))</x:f>
        <x:v>12.589254117941675</x:v>
      </x:c>
      <x:c r="U63" s="31" t="n">
        <x:f>IF(T63="","",I63*T63)</x:f>
        <x:v>1105.3066199160776</x:v>
      </x:c>
    </x:row>
    <x:row r="64" ht="18" customHeight="1">
      <x:c r="A64" s="24" t="str">
        <x:v>EEZ_024</x:v>
      </x:c>
      <x:c r="B64" s="24" t="str">
        <x:v>Angola</x:v>
      </x:c>
      <x:c r="C64" s="24" t="str">
        <x:v>EEZ</x:v>
      </x:c>
      <x:c r="D64" s="30" t="n">
        <x:v>2019</x:v>
      </x:c>
      <x:c r="E64" s="24" t="str">
        <x:v>Scomberomorus tritor</x:v>
      </x:c>
      <x:c r="F64" s="24" t="str">
        <x:v>West African Spanish mackerel</x:v>
      </x:c>
      <x:c r="G64" s="24" t="str">
        <x:v>Medium pelagics (30 - 89 cm)</x:v>
      </x:c>
      <x:c r="H64" s="24" t="str">
        <x:v>Perch-likes</x:v>
      </x:c>
      <x:c r="I64" s="31" t="n">
        <x:v>74.031845815</x:v>
      </x:c>
      <x:c r="J64" s="31" t="n">
        <x:v>74.031845815</x:v>
      </x:c>
      <x:c r="K64" s="31" t="n">
        <x:v>0</x:v>
      </x:c>
      <x:c r="L64" s="31" t="n">
        <x:v>74.031845815</x:v>
      </x:c>
      <x:c r="M64" s="31" t="n">
        <x:v>0</x:v>
      </x:c>
      <x:c r="N64" s="24" t="str">
        <x:v>scomberomorus tritor</x:v>
      </x:c>
      <x:c r="O64" s="32" t="n">
        <x:v>4.26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Scomberomorus tritor</x:v>
      </x:c>
      <x:c r="T64" s="32" t="n">
        <x:f>IF(O64="","",(1/'Metadata'!$B$5)^(O64-1))</x:f>
        <x:v>1819.7008586099826</x:v>
      </x:c>
      <x:c r="U64" s="31" t="n">
        <x:f>IF(T64="","",I64*T64)</x:f>
        <x:v>134715.81339403734</x:v>
      </x:c>
    </x:row>
    <x:row r="65" ht="18" customHeight="1">
      <x:c r="A65" s="24" t="str">
        <x:v>EEZ_024</x:v>
      </x:c>
      <x:c r="B65" s="24" t="str">
        <x:v>Angola</x:v>
      </x:c>
      <x:c r="C65" s="24" t="str">
        <x:v>EEZ</x:v>
      </x:c>
      <x:c r="D65" s="30" t="n">
        <x:v>2019</x:v>
      </x:c>
      <x:c r="E65" s="24" t="str">
        <x:v>Pomatomus saltatrix</x:v>
      </x:c>
      <x:c r="F65" s="24" t="str">
        <x:v>Bluefish</x:v>
      </x:c>
      <x:c r="G65" s="24" t="str">
        <x:v>Large pelagics (&gt;=90 cm)</x:v>
      </x:c>
      <x:c r="H65" s="24" t="str">
        <x:v>Perch-likes</x:v>
      </x:c>
      <x:c r="I65" s="31" t="n">
        <x:v>72.2145975457</x:v>
      </x:c>
      <x:c r="J65" s="31" t="n">
        <x:v>72.2145975457</x:v>
      </x:c>
      <x:c r="K65" s="31" t="n">
        <x:v>0</x:v>
      </x:c>
      <x:c r="L65" s="31" t="n">
        <x:v>3.6448939406</x:v>
      </x:c>
      <x:c r="M65" s="31" t="n">
        <x:v>68.5697036051</x:v>
      </x:c>
      <x:c r="N65" s="24" t="str">
        <x:v>pomatomus saltatrix</x:v>
      </x:c>
      <x:c r="O65" s="32" t="n">
        <x:v>4.53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Pomatomus saltatrix</x:v>
      </x:c>
      <x:c r="T65" s="32" t="n">
        <x:f>IF(O65="","",(1/'Metadata'!$B$5)^(O65-1))</x:f>
        <x:v>3388.4415613920273</x:v>
      </x:c>
      <x:c r="U65" s="31" t="n">
        <x:f>IF(T65="","",I65*T65)</x:f>
        <x:v>244694.9436630486</x:v>
      </x:c>
    </x:row>
    <x:row r="66" ht="18" customHeight="1">
      <x:c r="A66" s="24" t="str">
        <x:v>EEZ_024</x:v>
      </x:c>
      <x:c r="B66" s="24" t="str">
        <x:v>Angola</x:v>
      </x:c>
      <x:c r="C66" s="24" t="str">
        <x:v>EEZ</x:v>
      </x:c>
      <x:c r="D66" s="30" t="n">
        <x:v>2019</x:v>
      </x:c>
      <x:c r="E66" s="24" t="str">
        <x:v>Lichia amia</x:v>
      </x:c>
      <x:c r="F66" s="24" t="str">
        <x:v>Leerfish</x:v>
      </x:c>
      <x:c r="G66" s="24" t="str">
        <x:v>Large pelagics (&gt;=90 cm)</x:v>
      </x:c>
      <x:c r="H66" s="24" t="str">
        <x:v>Perch-likes</x:v>
      </x:c>
      <x:c r="I66" s="31" t="n">
        <x:v>50.9374941214</x:v>
      </x:c>
      <x:c r="J66" s="31" t="n">
        <x:v>50.9374941214</x:v>
      </x:c>
      <x:c r="K66" s="31" t="n">
        <x:v>0</x:v>
      </x:c>
      <x:c r="L66" s="31" t="n">
        <x:v>0</x:v>
      </x:c>
      <x:c r="M66" s="31" t="n">
        <x:v>50.9374941214</x:v>
      </x:c>
      <x:c r="N66" s="24" t="str">
        <x:v>lichia amia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Lichia amia</x:v>
      </x:c>
      <x:c r="T66" s="32" t="n">
        <x:f>IF(O66="","",(1/'Metadata'!$B$5)^(O66-1))</x:f>
        <x:v>3162.2776601683795</x:v>
      </x:c>
      <x:c r="U66" s="31" t="n">
        <x:f>IF(T66="","",I66*T66)</x:f>
        <x:v>161078.49972506138</x:v>
      </x:c>
    </x:row>
    <x:row r="67" ht="18" customHeight="1">
      <x:c r="A67" s="24" t="str">
        <x:v>EEZ_024</x:v>
      </x:c>
      <x:c r="B67" s="24" t="str">
        <x:v>Angola</x:v>
      </x:c>
      <x:c r="C67" s="24" t="str">
        <x:v>EEZ</x:v>
      </x:c>
      <x:c r="D67" s="30" t="n">
        <x:v>2019</x:v>
      </x:c>
      <x:c r="E67" s="24" t="str">
        <x:v>Coryphaena</x:v>
      </x:c>
      <x:c r="F67" s="24" t="str">
        <x:v>Dolphinfishes</x:v>
      </x:c>
      <x:c r="G67" s="24" t="str">
        <x:v>Large pelagics (&gt;=90 cm)</x:v>
      </x:c>
      <x:c r="H67" s="24" t="str">
        <x:v>Perch-likes</x:v>
      </x:c>
      <x:c r="I67" s="31" t="n">
        <x:v>50.5081945452</x:v>
      </x:c>
      <x:c r="J67" s="31" t="n">
        <x:v>50.5081945452</x:v>
      </x:c>
      <x:c r="K67" s="31" t="n">
        <x:v>0</x:v>
      </x:c>
      <x:c r="L67" s="31" t="n">
        <x:v>0</x:v>
      </x:c>
      <x:c r="M67" s="31" t="n">
        <x:v>50.5081945452</x:v>
      </x:c>
      <x:c r="N67" s="24" t="str">
        <x:v>coryphaena</x:v>
      </x:c>
      <x:c r="O67" s="32" t="n">
        <x:v>4.49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Coryphaena</x:v>
      </x:c>
      <x:c r="T67" s="32" t="n">
        <x:f>IF(O67="","",(1/'Metadata'!$B$5)^(O67-1))</x:f>
        <x:v>3090.295432513592</x:v>
      </x:c>
      <x:c r="U67" s="31" t="n">
        <x:f>IF(T67="","",I67*T67)</x:f>
        <x:v>156085.24290753948</x:v>
      </x:c>
    </x:row>
    <x:row r="68" ht="18" customHeight="1">
      <x:c r="A68" s="24" t="str">
        <x:v>EEZ_024</x:v>
      </x:c>
      <x:c r="B68" s="24" t="str">
        <x:v>Angola</x:v>
      </x:c>
      <x:c r="C68" s="24" t="str">
        <x:v>EEZ</x:v>
      </x:c>
      <x:c r="D68" s="30" t="n">
        <x:v>2019</x:v>
      </x:c>
      <x:c r="E68" s="24" t="str">
        <x:v>Scombridae</x:v>
      </x:c>
      <x:c r="F68" s="24" t="str">
        <x:v>Mackerels, tunas, bonitos</x:v>
      </x:c>
      <x:c r="G68" s="24" t="str">
        <x:v>Medium pelagics (30 - 89 cm)</x:v>
      </x:c>
      <x:c r="H68" s="24" t="str">
        <x:v>Perch-likes</x:v>
      </x:c>
      <x:c r="I68" s="31" t="n">
        <x:v>38.8702086581</x:v>
      </x:c>
      <x:c r="J68" s="31" t="n">
        <x:v>38.8702086581</x:v>
      </x:c>
      <x:c r="K68" s="31" t="n">
        <x:v>0</x:v>
      </x:c>
      <x:c r="L68" s="31" t="n">
        <x:v>38.8702086581</x:v>
      </x:c>
      <x:c r="M68" s="31" t="n">
        <x:v>0</x:v>
      </x:c>
      <x:c r="N68" s="24" t="str">
        <x:v>scombridae</x:v>
      </x:c>
      <x:c r="O68" s="32" t="n">
        <x:v>4.26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Scombridae</x:v>
      </x:c>
      <x:c r="T68" s="32" t="n">
        <x:f>IF(O68="","",(1/'Metadata'!$B$5)^(O68-1))</x:f>
        <x:v>1819.7008586099826</x:v>
      </x:c>
      <x:c r="U68" s="31" t="n">
        <x:f>IF(T68="","",I68*T68)</x:f>
        <x:v>70732.15206949375</x:v>
      </x:c>
    </x:row>
    <x:row r="69" ht="18" customHeight="1">
      <x:c r="A69" s="24" t="str">
        <x:v>EEZ_024</x:v>
      </x:c>
      <x:c r="B69" s="24" t="str">
        <x:v>Angola</x:v>
      </x:c>
      <x:c r="C69" s="24" t="str">
        <x:v>EEZ</x:v>
      </x:c>
      <x:c r="D69" s="30" t="n">
        <x:v>2019</x:v>
      </x:c>
      <x:c r="E69" s="24" t="str">
        <x:v>Serranidae</x:v>
      </x:c>
      <x:c r="F69" s="24" t="str">
        <x:v>Basses, groupers, hinds</x:v>
      </x:c>
      <x:c r="G69" s="24" t="str">
        <x:v>Medium reef assoc. fish (30 - 89 cm)</x:v>
      </x:c>
      <x:c r="H69" s="24" t="str">
        <x:v>Perch-likes</x:v>
      </x:c>
      <x:c r="I69" s="31" t="n">
        <x:v>28.1342104464</x:v>
      </x:c>
      <x:c r="J69" s="31" t="n">
        <x:v>28.1342104464</x:v>
      </x:c>
      <x:c r="K69" s="31" t="n">
        <x:v>0</x:v>
      </x:c>
      <x:c r="L69" s="31" t="n">
        <x:v>28.1342104464</x:v>
      </x:c>
      <x:c r="M69" s="31" t="n">
        <x:v>0</x:v>
      </x:c>
      <x:c r="N69" s="24" t="str">
        <x:v>serranidae</x:v>
      </x:c>
      <x:c r="O69" s="32" t="n">
        <x:v>3.98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Serranidae</x:v>
      </x:c>
      <x:c r="T69" s="32" t="n">
        <x:f>IF(O69="","",(1/'Metadata'!$B$5)^(O69-1))</x:f>
        <x:v>954.992586021436</x:v>
      </x:c>
      <x:c r="U69" s="31" t="n">
        <x:f>IF(T69="","",I69*T69)</x:f>
        <x:v>26867.962389878834</x:v>
      </x:c>
    </x:row>
    <x:row r="70" ht="18" customHeight="1">
      <x:c r="A70" s="24" t="str">
        <x:v>EEZ_024</x:v>
      </x:c>
      <x:c r="B70" s="24" t="str">
        <x:v>Angola</x:v>
      </x:c>
      <x:c r="C70" s="24" t="str">
        <x:v>EEZ</x:v>
      </x:c>
      <x:c r="D70" s="30" t="n">
        <x:v>2019</x:v>
      </x:c>
      <x:c r="E70" s="24" t="str">
        <x:v>Chelidonichthys capensis</x:v>
      </x:c>
      <x:c r="F70" s="24" t="str">
        <x:v>Cape gurnard</x:v>
      </x:c>
      <x:c r="G70" s="24" t="str">
        <x:v>Medium demersals (30 - 89 cm)</x:v>
      </x:c>
      <x:c r="H70" s="24" t="str">
        <x:v>Scorpionfishes</x:v>
      </x:c>
      <x:c r="I70" s="31" t="n">
        <x:v>24.8425134269</x:v>
      </x:c>
      <x:c r="J70" s="31" t="n">
        <x:v>24.8425134269</x:v>
      </x:c>
      <x:c r="K70" s="31" t="n">
        <x:v>0</x:v>
      </x:c>
      <x:c r="L70" s="31" t="n">
        <x:v>24.8425134269</x:v>
      </x:c>
      <x:c r="M70" s="31" t="n">
        <x:v>0</x:v>
      </x:c>
      <x:c r="N70" s="24" t="str">
        <x:v>chelidonichthys capensis</x:v>
      </x:c>
      <x:c r="O70" s="32" t="n">
        <x:v>4.1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Chelidonichthys capensis</x:v>
      </x:c>
      <x:c r="T70" s="32" t="n">
        <x:f>IF(O70="","",(1/'Metadata'!$B$5)^(O70-1))</x:f>
        <x:v>1258.9254117941662</x:v>
      </x:c>
      <x:c r="U70" s="31" t="n">
        <x:f>IF(T70="","",I70*T70)</x:f>
        <x:v>31274.871445962184</x:v>
      </x:c>
    </x:row>
    <x:row r="71" ht="18" customHeight="1">
      <x:c r="A71" s="24" t="str">
        <x:v>EEZ_024</x:v>
      </x:c>
      <x:c r="B71" s="24" t="str">
        <x:v>Angola</x:v>
      </x:c>
      <x:c r="C71" s="24" t="str">
        <x:v>EEZ</x:v>
      </x:c>
      <x:c r="D71" s="30" t="n">
        <x:v>2019</x:v>
      </x:c>
      <x:c r="E71" s="24" t="str">
        <x:v>Lepidocybium flavobrunneum</x:v>
      </x:c>
      <x:c r="F71" s="24" t="str">
        <x:v>Escolar</x:v>
      </x:c>
      <x:c r="G71" s="24" t="str">
        <x:v>Large bathypelagics (&gt;=90 cm)</x:v>
      </x:c>
      <x:c r="H71" s="24" t="str">
        <x:v>Perch-likes</x:v>
      </x:c>
      <x:c r="I71" s="31" t="n">
        <x:v>21.906242931799998</x:v>
      </x:c>
      <x:c r="J71" s="31" t="n">
        <x:v>21.906242931799998</x:v>
      </x:c>
      <x:c r="K71" s="31" t="n">
        <x:v>0</x:v>
      </x:c>
      <x:c r="L71" s="31" t="n">
        <x:v>21.906242931799998</x:v>
      </x:c>
      <x:c r="M71" s="31" t="n">
        <x:v>0</x:v>
      </x:c>
      <x:c r="N71" s="24" t="str">
        <x:v>lepidocybium flavobrunneum</x:v>
      </x:c>
      <x:c r="O71" s="32" t="n">
        <x:v>4.34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Lepidocybium flavobrunneum</x:v>
      </x:c>
      <x:c r="T71" s="32" t="n">
        <x:f>IF(O71="","",(1/'Metadata'!$B$5)^(O71-1))</x:f>
        <x:v>2187.761623949552</x:v>
      </x:c>
      <x:c r="U71" s="31" t="n">
        <x:f>IF(T71="","",I71*T71)</x:f>
        <x:v>47925.637611108155</x:v>
      </x:c>
    </x:row>
    <x:row r="72" ht="18" customHeight="1">
      <x:c r="A72" s="24" t="str">
        <x:v>EEZ_024</x:v>
      </x:c>
      <x:c r="B72" s="24" t="str">
        <x:v>Angola</x:v>
      </x:c>
      <x:c r="C72" s="24" t="str">
        <x:v>EEZ</x:v>
      </x:c>
      <x:c r="D72" s="30" t="n">
        <x:v>2019</x:v>
      </x:c>
      <x:c r="E72" s="24" t="str">
        <x:v>Caranx hippos</x:v>
      </x:c>
      <x:c r="F72" s="24" t="str">
        <x:v>Crevalle jack</x:v>
      </x:c>
      <x:c r="G72" s="24" t="str">
        <x:v>Large reef assoc. fish (&gt;=90 cm)</x:v>
      </x:c>
      <x:c r="H72" s="24" t="str">
        <x:v>Perch-likes</x:v>
      </x:c>
      <x:c r="I72" s="31" t="n">
        <x:v>19.3697913054</x:v>
      </x:c>
      <x:c r="J72" s="31" t="n">
        <x:v>19.3697913054</x:v>
      </x:c>
      <x:c r="K72" s="31" t="n">
        <x:v>0</x:v>
      </x:c>
      <x:c r="L72" s="31" t="n">
        <x:v>6.6354177722</x:v>
      </x:c>
      <x:c r="M72" s="31" t="n">
        <x:v>12.7343735332</x:v>
      </x:c>
      <x:c r="N72" s="24" t="str">
        <x:v>caranx hippos</x:v>
      </x:c>
      <x:c r="O72" s="32" t="n">
        <x:v>3.56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Caranx hippos</x:v>
      </x:c>
      <x:c r="T72" s="32" t="n">
        <x:f>IF(O72="","",(1/'Metadata'!$B$5)^(O72-1))</x:f>
        <x:v>363.0780547701014</x:v>
      </x:c>
      <x:c r="U72" s="31" t="n">
        <x:f>IF(T72="","",I72*T72)</x:f>
        <x:v>7032.746148467455</x:v>
      </x:c>
    </x:row>
    <x:row r="73" ht="18" customHeight="1">
      <x:c r="A73" s="24" t="str">
        <x:v>EEZ_024</x:v>
      </x:c>
      <x:c r="B73" s="24" t="str">
        <x:v>Angola</x:v>
      </x:c>
      <x:c r="C73" s="24" t="str">
        <x:v>EEZ</x:v>
      </x:c>
      <x:c r="D73" s="30" t="n">
        <x:v>2019</x:v>
      </x:c>
      <x:c r="E73" s="24" t="str">
        <x:v>Serranus cabrilla</x:v>
      </x:c>
      <x:c r="F73" s="24" t="str">
        <x:v>Comber</x:v>
      </x:c>
      <x:c r="G73" s="24" t="str">
        <x:v>Medium bathydemersals (30 - 89 cm)</x:v>
      </x:c>
      <x:c r="H73" s="24" t="str">
        <x:v>Perch-likes</x:v>
      </x:c>
      <x:c r="I73" s="31" t="n">
        <x:v>18.5782681348</x:v>
      </x:c>
      <x:c r="J73" s="31" t="n">
        <x:v>18.5782681348</x:v>
      </x:c>
      <x:c r="K73" s="31" t="n">
        <x:v>0</x:v>
      </x:c>
      <x:c r="L73" s="31" t="n">
        <x:v>18.5782681348</x:v>
      </x:c>
      <x:c r="M73" s="31" t="n">
        <x:v>0</x:v>
      </x:c>
      <x:c r="N73" s="24" t="str">
        <x:v>serranus cabrilla</x:v>
      </x:c>
      <x:c r="O73" s="32" t="n">
        <x:v>3.35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Serranus cabrilla</x:v>
      </x:c>
      <x:c r="T73" s="32" t="n">
        <x:f>IF(O73="","",(1/'Metadata'!$B$5)^(O73-1))</x:f>
        <x:v>223.872113856834</x:v>
      </x:c>
      <x:c r="U73" s="31" t="n">
        <x:f>IF(T73="","",I73*T73)</x:f>
        <x:v>4159.156159136736</x:v>
      </x:c>
    </x:row>
    <x:row r="74" ht="18" customHeight="1">
      <x:c r="A74" s="24" t="str">
        <x:v>EEZ_024</x:v>
      </x:c>
      <x:c r="B74" s="24" t="str">
        <x:v>Angola</x:v>
      </x:c>
      <x:c r="C74" s="24" t="str">
        <x:v>EEZ</x:v>
      </x:c>
      <x:c r="D74" s="30" t="n">
        <x:v>2019</x:v>
      </x:c>
      <x:c r="E74" s="24" t="str">
        <x:v>Elasmobranchii</x:v>
      </x:c>
      <x:c r="F74" s="24" t="str">
        <x:v>Sharks, rays, skates</x:v>
      </x:c>
      <x:c r="G74" s="24" t="str">
        <x:v>Large sharks (&gt;=90 cm)</x:v>
      </x:c>
      <x:c r="H74" s="24" t="str">
        <x:v>Sharks &amp; rays</x:v>
      </x:c>
      <x:c r="I74" s="31" t="n">
        <x:v>18.166516076900002</x:v>
      </x:c>
      <x:c r="J74" s="31" t="n">
        <x:v>18.166516076900002</x:v>
      </x:c>
      <x:c r="K74" s="31" t="n">
        <x:v>0</x:v>
      </x:c>
      <x:c r="L74" s="31" t="n">
        <x:v>0</x:v>
      </x:c>
      <x:c r="M74" s="31" t="n">
        <x:v>18.166516076900002</x:v>
      </x:c>
      <x:c r="N74" s="24" t="str">
        <x:v>elasmobranchii</x:v>
      </x:c>
      <x:c r="O74" s="32" t="n">
        <x:v>4.05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Elasmobranchii</x:v>
      </x:c>
      <x:c r="T74" s="32" t="n">
        <x:f>IF(O74="","",(1/'Metadata'!$B$5)^(O74-1))</x:f>
        <x:v>1122.018454301963</x:v>
      </x:c>
      <x:c r="U74" s="31" t="n">
        <x:f>IF(T74="","",I74*T74)</x:f>
        <x:v>20383.166288655102</x:v>
      </x:c>
    </x:row>
    <x:row r="75" ht="18" customHeight="1">
      <x:c r="A75" s="24" t="str">
        <x:v>EEZ_024</x:v>
      </x:c>
      <x:c r="B75" s="24" t="str">
        <x:v>Angola</x:v>
      </x:c>
      <x:c r="C75" s="24" t="str">
        <x:v>EEZ</x:v>
      </x:c>
      <x:c r="D75" s="30" t="n">
        <x:v>2019</x:v>
      </x:c>
      <x:c r="E75" s="24" t="str">
        <x:v>Scomber</x:v>
      </x:c>
      <x:c r="F75" s="24" t="str">
        <x:v>Chub mackerels</x:v>
      </x:c>
      <x:c r="G75" s="24" t="str">
        <x:v>Medium pelagics (30 - 89 cm)</x:v>
      </x:c>
      <x:c r="H75" s="24" t="str">
        <x:v>Perch-likes</x:v>
      </x:c>
      <x:c r="I75" s="31" t="n">
        <x:v>16.5363565096</x:v>
      </x:c>
      <x:c r="J75" s="31" t="n">
        <x:v>16.5363565096</x:v>
      </x:c>
      <x:c r="K75" s="31" t="n">
        <x:v>0</x:v>
      </x:c>
      <x:c r="L75" s="31" t="n">
        <x:v>16.5363565096</x:v>
      </x:c>
      <x:c r="M75" s="31" t="n">
        <x:v>0</x:v>
      </x:c>
      <x:c r="N75" s="24" t="str">
        <x:v>scomber</x:v>
      </x:c>
      <x:c r="O75" s="32" t="n">
        <x:v>3.65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Scomber</x:v>
      </x:c>
      <x:c r="T75" s="32" t="n">
        <x:f>IF(O75="","",(1/'Metadata'!$B$5)^(O75-1))</x:f>
        <x:v>446.683592150963</x:v>
      </x:c>
      <x:c r="U75" s="31" t="n">
        <x:f>IF(T75="","",I75*T75)</x:f>
        <x:v>7386.5191267970895</x:v>
      </x:c>
    </x:row>
    <x:row r="76" ht="18" customHeight="1">
      <x:c r="A76" s="24" t="str">
        <x:v>EEZ_024</x:v>
      </x:c>
      <x:c r="B76" s="24" t="str">
        <x:v>Angola</x:v>
      </x:c>
      <x:c r="C76" s="24" t="str">
        <x:v>EEZ</x:v>
      </x:c>
      <x:c r="D76" s="30" t="n">
        <x:v>2019</x:v>
      </x:c>
      <x:c r="E76" s="24" t="str">
        <x:v>Murex</x:v>
      </x:c>
      <x:c r="F76" s="24" t="str">
        <x:v>Murex shells</x:v>
      </x:c>
      <x:c r="G76" s="24" t="str">
        <x:v>Other demersal invertebrates</x:v>
      </x:c>
      <x:c r="H76" s="24" t="str">
        <x:v>Molluscs</x:v>
      </x:c>
      <x:c r="I76" s="31" t="n">
        <x:v>14.4534065112</x:v>
      </x:c>
      <x:c r="J76" s="31" t="n">
        <x:v>14.4534065112</x:v>
      </x:c>
      <x:c r="K76" s="31" t="n">
        <x:v>0</x:v>
      </x:c>
      <x:c r="L76" s="31" t="n">
        <x:v>14.4534065112</x:v>
      </x:c>
      <x:c r="M76" s="31" t="n">
        <x:v>0</x:v>
      </x:c>
      <x:c r="N76" s="24" t="str">
        <x:v>murex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Murex</x:v>
      </x:c>
      <x:c r="T76" s="32" t="n">
        <x:f>IF(O76="","",(1/'Metadata'!$B$5)^(O76-1))</x:f>
        <x:v>10</x:v>
      </x:c>
      <x:c r="U76" s="31" t="n">
        <x:f>IF(T76="","",I76*T76)</x:f>
        <x:v>144.534065112</x:v>
      </x:c>
    </x:row>
    <x:row r="77" ht="18" customHeight="1">
      <x:c r="A77" s="24" t="str">
        <x:v>EEZ_024</x:v>
      </x:c>
      <x:c r="B77" s="24" t="str">
        <x:v>Angola</x:v>
      </x:c>
      <x:c r="C77" s="24" t="str">
        <x:v>EEZ</x:v>
      </x:c>
      <x:c r="D77" s="30" t="n">
        <x:v>2019</x:v>
      </x:c>
      <x:c r="E77" s="24" t="str">
        <x:v>Istiophorus albicans</x:v>
      </x:c>
      <x:c r="F77" s="24" t="str">
        <x:v>Atlantic sailfish</x:v>
      </x:c>
      <x:c r="G77" s="24" t="str">
        <x:v>Large pelagics (&gt;=90 cm)</x:v>
      </x:c>
      <x:c r="H77" s="24" t="str">
        <x:v>Tuna &amp; billfishes</x:v>
      </x:c>
      <x:c r="I77" s="31" t="n">
        <x:v>13.085831216699999</x:v>
      </x:c>
      <x:c r="J77" s="31" t="n">
        <x:v>13.085831216699999</x:v>
      </x:c>
      <x:c r="K77" s="31" t="n">
        <x:v>0</x:v>
      </x:c>
      <x:c r="L77" s="31" t="n">
        <x:v>0.3514576835</x:v>
      </x:c>
      <x:c r="M77" s="31" t="n">
        <x:v>12.7343735332</x:v>
      </x:c>
      <x:c r="N77" s="24" t="str">
        <x:v>istiophorus albicans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Istiophorus albicans</x:v>
      </x:c>
      <x:c r="T77" s="32" t="n">
        <x:f>IF(O77="","",(1/'Metadata'!$B$5)^(O77-1))</x:f>
        <x:v>3162.2776601683795</x:v>
      </x:c>
      <x:c r="U77" s="31" t="n">
        <x:f>IF(T77="","",I77*T77)</x:f>
        <x:v>41381.03172130441</x:v>
      </x:c>
    </x:row>
    <x:row r="78" ht="18" customHeight="1">
      <x:c r="A78" s="24" t="str">
        <x:v>EEZ_024</x:v>
      </x:c>
      <x:c r="B78" s="24" t="str">
        <x:v>Angola</x:v>
      </x:c>
      <x:c r="C78" s="24" t="str">
        <x:v>EEZ</x:v>
      </x:c>
      <x:c r="D78" s="30" t="n">
        <x:v>2019</x:v>
      </x:c>
      <x:c r="E78" s="24" t="str">
        <x:v>Spondyliosoma cantharus</x:v>
      </x:c>
      <x:c r="F78" s="24" t="str">
        <x:v>Black seabream</x:v>
      </x:c>
      <x:c r="G78" s="24" t="str">
        <x:v>Medium benthopelagics (30 - 89 cm)</x:v>
      </x:c>
      <x:c r="H78" s="24" t="str">
        <x:v>Perch-likes</x:v>
      </x:c>
      <x:c r="I78" s="31" t="n">
        <x:v>12.4736370412</x:v>
      </x:c>
      <x:c r="J78" s="31" t="n">
        <x:v>12.4736370412</x:v>
      </x:c>
      <x:c r="K78" s="31" t="n">
        <x:v>0</x:v>
      </x:c>
      <x:c r="L78" s="31" t="n">
        <x:v>12.4736370412</x:v>
      </x:c>
      <x:c r="M78" s="31" t="n">
        <x:v>0</x:v>
      </x:c>
      <x:c r="N78" s="24" t="str">
        <x:v>spondyliosoma cantharus</x:v>
      </x:c>
      <x:c r="O78" s="32" t="n">
        <x:v>3.34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Spondyliosoma cantharus</x:v>
      </x:c>
      <x:c r="T78" s="32" t="n">
        <x:f>IF(O78="","",(1/'Metadata'!$B$5)^(O78-1))</x:f>
        <x:v>218.77616239495518</x:v>
      </x:c>
      <x:c r="U78" s="31" t="n">
        <x:f>IF(T78="","",I78*T78)</x:f>
        <x:v>2728.9344429812995</x:v>
      </x:c>
    </x:row>
    <x:row r="79" ht="18" customHeight="1">
      <x:c r="A79" s="24" t="str">
        <x:v>EEZ_024</x:v>
      </x:c>
      <x:c r="B79" s="24" t="str">
        <x:v>Angola</x:v>
      </x:c>
      <x:c r="C79" s="24" t="str">
        <x:v>EEZ</x:v>
      </x:c>
      <x:c r="D79" s="30" t="n">
        <x:v>2019</x:v>
      </x:c>
      <x:c r="E79" s="24" t="str">
        <x:v>Brotula barbata</x:v>
      </x:c>
      <x:c r="F79" s="24" t="str">
        <x:v>Bearded brotula</x:v>
      </x:c>
      <x:c r="G79" s="24" t="str">
        <x:v>Medium benthopelagics (30 - 89 cm)</x:v>
      </x:c>
      <x:c r="H79" s="24" t="str">
        <x:v>Other fishes &amp; inverts</x:v>
      </x:c>
      <x:c r="I79" s="31" t="n">
        <x:v>11.2372160555</x:v>
      </x:c>
      <x:c r="J79" s="31" t="n">
        <x:v>11.2372160555</x:v>
      </x:c>
      <x:c r="K79" s="31" t="n">
        <x:v>0</x:v>
      </x:c>
      <x:c r="L79" s="31" t="n">
        <x:v>11.2372160555</x:v>
      </x:c>
      <x:c r="M79" s="31" t="n">
        <x:v>0</x:v>
      </x:c>
      <x:c r="N79" s="24" t="str">
        <x:v>brotula barbata</x:v>
      </x:c>
      <x:c r="O79" s="32" t="n">
        <x:v>3.8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Brotula barbata</x:v>
      </x:c>
      <x:c r="T79" s="32" t="n">
        <x:f>IF(O79="","",(1/'Metadata'!$B$5)^(O79-1))</x:f>
        <x:v>630.957344480193</x:v>
      </x:c>
      <x:c r="U79" s="31" t="n">
        <x:f>IF(T79="","",I79*T79)</x:f>
        <x:v>7090.204001728469</x:v>
      </x:c>
    </x:row>
    <x:row r="80" ht="18" customHeight="1">
      <x:c r="A80" s="24" t="str">
        <x:v>EEZ_024</x:v>
      </x:c>
      <x:c r="B80" s="24" t="str">
        <x:v>Angola</x:v>
      </x:c>
      <x:c r="C80" s="24" t="str">
        <x:v>EEZ</x:v>
      </x:c>
      <x:c r="D80" s="30" t="n">
        <x:v>2019</x:v>
      </x:c>
      <x:c r="E80" s="24" t="str">
        <x:v>Helicolenus dactylopterus</x:v>
      </x:c>
      <x:c r="F80" s="24" t="str">
        <x:v>Blackbelly rosefish</x:v>
      </x:c>
      <x:c r="G80" s="24" t="str">
        <x:v>Medium bathydemersals (30 - 89 cm)</x:v>
      </x:c>
      <x:c r="H80" s="24" t="str">
        <x:v>Scorpionfishes</x:v>
      </x:c>
      <x:c r="I80" s="31" t="n">
        <x:v>10.486578959200001</x:v>
      </x:c>
      <x:c r="J80" s="31" t="n">
        <x:v>10.486578959200001</x:v>
      </x:c>
      <x:c r="K80" s="31" t="n">
        <x:v>0</x:v>
      </x:c>
      <x:c r="L80" s="31" t="n">
        <x:v>10.486578959200001</x:v>
      </x:c>
      <x:c r="M80" s="31" t="n">
        <x:v>0</x:v>
      </x:c>
      <x:c r="N80" s="24" t="str">
        <x:v>helicolenus dactylopterus</x:v>
      </x:c>
      <x:c r="O80" s="32" t="n">
        <x:v>3.54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Helicolenus dactylopterus</x:v>
      </x:c>
      <x:c r="T80" s="32" t="n">
        <x:f>IF(O80="","",(1/'Metadata'!$B$5)^(O80-1))</x:f>
        <x:v>346.73685045253166</x:v>
      </x:c>
      <x:c r="U80" s="31" t="n">
        <x:f>IF(T80="","",I80*T80)</x:f>
        <x:v>3636.083360334796</x:v>
      </x:c>
    </x:row>
    <x:row r="81" ht="18" customHeight="1">
      <x:c r="A81" s="24" t="str">
        <x:v>EEZ_024</x:v>
      </x:c>
      <x:c r="B81" s="24" t="str">
        <x:v>Angola</x:v>
      </x:c>
      <x:c r="C81" s="24" t="str">
        <x:v>EEZ</x:v>
      </x:c>
      <x:c r="D81" s="30" t="n">
        <x:v>2019</x:v>
      </x:c>
      <x:c r="E81" s="24" t="str">
        <x:v>Clupeiformes</x:v>
      </x:c>
      <x:c r="F81" s="24" t="str">
        <x:v>Herrings, shads, anchovies</x:v>
      </x:c>
      <x:c r="G81" s="24" t="str">
        <x:v>Small pelagics (&lt;30 cm)</x:v>
      </x:c>
      <x:c r="H81" s="24" t="str">
        <x:v>Other fishes &amp; inverts</x:v>
      </x:c>
      <x:c r="I81" s="31" t="n">
        <x:v>9.7892198322</x:v>
      </x:c>
      <x:c r="J81" s="31" t="n">
        <x:v>9.7892198322</x:v>
      </x:c>
      <x:c r="K81" s="31" t="n">
        <x:v>0</x:v>
      </x:c>
      <x:c r="L81" s="31" t="n">
        <x:v>9.7892198322</x:v>
      </x:c>
      <x:c r="M81" s="31" t="n">
        <x:v>0</x:v>
      </x:c>
      <x:c r="N81" s="24" t="str">
        <x:v>clupeiformes</x:v>
      </x:c>
      <x:c r="O81" s="32" t="n">
        <x:v>3.24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Clupeiformes</x:v>
      </x:c>
      <x:c r="T81" s="32" t="n">
        <x:f>IF(O81="","",(1/'Metadata'!$B$5)^(O81-1))</x:f>
        <x:v>173.78008287493762</x:v>
      </x:c>
      <x:c r="U81" s="31" t="n">
        <x:f>IF(T81="","",I81*T81)</x:f>
        <x:v>1701.171433720699</x:v>
      </x:c>
    </x:row>
    <x:row r="82" ht="18" customHeight="1">
      <x:c r="A82" s="24" t="str">
        <x:v>EEZ_024</x:v>
      </x:c>
      <x:c r="B82" s="24" t="str">
        <x:v>Angola</x:v>
      </x:c>
      <x:c r="C82" s="24" t="str">
        <x:v>EEZ</x:v>
      </x:c>
      <x:c r="D82" s="30" t="n">
        <x:v>2019</x:v>
      </x:c>
      <x:c r="E82" s="24" t="str">
        <x:v>Octopus vulgaris</x:v>
      </x:c>
      <x:c r="F82" s="24" t="str">
        <x:v>Common octopus</x:v>
      </x:c>
      <x:c r="G82" s="24" t="str">
        <x:v>Cephalopods</x:v>
      </x:c>
      <x:c r="H82" s="24" t="str">
        <x:v>Other fishes &amp; inverts</x:v>
      </x:c>
      <x:c r="I82" s="31" t="n">
        <x:v>9.7678632644</x:v>
      </x:c>
      <x:c r="J82" s="31" t="n">
        <x:v>9.7678632644</x:v>
      </x:c>
      <x:c r="K82" s="31" t="n">
        <x:v>0</x:v>
      </x:c>
      <x:c r="L82" s="31" t="n">
        <x:v>9.7678632644</x:v>
      </x:c>
      <x:c r="M82" s="31" t="n">
        <x:v>0</x:v>
      </x:c>
      <x:c r="N82" s="24" t="str">
        <x:v>octopus vulgaris</x:v>
      </x:c>
      <x:c r="O82" s="32" t="n">
        <x:v>3.6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Octopus vulgaris</x:v>
      </x:c>
      <x:c r="T82" s="32" t="n">
        <x:f>IF(O82="","",(1/'Metadata'!$B$5)^(O82-1))</x:f>
        <x:v>398.1071705534973</x:v>
      </x:c>
      <x:c r="U82" s="31" t="n">
        <x:f>IF(T82="","",I82*T82)</x:f>
        <x:v>3888.6564065437324</x:v>
      </x:c>
    </x:row>
    <x:row r="83" ht="18" customHeight="1">
      <x:c r="A83" s="24" t="str">
        <x:v>EEZ_024</x:v>
      </x:c>
      <x:c r="B83" s="24" t="str">
        <x:v>Angola</x:v>
      </x:c>
      <x:c r="C83" s="24" t="str">
        <x:v>EEZ</x:v>
      </x:c>
      <x:c r="D83" s="30" t="n">
        <x:v>2019</x:v>
      </x:c>
      <x:c r="E83" s="24" t="str">
        <x:v>Aristaeopsis edwardsiana</x:v>
      </x:c>
      <x:c r="F83" s="24" t="str">
        <x:v>Scarlet shrimp</x:v>
      </x:c>
      <x:c r="G83" s="24" t="str">
        <x:v>Shrimps</x:v>
      </x:c>
      <x:c r="H83" s="24" t="str">
        <x:v>Crustaceans</x:v>
      </x:c>
      <x:c r="I83" s="31" t="n">
        <x:v>9.3025383013</x:v>
      </x:c>
      <x:c r="J83" s="31" t="n">
        <x:v>9.3025383013</x:v>
      </x:c>
      <x:c r="K83" s="31" t="n">
        <x:v>0</x:v>
      </x:c>
      <x:c r="L83" s="31" t="n">
        <x:v>9.3025383013</x:v>
      </x:c>
      <x:c r="M83" s="31" t="n">
        <x:v>0</x:v>
      </x:c>
      <x:c r="N83" s="24" t="str">
        <x:v>aristaeopsis edwardsiana</x:v>
      </x:c>
      <x:c r="O83" s="32" t="n">
        <x:v>2.3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Aristaeopsis edwardsiana</x:v>
      </x:c>
      <x:c r="T83" s="32" t="n">
        <x:f>IF(O83="","",(1/'Metadata'!$B$5)^(O83-1))</x:f>
        <x:v>19.952623149688787</x:v>
      </x:c>
      <x:c r="U83" s="31" t="n">
        <x:f>IF(T83="","",I83*T83)</x:f>
        <x:v>185.61004106138498</x:v>
      </x:c>
    </x:row>
    <x:row r="84" ht="18" customHeight="1">
      <x:c r="A84" s="24" t="str">
        <x:v>EEZ_024</x:v>
      </x:c>
      <x:c r="B84" s="24" t="str">
        <x:v>Angola</x:v>
      </x:c>
      <x:c r="C84" s="24" t="str">
        <x:v>EEZ</x:v>
      </x:c>
      <x:c r="D84" s="30" t="n">
        <x:v>2019</x:v>
      </x:c>
      <x:c r="E84" s="24" t="str">
        <x:v>Carcharhinus signatus</x:v>
      </x:c>
      <x:c r="F84" s="24" t="str">
        <x:v>Night shark</x:v>
      </x:c>
      <x:c r="G84" s="24" t="str">
        <x:v>Large sharks (&gt;=90 cm)</x:v>
      </x:c>
      <x:c r="H84" s="24" t="str">
        <x:v>Sharks &amp; rays</x:v>
      </x:c>
      <x:c r="I84" s="31" t="n">
        <x:v>7.8259018507</x:v>
      </x:c>
      <x:c r="J84" s="31" t="n">
        <x:v>7.8259018507</x:v>
      </x:c>
      <x:c r="K84" s="31" t="n">
        <x:v>0</x:v>
      </x:c>
      <x:c r="L84" s="31" t="n">
        <x:v>7.8259018507</x:v>
      </x:c>
      <x:c r="M84" s="31" t="n">
        <x:v>0</x:v>
      </x:c>
      <x:c r="N84" s="24" t="str">
        <x:v>carcharhinus signatus</x:v>
      </x:c>
      <x:c r="O84" s="32" t="n">
        <x:v>4.63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Carcharhinus signatus</x:v>
      </x:c>
      <x:c r="T84" s="32" t="n">
        <x:f>IF(O84="","",(1/'Metadata'!$B$5)^(O84-1))</x:f>
        <x:v>4265.795188015925</x:v>
      </x:c>
      <x:c r="U84" s="31" t="n">
        <x:f>IF(T84="","",I84*T84)</x:f>
        <x:v>33383.694456600984</x:v>
      </x:c>
    </x:row>
    <x:row r="85" ht="18" customHeight="1">
      <x:c r="A85" s="24" t="str">
        <x:v>EEZ_024</x:v>
      </x:c>
      <x:c r="B85" s="24" t="str">
        <x:v>Angola</x:v>
      </x:c>
      <x:c r="C85" s="24" t="str">
        <x:v>EEZ</x:v>
      </x:c>
      <x:c r="D85" s="30" t="n">
        <x:v>2019</x:v>
      </x:c>
      <x:c r="E85" s="24" t="str">
        <x:v>Soleidae</x:v>
      </x:c>
      <x:c r="F85" s="24" t="str">
        <x:v>Soles</x:v>
      </x:c>
      <x:c r="G85" s="24" t="str">
        <x:v>Small to medium flatfishes (&lt;90 cm)</x:v>
      </x:c>
      <x:c r="H85" s="24" t="str">
        <x:v>Flatfishes</x:v>
      </x:c>
      <x:c r="I85" s="31" t="n">
        <x:v>5.0306049683</x:v>
      </x:c>
      <x:c r="J85" s="31" t="n">
        <x:v>5.0306049683</x:v>
      </x:c>
      <x:c r="K85" s="31" t="n">
        <x:v>0</x:v>
      </x:c>
      <x:c r="L85" s="31" t="n">
        <x:v>5.0306049683</x:v>
      </x:c>
      <x:c r="M85" s="31" t="n">
        <x:v>0</x:v>
      </x:c>
      <x:c r="N85" s="24" t="str">
        <x:v>soleidae</x:v>
      </x:c>
      <x:c r="O85" s="32" t="n">
        <x:v>3.15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Soleidae</x:v>
      </x:c>
      <x:c r="T85" s="32" t="n">
        <x:f>IF(O85="","",(1/'Metadata'!$B$5)^(O85-1))</x:f>
        <x:v>141.2537544622754</x:v>
      </x:c>
      <x:c r="U85" s="31" t="n">
        <x:f>IF(T85="","",I85*T85)</x:f>
        <x:v>710.5918389889508</x:v>
      </x:c>
    </x:row>
    <x:row r="86" ht="18" customHeight="1">
      <x:c r="A86" s="24" t="str">
        <x:v>EEZ_024</x:v>
      </x:c>
      <x:c r="B86" s="24" t="str">
        <x:v>Angola</x:v>
      </x:c>
      <x:c r="C86" s="24" t="str">
        <x:v>EEZ</x:v>
      </x:c>
      <x:c r="D86" s="30" t="n">
        <x:v>2019</x:v>
      </x:c>
      <x:c r="E86" s="24" t="str">
        <x:v>Xiphias gladius</x:v>
      </x:c>
      <x:c r="F86" s="24" t="str">
        <x:v>Swordfish</x:v>
      </x:c>
      <x:c r="G86" s="24" t="str">
        <x:v>Large pelagics (&gt;=90 cm)</x:v>
      </x:c>
      <x:c r="H86" s="24" t="str">
        <x:v>Tuna &amp; billfishes</x:v>
      </x:c>
      <x:c r="I86" s="31" t="n">
        <x:v>4.7688826952</x:v>
      </x:c>
      <x:c r="J86" s="31" t="n">
        <x:v>4.7688826952</x:v>
      </x:c>
      <x:c r="K86" s="31" t="n">
        <x:v>0</x:v>
      </x:c>
      <x:c r="L86" s="31" t="n">
        <x:v>4.7688826952</x:v>
      </x:c>
      <x:c r="M86" s="31" t="n">
        <x:v>0</x:v>
      </x:c>
      <x:c r="N86" s="24" t="str">
        <x:v>xiphias gladius</x:v>
      </x:c>
      <x:c r="O86" s="32" t="n">
        <x:v>4.53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Xiphias gladius</x:v>
      </x:c>
      <x:c r="T86" s="32" t="n">
        <x:f>IF(O86="","",(1/'Metadata'!$B$5)^(O86-1))</x:f>
        <x:v>3388.4415613920273</x:v>
      </x:c>
      <x:c r="U86" s="31" t="n">
        <x:f>IF(T86="","",I86*T86)</x:f>
        <x:v>16159.080325818908</x:v>
      </x:c>
    </x:row>
    <x:row r="87" ht="18" customHeight="1">
      <x:c r="A87" s="24" t="str">
        <x:v>EEZ_024</x:v>
      </x:c>
      <x:c r="B87" s="24" t="str">
        <x:v>Angola</x:v>
      </x:c>
      <x:c r="C87" s="24" t="str">
        <x:v>EEZ</x:v>
      </x:c>
      <x:c r="D87" s="30" t="n">
        <x:v>2019</x:v>
      </x:c>
      <x:c r="E87" s="24" t="str">
        <x:v>Berycidae</x:v>
      </x:c>
      <x:c r="F87" s="24" t="str">
        <x:v>Alfonsinos, redfishes</x:v>
      </x:c>
      <x:c r="G87" s="24" t="str">
        <x:v>Medium benthopelagics (30 - 89 cm)</x:v>
      </x:c>
      <x:c r="H87" s="24" t="str">
        <x:v>Other fishes &amp; inverts</x:v>
      </x:c>
      <x:c r="I87" s="31" t="n">
        <x:v>4.4547477548</x:v>
      </x:c>
      <x:c r="J87" s="31" t="n">
        <x:v>4.4547477548</x:v>
      </x:c>
      <x:c r="K87" s="31" t="n">
        <x:v>0</x:v>
      </x:c>
      <x:c r="L87" s="31" t="n">
        <x:v>4.4547477548</x:v>
      </x:c>
      <x:c r="M87" s="31" t="n">
        <x:v>0</x:v>
      </x:c>
      <x:c r="N87" s="24" t="str">
        <x:v>berycidae</x:v>
      </x:c>
      <x:c r="O87" s="32" t="n">
        <x:v>3.99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Berycidae</x:v>
      </x:c>
      <x:c r="T87" s="32" t="n">
        <x:f>IF(O87="","",(1/'Metadata'!$B$5)^(O87-1))</x:f>
        <x:v>977.2372209558112</x:v>
      </x:c>
      <x:c r="U87" s="31" t="n">
        <x:f>IF(T87="","",I87*T87)</x:f>
        <x:v>4353.345315959891</x:v>
      </x:c>
    </x:row>
    <x:row r="88" ht="18" customHeight="1">
      <x:c r="A88" s="24" t="str">
        <x:v>EEZ_024</x:v>
      </x:c>
      <x:c r="B88" s="24" t="str">
        <x:v>Angola</x:v>
      </x:c>
      <x:c r="C88" s="24" t="str">
        <x:v>EEZ</x:v>
      </x:c>
      <x:c r="D88" s="30" t="n">
        <x:v>2019</x:v>
      </x:c>
      <x:c r="E88" s="24" t="str">
        <x:v>Ruvettus pretiosus</x:v>
      </x:c>
      <x:c r="F88" s="24" t="str">
        <x:v>Oilfish</x:v>
      </x:c>
      <x:c r="G88" s="24" t="str">
        <x:v>Large benthopelagics (&gt;=90 cm)</x:v>
      </x:c>
      <x:c r="H88" s="24" t="str">
        <x:v>Perch-likes</x:v>
      </x:c>
      <x:c r="I88" s="31" t="n">
        <x:v>3.8740846059000003</x:v>
      </x:c>
      <x:c r="J88" s="31" t="n">
        <x:v>3.8740846059000003</x:v>
      </x:c>
      <x:c r="K88" s="31" t="n">
        <x:v>0</x:v>
      </x:c>
      <x:c r="L88" s="31" t="n">
        <x:v>3.8740846059000003</x:v>
      </x:c>
      <x:c r="M88" s="31" t="n">
        <x:v>0</x:v>
      </x:c>
      <x:c r="N88" s="24" t="str">
        <x:v>ruvettus pretiosus</x:v>
      </x:c>
      <x:c r="O88" s="32" t="n">
        <x:v>4.18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Ruvettus pretiosus</x:v>
      </x:c>
      <x:c r="T88" s="32" t="n">
        <x:f>IF(O88="","",(1/'Metadata'!$B$5)^(O88-1))</x:f>
        <x:v>1513.5612484362073</x:v>
      </x:c>
      <x:c r="U88" s="31" t="n">
        <x:f>IF(T88="","",I88*T88)</x:f>
        <x:v>5863.664332653497</x:v>
      </x:c>
    </x:row>
    <x:row r="89" ht="18" customHeight="1">
      <x:c r="A89" s="24" t="str">
        <x:v>EEZ_024</x:v>
      </x:c>
      <x:c r="B89" s="24" t="str">
        <x:v>Angola</x:v>
      </x:c>
      <x:c r="C89" s="24" t="str">
        <x:v>EEZ</x:v>
      </x:c>
      <x:c r="D89" s="30" t="n">
        <x:v>2019</x:v>
      </x:c>
      <x:c r="E89" s="24" t="str">
        <x:v>Auxis</x:v>
      </x:c>
      <x:c r="F89" s="24" t="str">
        <x:v>Bullet and frigate tunas</x:v>
      </x:c>
      <x:c r="G89" s="24" t="str">
        <x:v>Medium pelagics (30 - 89 cm)</x:v>
      </x:c>
      <x:c r="H89" s="24" t="str">
        <x:v>Tuna &amp; billfishes</x:v>
      </x:c>
      <x:c r="I89" s="31" t="n">
        <x:v>3.8068892268</x:v>
      </x:c>
      <x:c r="J89" s="31" t="n">
        <x:v>3.8068892268</x:v>
      </x:c>
      <x:c r="K89" s="31" t="n">
        <x:v>0</x:v>
      </x:c>
      <x:c r="L89" s="31" t="n">
        <x:v>3.8068892268</x:v>
      </x:c>
      <x:c r="M89" s="31" t="n">
        <x:v>0</x:v>
      </x:c>
      <x:c r="N89" s="24" t="str">
        <x:v>auxis</x:v>
      </x:c>
      <x:c r="O89" s="32" t="n">
        <x:v>4.24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Auxis</x:v>
      </x:c>
      <x:c r="T89" s="32" t="n">
        <x:f>IF(O89="","",(1/'Metadata'!$B$5)^(O89-1))</x:f>
        <x:v>1737.8008287493763</x:v>
      </x:c>
      <x:c r="U89" s="31" t="n">
        <x:f>IF(T89="","",I89*T89)</x:f>
        <x:v>6615.615253290112</x:v>
      </x:c>
    </x:row>
    <x:row r="90" ht="18" customHeight="1">
      <x:c r="A90" s="24" t="str">
        <x:v>EEZ_024</x:v>
      </x:c>
      <x:c r="B90" s="24" t="str">
        <x:v>Angola</x:v>
      </x:c>
      <x:c r="C90" s="24" t="str">
        <x:v>EEZ</x:v>
      </x:c>
      <x:c r="D90" s="30" t="n">
        <x:v>2019</x:v>
      </x:c>
      <x:c r="E90" s="24" t="str">
        <x:v>Coryphaena hippurus</x:v>
      </x:c>
      <x:c r="F90" s="24" t="str">
        <x:v>Common dolphinfish</x:v>
      </x:c>
      <x:c r="G90" s="24" t="str">
        <x:v>Large pelagics (&gt;=90 cm)</x:v>
      </x:c>
      <x:c r="H90" s="24" t="str">
        <x:v>Perch-likes</x:v>
      </x:c>
      <x:c r="I90" s="31" t="n">
        <x:v>3.4155098912</x:v>
      </x:c>
      <x:c r="J90" s="31" t="n">
        <x:v>3.4155098912</x:v>
      </x:c>
      <x:c r="K90" s="31" t="n">
        <x:v>0</x:v>
      </x:c>
      <x:c r="L90" s="31" t="n">
        <x:v>3.4155098912</x:v>
      </x:c>
      <x:c r="M90" s="31" t="n">
        <x:v>0</x:v>
      </x:c>
      <x:c r="N90" s="24" t="str">
        <x:v>coryphaena hippurus</x:v>
      </x:c>
      <x:c r="O90" s="32" t="n">
        <x:v>4.37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Coryphaena hippurus</x:v>
      </x:c>
      <x:c r="T90" s="32" t="n">
        <x:f>IF(O90="","",(1/'Metadata'!$B$5)^(O90-1))</x:f>
        <x:v>2344.228815319923</x:v>
      </x:c>
      <x:c r="U90" s="31" t="n">
        <x:f>IF(T90="","",I90*T90)</x:f>
        <x:v>8006.736705961255</x:v>
      </x:c>
    </x:row>
    <x:row r="91" ht="18" customHeight="1">
      <x:c r="A91" s="24" t="str">
        <x:v>EEZ_024</x:v>
      </x:c>
      <x:c r="B91" s="24" t="str">
        <x:v>Angola</x:v>
      </x:c>
      <x:c r="C91" s="24" t="str">
        <x:v>EEZ</x:v>
      </x:c>
      <x:c r="D91" s="30" t="n">
        <x:v>2019</x:v>
      </x:c>
      <x:c r="E91" s="24" t="str">
        <x:v>Auxis rochei</x:v>
      </x:c>
      <x:c r="F91" s="24" t="str">
        <x:v>Bullet tuna</x:v>
      </x:c>
      <x:c r="G91" s="24" t="str">
        <x:v>Medium pelagics (30 - 89 cm)</x:v>
      </x:c>
      <x:c r="H91" s="24" t="str">
        <x:v>Tuna &amp; billfishes</x:v>
      </x:c>
      <x:c r="I91" s="31" t="n">
        <x:v>3.1902076594</x:v>
      </x:c>
      <x:c r="J91" s="31" t="n">
        <x:v>3.1902076594</x:v>
      </x:c>
      <x:c r="K91" s="31" t="n">
        <x:v>0</x:v>
      </x:c>
      <x:c r="L91" s="31" t="n">
        <x:v>3.1902076594</x:v>
      </x:c>
      <x:c r="M91" s="31" t="n">
        <x:v>0</x:v>
      </x:c>
      <x:c r="N91" s="24" t="str">
        <x:v>auxis rochei</x:v>
      </x:c>
      <x:c r="O91" s="32" t="n">
        <x:v>4.13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Auxis rochei</x:v>
      </x:c>
      <x:c r="T91" s="32" t="n">
        <x:f>IF(O91="","",(1/'Metadata'!$B$5)^(O91-1))</x:f>
        <x:v>1348.9628825916532</x:v>
      </x:c>
      <x:c r="U91" s="31" t="n">
        <x:f>IF(T91="","",I91*T91)</x:f>
        <x:v>4303.471720290195</x:v>
      </x:c>
    </x:row>
    <x:row r="92" ht="18" customHeight="1">
      <x:c r="A92" s="24" t="str">
        <x:v>EEZ_024</x:v>
      </x:c>
      <x:c r="B92" s="24" t="str">
        <x:v>Angola</x:v>
      </x:c>
      <x:c r="C92" s="24" t="str">
        <x:v>EEZ</x:v>
      </x:c>
      <x:c r="D92" s="30" t="n">
        <x:v>2019</x:v>
      </x:c>
      <x:c r="E92" s="24" t="str">
        <x:v>Myliobatidae</x:v>
      </x:c>
      <x:c r="F92" s="24" t="str">
        <x:v>Eagle/manta rays</x:v>
      </x:c>
      <x:c r="G92" s="24" t="str">
        <x:v>Large rays (&gt;=90 cm)</x:v>
      </x:c>
      <x:c r="H92" s="24" t="str">
        <x:v>Sharks &amp; rays</x:v>
      </x:c>
      <x:c r="I92" s="31" t="n">
        <x:v>2.6836182774</x:v>
      </x:c>
      <x:c r="J92" s="31" t="n">
        <x:v>2.6836182774</x:v>
      </x:c>
      <x:c r="K92" s="31" t="n">
        <x:v>0</x:v>
      </x:c>
      <x:c r="L92" s="31" t="n">
        <x:v>2.6836182774</x:v>
      </x:c>
      <x:c r="M92" s="31" t="n">
        <x:v>0</x:v>
      </x:c>
      <x:c r="N92" s="24" t="str">
        <x:v>myliobatidae</x:v>
      </x:c>
      <x:c r="O92" s="32" t="n">
        <x:v>3.36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Myliobatidae</x:v>
      </x:c>
      <x:c r="T92" s="32" t="n">
        <x:f>IF(O92="","",(1/'Metadata'!$B$5)^(O92-1))</x:f>
        <x:v>229.08676527677724</x:v>
      </x:c>
      <x:c r="U92" s="31" t="n">
        <x:f>IF(T92="","",I92*T92)</x:f>
        <x:v>614.7814304072031</x:v>
      </x:c>
    </x:row>
    <x:row r="93" ht="18" customHeight="1">
      <x:c r="A93" s="24" t="str">
        <x:v>EEZ_024</x:v>
      </x:c>
      <x:c r="B93" s="24" t="str">
        <x:v>Angola</x:v>
      </x:c>
      <x:c r="C93" s="24" t="str">
        <x:v>EEZ</x:v>
      </x:c>
      <x:c r="D93" s="30" t="n">
        <x:v>2019</x:v>
      </x:c>
      <x:c r="E93" s="24" t="str">
        <x:v>Pomadasys jubelini</x:v>
      </x:c>
      <x:c r="F93" s="24" t="str">
        <x:v>Sompat grunt</x:v>
      </x:c>
      <x:c r="G93" s="24" t="str">
        <x:v>Medium demersals (30 - 89 cm)</x:v>
      </x:c>
      <x:c r="H93" s="24" t="str">
        <x:v>Perch-likes</x:v>
      </x:c>
      <x:c r="I93" s="31" t="n">
        <x:v>2.6711042184</x:v>
      </x:c>
      <x:c r="J93" s="31" t="n">
        <x:v>2.6711042184</x:v>
      </x:c>
      <x:c r="K93" s="31" t="n">
        <x:v>0</x:v>
      </x:c>
      <x:c r="L93" s="31" t="n">
        <x:v>2.6711042184</x:v>
      </x:c>
      <x:c r="M93" s="31" t="n">
        <x:v>0</x:v>
      </x:c>
      <x:c r="N93" s="24" t="str">
        <x:v>pomadasys jubelini</x:v>
      </x:c>
      <x:c r="O93" s="32" t="n">
        <x:v>3.33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Pomadasys jubelini</x:v>
      </x:c>
      <x:c r="T93" s="32" t="n">
        <x:f>IF(O93="","",(1/'Metadata'!$B$5)^(O93-1))</x:f>
        <x:v>213.79620895022325</x:v>
      </x:c>
      <x:c r="U93" s="31" t="n">
        <x:f>IF(T93="","",I93*T93)</x:f>
        <x:v>571.0719556048691</x:v>
      </x:c>
    </x:row>
    <x:row r="94" ht="18" customHeight="1">
      <x:c r="A94" s="24" t="str">
        <x:v>EEZ_024</x:v>
      </x:c>
      <x:c r="B94" s="24" t="str">
        <x:v>Angola</x:v>
      </x:c>
      <x:c r="C94" s="24" t="str">
        <x:v>EEZ</x:v>
      </x:c>
      <x:c r="D94" s="30" t="n">
        <x:v>2019</x:v>
      </x:c>
      <x:c r="E94" s="24" t="str">
        <x:v>Scorpaenidae</x:v>
      </x:c>
      <x:c r="F94" s="24" t="str">
        <x:v>Scorpionfishes, rockfishes</x:v>
      </x:c>
      <x:c r="G94" s="24" t="str">
        <x:v>Large reef assoc. fish (&gt;=90 cm)</x:v>
      </x:c>
      <x:c r="H94" s="24" t="str">
        <x:v>Scorpionfishes</x:v>
      </x:c>
      <x:c r="I94" s="31" t="n">
        <x:v>2.3841269119</x:v>
      </x:c>
      <x:c r="J94" s="31" t="n">
        <x:v>2.3841269119</x:v>
      </x:c>
      <x:c r="K94" s="31" t="n">
        <x:v>0</x:v>
      </x:c>
      <x:c r="L94" s="31" t="n">
        <x:v>2.3841269119</x:v>
      </x:c>
      <x:c r="M94" s="31" t="n">
        <x:v>0</x:v>
      </x:c>
      <x:c r="N94" s="24" t="str">
        <x:v>scorpaenidae</x:v>
      </x:c>
      <x:c r="O94" s="32" t="n">
        <x:v>3.92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Scorpaenidae</x:v>
      </x:c>
      <x:c r="T94" s="32" t="n">
        <x:f>IF(O94="","",(1/'Metadata'!$B$5)^(O94-1))</x:f>
        <x:v>831.7637711026708</x:v>
      </x:c>
      <x:c r="U94" s="31" t="n">
        <x:f>IF(T94="","",I94*T94)</x:f>
        <x:v>1983.0303910293092</x:v>
      </x:c>
    </x:row>
    <x:row r="95" ht="18" customHeight="1">
      <x:c r="A95" s="24" t="str">
        <x:v>EEZ_024</x:v>
      </x:c>
      <x:c r="B95" s="24" t="str">
        <x:v>Angola</x:v>
      </x:c>
      <x:c r="C95" s="24" t="str">
        <x:v>EEZ</x:v>
      </x:c>
      <x:c r="D95" s="30" t="n">
        <x:v>2019</x:v>
      </x:c>
      <x:c r="E95" s="24" t="str">
        <x:v>Hoplostethus atlanticus</x:v>
      </x:c>
      <x:c r="F95" s="24" t="str">
        <x:v>Orange roughy</x:v>
      </x:c>
      <x:c r="G95" s="24" t="str">
        <x:v>Medium bathypelagics (30 - 89 cm)</x:v>
      </x:c>
      <x:c r="H95" s="24" t="str">
        <x:v>Other fishes &amp; inverts</x:v>
      </x:c>
      <x:c r="I95" s="31" t="n">
        <x:v>1.8185077275</x:v>
      </x:c>
      <x:c r="J95" s="31" t="n">
        <x:v>1.8185077275</x:v>
      </x:c>
      <x:c r="K95" s="31" t="n">
        <x:v>0</x:v>
      </x:c>
      <x:c r="L95" s="31" t="n">
        <x:v>1.8185077275</x:v>
      </x:c>
      <x:c r="M95" s="31" t="n">
        <x:v>0</x:v>
      </x:c>
      <x:c r="N95" s="24" t="str">
        <x:v>hoplostethus atlanticus</x:v>
      </x:c>
      <x:c r="O95" s="32" t="n">
        <x:v>4.25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Hoplostethus atlanticus</x:v>
      </x:c>
      <x:c r="T95" s="32" t="n">
        <x:f>IF(O95="","",(1/'Metadata'!$B$5)^(O95-1))</x:f>
        <x:v>1778.2794100389228</x:v>
      </x:c>
      <x:c r="U95" s="31" t="n">
        <x:f>IF(T95="","",I95*T95)</x:f>
        <x:v>3233.814848809922</x:v>
      </x:c>
    </x:row>
    <x:row r="96" ht="18" customHeight="1">
      <x:c r="A96" s="24" t="str">
        <x:v>EEZ_024</x:v>
      </x:c>
      <x:c r="B96" s="24" t="str">
        <x:v>Angola</x:v>
      </x:c>
      <x:c r="C96" s="24" t="str">
        <x:v>EEZ</x:v>
      </x:c>
      <x:c r="D96" s="30" t="n">
        <x:v>2019</x:v>
      </x:c>
      <x:c r="E96" s="24" t="str">
        <x:v>Decapoda</x:v>
      </x:c>
      <x:c r="F96" s="24" t="str">
        <x:v>Crabs, lobsters, shrimps</x:v>
      </x:c>
      <x:c r="G96" s="24" t="str">
        <x:v>Lobsters, crabs</x:v>
      </x:c>
      <x:c r="H96" s="24" t="str">
        <x:v>Crustaceans</x:v>
      </x:c>
      <x:c r="I96" s="31" t="n">
        <x:v>1.3889538228</x:v>
      </x:c>
      <x:c r="J96" s="31" t="n">
        <x:v>1.3889538228</x:v>
      </x:c>
      <x:c r="K96" s="31" t="n">
        <x:v>0</x:v>
      </x:c>
      <x:c r="L96" s="31" t="n">
        <x:v>0.07654391490000001</x:v>
      </x:c>
      <x:c r="M96" s="31" t="n">
        <x:v>1.3124099079</x:v>
      </x:c>
      <x:c r="N96" s="24" t="str">
        <x:v>decapoda</x:v>
      </x:c>
      <x:c r="O96" s="32" t="n">
        <x:v>3.43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Decapoda</x:v>
      </x:c>
      <x:c r="T96" s="32" t="n">
        <x:f>IF(O96="","",(1/'Metadata'!$B$5)^(O96-1))</x:f>
        <x:v>269.1534803926917</x:v>
      </x:c>
      <x:c r="U96" s="31" t="n">
        <x:f>IF(T96="","",I96*T96)</x:f>
        <x:v>373.84175551135394</x:v>
      </x:c>
    </x:row>
    <x:row r="97" ht="18" customHeight="1">
      <x:c r="A97" s="24" t="str">
        <x:v>EEZ_024</x:v>
      </x:c>
      <x:c r="B97" s="24" t="str">
        <x:v>Angola</x:v>
      </x:c>
      <x:c r="C97" s="24" t="str">
        <x:v>EEZ</x:v>
      </x:c>
      <x:c r="D97" s="30" t="n">
        <x:v>2019</x:v>
      </x:c>
      <x:c r="E97" s="24" t="str">
        <x:v>Pseudotolithus senegallus</x:v>
      </x:c>
      <x:c r="F97" s="24" t="str">
        <x:v>Law croaker</x:v>
      </x:c>
      <x:c r="G97" s="24" t="str">
        <x:v>Large demersals (&gt;=90 cm)</x:v>
      </x:c>
      <x:c r="H97" s="24" t="str">
        <x:v>Perch-likes</x:v>
      </x:c>
      <x:c r="I97" s="31" t="n">
        <x:v>1.2900349661</x:v>
      </x:c>
      <x:c r="J97" s="31" t="n">
        <x:v>1.2900349661</x:v>
      </x:c>
      <x:c r="K97" s="31" t="n">
        <x:v>0</x:v>
      </x:c>
      <x:c r="L97" s="31" t="n">
        <x:v>1.2900349661</x:v>
      </x:c>
      <x:c r="M97" s="31" t="n">
        <x:v>0</x:v>
      </x:c>
      <x:c r="N97" s="24" t="str">
        <x:v>pseudotolithus senegallus</x:v>
      </x:c>
      <x:c r="O97" s="32" t="n">
        <x:v>3.89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Pseudotolithus senegallus</x:v>
      </x:c>
      <x:c r="T97" s="32" t="n">
        <x:f>IF(O97="","",(1/'Metadata'!$B$5)^(O97-1))</x:f>
        <x:v>776.247116628692</x:v>
      </x:c>
      <x:c r="U97" s="31" t="n">
        <x:f>IF(T97="","",I97*T97)</x:f>
        <x:v>1001.3859227853173</x:v>
      </x:c>
    </x:row>
    <x:row r="98" ht="18" customHeight="1">
      <x:c r="A98" s="24" t="str">
        <x:v>EEZ_024</x:v>
      </x:c>
      <x:c r="B98" s="24" t="str">
        <x:v>Angola</x:v>
      </x:c>
      <x:c r="C98" s="24" t="str">
        <x:v>EEZ</x:v>
      </x:c>
      <x:c r="D98" s="30" t="n">
        <x:v>2019</x:v>
      </x:c>
      <x:c r="E98" s="24" t="str">
        <x:v>Thunnus alalunga</x:v>
      </x:c>
      <x:c r="F98" s="24" t="str">
        <x:v>Albacore</x:v>
      </x:c>
      <x:c r="G98" s="24" t="str">
        <x:v>Large pelagics (&gt;=90 cm)</x:v>
      </x:c>
      <x:c r="H98" s="24" t="str">
        <x:v>Tuna &amp; billfishes</x:v>
      </x:c>
      <x:c r="I98" s="31" t="n">
        <x:v>0.8531287849</x:v>
      </x:c>
      <x:c r="J98" s="31" t="n">
        <x:v>0.8531287849</x:v>
      </x:c>
      <x:c r="K98" s="31" t="n">
        <x:v>0</x:v>
      </x:c>
      <x:c r="L98" s="31" t="n">
        <x:v>0.8531287849</x:v>
      </x:c>
      <x:c r="M98" s="31" t="n">
        <x:v>0</x:v>
      </x:c>
      <x:c r="N98" s="24" t="str">
        <x:v>thunnus alalunga</x:v>
      </x:c>
      <x:c r="O98" s="32" t="n">
        <x:v>4.3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Thunnus alalunga</x:v>
      </x:c>
      <x:c r="T98" s="32" t="n">
        <x:f>IF(O98="","",(1/'Metadata'!$B$5)^(O98-1))</x:f>
        <x:v>1995.2623149688789</x:v>
      </x:c>
      <x:c r="U98" s="31" t="n">
        <x:f>IF(T98="","",I98*T98)</x:f>
        <x:v>1702.2157143261607</x:v>
      </x:c>
    </x:row>
    <x:row r="99" ht="18" customHeight="1">
      <x:c r="A99" s="24" t="str">
        <x:v>EEZ_024</x:v>
      </x:c>
      <x:c r="B99" s="24" t="str">
        <x:v>Angola</x:v>
      </x:c>
      <x:c r="C99" s="24" t="str">
        <x:v>EEZ</x:v>
      </x:c>
      <x:c r="D99" s="30" t="n">
        <x:v>2019</x:v>
      </x:c>
      <x:c r="E99" s="24" t="str">
        <x:v>Makaira nigricans</x:v>
      </x:c>
      <x:c r="F99" s="24" t="str">
        <x:v>Blue marlin</x:v>
      </x:c>
      <x:c r="G99" s="24" t="str">
        <x:v>Large pelagics (&gt;=90 cm)</x:v>
      </x:c>
      <x:c r="H99" s="24" t="str">
        <x:v>Tuna &amp; billfishes</x:v>
      </x:c>
      <x:c r="I99" s="31" t="n">
        <x:v>0.7463613233999999</x:v>
      </x:c>
      <x:c r="J99" s="31" t="n">
        <x:v>0.7463613233999999</x:v>
      </x:c>
      <x:c r="K99" s="31" t="n">
        <x:v>0</x:v>
      </x:c>
      <x:c r="L99" s="31" t="n">
        <x:v>0.7463613233999999</x:v>
      </x:c>
      <x:c r="M99" s="31" t="n">
        <x:v>0</x:v>
      </x:c>
      <x:c r="N99" s="24" t="str">
        <x:v>makaira nigricans</x:v>
      </x:c>
      <x:c r="O99" s="32" t="n">
        <x:v>4.49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Makaira nigricans</x:v>
      </x:c>
      <x:c r="T99" s="32" t="n">
        <x:f>IF(O99="","",(1/'Metadata'!$B$5)^(O99-1))</x:f>
        <x:v>3090.295432513592</x:v>
      </x:c>
      <x:c r="U99" s="31" t="n">
        <x:f>IF(T99="","",I99*T99)</x:f>
        <x:v>2306.4769887078196</x:v>
      </x:c>
    </x:row>
    <x:row r="100" ht="18" customHeight="1">
      <x:c r="A100" s="24" t="str">
        <x:v>EEZ_024</x:v>
      </x:c>
      <x:c r="B100" s="24" t="str">
        <x:v>Angola</x:v>
      </x:c>
      <x:c r="C100" s="24" t="str">
        <x:v>EEZ</x:v>
      </x:c>
      <x:c r="D100" s="30" t="n">
        <x:v>2019</x:v>
      </x:c>
      <x:c r="E100" s="24" t="str">
        <x:v>Caranx rhonchus</x:v>
      </x:c>
      <x:c r="F100" s="24" t="str">
        <x:v>False scad</x:v>
      </x:c>
      <x:c r="G100" s="24" t="str">
        <x:v>Medium benthopelagics (30 - 89 cm)</x:v>
      </x:c>
      <x:c r="H100" s="24" t="str">
        <x:v>Perch-likes</x:v>
      </x:c>
      <x:c r="I100" s="31" t="n">
        <x:v>0.6061705289</x:v>
      </x:c>
      <x:c r="J100" s="31" t="n">
        <x:v>0.6061705289</x:v>
      </x:c>
      <x:c r="K100" s="31" t="n">
        <x:v>0</x:v>
      </x:c>
      <x:c r="L100" s="31" t="n">
        <x:v>0.6061705289</x:v>
      </x:c>
      <x:c r="M100" s="31" t="n">
        <x:v>0</x:v>
      </x:c>
      <x:c r="N100" s="24" t="str">
        <x:v>caranx rhonchus</x:v>
      </x:c>
      <x:c r="O100" s="32" t="n">
        <x:v>3.6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Caranx rhonchus</x:v>
      </x:c>
      <x:c r="T100" s="32" t="n">
        <x:f>IF(O100="","",(1/'Metadata'!$B$5)^(O100-1))</x:f>
        <x:v>398.1071705534973</x:v>
      </x:c>
      <x:c r="U100" s="31" t="n">
        <x:f>IF(T100="","",I100*T100)</x:f>
        <x:v>241.320834133296</x:v>
      </x:c>
    </x:row>
    <x:row r="101" ht="18" customHeight="1">
      <x:c r="A101" s="24" t="str">
        <x:v>EEZ_024</x:v>
      </x:c>
      <x:c r="B101" s="24" t="str">
        <x:v>Angola</x:v>
      </x:c>
      <x:c r="C101" s="24" t="str">
        <x:v>EEZ</x:v>
      </x:c>
      <x:c r="D101" s="30" t="n">
        <x:v>2019</x:v>
      </x:c>
      <x:c r="E101" s="24" t="str">
        <x:v>Chloroscombrus chrysurus</x:v>
      </x:c>
      <x:c r="F101" s="24" t="str">
        <x:v>Atlantic bumper</x:v>
      </x:c>
      <x:c r="G101" s="24" t="str">
        <x:v>Medium pelagics (30 - 89 cm)</x:v>
      </x:c>
      <x:c r="H101" s="24" t="str">
        <x:v>Perch-likes</x:v>
      </x:c>
      <x:c r="I101" s="31" t="n">
        <x:v>0.5685362274</x:v>
      </x:c>
      <x:c r="J101" s="31" t="n">
        <x:v>0</x:v>
      </x:c>
      <x:c r="K101" s="31" t="n">
        <x:v>0.5685362274</x:v>
      </x:c>
      <x:c r="L101" s="31" t="n">
        <x:v>0</x:v>
      </x:c>
      <x:c r="M101" s="31" t="n">
        <x:v>0.5685362274</x:v>
      </x:c>
      <x:c r="N101" s="24" t="str">
        <x:v>chloroscombrus chrysurus</x:v>
      </x:c>
      <x:c r="O101" s="32" t="n">
        <x:v>3.54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Chloroscombrus chrysurus</x:v>
      </x:c>
      <x:c r="T101" s="32" t="n">
        <x:f>IF(O101="","",(1/'Metadata'!$B$5)^(O101-1))</x:f>
        <x:v>346.73685045253166</x:v>
      </x:c>
      <x:c r="U101" s="31" t="n">
        <x:f>IF(T101="","",I101*T101)</x:f>
        <x:v>197.1324608568403</x:v>
      </x:c>
    </x:row>
    <x:row r="102" ht="18" customHeight="1">
      <x:c r="A102" s="24" t="str">
        <x:v>EEZ_024</x:v>
      </x:c>
      <x:c r="B102" s="24" t="str">
        <x:v>Angola</x:v>
      </x:c>
      <x:c r="C102" s="24" t="str">
        <x:v>EEZ</x:v>
      </x:c>
      <x:c r="D102" s="30" t="n">
        <x:v>2019</x:v>
      </x:c>
      <x:c r="E102" s="24" t="str">
        <x:v>Sepiida</x:v>
      </x:c>
      <x:c r="F102" s="24" t="str">
        <x:v>Cuttlefishes, bobtail squids</x:v>
      </x:c>
      <x:c r="G102" s="24" t="str">
        <x:v>Cephalopods</x:v>
      </x:c>
      <x:c r="H102" s="24" t="str">
        <x:v>Other fishes &amp; inverts</x:v>
      </x:c>
      <x:c r="I102" s="31" t="n">
        <x:v>0.5399936797</x:v>
      </x:c>
      <x:c r="J102" s="31" t="n">
        <x:v>0.5399936797</x:v>
      </x:c>
      <x:c r="K102" s="31" t="n">
        <x:v>0</x:v>
      </x:c>
      <x:c r="L102" s="31" t="n">
        <x:v>0.5399936797</x:v>
      </x:c>
      <x:c r="M102" s="31" t="n">
        <x:v>0</x:v>
      </x:c>
      <x:c r="N102" s="24" t="str">
        <x:v>sepiida</x:v>
      </x:c>
      <x:c r="O102" s="32" t="n">
        <x:v>3.7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Sepiida</x:v>
      </x:c>
      <x:c r="T102" s="32" t="n">
        <x:f>IF(O102="","",(1/'Metadata'!$B$5)^(O102-1))</x:f>
        <x:v>501.18723362727246</x:v>
      </x:c>
      <x:c r="U102" s="31" t="n">
        <x:f>IF(T102="","",I102*T102)</x:f>
        <x:v>270.6379385050544</x:v>
      </x:c>
    </x:row>
    <x:row r="103" ht="18" customHeight="1">
      <x:c r="A103" s="24" t="str">
        <x:v>EEZ_024</x:v>
      </x:c>
      <x:c r="B103" s="24" t="str">
        <x:v>Angola</x:v>
      </x:c>
      <x:c r="C103" s="24" t="str">
        <x:v>EEZ</x:v>
      </x:c>
      <x:c r="D103" s="30" t="n">
        <x:v>2019</x:v>
      </x:c>
      <x:c r="E103" s="24" t="str">
        <x:v>Epinephelus goreensis</x:v>
      </x:c>
      <x:c r="F103" s="24" t="str">
        <x:v>Dungat grouper</x:v>
      </x:c>
      <x:c r="G103" s="24" t="str">
        <x:v>Large demersals (&gt;=90 cm)</x:v>
      </x:c>
      <x:c r="H103" s="24" t="str">
        <x:v>Perch-likes</x:v>
      </x:c>
      <x:c r="I103" s="31" t="n">
        <x:v>0.497624904</x:v>
      </x:c>
      <x:c r="J103" s="31" t="n">
        <x:v>0.497624904</x:v>
      </x:c>
      <x:c r="K103" s="31" t="n">
        <x:v>0</x:v>
      </x:c>
      <x:c r="L103" s="31" t="n">
        <x:v>0.497624904</x:v>
      </x:c>
      <x:c r="M103" s="31" t="n">
        <x:v>0</x:v>
      </x:c>
      <x:c r="N103" s="24" t="str">
        <x:v>epinephelus goreensis</x:v>
      </x:c>
      <x:c r="O103" s="32" t="n">
        <x:v>3.94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Epinephelus goreensis</x:v>
      </x:c>
      <x:c r="T103" s="32" t="n">
        <x:f>IF(O103="","",(1/'Metadata'!$B$5)^(O103-1))</x:f>
        <x:v>870.9635899560806</x:v>
      </x:c>
      <x:c r="U103" s="31" t="n">
        <x:f>IF(T103="","",I103*T103)</x:f>
        <x:v>433.4131728393899</x:v>
      </x:c>
    </x:row>
    <x:row r="104" ht="18" customHeight="1">
      <x:c r="A104" s="24" t="str">
        <x:v>EEZ_024</x:v>
      </x:c>
      <x:c r="B104" s="24" t="str">
        <x:v>Angola</x:v>
      </x:c>
      <x:c r="C104" s="24" t="str">
        <x:v>EEZ</x:v>
      </x:c>
      <x:c r="D104" s="30" t="n">
        <x:v>2019</x:v>
      </x:c>
      <x:c r="E104" s="24" t="str">
        <x:v>Crassostrea</x:v>
      </x:c>
      <x:c r="F104" s="24" t="str">
        <x:v>Cupped oysters</x:v>
      </x:c>
      <x:c r="G104" s="24" t="str">
        <x:v>Other demersal invertebrates</x:v>
      </x:c>
      <x:c r="H104" s="24" t="str">
        <x:v>Molluscs</x:v>
      </x:c>
      <x:c r="I104" s="31" t="n">
        <x:v>0.4326739167</x:v>
      </x:c>
      <x:c r="J104" s="31" t="n">
        <x:v>0.4326739167</x:v>
      </x:c>
      <x:c r="K104" s="31" t="n">
        <x:v>0</x:v>
      </x:c>
      <x:c r="L104" s="31" t="n">
        <x:v>0.4326739167</x:v>
      </x:c>
      <x:c r="M104" s="31" t="n">
        <x:v>0</x:v>
      </x:c>
      <x:c r="N104" s="24" t="str">
        <x:v>crassostrea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Crassostrea</x:v>
      </x:c>
      <x:c r="T104" s="32" t="n">
        <x:f>IF(O104="","",(1/'Metadata'!$B$5)^(O104-1))</x:f>
        <x:v>10</x:v>
      </x:c>
      <x:c r="U104" s="31" t="n">
        <x:f>IF(T104="","",I104*T104)</x:f>
        <x:v>4.3267391669999995</x:v>
      </x:c>
    </x:row>
    <x:row r="105" ht="18" customHeight="1">
      <x:c r="A105" s="24" t="str">
        <x:v>EEZ_024</x:v>
      </x:c>
      <x:c r="B105" s="24" t="str">
        <x:v>Angola</x:v>
      </x:c>
      <x:c r="C105" s="24" t="str">
        <x:v>EEZ</x:v>
      </x:c>
      <x:c r="D105" s="30" t="n">
        <x:v>2019</x:v>
      </x:c>
      <x:c r="E105" s="24" t="str">
        <x:v>Penaeus kerathurus</x:v>
      </x:c>
      <x:c r="F105" s="24" t="str">
        <x:v>Caramote prawn</x:v>
      </x:c>
      <x:c r="G105" s="24" t="str">
        <x:v>Shrimps</x:v>
      </x:c>
      <x:c r="H105" s="24" t="str">
        <x:v>Crustaceans</x:v>
      </x:c>
      <x:c r="I105" s="31" t="n">
        <x:v>0.3969916152</x:v>
      </x:c>
      <x:c r="J105" s="31" t="n">
        <x:v>0.3969916152</x:v>
      </x:c>
      <x:c r="K105" s="31" t="n">
        <x:v>0</x:v>
      </x:c>
      <x:c r="L105" s="31" t="n">
        <x:v>0.3969916152</x:v>
      </x:c>
      <x:c r="M105" s="31" t="n">
        <x:v>0</x:v>
      </x:c>
      <x:c r="N105" s="24" t="str">
        <x:v>penaeus kerathurus</x:v>
      </x:c>
      <x:c r="O105" s="32" t="n">
        <x:v>2.7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Penaeus kerathurus</x:v>
      </x:c>
      <x:c r="T105" s="32" t="n">
        <x:f>IF(O105="","",(1/'Metadata'!$B$5)^(O105-1))</x:f>
        <x:v>50.11872336272725</x:v>
      </x:c>
      <x:c r="U105" s="31" t="n">
        <x:f>IF(T105="","",I105*T105)</x:f>
        <x:v>19.896712939531067</x:v>
      </x:c>
    </x:row>
    <x:row r="106" ht="18" customHeight="1">
      <x:c r="A106" s="24" t="str">
        <x:v>EEZ_024</x:v>
      </x:c>
      <x:c r="B106" s="24" t="str">
        <x:v>Angola</x:v>
      </x:c>
      <x:c r="C106" s="24" t="str">
        <x:v>EEZ</x:v>
      </x:c>
      <x:c r="D106" s="30" t="n">
        <x:v>2019</x:v>
      </x:c>
      <x:c r="E106" s="24" t="str">
        <x:v>Squalus blainville</x:v>
      </x:c>
      <x:c r="F106" s="24" t="str">
        <x:v>Longnose spurdog</x:v>
      </x:c>
      <x:c r="G106" s="24" t="str">
        <x:v>Small to medium sharks (&lt;90 cm)</x:v>
      </x:c>
      <x:c r="H106" s="24" t="str">
        <x:v>Sharks &amp; rays</x:v>
      </x:c>
      <x:c r="I106" s="31" t="n">
        <x:v>0.3719638588</x:v>
      </x:c>
      <x:c r="J106" s="31" t="n">
        <x:v>0.3719638588</x:v>
      </x:c>
      <x:c r="K106" s="31" t="n">
        <x:v>0</x:v>
      </x:c>
      <x:c r="L106" s="31" t="n">
        <x:v>0.3719638588</x:v>
      </x:c>
      <x:c r="M106" s="31" t="n">
        <x:v>0</x:v>
      </x:c>
      <x:c r="N106" s="24" t="str">
        <x:v>squalus blainville</x:v>
      </x:c>
      <x:c r="O106" s="32" t="n">
        <x:v>3.97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Squalus blainville</x:v>
      </x:c>
      <x:c r="T106" s="32" t="n">
        <x:f>IF(O106="","",(1/'Metadata'!$B$5)^(O106-1))</x:f>
        <x:v>933.2543007969915</x:v>
      </x:c>
      <x:c r="U106" s="31" t="n">
        <x:f>IF(T106="","",I106*T106)</x:f>
        <x:v>347.1368709661449</x:v>
      </x:c>
    </x:row>
    <x:row r="107" ht="18" customHeight="1">
      <x:c r="A107" s="24" t="str">
        <x:v>EEZ_024</x:v>
      </x:c>
      <x:c r="B107" s="24" t="str">
        <x:v>Angola</x:v>
      </x:c>
      <x:c r="C107" s="24" t="str">
        <x:v>EEZ</x:v>
      </x:c>
      <x:c r="D107" s="30" t="n">
        <x:v>2019</x:v>
      </x:c>
      <x:c r="E107" s="24" t="str">
        <x:v>Sepia</x:v>
      </x:c>
      <x:c r="F107" s="24" t="str">
        <x:v>Sepia cuttlefishes</x:v>
      </x:c>
      <x:c r="G107" s="24" t="str">
        <x:v>Cephalopods</x:v>
      </x:c>
      <x:c r="H107" s="24" t="str">
        <x:v>Other fishes &amp; inverts</x:v>
      </x:c>
      <x:c r="I107" s="31" t="n">
        <x:v>0.3384749313</x:v>
      </x:c>
      <x:c r="J107" s="31" t="n">
        <x:v>0</x:v>
      </x:c>
      <x:c r="K107" s="31" t="n">
        <x:v>0.3384749313</x:v>
      </x:c>
      <x:c r="L107" s="31" t="n">
        <x:v>0</x:v>
      </x:c>
      <x:c r="M107" s="31" t="n">
        <x:v>0.3384749313</x:v>
      </x:c>
      <x:c r="N107" s="24" t="str">
        <x:v>sepia</x:v>
      </x:c>
      <x:c r="O107" s="32" t="n">
        <x:v>3.69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Sepia</x:v>
      </x:c>
      <x:c r="T107" s="32" t="n">
        <x:f>IF(O107="","",(1/'Metadata'!$B$5)^(O107-1))</x:f>
        <x:v>489.77881936844614</x:v>
      </x:c>
      <x:c r="U107" s="31" t="n">
        <x:f>IF(T107="","",I107*T107)</x:f>
        <x:v>165.77785223792992</x:v>
      </x:c>
    </x:row>
    <x:row r="108" ht="18" customHeight="1">
      <x:c r="A108" s="24" t="str">
        <x:v>EEZ_024</x:v>
      </x:c>
      <x:c r="B108" s="24" t="str">
        <x:v>Angola</x:v>
      </x:c>
      <x:c r="C108" s="24" t="str">
        <x:v>EEZ</x:v>
      </x:c>
      <x:c r="D108" s="30" t="n">
        <x:v>2019</x:v>
      </x:c>
      <x:c r="E108" s="24" t="str">
        <x:v>Caranx crysos</x:v>
      </x:c>
      <x:c r="F108" s="24" t="str">
        <x:v>Blue runner</x:v>
      </x:c>
      <x:c r="G108" s="24" t="str">
        <x:v>Medium reef assoc. fish (30 - 89 cm)</x:v>
      </x:c>
      <x:c r="H108" s="24" t="str">
        <x:v>Perch-likes</x:v>
      </x:c>
      <x:c r="I108" s="31" t="n">
        <x:v>0.2006887714</x:v>
      </x:c>
      <x:c r="J108" s="31" t="n">
        <x:v>0.2006887714</x:v>
      </x:c>
      <x:c r="K108" s="31" t="n">
        <x:v>0</x:v>
      </x:c>
      <x:c r="L108" s="31" t="n">
        <x:v>0.2006887714</x:v>
      </x:c>
      <x:c r="M108" s="31" t="n">
        <x:v>0</x:v>
      </x:c>
      <x:c r="N108" s="24" t="str">
        <x:v>caranx crysos</x:v>
      </x:c>
      <x:c r="O108" s="32" t="n">
        <x:v>4.13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Caranx crysos</x:v>
      </x:c>
      <x:c r="T108" s="32" t="n">
        <x:f>IF(O108="","",(1/'Metadata'!$B$5)^(O108-1))</x:f>
        <x:v>1348.9628825916532</x:v>
      </x:c>
      <x:c r="U108" s="31" t="n">
        <x:f>IF(T108="","",I108*T108)</x:f>
        <x:v>270.7217035715213</x:v>
      </x:c>
    </x:row>
    <x:row r="109" ht="18" customHeight="1">
      <x:c r="A109" s="24" t="str">
        <x:v>EEZ_024</x:v>
      </x:c>
      <x:c r="B109" s="24" t="str">
        <x:v>Angola</x:v>
      </x:c>
      <x:c r="C109" s="24" t="str">
        <x:v>EEZ</x:v>
      </x:c>
      <x:c r="D109" s="30" t="n">
        <x:v>2019</x:v>
      </x:c>
      <x:c r="E109" s="24" t="str">
        <x:v>Tetrapturus pfluegeri</x:v>
      </x:c>
      <x:c r="F109" s="24" t="str">
        <x:v>Longbill spearfish</x:v>
      </x:c>
      <x:c r="G109" s="24" t="str">
        <x:v>Large pelagics (&gt;=90 cm)</x:v>
      </x:c>
      <x:c r="H109" s="24" t="str">
        <x:v>Tuna &amp; billfishes</x:v>
      </x:c>
      <x:c r="I109" s="31" t="n">
        <x:v>0.1971177438</x:v>
      </x:c>
      <x:c r="J109" s="31" t="n">
        <x:v>0.1971177438</x:v>
      </x:c>
      <x:c r="K109" s="31" t="n">
        <x:v>0</x:v>
      </x:c>
      <x:c r="L109" s="31" t="n">
        <x:v>0.1971177438</x:v>
      </x:c>
      <x:c r="M109" s="31" t="n">
        <x:v>0</x:v>
      </x:c>
      <x:c r="N109" s="24" t="str">
        <x:v>tetrapturus pfluegeri</x:v>
      </x:c>
      <x:c r="O109" s="32" t="n">
        <x:v>4.4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Tetrapturus pfluegeri</x:v>
      </x:c>
      <x:c r="T109" s="32" t="n">
        <x:f>IF(O109="","",(1/'Metadata'!$B$5)^(O109-1))</x:f>
        <x:v>2511.886431509582</x:v>
      </x:c>
      <x:c r="U109" s="31" t="n">
        <x:f>IF(T109="","",I109*T109)</x:f>
        <x:v>495.137386061002</x:v>
      </x:c>
    </x:row>
    <x:row r="110" ht="18" customHeight="1">
      <x:c r="A110" s="24" t="str">
        <x:v>EEZ_024</x:v>
      </x:c>
      <x:c r="B110" s="24" t="str">
        <x:v>Angola</x:v>
      </x:c>
      <x:c r="C110" s="24" t="str">
        <x:v>EEZ</x:v>
      </x:c>
      <x:c r="D110" s="30" t="n">
        <x:v>2019</x:v>
      </x:c>
      <x:c r="E110" s="24" t="str">
        <x:v>Istiophoridae</x:v>
      </x:c>
      <x:c r="F110" s="24" t="str">
        <x:v>Billfishes</x:v>
      </x:c>
      <x:c r="G110" s="24" t="str">
        <x:v>Large pelagics (&gt;=90 cm)</x:v>
      </x:c>
      <x:c r="H110" s="24" t="str">
        <x:v>Tuna &amp; billfishes</x:v>
      </x:c>
      <x:c r="I110" s="31" t="n">
        <x:v>0.1617649478</x:v>
      </x:c>
      <x:c r="J110" s="31" t="n">
        <x:v>0.1617649478</x:v>
      </x:c>
      <x:c r="K110" s="31" t="n">
        <x:v>0</x:v>
      </x:c>
      <x:c r="L110" s="31" t="n">
        <x:v>0.1617649478</x:v>
      </x:c>
      <x:c r="M110" s="31" t="n">
        <x:v>0</x:v>
      </x:c>
      <x:c r="N110" s="24" t="str">
        <x:v>istiophoridae</x:v>
      </x:c>
      <x:c r="O110" s="32" t="n">
        <x:v>4.48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Istiophoridae</x:v>
      </x:c>
      <x:c r="T110" s="32" t="n">
        <x:f>IF(O110="","",(1/'Metadata'!$B$5)^(O110-1))</x:f>
        <x:v>3019.951720402019</x:v>
      </x:c>
      <x:c r="U110" s="31" t="n">
        <x:f>IF(T110="","",I110*T110)</x:f>
        <x:v>488.5223324093528</x:v>
      </x:c>
    </x:row>
    <x:row r="111" ht="18" customHeight="1">
      <x:c r="A111" s="24" t="str">
        <x:v>EEZ_024</x:v>
      </x:c>
      <x:c r="B111" s="24" t="str">
        <x:v>Angola</x:v>
      </x:c>
      <x:c r="C111" s="24" t="str">
        <x:v>EEZ</x:v>
      </x:c>
      <x:c r="D111" s="30" t="n">
        <x:v>2019</x:v>
      </x:c>
      <x:c r="E111" s="24" t="str">
        <x:v>Caranx senegallus</x:v>
      </x:c>
      <x:c r="F111" s="24" t="str">
        <x:v>Senegal jack</x:v>
      </x:c>
      <x:c r="G111" s="24" t="str">
        <x:v>Medium benthopelagics (30 - 89 cm)</x:v>
      </x:c>
      <x:c r="H111" s="24" t="str">
        <x:v>Perch-likes</x:v>
      </x:c>
      <x:c r="I111" s="31" t="n">
        <x:v>0.1280721347</x:v>
      </x:c>
      <x:c r="J111" s="31" t="n">
        <x:v>0.1280721347</x:v>
      </x:c>
      <x:c r="K111" s="31" t="n">
        <x:v>0</x:v>
      </x:c>
      <x:c r="L111" s="31" t="n">
        <x:v>0.1280721347</x:v>
      </x:c>
      <x:c r="M111" s="31" t="n">
        <x:v>0</x:v>
      </x:c>
      <x:c r="N111" s="24" t="str">
        <x:v>caranx senegallus</x:v>
      </x:c>
      <x:c r="O111" s="32" t="n">
        <x:v>3.86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senegallus</x:v>
      </x:c>
      <x:c r="T111" s="32" t="n">
        <x:f>IF(O111="","",(1/'Metadata'!$B$5)^(O111-1))</x:f>
        <x:v>724.4359600749899</x:v>
      </x:c>
      <x:c r="U111" s="31" t="n">
        <x:f>IF(T111="","",I111*T111)</x:f>
        <x:v>92.78005986024793</x:v>
      </x:c>
    </x:row>
    <x:row r="112" ht="18" customHeight="1">
      <x:c r="A112" s="24" t="str">
        <x:v>EEZ_024</x:v>
      </x:c>
      <x:c r="B112" s="24" t="str">
        <x:v>Angola</x:v>
      </x:c>
      <x:c r="C112" s="24" t="str">
        <x:v>EEZ</x:v>
      </x:c>
      <x:c r="D112" s="30" t="n">
        <x:v>2019</x:v>
      </x:c>
      <x:c r="E112" s="24" t="str">
        <x:v>Panulirus</x:v>
      </x:c>
      <x:c r="F112" s="24" t="str">
        <x:v>Spiny lobsters</x:v>
      </x:c>
      <x:c r="G112" s="24" t="str">
        <x:v>Lobsters, crabs</x:v>
      </x:c>
      <x:c r="H112" s="24" t="str">
        <x:v>Crustaceans</x:v>
      </x:c>
      <x:c r="I112" s="31" t="n">
        <x:v>0.0979749832</x:v>
      </x:c>
      <x:c r="J112" s="31" t="n">
        <x:v>0.0979749832</x:v>
      </x:c>
      <x:c r="K112" s="31" t="n">
        <x:v>0</x:v>
      </x:c>
      <x:c r="L112" s="31" t="n">
        <x:v>0.0979749832</x:v>
      </x:c>
      <x:c r="M112" s="31" t="n">
        <x:v>0</x:v>
      </x:c>
      <x:c r="N112" s="24" t="str">
        <x:v>panulirus</x:v>
      </x:c>
      <x:c r="O112" s="32" t="n">
        <x:v>2.6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Panulirus</x:v>
      </x:c>
      <x:c r="T112" s="32" t="n">
        <x:f>IF(O112="","",(1/'Metadata'!$B$5)^(O112-1))</x:f>
        <x:v>39.810717055349734</x:v>
      </x:c>
      <x:c r="U112" s="31" t="n">
        <x:f>IF(T112="","",I112*T112)</x:f>
        <x:v>3.900454334677844</x:v>
      </x:c>
    </x:row>
    <x:row r="113" ht="18" customHeight="1">
      <x:c r="A113" s="24" t="str">
        <x:v>EEZ_024</x:v>
      </x:c>
      <x:c r="B113" s="24" t="str">
        <x:v>Angola</x:v>
      </x:c>
      <x:c r="C113" s="24" t="str">
        <x:v>EEZ</x:v>
      </x:c>
      <x:c r="D113" s="30" t="n">
        <x:v>2019</x:v>
      </x:c>
      <x:c r="E113" s="24" t="str">
        <x:v>Dentex angolensis</x:v>
      </x:c>
      <x:c r="F113" s="24" t="str">
        <x:v>Angolan dentex</x:v>
      </x:c>
      <x:c r="G113" s="24" t="str">
        <x:v>Small demersals (&lt;30 cm)</x:v>
      </x:c>
      <x:c r="H113" s="24" t="str">
        <x:v>Perch-likes</x:v>
      </x:c>
      <x:c r="I113" s="31" t="n">
        <x:v>0.0564671058</x:v>
      </x:c>
      <x:c r="J113" s="31" t="n">
        <x:v>0.0564671058</x:v>
      </x:c>
      <x:c r="K113" s="31" t="n">
        <x:v>0</x:v>
      </x:c>
      <x:c r="L113" s="31" t="n">
        <x:v>0.0564671058</x:v>
      </x:c>
      <x:c r="M113" s="31" t="n">
        <x:v>0</x:v>
      </x:c>
      <x:c r="N113" s="24" t="str">
        <x:v>dentex angolensis</x:v>
      </x:c>
      <x:c r="O113" s="32" t="n">
        <x:v>3.52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Dentex angolensis</x:v>
      </x:c>
      <x:c r="T113" s="32" t="n">
        <x:f>IF(O113="","",(1/'Metadata'!$B$5)^(O113-1))</x:f>
        <x:v>331.1311214825911</x:v>
      </x:c>
      <x:c r="U113" s="31" t="n">
        <x:f>IF(T113="","",I113*T113)</x:f>
        <x:v>18.698016070430125</x:v>
      </x:c>
    </x:row>
    <x:row r="114" ht="18" customHeight="1">
      <x:c r="A114" s="24" t="str">
        <x:v>EEZ_024</x:v>
      </x:c>
      <x:c r="B114" s="24" t="str">
        <x:v>Angola</x:v>
      </x:c>
      <x:c r="C114" s="24" t="str">
        <x:v>EEZ</x:v>
      </x:c>
      <x:c r="D114" s="30" t="n">
        <x:v>2019</x:v>
      </x:c>
      <x:c r="E114" s="24" t="str">
        <x:v>Muraenidae</x:v>
      </x:c>
      <x:c r="F114" s="24" t="str">
        <x:v>Moray eels</x:v>
      </x:c>
      <x:c r="G114" s="24" t="str">
        <x:v>Large reef assoc. fish (&gt;=90 cm)</x:v>
      </x:c>
      <x:c r="H114" s="24" t="str">
        <x:v>Other fishes &amp; inverts</x:v>
      </x:c>
      <x:c r="I114" s="31" t="n">
        <x:v>0.0530055012</x:v>
      </x:c>
      <x:c r="J114" s="31" t="n">
        <x:v>0.0530055012</x:v>
      </x:c>
      <x:c r="K114" s="31" t="n">
        <x:v>0</x:v>
      </x:c>
      <x:c r="L114" s="31" t="n">
        <x:v>0.0530055012</x:v>
      </x:c>
      <x:c r="M114" s="31" t="n">
        <x:v>0</x:v>
      </x:c>
      <x:c r="N114" s="24" t="str">
        <x:v>muraenidae</x:v>
      </x:c>
      <x:c r="O114" s="32" t="n">
        <x:v>4.07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Muraenidae</x:v>
      </x:c>
      <x:c r="T114" s="32" t="n">
        <x:f>IF(O114="","",(1/'Metadata'!$B$5)^(O114-1))</x:f>
        <x:v>1174.8975549395302</x:v>
      </x:c>
      <x:c r="U114" s="31" t="n">
        <x:f>IF(T114="","",I114*T114)</x:f>
        <x:v>62.27603375822434</x:v>
      </x:c>
    </x:row>
    <x:row r="115" ht="18" customHeight="1">
      <x:c r="A115" s="24" t="str">
        <x:v>EEZ_024</x:v>
      </x:c>
      <x:c r="B115" s="24" t="str">
        <x:v>Angola</x:v>
      </x:c>
      <x:c r="C115" s="24" t="str">
        <x:v>EEZ</x:v>
      </x:c>
      <x:c r="D115" s="30" t="n">
        <x:v>2019</x:v>
      </x:c>
      <x:c r="E115" s="24" t="str">
        <x:v>Isurus paucus</x:v>
      </x:c>
      <x:c r="F115" s="24" t="str">
        <x:v>Longfin mako</x:v>
      </x:c>
      <x:c r="G115" s="24" t="str">
        <x:v>Large sharks (&gt;=90 cm)</x:v>
      </x:c>
      <x:c r="H115" s="24" t="str">
        <x:v>Sharks &amp; rays</x:v>
      </x:c>
      <x:c r="I115" s="31" t="n">
        <x:v>0.044680779600000005</x:v>
      </x:c>
      <x:c r="J115" s="31" t="n">
        <x:v>0.044680779600000005</x:v>
      </x:c>
      <x:c r="K115" s="31" t="n">
        <x:v>0</x:v>
      </x:c>
      <x:c r="L115" s="31" t="n">
        <x:v>0.044680779600000005</x:v>
      </x:c>
      <x:c r="M115" s="31" t="n">
        <x:v>0</x:v>
      </x:c>
      <x:c r="N115" s="24" t="str">
        <x:v>isurus paucus</x:v>
      </x:c>
      <x:c r="O115" s="32" t="n">
        <x:v>4.51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Isurus paucus</x:v>
      </x:c>
      <x:c r="T115" s="32" t="n">
        <x:f>IF(O115="","",(1/'Metadata'!$B$5)^(O115-1))</x:f>
        <x:v>3235.936569296281</x:v>
      </x:c>
      <x:c r="U115" s="31" t="n">
        <x:f>IF(T115="","",I115*T115)</x:f>
        <x:v>144.58416865230728</x:v>
      </x:c>
    </x:row>
    <x:row r="116" ht="18" customHeight="1">
      <x:c r="A116" s="24" t="str">
        <x:v>EEZ_024</x:v>
      </x:c>
      <x:c r="B116" s="24" t="str">
        <x:v>Angola</x:v>
      </x:c>
      <x:c r="C116" s="24" t="str">
        <x:v>EEZ</x:v>
      </x:c>
      <x:c r="D116" s="30" t="n">
        <x:v>2019</x:v>
      </x:c>
      <x:c r="E116" s="24" t="str">
        <x:v>Dicologlossa cuneata</x:v>
      </x:c>
      <x:c r="F116" s="24" t="str">
        <x:v>Wedge sole</x:v>
      </x:c>
      <x:c r="G116" s="24" t="str">
        <x:v>Small to medium flatfishes (&lt;90 cm)</x:v>
      </x:c>
      <x:c r="H116" s="24" t="str">
        <x:v>Flatfishes</x:v>
      </x:c>
      <x:c r="I116" s="31" t="n">
        <x:v>0.0433927642</x:v>
      </x:c>
      <x:c r="J116" s="31" t="n">
        <x:v>0.0433927642</x:v>
      </x:c>
      <x:c r="K116" s="31" t="n">
        <x:v>0</x:v>
      </x:c>
      <x:c r="L116" s="31" t="n">
        <x:v>0.0433927642</x:v>
      </x:c>
      <x:c r="M116" s="31" t="n">
        <x:v>0</x:v>
      </x:c>
      <x:c r="N116" s="24" t="str">
        <x:v>dicologlossa cuneata</x:v>
      </x:c>
      <x:c r="O116" s="32" t="n">
        <x:v>3.32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Dicologlossa cuneata</x:v>
      </x:c>
      <x:c r="T116" s="32" t="n">
        <x:f>IF(O116="","",(1/'Metadata'!$B$5)^(O116-1))</x:f>
        <x:v>208.92961308540387</x:v>
      </x:c>
      <x:c r="U116" s="31" t="n">
        <x:f>IF(T116="","",I116*T116)</x:f>
        <x:v>9.066033435012166</x:v>
      </x:c>
    </x:row>
    <x:row r="117" ht="18" customHeight="1">
      <x:c r="A117" s="24" t="str">
        <x:v>EEZ_024</x:v>
      </x:c>
      <x:c r="B117" s="24" t="str">
        <x:v>Angola</x:v>
      </x:c>
      <x:c r="C117" s="24" t="str">
        <x:v>EEZ</x:v>
      </x:c>
      <x:c r="D117" s="30" t="n">
        <x:v>2019</x:v>
      </x:c>
      <x:c r="E117" s="24" t="str">
        <x:v>Epinephelus aeneus</x:v>
      </x:c>
      <x:c r="F117" s="24" t="str">
        <x:v>White grouper</x:v>
      </x:c>
      <x:c r="G117" s="24" t="str">
        <x:v>Large demersals (&gt;=90 cm)</x:v>
      </x:c>
      <x:c r="H117" s="24" t="str">
        <x:v>Perch-likes</x:v>
      </x:c>
      <x:c r="I117" s="31" t="n">
        <x:v>0.030329952299999997</x:v>
      </x:c>
      <x:c r="J117" s="31" t="n">
        <x:v>0.030329952299999997</x:v>
      </x:c>
      <x:c r="K117" s="31" t="n">
        <x:v>0</x:v>
      </x:c>
      <x:c r="L117" s="31" t="n">
        <x:v>0.030329952299999997</x:v>
      </x:c>
      <x:c r="M117" s="31" t="n">
        <x:v>0</x:v>
      </x:c>
      <x:c r="N117" s="24" t="str">
        <x:v>epinephelus aeneus</x:v>
      </x:c>
      <x:c r="O117" s="32" t="n">
        <x:v>4.02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Epinephelus aeneus</x:v>
      </x:c>
      <x:c r="T117" s="32" t="n">
        <x:f>IF(O117="","",(1/'Metadata'!$B$5)^(O117-1))</x:f>
        <x:v>1047.1285480508984</x:v>
      </x:c>
      <x:c r="U117" s="31" t="n">
        <x:f>IF(T117="","",I117*T117)</x:f>
        <x:v>31.759358914352003</x:v>
      </x:c>
    </x:row>
    <x:row r="118" ht="18" customHeight="1">
      <x:c r="A118" s="24" t="str">
        <x:v>EEZ_024</x:v>
      </x:c>
      <x:c r="B118" s="24" t="str">
        <x:v>Angola</x:v>
      </x:c>
      <x:c r="C118" s="24" t="str">
        <x:v>EEZ</x:v>
      </x:c>
      <x:c r="D118" s="30" t="n">
        <x:v>2019</x:v>
      </x:c>
      <x:c r="E118" s="24" t="str">
        <x:v>Arnoglossus laterna</x:v>
      </x:c>
      <x:c r="F118" s="24" t="str">
        <x:v>Mediterranean scaldfish</x:v>
      </x:c>
      <x:c r="G118" s="24" t="str">
        <x:v>Small to medium flatfishes (&lt;90 cm)</x:v>
      </x:c>
      <x:c r="H118" s="24" t="str">
        <x:v>Flatfishes</x:v>
      </x:c>
      <x:c r="I118" s="31" t="n">
        <x:v>0.0295906083</x:v>
      </x:c>
      <x:c r="J118" s="31" t="n">
        <x:v>0.0295906083</x:v>
      </x:c>
      <x:c r="K118" s="31" t="n">
        <x:v>0</x:v>
      </x:c>
      <x:c r="L118" s="31" t="n">
        <x:v>0.0295906083</x:v>
      </x:c>
      <x:c r="M118" s="31" t="n">
        <x:v>0</x:v>
      </x:c>
      <x:c r="N118" s="24" t="str">
        <x:v>arnoglossus laterna</x:v>
      </x:c>
      <x:c r="O118" s="32" t="n">
        <x:v>3.59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Arnoglossus laterna</x:v>
      </x:c>
      <x:c r="T118" s="32" t="n">
        <x:f>IF(O118="","",(1/'Metadata'!$B$5)^(O118-1))</x:f>
        <x:v>389.04514499428046</x:v>
      </x:c>
      <x:c r="U118" s="31" t="n">
        <x:f>IF(T118="","",I118*T118)</x:f>
        <x:v>11.51208249654246</x:v>
      </x:c>
    </x:row>
    <x:row r="119" ht="18" customHeight="1">
      <x:c r="A119" s="24" t="str">
        <x:v>EEZ_024</x:v>
      </x:c>
      <x:c r="B119" s="24" t="str">
        <x:v>Angola</x:v>
      </x:c>
      <x:c r="C119" s="24" t="str">
        <x:v>EEZ</x:v>
      </x:c>
      <x:c r="D119" s="30" t="n">
        <x:v>2019</x:v>
      </x:c>
      <x:c r="E119" s="24" t="str">
        <x:v>Rhinobatidae</x:v>
      </x:c>
      <x:c r="F119" s="24" t="str">
        <x:v>Guitarfishes, fanrays</x:v>
      </x:c>
      <x:c r="G119" s="24" t="str">
        <x:v>Large rays (&gt;=90 cm)</x:v>
      </x:c>
      <x:c r="H119" s="24" t="str">
        <x:v>Sharks &amp; rays</x:v>
      </x:c>
      <x:c r="I119" s="31" t="n">
        <x:v>0.0200340841</x:v>
      </x:c>
      <x:c r="J119" s="31" t="n">
        <x:v>0.0200340841</x:v>
      </x:c>
      <x:c r="K119" s="31" t="n">
        <x:v>0</x:v>
      </x:c>
      <x:c r="L119" s="31" t="n">
        <x:v>0.0200340841</x:v>
      </x:c>
      <x:c r="M119" s="31" t="n">
        <x:v>0</x:v>
      </x:c>
      <x:c r="N119" s="24" t="str">
        <x:v>rhinobatidae</x:v>
      </x:c>
      <x:c r="O119" s="32" t="n">
        <x:v>3.7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Rhinobatidae</x:v>
      </x:c>
      <x:c r="T119" s="32" t="n">
        <x:f>IF(O119="","",(1/'Metadata'!$B$5)^(O119-1))</x:f>
        <x:v>501.18723362727246</x:v>
      </x:c>
      <x:c r="U119" s="31" t="n">
        <x:f>IF(T119="","",I119*T119)</x:f>
        <x:v>10.040827188335124</x:v>
      </x:c>
    </x:row>
    <x:row r="120" ht="18" customHeight="1">
      <x:c r="A120" s="24" t="str">
        <x:v>EEZ_024</x:v>
      </x:c>
      <x:c r="B120" s="24" t="str">
        <x:v>Angola</x:v>
      </x:c>
      <x:c r="C120" s="24" t="str">
        <x:v>EEZ</x:v>
      </x:c>
      <x:c r="D120" s="30" t="n">
        <x:v>2019</x:v>
      </x:c>
      <x:c r="E120" s="24" t="str">
        <x:v>Kajikia albida</x:v>
      </x:c>
      <x:c r="F120" s="24" t="str">
        <x:v>Atlantic white marlin</x:v>
      </x:c>
      <x:c r="G120" s="24" t="str">
        <x:v>Large pelagics (&gt;=90 cm)</x:v>
      </x:c>
      <x:c r="H120" s="24" t="str">
        <x:v>Tuna &amp; billfishes</x:v>
      </x:c>
      <x:c r="I120" s="31" t="n">
        <x:v>0.0194659878</x:v>
      </x:c>
      <x:c r="J120" s="31" t="n">
        <x:v>0.0194659878</x:v>
      </x:c>
      <x:c r="K120" s="31" t="n">
        <x:v>0</x:v>
      </x:c>
      <x:c r="L120" s="31" t="n">
        <x:v>0.0194659878</x:v>
      </x:c>
      <x:c r="M120" s="31" t="n">
        <x:v>0</x:v>
      </x:c>
      <x:c r="N120" s="24" t="str">
        <x:v>kajikia albida</x:v>
      </x:c>
      <x:c r="O120" s="32" t="n">
        <x:v>4.49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Kajikia albida</x:v>
      </x:c>
      <x:c r="T120" s="32" t="n">
        <x:f>IF(O120="","",(1/'Metadata'!$B$5)^(O120-1))</x:f>
        <x:v>3090.295432513592</x:v>
      </x:c>
      <x:c r="U120" s="31" t="n">
        <x:f>IF(T120="","",I120*T120)</x:f>
        <x:v>60.155653187705305</x:v>
      </x:c>
    </x:row>
    <x:row r="121" ht="18" customHeight="1">
      <x:c r="A121" s="24" t="str">
        <x:v>EEZ_024</x:v>
      </x:c>
      <x:c r="B121" s="24" t="str">
        <x:v>Angola</x:v>
      </x:c>
      <x:c r="C121" s="24" t="str">
        <x:v>EEZ</x:v>
      </x:c>
      <x:c r="D121" s="30" t="n">
        <x:v>2019</x:v>
      </x:c>
      <x:c r="E121" s="24" t="str">
        <x:v>Brama brama</x:v>
      </x:c>
      <x:c r="F121" s="24" t="str">
        <x:v>Atlantic pomfret</x:v>
      </x:c>
      <x:c r="G121" s="24" t="str">
        <x:v>Medium bathypelagics (30 - 89 cm)</x:v>
      </x:c>
      <x:c r="H121" s="24" t="str">
        <x:v>Perch-likes</x:v>
      </x:c>
      <x:c r="I121" s="31" t="n">
        <x:v>0.0001741699</x:v>
      </x:c>
      <x:c r="J121" s="31" t="n">
        <x:v>0.0001741699</x:v>
      </x:c>
      <x:c r="K121" s="31" t="n">
        <x:v>0</x:v>
      </x:c>
      <x:c r="L121" s="31" t="n">
        <x:v>0.0001741699</x:v>
      </x:c>
      <x:c r="M121" s="31" t="n">
        <x:v>0</x:v>
      </x:c>
      <x:c r="N121" s="24" t="str">
        <x:v>brama brama</x:v>
      </x:c>
      <x:c r="O121" s="32" t="n">
        <x:v>4.08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Brama brama</x:v>
      </x:c>
      <x:c r="T121" s="32" t="n">
        <x:f>IF(O121="","",(1/'Metadata'!$B$5)^(O121-1))</x:f>
        <x:v>1202.2644346174131</x:v>
      </x:c>
      <x:c r="U121" s="31" t="n">
        <x:f>IF(T121="","",I121*T121)</x:f>
        <x:v>0.20939827635087138</x:v>
      </x:c>
    </x:row>
  </x:sheetData>
  <x:conditionalFormatting sqref="R2:R12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fd520ab8b3d47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2</x:v>
      </x:c>
      <x:c r="C2" s="33" t="n">
        <x:v>2</x:v>
      </x:c>
      <x:c r="D2" s="31" t="n">
        <x:v>12522.0648222317</x:v>
      </x:c>
      <x:c r="E2" s="31" t="n">
        <x:v>12522.0648222317</x:v>
      </x:c>
      <x:c r="F2" s="32" t="n">
        <x:v>0</x:v>
      </x:c>
      <x:c r="G2" s="34" t="n">
        <x:v>1</x:v>
      </x:c>
      <x:c r="H2" s="32" t="n">
        <x:f>IF(E2=0,"",I2/E2)</x:f>
        <x:v>2802.7787220264318</x:v>
      </x:c>
      <x:c r="I2" s="31" t="n">
        <x:f>IF(C2=0,"",SUMIF('Species'!$H$2:$H$121,A2,'Species'!$U$2:$U$121))</x:f>
        <x:v>35096576.8395867</x:v>
      </x:c>
      <x:c r="J2" s="32" t="n">
        <x:v>4.444893474717754</x:v>
      </x:c>
      <x:c r="K2" s="32" t="n">
        <x:f>IF(J2="","",(1/'Metadata'!$B$5)^(J2-1))</x:f>
        <x:v>2785.4378628083437</x:v>
      </x:c>
      <x:c r="L2" s="31" t="n">
        <x:f>IF(E2=0,"",E2*K2)</x:f>
        <x:v>34879433.47638461</x:v>
      </x:c>
      <x:c r="M2" s="31" t="n">
        <x:f>IF(E2=0,"",I2-L2)</x:f>
        <x:v>217143.36320208758</x:v>
      </x:c>
      <x:c r="N2" s="32" t="n">
        <x:f>IF(L2=0,"",I2/L2)</x:f>
        <x:v>1.0062255415744956</x:v>
      </x:c>
      <x:c r="O2" s="34" t="n">
        <x:f>IF(L2=0,"",M2/L2)</x:f>
        <x:v>0.006225541574495646</x:v>
      </x:c>
    </x:row>
    <x:row r="3" ht="18" customHeight="1">
      <x:c r="A3" s="24" t="str">
        <x:v>Crustaceans</x:v>
      </x:c>
      <x:c r="B3" s="33" t="n">
        <x:v>7</x:v>
      </x:c>
      <x:c r="C3" s="33" t="n">
        <x:v>7</x:v>
      </x:c>
      <x:c r="D3" s="31" t="n">
        <x:v>2168.3382436945003</x:v>
      </x:c>
      <x:c r="E3" s="31" t="n">
        <x:v>2168.3382436945003</x:v>
      </x:c>
      <x:c r="F3" s="32" t="n">
        <x:v>0</x:v>
      </x:c>
      <x:c r="G3" s="34" t="n">
        <x:v>1</x:v>
      </x:c>
      <x:c r="H3" s="32" t="n">
        <x:f>IF(E3=0,"",I3/E3)</x:f>
        <x:v>393.51766914047016</x:v>
      </x:c>
      <x:c r="I3" s="31" t="n">
        <x:f>IF(C3=0,"",SUMIF('Species'!$H$2:$H$121,A3,'Species'!$U$2:$U$121))</x:f>
        <x:v>853279.4115668006</x:v>
      </x:c>
      <x:c r="J3" s="32" t="n">
        <x:v>3.435595346377362</x:v>
      </x:c>
      <x:c r="K3" s="32" t="n">
        <x:f>IF(J3="","",(1/'Metadata'!$B$5)^(J3-1))</x:f>
        <x:v>272.643624362085</x:v>
      </x:c>
      <x:c r="L3" s="31" t="n">
        <x:f>IF(E3=0,"",E3*K3)</x:f>
        <x:v>591183.5976037865</x:v>
      </x:c>
      <x:c r="M3" s="31" t="n">
        <x:f>IF(E3=0,"",I3-L3)</x:f>
        <x:v>262095.81396301405</x:v>
      </x:c>
      <x:c r="N3" s="32" t="n">
        <x:f>IF(L3=0,"",I3/L3)</x:f>
        <x:v>1.4433408082114478</x:v>
      </x:c>
      <x:c r="O3" s="34" t="n">
        <x:f>IF(L3=0,"",M3/L3)</x:f>
        <x:v>0.44334080821144783</x:v>
      </x:c>
    </x:row>
    <x:row r="4" ht="18" customHeight="1">
      <x:c r="A4" s="24" t="str">
        <x:v>Flatfishes</x:v>
      </x:c>
      <x:c r="B4" s="33" t="n">
        <x:v>5</x:v>
      </x:c>
      <x:c r="C4" s="33" t="n">
        <x:v>5</x:v>
      </x:c>
      <x:c r="D4" s="31" t="n">
        <x:v>17609.7235197956</x:v>
      </x:c>
      <x:c r="E4" s="31" t="n">
        <x:v>17609.7235197956</x:v>
      </x:c>
      <x:c r="F4" s="32" t="n">
        <x:v>0</x:v>
      </x:c>
      <x:c r="G4" s="34" t="n">
        <x:v>1</x:v>
      </x:c>
      <x:c r="H4" s="32" t="n">
        <x:f>IF(E4=0,"",I4/E4)</x:f>
        <x:v>333.0800549446042</x:v>
      </x:c>
      <x:c r="I4" s="31" t="n">
        <x:f>IF(C4=0,"",SUMIF('Species'!$H$2:$H$121,A4,'Species'!$U$2:$U$121))</x:f>
        <x:v>5865447.677532808</x:v>
      </x:c>
      <x:c r="J4" s="32" t="n">
        <x:v>3.513285678210124</x:v>
      </x:c>
      <x:c r="K4" s="32" t="n">
        <x:f>IF(J4="","",(1/'Metadata'!$B$5)^(J4-1))</x:f>
        <x:v>326.0511063687083</x:v>
      </x:c>
      <x:c r="L4" s="31" t="n">
        <x:f>IF(E4=0,"",E4*K4)</x:f>
        <x:v>5741669.836476419</x:v>
      </x:c>
      <x:c r="M4" s="31" t="n">
        <x:f>IF(E4=0,"",I4-L4)</x:f>
        <x:v>123777.8410563888</x:v>
      </x:c>
      <x:c r="N4" s="32" t="n">
        <x:f>IF(L4=0,"",I4/L4)</x:f>
        <x:v>1.0215578123754239</x:v>
      </x:c>
      <x:c r="O4" s="34" t="n">
        <x:f>IF(L4=0,"",M4/L4)</x:f>
        <x:v>0.021557812375423785</x:v>
      </x:c>
    </x:row>
    <x:row r="5" ht="18" customHeight="1">
      <x:c r="A5" s="24" t="str">
        <x:v>Herring-likes</x:v>
      </x:c>
      <x:c r="B5" s="33" t="n">
        <x:v>6</x:v>
      </x:c>
      <x:c r="C5" s="33" t="n">
        <x:v>6</x:v>
      </x:c>
      <x:c r="D5" s="31" t="n">
        <x:v>207170.3290474219</x:v>
      </x:c>
      <x:c r="E5" s="31" t="n">
        <x:v>207170.3290474219</x:v>
      </x:c>
      <x:c r="F5" s="32" t="n">
        <x:v>0</x:v>
      </x:c>
      <x:c r="G5" s="34" t="n">
        <x:v>1</x:v>
      </x:c>
      <x:c r="H5" s="32" t="n">
        <x:f>IF(E5=0,"",I5/E5)</x:f>
        <x:v>70.01292373766748</x:v>
      </x:c>
      <x:c r="I5" s="31" t="n">
        <x:f>IF(C5=0,"",SUMIF('Species'!$H$2:$H$121,A5,'Species'!$U$2:$U$121))</x:f>
        <x:v>14504600.448304627</x:v>
      </x:c>
      <x:c r="J5" s="32" t="n">
        <x:v>2.814896252965661</x:v>
      </x:c>
      <x:c r="K5" s="32" t="n">
        <x:f>IF(J5="","",(1/'Metadata'!$B$5)^(J5-1))</x:f>
        <x:v>65.29745472920558</x:v>
      </x:c>
      <x:c r="L5" s="31" t="n">
        <x:f>IF(E5=0,"",E5*K5)</x:f>
        <x:v>13527695.182208655</x:v>
      </x:c>
      <x:c r="M5" s="31" t="n">
        <x:f>IF(E5=0,"",I5-L5)</x:f>
        <x:v>976905.2660959717</x:v>
      </x:c>
      <x:c r="N5" s="32" t="n">
        <x:f>IF(L5=0,"",I5/L5)</x:f>
        <x:v>1.072215203915947</x:v>
      </x:c>
      <x:c r="O5" s="34" t="n">
        <x:f>IF(L5=0,"",M5/L5)</x:f>
        <x:v>0.07221520391594699</x:v>
      </x:c>
    </x:row>
    <x:row r="6" ht="18" customHeight="1">
      <x:c r="A6" s="24" t="str">
        <x:v>Molluscs</x:v>
      </x:c>
      <x:c r="B6" s="33" t="n">
        <x:v>4</x:v>
      </x:c>
      <x:c r="C6" s="33" t="n">
        <x:v>4</x:v>
      </x:c>
      <x:c r="D6" s="31" t="n">
        <x:v>258.4002015359</x:v>
      </x:c>
      <x:c r="E6" s="31" t="n">
        <x:v>258.4002015359</x:v>
      </x:c>
      <x:c r="F6" s="32" t="n">
        <x:v>0</x:v>
      </x:c>
      <x:c r="G6" s="34" t="n">
        <x:v>1</x:v>
      </x:c>
      <x:c r="H6" s="32" t="n">
        <x:f>IF(E6=0,"",I6/E6)</x:f>
        <x:v>10.879760783226379</x:v>
      </x:c>
      <x:c r="I6" s="31" t="n">
        <x:f>IF(C6=0,"",SUMIF('Species'!$H$2:$H$121,A6,'Species'!$U$2:$U$121))</x:f>
        <x:v>2811.3323790480777</x:v>
      </x:c>
      <x:c r="J6" s="32" t="n">
        <x:v>2.0339773827964693</x:v>
      </x:c>
      <x:c r="K6" s="32" t="n">
        <x:f>IF(J6="","",(1/'Metadata'!$B$5)^(J6-1))</x:f>
        <x:v>10.813776338084855</x:v>
      </x:c>
      <x:c r="L6" s="31" t="n">
        <x:f>IF(E6=0,"",E6*K6)</x:f>
        <x:v>2794.2819851252734</x:v>
      </x:c>
      <x:c r="M6" s="31" t="n">
        <x:f>IF(E6=0,"",I6-L6)</x:f>
        <x:v>17.050393922804233</x:v>
      </x:c>
      <x:c r="N6" s="32" t="n">
        <x:f>IF(L6=0,"",I6/L6)</x:f>
        <x:v>1.0061018873591028</x:v>
      </x:c>
      <x:c r="O6" s="34" t="n">
        <x:f>IF(L6=0,"",M6/L6)</x:f>
        <x:v>0.006101887359102674</x:v>
      </x:c>
    </x:row>
    <x:row r="7" ht="18" customHeight="1">
      <x:c r="A7" s="24" t="str">
        <x:v>Other fishes &amp; inverts</x:v>
      </x:c>
      <x:c r="B7" s="33" t="n">
        <x:v>16</x:v>
      </x:c>
      <x:c r="C7" s="33" t="n">
        <x:v>16</x:v>
      </x:c>
      <x:c r="D7" s="31" t="n">
        <x:v>209568.68603541632</x:v>
      </x:c>
      <x:c r="E7" s="31" t="n">
        <x:v>209568.68603541632</x:v>
      </x:c>
      <x:c r="F7" s="32" t="n">
        <x:v>0</x:v>
      </x:c>
      <x:c r="G7" s="34" t="n">
        <x:v>1</x:v>
      </x:c>
      <x:c r="H7" s="32" t="n">
        <x:f>IF(E7=0,"",I7/E7)</x:f>
        <x:v>270.73217772106887</x:v>
      </x:c>
      <x:c r="I7" s="31" t="n">
        <x:f>IF(C7=0,"",SUMIF('Species'!$H$2:$H$121,A7,'Species'!$U$2:$U$121))</x:f>
        <x:v>56736986.75251122</x:v>
      </x:c>
      <x:c r="J7" s="32" t="n">
        <x:v>3.320926384623894</x:v>
      </x:c>
      <x:c r="K7" s="32" t="n">
        <x:f>IF(J7="","",(1/'Metadata'!$B$5)^(J7-1))</x:f>
        <x:v>209.3757522003457</x:v>
      </x:c>
      <x:c r="L7" s="31" t="n">
        <x:f>IF(E7=0,"",E7*K7)</x:f>
        <x:v>43878601.27630337</x:v>
      </x:c>
      <x:c r="M7" s="31" t="n">
        <x:f>IF(E7=0,"",I7-L7)</x:f>
        <x:v>12858385.476207845</x:v>
      </x:c>
      <x:c r="N7" s="32" t="n">
        <x:f>IF(L7=0,"",I7/L7)</x:f>
        <x:v>1.2930445616358335</x:v>
      </x:c>
      <x:c r="O7" s="34" t="n">
        <x:f>IF(L7=0,"",M7/L7)</x:f>
        <x:v>0.2930445616358335</x:v>
      </x:c>
    </x:row>
    <x:row r="8" ht="18" customHeight="1">
      <x:c r="A8" s="24" t="str">
        <x:v>Perch-likes</x:v>
      </x:c>
      <x:c r="B8" s="33" t="n">
        <x:v>51</x:v>
      </x:c>
      <x:c r="C8" s="33" t="n">
        <x:v>51</x:v>
      </x:c>
      <x:c r="D8" s="31" t="n">
        <x:v>157574.8295160107</x:v>
      </x:c>
      <x:c r="E8" s="31" t="n">
        <x:v>157574.8295160107</x:v>
      </x:c>
      <x:c r="F8" s="32" t="n">
        <x:v>0</x:v>
      </x:c>
      <x:c r="G8" s="34" t="n">
        <x:v>1</x:v>
      </x:c>
      <x:c r="H8" s="32" t="n">
        <x:f>IF(E8=0,"",I8/E8)</x:f>
        <x:v>630.3123035634719</x:v>
      </x:c>
      <x:c r="I8" s="31" t="n">
        <x:f>IF(C8=0,"",SUMIF('Species'!$H$2:$H$121,A8,'Species'!$U$2:$U$121))</x:f>
        <x:v>99321353.77585807</x:v>
      </x:c>
      <x:c r="J8" s="32" t="n">
        <x:v>3.645481836140419</x:v>
      </x:c>
      <x:c r="K8" s="32" t="n">
        <x:f>IF(J8="","",(1/'Metadata'!$B$5)^(J8-1))</x:f>
        <x:v>442.0606278194284</x:v>
      </x:c>
      <x:c r="L8" s="31" t="n">
        <x:f>IF(E8=0,"",E8*K8)</x:f>
        <x:v>69657628.0643871</x:v>
      </x:c>
      <x:c r="M8" s="31" t="n">
        <x:f>IF(E8=0,"",I8-L8)</x:f>
        <x:v>29663725.711470976</x:v>
      </x:c>
      <x:c r="N8" s="32" t="n">
        <x:f>IF(L8=0,"",I8/L8)</x:f>
        <x:v>1.4258503560306663</x:v>
      </x:c>
      <x:c r="O8" s="34" t="n">
        <x:f>IF(L8=0,"",M8/L8)</x:f>
        <x:v>0.4258503560306663</x:v>
      </x:c>
    </x:row>
    <x:row r="9" ht="18" customHeight="1">
      <x:c r="A9" s="24" t="str">
        <x:v>Scorpionfishes</x:v>
      </x:c>
      <x:c r="B9" s="33" t="n">
        <x:v>3</x:v>
      </x:c>
      <x:c r="C9" s="33" t="n">
        <x:v>3</x:v>
      </x:c>
      <x:c r="D9" s="31" t="n">
        <x:v>37.713219298</x:v>
      </x:c>
      <x:c r="E9" s="31" t="n">
        <x:v>37.713219298</x:v>
      </x:c>
      <x:c r="F9" s="32" t="n">
        <x:v>0</x:v>
      </x:c>
      <x:c r="G9" s="34" t="n">
        <x:v>1</x:v>
      </x:c>
      <x:c r="H9" s="32" t="n">
        <x:f>IF(E9=0,"",I9/E9)</x:f>
        <x:v>978.2772694582146</x:v>
      </x:c>
      <x:c r="I9" s="31" t="n">
        <x:f>IF(C9=0,"",SUMIF('Species'!$H$2:$H$121,A9,'Species'!$U$2:$U$121))</x:f>
        <x:v>36893.985197326285</x:v>
      </x:c>
      <x:c r="J9" s="32" t="n">
        <x:v>3.9329066789154163</x:v>
      </x:c>
      <x:c r="K9" s="32" t="n">
        <x:f>IF(J9="","",(1/'Metadata'!$B$5)^(J9-1))</x:f>
        <x:v>856.8537049472545</x:v>
      </x:c>
      <x:c r="L9" s="31" t="n">
        <x:f>IF(E9=0,"",E9*K9)</x:f>
        <x:v>32314.711680979595</x:v>
      </x:c>
      <x:c r="M9" s="31" t="n">
        <x:f>IF(E9=0,"",I9-L9)</x:f>
        <x:v>4579.27351634669</x:v>
      </x:c>
      <x:c r="N9" s="32" t="n">
        <x:f>IF(L9=0,"",I9/L9)</x:f>
        <x:v>1.1417086298511536</x:v>
      </x:c>
      <x:c r="O9" s="34" t="n">
        <x:f>IF(L9=0,"",M9/L9)</x:f>
        <x:v>0.14170862985115368</x:v>
      </x:c>
    </x:row>
    <x:row r="10" ht="18" customHeight="1">
      <x:c r="A10" s="24" t="str">
        <x:v>Sharks &amp; rays</x:v>
      </x:c>
      <x:c r="B10" s="33" t="n">
        <x:v>11</x:v>
      </x:c>
      <x:c r="C10" s="33" t="n">
        <x:v>11</x:v>
      </x:c>
      <x:c r="D10" s="31" t="n">
        <x:v>5201.058814432799</x:v>
      </x:c>
      <x:c r="E10" s="31" t="n">
        <x:v>5201.058814432799</x:v>
      </x:c>
      <x:c r="F10" s="32" t="n">
        <x:v>0</x:v>
      </x:c>
      <x:c r="G10" s="34" t="n">
        <x:v>1</x:v>
      </x:c>
      <x:c r="H10" s="32" t="n">
        <x:f>IF(E10=0,"",I10/E10)</x:f>
        <x:v>814.9074011487457</x:v>
      </x:c>
      <x:c r="I10" s="31" t="n">
        <x:f>IF(C10=0,"",SUMIF('Species'!$H$2:$H$121,A10,'Species'!$U$2:$U$121))</x:f>
        <x:v>4238381.321691209</x:v>
      </x:c>
      <x:c r="J10" s="32" t="n">
        <x:v>3.795818976488502</x:v>
      </x:c>
      <x:c r="K10" s="32" t="n">
        <x:f>IF(J10="","",(1/'Metadata'!$B$5)^(J10-1))</x:f>
        <x:v>624.912161320519</x:v>
      </x:c>
      <x:c r="L10" s="31" t="n">
        <x:f>IF(E10=0,"",E10*K10)</x:f>
        <x:v>3250204.9048823365</x:v>
      </x:c>
      <x:c r="M10" s="31" t="n">
        <x:f>IF(E10=0,"",I10-L10)</x:f>
        <x:v>988176.416808873</x:v>
      </x:c>
      <x:c r="N10" s="32" t="n">
        <x:f>IF(L10=0,"",I10/L10)</x:f>
        <x:v>1.304035113393765</x:v>
      </x:c>
      <x:c r="O10" s="34" t="n">
        <x:f>IF(L10=0,"",M10/L10)</x:f>
        <x:v>0.30403511339376516</x:v>
      </x:c>
    </x:row>
    <x:row r="11" ht="18" customHeight="1">
      <x:c r="A11" s="24" t="str">
        <x:v>Tuna &amp; billfishes</x:v>
      </x:c>
      <x:c r="B11" s="33" t="n">
        <x:v>15</x:v>
      </x:c>
      <x:c r="C11" s="33" t="n">
        <x:v>15</x:v>
      </x:c>
      <x:c r="D11" s="31" t="n">
        <x:v>7625.8635972683005</x:v>
      </x:c>
      <x:c r="E11" s="31" t="n">
        <x:v>7625.8635972683005</x:v>
      </x:c>
      <x:c r="F11" s="32" t="n">
        <x:v>0</x:v>
      </x:c>
      <x:c r="G11" s="34" t="n">
        <x:v>1</x:v>
      </x:c>
      <x:c r="H11" s="32" t="n">
        <x:f>IF(E11=0,"",I11/E11)</x:f>
        <x:v>2837.0179682120493</x:v>
      </x:c>
      <x:c r="I11" s="31" t="n">
        <x:f>IF(C11=0,"",SUMIF('Species'!$H$2:$H$121,A11,'Species'!$U$2:$U$121))</x:f>
        <x:v>21634712.048584342</x:v>
      </x:c>
      <x:c r="J11" s="32" t="n">
        <x:v>4.451320732566084</x:v>
      </x:c>
      <x:c r="K11" s="32" t="n">
        <x:f>IF(J11="","",(1/'Metadata'!$B$5)^(J11-1))</x:f>
        <x:v>2826.9669589361765</x:v>
      </x:c>
      <x:c r="L11" s="31" t="n">
        <x:f>IF(E11=0,"",E11*K11)</x:f>
        <x:v>21558064.42283166</x:v>
      </x:c>
      <x:c r="M11" s="31" t="n">
        <x:f>IF(E11=0,"",I11-L11)</x:f>
        <x:v>76647.62575268373</x:v>
      </x:c>
      <x:c r="N11" s="32" t="n">
        <x:f>IF(L11=0,"",I11/L11)</x:f>
        <x:v>1.0035554038734344</x:v>
      </x:c>
      <x:c r="O11" s="34" t="n">
        <x:f>IF(L11=0,"",M11/L11)</x:f>
        <x:v>0.003555403873434387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f6f4436267944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1967.7161907838997</x:v>
      </x:c>
      <x:c r="E2" s="31" t="n">
        <x:v>1967.7161907838997</x:v>
      </x:c>
      <x:c r="F2" s="32" t="n">
        <x:v>0</x:v>
      </x:c>
      <x:c r="G2" s="34" t="n">
        <x:v>1</x:v>
      </x:c>
      <x:c r="H2" s="32" t="n">
        <x:f>IF(E2=0,"",I2/E2)</x:f>
        <x:v>1132.557425751491</x:v>
      </x:c>
      <x:c r="I2" s="31" t="n">
        <x:f>IF(C2=0,"",SUMIF('Species'!$G$2:$G$121,A2,'Species'!$U$2:$U$121))</x:f>
        <x:v>2228551.5836437433</x:v>
      </x:c>
      <x:c r="J2" s="32" t="n">
        <x:v>4.020885171672616</x:v>
      </x:c>
      <x:c r="K2" s="32" t="n">
        <x:f>IF(J2="","",(1/'Metadata'!$B$5)^(J2-1))</x:f>
        <x:v>1049.2649642231588</x:v>
      </x:c>
      <x:c r="L2" s="31" t="n">
        <x:f>IF(E2=0,"",E2*K2)</x:f>
        <x:v>2064655.658524199</x:v>
      </x:c>
      <x:c r="M2" s="31" t="n">
        <x:f>IF(E2=0,"",I2-L2)</x:f>
        <x:v>163895.92511954438</x:v>
      </x:c>
      <x:c r="N2" s="32" t="n">
        <x:f>IF(L2=0,"",I2/L2)</x:f>
        <x:v>1.0793817237479184</x:v>
      </x:c>
      <x:c r="O2" s="34" t="n">
        <x:f>IF(L2=0,"",M2/L2)</x:f>
        <x:v>0.07938172374791834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11526.4601442161</x:v>
      </x:c>
      <x:c r="E3" s="31" t="n">
        <x:v>11526.4601442161</x:v>
      </x:c>
      <x:c r="F3" s="32" t="n">
        <x:v>0</x:v>
      </x:c>
      <x:c r="G3" s="34" t="n">
        <x:v>1</x:v>
      </x:c>
      <x:c r="H3" s="32" t="n">
        <x:f>IF(E3=0,"",I3/E3)</x:f>
        <x:v>2884.031503126606</x:v>
      </x:c>
      <x:c r="I3" s="31" t="n">
        <x:f>IF(C3=0,"",SUMIF('Species'!$G$2:$G$121,A3,'Species'!$U$2:$U$121))</x:f>
        <x:v>33242674.175452475</x:v>
      </x:c>
      <x:c r="J3" s="32" t="n">
        <x:v>4.46</x:v>
      </x:c>
      <x:c r="K3" s="32" t="n">
        <x:f>IF(J3="","",(1/'Metadata'!$B$5)^(J3-1))</x:f>
        <x:v>2884.031503126606</x:v>
      </x:c>
      <x:c r="L3" s="31" t="n">
        <x:f>IF(E3=0,"",E3*K3)</x:f>
        <x:v>33242674.175452475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21.906242931799998</x:v>
      </x:c>
      <x:c r="E4" s="31" t="n">
        <x:v>21.906242931799998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IF(C4=0,"",SUMIF('Species'!$G$2:$G$121,A4,'Species'!$U$2:$U$121))</x:f>
        <x:v>47925.637611108155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47925.637611108155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25457.1975164449</x:v>
      </x:c>
      <x:c r="E5" s="31" t="n">
        <x:v>25457.1975164449</x:v>
      </x:c>
      <x:c r="F5" s="32" t="n">
        <x:v>0</x:v>
      </x:c>
      <x:c r="G5" s="34" t="n">
        <x:v>1</x:v>
      </x:c>
      <x:c r="H5" s="32" t="n">
        <x:f>IF(E5=0,"",I5/E5)</x:f>
        <x:v>1952.2017641918708</x:v>
      </x:c>
      <x:c r="I5" s="31" t="n">
        <x:f>IF(C5=0,"",SUMIF('Species'!$G$2:$G$121,A5,'Species'!$U$2:$U$121))</x:f>
        <x:v>49697585.90298464</x:v>
      </x:c>
      <x:c r="J5" s="32" t="n">
        <x:v>4.239828156322562</x:v>
      </x:c>
      <x:c r="K5" s="32" t="n">
        <x:f>IF(J5="","",(1/'Metadata'!$B$5)^(J5-1))</x:f>
        <x:v>1737.1133435898269</x:v>
      </x:c>
      <x:c r="L5" s="31" t="n">
        <x:f>IF(E5=0,"",E5*K5)</x:f>
        <x:v>44222037.496218234</x:v>
      </x:c>
      <x:c r="M5" s="31" t="n">
        <x:f>IF(E5=0,"",I5-L5)</x:f>
        <x:v>5475548.406766407</x:v>
      </x:c>
      <x:c r="N5" s="32" t="n">
        <x:f>IF(L5=0,"",I5/L5)</x:f>
        <x:v>1.1238194510425863</x:v>
      </x:c>
      <x:c r="O5" s="34" t="n">
        <x:f>IF(L5=0,"",M5/L5)</x:f>
        <x:v>0.12381945104258625</x:v>
      </x:c>
    </x:row>
    <x:row r="6" ht="18" customHeight="1">
      <x:c r="A6" s="24" t="str">
        <x:v>Large demersals (&gt;=90 cm)</x:v>
      </x:c>
      <x:c r="B6" s="33" t="n">
        <x:v>4</x:v>
      </x:c>
      <x:c r="C6" s="33" t="n">
        <x:v>4</x:v>
      </x:c>
      <x:c r="D6" s="31" t="n">
        <x:v>4291.860783040301</x:v>
      </x:c>
      <x:c r="E6" s="31" t="n">
        <x:v>4291.860783040301</x:v>
      </x:c>
      <x:c r="F6" s="32" t="n">
        <x:v>0</x:v>
      </x:c>
      <x:c r="G6" s="34" t="n">
        <x:v>1</x:v>
      </x:c>
      <x:c r="H6" s="32" t="n">
        <x:f>IF(E6=0,"",I6/E6)</x:f>
        <x:v>616.6755252134924</x:v>
      </x:c>
      <x:c r="I6" s="31" t="n">
        <x:f>IF(C6=0,"",SUMIF('Species'!$G$2:$G$121,A6,'Species'!$U$2:$U$121))</x:f>
        <x:v>2646685.5025245682</x:v>
      </x:c>
      <x:c r="J6" s="32" t="n">
        <x:v>3.790049075012421</x:v>
      </x:c>
      <x:c r="K6" s="32" t="n">
        <x:f>IF(J6="","",(1/'Metadata'!$B$5)^(J6-1))</x:f>
        <x:v>616.6646806585835</x:v>
      </x:c>
      <x:c r="L6" s="31" t="n">
        <x:f>IF(E6=0,"",E6*K6)</x:f>
        <x:v>2646638.9592046454</x:v>
      </x:c>
      <x:c r="M6" s="31" t="n">
        <x:f>IF(E6=0,"",I6-L6)</x:f>
        <x:v>46.54331992287189</x:v>
      </x:c>
      <x:c r="N6" s="32" t="n">
        <x:f>IF(L6=0,"",I6/L6)</x:f>
        <x:v>1.0000175858213531</x:v>
      </x:c>
      <x:c r="O6" s="34" t="n">
        <x:f>IF(L6=0,"",M6/L6)</x:f>
        <x:v>0.00001758582135315459</x:v>
      </x:c>
    </x:row>
    <x:row r="7" ht="18" customHeight="1">
      <x:c r="A7" s="24" t="str">
        <x:v>Large pelagics (&gt;=90 cm)</x:v>
      </x:c>
      <x:c r="B7" s="33" t="n">
        <x:v>16</x:v>
      </x:c>
      <x:c r="C7" s="33" t="n">
        <x:v>16</x:v>
      </x:c>
      <x:c r="D7" s="31" t="n">
        <x:v>7001.3962700094</x:v>
      </x:c>
      <x:c r="E7" s="31" t="n">
        <x:v>7001.3962700094</x:v>
      </x:c>
      <x:c r="F7" s="32" t="n">
        <x:v>0</x:v>
      </x:c>
      <x:c r="G7" s="34" t="n">
        <x:v>1</x:v>
      </x:c>
      <x:c r="H7" s="32" t="n">
        <x:f>IF(E7=0,"",I7/E7)</x:f>
        <x:v>2797.3851177126635</x:v>
      </x:c>
      <x:c r="I7" s="31" t="n">
        <x:f>IF(C7=0,"",SUMIF('Species'!$G$2:$G$121,A7,'Species'!$U$2:$U$121))</x:f>
        <x:v>19585601.72893325</x:v>
      </x:c>
      <x:c r="J7" s="32" t="n">
        <x:v>4.445527309779737</x:v>
      </x:c>
      <x:c r="K7" s="32" t="n">
        <x:f>IF(J7="","",(1/'Metadata'!$B$5)^(J7-1))</x:f>
        <x:v>2789.506063590489</x:v>
      </x:c>
      <x:c r="L7" s="31" t="n">
        <x:f>IF(E7=0,"",E7*K7)</x:f>
        <x:v>19530437.34879105</x:v>
      </x:c>
      <x:c r="M7" s="31" t="n">
        <x:f>IF(E7=0,"",I7-L7)</x:f>
        <x:v>55164.38014219701</x:v>
      </x:c>
      <x:c r="N7" s="32" t="n">
        <x:f>IF(L7=0,"",I7/L7)</x:f>
        <x:v>1.0028245337857533</x:v>
      </x:c>
      <x:c r="O7" s="34" t="n">
        <x:f>IF(L7=0,"",M7/L7)</x:f>
        <x:v>0.0028245337857532274</x:v>
      </x:c>
    </x:row>
    <x:row r="8" ht="18" customHeight="1">
      <x:c r="A8" s="24" t="str">
        <x:v>Large rays (&gt;=90 cm)</x:v>
      </x:c>
      <x:c r="B8" s="33" t="n">
        <x:v>4</x:v>
      </x:c>
      <x:c r="C8" s="33" t="n">
        <x:v>4</x:v>
      </x:c>
      <x:c r="D8" s="31" t="n">
        <x:v>2464.6184524179002</x:v>
      </x:c>
      <x:c r="E8" s="31" t="n">
        <x:v>2464.6184524179002</x:v>
      </x:c>
      <x:c r="F8" s="32" t="n">
        <x:v>0</x:v>
      </x:c>
      <x:c r="G8" s="34" t="n">
        <x:v>1</x:v>
      </x:c>
      <x:c r="H8" s="32" t="n">
        <x:f>IF(E8=0,"",I8/E8)</x:f>
        <x:v>364.30268431303665</x:v>
      </x:c>
      <x:c r="I8" s="31" t="n">
        <x:f>IF(C8=0,"",SUMIF('Species'!$G$2:$G$121,A8,'Species'!$U$2:$U$121))</x:f>
        <x:v>897867.1180232832</x:v>
      </x:c>
      <x:c r="J8" s="32" t="n">
        <x:v>3.5100840781161797</x:v>
      </x:c>
      <x:c r="K8" s="32" t="n">
        <x:f>IF(J8="","",(1/'Metadata'!$B$5)^(J8-1))</x:f>
        <x:v>323.65630976082275</x:v>
      </x:c>
      <x:c r="L8" s="31" t="n">
        <x:f>IF(E8=0,"",E8*K8)</x:f>
        <x:v>797689.3132780076</x:v>
      </x:c>
      <x:c r="M8" s="31" t="n">
        <x:f>IF(E8=0,"",I8-L8)</x:f>
        <x:v>100177.80474527564</x:v>
      </x:c>
      <x:c r="N8" s="32" t="n">
        <x:f>IF(L8=0,"",I8/L8)</x:f>
        <x:v>1.1255849903938253</x:v>
      </x:c>
      <x:c r="O8" s="34" t="n">
        <x:f>IF(L8=0,"",M8/L8)</x:f>
        <x:v>0.12558499039382526</x:v>
      </x:c>
    </x:row>
    <x:row r="9" ht="18" customHeight="1">
      <x:c r="A9" s="24" t="str">
        <x:v>Large reef assoc. fish (&gt;=90 cm)</x:v>
      </x:c>
      <x:c r="B9" s="33" t="n">
        <x:v>3</x:v>
      </x:c>
      <x:c r="C9" s="33" t="n">
        <x:v>3</x:v>
      </x:c>
      <x:c r="D9" s="31" t="n">
        <x:v>21.806923718500002</x:v>
      </x:c>
      <x:c r="E9" s="31" t="n">
        <x:v>21.806923718500002</x:v>
      </x:c>
      <x:c r="F9" s="32" t="n">
        <x:v>0</x:v>
      </x:c>
      <x:c r="G9" s="34" t="n">
        <x:v>1</x:v>
      </x:c>
      <x:c r="H9" s="32" t="n">
        <x:f>IF(E9=0,"",I9/E9)</x:f>
        <x:v>416.2922148232023</x:v>
      </x:c>
      <x:c r="I9" s="31" t="n">
        <x:f>IF(C9=0,"",SUMIF('Species'!$G$2:$G$121,A9,'Species'!$U$2:$U$121))</x:f>
        <x:v>9078.052573254989</x:v>
      </x:c>
      <x:c r="J9" s="32" t="n">
        <x:v>3.60059804607584</x:v>
      </x:c>
      <x:c r="K9" s="32" t="n">
        <x:f>IF(J9="","",(1/'Metadata'!$B$5)^(J9-1))</x:f>
        <x:v>398.6557624537141</x:v>
      </x:c>
      <x:c r="L9" s="31" t="n">
        <x:f>IF(E9=0,"",E9*K9)</x:f>
        <x:v>8693.4558017686</x:v>
      </x:c>
      <x:c r="M9" s="31" t="n">
        <x:f>IF(E9=0,"",I9-L9)</x:f>
        <x:v>384.5967714863891</x:v>
      </x:c>
      <x:c r="N9" s="32" t="n">
        <x:f>IF(L9=0,"",I9/L9)</x:f>
        <x:v>1.0442398029340814</x:v>
      </x:c>
      <x:c r="O9" s="34" t="n">
        <x:f>IF(L9=0,"",M9/L9)</x:f>
        <x:v>0.04423980293408136</x:v>
      </x:c>
    </x:row>
    <x:row r="10" ht="18" customHeight="1">
      <x:c r="A10" s="24" t="str">
        <x:v>Large sharks (&gt;=90 cm)</x:v>
      </x:c>
      <x:c r="B10" s="33" t="n">
        <x:v>6</x:v>
      </x:c>
      <x:c r="C10" s="33" t="n">
        <x:v>6</x:v>
      </x:c>
      <x:c r="D10" s="31" t="n">
        <x:v>2736.0683981561</x:v>
      </x:c>
      <x:c r="E10" s="31" t="n">
        <x:v>2736.0683981561</x:v>
      </x:c>
      <x:c r="F10" s="32" t="n">
        <x:v>0</x:v>
      </x:c>
      <x:c r="G10" s="34" t="n">
        <x:v>1</x:v>
      </x:c>
      <x:c r="H10" s="32" t="n">
        <x:f>IF(E10=0,"",I10/E10)</x:f>
        <x:v>1220.790777397223</x:v>
      </x:c>
      <x:c r="I10" s="31" t="n">
        <x:f>IF(C10=0,"",SUMIF('Species'!$G$2:$G$121,A10,'Species'!$U$2:$U$121))</x:f>
        <x:v>3340167.0667969603</x:v>
      </x:c>
      <x:c r="J10" s="32" t="n">
        <x:v>4.0531819555927875</x:v>
      </x:c>
      <x:c r="K10" s="32" t="n">
        <x:f>IF(J10="","",(1/'Metadata'!$B$5)^(J10-1))</x:f>
        <x:v>1130.2693624465514</x:v>
      </x:c>
      <x:c r="L10" s="31" t="n">
        <x:f>IF(E10=0,"",E10*K10)</x:f>
        <x:v>3092494.2839940526</x:v>
      </x:c>
      <x:c r="M10" s="31" t="n">
        <x:f>IF(E10=0,"",I10-L10)</x:f>
        <x:v>247672.78280290775</x:v>
      </x:c>
      <x:c r="N10" s="32" t="n">
        <x:f>IF(L10=0,"",I10/L10)</x:f>
        <x:v>1.0800883558895478</x:v>
      </x:c>
      <x:c r="O10" s="34" t="n">
        <x:f>IF(L10=0,"",M10/L10)</x:f>
        <x:v>0.08008835588954773</x:v>
      </x:c>
    </x:row>
    <x:row r="11" ht="18" customHeight="1">
      <x:c r="A11" s="24" t="str">
        <x:v>Lobsters, crabs</x:v>
      </x:c>
      <x:c r="B11" s="33" t="n">
        <x:v>3</x:v>
      </x:c>
      <x:c r="C11" s="33" t="n">
        <x:v>3</x:v>
      </x:c>
      <x:c r="D11" s="31" t="n">
        <x:v>701.9790124598</x:v>
      </x:c>
      <x:c r="E11" s="31" t="n">
        <x:v>701.9790124598</x:v>
      </x:c>
      <x:c r="F11" s="32" t="n">
        <x:v>0</x:v>
      </x:c>
      <x:c r="G11" s="34" t="n">
        <x:v>1</x:v>
      </x:c>
      <x:c r="H11" s="32" t="n">
        <x:f>IF(E11=0,"",I11/E11)</x:f>
        <x:v>71.18273208264108</x:v>
      </x:c>
      <x:c r="I11" s="31" t="n">
        <x:f>IF(C11=0,"",SUMIF('Species'!$G$2:$G$121,A11,'Species'!$U$2:$U$121))</x:f>
        <x:v>49968.7839715629</x:v>
      </x:c>
      <x:c r="J11" s="32" t="n">
        <x:v>2.8511127105761855</x:v>
      </x:c>
      <x:c r="K11" s="32" t="n">
        <x:f>IF(J11="","",(1/'Metadata'!$B$5)^(J11-1))</x:f>
        <x:v>70.97619455234064</x:v>
      </x:c>
      <x:c r="L11" s="31" t="n">
        <x:f>IF(E11=0,"",E11*K11)</x:f>
        <x:v>49823.798960006716</x:v>
      </x:c>
      <x:c r="M11" s="31" t="n">
        <x:f>IF(E11=0,"",I11-L11)</x:f>
        <x:v>144.98501155618578</x:v>
      </x:c>
      <x:c r="N11" s="32" t="n">
        <x:f>IF(L11=0,"",I11/L11)</x:f>
        <x:v>1.0029099549729752</x:v>
      </x:c>
      <x:c r="O11" s="34" t="n">
        <x:f>IF(L11=0,"",M11/L11)</x:f>
        <x:v>0.0029099549729751525</x:v>
      </x:c>
    </x:row>
    <x:row r="12" ht="18" customHeight="1">
      <x:c r="A12" s="24" t="str">
        <x:v>Medium bathydemersals (30 - 89 cm)</x:v>
      </x:c>
      <x:c r="B12" s="33" t="n">
        <x:v>3</x:v>
      </x:c>
      <x:c r="C12" s="33" t="n">
        <x:v>3</x:v>
      </x:c>
      <x:c r="D12" s="31" t="n">
        <x:v>1024.6695251095998</x:v>
      </x:c>
      <x:c r="E12" s="31" t="n">
        <x:v>1024.6695251095998</x:v>
      </x:c>
      <x:c r="F12" s="32" t="n">
        <x:v>0</x:v>
      </x:c>
      <x:c r="G12" s="34" t="n">
        <x:v>1</x:v>
      </x:c>
      <x:c r="H12" s="32" t="n">
        <x:f>IF(E12=0,"",I12/E12)</x:f>
        <x:v>1816.876425064525</x:v>
      </x:c>
      <x:c r="I12" s="31" t="n">
        <x:f>IF(C12=0,"",SUMIF('Species'!$G$2:$G$121,A12,'Species'!$U$2:$U$121))</x:f>
        <x:v>1861697.903653694</x:v>
      </x:c>
      <x:c r="J12" s="32" t="n">
        <x:v>4.245848594383067</x:v>
      </x:c>
      <x:c r="K12" s="32" t="n">
        <x:f>IF(J12="","",(1/'Metadata'!$B$5)^(J12-1))</x:f>
        <x:v>1761.3618857785646</x:v>
      </x:c>
      <x:c r="L12" s="31" t="n">
        <x:f>IF(E12=0,"",E12*K12)</x:f>
        <x:v>1804813.847046871</x:v>
      </x:c>
      <x:c r="M12" s="31" t="n">
        <x:f>IF(E12=0,"",I12-L12)</x:f>
        <x:v>56884.05660682311</x:v>
      </x:c>
      <x:c r="N12" s="32" t="n">
        <x:f>IF(L12=0,"",I12/L12)</x:f>
        <x:v>1.0315179633067975</x:v>
      </x:c>
      <x:c r="O12" s="34" t="n">
        <x:f>IF(L12=0,"",M12/L12)</x:f>
        <x:v>0.03151796330679739</x:v>
      </x:c>
    </x:row>
    <x:row r="13" ht="18" customHeight="1">
      <x:c r="A13" s="24" t="str">
        <x:v>Medium bathypelagics (30 - 89 cm)</x:v>
      </x:c>
      <x:c r="B13" s="33" t="n">
        <x:v>2</x:v>
      </x:c>
      <x:c r="C13" s="33" t="n">
        <x:v>2</x:v>
      </x:c>
      <x:c r="D13" s="31" t="n">
        <x:v>1.8186818973999999</x:v>
      </x:c>
      <x:c r="E13" s="31" t="n">
        <x:v>1.8186818973999999</x:v>
      </x:c>
      <x:c r="F13" s="32" t="n">
        <x:v>0</x:v>
      </x:c>
      <x:c r="G13" s="34" t="n">
        <x:v>1</x:v>
      </x:c>
      <x:c r="H13" s="32" t="n">
        <x:f>IF(E13=0,"",I13/E13)</x:f>
        <x:v>1778.224246752363</x:v>
      </x:c>
      <x:c r="I13" s="31" t="n">
        <x:f>IF(C13=0,"",SUMIF('Species'!$G$2:$G$121,A13,'Species'!$U$2:$U$121))</x:f>
        <x:v>3234.0242470862727</x:v>
      </x:c>
      <x:c r="J13" s="32" t="n">
        <x:v>4.249983719592171</x:v>
      </x:c>
      <x:c r="K13" s="32" t="n">
        <x:f>IF(J13="","",(1/'Metadata'!$B$5)^(J13-1))</x:f>
        <x:v>1778.2127488848053</x:v>
      </x:c>
      <x:c r="L13" s="31" t="n">
        <x:f>IF(E13=0,"",E13*K13)</x:f>
        <x:v>3234.003336122687</x:v>
      </x:c>
      <x:c r="M13" s="31" t="n">
        <x:f>IF(E13=0,"",I13-L13)</x:f>
        <x:v>0.02091096358572031</x:v>
      </x:c>
      <x:c r="N13" s="32" t="n">
        <x:f>IF(L13=0,"",I13/L13)</x:f>
        <x:v>1.0000064659684647</x:v>
      </x:c>
      <x:c r="O13" s="34" t="n">
        <x:f>IF(L13=0,"",M13/L13)</x:f>
        <x:v>0.000006465968464581392</x:v>
      </x:c>
    </x:row>
    <x:row r="14" ht="18" customHeight="1">
      <x:c r="A14" s="24" t="str">
        <x:v>Medium benthopelagics (30 - 89 cm)</x:v>
      </x:c>
      <x:c r="B14" s="33" t="n">
        <x:v>12</x:v>
      </x:c>
      <x:c r="C14" s="33" t="n">
        <x:v>12</x:v>
      </x:c>
      <x:c r="D14" s="31" t="n">
        <x:v>98072.06609572761</x:v>
      </x:c>
      <x:c r="E14" s="31" t="n">
        <x:v>98072.06609572761</x:v>
      </x:c>
      <x:c r="F14" s="32" t="n">
        <x:v>0</x:v>
      </x:c>
      <x:c r="G14" s="34" t="n">
        <x:v>1</x:v>
      </x:c>
      <x:c r="H14" s="32" t="n">
        <x:f>IF(E14=0,"",I14/E14)</x:f>
        <x:v>447.8937484758917</x:v>
      </x:c>
      <x:c r="I14" s="31" t="n">
        <x:f>IF(C14=0,"",SUMIF('Species'!$G$2:$G$121,A14,'Species'!$U$2:$U$121))</x:f>
        <x:v>43925865.30439085</x:v>
      </x:c>
      <x:c r="J14" s="32" t="n">
        <x:v>3.53728516319792</x:v>
      </x:c>
      <x:c r="K14" s="32" t="n">
        <x:f>IF(J14="","",(1/'Metadata'!$B$5)^(J14-1))</x:f>
        <x:v>344.57610948986706</x:v>
      </x:c>
      <x:c r="L14" s="31" t="n">
        <x:f>IF(E14=0,"",E14*K14)</x:f>
        <x:v>33793290.98489892</x:v>
      </x:c>
      <x:c r="M14" s="31" t="n">
        <x:f>IF(E14=0,"",I14-L14)</x:f>
        <x:v>10132574.31949193</x:v>
      </x:c>
      <x:c r="N14" s="32" t="n">
        <x:f>IF(L14=0,"",I14/L14)</x:f>
        <x:v>1.2998398209875397</x:v>
      </x:c>
      <x:c r="O14" s="34" t="n">
        <x:f>IF(L14=0,"",M14/L14)</x:f>
        <x:v>0.2998398209875397</x:v>
      </x:c>
    </x:row>
    <x:row r="15" ht="18" customHeight="1">
      <x:c r="A15" s="24" t="str">
        <x:v>Medium demersals (30 - 89 cm)</x:v>
      </x:c>
      <x:c r="B15" s="33" t="n">
        <x:v>11</x:v>
      </x:c>
      <x:c r="C15" s="33" t="n">
        <x:v>11</x:v>
      </x:c>
      <x:c r="D15" s="31" t="n">
        <x:v>218040.74277293158</x:v>
      </x:c>
      <x:c r="E15" s="31" t="n">
        <x:v>218040.74277293158</x:v>
      </x:c>
      <x:c r="F15" s="32" t="n">
        <x:v>0</x:v>
      </x:c>
      <x:c r="G15" s="34" t="n">
        <x:v>1</x:v>
      </x:c>
      <x:c r="H15" s="32" t="n">
        <x:f>IF(E15=0,"",I15/E15)</x:f>
        <x:v>208.83621730837734</x:v>
      </x:c>
      <x:c r="I15" s="31" t="n">
        <x:f>IF(C15=0,"",SUMIF('Species'!$G$2:$G$121,A15,'Species'!$U$2:$U$121))</x:f>
        <x:v>45534803.939807944</x:v>
      </x:c>
      <x:c r="J15" s="32" t="n">
        <x:v>3.3073731905999995</x:v>
      </x:c>
      <x:c r="K15" s="32" t="n">
        <x:f>IF(J15="","",(1/'Metadata'!$B$5)^(J15-1))</x:f>
        <x:v>202.94258624299368</x:v>
      </x:c>
      <x:c r="L15" s="31" t="n">
        <x:f>IF(E15=0,"",E15*K15)</x:f>
        <x:v>44249752.244682066</x:v>
      </x:c>
      <x:c r="M15" s="31" t="n">
        <x:f>IF(E15=0,"",I15-L15)</x:f>
        <x:v>1285051.6951258779</x:v>
      </x:c>
      <x:c r="N15" s="32" t="n">
        <x:f>IF(L15=0,"",I15/L15)</x:f>
        <x:v>1.0290408788736285</x:v>
      </x:c>
      <x:c r="O15" s="34" t="n">
        <x:f>IF(L15=0,"",M15/L15)</x:f>
        <x:v>0.02904087887362839</x:v>
      </x:c>
    </x:row>
    <x:row r="16" ht="18" customHeight="1">
      <x:c r="A16" s="24" t="str">
        <x:v>Medium pelagics (30 - 89 cm)</x:v>
      </x:c>
      <x:c r="B16" s="33" t="n">
        <x:v>16</x:v>
      </x:c>
      <x:c r="C16" s="33" t="n">
        <x:v>16</x:v>
      </x:c>
      <x:c r="D16" s="31" t="n">
        <x:v>16756.8307353223</x:v>
      </x:c>
      <x:c r="E16" s="31" t="n">
        <x:v>16756.8307353223</x:v>
      </x:c>
      <x:c r="F16" s="32" t="n">
        <x:v>0</x:v>
      </x:c>
      <x:c r="G16" s="34" t="n">
        <x:v>1</x:v>
      </x:c>
      <x:c r="H16" s="32" t="n">
        <x:f>IF(E16=0,"",I16/E16)</x:f>
        <x:v>423.6368852018861</x:v>
      </x:c>
      <x:c r="I16" s="31" t="n">
        <x:f>IF(C16=0,"",SUMIF('Species'!$G$2:$G$121,A16,'Species'!$U$2:$U$121))</x:f>
        <x:v>7098811.57856717</x:v>
      </x:c>
      <x:c r="J16" s="32" t="n">
        <x:v>3.2691398355486596</x:v>
      </x:c>
      <x:c r="K16" s="32" t="n">
        <x:f>IF(J16="","",(1/'Metadata'!$B$5)^(J16-1))</x:f>
        <x:v>185.84027333202837</x:v>
      </x:c>
      <x:c r="L16" s="31" t="n">
        <x:f>IF(E16=0,"",E16*K16)</x:f>
        <x:v>3114094.00403083</x:v>
      </x:c>
      <x:c r="M16" s="31" t="n">
        <x:f>IF(E16=0,"",I16-L16)</x:f>
        <x:v>3984717.5745363394</x:v>
      </x:c>
      <x:c r="N16" s="32" t="n">
        <x:f>IF(L16=0,"",I16/L16)</x:f>
        <x:v>2.2795752374137033</x:v>
      </x:c>
      <x:c r="O16" s="34" t="n">
        <x:f>IF(L16=0,"",M16/L16)</x:f>
        <x:v>1.2795752374137033</x:v>
      </x:c>
    </x:row>
    <x:row r="17" ht="18" customHeight="1">
      <x:c r="A17" s="24" t="str">
        <x:v>Medium reef assoc. fish (30 - 89 cm)</x:v>
      </x:c>
      <x:c r="B17" s="33" t="n">
        <x:v>6</x:v>
      </x:c>
      <x:c r="C17" s="33" t="n">
        <x:v>6</x:v>
      </x:c>
      <x:c r="D17" s="31" t="n">
        <x:v>6534.970308552099</x:v>
      </x:c>
      <x:c r="E17" s="31" t="n">
        <x:v>6534.970308552099</x:v>
      </x:c>
      <x:c r="F17" s="32" t="n">
        <x:v>0</x:v>
      </x:c>
      <x:c r="G17" s="34" t="n">
        <x:v>1</x:v>
      </x:c>
      <x:c r="H17" s="32" t="n">
        <x:f>IF(E17=0,"",I17/E17)</x:f>
        <x:v>865.1367301659898</x:v>
      </x:c>
      <x:c r="I17" s="31" t="n">
        <x:f>IF(C17=0,"",SUMIF('Species'!$G$2:$G$121,A17,'Species'!$U$2:$U$121))</x:f>
        <x:v>5653642.844472592</x:v>
      </x:c>
      <x:c r="J17" s="32" t="n">
        <x:v>3.8566195630179774</x:v>
      </x:c>
      <x:c r="K17" s="32" t="n">
        <x:f>IF(J17="","",(1/'Metadata'!$B$5)^(J17-1))</x:f>
        <x:v>718.8190249117544</x:v>
      </x:c>
      <x:c r="L17" s="31" t="n">
        <x:f>IF(E17=0,"",E17*K17)</x:f>
        <x:v>4697460.985020686</x:v>
      </x:c>
      <x:c r="M17" s="31" t="n">
        <x:f>IF(E17=0,"",I17-L17)</x:f>
        <x:v>956181.8594519058</x:v>
      </x:c>
      <x:c r="N17" s="32" t="n">
        <x:f>IF(L17=0,"",I17/L17)</x:f>
        <x:v>1.2035529113495542</x:v>
      </x:c>
      <x:c r="O17" s="34" t="n">
        <x:f>IF(L17=0,"",M17/L17)</x:f>
        <x:v>0.20355291134955433</x:v>
      </x:c>
    </x:row>
    <x:row r="18" ht="18" customHeight="1">
      <x:c r="A18" s="24" t="str">
        <x:v>Other demersal invertebrates</x:v>
      </x:c>
      <x:c r="B18" s="33" t="n">
        <x:v>4</x:v>
      </x:c>
      <x:c r="C18" s="33" t="n">
        <x:v>4</x:v>
      </x:c>
      <x:c r="D18" s="31" t="n">
        <x:v>258.4002015359</x:v>
      </x:c>
      <x:c r="E18" s="31" t="n">
        <x:v>258.4002015359</x:v>
      </x:c>
      <x:c r="F18" s="32" t="n">
        <x:v>0</x:v>
      </x:c>
      <x:c r="G18" s="34" t="n">
        <x:v>1</x:v>
      </x:c>
      <x:c r="H18" s="32" t="n">
        <x:f>IF(E18=0,"",I18/E18)</x:f>
        <x:v>10.879760783226379</x:v>
      </x:c>
      <x:c r="I18" s="31" t="n">
        <x:f>IF(C18=0,"",SUMIF('Species'!$G$2:$G$121,A18,'Species'!$U$2:$U$121))</x:f>
        <x:v>2811.3323790480777</x:v>
      </x:c>
      <x:c r="J18" s="32" t="n">
        <x:v>2.0339773827964693</x:v>
      </x:c>
      <x:c r="K18" s="32" t="n">
        <x:f>IF(J18="","",(1/'Metadata'!$B$5)^(J18-1))</x:f>
        <x:v>10.813776338084855</x:v>
      </x:c>
      <x:c r="L18" s="31" t="n">
        <x:f>IF(E18=0,"",E18*K18)</x:f>
        <x:v>2794.2819851252734</x:v>
      </x:c>
      <x:c r="M18" s="31" t="n">
        <x:f>IF(E18=0,"",I18-L18)</x:f>
        <x:v>17.050393922804233</x:v>
      </x:c>
      <x:c r="N18" s="32" t="n">
        <x:f>IF(L18=0,"",I18/L18)</x:f>
        <x:v>1.0061018873591028</x:v>
      </x:c>
      <x:c r="O18" s="34" t="n">
        <x:f>IF(L18=0,"",M18/L18)</x:f>
        <x:v>0.006101887359102674</x:v>
      </x:c>
    </x:row>
    <x:row r="19" ht="18" customHeight="1">
      <x:c r="A19" s="24" t="str">
        <x:v>Shrimps</x:v>
      </x:c>
      <x:c r="B19" s="33" t="n">
        <x:v>4</x:v>
      </x:c>
      <x:c r="C19" s="33" t="n">
        <x:v>4</x:v>
      </x:c>
      <x:c r="D19" s="31" t="n">
        <x:v>1466.3592312347</x:v>
      </x:c>
      <x:c r="E19" s="31" t="n">
        <x:v>1466.3592312347</x:v>
      </x:c>
      <x:c r="F19" s="32" t="n">
        <x:v>0</x:v>
      </x:c>
      <x:c r="G19" s="34" t="n">
        <x:v>1</x:v>
      </x:c>
      <x:c r="H19" s="32" t="n">
        <x:f>IF(E19=0,"",I19/E19)</x:f>
        <x:v>547.8266242568925</x:v>
      </x:c>
      <x:c r="I19" s="31" t="n">
        <x:f>IF(C19=0,"",SUMIF('Species'!$G$2:$G$121,A19,'Species'!$U$2:$U$121))</x:f>
        <x:v>803310.6275952377</x:v>
      </x:c>
      <x:c r="J19" s="32" t="n">
        <x:v>3.7154002773519754</x:v>
      </x:c>
      <x:c r="K19" s="32" t="n">
        <x:f>IF(J19="","",(1/'Metadata'!$B$5)^(J19-1))</x:f>
        <x:v>519.2784231657517</x:v>
      </x:c>
      <x:c r="L19" s="31" t="n">
        <x:f>IF(E19=0,"",E19*K19)</x:f>
        <x:v>761448.7093900989</x:v>
      </x:c>
      <x:c r="M19" s="31" t="n">
        <x:f>IF(E19=0,"",I19-L19)</x:f>
        <x:v>41861.91820513876</x:v>
      </x:c>
      <x:c r="N19" s="32" t="n">
        <x:f>IF(L19=0,"",I19/L19)</x:f>
        <x:v>1.0549766749735108</x:v>
      </x:c>
      <x:c r="O19" s="34" t="n">
        <x:f>IF(L19=0,"",M19/L19)</x:f>
        <x:v>0.05497667497351082</x:v>
      </x:c>
    </x:row>
    <x:row r="20" ht="18" customHeight="1">
      <x:c r="A20" s="24" t="str">
        <x:v>Small demersals (&lt;30 cm)</x:v>
      </x:c>
      <x:c r="B20" s="33" t="n">
        <x:v>4</x:v>
      </x:c>
      <x:c r="C20" s="33" t="n">
        <x:v>4</x:v>
      </x:c>
      <x:c r="D20" s="31" t="n">
        <x:v>4982.66761763</x:v>
      </x:c>
      <x:c r="E20" s="31" t="n">
        <x:v>4982.66761763</x:v>
      </x:c>
      <x:c r="F20" s="32" t="n">
        <x:v>0</x:v>
      </x:c>
      <x:c r="G20" s="34" t="n">
        <x:v>1</x:v>
      </x:c>
      <x:c r="H20" s="32" t="n">
        <x:f>IF(E20=0,"",I20/E20)</x:f>
        <x:v>416.01531368880325</x:v>
      </x:c>
      <x:c r="I20" s="31" t="n">
        <x:f>IF(C20=0,"",SUMIF('Species'!$G$2:$G$121,A20,'Species'!$U$2:$U$121))</x:f>
        <x:v>2072866.0319553863</x:v>
      </x:c>
      <x:c r="J20" s="32" t="n">
        <x:v>3.426315235799989</x:v>
      </x:c>
      <x:c r="K20" s="32" t="n">
        <x:f>IF(J20="","",(1/'Metadata'!$B$5)^(J20-1))</x:f>
        <x:v>266.8795125940332</x:v>
      </x:c>
      <x:c r="L20" s="31" t="n">
        <x:f>IF(E20=0,"",E20*K20)</x:f>
        <x:v>1329771.905211167</x:v>
      </x:c>
      <x:c r="M20" s="31" t="n">
        <x:f>IF(E20=0,"",I20-L20)</x:f>
        <x:v>743094.1267442193</x:v>
      </x:c>
      <x:c r="N20" s="32" t="n">
        <x:f>IF(L20=0,"",I20/L20)</x:f>
        <x:v>1.5588132249088362</x:v>
      </x:c>
      <x:c r="O20" s="34" t="n">
        <x:f>IF(L20=0,"",M20/L20)</x:f>
        <x:v>0.5588132249088361</x:v>
      </x:c>
    </x:row>
    <x:row r="21" ht="18" customHeight="1">
      <x:c r="A21" s="24" t="str">
        <x:v>Small pelagics (&lt;30 cm)</x:v>
      </x:c>
      <x:c r="B21" s="33" t="n">
        <x:v>4</x:v>
      </x:c>
      <x:c r="C21" s="33" t="n">
        <x:v>4</x:v>
      </x:c>
      <x:c r="D21" s="31" t="n">
        <x:v>198797.3764293314</x:v>
      </x:c>
      <x:c r="E21" s="31" t="n">
        <x:v>198797.3764293314</x:v>
      </x:c>
      <x:c r="F21" s="32" t="n">
        <x:v>0</x:v>
      </x:c>
      <x:c r="G21" s="34" t="n">
        <x:v>1</x:v>
      </x:c>
      <x:c r="H21" s="32" t="n">
        <x:f>IF(E21=0,"",I21/E21)</x:f>
        <x:v>69.02555700528816</x:v>
      </x:c>
      <x:c r="I21" s="31" t="n">
        <x:f>IF(C21=0,"",SUMIF('Species'!$G$2:$G$121,A21,'Species'!$U$2:$U$121))</x:f>
        <x:v>13722099.639224544</x:v>
      </x:c>
      <x:c r="J21" s="32" t="n">
        <x:v>2.812060774021785</x:v>
      </x:c>
      <x:c r="K21" s="32" t="n">
        <x:f>IF(J21="","",(1/'Metadata'!$B$5)^(J21-1))</x:f>
        <x:v>64.87252080874977</x:v>
      </x:c>
      <x:c r="L21" s="31" t="n">
        <x:f>IF(E21=0,"",E21*K21)</x:f>
        <x:v>12896486.939136662</x:v>
      </x:c>
      <x:c r="M21" s="31" t="n">
        <x:f>IF(E21=0,"",I21-L21)</x:f>
        <x:v>825612.7000878826</x:v>
      </x:c>
      <x:c r="N21" s="32" t="n">
        <x:f>IF(L21=0,"",I21/L21)</x:f>
        <x:v>1.0640184186580623</x:v>
      </x:c>
      <x:c r="O21" s="34" t="n">
        <x:f>IF(L21=0,"",M21/L21)</x:f>
        <x:v>0.06401841865806225</x:v>
      </x:c>
    </x:row>
    <x:row r="22" ht="18" customHeight="1">
      <x:c r="A22" s="24" t="str">
        <x:v>Small to medium flatfishes (&lt;90 cm)</x:v>
      </x:c>
      <x:c r="B22" s="33" t="n">
        <x:v>5</x:v>
      </x:c>
      <x:c r="C22" s="33" t="n">
        <x:v>5</x:v>
      </x:c>
      <x:c r="D22" s="31" t="n">
        <x:v>17609.7235197956</x:v>
      </x:c>
      <x:c r="E22" s="31" t="n">
        <x:v>17609.7235197956</x:v>
      </x:c>
      <x:c r="F22" s="32" t="n">
        <x:v>0</x:v>
      </x:c>
      <x:c r="G22" s="34" t="n">
        <x:v>1</x:v>
      </x:c>
      <x:c r="H22" s="32" t="n">
        <x:f>IF(E22=0,"",I22/E22)</x:f>
        <x:v>333.0800549446042</x:v>
      </x:c>
      <x:c r="I22" s="31" t="n">
        <x:f>IF(C22=0,"",SUMIF('Species'!$G$2:$G$121,A22,'Species'!$U$2:$U$121))</x:f>
        <x:v>5865447.677532808</x:v>
      </x:c>
      <x:c r="J22" s="32" t="n">
        <x:v>3.513285678210124</x:v>
      </x:c>
      <x:c r="K22" s="32" t="n">
        <x:f>IF(J22="","",(1/'Metadata'!$B$5)^(J22-1))</x:f>
        <x:v>326.0511063687083</x:v>
      </x:c>
      <x:c r="L22" s="31" t="n">
        <x:f>IF(E22=0,"",E22*K22)</x:f>
        <x:v>5741669.836476419</x:v>
      </x:c>
      <x:c r="M22" s="31" t="n">
        <x:f>IF(E22=0,"",I22-L22)</x:f>
        <x:v>123777.8410563888</x:v>
      </x:c>
      <x:c r="N22" s="32" t="n">
        <x:f>IF(L22=0,"",I22/L22)</x:f>
        <x:v>1.0215578123754239</x:v>
      </x:c>
      <x:c r="O22" s="34" t="n">
        <x:f>IF(L22=0,"",M22/L22)</x:f>
        <x:v>0.021557812375423785</x:v>
      </x:c>
    </x:row>
    <x:row r="23" ht="18" customHeight="1">
      <x:c r="A23" s="24" t="str">
        <x:v>Small to medium sharks (&lt;90 cm)</x:v>
      </x:c>
      <x:c r="B23" s="33" t="n">
        <x:v>1</x:v>
      </x:c>
      <x:c r="C23" s="33" t="n">
        <x:v>1</x:v>
      </x:c>
      <x:c r="D23" s="31" t="n">
        <x:v>0.3719638588</x:v>
      </x:c>
      <x:c r="E23" s="31" t="n">
        <x:v>0.3719638588</x:v>
      </x:c>
      <x:c r="F23" s="32" t="n">
        <x:v>0</x:v>
      </x:c>
      <x:c r="G23" s="34" t="n">
        <x:v>1</x:v>
      </x:c>
      <x:c r="H23" s="32" t="n">
        <x:f>IF(E23=0,"",I23/E23)</x:f>
        <x:v>933.2543007969916</x:v>
      </x:c>
      <x:c r="I23" s="31" t="n">
        <x:f>IF(C23=0,"",SUMIF('Species'!$G$2:$G$121,A23,'Species'!$U$2:$U$121))</x:f>
        <x:v>347.1368709661449</x:v>
      </x:c>
      <x:c r="J23" s="32" t="n">
        <x:v>3.97</x:v>
      </x:c>
      <x:c r="K23" s="32" t="n">
        <x:f>IF(J23="","",(1/'Metadata'!$B$5)^(J23-1))</x:f>
        <x:v>933.2543007969915</x:v>
      </x:c>
      <x:c r="L23" s="31" t="n">
        <x:f>IF(E23=0,"",E23*K23)</x:f>
        <x:v>347.1368709661449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0d3f05b2a4d48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EEZ_024</x:v>
      </x:c>
      <x:c r="B2" s="24" t="str">
        <x:v>raw_filtered_tonnes</x:v>
      </x:c>
      <x:c r="C2" s="24" t="n">
        <x:v>619737.0070171057</x:v>
      </x:c>
      <x:c r="D2" s="24" t="str">
        <x:v>tonnes</x:v>
      </x:c>
    </x:row>
    <x:row r="3" ht="18" customHeight="1">
      <x:c r="A3" s="24" t="str">
        <x:v>EEZ_024</x:v>
      </x:c>
      <x:c r="B3" s="24" t="str">
        <x:v>species_catch_tonnes</x:v>
      </x:c>
      <x:c r="C3" s="24" t="n">
        <x:v>619737.0070171056</x:v>
      </x:c>
      <x:c r="D3" s="24" t="str">
        <x:v>tonnes</x:v>
      </x:c>
    </x:row>
    <x:row r="4" ht="18" customHeight="1">
      <x:c r="A4" s="24" t="str">
        <x:v>EEZ_024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EEZ_024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EEZ_024</x:v>
      </x:c>
      <x:c r="B6" s="24" t="str">
        <x:v>matched_catch_tonnes</x:v>
      </x:c>
      <x:c r="C6" s="24" t="n">
        <x:v>619737.0070171056</x:v>
      </x:c>
      <x:c r="D6" s="24" t="str">
        <x:v>tonnes</x:v>
      </x:c>
    </x:row>
    <x:row r="7" ht="18" customHeight="1">
      <x:c r="A7" s="24" t="str">
        <x:v>EEZ_024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EEZ_024</x:v>
      </x:c>
      <x:c r="B8" s="24" t="str">
        <x:v>taxa_count</x:v>
      </x:c>
      <x:c r="C8" s="24" t="n">
        <x:v>120</x:v>
      </x:c>
      <x:c r="D8" s="24" t="str">
        <x:v>count</x:v>
      </x:c>
    </x:row>
    <x:row r="9" ht="18" customHeight="1">
      <x:c r="A9" s="24" t="str">
        <x:v>EEZ_024</x:v>
      </x:c>
      <x:c r="B9" s="24" t="str">
        <x:v>matched_taxa_count</x:v>
      </x:c>
      <x:c r="C9" s="24" t="n">
        <x:v>120</x:v>
      </x:c>
      <x:c r="D9" s="24" t="str">
        <x:v>count</x:v>
      </x:c>
    </x:row>
    <x:row r="10" ht="18" customHeight="1">
      <x:c r="A10" s="24" t="str">
        <x:v>EEZ_024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EEZ_024</x:v>
      </x:c>
      <x:c r="B11" s="24" t="str">
        <x:v>species_ppr</x:v>
      </x:c>
      <x:c r="C11" s="24" t="n">
        <x:v>238291043.5932122</x:v>
      </x:c>
      <x:c r="D11" s="24" t="str">
        <x:v>tonnes_primary_production_equivalent</x:v>
      </x:c>
    </x:row>
    <x:row r="12" ht="18" customHeight="1">
      <x:c r="A12" s="24" t="str">
        <x:v>EEZ_024</x:v>
      </x:c>
      <x:c r="B12" s="24" t="str">
        <x:v>commercial_ppr</x:v>
      </x:c>
      <x:c r="C12" s="24" t="n">
        <x:v>238291043.5932122</x:v>
      </x:c>
      <x:c r="D12" s="24" t="str">
        <x:v>tonnes_primary_production_equivalent</x:v>
      </x:c>
    </x:row>
    <x:row r="13" ht="18" customHeight="1">
      <x:c r="A13" s="24" t="str">
        <x:v>EEZ_024</x:v>
      </x:c>
      <x:c r="B13" s="24" t="str">
        <x:v>functional_ppr</x:v>
      </x:c>
      <x:c r="C13" s="24" t="n">
        <x:v>238291043.59321222</x:v>
      </x:c>
      <x:c r="D13" s="24" t="str">
        <x:v>tonnes_primary_production_equivalent</x:v>
      </x:c>
    </x:row>
    <x:row r="14" ht="18" customHeight="1">
      <x:c r="A14" s="24" t="str">
        <x:v>EEZ_024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EEZ_024</x:v>
      </x:c>
      <x:c r="B15" s="24" t="str">
        <x:v>functional_ppr_difference</x:v>
      </x:c>
      <x:c r="C15" s="24" t="n">
        <x:v>2.9802322387695312e-8</x:v>
      </x:c>
      <x:c r="D15" s="24" t="str">
        <x:v>tonnes_primary_production_equivalent</x:v>
      </x:c>
    </x:row>
    <x:row r="16" ht="18" customHeight="1">
      <x:c r="A16" s="24" t="str">
        <x:v>EEZ_024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EEZ_024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EEZ_024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EEZ_024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3e05f548cc04f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EEZ_024 - Angola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EEZ_024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raw_data/SAU_downloads/EEZ_024-catch.zip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