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903cbd5e2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6be529229994289"/>
    <x:sheet xmlns:r="http://schemas.openxmlformats.org/officeDocument/2006/relationships" name="Commercial" sheetId="2" r:id="R5628c4c5555c497d"/>
    <x:sheet xmlns:r="http://schemas.openxmlformats.org/officeDocument/2006/relationships" name="Functional" sheetId="3" r:id="Rf0bbbad1659b4aed"/>
    <x:sheet xmlns:r="http://schemas.openxmlformats.org/officeDocument/2006/relationships" name="Missing TL" sheetId="4" r:id="R668479f5f70f4f0c"/>
    <x:sheet xmlns:r="http://schemas.openxmlformats.org/officeDocument/2006/relationships" name="Validation" sheetId="5" r:id="R1b6f97959d12412c"/>
    <x:sheet xmlns:r="http://schemas.openxmlformats.org/officeDocument/2006/relationships" name="Metadata" sheetId="6" r:id="R76ca8a5dc64a41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aba8878b34e3f" /><Relationship Type="http://schemas.openxmlformats.org/officeDocument/2006/relationships/theme" Target="/xl/theme/theme1.xml" Id="R294c02a352544d20" /><Relationship Type="http://schemas.microsoft.com/office/2022/11/relationships/FeaturePropertyBag" Target="/xl/featurePropertyBag/featurePropertyBag.xml" Id="R36826503ea734328" /><Relationship Type="http://schemas.openxmlformats.org/officeDocument/2006/relationships/sharedStrings" Target="/xl/sharedStrings.xml" Id="Rd737521fec7b4e29" /><Relationship Type="http://schemas.openxmlformats.org/officeDocument/2006/relationships/worksheet" Target="/xl/worksheets/sheet1.xml" Id="Rd6be529229994289" /><Relationship Type="http://schemas.openxmlformats.org/officeDocument/2006/relationships/worksheet" Target="/xl/worksheets/sheet2.xml" Id="R5628c4c5555c497d" /><Relationship Type="http://schemas.openxmlformats.org/officeDocument/2006/relationships/worksheet" Target="/xl/worksheets/sheet3.xml" Id="Rf0bbbad1659b4aed" /><Relationship Type="http://schemas.openxmlformats.org/officeDocument/2006/relationships/worksheet" Target="/xl/worksheets/sheet4.xml" Id="R668479f5f70f4f0c" /><Relationship Type="http://schemas.openxmlformats.org/officeDocument/2006/relationships/worksheet" Target="/xl/worksheets/sheet5.xml" Id="R1b6f97959d12412c" /><Relationship Type="http://schemas.openxmlformats.org/officeDocument/2006/relationships/worksheet" Target="/xl/worksheets/sheet6.xml" Id="R76ca8a5dc64a41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6SpeciesTable" displayName="EEZ936SpeciesTable" ref="A1:U78" headerRowCount="1" totalsRowCount="0" totalsRowShown="0">
  <x:autoFilter ref="A1:U7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6CommercialTable" displayName="EEZ936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6FunctionalTable" displayName="EEZ936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6ValidationTable" displayName="EEZ93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a7378392764e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84ec0d5385e45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c9f8ad85104f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a4daebbe4945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EEZ_936</x:v>
      </x:c>
      <x:c r="B2" s="24" t="str">
        <x:v>Guatemala (Pacific)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5731.1990855308995</x:v>
      </x:c>
      <x:c r="J2" s="31" t="n">
        <x:v>5504.135659859</x:v>
      </x:c>
      <x:c r="K2" s="31" t="n">
        <x:v>227.0634256719</x:v>
      </x:c>
      <x:c r="L2" s="31" t="n">
        <x:v>916.3251798470001</x:v>
      </x:c>
      <x:c r="M2" s="31" t="n">
        <x:v>4814.8739056838995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1092057.472430601</x:v>
      </x:c>
    </x:row>
    <x:row r="3" ht="18" customHeight="1">
      <x:c r="A3" s="24" t="str">
        <x:v>EEZ_936</x:v>
      </x:c>
      <x:c r="B3" s="24" t="str">
        <x:v>Guatemala (Pacific)</x:v>
      </x:c>
      <x:c r="C3" s="24" t="str">
        <x:v>EEZ</x:v>
      </x:c>
      <x:c r="D3" s="30" t="n">
        <x:v>2019</x:v>
      </x:c>
      <x:c r="E3" s="24" t="str">
        <x:v>Haemulidae</x:v>
      </x:c>
      <x:c r="F3" s="24" t="str">
        <x:v>Grunts, sweetlips, bonnetmouths</x:v>
      </x:c>
      <x:c r="G3" s="24" t="str">
        <x:v>Medium demersals (30 - 89 cm)</x:v>
      </x:c>
      <x:c r="H3" s="24" t="str">
        <x:v>Perch-likes</x:v>
      </x:c>
      <x:c r="I3" s="31" t="n">
        <x:v>5025.53442675</x:v>
      </x:c>
      <x:c r="J3" s="31" t="n">
        <x:v>5023.8164581599995</x:v>
      </x:c>
      <x:c r="K3" s="31" t="n">
        <x:v>1.71796859</x:v>
      </x:c>
      <x:c r="L3" s="31" t="n">
        <x:v>33.7289253</x:v>
      </x:c>
      <x:c r="M3" s="31" t="n">
        <x:v>4991.8055014500005</x:v>
      </x:c>
      <x:c r="N3" s="24" t="str">
        <x:v>haemulidae</x:v>
      </x:c>
      <x:c r="O3" s="32" t="n">
        <x:v>3.36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Haemulidae</x:v>
      </x:c>
      <x:c r="T3" s="32" t="n">
        <x:f>IF(O3="","",(1/'Metadata'!$B$5)^(O3-1))</x:f>
        <x:v>229.08676527677724</x:v>
      </x:c>
      <x:c r="U3" s="31" t="n">
        <x:f>IF(T3="","",I3*T3)</x:f>
        <x:v>1151283.4256112406</x:v>
      </x:c>
    </x:row>
    <x:row r="4" ht="18" customHeight="1">
      <x:c r="A4" s="24" t="str">
        <x:v>EEZ_936</x:v>
      </x:c>
      <x:c r="B4" s="24" t="str">
        <x:v>Guatemala (Pacific)</x:v>
      </x:c>
      <x:c r="C4" s="24" t="str">
        <x:v>EEZ</x:v>
      </x:c>
      <x:c r="D4" s="30" t="n">
        <x:v>2019</x:v>
      </x:c>
      <x:c r="E4" s="24" t="str">
        <x:v>Lutjanus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4353.0396056</x:v>
      </x:c>
      <x:c r="J4" s="31" t="n">
        <x:v>4353.0396056</x:v>
      </x:c>
      <x:c r="K4" s="31" t="n">
        <x:v>0</x:v>
      </x:c>
      <x:c r="L4" s="31" t="n">
        <x:v>0</x:v>
      </x:c>
      <x:c r="M4" s="31" t="n">
        <x:v>4353.0396056</x:v>
      </x:c>
      <x:c r="N4" s="24" t="str">
        <x:v>lutjanus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Lutjanus</x:v>
      </x:c>
      <x:c r="T4" s="32" t="n">
        <x:f>IF(O4="","",(1/'Metadata'!$B$5)^(O4-1))</x:f>
        <x:v>1047.1285480508984</x:v>
      </x:c>
      <x:c r="U4" s="31" t="n">
        <x:f>IF(T4="","",I4*T4)</x:f>
        <x:v>4558192.041819983</x:v>
      </x:c>
    </x:row>
    <x:row r="5" ht="18" customHeight="1">
      <x:c r="A5" s="24" t="str">
        <x:v>EEZ_936</x:v>
      </x:c>
      <x:c r="B5" s="24" t="str">
        <x:v>Guatemala (Pacific)</x:v>
      </x:c>
      <x:c r="C5" s="24" t="str">
        <x:v>EEZ</x:v>
      </x:c>
      <x:c r="D5" s="30" t="n">
        <x:v>2019</x:v>
      </x:c>
      <x:c r="E5" s="24" t="str">
        <x:v>Sciaenidae</x:v>
      </x:c>
      <x:c r="F5" s="24" t="str">
        <x:v>Drums, croakers</x:v>
      </x:c>
      <x:c r="G5" s="24" t="str">
        <x:v>Medium demersals (30 - 89 cm)</x:v>
      </x:c>
      <x:c r="H5" s="24" t="str">
        <x:v>Perch-likes</x:v>
      </x:c>
      <x:c r="I5" s="31" t="n">
        <x:v>2758.9701178410005</x:v>
      </x:c>
      <x:c r="J5" s="31" t="n">
        <x:v>2758.111133546</x:v>
      </x:c>
      <x:c r="K5" s="31" t="n">
        <x:v>0.858984295</x:v>
      </x:c>
      <x:c r="L5" s="31" t="n">
        <x:v>552.169945256</x:v>
      </x:c>
      <x:c r="M5" s="31" t="n">
        <x:v>2206.800172585</x:v>
      </x:c>
      <x:c r="N5" s="24" t="str">
        <x:v>sciaenidae</x:v>
      </x:c>
      <x:c r="O5" s="32" t="n">
        <x:v>3.76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Sciaenidae</x:v>
      </x:c>
      <x:c r="T5" s="32" t="n">
        <x:f>IF(O5="","",(1/'Metadata'!$B$5)^(O5-1))</x:f>
        <x:v>575.4399373371566</x:v>
      </x:c>
      <x:c r="U5" s="31" t="n">
        <x:f>IF(T5="","",I5*T5)</x:f>
        <x:v>1587621.5917255129</x:v>
      </x:c>
    </x:row>
    <x:row r="6" ht="18" customHeight="1">
      <x:c r="A6" s="24" t="str">
        <x:v>EEZ_936</x:v>
      </x:c>
      <x:c r="B6" s="24" t="str">
        <x:v>Guatemala (Pacific)</x:v>
      </x:c>
      <x:c r="C6" s="24" t="str">
        <x:v>EEZ</x:v>
      </x:c>
      <x:c r="D6" s="30" t="n">
        <x:v>2019</x:v>
      </x:c>
      <x:c r="E6" s="24" t="str">
        <x:v>Paralichthyidae</x:v>
      </x:c>
      <x:c r="F6" s="24" t="str">
        <x:v>Largetooth flounders</x:v>
      </x:c>
      <x:c r="G6" s="24" t="str">
        <x:v>Small to medium flatfishes (&lt;90 cm)</x:v>
      </x:c>
      <x:c r="H6" s="24" t="str">
        <x:v>Flatfishes</x:v>
      </x:c>
      <x:c r="I6" s="31" t="n">
        <x:v>2452.944391</x:v>
      </x:c>
      <x:c r="J6" s="31" t="n">
        <x:v>2053.0872016</x:v>
      </x:c>
      <x:c r="K6" s="31" t="n">
        <x:v>399.8571894</x:v>
      </x:c>
      <x:c r="L6" s="31" t="n">
        <x:v>7.37829874</x:v>
      </x:c>
      <x:c r="M6" s="31" t="n">
        <x:v>2445.56609226</x:v>
      </x:c>
      <x:c r="N6" s="24" t="str">
        <x:v>paralichthyidae</x:v>
      </x:c>
      <x:c r="O6" s="32" t="n">
        <x:v>4.06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Paralichthyidae</x:v>
      </x:c>
      <x:c r="T6" s="32" t="n">
        <x:f>IF(O6="","",(1/'Metadata'!$B$5)^(O6-1))</x:f>
        <x:v>1148.1536214968817</x:v>
      </x:c>
      <x:c r="U6" s="31" t="n">
        <x:f>IF(T6="","",I6*T6)</x:f>
        <x:v>2816356.985857113</x:v>
      </x:c>
    </x:row>
    <x:row r="7" ht="18" customHeight="1">
      <x:c r="A7" s="24" t="str">
        <x:v>EEZ_936</x:v>
      </x:c>
      <x:c r="B7" s="24" t="str">
        <x:v>Guatemala (Pacific)</x:v>
      </x:c>
      <x:c r="C7" s="24" t="str">
        <x:v>EEZ</x:v>
      </x:c>
      <x:c r="D7" s="30" t="n">
        <x:v>2019</x:v>
      </x:c>
      <x:c r="E7" s="24" t="str">
        <x:v>Lutjanus guttatus</x:v>
      </x:c>
      <x:c r="F7" s="24" t="str">
        <x:v>Spotted rose snapper</x:v>
      </x:c>
      <x:c r="G7" s="24" t="str">
        <x:v>Medium reef assoc. fish (30 - 89 cm)</x:v>
      </x:c>
      <x:c r="H7" s="24" t="str">
        <x:v>Perch-likes</x:v>
      </x:c>
      <x:c r="I7" s="31" t="n">
        <x:v>2190.2659238859997</x:v>
      </x:c>
      <x:c r="J7" s="31" t="n">
        <x:v>2190.2659238859997</x:v>
      </x:c>
      <x:c r="K7" s="31" t="n">
        <x:v>0</x:v>
      </x:c>
      <x:c r="L7" s="31" t="n">
        <x:v>0.913828148</x:v>
      </x:c>
      <x:c r="M7" s="31" t="n">
        <x:v>2189.3520957379997</x:v>
      </x:c>
      <x:c r="N7" s="24" t="str">
        <x:v>lutjanus guttatus</x:v>
      </x:c>
      <x:c r="O7" s="32" t="n">
        <x:v>4.04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Lutjanus guttatus</x:v>
      </x:c>
      <x:c r="T7" s="32" t="n">
        <x:f>IF(O7="","",(1/'Metadata'!$B$5)^(O7-1))</x:f>
        <x:v>1096.4781961431852</x:v>
      </x:c>
      <x:c r="U7" s="31" t="n">
        <x:f>IF(T7="","",I7*T7)</x:f>
        <x:v>2401578.8292964078</x:v>
      </x:c>
    </x:row>
    <x:row r="8" ht="18" customHeight="1">
      <x:c r="A8" s="24" t="str">
        <x:v>EEZ_936</x:v>
      </x:c>
      <x:c r="B8" s="24" t="str">
        <x:v>Guatemala (Pacific)</x:v>
      </x:c>
      <x:c r="C8" s="24" t="str">
        <x:v>EEZ</x:v>
      </x:c>
      <x:c r="D8" s="30" t="n">
        <x:v>2019</x:v>
      </x:c>
      <x:c r="E8" s="24" t="str">
        <x:v>Cynoscion</x:v>
      </x:c>
      <x:c r="F8" s="24" t="str">
        <x:v>Weakfishes</x:v>
      </x:c>
      <x:c r="G8" s="24" t="str">
        <x:v>Medium demersals (30 - 89 cm)</x:v>
      </x:c>
      <x:c r="H8" s="24" t="str">
        <x:v>Perch-likes</x:v>
      </x:c>
      <x:c r="I8" s="31" t="n">
        <x:v>996.128119975</x:v>
      </x:c>
      <x:c r="J8" s="31" t="n">
        <x:v>996.128119975</x:v>
      </x:c>
      <x:c r="K8" s="31" t="n">
        <x:v>0</x:v>
      </x:c>
      <x:c r="L8" s="31" t="n">
        <x:v>0.307331145</x:v>
      </x:c>
      <x:c r="M8" s="31" t="n">
        <x:v>995.8207888300001</x:v>
      </x:c>
      <x:c r="N8" s="24" t="str">
        <x:v>cynoscion</x:v>
      </x:c>
      <x:c r="O8" s="32" t="n">
        <x:v>4.21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Cynoscion</x:v>
      </x:c>
      <x:c r="T8" s="32" t="n">
        <x:f>IF(O8="","",(1/'Metadata'!$B$5)^(O8-1))</x:f>
        <x:v>1621.8100973589299</x:v>
      </x:c>
      <x:c r="U8" s="31" t="n">
        <x:f>IF(T8="","",I8*T8)</x:f>
        <x:v>1615530.6432386225</x:v>
      </x:c>
    </x:row>
    <x:row r="9" ht="18" customHeight="1">
      <x:c r="A9" s="24" t="str">
        <x:v>EEZ_936</x:v>
      </x:c>
      <x:c r="B9" s="24" t="str">
        <x:v>Guatemala (Pacific)</x:v>
      </x:c>
      <x:c r="C9" s="24" t="str">
        <x:v>EEZ</x:v>
      </x:c>
      <x:c r="D9" s="30" t="n">
        <x:v>2019</x:v>
      </x:c>
      <x:c r="E9" s="24" t="str">
        <x:v>Micropogonias</x:v>
      </x:c>
      <x:c r="F9" s="24" t="str">
        <x:v>American croakers</x:v>
      </x:c>
      <x:c r="G9" s="24" t="str">
        <x:v>Medium demersals (30 - 89 cm)</x:v>
      </x:c>
      <x:c r="H9" s="24" t="str">
        <x:v>Perch-likes</x:v>
      </x:c>
      <x:c r="I9" s="31" t="n">
        <x:v>995.3996594260001</x:v>
      </x:c>
      <x:c r="J9" s="31" t="n">
        <x:v>995.3996594260001</x:v>
      </x:c>
      <x:c r="K9" s="31" t="n">
        <x:v>0</x:v>
      </x:c>
      <x:c r="L9" s="31" t="n">
        <x:v>0.079173359</x:v>
      </x:c>
      <x:c r="M9" s="31" t="n">
        <x:v>995.320486067</x:v>
      </x:c>
      <x:c r="N9" s="24" t="str">
        <x:v>micropogonias</x:v>
      </x:c>
      <x:c r="O9" s="32" t="n">
        <x:v>3.29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Micropogonias</x:v>
      </x:c>
      <x:c r="T9" s="32" t="n">
        <x:f>IF(O9="","",(1/'Metadata'!$B$5)^(O9-1))</x:f>
        <x:v>194.98445997580455</x:v>
      </x:c>
      <x:c r="U9" s="31" t="n">
        <x:f>IF(T9="","",I9*T9)</x:f>
        <x:v>194087.4650532784</x:v>
      </x:c>
    </x:row>
    <x:row r="10" ht="18" customHeight="1">
      <x:c r="A10" s="24" t="str">
        <x:v>EEZ_936</x:v>
      </x:c>
      <x:c r="B10" s="24" t="str">
        <x:v>Guatemala (Pacific)</x:v>
      </x:c>
      <x:c r="C10" s="24" t="str">
        <x:v>EEZ</x:v>
      </x:c>
      <x:c r="D10" s="30" t="n">
        <x:v>2019</x:v>
      </x:c>
      <x:c r="E10" s="24" t="str">
        <x:v>Thunnus albacares</x:v>
      </x:c>
      <x:c r="F10" s="24" t="str">
        <x:v>Yellowfin tuna</x:v>
      </x:c>
      <x:c r="G10" s="24" t="str">
        <x:v>Large pelagics (&gt;=90 cm)</x:v>
      </x:c>
      <x:c r="H10" s="24" t="str">
        <x:v>Tuna &amp; billfishes</x:v>
      </x:c>
      <x:c r="I10" s="31" t="n">
        <x:v>836.7602260943</x:v>
      </x:c>
      <x:c r="J10" s="31" t="n">
        <x:v>829.0488293568001</x:v>
      </x:c>
      <x:c r="K10" s="31" t="n">
        <x:v>7.7113967375</x:v>
      </x:c>
      <x:c r="L10" s="31" t="n">
        <x:v>829.0488293568001</x:v>
      </x:c>
      <x:c r="M10" s="31" t="n">
        <x:v>7.7113967375</x:v>
      </x:c>
      <x:c r="N10" s="24" t="str">
        <x:v>thunnus albacares</x:v>
      </x:c>
      <x:c r="O10" s="32" t="n">
        <x:v>4.41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albacares</x:v>
      </x:c>
      <x:c r="T10" s="32" t="n">
        <x:f>IF(O10="","",(1/'Metadata'!$B$5)^(O10-1))</x:f>
        <x:v>2570.3957827688646</x:v>
      </x:c>
      <x:c r="U10" s="31" t="n">
        <x:f>IF(T10="","",I10*T10)</x:f>
        <x:v>2150804.9563415106</x:v>
      </x:c>
    </x:row>
    <x:row r="11" ht="18" customHeight="1">
      <x:c r="A11" s="24" t="str">
        <x:v>EEZ_936</x:v>
      </x:c>
      <x:c r="B11" s="24" t="str">
        <x:v>Guatemala (Pacific)</x:v>
      </x:c>
      <x:c r="C11" s="24" t="str">
        <x:v>EEZ</x:v>
      </x:c>
      <x:c r="D11" s="30" t="n">
        <x:v>2019</x:v>
      </x:c>
      <x:c r="E11" s="24" t="str">
        <x:v>Squillidae</x:v>
      </x:c>
      <x:c r="F11" s="24" t="str">
        <x:v>Squilla mantis shrimps</x:v>
      </x:c>
      <x:c r="G11" s="24" t="str">
        <x:v>Shrimps</x:v>
      </x:c>
      <x:c r="H11" s="24" t="str">
        <x:v>Crustaceans</x:v>
      </x:c>
      <x:c r="I11" s="31" t="n">
        <x:v>654.594598691</x:v>
      </x:c>
      <x:c r="J11" s="31" t="n">
        <x:v>0.556018591</x:v>
      </x:c>
      <x:c r="K11" s="31" t="n">
        <x:v>654.0385801</x:v>
      </x:c>
      <x:c r="L11" s="31" t="n">
        <x:v>0</x:v>
      </x:c>
      <x:c r="M11" s="31" t="n">
        <x:v>654.594598691</x:v>
      </x:c>
      <x:c r="N11" s="24" t="str">
        <x:v>squillidae</x:v>
      </x:c>
      <x:c r="O11" s="32" t="n">
        <x:v>3.5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Squillidae</x:v>
      </x:c>
      <x:c r="T11" s="32" t="n">
        <x:f>IF(O11="","",(1/'Metadata'!$B$5)^(O11-1))</x:f>
        <x:v>316.22776601683796</x:v>
      </x:c>
      <x:c r="U11" s="31" t="n">
        <x:f>IF(T11="","",I11*T11)</x:f>
        <x:v>207000.9875907435</x:v>
      </x:c>
    </x:row>
    <x:row r="12" ht="18" customHeight="1">
      <x:c r="A12" s="24" t="str">
        <x:v>EEZ_936</x:v>
      </x:c>
      <x:c r="B12" s="24" t="str">
        <x:v>Guatemala (Pacific)</x:v>
      </x:c>
      <x:c r="C12" s="24" t="str">
        <x:v>EEZ</x:v>
      </x:c>
      <x:c r="D12" s="30" t="n">
        <x:v>2019</x:v>
      </x:c>
      <x:c r="E12" s="24" t="str">
        <x:v>Anomura</x:v>
      </x:c>
      <x:c r="F12" s="24" t="str">
        <x:v>Craylets, squat lobsters, hermits</x:v>
      </x:c>
      <x:c r="G12" s="24" t="str">
        <x:v>Lobsters, crabs</x:v>
      </x:c>
      <x:c r="H12" s="24" t="str">
        <x:v>Crustaceans</x:v>
      </x:c>
      <x:c r="I12" s="31" t="n">
        <x:v>584.8804221</x:v>
      </x:c>
      <x:c r="J12" s="31" t="n">
        <x:v>0</x:v>
      </x:c>
      <x:c r="K12" s="31" t="n">
        <x:v>584.8804221</x:v>
      </x:c>
      <x:c r="L12" s="31" t="n">
        <x:v>0</x:v>
      </x:c>
      <x:c r="M12" s="31" t="n">
        <x:v>584.8804221</x:v>
      </x:c>
      <x:c r="N12" s="24" t="str">
        <x:v>anomura</x:v>
      </x:c>
      <x:c r="O12" s="32" t="n">
        <x:v>3.1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Anomura</x:v>
      </x:c>
      <x:c r="T12" s="32" t="n">
        <x:f>IF(O12="","",(1/'Metadata'!$B$5)^(O12-1))</x:f>
        <x:v>125.89254117941675</x:v>
      </x:c>
      <x:c r="U12" s="31" t="n">
        <x:f>IF(T12="","",I12*T12)</x:f>
        <x:v>73632.08262425891</x:v>
      </x:c>
    </x:row>
    <x:row r="13" ht="18" customHeight="1">
      <x:c r="A13" s="24" t="str">
        <x:v>EEZ_936</x:v>
      </x:c>
      <x:c r="B13" s="24" t="str">
        <x:v>Guatemala (Pacific)</x:v>
      </x:c>
      <x:c r="C13" s="24" t="str">
        <x:v>EEZ</x:v>
      </x:c>
      <x:c r="D13" s="30" t="n">
        <x:v>2019</x:v>
      </x:c>
      <x:c r="E13" s="24" t="str">
        <x:v>Pandalidae</x:v>
      </x:c>
      <x:c r="F13" s="24" t="str">
        <x:v>Northern shrimps</x:v>
      </x:c>
      <x:c r="G13" s="24" t="str">
        <x:v>Shrimps</x:v>
      </x:c>
      <x:c r="H13" s="24" t="str">
        <x:v>Crustaceans</x:v>
      </x:c>
      <x:c r="I13" s="31" t="n">
        <x:v>480.1552114</x:v>
      </x:c>
      <x:c r="J13" s="31" t="n">
        <x:v>0</x:v>
      </x:c>
      <x:c r="K13" s="31" t="n">
        <x:v>480.1552114</x:v>
      </x:c>
      <x:c r="L13" s="31" t="n">
        <x:v>0</x:v>
      </x:c>
      <x:c r="M13" s="31" t="n">
        <x:v>480.1552114</x:v>
      </x:c>
      <x:c r="N13" s="24" t="str">
        <x:v>pandalidae</x:v>
      </x:c>
      <x:c r="O13" s="32" t="n">
        <x:v>2.7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Pandalidae</x:v>
      </x:c>
      <x:c r="T13" s="32" t="n">
        <x:f>IF(O13="","",(1/'Metadata'!$B$5)^(O13-1))</x:f>
        <x:v>50.11872336272725</x:v>
      </x:c>
      <x:c r="U13" s="31" t="n">
        <x:f>IF(T13="","",I13*T13)</x:f>
        <x:v>24064.76621132842</x:v>
      </x:c>
    </x:row>
    <x:row r="14" ht="18" customHeight="1">
      <x:c r="A14" s="24" t="str">
        <x:v>EEZ_936</x:v>
      </x:c>
      <x:c r="B14" s="24" t="str">
        <x:v>Guatemala (Pacific)</x:v>
      </x:c>
      <x:c r="C14" s="24" t="str">
        <x:v>EEZ</x:v>
      </x:c>
      <x:c r="D14" s="30" t="n">
        <x:v>2019</x:v>
      </x:c>
      <x:c r="E14" s="24" t="str">
        <x:v>Coryphaena hippurus</x:v>
      </x:c>
      <x:c r="F14" s="24" t="str">
        <x:v>Common dolphinfish</x:v>
      </x:c>
      <x:c r="G14" s="24" t="str">
        <x:v>Large pelagics (&gt;=90 cm)</x:v>
      </x:c>
      <x:c r="H14" s="24" t="str">
        <x:v>Perch-likes</x:v>
      </x:c>
      <x:c r="I14" s="31" t="n">
        <x:v>476.0754115457</x:v>
      </x:c>
      <x:c r="J14" s="31" t="n">
        <x:v>474.258006825</x:v>
      </x:c>
      <x:c r="K14" s="31" t="n">
        <x:v>1.8174047207</x:v>
      </x:c>
      <x:c r="L14" s="31" t="n">
        <x:v>0.053138491</x:v>
      </x:c>
      <x:c r="M14" s="31" t="n">
        <x:v>476.0222730547</x:v>
      </x:c>
      <x:c r="N14" s="24" t="str">
        <x:v>coryphaena hippurus</x:v>
      </x:c>
      <x:c r="O14" s="32" t="n">
        <x:v>4.37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Coryphaena hippurus</x:v>
      </x:c>
      <x:c r="T14" s="32" t="n">
        <x:f>IF(O14="","",(1/'Metadata'!$B$5)^(O14-1))</x:f>
        <x:v>2344.228815319923</x:v>
      </x:c>
      <x:c r="U14" s="31" t="n">
        <x:f>IF(T14="","",I14*T14)</x:f>
        <x:v>1116029.698010721</x:v>
      </x:c>
    </x:row>
    <x:row r="15" ht="18" customHeight="1">
      <x:c r="A15" s="24" t="str">
        <x:v>EEZ_936</x:v>
      </x:c>
      <x:c r="B15" s="24" t="str">
        <x:v>Guatemala (Pacific)</x:v>
      </x:c>
      <x:c r="C15" s="24" t="str">
        <x:v>EEZ</x:v>
      </x:c>
      <x:c r="D15" s="30" t="n">
        <x:v>2019</x:v>
      </x:c>
      <x:c r="E15" s="24" t="str">
        <x:v>Lutjanidae</x:v>
      </x:c>
      <x:c r="F15" s="24" t="str">
        <x:v>Snappers</x:v>
      </x:c>
      <x:c r="G15" s="24" t="str">
        <x:v>Medium reef assoc. fish (30 - 89 cm)</x:v>
      </x:c>
      <x:c r="H15" s="24" t="str">
        <x:v>Perch-likes</x:v>
      </x:c>
      <x:c r="I15" s="31" t="n">
        <x:v>469.74973819999997</x:v>
      </x:c>
      <x:c r="J15" s="31" t="n">
        <x:v>469.74973819999997</x:v>
      </x:c>
      <x:c r="K15" s="31" t="n">
        <x:v>0</x:v>
      </x:c>
      <x:c r="L15" s="31" t="n">
        <x:v>147.1281598</x:v>
      </x:c>
      <x:c r="M15" s="31" t="n">
        <x:v>322.6215784</x:v>
      </x:c>
      <x:c r="N15" s="24" t="str">
        <x:v>lutjanidae</x:v>
      </x:c>
      <x:c r="O15" s="32" t="n">
        <x:v>4.02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Lutjanidae</x:v>
      </x:c>
      <x:c r="T15" s="32" t="n">
        <x:f>IF(O15="","",(1/'Metadata'!$B$5)^(O15-1))</x:f>
        <x:v>1047.1285480508984</x:v>
      </x:c>
      <x:c r="U15" s="31" t="n">
        <x:f>IF(T15="","",I15*T15)</x:f>
        <x:v>491888.36130865564</x:v>
      </x:c>
    </x:row>
    <x:row r="16" ht="18" customHeight="1">
      <x:c r="A16" s="24" t="str">
        <x:v>EEZ_936</x:v>
      </x:c>
      <x:c r="B16" s="24" t="str">
        <x:v>Guatemala (Pacific)</x:v>
      </x:c>
      <x:c r="C16" s="24" t="str">
        <x:v>EEZ</x:v>
      </x:c>
      <x:c r="D16" s="30" t="n">
        <x:v>2019</x:v>
      </x:c>
      <x:c r="E16" s="24" t="str">
        <x:v>Carcharhinus falciformis</x:v>
      </x:c>
      <x:c r="F16" s="24" t="str">
        <x:v>Silky shark</x:v>
      </x:c>
      <x:c r="G16" s="24" t="str">
        <x:v>Large sharks (&gt;=90 cm)</x:v>
      </x:c>
      <x:c r="H16" s="24" t="str">
        <x:v>Sharks &amp; rays</x:v>
      </x:c>
      <x:c r="I16" s="31" t="n">
        <x:v>323.12919781</x:v>
      </x:c>
      <x:c r="J16" s="31" t="n">
        <x:v>323.12919781</x:v>
      </x:c>
      <x:c r="K16" s="31" t="n">
        <x:v>0</x:v>
      </x:c>
      <x:c r="L16" s="31" t="n">
        <x:v>23.90757576</x:v>
      </x:c>
      <x:c r="M16" s="31" t="n">
        <x:v>299.22162205</x:v>
      </x:c>
      <x:c r="N16" s="24" t="str">
        <x:v>carcharhinus falciformis</x:v>
      </x:c>
      <x:c r="O16" s="32" t="n">
        <x:v>4.51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Carcharhinus falciformis</x:v>
      </x:c>
      <x:c r="T16" s="32" t="n">
        <x:f>IF(O16="","",(1/'Metadata'!$B$5)^(O16-1))</x:f>
        <x:v>3235.936569296281</x:v>
      </x:c>
      <x:c r="U16" s="31" t="n">
        <x:f>IF(T16="","",I16*T16)</x:f>
        <x:v>1045625.5878007507</x:v>
      </x:c>
    </x:row>
    <x:row r="17" ht="18" customHeight="1">
      <x:c r="A17" s="24" t="str">
        <x:v>EEZ_936</x:v>
      </x:c>
      <x:c r="B17" s="24" t="str">
        <x:v>Guatemala (Pacific)</x:v>
      </x:c>
      <x:c r="C17" s="24" t="str">
        <x:v>EEZ</x:v>
      </x:c>
      <x:c r="D17" s="30" t="n">
        <x:v>2019</x:v>
      </x:c>
      <x:c r="E17" s="24" t="str">
        <x:v>Synodontidae</x:v>
      </x:c>
      <x:c r="F17" s="24" t="str">
        <x:v>Lizardfishes, sauries</x:v>
      </x:c>
      <x:c r="G17" s="24" t="str">
        <x:v>Medium demersals (30 - 89 cm)</x:v>
      </x:c>
      <x:c r="H17" s="24" t="str">
        <x:v>Other fishes &amp; inverts</x:v>
      </x:c>
      <x:c r="I17" s="31" t="n">
        <x:v>304.9394247</x:v>
      </x:c>
      <x:c r="J17" s="31" t="n">
        <x:v>0</x:v>
      </x:c>
      <x:c r="K17" s="31" t="n">
        <x:v>304.9394247</x:v>
      </x:c>
      <x:c r="L17" s="31" t="n">
        <x:v>0</x:v>
      </x:c>
      <x:c r="M17" s="31" t="n">
        <x:v>304.9394247</x:v>
      </x:c>
      <x:c r="N17" s="24" t="str">
        <x:v>synodontidae</x:v>
      </x:c>
      <x:c r="O17" s="32" t="n">
        <x:v>4.3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Synodontidae</x:v>
      </x:c>
      <x:c r="T17" s="32" t="n">
        <x:f>IF(O17="","",(1/'Metadata'!$B$5)^(O17-1))</x:f>
        <x:v>1995.2623149688789</x:v>
      </x:c>
      <x:c r="U17" s="31" t="n">
        <x:f>IF(T17="","",I17*T17)</x:f>
        <x:v>608434.1424522002</x:v>
      </x:c>
    </x:row>
    <x:row r="18" ht="18" customHeight="1">
      <x:c r="A18" s="24" t="str">
        <x:v>EEZ_936</x:v>
      </x:c>
      <x:c r="B18" s="24" t="str">
        <x:v>Guatemala (Pacific)</x:v>
      </x:c>
      <x:c r="C18" s="24" t="str">
        <x:v>EEZ</x:v>
      </x:c>
      <x:c r="D18" s="30" t="n">
        <x:v>2019</x:v>
      </x:c>
      <x:c r="E18" s="24" t="str">
        <x:v>Batrachoididae</x:v>
      </x:c>
      <x:c r="F18" s="24" t="str">
        <x:v>Toadfishes</x:v>
      </x:c>
      <x:c r="G18" s="24" t="str">
        <x:v>Large reef assoc. fish (&gt;=90 cm)</x:v>
      </x:c>
      <x:c r="H18" s="24" t="str">
        <x:v>Other fishes &amp; inverts</x:v>
      </x:c>
      <x:c r="I18" s="31" t="n">
        <x:v>271.5441295</x:v>
      </x:c>
      <x:c r="J18" s="31" t="n">
        <x:v>216.56913462</x:v>
      </x:c>
      <x:c r="K18" s="31" t="n">
        <x:v>54.97499488</x:v>
      </x:c>
      <x:c r="L18" s="31" t="n">
        <x:v>0</x:v>
      </x:c>
      <x:c r="M18" s="31" t="n">
        <x:v>271.5441295</x:v>
      </x:c>
      <x:c r="N18" s="24" t="str">
        <x:v>batrachoididae</x:v>
      </x:c>
      <x:c r="O18" s="32" t="n">
        <x:v>3.66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Batrachoididae</x:v>
      </x:c>
      <x:c r="T18" s="32" t="n">
        <x:f>IF(O18="","",(1/'Metadata'!$B$5)^(O18-1))</x:f>
        <x:v>457.0881896148752</x:v>
      </x:c>
      <x:c r="U18" s="31" t="n">
        <x:f>IF(T18="","",I18*T18)</x:f>
        <x:v>124119.61455370222</x:v>
      </x:c>
    </x:row>
    <x:row r="19" ht="18" customHeight="1">
      <x:c r="A19" s="24" t="str">
        <x:v>EEZ_936</x:v>
      </x:c>
      <x:c r="B19" s="24" t="str">
        <x:v>Guatemala (Pacific)</x:v>
      </x:c>
      <x:c r="C19" s="24" t="str">
        <x:v>EEZ</x:v>
      </x:c>
      <x:c r="D19" s="30" t="n">
        <x:v>2019</x:v>
      </x:c>
      <x:c r="E19" s="24" t="str">
        <x:v>Panulirus gracilis</x:v>
      </x:c>
      <x:c r="F19" s="24" t="str">
        <x:v>Blue spiny lobster</x:v>
      </x:c>
      <x:c r="G19" s="24" t="str">
        <x:v>Lobsters, crabs</x:v>
      </x:c>
      <x:c r="H19" s="24" t="str">
        <x:v>Crustaceans</x:v>
      </x:c>
      <x:c r="I19" s="31" t="n">
        <x:v>271.34486221</x:v>
      </x:c>
      <x:c r="J19" s="31" t="n">
        <x:v>271.34486221</x:v>
      </x:c>
      <x:c r="K19" s="31" t="n">
        <x:v>0</x:v>
      </x:c>
      <x:c r="L19" s="31" t="n">
        <x:v>0.060021272</x:v>
      </x:c>
      <x:c r="M19" s="31" t="n">
        <x:v>271.284840938</x:v>
      </x:c>
      <x:c r="N19" s="24" t="str">
        <x:v>panulirus gracilis</x:v>
      </x:c>
      <x:c r="O19" s="32" t="n">
        <x:v>2.6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Panulirus gracilis</x:v>
      </x:c>
      <x:c r="T19" s="32" t="n">
        <x:f>IF(O19="","",(1/'Metadata'!$B$5)^(O19-1))</x:f>
        <x:v>39.810717055349734</x:v>
      </x:c>
      <x:c r="U19" s="31" t="n">
        <x:f>IF(T19="","",I19*T19)</x:f>
        <x:v>10802.433533865169</x:v>
      </x:c>
    </x:row>
    <x:row r="20" ht="18" customHeight="1">
      <x:c r="A20" s="24" t="str">
        <x:v>EEZ_936</x:v>
      </x:c>
      <x:c r="B20" s="24" t="str">
        <x:v>Guatemala (Pacific)</x:v>
      </x:c>
      <x:c r="C20" s="24" t="str">
        <x:v>EEZ</x:v>
      </x:c>
      <x:c r="D20" s="30" t="n">
        <x:v>2019</x:v>
      </x:c>
      <x:c r="E20" s="24" t="str">
        <x:v>Crassostrea</x:v>
      </x:c>
      <x:c r="F20" s="24" t="str">
        <x:v>Cupped oysters</x:v>
      </x:c>
      <x:c r="G20" s="24" t="str">
        <x:v>Other demersal invertebrates</x:v>
      </x:c>
      <x:c r="H20" s="24" t="str">
        <x:v>Molluscs</x:v>
      </x:c>
      <x:c r="I20" s="31" t="n">
        <x:v>216.56913465</x:v>
      </x:c>
      <x:c r="J20" s="31" t="n">
        <x:v>216.56913465</x:v>
      </x:c>
      <x:c r="K20" s="31" t="n">
        <x:v>0</x:v>
      </x:c>
      <x:c r="L20" s="31" t="n">
        <x:v>0</x:v>
      </x:c>
      <x:c r="M20" s="31" t="n">
        <x:v>216.56913465</x:v>
      </x:c>
      <x:c r="N20" s="24" t="str">
        <x:v>crassostrea</x:v>
      </x:c>
      <x:c r="O20" s="32" t="n">
        <x:v>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Crassostrea</x:v>
      </x:c>
      <x:c r="T20" s="32" t="n">
        <x:f>IF(O20="","",(1/'Metadata'!$B$5)^(O20-1))</x:f>
        <x:v>10</x:v>
      </x:c>
      <x:c r="U20" s="31" t="n">
        <x:f>IF(T20="","",I20*T20)</x:f>
        <x:v>2165.6913465</x:v>
      </x:c>
    </x:row>
    <x:row r="21" ht="18" customHeight="1">
      <x:c r="A21" s="24" t="str">
        <x:v>EEZ_936</x:v>
      </x:c>
      <x:c r="B21" s="24" t="str">
        <x:v>Guatemala (Pacific)</x:v>
      </x:c>
      <x:c r="C21" s="24" t="str">
        <x:v>EEZ</x:v>
      </x:c>
      <x:c r="D21" s="30" t="n">
        <x:v>2019</x:v>
      </x:c>
      <x:c r="E21" s="24" t="str">
        <x:v>Rajiformes</x:v>
      </x:c>
      <x:c r="F21" s="24" t="str">
        <x:v>Skates and rays</x:v>
      </x:c>
      <x:c r="G21" s="24" t="str">
        <x:v>Large rays (&gt;=90 cm)</x:v>
      </x:c>
      <x:c r="H21" s="24" t="str">
        <x:v>Sharks &amp; rays</x:v>
      </x:c>
      <x:c r="I21" s="31" t="n">
        <x:v>216.56913465</x:v>
      </x:c>
      <x:c r="J21" s="31" t="n">
        <x:v>216.56913465</x:v>
      </x:c>
      <x:c r="K21" s="31" t="n">
        <x:v>0</x:v>
      </x:c>
      <x:c r="L21" s="31" t="n">
        <x:v>0</x:v>
      </x:c>
      <x:c r="M21" s="31" t="n">
        <x:v>216.56913465</x:v>
      </x:c>
      <x:c r="N21" s="24" t="str">
        <x:v>rajiformes</x:v>
      </x:c>
      <x:c r="O21" s="32" t="n">
        <x:v>3.61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Rajiformes</x:v>
      </x:c>
      <x:c r="T21" s="32" t="n">
        <x:f>IF(O21="","",(1/'Metadata'!$B$5)^(O21-1))</x:f>
        <x:v>407.3802778041126</x:v>
      </x:c>
      <x:c r="U21" s="31" t="n">
        <x:f>IF(T21="","",I21*T21)</x:f>
        <x:v>88225.99423751327</x:v>
      </x:c>
    </x:row>
    <x:row r="22" ht="18" customHeight="1">
      <x:c r="A22" s="24" t="str">
        <x:v>EEZ_936</x:v>
      </x:c>
      <x:c r="B22" s="24" t="str">
        <x:v>Guatemala (Pacific)</x:v>
      </x:c>
      <x:c r="C22" s="24" t="str">
        <x:v>EEZ</x:v>
      </x:c>
      <x:c r="D22" s="30" t="n">
        <x:v>2019</x:v>
      </x:c>
      <x:c r="E22" s="24" t="str">
        <x:v>Dosidicus gigas</x:v>
      </x:c>
      <x:c r="F22" s="24" t="str">
        <x:v>Jumbo flying squid</x:v>
      </x:c>
      <x:c r="G22" s="24" t="str">
        <x:v>Cephalopods</x:v>
      </x:c>
      <x:c r="H22" s="24" t="str">
        <x:v>Other fishes &amp; inverts</x:v>
      </x:c>
      <x:c r="I22" s="31" t="n">
        <x:v>216.56913465</x:v>
      </x:c>
      <x:c r="J22" s="31" t="n">
        <x:v>216.56913465</x:v>
      </x:c>
      <x:c r="K22" s="31" t="n">
        <x:v>0</x:v>
      </x:c>
      <x:c r="L22" s="31" t="n">
        <x:v>0</x:v>
      </x:c>
      <x:c r="M22" s="31" t="n">
        <x:v>216.56913465</x:v>
      </x:c>
      <x:c r="N22" s="24" t="str">
        <x:v>dosidicus gigas</x:v>
      </x:c>
      <x:c r="O22" s="32" t="n">
        <x:v>4.14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Dosidicus gigas</x:v>
      </x:c>
      <x:c r="T22" s="32" t="n">
        <x:f>IF(O22="","",(1/'Metadata'!$B$5)^(O22-1))</x:f>
        <x:v>1380.3842646028838</x:v>
      </x:c>
      <x:c r="U22" s="31" t="n">
        <x:f>IF(T22="","",I22*T22)</x:f>
        <x:v>298948.62566952314</x:v>
      </x:c>
    </x:row>
    <x:row r="23" ht="18" customHeight="1">
      <x:c r="A23" s="24" t="str">
        <x:v>EEZ_936</x:v>
      </x:c>
      <x:c r="B23" s="24" t="str">
        <x:v>Guatemala (Pacific)</x:v>
      </x:c>
      <x:c r="C23" s="24" t="str">
        <x:v>EEZ</x:v>
      </x:c>
      <x:c r="D23" s="30" t="n">
        <x:v>2019</x:v>
      </x:c>
      <x:c r="E23" s="24" t="str">
        <x:v>Lobotes pacifica</x:v>
      </x:c>
      <x:c r="F23" s="24" t="str">
        <x:v>Pacific tripletail</x:v>
      </x:c>
      <x:c r="G23" s="24" t="str">
        <x:v>Medium benthopelagics (30 - 89 cm)</x:v>
      </x:c>
      <x:c r="H23" s="24" t="str">
        <x:v>Perch-likes</x:v>
      </x:c>
      <x:c r="I23" s="31" t="n">
        <x:v>216.56913462</x:v>
      </x:c>
      <x:c r="J23" s="31" t="n">
        <x:v>216.56913462</x:v>
      </x:c>
      <x:c r="K23" s="31" t="n">
        <x:v>0</x:v>
      </x:c>
      <x:c r="L23" s="31" t="n">
        <x:v>0</x:v>
      </x:c>
      <x:c r="M23" s="31" t="n">
        <x:v>216.56913462</x:v>
      </x:c>
      <x:c r="N23" s="24" t="str">
        <x:v>lobotes pacifica</x:v>
      </x:c>
      <x:c r="O23" s="32" t="n">
        <x:v>3.7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Lobotes pacifica</x:v>
      </x:c>
      <x:c r="T23" s="32" t="n">
        <x:f>IF(O23="","",(1/'Metadata'!$B$5)^(O23-1))</x:f>
        <x:v>501.18723362727246</x:v>
      </x:c>
      <x:c r="U23" s="31" t="n">
        <x:f>IF(T23="","",I23*T23)</x:f>
        <x:v>108541.68546925017</x:v>
      </x:c>
    </x:row>
    <x:row r="24" ht="18" customHeight="1">
      <x:c r="A24" s="24" t="str">
        <x:v>EEZ_936</x:v>
      </x:c>
      <x:c r="B24" s="24" t="str">
        <x:v>Guatemala (Pacific)</x:v>
      </x:c>
      <x:c r="C24" s="24" t="str">
        <x:v>EEZ</x:v>
      </x:c>
      <x:c r="D24" s="30" t="n">
        <x:v>2019</x:v>
      </x:c>
      <x:c r="E24" s="24" t="str">
        <x:v>Dasyatis</x:v>
      </x:c>
      <x:c r="F24" s="24" t="str">
        <x:v>Rough whip stingrays</x:v>
      </x:c>
      <x:c r="G24" s="24" t="str">
        <x:v>Large rays (&gt;=90 cm)</x:v>
      </x:c>
      <x:c r="H24" s="24" t="str">
        <x:v>Sharks &amp; rays</x:v>
      </x:c>
      <x:c r="I24" s="31" t="n">
        <x:v>169.536554798</x:v>
      </x:c>
      <x:c r="J24" s="31" t="n">
        <x:v>169.536554798</x:v>
      </x:c>
      <x:c r="K24" s="31" t="n">
        <x:v>0</x:v>
      </x:c>
      <x:c r="L24" s="31" t="n">
        <x:v>0.144324655</x:v>
      </x:c>
      <x:c r="M24" s="31" t="n">
        <x:v>169.392230143</x:v>
      </x:c>
      <x:c r="N24" s="24" t="str">
        <x:v>dasyatis</x:v>
      </x:c>
      <x:c r="O24" s="32" t="n">
        <x:v>3.28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Dasyatis</x:v>
      </x:c>
      <x:c r="T24" s="32" t="n">
        <x:f>IF(O24="","",(1/'Metadata'!$B$5)^(O24-1))</x:f>
        <x:v>190.54607179632464</x:v>
      </x:c>
      <x:c r="U24" s="31" t="n">
        <x:f>IF(T24="","",I24*T24)</x:f>
        <x:v>32304.524542641233</x:v>
      </x:c>
    </x:row>
    <x:row r="25" ht="18" customHeight="1">
      <x:c r="A25" s="24" t="str">
        <x:v>EEZ_936</x:v>
      </x:c>
      <x:c r="B25" s="24" t="str">
        <x:v>Guatemala (Pacific)</x:v>
      </x:c>
      <x:c r="C25" s="24" t="str">
        <x:v>EEZ</x:v>
      </x:c>
      <x:c r="D25" s="30" t="n">
        <x:v>2019</x:v>
      </x:c>
      <x:c r="E25" s="24" t="str">
        <x:v>Caranx</x:v>
      </x:c>
      <x:c r="F25" s="24" t="str">
        <x:v>Jacks</x:v>
      </x:c>
      <x:c r="G25" s="24" t="str">
        <x:v>Medium reef assoc. fish (30 - 89 cm)</x:v>
      </x:c>
      <x:c r="H25" s="24" t="str">
        <x:v>Perch-likes</x:v>
      </x:c>
      <x:c r="I25" s="31" t="n">
        <x:v>160.65885841099998</x:v>
      </x:c>
      <x:c r="J25" s="31" t="n">
        <x:v>160.65885841099998</x:v>
      </x:c>
      <x:c r="K25" s="31" t="n">
        <x:v>0</x:v>
      </x:c>
      <x:c r="L25" s="31" t="n">
        <x:v>1.18097411</x:v>
      </x:c>
      <x:c r="M25" s="31" t="n">
        <x:v>159.477884301</x:v>
      </x:c>
      <x:c r="N25" s="24" t="str">
        <x:v>caranx</x:v>
      </x:c>
      <x:c r="O25" s="32" t="n">
        <x:v>4.12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Caranx</x:v>
      </x:c>
      <x:c r="T25" s="32" t="n">
        <x:f>IF(O25="","",(1/'Metadata'!$B$5)^(O25-1))</x:f>
        <x:v>1318.2567385564075</x:v>
      </x:c>
      <x:c r="U25" s="31" t="n">
        <x:f>IF(T25="","",I25*T25)</x:f>
        <x:v>211789.6227090805</x:v>
      </x:c>
    </x:row>
    <x:row r="26" ht="18" customHeight="1">
      <x:c r="A26" s="24" t="str">
        <x:v>EEZ_936</x:v>
      </x:c>
      <x:c r="B26" s="24" t="str">
        <x:v>Guatemala (Pacific)</x:v>
      </x:c>
      <x:c r="C26" s="24" t="str">
        <x:v>EEZ</x:v>
      </x:c>
      <x:c r="D26" s="30" t="n">
        <x:v>2019</x:v>
      </x:c>
      <x:c r="E26" s="24" t="str">
        <x:v>Penaeus vannamei</x:v>
      </x:c>
      <x:c r="F26" s="24" t="str">
        <x:v>Whiteleg shrimp</x:v>
      </x:c>
      <x:c r="G26" s="24" t="str">
        <x:v>Shrimps</x:v>
      </x:c>
      <x:c r="H26" s="24" t="str">
        <x:v>Crustaceans</x:v>
      </x:c>
      <x:c r="I26" s="31" t="n">
        <x:v>156.93694232</x:v>
      </x:c>
      <x:c r="J26" s="31" t="n">
        <x:v>156.93694232</x:v>
      </x:c>
      <x:c r="K26" s="31" t="n">
        <x:v>0</x:v>
      </x:c>
      <x:c r="L26" s="31" t="n">
        <x:v>49.15349952</x:v>
      </x:c>
      <x:c r="M26" s="31" t="n">
        <x:v>107.7834428</x:v>
      </x:c>
      <x:c r="N26" s="24" t="str">
        <x:v>penaeus vannamei</x:v>
      </x:c>
      <x:c r="O26" s="32" t="n">
        <x:v>2.7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Penaeus vannamei</x:v>
      </x:c>
      <x:c r="T26" s="32" t="n">
        <x:f>IF(O26="","",(1/'Metadata'!$B$5)^(O26-1))</x:f>
        <x:v>50.11872336272725</x:v>
      </x:c>
      <x:c r="U26" s="31" t="n">
        <x:f>IF(T26="","",I26*T26)</x:f>
        <x:v>7865.479197528364</x:v>
      </x:c>
    </x:row>
    <x:row r="27" ht="18" customHeight="1">
      <x:c r="A27" s="24" t="str">
        <x:v>EEZ_936</x:v>
      </x:c>
      <x:c r="B27" s="24" t="str">
        <x:v>Guatemala (Pacific)</x:v>
      </x:c>
      <x:c r="C27" s="24" t="str">
        <x:v>EEZ</x:v>
      </x:c>
      <x:c r="D27" s="30" t="n">
        <x:v>2019</x:v>
      </x:c>
      <x:c r="E27" s="24" t="str">
        <x:v>Seriola</x:v>
      </x:c>
      <x:c r="F27" s="24" t="str">
        <x:v>Amberjacks</x:v>
      </x:c>
      <x:c r="G27" s="24" t="str">
        <x:v>Large benthopelagics (&gt;=90 cm)</x:v>
      </x:c>
      <x:c r="H27" s="24" t="str">
        <x:v>Perch-likes</x:v>
      </x:c>
      <x:c r="I27" s="31" t="n">
        <x:v>156.888252704</x:v>
      </x:c>
      <x:c r="J27" s="31" t="n">
        <x:v>156.888252704</x:v>
      </x:c>
      <x:c r="K27" s="31" t="n">
        <x:v>0</x:v>
      </x:c>
      <x:c r="L27" s="31" t="n">
        <x:v>0</x:v>
      </x:c>
      <x:c r="M27" s="31" t="n">
        <x:v>156.888252704</x:v>
      </x:c>
      <x:c r="N27" s="24" t="str">
        <x:v>seriola</x:v>
      </x:c>
      <x:c r="O27" s="32" t="n">
        <x:v>4.39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Seriola</x:v>
      </x:c>
      <x:c r="T27" s="32" t="n">
        <x:f>IF(O27="","",(1/'Metadata'!$B$5)^(O27-1))</x:f>
        <x:v>2454.7089156850284</x:v>
      </x:c>
      <x:c r="U27" s="31" t="n">
        <x:f>IF(T27="","",I27*T27)</x:f>
        <x:v>385114.99267875456</x:v>
      </x:c>
    </x:row>
    <x:row r="28" ht="18" customHeight="1">
      <x:c r="A28" s="24" t="str">
        <x:v>EEZ_936</x:v>
      </x:c>
      <x:c r="B28" s="24" t="str">
        <x:v>Guatemala (Pacific)</x:v>
      </x:c>
      <x:c r="C28" s="24" t="str">
        <x:v>EEZ</x:v>
      </x:c>
      <x:c r="D28" s="30" t="n">
        <x:v>2019</x:v>
      </x:c>
      <x:c r="E28" s="24" t="str">
        <x:v>Serranidae</x:v>
      </x:c>
      <x:c r="F28" s="24" t="str">
        <x:v>Basses, groupers, hinds</x:v>
      </x:c>
      <x:c r="G28" s="24" t="str">
        <x:v>Medium reef assoc. fish (30 - 89 cm)</x:v>
      </x:c>
      <x:c r="H28" s="24" t="str">
        <x:v>Perch-likes</x:v>
      </x:c>
      <x:c r="I28" s="31" t="n">
        <x:v>150.3222516</x:v>
      </x:c>
      <x:c r="J28" s="31" t="n">
        <x:v>0</x:v>
      </x:c>
      <x:c r="K28" s="31" t="n">
        <x:v>150.3222516</x:v>
      </x:c>
      <x:c r="L28" s="31" t="n">
        <x:v>0</x:v>
      </x:c>
      <x:c r="M28" s="31" t="n">
        <x:v>150.3222516</x:v>
      </x:c>
      <x:c r="N28" s="24" t="str">
        <x:v>serranidae</x:v>
      </x:c>
      <x:c r="O28" s="32" t="n">
        <x:v>3.98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Serranidae</x:v>
      </x:c>
      <x:c r="T28" s="32" t="n">
        <x:f>IF(O28="","",(1/'Metadata'!$B$5)^(O28-1))</x:f>
        <x:v>954.992586021436</x:v>
      </x:c>
      <x:c r="U28" s="31" t="n">
        <x:f>IF(T28="","",I28*T28)</x:f>
        <x:v>143556.63579204894</x:v>
      </x:c>
    </x:row>
    <x:row r="29" ht="18" customHeight="1">
      <x:c r="A29" s="24" t="str">
        <x:v>EEZ_936</x:v>
      </x:c>
      <x:c r="B29" s="24" t="str">
        <x:v>Guatemala (Pacific)</x:v>
      </x:c>
      <x:c r="C29" s="24" t="str">
        <x:v>EEZ</x:v>
      </x:c>
      <x:c r="D29" s="30" t="n">
        <x:v>2019</x:v>
      </x:c>
      <x:c r="E29" s="24" t="str">
        <x:v>Mugil cephalus</x:v>
      </x:c>
      <x:c r="F29" s="24" t="str">
        <x:v>Flathead grey mullet</x:v>
      </x:c>
      <x:c r="G29" s="24" t="str">
        <x:v>Large benthopelagics (&gt;=90 cm)</x:v>
      </x:c>
      <x:c r="H29" s="24" t="str">
        <x:v>Perch-likes</x:v>
      </x:c>
      <x:c r="I29" s="31" t="n">
        <x:v>108.284567324</x:v>
      </x:c>
      <x:c r="J29" s="31" t="n">
        <x:v>108.284567324</x:v>
      </x:c>
      <x:c r="K29" s="31" t="n">
        <x:v>0</x:v>
      </x:c>
      <x:c r="L29" s="31" t="n">
        <x:v>0</x:v>
      </x:c>
      <x:c r="M29" s="31" t="n">
        <x:v>108.284567324</x:v>
      </x:c>
      <x:c r="N29" s="24" t="str">
        <x:v>mugil cephalus</x:v>
      </x:c>
      <x:c r="O29" s="32" t="n">
        <x:v>2.14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Mugil cephalus</x:v>
      </x:c>
      <x:c r="T29" s="32" t="n">
        <x:f>IF(O29="","",(1/'Metadata'!$B$5)^(O29-1))</x:f>
        <x:v>13.803842646028853</x:v>
      </x:c>
      <x:c r="U29" s="31" t="n">
        <x:f>IF(T29="","",I29*T29)</x:f>
        <x:v>1494.7431283338135</x:v>
      </x:c>
    </x:row>
    <x:row r="30" ht="18" customHeight="1">
      <x:c r="A30" s="24" t="str">
        <x:v>EEZ_936</x:v>
      </x:c>
      <x:c r="B30" s="24" t="str">
        <x:v>Guatemala (Pacific)</x:v>
      </x:c>
      <x:c r="C30" s="24" t="str">
        <x:v>EEZ</x:v>
      </x:c>
      <x:c r="D30" s="30" t="n">
        <x:v>2019</x:v>
      </x:c>
      <x:c r="E30" s="24" t="str">
        <x:v>Mugil curema</x:v>
      </x:c>
      <x:c r="F30" s="24" t="str">
        <x:v>White mullet</x:v>
      </x:c>
      <x:c r="G30" s="24" t="str">
        <x:v>Medium benthopelagics (30 - 89 cm)</x:v>
      </x:c>
      <x:c r="H30" s="24" t="str">
        <x:v>Perch-likes</x:v>
      </x:c>
      <x:c r="I30" s="31" t="n">
        <x:v>108.284567324</x:v>
      </x:c>
      <x:c r="J30" s="31" t="n">
        <x:v>108.284567324</x:v>
      </x:c>
      <x:c r="K30" s="31" t="n">
        <x:v>0</x:v>
      </x:c>
      <x:c r="L30" s="31" t="n">
        <x:v>0</x:v>
      </x:c>
      <x:c r="M30" s="31" t="n">
        <x:v>108.284567324</x:v>
      </x:c>
      <x:c r="N30" s="24" t="str">
        <x:v>mugil curema</x:v>
      </x:c>
      <x:c r="O30" s="32" t="n">
        <x:v>2.01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Mugil curema</x:v>
      </x:c>
      <x:c r="T30" s="32" t="n">
        <x:f>IF(O30="","",(1/'Metadata'!$B$5)^(O30-1))</x:f>
        <x:v>10.232929922807536</x:v>
      </x:c>
      <x:c r="U30" s="31" t="n">
        <x:f>IF(T30="","",I30*T30)</x:f>
        <x:v>1108.0683891480267</x:v>
      </x:c>
    </x:row>
    <x:row r="31" ht="18" customHeight="1">
      <x:c r="A31" s="24" t="str">
        <x:v>EEZ_936</x:v>
      </x:c>
      <x:c r="B31" s="24" t="str">
        <x:v>Guatemala (Pacific)</x:v>
      </x:c>
      <x:c r="C31" s="24" t="str">
        <x:v>EEZ</x:v>
      </x:c>
      <x:c r="D31" s="30" t="n">
        <x:v>2019</x:v>
      </x:c>
      <x:c r="E31" s="24" t="str">
        <x:v>Makaira</x:v>
      </x:c>
      <x:c r="F31" s="24" t="str">
        <x:v>Blue marlins</x:v>
      </x:c>
      <x:c r="G31" s="24" t="str">
        <x:v>Large pelagics (&gt;=90 cm)</x:v>
      </x:c>
      <x:c r="H31" s="24" t="str">
        <x:v>Tuna &amp; billfishes</x:v>
      </x:c>
      <x:c r="I31" s="31" t="n">
        <x:v>98.188918213</x:v>
      </x:c>
      <x:c r="J31" s="31" t="n">
        <x:v>98.188918213</x:v>
      </x:c>
      <x:c r="K31" s="31" t="n">
        <x:v>0</x:v>
      </x:c>
      <x:c r="L31" s="31" t="n">
        <x:v>0</x:v>
      </x:c>
      <x:c r="M31" s="31" t="n">
        <x:v>98.188918213</x:v>
      </x:c>
      <x:c r="N31" s="24" t="str">
        <x:v>makaira</x:v>
      </x:c>
      <x:c r="O31" s="32" t="n">
        <x:v>4.47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Makaira</x:v>
      </x:c>
      <x:c r="T31" s="32" t="n">
        <x:f>IF(O31="","",(1/'Metadata'!$B$5)^(O31-1))</x:f>
        <x:v>2951.209226666384</x:v>
      </x:c>
      <x:c r="U31" s="31" t="n">
        <x:f>IF(T31="","",I31*T31)</x:f>
        <x:v>289776.0413865965</x:v>
      </x:c>
    </x:row>
    <x:row r="32" ht="18" customHeight="1">
      <x:c r="A32" s="24" t="str">
        <x:v>EEZ_936</x:v>
      </x:c>
      <x:c r="B32" s="24" t="str">
        <x:v>Guatemala (Pacific)</x:v>
      </x:c>
      <x:c r="C32" s="24" t="str">
        <x:v>EEZ</x:v>
      </x:c>
      <x:c r="D32" s="30" t="n">
        <x:v>2019</x:v>
      </x:c>
      <x:c r="E32" s="24" t="str">
        <x:v>Chondrichthyes</x:v>
      </x:c>
      <x:c r="F32" s="24" t="str">
        <x:v>Sharks, rays, chimaeras</x:v>
      </x:c>
      <x:c r="G32" s="24" t="str">
        <x:v>Large sharks (&gt;=90 cm)</x:v>
      </x:c>
      <x:c r="H32" s="24" t="str">
        <x:v>Sharks &amp; rays</x:v>
      </x:c>
      <x:c r="I32" s="31" t="n">
        <x:v>86.30668991</x:v>
      </x:c>
      <x:c r="J32" s="31" t="n">
        <x:v>86.30668991</x:v>
      </x:c>
      <x:c r="K32" s="31" t="n">
        <x:v>0</x:v>
      </x:c>
      <x:c r="L32" s="31" t="n">
        <x:v>27.03172229</x:v>
      </x:c>
      <x:c r="M32" s="31" t="n">
        <x:v>59.27496762</x:v>
      </x:c>
      <x:c r="N32" s="24" t="str">
        <x:v>chondrichthyes</x:v>
      </x:c>
      <x:c r="O32" s="32" t="n">
        <x:v>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Chondrichthyes</x:v>
      </x:c>
      <x:c r="T32" s="32" t="n">
        <x:f>IF(O32="","",(1/'Metadata'!$B$5)^(O32-1))</x:f>
        <x:v>1000</x:v>
      </x:c>
      <x:c r="U32" s="31" t="n">
        <x:f>IF(T32="","",I32*T32)</x:f>
        <x:v>86306.68991</x:v>
      </x:c>
    </x:row>
    <x:row r="33" ht="18" customHeight="1">
      <x:c r="A33" s="24" t="str">
        <x:v>EEZ_936</x:v>
      </x:c>
      <x:c r="B33" s="24" t="str">
        <x:v>Guatemala (Pacific)</x:v>
      </x:c>
      <x:c r="C33" s="24" t="str">
        <x:v>EEZ</x:v>
      </x:c>
      <x:c r="D33" s="30" t="n">
        <x:v>2019</x:v>
      </x:c>
      <x:c r="E33" s="24" t="str">
        <x:v>Miscellaneous marine crustaceans</x:v>
      </x:c>
      <x:c r="F33" s="24" t="str">
        <x:v>Marine crabs, shrimps, lobsters nei</x:v>
      </x:c>
      <x:c r="G33" s="24" t="str">
        <x:v>Shrimps</x:v>
      </x:c>
      <x:c r="H33" s="24" t="str">
        <x:v>Crustaceans</x:v>
      </x:c>
      <x:c r="I33" s="31" t="n">
        <x:v>84.96573699</x:v>
      </x:c>
      <x:c r="J33" s="31" t="n">
        <x:v>0</x:v>
      </x:c>
      <x:c r="K33" s="31" t="n">
        <x:v>84.96573699</x:v>
      </x:c>
      <x:c r="L33" s="31" t="n">
        <x:v>0</x:v>
      </x:c>
      <x:c r="M33" s="31" t="n">
        <x:v>84.96573699</x:v>
      </x:c>
      <x:c r="N33" s="24" t="str">
        <x:v>miscellaneous marine crustaceans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Miscellaneous marine crustaceans</x:v>
      </x:c>
      <x:c r="T33" s="32" t="n">
        <x:f>IF(O33="","",(1/'Metadata'!$B$5)^(O33-1))</x:f>
        <x:v>50.11872336272725</x:v>
      </x:c>
      <x:c r="U33" s="31" t="n">
        <x:f>IF(T33="","",I33*T33)</x:f>
        <x:v>4258.374267512052</x:v>
      </x:c>
    </x:row>
    <x:row r="34" ht="18" customHeight="1">
      <x:c r="A34" s="24" t="str">
        <x:v>EEZ_936</x:v>
      </x:c>
      <x:c r="B34" s="24" t="str">
        <x:v>Guatemala (Pacific)</x:v>
      </x:c>
      <x:c r="C34" s="24" t="str">
        <x:v>EEZ</x:v>
      </x:c>
      <x:c r="D34" s="30" t="n">
        <x:v>2019</x:v>
      </x:c>
      <x:c r="E34" s="24" t="str">
        <x:v>Triglidae</x:v>
      </x:c>
      <x:c r="F34" s="24" t="str">
        <x:v>Searobins, gurnards</x:v>
      </x:c>
      <x:c r="G34" s="24" t="str">
        <x:v>Medium demersals (30 - 89 cm)</x:v>
      </x:c>
      <x:c r="H34" s="24" t="str">
        <x:v>Scorpionfishes</x:v>
      </x:c>
      <x:c r="I34" s="31" t="n">
        <x:v>84.18046092</x:v>
      </x:c>
      <x:c r="J34" s="31" t="n">
        <x:v>0</x:v>
      </x:c>
      <x:c r="K34" s="31" t="n">
        <x:v>84.18046092</x:v>
      </x:c>
      <x:c r="L34" s="31" t="n">
        <x:v>0</x:v>
      </x:c>
      <x:c r="M34" s="31" t="n">
        <x:v>84.18046092</x:v>
      </x:c>
      <x:c r="N34" s="24" t="str">
        <x:v>triglidae</x:v>
      </x:c>
      <x:c r="O34" s="32" t="n">
        <x:v>3.74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Triglidae</x:v>
      </x:c>
      <x:c r="T34" s="32" t="n">
        <x:f>IF(O34="","",(1/'Metadata'!$B$5)^(O34-1))</x:f>
        <x:v>549.5408738576248</x:v>
      </x:c>
      <x:c r="U34" s="31" t="n">
        <x:f>IF(T34="","",I34*T34)</x:f>
        <x:v>46260.60405571443</x:v>
      </x:c>
    </x:row>
    <x:row r="35" ht="18" customHeight="1">
      <x:c r="A35" s="24" t="str">
        <x:v>EEZ_936</x:v>
      </x:c>
      <x:c r="B35" s="24" t="str">
        <x:v>Guatemala (Pacific)</x:v>
      </x:c>
      <x:c r="C35" s="24" t="str">
        <x:v>EEZ</x:v>
      </x:c>
      <x:c r="D35" s="30" t="n">
        <x:v>2019</x:v>
      </x:c>
      <x:c r="E35" s="24" t="str">
        <x:v>Mycteroperca</x:v>
      </x:c>
      <x:c r="F35" s="24" t="str">
        <x:v>Scamps, gags</x:v>
      </x:c>
      <x:c r="G35" s="24" t="str">
        <x:v>Medium reef assoc. fish (30 - 89 cm)</x:v>
      </x:c>
      <x:c r="H35" s="24" t="str">
        <x:v>Perch-likes</x:v>
      </x:c>
      <x:c r="I35" s="31" t="n">
        <x:v>81.258850377</x:v>
      </x:c>
      <x:c r="J35" s="31" t="n">
        <x:v>81.258850377</x:v>
      </x:c>
      <x:c r="K35" s="31" t="n">
        <x:v>0</x:v>
      </x:c>
      <x:c r="L35" s="31" t="n">
        <x:v>0</x:v>
      </x:c>
      <x:c r="M35" s="31" t="n">
        <x:v>81.258850377</x:v>
      </x:c>
      <x:c r="N35" s="24" t="str">
        <x:v>mycteroperca</x:v>
      </x:c>
      <x:c r="O35" s="32" t="n">
        <x:v>4.35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Mycteroperca</x:v>
      </x:c>
      <x:c r="T35" s="32" t="n">
        <x:f>IF(O35="","",(1/'Metadata'!$B$5)^(O35-1))</x:f>
        <x:v>2238.7211385683377</x:v>
      </x:c>
      <x:c r="U35" s="31" t="n">
        <x:f>IF(T35="","",I35*T35)</x:f>
        <x:v>181915.90603475165</x:v>
      </x:c>
    </x:row>
    <x:row r="36" ht="18" customHeight="1">
      <x:c r="A36" s="24" t="str">
        <x:v>EEZ_936</x:v>
      </x:c>
      <x:c r="B36" s="24" t="str">
        <x:v>Guatemala (Pacific)</x:v>
      </x:c>
      <x:c r="C36" s="24" t="str">
        <x:v>EEZ</x:v>
      </x:c>
      <x:c r="D36" s="30" t="n">
        <x:v>2019</x:v>
      </x:c>
      <x:c r="E36" s="24" t="str">
        <x:v>Polynemidae</x:v>
      </x:c>
      <x:c r="F36" s="24" t="str">
        <x:v>Threadfins</x:v>
      </x:c>
      <x:c r="G36" s="24" t="str">
        <x:v>Small demersals (&lt;30 cm)</x:v>
      </x:c>
      <x:c r="H36" s="24" t="str">
        <x:v>Perch-likes</x:v>
      </x:c>
      <x:c r="I36" s="31" t="n">
        <x:v>75.746236781</x:v>
      </x:c>
      <x:c r="J36" s="31" t="n">
        <x:v>75.746236781</x:v>
      </x:c>
      <x:c r="K36" s="31" t="n">
        <x:v>0</x:v>
      </x:c>
      <x:c r="L36" s="31" t="n">
        <x:v>18.428211615</x:v>
      </x:c>
      <x:c r="M36" s="31" t="n">
        <x:v>57.318025166</x:v>
      </x:c>
      <x:c r="N36" s="24" t="str">
        <x:v>polynemidae</x:v>
      </x:c>
      <x:c r="O36" s="32" t="n">
        <x:v>3.62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Polynemidae</x:v>
      </x:c>
      <x:c r="T36" s="32" t="n">
        <x:f>IF(O36="","",(1/'Metadata'!$B$5)^(O36-1))</x:f>
        <x:v>416.8693834703355</x:v>
      </x:c>
      <x:c r="U36" s="31" t="n">
        <x:f>IF(T36="","",I36*T36)</x:f>
        <x:v>31576.287027093516</x:v>
      </x:c>
    </x:row>
    <x:row r="37" ht="18" customHeight="1">
      <x:c r="A37" s="24" t="str">
        <x:v>EEZ_936</x:v>
      </x:c>
      <x:c r="B37" s="24" t="str">
        <x:v>Guatemala (Pacific)</x:v>
      </x:c>
      <x:c r="C37" s="24" t="str">
        <x:v>EEZ</x:v>
      </x:c>
      <x:c r="D37" s="30" t="n">
        <x:v>2019</x:v>
      </x:c>
      <x:c r="E37" s="24" t="str">
        <x:v>Gerreidae</x:v>
      </x:c>
      <x:c r="F37" s="24" t="str">
        <x:v>Mojarras, silverbellies</x:v>
      </x:c>
      <x:c r="G37" s="24" t="str">
        <x:v>Small benthopelagics (&lt;30 cm)</x:v>
      </x:c>
      <x:c r="H37" s="24" t="str">
        <x:v>Perch-likes</x:v>
      </x:c>
      <x:c r="I37" s="31" t="n">
        <x:v>72.138319892</x:v>
      </x:c>
      <x:c r="J37" s="31" t="n">
        <x:v>60.112539762</x:v>
      </x:c>
      <x:c r="K37" s="31" t="n">
        <x:v>12.02578013</x:v>
      </x:c>
      <x:c r="L37" s="31" t="n">
        <x:v>12.13428122</x:v>
      </x:c>
      <x:c r="M37" s="31" t="n">
        <x:v>60.00403867200001</x:v>
      </x:c>
      <x:c r="N37" s="24" t="str">
        <x:v>gerreidae</x:v>
      </x:c>
      <x:c r="O37" s="32" t="n">
        <x:v>3.03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Gerreidae</x:v>
      </x:c>
      <x:c r="T37" s="32" t="n">
        <x:f>IF(O37="","",(1/'Metadata'!$B$5)^(O37-1))</x:f>
        <x:v>107.1519305237606</x:v>
      </x:c>
      <x:c r="U37" s="31" t="n">
        <x:f>IF(T37="","",I37*T37)</x:f>
        <x:v>7729.760241168401</x:v>
      </x:c>
    </x:row>
    <x:row r="38" ht="18" customHeight="1">
      <x:c r="A38" s="24" t="str">
        <x:v>EEZ_936</x:v>
      </x:c>
      <x:c r="B38" s="24" t="str">
        <x:v>Guatemala (Pacific)</x:v>
      </x:c>
      <x:c r="C38" s="24" t="str">
        <x:v>EEZ</x:v>
      </x:c>
      <x:c r="D38" s="30" t="n">
        <x:v>2019</x:v>
      </x:c>
      <x:c r="E38" s="24" t="str">
        <x:v>Acanthocybium solandri</x:v>
      </x:c>
      <x:c r="F38" s="24" t="str">
        <x:v>Wahoo</x:v>
      </x:c>
      <x:c r="G38" s="24" t="str">
        <x:v>Large pelagics (&gt;=90 cm)</x:v>
      </x:c>
      <x:c r="H38" s="24" t="str">
        <x:v>Perch-likes</x:v>
      </x:c>
      <x:c r="I38" s="31" t="n">
        <x:v>63.598814168</x:v>
      </x:c>
      <x:c r="J38" s="31" t="n">
        <x:v>63.598814168</x:v>
      </x:c>
      <x:c r="K38" s="31" t="n">
        <x:v>0</x:v>
      </x:c>
      <x:c r="L38" s="31" t="n">
        <x:v>0</x:v>
      </x:c>
      <x:c r="M38" s="31" t="n">
        <x:v>63.598814168</x:v>
      </x:c>
      <x:c r="N38" s="24" t="str">
        <x:v>acanthocybium solandri</x:v>
      </x:c>
      <x:c r="O38" s="32" t="n">
        <x:v>4.26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Acanthocybium solandri</x:v>
      </x:c>
      <x:c r="T38" s="32" t="n">
        <x:f>IF(O38="","",(1/'Metadata'!$B$5)^(O38-1))</x:f>
        <x:v>1819.7008586099826</x:v>
      </x:c>
      <x:c r="U38" s="31" t="n">
        <x:f>IF(T38="","",I38*T38)</x:f>
        <x:v>115730.81674808632</x:v>
      </x:c>
    </x:row>
    <x:row r="39" ht="18" customHeight="1">
      <x:c r="A39" s="24" t="str">
        <x:v>EEZ_936</x:v>
      </x:c>
      <x:c r="B39" s="24" t="str">
        <x:v>Guatemala (Pacific)</x:v>
      </x:c>
      <x:c r="C39" s="24" t="str">
        <x:v>EEZ</x:v>
      </x:c>
      <x:c r="D39" s="30" t="n">
        <x:v>2019</x:v>
      </x:c>
      <x:c r="E39" s="24" t="str">
        <x:v>Scomberomorus sierra</x:v>
      </x:c>
      <x:c r="F39" s="24" t="str">
        <x:v>Pacific sierra</x:v>
      </x:c>
      <x:c r="G39" s="24" t="str">
        <x:v>Large pelagics (&gt;=90 cm)</x:v>
      </x:c>
      <x:c r="H39" s="24" t="str">
        <x:v>Perch-likes</x:v>
      </x:c>
      <x:c r="I39" s="31" t="n">
        <x:v>63.598814168</x:v>
      </x:c>
      <x:c r="J39" s="31" t="n">
        <x:v>63.598814168</x:v>
      </x:c>
      <x:c r="K39" s="31" t="n">
        <x:v>0</x:v>
      </x:c>
      <x:c r="L39" s="31" t="n">
        <x:v>0</x:v>
      </x:c>
      <x:c r="M39" s="31" t="n">
        <x:v>63.598814168</x:v>
      </x:c>
      <x:c r="N39" s="24" t="str">
        <x:v>scomberomorus sierra</x:v>
      </x:c>
      <x:c r="O39" s="32" t="n">
        <x:v>4.49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Scomberomorus sierra</x:v>
      </x:c>
      <x:c r="T39" s="32" t="n">
        <x:f>IF(O39="","",(1/'Metadata'!$B$5)^(O39-1))</x:f>
        <x:v>3090.295432513592</x:v>
      </x:c>
      <x:c r="U39" s="31" t="n">
        <x:f>IF(T39="","",I39*T39)</x:f>
        <x:v>196539.12493665112</x:v>
      </x:c>
    </x:row>
    <x:row r="40" ht="18" customHeight="1">
      <x:c r="A40" s="24" t="str">
        <x:v>EEZ_936</x:v>
      </x:c>
      <x:c r="B40" s="24" t="str">
        <x:v>Guatemala (Pacific)</x:v>
      </x:c>
      <x:c r="C40" s="24" t="str">
        <x:v>EEZ</x:v>
      </x:c>
      <x:c r="D40" s="30" t="n">
        <x:v>2019</x:v>
      </x:c>
      <x:c r="E40" s="24" t="str">
        <x:v>Euthynnus lineatus</x:v>
      </x:c>
      <x:c r="F40" s="24" t="str">
        <x:v>Black skipjack</x:v>
      </x:c>
      <x:c r="G40" s="24" t="str">
        <x:v>Medium pelagics (30 - 89 cm)</x:v>
      </x:c>
      <x:c r="H40" s="24" t="str">
        <x:v>Tuna &amp; billfishes</x:v>
      </x:c>
      <x:c r="I40" s="31" t="n">
        <x:v>63.598814168</x:v>
      </x:c>
      <x:c r="J40" s="31" t="n">
        <x:v>63.598814168</x:v>
      </x:c>
      <x:c r="K40" s="31" t="n">
        <x:v>0</x:v>
      </x:c>
      <x:c r="L40" s="31" t="n">
        <x:v>0</x:v>
      </x:c>
      <x:c r="M40" s="31" t="n">
        <x:v>63.598814168</x:v>
      </x:c>
      <x:c r="N40" s="24" t="str">
        <x:v>euthynnus lineatus</x:v>
      </x:c>
      <x:c r="O40" s="32" t="n">
        <x:v>3.83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Euthynnus lineatus</x:v>
      </x:c>
      <x:c r="T40" s="32" t="n">
        <x:f>IF(O40="","",(1/'Metadata'!$B$5)^(O40-1))</x:f>
        <x:v>676.0829753919819</x:v>
      </x:c>
      <x:c r="U40" s="31" t="n">
        <x:f>IF(T40="","",I40*T40)</x:f>
        <x:v>42998.07551410317</x:v>
      </x:c>
    </x:row>
    <x:row r="41" ht="18" customHeight="1">
      <x:c r="A41" s="24" t="str">
        <x:v>EEZ_936</x:v>
      </x:c>
      <x:c r="B41" s="24" t="str">
        <x:v>Guatemala (Pacific)</x:v>
      </x:c>
      <x:c r="C41" s="24" t="str">
        <x:v>EEZ</x:v>
      </x:c>
      <x:c r="D41" s="30" t="n">
        <x:v>2019</x:v>
      </x:c>
      <x:c r="E41" s="24" t="str">
        <x:v>Epinephelus analogus</x:v>
      </x:c>
      <x:c r="F41" s="24" t="str">
        <x:v>Spotted grouper</x:v>
      </x:c>
      <x:c r="G41" s="24" t="str">
        <x:v>Large reef assoc. fish (&gt;=90 cm)</x:v>
      </x:c>
      <x:c r="H41" s="24" t="str">
        <x:v>Perch-likes</x:v>
      </x:c>
      <x:c r="I41" s="31" t="n">
        <x:v>54.6186381</x:v>
      </x:c>
      <x:c r="J41" s="31" t="n">
        <x:v>54.6186381</x:v>
      </x:c>
      <x:c r="K41" s="31" t="n">
        <x:v>0</x:v>
      </x:c>
      <x:c r="L41" s="31" t="n">
        <x:v>0.001068755</x:v>
      </x:c>
      <x:c r="M41" s="31" t="n">
        <x:v>54.617569345</x:v>
      </x:c>
      <x:c r="N41" s="24" t="str">
        <x:v>epinephelus analogus</x:v>
      </x:c>
      <x:c r="O41" s="32" t="n">
        <x:v>3.84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Epinephelus analogus</x:v>
      </x:c>
      <x:c r="T41" s="32" t="n">
        <x:f>IF(O41="","",(1/'Metadata'!$B$5)^(O41-1))</x:f>
        <x:v>691.8309709189363</x:v>
      </x:c>
      <x:c r="U41" s="31" t="n">
        <x:f>IF(T41="","",I41*T41)</x:f>
        <x:v>37786.865426993005</x:v>
      </x:c>
    </x:row>
    <x:row r="42" ht="18" customHeight="1">
      <x:c r="A42" s="24" t="str">
        <x:v>EEZ_936</x:v>
      </x:c>
      <x:c r="B42" s="24" t="str">
        <x:v>Guatemala (Pacific)</x:v>
      </x:c>
      <x:c r="C42" s="24" t="str">
        <x:v>EEZ</x:v>
      </x:c>
      <x:c r="D42" s="30" t="n">
        <x:v>2019</x:v>
      </x:c>
      <x:c r="E42" s="24" t="str">
        <x:v>Mycteroperca xenarcha</x:v>
      </x:c>
      <x:c r="F42" s="24" t="str">
        <x:v>Broomtail grouper</x:v>
      </x:c>
      <x:c r="G42" s="24" t="str">
        <x:v>Large demersals (&gt;=90 cm)</x:v>
      </x:c>
      <x:c r="H42" s="24" t="str">
        <x:v>Perch-likes</x:v>
      </x:c>
      <x:c r="I42" s="31" t="n">
        <x:v>54.616317728</x:v>
      </x:c>
      <x:c r="J42" s="31" t="n">
        <x:v>54.616317728</x:v>
      </x:c>
      <x:c r="K42" s="31" t="n">
        <x:v>0</x:v>
      </x:c>
      <x:c r="L42" s="31" t="n">
        <x:v>0.000342002</x:v>
      </x:c>
      <x:c r="M42" s="31" t="n">
        <x:v>54.615975725999995</x:v>
      </x:c>
      <x:c r="N42" s="24" t="str">
        <x:v>mycteroperca xenarcha</x:v>
      </x:c>
      <x:c r="O42" s="32" t="n">
        <x:v>4.35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Mycteroperca xenarcha</x:v>
      </x:c>
      <x:c r="T42" s="32" t="n">
        <x:f>IF(O42="","",(1/'Metadata'!$B$5)^(O42-1))</x:f>
        <x:v>2238.7211385683377</x:v>
      </x:c>
      <x:c r="U42" s="31" t="n">
        <x:f>IF(T42="","",I42*T42)</x:f>
        <x:v>122270.70500843824</x:v>
      </x:c>
    </x:row>
    <x:row r="43" ht="18" customHeight="1">
      <x:c r="A43" s="24" t="str">
        <x:v>EEZ_936</x:v>
      </x:c>
      <x:c r="B43" s="24" t="str">
        <x:v>Guatemala (Pacific)</x:v>
      </x:c>
      <x:c r="C43" s="24" t="str">
        <x:v>EEZ</x:v>
      </x:c>
      <x:c r="D43" s="30" t="n">
        <x:v>2019</x:v>
      </x:c>
      <x:c r="E43" s="24" t="str">
        <x:v>Epinephelus itajara</x:v>
      </x:c>
      <x:c r="F43" s="24" t="str">
        <x:v>Atlantic goliath grouper</x:v>
      </x:c>
      <x:c r="G43" s="24" t="str">
        <x:v>Large reef assoc. fish (&gt;=90 cm)</x:v>
      </x:c>
      <x:c r="H43" s="24" t="str">
        <x:v>Perch-likes</x:v>
      </x:c>
      <x:c r="I43" s="31" t="n">
        <x:v>54.615225787</x:v>
      </x:c>
      <x:c r="J43" s="31" t="n">
        <x:v>54.615225787</x:v>
      </x:c>
      <x:c r="K43" s="31" t="n">
        <x:v>0</x:v>
      </x:c>
      <x:c r="L43" s="31" t="n">
        <x:v>0</x:v>
      </x:c>
      <x:c r="M43" s="31" t="n">
        <x:v>54.615225787</x:v>
      </x:c>
      <x:c r="N43" s="24" t="str">
        <x:v>epinephelus itajara</x:v>
      </x:c>
      <x:c r="O43" s="32" t="n">
        <x:v>4.09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Epinephelus itajara</x:v>
      </x:c>
      <x:c r="T43" s="32" t="n">
        <x:f>IF(O43="","",(1/'Metadata'!$B$5)^(O43-1))</x:f>
        <x:v>1230.268770812381</x:v>
      </x:c>
      <x:c r="U43" s="31" t="n">
        <x:f>IF(T43="","",I43*T43)</x:f>
        <x:v>67191.40669661315</x:v>
      </x:c>
    </x:row>
    <x:row r="44" ht="18" customHeight="1">
      <x:c r="A44" s="24" t="str">
        <x:v>EEZ_936</x:v>
      </x:c>
      <x:c r="B44" s="24" t="str">
        <x:v>Guatemala (Pacific)</x:v>
      </x:c>
      <x:c r="C44" s="24" t="str">
        <x:v>EEZ</x:v>
      </x:c>
      <x:c r="D44" s="30" t="n">
        <x:v>2019</x:v>
      </x:c>
      <x:c r="E44" s="24" t="str">
        <x:v>Mullidae</x:v>
      </x:c>
      <x:c r="F44" s="24" t="str">
        <x:v>Goatfishes</x:v>
      </x:c>
      <x:c r="G44" s="24" t="str">
        <x:v>Medium reef assoc. fish (30 - 89 cm)</x:v>
      </x:c>
      <x:c r="H44" s="24" t="str">
        <x:v>Perch-likes</x:v>
      </x:c>
      <x:c r="I44" s="31" t="n">
        <x:v>33.326076152</x:v>
      </x:c>
      <x:c r="J44" s="31" t="n">
        <x:v>33.326076152</x:v>
      </x:c>
      <x:c r="K44" s="31" t="n">
        <x:v>0</x:v>
      </x:c>
      <x:c r="L44" s="31" t="n">
        <x:v>0</x:v>
      </x:c>
      <x:c r="M44" s="31" t="n">
        <x:v>33.326076152</x:v>
      </x:c>
      <x:c r="N44" s="24" t="str">
        <x:v>mullidae</x:v>
      </x:c>
      <x:c r="O44" s="32" t="n">
        <x:v>3.46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Mullidae</x:v>
      </x:c>
      <x:c r="T44" s="32" t="n">
        <x:f>IF(O44="","",(1/'Metadata'!$B$5)^(O44-1))</x:f>
        <x:v>288.40315031266056</x:v>
      </x:c>
      <x:c r="U44" s="31" t="n">
        <x:f>IF(T44="","",I44*T44)</x:f>
        <x:v>9611.345349796427</x:v>
      </x:c>
    </x:row>
    <x:row r="45" ht="18" customHeight="1">
      <x:c r="A45" s="24" t="str">
        <x:v>EEZ_936</x:v>
      </x:c>
      <x:c r="B45" s="24" t="str">
        <x:v>Guatemala (Pacific)</x:v>
      </x:c>
      <x:c r="C45" s="24" t="str">
        <x:v>EEZ</x:v>
      </x:c>
      <x:c r="D45" s="30" t="n">
        <x:v>2019</x:v>
      </x:c>
      <x:c r="E45" s="24" t="str">
        <x:v>Carcharhinidae</x:v>
      </x:c>
      <x:c r="F45" s="24" t="str">
        <x:v>Requiem sharks</x:v>
      </x:c>
      <x:c r="G45" s="24" t="str">
        <x:v>Large sharks (&gt;=90 cm)</x:v>
      </x:c>
      <x:c r="H45" s="24" t="str">
        <x:v>Sharks &amp; rays</x:v>
      </x:c>
      <x:c r="I45" s="31" t="n">
        <x:v>23.236416515000002</x:v>
      </x:c>
      <x:c r="J45" s="31" t="n">
        <x:v>23.236416515000002</x:v>
      </x:c>
      <x:c r="K45" s="31" t="n">
        <x:v>0</x:v>
      </x:c>
      <x:c r="L45" s="31" t="n">
        <x:v>7.277771385</x:v>
      </x:c>
      <x:c r="M45" s="31" t="n">
        <x:v>15.95864513</x:v>
      </x:c>
      <x:c r="N45" s="24" t="str">
        <x:v>carcharhinidae</x:v>
      </x:c>
      <x:c r="O45" s="32" t="n">
        <x:v>4.24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Carcharhinidae</x:v>
      </x:c>
      <x:c r="T45" s="32" t="n">
        <x:f>IF(O45="","",(1/'Metadata'!$B$5)^(O45-1))</x:f>
        <x:v>1737.8008287493763</x:v>
      </x:c>
      <x:c r="U45" s="31" t="n">
        <x:f>IF(T45="","",I45*T45)</x:f>
        <x:v>40380.263876932695</x:v>
      </x:c>
    </x:row>
    <x:row r="46" ht="18" customHeight="1">
      <x:c r="A46" s="24" t="str">
        <x:v>EEZ_936</x:v>
      </x:c>
      <x:c r="B46" s="24" t="str">
        <x:v>Guatemala (Pacific)</x:v>
      </x:c>
      <x:c r="C46" s="24" t="str">
        <x:v>EEZ</x:v>
      </x:c>
      <x:c r="D46" s="30" t="n">
        <x:v>2019</x:v>
      </x:c>
      <x:c r="E46" s="24" t="str">
        <x:v>Cynoglossidae</x:v>
      </x:c>
      <x:c r="F46" s="24" t="str">
        <x:v>Tonguefishes</x:v>
      </x:c>
      <x:c r="G46" s="24" t="str">
        <x:v>Small to medium flatfishes (&lt;90 cm)</x:v>
      </x:c>
      <x:c r="H46" s="24" t="str">
        <x:v>Flatfishes</x:v>
      </x:c>
      <x:c r="I46" s="31" t="n">
        <x:v>18.89765449</x:v>
      </x:c>
      <x:c r="J46" s="31" t="n">
        <x:v>0</x:v>
      </x:c>
      <x:c r="K46" s="31" t="n">
        <x:v>18.89765449</x:v>
      </x:c>
      <x:c r="L46" s="31" t="n">
        <x:v>0</x:v>
      </x:c>
      <x:c r="M46" s="31" t="n">
        <x:v>18.89765449</x:v>
      </x:c>
      <x:c r="N46" s="24" t="str">
        <x:v>cynoglossidae</x:v>
      </x:c>
      <x:c r="O46" s="32" t="n">
        <x:v>3.29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Cynoglossidae</x:v>
      </x:c>
      <x:c r="T46" s="32" t="n">
        <x:f>IF(O46="","",(1/'Metadata'!$B$5)^(O46-1))</x:f>
        <x:v>194.98445997580455</x:v>
      </x:c>
      <x:c r="U46" s="31" t="n">
        <x:f>IF(T46="","",I46*T46)</x:f>
        <x:v>3684.7489555419884</x:v>
      </x:c>
    </x:row>
    <x:row r="47" ht="18" customHeight="1">
      <x:c r="A47" s="24" t="str">
        <x:v>EEZ_936</x:v>
      </x:c>
      <x:c r="B47" s="24" t="str">
        <x:v>Guatemala (Pacific)</x:v>
      </x:c>
      <x:c r="C47" s="24" t="str">
        <x:v>EEZ</x:v>
      </x:c>
      <x:c r="D47" s="30" t="n">
        <x:v>2019</x:v>
      </x:c>
      <x:c r="E47" s="24" t="str">
        <x:v>Istiophorus platypterus</x:v>
      </x:c>
      <x:c r="F47" s="24" t="str">
        <x:v>Indo-Pacific sailfish</x:v>
      </x:c>
      <x:c r="G47" s="24" t="str">
        <x:v>Large pelagics (&gt;=90 cm)</x:v>
      </x:c>
      <x:c r="H47" s="24" t="str">
        <x:v>Tuna &amp; billfishes</x:v>
      </x:c>
      <x:c r="I47" s="31" t="n">
        <x:v>18.7407887274</x:v>
      </x:c>
      <x:c r="J47" s="31" t="n">
        <x:v>18.7407887274</x:v>
      </x:c>
      <x:c r="K47" s="31" t="n">
        <x:v>0</x:v>
      </x:c>
      <x:c r="L47" s="31" t="n">
        <x:v>0.18534442639999998</x:v>
      </x:c>
      <x:c r="M47" s="31" t="n">
        <x:v>18.555444300999998</x:v>
      </x:c>
      <x:c r="N47" s="24" t="str">
        <x:v>istiophorus platypterus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Istiophorus platypterus</x:v>
      </x:c>
      <x:c r="T47" s="32" t="n">
        <x:f>IF(O47="","",(1/'Metadata'!$B$5)^(O47-1))</x:f>
        <x:v>3162.2776601683795</x:v>
      </x:c>
      <x:c r="U47" s="31" t="n">
        <x:f>IF(T47="","",I47*T47)</x:f>
        <x:v>59263.57752659241</x:v>
      </x:c>
    </x:row>
    <x:row r="48" ht="18" customHeight="1">
      <x:c r="A48" s="24" t="str">
        <x:v>EEZ_936</x:v>
      </x:c>
      <x:c r="B48" s="24" t="str">
        <x:v>Guatemala (Pacific)</x:v>
      </x:c>
      <x:c r="C48" s="24" t="str">
        <x:v>EEZ</x:v>
      </x:c>
      <x:c r="D48" s="30" t="n">
        <x:v>2019</x:v>
      </x:c>
      <x:c r="E48" s="24" t="str">
        <x:v>Scorpaenidae</x:v>
      </x:c>
      <x:c r="F48" s="24" t="str">
        <x:v>Scorpionfishes, rockfishes</x:v>
      </x:c>
      <x:c r="G48" s="24" t="str">
        <x:v>Large reef assoc. fish (&gt;=90 cm)</x:v>
      </x:c>
      <x:c r="H48" s="24" t="str">
        <x:v>Scorpionfishes</x:v>
      </x:c>
      <x:c r="I48" s="31" t="n">
        <x:v>12.88476443</x:v>
      </x:c>
      <x:c r="J48" s="31" t="n">
        <x:v>0</x:v>
      </x:c>
      <x:c r="K48" s="31" t="n">
        <x:v>12.88476443</x:v>
      </x:c>
      <x:c r="L48" s="31" t="n">
        <x:v>0</x:v>
      </x:c>
      <x:c r="M48" s="31" t="n">
        <x:v>12.88476443</x:v>
      </x:c>
      <x:c r="N48" s="24" t="str">
        <x:v>scorpaenidae</x:v>
      </x:c>
      <x:c r="O48" s="32" t="n">
        <x:v>3.92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Scorpaenidae</x:v>
      </x:c>
      <x:c r="T48" s="32" t="n">
        <x:f>IF(O48="","",(1/'Metadata'!$B$5)^(O48-1))</x:f>
        <x:v>831.7637711026708</x:v>
      </x:c>
      <x:c r="U48" s="31" t="n">
        <x:f>IF(T48="","",I48*T48)</x:f>
        <x:v>10717.080252066355</x:v>
      </x:c>
    </x:row>
    <x:row r="49" ht="18" customHeight="1">
      <x:c r="A49" s="24" t="str">
        <x:v>EEZ_936</x:v>
      </x:c>
      <x:c r="B49" s="24" t="str">
        <x:v>Guatemala (Pacific)</x:v>
      </x:c>
      <x:c r="C49" s="24" t="str">
        <x:v>EEZ</x:v>
      </x:c>
      <x:c r="D49" s="30" t="n">
        <x:v>2019</x:v>
      </x:c>
      <x:c r="E49" s="24" t="str">
        <x:v>Sphyraena</x:v>
      </x:c>
      <x:c r="F49" s="24" t="str">
        <x:v>Barracudas, sennets</x:v>
      </x:c>
      <x:c r="G49" s="24" t="str">
        <x:v>Large pelagics (&gt;=90 cm)</x:v>
      </x:c>
      <x:c r="H49" s="24" t="str">
        <x:v>Perch-likes</x:v>
      </x:c>
      <x:c r="I49" s="31" t="n">
        <x:v>8.34719452</x:v>
      </x:c>
      <x:c r="J49" s="31" t="n">
        <x:v>8.34719452</x:v>
      </x:c>
      <x:c r="K49" s="31" t="n">
        <x:v>0</x:v>
      </x:c>
      <x:c r="L49" s="31" t="n">
        <x:v>0</x:v>
      </x:c>
      <x:c r="M49" s="31" t="n">
        <x:v>8.34719452</x:v>
      </x:c>
      <x:c r="N49" s="24" t="str">
        <x:v>sphyraena</x:v>
      </x:c>
      <x:c r="O49" s="32" t="n">
        <x:v>4.4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Sphyraena</x:v>
      </x:c>
      <x:c r="T49" s="32" t="n">
        <x:f>IF(O49="","",(1/'Metadata'!$B$5)^(O49-1))</x:f>
        <x:v>2511.886431509582</x:v>
      </x:c>
      <x:c r="U49" s="31" t="n">
        <x:f>IF(T49="","",I49*T49)</x:f>
        <x:v>20967.20465595914</x:v>
      </x:c>
    </x:row>
    <x:row r="50" ht="18" customHeight="1">
      <x:c r="A50" s="24" t="str">
        <x:v>EEZ_936</x:v>
      </x:c>
      <x:c r="B50" s="24" t="str">
        <x:v>Guatemala (Pacific)</x:v>
      </x:c>
      <x:c r="C50" s="24" t="str">
        <x:v>EEZ</x:v>
      </x:c>
      <x:c r="D50" s="30" t="n">
        <x:v>2019</x:v>
      </x:c>
      <x:c r="E50" s="24" t="str">
        <x:v>Teuthida</x:v>
      </x:c>
      <x:c r="F50" s="24" t="str">
        <x:v>Squids</x:v>
      </x:c>
      <x:c r="G50" s="24" t="str">
        <x:v>Cephalopods</x:v>
      </x:c>
      <x:c r="H50" s="24" t="str">
        <x:v>Other fishes &amp; inverts</x:v>
      </x:c>
      <x:c r="I50" s="31" t="n">
        <x:v>8.087840896000001</x:v>
      </x:c>
      <x:c r="J50" s="31" t="n">
        <x:v>8.087840896000001</x:v>
      </x:c>
      <x:c r="K50" s="31" t="n">
        <x:v>0</x:v>
      </x:c>
      <x:c r="L50" s="31" t="n">
        <x:v>2.5331555320000003</x:v>
      </x:c>
      <x:c r="M50" s="31" t="n">
        <x:v>5.554685364</x:v>
      </x:c>
      <x:c r="N50" s="24" t="str">
        <x:v>teuthida</x:v>
      </x:c>
      <x:c r="O50" s="32" t="n">
        <x:v>4.13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Teuthida</x:v>
      </x:c>
      <x:c r="T50" s="32" t="n">
        <x:f>IF(O50="","",(1/'Metadata'!$B$5)^(O50-1))</x:f>
        <x:v>1348.9628825916532</x:v>
      </x:c>
      <x:c r="U50" s="31" t="n">
        <x:f>IF(T50="","",I50*T50)</x:f>
        <x:v>10910.19716901082</x:v>
      </x:c>
    </x:row>
    <x:row r="51" ht="18" customHeight="1">
      <x:c r="A51" s="24" t="str">
        <x:v>EEZ_936</x:v>
      </x:c>
      <x:c r="B51" s="24" t="str">
        <x:v>Guatemala (Pacific)</x:v>
      </x:c>
      <x:c r="C51" s="24" t="str">
        <x:v>EEZ</x:v>
      </x:c>
      <x:c r="D51" s="30" t="n">
        <x:v>2019</x:v>
      </x:c>
      <x:c r="E51" s="24" t="str">
        <x:v>Portunus</x:v>
      </x:c>
      <x:c r="F51" s="24" t="str">
        <x:v>Swimmer crabs</x:v>
      </x:c>
      <x:c r="G51" s="24" t="str">
        <x:v>Lobsters, crabs</x:v>
      </x:c>
      <x:c r="H51" s="24" t="str">
        <x:v>Crustaceans</x:v>
      </x:c>
      <x:c r="I51" s="31" t="n">
        <x:v>5.928790276</x:v>
      </x:c>
      <x:c r="J51" s="31" t="n">
        <x:v>5.928790276</x:v>
      </x:c>
      <x:c r="K51" s="31" t="n">
        <x:v>0</x:v>
      </x:c>
      <x:c r="L51" s="31" t="n">
        <x:v>0</x:v>
      </x:c>
      <x:c r="M51" s="31" t="n">
        <x:v>5.928790276</x:v>
      </x:c>
      <x:c r="N51" s="24" t="str">
        <x:v>portunus</x:v>
      </x:c>
      <x:c r="O51" s="32" t="n">
        <x:v>3.26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Portunus</x:v>
      </x:c>
      <x:c r="T51" s="32" t="n">
        <x:f>IF(O51="","",(1/'Metadata'!$B$5)^(O51-1))</x:f>
        <x:v>181.97008586099827</x:v>
      </x:c>
      <x:c r="U51" s="31" t="n">
        <x:f>IF(T51="","",I51*T51)</x:f>
        <x:v>1078.8624755755716</x:v>
      </x:c>
    </x:row>
    <x:row r="52" ht="18" customHeight="1">
      <x:c r="A52" s="24" t="str">
        <x:v>EEZ_936</x:v>
      </x:c>
      <x:c r="B52" s="24" t="str">
        <x:v>Guatemala (Pacific)</x:v>
      </x:c>
      <x:c r="C52" s="24" t="str">
        <x:v>EEZ</x:v>
      </x:c>
      <x:c r="D52" s="30" t="n">
        <x:v>2019</x:v>
      </x:c>
      <x:c r="E52" s="24" t="str">
        <x:v>Alopias pelagicus</x:v>
      </x:c>
      <x:c r="F52" s="24" t="str">
        <x:v>Pelagic thresher</x:v>
      </x:c>
      <x:c r="G52" s="24" t="str">
        <x:v>Large sharks (&gt;=90 cm)</x:v>
      </x:c>
      <x:c r="H52" s="24" t="str">
        <x:v>Sharks &amp; rays</x:v>
      </x:c>
      <x:c r="I52" s="31" t="n">
        <x:v>5.619123828</x:v>
      </x:c>
      <x:c r="J52" s="31" t="n">
        <x:v>5.619123828</x:v>
      </x:c>
      <x:c r="K52" s="31" t="n">
        <x:v>0</x:v>
      </x:c>
      <x:c r="L52" s="31" t="n">
        <x:v>1.759939988</x:v>
      </x:c>
      <x:c r="M52" s="31" t="n">
        <x:v>3.85918384</x:v>
      </x:c>
      <x:c r="N52" s="24" t="str">
        <x:v>alopias pelagicus</x:v>
      </x:c>
      <x:c r="O52" s="32" t="n">
        <x:v>4.5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Alopias pelagicus</x:v>
      </x:c>
      <x:c r="T52" s="32" t="n">
        <x:f>IF(O52="","",(1/'Metadata'!$B$5)^(O52-1))</x:f>
        <x:v>3162.2776601683795</x:v>
      </x:c>
      <x:c r="U52" s="31" t="n">
        <x:f>IF(T52="","",I52*T52)</x:f>
        <x:v>17769.22975100423</x:v>
      </x:c>
    </x:row>
    <x:row r="53" ht="18" customHeight="1">
      <x:c r="A53" s="24" t="str">
        <x:v>EEZ_936</x:v>
      </x:c>
      <x:c r="B53" s="24" t="str">
        <x:v>Guatemala (Pacific)</x:v>
      </x:c>
      <x:c r="C53" s="24" t="str">
        <x:v>EEZ</x:v>
      </x:c>
      <x:c r="D53" s="30" t="n">
        <x:v>2019</x:v>
      </x:c>
      <x:c r="E53" s="24" t="str">
        <x:v>Thunnus alalunga</x:v>
      </x:c>
      <x:c r="F53" s="24" t="str">
        <x:v>Albacore</x:v>
      </x:c>
      <x:c r="G53" s="24" t="str">
        <x:v>Large pelagics (&gt;=90 cm)</x:v>
      </x:c>
      <x:c r="H53" s="24" t="str">
        <x:v>Tuna &amp; billfishes</x:v>
      </x:c>
      <x:c r="I53" s="31" t="n">
        <x:v>5.242109053</x:v>
      </x:c>
      <x:c r="J53" s="31" t="n">
        <x:v>5.1896931522</x:v>
      </x:c>
      <x:c r="K53" s="31" t="n">
        <x:v>0.0524159008</x:v>
      </x:c>
      <x:c r="L53" s="31" t="n">
        <x:v>5.1896931522</x:v>
      </x:c>
      <x:c r="M53" s="31" t="n">
        <x:v>0.0524159008</x:v>
      </x:c>
      <x:c r="N53" s="24" t="str">
        <x:v>thunnus alalunga</x:v>
      </x:c>
      <x:c r="O53" s="32" t="n">
        <x:v>4.3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alalunga</x:v>
      </x:c>
      <x:c r="T53" s="32" t="n">
        <x:f>IF(O53="","",(1/'Metadata'!$B$5)^(O53-1))</x:f>
        <x:v>1995.2623149688789</x:v>
      </x:c>
      <x:c r="U53" s="31" t="n">
        <x:f>IF(T53="","",I53*T53)</x:f>
        <x:v>10459.382644408097</x:v>
      </x:c>
    </x:row>
    <x:row r="54" ht="18" customHeight="1">
      <x:c r="A54" s="24" t="str">
        <x:v>EEZ_936</x:v>
      </x:c>
      <x:c r="B54" s="24" t="str">
        <x:v>Guatemala (Pacific)</x:v>
      </x:c>
      <x:c r="C54" s="24" t="str">
        <x:v>EEZ</x:v>
      </x:c>
      <x:c r="D54" s="30" t="n">
        <x:v>2019</x:v>
      </x:c>
      <x:c r="E54" s="24" t="str">
        <x:v>Aetobatus narinari</x:v>
      </x:c>
      <x:c r="F54" s="24" t="str">
        <x:v>Spotted eagle ray</x:v>
      </x:c>
      <x:c r="G54" s="24" t="str">
        <x:v>Large rays (&gt;=90 cm)</x:v>
      </x:c>
      <x:c r="H54" s="24" t="str">
        <x:v>Sharks &amp; rays</x:v>
      </x:c>
      <x:c r="I54" s="31" t="n">
        <x:v>2.649156571</x:v>
      </x:c>
      <x:c r="J54" s="31" t="n">
        <x:v>2.649156571</x:v>
      </x:c>
      <x:c r="K54" s="31" t="n">
        <x:v>0</x:v>
      </x:c>
      <x:c r="L54" s="31" t="n">
        <x:v>0</x:v>
      </x:c>
      <x:c r="M54" s="31" t="n">
        <x:v>2.649156571</x:v>
      </x:c>
      <x:c r="N54" s="24" t="str">
        <x:v>aetobatus narinari</x:v>
      </x:c>
      <x:c r="O54" s="32" t="n">
        <x:v>4.17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Aetobatus narinari</x:v>
      </x:c>
      <x:c r="T54" s="32" t="n">
        <x:f>IF(O54="","",(1/'Metadata'!$B$5)^(O54-1))</x:f>
        <x:v>1479.1083881682073</x:v>
      </x:c>
      <x:c r="U54" s="31" t="n">
        <x:f>IF(T54="","",I54*T54)</x:f>
        <x:v>3918.3897057370245</x:v>
      </x:c>
    </x:row>
    <x:row r="55" ht="18" customHeight="1">
      <x:c r="A55" s="24" t="str">
        <x:v>EEZ_936</x:v>
      </x:c>
      <x:c r="B55" s="24" t="str">
        <x:v>Guatemala (Pacific)</x:v>
      </x:c>
      <x:c r="C55" s="24" t="str">
        <x:v>EEZ</x:v>
      </x:c>
      <x:c r="D55" s="30" t="n">
        <x:v>2019</x:v>
      </x:c>
      <x:c r="E55" s="24" t="str">
        <x:v>Bothidae</x:v>
      </x:c>
      <x:c r="F55" s="24" t="str">
        <x:v>Lefteye flounders</x:v>
      </x:c>
      <x:c r="G55" s="24" t="str">
        <x:v>Small to medium flatfishes (&lt;90 cm)</x:v>
      </x:c>
      <x:c r="H55" s="24" t="str">
        <x:v>Flatfishes</x:v>
      </x:c>
      <x:c r="I55" s="31" t="n">
        <x:v>2.576952885</x:v>
      </x:c>
      <x:c r="J55" s="31" t="n">
        <x:v>0</x:v>
      </x:c>
      <x:c r="K55" s="31" t="n">
        <x:v>2.576952885</x:v>
      </x:c>
      <x:c r="L55" s="31" t="n">
        <x:v>0</x:v>
      </x:c>
      <x:c r="M55" s="31" t="n">
        <x:v>2.576952885</x:v>
      </x:c>
      <x:c r="N55" s="24" t="str">
        <x:v>bothidae</x:v>
      </x:c>
      <x:c r="O55" s="32" t="n">
        <x:v>3.77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Bothidae</x:v>
      </x:c>
      <x:c r="T55" s="32" t="n">
        <x:f>IF(O55="","",(1/'Metadata'!$B$5)^(O55-1))</x:f>
        <x:v>588.843655355589</x:v>
      </x:c>
      <x:c r="U55" s="31" t="n">
        <x:f>IF(T55="","",I55*T55)</x:f>
        <x:v>1517.4223564825309</x:v>
      </x:c>
    </x:row>
    <x:row r="56" ht="18" customHeight="1">
      <x:c r="A56" s="24" t="str">
        <x:v>EEZ_936</x:v>
      </x:c>
      <x:c r="B56" s="24" t="str">
        <x:v>Guatemala (Pacific)</x:v>
      </x:c>
      <x:c r="C56" s="24" t="str">
        <x:v>EEZ</x:v>
      </x:c>
      <x:c r="D56" s="30" t="n">
        <x:v>2019</x:v>
      </x:c>
      <x:c r="E56" s="24" t="str">
        <x:v>Penaeus stylirostris</x:v>
      </x:c>
      <x:c r="F56" s="24" t="str">
        <x:v>Blue shrimp</x:v>
      </x:c>
      <x:c r="G56" s="24" t="str">
        <x:v>Shrimps</x:v>
      </x:c>
      <x:c r="H56" s="24" t="str">
        <x:v>Crustaceans</x:v>
      </x:c>
      <x:c r="I56" s="31" t="n">
        <x:v>2.1363893650000003</x:v>
      </x:c>
      <x:c r="J56" s="31" t="n">
        <x:v>2.1363893650000003</x:v>
      </x:c>
      <x:c r="K56" s="31" t="n">
        <x:v>0</x:v>
      </x:c>
      <x:c r="L56" s="31" t="n">
        <x:v>0.669128709</x:v>
      </x:c>
      <x:c r="M56" s="31" t="n">
        <x:v>1.467260656</x:v>
      </x:c>
      <x:c r="N56" s="24" t="str">
        <x:v>penaeus stylirostris</x:v>
      </x:c>
      <x:c r="O56" s="32" t="n">
        <x:v>2.7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Penaeus stylirostris</x:v>
      </x:c>
      <x:c r="T56" s="32" t="n">
        <x:f>IF(O56="","",(1/'Metadata'!$B$5)^(O56-1))</x:f>
        <x:v>50.11872336272725</x:v>
      </x:c>
      <x:c r="U56" s="31" t="n">
        <x:f>IF(T56="","",I56*T56)</x:f>
        <x:v>107.07310757950755</x:v>
      </x:c>
    </x:row>
    <x:row r="57" ht="18" customHeight="1">
      <x:c r="A57" s="24" t="str">
        <x:v>EEZ_936</x:v>
      </x:c>
      <x:c r="B57" s="24" t="str">
        <x:v>Guatemala (Pacific)</x:v>
      </x:c>
      <x:c r="C57" s="24" t="str">
        <x:v>EEZ</x:v>
      </x:c>
      <x:c r="D57" s="30" t="n">
        <x:v>2019</x:v>
      </x:c>
      <x:c r="E57" s="24" t="str">
        <x:v>Scombridae</x:v>
      </x:c>
      <x:c r="F57" s="24" t="str">
        <x:v>Mackerels, tunas, bonitos</x:v>
      </x:c>
      <x:c r="G57" s="24" t="str">
        <x:v>Medium pelagics (30 - 89 cm)</x:v>
      </x:c>
      <x:c r="H57" s="24" t="str">
        <x:v>Perch-likes</x:v>
      </x:c>
      <x:c r="I57" s="31" t="n">
        <x:v>1.8201929041</x:v>
      </x:c>
      <x:c r="J57" s="31" t="n">
        <x:v>0</x:v>
      </x:c>
      <x:c r="K57" s="31" t="n">
        <x:v>1.8201929041</x:v>
      </x:c>
      <x:c r="L57" s="31" t="n">
        <x:v>0</x:v>
      </x:c>
      <x:c r="M57" s="31" t="n">
        <x:v>1.8201929041</x:v>
      </x:c>
      <x:c r="N57" s="24" t="str">
        <x:v>scombridae</x:v>
      </x:c>
      <x:c r="O57" s="32" t="n">
        <x:v>4.26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Scombridae</x:v>
      </x:c>
      <x:c r="T57" s="32" t="n">
        <x:f>IF(O57="","",(1/'Metadata'!$B$5)^(O57-1))</x:f>
        <x:v>1819.7008586099826</x:v>
      </x:c>
      <x:c r="U57" s="31" t="n">
        <x:f>IF(T57="","",I57*T57)</x:f>
        <x:v>3312.206590426568</x:v>
      </x:c>
    </x:row>
    <x:row r="58" ht="18" customHeight="1">
      <x:c r="A58" s="24" t="str">
        <x:v>EEZ_936</x:v>
      </x:c>
      <x:c r="B58" s="24" t="str">
        <x:v>Guatemala (Pacific)</x:v>
      </x:c>
      <x:c r="C58" s="24" t="str">
        <x:v>EEZ</x:v>
      </x:c>
      <x:c r="D58" s="30" t="n">
        <x:v>2019</x:v>
      </x:c>
      <x:c r="E58" s="24" t="str">
        <x:v>Elasmobranchii</x:v>
      </x:c>
      <x:c r="F58" s="24" t="str">
        <x:v>Sharks, rays, skates</x:v>
      </x:c>
      <x:c r="G58" s="24" t="str">
        <x:v>Large sharks (&gt;=90 cm)</x:v>
      </x:c>
      <x:c r="H58" s="24" t="str">
        <x:v>Sharks &amp; rays</x:v>
      </x:c>
      <x:c r="I58" s="31" t="n">
        <x:v>1.8153812576000001</x:v>
      </x:c>
      <x:c r="J58" s="31" t="n">
        <x:v>0.0001740848</x:v>
      </x:c>
      <x:c r="K58" s="31" t="n">
        <x:v>1.8152071728</x:v>
      </x:c>
      <x:c r="L58" s="31" t="n">
        <x:v>0.0001740848</x:v>
      </x:c>
      <x:c r="M58" s="31" t="n">
        <x:v>1.8152071728</x:v>
      </x:c>
      <x:c r="N58" s="24" t="str">
        <x:v>elasmobranchii</x:v>
      </x:c>
      <x:c r="O58" s="32" t="n">
        <x:v>4.05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Elasmobranchii</x:v>
      </x:c>
      <x:c r="T58" s="32" t="n">
        <x:f>IF(O58="","",(1/'Metadata'!$B$5)^(O58-1))</x:f>
        <x:v>1122.018454301963</x:v>
      </x:c>
      <x:c r="U58" s="31" t="n">
        <x:f>IF(T58="","",I58*T58)</x:f>
        <x:v>2036.8912726211058</x:v>
      </x:c>
    </x:row>
    <x:row r="59" ht="18" customHeight="1">
      <x:c r="A59" s="24" t="str">
        <x:v>EEZ_936</x:v>
      </x:c>
      <x:c r="B59" s="24" t="str">
        <x:v>Guatemala (Pacific)</x:v>
      </x:c>
      <x:c r="C59" s="24" t="str">
        <x:v>EEZ</x:v>
      </x:c>
      <x:c r="D59" s="30" t="n">
        <x:v>2019</x:v>
      </x:c>
      <x:c r="E59" s="24" t="str">
        <x:v>Coryphaena</x:v>
      </x:c>
      <x:c r="F59" s="24" t="str">
        <x:v>Dolphinfishes</x:v>
      </x:c>
      <x:c r="G59" s="24" t="str">
        <x:v>Large pelagics (&gt;=90 cm)</x:v>
      </x:c>
      <x:c r="H59" s="24" t="str">
        <x:v>Perch-likes</x:v>
      </x:c>
      <x:c r="I59" s="31" t="n">
        <x:v>1.1679288082</x:v>
      </x:c>
      <x:c r="J59" s="31" t="n">
        <x:v>1.1679288082</x:v>
      </x:c>
      <x:c r="K59" s="31" t="n">
        <x:v>0</x:v>
      </x:c>
      <x:c r="L59" s="31" t="n">
        <x:v>1.1679288082</x:v>
      </x:c>
      <x:c r="M59" s="31" t="n">
        <x:v>0</x:v>
      </x:c>
      <x:c r="N59" s="24" t="str">
        <x:v>coryphaena</x:v>
      </x:c>
      <x:c r="O59" s="32" t="n">
        <x:v>4.49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Coryphaena</x:v>
      </x:c>
      <x:c r="T59" s="32" t="n">
        <x:f>IF(O59="","",(1/'Metadata'!$B$5)^(O59-1))</x:f>
        <x:v>3090.295432513592</x:v>
      </x:c>
      <x:c r="U59" s="31" t="n">
        <x:f>IF(T59="","",I59*T59)</x:f>
        <x:v>3609.2450614815025</x:v>
      </x:c>
    </x:row>
    <x:row r="60" ht="18" customHeight="1">
      <x:c r="A60" s="24" t="str">
        <x:v>EEZ_936</x:v>
      </x:c>
      <x:c r="B60" s="24" t="str">
        <x:v>Guatemala (Pacific)</x:v>
      </x:c>
      <x:c r="C60" s="24" t="str">
        <x:v>EEZ</x:v>
      </x:c>
      <x:c r="D60" s="30" t="n">
        <x:v>2019</x:v>
      </x:c>
      <x:c r="E60" s="24" t="str">
        <x:v>Lamnidae</x:v>
      </x:c>
      <x:c r="F60" s="24" t="str">
        <x:v>Mackerel/white sharks</x:v>
      </x:c>
      <x:c r="G60" s="24" t="str">
        <x:v>Large sharks (&gt;=90 cm)</x:v>
      </x:c>
      <x:c r="H60" s="24" t="str">
        <x:v>Sharks &amp; rays</x:v>
      </x:c>
      <x:c r="I60" s="31" t="n">
        <x:v>1.1064960240000001</x:v>
      </x:c>
      <x:c r="J60" s="31" t="n">
        <x:v>1.1064960240000001</x:v>
      </x:c>
      <x:c r="K60" s="31" t="n">
        <x:v>0</x:v>
      </x:c>
      <x:c r="L60" s="31" t="n">
        <x:v>0.346560542</x:v>
      </x:c>
      <x:c r="M60" s="31" t="n">
        <x:v>0.759935482</x:v>
      </x:c>
      <x:c r="N60" s="24" t="str">
        <x:v>lamnidae</x:v>
      </x:c>
      <x:c r="O60" s="32" t="n">
        <x:v>4.5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Lamnidae</x:v>
      </x:c>
      <x:c r="T60" s="32" t="n">
        <x:f>IF(O60="","",(1/'Metadata'!$B$5)^(O60-1))</x:f>
        <x:v>3162.2776601683795</x:v>
      </x:c>
      <x:c r="U60" s="31" t="n">
        <x:f>IF(T60="","",I60*T60)</x:f>
        <x:v>3499.0476577603354</x:v>
      </x:c>
    </x:row>
    <x:row r="61" ht="18" customHeight="1">
      <x:c r="A61" s="24" t="str">
        <x:v>EEZ_936</x:v>
      </x:c>
      <x:c r="B61" s="24" t="str">
        <x:v>Guatemala (Pacific)</x:v>
      </x:c>
      <x:c r="C61" s="24" t="str">
        <x:v>EEZ</x:v>
      </x:c>
      <x:c r="D61" s="30" t="n">
        <x:v>2019</x:v>
      </x:c>
      <x:c r="E61" s="24" t="str">
        <x:v>Marine pelagic fishes not identified</x:v>
      </x:c>
      <x:c r="F61" s="24" t="str">
        <x:v>Pelagic fishes</x:v>
      </x:c>
      <x:c r="G61" s="24" t="str">
        <x:v>Medium pelagics (30 - 89 cm)</x:v>
      </x:c>
      <x:c r="H61" s="24" t="str">
        <x:v>Other fishes &amp; inverts</x:v>
      </x:c>
      <x:c r="I61" s="31" t="n">
        <x:v>0.43514397790000003</x:v>
      </x:c>
      <x:c r="J61" s="31" t="n">
        <x:v>0.43514397790000003</x:v>
      </x:c>
      <x:c r="K61" s="31" t="n">
        <x:v>0</x:v>
      </x:c>
      <x:c r="L61" s="31" t="n">
        <x:v>0.43514397790000003</x:v>
      </x:c>
      <x:c r="M61" s="31" t="n">
        <x:v>0</x:v>
      </x:c>
      <x:c r="N61" s="24" t="str">
        <x:v>marine pelagic fishes not identified</x:v>
      </x:c>
      <x:c r="O61" s="32" t="n">
        <x:v>3.35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Marine pelagic fishes not identified</x:v>
      </x:c>
      <x:c r="T61" s="32" t="n">
        <x:f>IF(O61="","",(1/'Metadata'!$B$5)^(O61-1))</x:f>
        <x:v>223.872113856834</x:v>
      </x:c>
      <x:c r="U61" s="31" t="n">
        <x:f>IF(T61="","",I61*T61)</x:f>
        <x:v>97.41660216454447</x:v>
      </x:c>
    </x:row>
    <x:row r="62" ht="18" customHeight="1">
      <x:c r="A62" s="24" t="str">
        <x:v>EEZ_936</x:v>
      </x:c>
      <x:c r="B62" s="24" t="str">
        <x:v>Guatemala (Pacific)</x:v>
      </x:c>
      <x:c r="C62" s="24" t="str">
        <x:v>EEZ</x:v>
      </x:c>
      <x:c r="D62" s="30" t="n">
        <x:v>2019</x:v>
      </x:c>
      <x:c r="E62" s="24" t="str">
        <x:v>Mollusca</x:v>
      </x:c>
      <x:c r="F62" s="24" t="str">
        <x:v>Clams, seasnails, squids, octopuses</x:v>
      </x:c>
      <x:c r="G62" s="24" t="str">
        <x:v>Other demersal invertebrates</x:v>
      </x:c>
      <x:c r="H62" s="24" t="str">
        <x:v>Molluscs</x:v>
      </x:c>
      <x:c r="I62" s="31" t="n">
        <x:v>0.351877702</x:v>
      </x:c>
      <x:c r="J62" s="31" t="n">
        <x:v>0.351877702</x:v>
      </x:c>
      <x:c r="K62" s="31" t="n">
        <x:v>0</x:v>
      </x:c>
      <x:c r="L62" s="31" t="n">
        <x:v>0.11021</x:v>
      </x:c>
      <x:c r="M62" s="31" t="n">
        <x:v>0.241667702</x:v>
      </x:c>
      <x:c r="N62" s="24" t="str">
        <x:v>mollusca</x:v>
      </x:c>
      <x:c r="O62" s="32" t="n">
        <x:v>2.1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Mollusca</x:v>
      </x:c>
      <x:c r="T62" s="32" t="n">
        <x:f>IF(O62="","",(1/'Metadata'!$B$5)^(O62-1))</x:f>
        <x:v>12.589254117941675</x:v>
      </x:c>
      <x:c r="U62" s="31" t="n">
        <x:f>IF(T62="","",I62*T62)</x:f>
        <x:v>4.429877808915354</x:v>
      </x:c>
    </x:row>
    <x:row r="63" ht="18" customHeight="1">
      <x:c r="A63" s="24" t="str">
        <x:v>EEZ_936</x:v>
      </x:c>
      <x:c r="B63" s="24" t="str">
        <x:v>Guatemala (Pacific)</x:v>
      </x:c>
      <x:c r="C63" s="24" t="str">
        <x:v>EEZ</x:v>
      </x:c>
      <x:c r="D63" s="30" t="n">
        <x:v>2019</x:v>
      </x:c>
      <x:c r="E63" s="24" t="str">
        <x:v>Penaeus brevirostris</x:v>
      </x:c>
      <x:c r="F63" s="24" t="str">
        <x:v>Crystal shrimp</x:v>
      </x:c>
      <x:c r="G63" s="24" t="str">
        <x:v>Shrimps</x:v>
      </x:c>
      <x:c r="H63" s="24" t="str">
        <x:v>Crustaceans</x:v>
      </x:c>
      <x:c r="I63" s="31" t="n">
        <x:v>0.249132962</x:v>
      </x:c>
      <x:c r="J63" s="31" t="n">
        <x:v>0.249132962</x:v>
      </x:c>
      <x:c r="K63" s="31" t="n">
        <x:v>0</x:v>
      </x:c>
      <x:c r="L63" s="31" t="n">
        <x:v>0.078029792</x:v>
      </x:c>
      <x:c r="M63" s="31" t="n">
        <x:v>0.17110317</x:v>
      </x:c>
      <x:c r="N63" s="24" t="str">
        <x:v>penaeus brevirostris</x:v>
      </x:c>
      <x:c r="O63" s="32" t="n">
        <x:v>2.7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Penaeus brevirostris</x:v>
      </x:c>
      <x:c r="T63" s="32" t="n">
        <x:f>IF(O63="","",(1/'Metadata'!$B$5)^(O63-1))</x:f>
        <x:v>50.11872336272725</x:v>
      </x:c>
      <x:c r="U63" s="31" t="n">
        <x:f>IF(T63="","",I63*T63)</x:f>
        <x:v>12.486226003014842</x:v>
      </x:c>
    </x:row>
    <x:row r="64" ht="18" customHeight="1">
      <x:c r="A64" s="24" t="str">
        <x:v>EEZ_936</x:v>
      </x:c>
      <x:c r="B64" s="24" t="str">
        <x:v>Guatemala (Pacific)</x:v>
      </x:c>
      <x:c r="C64" s="24" t="str">
        <x:v>EEZ</x:v>
      </x:c>
      <x:c r="D64" s="30" t="n">
        <x:v>2019</x:v>
      </x:c>
      <x:c r="E64" s="24" t="str">
        <x:v>Katsuwonus pelamis</x:v>
      </x:c>
      <x:c r="F64" s="24" t="str">
        <x:v>Skipjack tuna</x:v>
      </x:c>
      <x:c r="G64" s="24" t="str">
        <x:v>Large pelagics (&gt;=90 cm)</x:v>
      </x:c>
      <x:c r="H64" s="24" t="str">
        <x:v>Tuna &amp; billfishes</x:v>
      </x:c>
      <x:c r="I64" s="31" t="n">
        <x:v>0.2327036391</x:v>
      </x:c>
      <x:c r="J64" s="31" t="n">
        <x:v>0.2314481711</x:v>
      </x:c>
      <x:c r="K64" s="31" t="n">
        <x:v>0.001255468</x:v>
      </x:c>
      <x:c r="L64" s="31" t="n">
        <x:v>0.2314481711</x:v>
      </x:c>
      <x:c r="M64" s="31" t="n">
        <x:v>0.001255468</x:v>
      </x:c>
      <x:c r="N64" s="24" t="str">
        <x:v>katsuwonus pelamis</x:v>
      </x:c>
      <x:c r="O64" s="32" t="n">
        <x:v>4.43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Katsuwonus pelamis</x:v>
      </x:c>
      <x:c r="T64" s="32" t="n">
        <x:f>IF(O64="","",(1/'Metadata'!$B$5)^(O64-1))</x:f>
        <x:v>2691.534803926914</x:v>
      </x:c>
      <x:c r="U64" s="31" t="n">
        <x:f>IF(T64="","",I64*T64)</x:f>
        <x:v>626.3299436380978</x:v>
      </x:c>
    </x:row>
    <x:row r="65" ht="18" customHeight="1">
      <x:c r="A65" s="24" t="str">
        <x:v>EEZ_936</x:v>
      </x:c>
      <x:c r="B65" s="24" t="str">
        <x:v>Guatemala (Pacific)</x:v>
      </x:c>
      <x:c r="C65" s="24" t="str">
        <x:v>EEZ</x:v>
      </x:c>
      <x:c r="D65" s="30" t="n">
        <x:v>2019</x:v>
      </x:c>
      <x:c r="E65" s="24" t="str">
        <x:v>Opisthonema libertate</x:v>
      </x:c>
      <x:c r="F65" s="24" t="str">
        <x:v>Pacific thread herring</x:v>
      </x:c>
      <x:c r="G65" s="24" t="str">
        <x:v>Small pelagics (&lt;30 cm)</x:v>
      </x:c>
      <x:c r="H65" s="24" t="str">
        <x:v>Herring-likes</x:v>
      </x:c>
      <x:c r="I65" s="31" t="n">
        <x:v>0.19778770810000001</x:v>
      </x:c>
      <x:c r="J65" s="31" t="n">
        <x:v>0.19778770810000001</x:v>
      </x:c>
      <x:c r="K65" s="31" t="n">
        <x:v>0</x:v>
      </x:c>
      <x:c r="L65" s="31" t="n">
        <x:v>0</x:v>
      </x:c>
      <x:c r="M65" s="31" t="n">
        <x:v>0.19778770810000001</x:v>
      </x:c>
      <x:c r="N65" s="24" t="str">
        <x:v>opisthonema libertate</x:v>
      </x:c>
      <x:c r="O65" s="32" t="n">
        <x:v>2.89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Opisthonema libertate</x:v>
      </x:c>
      <x:c r="T65" s="32" t="n">
        <x:f>IF(O65="","",(1/'Metadata'!$B$5)^(O65-1))</x:f>
        <x:v>77.6247116628692</x:v>
      </x:c>
      <x:c r="U65" s="31" t="n">
        <x:f>IF(T65="","",I65*T65)</x:f>
        <x:v>15.35321381172224</x:v>
      </x:c>
    </x:row>
    <x:row r="66" ht="18" customHeight="1">
      <x:c r="A66" s="24" t="str">
        <x:v>EEZ_936</x:v>
      </x:c>
      <x:c r="B66" s="24" t="str">
        <x:v>Guatemala (Pacific)</x:v>
      </x:c>
      <x:c r="C66" s="24" t="str">
        <x:v>EEZ</x:v>
      </x:c>
      <x:c r="D66" s="30" t="n">
        <x:v>2019</x:v>
      </x:c>
      <x:c r="E66" s="24" t="str">
        <x:v>Sphyrna lewini</x:v>
      </x:c>
      <x:c r="F66" s="24" t="str">
        <x:v>Scalloped hammerhead</x:v>
      </x:c>
      <x:c r="G66" s="24" t="str">
        <x:v>Large sharks (&gt;=90 cm)</x:v>
      </x:c>
      <x:c r="H66" s="24" t="str">
        <x:v>Sharks &amp; rays</x:v>
      </x:c>
      <x:c r="I66" s="31" t="n">
        <x:v>0.163381539</x:v>
      </x:c>
      <x:c r="J66" s="31" t="n">
        <x:v>0.163381539</x:v>
      </x:c>
      <x:c r="K66" s="31" t="n">
        <x:v>0</x:v>
      </x:c>
      <x:c r="L66" s="31" t="n">
        <x:v>0.051171982</x:v>
      </x:c>
      <x:c r="M66" s="31" t="n">
        <x:v>0.112209557</x:v>
      </x:c>
      <x:c r="N66" s="24" t="str">
        <x:v>sphyrna lewini</x:v>
      </x:c>
      <x:c r="O66" s="32" t="n">
        <x:v>4.08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Sphyrna lewini</x:v>
      </x:c>
      <x:c r="T66" s="32" t="n">
        <x:f>IF(O66="","",(1/'Metadata'!$B$5)^(O66-1))</x:f>
        <x:v>1202.2644346174131</x:v>
      </x:c>
      <x:c r="U66" s="31" t="n">
        <x:f>IF(T66="","",I66*T66)</x:f>
        <x:v>196.42781361275783</x:v>
      </x:c>
    </x:row>
    <x:row r="67" ht="18" customHeight="1">
      <x:c r="A67" s="24" t="str">
        <x:v>EEZ_936</x:v>
      </x:c>
      <x:c r="B67" s="24" t="str">
        <x:v>Guatemala (Pacific)</x:v>
      </x:c>
      <x:c r="C67" s="24" t="str">
        <x:v>EEZ</x:v>
      </x:c>
      <x:c r="D67" s="30" t="n">
        <x:v>2019</x:v>
      </x:c>
      <x:c r="E67" s="24" t="str">
        <x:v>Panulirus</x:v>
      </x:c>
      <x:c r="F67" s="24" t="str">
        <x:v>Spiny lobsters</x:v>
      </x:c>
      <x:c r="G67" s="24" t="str">
        <x:v>Lobsters, crabs</x:v>
      </x:c>
      <x:c r="H67" s="24" t="str">
        <x:v>Crustaceans</x:v>
      </x:c>
      <x:c r="I67" s="31" t="n">
        <x:v>0.133970371</x:v>
      </x:c>
      <x:c r="J67" s="31" t="n">
        <x:v>0.133970371</x:v>
      </x:c>
      <x:c r="K67" s="31" t="n">
        <x:v>0</x:v>
      </x:c>
      <x:c r="L67" s="31" t="n">
        <x:v>0.041960245</x:v>
      </x:c>
      <x:c r="M67" s="31" t="n">
        <x:v>0.092010126</x:v>
      </x:c>
      <x:c r="N67" s="24" t="str">
        <x:v>panulirus</x:v>
      </x:c>
      <x:c r="O67" s="32" t="n">
        <x:v>2.6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Panulirus</x:v>
      </x:c>
      <x:c r="T67" s="32" t="n">
        <x:f>IF(O67="","",(1/'Metadata'!$B$5)^(O67-1))</x:f>
        <x:v>39.810717055349734</x:v>
      </x:c>
      <x:c r="U67" s="31" t="n">
        <x:f>IF(T67="","",I67*T67)</x:f>
        <x:v>5.333456533681232</x:v>
      </x:c>
    </x:row>
    <x:row r="68" ht="18" customHeight="1">
      <x:c r="A68" s="24" t="str">
        <x:v>EEZ_936</x:v>
      </x:c>
      <x:c r="B68" s="24" t="str">
        <x:v>Guatemala (Pacific)</x:v>
      </x:c>
      <x:c r="C68" s="24" t="str">
        <x:v>EEZ</x:v>
      </x:c>
      <x:c r="D68" s="30" t="n">
        <x:v>2019</x:v>
      </x:c>
      <x:c r="E68" s="24" t="str">
        <x:v>Thunnus obesus</x:v>
      </x:c>
      <x:c r="F68" s="24" t="str">
        <x:v>Bigeye tuna</x:v>
      </x:c>
      <x:c r="G68" s="24" t="str">
        <x:v>Large pelagics (&gt;=90 cm)</x:v>
      </x:c>
      <x:c r="H68" s="24" t="str">
        <x:v>Tuna &amp; billfishes</x:v>
      </x:c>
      <x:c r="I68" s="31" t="n">
        <x:v>0.10657347489999999</x:v>
      </x:c>
      <x:c r="J68" s="31" t="n">
        <x:v>0.10648253249999999</x:v>
      </x:c>
      <x:c r="K68" s="31" t="n">
        <x:v>0.0000909424</x:v>
      </x:c>
      <x:c r="L68" s="31" t="n">
        <x:v>0.10648253249999999</x:v>
      </x:c>
      <x:c r="M68" s="31" t="n">
        <x:v>0.0000909424</x:v>
      </x:c>
      <x:c r="N68" s="24" t="str">
        <x:v>thunnus obesus</x:v>
      </x:c>
      <x:c r="O68" s="32" t="n">
        <x:v>4.49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Thunnus obesus</x:v>
      </x:c>
      <x:c r="T68" s="32" t="n">
        <x:f>IF(O68="","",(1/'Metadata'!$B$5)^(O68-1))</x:f>
        <x:v>3090.295432513592</x:v>
      </x:c>
      <x:c r="U68" s="31" t="n">
        <x:f>IF(T68="","",I68*T68)</x:f>
        <x:v>329.3435227105719</x:v>
      </x:c>
    </x:row>
    <x:row r="69" ht="18" customHeight="1">
      <x:c r="A69" s="24" t="str">
        <x:v>EEZ_936</x:v>
      </x:c>
      <x:c r="B69" s="24" t="str">
        <x:v>Guatemala (Pacific)</x:v>
      </x:c>
      <x:c r="C69" s="24" t="str">
        <x:v>EEZ</x:v>
      </x:c>
      <x:c r="D69" s="30" t="n">
        <x:v>2019</x:v>
      </x:c>
      <x:c r="E69" s="24" t="str">
        <x:v>Xiphias gladius</x:v>
      </x:c>
      <x:c r="F69" s="24" t="str">
        <x:v>Swordfish</x:v>
      </x:c>
      <x:c r="G69" s="24" t="str">
        <x:v>Large pelagics (&gt;=90 cm)</x:v>
      </x:c>
      <x:c r="H69" s="24" t="str">
        <x:v>Tuna &amp; billfishes</x:v>
      </x:c>
      <x:c r="I69" s="31" t="n">
        <x:v>0.0501444236</x:v>
      </x:c>
      <x:c r="J69" s="31" t="n">
        <x:v>0.0496339576</x:v>
      </x:c>
      <x:c r="K69" s="31" t="n">
        <x:v>0.000510466</x:v>
      </x:c>
      <x:c r="L69" s="31" t="n">
        <x:v>0.0496339576</x:v>
      </x:c>
      <x:c r="M69" s="31" t="n">
        <x:v>0.000510466</x:v>
      </x:c>
      <x:c r="N69" s="24" t="str">
        <x:v>xiphias gladius</x:v>
      </x:c>
      <x:c r="O69" s="32" t="n">
        <x:v>4.53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Xiphias gladius</x:v>
      </x:c>
      <x:c r="T69" s="32" t="n">
        <x:f>IF(O69="","",(1/'Metadata'!$B$5)^(O69-1))</x:f>
        <x:v>3388.4415613920273</x:v>
      </x:c>
      <x:c r="U69" s="31" t="n">
        <x:f>IF(T69="","",I69*T69)</x:f>
        <x:v>169.91144899828723</x:v>
      </x:c>
    </x:row>
    <x:row r="70" ht="18" customHeight="1">
      <x:c r="A70" s="24" t="str">
        <x:v>EEZ_936</x:v>
      </x:c>
      <x:c r="B70" s="24" t="str">
        <x:v>Guatemala (Pacific)</x:v>
      </x:c>
      <x:c r="C70" s="24" t="str">
        <x:v>EEZ</x:v>
      </x:c>
      <x:c r="D70" s="30" t="n">
        <x:v>2019</x:v>
      </x:c>
      <x:c r="E70" s="24" t="str">
        <x:v>Carangidae</x:v>
      </x:c>
      <x:c r="F70" s="24" t="str">
        <x:v>Jacks, pompanos</x:v>
      </x:c>
      <x:c r="G70" s="24" t="str">
        <x:v>Medium pelagics (30 - 89 cm)</x:v>
      </x:c>
      <x:c r="H70" s="24" t="str">
        <x:v>Perch-likes</x:v>
      </x:c>
      <x:c r="I70" s="31" t="n">
        <x:v>0.0174349986</x:v>
      </x:c>
      <x:c r="J70" s="31" t="n">
        <x:v>0.0174332003</x:v>
      </x:c>
      <x:c r="K70" s="31" t="n">
        <x:v>0.0000017983</x:v>
      </x:c>
      <x:c r="L70" s="31" t="n">
        <x:v>0.0174332003</x:v>
      </x:c>
      <x:c r="M70" s="31" t="n">
        <x:v>0.0000017983</x:v>
      </x:c>
      <x:c r="N70" s="24" t="str">
        <x:v>carangidae</x:v>
      </x:c>
      <x:c r="O70" s="32" t="n">
        <x:v>4.05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Carangidae</x:v>
      </x:c>
      <x:c r="T70" s="32" t="n">
        <x:f>IF(O70="","",(1/'Metadata'!$B$5)^(O70-1))</x:f>
        <x:v>1122.018454301963</x:v>
      </x:c>
      <x:c r="U70" s="31" t="n">
        <x:f>IF(T70="","",I70*T70)</x:f>
        <x:v>19.56239017992889</x:v>
      </x:c>
    </x:row>
    <x:row r="71" ht="18" customHeight="1">
      <x:c r="A71" s="24" t="str">
        <x:v>EEZ_936</x:v>
      </x:c>
      <x:c r="B71" s="24" t="str">
        <x:v>Guatemala (Pacific)</x:v>
      </x:c>
      <x:c r="C71" s="24" t="str">
        <x:v>EEZ</x:v>
      </x:c>
      <x:c r="D71" s="30" t="n">
        <x:v>2019</x:v>
      </x:c>
      <x:c r="E71" s="24" t="str">
        <x:v>Penaeus californiensis</x:v>
      </x:c>
      <x:c r="F71" s="24" t="str">
        <x:v>Yellowleg shrimp</x:v>
      </x:c>
      <x:c r="G71" s="24" t="str">
        <x:v>Shrimps</x:v>
      </x:c>
      <x:c r="H71" s="24" t="str">
        <x:v>Crustaceans</x:v>
      </x:c>
      <x:c r="I71" s="31" t="n">
        <x:v>0.013922237</x:v>
      </x:c>
      <x:c r="J71" s="31" t="n">
        <x:v>0.013922237</x:v>
      </x:c>
      <x:c r="K71" s="31" t="n">
        <x:v>0</x:v>
      </x:c>
      <x:c r="L71" s="31" t="n">
        <x:v>0.00436052</x:v>
      </x:c>
      <x:c r="M71" s="31" t="n">
        <x:v>0.009561717</x:v>
      </x:c>
      <x:c r="N71" s="24" t="str">
        <x:v>penaeus californiensis</x:v>
      </x:c>
      <x:c r="O71" s="32" t="n">
        <x:v>2.7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Penaeus californiensis</x:v>
      </x:c>
      <x:c r="T71" s="32" t="n">
        <x:f>IF(O71="","",(1/'Metadata'!$B$5)^(O71-1))</x:f>
        <x:v>50.11872336272725</x:v>
      </x:c>
      <x:c r="U71" s="31" t="n">
        <x:f>IF(T71="","",I71*T71)</x:f>
        <x:v>0.6977647447933258</x:v>
      </x:c>
    </x:row>
    <x:row r="72" ht="18" customHeight="1">
      <x:c r="A72" s="24" t="str">
        <x:v>EEZ_936</x:v>
      </x:c>
      <x:c r="B72" s="24" t="str">
        <x:v>Guatemala (Pacific)</x:v>
      </x:c>
      <x:c r="C72" s="24" t="str">
        <x:v>EEZ</x:v>
      </x:c>
      <x:c r="D72" s="30" t="n">
        <x:v>2019</x:v>
      </x:c>
      <x:c r="E72" s="24" t="str">
        <x:v>Portunidae</x:v>
      </x:c>
      <x:c r="F72" s="24" t="str">
        <x:v>Swimming crabs</x:v>
      </x:c>
      <x:c r="G72" s="24" t="str">
        <x:v>Lobsters, crabs</x:v>
      </x:c>
      <x:c r="H72" s="24" t="str">
        <x:v>Crustaceans</x:v>
      </x:c>
      <x:c r="I72" s="31" t="n">
        <x:v>0.005459701</x:v>
      </x:c>
      <x:c r="J72" s="31" t="n">
        <x:v>0.005459701</x:v>
      </x:c>
      <x:c r="K72" s="31" t="n">
        <x:v>0</x:v>
      </x:c>
      <x:c r="L72" s="31" t="n">
        <x:v>0.001710008</x:v>
      </x:c>
      <x:c r="M72" s="31" t="n">
        <x:v>0.003749693</x:v>
      </x:c>
      <x:c r="N72" s="24" t="str">
        <x:v>portunidae</x:v>
      </x:c>
      <x:c r="O72" s="32" t="n">
        <x:v>3.56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Portunidae</x:v>
      </x:c>
      <x:c r="T72" s="32" t="n">
        <x:f>IF(O72="","",(1/'Metadata'!$B$5)^(O72-1))</x:f>
        <x:v>363.0780547701014</x:v>
      </x:c>
      <x:c r="U72" s="31" t="n">
        <x:f>IF(T72="","",I72*T72)</x:f>
        <x:v>1.9822976187063774</x:v>
      </x:c>
    </x:row>
    <x:row r="73" ht="18" customHeight="1">
      <x:c r="A73" s="24" t="str">
        <x:v>EEZ_936</x:v>
      </x:c>
      <x:c r="B73" s="24" t="str">
        <x:v>Guatemala (Pacific)</x:v>
      </x:c>
      <x:c r="C73" s="24" t="str">
        <x:v>EEZ</x:v>
      </x:c>
      <x:c r="D73" s="30" t="n">
        <x:v>2019</x:v>
      </x:c>
      <x:c r="E73" s="24" t="str">
        <x:v>Prionace glauca</x:v>
      </x:c>
      <x:c r="F73" s="24" t="str">
        <x:v>Blue shark</x:v>
      </x:c>
      <x:c r="G73" s="24" t="str">
        <x:v>Large sharks (&gt;=90 cm)</x:v>
      </x:c>
      <x:c r="H73" s="24" t="str">
        <x:v>Sharks &amp; rays</x:v>
      </x:c>
      <x:c r="I73" s="31" t="n">
        <x:v>0.0040562091</x:v>
      </x:c>
      <x:c r="J73" s="31" t="n">
        <x:v>0</x:v>
      </x:c>
      <x:c r="K73" s="31" t="n">
        <x:v>0.0040562091</x:v>
      </x:c>
      <x:c r="L73" s="31" t="n">
        <x:v>0</x:v>
      </x:c>
      <x:c r="M73" s="31" t="n">
        <x:v>0.0040562091</x:v>
      </x:c>
      <x:c r="N73" s="24" t="str">
        <x:v>prionace glauca</x:v>
      </x:c>
      <x:c r="O73" s="32" t="n">
        <x:v>4.35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Prionace glauca</x:v>
      </x:c>
      <x:c r="T73" s="32" t="n">
        <x:f>IF(O73="","",(1/'Metadata'!$B$5)^(O73-1))</x:f>
        <x:v>2238.7211385683377</x:v>
      </x:c>
      <x:c r="U73" s="31" t="n">
        <x:f>IF(T73="","",I73*T73)</x:f>
        <x:v>9.080721054623252</x:v>
      </x:c>
    </x:row>
    <x:row r="74" ht="18" customHeight="1">
      <x:c r="A74" s="24" t="str">
        <x:v>EEZ_936</x:v>
      </x:c>
      <x:c r="B74" s="24" t="str">
        <x:v>Guatemala (Pacific)</x:v>
      </x:c>
      <x:c r="C74" s="24" t="str">
        <x:v>EEZ</x:v>
      </x:c>
      <x:c r="D74" s="30" t="n">
        <x:v>2019</x:v>
      </x:c>
      <x:c r="E74" s="24" t="str">
        <x:v>Istiophoridae</x:v>
      </x:c>
      <x:c r="F74" s="24" t="str">
        <x:v>Billfishes</x:v>
      </x:c>
      <x:c r="G74" s="24" t="str">
        <x:v>Large pelagics (&gt;=90 cm)</x:v>
      </x:c>
      <x:c r="H74" s="24" t="str">
        <x:v>Tuna &amp; billfishes</x:v>
      </x:c>
      <x:c r="I74" s="31" t="n">
        <x:v>0.0024848271</x:v>
      </x:c>
      <x:c r="J74" s="31" t="n">
        <x:v>0.0024839273</x:v>
      </x:c>
      <x:c r="K74" s="31" t="n">
        <x:v>8.998e-7</x:v>
      </x:c>
      <x:c r="L74" s="31" t="n">
        <x:v>0.0024839273</x:v>
      </x:c>
      <x:c r="M74" s="31" t="n">
        <x:v>8.998e-7</x:v>
      </x:c>
      <x:c r="N74" s="24" t="str">
        <x:v>istiophoridae</x:v>
      </x:c>
      <x:c r="O74" s="32" t="n">
        <x:v>4.48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Istiophoridae</x:v>
      </x:c>
      <x:c r="T74" s="32" t="n">
        <x:f>IF(O74="","",(1/'Metadata'!$B$5)^(O74-1))</x:f>
        <x:v>3019.951720402019</x:v>
      </x:c>
      <x:c r="U74" s="31" t="n">
        <x:f>IF(T74="","",I74*T74)</x:f>
        <x:v>7.504057875546559</x:v>
      </x:c>
    </x:row>
    <x:row r="75" ht="18" customHeight="1">
      <x:c r="A75" s="24" t="str">
        <x:v>EEZ_936</x:v>
      </x:c>
      <x:c r="B75" s="24" t="str">
        <x:v>Guatemala (Pacific)</x:v>
      </x:c>
      <x:c r="C75" s="24" t="str">
        <x:v>EEZ</x:v>
      </x:c>
      <x:c r="D75" s="30" t="n">
        <x:v>2019</x:v>
      </x:c>
      <x:c r="E75" s="24" t="str">
        <x:v>Kajikia audax</x:v>
      </x:c>
      <x:c r="F75" s="24" t="str">
        <x:v>Striped marlin</x:v>
      </x:c>
      <x:c r="G75" s="24" t="str">
        <x:v>Large pelagics (&gt;=90 cm)</x:v>
      </x:c>
      <x:c r="H75" s="24" t="str">
        <x:v>Tuna &amp; billfishes</x:v>
      </x:c>
      <x:c r="I75" s="31" t="n">
        <x:v>0.0023530406</x:v>
      </x:c>
      <x:c r="J75" s="31" t="n">
        <x:v>0.0023530406</x:v>
      </x:c>
      <x:c r="K75" s="31" t="n">
        <x:v>0</x:v>
      </x:c>
      <x:c r="L75" s="31" t="n">
        <x:v>0.0023530406</x:v>
      </x:c>
      <x:c r="M75" s="31" t="n">
        <x:v>0</x:v>
      </x:c>
      <x:c r="N75" s="24" t="str">
        <x:v>kajikia audax</x:v>
      </x:c>
      <x:c r="O75" s="32" t="n">
        <x:v>4.58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Kajikia audax</x:v>
      </x:c>
      <x:c r="T75" s="32" t="n">
        <x:f>IF(O75="","",(1/'Metadata'!$B$5)^(O75-1))</x:f>
        <x:v>3801.8939632056126</x:v>
      </x:c>
      <x:c r="U75" s="31" t="n">
        <x:f>IF(T75="","",I75*T75)</x:f>
        <x:v>8.946010852317713</x:v>
      </x:c>
    </x:row>
    <x:row r="76" ht="18" customHeight="1">
      <x:c r="A76" s="24" t="str">
        <x:v>EEZ_936</x:v>
      </x:c>
      <x:c r="B76" s="24" t="str">
        <x:v>Guatemala (Pacific)</x:v>
      </x:c>
      <x:c r="C76" s="24" t="str">
        <x:v>EEZ</x:v>
      </x:c>
      <x:c r="D76" s="30" t="n">
        <x:v>2019</x:v>
      </x:c>
      <x:c r="E76" s="24" t="str">
        <x:v>Carcharhinus longimanus</x:v>
      </x:c>
      <x:c r="F76" s="24" t="str">
        <x:v>Oceanic whitetip shark</x:v>
      </x:c>
      <x:c r="G76" s="24" t="str">
        <x:v>Large sharks (&gt;=90 cm)</x:v>
      </x:c>
      <x:c r="H76" s="24" t="str">
        <x:v>Sharks &amp; rays</x:v>
      </x:c>
      <x:c r="I76" s="31" t="n">
        <x:v>0.0005073962</x:v>
      </x:c>
      <x:c r="J76" s="31" t="n">
        <x:v>0</x:v>
      </x:c>
      <x:c r="K76" s="31" t="n">
        <x:v>0.0005073962</x:v>
      </x:c>
      <x:c r="L76" s="31" t="n">
        <x:v>0</x:v>
      </x:c>
      <x:c r="M76" s="31" t="n">
        <x:v>0.0005073962</x:v>
      </x:c>
      <x:c r="N76" s="24" t="str">
        <x:v>carcharhinus longimanus</x:v>
      </x:c>
      <x:c r="O76" s="32" t="n">
        <x:v>4.16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Carcharhinus longimanus</x:v>
      </x:c>
      <x:c r="T76" s="32" t="n">
        <x:f>IF(O76="","",(1/'Metadata'!$B$5)^(O76-1))</x:f>
        <x:v>1445.439770745928</x:v>
      </x:c>
      <x:c r="U76" s="31" t="n">
        <x:f>IF(T76="","",I76*T76)</x:f>
        <x:v>0.733410647005355</x:v>
      </x:c>
    </x:row>
    <x:row r="77" ht="18" customHeight="1">
      <x:c r="A77" s="24" t="str">
        <x:v>EEZ_936</x:v>
      </x:c>
      <x:c r="B77" s="24" t="str">
        <x:v>Guatemala (Pacific)</x:v>
      </x:c>
      <x:c r="C77" s="24" t="str">
        <x:v>EEZ</x:v>
      </x:c>
      <x:c r="D77" s="30" t="n">
        <x:v>2019</x:v>
      </x:c>
      <x:c r="E77" s="24" t="str">
        <x:v>Isurus</x:v>
      </x:c>
      <x:c r="F77" s="24" t="str">
        <x:v>Mako sharks</x:v>
      </x:c>
      <x:c r="G77" s="24" t="str">
        <x:v>Large sharks (&gt;=90 cm)</x:v>
      </x:c>
      <x:c r="H77" s="24" t="str">
        <x:v>Sharks &amp; rays</x:v>
      </x:c>
      <x:c r="I77" s="31" t="n">
        <x:v>0.0005073962</x:v>
      </x:c>
      <x:c r="J77" s="31" t="n">
        <x:v>0</x:v>
      </x:c>
      <x:c r="K77" s="31" t="n">
        <x:v>0.0005073962</x:v>
      </x:c>
      <x:c r="L77" s="31" t="n">
        <x:v>0</x:v>
      </x:c>
      <x:c r="M77" s="31" t="n">
        <x:v>0.0005073962</x:v>
      </x:c>
      <x:c r="N77" s="24" t="str">
        <x:v>isurus</x:v>
      </x:c>
      <x:c r="O77" s="32" t="n">
        <x:v>4.5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Isurus</x:v>
      </x:c>
      <x:c r="T77" s="32" t="n">
        <x:f>IF(O77="","",(1/'Metadata'!$B$5)^(O77-1))</x:f>
        <x:v>3162.2776601683795</x:v>
      </x:c>
      <x:c r="U77" s="31" t="n">
        <x:f>IF(T77="","",I77*T77)</x:f>
        <x:v>1.604527668114327</x:v>
      </x:c>
    </x:row>
    <x:row r="78" ht="18" customHeight="1">
      <x:c r="A78" s="24" t="str">
        <x:v>EEZ_936</x:v>
      </x:c>
      <x:c r="B78" s="24" t="str">
        <x:v>Guatemala (Pacific)</x:v>
      </x:c>
      <x:c r="C78" s="24" t="str">
        <x:v>EEZ</x:v>
      </x:c>
      <x:c r="D78" s="30" t="n">
        <x:v>2019</x:v>
      </x:c>
      <x:c r="E78" s="24" t="str">
        <x:v>Istiompax indica</x:v>
      </x:c>
      <x:c r="F78" s="24" t="str">
        <x:v>Black marlin</x:v>
      </x:c>
      <x:c r="G78" s="24" t="str">
        <x:v>Large pelagics (&gt;=90 cm)</x:v>
      </x:c>
      <x:c r="H78" s="24" t="str">
        <x:v>Tuna &amp; billfishes</x:v>
      </x:c>
      <x:c r="I78" s="31" t="n">
        <x:v>0.0000830862</x:v>
      </x:c>
      <x:c r="J78" s="31" t="n">
        <x:v>0.0000830862</x:v>
      </x:c>
      <x:c r="K78" s="31" t="n">
        <x:v>0</x:v>
      </x:c>
      <x:c r="L78" s="31" t="n">
        <x:v>0.0000830862</x:v>
      </x:c>
      <x:c r="M78" s="31" t="n">
        <x:v>0</x:v>
      </x:c>
      <x:c r="N78" s="24" t="str">
        <x:v>istiompax indica</x:v>
      </x:c>
      <x:c r="O78" s="32" t="n">
        <x:v>4.5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Istiompax indica</x:v>
      </x:c>
      <x:c r="T78" s="32" t="n">
        <x:f>IF(O78="","",(1/'Metadata'!$B$5)^(O78-1))</x:f>
        <x:v>3162.2776601683795</x:v>
      </x:c>
      <x:c r="U78" s="31" t="n">
        <x:f>IF(T78="","",I78*T78)</x:f>
        <x:v>0.262741634128282</x:v>
      </x:c>
    </x:row>
  </x:sheetData>
  <x:conditionalFormatting sqref="R2:R7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ea7378392764e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12</x:v>
      </x:c>
      <x:c r="C2" s="33" t="n">
        <x:v>12</x:v>
      </x:c>
      <x:c r="D2" s="31" t="n">
        <x:v>2241.345438623</x:v>
      </x:c>
      <x:c r="E2" s="31" t="n">
        <x:v>2241.345438623</x:v>
      </x:c>
      <x:c r="F2" s="32" t="n">
        <x:v>0</x:v>
      </x:c>
      <x:c r="G2" s="34" t="n">
        <x:v>1</x:v>
      </x:c>
      <x:c r="H2" s="32" t="n">
        <x:f>IF(E2=0,"",I2/E2)</x:f>
        <x:v>146.71123562074087</x:v>
      </x:c>
      <x:c r="I2" s="31" t="n">
        <x:f>IF(C2=0,"",SUMIF('Species'!$H$2:$H$78,A2,'Species'!$U$2:$U$78))</x:f>
        <x:v>328830.5587532917</x:v>
      </x:c>
      <x:c r="J2" s="32" t="n">
        <x:v>3.0273947735976576</x:v>
      </x:c>
      <x:c r="K2" s="32" t="n">
        <x:f>IF(J2="","",(1/'Metadata'!$B$5)^(J2-1))</x:f>
        <x:v>106.51107637898238</x:v>
      </x:c>
      <x:c r="L2" s="31" t="n">
        <x:f>IF(E2=0,"",E2*K2)</x:f>
        <x:v>238728.11520485813</x:v>
      </x:c>
      <x:c r="M2" s="31" t="n">
        <x:f>IF(E2=0,"",I2-L2)</x:f>
        <x:v>90102.4435484336</x:v>
      </x:c>
      <x:c r="N2" s="32" t="n">
        <x:f>IF(L2=0,"",I2/L2)</x:f>
        <x:v>1.3774270302059504</x:v>
      </x:c>
      <x:c r="O2" s="34" t="n">
        <x:f>IF(L2=0,"",M2/L2)</x:f>
        <x:v>0.3774270302059504</x:v>
      </x:c>
    </x:row>
    <x:row r="3" ht="18" customHeight="1">
      <x:c r="A3" s="24" t="str">
        <x:v>Flatfishes</x:v>
      </x:c>
      <x:c r="B3" s="33" t="n">
        <x:v>3</x:v>
      </x:c>
      <x:c r="C3" s="33" t="n">
        <x:v>3</x:v>
      </x:c>
      <x:c r="D3" s="31" t="n">
        <x:v>2474.4189983750002</x:v>
      </x:c>
      <x:c r="E3" s="31" t="n">
        <x:v>2474.4189983750002</x:v>
      </x:c>
      <x:c r="F3" s="32" t="n">
        <x:v>0</x:v>
      </x:c>
      <x:c r="G3" s="34" t="n">
        <x:v>1</x:v>
      </x:c>
      <x:c r="H3" s="32" t="n">
        <x:f>IF(E3=0,"",I3/E3)</x:f>
        <x:v>1140.2915832048293</x:v>
      </x:c>
      <x:c r="I3" s="31" t="n">
        <x:f>IF(C3=0,"",SUMIF('Species'!$H$2:$H$78,A3,'Species'!$U$2:$U$78))</x:f>
        <x:v>2821559.157169137</x:v>
      </x:c>
      <x:c r="J3" s="32" t="n">
        <x:v>4.053817332349938</x:v>
      </x:c>
      <x:c r="K3" s="32" t="n">
        <x:f>IF(J3="","",(1/'Metadata'!$B$5)^(J3-1))</x:f>
        <x:v>1131.9241669539506</x:v>
      </x:c>
      <x:c r="L3" s="31" t="n">
        <x:f>IF(E3=0,"",E3*K3)</x:f>
        <x:v>2800854.6634306507</x:v>
      </x:c>
      <x:c r="M3" s="31" t="n">
        <x:f>IF(E3=0,"",I3-L3)</x:f>
        <x:v>20704.49373848643</x:v>
      </x:c>
      <x:c r="N3" s="32" t="n">
        <x:f>IF(L3=0,"",I3/L3)</x:f>
        <x:v>1.007392205675223</x:v>
      </x:c>
      <x:c r="O3" s="34" t="n">
        <x:f>IF(L3=0,"",M3/L3)</x:f>
        <x:v>0.007392205675222846</x:v>
      </x:c>
    </x:row>
    <x:row r="4" ht="18" customHeight="1">
      <x:c r="A4" s="24" t="str">
        <x:v>Herring-likes</x:v>
      </x:c>
      <x:c r="B4" s="33" t="n">
        <x:v>1</x:v>
      </x:c>
      <x:c r="C4" s="33" t="n">
        <x:v>1</x:v>
      </x:c>
      <x:c r="D4" s="31" t="n">
        <x:v>0.19778770810000001</x:v>
      </x:c>
      <x:c r="E4" s="31" t="n">
        <x:v>0.19778770810000001</x:v>
      </x:c>
      <x:c r="F4" s="32" t="n">
        <x:v>0</x:v>
      </x:c>
      <x:c r="G4" s="34" t="n">
        <x:v>1</x:v>
      </x:c>
      <x:c r="H4" s="32" t="n">
        <x:f>IF(E4=0,"",I4/E4)</x:f>
        <x:v>77.6247116628692</x:v>
      </x:c>
      <x:c r="I4" s="31" t="n">
        <x:f>IF(C4=0,"",SUMIF('Species'!$H$2:$H$78,A4,'Species'!$U$2:$U$78))</x:f>
        <x:v>15.35321381172224</x:v>
      </x:c>
      <x:c r="J4" s="32" t="n">
        <x:v>2.89</x:v>
      </x:c>
      <x:c r="K4" s="32" t="n">
        <x:f>IF(J4="","",(1/'Metadata'!$B$5)^(J4-1))</x:f>
        <x:v>77.6247116628692</x:v>
      </x:c>
      <x:c r="L4" s="31" t="n">
        <x:f>IF(E4=0,"",E4*K4)</x:f>
        <x:v>15.35321381172224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Molluscs</x:v>
      </x:c>
      <x:c r="B5" s="33" t="n">
        <x:v>2</x:v>
      </x:c>
      <x:c r="C5" s="33" t="n">
        <x:v>2</x:v>
      </x:c>
      <x:c r="D5" s="31" t="n">
        <x:v>216.921012352</x:v>
      </x:c>
      <x:c r="E5" s="31" t="n">
        <x:v>216.921012352</x:v>
      </x:c>
      <x:c r="F5" s="32" t="n">
        <x:v>0</x:v>
      </x:c>
      <x:c r="G5" s="34" t="n">
        <x:v>1</x:v>
      </x:c>
      <x:c r="H5" s="32" t="n">
        <x:f>IF(E5=0,"",I5/E5)</x:f>
        <x:v>10.00420014999486</x:v>
      </x:c>
      <x:c r="I5" s="31" t="n">
        <x:f>IF(C5=0,"",SUMIF('Species'!$H$2:$H$78,A5,'Species'!$U$2:$U$78))</x:f>
        <x:v>2170.1212243089153</x:v>
      </x:c>
      <x:c r="J5" s="32" t="n">
        <x:v>2.0001622146689177</x:v>
      </x:c>
      <x:c r="K5" s="32" t="n">
        <x:f>IF(J5="","",(1/'Metadata'!$B$5)^(J5-1))</x:f>
        <x:v>10.003735828432106</x:v>
      </x:c>
      <x:c r="L5" s="31" t="n">
        <x:f>IF(E5=0,"",E5*K5)</x:f>
        <x:v>2170.0205032054655</x:v>
      </x:c>
      <x:c r="M5" s="31" t="n">
        <x:f>IF(E5=0,"",I5-L5)</x:f>
        <x:v>0.10072110344981411</x:v>
      </x:c>
      <x:c r="N5" s="32" t="n">
        <x:f>IF(L5=0,"",I5/L5)</x:f>
        <x:v>1.0000464148164965</x:v>
      </x:c>
      <x:c r="O5" s="34" t="n">
        <x:f>IF(L5=0,"",M5/L5)</x:f>
        <x:v>0.000046414816496449234</x:v>
      </x:c>
    </x:row>
    <x:row r="6" ht="18" customHeight="1">
      <x:c r="A6" s="24" t="str">
        <x:v>Other fishes &amp; inverts</x:v>
      </x:c>
      <x:c r="B6" s="33" t="n">
        <x:v>6</x:v>
      </x:c>
      <x:c r="C6" s="33" t="n">
        <x:v>6</x:v>
      </x:c>
      <x:c r="D6" s="31" t="n">
        <x:v>6532.774759254799</x:v>
      </x:c>
      <x:c r="E6" s="31" t="n">
        <x:v>6532.774759254799</x:v>
      </x:c>
      <x:c r="F6" s="32" t="n">
        <x:v>0</x:v>
      </x:c>
      <x:c r="G6" s="34" t="n">
        <x:v>1</x:v>
      </x:c>
      <x:c r="H6" s="32" t="n">
        <x:f>IF(E6=0,"",I6/E6)</x:f>
        <x:v>326.74744615268116</x:v>
      </x:c>
      <x:c r="I6" s="31" t="n">
        <x:f>IF(C6=0,"",SUMIF('Species'!$H$2:$H$78,A6,'Species'!$U$2:$U$78))</x:f>
        <x:v>2134567.4688772024</x:v>
      </x:c>
      <x:c r="J6" s="32" t="n">
        <x:v>3.372974208575398</x:v>
      </x:c>
      <x:c r="K6" s="32" t="n">
        <x:f>IF(J6="","",(1/'Metadata'!$B$5)^(J6-1))</x:f>
        <x:v>236.03380557405987</x:v>
      </x:c>
      <x:c r="L6" s="31" t="n">
        <x:f>IF(E6=0,"",E6*K6)</x:f>
        <x:v>1541955.6873850732</x:v>
      </x:c>
      <x:c r="M6" s="31" t="n">
        <x:f>IF(E6=0,"",I6-L6)</x:f>
        <x:v>592611.7814921292</x:v>
      </x:c>
      <x:c r="N6" s="32" t="n">
        <x:f>IF(L6=0,"",I6/L6)</x:f>
        <x:v>1.3843247807575523</x:v>
      </x:c>
      <x:c r="O6" s="34" t="n">
        <x:f>IF(L6=0,"",M6/L6)</x:f>
        <x:v>0.3843247807575524</x:v>
      </x:c>
    </x:row>
    <x:row r="7" ht="18" customHeight="1">
      <x:c r="A7" s="24" t="str">
        <x:v>Perch-likes</x:v>
      </x:c>
      <x:c r="B7" s="33" t="n">
        <x:v>27</x:v>
      </x:c>
      <x:c r="C7" s="33" t="n">
        <x:v>27</x:v>
      </x:c>
      <x:c r="D7" s="31" t="n">
        <x:v>18731.040679590602</x:v>
      </x:c>
      <x:c r="E7" s="31" t="n">
        <x:v>18731.040679590602</x:v>
      </x:c>
      <x:c r="F7" s="32" t="n">
        <x:v>0</x:v>
      </x:c>
      <x:c r="G7" s="34" t="n">
        <x:v>1</x:v>
      </x:c>
      <x:c r="H7" s="32" t="n">
        <x:f>IF(E7=0,"",I7/E7)</x:f>
        <x:v>788.3212947419325</x:v>
      </x:c>
      <x:c r="I7" s="31" t="n">
        <x:f>IF(C7=0,"",SUMIF('Species'!$H$2:$H$78,A7,'Species'!$U$2:$U$78))</x:f>
        <x:v>14766078.240398671</x:v>
      </x:c>
      <x:c r="J7" s="32" t="n">
        <x:v>3.7628977758793543</x:v>
      </x:c>
      <x:c r="K7" s="32" t="n">
        <x:f>IF(J7="","",(1/'Metadata'!$B$5)^(J7-1))</x:f>
        <x:v>579.2923267030508</x:v>
      </x:c>
      <x:c r="L7" s="31" t="n">
        <x:f>IF(E7=0,"",E7*K7)</x:f>
        <x:v>10850748.136849534</x:v>
      </x:c>
      <x:c r="M7" s="31" t="n">
        <x:f>IF(E7=0,"",I7-L7)</x:f>
        <x:v>3915330.1035491377</x:v>
      </x:c>
      <x:c r="N7" s="32" t="n">
        <x:f>IF(L7=0,"",I7/L7)</x:f>
        <x:v>1.3608350368259434</x:v>
      </x:c>
      <x:c r="O7" s="34" t="n">
        <x:f>IF(L7=0,"",M7/L7)</x:f>
        <x:v>0.36083503682594337</x:v>
      </x:c>
    </x:row>
    <x:row r="8" ht="18" customHeight="1">
      <x:c r="A8" s="24" t="str">
        <x:v>Scorpionfishes</x:v>
      </x:c>
      <x:c r="B8" s="33" t="n">
        <x:v>2</x:v>
      </x:c>
      <x:c r="C8" s="33" t="n">
        <x:v>2</x:v>
      </x:c>
      <x:c r="D8" s="31" t="n">
        <x:v>97.06522535</x:v>
      </x:c>
      <x:c r="E8" s="31" t="n">
        <x:v>97.06522535</x:v>
      </x:c>
      <x:c r="F8" s="32" t="n">
        <x:v>0</x:v>
      </x:c>
      <x:c r="G8" s="34" t="n">
        <x:v>1</x:v>
      </x:c>
      <x:c r="H8" s="32" t="n">
        <x:f>IF(E8=0,"",I8/E8)</x:f>
        <x:v>587.0040903148306</x:v>
      </x:c>
      <x:c r="I8" s="31" t="n">
        <x:f>IF(C8=0,"",SUMIF('Species'!$H$2:$H$78,A8,'Species'!$U$2:$U$78))</x:f>
        <x:v>56977.684307780786</x:v>
      </x:c>
      <x:c r="J8" s="32" t="n">
        <x:v>3.763893805315314</x:v>
      </x:c>
      <x:c r="K8" s="32" t="n">
        <x:f>IF(J8="","",(1/'Metadata'!$B$5)^(J8-1))</x:f>
        <x:v>580.6224250322658</x:v>
      </x:c>
      <x:c r="L8" s="31" t="n">
        <x:f>IF(E8=0,"",E8*K8)</x:f>
        <x:v>56358.24652902037</x:v>
      </x:c>
      <x:c r="M8" s="31" t="n">
        <x:f>IF(E8=0,"",I8-L8)</x:f>
        <x:v>619.4377787604171</x:v>
      </x:c>
      <x:c r="N8" s="32" t="n">
        <x:f>IF(L8=0,"",I8/L8)</x:f>
        <x:v>1.0109910761407641</x:v>
      </x:c>
      <x:c r="O8" s="34" t="n">
        <x:f>IF(L8=0,"",M8/L8)</x:f>
        <x:v>0.010991076140764104</x:v>
      </x:c>
    </x:row>
    <x:row r="9" ht="18" customHeight="1">
      <x:c r="A9" s="24" t="str">
        <x:v>Sharks &amp; rays</x:v>
      </x:c>
      <x:c r="B9" s="33" t="n">
        <x:v>13</x:v>
      </x:c>
      <x:c r="C9" s="33" t="n">
        <x:v>13</x:v>
      </x:c>
      <x:c r="D9" s="31" t="n">
        <x:v>830.1366039041</x:v>
      </x:c>
      <x:c r="E9" s="31" t="n">
        <x:v>830.1366039041</x:v>
      </x:c>
      <x:c r="F9" s="32" t="n">
        <x:v>0</x:v>
      </x:c>
      <x:c r="G9" s="34" t="n">
        <x:v>1</x:v>
      </x:c>
      <x:c r="H9" s="32" t="n">
        <x:f>IF(E9=0,"",I9/E9)</x:f>
        <x:v>1590.4303689522228</x:v>
      </x:c>
      <x:c r="I9" s="31" t="n">
        <x:f>IF(C9=0,"",SUMIF('Species'!$H$2:$H$78,A9,'Species'!$U$2:$U$78))</x:f>
        <x:v>1320274.465227943</x:v>
      </x:c>
      <x:c r="J9" s="32" t="n">
        <x:v>3.961166764257829</x:v>
      </x:c>
      <x:c r="K9" s="32" t="n">
        <x:f>IF(J9="","",(1/'Metadata'!$B$5)^(J9-1))</x:f>
        <x:v>914.4643182034134</x:v>
      </x:c>
      <x:c r="L9" s="31" t="n">
        <x:f>IF(E9=0,"",E9*K9)</x:f>
        <x:v>759130.3035048598</x:v>
      </x:c>
      <x:c r="M9" s="31" t="n">
        <x:f>IF(E9=0,"",I9-L9)</x:f>
        <x:v>561144.1617230831</x:v>
      </x:c>
      <x:c r="N9" s="32" t="n">
        <x:f>IF(L9=0,"",I9/L9)</x:f>
        <x:v>1.739193468015061</x:v>
      </x:c>
      <x:c r="O9" s="34" t="n">
        <x:f>IF(L9=0,"",M9/L9)</x:f>
        <x:v>0.739193468015061</x:v>
      </x:c>
    </x:row>
    <x:row r="10" ht="18" customHeight="1">
      <x:c r="A10" s="24" t="str">
        <x:v>Tuna &amp; billfishes</x:v>
      </x:c>
      <x:c r="B10" s="33" t="n">
        <x:v>11</x:v>
      </x:c>
      <x:c r="C10" s="33" t="n">
        <x:v>11</x:v>
      </x:c>
      <x:c r="D10" s="31" t="n">
        <x:v>1022.9251987472002</x:v>
      </x:c>
      <x:c r="E10" s="31" t="n">
        <x:v>1022.9251987472002</x:v>
      </x:c>
      <x:c r="F10" s="32" t="n">
        <x:v>0</x:v>
      </x:c>
      <x:c r="G10" s="34" t="n">
        <x:v>1</x:v>
      </x:c>
      <x:c r="H10" s="32" t="n">
        <x:f>IF(E10=0,"",I10/E10)</x:f>
        <x:v>2497.195625122351</x:v>
      </x:c>
      <x:c r="I10" s="31" t="n">
        <x:f>IF(C10=0,"",SUMIF('Species'!$H$2:$H$78,A10,'Species'!$U$2:$U$78))</x:f>
        <x:v>2554444.3311389196</x:v>
      </x:c>
      <x:c r="J10" s="32" t="n">
        <x:v>4.380803183402425</x:v>
      </x:c>
      <x:c r="K10" s="32" t="n">
        <x:f>IF(J10="","",(1/'Metadata'!$B$5)^(J10-1))</x:f>
        <x:v>2403.2734209949613</x:v>
      </x:c>
      <x:c r="L10" s="31" t="n">
        <x:f>IF(E10=0,"",E10*K10)</x:f>
        <x:v>2458368.9418151346</x:v>
      </x:c>
      <x:c r="M10" s="31" t="n">
        <x:f>IF(E10=0,"",I10-L10)</x:f>
        <x:v>96075.38932378497</x:v>
      </x:c>
      <x:c r="N10" s="32" t="n">
        <x:f>IF(L10=0,"",I10/L10)</x:f>
        <x:v>1.0390809482212413</x:v>
      </x:c>
      <x:c r="O10" s="34" t="n">
        <x:f>IF(L10=0,"",M10/L10)</x:f>
        <x:v>0.03908094822124127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84ec0d5385e45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224.65697554599998</x:v>
      </x:c>
      <x:c r="E2" s="31" t="n">
        <x:v>224.65697554599998</x:v>
      </x:c>
      <x:c r="F2" s="32" t="n">
        <x:v>0</x:v>
      </x:c>
      <x:c r="G2" s="34" t="n">
        <x:v>1</x:v>
      </x:c>
      <x:c r="H2" s="32" t="n">
        <x:f>IF(E2=0,"",I2/E2)</x:f>
        <x:v>1379.2530683076357</x:v>
      </x:c>
      <x:c r="I2" s="31" t="n">
        <x:f>IF(C2=0,"",SUMIF('Species'!$G$2:$G$78,A2,'Species'!$U$2:$U$78))</x:f>
        <x:v>309858.82283853396</x:v>
      </x:c>
      <x:c r="J2" s="32" t="n">
        <x:v>4.139639991552618</x:v>
      </x:c>
      <x:c r="K2" s="32" t="n">
        <x:f>IF(J2="","",(1/'Metadata'!$B$5)^(J2-1))</x:f>
        <x:v>1379.240469090574</x:v>
      </x:c>
      <x:c r="L2" s="31" t="n">
        <x:f>IF(E2=0,"",E2*K2)</x:f>
        <x:v>309855.9923365346</x:v>
      </x:c>
      <x:c r="M2" s="31" t="n">
        <x:f>IF(E2=0,"",I2-L2)</x:f>
        <x:v>2.830501999356784</x:v>
      </x:c>
      <x:c r="N2" s="32" t="n">
        <x:f>IF(L2=0,"",I2/L2)</x:f>
        <x:v>1.0000091348951428</x:v>
      </x:c>
      <x:c r="O2" s="34" t="n">
        <x:f>IF(L2=0,"",M2/L2)</x:f>
        <x:v>0.000009134895142781604</x:v>
      </x:c>
    </x:row>
    <x:row r="3" ht="18" customHeight="1">
      <x:c r="A3" s="24" t="str">
        <x:v>Large benthopelagics (&gt;=90 cm)</x:v>
      </x:c>
      <x:c r="B3" s="33" t="n">
        <x:v>2</x:v>
      </x:c>
      <x:c r="C3" s="33" t="n">
        <x:v>2</x:v>
      </x:c>
      <x:c r="D3" s="31" t="n">
        <x:v>265.172820028</x:v>
      </x:c>
      <x:c r="E3" s="31" t="n">
        <x:v>265.172820028</x:v>
      </x:c>
      <x:c r="F3" s="32" t="n">
        <x:v>0</x:v>
      </x:c>
      <x:c r="G3" s="34" t="n">
        <x:v>1</x:v>
      </x:c>
      <x:c r="H3" s="32" t="n">
        <x:f>IF(E3=0,"",I3/E3)</x:f>
        <x:v>1457.9538572854701</x:v>
      </x:c>
      <x:c r="I3" s="31" t="n">
        <x:f>IF(C3=0,"",SUMIF('Species'!$G$2:$G$78,A3,'Species'!$U$2:$U$78))</x:f>
        <x:v>386609.7358070884</x:v>
      </x:c>
      <x:c r="J3" s="32" t="n">
        <x:v>3.4712019253961484</x:v>
      </x:c>
      <x:c r="K3" s="32" t="n">
        <x:f>IF(J3="","",(1/'Metadata'!$B$5)^(J3-1))</x:f>
        <x:v>295.9388115431453</x:v>
      </x:c>
      <x:c r="L3" s="31" t="n">
        <x:f>IF(E3=0,"",E3*K3)</x:f>
        <x:v>78474.92921263067</x:v>
      </x:c>
      <x:c r="M3" s="31" t="n">
        <x:f>IF(E3=0,"",I3-L3)</x:f>
        <x:v>308134.8065944577</x:v>
      </x:c>
      <x:c r="N3" s="32" t="n">
        <x:f>IF(L3=0,"",I3/L3)</x:f>
        <x:v>4.926538191064248</x:v>
      </x:c>
      <x:c r="O3" s="34" t="n">
        <x:f>IF(L3=0,"",M3/L3)</x:f>
        <x:v>3.926538191064248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54.616317728</x:v>
      </x:c>
      <x:c r="E4" s="31" t="n">
        <x:v>54.616317728</x:v>
      </x:c>
      <x:c r="F4" s="32" t="n">
        <x:v>0</x:v>
      </x:c>
      <x:c r="G4" s="34" t="n">
        <x:v>1</x:v>
      </x:c>
      <x:c r="H4" s="32" t="n">
        <x:f>IF(E4=0,"",I4/E4)</x:f>
        <x:v>2238.7211385683377</x:v>
      </x:c>
      <x:c r="I4" s="31" t="n">
        <x:f>IF(C4=0,"",SUMIF('Species'!$G$2:$G$78,A4,'Species'!$U$2:$U$78))</x:f>
        <x:v>122270.70500843824</x:v>
      </x:c>
      <x:c r="J4" s="32" t="n">
        <x:v>4.35</x:v>
      </x:c>
      <x:c r="K4" s="32" t="n">
        <x:f>IF(J4="","",(1/'Metadata'!$B$5)^(J4-1))</x:f>
        <x:v>2238.7211385683377</x:v>
      </x:c>
      <x:c r="L4" s="31" t="n">
        <x:f>IF(E4=0,"",E4*K4)</x:f>
        <x:v>122270.70500843824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15</x:v>
      </x:c>
      <x:c r="C5" s="33" t="n">
        <x:v>15</x:v>
      </x:c>
      <x:c r="D5" s="31" t="n">
        <x:v>1572.1145477890998</x:v>
      </x:c>
      <x:c r="E5" s="31" t="n">
        <x:v>1572.1145477890998</x:v>
      </x:c>
      <x:c r="F5" s="32" t="n">
        <x:v>0</x:v>
      </x:c>
      <x:c r="G5" s="34" t="n">
        <x:v>1</x:v>
      </x:c>
      <x:c r="H5" s="32" t="n">
        <x:f>IF(E5=0,"",I5/E5)</x:f>
        <x:v>2521.6498063788235</x:v>
      </x:c>
      <x:c r="I5" s="31" t="n">
        <x:f>IF(C5=0,"",SUMIF('Species'!$G$2:$G$78,A5,'Species'!$U$2:$U$78))</x:f>
        <x:v>3964322.3450377155</x:v>
      </x:c>
      <x:c r="J5" s="32" t="n">
        <x:v>4.399527596242459</x:v>
      </x:c>
      <x:c r="K5" s="32" t="n">
        <x:f>IF(J5="","",(1/'Metadata'!$B$5)^(J5-1))</x:f>
        <x:v>2509.155612913535</x:v>
      </x:c>
      <x:c r="L5" s="31" t="n">
        <x:f>IF(E5=0,"",E5*K5)</x:f>
        <x:v>3944680.041728044</x:v>
      </x:c>
      <x:c r="M5" s="31" t="n">
        <x:f>IF(E5=0,"",I5-L5)</x:f>
        <x:v>19642.30330967158</x:v>
      </x:c>
      <x:c r="N5" s="32" t="n">
        <x:f>IF(L5=0,"",I5/L5)</x:f>
        <x:v>1.004979441450736</x:v>
      </x:c>
      <x:c r="O5" s="34" t="n">
        <x:f>IF(L5=0,"",M5/L5)</x:f>
        <x:v>0.004979441450735986</x:v>
      </x:c>
    </x:row>
    <x:row r="6" ht="18" customHeight="1">
      <x:c r="A6" s="24" t="str">
        <x:v>Large rays (&gt;=90 cm)</x:v>
      </x:c>
      <x:c r="B6" s="33" t="n">
        <x:v>3</x:v>
      </x:c>
      <x:c r="C6" s="33" t="n">
        <x:v>3</x:v>
      </x:c>
      <x:c r="D6" s="31" t="n">
        <x:v>388.754846019</x:v>
      </x:c>
      <x:c r="E6" s="31" t="n">
        <x:v>388.754846019</x:v>
      </x:c>
      <x:c r="F6" s="32" t="n">
        <x:v>0</x:v>
      </x:c>
      <x:c r="G6" s="34" t="n">
        <x:v>1</x:v>
      </x:c>
      <x:c r="H6" s="32" t="n">
        <x:f>IF(E6=0,"",I6/E6)</x:f>
        <x:v>320.1218190854634</x:v>
      </x:c>
      <x:c r="I6" s="31" t="n">
        <x:f>IF(C6=0,"",SUMIF('Species'!$G$2:$G$78,A6,'Species'!$U$2:$U$78))</x:f>
        <x:v>124448.90848589152</x:v>
      </x:c>
      <x:c r="J6" s="32" t="n">
        <x:v>3.4699026199639493</x:v>
      </x:c>
      <x:c r="K6" s="32" t="n">
        <x:f>IF(J6="","",(1/'Metadata'!$B$5)^(J6-1))</x:f>
        <x:v>295.05475635431674</x:v>
      </x:c>
      <x:c r="L6" s="31" t="n">
        <x:f>IF(E6=0,"",E6*K6)</x:f>
        <x:v>114703.96637369596</x:v>
      </x:c>
      <x:c r="M6" s="31" t="n">
        <x:f>IF(E6=0,"",I6-L6)</x:f>
        <x:v>9744.942112195553</x:v>
      </x:c>
      <x:c r="N6" s="32" t="n">
        <x:f>IF(L6=0,"",I6/L6)</x:f>
        <x:v>1.0849573246704245</x:v>
      </x:c>
      <x:c r="O6" s="34" t="n">
        <x:f>IF(L6=0,"",M6/L6)</x:f>
        <x:v>0.08495732467042459</x:v>
      </x:c>
    </x:row>
    <x:row r="7" ht="18" customHeight="1">
      <x:c r="A7" s="24" t="str">
        <x:v>Large reef assoc. fish (&gt;=90 cm)</x:v>
      </x:c>
      <x:c r="B7" s="33" t="n">
        <x:v>4</x:v>
      </x:c>
      <x:c r="C7" s="33" t="n">
        <x:v>4</x:v>
      </x:c>
      <x:c r="D7" s="31" t="n">
        <x:v>393.662757817</x:v>
      </x:c>
      <x:c r="E7" s="31" t="n">
        <x:v>393.662757817</x:v>
      </x:c>
      <x:c r="F7" s="32" t="n">
        <x:v>0</x:v>
      </x:c>
      <x:c r="G7" s="34" t="n">
        <x:v>1</x:v>
      </x:c>
      <x:c r="H7" s="32" t="n">
        <x:f>IF(E7=0,"",I7/E7)</x:f>
        <x:v>609.1888606868326</x:v>
      </x:c>
      <x:c r="I7" s="31" t="n">
        <x:f>IF(C7=0,"",SUMIF('Species'!$G$2:$G$78,A7,'Species'!$U$2:$U$78))</x:f>
        <x:v>239814.96692937473</x:v>
      </x:c>
      <x:c r="J7" s="32" t="n">
        <x:v>3.7531404862922155</x:v>
      </x:c>
      <x:c r="K7" s="32" t="n">
        <x:f>IF(J7="","",(1/'Metadata'!$B$5)^(J7-1))</x:f>
        <x:v>566.4224866823039</x:v>
      </x:c>
      <x:c r="L7" s="31" t="n">
        <x:f>IF(E7=0,"",E7*K7)</x:f>
        <x:v>222979.4381969187</x:v>
      </x:c>
      <x:c r="M7" s="31" t="n">
        <x:f>IF(E7=0,"",I7-L7)</x:f>
        <x:v>16835.528732456034</x:v>
      </x:c>
      <x:c r="N7" s="32" t="n">
        <x:f>IF(L7=0,"",I7/L7)</x:f>
        <x:v>1.0755026062877966</x:v>
      </x:c>
      <x:c r="O7" s="34" t="n">
        <x:f>IF(L7=0,"",M7/L7)</x:f>
        <x:v>0.07550260628779663</x:v>
      </x:c>
    </x:row>
    <x:row r="8" ht="18" customHeight="1">
      <x:c r="A8" s="24" t="str">
        <x:v>Large sharks (&gt;=90 cm)</x:v>
      </x:c>
      <x:c r="B8" s="33" t="n">
        <x:v>10</x:v>
      </x:c>
      <x:c r="C8" s="33" t="n">
        <x:v>10</x:v>
      </x:c>
      <x:c r="D8" s="31" t="n">
        <x:v>441.38175788510006</x:v>
      </x:c>
      <x:c r="E8" s="31" t="n">
        <x:v>441.38175788510006</x:v>
      </x:c>
      <x:c r="F8" s="32" t="n">
        <x:v>0</x:v>
      </x:c>
      <x:c r="G8" s="34" t="n">
        <x:v>1</x:v>
      </x:c>
      <x:c r="H8" s="32" t="n">
        <x:f>IF(E8=0,"",I8/E8)</x:f>
        <x:v>2709.2772534866453</x:v>
      </x:c>
      <x:c r="I8" s="31" t="n">
        <x:f>IF(C8=0,"",SUMIF('Species'!$G$2:$G$78,A8,'Species'!$U$2:$U$78))</x:f>
        <x:v>1195825.5567420514</x:v>
      </x:c>
      <x:c r="J8" s="32" t="n">
        <x:v>4.393856410709731</x:v>
      </x:c>
      <x:c r="K8" s="32" t="n">
        <x:f>IF(J8="","",(1/'Metadata'!$B$5)^(J8-1))</x:f>
        <x:v>2476.603091495905</x:v>
      </x:c>
      <x:c r="L8" s="31" t="n">
        <x:f>IF(E8=0,"",E8*K8)</x:f>
        <x:v>1093127.4261081358</x:v>
      </x:c>
      <x:c r="M8" s="31" t="n">
        <x:f>IF(E8=0,"",I8-L8)</x:f>
        <x:v>102698.13063391554</x:v>
      </x:c>
      <x:c r="N8" s="32" t="n">
        <x:f>IF(L8=0,"",I8/L8)</x:f>
        <x:v>1.0939489104207658</x:v>
      </x:c>
      <x:c r="O8" s="34" t="n">
        <x:f>IF(L8=0,"",M8/L8)</x:f>
        <x:v>0.09394891042076581</x:v>
      </x:c>
    </x:row>
    <x:row r="9" ht="18" customHeight="1">
      <x:c r="A9" s="24" t="str">
        <x:v>Lobsters, crabs</x:v>
      </x:c>
      <x:c r="B9" s="33" t="n">
        <x:v>5</x:v>
      </x:c>
      <x:c r="C9" s="33" t="n">
        <x:v>5</x:v>
      </x:c>
      <x:c r="D9" s="31" t="n">
        <x:v>862.293504658</x:v>
      </x:c>
      <x:c r="E9" s="31" t="n">
        <x:v>862.293504658</x:v>
      </x:c>
      <x:c r="F9" s="32" t="n">
        <x:v>0</x:v>
      </x:c>
      <x:c r="G9" s="34" t="n">
        <x:v>1</x:v>
      </x:c>
      <x:c r="H9" s="32" t="n">
        <x:f>IF(E9=0,"",I9/E9)</x:f>
        <x:v>99.17817300707952</x:v>
      </x:c>
      <x:c r="I9" s="31" t="n">
        <x:f>IF(C9=0,"",SUMIF('Species'!$G$2:$G$78,A9,'Species'!$U$2:$U$78))</x:f>
        <x:v>85520.69438785205</x:v>
      </x:c>
      <x:c r="J9" s="32" t="n">
        <x:v>2.9436862881886845</x:v>
      </x:c>
      <x:c r="K9" s="32" t="n">
        <x:f>IF(J9="","",(1/'Metadata'!$B$5)^(J9-1))</x:f>
        <x:v>87.83877858266099</x:v>
      </x:c>
      <x:c r="L9" s="31" t="n">
        <x:f>IF(E9=0,"",E9*K9)</x:f>
        <x:v>75742.80822892081</x:v>
      </x:c>
      <x:c r="M9" s="31" t="n">
        <x:f>IF(E9=0,"",I9-L9)</x:f>
        <x:v>9777.886158931244</x:v>
      </x:c>
      <x:c r="N9" s="32" t="n">
        <x:f>IF(L9=0,"",I9/L9)</x:f>
        <x:v>1.1290932616253033</x:v>
      </x:c>
      <x:c r="O9" s="34" t="n">
        <x:f>IF(L9=0,"",M9/L9)</x:f>
        <x:v>0.1290932616253032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324.853701944</x:v>
      </x:c>
      <x:c r="E10" s="31" t="n">
        <x:v>324.853701944</x:v>
      </x:c>
      <x:c r="F10" s="32" t="n">
        <x:v>0</x:v>
      </x:c>
      <x:c r="G10" s="34" t="n">
        <x:v>1</x:v>
      </x:c>
      <x:c r="H10" s="32" t="n">
        <x:f>IF(E10=0,"",I10/E10)</x:f>
        <x:v>337.5357990450119</x:v>
      </x:c>
      <x:c r="I10" s="31" t="n">
        <x:f>IF(C10=0,"",SUMIF('Species'!$G$2:$G$78,A10,'Species'!$U$2:$U$78))</x:f>
        <x:v>109649.7538583982</x:v>
      </x:c>
      <x:c r="J10" s="32" t="n">
        <x:v>3.1366666666181113</x:v>
      </x:c>
      <x:c r="K10" s="32" t="n">
        <x:f>IF(J10="","",(1/'Metadata'!$B$5)^(J10-1))</x:f>
        <x:v>136.98299790618194</x:v>
      </x:c>
      <x:c r="L10" s="31" t="n">
        <x:f>IF(E10=0,"",E10*K10)</x:f>
        <x:v>44499.433973210405</x:v>
      </x:c>
      <x:c r="M10" s="31" t="n">
        <x:f>IF(E10=0,"",I10-L10)</x:f>
        <x:v>65150.31988518779</x:v>
      </x:c>
      <x:c r="N10" s="32" t="n">
        <x:f>IF(L10=0,"",I10/L10)</x:f>
        <x:v>2.4640707547967837</x:v>
      </x:c>
      <x:c r="O10" s="34" t="n">
        <x:f>IF(L10=0,"",M10/L10)</x:f>
        <x:v>1.4640707547967835</x:v>
      </x:c>
    </x:row>
    <x:row r="11" ht="18" customHeight="1">
      <x:c r="A11" s="24" t="str">
        <x:v>Medium demersals (30 - 89 cm)</x:v>
      </x:c>
      <x:c r="B11" s="33" t="n">
        <x:v>7</x:v>
      </x:c>
      <x:c r="C11" s="33" t="n">
        <x:v>7</x:v>
      </x:c>
      <x:c r="D11" s="31" t="n">
        <x:v>15896.351295142902</x:v>
      </x:c>
      <x:c r="E11" s="31" t="n">
        <x:v>15896.351295142902</x:v>
      </x:c>
      <x:c r="F11" s="32" t="n">
        <x:v>0</x:v>
      </x:c>
      <x:c r="G11" s="34" t="n">
        <x:v>1</x:v>
      </x:c>
      <x:c r="H11" s="32" t="n">
        <x:f>IF(E11=0,"",I11/E11)</x:f>
        <x:v>396.0201449807339</x:v>
      </x:c>
      <x:c r="I11" s="31" t="n">
        <x:f>IF(C11=0,"",SUMIF('Species'!$G$2:$G$78,A11,'Species'!$U$2:$U$78))</x:f>
        <x:v>6295275.344567169</x:v>
      </x:c>
      <x:c r="J11" s="32" t="n">
        <x:v>3.469506555822803</x:v>
      </x:c>
      <x:c r="K11" s="32" t="n">
        <x:f>IF(J11="","",(1/'Metadata'!$B$5)^(J11-1))</x:f>
        <x:v>294.7857975188648</x:v>
      </x:c>
      <x:c r="L11" s="31" t="n">
        <x:f>IF(E11=0,"",E11*K11)</x:f>
        <x:v>4686018.59417874</x:v>
      </x:c>
      <x:c r="M11" s="31" t="n">
        <x:f>IF(E11=0,"",I11-L11)</x:f>
        <x:v>1609256.7503884295</x:v>
      </x:c>
      <x:c r="N11" s="32" t="n">
        <x:f>IF(L11=0,"",I11/L11)</x:f>
        <x:v>1.3434166378228944</x:v>
      </x:c>
      <x:c r="O11" s="34" t="n">
        <x:f>IF(L11=0,"",M11/L11)</x:f>
        <x:v>0.3434166378228945</x:v>
      </x:c>
    </x:row>
    <x:row r="12" ht="18" customHeight="1">
      <x:c r="A12" s="24" t="str">
        <x:v>Medium pelagics (30 - 89 cm)</x:v>
      </x:c>
      <x:c r="B12" s="33" t="n">
        <x:v>4</x:v>
      </x:c>
      <x:c r="C12" s="33" t="n">
        <x:v>4</x:v>
      </x:c>
      <x:c r="D12" s="31" t="n">
        <x:v>65.8715860486</x:v>
      </x:c>
      <x:c r="E12" s="31" t="n">
        <x:v>65.8715860486</x:v>
      </x:c>
      <x:c r="F12" s="32" t="n">
        <x:v>0</x:v>
      </x:c>
      <x:c r="G12" s="34" t="n">
        <x:v>1</x:v>
      </x:c>
      <x:c r="H12" s="32" t="n">
        <x:f>IF(E12=0,"",I12/E12)</x:f>
        <x:v>704.8146838702232</x:v>
      </x:c>
      <x:c r="I12" s="31" t="n">
        <x:f>IF(C12=0,"",SUMIF('Species'!$G$2:$G$78,A12,'Species'!$U$2:$U$78))</x:f>
        <x:v>46427.26109687421</x:v>
      </x:c>
      <x:c r="J12" s="32" t="n">
        <x:v>3.838769327925956</x:v>
      </x:c>
      <x:c r="K12" s="32" t="n">
        <x:f>IF(J12="","",(1/'Metadata'!$B$5)^(J12-1))</x:f>
        <x:v>689.8732857809761</x:v>
      </x:c>
      <x:c r="L12" s="31" t="n">
        <x:f>IF(E12=0,"",E12*K12)</x:f>
        <x:v>45443.04750695198</x:v>
      </x:c>
      <x:c r="M12" s="31" t="n">
        <x:f>IF(E12=0,"",I12-L12)</x:f>
        <x:v>984.2135899222267</x:v>
      </x:c>
      <x:c r="N12" s="32" t="n">
        <x:f>IF(L12=0,"",I12/L12)</x:f>
        <x:v>1.0216581775192708</x:v>
      </x:c>
      <x:c r="O12" s="34" t="n">
        <x:f>IF(L12=0,"",M12/L12)</x:f>
        <x:v>0.021658177519270894</x:v>
      </x:c>
    </x:row>
    <x:row r="13" ht="18" customHeight="1">
      <x:c r="A13" s="24" t="str">
        <x:v>Medium reef assoc. fish (30 - 89 cm)</x:v>
      </x:c>
      <x:c r="B13" s="33" t="n">
        <x:v>7</x:v>
      </x:c>
      <x:c r="C13" s="33" t="n">
        <x:v>7</x:v>
      </x:c>
      <x:c r="D13" s="31" t="n">
        <x:v>7438.621304226</x:v>
      </x:c>
      <x:c r="E13" s="31" t="n">
        <x:v>7438.621304226</x:v>
      </x:c>
      <x:c r="F13" s="32" t="n">
        <x:v>0</x:v>
      </x:c>
      <x:c r="G13" s="34" t="n">
        <x:v>1</x:v>
      </x:c>
      <x:c r="H13" s="32" t="n">
        <x:f>IF(E13=0,"",I13/E13)</x:f>
        <x:v>1075.270862057009</x:v>
      </x:c>
      <x:c r="I13" s="31" t="n">
        <x:f>IF(C13=0,"",SUMIF('Species'!$G$2:$G$78,A13,'Species'!$U$2:$U$78))</x:f>
        <x:v>7998532.742310723</x:v>
      </x:c>
      <x:c r="J13" s="32" t="n">
        <x:v>4.028336374402993</x:v>
      </x:c>
      <x:c r="K13" s="32" t="n">
        <x:f>IF(J13="","",(1/'Metadata'!$B$5)^(J13-1))</x:f>
        <x:v>1067.422552662654</x:v>
      </x:c>
      <x:c r="L13" s="31" t="n">
        <x:f>IF(E13=0,"",E13*K13)</x:f>
        <x:v>7940152.1408477165</x:v>
      </x:c>
      <x:c r="M13" s="31" t="n">
        <x:f>IF(E13=0,"",I13-L13)</x:f>
        <x:v>58380.60146300681</x:v>
      </x:c>
      <x:c r="N13" s="32" t="n">
        <x:f>IF(L13=0,"",I13/L13)</x:f>
        <x:v>1.0073525797021785</x:v>
      </x:c>
      <x:c r="O13" s="34" t="n">
        <x:f>IF(L13=0,"",M13/L13)</x:f>
        <x:v>0.007352579702178592</x:v>
      </x:c>
    </x:row>
    <x:row r="14" ht="18" customHeight="1">
      <x:c r="A14" s="24" t="str">
        <x:v>Other demersal invertebrates</x:v>
      </x:c>
      <x:c r="B14" s="33" t="n">
        <x:v>2</x:v>
      </x:c>
      <x:c r="C14" s="33" t="n">
        <x:v>2</x:v>
      </x:c>
      <x:c r="D14" s="31" t="n">
        <x:v>216.921012352</x:v>
      </x:c>
      <x:c r="E14" s="31" t="n">
        <x:v>216.921012352</x:v>
      </x:c>
      <x:c r="F14" s="32" t="n">
        <x:v>0</x:v>
      </x:c>
      <x:c r="G14" s="34" t="n">
        <x:v>1</x:v>
      </x:c>
      <x:c r="H14" s="32" t="n">
        <x:f>IF(E14=0,"",I14/E14)</x:f>
        <x:v>10.00420014999486</x:v>
      </x:c>
      <x:c r="I14" s="31" t="n">
        <x:f>IF(C14=0,"",SUMIF('Species'!$G$2:$G$78,A14,'Species'!$U$2:$U$78))</x:f>
        <x:v>2170.1212243089153</x:v>
      </x:c>
      <x:c r="J14" s="32" t="n">
        <x:v>2.0001622146689177</x:v>
      </x:c>
      <x:c r="K14" s="32" t="n">
        <x:f>IF(J14="","",(1/'Metadata'!$B$5)^(J14-1))</x:f>
        <x:v>10.003735828432106</x:v>
      </x:c>
      <x:c r="L14" s="31" t="n">
        <x:f>IF(E14=0,"",E14*K14)</x:f>
        <x:v>2170.0205032054655</x:v>
      </x:c>
      <x:c r="M14" s="31" t="n">
        <x:f>IF(E14=0,"",I14-L14)</x:f>
        <x:v>0.10072110344981411</x:v>
      </x:c>
      <x:c r="N14" s="32" t="n">
        <x:f>IF(L14=0,"",I14/L14)</x:f>
        <x:v>1.0000464148164965</x:v>
      </x:c>
      <x:c r="O14" s="34" t="n">
        <x:f>IF(L14=0,"",M14/L14)</x:f>
        <x:v>0.000046414816496449234</x:v>
      </x:c>
    </x:row>
    <x:row r="15" ht="18" customHeight="1">
      <x:c r="A15" s="24" t="str">
        <x:v>Shrimps</x:v>
      </x:c>
      <x:c r="B15" s="33" t="n">
        <x:v>7</x:v>
      </x:c>
      <x:c r="C15" s="33" t="n">
        <x:v>7</x:v>
      </x:c>
      <x:c r="D15" s="31" t="n">
        <x:v>1379.0519339650002</x:v>
      </x:c>
      <x:c r="E15" s="31" t="n">
        <x:v>1379.0519339650002</x:v>
      </x:c>
      <x:c r="F15" s="32" t="n">
        <x:v>0</x:v>
      </x:c>
      <x:c r="G15" s="34" t="n">
        <x:v>1</x:v>
      </x:c>
      <x:c r="H15" s="32" t="n">
        <x:f>IF(E15=0,"",I15/E15)</x:f>
        <x:v>176.43270595755155</x:v>
      </x:c>
      <x:c r="I15" s="31" t="n">
        <x:f>IF(C15=0,"",SUMIF('Species'!$G$2:$G$78,A15,'Species'!$U$2:$U$78))</x:f>
        <x:v>243309.86436543966</x:v>
      </x:c>
      <x:c r="J15" s="32" t="n">
        <x:v>3.079736009975451</x:v>
      </x:c>
      <x:c r="K15" s="32" t="n">
        <x:f>IF(J15="","",(1/'Metadata'!$B$5)^(J15-1))</x:f>
        <x:v>120.15338488343073</x:v>
      </x:c>
      <x:c r="L15" s="31" t="n">
        <x:f>IF(E15=0,"",E15*K15)</x:f>
        <x:v>165697.75779593617</x:v>
      </x:c>
      <x:c r="M15" s="31" t="n">
        <x:f>IF(E15=0,"",I15-L15)</x:f>
        <x:v>77612.10656950349</x:v>
      </x:c>
      <x:c r="N15" s="32" t="n">
        <x:f>IF(L15=0,"",I15/L15)</x:f>
        <x:v>1.4683956355347072</x:v>
      </x:c>
      <x:c r="O15" s="34" t="n">
        <x:f>IF(L15=0,"",M15/L15)</x:f>
        <x:v>0.46839563553470714</x:v>
      </x:c>
    </x:row>
    <x:row r="16" ht="18" customHeight="1">
      <x:c r="A16" s="24" t="str">
        <x:v>Small benthopelagics (&lt;30 cm)</x:v>
      </x:c>
      <x:c r="B16" s="33" t="n">
        <x:v>1</x:v>
      </x:c>
      <x:c r="C16" s="33" t="n">
        <x:v>1</x:v>
      </x:c>
      <x:c r="D16" s="31" t="n">
        <x:v>72.138319892</x:v>
      </x:c>
      <x:c r="E16" s="31" t="n">
        <x:v>72.138319892</x:v>
      </x:c>
      <x:c r="F16" s="32" t="n">
        <x:v>0</x:v>
      </x:c>
      <x:c r="G16" s="34" t="n">
        <x:v>1</x:v>
      </x:c>
      <x:c r="H16" s="32" t="n">
        <x:f>IF(E16=0,"",I16/E16)</x:f>
        <x:v>107.1519305237606</x:v>
      </x:c>
      <x:c r="I16" s="31" t="n">
        <x:f>IF(C16=0,"",SUMIF('Species'!$G$2:$G$78,A16,'Species'!$U$2:$U$78))</x:f>
        <x:v>7729.760241168401</x:v>
      </x:c>
      <x:c r="J16" s="32" t="n">
        <x:v>3.03</x:v>
      </x:c>
      <x:c r="K16" s="32" t="n">
        <x:f>IF(J16="","",(1/'Metadata'!$B$5)^(J16-1))</x:f>
        <x:v>107.1519305237606</x:v>
      </x:c>
      <x:c r="L16" s="31" t="n">
        <x:f>IF(E16=0,"",E16*K16)</x:f>
        <x:v>7729.760241168401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demersals (&lt;30 cm)</x:v>
      </x:c>
      <x:c r="B17" s="33" t="n">
        <x:v>1</x:v>
      </x:c>
      <x:c r="C17" s="33" t="n">
        <x:v>1</x:v>
      </x:c>
      <x:c r="D17" s="31" t="n">
        <x:v>75.746236781</x:v>
      </x:c>
      <x:c r="E17" s="31" t="n">
        <x:v>75.746236781</x:v>
      </x:c>
      <x:c r="F17" s="32" t="n">
        <x:v>0</x:v>
      </x:c>
      <x:c r="G17" s="34" t="n">
        <x:v>1</x:v>
      </x:c>
      <x:c r="H17" s="32" t="n">
        <x:f>IF(E17=0,"",I17/E17)</x:f>
        <x:v>416.8693834703355</x:v>
      </x:c>
      <x:c r="I17" s="31" t="n">
        <x:f>IF(C17=0,"",SUMIF('Species'!$G$2:$G$78,A17,'Species'!$U$2:$U$78))</x:f>
        <x:v>31576.287027093516</x:v>
      </x:c>
      <x:c r="J17" s="32" t="n">
        <x:v>3.6200000000000006</x:v>
      </x:c>
      <x:c r="K17" s="32" t="n">
        <x:f>IF(J17="","",(1/'Metadata'!$B$5)^(J17-1))</x:f>
        <x:v>416.86938347033595</x:v>
      </x:c>
      <x:c r="L17" s="31" t="n">
        <x:f>IF(E17=0,"",E17*K17)</x:f>
        <x:v>31576.287027093553</x:v>
      </x:c>
      <x:c r="M17" s="31" t="n">
        <x:f>IF(E17=0,"",I17-L17)</x:f>
        <x:v>-3.637978807091713e-11</x:v>
      </x:c>
      <x:c r="N17" s="32" t="n">
        <x:f>IF(L17=0,"",I17/L17)</x:f>
        <x:v>0.9999999999999989</x:v>
      </x:c>
      <x:c r="O17" s="34" t="n">
        <x:f>IF(L17=0,"",M17/L17)</x:f>
        <x:v>-1.1521236819168133e-15</x:v>
      </x:c>
    </x:row>
    <x:row r="18" ht="18" customHeight="1">
      <x:c r="A18" s="24" t="str">
        <x:v>Small pelagics (&lt;30 cm)</x:v>
      </x:c>
      <x:c r="B18" s="33" t="n">
        <x:v>1</x:v>
      </x:c>
      <x:c r="C18" s="33" t="n">
        <x:v>1</x:v>
      </x:c>
      <x:c r="D18" s="31" t="n">
        <x:v>0.19778770810000001</x:v>
      </x:c>
      <x:c r="E18" s="31" t="n">
        <x:v>0.19778770810000001</x:v>
      </x:c>
      <x:c r="F18" s="32" t="n">
        <x:v>0</x:v>
      </x:c>
      <x:c r="G18" s="34" t="n">
        <x:v>1</x:v>
      </x:c>
      <x:c r="H18" s="32" t="n">
        <x:f>IF(E18=0,"",I18/E18)</x:f>
        <x:v>77.6247116628692</x:v>
      </x:c>
      <x:c r="I18" s="31" t="n">
        <x:f>IF(C18=0,"",SUMIF('Species'!$G$2:$G$78,A18,'Species'!$U$2:$U$78))</x:f>
        <x:v>15.35321381172224</x:v>
      </x:c>
      <x:c r="J18" s="32" t="n">
        <x:v>2.89</x:v>
      </x:c>
      <x:c r="K18" s="32" t="n">
        <x:f>IF(J18="","",(1/'Metadata'!$B$5)^(J18-1))</x:f>
        <x:v>77.6247116628692</x:v>
      </x:c>
      <x:c r="L18" s="31" t="n">
        <x:f>IF(E18=0,"",E18*K18)</x:f>
        <x:v>15.35321381172224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to medium flatfishes (&lt;90 cm)</x:v>
      </x:c>
      <x:c r="B19" s="33" t="n">
        <x:v>3</x:v>
      </x:c>
      <x:c r="C19" s="33" t="n">
        <x:v>3</x:v>
      </x:c>
      <x:c r="D19" s="31" t="n">
        <x:v>2474.4189983750002</x:v>
      </x:c>
      <x:c r="E19" s="31" t="n">
        <x:v>2474.4189983750002</x:v>
      </x:c>
      <x:c r="F19" s="32" t="n">
        <x:v>0</x:v>
      </x:c>
      <x:c r="G19" s="34" t="n">
        <x:v>1</x:v>
      </x:c>
      <x:c r="H19" s="32" t="n">
        <x:f>IF(E19=0,"",I19/E19)</x:f>
        <x:v>1140.2915832048293</x:v>
      </x:c>
      <x:c r="I19" s="31" t="n">
        <x:f>IF(C19=0,"",SUMIF('Species'!$G$2:$G$78,A19,'Species'!$U$2:$U$78))</x:f>
        <x:v>2821559.157169137</x:v>
      </x:c>
      <x:c r="J19" s="32" t="n">
        <x:v>4.053817332349938</x:v>
      </x:c>
      <x:c r="K19" s="32" t="n">
        <x:f>IF(J19="","",(1/'Metadata'!$B$5)^(J19-1))</x:f>
        <x:v>1131.9241669539506</x:v>
      </x:c>
      <x:c r="L19" s="31" t="n">
        <x:f>IF(E19=0,"",E19*K19)</x:f>
        <x:v>2800854.6634306507</x:v>
      </x:c>
      <x:c r="M19" s="31" t="n">
        <x:f>IF(E19=0,"",I19-L19)</x:f>
        <x:v>20704.49373848643</x:v>
      </x:c>
      <x:c r="N19" s="32" t="n">
        <x:f>IF(L19=0,"",I19/L19)</x:f>
        <x:v>1.007392205675223</x:v>
      </x:c>
      <x:c r="O19" s="34" t="n">
        <x:f>IF(L19=0,"",M19/L19)</x:f>
        <x:v>0.007392205675222846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5c9f8ad85104f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EEZ_936</x:v>
      </x:c>
      <x:c r="B2" s="24" t="str">
        <x:v>raw_filtered_tonnes</x:v>
      </x:c>
      <x:c r="C2" s="24" t="n">
        <x:v>32146.8257039048</x:v>
      </x:c>
      <x:c r="D2" s="24" t="str">
        <x:v>tonnes</x:v>
      </x:c>
    </x:row>
    <x:row r="3" ht="18" customHeight="1">
      <x:c r="A3" s="24" t="str">
        <x:v>EEZ_936</x:v>
      </x:c>
      <x:c r="B3" s="24" t="str">
        <x:v>species_catch_tonnes</x:v>
      </x:c>
      <x:c r="C3" s="24" t="n">
        <x:v>32146.82570390479</x:v>
      </x:c>
      <x:c r="D3" s="24" t="str">
        <x:v>tonnes</x:v>
      </x:c>
    </x:row>
    <x:row r="4" ht="18" customHeight="1">
      <x:c r="A4" s="24" t="str">
        <x:v>EEZ_936</x:v>
      </x:c>
      <x:c r="B4" s="24" t="str">
        <x:v>catch_difference_tonnes</x:v>
      </x:c>
      <x:c r="C4" s="24" t="n">
        <x:v>-1.0913936421275139e-11</x:v>
      </x:c>
      <x:c r="D4" s="24" t="str">
        <x:v>tonnes</x:v>
      </x:c>
    </x:row>
    <x:row r="5" ht="18" customHeight="1">
      <x:c r="A5" s="24" t="str">
        <x:v>EEZ_936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EEZ_936</x:v>
      </x:c>
      <x:c r="B6" s="24" t="str">
        <x:v>matched_catch_tonnes</x:v>
      </x:c>
      <x:c r="C6" s="24" t="n">
        <x:v>32146.82570390479</x:v>
      </x:c>
      <x:c r="D6" s="24" t="str">
        <x:v>tonnes</x:v>
      </x:c>
    </x:row>
    <x:row r="7" ht="18" customHeight="1">
      <x:c r="A7" s="24" t="str">
        <x:v>EEZ_936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EEZ_936</x:v>
      </x:c>
      <x:c r="B8" s="24" t="str">
        <x:v>taxa_count</x:v>
      </x:c>
      <x:c r="C8" s="24" t="n">
        <x:v>77</x:v>
      </x:c>
      <x:c r="D8" s="24" t="str">
        <x:v>count</x:v>
      </x:c>
    </x:row>
    <x:row r="9" ht="18" customHeight="1">
      <x:c r="A9" s="24" t="str">
        <x:v>EEZ_936</x:v>
      </x:c>
      <x:c r="B9" s="24" t="str">
        <x:v>matched_taxa_count</x:v>
      </x:c>
      <x:c r="C9" s="24" t="n">
        <x:v>77</x:v>
      </x:c>
      <x:c r="D9" s="24" t="str">
        <x:v>count</x:v>
      </x:c>
    </x:row>
    <x:row r="10" ht="18" customHeight="1">
      <x:c r="A10" s="24" t="str">
        <x:v>EEZ_936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EEZ_936</x:v>
      </x:c>
      <x:c r="B11" s="24" t="str">
        <x:v>species_ppr</x:v>
      </x:c>
      <x:c r="C11" s="24" t="n">
        <x:v>23984917.380311072</x:v>
      </x:c>
      <x:c r="D11" s="24" t="str">
        <x:v>tonnes_primary_production_equivalent</x:v>
      </x:c>
    </x:row>
    <x:row r="12" ht="18" customHeight="1">
      <x:c r="A12" s="24" t="str">
        <x:v>EEZ_936</x:v>
      </x:c>
      <x:c r="B12" s="24" t="str">
        <x:v>commercial_ppr</x:v>
      </x:c>
      <x:c r="C12" s="24" t="n">
        <x:v>23984917.380311072</x:v>
      </x:c>
      <x:c r="D12" s="24" t="str">
        <x:v>tonnes_primary_production_equivalent</x:v>
      </x:c>
    </x:row>
    <x:row r="13" ht="18" customHeight="1">
      <x:c r="A13" s="24" t="str">
        <x:v>EEZ_936</x:v>
      </x:c>
      <x:c r="B13" s="24" t="str">
        <x:v>functional_ppr</x:v>
      </x:c>
      <x:c r="C13" s="24" t="n">
        <x:v>23984917.38031107</x:v>
      </x:c>
      <x:c r="D13" s="24" t="str">
        <x:v>tonnes_primary_production_equivalent</x:v>
      </x:c>
    </x:row>
    <x:row r="14" ht="18" customHeight="1">
      <x:c r="A14" s="24" t="str">
        <x:v>EEZ_936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EEZ_936</x:v>
      </x:c>
      <x:c r="B15" s="24" t="str">
        <x:v>functional_ppr_difference</x:v>
      </x:c>
      <x:c r="C15" s="24" t="n">
        <x:v>-3.725290298461914e-9</x:v>
      </x:c>
      <x:c r="D15" s="24" t="str">
        <x:v>tonnes_primary_production_equivalent</x:v>
      </x:c>
    </x:row>
    <x:row r="16" ht="18" customHeight="1">
      <x:c r="A16" s="24" t="str">
        <x:v>EEZ_936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EEZ_936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EEZ_936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EEZ_936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fa4daebbe4945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EEZ_936 - Guatemala (Pacific)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