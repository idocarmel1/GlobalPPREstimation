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a97d0a1fb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514aa1a2fe4ec8"/>
    <x:sheet xmlns:r="http://schemas.openxmlformats.org/officeDocument/2006/relationships" name="Commercial" sheetId="2" r:id="R297da56994444524"/>
    <x:sheet xmlns:r="http://schemas.openxmlformats.org/officeDocument/2006/relationships" name="Functional" sheetId="3" r:id="R0a141c094fbf4d29"/>
    <x:sheet xmlns:r="http://schemas.openxmlformats.org/officeDocument/2006/relationships" name="Missing TL" sheetId="4" r:id="Recc8d5948dcf43ab"/>
    <x:sheet xmlns:r="http://schemas.openxmlformats.org/officeDocument/2006/relationships" name="Validation" sheetId="5" r:id="Rc809ddc4a5c24ea2"/>
    <x:sheet xmlns:r="http://schemas.openxmlformats.org/officeDocument/2006/relationships" name="Metadata" sheetId="6" r:id="R8cafd4a8894a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e8a59cac94fd2" /><Relationship Type="http://schemas.openxmlformats.org/officeDocument/2006/relationships/theme" Target="/xl/theme/theme1.xml" Id="R4675832a33e64541" /><Relationship Type="http://schemas.microsoft.com/office/2022/11/relationships/FeaturePropertyBag" Target="/xl/featurePropertyBag/featurePropertyBag.xml" Id="R42ed942086344323" /><Relationship Type="http://schemas.openxmlformats.org/officeDocument/2006/relationships/sharedStrings" Target="/xl/sharedStrings.xml" Id="Rba6af7237e774107" /><Relationship Type="http://schemas.openxmlformats.org/officeDocument/2006/relationships/worksheet" Target="/xl/worksheets/sheet1.xml" Id="R04514aa1a2fe4ec8" /><Relationship Type="http://schemas.openxmlformats.org/officeDocument/2006/relationships/worksheet" Target="/xl/worksheets/sheet2.xml" Id="R297da56994444524" /><Relationship Type="http://schemas.openxmlformats.org/officeDocument/2006/relationships/worksheet" Target="/xl/worksheets/sheet3.xml" Id="R0a141c094fbf4d29" /><Relationship Type="http://schemas.openxmlformats.org/officeDocument/2006/relationships/worksheet" Target="/xl/worksheets/sheet4.xml" Id="Recc8d5948dcf43ab" /><Relationship Type="http://schemas.openxmlformats.org/officeDocument/2006/relationships/worksheet" Target="/xl/worksheets/sheet5.xml" Id="Rc809ddc4a5c24ea2" /><Relationship Type="http://schemas.openxmlformats.org/officeDocument/2006/relationships/worksheet" Target="/xl/worksheets/sheet6.xml" Id="R8cafd4a8894a48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7SpeciesTable" displayName="EEZ977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7CommercialTable" displayName="EEZ977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7FunctionalTable" displayName="EEZ977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7ValidationTable" displayName="EEZ97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e38ef15d4241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c400c4036d41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8bc6dd77c542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d3a28872647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EEZ_977</x:v>
      </x:c>
      <x:c r="B2" s="24" t="str">
        <x:v>Yemen (Socotra)</x:v>
      </x:c>
      <x:c r="C2" s="24" t="str">
        <x:v>EEZ</x:v>
      </x:c>
      <x:c r="D2" s="30" t="n">
        <x:v>2019</x:v>
      </x:c>
      <x:c r="E2" s="24" t="str">
        <x:v>Saccostrea cuccullata</x:v>
      </x:c>
      <x:c r="F2" s="24" t="str">
        <x:v>Hooded oyster</x:v>
      </x:c>
      <x:c r="G2" s="24" t="str">
        <x:v>Other demersal invertebrates</x:v>
      </x:c>
      <x:c r="H2" s="24" t="str">
        <x:v>Molluscs</x:v>
      </x:c>
      <x:c r="I2" s="31" t="n">
        <x:v>2073.6133999999997</x:v>
      </x:c>
      <x:c r="J2" s="31" t="n">
        <x:v>2073.6133999999997</x:v>
      </x:c>
      <x:c r="K2" s="31" t="n">
        <x:v>0</x:v>
      </x:c>
      <x:c r="L2" s="31" t="n">
        <x:v>0</x:v>
      </x:c>
      <x:c r="M2" s="31" t="n">
        <x:v>2073.6133999999997</x:v>
      </x:c>
      <x:c r="N2" s="24" t="str">
        <x:v>saccostrea cuccullata</x:v>
      </x:c>
      <x:c r="O2" s="32" t="n">
        <x:v>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Saccostrea cuccullata</x:v>
      </x:c>
      <x:c r="T2" s="32" t="n">
        <x:f>IF(O2="","",(1/'Metadata'!$B$5)^(O2-1))</x:f>
        <x:v>10</x:v>
      </x:c>
      <x:c r="U2" s="31" t="n">
        <x:f>IF(T2="","",I2*T2)</x:f>
        <x:v>20736.134</x:v>
      </x:c>
    </x:row>
    <x:row r="3" ht="18" customHeight="1">
      <x:c r="A3" s="24" t="str">
        <x:v>EEZ_977</x:v>
      </x:c>
      <x:c r="B3" s="24" t="str">
        <x:v>Yemen (Socotra)</x:v>
      </x:c>
      <x:c r="C3" s="24" t="str">
        <x:v>EEZ</x:v>
      </x:c>
      <x:c r="D3" s="30" t="n">
        <x:v>2019</x:v>
      </x:c>
      <x:c r="E3" s="24" t="str">
        <x:v>Gastropoda</x:v>
      </x:c>
      <x:c r="F3" s="24" t="str">
        <x:v>Sea snails</x:v>
      </x:c>
      <x:c r="G3" s="24" t="str">
        <x:v>Other demersal invertebrates</x:v>
      </x:c>
      <x:c r="H3" s="24" t="str">
        <x:v>Molluscs</x:v>
      </x:c>
      <x:c r="I3" s="31" t="n">
        <x:v>860.8322</x:v>
      </x:c>
      <x:c r="J3" s="31" t="n">
        <x:v>860.8322</x:v>
      </x:c>
      <x:c r="K3" s="31" t="n">
        <x:v>0</x:v>
      </x:c>
      <x:c r="L3" s="31" t="n">
        <x:v>0</x:v>
      </x:c>
      <x:c r="M3" s="31" t="n">
        <x:v>860.8322</x:v>
      </x:c>
      <x:c r="N3" s="24" t="str">
        <x:v>gastropoda</x:v>
      </x:c>
      <x:c r="O3" s="32" t="n">
        <x:v>3.06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Gastropoda</x:v>
      </x:c>
      <x:c r="T3" s="32" t="n">
        <x:f>IF(O3="","",(1/'Metadata'!$B$5)^(O3-1))</x:f>
        <x:v>114.81536214968828</x:v>
      </x:c>
      <x:c r="U3" s="31" t="n">
        <x:f>IF(T3="","",I3*T3)</x:f>
        <x:v>98836.76079311289</x:v>
      </x:c>
    </x:row>
    <x:row r="4" ht="18" customHeight="1">
      <x:c r="A4" s="24" t="str">
        <x:v>EEZ_977</x:v>
      </x:c>
      <x:c r="B4" s="24" t="str">
        <x:v>Yemen (Socotra)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598.8610947187</x:v>
      </x:c>
      <x:c r="J4" s="31" t="n">
        <x:v>598.853823465</x:v>
      </x:c>
      <x:c r="K4" s="31" t="n">
        <x:v>0.0072712537</x:v>
      </x:c>
      <x:c r="L4" s="31" t="n">
        <x:v>0.2089279239</x:v>
      </x:c>
      <x:c r="M4" s="31" t="n">
        <x:v>598.6521667948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114110.62915029498</x:v>
      </x:c>
    </x:row>
    <x:row r="5" ht="18" customHeight="1">
      <x:c r="A5" s="24" t="str">
        <x:v>EEZ_977</x:v>
      </x:c>
      <x:c r="B5" s="24" t="str">
        <x:v>Yemen (Socotra)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513.0292001818</x:v>
      </x:c>
      <x:c r="J5" s="31" t="n">
        <x:v>513.0292001818</x:v>
      </x:c>
      <x:c r="K5" s="31" t="n">
        <x:v>0</x:v>
      </x:c>
      <x:c r="L5" s="31" t="n">
        <x:v>13.8221534028</x:v>
      </x:c>
      <x:c r="M5" s="31" t="n">
        <x:v>499.207046779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1622340.7787489577</x:v>
      </x:c>
    </x:row>
    <x:row r="6" ht="18" customHeight="1">
      <x:c r="A6" s="24" t="str">
        <x:v>EEZ_977</x:v>
      </x:c>
      <x:c r="B6" s="24" t="str">
        <x:v>Yemen (Socotra)</x:v>
      </x:c>
      <x:c r="C6" s="24" t="str">
        <x:v>EEZ</x:v>
      </x:c>
      <x:c r="D6" s="30" t="n">
        <x:v>2019</x:v>
      </x:c>
      <x:c r="E6" s="24" t="str">
        <x:v>Carcharhinus sorrah</x:v>
      </x:c>
      <x:c r="F6" s="24" t="str">
        <x:v>Spottail shark</x:v>
      </x:c>
      <x:c r="G6" s="24" t="str">
        <x:v>Large sharks (&gt;=90 cm)</x:v>
      </x:c>
      <x:c r="H6" s="24" t="str">
        <x:v>Sharks &amp; rays</x:v>
      </x:c>
      <x:c r="I6" s="31" t="n">
        <x:v>331.4321567722</x:v>
      </x:c>
      <x:c r="J6" s="31" t="n">
        <x:v>331.4321567722</x:v>
      </x:c>
      <x:c r="K6" s="31" t="n">
        <x:v>0</x:v>
      </x:c>
      <x:c r="L6" s="31" t="n">
        <x:v>8.9295231378</x:v>
      </x:c>
      <x:c r="M6" s="31" t="n">
        <x:v>322.5026336344</x:v>
      </x:c>
      <x:c r="N6" s="24" t="str">
        <x:v>carcharhinus sorrah</x:v>
      </x:c>
      <x:c r="O6" s="32" t="n">
        <x:v>4.15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Carcharhinus sorrah</x:v>
      </x:c>
      <x:c r="T6" s="32" t="n">
        <x:f>IF(O6="","",(1/'Metadata'!$B$5)^(O6-1))</x:f>
        <x:v>1412.5375446227554</x:v>
      </x:c>
      <x:c r="U6" s="31" t="n">
        <x:f>IF(T6="","",I6*T6)</x:f>
        <x:v>468160.36493602756</x:v>
      </x:c>
    </x:row>
    <x:row r="7" ht="18" customHeight="1">
      <x:c r="A7" s="24" t="str">
        <x:v>EEZ_977</x:v>
      </x:c>
      <x:c r="B7" s="24" t="str">
        <x:v>Yemen (Socotra)</x:v>
      </x:c>
      <x:c r="C7" s="24" t="str">
        <x:v>EEZ</x:v>
      </x:c>
      <x:c r="D7" s="30" t="n">
        <x:v>2019</x:v>
      </x:c>
      <x:c r="E7" s="24" t="str">
        <x:v>Carcharhinus limbatus</x:v>
      </x:c>
      <x:c r="F7" s="24" t="str">
        <x:v>Blacktip shark</x:v>
      </x:c>
      <x:c r="G7" s="24" t="str">
        <x:v>Large sharks (&gt;=90 cm)</x:v>
      </x:c>
      <x:c r="H7" s="24" t="str">
        <x:v>Sharks &amp; rays</x:v>
      </x:c>
      <x:c r="I7" s="31" t="n">
        <x:v>268.3022222078</x:v>
      </x:c>
      <x:c r="J7" s="31" t="n">
        <x:v>268.3022222078</x:v>
      </x:c>
      <x:c r="K7" s="31" t="n">
        <x:v>0</x:v>
      </x:c>
      <x:c r="L7" s="31" t="n">
        <x:v>7.2286615890000006</x:v>
      </x:c>
      <x:c r="M7" s="31" t="n">
        <x:v>261.07356061880006</x:v>
      </x:c>
      <x:c r="N7" s="24" t="str">
        <x:v>carcharhinus limbatus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Carcharhinus limbatus</x:v>
      </x:c>
      <x:c r="T7" s="32" t="n">
        <x:f>IF(O7="","",(1/'Metadata'!$B$5)^(O7-1))</x:f>
        <x:v>2344.228815319923</x:v>
      </x:c>
      <x:c r="U7" s="31" t="n">
        <x:f>IF(T7="","",I7*T7)</x:f>
        <x:v>628961.8005138937</x:v>
      </x:c>
    </x:row>
    <x:row r="8" ht="18" customHeight="1">
      <x:c r="A8" s="24" t="str">
        <x:v>EEZ_977</x:v>
      </x:c>
      <x:c r="B8" s="24" t="str">
        <x:v>Yemen (Socotra)</x:v>
      </x:c>
      <x:c r="C8" s="24" t="str">
        <x:v>EEZ</x:v>
      </x:c>
      <x:c r="D8" s="30" t="n">
        <x:v>2019</x:v>
      </x:c>
      <x:c r="E8" s="24" t="str">
        <x:v>Sphyrna lewini</x:v>
      </x:c>
      <x:c r="F8" s="24" t="str">
        <x:v>Scalloped hammerhead</x:v>
      </x:c>
      <x:c r="G8" s="24" t="str">
        <x:v>Large sharks (&gt;=90 cm)</x:v>
      </x:c>
      <x:c r="H8" s="24" t="str">
        <x:v>Sharks &amp; rays</x:v>
      </x:c>
      <x:c r="I8" s="31" t="n">
        <x:v>71.021176477</x:v>
      </x:c>
      <x:c r="J8" s="31" t="n">
        <x:v>71.021176477</x:v>
      </x:c>
      <x:c r="K8" s="31" t="n">
        <x:v>0</x:v>
      </x:c>
      <x:c r="L8" s="31" t="n">
        <x:v>1.9134692441999999</x:v>
      </x:c>
      <x:c r="M8" s="31" t="n">
        <x:v>69.1077072328</x:v>
      </x:c>
      <x:c r="N8" s="24" t="str">
        <x:v>sphyrna lewini</x:v>
      </x:c>
      <x:c r="O8" s="32" t="n">
        <x:v>4.08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Sphyrna lewini</x:v>
      </x:c>
      <x:c r="T8" s="32" t="n">
        <x:f>IF(O8="","",(1/'Metadata'!$B$5)^(O8-1))</x:f>
        <x:v>1202.2644346174131</x:v>
      </x:c>
      <x:c r="U8" s="31" t="n">
        <x:f>IF(T8="","",I8*T8)</x:f>
        <x:v>85386.23458298392</x:v>
      </x:c>
    </x:row>
    <x:row r="9" ht="18" customHeight="1">
      <x:c r="A9" s="24" t="str">
        <x:v>EEZ_977</x:v>
      </x:c>
      <x:c r="B9" s="24" t="str">
        <x:v>Yemen (Socotra)</x:v>
      </x:c>
      <x:c r="C9" s="24" t="str">
        <x:v>EEZ</x:v>
      </x:c>
      <x:c r="D9" s="30" t="n">
        <x:v>2019</x:v>
      </x:c>
      <x:c r="E9" s="24" t="str">
        <x:v>Carcharhinus albimarginatus</x:v>
      </x:c>
      <x:c r="F9" s="24" t="str">
        <x:v>Silvertip shark</x:v>
      </x:c>
      <x:c r="G9" s="24" t="str">
        <x:v>Large sharks (&gt;=90 cm)</x:v>
      </x:c>
      <x:c r="H9" s="24" t="str">
        <x:v>Sharks &amp; rays</x:v>
      </x:c>
      <x:c r="I9" s="31" t="n">
        <x:v>63.1299346262</x:v>
      </x:c>
      <x:c r="J9" s="31" t="n">
        <x:v>63.1299346262</x:v>
      </x:c>
      <x:c r="K9" s="31" t="n">
        <x:v>0</x:v>
      </x:c>
      <x:c r="L9" s="31" t="n">
        <x:v>1.7008615500000002</x:v>
      </x:c>
      <x:c r="M9" s="31" t="n">
        <x:v>61.4290730762</x:v>
      </x:c>
      <x:c r="N9" s="24" t="str">
        <x:v>carcharhinus albimarginatus</x:v>
      </x:c>
      <x:c r="O9" s="32" t="n">
        <x:v>4.21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Carcharhinus albimarginatus</x:v>
      </x:c>
      <x:c r="T9" s="32" t="n">
        <x:f>IF(O9="","",(1/'Metadata'!$B$5)^(O9-1))</x:f>
        <x:v>1621.8100973589299</x:v>
      </x:c>
      <x:c r="U9" s="31" t="n">
        <x:f>IF(T9="","",I9*T9)</x:f>
        <x:v>102384.7654223803</x:v>
      </x:c>
    </x:row>
    <x:row r="10" ht="18" customHeight="1">
      <x:c r="A10" s="24" t="str">
        <x:v>EEZ_977</x:v>
      </x:c>
      <x:c r="B10" s="24" t="str">
        <x:v>Yemen (Socotra)</x:v>
      </x:c>
      <x:c r="C10" s="24" t="str">
        <x:v>EEZ</x:v>
      </x:c>
      <x:c r="D10" s="30" t="n">
        <x:v>2019</x:v>
      </x:c>
      <x:c r="E10" s="24" t="str">
        <x:v>Epinephelus</x:v>
      </x:c>
      <x:c r="F10" s="24" t="str">
        <x:v>Seabasses, hinds</x:v>
      </x:c>
      <x:c r="G10" s="24" t="str">
        <x:v>Medium reef assoc. fish (30 - 89 cm)</x:v>
      </x:c>
      <x:c r="H10" s="24" t="str">
        <x:v>Perch-likes</x:v>
      </x:c>
      <x:c r="I10" s="31" t="n">
        <x:v>53.9670069019</x:v>
      </x:c>
      <x:c r="J10" s="31" t="n">
        <x:v>53.9670069019</x:v>
      </x:c>
      <x:c r="K10" s="31" t="n">
        <x:v>0</x:v>
      </x:c>
      <x:c r="L10" s="31" t="n">
        <x:v>1.4532712134</x:v>
      </x:c>
      <x:c r="M10" s="31" t="n">
        <x:v>52.5137356885</x:v>
      </x:c>
      <x:c r="N10" s="24" t="str">
        <x:v>epinephelus</x:v>
      </x:c>
      <x:c r="O10" s="32" t="n">
        <x:v>3.84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Epinephelus</x:v>
      </x:c>
      <x:c r="T10" s="32" t="n">
        <x:f>IF(O10="","",(1/'Metadata'!$B$5)^(O10-1))</x:f>
        <x:v>691.8309709189363</x:v>
      </x:c>
      <x:c r="U10" s="31" t="n">
        <x:f>IF(T10="","",I10*T10)</x:f>
        <x:v>37336.04678253041</x:v>
      </x:c>
    </x:row>
    <x:row r="11" ht="18" customHeight="1">
      <x:c r="A11" s="24" t="str">
        <x:v>EEZ_977</x:v>
      </x:c>
      <x:c r="B11" s="24" t="str">
        <x:v>Yemen (Socotra)</x:v>
      </x:c>
      <x:c r="C11" s="24" t="str">
        <x:v>EEZ</x:v>
      </x:c>
      <x:c r="D11" s="30" t="n">
        <x:v>2019</x:v>
      </x:c>
      <x:c r="E11" s="24" t="str">
        <x:v>Carcharhinus plumbeus</x:v>
      </x:c>
      <x:c r="F11" s="24" t="str">
        <x:v>Sandbar shark</x:v>
      </x:c>
      <x:c r="G11" s="24" t="str">
        <x:v>Large sharks (&gt;=90 cm)</x:v>
      </x:c>
      <x:c r="H11" s="24" t="str">
        <x:v>Sharks &amp; rays</x:v>
      </x:c>
      <x:c r="I11" s="31" t="n">
        <x:v>47.347450984599995</x:v>
      </x:c>
      <x:c r="J11" s="31" t="n">
        <x:v>47.347450984599995</x:v>
      </x:c>
      <x:c r="K11" s="31" t="n">
        <x:v>0</x:v>
      </x:c>
      <x:c r="L11" s="31" t="n">
        <x:v>1.2756461631</x:v>
      </x:c>
      <x:c r="M11" s="31" t="n">
        <x:v>46.071804821499995</x:v>
      </x:c>
      <x:c r="N11" s="24" t="str">
        <x:v>carcharhinus plumbeus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Carcharhinus plumbeus</x:v>
      </x:c>
      <x:c r="T11" s="32" t="n">
        <x:f>IF(O11="","",(1/'Metadata'!$B$5)^(O11-1))</x:f>
        <x:v>3090.295432513592</x:v>
      </x:c>
      <x:c r="U11" s="31" t="n">
        <x:f>IF(T11="","",I11*T11)</x:f>
        <x:v>146317.61151887054</x:v>
      </x:c>
    </x:row>
    <x:row r="12" ht="18" customHeight="1">
      <x:c r="A12" s="24" t="str">
        <x:v>EEZ_977</x:v>
      </x:c>
      <x:c r="B12" s="24" t="str">
        <x:v>Yemen (Socotra)</x:v>
      </x:c>
      <x:c r="C12" s="24" t="str">
        <x:v>EEZ</x:v>
      </x:c>
      <x:c r="D12" s="30" t="n">
        <x:v>2019</x:v>
      </x:c>
      <x:c r="E12" s="24" t="str">
        <x:v>Lutjanus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46.251562792099996</x:v>
      </x:c>
      <x:c r="J12" s="31" t="n">
        <x:v>46.251562792099996</x:v>
      </x:c>
      <x:c r="K12" s="31" t="n">
        <x:v>0</x:v>
      </x:c>
      <x:c r="L12" s="31" t="n">
        <x:v>1.2383707878</x:v>
      </x:c>
      <x:c r="M12" s="31" t="n">
        <x:v>45.0131920043</x:v>
      </x:c>
      <x:c r="N12" s="24" t="str">
        <x:v>lutjanus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Lutjanus</x:v>
      </x:c>
      <x:c r="T12" s="32" t="n">
        <x:f>IF(O12="","",(1/'Metadata'!$B$5)^(O12-1))</x:f>
        <x:v>1047.1285480508984</x:v>
      </x:c>
      <x:c r="U12" s="31" t="n">
        <x:f>IF(T12="","",I12*T12)</x:f>
        <x:v>48431.331791576624</x:v>
      </x:c>
    </x:row>
    <x:row r="13" ht="18" customHeight="1">
      <x:c r="A13" s="24" t="str">
        <x:v>EEZ_977</x:v>
      </x:c>
      <x:c r="B13" s="24" t="str">
        <x:v>Yemen (Socotra)</x:v>
      </x:c>
      <x:c r="C13" s="24" t="str">
        <x:v>EEZ</x:v>
      </x:c>
      <x:c r="D13" s="30" t="n">
        <x:v>2019</x:v>
      </x:c>
      <x:c r="E13" s="24" t="str">
        <x:v>Galeocerdo cuvier</x:v>
      </x:c>
      <x:c r="F13" s="24" t="str">
        <x:v>Tiger shark</x:v>
      </x:c>
      <x:c r="G13" s="24" t="str">
        <x:v>Large sharks (&gt;=90 cm)</x:v>
      </x:c>
      <x:c r="H13" s="24" t="str">
        <x:v>Sharks &amp; rays</x:v>
      </x:c>
      <x:c r="I13" s="31" t="n">
        <x:v>39.4562091633</x:v>
      </x:c>
      <x:c r="J13" s="31" t="n">
        <x:v>39.4562091633</x:v>
      </x:c>
      <x:c r="K13" s="31" t="n">
        <x:v>0</x:v>
      </x:c>
      <x:c r="L13" s="31" t="n">
        <x:v>1.0630384695</x:v>
      </x:c>
      <x:c r="M13" s="31" t="n">
        <x:v>38.3931706938</x:v>
      </x:c>
      <x:c r="N13" s="24" t="str">
        <x:v>galeocerdo cuvier</x:v>
      </x:c>
      <x:c r="O13" s="32" t="n">
        <x:v>4.54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Galeocerdo cuvier</x:v>
      </x:c>
      <x:c r="T13" s="32" t="n">
        <x:f>IF(O13="","",(1/'Metadata'!$B$5)^(O13-1))</x:f>
        <x:v>3467.368504525317</x:v>
      </x:c>
      <x:c r="U13" s="31" t="n">
        <x:f>IF(T13="","",I13*T13)</x:f>
        <x:v>136809.21696078964</x:v>
      </x:c>
    </x:row>
    <x:row r="14" ht="18" customHeight="1">
      <x:c r="A14" s="24" t="str">
        <x:v>EEZ_977</x:v>
      </x:c>
      <x:c r="B14" s="24" t="str">
        <x:v>Yemen (Socotra)</x:v>
      </x:c>
      <x:c r="C14" s="24" t="str">
        <x:v>EEZ</x:v>
      </x:c>
      <x:c r="D14" s="30" t="n">
        <x:v>2019</x:v>
      </x:c>
      <x:c r="E14" s="24" t="str">
        <x:v>Carcharhinus melanopterus</x:v>
      </x:c>
      <x:c r="F14" s="24" t="str">
        <x:v>Blacktip reef shark</x:v>
      </x:c>
      <x:c r="G14" s="24" t="str">
        <x:v>Large sharks (&gt;=90 cm)</x:v>
      </x:c>
      <x:c r="H14" s="24" t="str">
        <x:v>Sharks &amp; rays</x:v>
      </x:c>
      <x:c r="I14" s="31" t="n">
        <x:v>39.4562091633</x:v>
      </x:c>
      <x:c r="J14" s="31" t="n">
        <x:v>39.4562091633</x:v>
      </x:c>
      <x:c r="K14" s="31" t="n">
        <x:v>0</x:v>
      </x:c>
      <x:c r="L14" s="31" t="n">
        <x:v>1.0630384695</x:v>
      </x:c>
      <x:c r="M14" s="31" t="n">
        <x:v>38.3931706938</x:v>
      </x:c>
      <x:c r="N14" s="24" t="str">
        <x:v>carcharhinus melanopterus</x:v>
      </x:c>
      <x:c r="O14" s="32" t="n">
        <x:v>3.94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Carcharhinus melanopterus</x:v>
      </x:c>
      <x:c r="T14" s="32" t="n">
        <x:f>IF(O14="","",(1/'Metadata'!$B$5)^(O14-1))</x:f>
        <x:v>870.9635899560806</x:v>
      </x:c>
      <x:c r="U14" s="31" t="n">
        <x:f>IF(T14="","",I14*T14)</x:f>
        <x:v>34364.92157892577</x:v>
      </x:c>
    </x:row>
    <x:row r="15" ht="18" customHeight="1">
      <x:c r="A15" s="24" t="str">
        <x:v>EEZ_977</x:v>
      </x:c>
      <x:c r="B15" s="24" t="str">
        <x:v>Yemen (Socotra)</x:v>
      </x:c>
      <x:c r="C15" s="24" t="str">
        <x:v>EEZ</x:v>
      </x:c>
      <x:c r="D15" s="30" t="n">
        <x:v>2019</x:v>
      </x:c>
      <x:c r="E15" s="24" t="str">
        <x:v>Isurus oxyrinchus</x:v>
      </x:c>
      <x:c r="F15" s="24" t="str">
        <x:v>Shortfin mako</x:v>
      </x:c>
      <x:c r="G15" s="24" t="str">
        <x:v>Large sharks (&gt;=90 cm)</x:v>
      </x:c>
      <x:c r="H15" s="24" t="str">
        <x:v>Sharks &amp; rays</x:v>
      </x:c>
      <x:c r="I15" s="31" t="n">
        <x:v>39.4562091633</x:v>
      </x:c>
      <x:c r="J15" s="31" t="n">
        <x:v>39.4562091633</x:v>
      </x:c>
      <x:c r="K15" s="31" t="n">
        <x:v>0</x:v>
      </x:c>
      <x:c r="L15" s="31" t="n">
        <x:v>1.0630384695</x:v>
      </x:c>
      <x:c r="M15" s="31" t="n">
        <x:v>38.3931706938</x:v>
      </x:c>
      <x:c r="N15" s="24" t="str">
        <x:v>isurus oxyrinchus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Isurus oxyrinchus</x:v>
      </x:c>
      <x:c r="T15" s="32" t="n">
        <x:f>IF(O15="","",(1/'Metadata'!$B$5)^(O15-1))</x:f>
        <x:v>3162.2776601683795</x:v>
      </x:c>
      <x:c r="U15" s="31" t="n">
        <x:f>IF(T15="","",I15*T15)</x:f>
        <x:v>124771.4887920345</x:v>
      </x:c>
    </x:row>
    <x:row r="16" ht="18" customHeight="1">
      <x:c r="A16" s="24" t="str">
        <x:v>EEZ_977</x:v>
      </x:c>
      <x:c r="B16" s="24" t="str">
        <x:v>Yemen (Socotra)</x:v>
      </x:c>
      <x:c r="C16" s="24" t="str">
        <x:v>EEZ</x:v>
      </x:c>
      <x:c r="D16" s="30" t="n">
        <x:v>2019</x:v>
      </x:c>
      <x:c r="E16" s="24" t="str">
        <x:v>Carcharhinus amblyrhynchoides</x:v>
      </x:c>
      <x:c r="F16" s="24" t="str">
        <x:v>Graceful shark</x:v>
      </x:c>
      <x:c r="G16" s="24" t="str">
        <x:v>Large sharks (&gt;=90 cm)</x:v>
      </x:c>
      <x:c r="H16" s="24" t="str">
        <x:v>Sharks &amp; rays</x:v>
      </x:c>
      <x:c r="I16" s="31" t="n">
        <x:v>39.4562091633</x:v>
      </x:c>
      <x:c r="J16" s="31" t="n">
        <x:v>39.4562091633</x:v>
      </x:c>
      <x:c r="K16" s="31" t="n">
        <x:v>0</x:v>
      </x:c>
      <x:c r="L16" s="31" t="n">
        <x:v>1.0630384695</x:v>
      </x:c>
      <x:c r="M16" s="31" t="n">
        <x:v>38.3931706938</x:v>
      </x:c>
      <x:c r="N16" s="24" t="str">
        <x:v>carcharhinus amblyrhynchoides</x:v>
      </x:c>
      <x:c r="O16" s="32" t="n">
        <x:v>4.22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amblyrhynchoides</x:v>
      </x:c>
      <x:c r="T16" s="32" t="n">
        <x:f>IF(O16="","",(1/'Metadata'!$B$5)^(O16-1))</x:f>
        <x:v>1659.5869074375596</x:v>
      </x:c>
      <x:c r="U16" s="31" t="n">
        <x:f>IF(T16="","",I16*T16)</x:f>
        <x:v>65481.008144530555</x:v>
      </x:c>
    </x:row>
    <x:row r="17" ht="18" customHeight="1">
      <x:c r="A17" s="24" t="str">
        <x:v>EEZ_977</x:v>
      </x:c>
      <x:c r="B17" s="24" t="str">
        <x:v>Yemen (Socotra)</x:v>
      </x:c>
      <x:c r="C17" s="24" t="str">
        <x:v>EEZ</x:v>
      </x:c>
      <x:c r="D17" s="30" t="n">
        <x:v>2019</x:v>
      </x:c>
      <x:c r="E17" s="24" t="str">
        <x:v>Carcharhinus</x:v>
      </x:c>
      <x:c r="F17" s="24" t="str">
        <x:v>Sharp-nosed sharks</x:v>
      </x:c>
      <x:c r="G17" s="24" t="str">
        <x:v>Large sharks (&gt;=90 cm)</x:v>
      </x:c>
      <x:c r="H17" s="24" t="str">
        <x:v>Sharks &amp; rays</x:v>
      </x:c>
      <x:c r="I17" s="31" t="n">
        <x:v>39.4562091633</x:v>
      </x:c>
      <x:c r="J17" s="31" t="n">
        <x:v>39.4562091633</x:v>
      </x:c>
      <x:c r="K17" s="31" t="n">
        <x:v>0</x:v>
      </x:c>
      <x:c r="L17" s="31" t="n">
        <x:v>1.0630384695</x:v>
      </x:c>
      <x:c r="M17" s="31" t="n">
        <x:v>38.3931706938</x:v>
      </x:c>
      <x:c r="N17" s="24" t="str">
        <x:v>carcharhinus</x:v>
      </x:c>
      <x:c r="O17" s="32" t="n">
        <x:v>4.26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Carcharhinus</x:v>
      </x:c>
      <x:c r="T17" s="32" t="n">
        <x:f>IF(O17="","",(1/'Metadata'!$B$5)^(O17-1))</x:f>
        <x:v>1819.7008586099826</x:v>
      </x:c>
      <x:c r="U17" s="31" t="n">
        <x:f>IF(T17="","",I17*T17)</x:f>
        <x:v>71798.49769195207</x:v>
      </x:c>
    </x:row>
    <x:row r="18" ht="18" customHeight="1">
      <x:c r="A18" s="24" t="str">
        <x:v>EEZ_977</x:v>
      </x:c>
      <x:c r="B18" s="24" t="str">
        <x:v>Yemen (Socotra)</x:v>
      </x:c>
      <x:c r="C18" s="24" t="str">
        <x:v>EEZ</x:v>
      </x:c>
      <x:c r="D18" s="30" t="n">
        <x:v>2019</x:v>
      </x:c>
      <x:c r="E18" s="24" t="str">
        <x:v>Lethrinus nebulosus</x:v>
      </x:c>
      <x:c r="F18" s="24" t="str">
        <x:v>Spangled emperor</x:v>
      </x:c>
      <x:c r="G18" s="24" t="str">
        <x:v>Medium demersals (30 - 89 cm)</x:v>
      </x:c>
      <x:c r="H18" s="24" t="str">
        <x:v>Perch-likes</x:v>
      </x:c>
      <x:c r="I18" s="31" t="n">
        <x:v>27.321947377100003</x:v>
      </x:c>
      <x:c r="J18" s="31" t="n">
        <x:v>27.321947377100003</x:v>
      </x:c>
      <x:c r="K18" s="31" t="n">
        <x:v>0</x:v>
      </x:c>
      <x:c r="L18" s="31" t="n">
        <x:v>0.7401495738</x:v>
      </x:c>
      <x:c r="M18" s="31" t="n">
        <x:v>26.581797803300002</x:v>
      </x:c>
      <x:c r="N18" s="24" t="str">
        <x:v>lethrinus nebulosus</x:v>
      </x:c>
      <x:c r="O18" s="32" t="n">
        <x:v>3.76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Lethrinus nebulosus</x:v>
      </x:c>
      <x:c r="T18" s="32" t="n">
        <x:f>IF(O18="","",(1/'Metadata'!$B$5)^(O18-1))</x:f>
        <x:v>575.4399373371566</x:v>
      </x:c>
      <x:c r="U18" s="31" t="n">
        <x:f>IF(T18="","",I18*T18)</x:f>
        <x:v>15722.139686607516</x:v>
      </x:c>
    </x:row>
    <x:row r="19" ht="18" customHeight="1">
      <x:c r="A19" s="24" t="str">
        <x:v>EEZ_977</x:v>
      </x:c>
      <x:c r="B19" s="24" t="str">
        <x:v>Yemen (Socotra)</x:v>
      </x:c>
      <x:c r="C19" s="24" t="str">
        <x:v>EEZ</x:v>
      </x:c>
      <x:c r="D19" s="30" t="n">
        <x:v>2019</x:v>
      </x:c>
      <x:c r="E19" s="24" t="str">
        <x:v>Lethrinus lentjan</x:v>
      </x:c>
      <x:c r="F19" s="24" t="str">
        <x:v>Pink ear emperor</x:v>
      </x:c>
      <x:c r="G19" s="24" t="str">
        <x:v>Medium demersals (30 - 89 cm)</x:v>
      </x:c>
      <x:c r="H19" s="24" t="str">
        <x:v>Perch-likes</x:v>
      </x:c>
      <x:c r="I19" s="31" t="n">
        <x:v>27.321947377100003</x:v>
      </x:c>
      <x:c r="J19" s="31" t="n">
        <x:v>27.321947377100003</x:v>
      </x:c>
      <x:c r="K19" s="31" t="n">
        <x:v>0</x:v>
      </x:c>
      <x:c r="L19" s="31" t="n">
        <x:v>0.7401495738</x:v>
      </x:c>
      <x:c r="M19" s="31" t="n">
        <x:v>26.581797803300002</x:v>
      </x:c>
      <x:c r="N19" s="24" t="str">
        <x:v>lethrinus lentjan</x:v>
      </x:c>
      <x:c r="O19" s="32" t="n">
        <x:v>3.94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Lethrinus lentjan</x:v>
      </x:c>
      <x:c r="T19" s="32" t="n">
        <x:f>IF(O19="","",(1/'Metadata'!$B$5)^(O19-1))</x:f>
        <x:v>870.9635899560806</x:v>
      </x:c>
      <x:c r="U19" s="31" t="n">
        <x:f>IF(T19="","",I19*T19)</x:f>
        <x:v>23796.421372150136</x:v>
      </x:c>
    </x:row>
    <x:row r="20" ht="18" customHeight="1">
      <x:c r="A20" s="24" t="str">
        <x:v>EEZ_977</x:v>
      </x:c>
      <x:c r="B20" s="24" t="str">
        <x:v>Yemen (Socotra)</x:v>
      </x:c>
      <x:c r="C20" s="24" t="str">
        <x:v>EEZ</x:v>
      </x:c>
      <x:c r="D20" s="30" t="n">
        <x:v>2019</x:v>
      </x:c>
      <x:c r="E20" s="24" t="str">
        <x:v>Lethrinus microdon</x:v>
      </x:c>
      <x:c r="F20" s="24" t="str">
        <x:v>Smalltooth emperor</x:v>
      </x:c>
      <x:c r="G20" s="24" t="str">
        <x:v>Medium reef assoc. fish (30 - 89 cm)</x:v>
      </x:c>
      <x:c r="H20" s="24" t="str">
        <x:v>Perch-likes</x:v>
      </x:c>
      <x:c r="I20" s="31" t="n">
        <x:v>27.321947377100003</x:v>
      </x:c>
      <x:c r="J20" s="31" t="n">
        <x:v>27.321947377100003</x:v>
      </x:c>
      <x:c r="K20" s="31" t="n">
        <x:v>0</x:v>
      </x:c>
      <x:c r="L20" s="31" t="n">
        <x:v>0.7401495738</x:v>
      </x:c>
      <x:c r="M20" s="31" t="n">
        <x:v>26.581797803300002</x:v>
      </x:c>
      <x:c r="N20" s="24" t="str">
        <x:v>lethrinus microdon</x:v>
      </x:c>
      <x:c r="O20" s="32" t="n">
        <x:v>3.79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Lethrinus microdon</x:v>
      </x:c>
      <x:c r="T20" s="32" t="n">
        <x:f>IF(O20="","",(1/'Metadata'!$B$5)^(O20-1))</x:f>
        <x:v>616.5950018614822</x:v>
      </x:c>
      <x:c r="U20" s="31" t="n">
        <x:f>IF(T20="","",I20*T20)</x:f>
        <x:v>16846.576193842295</x:v>
      </x:c>
    </x:row>
    <x:row r="21" ht="18" customHeight="1">
      <x:c r="A21" s="24" t="str">
        <x:v>EEZ_977</x:v>
      </x:c>
      <x:c r="B21" s="24" t="str">
        <x:v>Yemen (Socotra)</x:v>
      </x:c>
      <x:c r="C21" s="24" t="str">
        <x:v>EEZ</x:v>
      </x:c>
      <x:c r="D21" s="30" t="n">
        <x:v>2019</x:v>
      </x:c>
      <x:c r="E21" s="24" t="str">
        <x:v>Lethrinus olivaceus</x:v>
      </x:c>
      <x:c r="F21" s="24" t="str">
        <x:v>Longface emperor</x:v>
      </x:c>
      <x:c r="G21" s="24" t="str">
        <x:v>Medium demersals (30 - 89 cm)</x:v>
      </x:c>
      <x:c r="H21" s="24" t="str">
        <x:v>Perch-likes</x:v>
      </x:c>
      <x:c r="I21" s="31" t="n">
        <x:v>27.321947377100003</x:v>
      </x:c>
      <x:c r="J21" s="31" t="n">
        <x:v>27.321947377100003</x:v>
      </x:c>
      <x:c r="K21" s="31" t="n">
        <x:v>0</x:v>
      </x:c>
      <x:c r="L21" s="31" t="n">
        <x:v>0.7401495738</x:v>
      </x:c>
      <x:c r="M21" s="31" t="n">
        <x:v>26.581797803300002</x:v>
      </x:c>
      <x:c r="N21" s="24" t="str">
        <x:v>lethrinus olivaceus</x:v>
      </x:c>
      <x:c r="O21" s="32" t="n">
        <x:v>3.95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Lethrinus olivaceus</x:v>
      </x:c>
      <x:c r="T21" s="32" t="n">
        <x:f>IF(O21="","",(1/'Metadata'!$B$5)^(O21-1))</x:f>
        <x:v>891.2509381337459</x:v>
      </x:c>
      <x:c r="U21" s="31" t="n">
        <x:f>IF(T21="","",I21*T21)</x:f>
        <x:v>24350.711231481215</x:v>
      </x:c>
    </x:row>
    <x:row r="22" ht="18" customHeight="1">
      <x:c r="A22" s="24" t="str">
        <x:v>EEZ_977</x:v>
      </x:c>
      <x:c r="B22" s="24" t="str">
        <x:v>Yemen (Socotra)</x:v>
      </x:c>
      <x:c r="C22" s="24" t="str">
        <x:v>EEZ</x:v>
      </x:c>
      <x:c r="D22" s="30" t="n">
        <x:v>2019</x:v>
      </x:c>
      <x:c r="E22" s="24" t="str">
        <x:v>Lethrinus mahsena</x:v>
      </x:c>
      <x:c r="F22" s="24" t="str">
        <x:v>Sky emperor</x:v>
      </x:c>
      <x:c r="G22" s="24" t="str">
        <x:v>Medium reef assoc. fish (30 - 89 cm)</x:v>
      </x:c>
      <x:c r="H22" s="24" t="str">
        <x:v>Perch-likes</x:v>
      </x:c>
      <x:c r="I22" s="31" t="n">
        <x:v>27.321947377100003</x:v>
      </x:c>
      <x:c r="J22" s="31" t="n">
        <x:v>27.321947377100003</x:v>
      </x:c>
      <x:c r="K22" s="31" t="n">
        <x:v>0</x:v>
      </x:c>
      <x:c r="L22" s="31" t="n">
        <x:v>0.7401495738</x:v>
      </x:c>
      <x:c r="M22" s="31" t="n">
        <x:v>26.581797803300002</x:v>
      </x:c>
      <x:c r="N22" s="24" t="str">
        <x:v>lethrinus mahsena</x:v>
      </x:c>
      <x:c r="O22" s="32" t="n">
        <x:v>3.43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Lethrinus mahsena</x:v>
      </x:c>
      <x:c r="T22" s="32" t="n">
        <x:f>IF(O22="","",(1/'Metadata'!$B$5)^(O22-1))</x:f>
        <x:v>269.1534803926917</x:v>
      </x:c>
      <x:c r="U22" s="31" t="n">
        <x:f>IF(T22="","",I22*T22)</x:f>
        <x:v>7353.79722765244</x:v>
      </x:c>
    </x:row>
    <x:row r="23" ht="18" customHeight="1">
      <x:c r="A23" s="24" t="str">
        <x:v>EEZ_977</x:v>
      </x:c>
      <x:c r="B23" s="24" t="str">
        <x:v>Yemen (Socotra)</x:v>
      </x:c>
      <x:c r="C23" s="24" t="str">
        <x:v>EEZ</x:v>
      </x:c>
      <x:c r="D23" s="30" t="n">
        <x:v>2019</x:v>
      </x:c>
      <x:c r="E23" s="24" t="str">
        <x:v>Lethrinus borbonicus</x:v>
      </x:c>
      <x:c r="F23" s="24" t="str">
        <x:v>Snubnose emperor</x:v>
      </x:c>
      <x:c r="G23" s="24" t="str">
        <x:v>Medium reef assoc. fish (30 - 89 cm)</x:v>
      </x:c>
      <x:c r="H23" s="24" t="str">
        <x:v>Perch-likes</x:v>
      </x:c>
      <x:c r="I23" s="31" t="n">
        <x:v>27.321947377100003</x:v>
      </x:c>
      <x:c r="J23" s="31" t="n">
        <x:v>27.321947377100003</x:v>
      </x:c>
      <x:c r="K23" s="31" t="n">
        <x:v>0</x:v>
      </x:c>
      <x:c r="L23" s="31" t="n">
        <x:v>0.7401495738</x:v>
      </x:c>
      <x:c r="M23" s="31" t="n">
        <x:v>26.581797803300002</x:v>
      </x:c>
      <x:c r="N23" s="24" t="str">
        <x:v>lethrinus borbonicus</x:v>
      </x:c>
      <x:c r="O23" s="32" t="n">
        <x:v>3.47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borbonicus</x:v>
      </x:c>
      <x:c r="T23" s="32" t="n">
        <x:f>IF(O23="","",(1/'Metadata'!$B$5)^(O23-1))</x:f>
        <x:v>295.1209226666387</x:v>
      </x:c>
      <x:c r="U23" s="31" t="n">
        <x:f>IF(T23="","",I23*T23)</x:f>
        <x:v>8063.278318979102</x:v>
      </x:c>
    </x:row>
    <x:row r="24" ht="18" customHeight="1">
      <x:c r="A24" s="24" t="str">
        <x:v>EEZ_977</x:v>
      </x:c>
      <x:c r="B24" s="24" t="str">
        <x:v>Yemen (Socotra)</x:v>
      </x:c>
      <x:c r="C24" s="24" t="str">
        <x:v>EEZ</x:v>
      </x:c>
      <x:c r="D24" s="30" t="n">
        <x:v>2019</x:v>
      </x:c>
      <x:c r="E24" s="24" t="str">
        <x:v>Caranx ignobilis</x:v>
      </x:c>
      <x:c r="F24" s="24" t="str">
        <x:v>Giant trevally</x:v>
      </x:c>
      <x:c r="G24" s="24" t="str">
        <x:v>Large reef assoc. fish (&gt;=90 cm)</x:v>
      </x:c>
      <x:c r="H24" s="24" t="str">
        <x:v>Perch-likes</x:v>
      </x:c>
      <x:c r="I24" s="31" t="n">
        <x:v>19.00084507</x:v>
      </x:c>
      <x:c r="J24" s="31" t="n">
        <x:v>19.00084507</x:v>
      </x:c>
      <x:c r="K24" s="31" t="n">
        <x:v>0</x:v>
      </x:c>
      <x:c r="L24" s="31" t="n">
        <x:v>0</x:v>
      </x:c>
      <x:c r="M24" s="31" t="n">
        <x:v>19.00084507</x:v>
      </x:c>
      <x:c r="N24" s="24" t="str">
        <x:v>caranx ignobilis</x:v>
      </x:c>
      <x:c r="O24" s="32" t="n">
        <x:v>4.22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ignobilis</x:v>
      </x:c>
      <x:c r="T24" s="32" t="n">
        <x:f>IF(O24="","",(1/'Metadata'!$B$5)^(O24-1))</x:f>
        <x:v>1659.5869074375596</x:v>
      </x:c>
      <x:c r="U24" s="31" t="n">
        <x:f>IF(T24="","",I24*T24)</x:f>
        <x:v>31533.553708421503</x:v>
      </x:c>
    </x:row>
    <x:row r="25" ht="18" customHeight="1">
      <x:c r="A25" s="24" t="str">
        <x:v>EEZ_977</x:v>
      </x:c>
      <x:c r="B25" s="24" t="str">
        <x:v>Yemen (Socotra)</x:v>
      </x:c>
      <x:c r="C25" s="24" t="str">
        <x:v>EEZ</x:v>
      </x:c>
      <x:c r="D25" s="30" t="n">
        <x:v>2019</x:v>
      </x:c>
      <x:c r="E25" s="24" t="str">
        <x:v>Euthynnus affinis</x:v>
      </x:c>
      <x:c r="F25" s="24" t="str">
        <x:v>Kawakawa</x:v>
      </x:c>
      <x:c r="G25" s="24" t="str">
        <x:v>Large pelagics (&gt;=90 cm)</x:v>
      </x:c>
      <x:c r="H25" s="24" t="str">
        <x:v>Tuna &amp; billfishes</x:v>
      </x:c>
      <x:c r="I25" s="31" t="n">
        <x:v>16.423190858399998</x:v>
      </x:c>
      <x:c r="J25" s="31" t="n">
        <x:v>16.423190858399998</x:v>
      </x:c>
      <x:c r="K25" s="31" t="n">
        <x:v>0</x:v>
      </x:c>
      <x:c r="L25" s="31" t="n">
        <x:v>0.44247747179999997</x:v>
      </x:c>
      <x:c r="M25" s="31" t="n">
        <x:v>15.9807133866</x:v>
      </x:c>
      <x:c r="N25" s="24" t="str">
        <x:v>euthynnus affinis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Euthynnus affinis</x:v>
      </x:c>
      <x:c r="T25" s="32" t="n">
        <x:f>IF(O25="","",(1/'Metadata'!$B$5)^(O25-1))</x:f>
        <x:v>3162.2776601683795</x:v>
      </x:c>
      <x:c r="U25" s="31" t="n">
        <x:f>IF(T25="","",I25*T25)</x:f>
        <x:v>51934.68956019987</x:v>
      </x:c>
    </x:row>
    <x:row r="26" ht="18" customHeight="1">
      <x:c r="A26" s="24" t="str">
        <x:v>EEZ_977</x:v>
      </x:c>
      <x:c r="B26" s="24" t="str">
        <x:v>Yemen (Socotra)</x:v>
      </x:c>
      <x:c r="C26" s="24" t="str">
        <x:v>EEZ</x:v>
      </x:c>
      <x:c r="D26" s="30" t="n">
        <x:v>2019</x:v>
      </x:c>
      <x:c r="E26" s="24" t="str">
        <x:v>Aphareus furca</x:v>
      </x:c>
      <x:c r="F26" s="24" t="str">
        <x:v>Small toothed jobfish</x:v>
      </x:c>
      <x:c r="G26" s="24" t="str">
        <x:v>Medium reef assoc. fish (30 - 89 cm)</x:v>
      </x:c>
      <x:c r="H26" s="24" t="str">
        <x:v>Perch-likes</x:v>
      </x:c>
      <x:c r="I26" s="31" t="n">
        <x:v>11.5628906983</x:v>
      </x:c>
      <x:c r="J26" s="31" t="n">
        <x:v>11.5628906983</x:v>
      </x:c>
      <x:c r="K26" s="31" t="n">
        <x:v>0</x:v>
      </x:c>
      <x:c r="L26" s="31" t="n">
        <x:v>0.3095926971</x:v>
      </x:c>
      <x:c r="M26" s="31" t="n">
        <x:v>11.2532980012</x:v>
      </x:c>
      <x:c r="N26" s="24" t="str">
        <x:v>aphareus furca</x:v>
      </x:c>
      <x:c r="O26" s="32" t="n">
        <x:v>4.14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Aphareus furca</x:v>
      </x:c>
      <x:c r="T26" s="32" t="n">
        <x:f>IF(O26="","",(1/'Metadata'!$B$5)^(O26-1))</x:f>
        <x:v>1380.3842646028838</x:v>
      </x:c>
      <x:c r="U26" s="31" t="n">
        <x:f>IF(T26="","",I26*T26)</x:f>
        <x:v>15961.232373256373</x:v>
      </x:c>
    </x:row>
    <x:row r="27" ht="18" customHeight="1">
      <x:c r="A27" s="24" t="str">
        <x:v>EEZ_977</x:v>
      </x:c>
      <x:c r="B27" s="24" t="str">
        <x:v>Yemen (Socotra)</x:v>
      </x:c>
      <x:c r="C27" s="24" t="str">
        <x:v>EEZ</x:v>
      </x:c>
      <x:c r="D27" s="30" t="n">
        <x:v>2019</x:v>
      </x:c>
      <x:c r="E27" s="24" t="str">
        <x:v>Lutjanus bohar</x:v>
      </x:c>
      <x:c r="F27" s="24" t="str">
        <x:v>Two-spot red snapper</x:v>
      </x:c>
      <x:c r="G27" s="24" t="str">
        <x:v>Medium reef assoc. fish (30 - 89 cm)</x:v>
      </x:c>
      <x:c r="H27" s="24" t="str">
        <x:v>Perch-likes</x:v>
      </x:c>
      <x:c r="I27" s="31" t="n">
        <x:v>11.5628906983</x:v>
      </x:c>
      <x:c r="J27" s="31" t="n">
        <x:v>11.5628906983</x:v>
      </x:c>
      <x:c r="K27" s="31" t="n">
        <x:v>0</x:v>
      </x:c>
      <x:c r="L27" s="31" t="n">
        <x:v>0.3095926971</x:v>
      </x:c>
      <x:c r="M27" s="31" t="n">
        <x:v>11.2532980012</x:v>
      </x:c>
      <x:c r="N27" s="24" t="str">
        <x:v>lutjanus bohar</x:v>
      </x:c>
      <x:c r="O27" s="32" t="n">
        <x:v>4.27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bohar</x:v>
      </x:c>
      <x:c r="T27" s="32" t="n">
        <x:f>IF(O27="","",(1/'Metadata'!$B$5)^(O27-1))</x:f>
        <x:v>1862.0871366628655</x:v>
      </x:c>
      <x:c r="U27" s="31" t="n">
        <x:f>IF(T27="","",I27*T27)</x:f>
        <x:v>21531.110031943128</x:v>
      </x:c>
    </x:row>
    <x:row r="28" ht="18" customHeight="1">
      <x:c r="A28" s="24" t="str">
        <x:v>EEZ_977</x:v>
      </x:c>
      <x:c r="B28" s="24" t="str">
        <x:v>Yemen (Socotra)</x:v>
      </x:c>
      <x:c r="C28" s="24" t="str">
        <x:v>EEZ</x:v>
      </x:c>
      <x:c r="D28" s="30" t="n">
        <x:v>2019</x:v>
      </x:c>
      <x:c r="E28" s="24" t="str">
        <x:v>Lutjanus malabaricus</x:v>
      </x:c>
      <x:c r="F28" s="24" t="str">
        <x:v>Malabar blood snapper</x:v>
      </x:c>
      <x:c r="G28" s="24" t="str">
        <x:v>Medium reef assoc. fish (30 - 89 cm)</x:v>
      </x:c>
      <x:c r="H28" s="24" t="str">
        <x:v>Perch-likes</x:v>
      </x:c>
      <x:c r="I28" s="31" t="n">
        <x:v>11.5628906983</x:v>
      </x:c>
      <x:c r="J28" s="31" t="n">
        <x:v>11.5628906983</x:v>
      </x:c>
      <x:c r="K28" s="31" t="n">
        <x:v>0</x:v>
      </x:c>
      <x:c r="L28" s="31" t="n">
        <x:v>0.3095926971</x:v>
      </x:c>
      <x:c r="M28" s="31" t="n">
        <x:v>11.2532980012</x:v>
      </x:c>
      <x:c r="N28" s="24" t="str">
        <x:v>lutjanus malabaricus</x:v>
      </x:c>
      <x:c r="O28" s="32" t="n">
        <x:v>4.48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Lutjanus malabaricus</x:v>
      </x:c>
      <x:c r="T28" s="32" t="n">
        <x:f>IF(O28="","",(1/'Metadata'!$B$5)^(O28-1))</x:f>
        <x:v>3019.951720402019</x:v>
      </x:c>
      <x:c r="U28" s="31" t="n">
        <x:f>IF(T28="","",I28*T28)</x:f>
        <x:v>34919.37165715159</x:v>
      </x:c>
    </x:row>
    <x:row r="29" ht="18" customHeight="1">
      <x:c r="A29" s="24" t="str">
        <x:v>EEZ_977</x:v>
      </x:c>
      <x:c r="B29" s="24" t="str">
        <x:v>Yemen (Socotra)</x:v>
      </x:c>
      <x:c r="C29" s="24" t="str">
        <x:v>EEZ</x:v>
      </x:c>
      <x:c r="D29" s="30" t="n">
        <x:v>2019</x:v>
      </x:c>
      <x:c r="E29" s="24" t="str">
        <x:v>Lutjanus gibbus</x:v>
      </x:c>
      <x:c r="F29" s="24" t="str">
        <x:v>Humpback red snapper</x:v>
      </x:c>
      <x:c r="G29" s="24" t="str">
        <x:v>Medium reef assoc. fish (30 - 89 cm)</x:v>
      </x:c>
      <x:c r="H29" s="24" t="str">
        <x:v>Perch-likes</x:v>
      </x:c>
      <x:c r="I29" s="31" t="n">
        <x:v>11.5628906983</x:v>
      </x:c>
      <x:c r="J29" s="31" t="n">
        <x:v>11.5628906983</x:v>
      </x:c>
      <x:c r="K29" s="31" t="n">
        <x:v>0</x:v>
      </x:c>
      <x:c r="L29" s="31" t="n">
        <x:v>0.3095926971</x:v>
      </x:c>
      <x:c r="M29" s="31" t="n">
        <x:v>11.2532980012</x:v>
      </x:c>
      <x:c r="N29" s="24" t="str">
        <x:v>lutjanus gibbus</x:v>
      </x:c>
      <x:c r="O29" s="32" t="n">
        <x:v>4.12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gibbus</x:v>
      </x:c>
      <x:c r="T29" s="32" t="n">
        <x:f>IF(O29="","",(1/'Metadata'!$B$5)^(O29-1))</x:f>
        <x:v>1318.2567385564075</x:v>
      </x:c>
      <x:c r="U29" s="31" t="n">
        <x:f>IF(T29="","",I29*T29)</x:f>
        <x:v>15242.85858022518</x:v>
      </x:c>
    </x:row>
    <x:row r="30" ht="18" customHeight="1">
      <x:c r="A30" s="24" t="str">
        <x:v>EEZ_977</x:v>
      </x:c>
      <x:c r="B30" s="24" t="str">
        <x:v>Yemen (Socotra)</x:v>
      </x:c>
      <x:c r="C30" s="24" t="str">
        <x:v>EEZ</x:v>
      </x:c>
      <x:c r="D30" s="30" t="n">
        <x:v>2019</x:v>
      </x:c>
      <x:c r="E30" s="24" t="str">
        <x:v>Lutjanus russellii</x:v>
      </x:c>
      <x:c r="F30" s="24" t="str">
        <x:v>Russell's snapper</x:v>
      </x:c>
      <x:c r="G30" s="24" t="str">
        <x:v>Medium reef assoc. fish (30 - 89 cm)</x:v>
      </x:c>
      <x:c r="H30" s="24" t="str">
        <x:v>Perch-likes</x:v>
      </x:c>
      <x:c r="I30" s="31" t="n">
        <x:v>11.5628906983</x:v>
      </x:c>
      <x:c r="J30" s="31" t="n">
        <x:v>11.5628906983</x:v>
      </x:c>
      <x:c r="K30" s="31" t="n">
        <x:v>0</x:v>
      </x:c>
      <x:c r="L30" s="31" t="n">
        <x:v>0.3095926971</x:v>
      </x:c>
      <x:c r="M30" s="31" t="n">
        <x:v>11.2532980012</x:v>
      </x:c>
      <x:c r="N30" s="24" t="str">
        <x:v>lutjanus russellii</x:v>
      </x:c>
      <x:c r="O30" s="32" t="n">
        <x:v>4.1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Lutjanus russellii</x:v>
      </x:c>
      <x:c r="T30" s="32" t="n">
        <x:f>IF(O30="","",(1/'Metadata'!$B$5)^(O30-1))</x:f>
        <x:v>1258.9254117941662</x:v>
      </x:c>
      <x:c r="U30" s="31" t="n">
        <x:f>IF(T30="","",I30*T30)</x:f>
        <x:v>14556.816933888262</x:v>
      </x:c>
    </x:row>
    <x:row r="31" ht="18" customHeight="1">
      <x:c r="A31" s="24" t="str">
        <x:v>EEZ_977</x:v>
      </x:c>
      <x:c r="B31" s="24" t="str">
        <x:v>Yemen (Socotra)</x:v>
      </x:c>
      <x:c r="C31" s="24" t="str">
        <x:v>EEZ</x:v>
      </x:c>
      <x:c r="D31" s="30" t="n">
        <x:v>2019</x:v>
      </x:c>
      <x:c r="E31" s="24" t="str">
        <x:v>Lutjanus kasmira</x:v>
      </x:c>
      <x:c r="F31" s="24" t="str">
        <x:v>Common bluestripe snapper</x:v>
      </x:c>
      <x:c r="G31" s="24" t="str">
        <x:v>Medium reef assoc. fish (30 - 89 cm)</x:v>
      </x:c>
      <x:c r="H31" s="24" t="str">
        <x:v>Perch-likes</x:v>
      </x:c>
      <x:c r="I31" s="31" t="n">
        <x:v>11.5628906983</x:v>
      </x:c>
      <x:c r="J31" s="31" t="n">
        <x:v>11.5628906983</x:v>
      </x:c>
      <x:c r="K31" s="31" t="n">
        <x:v>0</x:v>
      </x:c>
      <x:c r="L31" s="31" t="n">
        <x:v>0.3095926971</x:v>
      </x:c>
      <x:c r="M31" s="31" t="n">
        <x:v>11.2532980012</x:v>
      </x:c>
      <x:c r="N31" s="24" t="str">
        <x:v>lutjanus kasmira</x:v>
      </x:c>
      <x:c r="O31" s="32" t="n">
        <x:v>3.87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kasmira</x:v>
      </x:c>
      <x:c r="T31" s="32" t="n">
        <x:f>IF(O31="","",(1/'Metadata'!$B$5)^(O31-1))</x:f>
        <x:v>741.3102413009177</x:v>
      </x:c>
      <x:c r="U31" s="31" t="n">
        <x:f>IF(T31="","",I31*T31)</x:f>
        <x:v>8571.68929369291</x:v>
      </x:c>
    </x:row>
    <x:row r="32" ht="18" customHeight="1">
      <x:c r="A32" s="24" t="str">
        <x:v>EEZ_977</x:v>
      </x:c>
      <x:c r="B32" s="24" t="str">
        <x:v>Yemen (Socotra)</x:v>
      </x:c>
      <x:c r="C32" s="24" t="str">
        <x:v>EEZ</x:v>
      </x:c>
      <x:c r="D32" s="30" t="n">
        <x:v>2019</x:v>
      </x:c>
      <x:c r="E32" s="24" t="str">
        <x:v>Lutjanus fulviflamma</x:v>
      </x:c>
      <x:c r="F32" s="24" t="str">
        <x:v>Dory snapper</x:v>
      </x:c>
      <x:c r="G32" s="24" t="str">
        <x:v>Medium reef assoc. fish (30 - 89 cm)</x:v>
      </x:c>
      <x:c r="H32" s="24" t="str">
        <x:v>Perch-likes</x:v>
      </x:c>
      <x:c r="I32" s="31" t="n">
        <x:v>11.5628906983</x:v>
      </x:c>
      <x:c r="J32" s="31" t="n">
        <x:v>11.5628906983</x:v>
      </x:c>
      <x:c r="K32" s="31" t="n">
        <x:v>0</x:v>
      </x:c>
      <x:c r="L32" s="31" t="n">
        <x:v>0.3095926971</x:v>
      </x:c>
      <x:c r="M32" s="31" t="n">
        <x:v>11.2532980012</x:v>
      </x:c>
      <x:c r="N32" s="24" t="str">
        <x:v>lutjanus fulviflamma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Lutjanus fulviflamma</x:v>
      </x:c>
      <x:c r="T32" s="32" t="n">
        <x:f>IF(O32="","",(1/'Metadata'!$B$5)^(O32-1))</x:f>
        <x:v>616.5950018614822</x:v>
      </x:c>
      <x:c r="U32" s="31" t="n">
        <x:f>IF(T32="","",I32*T32)</x:f>
        <x:v>7129.620611642404</x:v>
      </x:c>
    </x:row>
    <x:row r="33" ht="18" customHeight="1">
      <x:c r="A33" s="24" t="str">
        <x:v>EEZ_977</x:v>
      </x:c>
      <x:c r="B33" s="24" t="str">
        <x:v>Yemen (Socotra)</x:v>
      </x:c>
      <x:c r="C33" s="24" t="str">
        <x:v>EEZ</x:v>
      </x:c>
      <x:c r="D33" s="30" t="n">
        <x:v>2019</x:v>
      </x:c>
      <x:c r="E33" s="24" t="str">
        <x:v>Variola louti</x:v>
      </x:c>
      <x:c r="F33" s="24" t="str">
        <x:v>Yellow-edged lyretail</x:v>
      </x:c>
      <x:c r="G33" s="24" t="str">
        <x:v>Medium reef assoc. fish (30 - 89 cm)</x:v>
      </x:c>
      <x:c r="H33" s="24" t="str">
        <x:v>Perch-likes</x:v>
      </x:c>
      <x:c r="I33" s="31" t="n">
        <x:v>8.528478197599998</x:v>
      </x:c>
      <x:c r="J33" s="31" t="n">
        <x:v>8.528478197599998</x:v>
      </x:c>
      <x:c r="K33" s="31" t="n">
        <x:v>0</x:v>
      </x:c>
      <x:c r="L33" s="31" t="n">
        <x:v>0.2076101733</x:v>
      </x:c>
      <x:c r="M33" s="31" t="n">
        <x:v>8.3208680243</x:v>
      </x:c>
      <x:c r="N33" s="24" t="str">
        <x:v>variola louti</x:v>
      </x:c>
      <x:c r="O33" s="32" t="n">
        <x:v>4.33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Variola louti</x:v>
      </x:c>
      <x:c r="T33" s="32" t="n">
        <x:f>IF(O33="","",(1/'Metadata'!$B$5)^(O33-1))</x:f>
        <x:v>2137.9620895022326</x:v>
      </x:c>
      <x:c r="U33" s="31" t="n">
        <x:f>IF(T33="","",I33*T33)</x:f>
        <x:v>18233.563067615127</x:v>
      </x:c>
    </x:row>
    <x:row r="34" ht="18" customHeight="1">
      <x:c r="A34" s="24" t="str">
        <x:v>EEZ_977</x:v>
      </x:c>
      <x:c r="B34" s="24" t="str">
        <x:v>Yemen (Socotra)</x:v>
      </x:c>
      <x:c r="C34" s="24" t="str">
        <x:v>EEZ</x:v>
      </x:c>
      <x:c r="D34" s="30" t="n">
        <x:v>2019</x:v>
      </x:c>
      <x:c r="E34" s="24" t="str">
        <x:v>Epinephelus multinotatus</x:v>
      </x:c>
      <x:c r="F34" s="24" t="str">
        <x:v>White-blotched grouper</x:v>
      </x:c>
      <x:c r="G34" s="24" t="str">
        <x:v>Medium reef assoc. fish (30 - 89 cm)</x:v>
      </x:c>
      <x:c r="H34" s="24" t="str">
        <x:v>Perch-likes</x:v>
      </x:c>
      <x:c r="I34" s="31" t="n">
        <x:v>8.114569903</x:v>
      </x:c>
      <x:c r="J34" s="31" t="n">
        <x:v>8.114569903</x:v>
      </x:c>
      <x:c r="K34" s="31" t="n">
        <x:v>0</x:v>
      </x:c>
      <x:c r="L34" s="31" t="n">
        <x:v>0.2076101733</x:v>
      </x:c>
      <x:c r="M34" s="31" t="n">
        <x:v>7.906959729699999</x:v>
      </x:c>
      <x:c r="N34" s="24" t="str">
        <x:v>epinephelus multinotatus</x:v>
      </x:c>
      <x:c r="O34" s="32" t="n">
        <x:v>3.86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Epinephelus multinotatus</x:v>
      </x:c>
      <x:c r="T34" s="32" t="n">
        <x:f>IF(O34="","",(1/'Metadata'!$B$5)^(O34-1))</x:f>
        <x:v>724.4359600749899</x:v>
      </x:c>
      <x:c r="U34" s="31" t="n">
        <x:f>IF(T34="","",I34*T34)</x:f>
        <x:v>5878.486238275423</x:v>
      </x:c>
    </x:row>
    <x:row r="35" ht="18" customHeight="1">
      <x:c r="A35" s="24" t="str">
        <x:v>EEZ_977</x:v>
      </x:c>
      <x:c r="B35" s="24" t="str">
        <x:v>Yemen (Socotra)</x:v>
      </x:c>
      <x:c r="C35" s="24" t="str">
        <x:v>EEZ</x:v>
      </x:c>
      <x:c r="D35" s="30" t="n">
        <x:v>2019</x:v>
      </x:c>
      <x:c r="E35" s="24" t="str">
        <x:v>Cephalopholis miniata</x:v>
      </x:c>
      <x:c r="F35" s="24" t="str">
        <x:v>Coral hind</x:v>
      </x:c>
      <x:c r="G35" s="24" t="str">
        <x:v>Medium reef assoc. fish (30 - 89 cm)</x:v>
      </x:c>
      <x:c r="H35" s="24" t="str">
        <x:v>Perch-likes</x:v>
      </x:c>
      <x:c r="I35" s="31" t="n">
        <x:v>7.999617563399999</x:v>
      </x:c>
      <x:c r="J35" s="31" t="n">
        <x:v>7.999617563399999</x:v>
      </x:c>
      <x:c r="K35" s="31" t="n">
        <x:v>0</x:v>
      </x:c>
      <x:c r="L35" s="31" t="n">
        <x:v>0.2076101733</x:v>
      </x:c>
      <x:c r="M35" s="31" t="n">
        <x:v>7.792007390099999</x:v>
      </x:c>
      <x:c r="N35" s="24" t="str">
        <x:v>cephalopholis miniata</x:v>
      </x:c>
      <x:c r="O35" s="32" t="n">
        <x:v>4.29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Cephalopholis miniata</x:v>
      </x:c>
      <x:c r="T35" s="32" t="n">
        <x:f>IF(O35="","",(1/'Metadata'!$B$5)^(O35-1))</x:f>
        <x:v>1949.8445997580454</x:v>
      </x:c>
      <x:c r="U35" s="31" t="n">
        <x:f>IF(T35="","",I35*T35)</x:f>
        <x:v>15598.011106125103</x:v>
      </x:c>
    </x:row>
    <x:row r="36" ht="18" customHeight="1">
      <x:c r="A36" s="24" t="str">
        <x:v>EEZ_977</x:v>
      </x:c>
      <x:c r="B36" s="24" t="str">
        <x:v>Yemen (Socotra)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7.891241829499999</x:v>
      </x:c>
      <x:c r="J36" s="31" t="n">
        <x:v>7.891241829499999</x:v>
      </x:c>
      <x:c r="K36" s="31" t="n">
        <x:v>0</x:v>
      </x:c>
      <x:c r="L36" s="31" t="n">
        <x:v>0.2126076936</x:v>
      </x:c>
      <x:c r="M36" s="31" t="n">
        <x:v>7.678634135899999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11406.314780933157</x:v>
      </x:c>
    </x:row>
    <x:row r="37" ht="18" customHeight="1">
      <x:c r="A37" s="24" t="str">
        <x:v>EEZ_977</x:v>
      </x:c>
      <x:c r="B37" s="24" t="str">
        <x:v>Yemen (Socotra)</x:v>
      </x:c>
      <x:c r="C37" s="24" t="str">
        <x:v>EEZ</x:v>
      </x:c>
      <x:c r="D37" s="30" t="n">
        <x:v>2019</x:v>
      </x:c>
      <x:c r="E37" s="24" t="str">
        <x:v>Cephalopholis</x:v>
      </x:c>
      <x:c r="F37" s="24" t="str">
        <x:v>Hinds</x:v>
      </x:c>
      <x:c r="G37" s="24" t="str">
        <x:v>Medium reef assoc. fish (30 - 89 cm)</x:v>
      </x:c>
      <x:c r="H37" s="24" t="str">
        <x:v>Perch-likes</x:v>
      </x:c>
      <x:c r="I37" s="31" t="n">
        <x:v>7.709572414299999</x:v>
      </x:c>
      <x:c r="J37" s="31" t="n">
        <x:v>7.709572414299999</x:v>
      </x:c>
      <x:c r="K37" s="31" t="n">
        <x:v>0</x:v>
      </x:c>
      <x:c r="L37" s="31" t="n">
        <x:v>0.2076101733</x:v>
      </x:c>
      <x:c r="M37" s="31" t="n">
        <x:v>7.501962240999999</x:v>
      </x:c>
      <x:c r="N37" s="24" t="str">
        <x:v>cephalopholis</x:v>
      </x:c>
      <x:c r="O37" s="32" t="n">
        <x:v>4.13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Cephalopholis</x:v>
      </x:c>
      <x:c r="T37" s="32" t="n">
        <x:f>IF(O37="","",(1/'Metadata'!$B$5)^(O37-1))</x:f>
        <x:v>1348.9628825916532</x:v>
      </x:c>
      <x:c r="U37" s="31" t="n">
        <x:f>IF(T37="","",I37*T37)</x:f>
        <x:v>10399.927027543217</x:v>
      </x:c>
    </x:row>
    <x:row r="38" ht="18" customHeight="1">
      <x:c r="A38" s="24" t="str">
        <x:v>EEZ_977</x:v>
      </x:c>
      <x:c r="B38" s="24" t="str">
        <x:v>Yemen (Socotra)</x:v>
      </x:c>
      <x:c r="C38" s="24" t="str">
        <x:v>EEZ</x:v>
      </x:c>
      <x:c r="D38" s="30" t="n">
        <x:v>2019</x:v>
      </x:c>
      <x:c r="E38" s="24" t="str">
        <x:v>Epinephelus chlorostigma</x:v>
      </x:c>
      <x:c r="F38" s="24" t="str">
        <x:v>Brownspotted grouper</x:v>
      </x:c>
      <x:c r="G38" s="24" t="str">
        <x:v>Medium reef assoc. fish (30 - 89 cm)</x:v>
      </x:c>
      <x:c r="H38" s="24" t="str">
        <x:v>Perch-likes</x:v>
      </x:c>
      <x:c r="I38" s="31" t="n">
        <x:v>7.709572414299999</x:v>
      </x:c>
      <x:c r="J38" s="31" t="n">
        <x:v>7.709572414299999</x:v>
      </x:c>
      <x:c r="K38" s="31" t="n">
        <x:v>0</x:v>
      </x:c>
      <x:c r="L38" s="31" t="n">
        <x:v>0.2076101733</x:v>
      </x:c>
      <x:c r="M38" s="31" t="n">
        <x:v>7.501962240999999</x:v>
      </x:c>
      <x:c r="N38" s="24" t="str">
        <x:v>epinephelus chlorostigma</x:v>
      </x:c>
      <x:c r="O38" s="32" t="n">
        <x:v>3.99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Epinephelus chlorostigma</x:v>
      </x:c>
      <x:c r="T38" s="32" t="n">
        <x:f>IF(O38="","",(1/'Metadata'!$B$5)^(O38-1))</x:f>
        <x:v>977.2372209558112</x:v>
      </x:c>
      <x:c r="U38" s="31" t="n">
        <x:f>IF(T38="","",I38*T38)</x:f>
        <x:v>7534.081120908115</x:v>
      </x:c>
    </x:row>
    <x:row r="39" ht="18" customHeight="1">
      <x:c r="A39" s="24" t="str">
        <x:v>EEZ_977</x:v>
      </x:c>
      <x:c r="B39" s="24" t="str">
        <x:v>Yemen (Socotra)</x:v>
      </x:c>
      <x:c r="C39" s="24" t="str">
        <x:v>EEZ</x:v>
      </x:c>
      <x:c r="D39" s="30" t="n">
        <x:v>2019</x:v>
      </x:c>
      <x:c r="E39" s="24" t="str">
        <x:v>Epinephelus fasciatus</x:v>
      </x:c>
      <x:c r="F39" s="24" t="str">
        <x:v>Blacktip grouper</x:v>
      </x:c>
      <x:c r="G39" s="24" t="str">
        <x:v>Medium reef assoc. fish (30 - 89 cm)</x:v>
      </x:c>
      <x:c r="H39" s="24" t="str">
        <x:v>Perch-likes</x:v>
      </x:c>
      <x:c r="I39" s="31" t="n">
        <x:v>7.709572414299999</x:v>
      </x:c>
      <x:c r="J39" s="31" t="n">
        <x:v>7.709572414299999</x:v>
      </x:c>
      <x:c r="K39" s="31" t="n">
        <x:v>0</x:v>
      </x:c>
      <x:c r="L39" s="31" t="n">
        <x:v>0.2076101733</x:v>
      </x:c>
      <x:c r="M39" s="31" t="n">
        <x:v>7.501962240999999</x:v>
      </x:c>
      <x:c r="N39" s="24" t="str">
        <x:v>epinephelus fasciatus</x:v>
      </x:c>
      <x:c r="O39" s="32" t="n">
        <x:v>3.72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Epinephelus fasciatus</x:v>
      </x:c>
      <x:c r="T39" s="32" t="n">
        <x:f>IF(O39="","",(1/'Metadata'!$B$5)^(O39-1))</x:f>
        <x:v>524.8074602497728</x:v>
      </x:c>
      <x:c r="U39" s="31" t="n">
        <x:f>IF(T39="","",I39*T39)</x:f>
        <x:v>4046.041118360492</x:v>
      </x:c>
    </x:row>
    <x:row r="40" ht="18" customHeight="1">
      <x:c r="A40" s="24" t="str">
        <x:v>EEZ_977</x:v>
      </x:c>
      <x:c r="B40" s="24" t="str">
        <x:v>Yemen (Socotra)</x:v>
      </x:c>
      <x:c r="C40" s="24" t="str">
        <x:v>EEZ</x:v>
      </x:c>
      <x:c r="D40" s="30" t="n">
        <x:v>2019</x:v>
      </x:c>
      <x:c r="E40" s="24" t="str">
        <x:v>Epinephelus areolatus</x:v>
      </x:c>
      <x:c r="F40" s="24" t="str">
        <x:v>Areolate grouper</x:v>
      </x:c>
      <x:c r="G40" s="24" t="str">
        <x:v>Medium reef assoc. fish (30 - 89 cm)</x:v>
      </x:c>
      <x:c r="H40" s="24" t="str">
        <x:v>Perch-likes</x:v>
      </x:c>
      <x:c r="I40" s="31" t="n">
        <x:v>7.709572414299999</x:v>
      </x:c>
      <x:c r="J40" s="31" t="n">
        <x:v>7.709572414299999</x:v>
      </x:c>
      <x:c r="K40" s="31" t="n">
        <x:v>0</x:v>
      </x:c>
      <x:c r="L40" s="31" t="n">
        <x:v>0.2076101733</x:v>
      </x:c>
      <x:c r="M40" s="31" t="n">
        <x:v>7.501962240999999</x:v>
      </x:c>
      <x:c r="N40" s="24" t="str">
        <x:v>epinephelus areolatus</x:v>
      </x:c>
      <x:c r="O40" s="32" t="n">
        <x:v>3.74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Epinephelus areolatus</x:v>
      </x:c>
      <x:c r="T40" s="32" t="n">
        <x:f>IF(O40="","",(1/'Metadata'!$B$5)^(O40-1))</x:f>
        <x:v>549.5408738576248</x:v>
      </x:c>
      <x:c r="U40" s="31" t="n">
        <x:f>IF(T40="","",I40*T40)</x:f>
        <x:v>4236.72516162306</x:v>
      </x:c>
    </x:row>
    <x:row r="41" ht="18" customHeight="1">
      <x:c r="A41" s="24" t="str">
        <x:v>EEZ_977</x:v>
      </x:c>
      <x:c r="B41" s="24" t="str">
        <x:v>Yemen (Socotra)</x:v>
      </x:c>
      <x:c r="C41" s="24" t="str">
        <x:v>EEZ</x:v>
      </x:c>
      <x:c r="D41" s="30" t="n">
        <x:v>2019</x:v>
      </x:c>
      <x:c r="E41" s="24" t="str">
        <x:v>Plectorhinchus</x:v>
      </x:c>
      <x:c r="F41" s="24" t="str">
        <x:v>Sweetlips</x:v>
      </x:c>
      <x:c r="G41" s="24" t="str">
        <x:v>Medium reef assoc. fish (30 - 89 cm)</x:v>
      </x:c>
      <x:c r="H41" s="24" t="str">
        <x:v>Perch-likes</x:v>
      </x:c>
      <x:c r="I41" s="31" t="n">
        <x:v>7.612118060799999</x:v>
      </x:c>
      <x:c r="J41" s="31" t="n">
        <x:v>7.612118060799999</x:v>
      </x:c>
      <x:c r="K41" s="31" t="n">
        <x:v>0</x:v>
      </x:c>
      <x:c r="L41" s="31" t="n">
        <x:v>0.2058281118</x:v>
      </x:c>
      <x:c r="M41" s="31" t="n">
        <x:v>7.406289949</x:v>
      </x:c>
      <x:c r="N41" s="24" t="str">
        <x:v>plectorhinchus</x:v>
      </x:c>
      <x:c r="O41" s="32" t="n">
        <x:v>3.43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Plectorhinchus</x:v>
      </x:c>
      <x:c r="T41" s="32" t="n">
        <x:f>IF(O41="","",(1/'Metadata'!$B$5)^(O41-1))</x:f>
        <x:v>269.1534803926917</x:v>
      </x:c>
      <x:c r="U41" s="31" t="n">
        <x:f>IF(T41="","",I41*T41)</x:f>
        <x:v>2048.828069224387</x:v>
      </x:c>
    </x:row>
    <x:row r="42" ht="18" customHeight="1">
      <x:c r="A42" s="24" t="str">
        <x:v>EEZ_977</x:v>
      </x:c>
      <x:c r="B42" s="24" t="str">
        <x:v>Yemen (Socotra)</x:v>
      </x:c>
      <x:c r="C42" s="24" t="str">
        <x:v>EEZ</x:v>
      </x:c>
      <x:c r="D42" s="30" t="n">
        <x:v>2019</x:v>
      </x:c>
      <x:c r="E42" s="24" t="str">
        <x:v>Plectorhinchus schotaf</x:v>
      </x:c>
      <x:c r="F42" s="24" t="str">
        <x:v>Minstrel sweetlips</x:v>
      </x:c>
      <x:c r="G42" s="24" t="str">
        <x:v>Medium reef assoc. fish (30 - 89 cm)</x:v>
      </x:c>
      <x:c r="H42" s="24" t="str">
        <x:v>Perch-likes</x:v>
      </x:c>
      <x:c r="I42" s="31" t="n">
        <x:v>7.612118060799999</x:v>
      </x:c>
      <x:c r="J42" s="31" t="n">
        <x:v>7.612118060799999</x:v>
      </x:c>
      <x:c r="K42" s="31" t="n">
        <x:v>0</x:v>
      </x:c>
      <x:c r="L42" s="31" t="n">
        <x:v>0.2058281118</x:v>
      </x:c>
      <x:c r="M42" s="31" t="n">
        <x:v>7.406289949</x:v>
      </x:c>
      <x:c r="N42" s="24" t="str">
        <x:v>plectorhinchus schotaf</x:v>
      </x:c>
      <x:c r="O42" s="32" t="n">
        <x:v>3.82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Plectorhinchus schotaf</x:v>
      </x:c>
      <x:c r="T42" s="32" t="n">
        <x:f>IF(O42="","",(1/'Metadata'!$B$5)^(O42-1))</x:f>
        <x:v>660.6934480075957</x:v>
      </x:c>
      <x:c r="U42" s="31" t="n">
        <x:f>IF(T42="","",I42*T42)</x:f>
        <x:v>5029.276528230845</x:v>
      </x:c>
    </x:row>
    <x:row r="43" ht="18" customHeight="1">
      <x:c r="A43" s="24" t="str">
        <x:v>EEZ_977</x:v>
      </x:c>
      <x:c r="B43" s="24" t="str">
        <x:v>Yemen (Socotra)</x:v>
      </x:c>
      <x:c r="C43" s="24" t="str">
        <x:v>EEZ</x:v>
      </x:c>
      <x:c r="D43" s="30" t="n">
        <x:v>2019</x:v>
      </x:c>
      <x:c r="E43" s="24" t="str">
        <x:v>Plectorhinchus pictus</x:v>
      </x:c>
      <x:c r="F43" s="24" t="str">
        <x:v>Trout sweetlips</x:v>
      </x:c>
      <x:c r="G43" s="24" t="str">
        <x:v>Medium reef assoc. fish (30 - 89 cm)</x:v>
      </x:c>
      <x:c r="H43" s="24" t="str">
        <x:v>Perch-likes</x:v>
      </x:c>
      <x:c r="I43" s="31" t="n">
        <x:v>7.612118060799999</x:v>
      </x:c>
      <x:c r="J43" s="31" t="n">
        <x:v>7.612118060799999</x:v>
      </x:c>
      <x:c r="K43" s="31" t="n">
        <x:v>0</x:v>
      </x:c>
      <x:c r="L43" s="31" t="n">
        <x:v>0.2058281118</x:v>
      </x:c>
      <x:c r="M43" s="31" t="n">
        <x:v>7.406289949</x:v>
      </x:c>
      <x:c r="N43" s="24" t="str">
        <x:v>plectorhinchus pictus</x:v>
      </x:c>
      <x:c r="O43" s="32" t="n">
        <x:v>3.85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Plectorhinchus pictus</x:v>
      </x:c>
      <x:c r="T43" s="32" t="n">
        <x:f>IF(O43="","",(1/'Metadata'!$B$5)^(O43-1))</x:f>
        <x:v>707.945784384138</x:v>
      </x:c>
      <x:c r="U43" s="31" t="n">
        <x:f>IF(T43="","",I43*T43)</x:f>
        <x:v>5388.96689137772</x:v>
      </x:c>
    </x:row>
    <x:row r="44" ht="18" customHeight="1">
      <x:c r="A44" s="24" t="str">
        <x:v>EEZ_977</x:v>
      </x:c>
      <x:c r="B44" s="24" t="str">
        <x:v>Yemen (Socotra)</x:v>
      </x:c>
      <x:c r="C44" s="24" t="str">
        <x:v>EEZ</x:v>
      </x:c>
      <x:c r="D44" s="30" t="n">
        <x:v>2019</x:v>
      </x:c>
      <x:c r="E44" s="24" t="str">
        <x:v>Diagramma pictum</x:v>
      </x:c>
      <x:c r="F44" s="24" t="str">
        <x:v>Painted sweetlips</x:v>
      </x:c>
      <x:c r="G44" s="24" t="str">
        <x:v>Large reef assoc. fish (&gt;=90 cm)</x:v>
      </x:c>
      <x:c r="H44" s="24" t="str">
        <x:v>Perch-likes</x:v>
      </x:c>
      <x:c r="I44" s="31" t="n">
        <x:v>7.612118060799999</x:v>
      </x:c>
      <x:c r="J44" s="31" t="n">
        <x:v>7.612118060799999</x:v>
      </x:c>
      <x:c r="K44" s="31" t="n">
        <x:v>0</x:v>
      </x:c>
      <x:c r="L44" s="31" t="n">
        <x:v>0.2058281118</x:v>
      </x:c>
      <x:c r="M44" s="31" t="n">
        <x:v>7.406289949</x:v>
      </x:c>
      <x:c r="N44" s="24" t="str">
        <x:v>diagramma pictum</x:v>
      </x:c>
      <x:c r="O44" s="32" t="n">
        <x:v>3.7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Diagramma pictum</x:v>
      </x:c>
      <x:c r="T44" s="32" t="n">
        <x:f>IF(O44="","",(1/'Metadata'!$B$5)^(O44-1))</x:f>
        <x:v>501.18723362727246</x:v>
      </x:c>
      <x:c r="U44" s="31" t="n">
        <x:f>IF(T44="","",I44*T44)</x:f>
        <x:v>3815.0963929365494</x:v>
      </x:c>
    </x:row>
    <x:row r="45" ht="18" customHeight="1">
      <x:c r="A45" s="24" t="str">
        <x:v>EEZ_977</x:v>
      </x:c>
      <x:c r="B45" s="24" t="str">
        <x:v>Yemen (Socotra)</x:v>
      </x:c>
      <x:c r="C45" s="24" t="str">
        <x:v>EEZ</x:v>
      </x:c>
      <x:c r="D45" s="30" t="n">
        <x:v>2019</x:v>
      </x:c>
      <x:c r="E45" s="24" t="str">
        <x:v>Thunnus albacares</x:v>
      </x:c>
      <x:c r="F45" s="24" t="str">
        <x:v>Yellowfin tuna</x:v>
      </x:c>
      <x:c r="G45" s="24" t="str">
        <x:v>Large pelagics (&gt;=90 cm)</x:v>
      </x:c>
      <x:c r="H45" s="24" t="str">
        <x:v>Tuna &amp; billfishes</x:v>
      </x:c>
      <x:c r="I45" s="31" t="n">
        <x:v>7.321301845500001</x:v>
      </x:c>
      <x:c r="J45" s="31" t="n">
        <x:v>7.321301845500001</x:v>
      </x:c>
      <x:c r="K45" s="31" t="n">
        <x:v>0</x:v>
      </x:c>
      <x:c r="L45" s="31" t="n">
        <x:v>0.12642213459999999</x:v>
      </x:c>
      <x:c r="M45" s="31" t="n">
        <x:v>7.1948797109000004</x:v>
      </x:c>
      <x:c r="N45" s="24" t="str">
        <x:v>thunnus albacares</x:v>
      </x:c>
      <x:c r="O45" s="32" t="n">
        <x:v>4.41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albacares</x:v>
      </x:c>
      <x:c r="T45" s="32" t="n">
        <x:f>IF(O45="","",(1/'Metadata'!$B$5)^(O45-1))</x:f>
        <x:v>2570.3957827688646</x:v>
      </x:c>
      <x:c r="U45" s="31" t="n">
        <x:f>IF(T45="","",I45*T45)</x:f>
        <x:v>18818.643388051107</x:v>
      </x:c>
    </x:row>
    <x:row r="46" ht="18" customHeight="1">
      <x:c r="A46" s="24" t="str">
        <x:v>EEZ_977</x:v>
      </x:c>
      <x:c r="B46" s="24" t="str">
        <x:v>Yemen (Socotra)</x:v>
      </x:c>
      <x:c r="C46" s="24" t="str">
        <x:v>EEZ</x:v>
      </x:c>
      <x:c r="D46" s="30" t="n">
        <x:v>2019</x:v>
      </x:c>
      <x:c r="E46" s="24" t="str">
        <x:v>Platycaranx chrysophrys</x:v>
      </x:c>
      <x:c r="F46" s="24" t="str">
        <x:v>Longnose trevally</x:v>
      </x:c>
      <x:c r="G46" s="24" t="str">
        <x:v>Small pelagics (&lt;30 cm)</x:v>
      </x:c>
      <x:c r="H46" s="24" t="str">
        <x:v>Perch-likes</x:v>
      </x:c>
      <x:c r="I46" s="31" t="n">
        <x:v>5.9782231574</x:v>
      </x:c>
      <x:c r="J46" s="31" t="n">
        <x:v>5.9782231574</x:v>
      </x:c>
      <x:c r="K46" s="31" t="n">
        <x:v>0</x:v>
      </x:c>
      <x:c r="L46" s="31" t="n">
        <x:v>0.1584986526</x:v>
      </x:c>
      <x:c r="M46" s="31" t="n">
        <x:v>5.8197245048</x:v>
      </x:c>
      <x:c r="N46" s="24" t="str">
        <x:v>platycaranx chrysophrys</x:v>
      </x:c>
      <x:c r="O46" s="32" t="n">
        <x:v>4.3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Platycaranx chrysophrys</x:v>
      </x:c>
      <x:c r="T46" s="32" t="n">
        <x:f>IF(O46="","",(1/'Metadata'!$B$5)^(O46-1))</x:f>
        <x:v>1995.2623149688789</x:v>
      </x:c>
      <x:c r="U46" s="31" t="n">
        <x:f>IF(T46="","",I46*T46)</x:f>
        <x:v>11928.123376434485</x:v>
      </x:c>
    </x:row>
    <x:row r="47" ht="18" customHeight="1">
      <x:c r="A47" s="24" t="str">
        <x:v>EEZ_977</x:v>
      </x:c>
      <x:c r="B47" s="24" t="str">
        <x:v>Yemen (Socotra)</x:v>
      </x:c>
      <x:c r="C47" s="24" t="str">
        <x:v>EEZ</x:v>
      </x:c>
      <x:c r="D47" s="30" t="n">
        <x:v>2019</x:v>
      </x:c>
      <x:c r="E47" s="24" t="str">
        <x:v>Carangoides</x:v>
      </x:c>
      <x:c r="F47" s="24" t="str">
        <x:v>Trevallies</x:v>
      </x:c>
      <x:c r="G47" s="24" t="str">
        <x:v>Medium reef assoc. fish (30 - 89 cm)</x:v>
      </x:c>
      <x:c r="H47" s="24" t="str">
        <x:v>Perch-likes</x:v>
      </x:c>
      <x:c r="I47" s="31" t="n">
        <x:v>5.9118649332</x:v>
      </x:c>
      <x:c r="J47" s="31" t="n">
        <x:v>5.9118649332</x:v>
      </x:c>
      <x:c r="K47" s="31" t="n">
        <x:v>0</x:v>
      </x:c>
      <x:c r="L47" s="31" t="n">
        <x:v>0.1584986526</x:v>
      </x:c>
      <x:c r="M47" s="31" t="n">
        <x:v>5.7533662806</x:v>
      </x:c>
      <x:c r="N47" s="24" t="str">
        <x:v>carangoides</x:v>
      </x:c>
      <x:c r="O47" s="32" t="n">
        <x:v>4.34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Carangoides</x:v>
      </x:c>
      <x:c r="T47" s="32" t="n">
        <x:f>IF(O47="","",(1/'Metadata'!$B$5)^(O47-1))</x:f>
        <x:v>2187.761623949552</x:v>
      </x:c>
      <x:c r="U47" s="31" t="n">
        <x:f>IF(T47="","",I47*T47)</x:f>
        <x:v>12933.751226828042</x:v>
      </x:c>
    </x:row>
    <x:row r="48" ht="18" customHeight="1">
      <x:c r="A48" s="24" t="str">
        <x:v>EEZ_977</x:v>
      </x:c>
      <x:c r="B48" s="24" t="str">
        <x:v>Yemen (Socotra)</x:v>
      </x:c>
      <x:c r="C48" s="24" t="str">
        <x:v>EEZ</x:v>
      </x:c>
      <x:c r="D48" s="30" t="n">
        <x:v>2019</x:v>
      </x:c>
      <x:c r="E48" s="24" t="str">
        <x:v>Gnathanodon speciosus</x:v>
      </x:c>
      <x:c r="F48" s="24" t="str">
        <x:v>Golden trevally</x:v>
      </x:c>
      <x:c r="G48" s="24" t="str">
        <x:v>Large reef assoc. fish (&gt;=90 cm)</x:v>
      </x:c>
      <x:c r="H48" s="24" t="str">
        <x:v>Perch-likes</x:v>
      </x:c>
      <x:c r="I48" s="31" t="n">
        <x:v>5.9118649332</x:v>
      </x:c>
      <x:c r="J48" s="31" t="n">
        <x:v>5.9118649332</x:v>
      </x:c>
      <x:c r="K48" s="31" t="n">
        <x:v>0</x:v>
      </x:c>
      <x:c r="L48" s="31" t="n">
        <x:v>0.1584986526</x:v>
      </x:c>
      <x:c r="M48" s="31" t="n">
        <x:v>5.7533662806</x:v>
      </x:c>
      <x:c r="N48" s="24" t="str">
        <x:v>gnathanodon speciosus</x:v>
      </x:c>
      <x:c r="O48" s="32" t="n">
        <x:v>3.84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Gnathanodon speciosus</x:v>
      </x:c>
      <x:c r="T48" s="32" t="n">
        <x:f>IF(O48="","",(1/'Metadata'!$B$5)^(O48-1))</x:f>
        <x:v>691.8309709189363</x:v>
      </x:c>
      <x:c r="U48" s="31" t="n">
        <x:f>IF(T48="","",I48*T48)</x:f>
        <x:v>4090.0112566773687</x:v>
      </x:c>
    </x:row>
    <x:row r="49" ht="18" customHeight="1">
      <x:c r="A49" s="24" t="str">
        <x:v>EEZ_977</x:v>
      </x:c>
      <x:c r="B49" s="24" t="str">
        <x:v>Yemen (Socotra)</x:v>
      </x:c>
      <x:c r="C49" s="24" t="str">
        <x:v>EEZ</x:v>
      </x:c>
      <x:c r="D49" s="30" t="n">
        <x:v>2019</x:v>
      </x:c>
      <x:c r="E49" s="24" t="str">
        <x:v>Seriola rivoliana</x:v>
      </x:c>
      <x:c r="F49" s="24" t="str">
        <x:v>Longfin yellowtail</x:v>
      </x:c>
      <x:c r="G49" s="24" t="str">
        <x:v>Large benthopelagics (&gt;=90 cm)</x:v>
      </x:c>
      <x:c r="H49" s="24" t="str">
        <x:v>Perch-likes</x:v>
      </x:c>
      <x:c r="I49" s="31" t="n">
        <x:v>5.9118649332</x:v>
      </x:c>
      <x:c r="J49" s="31" t="n">
        <x:v>5.9118649332</x:v>
      </x:c>
      <x:c r="K49" s="31" t="n">
        <x:v>0</x:v>
      </x:c>
      <x:c r="L49" s="31" t="n">
        <x:v>0.1584986526</x:v>
      </x:c>
      <x:c r="M49" s="31" t="n">
        <x:v>5.7533662806</x:v>
      </x:c>
      <x:c r="N49" s="24" t="str">
        <x:v>seriola rivoliana</x:v>
      </x:c>
      <x:c r="O49" s="32" t="n">
        <x:v>4.45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Seriola rivoliana</x:v>
      </x:c>
      <x:c r="T49" s="32" t="n">
        <x:f>IF(O49="","",(1/'Metadata'!$B$5)^(O49-1))</x:f>
        <x:v>2818.382931264455</x:v>
      </x:c>
      <x:c r="U49" s="31" t="n">
        <x:f>IF(T49="","",I49*T49)</x:f>
        <x:v>16661.89921967176</x:v>
      </x:c>
    </x:row>
    <x:row r="50" ht="18" customHeight="1">
      <x:c r="A50" s="24" t="str">
        <x:v>EEZ_977</x:v>
      </x:c>
      <x:c r="B50" s="24" t="str">
        <x:v>Yemen (Socotra)</x:v>
      </x:c>
      <x:c r="C50" s="24" t="str">
        <x:v>EEZ</x:v>
      </x:c>
      <x:c r="D50" s="30" t="n">
        <x:v>2019</x:v>
      </x:c>
      <x:c r="E50" s="24" t="str">
        <x:v>Caranx sexfasciatus</x:v>
      </x:c>
      <x:c r="F50" s="24" t="str">
        <x:v>Bigeye trevally</x:v>
      </x:c>
      <x:c r="G50" s="24" t="str">
        <x:v>Large reef assoc. fish (&gt;=90 cm)</x:v>
      </x:c>
      <x:c r="H50" s="24" t="str">
        <x:v>Perch-likes</x:v>
      </x:c>
      <x:c r="I50" s="31" t="n">
        <x:v>5.9118649332</x:v>
      </x:c>
      <x:c r="J50" s="31" t="n">
        <x:v>5.9118649332</x:v>
      </x:c>
      <x:c r="K50" s="31" t="n">
        <x:v>0</x:v>
      </x:c>
      <x:c r="L50" s="31" t="n">
        <x:v>0.1584986526</x:v>
      </x:c>
      <x:c r="M50" s="31" t="n">
        <x:v>5.7533662806</x:v>
      </x:c>
      <x:c r="N50" s="24" t="str">
        <x:v>caranx sexfasciatus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Caranx sexfasciatus</x:v>
      </x:c>
      <x:c r="T50" s="32" t="n">
        <x:f>IF(O50="","",(1/'Metadata'!$B$5)^(O50-1))</x:f>
        <x:v>3162.2776601683795</x:v>
      </x:c>
      <x:c r="U50" s="31" t="n">
        <x:f>IF(T50="","",I50*T50)</x:f>
        <x:v>18694.95840819119</x:v>
      </x:c>
    </x:row>
    <x:row r="51" ht="18" customHeight="1">
      <x:c r="A51" s="24" t="str">
        <x:v>EEZ_977</x:v>
      </x:c>
      <x:c r="B51" s="24" t="str">
        <x:v>Yemen (Socotra)</x:v>
      </x:c>
      <x:c r="C51" s="24" t="str">
        <x:v>EEZ</x:v>
      </x:c>
      <x:c r="D51" s="30" t="n">
        <x:v>2019</x:v>
      </x:c>
      <x:c r="E51" s="24" t="str">
        <x:v>Panulirus homarus</x:v>
      </x:c>
      <x:c r="F51" s="24" t="str">
        <x:v>Scalloped spiny lobster</x:v>
      </x:c>
      <x:c r="G51" s="24" t="str">
        <x:v>Lobsters, crabs</x:v>
      </x:c>
      <x:c r="H51" s="24" t="str">
        <x:v>Crustaceans</x:v>
      </x:c>
      <x:c r="I51" s="31" t="n">
        <x:v>5.7448138839</x:v>
      </x:c>
      <x:c r="J51" s="31" t="n">
        <x:v>5.7448138839</x:v>
      </x:c>
      <x:c r="K51" s="31" t="n">
        <x:v>0</x:v>
      </x:c>
      <x:c r="L51" s="31" t="n">
        <x:v>0.16212044139999998</x:v>
      </x:c>
      <x:c r="M51" s="31" t="n">
        <x:v>5.5826934425</x:v>
      </x:c>
      <x:c r="N51" s="24" t="str">
        <x:v>panulirus homarus</x:v>
      </x:c>
      <x:c r="O51" s="32" t="n">
        <x:v>3.33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Panulirus homarus</x:v>
      </x:c>
      <x:c r="T51" s="32" t="n">
        <x:f>IF(O51="","",(1/'Metadata'!$B$5)^(O51-1))</x:f>
        <x:v>213.79620895022325</x:v>
      </x:c>
      <x:c r="U51" s="31" t="n">
        <x:f>IF(T51="","",I51*T51)</x:f>
        <x:v>1228.219429502428</x:v>
      </x:c>
    </x:row>
    <x:row r="52" ht="18" customHeight="1">
      <x:c r="A52" s="24" t="str">
        <x:v>EEZ_977</x:v>
      </x:c>
      <x:c r="B52" s="24" t="str">
        <x:v>Yemen (Socotra)</x:v>
      </x:c>
      <x:c r="C52" s="24" t="str">
        <x:v>EEZ</x:v>
      </x:c>
      <x:c r="D52" s="30" t="n">
        <x:v>2019</x:v>
      </x:c>
      <x:c r="E52" s="24" t="str">
        <x:v>Xiphias gladius</x:v>
      </x:c>
      <x:c r="F52" s="24" t="str">
        <x:v>Swordfish</x:v>
      </x:c>
      <x:c r="G52" s="24" t="str">
        <x:v>Large pelagics (&gt;=90 cm)</x:v>
      </x:c>
      <x:c r="H52" s="24" t="str">
        <x:v>Tuna &amp; billfishes</x:v>
      </x:c>
      <x:c r="I52" s="31" t="n">
        <x:v>5.474396951799999</x:v>
      </x:c>
      <x:c r="J52" s="31" t="n">
        <x:v>5.474396951799999</x:v>
      </x:c>
      <x:c r="K52" s="31" t="n">
        <x:v>0</x:v>
      </x:c>
      <x:c r="L52" s="31" t="n">
        <x:v>0.1474924904</x:v>
      </x:c>
      <x:c r="M52" s="31" t="n">
        <x:v>5.3269044614</x:v>
      </x:c>
      <x:c r="N52" s="24" t="str">
        <x:v>xiphias gladius</x:v>
      </x:c>
      <x:c r="O52" s="32" t="n">
        <x:v>4.53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Xiphias gladius</x:v>
      </x:c>
      <x:c r="T52" s="32" t="n">
        <x:f>IF(O52="","",(1/'Metadata'!$B$5)^(O52-1))</x:f>
        <x:v>3388.4415613920273</x:v>
      </x:c>
      <x:c r="U52" s="31" t="n">
        <x:f>IF(T52="","",I52*T52)</x:f>
        <x:v>18549.674155036944</x:v>
      </x:c>
    </x:row>
    <x:row r="53" ht="18" customHeight="1">
      <x:c r="A53" s="24" t="str">
        <x:v>EEZ_977</x:v>
      </x:c>
      <x:c r="B53" s="24" t="str">
        <x:v>Yemen (Socotra)</x:v>
      </x:c>
      <x:c r="C53" s="24" t="str">
        <x:v>EEZ</x:v>
      </x:c>
      <x:c r="D53" s="30" t="n">
        <x:v>2019</x:v>
      </x:c>
      <x:c r="E53" s="24" t="str">
        <x:v>Elagatis bipinnulata</x:v>
      </x:c>
      <x:c r="F53" s="24" t="str">
        <x:v>Rainbow runner</x:v>
      </x:c>
      <x:c r="G53" s="24" t="str">
        <x:v>Large pelagics (&gt;=90 cm)</x:v>
      </x:c>
      <x:c r="H53" s="24" t="str">
        <x:v>Perch-likes</x:v>
      </x:c>
      <x:c r="I53" s="31" t="n">
        <x:v>3.9412432888</x:v>
      </x:c>
      <x:c r="J53" s="31" t="n">
        <x:v>3.9412432888</x:v>
      </x:c>
      <x:c r="K53" s="31" t="n">
        <x:v>0</x:v>
      </x:c>
      <x:c r="L53" s="31" t="n">
        <x:v>0.1056657684</x:v>
      </x:c>
      <x:c r="M53" s="31" t="n">
        <x:v>3.8355775204</x:v>
      </x:c>
      <x:c r="N53" s="24" t="str">
        <x:v>elagatis bipinnulata</x:v>
      </x:c>
      <x:c r="O53" s="32" t="n">
        <x:v>4.27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Elagatis bipinnulata</x:v>
      </x:c>
      <x:c r="T53" s="32" t="n">
        <x:f>IF(O53="","",(1/'Metadata'!$B$5)^(O53-1))</x:f>
        <x:v>1862.0871366628655</x:v>
      </x:c>
      <x:c r="U53" s="31" t="n">
        <x:f>IF(T53="","",I53*T53)</x:f>
        <x:v>7338.938430533327</x:v>
      </x:c>
    </x:row>
    <x:row r="54" ht="18" customHeight="1">
      <x:c r="A54" s="24" t="str">
        <x:v>EEZ_977</x:v>
      </x:c>
      <x:c r="B54" s="24" t="str">
        <x:v>Yemen (Socotra)</x:v>
      </x:c>
      <x:c r="C54" s="24" t="str">
        <x:v>EEZ</x:v>
      </x:c>
      <x:c r="D54" s="30" t="n">
        <x:v>2019</x:v>
      </x:c>
      <x:c r="E54" s="24" t="str">
        <x:v>Katsuwonus pelamis</x:v>
      </x:c>
      <x:c r="F54" s="24" t="str">
        <x:v>Skipjack tuna</x:v>
      </x:c>
      <x:c r="G54" s="24" t="str">
        <x:v>Large pelagics (&gt;=90 cm)</x:v>
      </x:c>
      <x:c r="H54" s="24" t="str">
        <x:v>Tuna &amp; billfishes</x:v>
      </x:c>
      <x:c r="I54" s="31" t="n">
        <x:v>3.9102835375000002</x:v>
      </x:c>
      <x:c r="J54" s="31" t="n">
        <x:v>3.9102835375000002</x:v>
      </x:c>
      <x:c r="K54" s="31" t="n">
        <x:v>0</x:v>
      </x:c>
      <x:c r="L54" s="31" t="n">
        <x:v>0.1053517788</x:v>
      </x:c>
      <x:c r="M54" s="31" t="n">
        <x:v>3.8049317587</x:v>
      </x:c>
      <x:c r="N54" s="24" t="str">
        <x:v>katsuwonus pelamis</x:v>
      </x:c>
      <x:c r="O54" s="32" t="n">
        <x:v>4.43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Katsuwonus pelamis</x:v>
      </x:c>
      <x:c r="T54" s="32" t="n">
        <x:f>IF(O54="","",(1/'Metadata'!$B$5)^(O54-1))</x:f>
        <x:v>2691.534803926914</x:v>
      </x:c>
      <x:c r="U54" s="31" t="n">
        <x:f>IF(T54="","",I54*T54)</x:f>
        <x:v>10524.664234403703</x:v>
      </x:c>
    </x:row>
    <x:row r="55" ht="18" customHeight="1">
      <x:c r="A55" s="24" t="str">
        <x:v>EEZ_977</x:v>
      </x:c>
      <x:c r="B55" s="24" t="str">
        <x:v>Yemen (Socotra)</x:v>
      </x:c>
      <x:c r="C55" s="24" t="str">
        <x:v>EEZ</x:v>
      </x:c>
      <x:c r="D55" s="30" t="n">
        <x:v>2019</x:v>
      </x:c>
      <x:c r="E55" s="24" t="str">
        <x:v>Sepia pharaonis</x:v>
      </x:c>
      <x:c r="F55" s="24" t="str">
        <x:v>Pharaoh cuttlefish</x:v>
      </x:c>
      <x:c r="G55" s="24" t="str">
        <x:v>Cephalopods</x:v>
      </x:c>
      <x:c r="H55" s="24" t="str">
        <x:v>Other fishes &amp; inverts</x:v>
      </x:c>
      <x:c r="I55" s="31" t="n">
        <x:v>3.3440687152999997</x:v>
      </x:c>
      <x:c r="J55" s="31" t="n">
        <x:v>3.3440687152999997</x:v>
      </x:c>
      <x:c r="K55" s="31" t="n">
        <x:v>0</x:v>
      </x:c>
      <x:c r="L55" s="31" t="n">
        <x:v>0.0900669119</x:v>
      </x:c>
      <x:c r="M55" s="31" t="n">
        <x:v>3.2540018033999996</x:v>
      </x:c>
      <x:c r="N55" s="24" t="str">
        <x:v>sepia pharaonis</x:v>
      </x:c>
      <x:c r="O55" s="32" t="n">
        <x:v>3.8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Sepia pharaonis</x:v>
      </x:c>
      <x:c r="T55" s="32" t="n">
        <x:f>IF(O55="","",(1/'Metadata'!$B$5)^(O55-1))</x:f>
        <x:v>630.957344480193</x:v>
      </x:c>
      <x:c r="U55" s="31" t="n">
        <x:f>IF(T55="","",I55*T55)</x:f>
        <x:v>2109.9647163649784</x:v>
      </x:c>
    </x:row>
    <x:row r="56" ht="18" customHeight="1">
      <x:c r="A56" s="24" t="str">
        <x:v>EEZ_977</x:v>
      </x:c>
      <x:c r="B56" s="24" t="str">
        <x:v>Yemen (Socotra)</x:v>
      </x:c>
      <x:c r="C56" s="24" t="str">
        <x:v>EEZ</x:v>
      </x:c>
      <x:c r="D56" s="30" t="n">
        <x:v>2019</x:v>
      </x:c>
      <x:c r="E56" s="24" t="str">
        <x:v>Sardinella longiceps</x:v>
      </x:c>
      <x:c r="F56" s="24" t="str">
        <x:v>Indian oil sardine</x:v>
      </x:c>
      <x:c r="G56" s="24" t="str">
        <x:v>Small pelagics (&lt;30 cm)</x:v>
      </x:c>
      <x:c r="H56" s="24" t="str">
        <x:v>Herring-likes</x:v>
      </x:c>
      <x:c r="I56" s="31" t="n">
        <x:v>3.3440687152999997</x:v>
      </x:c>
      <x:c r="J56" s="31" t="n">
        <x:v>3.3440687152999997</x:v>
      </x:c>
      <x:c r="K56" s="31" t="n">
        <x:v>0</x:v>
      </x:c>
      <x:c r="L56" s="31" t="n">
        <x:v>0.0900669119</x:v>
      </x:c>
      <x:c r="M56" s="31" t="n">
        <x:v>3.2540018033999996</x:v>
      </x:c>
      <x:c r="N56" s="24" t="str">
        <x:v>sardinella longiceps</x:v>
      </x:c>
      <x:c r="O56" s="32" t="n">
        <x:v>2.41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Sardinella longiceps</x:v>
      </x:c>
      <x:c r="T56" s="32" t="n">
        <x:f>IF(O56="","",(1/'Metadata'!$B$5)^(O56-1))</x:f>
        <x:v>25.703957827688647</x:v>
      </x:c>
      <x:c r="U56" s="31" t="n">
        <x:f>IF(T56="","",I56*T56)</x:f>
        <x:v>85.95580123096414</x:v>
      </x:c>
    </x:row>
    <x:row r="57" ht="18" customHeight="1">
      <x:c r="A57" s="24" t="str">
        <x:v>EEZ_977</x:v>
      </x:c>
      <x:c r="B57" s="24" t="str">
        <x:v>Yemen (Socotra)</x:v>
      </x:c>
      <x:c r="C57" s="24" t="str">
        <x:v>EEZ</x:v>
      </x:c>
      <x:c r="D57" s="30" t="n">
        <x:v>2019</x:v>
      </x:c>
      <x:c r="E57" s="24" t="str">
        <x:v>Holothuriidae</x:v>
      </x:c>
      <x:c r="F57" s="24" t="str">
        <x:v>Fleshy sea cucumbers</x:v>
      </x:c>
      <x:c r="G57" s="24" t="str">
        <x:v>Other demersal invertebrates</x:v>
      </x:c>
      <x:c r="H57" s="24" t="str">
        <x:v>Other fishes &amp; inverts</x:v>
      </x:c>
      <x:c r="I57" s="31" t="n">
        <x:v>0.8872469957</x:v>
      </x:c>
      <x:c r="J57" s="31" t="n">
        <x:v>0.8872469957</x:v>
      </x:c>
      <x:c r="K57" s="31" t="n">
        <x:v>0</x:v>
      </x:c>
      <x:c r="L57" s="31" t="n">
        <x:v>0.026294859</x:v>
      </x:c>
      <x:c r="M57" s="31" t="n">
        <x:v>0.8609521367</x:v>
      </x:c>
      <x:c r="N57" s="24" t="str">
        <x:v>holothuriidae</x:v>
      </x:c>
      <x:c r="O57" s="32" t="n">
        <x:v>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Holothuriidae</x:v>
      </x:c>
      <x:c r="T57" s="32" t="n">
        <x:f>IF(O57="","",(1/'Metadata'!$B$5)^(O57-1))</x:f>
        <x:v>10</x:v>
      </x:c>
      <x:c r="U57" s="31" t="n">
        <x:f>IF(T57="","",I57*T57)</x:f>
        <x:v>8.872469957</x:v>
      </x:c>
    </x:row>
    <x:row r="58" ht="18" customHeight="1">
      <x:c r="A58" s="24" t="str">
        <x:v>EEZ_977</x:v>
      </x:c>
      <x:c r="B58" s="24" t="str">
        <x:v>Yemen (Socotra)</x:v>
      </x:c>
      <x:c r="C58" s="24" t="str">
        <x:v>EEZ</x:v>
      </x:c>
      <x:c r="D58" s="30" t="n">
        <x:v>2019</x:v>
      </x:c>
      <x:c r="E58" s="24" t="str">
        <x:v>Aprion virescens</x:v>
      </x:c>
      <x:c r="F58" s="24" t="str">
        <x:v>Green jobfish</x:v>
      </x:c>
      <x:c r="G58" s="24" t="str">
        <x:v>Large reef assoc. fish (&gt;=90 cm)</x:v>
      </x:c>
      <x:c r="H58" s="24" t="str">
        <x:v>Perch-likes</x:v>
      </x:c>
      <x:c r="I58" s="31" t="n">
        <x:v>0.7775078121</x:v>
      </x:c>
      <x:c r="J58" s="31" t="n">
        <x:v>0.7775078121</x:v>
      </x:c>
      <x:c r="K58" s="31" t="n">
        <x:v>0</x:v>
      </x:c>
      <x:c r="L58" s="31" t="n">
        <x:v>0</x:v>
      </x:c>
      <x:c r="M58" s="31" t="n">
        <x:v>0.7775078121</x:v>
      </x:c>
      <x:c r="N58" s="24" t="str">
        <x:v>aprion virescens</x:v>
      </x:c>
      <x:c r="O58" s="32" t="n">
        <x:v>4.28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Aprion virescens</x:v>
      </x:c>
      <x:c r="T58" s="32" t="n">
        <x:f>IF(O58="","",(1/'Metadata'!$B$5)^(O58-1))</x:f>
        <x:v>1905.4607179632483</x:v>
      </x:c>
      <x:c r="U58" s="31" t="n">
        <x:f>IF(T58="","",I58*T58)</x:f>
        <x:v>1481.5105938661002</x:v>
      </x:c>
    </x:row>
    <x:row r="59" ht="18" customHeight="1">
      <x:c r="A59" s="24" t="str">
        <x:v>EEZ_977</x:v>
      </x:c>
      <x:c r="B59" s="24" t="str">
        <x:v>Yemen (Socotra)</x:v>
      </x:c>
      <x:c r="C59" s="24" t="str">
        <x:v>EEZ</x:v>
      </x:c>
      <x:c r="D59" s="30" t="n">
        <x:v>2019</x:v>
      </x:c>
      <x:c r="E59" s="24" t="str">
        <x:v>Aphareus rutilans</x:v>
      </x:c>
      <x:c r="F59" s="24" t="str">
        <x:v>Rusty jobfish</x:v>
      </x:c>
      <x:c r="G59" s="24" t="str">
        <x:v>Medium reef assoc. fish (30 - 89 cm)</x:v>
      </x:c>
      <x:c r="H59" s="24" t="str">
        <x:v>Perch-likes</x:v>
      </x:c>
      <x:c r="I59" s="31" t="n">
        <x:v>0.6257548657</x:v>
      </x:c>
      <x:c r="J59" s="31" t="n">
        <x:v>0.6257548657</x:v>
      </x:c>
      <x:c r="K59" s="31" t="n">
        <x:v>0</x:v>
      </x:c>
      <x:c r="L59" s="31" t="n">
        <x:v>0</x:v>
      </x:c>
      <x:c r="M59" s="31" t="n">
        <x:v>0.6257548657</x:v>
      </x:c>
      <x:c r="N59" s="24" t="str">
        <x:v>aphareus rutilans</x:v>
      </x:c>
      <x:c r="O59" s="32" t="n">
        <x:v>4.11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Aphareus rutilans</x:v>
      </x:c>
      <x:c r="T59" s="32" t="n">
        <x:f>IF(O59="","",(1/'Metadata'!$B$5)^(O59-1))</x:f>
        <x:v>1288.249551693135</x:v>
      </x:c>
      <x:c r="U59" s="31" t="n">
        <x:f>IF(T59="","",I59*T59)</x:f>
        <x:v>806.1284252078229</x:v>
      </x:c>
    </x:row>
    <x:row r="60" ht="18" customHeight="1">
      <x:c r="A60" s="24" t="str">
        <x:v>EEZ_977</x:v>
      </x:c>
      <x:c r="B60" s="24" t="str">
        <x:v>Yemen (Socotra)</x:v>
      </x:c>
      <x:c r="C60" s="24" t="str">
        <x:v>EEZ</x:v>
      </x:c>
      <x:c r="D60" s="30" t="n">
        <x:v>2019</x:v>
      </x:c>
      <x:c r="E60" s="24" t="str">
        <x:v>Istiophorus platypterus</x:v>
      </x:c>
      <x:c r="F60" s="24" t="str">
        <x:v>Indo-Pacific sailfish</x:v>
      </x:c>
      <x:c r="G60" s="24" t="str">
        <x:v>Large pelagics (&gt;=90 cm)</x:v>
      </x:c>
      <x:c r="H60" s="24" t="str">
        <x:v>Tuna &amp; billfishes</x:v>
      </x:c>
      <x:c r="I60" s="31" t="n">
        <x:v>0.5952762561</x:v>
      </x:c>
      <x:c r="J60" s="31" t="n">
        <x:v>0.5952762561</x:v>
      </x:c>
      <x:c r="K60" s="31" t="n">
        <x:v>0</x:v>
      </x:c>
      <x:c r="L60" s="31" t="n">
        <x:v>0</x:v>
      </x:c>
      <x:c r="M60" s="31" t="n">
        <x:v>0.5952762561</x:v>
      </x:c>
      <x:c r="N60" s="24" t="str">
        <x:v>istiophorus platypterus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Istiophorus platypterus</x:v>
      </x:c>
      <x:c r="T60" s="32" t="n">
        <x:f>IF(O60="","",(1/'Metadata'!$B$5)^(O60-1))</x:f>
        <x:v>3162.2776601683795</x:v>
      </x:c>
      <x:c r="U60" s="31" t="n">
        <x:f>IF(T60="","",I60*T60)</x:f>
        <x:v>1882.428806293701</x:v>
      </x:c>
    </x:row>
    <x:row r="61" ht="18" customHeight="1">
      <x:c r="A61" s="24" t="str">
        <x:v>EEZ_977</x:v>
      </x:c>
      <x:c r="B61" s="24" t="str">
        <x:v>Yemen (Socotra)</x:v>
      </x:c>
      <x:c r="C61" s="24" t="str">
        <x:v>EEZ</x:v>
      </x:c>
      <x:c r="D61" s="30" t="n">
        <x:v>2019</x:v>
      </x:c>
      <x:c r="E61" s="24" t="str">
        <x:v>Holothuria atra</x:v>
      </x:c>
      <x:c r="F61" s="24" t="str">
        <x:v>Lollyfish</x:v>
      </x:c>
      <x:c r="G61" s="24" t="str">
        <x:v>Other demersal invertebrates</x:v>
      </x:c>
      <x:c r="H61" s="24" t="str">
        <x:v>Other fishes &amp; inverts</x:v>
      </x:c>
      <x:c r="I61" s="31" t="n">
        <x:v>0.4436234977</x:v>
      </x:c>
      <x:c r="J61" s="31" t="n">
        <x:v>0.4436234977</x:v>
      </x:c>
      <x:c r="K61" s="31" t="n">
        <x:v>0</x:v>
      </x:c>
      <x:c r="L61" s="31" t="n">
        <x:v>0.0131474295</x:v>
      </x:c>
      <x:c r="M61" s="31" t="n">
        <x:v>0.4304760682</x:v>
      </x:c>
      <x:c r="N61" s="24" t="str">
        <x:v>holothuria atra</x:v>
      </x:c>
      <x:c r="O61" s="32" t="n">
        <x:v>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Holothuria atra</x:v>
      </x:c>
      <x:c r="T61" s="32" t="n">
        <x:f>IF(O61="","",(1/'Metadata'!$B$5)^(O61-1))</x:f>
        <x:v>10</x:v>
      </x:c>
      <x:c r="U61" s="31" t="n">
        <x:f>IF(T61="","",I61*T61)</x:f>
        <x:v>4.436234977</x:v>
      </x:c>
    </x:row>
    <x:row r="62" ht="18" customHeight="1">
      <x:c r="A62" s="24" t="str">
        <x:v>EEZ_977</x:v>
      </x:c>
      <x:c r="B62" s="24" t="str">
        <x:v>Yemen (Socotra)</x:v>
      </x:c>
      <x:c r="C62" s="24" t="str">
        <x:v>EEZ</x:v>
      </x:c>
      <x:c r="D62" s="30" t="n">
        <x:v>2019</x:v>
      </x:c>
      <x:c r="E62" s="24" t="str">
        <x:v>Holothuria leucospilota</x:v>
      </x:c>
      <x:c r="F62" s="24" t="str">
        <x:v>White threads fish</x:v>
      </x:c>
      <x:c r="G62" s="24" t="str">
        <x:v>Other demersal invertebrates</x:v>
      </x:c>
      <x:c r="H62" s="24" t="str">
        <x:v>Other fishes &amp; inverts</x:v>
      </x:c>
      <x:c r="I62" s="31" t="n">
        <x:v>0.4436234977</x:v>
      </x:c>
      <x:c r="J62" s="31" t="n">
        <x:v>0.4436234977</x:v>
      </x:c>
      <x:c r="K62" s="31" t="n">
        <x:v>0</x:v>
      </x:c>
      <x:c r="L62" s="31" t="n">
        <x:v>0.0131474295</x:v>
      </x:c>
      <x:c r="M62" s="31" t="n">
        <x:v>0.4304760682</x:v>
      </x:c>
      <x:c r="N62" s="24" t="str">
        <x:v>holothuria leucospilota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Holothuria leucospilota</x:v>
      </x:c>
      <x:c r="T62" s="32" t="n">
        <x:f>IF(O62="","",(1/'Metadata'!$B$5)^(O62-1))</x:f>
        <x:v>10</x:v>
      </x:c>
      <x:c r="U62" s="31" t="n">
        <x:f>IF(T62="","",I62*T62)</x:f>
        <x:v>4.436234977</x:v>
      </x:c>
    </x:row>
    <x:row r="63" ht="18" customHeight="1">
      <x:c r="A63" s="24" t="str">
        <x:v>EEZ_977</x:v>
      </x:c>
      <x:c r="B63" s="24" t="str">
        <x:v>Yemen (Socotra)</x:v>
      </x:c>
      <x:c r="C63" s="24" t="str">
        <x:v>EEZ</x:v>
      </x:c>
      <x:c r="D63" s="30" t="n">
        <x:v>2019</x:v>
      </x:c>
      <x:c r="E63" s="24" t="str">
        <x:v>Holothuria fuscogilva</x:v>
      </x:c>
      <x:c r="F63" s="24" t="str">
        <x:v>White teatfish</x:v>
      </x:c>
      <x:c r="G63" s="24" t="str">
        <x:v>Other demersal invertebrates</x:v>
      </x:c>
      <x:c r="H63" s="24" t="str">
        <x:v>Other fishes &amp; inverts</x:v>
      </x:c>
      <x:c r="I63" s="31" t="n">
        <x:v>0.4436234977</x:v>
      </x:c>
      <x:c r="J63" s="31" t="n">
        <x:v>0.4436234977</x:v>
      </x:c>
      <x:c r="K63" s="31" t="n">
        <x:v>0</x:v>
      </x:c>
      <x:c r="L63" s="31" t="n">
        <x:v>0.0131474295</x:v>
      </x:c>
      <x:c r="M63" s="31" t="n">
        <x:v>0.4304760682</x:v>
      </x:c>
      <x:c r="N63" s="24" t="str">
        <x:v>holothuria fuscogilva</x:v>
      </x:c>
      <x:c r="O63" s="32" t="n">
        <x:v>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Holothuria fuscogilva</x:v>
      </x:c>
      <x:c r="T63" s="32" t="n">
        <x:f>IF(O63="","",(1/'Metadata'!$B$5)^(O63-1))</x:f>
        <x:v>10</x:v>
      </x:c>
      <x:c r="U63" s="31" t="n">
        <x:f>IF(T63="","",I63*T63)</x:f>
        <x:v>4.436234977</x:v>
      </x:c>
    </x:row>
    <x:row r="64" ht="18" customHeight="1">
      <x:c r="A64" s="24" t="str">
        <x:v>EEZ_977</x:v>
      </x:c>
      <x:c r="B64" s="24" t="str">
        <x:v>Yemen (Socotra)</x:v>
      </x:c>
      <x:c r="C64" s="24" t="str">
        <x:v>EEZ</x:v>
      </x:c>
      <x:c r="D64" s="30" t="n">
        <x:v>2019</x:v>
      </x:c>
      <x:c r="E64" s="24" t="str">
        <x:v>Holothuria edulis</x:v>
      </x:c>
      <x:c r="F64" s="24" t="str">
        <x:v>Pinkfish</x:v>
      </x:c>
      <x:c r="G64" s="24" t="str">
        <x:v>Other demersal invertebrates</x:v>
      </x:c>
      <x:c r="H64" s="24" t="str">
        <x:v>Other fishes &amp; inverts</x:v>
      </x:c>
      <x:c r="I64" s="31" t="n">
        <x:v>0.4436234977</x:v>
      </x:c>
      <x:c r="J64" s="31" t="n">
        <x:v>0.4436234977</x:v>
      </x:c>
      <x:c r="K64" s="31" t="n">
        <x:v>0</x:v>
      </x:c>
      <x:c r="L64" s="31" t="n">
        <x:v>0.0131474295</x:v>
      </x:c>
      <x:c r="M64" s="31" t="n">
        <x:v>0.4304760682</x:v>
      </x:c>
      <x:c r="N64" s="24" t="str">
        <x:v>holothuria edulis</x:v>
      </x:c>
      <x:c r="O64" s="32" t="n">
        <x:v>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Holothuria edulis</x:v>
      </x:c>
      <x:c r="T64" s="32" t="n">
        <x:f>IF(O64="","",(1/'Metadata'!$B$5)^(O64-1))</x:f>
        <x:v>10</x:v>
      </x:c>
      <x:c r="U64" s="31" t="n">
        <x:f>IF(T64="","",I64*T64)</x:f>
        <x:v>4.436234977</x:v>
      </x:c>
    </x:row>
    <x:row r="65" ht="18" customHeight="1">
      <x:c r="A65" s="24" t="str">
        <x:v>EEZ_977</x:v>
      </x:c>
      <x:c r="B65" s="24" t="str">
        <x:v>Yemen (Socotra)</x:v>
      </x:c>
      <x:c r="C65" s="24" t="str">
        <x:v>EEZ</x:v>
      </x:c>
      <x:c r="D65" s="30" t="n">
        <x:v>2019</x:v>
      </x:c>
      <x:c r="E65" s="24" t="str">
        <x:v>Holothuria fuscopunctata</x:v>
      </x:c>
      <x:c r="F65" s="24" t="str">
        <x:v>Elephant trunkfish</x:v>
      </x:c>
      <x:c r="G65" s="24" t="str">
        <x:v>Other demersal invertebrates</x:v>
      </x:c>
      <x:c r="H65" s="24" t="str">
        <x:v>Other fishes &amp; inverts</x:v>
      </x:c>
      <x:c r="I65" s="31" t="n">
        <x:v>0.4436234977</x:v>
      </x:c>
      <x:c r="J65" s="31" t="n">
        <x:v>0.4436234977</x:v>
      </x:c>
      <x:c r="K65" s="31" t="n">
        <x:v>0</x:v>
      </x:c>
      <x:c r="L65" s="31" t="n">
        <x:v>0.0131474295</x:v>
      </x:c>
      <x:c r="M65" s="31" t="n">
        <x:v>0.4304760682</x:v>
      </x:c>
      <x:c r="N65" s="24" t="str">
        <x:v>holothuria fuscopunctata</x:v>
      </x:c>
      <x:c r="O65" s="32" t="n">
        <x:v>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Holothuria fuscopunctata</x:v>
      </x:c>
      <x:c r="T65" s="32" t="n">
        <x:f>IF(O65="","",(1/'Metadata'!$B$5)^(O65-1))</x:f>
        <x:v>10</x:v>
      </x:c>
      <x:c r="U65" s="31" t="n">
        <x:f>IF(T65="","",I65*T65)</x:f>
        <x:v>4.436234977</x:v>
      </x:c>
    </x:row>
    <x:row r="66" ht="18" customHeight="1">
      <x:c r="A66" s="24" t="str">
        <x:v>EEZ_977</x:v>
      </x:c>
      <x:c r="B66" s="24" t="str">
        <x:v>Yemen (Socotra)</x:v>
      </x:c>
      <x:c r="C66" s="24" t="str">
        <x:v>EEZ</x:v>
      </x:c>
      <x:c r="D66" s="30" t="n">
        <x:v>2019</x:v>
      </x:c>
      <x:c r="E66" s="24" t="str">
        <x:v>Panulirus versicolor</x:v>
      </x:c>
      <x:c r="F66" s="24" t="str">
        <x:v>Painted spiny lobster</x:v>
      </x:c>
      <x:c r="G66" s="24" t="str">
        <x:v>Lobsters, crabs</x:v>
      </x:c>
      <x:c r="H66" s="24" t="str">
        <x:v>Crustaceans</x:v>
      </x:c>
      <x:c r="I66" s="31" t="n">
        <x:v>0.31915632709999997</x:v>
      </x:c>
      <x:c r="J66" s="31" t="n">
        <x:v>0.31915632709999997</x:v>
      </x:c>
      <x:c r="K66" s="31" t="n">
        <x:v>0</x:v>
      </x:c>
      <x:c r="L66" s="31" t="n">
        <x:v>0.0090066912</x:v>
      </x:c>
      <x:c r="M66" s="31" t="n">
        <x:v>0.3101496359</x:v>
      </x:c>
      <x:c r="N66" s="24" t="str">
        <x:v>panulirus versicolor</x:v>
      </x:c>
      <x:c r="O66" s="32" t="n">
        <x:v>3.57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Panulirus versicolor</x:v>
      </x:c>
      <x:c r="T66" s="32" t="n">
        <x:f>IF(O66="","",(1/'Metadata'!$B$5)^(O66-1))</x:f>
        <x:v>371.5352290971724</x:v>
      </x:c>
      <x:c r="U66" s="31" t="n">
        <x:f>IF(T66="","",I66*T66)</x:f>
        <x:v>118.57781910691058</x:v>
      </x:c>
    </x:row>
    <x:row r="67" ht="18" customHeight="1">
      <x:c r="A67" s="24" t="str">
        <x:v>EEZ_977</x:v>
      </x:c>
      <x:c r="B67" s="24" t="str">
        <x:v>Yemen (Socotra)</x:v>
      </x:c>
      <x:c r="C67" s="24" t="str">
        <x:v>EEZ</x:v>
      </x:c>
      <x:c r="D67" s="30" t="n">
        <x:v>2019</x:v>
      </x:c>
      <x:c r="E67" s="24" t="str">
        <x:v>Caranx melampygus</x:v>
      </x:c>
      <x:c r="F67" s="24" t="str">
        <x:v>Bluefin trevally</x:v>
      </x:c>
      <x:c r="G67" s="24" t="str">
        <x:v>Large reef assoc. fish (&gt;=90 cm)</x:v>
      </x:c>
      <x:c r="H67" s="24" t="str">
        <x:v>Perch-likes</x:v>
      </x:c>
      <x:c r="I67" s="31" t="n">
        <x:v>0.2961814998</x:v>
      </x:c>
      <x:c r="J67" s="31" t="n">
        <x:v>0.2961814998</x:v>
      </x:c>
      <x:c r="K67" s="31" t="n">
        <x:v>0</x:v>
      </x:c>
      <x:c r="L67" s="31" t="n">
        <x:v>0</x:v>
      </x:c>
      <x:c r="M67" s="31" t="n">
        <x:v>0.2961814998</x:v>
      </x:c>
      <x:c r="N67" s="24" t="str">
        <x:v>caranx melampygus</x:v>
      </x:c>
      <x:c r="O67" s="32" t="n">
        <x:v>4.49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Caranx melampygus</x:v>
      </x:c>
      <x:c r="T67" s="32" t="n">
        <x:f>IF(O67="","",(1/'Metadata'!$B$5)^(O67-1))</x:f>
        <x:v>3090.295432513592</x:v>
      </x:c>
      <x:c r="U67" s="31" t="n">
        <x:f>IF(T67="","",I67*T67)</x:f>
        <x:v>915.2883360269655</x:v>
      </x:c>
    </x:row>
    <x:row r="68" ht="18" customHeight="1">
      <x:c r="A68" s="24" t="str">
        <x:v>EEZ_977</x:v>
      </x:c>
      <x:c r="B68" s="24" t="str">
        <x:v>Yemen (Socotra)</x:v>
      </x:c>
      <x:c r="C68" s="24" t="str">
        <x:v>EEZ</x:v>
      </x:c>
      <x:c r="D68" s="30" t="n">
        <x:v>2019</x:v>
      </x:c>
      <x:c r="E68" s="24" t="str">
        <x:v>Sphyraena barracuda</x:v>
      </x:c>
      <x:c r="F68" s="24" t="str">
        <x:v>Great barracuda</x:v>
      </x:c>
      <x:c r="G68" s="24" t="str">
        <x:v>Large pelagics (&gt;=90 cm)</x:v>
      </x:c>
      <x:c r="H68" s="24" t="str">
        <x:v>Perch-likes</x:v>
      </x:c>
      <x:c r="I68" s="31" t="n">
        <x:v>0.2357471806</x:v>
      </x:c>
      <x:c r="J68" s="31" t="n">
        <x:v>0.2357471806</x:v>
      </x:c>
      <x:c r="K68" s="31" t="n">
        <x:v>0</x:v>
      </x:c>
      <x:c r="L68" s="31" t="n">
        <x:v>0</x:v>
      </x:c>
      <x:c r="M68" s="31" t="n">
        <x:v>0.2357471806</x:v>
      </x:c>
      <x:c r="N68" s="24" t="str">
        <x:v>sphyraena barracuda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Sphyraena barracuda</x:v>
      </x:c>
      <x:c r="T68" s="32" t="n">
        <x:f>IF(O68="","",(1/'Metadata'!$B$5)^(O68-1))</x:f>
        <x:v>3090.295432513592</x:v>
      </x:c>
      <x:c r="U68" s="31" t="n">
        <x:f>IF(T68="","",I68*T68)</x:f>
        <x:v>728.5284354361369</x:v>
      </x:c>
    </x:row>
    <x:row r="69" ht="18" customHeight="1">
      <x:c r="A69" s="24" t="str">
        <x:v>EEZ_977</x:v>
      </x:c>
      <x:c r="B69" s="24" t="str">
        <x:v>Yemen (Socotra)</x:v>
      </x:c>
      <x:c r="C69" s="24" t="str">
        <x:v>EEZ</x:v>
      </x:c>
      <x:c r="D69" s="30" t="n">
        <x:v>2019</x:v>
      </x:c>
      <x:c r="E69" s="24" t="str">
        <x:v>Carcharhinus amblyrhynchos</x:v>
      </x:c>
      <x:c r="F69" s="24" t="str">
        <x:v>Blacktail reef shark</x:v>
      </x:c>
      <x:c r="G69" s="24" t="str">
        <x:v>Large sharks (&gt;=90 cm)</x:v>
      </x:c>
      <x:c r="H69" s="24" t="str">
        <x:v>Sharks &amp; rays</x:v>
      </x:c>
      <x:c r="I69" s="31" t="n">
        <x:v>0.1645425109</x:v>
      </x:c>
      <x:c r="J69" s="31" t="n">
        <x:v>0.1645425109</x:v>
      </x:c>
      <x:c r="K69" s="31" t="n">
        <x:v>0</x:v>
      </x:c>
      <x:c r="L69" s="31" t="n">
        <x:v>0</x:v>
      </x:c>
      <x:c r="M69" s="31" t="n">
        <x:v>0.1645425109</x:v>
      </x:c>
      <x:c r="N69" s="24" t="str">
        <x:v>carcharhinus amblyrhynchos</x:v>
      </x:c>
      <x:c r="O69" s="32" t="n">
        <x:v>4.11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Carcharhinus amblyrhynchos</x:v>
      </x:c>
      <x:c r="T69" s="32" t="n">
        <x:f>IF(O69="","",(1/'Metadata'!$B$5)^(O69-1))</x:f>
        <x:v>1288.249551693135</x:v>
      </x:c>
      <x:c r="U69" s="31" t="n">
        <x:f>IF(T69="","",I69*T69)</x:f>
        <x:v>211.97181590138774</x:v>
      </x:c>
    </x:row>
    <x:row r="70" ht="18" customHeight="1">
      <x:c r="A70" s="24" t="str">
        <x:v>EEZ_977</x:v>
      </x:c>
      <x:c r="B70" s="24" t="str">
        <x:v>Yemen (Socotra)</x:v>
      </x:c>
      <x:c r="C70" s="24" t="str">
        <x:v>EEZ</x:v>
      </x:c>
      <x:c r="D70" s="30" t="n">
        <x:v>2019</x:v>
      </x:c>
      <x:c r="E70" s="24" t="str">
        <x:v>Panulirus penicillatus</x:v>
      </x:c>
      <x:c r="F70" s="24" t="str">
        <x:v>Pronghorn spiny lobster</x:v>
      </x:c>
      <x:c r="G70" s="24" t="str">
        <x:v>Lobsters, crabs</x:v>
      </x:c>
      <x:c r="H70" s="24" t="str">
        <x:v>Crustaceans</x:v>
      </x:c>
      <x:c r="I70" s="31" t="n">
        <x:v>0.1063854423</x:v>
      </x:c>
      <x:c r="J70" s="31" t="n">
        <x:v>0.1063854423</x:v>
      </x:c>
      <x:c r="K70" s="31" t="n">
        <x:v>0</x:v>
      </x:c>
      <x:c r="L70" s="31" t="n">
        <x:v>0.0030022306</x:v>
      </x:c>
      <x:c r="M70" s="31" t="n">
        <x:v>0.1033832117</x:v>
      </x:c>
      <x:c r="N70" s="24" t="str">
        <x:v>panulirus penicillatus</x:v>
      </x:c>
      <x:c r="O70" s="32" t="n">
        <x:v>3.57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Panulirus penicillatus</x:v>
      </x:c>
      <x:c r="T70" s="32" t="n">
        <x:f>IF(O70="","",(1/'Metadata'!$B$5)^(O70-1))</x:f>
        <x:v>371.5352290971724</x:v>
      </x:c>
      <x:c r="U70" s="31" t="n">
        <x:f>IF(T70="","",I70*T70)</x:f>
        <x:v>39.52593967753452</x:v>
      </x:c>
    </x:row>
    <x:row r="71" ht="18" customHeight="1">
      <x:c r="A71" s="24" t="str">
        <x:v>EEZ_977</x:v>
      </x:c>
      <x:c r="B71" s="24" t="str">
        <x:v>Yemen (Socotra)</x:v>
      </x:c>
      <x:c r="C71" s="24" t="str">
        <x:v>EEZ</x:v>
      </x:c>
      <x:c r="D71" s="30" t="n">
        <x:v>2019</x:v>
      </x:c>
      <x:c r="E71" s="24" t="str">
        <x:v>Scarus ghobban</x:v>
      </x:c>
      <x:c r="F71" s="24" t="str">
        <x:v>Blue-barred parrotfish</x:v>
      </x:c>
      <x:c r="G71" s="24" t="str">
        <x:v>Medium reef assoc. fish (30 - 89 cm)</x:v>
      </x:c>
      <x:c r="H71" s="24" t="str">
        <x:v>Perch-likes</x:v>
      </x:c>
      <x:c r="I71" s="31" t="n">
        <x:v>0.0965680952</x:v>
      </x:c>
      <x:c r="J71" s="31" t="n">
        <x:v>0.0965680952</x:v>
      </x:c>
      <x:c r="K71" s="31" t="n">
        <x:v>0</x:v>
      </x:c>
      <x:c r="L71" s="31" t="n">
        <x:v>0</x:v>
      </x:c>
      <x:c r="M71" s="31" t="n">
        <x:v>0.0965680952</x:v>
      </x:c>
      <x:c r="N71" s="24" t="str">
        <x:v>scarus ghobban</x:v>
      </x:c>
      <x:c r="O71" s="32" t="n">
        <x:v>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Scarus ghobban</x:v>
      </x:c>
      <x:c r="T71" s="32" t="n">
        <x:f>IF(O71="","",(1/'Metadata'!$B$5)^(O71-1))</x:f>
        <x:v>10</x:v>
      </x:c>
      <x:c r="U71" s="31" t="n">
        <x:f>IF(T71="","",I71*T71)</x:f>
        <x:v>0.9656809519999999</x:v>
      </x:c>
    </x:row>
    <x:row r="72" ht="18" customHeight="1">
      <x:c r="A72" s="24" t="str">
        <x:v>EEZ_977</x:v>
      </x:c>
      <x:c r="B72" s="24" t="str">
        <x:v>Yemen (Socotra)</x:v>
      </x:c>
      <x:c r="C72" s="24" t="str">
        <x:v>EEZ</x:v>
      </x:c>
      <x:c r="D72" s="30" t="n">
        <x:v>2019</x:v>
      </x:c>
      <x:c r="E72" s="24" t="str">
        <x:v>Gymnocranius grandoculis</x:v>
      </x:c>
      <x:c r="F72" s="24" t="str">
        <x:v>Blue-lined large-eye bream</x:v>
      </x:c>
      <x:c r="G72" s="24" t="str">
        <x:v>Medium reef assoc. fish (30 - 89 cm)</x:v>
      </x:c>
      <x:c r="H72" s="24" t="str">
        <x:v>Perch-likes</x:v>
      </x:c>
      <x:c r="I72" s="31" t="n">
        <x:v>0.0089484389</x:v>
      </x:c>
      <x:c r="J72" s="31" t="n">
        <x:v>0.0089484389</x:v>
      </x:c>
      <x:c r="K72" s="31" t="n">
        <x:v>0</x:v>
      </x:c>
      <x:c r="L72" s="31" t="n">
        <x:v>0</x:v>
      </x:c>
      <x:c r="M72" s="31" t="n">
        <x:v>0.0089484389</x:v>
      </x:c>
      <x:c r="N72" s="24" t="str">
        <x:v>gymnocranius grandoculis</x:v>
      </x:c>
      <x:c r="O72" s="32" t="n">
        <x:v>3.76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Gymnocranius grandoculis</x:v>
      </x:c>
      <x:c r="T72" s="32" t="n">
        <x:f>IF(O72="","",(1/'Metadata'!$B$5)^(O72-1))</x:f>
        <x:v>575.4399373371566</x:v>
      </x:c>
      <x:c r="U72" s="31" t="n">
        <x:f>IF(T72="","",I72*T72)</x:f>
        <x:v>5.149289119881375</x:v>
      </x:c>
    </x:row>
    <x:row r="73" ht="18" customHeight="1">
      <x:c r="A73" s="24" t="str">
        <x:v>EEZ_977</x:v>
      </x:c>
      <x:c r="B73" s="24" t="str">
        <x:v>Yemen (Socotra)</x:v>
      </x:c>
      <x:c r="C73" s="24" t="str">
        <x:v>EEZ</x:v>
      </x:c>
      <x:c r="D73" s="30" t="n">
        <x:v>2019</x:v>
      </x:c>
      <x:c r="E73" s="24" t="str">
        <x:v>Marine pelagic fishes not identified</x:v>
      </x:c>
      <x:c r="F73" s="24" t="str">
        <x:v>Pelagic fishes</x:v>
      </x:c>
      <x:c r="G73" s="24" t="str">
        <x:v>Medium pelagics (30 - 89 cm)</x:v>
      </x:c>
      <x:c r="H73" s="24" t="str">
        <x:v>Other fishes &amp; inverts</x:v>
      </x:c>
      <x:c r="I73" s="31" t="n">
        <x:v>0.0087033055</x:v>
      </x:c>
      <x:c r="J73" s="31" t="n">
        <x:v>0.0087033055</x:v>
      </x:c>
      <x:c r="K73" s="31" t="n">
        <x:v>0</x:v>
      </x:c>
      <x:c r="L73" s="31" t="n">
        <x:v>0.0087033055</x:v>
      </x:c>
      <x:c r="M73" s="31" t="n">
        <x:v>0</x:v>
      </x:c>
      <x:c r="N73" s="24" t="str">
        <x:v>marine pelagic fishes not identified</x:v>
      </x:c>
      <x:c r="O73" s="32" t="n">
        <x:v>3.35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Marine pelagic fishes not identified</x:v>
      </x:c>
      <x:c r="T73" s="32" t="n">
        <x:f>IF(O73="","",(1/'Metadata'!$B$5)^(O73-1))</x:f>
        <x:v>223.872113856834</x:v>
      </x:c>
      <x:c r="U73" s="31" t="n">
        <x:f>IF(T73="","",I73*T73)</x:f>
        <x:v>1.9484273998268096</x:v>
      </x:c>
    </x:row>
    <x:row r="74" ht="18" customHeight="1">
      <x:c r="A74" s="24" t="str">
        <x:v>EEZ_977</x:v>
      </x:c>
      <x:c r="B74" s="24" t="str">
        <x:v>Yemen (Socotra)</x:v>
      </x:c>
      <x:c r="C74" s="24" t="str">
        <x:v>EEZ</x:v>
      </x:c>
      <x:c r="D74" s="30" t="n">
        <x:v>2019</x:v>
      </x:c>
      <x:c r="E74" s="24" t="str">
        <x:v>Isurus</x:v>
      </x:c>
      <x:c r="F74" s="24" t="str">
        <x:v>Mako sharks</x:v>
      </x:c>
      <x:c r="G74" s="24" t="str">
        <x:v>Large sharks (&gt;=90 cm)</x:v>
      </x:c>
      <x:c r="H74" s="24" t="str">
        <x:v>Sharks &amp; rays</x:v>
      </x:c>
      <x:c r="I74" s="31" t="n">
        <x:v>0.0008539044</x:v>
      </x:c>
      <x:c r="J74" s="31" t="n">
        <x:v>0.0008539044</x:v>
      </x:c>
      <x:c r="K74" s="31" t="n">
        <x:v>0</x:v>
      </x:c>
      <x:c r="L74" s="31" t="n">
        <x:v>0.0008539044</x:v>
      </x:c>
      <x:c r="M74" s="31" t="n">
        <x:v>0</x:v>
      </x:c>
      <x:c r="N74" s="24" t="str">
        <x:v>isurus</x:v>
      </x:c>
      <x:c r="O74" s="32" t="n">
        <x:v>4.5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Isurus</x:v>
      </x:c>
      <x:c r="T74" s="32" t="n">
        <x:f>IF(O74="","",(1/'Metadata'!$B$5)^(O74-1))</x:f>
        <x:v>3162.2776601683795</x:v>
      </x:c>
      <x:c r="U74" s="31" t="n">
        <x:f>IF(T74="","",I74*T74)</x:f>
        <x:v>2.700282808039484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be38ef15d4241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6.1703556533</x:v>
      </x:c>
      <x:c r="E2" s="31" t="n">
        <x:v>6.1703556533</x:v>
      </x:c>
      <x:c r="F2" s="32" t="n">
        <x:v>0</x:v>
      </x:c>
      <x:c r="G2" s="34" t="n">
        <x:v>1</x:v>
      </x:c>
      <x:c r="H2" s="32" t="n">
        <x:f>IF(E2=0,"",I2/E2)</x:f>
        <x:v>224.67476206909507</x:v>
      </x:c>
      <x:c r="I2" s="31" t="n">
        <x:f>IF(C2=0,"",SUMIF('Species'!$H$2:$H$74,A2,'Species'!$U$2:$U$74))</x:f>
        <x:v>1386.3231882868731</x:v>
      </x:c>
      <x:c r="J2" s="32" t="n">
        <x:v>3.3465517241459786</x:v>
      </x:c>
      <x:c r="K2" s="32" t="n">
        <x:f>IF(J2="","",(1/'Metadata'!$B$5)^(J2-1))</x:f>
        <x:v>222.10161890559854</x:v>
      </x:c>
      <x:c r="L2" s="31" t="n">
        <x:f>IF(E2=0,"",E2*K2)</x:f>
        <x:v>1370.445979821242</x:v>
      </x:c>
      <x:c r="M2" s="31" t="n">
        <x:f>IF(E2=0,"",I2-L2)</x:f>
        <x:v>15.877208465631156</x:v>
      </x:c>
      <x:c r="N2" s="32" t="n">
        <x:f>IF(L2=0,"",I2/L2)</x:f>
        <x:v>1.0115854318224948</x:v>
      </x:c>
      <x:c r="O2" s="34" t="n">
        <x:f>IF(L2=0,"",M2/L2)</x:f>
        <x:v>0.011585431822494854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3.3440687152999997</x:v>
      </x:c>
      <x:c r="E3" s="31" t="n">
        <x:v>3.3440687152999997</x:v>
      </x:c>
      <x:c r="F3" s="32" t="n">
        <x:v>0</x:v>
      </x:c>
      <x:c r="G3" s="34" t="n">
        <x:v>1</x:v>
      </x:c>
      <x:c r="H3" s="32" t="n">
        <x:f>IF(E3=0,"",I3/E3)</x:f>
        <x:v>25.703957827688647</x:v>
      </x:c>
      <x:c r="I3" s="31" t="n">
        <x:f>IF(C3=0,"",SUMIF('Species'!$H$2:$H$74,A3,'Species'!$U$2:$U$74))</x:f>
        <x:v>85.95580123096414</x:v>
      </x:c>
      <x:c r="J3" s="32" t="n">
        <x:v>2.41</x:v>
      </x:c>
      <x:c r="K3" s="32" t="n">
        <x:f>IF(J3="","",(1/'Metadata'!$B$5)^(J3-1))</x:f>
        <x:v>25.703957827688647</x:v>
      </x:c>
      <x:c r="L3" s="31" t="n">
        <x:f>IF(E3=0,"",E3*K3)</x:f>
        <x:v>85.95580123096414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2</x:v>
      </x:c>
      <x:c r="C4" s="33" t="n">
        <x:v>2</x:v>
      </x:c>
      <x:c r="D4" s="31" t="n">
        <x:v>2934.4455999999996</x:v>
      </x:c>
      <x:c r="E4" s="31" t="n">
        <x:v>2934.4455999999996</x:v>
      </x:c>
      <x:c r="F4" s="32" t="n">
        <x:v>0</x:v>
      </x:c>
      <x:c r="G4" s="34" t="n">
        <x:v>1</x:v>
      </x:c>
      <x:c r="H4" s="32" t="n">
        <x:f>IF(E4=0,"",I4/E4)</x:f>
        <x:v>40.74803594693079</x:v>
      </x:c>
      <x:c r="I4" s="31" t="n">
        <x:f>IF(C4=0,"",SUMIF('Species'!$H$2:$H$74,A4,'Species'!$U$2:$U$74))</x:f>
        <x:v>119572.89479311288</x:v>
      </x:c>
      <x:c r="J4" s="32" t="n">
        <x:v>2.31095554540183</x:v>
      </x:c>
      <x:c r="K4" s="32" t="n">
        <x:f>IF(J4="","",(1/'Metadata'!$B$5)^(J4-1))</x:f>
        <x:v>20.462351723591635</x:v>
      </x:c>
      <x:c r="L4" s="31" t="n">
        <x:f>IF(E4=0,"",E4*K4)</x:f>
        <x:v>60045.65798094588</x:v>
      </x:c>
      <x:c r="M4" s="31" t="n">
        <x:f>IF(E4=0,"",I4-L4)</x:f>
        <x:v>59527.236812167</x:v>
      </x:c>
      <x:c r="N4" s="32" t="n">
        <x:f>IF(L4=0,"",I4/L4)</x:f>
        <x:v>1.991366217205191</x:v>
      </x:c>
      <x:c r="O4" s="34" t="n">
        <x:f>IF(L4=0,"",M4/L4)</x:f>
        <x:v>0.991366217205191</x:v>
      </x:c>
    </x:row>
    <x:row r="5" ht="18" customHeight="1">
      <x:c r="A5" s="24" t="str">
        <x:v>Other fishes &amp; inverts</x:v>
      </x:c>
      <x:c r="B5" s="33" t="n">
        <x:v>9</x:v>
      </x:c>
      <x:c r="C5" s="33" t="n">
        <x:v>9</x:v>
      </x:c>
      <x:c r="D5" s="31" t="n">
        <x:v>605.3192312237</x:v>
      </x:c>
      <x:c r="E5" s="31" t="n">
        <x:v>605.3192312237</x:v>
      </x:c>
      <x:c r="F5" s="32" t="n">
        <x:v>0</x:v>
      </x:c>
      <x:c r="G5" s="34" t="n">
        <x:v>1</x:v>
      </x:c>
      <x:c r="H5" s="32" t="n">
        <x:f>IF(E5=0,"",I5/E5)</x:f>
        <x:v>192.05336612862283</x:v>
      </x:c>
      <x:c r="I5" s="31" t="n">
        <x:f>IF(C5=0,"",SUMIF('Species'!$H$2:$H$74,A5,'Species'!$U$2:$U$74))</x:f>
        <x:v>116253.59593890175</x:v>
      </x:c>
      <x:c r="J5" s="32" t="n">
        <x:v>3.2763071690752064</x:v>
      </x:c>
      <x:c r="K5" s="32" t="n">
        <x:f>IF(J5="","",(1/'Metadata'!$B$5)^(J5-1))</x:f>
        <x:v>188.93271655006777</x:v>
      </x:c>
      <x:c r="L5" s="31" t="n">
        <x:f>IF(E5=0,"",E5*K5)</x:f>
        <x:v>114364.60673509224</x:v>
      </x:c>
      <x:c r="M5" s="31" t="n">
        <x:f>IF(E5=0,"",I5-L5)</x:f>
        <x:v>1888.9892038095131</x:v>
      </x:c>
      <x:c r="N5" s="32" t="n">
        <x:f>IF(L5=0,"",I5/L5)</x:f>
        <x:v>1.0165172535256914</x:v>
      </x:c>
      <x:c r="O5" s="34" t="n">
        <x:f>IF(L5=0,"",M5/L5)</x:f>
        <x:v>0.016517253525691403</x:v>
      </x:c>
    </x:row>
    <x:row r="6" ht="18" customHeight="1">
      <x:c r="A6" s="24" t="str">
        <x:v>Perch-likes</x:v>
      </x:c>
      <x:c r="B6" s="33" t="n">
        <x:v>40</x:v>
      </x:c>
      <x:c r="C6" s="33" t="n">
        <x:v>40</x:v>
      </x:c>
      <x:c r="D6" s="31" t="n">
        <x:v>998.6575957322</x:v>
      </x:c>
      <x:c r="E6" s="31" t="n">
        <x:v>998.6575957322</x:v>
      </x:c>
      <x:c r="F6" s="32" t="n">
        <x:v>0</x:v>
      </x:c>
      <x:c r="G6" s="34" t="n">
        <x:v>1</x:v>
      </x:c>
      <x:c r="H6" s="32" t="n">
        <x:f>IF(E6=0,"",I6/E6)</x:f>
        <x:v>2114.319861951342</x:v>
      </x:c>
      <x:c r="I6" s="31" t="n">
        <x:f>IF(C6=0,"",SUMIF('Species'!$H$2:$H$74,A6,'Species'!$U$2:$U$74))</x:f>
        <x:v>2111481.589945164</x:v>
      </x:c>
      <x:c r="J6" s="32" t="n">
        <x:v>4.218342785131341</x:v>
      </x:c>
      <x:c r="K6" s="32" t="n">
        <x:f>IF(J6="","",(1/'Metadata'!$B$5)^(J6-1))</x:f>
        <x:v>1653.2661930572904</x:v>
      </x:c>
      <x:c r="L6" s="31" t="n">
        <x:f>IF(E6=0,"",E6*K6)</x:f>
        <x:v>1651046.8414639207</x:v>
      </x:c>
      <x:c r="M6" s="31" t="n">
        <x:f>IF(E6=0,"",I6-L6)</x:f>
        <x:v>460434.7484812434</x:v>
      </x:c>
      <x:c r="N6" s="32" t="n">
        <x:f>IF(L6=0,"",I6/L6)</x:f>
        <x:v>1.2788744310082647</x:v>
      </x:c>
      <x:c r="O6" s="34" t="n">
        <x:f>IF(L6=0,"",M6/L6)</x:f>
        <x:v>0.27887443100826464</x:v>
      </x:c>
    </x:row>
    <x:row r="7" ht="18" customHeight="1">
      <x:c r="A7" s="24" t="str">
        <x:v>Sharks &amp; rays</x:v>
      </x:c>
      <x:c r="B7" s="33" t="n">
        <x:v>13</x:v>
      </x:c>
      <x:c r="C7" s="33" t="n">
        <x:v>13</x:v>
      </x:c>
      <x:c r="D7" s="31" t="n">
        <x:v>986.5706251291</x:v>
      </x:c>
      <x:c r="E7" s="31" t="n">
        <x:v>986.5706251291</x:v>
      </x:c>
      <x:c r="F7" s="32" t="n">
        <x:v>0</x:v>
      </x:c>
      <x:c r="G7" s="34" t="n">
        <x:v>1</x:v>
      </x:c>
      <x:c r="H7" s="32" t="n">
        <x:f>IF(E7=0,"",I7/E7)</x:f>
        <x:v>1901.5941172752182</x:v>
      </x:c>
      <x:c r="I7" s="31" t="n">
        <x:f>IF(C7=0,"",SUMIF('Species'!$H$2:$H$74,A7,'Species'!$U$2:$U$74))</x:f>
        <x:v>1876056.897022031</x:v>
      </x:c>
      <x:c r="J7" s="32" t="n">
        <x:v>4.253416290163366</x:v>
      </x:c>
      <x:c r="K7" s="32" t="n">
        <x:f>IF(J7="","",(1/'Metadata'!$B$5)^(J7-1))</x:f>
        <x:v>1792.3230505539796</x:v>
      </x:c>
      <x:c r="L7" s="31" t="n">
        <x:f>IF(E7=0,"",E7*K7)</x:f>
        <x:v>1768253.272418335</x:v>
      </x:c>
      <x:c r="M7" s="31" t="n">
        <x:f>IF(E7=0,"",I7-L7)</x:f>
        <x:v>107803.62460369593</x:v>
      </x:c>
      <x:c r="N7" s="32" t="n">
        <x:f>IF(L7=0,"",I7/L7)</x:f>
        <x:v>1.0609661671691744</x:v>
      </x:c>
      <x:c r="O7" s="34" t="n">
        <x:f>IF(L7=0,"",M7/L7)</x:f>
        <x:v>0.06096616716917442</x:v>
      </x:c>
    </x:row>
    <x:row r="8" ht="18" customHeight="1">
      <x:c r="A8" s="24" t="str">
        <x:v>Tuna &amp; billfishes</x:v>
      </x:c>
      <x:c r="B8" s="33" t="n">
        <x:v>5</x:v>
      </x:c>
      <x:c r="C8" s="33" t="n">
        <x:v>5</x:v>
      </x:c>
      <x:c r="D8" s="31" t="n">
        <x:v>33.7244494493</x:v>
      </x:c>
      <x:c r="E8" s="31" t="n">
        <x:v>33.7244494493</x:v>
      </x:c>
      <x:c r="F8" s="32" t="n">
        <x:v>0</x:v>
      </x:c>
      <x:c r="G8" s="34" t="n">
        <x:v>1</x:v>
      </x:c>
      <x:c r="H8" s="32" t="n">
        <x:f>IF(E8=0,"",I8/E8)</x:f>
        <x:v>3015.9158060353884</x:v>
      </x:c>
      <x:c r="I8" s="31" t="n">
        <x:f>IF(C8=0,"",SUMIF('Species'!$H$2:$H$74,A8,'Species'!$U$2:$U$74))</x:f>
        <x:v>101710.10014398533</x:v>
      </x:c>
      <x:c r="J8" s="32" t="n">
        <x:v>4.477215192013107</x:v>
      </x:c>
      <x:c r="K8" s="32" t="n">
        <x:f>IF(J8="","",(1/'Metadata'!$B$5)^(J8-1))</x:f>
        <x:v>3000.6489660173784</x:v>
      </x:c>
      <x:c r="L8" s="31" t="n">
        <x:f>IF(E8=0,"",E8*K8)</x:f>
        <x:v>101195.2343695474</x:v>
      </x:c>
      <x:c r="M8" s="31" t="n">
        <x:f>IF(E8=0,"",I8-L8)</x:f>
        <x:v>514.8657744379307</x:v>
      </x:c>
      <x:c r="N8" s="32" t="n">
        <x:f>IF(L8=0,"",I8/L8)</x:f>
        <x:v>1.0050878460596053</x:v>
      </x:c>
      <x:c r="O8" s="34" t="n">
        <x:f>IF(L8=0,"",M8/L8)</x:f>
        <x:v>0.005087846059605242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2c400c4036d41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3.3440687152999997</x:v>
      </x:c>
      <x:c r="E2" s="31" t="n">
        <x:v>3.3440687152999997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IF(C2=0,"",SUMIF('Species'!$G$2:$G$74,A2,'Species'!$U$2:$U$74))</x:f>
        <x:v>2109.9647163649784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2109.9647163649784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5.9118649332</x:v>
      </x:c>
      <x:c r="E3" s="31" t="n">
        <x:v>5.9118649332</x:v>
      </x:c>
      <x:c r="F3" s="32" t="n">
        <x:v>0</x:v>
      </x:c>
      <x:c r="G3" s="34" t="n">
        <x:v>1</x:v>
      </x:c>
      <x:c r="H3" s="32" t="n">
        <x:f>IF(E3=0,"",I3/E3)</x:f>
        <x:v>2818.3829312644552</x:v>
      </x:c>
      <x:c r="I3" s="31" t="n">
        <x:f>IF(C3=0,"",SUMIF('Species'!$G$2:$G$74,A3,'Species'!$U$2:$U$74))</x:f>
        <x:v>16661.89921967176</x:v>
      </x:c>
      <x:c r="J3" s="32" t="n">
        <x:v>4.45</x:v>
      </x:c>
      <x:c r="K3" s="32" t="n">
        <x:f>IF(J3="","",(1/'Metadata'!$B$5)^(J3-1))</x:f>
        <x:v>2818.382931264455</x:v>
      </x:c>
      <x:c r="L3" s="31" t="n">
        <x:f>IF(E3=0,"",E3*K3)</x:f>
        <x:v>16661.89921967176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8</x:v>
      </x:c>
      <x:c r="C4" s="33" t="n">
        <x:v>8</x:v>
      </x:c>
      <x:c r="D4" s="31" t="n">
        <x:v>550.9306401005</x:v>
      </x:c>
      <x:c r="E4" s="31" t="n">
        <x:v>550.9306401005</x:v>
      </x:c>
      <x:c r="F4" s="32" t="n">
        <x:v>0</x:v>
      </x:c>
      <x:c r="G4" s="34" t="n">
        <x:v>1</x:v>
      </x:c>
      <x:c r="H4" s="32" t="n">
        <x:f>IF(E4=0,"",I4/E4)</x:f>
        <x:v>3143.986229270062</x:v>
      </x:c>
      <x:c r="I4" s="31" t="n">
        <x:f>IF(C4=0,"",SUMIF('Species'!$G$2:$G$74,A4,'Species'!$U$2:$U$74))</x:f>
        <x:v>1732118.3457589124</x:v>
      </x:c>
      <x:c r="J4" s="32" t="n">
        <x:v>4.496955608544317</x:v>
      </x:c>
      <x:c r="K4" s="32" t="n">
        <x:f>IF(J4="","",(1/'Metadata'!$B$5)^(J4-1))</x:f>
        <x:v>3140.1877028584527</x:v>
      </x:c>
      <x:c r="L4" s="31" t="n">
        <x:f>IF(E4=0,"",E4*K4)</x:f>
        <x:v>1730025.621171526</x:v>
      </x:c>
      <x:c r="M4" s="31" t="n">
        <x:f>IF(E4=0,"",I4-L4)</x:f>
        <x:v>2092.724587386474</x:v>
      </x:c>
      <x:c r="N4" s="32" t="n">
        <x:f>IF(L4=0,"",I4/L4)</x:f>
        <x:v>1.001209649476734</x:v>
      </x:c>
      <x:c r="O4" s="34" t="n">
        <x:f>IF(L4=0,"",M4/L4)</x:f>
        <x:v>0.0012096494767339563</x:v>
      </x:c>
    </x:row>
    <x:row r="5" ht="18" customHeight="1">
      <x:c r="A5" s="24" t="str">
        <x:v>Large reef assoc. fish (&gt;=90 cm)</x:v>
      </x:c>
      <x:c r="B5" s="33" t="n">
        <x:v>6</x:v>
      </x:c>
      <x:c r="C5" s="33" t="n">
        <x:v>6</x:v>
      </x:c>
      <x:c r="D5" s="31" t="n">
        <x:v>39.5103823091</x:v>
      </x:c>
      <x:c r="E5" s="31" t="n">
        <x:v>39.5103823091</x:v>
      </x:c>
      <x:c r="F5" s="32" t="n">
        <x:v>0</x:v>
      </x:c>
      <x:c r="G5" s="34" t="n">
        <x:v>1</x:v>
      </x:c>
      <x:c r="H5" s="32" t="n">
        <x:f>IF(E5=0,"",I5/E5)</x:f>
        <x:v>1532.012983893055</x:v>
      </x:c>
      <x:c r="I5" s="31" t="n">
        <x:f>IF(C5=0,"",SUMIF('Species'!$G$2:$G$74,A5,'Species'!$U$2:$U$74))</x:f>
        <x:v>60530.41869611967</x:v>
      </x:c>
      <x:c r="J5" s="32" t="n">
        <x:v>4.108058070998585</x:v>
      </x:c>
      <x:c r="K5" s="32" t="n">
        <x:f>IF(J5="","",(1/'Metadata'!$B$5)^(J5-1))</x:f>
        <x:v>1282.5020589223402</x:v>
      </x:c>
      <x:c r="L5" s="31" t="n">
        <x:f>IF(E5=0,"",E5*K5)</x:f>
        <x:v>50672.14666022956</x:v>
      </x:c>
      <x:c r="M5" s="31" t="n">
        <x:f>IF(E5=0,"",I5-L5)</x:f>
        <x:v>9858.272035890106</x:v>
      </x:c>
      <x:c r="N5" s="32" t="n">
        <x:f>IF(L5=0,"",I5/L5)</x:f>
        <x:v>1.1945501164967902</x:v>
      </x:c>
      <x:c r="O5" s="34" t="n">
        <x:f>IF(L5=0,"",M5/L5)</x:f>
        <x:v>0.19455011649679033</x:v>
      </x:c>
    </x:row>
    <x:row r="6" ht="18" customHeight="1">
      <x:c r="A6" s="24" t="str">
        <x:v>Large sharks (&gt;=90 cm)</x:v>
      </x:c>
      <x:c r="B6" s="33" t="n">
        <x:v>13</x:v>
      </x:c>
      <x:c r="C6" s="33" t="n">
        <x:v>13</x:v>
      </x:c>
      <x:c r="D6" s="31" t="n">
        <x:v>986.5706251291</x:v>
      </x:c>
      <x:c r="E6" s="31" t="n">
        <x:v>986.5706251291</x:v>
      </x:c>
      <x:c r="F6" s="32" t="n">
        <x:v>0</x:v>
      </x:c>
      <x:c r="G6" s="34" t="n">
        <x:v>1</x:v>
      </x:c>
      <x:c r="H6" s="32" t="n">
        <x:f>IF(E6=0,"",I6/E6)</x:f>
        <x:v>1901.5941172752182</x:v>
      </x:c>
      <x:c r="I6" s="31" t="n">
        <x:f>IF(C6=0,"",SUMIF('Species'!$G$2:$G$74,A6,'Species'!$U$2:$U$74))</x:f>
        <x:v>1876056.897022031</x:v>
      </x:c>
      <x:c r="J6" s="32" t="n">
        <x:v>4.253416290163366</x:v>
      </x:c>
      <x:c r="K6" s="32" t="n">
        <x:f>IF(J6="","",(1/'Metadata'!$B$5)^(J6-1))</x:f>
        <x:v>1792.3230505539796</x:v>
      </x:c>
      <x:c r="L6" s="31" t="n">
        <x:f>IF(E6=0,"",E6*K6)</x:f>
        <x:v>1768253.272418335</x:v>
      </x:c>
      <x:c r="M6" s="31" t="n">
        <x:f>IF(E6=0,"",I6-L6)</x:f>
        <x:v>107803.62460369593</x:v>
      </x:c>
      <x:c r="N6" s="32" t="n">
        <x:f>IF(L6=0,"",I6/L6)</x:f>
        <x:v>1.0609661671691744</x:v>
      </x:c>
      <x:c r="O6" s="34" t="n">
        <x:f>IF(L6=0,"",M6/L6)</x:f>
        <x:v>0.06096616716917442</x:v>
      </x:c>
    </x:row>
    <x:row r="7" ht="18" customHeight="1">
      <x:c r="A7" s="24" t="str">
        <x:v>Lobsters, crabs</x:v>
      </x:c>
      <x:c r="B7" s="33" t="n">
        <x:v>3</x:v>
      </x:c>
      <x:c r="C7" s="33" t="n">
        <x:v>3</x:v>
      </x:c>
      <x:c r="D7" s="31" t="n">
        <x:v>6.1703556533</x:v>
      </x:c>
      <x:c r="E7" s="31" t="n">
        <x:v>6.1703556533</x:v>
      </x:c>
      <x:c r="F7" s="32" t="n">
        <x:v>0</x:v>
      </x:c>
      <x:c r="G7" s="34" t="n">
        <x:v>1</x:v>
      </x:c>
      <x:c r="H7" s="32" t="n">
        <x:f>IF(E7=0,"",I7/E7)</x:f>
        <x:v>224.67476206909507</x:v>
      </x:c>
      <x:c r="I7" s="31" t="n">
        <x:f>IF(C7=0,"",SUMIF('Species'!$G$2:$G$74,A7,'Species'!$U$2:$U$74))</x:f>
        <x:v>1386.3231882868731</x:v>
      </x:c>
      <x:c r="J7" s="32" t="n">
        <x:v>3.3465517241459786</x:v>
      </x:c>
      <x:c r="K7" s="32" t="n">
        <x:f>IF(J7="","",(1/'Metadata'!$B$5)^(J7-1))</x:f>
        <x:v>222.10161890559854</x:v>
      </x:c>
      <x:c r="L7" s="31" t="n">
        <x:f>IF(E7=0,"",E7*K7)</x:f>
        <x:v>1370.445979821242</x:v>
      </x:c>
      <x:c r="M7" s="31" t="n">
        <x:f>IF(E7=0,"",I7-L7)</x:f>
        <x:v>15.877208465631156</x:v>
      </x:c>
      <x:c r="N7" s="32" t="n">
        <x:f>IF(L7=0,"",I7/L7)</x:f>
        <x:v>1.0115854318224948</x:v>
      </x:c>
      <x:c r="O7" s="34" t="n">
        <x:f>IF(L7=0,"",M7/L7)</x:f>
        <x:v>0.011585431822494854</x:v>
      </x:c>
    </x:row>
    <x:row r="8" ht="18" customHeight="1">
      <x:c r="A8" s="24" t="str">
        <x:v>Medium demersals (30 - 89 cm)</x:v>
      </x:c>
      <x:c r="B8" s="33" t="n">
        <x:v>4</x:v>
      </x:c>
      <x:c r="C8" s="33" t="n">
        <x:v>4</x:v>
      </x:c>
      <x:c r="D8" s="31" t="n">
        <x:v>680.82693685</x:v>
      </x:c>
      <x:c r="E8" s="31" t="n">
        <x:v>680.82693685</x:v>
      </x:c>
      <x:c r="F8" s="32" t="n">
        <x:v>0</x:v>
      </x:c>
      <x:c r="G8" s="34" t="n">
        <x:v>1</x:v>
      </x:c>
      <x:c r="H8" s="32" t="n">
        <x:f>IF(E8=0,"",I8/E8)</x:f>
        <x:v>261.41724395335785</x:v>
      </x:c>
      <x:c r="I8" s="31" t="n">
        <x:f>IF(C8=0,"",SUMIF('Species'!$G$2:$G$74,A8,'Species'!$U$2:$U$74))</x:f>
        <x:v>177979.90144053384</x:v>
      </x:c>
      <x:c r="J8" s="32" t="n">
        <x:v>3.352636263455372</x:v>
      </x:c>
      <x:c r="K8" s="32" t="n">
        <x:f>IF(J8="","",(1/'Metadata'!$B$5)^(J8-1))</x:f>
        <x:v>225.23519998023178</x:v>
      </x:c>
      <x:c r="L8" s="31" t="n">
        <x:f>IF(E8=0,"",E8*K8)</x:f>
        <x:v>153346.1912733384</x:v>
      </x:c>
      <x:c r="M8" s="31" t="n">
        <x:f>IF(E8=0,"",I8-L8)</x:f>
        <x:v>24633.710167195444</x:v>
      </x:c>
      <x:c r="N8" s="32" t="n">
        <x:f>IF(L8=0,"",I8/L8)</x:f>
        <x:v>1.160641160779051</x:v>
      </x:c>
      <x:c r="O8" s="34" t="n">
        <x:f>IF(L8=0,"",M8/L8)</x:f>
        <x:v>0.16064116077905088</x:v>
      </x:c>
    </x:row>
    <x:row r="9" ht="18" customHeight="1">
      <x:c r="A9" s="24" t="str">
        <x:v>Medium pelagics (30 - 89 cm)</x:v>
      </x:c>
      <x:c r="B9" s="33" t="n">
        <x:v>1</x:v>
      </x:c>
      <x:c r="C9" s="33" t="n">
        <x:v>1</x:v>
      </x:c>
      <x:c r="D9" s="31" t="n">
        <x:v>0.0087033055</x:v>
      </x:c>
      <x:c r="E9" s="31" t="n">
        <x:v>0.0087033055</x:v>
      </x:c>
      <x:c r="F9" s="32" t="n">
        <x:v>0</x:v>
      </x:c>
      <x:c r="G9" s="34" t="n">
        <x:v>1</x:v>
      </x:c>
      <x:c r="H9" s="32" t="n">
        <x:f>IF(E9=0,"",I9/E9)</x:f>
        <x:v>223.872113856834</x:v>
      </x:c>
      <x:c r="I9" s="31" t="n">
        <x:f>IF(C9=0,"",SUMIF('Species'!$G$2:$G$74,A9,'Species'!$U$2:$U$74))</x:f>
        <x:v>1.9484273998268096</x:v>
      </x:c>
      <x:c r="J9" s="32" t="n">
        <x:v>3.35</x:v>
      </x:c>
      <x:c r="K9" s="32" t="n">
        <x:f>IF(J9="","",(1/'Metadata'!$B$5)^(J9-1))</x:f>
        <x:v>223.872113856834</x:v>
      </x:c>
      <x:c r="L9" s="31" t="n">
        <x:f>IF(E9=0,"",E9*K9)</x:f>
        <x:v>1.9484273998268096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reef assoc. fish (30 - 89 cm)</x:v>
      </x:c>
      <x:c r="B10" s="33" t="n">
        <x:v>26</x:v>
      </x:c>
      <x:c r="C10" s="33" t="n">
        <x:v>26</x:v>
      </x:c>
      <x:c r="D10" s="31" t="n">
        <x:v>348.08509255</x:v>
      </x:c>
      <x:c r="E10" s="31" t="n">
        <x:v>348.08509255</x:v>
      </x:c>
      <x:c r="F10" s="32" t="n">
        <x:v>0</x:v>
      </x:c>
      <x:c r="G10" s="34" t="n">
        <x:v>1</x:v>
      </x:c>
      <x:c r="H10" s="32" t="n">
        <x:f>IF(E10=0,"",I10/E10)</x:f>
        <x:v>942.5385854484556</x:v>
      </x:c>
      <x:c r="I10" s="31" t="n">
        <x:f>IF(C10=0,"",SUMIF('Species'!$G$2:$G$74,A10,'Species'!$U$2:$U$74))</x:f>
        <x:v>328083.63074777176</x:v>
      </x:c>
      <x:c r="J10" s="32" t="n">
        <x:v>3.8885183187528467</x:v>
      </x:c>
      <x:c r="K10" s="32" t="n">
        <x:f>IF(J10="","",(1/'Metadata'!$B$5)^(J10-1))</x:f>
        <x:v>773.6033090512498</x:v>
      </x:c>
      <x:c r="L10" s="31" t="n">
        <x:f>IF(E10=0,"",E10*K10)</x:f>
        <x:v>269279.77942809055</x:v>
      </x:c>
      <x:c r="M10" s="31" t="n">
        <x:f>IF(E10=0,"",I10-L10)</x:f>
        <x:v>58803.85131968121</x:v>
      </x:c>
      <x:c r="N10" s="32" t="n">
        <x:f>IF(L10=0,"",I10/L10)</x:f>
        <x:v>1.2183745524620218</x:v>
      </x:c>
      <x:c r="O10" s="34" t="n">
        <x:f>IF(L10=0,"",M10/L10)</x:f>
        <x:v>0.21837455246202178</x:v>
      </x:c>
    </x:row>
    <x:row r="11" ht="18" customHeight="1">
      <x:c r="A11" s="24" t="str">
        <x:v>Other demersal invertebrates</x:v>
      </x:c>
      <x:c r="B11" s="33" t="n">
        <x:v>8</x:v>
      </x:c>
      <x:c r="C11" s="33" t="n">
        <x:v>8</x:v>
      </x:c>
      <x:c r="D11" s="31" t="n">
        <x:v>2937.5509644841995</x:v>
      </x:c>
      <x:c r="E11" s="31" t="n">
        <x:v>2937.5509644841995</x:v>
      </x:c>
      <x:c r="F11" s="32" t="n">
        <x:v>0</x:v>
      </x:c>
      <x:c r="G11" s="34" t="n">
        <x:v>1</x:v>
      </x:c>
      <x:c r="H11" s="32" t="n">
        <x:f>IF(E11=0,"",I11/E11)</x:f>
        <x:v>40.71553136745525</x:v>
      </x:c>
      <x:c r="I11" s="31" t="n">
        <x:f>IF(C11=0,"",SUMIF('Species'!$G$2:$G$74,A11,'Species'!$U$2:$U$74))</x:f>
        <x:v>119603.94843795485</x:v>
      </x:c>
      <x:c r="J11" s="32" t="n">
        <x:v>2.310626825894141</x:v>
      </x:c>
      <x:c r="K11" s="32" t="n">
        <x:f>IF(J11="","",(1/'Metadata'!$B$5)^(J11-1))</x:f>
        <x:v>20.446869534673425</x:v>
      </x:c>
      <x:c r="L11" s="31" t="n">
        <x:f>IF(E11=0,"",E11*K11)</x:f>
        <x:v>60063.721322262514</x:v>
      </x:c>
      <x:c r="M11" s="31" t="n">
        <x:f>IF(E11=0,"",I11-L11)</x:f>
        <x:v>59540.22711569234</x:v>
      </x:c>
      <x:c r="N11" s="32" t="n">
        <x:f>IF(L11=0,"",I11/L11)</x:f>
        <x:v>1.9912843527665984</x:v>
      </x:c>
      <x:c r="O11" s="34" t="n">
        <x:f>IF(L11=0,"",M11/L11)</x:f>
        <x:v>0.9912843527665985</x:v>
      </x:c>
    </x:row>
    <x:row r="12" ht="18" customHeight="1">
      <x:c r="A12" s="24" t="str">
        <x:v>Small pelagics (&lt;30 cm)</x:v>
      </x:c>
      <x:c r="B12" s="33" t="n">
        <x:v>2</x:v>
      </x:c>
      <x:c r="C12" s="33" t="n">
        <x:v>2</x:v>
      </x:c>
      <x:c r="D12" s="31" t="n">
        <x:v>9.3222918727</x:v>
      </x:c>
      <x:c r="E12" s="31" t="n">
        <x:v>9.3222918727</x:v>
      </x:c>
      <x:c r="F12" s="32" t="n">
        <x:v>0</x:v>
      </x:c>
      <x:c r="G12" s="34" t="n">
        <x:v>1</x:v>
      </x:c>
      <x:c r="H12" s="32" t="n">
        <x:f>IF(E12=0,"",I12/E12)</x:f>
        <x:v>1288.747374757516</x:v>
      </x:c>
      <x:c r="I12" s="31" t="n">
        <x:f>IF(C12=0,"",SUMIF('Species'!$G$2:$G$74,A12,'Species'!$U$2:$U$74))</x:f>
        <x:v>12014.07917766545</x:v>
      </x:c>
      <x:c r="J12" s="32" t="n">
        <x:v>3.622024030332526</x:v>
      </x:c>
      <x:c r="K12" s="32" t="n">
        <x:f>IF(J12="","",(1/'Metadata'!$B$5)^(J12-1))</x:f>
        <x:v>418.816738396597</x:v>
      </x:c>
      <x:c r="L12" s="31" t="n">
        <x:f>IF(E12=0,"",E12*K12)</x:f>
        <x:v>3904.3318765053177</x:v>
      </x:c>
      <x:c r="M12" s="31" t="n">
        <x:f>IF(E12=0,"",I12-L12)</x:f>
        <x:v>8109.747301160132</x:v>
      </x:c>
      <x:c r="N12" s="32" t="n">
        <x:f>IF(L12=0,"",I12/L12)</x:f>
        <x:v>3.077115254971355</x:v>
      </x:c>
      <x:c r="O12" s="34" t="n">
        <x:f>IF(L12=0,"",M12/L12)</x:f>
        <x:v>2.077115254971355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58bc6dd77c542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EEZ_977</x:v>
      </x:c>
      <x:c r="B2" s="24" t="str">
        <x:v>raw_filtered_tonnes</x:v>
      </x:c>
      <x:c r="C2" s="24" t="n">
        <x:v>5568.2319259029</x:v>
      </x:c>
      <x:c r="D2" s="24" t="str">
        <x:v>tonnes</x:v>
      </x:c>
    </x:row>
    <x:row r="3" ht="18" customHeight="1">
      <x:c r="A3" s="24" t="str">
        <x:v>EEZ_977</x:v>
      </x:c>
      <x:c r="B3" s="24" t="str">
        <x:v>species_catch_tonnes</x:v>
      </x:c>
      <x:c r="C3" s="24" t="n">
        <x:v>5568.2319259029</x:v>
      </x:c>
      <x:c r="D3" s="24" t="str">
        <x:v>tonnes</x:v>
      </x:c>
    </x:row>
    <x:row r="4" ht="18" customHeight="1">
      <x:c r="A4" s="24" t="str">
        <x:v>EEZ_977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EEZ_977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EEZ_977</x:v>
      </x:c>
      <x:c r="B6" s="24" t="str">
        <x:v>matched_catch_tonnes</x:v>
      </x:c>
      <x:c r="C6" s="24" t="n">
        <x:v>5568.2319259029</x:v>
      </x:c>
      <x:c r="D6" s="24" t="str">
        <x:v>tonnes</x:v>
      </x:c>
    </x:row>
    <x:row r="7" ht="18" customHeight="1">
      <x:c r="A7" s="24" t="str">
        <x:v>EEZ_977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EEZ_977</x:v>
      </x:c>
      <x:c r="B8" s="24" t="str">
        <x:v>taxa_count</x:v>
      </x:c>
      <x:c r="C8" s="24" t="n">
        <x:v>73</x:v>
      </x:c>
      <x:c r="D8" s="24" t="str">
        <x:v>count</x:v>
      </x:c>
    </x:row>
    <x:row r="9" ht="18" customHeight="1">
      <x:c r="A9" s="24" t="str">
        <x:v>EEZ_977</x:v>
      </x:c>
      <x:c r="B9" s="24" t="str">
        <x:v>matched_taxa_count</x:v>
      </x:c>
      <x:c r="C9" s="24" t="n">
        <x:v>73</x:v>
      </x:c>
      <x:c r="D9" s="24" t="str">
        <x:v>count</x:v>
      </x:c>
    </x:row>
    <x:row r="10" ht="18" customHeight="1">
      <x:c r="A10" s="24" t="str">
        <x:v>EEZ_977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EEZ_977</x:v>
      </x:c>
      <x:c r="B11" s="24" t="str">
        <x:v>species_ppr</x:v>
      </x:c>
      <x:c r="C11" s="24" t="n">
        <x:v>4326547.356832713</x:v>
      </x:c>
      <x:c r="D11" s="24" t="str">
        <x:v>tonnes_primary_production_equivalent</x:v>
      </x:c>
    </x:row>
    <x:row r="12" ht="18" customHeight="1">
      <x:c r="A12" s="24" t="str">
        <x:v>EEZ_977</x:v>
      </x:c>
      <x:c r="B12" s="24" t="str">
        <x:v>commercial_ppr</x:v>
      </x:c>
      <x:c r="C12" s="24" t="n">
        <x:v>4326547.356832713</x:v>
      </x:c>
      <x:c r="D12" s="24" t="str">
        <x:v>tonnes_primary_production_equivalent</x:v>
      </x:c>
    </x:row>
    <x:row r="13" ht="18" customHeight="1">
      <x:c r="A13" s="24" t="str">
        <x:v>EEZ_977</x:v>
      </x:c>
      <x:c r="B13" s="24" t="str">
        <x:v>functional_ppr</x:v>
      </x:c>
      <x:c r="C13" s="24" t="n">
        <x:v>4326547.356832713</x:v>
      </x:c>
      <x:c r="D13" s="24" t="str">
        <x:v>tonnes_primary_production_equivalent</x:v>
      </x:c>
    </x:row>
    <x:row r="14" ht="18" customHeight="1">
      <x:c r="A14" s="24" t="str">
        <x:v>EEZ_977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EEZ_977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EEZ_977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EEZ_977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EEZ_977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EEZ_977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5bd3a28872647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EEZ_977 - Yemen (Socotra)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