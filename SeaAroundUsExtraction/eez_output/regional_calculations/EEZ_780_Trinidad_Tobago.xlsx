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8475bf387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9fbe1b0729b4a9a"/>
    <x:sheet xmlns:r="http://schemas.openxmlformats.org/officeDocument/2006/relationships" name="Commercial" sheetId="2" r:id="R361f976598794741"/>
    <x:sheet xmlns:r="http://schemas.openxmlformats.org/officeDocument/2006/relationships" name="Functional" sheetId="3" r:id="R40258da8e5ae4194"/>
    <x:sheet xmlns:r="http://schemas.openxmlformats.org/officeDocument/2006/relationships" name="Missing TL" sheetId="4" r:id="R76bd01e22b704681"/>
    <x:sheet xmlns:r="http://schemas.openxmlformats.org/officeDocument/2006/relationships" name="Validation" sheetId="5" r:id="Re0310792ba8648e2"/>
    <x:sheet xmlns:r="http://schemas.openxmlformats.org/officeDocument/2006/relationships" name="Metadata" sheetId="6" r:id="R97118eecc2e3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c0be515df4cf8" /><Relationship Type="http://schemas.openxmlformats.org/officeDocument/2006/relationships/theme" Target="/xl/theme/theme1.xml" Id="R7e12c0d6c76c47a8" /><Relationship Type="http://schemas.microsoft.com/office/2022/11/relationships/FeaturePropertyBag" Target="/xl/featurePropertyBag/featurePropertyBag.xml" Id="Rad2d93fd899d4309" /><Relationship Type="http://schemas.openxmlformats.org/officeDocument/2006/relationships/sharedStrings" Target="/xl/sharedStrings.xml" Id="R5965a58fd3a84d9a" /><Relationship Type="http://schemas.openxmlformats.org/officeDocument/2006/relationships/worksheet" Target="/xl/worksheets/sheet1.xml" Id="R79fbe1b0729b4a9a" /><Relationship Type="http://schemas.openxmlformats.org/officeDocument/2006/relationships/worksheet" Target="/xl/worksheets/sheet2.xml" Id="R361f976598794741" /><Relationship Type="http://schemas.openxmlformats.org/officeDocument/2006/relationships/worksheet" Target="/xl/worksheets/sheet3.xml" Id="R40258da8e5ae4194" /><Relationship Type="http://schemas.openxmlformats.org/officeDocument/2006/relationships/worksheet" Target="/xl/worksheets/sheet4.xml" Id="R76bd01e22b704681" /><Relationship Type="http://schemas.openxmlformats.org/officeDocument/2006/relationships/worksheet" Target="/xl/worksheets/sheet5.xml" Id="Re0310792ba8648e2" /><Relationship Type="http://schemas.openxmlformats.org/officeDocument/2006/relationships/worksheet" Target="/xl/worksheets/sheet6.xml" Id="R97118eecc2e34d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80SpeciesTable" displayName="EEZ780SpeciesTable" ref="A1:U98" headerRowCount="1" totalsRowCount="0" totalsRowShown="0">
  <x:autoFilter ref="A1:U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80CommercialTable" displayName="EEZ78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80FunctionalTable" displayName="EEZ780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80ValidationTable" displayName="EEZ78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7e4a5e236a48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2681b1f3264e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0b98219e0e4f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dd73375f3e42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EEZ_780</x:v>
      </x:c>
      <x:c r="B2" s="24" t="str">
        <x:v>Trinidad &amp; Tobago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4066.4800842629</x:v>
      </x:c>
      <x:c r="J2" s="31" t="n">
        <x:v>4066.4800842629</x:v>
      </x:c>
      <x:c r="K2" s="31" t="n">
        <x:v>0</x:v>
      </x:c>
      <x:c r="L2" s="31" t="n">
        <x:v>3786.2422164734003</x:v>
      </x:c>
      <x:c r="M2" s="31" t="n">
        <x:v>280.2378677895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7399777.300853593</x:v>
      </x:c>
    </x:row>
    <x:row r="3" ht="18" customHeight="1">
      <x:c r="A3" s="24" t="str">
        <x:v>EEZ_780</x:v>
      </x:c>
      <x:c r="B3" s="24" t="str">
        <x:v>Trinidad &amp; Tobago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3091.7735066059</x:v>
      </x:c>
      <x:c r="J3" s="31" t="n">
        <x:v>2318.4163018907</x:v>
      </x:c>
      <x:c r="K3" s="31" t="n">
        <x:v>773.3572047151999</x:v>
      </x:c>
      <x:c r="L3" s="31" t="n">
        <x:v>972.6837073225</x:v>
      </x:c>
      <x:c r="M3" s="31" t="n">
        <x:v>2119.0897992834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589125.2965677022</x:v>
      </x:c>
    </x:row>
    <x:row r="4" ht="18" customHeight="1">
      <x:c r="A4" s="24" t="str">
        <x:v>EEZ_780</x:v>
      </x:c>
      <x:c r="B4" s="24" t="str">
        <x:v>Trinidad &amp; Tobago</x:v>
      </x:c>
      <x:c r="C4" s="24" t="str">
        <x:v>EEZ</x:v>
      </x:c>
      <x:c r="D4" s="30" t="n">
        <x:v>2019</x:v>
      </x:c>
      <x:c r="E4" s="24" t="str">
        <x:v>Sciaenidae</x:v>
      </x:c>
      <x:c r="F4" s="24" t="str">
        <x:v>Drums, croakers</x:v>
      </x:c>
      <x:c r="G4" s="24" t="str">
        <x:v>Medium demersals (30 - 89 cm)</x:v>
      </x:c>
      <x:c r="H4" s="24" t="str">
        <x:v>Perch-likes</x:v>
      </x:c>
      <x:c r="I4" s="31" t="n">
        <x:v>2082.6845865626</x:v>
      </x:c>
      <x:c r="J4" s="31" t="n">
        <x:v>2006.8013186901999</x:v>
      </x:c>
      <x:c r="K4" s="31" t="n">
        <x:v>75.88326787240001</x:v>
      </x:c>
      <x:c r="L4" s="31" t="n">
        <x:v>1177.2760971154999</x:v>
      </x:c>
      <x:c r="M4" s="31" t="n">
        <x:v>905.4084894471</x:v>
      </x:c>
      <x:c r="N4" s="24" t="str">
        <x:v>sciaenidae</x:v>
      </x:c>
      <x:c r="O4" s="32" t="n">
        <x:v>3.76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Sciaenidae</x:v>
      </x:c>
      <x:c r="T4" s="32" t="n">
        <x:f>IF(O4="","",(1/'Metadata'!$B$5)^(O4-1))</x:f>
        <x:v>575.4399373371566</x:v>
      </x:c>
      <x:c r="U4" s="31" t="n">
        <x:f>IF(T4="","",I4*T4)</x:f>
        <x:v>1198459.8879846446</x:v>
      </x:c>
    </x:row>
    <x:row r="5" ht="18" customHeight="1">
      <x:c r="A5" s="24" t="str">
        <x:v>EEZ_780</x:v>
      </x:c>
      <x:c r="B5" s="24" t="str">
        <x:v>Trinidad &amp; Tobago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2019.6372154109</x:v>
      </x:c>
      <x:c r="J5" s="31" t="n">
        <x:v>2011.5875519219</x:v>
      </x:c>
      <x:c r="K5" s="31" t="n">
        <x:v>8.049663489</x:v>
      </x:c>
      <x:c r="L5" s="31" t="n">
        <x:v>1445.6614331924</x:v>
      </x:c>
      <x:c r="M5" s="31" t="n">
        <x:v>573.9757822185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2114819.784962775</x:v>
      </x:c>
    </x:row>
    <x:row r="6" ht="18" customHeight="1">
      <x:c r="A6" s="24" t="str">
        <x:v>EEZ_780</x:v>
      </x:c>
      <x:c r="B6" s="24" t="str">
        <x:v>Trinidad &amp; Tobago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1060.5143007506001</x:v>
      </x:c>
      <x:c r="J6" s="31" t="n">
        <x:v>1027.3868833017</x:v>
      </x:c>
      <x:c r="K6" s="31" t="n">
        <x:v>33.1274174489</x:v>
      </x:c>
      <x:c r="L6" s="31" t="n">
        <x:v>806.9075173442</x:v>
      </x:c>
      <x:c r="M6" s="31" t="n">
        <x:v>253.6067834064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1189916.6164933154</x:v>
      </x:c>
    </x:row>
    <x:row r="7" ht="18" customHeight="1">
      <x:c r="A7" s="24" t="str">
        <x:v>EEZ_780</x:v>
      </x:c>
      <x:c r="B7" s="24" t="str">
        <x:v>Trinidad &amp; Tobago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931.0934216742</x:v>
      </x:c>
      <x:c r="J7" s="31" t="n">
        <x:v>930.0251673226</x:v>
      </x:c>
      <x:c r="K7" s="31" t="n">
        <x:v>1.0682543516</x:v>
      </x:c>
      <x:c r="L7" s="31" t="n">
        <x:v>849.2145297106999</x:v>
      </x:c>
      <x:c r="M7" s="31" t="n">
        <x:v>81.87889196350001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1618054.9198285174</x:v>
      </x:c>
    </x:row>
    <x:row r="8" ht="18" customHeight="1">
      <x:c r="A8" s="24" t="str">
        <x:v>EEZ_780</x:v>
      </x:c>
      <x:c r="B8" s="24" t="str">
        <x:v>Trinidad &amp; Tobago</x:v>
      </x:c>
      <x:c r="C8" s="24" t="str">
        <x:v>EEZ</x:v>
      </x:c>
      <x:c r="D8" s="30" t="n">
        <x:v>2019</x:v>
      </x:c>
      <x:c r="E8" s="24" t="str">
        <x:v>Scomberomorus brasiliensis</x:v>
      </x:c>
      <x:c r="F8" s="24" t="str">
        <x:v>Serra Spanish mackerel</x:v>
      </x:c>
      <x:c r="G8" s="24" t="str">
        <x:v>Large pelagics (&gt;=90 cm)</x:v>
      </x:c>
      <x:c r="H8" s="24" t="str">
        <x:v>Perch-likes</x:v>
      </x:c>
      <x:c r="I8" s="31" t="n">
        <x:v>905.761992516</x:v>
      </x:c>
      <x:c r="J8" s="31" t="n">
        <x:v>905.761992516</x:v>
      </x:c>
      <x:c r="K8" s="31" t="n">
        <x:v>0</x:v>
      </x:c>
      <x:c r="L8" s="31" t="n">
        <x:v>677.0583214626</x:v>
      </x:c>
      <x:c r="M8" s="31" t="n">
        <x:v>228.7036710534</x:v>
      </x:c>
      <x:c r="N8" s="24" t="str">
        <x:v>scomberomorus brasiliensis</x:v>
      </x:c>
      <x:c r="O8" s="32" t="n">
        <x:v>3.31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brasiliensis</x:v>
      </x:c>
      <x:c r="T8" s="32" t="n">
        <x:f>IF(O8="","",(1/'Metadata'!$B$5)^(O8-1))</x:f>
        <x:v>204.17379446695296</x:v>
      </x:c>
      <x:c r="U8" s="31" t="n">
        <x:f>IF(T8="","",I8*T8)</x:f>
        <x:v>184932.86289593956</x:v>
      </x:c>
    </x:row>
    <x:row r="9" ht="18" customHeight="1">
      <x:c r="A9" s="24" t="str">
        <x:v>EEZ_780</x:v>
      </x:c>
      <x:c r="B9" s="24" t="str">
        <x:v>Trinidad &amp; Tobago</x:v>
      </x:c>
      <x:c r="C9" s="24" t="str">
        <x:v>EEZ</x:v>
      </x:c>
      <x:c r="D9" s="30" t="n">
        <x:v>2019</x:v>
      </x:c>
      <x:c r="E9" s="24" t="str">
        <x:v>Penaeidae</x:v>
      </x:c>
      <x:c r="F9" s="24" t="str">
        <x:v>Commercial shrimps and prawns</x:v>
      </x:c>
      <x:c r="G9" s="24" t="str">
        <x:v>Shrimps</x:v>
      </x:c>
      <x:c r="H9" s="24" t="str">
        <x:v>Crustaceans</x:v>
      </x:c>
      <x:c r="I9" s="31" t="n">
        <x:v>557.4933502725</x:v>
      </x:c>
      <x:c r="J9" s="31" t="n">
        <x:v>557.4933502725</x:v>
      </x:c>
      <x:c r="K9" s="31" t="n">
        <x:v>0</x:v>
      </x:c>
      <x:c r="L9" s="31" t="n">
        <x:v>449.88328993</x:v>
      </x:c>
      <x:c r="M9" s="31" t="n">
        <x:v>107.6100603425</x:v>
      </x:c>
      <x:c r="N9" s="24" t="str">
        <x:v>penaeidae</x:v>
      </x:c>
      <x:c r="O9" s="32" t="n">
        <x:v>3.31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Penaeidae</x:v>
      </x:c>
      <x:c r="T9" s="32" t="n">
        <x:f>IF(O9="","",(1/'Metadata'!$B$5)^(O9-1))</x:f>
        <x:v>204.17379446695296</x:v>
      </x:c>
      <x:c r="U9" s="31" t="n">
        <x:f>IF(T9="","",I9*T9)</x:f>
        <x:v>113825.53271523044</x:v>
      </x:c>
    </x:row>
    <x:row r="10" ht="18" customHeight="1">
      <x:c r="A10" s="24" t="str">
        <x:v>EEZ_780</x:v>
      </x:c>
      <x:c r="B10" s="24" t="str">
        <x:v>Trinidad &amp; Tobago</x:v>
      </x:c>
      <x:c r="C10" s="24" t="str">
        <x:v>EEZ</x:v>
      </x:c>
      <x:c r="D10" s="30" t="n">
        <x:v>2019</x:v>
      </x:c>
      <x:c r="E10" s="24" t="str">
        <x:v>Clupeidae</x:v>
      </x:c>
      <x:c r="F10" s="24" t="str">
        <x:v>Herrings, sardines, menhadens</x:v>
      </x:c>
      <x:c r="G10" s="24" t="str">
        <x:v>Small pelagics (&lt;30 cm)</x:v>
      </x:c>
      <x:c r="H10" s="24" t="str">
        <x:v>Herring-likes</x:v>
      </x:c>
      <x:c r="I10" s="31" t="n">
        <x:v>551.8367535574</x:v>
      </x:c>
      <x:c r="J10" s="31" t="n">
        <x:v>502.3642457745</x:v>
      </x:c>
      <x:c r="K10" s="31" t="n">
        <x:v>49.4725077829</x:v>
      </x:c>
      <x:c r="L10" s="31" t="n">
        <x:v>465.1594991105</x:v>
      </x:c>
      <x:c r="M10" s="31" t="n">
        <x:v>86.67725444690001</x:v>
      </x:c>
      <x:c r="N10" s="24" t="str">
        <x:v>clupeidae</x:v>
      </x:c>
      <x:c r="O10" s="32" t="n">
        <x:v>3.16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Clupeidae</x:v>
      </x:c>
      <x:c r="T10" s="32" t="n">
        <x:f>IF(O10="","",(1/'Metadata'!$B$5)^(O10-1))</x:f>
        <x:v>144.5439770745928</x:v>
      </x:c>
      <x:c r="U10" s="31" t="n">
        <x:f>IF(T10="","",I10*T10)</x:f>
        <x:v>79764.67905511854</x:v>
      </x:c>
    </x:row>
    <x:row r="11" ht="18" customHeight="1">
      <x:c r="A11" s="24" t="str">
        <x:v>EEZ_780</x:v>
      </x:c>
      <x:c r="B11" s="24" t="str">
        <x:v>Trinidad &amp; Tobago</x:v>
      </x:c>
      <x:c r="C11" s="24" t="str">
        <x:v>EEZ</x:v>
      </x:c>
      <x:c r="D11" s="30" t="n">
        <x:v>2019</x:v>
      </x:c>
      <x:c r="E11" s="24" t="str">
        <x:v>Sphyraenidae</x:v>
      </x:c>
      <x:c r="F11" s="24" t="str">
        <x:v>Barracudas</x:v>
      </x:c>
      <x:c r="G11" s="24" t="str">
        <x:v>Medium reef assoc. fish (30 - 89 cm)</x:v>
      </x:c>
      <x:c r="H11" s="24" t="str">
        <x:v>Perch-likes</x:v>
      </x:c>
      <x:c r="I11" s="31" t="n">
        <x:v>479.24179834380004</x:v>
      </x:c>
      <x:c r="J11" s="31" t="n">
        <x:v>477.4246482914</x:v>
      </x:c>
      <x:c r="K11" s="31" t="n">
        <x:v>1.8171500524000002</x:v>
      </x:c>
      <x:c r="L11" s="31" t="n">
        <x:v>426.7521411762</x:v>
      </x:c>
      <x:c r="M11" s="31" t="n">
        <x:v>52.4896571676</x:v>
      </x:c>
      <x:c r="N11" s="24" t="str">
        <x:v>sphyraenidae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Sphyraenidae</x:v>
      </x:c>
      <x:c r="T11" s="32" t="n">
        <x:f>IF(O11="","",(1/'Metadata'!$B$5)^(O11-1))</x:f>
        <x:v>2511.886431509582</x:v>
      </x:c>
      <x:c r="U11" s="31" t="n">
        <x:f>IF(T11="","",I11*T11)</x:f>
        <x:v>1203800.9706720426</x:v>
      </x:c>
    </x:row>
    <x:row r="12" ht="18" customHeight="1">
      <x:c r="A12" s="24" t="str">
        <x:v>EEZ_780</x:v>
      </x:c>
      <x:c r="B12" s="24" t="str">
        <x:v>Trinidad &amp; Tobago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283.0644975936</x:v>
      </x:c>
      <x:c r="J12" s="31" t="n">
        <x:v>283.0644975936</x:v>
      </x:c>
      <x:c r="K12" s="31" t="n">
        <x:v>0</x:v>
      </x:c>
      <x:c r="L12" s="31" t="n">
        <x:v>283.0644975936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633702.4743410186</x:v>
      </x:c>
    </x:row>
    <x:row r="13" ht="18" customHeight="1">
      <x:c r="A13" s="24" t="str">
        <x:v>EEZ_780</x:v>
      </x:c>
      <x:c r="B13" s="24" t="str">
        <x:v>Trinidad &amp; Tobago</x:v>
      </x:c>
      <x:c r="C13" s="24" t="str">
        <x:v>EEZ</x:v>
      </x:c>
      <x:c r="D13" s="30" t="n">
        <x:v>2019</x:v>
      </x:c>
      <x:c r="E13" s="24" t="str">
        <x:v>Ariidae</x:v>
      </x:c>
      <x:c r="F13" s="24" t="str">
        <x:v>Sea catfishes, coblers</x:v>
      </x:c>
      <x:c r="G13" s="24" t="str">
        <x:v>Medium demersals (30 - 89 cm)</x:v>
      </x:c>
      <x:c r="H13" s="24" t="str">
        <x:v>Other fishes &amp; inverts</x:v>
      </x:c>
      <x:c r="I13" s="31" t="n">
        <x:v>281.1864557612</x:v>
      </x:c>
      <x:c r="J13" s="31" t="n">
        <x:v>269.557016758</x:v>
      </x:c>
      <x:c r="K13" s="31" t="n">
        <x:v>11.6294390032</x:v>
      </x:c>
      <x:c r="L13" s="31" t="n">
        <x:v>217.49662106809998</x:v>
      </x:c>
      <x:c r="M13" s="31" t="n">
        <x:v>63.689834693099996</x:v>
      </x:c>
      <x:c r="N13" s="24" t="str">
        <x:v>ariidae</x:v>
      </x:c>
      <x:c r="O13" s="32" t="n">
        <x:v>3.48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Ariidae</x:v>
      </x:c>
      <x:c r="T13" s="32" t="n">
        <x:f>IF(O13="","",(1/'Metadata'!$B$5)^(O13-1))</x:f>
        <x:v>301.9951720402016</x:v>
      </x:c>
      <x:c r="U13" s="31" t="n">
        <x:f>IF(T13="","",I13*T13)</x:f>
        <x:v>84916.95208297814</x:v>
      </x:c>
    </x:row>
    <x:row r="14" ht="18" customHeight="1">
      <x:c r="A14" s="24" t="str">
        <x:v>EEZ_780</x:v>
      </x:c>
      <x:c r="B14" s="24" t="str">
        <x:v>Trinidad &amp; Tobago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274.16255881999996</x:v>
      </x:c>
      <x:c r="J14" s="31" t="n">
        <x:v>274.16255881999996</x:v>
      </x:c>
      <x:c r="K14" s="31" t="n">
        <x:v>0</x:v>
      </x:c>
      <x:c r="L14" s="31" t="n">
        <x:v>274.16255881999996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61377.351583431984</x:v>
      </x:c>
    </x:row>
    <x:row r="15" ht="18" customHeight="1">
      <x:c r="A15" s="24" t="str">
        <x:v>EEZ_780</x:v>
      </x:c>
      <x:c r="B15" s="24" t="str">
        <x:v>Trinidad &amp; Tobago</x:v>
      </x:c>
      <x:c r="C15" s="24" t="str">
        <x:v>EEZ</x:v>
      </x:c>
      <x:c r="D15" s="30" t="n">
        <x:v>2019</x:v>
      </x:c>
      <x:c r="E15" s="24" t="str">
        <x:v>Lutjanus purpureus</x:v>
      </x:c>
      <x:c r="F15" s="24" t="str">
        <x:v>Southern red snapper</x:v>
      </x:c>
      <x:c r="G15" s="24" t="str">
        <x:v>Medium demersals (30 - 89 cm)</x:v>
      </x:c>
      <x:c r="H15" s="24" t="str">
        <x:v>Perch-likes</x:v>
      </x:c>
      <x:c r="I15" s="31" t="n">
        <x:v>249.4895668768</x:v>
      </x:c>
      <x:c r="J15" s="31" t="n">
        <x:v>249.4895668768</x:v>
      </x:c>
      <x:c r="K15" s="31" t="n">
        <x:v>0</x:v>
      </x:c>
      <x:c r="L15" s="31" t="n">
        <x:v>249.4895668768</x:v>
      </x:c>
      <x:c r="M15" s="31" t="n">
        <x:v>0</x:v>
      </x:c>
      <x:c r="N15" s="24" t="str">
        <x:v>lutjanus purpureus</x:v>
      </x:c>
      <x:c r="O15" s="32" t="n">
        <x:v>3.58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purpureus</x:v>
      </x:c>
      <x:c r="T15" s="32" t="n">
        <x:f>IF(O15="","",(1/'Metadata'!$B$5)^(O15-1))</x:f>
        <x:v>380.1893963205613</x:v>
      </x:c>
      <x:c r="U15" s="31" t="n">
        <x:f>IF(T15="","",I15*T15)</x:f>
        <x:v>94853.2878191689</x:v>
      </x:c>
    </x:row>
    <x:row r="16" ht="18" customHeight="1">
      <x:c r="A16" s="24" t="str">
        <x:v>EEZ_780</x:v>
      </x:c>
      <x:c r="B16" s="24" t="str">
        <x:v>Trinidad &amp; Tobago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237.05028971119998</x:v>
      </x:c>
      <x:c r="J16" s="31" t="n">
        <x:v>234.7569794482</x:v>
      </x:c>
      <x:c r="K16" s="31" t="n">
        <x:v>2.293310263</x:v>
      </x:c>
      <x:c r="L16" s="31" t="n">
        <x:v>190.0870874062</x:v>
      </x:c>
      <x:c r="M16" s="31" t="n">
        <x:v>46.963202305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54305.08407786171</x:v>
      </x:c>
    </x:row>
    <x:row r="17" ht="18" customHeight="1">
      <x:c r="A17" s="24" t="str">
        <x:v>EEZ_780</x:v>
      </x:c>
      <x:c r="B17" s="24" t="str">
        <x:v>Trinidad &amp; Tobago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220.6879942224</x:v>
      </x:c>
      <x:c r="J17" s="31" t="n">
        <x:v>220.6879942224</x:v>
      </x:c>
      <x:c r="K17" s="31" t="n">
        <x:v>0</x:v>
      </x:c>
      <x:c r="L17" s="31" t="n">
        <x:v>106.3361586957</x:v>
      </x:c>
      <x:c r="M17" s="31" t="n">
        <x:v>114.3518355267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517343.1552513067</x:v>
      </x:c>
    </x:row>
    <x:row r="18" ht="18" customHeight="1">
      <x:c r="A18" s="24" t="str">
        <x:v>EEZ_780</x:v>
      </x:c>
      <x:c r="B18" s="24" t="str">
        <x:v>Trinidad &amp; Tobago</x:v>
      </x:c>
      <x:c r="C18" s="24" t="str">
        <x:v>EEZ</x:v>
      </x:c>
      <x:c r="D18" s="30" t="n">
        <x:v>2019</x:v>
      </x:c>
      <x:c r="E18" s="24" t="str">
        <x:v>Scomberomorus cavalla</x:v>
      </x:c>
      <x:c r="F18" s="24" t="str">
        <x:v>King mackerel</x:v>
      </x:c>
      <x:c r="G18" s="24" t="str">
        <x:v>Large pelagics (&gt;=90 cm)</x:v>
      </x:c>
      <x:c r="H18" s="24" t="str">
        <x:v>Perch-likes</x:v>
      </x:c>
      <x:c r="I18" s="31" t="n">
        <x:v>205.8756776428</x:v>
      </x:c>
      <x:c r="J18" s="31" t="n">
        <x:v>205.8756776428</x:v>
      </x:c>
      <x:c r="K18" s="31" t="n">
        <x:v>0</x:v>
      </x:c>
      <x:c r="L18" s="31" t="n">
        <x:v>0.0423736948</x:v>
      </x:c>
      <x:c r="M18" s="31" t="n">
        <x:v>205.833303948</x:v>
      </x:c>
      <x:c r="N18" s="24" t="str">
        <x:v>scomberomorus cavalla</x:v>
      </x:c>
      <x:c r="O18" s="32" t="n">
        <x:v>4.42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cavalla</x:v>
      </x:c>
      <x:c r="T18" s="32" t="n">
        <x:f>IF(O18="","",(1/'Metadata'!$B$5)^(O18-1))</x:f>
        <x:v>2630.2679918953813</x:v>
      </x:c>
      <x:c r="U18" s="31" t="n">
        <x:f>IF(T18="","",I18*T18)</x:f>
        <x:v>541508.2052136285</x:v>
      </x:c>
    </x:row>
    <x:row r="19" ht="18" customHeight="1">
      <x:c r="A19" s="24" t="str">
        <x:v>EEZ_780</x:v>
      </x:c>
      <x:c r="B19" s="24" t="str">
        <x:v>Trinidad &amp; Tobago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190.46015464680002</x:v>
      </x:c>
      <x:c r="J19" s="31" t="n">
        <x:v>190.46015464680002</x:v>
      </x:c>
      <x:c r="K19" s="31" t="n">
        <x:v>0</x:v>
      </x:c>
      <x:c r="L19" s="31" t="n">
        <x:v>190.46015464680002</x:v>
      </x:c>
      <x:c r="M19" s="31" t="n">
        <x:v>0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489557.97828964057</x:v>
      </x:c>
    </x:row>
    <x:row r="20" ht="18" customHeight="1">
      <x:c r="A20" s="24" t="str">
        <x:v>EEZ_780</x:v>
      </x:c>
      <x:c r="B20" s="24" t="str">
        <x:v>Trinidad &amp; Tobago</x:v>
      </x:c>
      <x:c r="C20" s="24" t="str">
        <x:v>EEZ</x:v>
      </x:c>
      <x:c r="D20" s="30" t="n">
        <x:v>2019</x:v>
      </x:c>
      <x:c r="E20" s="24" t="str">
        <x:v>Trichiuridae</x:v>
      </x:c>
      <x:c r="F20" s="24" t="str">
        <x:v>Cutlassfishes</x:v>
      </x:c>
      <x:c r="G20" s="24" t="str">
        <x:v>Large benthopelagics (&gt;=90 cm)</x:v>
      </x:c>
      <x:c r="H20" s="24" t="str">
        <x:v>Perch-likes</x:v>
      </x:c>
      <x:c r="I20" s="31" t="n">
        <x:v>174.2895565549</x:v>
      </x:c>
      <x:c r="J20" s="31" t="n">
        <x:v>75.4363332768</x:v>
      </x:c>
      <x:c r="K20" s="31" t="n">
        <x:v>98.85322327809999</x:v>
      </x:c>
      <x:c r="L20" s="31" t="n">
        <x:v>49.2768925868</x:v>
      </x:c>
      <x:c r="M20" s="31" t="n">
        <x:v>125.0126639681</x:v>
      </x:c>
      <x:c r="N20" s="24" t="str">
        <x:v>trichiuridae</x:v>
      </x:c>
      <x:c r="O20" s="32" t="n">
        <x:v>4.15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Trichiuridae</x:v>
      </x:c>
      <x:c r="T20" s="32" t="n">
        <x:f>IF(O20="","",(1/'Metadata'!$B$5)^(O20-1))</x:f>
        <x:v>1412.5375446227554</x:v>
      </x:c>
      <x:c r="U20" s="31" t="n">
        <x:f>IF(T20="","",I20*T20)</x:f>
        <x:v>246190.54226944732</x:v>
      </x:c>
    </x:row>
    <x:row r="21" ht="18" customHeight="1">
      <x:c r="A21" s="24" t="str">
        <x:v>EEZ_780</x:v>
      </x:c>
      <x:c r="B21" s="24" t="str">
        <x:v>Trinidad &amp; Tobago</x:v>
      </x:c>
      <x:c r="C21" s="24" t="str">
        <x:v>EEZ</x:v>
      </x:c>
      <x:c r="D21" s="30" t="n">
        <x:v>2019</x:v>
      </x:c>
      <x:c r="E21" s="24" t="str">
        <x:v>Gerreidae</x:v>
      </x:c>
      <x:c r="F21" s="24" t="str">
        <x:v>Mojarras, silverbellies</x:v>
      </x:c>
      <x:c r="G21" s="24" t="str">
        <x:v>Small benthopelagics (&lt;30 cm)</x:v>
      </x:c>
      <x:c r="H21" s="24" t="str">
        <x:v>Perch-likes</x:v>
      </x:c>
      <x:c r="I21" s="31" t="n">
        <x:v>127.9859063497</x:v>
      </x:c>
      <x:c r="J21" s="31" t="n">
        <x:v>104.47312000310001</x:v>
      </x:c>
      <x:c r="K21" s="31" t="n">
        <x:v>23.512786346600002</x:v>
      </x:c>
      <x:c r="L21" s="31" t="n">
        <x:v>96.9255041711</x:v>
      </x:c>
      <x:c r="M21" s="31" t="n">
        <x:v>31.0604021786</x:v>
      </x:c>
      <x:c r="N21" s="24" t="str">
        <x:v>gerreidae</x:v>
      </x:c>
      <x:c r="O21" s="32" t="n">
        <x:v>3.03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Gerreidae</x:v>
      </x:c>
      <x:c r="T21" s="32" t="n">
        <x:f>IF(O21="","",(1/'Metadata'!$B$5)^(O21-1))</x:f>
        <x:v>107.1519305237606</x:v>
      </x:c>
      <x:c r="U21" s="31" t="n">
        <x:f>IF(T21="","",I21*T21)</x:f>
        <x:v>13713.936945203584</x:v>
      </x:c>
    </x:row>
    <x:row r="22" ht="18" customHeight="1">
      <x:c r="A22" s="24" t="str">
        <x:v>EEZ_780</x:v>
      </x:c>
      <x:c r="B22" s="24" t="str">
        <x:v>Trinidad &amp; Tobago</x:v>
      </x:c>
      <x:c r="C22" s="24" t="str">
        <x:v>EEZ</x:v>
      </x:c>
      <x:c r="D22" s="30" t="n">
        <x:v>2019</x:v>
      </x:c>
      <x:c r="E22" s="24" t="str">
        <x:v>Megalops atlanticus</x:v>
      </x:c>
      <x:c r="F22" s="24" t="str">
        <x:v>Tarpon</x:v>
      </x:c>
      <x:c r="G22" s="24" t="str">
        <x:v>Large pelagics (&gt;=90 cm)</x:v>
      </x:c>
      <x:c r="H22" s="24" t="str">
        <x:v>Other fishes &amp; inverts</x:v>
      </x:c>
      <x:c r="I22" s="31" t="n">
        <x:v>120.64343459739999</x:v>
      </x:c>
      <x:c r="J22" s="31" t="n">
        <x:v>109.9745028479</x:v>
      </x:c>
      <x:c r="K22" s="31" t="n">
        <x:v>10.668931749499999</x:v>
      </x:c>
      <x:c r="L22" s="31" t="n">
        <x:v>101.810676935</x:v>
      </x:c>
      <x:c r="M22" s="31" t="n">
        <x:v>18.8327576624</x:v>
      </x:c>
      <x:c r="N22" s="24" t="str">
        <x:v>megalops atlanticus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Megalops atlanticus</x:v>
      </x:c>
      <x:c r="T22" s="32" t="n">
        <x:f>IF(O22="","",(1/'Metadata'!$B$5)^(O22-1))</x:f>
        <x:v>3162.2776601683795</x:v>
      </x:c>
      <x:c r="U22" s="31" t="n">
        <x:f>IF(T22="","",I22*T22)</x:f>
        <x:v>381508.03807334293</x:v>
      </x:c>
    </x:row>
    <x:row r="23" ht="18" customHeight="1">
      <x:c r="A23" s="24" t="str">
        <x:v>EEZ_780</x:v>
      </x:c>
      <x:c r="B23" s="24" t="str">
        <x:v>Trinidad &amp; Tobago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117.00301521789999</x:v>
      </x:c>
      <x:c r="J23" s="31" t="n">
        <x:v>113.88977446709998</x:v>
      </x:c>
      <x:c r="K23" s="31" t="n">
        <x:v>3.1132407508</x:v>
      </x:c>
      <x:c r="L23" s="31" t="n">
        <x:v>105.43763655209999</x:v>
      </x:c>
      <x:c r="M23" s="31" t="n">
        <x:v>11.5653786658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3964.5787957251578</x:v>
      </x:c>
    </x:row>
    <x:row r="24" ht="18" customHeight="1">
      <x:c r="A24" s="24" t="str">
        <x:v>EEZ_780</x:v>
      </x:c>
      <x:c r="B24" s="24" t="str">
        <x:v>Trinidad &amp; Tobago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102.916651974</x:v>
      </x:c>
      <x:c r="J24" s="31" t="n">
        <x:v>102.916651974</x:v>
      </x:c>
      <x:c r="K24" s="31" t="n">
        <x:v>0</x:v>
      </x:c>
      <x:c r="L24" s="31" t="n">
        <x:v>0</x:v>
      </x:c>
      <x:c r="M24" s="31" t="n">
        <x:v>102.916651974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71200.92725889868</x:v>
      </x:c>
    </x:row>
    <x:row r="25" ht="18" customHeight="1">
      <x:c r="A25" s="24" t="str">
        <x:v>EEZ_780</x:v>
      </x:c>
      <x:c r="B25" s="24" t="str">
        <x:v>Trinidad &amp; Tobago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99.1123106676</x:v>
      </x:c>
      <x:c r="J25" s="31" t="n">
        <x:v>94.90932790849999</x:v>
      </x:c>
      <x:c r="K25" s="31" t="n">
        <x:v>4.2029827591</x:v>
      </x:c>
      <x:c r="L25" s="31" t="n">
        <x:v>80.9398221388</x:v>
      </x:c>
      <x:c r="M25" s="31" t="n">
        <x:v>18.1724885288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94651.52187101128</x:v>
      </x:c>
    </x:row>
    <x:row r="26" ht="18" customHeight="1">
      <x:c r="A26" s="24" t="str">
        <x:v>EEZ_780</x:v>
      </x:c>
      <x:c r="B26" s="24" t="str">
        <x:v>Trinidad &amp; Tobago</x:v>
      </x:c>
      <x:c r="C26" s="24" t="str">
        <x:v>EEZ</x:v>
      </x:c>
      <x:c r="D26" s="30" t="n">
        <x:v>2019</x:v>
      </x:c>
      <x:c r="E26" s="24" t="str">
        <x:v>Portunidae</x:v>
      </x:c>
      <x:c r="F26" s="24" t="str">
        <x:v>Swimming crabs</x:v>
      </x:c>
      <x:c r="G26" s="24" t="str">
        <x:v>Lobsters, crabs</x:v>
      </x:c>
      <x:c r="H26" s="24" t="str">
        <x:v>Crustaceans</x:v>
      </x:c>
      <x:c r="I26" s="31" t="n">
        <x:v>89.54161080050001</x:v>
      </x:c>
      <x:c r="J26" s="31" t="n">
        <x:v>6.517405006100001</x:v>
      </x:c>
      <x:c r="K26" s="31" t="n">
        <x:v>83.0242057944</x:v>
      </x:c>
      <x:c r="L26" s="31" t="n">
        <x:v>6.0625575275</x:v>
      </x:c>
      <x:c r="M26" s="31" t="n">
        <x:v>83.479053273</x:v>
      </x:c>
      <x:c r="N26" s="24" t="str">
        <x:v>portunidae</x:v>
      </x:c>
      <x:c r="O26" s="32" t="n">
        <x:v>3.56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Portunidae</x:v>
      </x:c>
      <x:c r="T26" s="32" t="n">
        <x:f>IF(O26="","",(1/'Metadata'!$B$5)^(O26-1))</x:f>
        <x:v>363.0780547701014</x:v>
      </x:c>
      <x:c r="U26" s="31" t="n">
        <x:f>IF(T26="","",I26*T26)</x:f>
        <x:v>32510.593870427045</x:v>
      </x:c>
    </x:row>
    <x:row r="27" ht="18" customHeight="1">
      <x:c r="A27" s="24" t="str">
        <x:v>EEZ_780</x:v>
      </x:c>
      <x:c r="B27" s="24" t="str">
        <x:v>Trinidad &amp; Tobago</x:v>
      </x:c>
      <x:c r="C27" s="24" t="str">
        <x:v>EEZ</x:v>
      </x:c>
      <x:c r="D27" s="30" t="n">
        <x:v>2019</x:v>
      </x:c>
      <x:c r="E27" s="24" t="str">
        <x:v>Coryphaena</x:v>
      </x:c>
      <x:c r="F27" s="24" t="str">
        <x:v>Dolphinfishes</x:v>
      </x:c>
      <x:c r="G27" s="24" t="str">
        <x:v>Large pelagics (&gt;=90 cm)</x:v>
      </x:c>
      <x:c r="H27" s="24" t="str">
        <x:v>Perch-likes</x:v>
      </x:c>
      <x:c r="I27" s="31" t="n">
        <x:v>89.04241138559999</x:v>
      </x:c>
      <x:c r="J27" s="31" t="n">
        <x:v>88.1481971037</x:v>
      </x:c>
      <x:c r="K27" s="31" t="n">
        <x:v>0.8942142819</x:v>
      </x:c>
      <x:c r="L27" s="31" t="n">
        <x:v>83.6466974443</x:v>
      </x:c>
      <x:c r="M27" s="31" t="n">
        <x:v>5.3957139413</x:v>
      </x:c>
      <x:c r="N27" s="24" t="str">
        <x:v>coryphaena</x:v>
      </x:c>
      <x:c r="O27" s="32" t="n">
        <x:v>4.49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Coryphaena</x:v>
      </x:c>
      <x:c r="T27" s="32" t="n">
        <x:f>IF(O27="","",(1/'Metadata'!$B$5)^(O27-1))</x:f>
        <x:v>3090.295432513592</x:v>
      </x:c>
      <x:c r="U27" s="31" t="n">
        <x:f>IF(T27="","",I27*T27)</x:f>
        <x:v>275167.3572049159</x:v>
      </x:c>
    </x:row>
    <x:row r="28" ht="18" customHeight="1">
      <x:c r="A28" s="24" t="str">
        <x:v>EEZ_780</x:v>
      </x:c>
      <x:c r="B28" s="24" t="str">
        <x:v>Trinidad &amp; Tobago</x:v>
      </x:c>
      <x:c r="C28" s="24" t="str">
        <x:v>EEZ</x:v>
      </x:c>
      <x:c r="D28" s="30" t="n">
        <x:v>2019</x:v>
      </x:c>
      <x:c r="E28" s="24" t="str">
        <x:v>Istiophorus albicans</x:v>
      </x:c>
      <x:c r="F28" s="24" t="str">
        <x:v>Atlantic sailfish</x:v>
      </x:c>
      <x:c r="G28" s="24" t="str">
        <x:v>Large pelagics (&gt;=90 cm)</x:v>
      </x:c>
      <x:c r="H28" s="24" t="str">
        <x:v>Tuna &amp; billfishes</x:v>
      </x:c>
      <x:c r="I28" s="31" t="n">
        <x:v>85.9577356223</x:v>
      </x:c>
      <x:c r="J28" s="31" t="n">
        <x:v>85.9577356223</x:v>
      </x:c>
      <x:c r="K28" s="31" t="n">
        <x:v>0</x:v>
      </x:c>
      <x:c r="L28" s="31" t="n">
        <x:v>85.9577356223</x:v>
      </x:c>
      <x:c r="M28" s="31" t="n">
        <x:v>0</x:v>
      </x:c>
      <x:c r="N28" s="24" t="str">
        <x:v>istiophorus albicans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albicans</x:v>
      </x:c>
      <x:c r="T28" s="32" t="n">
        <x:f>IF(O28="","",(1/'Metadata'!$B$5)^(O28-1))</x:f>
        <x:v>3162.2776601683795</x:v>
      </x:c>
      <x:c r="U28" s="31" t="n">
        <x:f>IF(T28="","",I28*T28)</x:f>
        <x:v>271822.22707705904</x:v>
      </x:c>
    </x:row>
    <x:row r="29" ht="18" customHeight="1">
      <x:c r="A29" s="24" t="str">
        <x:v>EEZ_780</x:v>
      </x:c>
      <x:c r="B29" s="24" t="str">
        <x:v>Trinidad &amp; Tobago</x:v>
      </x:c>
      <x:c r="C29" s="24" t="str">
        <x:v>EEZ</x:v>
      </x:c>
      <x:c r="D29" s="30" t="n">
        <x:v>2019</x:v>
      </x:c>
      <x:c r="E29" s="24" t="str">
        <x:v>Centropomidae</x:v>
      </x:c>
      <x:c r="F29" s="24" t="str">
        <x:v>Snooks</x:v>
      </x:c>
      <x:c r="G29" s="24" t="str">
        <x:v>Large reef assoc. fish (&gt;=90 cm)</x:v>
      </x:c>
      <x:c r="H29" s="24" t="str">
        <x:v>Perch-likes</x:v>
      </x:c>
      <x:c r="I29" s="31" t="n">
        <x:v>72.8788721352</x:v>
      </x:c>
      <x:c r="J29" s="31" t="n">
        <x:v>64.6685231203</x:v>
      </x:c>
      <x:c r="K29" s="31" t="n">
        <x:v>8.2103490149</x:v>
      </x:c>
      <x:c r="L29" s="31" t="n">
        <x:v>59.8824913668</x:v>
      </x:c>
      <x:c r="M29" s="31" t="n">
        <x:v>12.996380768399998</x:v>
      </x:c>
      <x:c r="N29" s="24" t="str">
        <x:v>centropomidae</x:v>
      </x:c>
      <x:c r="O29" s="32" t="n">
        <x:v>3.92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Centropomidae</x:v>
      </x:c>
      <x:c r="T29" s="32" t="n">
        <x:f>IF(O29="","",(1/'Metadata'!$B$5)^(O29-1))</x:f>
        <x:v>831.7637711026708</x:v>
      </x:c>
      <x:c r="U29" s="31" t="n">
        <x:f>IF(T29="","",I29*T29)</x:f>
        <x:v>60618.00552088331</x:v>
      </x:c>
    </x:row>
    <x:row r="30" ht="18" customHeight="1">
      <x:c r="A30" s="24" t="str">
        <x:v>EEZ_780</x:v>
      </x:c>
      <x:c r="B30" s="24" t="str">
        <x:v>Trinidad &amp; Tobago</x:v>
      </x:c>
      <x:c r="C30" s="24" t="str">
        <x:v>EEZ</x:v>
      </x:c>
      <x:c r="D30" s="30" t="n">
        <x:v>2019</x:v>
      </x:c>
      <x:c r="E30" s="24" t="str">
        <x:v>Panulirus</x:v>
      </x:c>
      <x:c r="F30" s="24" t="str">
        <x:v>Spiny lobsters</x:v>
      </x:c>
      <x:c r="G30" s="24" t="str">
        <x:v>Lobsters, crabs</x:v>
      </x:c>
      <x:c r="H30" s="24" t="str">
        <x:v>Crustaceans</x:v>
      </x:c>
      <x:c r="I30" s="31" t="n">
        <x:v>61.8182412197</x:v>
      </x:c>
      <x:c r="J30" s="31" t="n">
        <x:v>60.948453755</x:v>
      </x:c>
      <x:c r="K30" s="31" t="n">
        <x:v>0.8697874647</x:v>
      </x:c>
      <x:c r="L30" s="31" t="n">
        <x:v>57.7689583674</x:v>
      </x:c>
      <x:c r="M30" s="31" t="n">
        <x:v>4.0492828523</x:v>
      </x:c>
      <x:c r="N30" s="24" t="str">
        <x:v>panulirus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Panulirus</x:v>
      </x:c>
      <x:c r="T30" s="32" t="n">
        <x:f>IF(O30="","",(1/'Metadata'!$B$5)^(O30-1))</x:f>
        <x:v>39.810717055349734</x:v>
      </x:c>
      <x:c r="U30" s="31" t="n">
        <x:f>IF(T30="","",I30*T30)</x:f>
        <x:v>2461.028510056835</x:v>
      </x:c>
    </x:row>
    <x:row r="31" ht="18" customHeight="1">
      <x:c r="A31" s="24" t="str">
        <x:v>EEZ_780</x:v>
      </x:c>
      <x:c r="B31" s="24" t="str">
        <x:v>Trinidad &amp; Tobago</x:v>
      </x:c>
      <x:c r="C31" s="24" t="str">
        <x:v>EEZ</x:v>
      </x:c>
      <x:c r="D31" s="30" t="n">
        <x:v>2019</x:v>
      </x:c>
      <x:c r="E31" s="24" t="str">
        <x:v>Engraulidae</x:v>
      </x:c>
      <x:c r="F31" s="24" t="str">
        <x:v>Anchovies, round herrings</x:v>
      </x:c>
      <x:c r="G31" s="24" t="str">
        <x:v>Small pelagics (&lt;30 cm)</x:v>
      </x:c>
      <x:c r="H31" s="24" t="str">
        <x:v>Anchovies</x:v>
      </x:c>
      <x:c r="I31" s="31" t="n">
        <x:v>59.733761025999996</x:v>
      </x:c>
      <x:c r="J31" s="31" t="n">
        <x:v>7.1873463410000005</x:v>
      </x:c>
      <x:c r="K31" s="31" t="n">
        <x:v>52.546414685</x:v>
      </x:c>
      <x:c r="L31" s="31" t="n">
        <x:v>6.688186269</x:v>
      </x:c>
      <x:c r="M31" s="31" t="n">
        <x:v>53.045574757</x:v>
      </x:c>
      <x:c r="N31" s="24" t="str">
        <x:v>engraulidae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Engraulidae</x:v>
      </x:c>
      <x:c r="T31" s="32" t="n">
        <x:f>IF(O31="","",(1/'Metadata'!$B$5)^(O31-1))</x:f>
        <x:v>158.48931924611142</x:v>
      </x:c>
      <x:c r="U31" s="31" t="n">
        <x:f>IF(T31="","",I31*T31)</x:f>
        <x:v>9467.163121020641</x:v>
      </x:c>
    </x:row>
    <x:row r="32" ht="18" customHeight="1">
      <x:c r="A32" s="24" t="str">
        <x:v>EEZ_780</x:v>
      </x:c>
      <x:c r="B32" s="24" t="str">
        <x:v>Trinidad &amp; Tobago</x:v>
      </x:c>
      <x:c r="C32" s="24" t="str">
        <x:v>EEZ</x:v>
      </x:c>
      <x:c r="D32" s="30" t="n">
        <x:v>2019</x:v>
      </x:c>
      <x:c r="E32" s="24" t="str">
        <x:v>Acanthocybium solandri</x:v>
      </x:c>
      <x:c r="F32" s="24" t="str">
        <x:v>Wahoo</x:v>
      </x:c>
      <x:c r="G32" s="24" t="str">
        <x:v>Large pelagics (&gt;=90 cm)</x:v>
      </x:c>
      <x:c r="H32" s="24" t="str">
        <x:v>Perch-likes</x:v>
      </x:c>
      <x:c r="I32" s="31" t="n">
        <x:v>53.7687801178</x:v>
      </x:c>
      <x:c r="J32" s="31" t="n">
        <x:v>53.7687801178</x:v>
      </x:c>
      <x:c r="K32" s="31" t="n">
        <x:v>0</x:v>
      </x:c>
      <x:c r="L32" s="31" t="n">
        <x:v>8.0280459071</x:v>
      </x:c>
      <x:c r="M32" s="31" t="n">
        <x:v>45.7407342107</x:v>
      </x:c>
      <x:c r="N32" s="24" t="str">
        <x:v>acanthocybium solandri</x:v>
      </x:c>
      <x:c r="O32" s="32" t="n">
        <x:v>4.26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Acanthocybium solandri</x:v>
      </x:c>
      <x:c r="T32" s="32" t="n">
        <x:f>IF(O32="","",(1/'Metadata'!$B$5)^(O32-1))</x:f>
        <x:v>1819.7008586099826</x:v>
      </x:c>
      <x:c r="U32" s="31" t="n">
        <x:f>IF(T32="","",I32*T32)</x:f>
        <x:v>97843.09534677201</x:v>
      </x:c>
    </x:row>
    <x:row r="33" ht="18" customHeight="1">
      <x:c r="A33" s="24" t="str">
        <x:v>EEZ_780</x:v>
      </x:c>
      <x:c r="B33" s="24" t="str">
        <x:v>Trinidad &amp; Tobago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50.514647109500004</x:v>
      </x:c>
      <x:c r="J33" s="31" t="n">
        <x:v>50.514647109500004</x:v>
      </x:c>
      <x:c r="K33" s="31" t="n">
        <x:v>0</x:v>
      </x:c>
      <x:c r="L33" s="31" t="n">
        <x:v>0</x:v>
      </x:c>
      <x:c r="M33" s="31" t="n">
        <x:v>50.514647109500004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1359.6193080330547</x:v>
      </x:c>
    </x:row>
    <x:row r="34" ht="18" customHeight="1">
      <x:c r="A34" s="24" t="str">
        <x:v>EEZ_780</x:v>
      </x:c>
      <x:c r="B34" s="24" t="str">
        <x:v>Trinidad &amp; Tobago</x:v>
      </x:c>
      <x:c r="C34" s="24" t="str">
        <x:v>EEZ</x:v>
      </x:c>
      <x:c r="D34" s="30" t="n">
        <x:v>2019</x:v>
      </x:c>
      <x:c r="E34" s="24" t="str">
        <x:v>Carcharhinus</x:v>
      </x:c>
      <x:c r="F34" s="24" t="str">
        <x:v>Sharp-nosed sharks</x:v>
      </x:c>
      <x:c r="G34" s="24" t="str">
        <x:v>Large sharks (&gt;=90 cm)</x:v>
      </x:c>
      <x:c r="H34" s="24" t="str">
        <x:v>Sharks &amp; rays</x:v>
      </x:c>
      <x:c r="I34" s="31" t="n">
        <x:v>45.7426679416</x:v>
      </x:c>
      <x:c r="J34" s="31" t="n">
        <x:v>45.7426679416</x:v>
      </x:c>
      <x:c r="K34" s="31" t="n">
        <x:v>0</x:v>
      </x:c>
      <x:c r="L34" s="31" t="n">
        <x:v>0.0019337309</x:v>
      </x:c>
      <x:c r="M34" s="31" t="n">
        <x:v>45.7407342107</x:v>
      </x:c>
      <x:c r="N34" s="24" t="str">
        <x:v>carcharhinus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Carcharhinus</x:v>
      </x:c>
      <x:c r="T34" s="32" t="n">
        <x:f>IF(O34="","",(1/'Metadata'!$B$5)^(O34-1))</x:f>
        <x:v>1819.7008586099826</x:v>
      </x:c>
      <x:c r="U34" s="31" t="n">
        <x:f>IF(T34="","",I34*T34)</x:f>
        <x:v>83237.97212844084</x:v>
      </x:c>
    </x:row>
    <x:row r="35" ht="18" customHeight="1">
      <x:c r="A35" s="24" t="str">
        <x:v>EEZ_780</x:v>
      </x:c>
      <x:c r="B35" s="24" t="str">
        <x:v>Trinidad &amp; Tobago</x:v>
      </x:c>
      <x:c r="C35" s="24" t="str">
        <x:v>EEZ</x:v>
      </x:c>
      <x:c r="D35" s="30" t="n">
        <x:v>2019</x:v>
      </x:c>
      <x:c r="E35" s="24" t="str">
        <x:v>Cynoscion jamaicensis</x:v>
      </x:c>
      <x:c r="F35" s="24" t="str">
        <x:v>Jamaica weakfish</x:v>
      </x:c>
      <x:c r="G35" s="24" t="str">
        <x:v>Medium demersals (30 - 89 cm)</x:v>
      </x:c>
      <x:c r="H35" s="24" t="str">
        <x:v>Perch-likes</x:v>
      </x:c>
      <x:c r="I35" s="31" t="n">
        <x:v>45.7407342107</x:v>
      </x:c>
      <x:c r="J35" s="31" t="n">
        <x:v>45.7407342107</x:v>
      </x:c>
      <x:c r="K35" s="31" t="n">
        <x:v>0</x:v>
      </x:c>
      <x:c r="L35" s="31" t="n">
        <x:v>0</x:v>
      </x:c>
      <x:c r="M35" s="31" t="n">
        <x:v>45.7407342107</x:v>
      </x:c>
      <x:c r="N35" s="24" t="str">
        <x:v>cynoscion jamaicensis</x:v>
      </x:c>
      <x:c r="O35" s="32" t="n">
        <x:v>3.84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Cynoscion jamaicensis</x:v>
      </x:c>
      <x:c r="T35" s="32" t="n">
        <x:f>IF(O35="","",(1/'Metadata'!$B$5)^(O35-1))</x:f>
        <x:v>691.8309709189363</x:v>
      </x:c>
      <x:c r="U35" s="31" t="n">
        <x:f>IF(T35="","",I35*T35)</x:f>
        <x:v>31644.856559533582</x:v>
      </x:c>
    </x:row>
    <x:row r="36" ht="18" customHeight="1">
      <x:c r="A36" s="24" t="str">
        <x:v>EEZ_780</x:v>
      </x:c>
      <x:c r="B36" s="24" t="str">
        <x:v>Trinidad &amp; Tobago</x:v>
      </x:c>
      <x:c r="C36" s="24" t="str">
        <x:v>EEZ</x:v>
      </x:c>
      <x:c r="D36" s="30" t="n">
        <x:v>2019</x:v>
      </x:c>
      <x:c r="E36" s="24" t="str">
        <x:v>Elasmobranchii</x:v>
      </x:c>
      <x:c r="F36" s="24" t="str">
        <x:v>Sharks, rays, skates</x:v>
      </x:c>
      <x:c r="G36" s="24" t="str">
        <x:v>Large sharks (&gt;=90 cm)</x:v>
      </x:c>
      <x:c r="H36" s="24" t="str">
        <x:v>Sharks &amp; rays</x:v>
      </x:c>
      <x:c r="I36" s="31" t="n">
        <x:v>41.8685531869</x:v>
      </x:c>
      <x:c r="J36" s="31" t="n">
        <x:v>40.1699868979</x:v>
      </x:c>
      <x:c r="K36" s="31" t="n">
        <x:v>1.698566289</x:v>
      </x:c>
      <x:c r="L36" s="31" t="n">
        <x:v>24.403744969</x:v>
      </x:c>
      <x:c r="M36" s="31" t="n">
        <x:v>17.4648082179</x:v>
      </x:c>
      <x:c r="N36" s="24" t="str">
        <x:v>elasmobranchii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Elasmobranchii</x:v>
      </x:c>
      <x:c r="T36" s="32" t="n">
        <x:f>IF(O36="","",(1/'Metadata'!$B$5)^(O36-1))</x:f>
        <x:v>1122.018454301963</x:v>
      </x:c>
      <x:c r="U36" s="31" t="n">
        <x:f>IF(T36="","",I36*T36)</x:f>
        <x:v>46977.28933062506</x:v>
      </x:c>
    </x:row>
    <x:row r="37" ht="18" customHeight="1">
      <x:c r="A37" s="24" t="str">
        <x:v>EEZ_780</x:v>
      </x:c>
      <x:c r="B37" s="24" t="str">
        <x:v>Trinidad &amp; Tobago</x:v>
      </x:c>
      <x:c r="C37" s="24" t="str">
        <x:v>EEZ</x:v>
      </x:c>
      <x:c r="D37" s="30" t="n">
        <x:v>2019</x:v>
      </x:c>
      <x:c r="E37" s="24" t="str">
        <x:v>Thunnus alalunga</x:v>
      </x:c>
      <x:c r="F37" s="24" t="str">
        <x:v>Albacore</x:v>
      </x:c>
      <x:c r="G37" s="24" t="str">
        <x:v>Large pelagics (&gt;=90 cm)</x:v>
      </x:c>
      <x:c r="H37" s="24" t="str">
        <x:v>Tuna &amp; billfishes</x:v>
      </x:c>
      <x:c r="I37" s="31" t="n">
        <x:v>40.3935733721</x:v>
      </x:c>
      <x:c r="J37" s="31" t="n">
        <x:v>40.3935733721</x:v>
      </x:c>
      <x:c r="K37" s="31" t="n">
        <x:v>0</x:v>
      </x:c>
      <x:c r="L37" s="31" t="n">
        <x:v>40.3935733721</x:v>
      </x:c>
      <x:c r="M37" s="31" t="n">
        <x:v>0</x:v>
      </x:c>
      <x:c r="N37" s="24" t="str">
        <x:v>thunnus alalunga</x:v>
      </x:c>
      <x:c r="O37" s="32" t="n">
        <x:v>4.3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alalunga</x:v>
      </x:c>
      <x:c r="T37" s="32" t="n">
        <x:f>IF(O37="","",(1/'Metadata'!$B$5)^(O37-1))</x:f>
        <x:v>1995.2623149688789</x:v>
      </x:c>
      <x:c r="U37" s="31" t="n">
        <x:f>IF(T37="","",I37*T37)</x:f>
        <x:v>80595.7747162815</x:v>
      </x:c>
    </x:row>
    <x:row r="38" ht="18" customHeight="1">
      <x:c r="A38" s="24" t="str">
        <x:v>EEZ_780</x:v>
      </x:c>
      <x:c r="B38" s="24" t="str">
        <x:v>Trinidad &amp; Tobago</x:v>
      </x:c>
      <x:c r="C38" s="24" t="str">
        <x:v>EEZ</x:v>
      </x:c>
      <x:c r="D38" s="30" t="n">
        <x:v>2019</x:v>
      </x:c>
      <x:c r="E38" s="24" t="str">
        <x:v>Ephippidae</x:v>
      </x:c>
      <x:c r="F38" s="24" t="str">
        <x:v>Spade-, batfishes, scats</x:v>
      </x:c>
      <x:c r="G38" s="24" t="str">
        <x:v>Medium reef assoc. fish (30 - 89 cm)</x:v>
      </x:c>
      <x:c r="H38" s="24" t="str">
        <x:v>Perch-likes</x:v>
      </x:c>
      <x:c r="I38" s="31" t="n">
        <x:v>39.7908800063</x:v>
      </x:c>
      <x:c r="J38" s="31" t="n">
        <x:v>39.3972064004</x:v>
      </x:c>
      <x:c r="K38" s="31" t="n">
        <x:v>0.3936736059</x:v>
      </x:c>
      <x:c r="L38" s="31" t="n">
        <x:v>36.4718006852</x:v>
      </x:c>
      <x:c r="M38" s="31" t="n">
        <x:v>3.3190793211000003</x:v>
      </x:c>
      <x:c r="N38" s="24" t="str">
        <x:v>ephippidae</x:v>
      </x:c>
      <x:c r="O38" s="32" t="n">
        <x:v>3.57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Ephippidae</x:v>
      </x:c>
      <x:c r="T38" s="32" t="n">
        <x:f>IF(O38="","",(1/'Metadata'!$B$5)^(O38-1))</x:f>
        <x:v>371.5352290971724</x:v>
      </x:c>
      <x:c r="U38" s="31" t="n">
        <x:f>IF(T38="","",I38*T38)</x:f>
        <x:v>14783.713719118768</x:v>
      </x:c>
    </x:row>
    <x:row r="39" ht="18" customHeight="1">
      <x:c r="A39" s="24" t="str">
        <x:v>EEZ_780</x:v>
      </x:c>
      <x:c r="B39" s="24" t="str">
        <x:v>Trinidad &amp; Tobago</x:v>
      </x:c>
      <x:c r="C39" s="24" t="str">
        <x:v>EEZ</x:v>
      </x:c>
      <x:c r="D39" s="30" t="n">
        <x:v>2019</x:v>
      </x:c>
      <x:c r="E39" s="24" t="str">
        <x:v>Istiophoridae</x:v>
      </x:c>
      <x:c r="F39" s="24" t="str">
        <x:v>Billfishes</x:v>
      </x:c>
      <x:c r="G39" s="24" t="str">
        <x:v>Large pelagics (&gt;=90 cm)</x:v>
      </x:c>
      <x:c r="H39" s="24" t="str">
        <x:v>Tuna &amp; billfishes</x:v>
      </x:c>
      <x:c r="I39" s="31" t="n">
        <x:v>36.3972228441</x:v>
      </x:c>
      <x:c r="J39" s="31" t="n">
        <x:v>36.3972228441</x:v>
      </x:c>
      <x:c r="K39" s="31" t="n">
        <x:v>0</x:v>
      </x:c>
      <x:c r="L39" s="31" t="n">
        <x:v>11.5444454596</x:v>
      </x:c>
      <x:c r="M39" s="31" t="n">
        <x:v>24.8527773845</x:v>
      </x:c>
      <x:c r="N39" s="24" t="str">
        <x:v>istiophoridae</x:v>
      </x:c>
      <x:c r="O39" s="32" t="n">
        <x:v>4.48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Istiophoridae</x:v>
      </x:c>
      <x:c r="T39" s="32" t="n">
        <x:f>IF(O39="","",(1/'Metadata'!$B$5)^(O39-1))</x:f>
        <x:v>3019.951720402019</x:v>
      </x:c>
      <x:c r="U39" s="31" t="n">
        <x:f>IF(T39="","",I39*T39)</x:f>
        <x:v>109917.85574589546</x:v>
      </x:c>
    </x:row>
    <x:row r="40" ht="18" customHeight="1">
      <x:c r="A40" s="24" t="str">
        <x:v>EEZ_780</x:v>
      </x:c>
      <x:c r="B40" s="24" t="str">
        <x:v>Trinidad &amp; Tobago</x:v>
      </x:c>
      <x:c r="C40" s="24" t="str">
        <x:v>EEZ</x:v>
      </x:c>
      <x:c r="D40" s="30" t="n">
        <x:v>2019</x:v>
      </x:c>
      <x:c r="E40" s="24" t="str">
        <x:v>Albulidae</x:v>
      </x:c>
      <x:c r="F40" s="24" t="str">
        <x:v>Bonefishes</x:v>
      </x:c>
      <x:c r="G40" s="24" t="str">
        <x:v>Medium reef assoc. fish (30 - 89 cm)</x:v>
      </x:c>
      <x:c r="H40" s="24" t="str">
        <x:v>Other fishes &amp; inverts</x:v>
      </x:c>
      <x:c r="I40" s="31" t="n">
        <x:v>31.325320021899998</x:v>
      </x:c>
      <x:c r="J40" s="31" t="n">
        <x:v>31.0614864143</x:v>
      </x:c>
      <x:c r="K40" s="31" t="n">
        <x:v>0.2638336076</x:v>
      </x:c>
      <x:c r="L40" s="31" t="n">
        <x:v>28.756239826399998</x:v>
      </x:c>
      <x:c r="M40" s="31" t="n">
        <x:v>2.5690801955</x:v>
      </x:c>
      <x:c r="N40" s="24" t="str">
        <x:v>albulidae</x:v>
      </x:c>
      <x:c r="O40" s="32" t="n">
        <x:v>3.47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Albulidae</x:v>
      </x:c>
      <x:c r="T40" s="32" t="n">
        <x:f>IF(O40="","",(1/'Metadata'!$B$5)^(O40-1))</x:f>
        <x:v>295.1209226666387</x:v>
      </x:c>
      <x:c r="U40" s="31" t="n">
        <x:f>IF(T40="","",I40*T40)</x:f>
        <x:v>9244.757347690858</x:v>
      </x:c>
    </x:row>
    <x:row r="41" ht="18" customHeight="1">
      <x:c r="A41" s="24" t="str">
        <x:v>EEZ_780</x:v>
      </x:c>
      <x:c r="B41" s="24" t="str">
        <x:v>Trinidad &amp; Tobago</x:v>
      </x:c>
      <x:c r="C41" s="24" t="str">
        <x:v>EEZ</x:v>
      </x:c>
      <x:c r="D41" s="30" t="n">
        <x:v>2019</x:v>
      </x:c>
      <x:c r="E41" s="24" t="str">
        <x:v>Batrachoididae</x:v>
      </x:c>
      <x:c r="F41" s="24" t="str">
        <x:v>Toadfishes</x:v>
      </x:c>
      <x:c r="G41" s="24" t="str">
        <x:v>Large reef assoc. fish (&gt;=90 cm)</x:v>
      </x:c>
      <x:c r="H41" s="24" t="str">
        <x:v>Other fishes &amp; inverts</x:v>
      </x:c>
      <x:c r="I41" s="31" t="n">
        <x:v>25.8287638867</x:v>
      </x:c>
      <x:c r="J41" s="31" t="n">
        <x:v>3.9075677961</x:v>
      </x:c>
      <x:c r="K41" s="31" t="n">
        <x:v>21.9211960906</x:v>
      </x:c>
      <x:c r="L41" s="31" t="n">
        <x:v>3.6223130021</x:v>
      </x:c>
      <x:c r="M41" s="31" t="n">
        <x:v>22.2064508846</x:v>
      </x:c>
      <x:c r="N41" s="24" t="str">
        <x:v>batrachoididae</x:v>
      </x:c>
      <x:c r="O41" s="32" t="n">
        <x:v>3.66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Batrachoididae</x:v>
      </x:c>
      <x:c r="T41" s="32" t="n">
        <x:f>IF(O41="","",(1/'Metadata'!$B$5)^(O41-1))</x:f>
        <x:v>457.0881896148752</x:v>
      </x:c>
      <x:c r="U41" s="31" t="n">
        <x:f>IF(T41="","",I41*T41)</x:f>
        <x:v>11806.02292496177</x:v>
      </x:c>
    </x:row>
    <x:row r="42" ht="18" customHeight="1">
      <x:c r="A42" s="24" t="str">
        <x:v>EEZ_780</x:v>
      </x:c>
      <x:c r="B42" s="24" t="str">
        <x:v>Trinidad &amp; Tobago</x:v>
      </x:c>
      <x:c r="C42" s="24" t="str">
        <x:v>EEZ</x:v>
      </x:c>
      <x:c r="D42" s="30" t="n">
        <x:v>2019</x:v>
      </x:c>
      <x:c r="E42" s="24" t="str">
        <x:v>Holocentridae</x:v>
      </x:c>
      <x:c r="F42" s="24" t="str">
        <x:v>Squirrel-, soldierfishes</x:v>
      </x:c>
      <x:c r="G42" s="24" t="str">
        <x:v>Small reef assoc. fish (&lt;30 cm)</x:v>
      </x:c>
      <x:c r="H42" s="24" t="str">
        <x:v>Other fishes &amp; inverts</x:v>
      </x:c>
      <x:c r="I42" s="31" t="n">
        <x:v>23.6713389082</x:v>
      </x:c>
      <x:c r="J42" s="31" t="n">
        <x:v>21.704208227</x:v>
      </x:c>
      <x:c r="K42" s="31" t="n">
        <x:v>1.9671306812</x:v>
      </x:c>
      <x:c r="L42" s="31" t="n">
        <x:v>20.1303269688</x:v>
      </x:c>
      <x:c r="M42" s="31" t="n">
        <x:v>3.5410119393999997</x:v>
      </x:c>
      <x:c r="N42" s="24" t="str">
        <x:v>holocentridae</x:v>
      </x:c>
      <x:c r="O42" s="32" t="n">
        <x:v>3.49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Holocentridae</x:v>
      </x:c>
      <x:c r="T42" s="32" t="n">
        <x:f>IF(O42="","",(1/'Metadata'!$B$5)^(O42-1))</x:f>
        <x:v>309.0295432513592</x:v>
      </x:c>
      <x:c r="U42" s="31" t="n">
        <x:f>IF(T42="","",I42*T42)</x:f>
        <x:v>7315.143050949174</x:v>
      </x:c>
    </x:row>
    <x:row r="43" ht="18" customHeight="1">
      <x:c r="A43" s="24" t="str">
        <x:v>EEZ_780</x:v>
      </x:c>
      <x:c r="B43" s="24" t="str">
        <x:v>Trinidad &amp; Tobago</x:v>
      </x:c>
      <x:c r="C43" s="24" t="str">
        <x:v>EEZ</x:v>
      </x:c>
      <x:c r="D43" s="30" t="n">
        <x:v>2019</x:v>
      </x:c>
      <x:c r="E43" s="24" t="str">
        <x:v>Palinuridae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22.8703671053</x:v>
      </x:c>
      <x:c r="J43" s="31" t="n">
        <x:v>22.8703671053</x:v>
      </x:c>
      <x:c r="K43" s="31" t="n">
        <x:v>0</x:v>
      </x:c>
      <x:c r="L43" s="31" t="n">
        <x:v>0</x:v>
      </x:c>
      <x:c r="M43" s="31" t="n">
        <x:v>22.8703671053</x:v>
      </x:c>
      <x:c r="N43" s="24" t="str">
        <x:v>palinuridae</x:v>
      </x:c>
      <x:c r="O43" s="32" t="n">
        <x:v>3.14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Palinuridae</x:v>
      </x:c>
      <x:c r="T43" s="32" t="n">
        <x:f>IF(O43="","",(1/'Metadata'!$B$5)^(O43-1))</x:f>
        <x:v>138.03842646028852</x:v>
      </x:c>
      <x:c r="U43" s="31" t="n">
        <x:f>IF(T43="","",I43*T43)</x:f>
        <x:v>3156.989487784756</x:v>
      </x:c>
    </x:row>
    <x:row r="44" ht="18" customHeight="1">
      <x:c r="A44" s="24" t="str">
        <x:v>EEZ_780</x:v>
      </x:c>
      <x:c r="B44" s="24" t="str">
        <x:v>Trinidad &amp; Tobago</x:v>
      </x:c>
      <x:c r="C44" s="24" t="str">
        <x:v>EEZ</x:v>
      </x:c>
      <x:c r="D44" s="30" t="n">
        <x:v>2019</x:v>
      </x:c>
      <x:c r="E44" s="24" t="str">
        <x:v>Thunnus</x:v>
      </x:c>
      <x:c r="F44" s="24" t="str">
        <x:v>Tunas</x:v>
      </x:c>
      <x:c r="G44" s="24" t="str">
        <x:v>Large pelagics (&gt;=90 cm)</x:v>
      </x:c>
      <x:c r="H44" s="24" t="str">
        <x:v>Tuna &amp; billfishes</x:v>
      </x:c>
      <x:c r="I44" s="31" t="n">
        <x:v>17.152957535200002</x:v>
      </x:c>
      <x:c r="J44" s="31" t="n">
        <x:v>17.152957535200002</x:v>
      </x:c>
      <x:c r="K44" s="31" t="n">
        <x:v>0</x:v>
      </x:c>
      <x:c r="L44" s="31" t="n">
        <x:v>0.0001822062</x:v>
      </x:c>
      <x:c r="M44" s="31" t="n">
        <x:v>17.152775329</x:v>
      </x:c>
      <x:c r="N44" s="24" t="str">
        <x:v>thunnus</x:v>
      </x:c>
      <x:c r="O44" s="32" t="n">
        <x:v>4.34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Thunnus</x:v>
      </x:c>
      <x:c r="T44" s="32" t="n">
        <x:f>IF(O44="","",(1/'Metadata'!$B$5)^(O44-1))</x:f>
        <x:v>2187.761623949552</x:v>
      </x:c>
      <x:c r="U44" s="31" t="n">
        <x:f>IF(T44="","",I44*T44)</x:f>
        <x:v>37526.58223274686</x:v>
      </x:c>
    </x:row>
    <x:row r="45" ht="18" customHeight="1">
      <x:c r="A45" s="24" t="str">
        <x:v>EEZ_780</x:v>
      </x:c>
      <x:c r="B45" s="24" t="str">
        <x:v>Trinidad &amp; Tobago</x:v>
      </x:c>
      <x:c r="C45" s="24" t="str">
        <x:v>EEZ</x:v>
      </x:c>
      <x:c r="D45" s="30" t="n">
        <x:v>2019</x:v>
      </x:c>
      <x:c r="E45" s="24" t="str">
        <x:v>Auxis</x:v>
      </x:c>
      <x:c r="F45" s="24" t="str">
        <x:v>Bullet and frigate tunas</x:v>
      </x:c>
      <x:c r="G45" s="24" t="str">
        <x:v>Medium pelagics (30 - 89 cm)</x:v>
      </x:c>
      <x:c r="H45" s="24" t="str">
        <x:v>Tuna &amp; billfishes</x:v>
      </x:c>
      <x:c r="I45" s="31" t="n">
        <x:v>17.152775329</x:v>
      </x:c>
      <x:c r="J45" s="31" t="n">
        <x:v>17.152775329</x:v>
      </x:c>
      <x:c r="K45" s="31" t="n">
        <x:v>0</x:v>
      </x:c>
      <x:c r="L45" s="31" t="n">
        <x:v>0</x:v>
      </x:c>
      <x:c r="M45" s="31" t="n">
        <x:v>17.152775329</x:v>
      </x:c>
      <x:c r="N45" s="24" t="str">
        <x:v>auxis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Auxis</x:v>
      </x:c>
      <x:c r="T45" s="32" t="n">
        <x:f>IF(O45="","",(1/'Metadata'!$B$5)^(O45-1))</x:f>
        <x:v>1737.8008287493763</x:v>
      </x:c>
      <x:c r="U45" s="31" t="n">
        <x:f>IF(T45="","",I45*T45)</x:f>
        <x:v>29808.107182088057</x:v>
      </x:c>
    </x:row>
    <x:row r="46" ht="18" customHeight="1">
      <x:c r="A46" s="24" t="str">
        <x:v>EEZ_780</x:v>
      </x:c>
      <x:c r="B46" s="24" t="str">
        <x:v>Trinidad &amp; Tobago</x:v>
      </x:c>
      <x:c r="C46" s="24" t="str">
        <x:v>EEZ</x:v>
      </x:c>
      <x:c r="D46" s="30" t="n">
        <x:v>2019</x:v>
      </x:c>
      <x:c r="E46" s="24" t="str">
        <x:v>Balistidae</x:v>
      </x:c>
      <x:c r="F46" s="24" t="str">
        <x:v>Triggerfishes</x:v>
      </x:c>
      <x:c r="G46" s="24" t="str">
        <x:v>Medium reef assoc. fish (30 - 89 cm)</x:v>
      </x:c>
      <x:c r="H46" s="24" t="str">
        <x:v>Other fishes &amp; inverts</x:v>
      </x:c>
      <x:c r="I46" s="31" t="n">
        <x:v>14.3901675189</x:v>
      </x:c>
      <x:c r="J46" s="31" t="n">
        <x:v>14.3901675189</x:v>
      </x:c>
      <x:c r="K46" s="31" t="n">
        <x:v>0</x:v>
      </x:c>
      <x:c r="L46" s="31" t="n">
        <x:v>13.694197769999999</x:v>
      </x:c>
      <x:c r="M46" s="31" t="n">
        <x:v>0.6959697489</x:v>
      </x:c>
      <x:c r="N46" s="24" t="str">
        <x:v>balistidae</x:v>
      </x:c>
      <x:c r="O46" s="32" t="n">
        <x:v>3.25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Balistidae</x:v>
      </x:c>
      <x:c r="T46" s="32" t="n">
        <x:f>IF(O46="","",(1/'Metadata'!$B$5)^(O46-1))</x:f>
        <x:v>177.82794100389228</x:v>
      </x:c>
      <x:c r="U46" s="31" t="n">
        <x:f>IF(T46="","",I46*T46)</x:f>
        <x:v>2558.973860587076</x:v>
      </x:c>
    </x:row>
    <x:row r="47" ht="18" customHeight="1">
      <x:c r="A47" s="24" t="str">
        <x:v>EEZ_780</x:v>
      </x:c>
      <x:c r="B47" s="24" t="str">
        <x:v>Trinidad &amp; Tobago</x:v>
      </x:c>
      <x:c r="C47" s="24" t="str">
        <x:v>EEZ</x:v>
      </x:c>
      <x:c r="D47" s="30" t="n">
        <x:v>2019</x:v>
      </x:c>
      <x:c r="E47" s="24" t="str">
        <x:v>Sparidae</x:v>
      </x:c>
      <x:c r="F47" s="24" t="str">
        <x:v>Porgies, seabreams</x:v>
      </x:c>
      <x:c r="G47" s="24" t="str">
        <x:v>Medium benthopelagics (30 - 89 cm)</x:v>
      </x:c>
      <x:c r="H47" s="24" t="str">
        <x:v>Perch-likes</x:v>
      </x:c>
      <x:c r="I47" s="31" t="n">
        <x:v>12.6233422199</x:v>
      </x:c>
      <x:c r="J47" s="31" t="n">
        <x:v>12.5693198969</x:v>
      </x:c>
      <x:c r="K47" s="31" t="n">
        <x:v>0.054022323</x:v>
      </x:c>
      <x:c r="L47" s="31" t="n">
        <x:v>11.9614140889</x:v>
      </x:c>
      <x:c r="M47" s="31" t="n">
        <x:v>0.661928131</x:v>
      </x:c>
      <x:c r="N47" s="24" t="str">
        <x:v>sparidae</x:v>
      </x:c>
      <x:c r="O47" s="32" t="n">
        <x:v>3.31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Sparidae</x:v>
      </x:c>
      <x:c r="T47" s="32" t="n">
        <x:f>IF(O47="","",(1/'Metadata'!$B$5)^(O47-1))</x:f>
        <x:v>204.17379446695296</x:v>
      </x:c>
      <x:c r="U47" s="31" t="n">
        <x:f>IF(T47="","",I47*T47)</x:f>
        <x:v>2577.355679891872</x:v>
      </x:c>
    </x:row>
    <x:row r="48" ht="18" customHeight="1">
      <x:c r="A48" s="24" t="str">
        <x:v>EEZ_780</x:v>
      </x:c>
      <x:c r="B48" s="24" t="str">
        <x:v>Trinidad &amp; Tobago</x:v>
      </x:c>
      <x:c r="C48" s="24" t="str">
        <x:v>EEZ</x:v>
      </x:c>
      <x:c r="D48" s="30" t="n">
        <x:v>2019</x:v>
      </x:c>
      <x:c r="E48" s="24" t="str">
        <x:v>Stromateidae</x:v>
      </x:c>
      <x:c r="F48" s="24" t="str">
        <x:v>Butterfishes</x:v>
      </x:c>
      <x:c r="G48" s="24" t="str">
        <x:v>Small benthopelagics (&lt;30 cm)</x:v>
      </x:c>
      <x:c r="H48" s="24" t="str">
        <x:v>Perch-likes</x:v>
      </x:c>
      <x:c r="I48" s="31" t="n">
        <x:v>10.3420745321</x:v>
      </x:c>
      <x:c r="J48" s="31" t="n">
        <x:v>9.733957672799999</x:v>
      </x:c>
      <x:c r="K48" s="31" t="n">
        <x:v>0.6081168593</x:v>
      </x:c>
      <x:c r="L48" s="31" t="n">
        <x:v>9.0199744791</x:v>
      </x:c>
      <x:c r="M48" s="31" t="n">
        <x:v>1.322100053</x:v>
      </x:c>
      <x:c r="N48" s="24" t="str">
        <x:v>stromateidae</x:v>
      </x:c>
      <x:c r="O48" s="32" t="n">
        <x:v>3.62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Stromateidae</x:v>
      </x:c>
      <x:c r="T48" s="32" t="n">
        <x:f>IF(O48="","",(1/'Metadata'!$B$5)^(O48-1))</x:f>
        <x:v>416.8693834703355</x:v>
      </x:c>
      <x:c r="U48" s="31" t="n">
        <x:f>IF(T48="","",I48*T48)</x:f>
        <x:v>4311.294234000786</x:v>
      </x:c>
    </x:row>
    <x:row r="49" ht="18" customHeight="1">
      <x:c r="A49" s="24" t="str">
        <x:v>EEZ_780</x:v>
      </x:c>
      <x:c r="B49" s="24" t="str">
        <x:v>Trinidad &amp; Tobago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10.2169226508</x:v>
      </x:c>
      <x:c r="J49" s="31" t="n">
        <x:v>0.9549174235</x:v>
      </x:c>
      <x:c r="K49" s="31" t="n">
        <x:v>9.2620052273</x:v>
      </x:c>
      <x:c r="L49" s="31" t="n">
        <x:v>0.9142199849</x:v>
      </x:c>
      <x:c r="M49" s="31" t="n">
        <x:v>9.3027026659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6596.599317208985</x:v>
      </x:c>
    </x:row>
    <x:row r="50" ht="18" customHeight="1">
      <x:c r="A50" s="24" t="str">
        <x:v>EEZ_780</x:v>
      </x:c>
      <x:c r="B50" s="24" t="str">
        <x:v>Trinidad &amp; Tobago</x:v>
      </x:c>
      <x:c r="C50" s="24" t="str">
        <x:v>EEZ</x:v>
      </x:c>
      <x:c r="D50" s="30" t="n">
        <x:v>2019</x:v>
      </x:c>
      <x:c r="E50" s="24" t="str">
        <x:v>Sphyrna</x:v>
      </x:c>
      <x:c r="F50" s="24" t="str">
        <x:v>Hammerhead sharks</x:v>
      </x:c>
      <x:c r="G50" s="24" t="str">
        <x:v>Large sharks (&gt;=90 cm)</x:v>
      </x:c>
      <x:c r="H50" s="24" t="str">
        <x:v>Sharks &amp; rays</x:v>
      </x:c>
      <x:c r="I50" s="31" t="n">
        <x:v>9.418511669899999</x:v>
      </x:c>
      <x:c r="J50" s="31" t="n">
        <x:v>9.418511669899999</x:v>
      </x:c>
      <x:c r="K50" s="31" t="n">
        <x:v>0</x:v>
      </x:c>
      <x:c r="L50" s="31" t="n">
        <x:v>9.418511669899999</x:v>
      </x:c>
      <x:c r="M50" s="31" t="n">
        <x:v>0</x:v>
      </x:c>
      <x:c r="N50" s="24" t="str">
        <x:v>sphyrna</x:v>
      </x:c>
      <x:c r="O50" s="32" t="n">
        <x:v>4.2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Sphyrna</x:v>
      </x:c>
      <x:c r="T50" s="32" t="n">
        <x:f>IF(O50="","",(1/'Metadata'!$B$5)^(O50-1))</x:f>
        <x:v>1584.893192461114</x:v>
      </x:c>
      <x:c r="U50" s="31" t="n">
        <x:f>IF(T50="","",I50*T50)</x:f>
        <x:v>14927.335028740068</x:v>
      </x:c>
    </x:row>
    <x:row r="51" ht="18" customHeight="1">
      <x:c r="A51" s="24" t="str">
        <x:v>EEZ_780</x:v>
      </x:c>
      <x:c r="B51" s="24" t="str">
        <x:v>Trinidad &amp; Tobago</x:v>
      </x:c>
      <x:c r="C51" s="24" t="str">
        <x:v>EEZ</x:v>
      </x:c>
      <x:c r="D51" s="30" t="n">
        <x:v>2019</x:v>
      </x:c>
      <x:c r="E51" s="24" t="str">
        <x:v>Hemiramphidae</x:v>
      </x:c>
      <x:c r="F51" s="24" t="str">
        <x:v>Halfbeaks, garfishes</x:v>
      </x:c>
      <x:c r="G51" s="24" t="str">
        <x:v>Medium pelagics (30 - 89 cm)</x:v>
      </x:c>
      <x:c r="H51" s="24" t="str">
        <x:v>Other fishes &amp; inverts</x:v>
      </x:c>
      <x:c r="I51" s="31" t="n">
        <x:v>8.661006997100001</x:v>
      </x:c>
      <x:c r="J51" s="31" t="n">
        <x:v>7.8950691742000005</x:v>
      </x:c>
      <x:c r="K51" s="31" t="n">
        <x:v>0.7659378229</x:v>
      </x:c>
      <x:c r="L51" s="31" t="n">
        <x:v>7.3091336665</x:v>
      </x:c>
      <x:c r="M51" s="31" t="n">
        <x:v>1.3518733306000001</x:v>
      </x:c>
      <x:c r="N51" s="24" t="str">
        <x:v>hemiramphidae</x:v>
      </x:c>
      <x:c r="O51" s="32" t="n">
        <x:v>2.82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Hemiramphidae</x:v>
      </x:c>
      <x:c r="T51" s="32" t="n">
        <x:f>IF(O51="","",(1/'Metadata'!$B$5)^(O51-1))</x:f>
        <x:v>66.06934480075958</x:v>
      </x:c>
      <x:c r="U51" s="31" t="n">
        <x:f>IF(T51="","",I51*T51)</x:f>
        <x:v>572.2270576131913</x:v>
      </x:c>
    </x:row>
    <x:row r="52" ht="18" customHeight="1">
      <x:c r="A52" s="24" t="str">
        <x:v>EEZ_780</x:v>
      </x:c>
      <x:c r="B52" s="24" t="str">
        <x:v>Trinidad &amp; Tobago</x:v>
      </x:c>
      <x:c r="C52" s="24" t="str">
        <x:v>EEZ</x:v>
      </x:c>
      <x:c r="D52" s="30" t="n">
        <x:v>2019</x:v>
      </x:c>
      <x:c r="E52" s="24" t="str">
        <x:v>Makaira nigricans</x:v>
      </x:c>
      <x:c r="F52" s="24" t="str">
        <x:v>Blue marlin</x:v>
      </x:c>
      <x:c r="G52" s="24" t="str">
        <x:v>Large pelagics (&gt;=90 cm)</x:v>
      </x:c>
      <x:c r="H52" s="24" t="str">
        <x:v>Tuna &amp; billfishes</x:v>
      </x:c>
      <x:c r="I52" s="31" t="n">
        <x:v>7.6325169148</x:v>
      </x:c>
      <x:c r="J52" s="31" t="n">
        <x:v>7.6325169148</x:v>
      </x:c>
      <x:c r="K52" s="31" t="n">
        <x:v>0</x:v>
      </x:c>
      <x:c r="L52" s="31" t="n">
        <x:v>7.6325169148</x:v>
      </x:c>
      <x:c r="M52" s="31" t="n">
        <x:v>0</x:v>
      </x:c>
      <x:c r="N52" s="24" t="str">
        <x:v>makaira nigricans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Makaira nigricans</x:v>
      </x:c>
      <x:c r="T52" s="32" t="n">
        <x:f>IF(O52="","",(1/'Metadata'!$B$5)^(O52-1))</x:f>
        <x:v>3090.295432513592</x:v>
      </x:c>
      <x:c r="U52" s="31" t="n">
        <x:f>IF(T52="","",I52*T52)</x:f>
        <x:v>23586.732160389172</x:v>
      </x:c>
    </x:row>
    <x:row r="53" ht="18" customHeight="1">
      <x:c r="A53" s="24" t="str">
        <x:v>EEZ_780</x:v>
      </x:c>
      <x:c r="B53" s="24" t="str">
        <x:v>Trinidad &amp; Tobago</x:v>
      </x:c>
      <x:c r="C53" s="24" t="str">
        <x:v>EEZ</x:v>
      </x:c>
      <x:c r="D53" s="30" t="n">
        <x:v>2019</x:v>
      </x:c>
      <x:c r="E53" s="24" t="str">
        <x:v>Pomatomus saltatrix</x:v>
      </x:c>
      <x:c r="F53" s="24" t="str">
        <x:v>Bluefish</x:v>
      </x:c>
      <x:c r="G53" s="24" t="str">
        <x:v>Large pelagics (&gt;=90 cm)</x:v>
      </x:c>
      <x:c r="H53" s="24" t="str">
        <x:v>Perch-likes</x:v>
      </x:c>
      <x:c r="I53" s="31" t="n">
        <x:v>7.4482522073</x:v>
      </x:c>
      <x:c r="J53" s="31" t="n">
        <x:v>6.8690773954</x:v>
      </x:c>
      <x:c r="K53" s="31" t="n">
        <x:v>0.5791748119</x:v>
      </x:c>
      <x:c r="L53" s="31" t="n">
        <x:v>6.360014849500001</x:v>
      </x:c>
      <x:c r="M53" s="31" t="n">
        <x:v>1.0882373578</x:v>
      </x:c>
      <x:c r="N53" s="24" t="str">
        <x:v>pomatomus saltatrix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Pomatomus saltatrix</x:v>
      </x:c>
      <x:c r="T53" s="32" t="n">
        <x:f>IF(O53="","",(1/'Metadata'!$B$5)^(O53-1))</x:f>
        <x:v>3388.4415613920273</x:v>
      </x:c>
      <x:c r="U53" s="31" t="n">
        <x:f>IF(T53="","",I53*T53)</x:f>
        <x:v>25237.967338945225</x:v>
      </x:c>
    </x:row>
    <x:row r="54" ht="18" customHeight="1">
      <x:c r="A54" s="24" t="str">
        <x:v>EEZ_780</x:v>
      </x:c>
      <x:c r="B54" s="24" t="str">
        <x:v>Trinidad &amp; Tobago</x:v>
      </x:c>
      <x:c r="C54" s="24" t="str">
        <x:v>EEZ</x:v>
      </x:c>
      <x:c r="D54" s="30" t="n">
        <x:v>2019</x:v>
      </x:c>
      <x:c r="E54" s="24" t="str">
        <x:v>Sarda sarda</x:v>
      </x:c>
      <x:c r="F54" s="24" t="str">
        <x:v>Atlantic bonito</x:v>
      </x:c>
      <x:c r="G54" s="24" t="str">
        <x:v>Medium pelagics (30 - 89 cm)</x:v>
      </x:c>
      <x:c r="H54" s="24" t="str">
        <x:v>Tuna &amp; billfishes</x:v>
      </x:c>
      <x:c r="I54" s="31" t="n">
        <x:v>7.0373709921</x:v>
      </x:c>
      <x:c r="J54" s="31" t="n">
        <x:v>7.0373709921</x:v>
      </x:c>
      <x:c r="K54" s="31" t="n">
        <x:v>0</x:v>
      </x:c>
      <x:c r="L54" s="31" t="n">
        <x:v>7.0373709921</x:v>
      </x:c>
      <x:c r="M54" s="31" t="n">
        <x:v>0</x:v>
      </x:c>
      <x:c r="N54" s="24" t="str">
        <x:v>sarda sarda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Sarda sarda</x:v>
      </x:c>
      <x:c r="T54" s="32" t="n">
        <x:f>IF(O54="","",(1/'Metadata'!$B$5)^(O54-1))</x:f>
        <x:v>3162.2776601683795</x:v>
      </x:c>
      <x:c r="U54" s="31" t="n">
        <x:f>IF(T54="","",I54*T54)</x:f>
        <x:v>22254.121074634815</x:v>
      </x:c>
    </x:row>
    <x:row r="55" ht="18" customHeight="1">
      <x:c r="A55" s="24" t="str">
        <x:v>EEZ_780</x:v>
      </x:c>
      <x:c r="B55" s="24" t="str">
        <x:v>Trinidad &amp; Tobago</x:v>
      </x:c>
      <x:c r="C55" s="24" t="str">
        <x:v>EEZ</x:v>
      </x:c>
      <x:c r="D55" s="30" t="n">
        <x:v>2019</x:v>
      </x:c>
      <x:c r="E55" s="24" t="str">
        <x:v>Cynoglossidae</x:v>
      </x:c>
      <x:c r="F55" s="24" t="str">
        <x:v>Tonguefishes</x:v>
      </x:c>
      <x:c r="G55" s="24" t="str">
        <x:v>Small to medium flatfishes (&lt;90 cm)</x:v>
      </x:c>
      <x:c r="H55" s="24" t="str">
        <x:v>Flatfishes</x:v>
      </x:c>
      <x:c r="I55" s="31" t="n">
        <x:v>6.3781439592</x:v>
      </x:c>
      <x:c r="J55" s="31" t="n">
        <x:v>0.652363843</x:v>
      </x:c>
      <x:c r="K55" s="31" t="n">
        <x:v>5.7257801162</x:v>
      </x:c>
      <x:c r="L55" s="31" t="n">
        <x:v>0.652363843</x:v>
      </x:c>
      <x:c r="M55" s="31" t="n">
        <x:v>5.7257801162</x:v>
      </x:c>
      <x:c r="N55" s="24" t="str">
        <x:v>cynoglossidae</x:v>
      </x:c>
      <x:c r="O55" s="32" t="n">
        <x:v>3.29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Cynoglossidae</x:v>
      </x:c>
      <x:c r="T55" s="32" t="n">
        <x:f>IF(O55="","",(1/'Metadata'!$B$5)^(O55-1))</x:f>
        <x:v>194.98445997580455</x:v>
      </x:c>
      <x:c r="U55" s="31" t="n">
        <x:f>IF(T55="","",I55*T55)</x:f>
        <x:v>1243.638955532552</x:v>
      </x:c>
    </x:row>
    <x:row r="56" ht="18" customHeight="1">
      <x:c r="A56" s="24" t="str">
        <x:v>EEZ_780</x:v>
      </x:c>
      <x:c r="B56" s="24" t="str">
        <x:v>Trinidad &amp; Tobago</x:v>
      </x:c>
      <x:c r="C56" s="24" t="str">
        <x:v>EEZ</x:v>
      </x:c>
      <x:c r="D56" s="30" t="n">
        <x:v>2019</x:v>
      </x:c>
      <x:c r="E56" s="24" t="str">
        <x:v>Kajikia albida</x:v>
      </x:c>
      <x:c r="F56" s="24" t="str">
        <x:v>Atlantic white marlin</x:v>
      </x:c>
      <x:c r="G56" s="24" t="str">
        <x:v>Large pelagics (&gt;=90 cm)</x:v>
      </x:c>
      <x:c r="H56" s="24" t="str">
        <x:v>Tuna &amp; billfishes</x:v>
      </x:c>
      <x:c r="I56" s="31" t="n">
        <x:v>6.0087771466</x:v>
      </x:c>
      <x:c r="J56" s="31" t="n">
        <x:v>6.0087771466</x:v>
      </x:c>
      <x:c r="K56" s="31" t="n">
        <x:v>0</x:v>
      </x:c>
      <x:c r="L56" s="31" t="n">
        <x:v>6.0087771466</x:v>
      </x:c>
      <x:c r="M56" s="31" t="n">
        <x:v>0</x:v>
      </x:c>
      <x:c r="N56" s="24" t="str">
        <x:v>kajikia albida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Kajikia albida</x:v>
      </x:c>
      <x:c r="T56" s="32" t="n">
        <x:f>IF(O56="","",(1/'Metadata'!$B$5)^(O56-1))</x:f>
        <x:v>3090.295432513592</x:v>
      </x:c>
      <x:c r="U56" s="31" t="n">
        <x:f>IF(T56="","",I56*T56)</x:f>
        <x:v>18568.896571130033</x:v>
      </x:c>
    </x:row>
    <x:row r="57" ht="18" customHeight="1">
      <x:c r="A57" s="24" t="str">
        <x:v>EEZ_780</x:v>
      </x:c>
      <x:c r="B57" s="24" t="str">
        <x:v>Trinidad &amp; Tobago</x:v>
      </x:c>
      <x:c r="C57" s="24" t="str">
        <x:v>EEZ</x:v>
      </x:c>
      <x:c r="D57" s="30" t="n">
        <x:v>2019</x:v>
      </x:c>
      <x:c r="E57" s="24" t="str">
        <x:v>Malacostraca</x:v>
      </x:c>
      <x:c r="F57" s="24" t="str">
        <x:v>Lobsters, crabs, shrimps, krill</x:v>
      </x:c>
      <x:c r="G57" s="24" t="str">
        <x:v>Shrimps</x:v>
      </x:c>
      <x:c r="H57" s="24" t="str">
        <x:v>Crustaceans</x:v>
      </x:c>
      <x:c r="I57" s="31" t="n">
        <x:v>5.3985696322</x:v>
      </x:c>
      <x:c r="J57" s="31" t="n">
        <x:v>0.8169583913</x:v>
      </x:c>
      <x:c r="K57" s="31" t="n">
        <x:v>4.5816112409</x:v>
      </x:c>
      <x:c r="L57" s="31" t="n">
        <x:v>0.8169583913</x:v>
      </x:c>
      <x:c r="M57" s="31" t="n">
        <x:v>4.5816112409</x:v>
      </x:c>
      <x:c r="N57" s="24" t="str">
        <x:v>malacostraca</x:v>
      </x:c>
      <x:c r="O57" s="32" t="n">
        <x:v>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Malacostraca</x:v>
      </x:c>
      <x:c r="T57" s="32" t="n">
        <x:f>IF(O57="","",(1/'Metadata'!$B$5)^(O57-1))</x:f>
        <x:v>100</x:v>
      </x:c>
      <x:c r="U57" s="31" t="n">
        <x:f>IF(T57="","",I57*T57)</x:f>
        <x:v>539.85696322</x:v>
      </x:c>
    </x:row>
    <x:row r="58" ht="18" customHeight="1">
      <x:c r="A58" s="24" t="str">
        <x:v>EEZ_780</x:v>
      </x:c>
      <x:c r="B58" s="24" t="str">
        <x:v>Trinidad &amp; Tobago</x:v>
      </x:c>
      <x:c r="C58" s="24" t="str">
        <x:v>EEZ</x:v>
      </x:c>
      <x:c r="D58" s="30" t="n">
        <x:v>2019</x:v>
      </x:c>
      <x:c r="E58" s="24" t="str">
        <x:v>Xiphiidae</x:v>
      </x:c>
      <x:c r="F58" s="24" t="str">
        <x:v>Swordfishes</x:v>
      </x:c>
      <x:c r="G58" s="24" t="str">
        <x:v>Large pelagics (&gt;=90 cm)</x:v>
      </x:c>
      <x:c r="H58" s="24" t="str">
        <x:v>Tuna &amp; billfishes</x:v>
      </x:c>
      <x:c r="I58" s="31" t="n">
        <x:v>4.4854988431</x:v>
      </x:c>
      <x:c r="J58" s="31" t="n">
        <x:v>4.4854988431</x:v>
      </x:c>
      <x:c r="K58" s="31" t="n">
        <x:v>0</x:v>
      </x:c>
      <x:c r="L58" s="31" t="n">
        <x:v>4.152424395500001</x:v>
      </x:c>
      <x:c r="M58" s="31" t="n">
        <x:v>0.3330744476</x:v>
      </x:c>
      <x:c r="N58" s="24" t="str">
        <x:v>xiphiidae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Xiphiidae</x:v>
      </x:c>
      <x:c r="T58" s="32" t="n">
        <x:f>IF(O58="","",(1/'Metadata'!$B$5)^(O58-1))</x:f>
        <x:v>3162.2776601683795</x:v>
      </x:c>
      <x:c r="U58" s="31" t="n">
        <x:f>IF(T58="","",I58*T58)</x:f>
        <x:v>14184.392786246242</x:v>
      </x:c>
    </x:row>
    <x:row r="59" ht="18" customHeight="1">
      <x:c r="A59" s="24" t="str">
        <x:v>EEZ_780</x:v>
      </x:c>
      <x:c r="B59" s="24" t="str">
        <x:v>Trinidad &amp; Tobago</x:v>
      </x:c>
      <x:c r="C59" s="24" t="str">
        <x:v>EEZ</x:v>
      </x:c>
      <x:c r="D59" s="30" t="n">
        <x:v>2019</x:v>
      </x:c>
      <x:c r="E59" s="24" t="str">
        <x:v>Xiphias gladius</x:v>
      </x:c>
      <x:c r="F59" s="24" t="str">
        <x:v>Swordfish</x:v>
      </x:c>
      <x:c r="G59" s="24" t="str">
        <x:v>Large pelagics (&gt;=90 cm)</x:v>
      </x:c>
      <x:c r="H59" s="24" t="str">
        <x:v>Tuna &amp; billfishes</x:v>
      </x:c>
      <x:c r="I59" s="31" t="n">
        <x:v>4.2608566859</x:v>
      </x:c>
      <x:c r="J59" s="31" t="n">
        <x:v>4.2608566859</x:v>
      </x:c>
      <x:c r="K59" s="31" t="n">
        <x:v>0</x:v>
      </x:c>
      <x:c r="L59" s="31" t="n">
        <x:v>4.2608566859</x:v>
      </x:c>
      <x:c r="M59" s="31" t="n">
        <x:v>0</x:v>
      </x:c>
      <x:c r="N59" s="24" t="str">
        <x:v>xiphias gladius</x:v>
      </x:c>
      <x:c r="O59" s="32" t="n">
        <x:v>4.53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Xiphias gladius</x:v>
      </x:c>
      <x:c r="T59" s="32" t="n">
        <x:f>IF(O59="","",(1/'Metadata'!$B$5)^(O59-1))</x:f>
        <x:v>3388.4415613920273</x:v>
      </x:c>
      <x:c r="U59" s="31" t="n">
        <x:f>IF(T59="","",I59*T59)</x:f>
        <x:v>14437.663881638657</x:v>
      </x:c>
    </x:row>
    <x:row r="60" ht="18" customHeight="1">
      <x:c r="A60" s="24" t="str">
        <x:v>EEZ_780</x:v>
      </x:c>
      <x:c r="B60" s="24" t="str">
        <x:v>Trinidad &amp; Tobago</x:v>
      </x:c>
      <x:c r="C60" s="24" t="str">
        <x:v>EEZ</x:v>
      </x:c>
      <x:c r="D60" s="30" t="n">
        <x:v>2019</x:v>
      </x:c>
      <x:c r="E60" s="24" t="str">
        <x:v>Pleuronectiformes</x:v>
      </x:c>
      <x:c r="F60" s="24" t="str">
        <x:v>Flatfishes</x:v>
      </x:c>
      <x:c r="G60" s="24" t="str">
        <x:v>Small to medium flatfishes (&lt;90 cm)</x:v>
      </x:c>
      <x:c r="H60" s="24" t="str">
        <x:v>Flatfishes</x:v>
      </x:c>
      <x:c r="I60" s="31" t="n">
        <x:v>3.102797261</x:v>
      </x:c>
      <x:c r="J60" s="31" t="n">
        <x:v>0.2491675706</x:v>
      </x:c>
      <x:c r="K60" s="31" t="n">
        <x:v>2.8536296904</x:v>
      </x:c>
      <x:c r="L60" s="31" t="n">
        <x:v>0.2491675706</x:v>
      </x:c>
      <x:c r="M60" s="31" t="n">
        <x:v>2.8536296904</x:v>
      </x:c>
      <x:c r="N60" s="24" t="str">
        <x:v>pleuronectiformes</x:v>
      </x:c>
      <x:c r="O60" s="32" t="n">
        <x:v>3.57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Pleuronectiformes</x:v>
      </x:c>
      <x:c r="T60" s="32" t="n">
        <x:f>IF(O60="","",(1/'Metadata'!$B$5)^(O60-1))</x:f>
        <x:v>371.5352290971724</x:v>
      </x:c>
      <x:c r="U60" s="31" t="n">
        <x:f>IF(T60="","",I60*T60)</x:f>
        <x:v>1152.798491207714</x:v>
      </x:c>
    </x:row>
    <x:row r="61" ht="18" customHeight="1">
      <x:c r="A61" s="24" t="str">
        <x:v>EEZ_780</x:v>
      </x:c>
      <x:c r="B61" s="24" t="str">
        <x:v>Trinidad &amp; Tobago</x:v>
      </x:c>
      <x:c r="C61" s="24" t="str">
        <x:v>EEZ</x:v>
      </x:c>
      <x:c r="D61" s="30" t="n">
        <x:v>2019</x:v>
      </x:c>
      <x:c r="E61" s="24" t="str">
        <x:v>Labridae</x:v>
      </x:c>
      <x:c r="F61" s="24" t="str">
        <x:v>Wrasses, gropers, tuskfishes</x:v>
      </x:c>
      <x:c r="G61" s="24" t="str">
        <x:v>Medium reef assoc. fish (30 - 89 cm)</x:v>
      </x:c>
      <x:c r="H61" s="24" t="str">
        <x:v>Perch-likes</x:v>
      </x:c>
      <x:c r="I61" s="31" t="n">
        <x:v>2.2127564395</x:v>
      </x:c>
      <x:c r="J61" s="31" t="n">
        <x:v>2.2127564395</x:v>
      </x:c>
      <x:c r="K61" s="31" t="n">
        <x:v>0</x:v>
      </x:c>
      <x:c r="L61" s="31" t="n">
        <x:v>2.1057381201000003</x:v>
      </x:c>
      <x:c r="M61" s="31" t="n">
        <x:v>0.1070183194</x:v>
      </x:c>
      <x:c r="N61" s="24" t="str">
        <x:v>labridae</x:v>
      </x:c>
      <x:c r="O61" s="32" t="n">
        <x:v>3.46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Labridae</x:v>
      </x:c>
      <x:c r="T61" s="32" t="n">
        <x:f>IF(O61="","",(1/'Metadata'!$B$5)^(O61-1))</x:f>
        <x:v>288.40315031266056</x:v>
      </x:c>
      <x:c r="U61" s="31" t="n">
        <x:f>IF(T61="","",I61*T61)</x:f>
        <x:v>638.1659280264262</x:v>
      </x:c>
    </x:row>
    <x:row r="62" ht="18" customHeight="1">
      <x:c r="A62" s="24" t="str">
        <x:v>EEZ_780</x:v>
      </x:c>
      <x:c r="B62" s="24" t="str">
        <x:v>Trinidad &amp; Tobago</x:v>
      </x:c>
      <x:c r="C62" s="24" t="str">
        <x:v>EEZ</x:v>
      </x:c>
      <x:c r="D62" s="30" t="n">
        <x:v>2019</x:v>
      </x:c>
      <x:c r="E62" s="24" t="str">
        <x:v>Dasyatidae</x:v>
      </x:c>
      <x:c r="F62" s="24" t="str">
        <x:v>Whiptail stingrays</x:v>
      </x:c>
      <x:c r="G62" s="24" t="str">
        <x:v>Large rays (&gt;=90 cm)</x:v>
      </x:c>
      <x:c r="H62" s="24" t="str">
        <x:v>Sharks &amp; rays</x:v>
      </x:c>
      <x:c r="I62" s="31" t="n">
        <x:v>2.1995111975</x:v>
      </x:c>
      <x:c r="J62" s="31" t="n">
        <x:v>0.9283681102</x:v>
      </x:c>
      <x:c r="K62" s="31" t="n">
        <x:v>1.2711430873</x:v>
      </x:c>
      <x:c r="L62" s="31" t="n">
        <x:v>0.921009631</x:v>
      </x:c>
      <x:c r="M62" s="31" t="n">
        <x:v>1.2785015665000001</x:v>
      </x:c>
      <x:c r="N62" s="24" t="str">
        <x:v>dasyatidae</x:v>
      </x:c>
      <x:c r="O62" s="32" t="n">
        <x:v>3.38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Dasyatidae</x:v>
      </x:c>
      <x:c r="T62" s="32" t="n">
        <x:f>IF(O62="","",(1/'Metadata'!$B$5)^(O62-1))</x:f>
        <x:v>239.88329190194898</x:v>
      </x:c>
      <x:c r="U62" s="31" t="n">
        <x:f>IF(T62="","",I62*T62)</x:f>
        <x:v>527.6259866314979</x:v>
      </x:c>
    </x:row>
    <x:row r="63" ht="18" customHeight="1">
      <x:c r="A63" s="24" t="str">
        <x:v>EEZ_780</x:v>
      </x:c>
      <x:c r="B63" s="24" t="str">
        <x:v>Trinidad &amp; Tobago</x:v>
      </x:c>
      <x:c r="C63" s="24" t="str">
        <x:v>EEZ</x:v>
      </x:c>
      <x:c r="D63" s="30" t="n">
        <x:v>2019</x:v>
      </x:c>
      <x:c r="E63" s="24" t="str">
        <x:v>Thunnus obesus</x:v>
      </x:c>
      <x:c r="F63" s="24" t="str">
        <x:v>Bigeye tuna</x:v>
      </x:c>
      <x:c r="G63" s="24" t="str">
        <x:v>Large pelagics (&gt;=90 cm)</x:v>
      </x:c>
      <x:c r="H63" s="24" t="str">
        <x:v>Tuna &amp; billfishes</x:v>
      </x:c>
      <x:c r="I63" s="31" t="n">
        <x:v>2.0491780662</x:v>
      </x:c>
      <x:c r="J63" s="31" t="n">
        <x:v>2.0491780662</x:v>
      </x:c>
      <x:c r="K63" s="31" t="n">
        <x:v>0</x:v>
      </x:c>
      <x:c r="L63" s="31" t="n">
        <x:v>2.0491780662</x:v>
      </x:c>
      <x:c r="M63" s="31" t="n">
        <x:v>0</x:v>
      </x:c>
      <x:c r="N63" s="24" t="str">
        <x:v>thunnus obesus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obesus</x:v>
      </x:c>
      <x:c r="T63" s="32" t="n">
        <x:f>IF(O63="","",(1/'Metadata'!$B$5)^(O63-1))</x:f>
        <x:v>3090.295432513592</x:v>
      </x:c>
      <x:c r="U63" s="31" t="n">
        <x:f>IF(T63="","",I63*T63)</x:f>
        <x:v>6332.565618384895</x:v>
      </x:c>
    </x:row>
    <x:row r="64" ht="18" customHeight="1">
      <x:c r="A64" s="24" t="str">
        <x:v>EEZ_780</x:v>
      </x:c>
      <x:c r="B64" s="24" t="str">
        <x:v>Trinidad &amp; Tobago</x:v>
      </x:c>
      <x:c r="C64" s="24" t="str">
        <x:v>EEZ</x:v>
      </x:c>
      <x:c r="D64" s="30" t="n">
        <x:v>2019</x:v>
      </x:c>
      <x:c r="E64" s="24" t="str">
        <x:v>Ginglymostoma cirratum</x:v>
      </x:c>
      <x:c r="F64" s="24" t="str">
        <x:v>Nurse shark</x:v>
      </x:c>
      <x:c r="G64" s="24" t="str">
        <x:v>Large sharks (&gt;=90 cm)</x:v>
      </x:c>
      <x:c r="H64" s="24" t="str">
        <x:v>Sharks &amp; rays</x:v>
      </x:c>
      <x:c r="I64" s="31" t="n">
        <x:v>1.7824405232</x:v>
      </x:c>
      <x:c r="J64" s="31" t="n">
        <x:v>1.7824405232</x:v>
      </x:c>
      <x:c r="K64" s="31" t="n">
        <x:v>0</x:v>
      </x:c>
      <x:c r="L64" s="31" t="n">
        <x:v>1.7824405232</x:v>
      </x:c>
      <x:c r="M64" s="31" t="n">
        <x:v>0</x:v>
      </x:c>
      <x:c r="N64" s="24" t="str">
        <x:v>ginglymostoma cirratum</x:v>
      </x:c>
      <x:c r="O64" s="32" t="n">
        <x:v>4.15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Ginglymostoma cirratum</x:v>
      </x:c>
      <x:c r="T64" s="32" t="n">
        <x:f>IF(O64="","",(1/'Metadata'!$B$5)^(O64-1))</x:f>
        <x:v>1412.5375446227554</x:v>
      </x:c>
      <x:c r="U64" s="31" t="n">
        <x:f>IF(T64="","",I64*T64)</x:f>
        <x:v>2517.7641600770276</x:v>
      </x:c>
    </x:row>
    <x:row r="65" ht="18" customHeight="1">
      <x:c r="A65" s="24" t="str">
        <x:v>EEZ_780</x:v>
      </x:c>
      <x:c r="B65" s="24" t="str">
        <x:v>Trinidad &amp; Tobago</x:v>
      </x:c>
      <x:c r="C65" s="24" t="str">
        <x:v>EEZ</x:v>
      </x:c>
      <x:c r="D65" s="30" t="n">
        <x:v>2019</x:v>
      </x:c>
      <x:c r="E65" s="24" t="str">
        <x:v>Tetraodontidae</x:v>
      </x:c>
      <x:c r="F65" s="24" t="str">
        <x:v>Puffers, tobies</x:v>
      </x:c>
      <x:c r="G65" s="24" t="str">
        <x:v>Large reef assoc. fish (&gt;=90 cm)</x:v>
      </x:c>
      <x:c r="H65" s="24" t="str">
        <x:v>Other fishes &amp; inverts</x:v>
      </x:c>
      <x:c r="I65" s="31" t="n">
        <x:v>1.5965999685999999</x:v>
      </x:c>
      <x:c r="J65" s="31" t="n">
        <x:v>0.092941585</x:v>
      </x:c>
      <x:c r="K65" s="31" t="n">
        <x:v>1.5036583836</x:v>
      </x:c>
      <x:c r="L65" s="31" t="n">
        <x:v>0.092941585</x:v>
      </x:c>
      <x:c r="M65" s="31" t="n">
        <x:v>1.5036583836</x:v>
      </x:c>
      <x:c r="N65" s="24" t="str">
        <x:v>tetraodontidae</x:v>
      </x:c>
      <x:c r="O65" s="32" t="n">
        <x:v>3.5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Tetraodontidae</x:v>
      </x:c>
      <x:c r="T65" s="32" t="n">
        <x:f>IF(O65="","",(1/'Metadata'!$B$5)^(O65-1))</x:f>
        <x:v>316.22776601683796</x:v>
      </x:c>
      <x:c r="U65" s="31" t="n">
        <x:f>IF(T65="","",I65*T65)</x:f>
        <x:v>504.8892412929316</x:v>
      </x:c>
    </x:row>
    <x:row r="66" ht="18" customHeight="1">
      <x:c r="A66" s="24" t="str">
        <x:v>EEZ_780</x:v>
      </x:c>
      <x:c r="B66" s="24" t="str">
        <x:v>Trinidad &amp; Tobago</x:v>
      </x:c>
      <x:c r="C66" s="24" t="str">
        <x:v>EEZ</x:v>
      </x:c>
      <x:c r="D66" s="30" t="n">
        <x:v>2019</x:v>
      </x:c>
      <x:c r="E66" s="24" t="str">
        <x:v>Chondrichthyes</x:v>
      </x:c>
      <x:c r="F66" s="24" t="str">
        <x:v>Sharks, rays, chimaeras</x:v>
      </x:c>
      <x:c r="G66" s="24" t="str">
        <x:v>Large sharks (&gt;=90 cm)</x:v>
      </x:c>
      <x:c r="H66" s="24" t="str">
        <x:v>Sharks &amp; rays</x:v>
      </x:c>
      <x:c r="I66" s="31" t="n">
        <x:v>1.5208645749</x:v>
      </x:c>
      <x:c r="J66" s="31" t="n">
        <x:v>1.5208645749</x:v>
      </x:c>
      <x:c r="K66" s="31" t="n">
        <x:v>0</x:v>
      </x:c>
      <x:c r="L66" s="31" t="n">
        <x:v>1.5208645749</x:v>
      </x:c>
      <x:c r="M66" s="31" t="n">
        <x:v>0</x:v>
      </x:c>
      <x:c r="N66" s="24" t="str">
        <x:v>chondrichthyes</x:v>
      </x:c>
      <x:c r="O66" s="32" t="n">
        <x:v>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Chondrichthyes</x:v>
      </x:c>
      <x:c r="T66" s="32" t="n">
        <x:f>IF(O66="","",(1/'Metadata'!$B$5)^(O66-1))</x:f>
        <x:v>1000</x:v>
      </x:c>
      <x:c r="U66" s="31" t="n">
        <x:f>IF(T66="","",I66*T66)</x:f>
        <x:v>1520.8645749</x:v>
      </x:c>
    </x:row>
    <x:row r="67" ht="18" customHeight="1">
      <x:c r="A67" s="24" t="str">
        <x:v>EEZ_780</x:v>
      </x:c>
      <x:c r="B67" s="24" t="str">
        <x:v>Trinidad &amp; Tobago</x:v>
      </x:c>
      <x:c r="C67" s="24" t="str">
        <x:v>EEZ</x:v>
      </x:c>
      <x:c r="D67" s="30" t="n">
        <x:v>2019</x:v>
      </x:c>
      <x:c r="E67" s="24" t="str">
        <x:v>Gobiidae</x:v>
      </x:c>
      <x:c r="F67" s="24" t="str">
        <x:v>Gobies</x:v>
      </x:c>
      <x:c r="G67" s="24" t="str">
        <x:v>Small reef assoc. fish (&lt;30 cm)</x:v>
      </x:c>
      <x:c r="H67" s="24" t="str">
        <x:v>Perch-likes</x:v>
      </x:c>
      <x:c r="I67" s="31" t="n">
        <x:v>1.4436226482999999</x:v>
      </x:c>
      <x:c r="J67" s="31" t="n">
        <x:v>0.21748542199999998</x:v>
      </x:c>
      <x:c r="K67" s="31" t="n">
        <x:v>1.2261372262999999</x:v>
      </x:c>
      <x:c r="L67" s="31" t="n">
        <x:v>0.2013446602</x:v>
      </x:c>
      <x:c r="M67" s="31" t="n">
        <x:v>1.2422779881</x:v>
      </x:c>
      <x:c r="N67" s="24" t="str">
        <x:v>gobiidae</x:v>
      </x:c>
      <x:c r="O67" s="32" t="n">
        <x:v>3.11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Gobiidae</x:v>
      </x:c>
      <x:c r="T67" s="32" t="n">
        <x:f>IF(O67="","",(1/'Metadata'!$B$5)^(O67-1))</x:f>
        <x:v>128.82495516931337</x:v>
      </x:c>
      <x:c r="U67" s="31" t="n">
        <x:f>IF(T67="","",I67*T67)</x:f>
        <x:v>185.97462294865292</x:v>
      </x:c>
    </x:row>
    <x:row r="68" ht="18" customHeight="1">
      <x:c r="A68" s="24" t="str">
        <x:v>EEZ_780</x:v>
      </x:c>
      <x:c r="B68" s="24" t="str">
        <x:v>Trinidad &amp; Tobago</x:v>
      </x:c>
      <x:c r="C68" s="24" t="str">
        <x:v>EEZ</x:v>
      </x:c>
      <x:c r="D68" s="30" t="n">
        <x:v>2019</x:v>
      </x:c>
      <x:c r="E68" s="24" t="str">
        <x:v>Priacanthidae</x:v>
      </x:c>
      <x:c r="F68" s="24" t="str">
        <x:v>Bigeyes, catalufas</x:v>
      </x:c>
      <x:c r="G68" s="24" t="str">
        <x:v>Medium reef assoc. fish (30 - 89 cm)</x:v>
      </x:c>
      <x:c r="H68" s="24" t="str">
        <x:v>Perch-likes</x:v>
      </x:c>
      <x:c r="I68" s="31" t="n">
        <x:v>1.3059432395</x:v>
      </x:c>
      <x:c r="J68" s="31" t="n">
        <x:v>0.8638503807</x:v>
      </x:c>
      <x:c r="K68" s="31" t="n">
        <x:v>0.44209285880000004</x:v>
      </x:c>
      <x:c r="L68" s="31" t="n">
        <x:v>0.8052756207</x:v>
      </x:c>
      <x:c r="M68" s="31" t="n">
        <x:v>0.5006676188</x:v>
      </x:c>
      <x:c r="N68" s="24" t="str">
        <x:v>priacanthidae</x:v>
      </x:c>
      <x:c r="O68" s="32" t="n">
        <x:v>3.79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Priacanthidae</x:v>
      </x:c>
      <x:c r="T68" s="32" t="n">
        <x:f>IF(O68="","",(1/'Metadata'!$B$5)^(O68-1))</x:f>
        <x:v>616.5950018614822</x:v>
      </x:c>
      <x:c r="U68" s="31" t="n">
        <x:f>IF(T68="","",I68*T68)</x:f>
        <x:v>805.2380741904925</x:v>
      </x:c>
    </x:row>
    <x:row r="69" ht="18" customHeight="1">
      <x:c r="A69" s="24" t="str">
        <x:v>EEZ_780</x:v>
      </x:c>
      <x:c r="B69" s="24" t="str">
        <x:v>Trinidad &amp; Tobago</x:v>
      </x:c>
      <x:c r="C69" s="24" t="str">
        <x:v>EEZ</x:v>
      </x:c>
      <x:c r="D69" s="30" t="n">
        <x:v>2019</x:v>
      </x:c>
      <x:c r="E69" s="24" t="str">
        <x:v>Lepidocybium flavobrunneum</x:v>
      </x:c>
      <x:c r="F69" s="24" t="str">
        <x:v>Escolar</x:v>
      </x:c>
      <x:c r="G69" s="24" t="str">
        <x:v>Large bathypelagics (&gt;=90 cm)</x:v>
      </x:c>
      <x:c r="H69" s="24" t="str">
        <x:v>Perch-likes</x:v>
      </x:c>
      <x:c r="I69" s="31" t="n">
        <x:v>1.2383843769</x:v>
      </x:c>
      <x:c r="J69" s="31" t="n">
        <x:v>1.2383843769</x:v>
      </x:c>
      <x:c r="K69" s="31" t="n">
        <x:v>0</x:v>
      </x:c>
      <x:c r="L69" s="31" t="n">
        <x:v>1.2383843769</x:v>
      </x:c>
      <x:c r="M69" s="31" t="n">
        <x:v>0</x:v>
      </x:c>
      <x:c r="N69" s="24" t="str">
        <x:v>lepidocybium flavobrunneum</x:v>
      </x:c>
      <x:c r="O69" s="32" t="n">
        <x:v>4.34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Lepidocybium flavobrunneum</x:v>
      </x:c>
      <x:c r="T69" s="32" t="n">
        <x:f>IF(O69="","",(1/'Metadata'!$B$5)^(O69-1))</x:f>
        <x:v>2187.761623949552</x:v>
      </x:c>
      <x:c r="U69" s="31" t="n">
        <x:f>IF(T69="","",I69*T69)</x:f>
        <x:v>2709.289815480498</x:v>
      </x:c>
    </x:row>
    <x:row r="70" ht="18" customHeight="1">
      <x:c r="A70" s="24" t="str">
        <x:v>EEZ_780</x:v>
      </x:c>
      <x:c r="B70" s="24" t="str">
        <x:v>Trinidad &amp; Tobago</x:v>
      </x:c>
      <x:c r="C70" s="24" t="str">
        <x:v>EEZ</x:v>
      </x:c>
      <x:c r="D70" s="30" t="n">
        <x:v>2019</x:v>
      </x:c>
      <x:c r="E70" s="24" t="str">
        <x:v>Bothidae</x:v>
      </x:c>
      <x:c r="F70" s="24" t="str">
        <x:v>Lefteye flounders</x:v>
      </x:c>
      <x:c r="G70" s="24" t="str">
        <x:v>Small to medium flatfishes (&lt;90 cm)</x:v>
      </x:c>
      <x:c r="H70" s="24" t="str">
        <x:v>Flatfishes</x:v>
      </x:c>
      <x:c r="I70" s="31" t="n">
        <x:v>1.2366915776</x:v>
      </x:c>
      <x:c r="J70" s="31" t="n">
        <x:v>0</x:v>
      </x:c>
      <x:c r="K70" s="31" t="n">
        <x:v>1.2366915776</x:v>
      </x:c>
      <x:c r="L70" s="31" t="n">
        <x:v>0</x:v>
      </x:c>
      <x:c r="M70" s="31" t="n">
        <x:v>1.2366915776</x:v>
      </x:c>
      <x:c r="N70" s="24" t="str">
        <x:v>bothidae</x:v>
      </x:c>
      <x:c r="O70" s="32" t="n">
        <x:v>3.77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Bothidae</x:v>
      </x:c>
      <x:c r="T70" s="32" t="n">
        <x:f>IF(O70="","",(1/'Metadata'!$B$5)^(O70-1))</x:f>
        <x:v>588.843655355589</x:v>
      </x:c>
      <x:c r="U70" s="31" t="n">
        <x:f>IF(T70="","",I70*T70)</x:f>
        <x:v>728.2179891014541</x:v>
      </x:c>
    </x:row>
    <x:row r="71" ht="18" customHeight="1">
      <x:c r="A71" s="24" t="str">
        <x:v>EEZ_780</x:v>
      </x:c>
      <x:c r="B71" s="24" t="str">
        <x:v>Trinidad &amp; Tobago</x:v>
      </x:c>
      <x:c r="C71" s="24" t="str">
        <x:v>EEZ</x:v>
      </x:c>
      <x:c r="D71" s="30" t="n">
        <x:v>2019</x:v>
      </x:c>
      <x:c r="E71" s="24" t="str">
        <x:v>Sphyraena barracuda</x:v>
      </x:c>
      <x:c r="F71" s="24" t="str">
        <x:v>Great barracuda</x:v>
      </x:c>
      <x:c r="G71" s="24" t="str">
        <x:v>Large pelagics (&gt;=90 cm)</x:v>
      </x:c>
      <x:c r="H71" s="24" t="str">
        <x:v>Perch-likes</x:v>
      </x:c>
      <x:c r="I71" s="31" t="n">
        <x:v>1.1517646065999998</x:v>
      </x:c>
      <x:c r="J71" s="31" t="n">
        <x:v>1.1517646065999998</x:v>
      </x:c>
      <x:c r="K71" s="31" t="n">
        <x:v>0</x:v>
      </x:c>
      <x:c r="L71" s="31" t="n">
        <x:v>1.1517646065999998</x:v>
      </x:c>
      <x:c r="M71" s="31" t="n">
        <x:v>0</x:v>
      </x:c>
      <x:c r="N71" s="24" t="str">
        <x:v>sphyraena barracuda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Sphyraena barracuda</x:v>
      </x:c>
      <x:c r="T71" s="32" t="n">
        <x:f>IF(O71="","",(1/'Metadata'!$B$5)^(O71-1))</x:f>
        <x:v>3090.295432513592</x:v>
      </x:c>
      <x:c r="U71" s="31" t="n">
        <x:f>IF(T71="","",I71*T71)</x:f>
        <x:v>3559.2929031067933</x:v>
      </x:c>
    </x:row>
    <x:row r="72" ht="18" customHeight="1">
      <x:c r="A72" s="24" t="str">
        <x:v>EEZ_780</x:v>
      </x:c>
      <x:c r="B72" s="24" t="str">
        <x:v>Trinidad &amp; Tobago</x:v>
      </x:c>
      <x:c r="C72" s="24" t="str">
        <x:v>EEZ</x:v>
      </x:c>
      <x:c r="D72" s="30" t="n">
        <x:v>2019</x:v>
      </x:c>
      <x:c r="E72" s="24" t="str">
        <x:v>Katsuwonus pelamis</x:v>
      </x:c>
      <x:c r="F72" s="24" t="str">
        <x:v>Skipjack tuna</x:v>
      </x:c>
      <x:c r="G72" s="24" t="str">
        <x:v>Large pelagics (&gt;=90 cm)</x:v>
      </x:c>
      <x:c r="H72" s="24" t="str">
        <x:v>Tuna &amp; billfishes</x:v>
      </x:c>
      <x:c r="I72" s="31" t="n">
        <x:v>0.9118573699</x:v>
      </x:c>
      <x:c r="J72" s="31" t="n">
        <x:v>0.9118573699</x:v>
      </x:c>
      <x:c r="K72" s="31" t="n">
        <x:v>0</x:v>
      </x:c>
      <x:c r="L72" s="31" t="n">
        <x:v>0.9118573699</x:v>
      </x:c>
      <x:c r="M72" s="31" t="n">
        <x:v>0</x:v>
      </x:c>
      <x:c r="N72" s="24" t="str">
        <x:v>katsuwonus pelamis</x:v>
      </x:c>
      <x:c r="O72" s="32" t="n">
        <x:v>4.43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Katsuwonus pelamis</x:v>
      </x:c>
      <x:c r="T72" s="32" t="n">
        <x:f>IF(O72="","",(1/'Metadata'!$B$5)^(O72-1))</x:f>
        <x:v>2691.534803926914</x:v>
      </x:c>
      <x:c r="U72" s="31" t="n">
        <x:f>IF(T72="","",I72*T72)</x:f>
        <x:v>2454.2958473031076</x:v>
      </x:c>
    </x:row>
    <x:row r="73" ht="18" customHeight="1">
      <x:c r="A73" s="24" t="str">
        <x:v>EEZ_780</x:v>
      </x:c>
      <x:c r="B73" s="24" t="str">
        <x:v>Trinidad &amp; Tobago</x:v>
      </x:c>
      <x:c r="C73" s="24" t="str">
        <x:v>EEZ</x:v>
      </x:c>
      <x:c r="D73" s="30" t="n">
        <x:v>2019</x:v>
      </x:c>
      <x:c r="E73" s="24" t="str">
        <x:v>Rachycentridae</x:v>
      </x:c>
      <x:c r="F73" s="24" t="str">
        <x:v>Cobias</x:v>
      </x:c>
      <x:c r="G73" s="24" t="str">
        <x:v>Large pelagics (&gt;=90 cm)</x:v>
      </x:c>
      <x:c r="H73" s="24" t="str">
        <x:v>Perch-likes</x:v>
      </x:c>
      <x:c r="I73" s="31" t="n">
        <x:v>0.8145136177</x:v>
      </x:c>
      <x:c r="J73" s="31" t="n">
        <x:v>0.8047239877</x:v>
      </x:c>
      <x:c r="K73" s="31" t="n">
        <x:v>0.00978963</x:v>
      </x:c>
      <x:c r="L73" s="31" t="n">
        <x:v>0.7450010964</x:v>
      </x:c>
      <x:c r="M73" s="31" t="n">
        <x:v>0.06951252129999999</x:v>
      </x:c>
      <x:c r="N73" s="24" t="str">
        <x:v>rachycentridae</x:v>
      </x:c>
      <x:c r="O73" s="32" t="n">
        <x:v>3.96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Rachycentridae</x:v>
      </x:c>
      <x:c r="T73" s="32" t="n">
        <x:f>IF(O73="","",(1/'Metadata'!$B$5)^(O73-1))</x:f>
        <x:v>912.0108393559096</x:v>
      </x:c>
      <x:c r="U73" s="31" t="n">
        <x:f>IF(T73="","",I73*T73)</x:f>
        <x:v>742.8452481453954</x:v>
      </x:c>
    </x:row>
    <x:row r="74" ht="18" customHeight="1">
      <x:c r="A74" s="24" t="str">
        <x:v>EEZ_780</x:v>
      </x:c>
      <x:c r="B74" s="24" t="str">
        <x:v>Trinidad &amp; Tobago</x:v>
      </x:c>
      <x:c r="C74" s="24" t="str">
        <x:v>EEZ</x:v>
      </x:c>
      <x:c r="D74" s="30" t="n">
        <x:v>2019</x:v>
      </x:c>
      <x:c r="E74" s="24" t="str">
        <x:v>Thunnus atlanticus</x:v>
      </x:c>
      <x:c r="F74" s="24" t="str">
        <x:v>Blackfin tuna</x:v>
      </x:c>
      <x:c r="G74" s="24" t="str">
        <x:v>Large pelagics (&gt;=90 cm)</x:v>
      </x:c>
      <x:c r="H74" s="24" t="str">
        <x:v>Tuna &amp; billfishes</x:v>
      </x:c>
      <x:c r="I74" s="31" t="n">
        <x:v>0.6862689622</x:v>
      </x:c>
      <x:c r="J74" s="31" t="n">
        <x:v>0.6862689622</x:v>
      </x:c>
      <x:c r="K74" s="31" t="n">
        <x:v>0</x:v>
      </x:c>
      <x:c r="L74" s="31" t="n">
        <x:v>0.6862689622</x:v>
      </x:c>
      <x:c r="M74" s="31" t="n">
        <x:v>0</x:v>
      </x:c>
      <x:c r="N74" s="24" t="str">
        <x:v>thunnus atlanticus</x:v>
      </x:c>
      <x:c r="O74" s="32" t="n">
        <x:v>4.35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atlanticus</x:v>
      </x:c>
      <x:c r="T74" s="32" t="n">
        <x:f>IF(O74="","",(1/'Metadata'!$B$5)^(O74-1))</x:f>
        <x:v>2238.7211385683377</x:v>
      </x:c>
      <x:c r="U74" s="31" t="n">
        <x:f>IF(T74="","",I74*T74)</x:f>
        <x:v>1536.3648324204955</x:v>
      </x:c>
    </x:row>
    <x:row r="75" ht="18" customHeight="1">
      <x:c r="A75" s="24" t="str">
        <x:v>EEZ_780</x:v>
      </x:c>
      <x:c r="B75" s="24" t="str">
        <x:v>Trinidad &amp; Tobago</x:v>
      </x:c>
      <x:c r="C75" s="24" t="str">
        <x:v>EEZ</x:v>
      </x:c>
      <x:c r="D75" s="30" t="n">
        <x:v>2019</x:v>
      </x:c>
      <x:c r="E75" s="24" t="str">
        <x:v>Sphyrnidae</x:v>
      </x:c>
      <x:c r="F75" s="24" t="str">
        <x:v>Hammer, bonnet, scoophead sharks</x:v>
      </x:c>
      <x:c r="G75" s="24" t="str">
        <x:v>Large sharks (&gt;=90 cm)</x:v>
      </x:c>
      <x:c r="H75" s="24" t="str">
        <x:v>Sharks &amp; rays</x:v>
      </x:c>
      <x:c r="I75" s="31" t="n">
        <x:v>0.5915285537000001</x:v>
      </x:c>
      <x:c r="J75" s="31" t="n">
        <x:v>0.0886250815</x:v>
      </x:c>
      <x:c r="K75" s="31" t="n">
        <x:v>0.5029034722000001</x:v>
      </x:c>
      <x:c r="L75" s="31" t="n">
        <x:v>0.082047738</x:v>
      </x:c>
      <x:c r="M75" s="31" t="n">
        <x:v>0.5094808157000001</x:v>
      </x:c>
      <x:c r="N75" s="24" t="str">
        <x:v>sphyrnidae</x:v>
      </x:c>
      <x:c r="O75" s="32" t="n">
        <x:v>4.19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Sphyrnidae</x:v>
      </x:c>
      <x:c r="T75" s="32" t="n">
        <x:f>IF(O75="","",(1/'Metadata'!$B$5)^(O75-1))</x:f>
        <x:v>1548.8166189124827</x:v>
      </x:c>
      <x:c r="U75" s="31" t="n">
        <x:f>IF(T75="","",I75*T75)</x:f>
        <x:v>916.1692545318251</x:v>
      </x:c>
    </x:row>
    <x:row r="76" ht="18" customHeight="1">
      <x:c r="A76" s="24" t="str">
        <x:v>EEZ_780</x:v>
      </x:c>
      <x:c r="B76" s="24" t="str">
        <x:v>Trinidad &amp; Tobago</x:v>
      </x:c>
      <x:c r="C76" s="24" t="str">
        <x:v>EEZ</x:v>
      </x:c>
      <x:c r="D76" s="30" t="n">
        <x:v>2019</x:v>
      </x:c>
      <x:c r="E76" s="24" t="str">
        <x:v>Rhinobatidae</x:v>
      </x:c>
      <x:c r="F76" s="24" t="str">
        <x:v>Guitarfishes, fanrays</x:v>
      </x:c>
      <x:c r="G76" s="24" t="str">
        <x:v>Large rays (&gt;=90 cm)</x:v>
      </x:c>
      <x:c r="H76" s="24" t="str">
        <x:v>Sharks &amp; rays</x:v>
      </x:c>
      <x:c r="I76" s="31" t="n">
        <x:v>0.5481147385</x:v>
      </x:c>
      <x:c r="J76" s="31" t="n">
        <x:v>0.0929007973</x:v>
      </x:c>
      <x:c r="K76" s="31" t="n">
        <x:v>0.4552139412</x:v>
      </x:c>
      <x:c r="L76" s="31" t="n">
        <x:v>0.0929007973</x:v>
      </x:c>
      <x:c r="M76" s="31" t="n">
        <x:v>0.4552139412</x:v>
      </x:c>
      <x:c r="N76" s="24" t="str">
        <x:v>rhinobatidae</x:v>
      </x:c>
      <x:c r="O76" s="32" t="n">
        <x:v>3.7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Rhinobatidae</x:v>
      </x:c>
      <x:c r="T76" s="32" t="n">
        <x:f>IF(O76="","",(1/'Metadata'!$B$5)^(O76-1))</x:f>
        <x:v>501.18723362727246</x:v>
      </x:c>
      <x:c r="U76" s="31" t="n">
        <x:f>IF(T76="","",I76*T76)</x:f>
        <x:v>274.70810949915085</x:v>
      </x:c>
    </x:row>
    <x:row r="77" ht="18" customHeight="1">
      <x:c r="A77" s="24" t="str">
        <x:v>EEZ_780</x:v>
      </x:c>
      <x:c r="B77" s="24" t="str">
        <x:v>Trinidad &amp; Tobago</x:v>
      </x:c>
      <x:c r="C77" s="24" t="str">
        <x:v>EEZ</x:v>
      </x:c>
      <x:c r="D77" s="30" t="n">
        <x:v>2019</x:v>
      </x:c>
      <x:c r="E77" s="24" t="str">
        <x:v>Tetrapturus pfluegeri</x:v>
      </x:c>
      <x:c r="F77" s="24" t="str">
        <x:v>Longbill spearfish</x:v>
      </x:c>
      <x:c r="G77" s="24" t="str">
        <x:v>Large pelagics (&gt;=90 cm)</x:v>
      </x:c>
      <x:c r="H77" s="24" t="str">
        <x:v>Tuna &amp; billfishes</x:v>
      </x:c>
      <x:c r="I77" s="31" t="n">
        <x:v>0.4673437809</x:v>
      </x:c>
      <x:c r="J77" s="31" t="n">
        <x:v>0.4673437809</x:v>
      </x:c>
      <x:c r="K77" s="31" t="n">
        <x:v>0</x:v>
      </x:c>
      <x:c r="L77" s="31" t="n">
        <x:v>0.4673437809</x:v>
      </x:c>
      <x:c r="M77" s="31" t="n">
        <x:v>0</x:v>
      </x:c>
      <x:c r="N77" s="24" t="str">
        <x:v>tetrapturus pfluegeri</x:v>
      </x:c>
      <x:c r="O77" s="32" t="n">
        <x:v>4.4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Tetrapturus pfluegeri</x:v>
      </x:c>
      <x:c r="T77" s="32" t="n">
        <x:f>IF(O77="","",(1/'Metadata'!$B$5)^(O77-1))</x:f>
        <x:v>2511.886431509582</x:v>
      </x:c>
      <x:c r="U77" s="31" t="n">
        <x:f>IF(T77="","",I77*T77)</x:f>
        <x:v>1173.9145020930969</x:v>
      </x:c>
    </x:row>
    <x:row r="78" ht="18" customHeight="1">
      <x:c r="A78" s="24" t="str">
        <x:v>EEZ_780</x:v>
      </x:c>
      <x:c r="B78" s="24" t="str">
        <x:v>Trinidad &amp; Tobago</x:v>
      </x:c>
      <x:c r="C78" s="24" t="str">
        <x:v>EEZ</x:v>
      </x:c>
      <x:c r="D78" s="30" t="n">
        <x:v>2019</x:v>
      </x:c>
      <x:c r="E78" s="24" t="str">
        <x:v>Lamnidae</x:v>
      </x:c>
      <x:c r="F78" s="24" t="str">
        <x:v>Mackerel/white sharks</x:v>
      </x:c>
      <x:c r="G78" s="24" t="str">
        <x:v>Large sharks (&gt;=90 cm)</x:v>
      </x:c>
      <x:c r="H78" s="24" t="str">
        <x:v>Sharks &amp; rays</x:v>
      </x:c>
      <x:c r="I78" s="31" t="n">
        <x:v>0.45726122739999997</x:v>
      </x:c>
      <x:c r="J78" s="31" t="n">
        <x:v>0.4411766256</x:v>
      </x:c>
      <x:c r="K78" s="31" t="n">
        <x:v>0.0160846018</x:v>
      </x:c>
      <x:c r="L78" s="31" t="n">
        <x:v>0.4288720507</x:v>
      </x:c>
      <x:c r="M78" s="31" t="n">
        <x:v>0.0283891767</x:v>
      </x:c>
      <x:c r="N78" s="24" t="str">
        <x:v>lamnidae</x:v>
      </x:c>
      <x:c r="O78" s="32" t="n">
        <x:v>4.5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Lamnidae</x:v>
      </x:c>
      <x:c r="T78" s="32" t="n">
        <x:f>IF(O78="","",(1/'Metadata'!$B$5)^(O78-1))</x:f>
        <x:v>3162.2776601683795</x:v>
      </x:c>
      <x:c r="U78" s="31" t="n">
        <x:f>IF(T78="","",I78*T78)</x:f>
        <x:v>1445.986964268193</x:v>
      </x:c>
    </x:row>
    <x:row r="79" ht="18" customHeight="1">
      <x:c r="A79" s="24" t="str">
        <x:v>EEZ_780</x:v>
      </x:c>
      <x:c r="B79" s="24" t="str">
        <x:v>Trinidad &amp; Tobago</x:v>
      </x:c>
      <x:c r="C79" s="24" t="str">
        <x:v>EEZ</x:v>
      </x:c>
      <x:c r="D79" s="30" t="n">
        <x:v>2019</x:v>
      </x:c>
      <x:c r="E79" s="24" t="str">
        <x:v>Ostraciidae</x:v>
      </x:c>
      <x:c r="F79" s="24" t="str">
        <x:v>Box-, cow-, trunkfishes</x:v>
      </x:c>
      <x:c r="G79" s="24" t="str">
        <x:v>Medium reef assoc. fish (30 - 89 cm)</x:v>
      </x:c>
      <x:c r="H79" s="24" t="str">
        <x:v>Other fishes &amp; inverts</x:v>
      </x:c>
      <x:c r="I79" s="31" t="n">
        <x:v>0.3715875889</x:v>
      </x:c>
      <x:c r="J79" s="31" t="n">
        <x:v>0.0629809433</x:v>
      </x:c>
      <x:c r="K79" s="31" t="n">
        <x:v>0.3086066456</x:v>
      </x:c>
      <x:c r="L79" s="31" t="n">
        <x:v>0.0629809433</x:v>
      </x:c>
      <x:c r="M79" s="31" t="n">
        <x:v>0.3086066456</x:v>
      </x:c>
      <x:c r="N79" s="24" t="str">
        <x:v>ostraciidae</x:v>
      </x:c>
      <x:c r="O79" s="32" t="n">
        <x:v>2.83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Ostraciidae</x:v>
      </x:c>
      <x:c r="T79" s="32" t="n">
        <x:f>IF(O79="","",(1/'Metadata'!$B$5)^(O79-1))</x:f>
        <x:v>67.60829753919819</x:v>
      </x:c>
      <x:c r="U79" s="31" t="n">
        <x:f>IF(T79="","",I79*T79)</x:f>
        <x:v>25.122404272224458</x:v>
      </x:c>
    </x:row>
    <x:row r="80" ht="18" customHeight="1">
      <x:c r="A80" s="24" t="str">
        <x:v>EEZ_780</x:v>
      </x:c>
      <x:c r="B80" s="24" t="str">
        <x:v>Trinidad &amp; Tobago</x:v>
      </x:c>
      <x:c r="C80" s="24" t="str">
        <x:v>EEZ</x:v>
      </x:c>
      <x:c r="D80" s="30" t="n">
        <x:v>2019</x:v>
      </x:c>
      <x:c r="E80" s="24" t="str">
        <x:v>Isurus oxyrinchus</x:v>
      </x:c>
      <x:c r="F80" s="24" t="str">
        <x:v>Shortfin mako</x:v>
      </x:c>
      <x:c r="G80" s="24" t="str">
        <x:v>Large sharks (&gt;=90 cm)</x:v>
      </x:c>
      <x:c r="H80" s="24" t="str">
        <x:v>Sharks &amp; rays</x:v>
      </x:c>
      <x:c r="I80" s="31" t="n">
        <x:v>0.2526158451</x:v>
      </x:c>
      <x:c r="J80" s="31" t="n">
        <x:v>0.2526158451</x:v>
      </x:c>
      <x:c r="K80" s="31" t="n">
        <x:v>0</x:v>
      </x:c>
      <x:c r="L80" s="31" t="n">
        <x:v>0.2526158451</x:v>
      </x:c>
      <x:c r="M80" s="31" t="n">
        <x:v>0</x:v>
      </x:c>
      <x:c r="N80" s="24" t="str">
        <x:v>isurus oxyrinchus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Isurus oxyrinchus</x:v>
      </x:c>
      <x:c r="T80" s="32" t="n">
        <x:f>IF(O80="","",(1/'Metadata'!$B$5)^(O80-1))</x:f>
        <x:v>3162.2776601683795</x:v>
      </x:c>
      <x:c r="U80" s="31" t="n">
        <x:f>IF(T80="","",I80*T80)</x:f>
        <x:v>798.8414435642858</x:v>
      </x:c>
    </x:row>
    <x:row r="81" ht="18" customHeight="1">
      <x:c r="A81" s="24" t="str">
        <x:v>EEZ_780</x:v>
      </x:c>
      <x:c r="B81" s="24" t="str">
        <x:v>Trinidad &amp; Tobago</x:v>
      </x:c>
      <x:c r="C81" s="24" t="str">
        <x:v>EEZ</x:v>
      </x:c>
      <x:c r="D81" s="30" t="n">
        <x:v>2019</x:v>
      </x:c>
      <x:c r="E81" s="24" t="str">
        <x:v>Acanthuridae</x:v>
      </x:c>
      <x:c r="F81" s="24" t="str">
        <x:v>Surgeons, tangs, unicornfishes</x:v>
      </x:c>
      <x:c r="G81" s="24" t="str">
        <x:v>Small reef assoc. fish (&lt;30 cm)</x:v>
      </x:c>
      <x:c r="H81" s="24" t="str">
        <x:v>Perch-likes</x:v>
      </x:c>
      <x:c r="I81" s="31" t="n">
        <x:v>0.21413771999999998</x:v>
      </x:c>
      <x:c r="J81" s="31" t="n">
        <x:v>0.21413771999999998</x:v>
      </x:c>
      <x:c r="K81" s="31" t="n">
        <x:v>0</x:v>
      </x:c>
      <x:c r="L81" s="31" t="n">
        <x:v>0.2037811084</x:v>
      </x:c>
      <x:c r="M81" s="31" t="n">
        <x:v>0.0103566116</x:v>
      </x:c>
      <x:c r="N81" s="24" t="str">
        <x:v>acanthuridae</x:v>
      </x:c>
      <x:c r="O81" s="32" t="n">
        <x:v>2.28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Acanthuridae</x:v>
      </x:c>
      <x:c r="T81" s="32" t="n">
        <x:f>IF(O81="","",(1/'Metadata'!$B$5)^(O81-1))</x:f>
        <x:v>19.054607179632463</x:v>
      </x:c>
      <x:c r="U81" s="31" t="n">
        <x:f>IF(T81="","",I81*T81)</x:f>
        <x:v>4.080310136942125</x:v>
      </x:c>
    </x:row>
    <x:row r="82" ht="18" customHeight="1">
      <x:c r="A82" s="24" t="str">
        <x:v>EEZ_780</x:v>
      </x:c>
      <x:c r="B82" s="24" t="str">
        <x:v>Trinidad &amp; Tobago</x:v>
      </x:c>
      <x:c r="C82" s="24" t="str">
        <x:v>EEZ</x:v>
      </x:c>
      <x:c r="D82" s="30" t="n">
        <x:v>2019</x:v>
      </x:c>
      <x:c r="E82" s="24" t="str">
        <x:v>Echeneidae</x:v>
      </x:c>
      <x:c r="F82" s="24" t="str">
        <x:v>Remoras</x:v>
      </x:c>
      <x:c r="G82" s="24" t="str">
        <x:v>Large pelagics (&gt;=90 cm)</x:v>
      </x:c>
      <x:c r="H82" s="24" t="str">
        <x:v>Perch-likes</x:v>
      </x:c>
      <x:c r="I82" s="31" t="n">
        <x:v>0.19950323990000002</x:v>
      </x:c>
      <x:c r="J82" s="31" t="n">
        <x:v>0.0338141063</x:v>
      </x:c>
      <x:c r="K82" s="31" t="n">
        <x:v>0.1656891336</x:v>
      </x:c>
      <x:c r="L82" s="31" t="n">
        <x:v>0.0338141063</x:v>
      </x:c>
      <x:c r="M82" s="31" t="n">
        <x:v>0.1656891336</x:v>
      </x:c>
      <x:c r="N82" s="24" t="str">
        <x:v>echeneidae</x:v>
      </x:c>
      <x:c r="O82" s="32" t="n">
        <x:v>3.22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Echeneidae</x:v>
      </x:c>
      <x:c r="T82" s="32" t="n">
        <x:f>IF(O82="","",(1/'Metadata'!$B$5)^(O82-1))</x:f>
        <x:v>165.95869074375614</x:v>
      </x:c>
      <x:c r="U82" s="31" t="n">
        <x:f>IF(T82="","",I82*T82)</x:f>
        <x:v>33.109296492941496</x:v>
      </x:c>
    </x:row>
    <x:row r="83" ht="18" customHeight="1">
      <x:c r="A83" s="24" t="str">
        <x:v>EEZ_780</x:v>
      </x:c>
      <x:c r="B83" s="24" t="str">
        <x:v>Trinidad &amp; Tobago</x:v>
      </x:c>
      <x:c r="C83" s="24" t="str">
        <x:v>EEZ</x:v>
      </x:c>
      <x:c r="D83" s="30" t="n">
        <x:v>2019</x:v>
      </x:c>
      <x:c r="E83" s="24" t="str">
        <x:v>Myliobatidae</x:v>
      </x:c>
      <x:c r="F83" s="24" t="str">
        <x:v>Eagle/manta rays</x:v>
      </x:c>
      <x:c r="G83" s="24" t="str">
        <x:v>Large rays (&gt;=90 cm)</x:v>
      </x:c>
      <x:c r="H83" s="24" t="str">
        <x:v>Sharks &amp; rays</x:v>
      </x:c>
      <x:c r="I83" s="31" t="n">
        <x:v>0.1797429529</x:v>
      </x:c>
      <x:c r="J83" s="31" t="n">
        <x:v>0.0304649054</x:v>
      </x:c>
      <x:c r="K83" s="31" t="n">
        <x:v>0.1492780475</x:v>
      </x:c>
      <x:c r="L83" s="31" t="n">
        <x:v>0.0304649054</x:v>
      </x:c>
      <x:c r="M83" s="31" t="n">
        <x:v>0.1492780475</x:v>
      </x:c>
      <x:c r="N83" s="24" t="str">
        <x:v>myliobatidae</x:v>
      </x:c>
      <x:c r="O83" s="32" t="n">
        <x:v>3.36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Myliobatidae</x:v>
      </x:c>
      <x:c r="T83" s="32" t="n">
        <x:f>IF(O83="","",(1/'Metadata'!$B$5)^(O83-1))</x:f>
        <x:v>229.08676527677724</x:v>
      </x:c>
      <x:c r="U83" s="31" t="n">
        <x:f>IF(T83="","",I83*T83)</x:f>
        <x:v>41.17673166115713</x:v>
      </x:c>
    </x:row>
    <x:row r="84" ht="18" customHeight="1">
      <x:c r="A84" s="24" t="str">
        <x:v>EEZ_780</x:v>
      </x:c>
      <x:c r="B84" s="24" t="str">
        <x:v>Trinidad &amp; Tobago</x:v>
      </x:c>
      <x:c r="C84" s="24" t="str">
        <x:v>EEZ</x:v>
      </x:c>
      <x:c r="D84" s="30" t="n">
        <x:v>2019</x:v>
      </x:c>
      <x:c r="E84" s="24" t="str">
        <x:v>Alopias</x:v>
      </x:c>
      <x:c r="F84" s="24" t="str">
        <x:v>Thresher sharks</x:v>
      </x:c>
      <x:c r="G84" s="24" t="str">
        <x:v>Large sharks (&gt;=90 cm)</x:v>
      </x:c>
      <x:c r="H84" s="24" t="str">
        <x:v>Sharks &amp; rays</x:v>
      </x:c>
      <x:c r="I84" s="31" t="n">
        <x:v>0.1513055004</x:v>
      </x:c>
      <x:c r="J84" s="31" t="n">
        <x:v>0.1513055004</x:v>
      </x:c>
      <x:c r="K84" s="31" t="n">
        <x:v>0</x:v>
      </x:c>
      <x:c r="L84" s="31" t="n">
        <x:v>0.1513055004</x:v>
      </x:c>
      <x:c r="M84" s="31" t="n">
        <x:v>0</x:v>
      </x:c>
      <x:c r="N84" s="24" t="str">
        <x:v>alopias</x:v>
      </x:c>
      <x:c r="O84" s="32" t="n">
        <x:v>4.5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Alopias</x:v>
      </x:c>
      <x:c r="T84" s="32" t="n">
        <x:f>IF(O84="","",(1/'Metadata'!$B$5)^(O84-1))</x:f>
        <x:v>3162.2776601683795</x:v>
      </x:c>
      <x:c r="U84" s="31" t="n">
        <x:f>IF(T84="","",I84*T84)</x:f>
        <x:v>478.47000377551774</x:v>
      </x:c>
    </x:row>
    <x:row r="85" ht="18" customHeight="1">
      <x:c r="A85" s="24" t="str">
        <x:v>EEZ_780</x:v>
      </x:c>
      <x:c r="B85" s="24" t="str">
        <x:v>Trinidad &amp; Tobago</x:v>
      </x:c>
      <x:c r="C85" s="24" t="str">
        <x:v>EEZ</x:v>
      </x:c>
      <x:c r="D85" s="30" t="n">
        <x:v>2019</x:v>
      </x:c>
      <x:c r="E85" s="24" t="str">
        <x:v>Loliginidae</x:v>
      </x:c>
      <x:c r="F85" s="24" t="str">
        <x:v>Common pencil squids</x:v>
      </x:c>
      <x:c r="G85" s="24" t="str">
        <x:v>Cephalopods</x:v>
      </x:c>
      <x:c r="H85" s="24" t="str">
        <x:v>Other fishes &amp; inverts</x:v>
      </x:c>
      <x:c r="I85" s="31" t="n">
        <x:v>0.12553333449999998</x:v>
      </x:c>
      <x:c r="J85" s="31" t="n">
        <x:v>0.1144317698</x:v>
      </x:c>
      <x:c r="K85" s="31" t="n">
        <x:v>0.0111015647</x:v>
      </x:c>
      <x:c r="L85" s="31" t="n">
        <x:v>0.10593917330000001</x:v>
      </x:c>
      <x:c r="M85" s="31" t="n">
        <x:v>0.0195941612</x:v>
      </x:c>
      <x:c r="N85" s="24" t="str">
        <x:v>loliginidae</x:v>
      </x:c>
      <x:c r="O85" s="32" t="n">
        <x:v>3.9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Loliginidae</x:v>
      </x:c>
      <x:c r="T85" s="32" t="n">
        <x:f>IF(O85="","",(1/'Metadata'!$B$5)^(O85-1))</x:f>
        <x:v>794.3282347242813</x:v>
      </x:c>
      <x:c r="U85" s="31" t="n">
        <x:f>IF(T85="","",I85*T85)</x:f>
        <x:v>99.7146719924377</x:v>
      </x:c>
    </x:row>
    <x:row r="86" ht="18" customHeight="1">
      <x:c r="A86" s="24" t="str">
        <x:v>EEZ_780</x:v>
      </x:c>
      <x:c r="B86" s="24" t="str">
        <x:v>Trinidad &amp; Tobago</x:v>
      </x:c>
      <x:c r="C86" s="24" t="str">
        <x:v>EEZ</x:v>
      </x:c>
      <x:c r="D86" s="30" t="n">
        <x:v>2019</x:v>
      </x:c>
      <x:c r="E86" s="24" t="str">
        <x:v>Monacanthidae</x:v>
      </x:c>
      <x:c r="F86" s="24" t="str">
        <x:v>Filefishes</x:v>
      </x:c>
      <x:c r="G86" s="24" t="str">
        <x:v>Medium reef assoc. fish (30 - 89 cm)</x:v>
      </x:c>
      <x:c r="H86" s="24" t="str">
        <x:v>Other fishes &amp; inverts</x:v>
      </x:c>
      <x:c r="I86" s="31" t="n">
        <x:v>0.0866638845</x:v>
      </x:c>
      <x:c r="J86" s="31" t="n">
        <x:v>0.0146887931</x:v>
      </x:c>
      <x:c r="K86" s="31" t="n">
        <x:v>0.0719750914</x:v>
      </x:c>
      <x:c r="L86" s="31" t="n">
        <x:v>0.0146887931</x:v>
      </x:c>
      <x:c r="M86" s="31" t="n">
        <x:v>0.0719750914</x:v>
      </x:c>
      <x:c r="N86" s="24" t="str">
        <x:v>monacanthidae</x:v>
      </x:c>
      <x:c r="O86" s="32" t="n">
        <x:v>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Monacanthidae</x:v>
      </x:c>
      <x:c r="T86" s="32" t="n">
        <x:f>IF(O86="","",(1/'Metadata'!$B$5)^(O86-1))</x:f>
        <x:v>100</x:v>
      </x:c>
      <x:c r="U86" s="31" t="n">
        <x:f>IF(T86="","",I86*T86)</x:f>
        <x:v>8.66638845</x:v>
      </x:c>
    </x:row>
    <x:row r="87" ht="18" customHeight="1">
      <x:c r="A87" s="24" t="str">
        <x:v>EEZ_780</x:v>
      </x:c>
      <x:c r="B87" s="24" t="str">
        <x:v>Trinidad &amp; Tobago</x:v>
      </x:c>
      <x:c r="C87" s="24" t="str">
        <x:v>EEZ</x:v>
      </x:c>
      <x:c r="D87" s="30" t="n">
        <x:v>2019</x:v>
      </x:c>
      <x:c r="E87" s="24" t="str">
        <x:v>Mobula birostris</x:v>
      </x:c>
      <x:c r="F87" s="24" t="str">
        <x:v>Giant manta</x:v>
      </x:c>
      <x:c r="G87" s="24" t="str">
        <x:v>Large rays (&gt;=90 cm)</x:v>
      </x:c>
      <x:c r="H87" s="24" t="str">
        <x:v>Sharks &amp; rays</x:v>
      </x:c>
      <x:c r="I87" s="31" t="n">
        <x:v>0.0653537078</x:v>
      </x:c>
      <x:c r="J87" s="31" t="n">
        <x:v>0.0653537078</x:v>
      </x:c>
      <x:c r="K87" s="31" t="n">
        <x:v>0</x:v>
      </x:c>
      <x:c r="L87" s="31" t="n">
        <x:v>0.0653537078</x:v>
      </x:c>
      <x:c r="M87" s="31" t="n">
        <x:v>0</x:v>
      </x:c>
      <x:c r="N87" s="24" t="str">
        <x:v>mobula birostris</x:v>
      </x:c>
      <x:c r="O87" s="32" t="n">
        <x:v>3.46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Mobula birostris</x:v>
      </x:c>
      <x:c r="T87" s="32" t="n">
        <x:f>IF(O87="","",(1/'Metadata'!$B$5)^(O87-1))</x:f>
        <x:v>288.40315031266056</x:v>
      </x:c>
      <x:c r="U87" s="31" t="n">
        <x:f>IF(T87="","",I87*T87)</x:f>
        <x:v>18.848215214133095</x:v>
      </x:c>
    </x:row>
    <x:row r="88" ht="18" customHeight="1">
      <x:c r="A88" s="24" t="str">
        <x:v>EEZ_780</x:v>
      </x:c>
      <x:c r="B88" s="24" t="str">
        <x:v>Trinidad &amp; Tobago</x:v>
      </x:c>
      <x:c r="C88" s="24" t="str">
        <x:v>EEZ</x:v>
      </x:c>
      <x:c r="D88" s="30" t="n">
        <x:v>2019</x:v>
      </x:c>
      <x:c r="E88" s="24" t="str">
        <x:v>Isurus paucus</x:v>
      </x:c>
      <x:c r="F88" s="24" t="str">
        <x:v>Longfin mako</x:v>
      </x:c>
      <x:c r="G88" s="24" t="str">
        <x:v>Large sharks (&gt;=90 cm)</x:v>
      </x:c>
      <x:c r="H88" s="24" t="str">
        <x:v>Sharks &amp; rays</x:v>
      </x:c>
      <x:c r="I88" s="31" t="n">
        <x:v>0.0633393466</x:v>
      </x:c>
      <x:c r="J88" s="31" t="n">
        <x:v>0.0633393466</x:v>
      </x:c>
      <x:c r="K88" s="31" t="n">
        <x:v>0</x:v>
      </x:c>
      <x:c r="L88" s="31" t="n">
        <x:v>0.0633393466</x:v>
      </x:c>
      <x:c r="M88" s="31" t="n">
        <x:v>0</x:v>
      </x:c>
      <x:c r="N88" s="24" t="str">
        <x:v>isurus paucus</x:v>
      </x:c>
      <x:c r="O88" s="32" t="n">
        <x:v>4.51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paucus</x:v>
      </x:c>
      <x:c r="T88" s="32" t="n">
        <x:f>IF(O88="","",(1/'Metadata'!$B$5)^(O88-1))</x:f>
        <x:v>3235.936569296281</x:v>
      </x:c>
      <x:c r="U88" s="31" t="n">
        <x:f>IF(T88="","",I88*T88)</x:f>
        <x:v>204.96210793827206</x:v>
      </x:c>
    </x:row>
    <x:row r="89" ht="18" customHeight="1">
      <x:c r="A89" s="24" t="str">
        <x:v>EEZ_780</x:v>
      </x:c>
      <x:c r="B89" s="24" t="str">
        <x:v>Trinidad &amp; Tobago</x:v>
      </x:c>
      <x:c r="C89" s="24" t="str">
        <x:v>EEZ</x:v>
      </x:c>
      <x:c r="D89" s="30" t="n">
        <x:v>2019</x:v>
      </x:c>
      <x:c r="E89" s="24" t="str">
        <x:v>Muraenidae</x:v>
      </x:c>
      <x:c r="F89" s="24" t="str">
        <x:v>Moray eels</x:v>
      </x:c>
      <x:c r="G89" s="24" t="str">
        <x:v>Large reef assoc. fish (&gt;=90 cm)</x:v>
      </x:c>
      <x:c r="H89" s="24" t="str">
        <x:v>Other fishes &amp; inverts</x:v>
      </x:c>
      <x:c r="I89" s="31" t="n">
        <x:v>0.0622698797</x:v>
      </x:c>
      <x:c r="J89" s="31" t="n">
        <x:v>0.0057639707</x:v>
      </x:c>
      <x:c r="K89" s="31" t="n">
        <x:v>0.056505909</x:v>
      </x:c>
      <x:c r="L89" s="31" t="n">
        <x:v>0.0057639707</x:v>
      </x:c>
      <x:c r="M89" s="31" t="n">
        <x:v>0.056505909</x:v>
      </x:c>
      <x:c r="N89" s="24" t="str">
        <x:v>muraenidae</x:v>
      </x:c>
      <x:c r="O89" s="32" t="n">
        <x:v>4.07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Muraenidae</x:v>
      </x:c>
      <x:c r="T89" s="32" t="n">
        <x:f>IF(O89="","",(1/'Metadata'!$B$5)^(O89-1))</x:f>
        <x:v>1174.8975549395302</x:v>
      </x:c>
      <x:c r="U89" s="31" t="n">
        <x:f>IF(T89="","",I89*T89)</x:f>
        <x:v>73.1607294059087</x:v>
      </x:c>
    </x:row>
    <x:row r="90" ht="18" customHeight="1">
      <x:c r="A90" s="24" t="str">
        <x:v>EEZ_780</x:v>
      </x:c>
      <x:c r="B90" s="24" t="str">
        <x:v>Trinidad &amp; Tobago</x:v>
      </x:c>
      <x:c r="C90" s="24" t="str">
        <x:v>EEZ</x:v>
      </x:c>
      <x:c r="D90" s="30" t="n">
        <x:v>2019</x:v>
      </x:c>
      <x:c r="E90" s="24" t="str">
        <x:v>Ophidiidae</x:v>
      </x:c>
      <x:c r="F90" s="24" t="str">
        <x:v>Cuskeels</x:v>
      </x:c>
      <x:c r="G90" s="24" t="str">
        <x:v>Large bathydemersals (&gt;=90 cm)</x:v>
      </x:c>
      <x:c r="H90" s="24" t="str">
        <x:v>Other fishes &amp; inverts</x:v>
      </x:c>
      <x:c r="I90" s="31" t="n">
        <x:v>0.0590367644</x:v>
      </x:c>
      <x:c r="J90" s="31" t="n">
        <x:v>0.0085131671</x:v>
      </x:c>
      <x:c r="K90" s="31" t="n">
        <x:v>0.0505235973</x:v>
      </x:c>
      <x:c r="L90" s="31" t="n">
        <x:v>0.0085131671</x:v>
      </x:c>
      <x:c r="M90" s="31" t="n">
        <x:v>0.0505235973</x:v>
      </x:c>
      <x:c r="N90" s="24" t="str">
        <x:v>ophidiidae</x:v>
      </x:c>
      <x:c r="O90" s="32" t="n">
        <x:v>3.67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Ophidiidae</x:v>
      </x:c>
      <x:c r="T90" s="32" t="n">
        <x:f>IF(O90="","",(1/'Metadata'!$B$5)^(O90-1))</x:f>
        <x:v>467.73514128719813</x:v>
      </x:c>
      <x:c r="U90" s="31" t="n">
        <x:f>IF(T90="","",I90*T90)</x:f>
        <x:v>27.61356933777303</x:v>
      </x:c>
    </x:row>
    <x:row r="91" ht="18" customHeight="1">
      <x:c r="A91" s="24" t="str">
        <x:v>EEZ_780</x:v>
      </x:c>
      <x:c r="B91" s="24" t="str">
        <x:v>Trinidad &amp; Tobago</x:v>
      </x:c>
      <x:c r="C91" s="24" t="str">
        <x:v>EEZ</x:v>
      </x:c>
      <x:c r="D91" s="30" t="n">
        <x:v>2019</x:v>
      </x:c>
      <x:c r="E91" s="24" t="str">
        <x:v>Galeocerdo cuvier</x:v>
      </x:c>
      <x:c r="F91" s="24" t="str">
        <x:v>Tiger shark</x:v>
      </x:c>
      <x:c r="G91" s="24" t="str">
        <x:v>Large sharks (&gt;=90 cm)</x:v>
      </x:c>
      <x:c r="H91" s="24" t="str">
        <x:v>Sharks &amp; rays</x:v>
      </x:c>
      <x:c r="I91" s="31" t="n">
        <x:v>0.0407427458</x:v>
      </x:c>
      <x:c r="J91" s="31" t="n">
        <x:v>0.0407427458</x:v>
      </x:c>
      <x:c r="K91" s="31" t="n">
        <x:v>0</x:v>
      </x:c>
      <x:c r="L91" s="31" t="n">
        <x:v>0.0407427458</x:v>
      </x:c>
      <x:c r="M91" s="31" t="n">
        <x:v>0</x:v>
      </x:c>
      <x:c r="N91" s="24" t="str">
        <x:v>galeocerdo cuvier</x:v>
      </x:c>
      <x:c r="O91" s="32" t="n">
        <x:v>4.54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Galeocerdo cuvier</x:v>
      </x:c>
      <x:c r="T91" s="32" t="n">
        <x:f>IF(O91="","",(1/'Metadata'!$B$5)^(O91-1))</x:f>
        <x:v>3467.368504525317</x:v>
      </x:c>
      <x:c r="U91" s="31" t="n">
        <x:f>IF(T91="","",I91*T91)</x:f>
        <x:v>141.27011357480114</x:v>
      </x:c>
    </x:row>
    <x:row r="92" ht="18" customHeight="1">
      <x:c r="A92" s="24" t="str">
        <x:v>EEZ_780</x:v>
      </x:c>
      <x:c r="B92" s="24" t="str">
        <x:v>Trinidad &amp; Tobago</x:v>
      </x:c>
      <x:c r="C92" s="24" t="str">
        <x:v>EEZ</x:v>
      </x:c>
      <x:c r="D92" s="30" t="n">
        <x:v>2019</x:v>
      </x:c>
      <x:c r="E92" s="24" t="str">
        <x:v>Ruvettus pretiosus</x:v>
      </x:c>
      <x:c r="F92" s="24" t="str">
        <x:v>Oilfish</x:v>
      </x:c>
      <x:c r="G92" s="24" t="str">
        <x:v>Large benthopelagics (&gt;=90 cm)</x:v>
      </x:c>
      <x:c r="H92" s="24" t="str">
        <x:v>Perch-likes</x:v>
      </x:c>
      <x:c r="I92" s="31" t="n">
        <x:v>0.0312776571</x:v>
      </x:c>
      <x:c r="J92" s="31" t="n">
        <x:v>0.0312776571</x:v>
      </x:c>
      <x:c r="K92" s="31" t="n">
        <x:v>0</x:v>
      </x:c>
      <x:c r="L92" s="31" t="n">
        <x:v>0.0312776571</x:v>
      </x:c>
      <x:c r="M92" s="31" t="n">
        <x:v>0</x:v>
      </x:c>
      <x:c r="N92" s="24" t="str">
        <x:v>ruvettus pretiosus</x:v>
      </x:c>
      <x:c r="O92" s="32" t="n">
        <x:v>4.18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Ruvettus pretiosus</x:v>
      </x:c>
      <x:c r="T92" s="32" t="n">
        <x:f>IF(O92="","",(1/'Metadata'!$B$5)^(O92-1))</x:f>
        <x:v>1513.5612484362073</x:v>
      </x:c>
      <x:c r="U92" s="31" t="n">
        <x:f>IF(T92="","",I92*T92)</x:f>
        <x:v>47.34064972843561</x:v>
      </x:c>
    </x:row>
    <x:row r="93" ht="18" customHeight="1">
      <x:c r="A93" s="24" t="str">
        <x:v>EEZ_780</x:v>
      </x:c>
      <x:c r="B93" s="24" t="str">
        <x:v>Trinidad &amp; Tobago</x:v>
      </x:c>
      <x:c r="C93" s="24" t="str">
        <x:v>EEZ</x:v>
      </x:c>
      <x:c r="D93" s="30" t="n">
        <x:v>2019</x:v>
      </x:c>
      <x:c r="E93" s="24" t="str">
        <x:v>Kyphosidae</x:v>
      </x:c>
      <x:c r="F93" s="24" t="str">
        <x:v>Sea chubs, knifefishes, niblers</x:v>
      </x:c>
      <x:c r="G93" s="24" t="str">
        <x:v>Medium reef assoc. fish (30 - 89 cm)</x:v>
      </x:c>
      <x:c r="H93" s="24" t="str">
        <x:v>Perch-likes</x:v>
      </x:c>
      <x:c r="I93" s="31" t="n">
        <x:v>0.022298610500000003</x:v>
      </x:c>
      <x:c r="J93" s="31" t="n">
        <x:v>0.0203266286</x:v>
      </x:c>
      <x:c r="K93" s="31" t="n">
        <x:v>0.0019719819</x:v>
      </x:c>
      <x:c r="L93" s="31" t="n">
        <x:v>0.0188180803</x:v>
      </x:c>
      <x:c r="M93" s="31" t="n">
        <x:v>0.0034805302</x:v>
      </x:c>
      <x:c r="N93" s="24" t="str">
        <x:v>kyphosidae</x:v>
      </x:c>
      <x:c r="O93" s="32" t="n">
        <x:v>2.19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Kyphosidae</x:v>
      </x:c>
      <x:c r="T93" s="32" t="n">
        <x:f>IF(O93="","",(1/'Metadata'!$B$5)^(O93-1))</x:f>
        <x:v>15.488166189124811</x:v>
      </x:c>
      <x:c r="U93" s="31" t="n">
        <x:f>IF(T93="","",I93*T93)</x:f>
        <x:v>0.34536458521056357</x:v>
      </x:c>
    </x:row>
    <x:row r="94" ht="18" customHeight="1">
      <x:c r="A94" s="24" t="str">
        <x:v>EEZ_780</x:v>
      </x:c>
      <x:c r="B94" s="24" t="str">
        <x:v>Trinidad &amp; Tobago</x:v>
      </x:c>
      <x:c r="C94" s="24" t="str">
        <x:v>EEZ</x:v>
      </x:c>
      <x:c r="D94" s="30" t="n">
        <x:v>2019</x:v>
      </x:c>
      <x:c r="E94" s="24" t="str">
        <x:v>Thunnus thynnus</x:v>
      </x:c>
      <x:c r="F94" s="24" t="str">
        <x:v>Atlantic bluefin tuna</x:v>
      </x:c>
      <x:c r="G94" s="24" t="str">
        <x:v>Large pelagics (&gt;=90 cm)</x:v>
      </x:c>
      <x:c r="H94" s="24" t="str">
        <x:v>Tuna &amp; billfishes</x:v>
      </x:c>
      <x:c r="I94" s="31" t="n">
        <x:v>0.0190297564</x:v>
      </x:c>
      <x:c r="J94" s="31" t="n">
        <x:v>0.0190297564</x:v>
      </x:c>
      <x:c r="K94" s="31" t="n">
        <x:v>0</x:v>
      </x:c>
      <x:c r="L94" s="31" t="n">
        <x:v>0.0190297564</x:v>
      </x:c>
      <x:c r="M94" s="31" t="n">
        <x:v>0</x:v>
      </x:c>
      <x:c r="N94" s="24" t="str">
        <x:v>thunnus thynnus</x:v>
      </x:c>
      <x:c r="O94" s="32" t="n">
        <x:v>4.45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Thunnus thynnus</x:v>
      </x:c>
      <x:c r="T94" s="32" t="n">
        <x:f>IF(O94="","",(1/'Metadata'!$B$5)^(O94-1))</x:f>
        <x:v>2818.382931264455</x:v>
      </x:c>
      <x:c r="U94" s="31" t="n">
        <x:f>IF(T94="","",I94*T94)</x:f>
        <x:v>53.63314062388052</x:v>
      </x:c>
    </x:row>
    <x:row r="95" ht="18" customHeight="1">
      <x:c r="A95" s="24" t="str">
        <x:v>EEZ_780</x:v>
      </x:c>
      <x:c r="B95" s="24" t="str">
        <x:v>Trinidad &amp; Tobago</x:v>
      </x:c>
      <x:c r="C95" s="24" t="str">
        <x:v>EEZ</x:v>
      </x:c>
      <x:c r="D95" s="30" t="n">
        <x:v>2019</x:v>
      </x:c>
      <x:c r="E95" s="24" t="str">
        <x:v>Lobotes surinamensis</x:v>
      </x:c>
      <x:c r="F95" s="24" t="str">
        <x:v>Tripletail</x:v>
      </x:c>
      <x:c r="G95" s="24" t="str">
        <x:v>Large benthopelagics (&gt;=90 cm)</x:v>
      </x:c>
      <x:c r="H95" s="24" t="str">
        <x:v>Perch-likes</x:v>
      </x:c>
      <x:c r="I95" s="31" t="n">
        <x:v>0.009432576299999999</x:v>
      </x:c>
      <x:c r="J95" s="31" t="n">
        <x:v>0.007810075099999999</x:v>
      </x:c>
      <x:c r="K95" s="31" t="n">
        <x:v>0.0016225012</x:v>
      </x:c>
      <x:c r="L95" s="31" t="n">
        <x:v>0.0072304475</x:v>
      </x:c>
      <x:c r="M95" s="31" t="n">
        <x:v>0.0022021288</x:v>
      </x:c>
      <x:c r="N95" s="24" t="str">
        <x:v>lobotes surinamensis</x:v>
      </x:c>
      <x:c r="O95" s="32" t="n">
        <x:v>4.04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Lobotes surinamensis</x:v>
      </x:c>
      <x:c r="T95" s="32" t="n">
        <x:f>IF(O95="","",(1/'Metadata'!$B$5)^(O95-1))</x:f>
        <x:v>1096.4781961431852</x:v>
      </x:c>
      <x:c r="U95" s="31" t="n">
        <x:f>IF(T95="","",I95*T95)</x:f>
        <x:v>10.342614246406958</x:v>
      </x:c>
    </x:row>
    <x:row r="96" ht="18" customHeight="1">
      <x:c r="A96" s="24" t="str">
        <x:v>EEZ_780</x:v>
      </x:c>
      <x:c r="B96" s="24" t="str">
        <x:v>Trinidad &amp; Tobago</x:v>
      </x:c>
      <x:c r="C96" s="24" t="str">
        <x:v>EEZ</x:v>
      </x:c>
      <x:c r="D96" s="30" t="n">
        <x:v>2019</x:v>
      </x:c>
      <x:c r="E96" s="24" t="str">
        <x:v>Anguilliformes</x:v>
      </x:c>
      <x:c r="F96" s="24" t="str">
        <x:v>Eels, morays</x:v>
      </x:c>
      <x:c r="G96" s="24" t="str">
        <x:v>Large demersals (&gt;=90 cm)</x:v>
      </x:c>
      <x:c r="H96" s="24" t="str">
        <x:v>Other fishes &amp; inverts</x:v>
      </x:c>
      <x:c r="I96" s="31" t="n">
        <x:v>0.0053589353</x:v>
      </x:c>
      <x:c r="J96" s="31" t="n">
        <x:v>0.0009082941</x:v>
      </x:c>
      <x:c r="K96" s="31" t="n">
        <x:v>0.0044506412</x:v>
      </x:c>
      <x:c r="L96" s="31" t="n">
        <x:v>0.0009082941</x:v>
      </x:c>
      <x:c r="M96" s="31" t="n">
        <x:v>0.0044506412</x:v>
      </x:c>
      <x:c r="N96" s="24" t="str">
        <x:v>anguilliformes</x:v>
      </x:c>
      <x:c r="O96" s="32" t="n">
        <x:v>3.89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Anguilliformes</x:v>
      </x:c>
      <x:c r="T96" s="32" t="n">
        <x:f>IF(O96="","",(1/'Metadata'!$B$5)^(O96-1))</x:f>
        <x:v>776.247116628692</x:v>
      </x:c>
      <x:c r="U96" s="31" t="n">
        <x:f>IF(T96="","",I96*T96)</x:f>
        <x:v>4.159858074824714</x:v>
      </x:c>
    </x:row>
    <x:row r="97" ht="18" customHeight="1">
      <x:c r="A97" s="24" t="str">
        <x:v>EEZ_780</x:v>
      </x:c>
      <x:c r="B97" s="24" t="str">
        <x:v>Trinidad &amp; Tobago</x:v>
      </x:c>
      <x:c r="C97" s="24" t="str">
        <x:v>EEZ</x:v>
      </x:c>
      <x:c r="D97" s="30" t="n">
        <x:v>2019</x:v>
      </x:c>
      <x:c r="E97" s="24" t="str">
        <x:v>Caranx hippos</x:v>
      </x:c>
      <x:c r="F97" s="24" t="str">
        <x:v>Crevalle jack</x:v>
      </x:c>
      <x:c r="G97" s="24" t="str">
        <x:v>Large reef assoc. fish (&gt;=90 cm)</x:v>
      </x:c>
      <x:c r="H97" s="24" t="str">
        <x:v>Perch-likes</x:v>
      </x:c>
      <x:c r="I97" s="31" t="n">
        <x:v>0.0025123953000000003</x:v>
      </x:c>
      <x:c r="J97" s="31" t="n">
        <x:v>0.0025123953000000003</x:v>
      </x:c>
      <x:c r="K97" s="31" t="n">
        <x:v>0</x:v>
      </x:c>
      <x:c r="L97" s="31" t="n">
        <x:v>0.0025123953000000003</x:v>
      </x:c>
      <x:c r="M97" s="31" t="n">
        <x:v>0</x:v>
      </x:c>
      <x:c r="N97" s="24" t="str">
        <x:v>caranx hippos</x:v>
      </x:c>
      <x:c r="O97" s="32" t="n">
        <x:v>3.56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Caranx hippos</x:v>
      </x:c>
      <x:c r="T97" s="32" t="n">
        <x:f>IF(O97="","",(1/'Metadata'!$B$5)^(O97-1))</x:f>
        <x:v>363.0780547701014</x:v>
      </x:c>
      <x:c r="U97" s="31" t="n">
        <x:f>IF(T97="","",I97*T97)</x:f>
        <x:v>0.9121955983375455</x:v>
      </x:c>
    </x:row>
    <x:row r="98" ht="18" customHeight="1">
      <x:c r="A98" s="24" t="str">
        <x:v>EEZ_780</x:v>
      </x:c>
      <x:c r="B98" s="24" t="str">
        <x:v>Trinidad &amp; Tobago</x:v>
      </x:c>
      <x:c r="C98" s="24" t="str">
        <x:v>EEZ</x:v>
      </x:c>
      <x:c r="D98" s="30" t="n">
        <x:v>2019</x:v>
      </x:c>
      <x:c r="E98" s="24" t="str">
        <x:v>Diodontidae</x:v>
      </x:c>
      <x:c r="F98" s="24" t="str">
        <x:v>Porcupine-, burrfishes</x:v>
      </x:c>
      <x:c r="G98" s="24" t="str">
        <x:v>Medium reef assoc. fish (30 - 89 cm)</x:v>
      </x:c>
      <x:c r="H98" s="24" t="str">
        <x:v>Other fishes &amp; inverts</x:v>
      </x:c>
      <x:c r="I98" s="31" t="n">
        <x:v>0.0010677667</x:v>
      </x:c>
      <x:c r="J98" s="31" t="n">
        <x:v>0</x:v>
      </x:c>
      <x:c r="K98" s="31" t="n">
        <x:v>0.0010677667</x:v>
      </x:c>
      <x:c r="L98" s="31" t="n">
        <x:v>0</x:v>
      </x:c>
      <x:c r="M98" s="31" t="n">
        <x:v>0.0010677667</x:v>
      </x:c>
      <x:c r="N98" s="24" t="str">
        <x:v>diodontidae</x:v>
      </x:c>
      <x:c r="O98" s="32" t="n">
        <x:v>3.36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Diodontidae</x:v>
      </x:c>
      <x:c r="T98" s="32" t="n">
        <x:f>IF(O98="","",(1/'Metadata'!$B$5)^(O98-1))</x:f>
        <x:v>229.08676527677724</x:v>
      </x:c>
      <x:c r="U98" s="31" t="n">
        <x:f>IF(T98="","",I98*T98)</x:f>
        <x:v>0.24461121937325903</x:v>
      </x:c>
    </x:row>
  </x:sheetData>
  <x:conditionalFormatting sqref="R2:R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17e4a5e236a48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59.733761025999996</x:v>
      </x:c>
      <x:c r="E2" s="31" t="n">
        <x:v>59.733761025999996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IF(C2=0,"",SUMIF('Species'!$H$2:$H$98,A2,'Species'!$U$2:$U$98))</x:f>
        <x:v>9467.163121020641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9467.163121020641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737.1221390302001</x:v>
      </x:c>
      <x:c r="E3" s="31" t="n">
        <x:v>737.1221390302001</x:v>
      </x:c>
      <x:c r="F3" s="32" t="n">
        <x:v>0</x:v>
      </x:c>
      <x:c r="G3" s="34" t="n">
        <x:v>1</x:v>
      </x:c>
      <x:c r="H3" s="32" t="n">
        <x:f>IF(E3=0,"",I3/E3)</x:f>
        <x:v>206.87752201738084</x:v>
      </x:c>
      <x:c r="I3" s="31" t="n">
        <x:f>IF(C3=0,"",SUMIF('Species'!$H$2:$H$98,A3,'Species'!$U$2:$U$98))</x:f>
        <x:v>152494.00154671908</x:v>
      </x:c>
      <x:c r="J3" s="32" t="n">
        <x:v>3.2732800778506586</x:v>
      </x:c>
      <x:c r="K3" s="32" t="n">
        <x:f>IF(J3="","",(1/'Metadata'!$B$5)^(J3-1))</x:f>
        <x:v>187.6204087796714</x:v>
      </x:c>
      <x:c r="L3" s="31" t="n">
        <x:f>IF(E3=0,"",E3*K3)</x:f>
        <x:v>138299.1570453919</x:v>
      </x:c>
      <x:c r="M3" s="31" t="n">
        <x:f>IF(E3=0,"",I3-L3)</x:f>
        <x:v>14194.84450132717</x:v>
      </x:c>
      <x:c r="N3" s="32" t="n">
        <x:f>IF(L3=0,"",I3/L3)</x:f>
        <x:v>1.1026386914033626</x:v>
      </x:c>
      <x:c r="O3" s="34" t="n">
        <x:f>IF(L3=0,"",M3/L3)</x:f>
        <x:v>0.10263869140336267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10.7176327978</x:v>
      </x:c>
      <x:c r="E4" s="31" t="n">
        <x:v>10.7176327978</x:v>
      </x:c>
      <x:c r="F4" s="32" t="n">
        <x:v>0</x:v>
      </x:c>
      <x:c r="G4" s="34" t="n">
        <x:v>1</x:v>
      </x:c>
      <x:c r="H4" s="32" t="n">
        <x:f>IF(E4=0,"",I4/E4)</x:f>
        <x:v>291.54343079220956</x:v>
      </x:c>
      <x:c r="I4" s="31" t="n">
        <x:f>IF(C4=0,"",SUMIF('Species'!$H$2:$H$98,A4,'Species'!$U$2:$U$98))</x:f>
        <x:v>3124.6554358417197</x:v>
      </x:c>
      <x:c r="J4" s="32" t="n">
        <x:v>3.426447592291852</x:v>
      </x:c>
      <x:c r="K4" s="32" t="n">
        <x:f>IF(J4="","",(1/'Metadata'!$B$5)^(J4-1))</x:f>
        <x:v>266.96085974590255</x:v>
      </x:c>
      <x:c r="L4" s="31" t="n">
        <x:f>IF(E4=0,"",E4*K4)</x:f>
        <x:v>2861.188466141571</x:v>
      </x:c>
      <x:c r="M4" s="31" t="n">
        <x:f>IF(E4=0,"",I4-L4)</x:f>
        <x:v>263.46696970014864</x:v>
      </x:c>
      <x:c r="N4" s="32" t="n">
        <x:f>IF(L4=0,"",I4/L4)</x:f>
        <x:v>1.092083053185044</x:v>
      </x:c>
      <x:c r="O4" s="34" t="n">
        <x:f>IF(L4=0,"",M4/L4)</x:f>
        <x:v>0.09208305318504396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551.8367535574</x:v>
      </x:c>
      <x:c r="E5" s="31" t="n">
        <x:v>551.8367535574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IF(C5=0,"",SUMIF('Species'!$H$2:$H$98,A5,'Species'!$U$2:$U$98))</x:f>
        <x:v>79764.67905511854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79764.67905511854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19</x:v>
      </x:c>
      <x:c r="C6" s="33" t="n">
        <x:v>19</x:v>
      </x:c>
      <x:c r="D6" s="31" t="n">
        <x:v>3934.6822410002</x:v>
      </x:c>
      <x:c r="E6" s="31" t="n">
        <x:v>3934.6822410002</x:v>
      </x:c>
      <x:c r="F6" s="32" t="n">
        <x:v>0</x:v>
      </x:c>
      <x:c r="G6" s="34" t="n">
        <x:v>1</x:v>
      </x:c>
      <x:c r="H6" s="32" t="n">
        <x:f>IF(E6=0,"",I6/E6)</x:f>
        <x:v>294.0833545822502</x:v>
      </x:c>
      <x:c r="I6" s="31" t="n">
        <x:f>IF(C6=0,"",SUMIF('Species'!$H$2:$H$98,A6,'Species'!$U$2:$U$98))</x:f>
        <x:v>1157124.5526485445</x:v>
      </x:c>
      <x:c r="J6" s="32" t="n">
        <x:v>3.3312687671748042</x:v>
      </x:c>
      <x:c r="K6" s="32" t="n">
        <x:f>IF(J6="","",(1/'Metadata'!$B$5)^(J6-1))</x:f>
        <x:v>214.42171593105155</x:v>
      </x:c>
      <x:c r="L6" s="31" t="n">
        <x:f>IF(E6=0,"",E6*K6)</x:f>
        <x:v>843681.3177586982</x:v>
      </x:c>
      <x:c r="M6" s="31" t="n">
        <x:f>IF(E6=0,"",I6-L6)</x:f>
        <x:v>313443.2348898463</x:v>
      </x:c>
      <x:c r="N6" s="32" t="n">
        <x:f>IF(L6=0,"",I6/L6)</x:f>
        <x:v>1.3715185204320175</x:v>
      </x:c>
      <x:c r="O6" s="34" t="n">
        <x:f>IF(L6=0,"",M6/L6)</x:f>
        <x:v>0.3715185204320174</x:v>
      </x:c>
    </x:row>
    <x:row r="7" ht="18" customHeight="1">
      <x:c r="A7" s="24" t="str">
        <x:v>Perch-likes</x:v>
      </x:c>
      <x:c r="B7" s="33" t="n">
        <x:v>35</x:v>
      </x:c>
      <x:c r="C7" s="33" t="n">
        <x:v>35</x:v>
      </x:c>
      <x:c r="D7" s="31" t="n">
        <x:v>12489.012441006602</x:v>
      </x:c>
      <x:c r="E7" s="31" t="n">
        <x:v>12489.012441006602</x:v>
      </x:c>
      <x:c r="F7" s="32" t="n">
        <x:v>0</x:v>
      </x:c>
      <x:c r="G7" s="34" t="n">
        <x:v>1</x:v>
      </x:c>
      <x:c r="H7" s="32" t="n">
        <x:f>IF(E7=0,"",I7/E7)</x:f>
        <x:v>1237.1161706318253</x:v>
      </x:c>
      <x:c r="I7" s="31" t="n">
        <x:f>IF(C7=0,"",SUMIF('Species'!$H$2:$H$98,A7,'Species'!$U$2:$U$98))</x:f>
        <x:v>15450359.245991312</x:v>
      </x:c>
      <x:c r="J7" s="32" t="n">
        <x:v>3.9885544952973584</x:v>
      </x:c>
      <x:c r="K7" s="32" t="n">
        <x:f>IF(J7="","",(1/'Metadata'!$B$5)^(J7-1))</x:f>
        <x:v>973.9899939833358</x:v>
      </x:c>
      <x:c r="L7" s="31" t="n">
        <x:f>IF(E7=0,"",E7*K7)</x:f>
        <x:v>12164173.152273826</x:v>
      </x:c>
      <x:c r="M7" s="31" t="n">
        <x:f>IF(E7=0,"",I7-L7)</x:f>
        <x:v>3286186.0937174857</x:v>
      </x:c>
      <x:c r="N7" s="32" t="n">
        <x:f>IF(L7=0,"",I7/L7)</x:f>
        <x:v>1.2701528540066207</x:v>
      </x:c>
      <x:c r="O7" s="34" t="n">
        <x:f>IF(L7=0,"",M7/L7)</x:f>
        <x:v>0.27015285400662065</x:v>
      </x:c>
    </x:row>
    <x:row r="8" ht="18" customHeight="1">
      <x:c r="A8" s="24" t="str">
        <x:v>Sharks &amp; rays</x:v>
      </x:c>
      <x:c r="B8" s="33" t="n">
        <x:v>17</x:v>
      </x:c>
      <x:c r="C8" s="33" t="n">
        <x:v>17</x:v>
      </x:c>
      <x:c r="D8" s="31" t="n">
        <x:v>1319.0404729799998</x:v>
      </x:c>
      <x:c r="E8" s="31" t="n">
        <x:v>1319.0404729799998</x:v>
      </x:c>
      <x:c r="F8" s="32" t="n">
        <x:v>0</x:v>
      </x:c>
      <x:c r="G8" s="34" t="n">
        <x:v>1</x:v>
      </x:c>
      <x:c r="H8" s="32" t="n">
        <x:f>IF(E8=0,"",I8/E8)</x:f>
        <x:v>1823.8914783924563</x:v>
      </x:c>
      <x:c r="I8" s="31" t="n">
        <x:f>IF(C8=0,"",SUMIF('Species'!$H$2:$H$98,A8,'Species'!$U$2:$U$98))</x:f>
        <x:v>2405786.6783229765</x:v>
      </x:c>
      <x:c r="J8" s="32" t="n">
        <x:v>4.255937114907915</x:v>
      </x:c>
      <x:c r="K8" s="32" t="n">
        <x:f>IF(J8="","",(1/'Metadata'!$B$5)^(J8-1))</x:f>
        <x:v>1802.756685900413</x:v>
      </x:c>
      <x:c r="L8" s="31" t="n">
        <x:f>IF(E8=0,"",E8*K8)</x:f>
        <x:v>2377909.0316379378</x:v>
      </x:c>
      <x:c r="M8" s="31" t="n">
        <x:f>IF(E8=0,"",I8-L8)</x:f>
        <x:v>27877.646685038693</x:v>
      </x:c>
      <x:c r="N8" s="32" t="n">
        <x:f>IF(L8=0,"",I8/L8)</x:f>
        <x:v>1.01172359678782</x:v>
      </x:c>
      <x:c r="O8" s="34" t="n">
        <x:f>IF(L8=0,"",M8/L8)</x:f>
        <x:v>0.01172359678782</x:v>
      </x:c>
    </x:row>
    <x:row r="9" ht="18" customHeight="1">
      <x:c r="A9" s="24" t="str">
        <x:v>Tuna &amp; billfishes</x:v>
      </x:c>
      <x:c r="B9" s="33" t="n">
        <x:v>16</x:v>
      </x:c>
      <x:c r="C9" s="33" t="n">
        <x:v>16</x:v>
      </x:c>
      <x:c r="D9" s="31" t="n">
        <x:v>421.0731178676</x:v>
      </x:c>
      <x:c r="E9" s="31" t="n">
        <x:v>421.0731178676</x:v>
      </x:c>
      <x:c r="F9" s="32" t="n">
        <x:v>0</x:v>
      </x:c>
      <x:c r="G9" s="34" t="n">
        <x:v>1</x:v>
      </x:c>
      <x:c r="H9" s="32" t="n">
        <x:f>IF(E9=0,"",I9/E9)</x:f>
        <x:v>2668.9215197345866</x:v>
      </x:c>
      <x:c r="I9" s="31" t="n">
        <x:f>IF(C9=0,"",SUMIF('Species'!$H$2:$H$98,A9,'Species'!$U$2:$U$98))</x:f>
        <x:v>1123811.1056585757</x:v>
      </x:c>
      <x:c r="J9" s="32" t="n">
        <x:v>4.4206888265471775</x:v>
      </x:c>
      <x:c r="K9" s="32" t="n">
        <x:f>IF(J9="","",(1/'Metadata'!$B$5)^(J9-1))</x:f>
        <x:v>2634.4431221001246</x:v>
      </x:c>
      <x:c r="L9" s="31" t="n">
        <x:f>IF(E9=0,"",E9*K9)</x:f>
        <x:v>1109293.1792675538</x:v>
      </x:c>
      <x:c r="M9" s="31" t="n">
        <x:f>IF(E9=0,"",I9-L9)</x:f>
        <x:v>14517.926391021814</x:v>
      </x:c>
      <x:c r="N9" s="32" t="n">
        <x:f>IF(L9=0,"",I9/L9)</x:f>
        <x:v>1.0130875467931821</x:v>
      </x:c>
      <x:c r="O9" s="34" t="n">
        <x:f>IF(L9=0,"",M9/L9)</x:f>
        <x:v>0.013087546793182067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2681b1f3264e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10.3424559853</x:v>
      </x:c>
      <x:c r="E2" s="31" t="n">
        <x:v>10.3424559853</x:v>
      </x:c>
      <x:c r="F2" s="32" t="n">
        <x:v>0</x:v>
      </x:c>
      <x:c r="G2" s="34" t="n">
        <x:v>1</x:v>
      </x:c>
      <x:c r="H2" s="32" t="n">
        <x:f>IF(E2=0,"",I2/E2)</x:f>
        <x:v>647.4587852942344</x:v>
      </x:c>
      <x:c r="I2" s="31" t="n">
        <x:f>IF(C2=0,"",SUMIF('Species'!$G$2:$G$98,A2,'Species'!$U$2:$U$98))</x:f>
        <x:v>6696.313989201422</x:v>
      </x:c>
      <x:c r="J2" s="32" t="n">
        <x:v>3.8110923904458534</x:v>
      </x:c>
      <x:c r="K2" s="32" t="n">
        <x:f>IF(J2="","",(1/'Metadata'!$B$5)^(J2-1))</x:f>
        <x:v>647.2803014836986</x:v>
      </x:c>
      <x:c r="L2" s="31" t="n">
        <x:f>IF(E2=0,"",E2*K2)</x:f>
        <x:v>6694.468028246868</x:v>
      </x:c>
      <x:c r="M2" s="31" t="n">
        <x:f>IF(E2=0,"",I2-L2)</x:f>
        <x:v>1.8459609545543572</x:v>
      </x:c>
      <x:c r="N2" s="32" t="n">
        <x:f>IF(L2=0,"",I2/L2)</x:f>
        <x:v>1.0002757442334127</x:v>
      </x:c>
      <x:c r="O2" s="34" t="n">
        <x:f>IF(L2=0,"",M2/L2)</x:f>
        <x:v>0.00027574423341263955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0.0590367644</x:v>
      </x:c>
      <x:c r="E3" s="31" t="n">
        <x:v>0.0590367644</x:v>
      </x:c>
      <x:c r="F3" s="32" t="n">
        <x:v>0</x:v>
      </x:c>
      <x:c r="G3" s="34" t="n">
        <x:v>1</x:v>
      </x:c>
      <x:c r="H3" s="32" t="n">
        <x:f>IF(E3=0,"",I3/E3)</x:f>
        <x:v>467.7351412871982</x:v>
      </x:c>
      <x:c r="I3" s="31" t="n">
        <x:f>IF(C3=0,"",SUMIF('Species'!$G$2:$G$98,A3,'Species'!$U$2:$U$98))</x:f>
        <x:v>27.61356933777303</x:v>
      </x:c>
      <x:c r="J3" s="32" t="n">
        <x:v>3.6700000000000004</x:v>
      </x:c>
      <x:c r="K3" s="32" t="n">
        <x:f>IF(J3="","",(1/'Metadata'!$B$5)^(J3-1))</x:f>
        <x:v>467.7351412871986</x:v>
      </x:c>
      <x:c r="L3" s="31" t="n">
        <x:f>IF(E3=0,"",E3*K3)</x:f>
        <x:v>27.613569337773054</x:v>
      </x:c>
      <x:c r="M3" s="31" t="n">
        <x:f>IF(E3=0,"",I3-L3)</x:f>
        <x:v>-2.4868995751603507e-14</x:v>
      </x:c>
      <x:c r="N3" s="32" t="n">
        <x:f>IF(L3=0,"",I3/L3)</x:f>
        <x:v>0.9999999999999991</x:v>
      </x:c>
      <x:c r="O3" s="34" t="n">
        <x:f>IF(L3=0,"",M3/L3)</x:f>
        <x:v>-9.00607793487414e-16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1.2383843769</x:v>
      </x:c>
      <x:c r="E4" s="31" t="n">
        <x:v>1.2383843769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IF(C4=0,"",SUMIF('Species'!$G$2:$G$98,A4,'Species'!$U$2:$U$98))</x:f>
        <x:v>2709.289815480498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2709.289815480498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3</x:v>
      </x:c>
      <x:c r="C5" s="33" t="n">
        <x:v>3</x:v>
      </x:c>
      <x:c r="D5" s="31" t="n">
        <x:v>174.33026678829998</x:v>
      </x:c>
      <x:c r="E5" s="31" t="n">
        <x:v>174.33026678829998</x:v>
      </x:c>
      <x:c r="F5" s="32" t="n">
        <x:v>0</x:v>
      </x:c>
      <x:c r="G5" s="34" t="n">
        <x:v>1</x:v>
      </x:c>
      <x:c r="H5" s="32" t="n">
        <x:f>IF(E5=0,"",I5/E5)</x:f>
        <x:v>1412.538568718286</x:v>
      </x:c>
      <x:c r="I5" s="31" t="n">
        <x:f>IF(C5=0,"",SUMIF('Species'!$G$2:$G$98,A5,'Species'!$U$2:$U$98))</x:f>
        <x:v>246248.22553342217</x:v>
      </x:c>
      <x:c r="J5" s="32" t="n">
        <x:v>4.149999430657213</x:v>
      </x:c>
      <x:c r="K5" s="32" t="n">
        <x:f>IF(J5="","",(1/'Metadata'!$B$5)^(J5-1))</x:f>
        <x:v>1412.535692843447</x:v>
      </x:c>
      <x:c r="L5" s="31" t="n">
        <x:f>IF(E5=0,"",E5*K5)</x:f>
        <x:v>246247.72418139424</x:v>
      </x:c>
      <x:c r="M5" s="31" t="n">
        <x:f>IF(E5=0,"",I5-L5)</x:f>
        <x:v>0.5013520279317163</x:v>
      </x:c>
      <x:c r="N5" s="32" t="n">
        <x:f>IF(L5=0,"",I5/L5)</x:f>
        <x:v>1.0000020359661377</x:v>
      </x:c>
      <x:c r="O5" s="34" t="n">
        <x:f>IF(L5=0,"",M5/L5)</x:f>
        <x:v>0.0000020359661377516074</x:v>
      </x:c>
    </x:row>
    <x:row r="6" ht="18" customHeight="1">
      <x:c r="A6" s="24" t="str">
        <x:v>Large demersals (&gt;=90 cm)</x:v>
      </x:c>
      <x:c r="B6" s="33" t="n">
        <x:v>1</x:v>
      </x:c>
      <x:c r="C6" s="33" t="n">
        <x:v>1</x:v>
      </x:c>
      <x:c r="D6" s="31" t="n">
        <x:v>0.0053589353</x:v>
      </x:c>
      <x:c r="E6" s="31" t="n">
        <x:v>0.0053589353</x:v>
      </x:c>
      <x:c r="F6" s="32" t="n">
        <x:v>0</x:v>
      </x:c>
      <x:c r="G6" s="34" t="n">
        <x:v>1</x:v>
      </x:c>
      <x:c r="H6" s="32" t="n">
        <x:f>IF(E6=0,"",I6/E6)</x:f>
        <x:v>776.247116628692</x:v>
      </x:c>
      <x:c r="I6" s="31" t="n">
        <x:f>IF(C6=0,"",SUMIF('Species'!$G$2:$G$98,A6,'Species'!$U$2:$U$98))</x:f>
        <x:v>4.159858074824714</x:v>
      </x:c>
      <x:c r="J6" s="32" t="n">
        <x:v>3.89</x:v>
      </x:c>
      <x:c r="K6" s="32" t="n">
        <x:f>IF(J6="","",(1/'Metadata'!$B$5)^(J6-1))</x:f>
        <x:v>776.247116628692</x:v>
      </x:c>
      <x:c r="L6" s="31" t="n">
        <x:f>IF(E6=0,"",E6*K6)</x:f>
        <x:v>4.159858074824714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24</x:v>
      </x:c>
      <x:c r="C7" s="33" t="n">
        <x:v>24</x:v>
      </x:c>
      <x:c r="D7" s="31" t="n">
        <x:v>2002.2772957</x:v>
      </x:c>
      <x:c r="E7" s="31" t="n">
        <x:v>2002.2772957</x:v>
      </x:c>
      <x:c r="F7" s="32" t="n">
        <x:v>0</x:v>
      </x:c>
      <x:c r="G7" s="34" t="n">
        <x:v>1</x:v>
      </x:c>
      <x:c r="H7" s="32" t="n">
        <x:f>IF(E7=0,"",I7/E7)</x:f>
        <x:v>1548.049719602306</x:v>
      </x:c>
      <x:c r="I7" s="31" t="n">
        <x:f>IF(C7=0,"",SUMIF('Species'!$G$2:$G$98,A7,'Species'!$U$2:$U$98))</x:f>
        <x:v>3099624.806174448</x:v>
      </x:c>
      <x:c r="J7" s="32" t="n">
        <x:v>3.917547933303992</x:v>
      </x:c>
      <x:c r="K7" s="32" t="n">
        <x:f>IF(J7="","",(1/'Metadata'!$B$5)^(J7-1))</x:f>
        <x:v>827.0807888600082</x:v>
      </x:c>
      <x:c r="L7" s="31" t="n">
        <x:f>IF(E7=0,"",E7*K7)</x:f>
        <x:v>1656045.0852440398</x:v>
      </x:c>
      <x:c r="M7" s="31" t="n">
        <x:f>IF(E7=0,"",I7-L7)</x:f>
        <x:v>1443579.7209304085</x:v>
      </x:c>
      <x:c r="N7" s="32" t="n">
        <x:f>IF(L7=0,"",I7/L7)</x:f>
        <x:v>1.8717031521624776</x:v>
      </x:c>
      <x:c r="O7" s="34" t="n">
        <x:f>IF(L7=0,"",M7/L7)</x:f>
        <x:v>0.8717031521624776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2.9927225967</x:v>
      </x:c>
      <x:c r="E8" s="31" t="n">
        <x:v>2.9927225967</x:v>
      </x:c>
      <x:c r="F8" s="32" t="n">
        <x:v>0</x:v>
      </x:c>
      <x:c r="G8" s="34" t="n">
        <x:v>1</x:v>
      </x:c>
      <x:c r="H8" s="32" t="n">
        <x:f>IF(E8=0,"",I8/E8)</x:f>
        <x:v>288.1520138073741</x:v>
      </x:c>
      <x:c r="I8" s="31" t="n">
        <x:f>IF(C8=0,"",SUMIF('Species'!$G$2:$G$98,A8,'Species'!$U$2:$U$98))</x:f>
        <x:v>862.3590430059389</x:v>
      </x:c>
      <x:c r="J8" s="32" t="n">
        <x:v>3.439153546032367</x:v>
      </x:c>
      <x:c r="K8" s="32" t="n">
        <x:f>IF(J8="","",(1/'Metadata'!$B$5)^(J8-1))</x:f>
        <x:v>274.88658505517225</x:v>
      </x:c>
      <x:c r="L8" s="31" t="n">
        <x:f>IF(E8=0,"",E8*K8)</x:f>
        <x:v>822.6592946243105</x:v>
      </x:c>
      <x:c r="M8" s="31" t="n">
        <x:f>IF(E8=0,"",I8-L8)</x:f>
        <x:v>39.69974838162841</x:v>
      </x:c>
      <x:c r="N8" s="32" t="n">
        <x:f>IF(L8=0,"",I8/L8)</x:f>
        <x:v>1.0482578251300965</x:v>
      </x:c>
      <x:c r="O8" s="34" t="n">
        <x:f>IF(L8=0,"",M8/L8)</x:f>
        <x:v>0.048257825130096375</x:v>
      </x:c>
    </x:row>
    <x:row r="9" ht="18" customHeight="1">
      <x:c r="A9" s="24" t="str">
        <x:v>Large reef assoc. fish (&gt;=90 cm)</x:v>
      </x:c>
      <x:c r="B9" s="33" t="n">
        <x:v>5</x:v>
      </x:c>
      <x:c r="C9" s="33" t="n">
        <x:v>5</x:v>
      </x:c>
      <x:c r="D9" s="31" t="n">
        <x:v>100.3690182655</x:v>
      </x:c>
      <x:c r="E9" s="31" t="n">
        <x:v>100.3690182655</x:v>
      </x:c>
      <x:c r="F9" s="32" t="n">
        <x:v>0</x:v>
      </x:c>
      <x:c r="G9" s="34" t="n">
        <x:v>1</x:v>
      </x:c>
      <x:c r="H9" s="32" t="n">
        <x:f>IF(E9=0,"",I9/E9)</x:f>
        <x:v>727.3458670187639</x:v>
      </x:c>
      <x:c r="I9" s="31" t="n">
        <x:f>IF(C9=0,"",SUMIF('Species'!$G$2:$G$98,A9,'Species'!$U$2:$U$98))</x:f>
        <x:v>73002.99061214225</x:v>
      </x:c>
      <x:c r="J9" s="32" t="n">
        <x:v>3.8464951007272834</x:v>
      </x:c>
      <x:c r="K9" s="32" t="n">
        <x:f>IF(J9="","",(1/'Metadata'!$B$5)^(J9-1))</x:f>
        <x:v>702.2554215530593</x:v>
      </x:c>
      <x:c r="L9" s="31" t="n">
        <x:f>IF(E9=0,"",E9*K9)</x:f>
        <x:v>70484.6872329054</x:v>
      </x:c>
      <x:c r="M9" s="31" t="n">
        <x:f>IF(E9=0,"",I9-L9)</x:f>
        <x:v>2518.3033792368515</x:v>
      </x:c>
      <x:c r="N9" s="32" t="n">
        <x:f>IF(L9=0,"",I9/L9)</x:f>
        <x:v>1.0357283755961848</x:v>
      </x:c>
      <x:c r="O9" s="34" t="n">
        <x:f>IF(L9=0,"",M9/L9)</x:f>
        <x:v>0.03572837559618474</x:v>
      </x:c>
    </x:row>
    <x:row r="10" ht="18" customHeight="1">
      <x:c r="A10" s="24" t="str">
        <x:v>Large sharks (&gt;=90 cm)</x:v>
      </x:c>
      <x:c r="B10" s="33" t="n">
        <x:v>13</x:v>
      </x:c>
      <x:c r="C10" s="33" t="n">
        <x:v>13</x:v>
      </x:c>
      <x:c r="D10" s="31" t="n">
        <x:v>1316.0477503833</x:v>
      </x:c>
      <x:c r="E10" s="31" t="n">
        <x:v>1316.0477503833</x:v>
      </x:c>
      <x:c r="F10" s="32" t="n">
        <x:v>0</x:v>
      </x:c>
      <x:c r="G10" s="34" t="n">
        <x:v>1</x:v>
      </x:c>
      <x:c r="H10" s="32" t="n">
        <x:f>IF(E10=0,"",I10/E10)</x:f>
        <x:v>1827.3837849572974</x:v>
      </x:c>
      <x:c r="I10" s="31" t="n">
        <x:f>IF(C10=0,"",SUMIF('Species'!$G$2:$G$98,A10,'Species'!$U$2:$U$98))</x:f>
        <x:v>2404924.319279971</x:v>
      </x:c>
      <x:c r="J10" s="32" t="n">
        <x:v>4.2577944993702</x:v>
      </x:c>
      <x:c r="K10" s="32" t="n">
        <x:f>IF(J10="","",(1/'Metadata'!$B$5)^(J10-1))</x:f>
        <x:v>1810.4832005971302</x:v>
      </x:c>
      <x:c r="L10" s="31" t="n">
        <x:f>IF(E10=0,"",E10*K10)</x:f>
        <x:v>2382682.34325261</x:v>
      </x:c>
      <x:c r="M10" s="31" t="n">
        <x:f>IF(E10=0,"",I10-L10)</x:f>
        <x:v>22241.976027361117</x:v>
      </x:c>
      <x:c r="N10" s="32" t="n">
        <x:f>IF(L10=0,"",I10/L10)</x:f>
        <x:v>1.009334847379193</x:v>
      </x:c>
      <x:c r="O10" s="34" t="n">
        <x:f>IF(L10=0,"",M10/L10)</x:f>
        <x:v>0.009334847379193023</x:v>
      </x:c>
    </x:row>
    <x:row r="11" ht="18" customHeight="1">
      <x:c r="A11" s="24" t="str">
        <x:v>Lobsters, crabs</x:v>
      </x:c>
      <x:c r="B11" s="33" t="n">
        <x:v>3</x:v>
      </x:c>
      <x:c r="C11" s="33" t="n">
        <x:v>3</x:v>
      </x:c>
      <x:c r="D11" s="31" t="n">
        <x:v>174.2302191255</x:v>
      </x:c>
      <x:c r="E11" s="31" t="n">
        <x:v>174.2302191255</x:v>
      </x:c>
      <x:c r="F11" s="32" t="n">
        <x:v>0</x:v>
      </x:c>
      <x:c r="G11" s="34" t="n">
        <x:v>1</x:v>
      </x:c>
      <x:c r="H11" s="32" t="n">
        <x:f>IF(E11=0,"",I11/E11)</x:f>
        <x:v>218.8404058701445</x:v>
      </x:c>
      <x:c r="I11" s="31" t="n">
        <x:f>IF(C11=0,"",SUMIF('Species'!$G$2:$G$98,A11,'Species'!$U$2:$U$98))</x:f>
        <x:v>38128.611868268636</x:v>
      </x:c>
      <x:c r="J11" s="32" t="n">
        <x:v>3.164253119228004</x:v>
      </x:c>
      <x:c r="K11" s="32" t="n">
        <x:f>IF(J11="","",(1/'Metadata'!$B$5)^(J11-1))</x:f>
        <x:v>145.96647467114704</x:v>
      </x:c>
      <x:c r="L11" s="31" t="n">
        <x:f>IF(E11=0,"",E11*K11)</x:f>
        <x:v>25431.770866930696</x:v>
      </x:c>
      <x:c r="M11" s="31" t="n">
        <x:f>IF(E11=0,"",I11-L11)</x:f>
        <x:v>12696.84100133794</x:v>
      </x:c>
      <x:c r="N11" s="32" t="n">
        <x:f>IF(L11=0,"",I11/L11)</x:f>
        <x:v>1.499251155877935</x:v>
      </x:c>
      <x:c r="O11" s="34" t="n">
        <x:f>IF(L11=0,"",M11/L11)</x:f>
        <x:v>0.4992511558779349</x:v>
      </x:c>
    </x:row>
    <x:row r="12" ht="18" customHeight="1">
      <x:c r="A12" s="24" t="str">
        <x:v>Medium benthopelagics (30 - 89 cm)</x:v>
      </x:c>
      <x:c r="B12" s="33" t="n">
        <x:v>1</x:v>
      </x:c>
      <x:c r="C12" s="33" t="n">
        <x:v>1</x:v>
      </x:c>
      <x:c r="D12" s="31" t="n">
        <x:v>12.6233422199</x:v>
      </x:c>
      <x:c r="E12" s="31" t="n">
        <x:v>12.6233422199</x:v>
      </x:c>
      <x:c r="F12" s="32" t="n">
        <x:v>0</x:v>
      </x:c>
      <x:c r="G12" s="34" t="n">
        <x:v>1</x:v>
      </x:c>
      <x:c r="H12" s="32" t="n">
        <x:f>IF(E12=0,"",I12/E12)</x:f>
        <x:v>204.17379446695296</x:v>
      </x:c>
      <x:c r="I12" s="31" t="n">
        <x:f>IF(C12=0,"",SUMIF('Species'!$G$2:$G$98,A12,'Species'!$U$2:$U$98))</x:f>
        <x:v>2577.355679891872</x:v>
      </x:c>
      <x:c r="J12" s="32" t="n">
        <x:v>3.3100000000000005</x:v>
      </x:c>
      <x:c r="K12" s="32" t="n">
        <x:f>IF(J12="","",(1/'Metadata'!$B$5)^(J12-1))</x:f>
        <x:v>204.17379446695315</x:v>
      </x:c>
      <x:c r="L12" s="31" t="n">
        <x:f>IF(E12=0,"",E12*K12)</x:f>
        <x:v>2577.355679891875</x:v>
      </x:c>
      <x:c r="M12" s="31" t="n">
        <x:f>IF(E12=0,"",I12-L12)</x:f>
        <x:v>-2.7284841053187847e-12</x:v>
      </x:c>
      <x:c r="N12" s="32" t="n">
        <x:f>IF(L12=0,"",I12/L12)</x:f>
        <x:v>0.9999999999999989</x:v>
      </x:c>
      <x:c r="O12" s="34" t="n">
        <x:f>IF(L12=0,"",M12/L12)</x:f>
        <x:v>-1.058637007924824e-15</x:v>
      </x:c>
    </x:row>
    <x:row r="13" ht="18" customHeight="1">
      <x:c r="A13" s="24" t="str">
        <x:v>Medium demersals (30 - 89 cm)</x:v>
      </x:c>
      <x:c r="B13" s="33" t="n">
        <x:v>6</x:v>
      </x:c>
      <x:c r="C13" s="33" t="n">
        <x:v>6</x:v>
      </x:c>
      <x:c r="D13" s="31" t="n">
        <x:v>5987.9251397284</x:v>
      </x:c>
      <x:c r="E13" s="31" t="n">
        <x:v>5987.9251397284</x:v>
      </x:c>
      <x:c r="F13" s="32" t="n">
        <x:v>0</x:v>
      </x:c>
      <x:c r="G13" s="34" t="n">
        <x:v>1</x:v>
      </x:c>
      <x:c r="H13" s="32" t="n">
        <x:f>IF(E13=0,"",I13/E13)</x:f>
        <x:v>342.9076545177088</x:v>
      </x:c>
      <x:c r="I13" s="31" t="n">
        <x:f>IF(C13=0,"",SUMIF('Species'!$G$2:$G$98,A13,'Species'!$U$2:$U$98))</x:f>
        <x:v>2053305.3650918892</x:v>
      </x:c>
      <x:c r="J13" s="32" t="n">
        <x:v>3.476286955777393</x:v>
      </x:c>
      <x:c r="K13" s="32" t="n">
        <x:f>IF(J13="","",(1/'Metadata'!$B$5)^(J13-1))</x:f>
        <x:v>299.4242399151118</x:v>
      </x:c>
      <x:c r="L13" s="31" t="n">
        <x:f>IF(E13=0,"",E13*K13)</x:f>
        <x:v>1792929.9336317657</x:v>
      </x:c>
      <x:c r="M13" s="31" t="n">
        <x:f>IF(E13=0,"",I13-L13)</x:f>
        <x:v>260375.4314601235</x:v>
      </x:c>
      <x:c r="N13" s="32" t="n">
        <x:f>IF(L13=0,"",I13/L13)</x:f>
        <x:v>1.145223428186458</x:v>
      </x:c>
      <x:c r="O13" s="34" t="n">
        <x:f>IF(L13=0,"",M13/L13)</x:f>
        <x:v>0.14522342818645792</x:v>
      </x:c>
    </x:row>
    <x:row r="14" ht="18" customHeight="1">
      <x:c r="A14" s="24" t="str">
        <x:v>Medium pelagics (30 - 89 cm)</x:v>
      </x:c>
      <x:c r="B14" s="33" t="n">
        <x:v>6</x:v>
      </x:c>
      <x:c r="C14" s="33" t="n">
        <x:v>6</x:v>
      </x:c>
      <x:c r="D14" s="31" t="n">
        <x:v>5434.008097151701</x:v>
      </x:c>
      <x:c r="E14" s="31" t="n">
        <x:v>5434.008097151701</x:v>
      </x:c>
      <x:c r="F14" s="32" t="n">
        <x:v>0</x:v>
      </x:c>
      <x:c r="G14" s="34" t="n">
        <x:v>1</x:v>
      </x:c>
      <x:c r="H14" s="32" t="n">
        <x:f>IF(E14=0,"",I14/E14)</x:f>
        <x:v>1601.710113168</x:v>
      </x:c>
      <x:c r="I14" s="31" t="n">
        <x:f>IF(C14=0,"",SUMIF('Species'!$G$2:$G$98,A14,'Species'!$U$2:$U$98))</x:f>
        <x:v>8703705.724244678</x:v>
      </x:c>
      <x:c r="J14" s="32" t="n">
        <x:v>4.171056100839918</x:v>
      </x:c>
      <x:c r="K14" s="32" t="n">
        <x:f>IF(J14="","",(1/'Metadata'!$B$5)^(J14-1))</x:f>
        <x:v>1482.7096046916167</x:v>
      </x:c>
      <x:c r="L14" s="31" t="n">
        <x:f>IF(E14=0,"",E14*K14)</x:f>
        <x:v>8057055.997618843</x:v>
      </x:c>
      <x:c r="M14" s="31" t="n">
        <x:f>IF(E14=0,"",I14-L14)</x:f>
        <x:v>646649.7266258355</x:v>
      </x:c>
      <x:c r="N14" s="32" t="n">
        <x:f>IF(L14=0,"",I14/L14)</x:f>
        <x:v>1.080258810019062</x:v>
      </x:c>
      <x:c r="O14" s="34" t="n">
        <x:f>IF(L14=0,"",M14/L14)</x:f>
        <x:v>0.0802588100190621</x:v>
      </x:c>
    </x:row>
    <x:row r="15" ht="18" customHeight="1">
      <x:c r="A15" s="24" t="str">
        <x:v>Medium reef assoc. fish (30 - 89 cm)</x:v>
      </x:c>
      <x:c r="B15" s="33" t="n">
        <x:v>14</x:v>
      </x:c>
      <x:c r="C15" s="33" t="n">
        <x:v>14</x:v>
      </x:c>
      <x:c r="D15" s="31" t="n">
        <x:v>2907.4176766909</x:v>
      </x:c>
      <x:c r="E15" s="31" t="n">
        <x:v>2907.4176766909</x:v>
      </x:c>
      <x:c r="F15" s="32" t="n">
        <x:v>0</x:v>
      </x:c>
      <x:c r="G15" s="34" t="n">
        <x:v>1</x:v>
      </x:c>
      <x:c r="H15" s="32" t="n">
        <x:f>IF(E15=0,"",I15/E15)</x:f>
        <x:v>1209.4935789414778</x:v>
      </x:c>
      <x:c r="I15" s="31" t="n">
        <x:f>IF(C15=0,"",SUMIF('Species'!$G$2:$G$98,A15,'Species'!$U$2:$U$98))</x:f>
        <x:v>3516503.011258593</x:v>
      </x:c>
      <x:c r="J15" s="32" t="n">
        <x:v>3.9983178871328677</x:v>
      </x:c>
      <x:c r="K15" s="32" t="n">
        <x:f>IF(J15="","",(1/'Metadata'!$B$5)^(J15-1))</x:f>
        <x:v>996.1342831827886</x:v>
      </x:c>
      <x:c r="L15" s="31" t="n">
        <x:f>IF(E15=0,"",E15*K15)</x:f>
        <x:v>2896178.423283458</x:v>
      </x:c>
      <x:c r="M15" s="31" t="n">
        <x:f>IF(E15=0,"",I15-L15)</x:f>
        <x:v>620324.5879751346</x:v>
      </x:c>
      <x:c r="N15" s="32" t="n">
        <x:f>IF(L15=0,"",I15/L15)</x:f>
        <x:v>1.2141872831411609</x:v>
      </x:c>
      <x:c r="O15" s="34" t="n">
        <x:f>IF(L15=0,"",M15/L15)</x:f>
        <x:v>0.21418728314116076</x:v>
      </x:c>
    </x:row>
    <x:row r="16" ht="18" customHeight="1">
      <x:c r="A16" s="24" t="str">
        <x:v>Other demersal invertebrates</x:v>
      </x:c>
      <x:c r="B16" s="33" t="n">
        <x:v>1</x:v>
      </x:c>
      <x:c r="C16" s="33" t="n">
        <x:v>1</x:v>
      </x:c>
      <x:c r="D16" s="31" t="n">
        <x:v>50.514647109500004</x:v>
      </x:c>
      <x:c r="E16" s="31" t="n">
        <x:v>50.514647109500004</x:v>
      </x:c>
      <x:c r="F16" s="32" t="n">
        <x:v>0</x:v>
      </x:c>
      <x:c r="G16" s="34" t="n">
        <x:v>1</x:v>
      </x:c>
      <x:c r="H16" s="32" t="n">
        <x:f>IF(E16=0,"",I16/E16)</x:f>
        <x:v>26.915348039269166</x:v>
      </x:c>
      <x:c r="I16" s="31" t="n">
        <x:f>IF(C16=0,"",SUMIF('Species'!$G$2:$G$98,A16,'Species'!$U$2:$U$98))</x:f>
        <x:v>1359.6193080330547</x:v>
      </x:c>
      <x:c r="J16" s="32" t="n">
        <x:v>2.43</x:v>
      </x:c>
      <x:c r="K16" s="32" t="n">
        <x:f>IF(J16="","",(1/'Metadata'!$B$5)^(J16-1))</x:f>
        <x:v>26.915348039269166</x:v>
      </x:c>
      <x:c r="L16" s="31" t="n">
        <x:f>IF(E16=0,"",E16*K16)</x:f>
        <x:v>1359.6193080330547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Shrimps</x:v>
      </x:c>
      <x:c r="B17" s="33" t="n">
        <x:v>2</x:v>
      </x:c>
      <x:c r="C17" s="33" t="n">
        <x:v>2</x:v>
      </x:c>
      <x:c r="D17" s="31" t="n">
        <x:v>562.8919199047</x:v>
      </x:c>
      <x:c r="E17" s="31" t="n">
        <x:v>562.8919199047</x:v>
      </x:c>
      <x:c r="F17" s="32" t="n">
        <x:v>0</x:v>
      </x:c>
      <x:c r="G17" s="34" t="n">
        <x:v>1</x:v>
      </x:c>
      <x:c r="H17" s="32" t="n">
        <x:f>IF(E17=0,"",I17/E17)</x:f>
        <x:v>203.17468706570344</x:v>
      </x:c>
      <x:c r="I17" s="31" t="n">
        <x:f>IF(C17=0,"",SUMIF('Species'!$G$2:$G$98,A17,'Species'!$U$2:$U$98))</x:f>
        <x:v>114365.38967845043</x:v>
      </x:c>
      <x:c r="J17" s="32" t="n">
        <x:v>3.3070268598165966</x:v>
      </x:c>
      <x:c r="K17" s="32" t="n">
        <x:f>IF(J17="","",(1/'Metadata'!$B$5)^(J17-1))</x:f>
        <x:v>202.78081295194733</x:v>
      </x:c>
      <x:c r="L17" s="31" t="n">
        <x:f>IF(E17=0,"",E17*K17)</x:f>
        <x:v>114143.68112235748</x:v>
      </x:c>
      <x:c r="M17" s="31" t="n">
        <x:f>IF(E17=0,"",I17-L17)</x:f>
        <x:v>221.7085560929554</x:v>
      </x:c>
      <x:c r="N17" s="32" t="n">
        <x:f>IF(L17=0,"",I17/L17)</x:f>
        <x:v>1.0019423638164893</x:v>
      </x:c>
      <x:c r="O17" s="34" t="n">
        <x:f>IF(L17=0,"",M17/L17)</x:f>
        <x:v>0.0019423638164892602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138.3279808818</x:v>
      </x:c>
      <x:c r="E18" s="31" t="n">
        <x:v>138.3279808818</x:v>
      </x:c>
      <x:c r="F18" s="32" t="n">
        <x:v>0</x:v>
      </x:c>
      <x:c r="G18" s="34" t="n">
        <x:v>1</x:v>
      </x:c>
      <x:c r="H18" s="32" t="n">
        <x:f>IF(E18=0,"",I18/E18)</x:f>
        <x:v>130.30791792303228</x:v>
      </x:c>
      <x:c r="I18" s="31" t="n">
        <x:f>IF(C18=0,"",SUMIF('Species'!$G$2:$G$98,A18,'Species'!$U$2:$U$98))</x:f>
        <x:v>18025.23117920437</x:v>
      </x:c>
      <x:c r="J18" s="32" t="n">
        <x:v>3.074111277668059</x:v>
      </x:c>
      <x:c r="K18" s="32" t="n">
        <x:f>IF(J18="","",(1/'Metadata'!$B$5)^(J18-1))</x:f>
        <x:v>118.60726122330706</x:v>
      </x:c>
      <x:c r="L18" s="31" t="n">
        <x:f>IF(E18=0,"",E18*K18)</x:f>
        <x:v>16406.702962940275</x:v>
      </x:c>
      <x:c r="M18" s="31" t="n">
        <x:f>IF(E18=0,"",I18-L18)</x:f>
        <x:v>1618.5282162640942</x:v>
      </x:c>
      <x:c r="N18" s="32" t="n">
        <x:f>IF(L18=0,"",I18/L18)</x:f>
        <x:v>1.098650424763589</x:v>
      </x:c>
      <x:c r="O18" s="34" t="n">
        <x:f>IF(L18=0,"",M18/L18)</x:f>
        <x:v>0.09865042476358911</x:v>
      </x:c>
    </x:row>
    <x:row r="19" ht="18" customHeight="1">
      <x:c r="A19" s="24" t="str">
        <x:v>Small pelagics (&lt;30 cm)</x:v>
      </x:c>
      <x:c r="B19" s="33" t="n">
        <x:v>2</x:v>
      </x:c>
      <x:c r="C19" s="33" t="n">
        <x:v>2</x:v>
      </x:c>
      <x:c r="D19" s="31" t="n">
        <x:v>611.5705145834</x:v>
      </x:c>
      <x:c r="E19" s="31" t="n">
        <x:v>611.5705145834</x:v>
      </x:c>
      <x:c r="F19" s="32" t="n">
        <x:v>0</x:v>
      </x:c>
      <x:c r="G19" s="34" t="n">
        <x:v>1</x:v>
      </x:c>
      <x:c r="H19" s="32" t="n">
        <x:f>IF(E19=0,"",I19/E19)</x:f>
        <x:v>145.9060566988316</x:v>
      </x:c>
      <x:c r="I19" s="31" t="n">
        <x:f>IF(C19=0,"",SUMIF('Species'!$G$2:$G$98,A19,'Species'!$U$2:$U$98))</x:f>
        <x:v>89231.84217613918</x:v>
      </x:c>
      <x:c r="J19" s="32" t="n">
        <x:v>3.1639069091528516</x:v>
      </x:c>
      <x:c r="K19" s="32" t="n">
        <x:f>IF(J19="","",(1/'Metadata'!$B$5)^(J19-1))</x:f>
        <x:v>145.85015975374137</x:v>
      </x:c>
      <x:c r="L19" s="31" t="n">
        <x:f>IF(E19=0,"",E19*K19)</x:f>
        <x:v>89197.65725266672</x:v>
      </x:c>
      <x:c r="M19" s="31" t="n">
        <x:f>IF(E19=0,"",I19-L19)</x:f>
        <x:v>34.184923472465016</x:v>
      </x:c>
      <x:c r="N19" s="32" t="n">
        <x:f>IF(L19=0,"",I19/L19)</x:f>
        <x:v>1.0003832491180304</x:v>
      </x:c>
      <x:c r="O19" s="34" t="n">
        <x:f>IF(L19=0,"",M19/L19)</x:f>
        <x:v>0.00038324911803042897</x:v>
      </x:c>
    </x:row>
    <x:row r="20" ht="18" customHeight="1">
      <x:c r="A20" s="24" t="str">
        <x:v>Small reef assoc. fish (&lt;30 cm)</x:v>
      </x:c>
      <x:c r="B20" s="33" t="n">
        <x:v>3</x:v>
      </x:c>
      <x:c r="C20" s="33" t="n">
        <x:v>3</x:v>
      </x:c>
      <x:c r="D20" s="31" t="n">
        <x:v>25.3290992765</x:v>
      </x:c>
      <x:c r="E20" s="31" t="n">
        <x:v>25.3290992765</x:v>
      </x:c>
      <x:c r="F20" s="32" t="n">
        <x:v>0</x:v>
      </x:c>
      <x:c r="G20" s="34" t="n">
        <x:v>1</x:v>
      </x:c>
      <x:c r="H20" s="32" t="n">
        <x:f>IF(E20=0,"",I20/E20)</x:f>
        <x:v>296.3073381372859</x:v>
      </x:c>
      <x:c r="I20" s="31" t="n">
        <x:f>IF(C20=0,"",SUMIF('Species'!$G$2:$G$98,A20,'Species'!$U$2:$U$98))</x:f>
        <x:v>7505.1979840347685</x:v>
      </x:c>
      <x:c r="J20" s="32" t="n">
        <x:v>3.4581124370536402</x:v>
      </x:c>
      <x:c r="K20" s="32" t="n">
        <x:f>IF(J20="","",(1/'Metadata'!$B$5)^(J20-1))</x:f>
        <x:v>287.1523911518452</x:v>
      </x:c>
      <x:c r="L20" s="31" t="n">
        <x:f>IF(E20=0,"",E20*K20)</x:f>
        <x:v>7273.311422969447</x:v>
      </x:c>
      <x:c r="M20" s="31" t="n">
        <x:f>IF(E20=0,"",I20-L20)</x:f>
        <x:v>231.88656106532108</x:v>
      </x:c>
      <x:c r="N20" s="32" t="n">
        <x:f>IF(L20=0,"",I20/L20)</x:f>
        <x:v>1.0318818413759945</x:v>
      </x:c>
      <x:c r="O20" s="34" t="n">
        <x:f>IF(L20=0,"",M20/L20)</x:f>
        <x:v>0.03188184137599454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10.7176327978</x:v>
      </x:c>
      <x:c r="E21" s="31" t="n">
        <x:v>10.7176327978</x:v>
      </x:c>
      <x:c r="F21" s="32" t="n">
        <x:v>0</x:v>
      </x:c>
      <x:c r="G21" s="34" t="n">
        <x:v>1</x:v>
      </x:c>
      <x:c r="H21" s="32" t="n">
        <x:f>IF(E21=0,"",I21/E21)</x:f>
        <x:v>291.54343079220956</x:v>
      </x:c>
      <x:c r="I21" s="31" t="n">
        <x:f>IF(C21=0,"",SUMIF('Species'!$G$2:$G$98,A21,'Species'!$U$2:$U$98))</x:f>
        <x:v>3124.6554358417197</x:v>
      </x:c>
      <x:c r="J21" s="32" t="n">
        <x:v>3.426447592291852</x:v>
      </x:c>
      <x:c r="K21" s="32" t="n">
        <x:f>IF(J21="","",(1/'Metadata'!$B$5)^(J21-1))</x:f>
        <x:v>266.96085974590255</x:v>
      </x:c>
      <x:c r="L21" s="31" t="n">
        <x:f>IF(E21=0,"",E21*K21)</x:f>
        <x:v>2861.188466141571</x:v>
      </x:c>
      <x:c r="M21" s="31" t="n">
        <x:f>IF(E21=0,"",I21-L21)</x:f>
        <x:v>263.46696970014864</x:v>
      </x:c>
      <x:c r="N21" s="32" t="n">
        <x:f>IF(L21=0,"",I21/L21)</x:f>
        <x:v>1.092083053185044</x:v>
      </x:c>
      <x:c r="O21" s="34" t="n">
        <x:f>IF(L21=0,"",M21/L21)</x:f>
        <x:v>0.09208305318504396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40b98219e0e4f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EEZ_780</x:v>
      </x:c>
      <x:c r="B2" s="24" t="str">
        <x:v>raw_filtered_tonnes</x:v>
      </x:c>
      <x:c r="C2" s="24" t="n">
        <x:v>19523.2185592658</x:v>
      </x:c>
      <x:c r="D2" s="24" t="str">
        <x:v>tonnes</x:v>
      </x:c>
    </x:row>
    <x:row r="3" ht="18" customHeight="1">
      <x:c r="A3" s="24" t="str">
        <x:v>EEZ_780</x:v>
      </x:c>
      <x:c r="B3" s="24" t="str">
        <x:v>species_catch_tonnes</x:v>
      </x:c>
      <x:c r="C3" s="24" t="n">
        <x:v>19523.2185592658</x:v>
      </x:c>
      <x:c r="D3" s="24" t="str">
        <x:v>tonnes</x:v>
      </x:c>
    </x:row>
    <x:row r="4" ht="18" customHeight="1">
      <x:c r="A4" s="24" t="str">
        <x:v>EEZ_780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EEZ_780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EEZ_780</x:v>
      </x:c>
      <x:c r="B6" s="24" t="str">
        <x:v>matched_catch_tonnes</x:v>
      </x:c>
      <x:c r="C6" s="24" t="n">
        <x:v>19523.2185592658</x:v>
      </x:c>
      <x:c r="D6" s="24" t="str">
        <x:v>tonnes</x:v>
      </x:c>
    </x:row>
    <x:row r="7" ht="18" customHeight="1">
      <x:c r="A7" s="24" t="str">
        <x:v>EEZ_780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EEZ_780</x:v>
      </x:c>
      <x:c r="B8" s="24" t="str">
        <x:v>taxa_count</x:v>
      </x:c>
      <x:c r="C8" s="24" t="n">
        <x:v>97</x:v>
      </x:c>
      <x:c r="D8" s="24" t="str">
        <x:v>count</x:v>
      </x:c>
    </x:row>
    <x:row r="9" ht="18" customHeight="1">
      <x:c r="A9" s="24" t="str">
        <x:v>EEZ_780</x:v>
      </x:c>
      <x:c r="B9" s="24" t="str">
        <x:v>matched_taxa_count</x:v>
      </x:c>
      <x:c r="C9" s="24" t="n">
        <x:v>97</x:v>
      </x:c>
      <x:c r="D9" s="24" t="str">
        <x:v>count</x:v>
      </x:c>
    </x:row>
    <x:row r="10" ht="18" customHeight="1">
      <x:c r="A10" s="24" t="str">
        <x:v>EEZ_780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EEZ_780</x:v>
      </x:c>
      <x:c r="B11" s="24" t="str">
        <x:v>species_ppr</x:v>
      </x:c>
      <x:c r="C11" s="24" t="n">
        <x:v>20381932.081780106</x:v>
      </x:c>
      <x:c r="D11" s="24" t="str">
        <x:v>tonnes_primary_production_equivalent</x:v>
      </x:c>
    </x:row>
    <x:row r="12" ht="18" customHeight="1">
      <x:c r="A12" s="24" t="str">
        <x:v>EEZ_780</x:v>
      </x:c>
      <x:c r="B12" s="24" t="str">
        <x:v>commercial_ppr</x:v>
      </x:c>
      <x:c r="C12" s="24" t="n">
        <x:v>20381932.08178011</x:v>
      </x:c>
      <x:c r="D12" s="24" t="str">
        <x:v>tonnes_primary_production_equivalent</x:v>
      </x:c>
    </x:row>
    <x:row r="13" ht="18" customHeight="1">
      <x:c r="A13" s="24" t="str">
        <x:v>EEZ_780</x:v>
      </x:c>
      <x:c r="B13" s="24" t="str">
        <x:v>functional_ppr</x:v>
      </x:c>
      <x:c r="C13" s="24" t="n">
        <x:v>20381932.08178011</x:v>
      </x:c>
      <x:c r="D13" s="24" t="str">
        <x:v>tonnes_primary_production_equivalent</x:v>
      </x:c>
    </x:row>
    <x:row r="14" ht="18" customHeight="1">
      <x:c r="A14" s="24" t="str">
        <x:v>EEZ_780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EEZ_780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EEZ_780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EEZ_780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EEZ_780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EEZ_780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5dd73375f3e42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EEZ_780 - Trinidad &amp; Tobago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EEZ_780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