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e5ef06488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8ff4dbb1f64413"/>
    <x:sheet xmlns:r="http://schemas.openxmlformats.org/officeDocument/2006/relationships" name="Commercial" sheetId="2" r:id="R7aac891293b44178"/>
    <x:sheet xmlns:r="http://schemas.openxmlformats.org/officeDocument/2006/relationships" name="Functional" sheetId="3" r:id="Ra222436b0efa4ec6"/>
    <x:sheet xmlns:r="http://schemas.openxmlformats.org/officeDocument/2006/relationships" name="Missing TL" sheetId="4" r:id="Rbec9f9c18ee94636"/>
    <x:sheet xmlns:r="http://schemas.openxmlformats.org/officeDocument/2006/relationships" name="Validation" sheetId="5" r:id="R0d227e7cd88346a3"/>
    <x:sheet xmlns:r="http://schemas.openxmlformats.org/officeDocument/2006/relationships" name="Metadata" sheetId="6" r:id="R9dfedb72e99c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760766cca412c" /><Relationship Type="http://schemas.openxmlformats.org/officeDocument/2006/relationships/theme" Target="/xl/theme/theme1.xml" Id="R7e19112e1c144d24" /><Relationship Type="http://schemas.microsoft.com/office/2022/11/relationships/FeaturePropertyBag" Target="/xl/featurePropertyBag/featurePropertyBag.xml" Id="R76403412da9744f5" /><Relationship Type="http://schemas.openxmlformats.org/officeDocument/2006/relationships/sharedStrings" Target="/xl/sharedStrings.xml" Id="R00bc7f035d3f4281" /><Relationship Type="http://schemas.openxmlformats.org/officeDocument/2006/relationships/worksheet" Target="/xl/worksheets/sheet1.xml" Id="R048ff4dbb1f64413" /><Relationship Type="http://schemas.openxmlformats.org/officeDocument/2006/relationships/worksheet" Target="/xl/worksheets/sheet2.xml" Id="R7aac891293b44178" /><Relationship Type="http://schemas.openxmlformats.org/officeDocument/2006/relationships/worksheet" Target="/xl/worksheets/sheet3.xml" Id="Ra222436b0efa4ec6" /><Relationship Type="http://schemas.openxmlformats.org/officeDocument/2006/relationships/worksheet" Target="/xl/worksheets/sheet4.xml" Id="Rbec9f9c18ee94636" /><Relationship Type="http://schemas.openxmlformats.org/officeDocument/2006/relationships/worksheet" Target="/xl/worksheets/sheet5.xml" Id="R0d227e7cd88346a3" /><Relationship Type="http://schemas.openxmlformats.org/officeDocument/2006/relationships/worksheet" Target="/xl/worksheets/sheet6.xml" Id="R9dfedb72e99c40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55SpeciesTable" displayName="EEZ555SpeciesTable" ref="A1:U23" headerRowCount="1" totalsRowCount="0" totalsRowShown="0">
  <x:autoFilter ref="A1:U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55CommercialTable" displayName="EEZ555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55FunctionalTable" displayName="EEZ555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55ValidationTable" displayName="EEZ55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29516692a847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b9c5cbce8147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188bb1484047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e914ee832b42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EEZ_555</x:v>
      </x:c>
      <x:c r="B2" s="24" t="str">
        <x:v>Kermadec Isl. (New Zealand)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36.7675120706</x:v>
      </x:c>
      <x:c r="J2" s="31" t="n">
        <x:v>35.603471631</x:v>
      </x:c>
      <x:c r="K2" s="31" t="n">
        <x:v>1.1640404396</x:v>
      </x:c>
      <x:c r="L2" s="31" t="n">
        <x:v>35.603471631</x:v>
      </x:c>
      <x:c r="M2" s="31" t="n">
        <x:v>1.1640404396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7005.90499477678</x:v>
      </x:c>
    </x:row>
    <x:row r="3" ht="18" customHeight="1">
      <x:c r="A3" s="24" t="str">
        <x:v>EEZ_555</x:v>
      </x:c>
      <x:c r="B3" s="24" t="str">
        <x:v>Kermadec Isl. (New Zealand)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9.8313377528</x:v>
      </x:c>
      <x:c r="J3" s="31" t="n">
        <x:v>9.8313377528</x:v>
      </x:c>
      <x:c r="K3" s="31" t="n">
        <x:v>0</x:v>
      </x:c>
      <x:c r="L3" s="31" t="n">
        <x:v>9.8313377528</x:v>
      </x:c>
      <x:c r="M3" s="31" t="n">
        <x:v>0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19616.097723892664</x:v>
      </x:c>
    </x:row>
    <x:row r="4" ht="18" customHeight="1">
      <x:c r="A4" s="24" t="str">
        <x:v>EEZ_555</x:v>
      </x:c>
      <x:c r="B4" s="24" t="str">
        <x:v>Kermadec Isl. (New Zealand)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7.596793882</x:v>
      </x:c>
      <x:c r="J4" s="31" t="n">
        <x:v>7.4958972974</x:v>
      </x:c>
      <x:c r="K4" s="31" t="n">
        <x:v>0.1008965846</x:v>
      </x:c>
      <x:c r="L4" s="31" t="n">
        <x:v>7.4958972974</x:v>
      </x:c>
      <x:c r="M4" s="31" t="n">
        <x:v>0.1008965846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23476.3374352918</x:v>
      </x:c>
    </x:row>
    <x:row r="5" ht="18" customHeight="1">
      <x:c r="A5" s="24" t="str">
        <x:v>EEZ_555</x:v>
      </x:c>
      <x:c r="B5" s="24" t="str">
        <x:v>Kermadec Isl. (New Zealand)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3.8251123239999996</x:v>
      </x:c>
      <x:c r="J5" s="31" t="n">
        <x:v>3.7994228413999998</x:v>
      </x:c>
      <x:c r="K5" s="31" t="n">
        <x:v>0.0256894826</x:v>
      </x:c>
      <x:c r="L5" s="31" t="n">
        <x:v>3.7994228413999998</x:v>
      </x:c>
      <x:c r="M5" s="31" t="n">
        <x:v>0.0256894826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9832.05258622681</x:v>
      </x:c>
    </x:row>
    <x:row r="6" ht="18" customHeight="1">
      <x:c r="A6" s="24" t="str">
        <x:v>EEZ_555</x:v>
      </x:c>
      <x:c r="B6" s="24" t="str">
        <x:v>Kermadec Isl. (New Zealand)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2.775186678</x:v>
      </x:c>
      <x:c r="J6" s="31" t="n">
        <x:v>0.2568508959</x:v>
      </x:c>
      <x:c r="K6" s="31" t="n">
        <x:v>2.5183357821</x:v>
      </x:c>
      <x:c r="L6" s="31" t="n">
        <x:v>0.2568508959</x:v>
      </x:c>
      <x:c r="M6" s="31" t="n">
        <x:v>2.5183357821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6212.869079511843</x:v>
      </x:c>
    </x:row>
    <x:row r="7" ht="18" customHeight="1">
      <x:c r="A7" s="24" t="str">
        <x:v>EEZ_555</x:v>
      </x:c>
      <x:c r="B7" s="24" t="str">
        <x:v>Kermadec Isl. (New Zealand)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2.0861738578</x:v>
      </x:c>
      <x:c r="J7" s="31" t="n">
        <x:v>1.8338206191</x:v>
      </x:c>
      <x:c r="K7" s="31" t="n">
        <x:v>0.2523532387</x:v>
      </x:c>
      <x:c r="L7" s="31" t="n">
        <x:v>1.8338206191</x:v>
      </x:c>
      <x:c r="M7" s="31" t="n">
        <x:v>0.2523532387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7068.878204059061</x:v>
      </x:c>
    </x:row>
    <x:row r="8" ht="18" customHeight="1">
      <x:c r="A8" s="24" t="str">
        <x:v>EEZ_555</x:v>
      </x:c>
      <x:c r="B8" s="24" t="str">
        <x:v>Kermadec Isl. (New Zealand)</x:v>
      </x:c>
      <x:c r="C8" s="24" t="str">
        <x:v>EEZ</x:v>
      </x:c>
      <x:c r="D8" s="30" t="n">
        <x:v>2019</x:v>
      </x:c>
      <x:c r="E8" s="24" t="str">
        <x:v>Thunnus maccoyii</x:v>
      </x:c>
      <x:c r="F8" s="24" t="str">
        <x:v>Southern bluefin tuna</x:v>
      </x:c>
      <x:c r="G8" s="24" t="str">
        <x:v>Large pelagics (&gt;=90 cm)</x:v>
      </x:c>
      <x:c r="H8" s="24" t="str">
        <x:v>Tuna &amp; billfishes</x:v>
      </x:c>
      <x:c r="I8" s="31" t="n">
        <x:v>0.9239782573</x:v>
      </x:c>
      <x:c r="J8" s="31" t="n">
        <x:v>0.9239782573</x:v>
      </x:c>
      <x:c r="K8" s="31" t="n">
        <x:v>0</x:v>
      </x:c>
      <x:c r="L8" s="31" t="n">
        <x:v>0.9239782573</x:v>
      </x:c>
      <x:c r="M8" s="31" t="n">
        <x:v>0</x:v>
      </x:c>
      <x:c r="N8" s="24" t="str">
        <x:v>thunnus maccoyii</x:v>
      </x:c>
      <x:c r="O8" s="32" t="n">
        <x:v>3.93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maccoyii</x:v>
      </x:c>
      <x:c r="T8" s="32" t="n">
        <x:f>IF(O8="","",(1/'Metadata'!$B$5)^(O8-1))</x:f>
        <x:v>851.1380382023768</x:v>
      </x:c>
      <x:c r="U8" s="31" t="n">
        <x:f>IF(T8="","",I8*T8)</x:f>
        <x:v>786.433041259973</x:v>
      </x:c>
    </x:row>
    <x:row r="9" ht="18" customHeight="1">
      <x:c r="A9" s="24" t="str">
        <x:v>EEZ_555</x:v>
      </x:c>
      <x:c r="B9" s="24" t="str">
        <x:v>Kermadec Isl. (New Zealand)</x:v>
      </x:c>
      <x:c r="C9" s="24" t="str">
        <x:v>EEZ</x:v>
      </x:c>
      <x:c r="D9" s="30" t="n">
        <x:v>2019</x:v>
      </x:c>
      <x:c r="E9" s="24" t="str">
        <x:v>Marine pelagic fishes not identified</x:v>
      </x:c>
      <x:c r="F9" s="24" t="str">
        <x:v>Pelagic fishes</x:v>
      </x:c>
      <x:c r="G9" s="24" t="str">
        <x:v>Medium pelagics (30 - 89 cm)</x:v>
      </x:c>
      <x:c r="H9" s="24" t="str">
        <x:v>Other fishes &amp; inverts</x:v>
      </x:c>
      <x:c r="I9" s="31" t="n">
        <x:v>0.5476864298</x:v>
      </x:c>
      <x:c r="J9" s="31" t="n">
        <x:v>0.20866857</x:v>
      </x:c>
      <x:c r="K9" s="31" t="n">
        <x:v>0.3390178598</x:v>
      </x:c>
      <x:c r="L9" s="31" t="n">
        <x:v>0.20866857</x:v>
      </x:c>
      <x:c r="M9" s="31" t="n">
        <x:v>0.3390178598</x:v>
      </x:c>
      <x:c r="N9" s="24" t="str">
        <x:v>marine pelagic fishes not identified</x:v>
      </x:c>
      <x:c r="O9" s="32" t="n">
        <x:v>3.35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pelagic fishes not identified</x:v>
      </x:c>
      <x:c r="T9" s="32" t="n">
        <x:f>IF(O9="","",(1/'Metadata'!$B$5)^(O9-1))</x:f>
        <x:v>223.872113856834</x:v>
      </x:c>
      <x:c r="U9" s="31" t="n">
        <x:f>IF(T9="","",I9*T9)</x:f>
        <x:v>122.61171877002853</x:v>
      </x:c>
    </x:row>
    <x:row r="10" ht="18" customHeight="1">
      <x:c r="A10" s="24" t="str">
        <x:v>EEZ_555</x:v>
      </x:c>
      <x:c r="B10" s="24" t="str">
        <x:v>Kermadec Isl. (New Zealand)</x:v>
      </x:c>
      <x:c r="C10" s="24" t="str">
        <x:v>EEZ</x:v>
      </x:c>
      <x:c r="D10" s="30" t="n">
        <x:v>2019</x:v>
      </x:c>
      <x:c r="E10" s="24" t="str">
        <x:v>Katsuwonus pelamis</x:v>
      </x:c>
      <x:c r="F10" s="24" t="str">
        <x:v>Skipjack tuna</x:v>
      </x:c>
      <x:c r="G10" s="24" t="str">
        <x:v>Large pelagics (&gt;=90 cm)</x:v>
      </x:c>
      <x:c r="H10" s="24" t="str">
        <x:v>Tuna &amp; billfishes</x:v>
      </x:c>
      <x:c r="I10" s="31" t="n">
        <x:v>0.5255486497999999</x:v>
      </x:c>
      <x:c r="J10" s="31" t="n">
        <x:v>0.5255486497999999</x:v>
      </x:c>
      <x:c r="K10" s="31" t="n">
        <x:v>0</x:v>
      </x:c>
      <x:c r="L10" s="31" t="n">
        <x:v>0.5255486497999999</x:v>
      </x:c>
      <x:c r="M10" s="31" t="n">
        <x:v>0</x:v>
      </x:c>
      <x:c r="N10" s="24" t="str">
        <x:v>katsuwonus pelamis</x:v>
      </x:c>
      <x:c r="O10" s="32" t="n">
        <x:v>4.43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Katsuwonus pelamis</x:v>
      </x:c>
      <x:c r="T10" s="32" t="n">
        <x:f>IF(O10="","",(1/'Metadata'!$B$5)^(O10-1))</x:f>
        <x:v>2691.534803926914</x:v>
      </x:c>
      <x:c r="U10" s="31" t="n">
        <x:f>IF(T10="","",I10*T10)</x:f>
        <x:v>1414.532482093497</x:v>
      </x:c>
    </x:row>
    <x:row r="11" ht="18" customHeight="1">
      <x:c r="A11" s="24" t="str">
        <x:v>EEZ_555</x:v>
      </x:c>
      <x:c r="B11" s="24" t="str">
        <x:v>Kermadec Isl. (New Zealand)</x:v>
      </x:c>
      <x:c r="C11" s="24" t="str">
        <x:v>EEZ</x:v>
      </x:c>
      <x:c r="D11" s="30" t="n">
        <x:v>2019</x:v>
      </x:c>
      <x:c r="E11" s="24" t="str">
        <x:v>Isurus</x:v>
      </x:c>
      <x:c r="F11" s="24" t="str">
        <x:v>Mako sharks</x:v>
      </x:c>
      <x:c r="G11" s="24" t="str">
        <x:v>Large sharks (&gt;=90 cm)</x:v>
      </x:c>
      <x:c r="H11" s="24" t="str">
        <x:v>Sharks &amp; rays</x:v>
      </x:c>
      <x:c r="I11" s="31" t="n">
        <x:v>0.2190057724</x:v>
      </x:c>
      <x:c r="J11" s="31" t="n">
        <x:v>0.0359817683</x:v>
      </x:c>
      <x:c r="K11" s="31" t="n">
        <x:v>0.1830240041</x:v>
      </x:c>
      <x:c r="L11" s="31" t="n">
        <x:v>0.0359817683</x:v>
      </x:c>
      <x:c r="M11" s="31" t="n">
        <x:v>0.1830240041</x:v>
      </x:c>
      <x:c r="N11" s="24" t="str">
        <x:v>isurus</x:v>
      </x:c>
      <x:c r="O11" s="32" t="n">
        <x:v>4.5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Isurus</x:v>
      </x:c>
      <x:c r="T11" s="32" t="n">
        <x:f>IF(O11="","",(1/'Metadata'!$B$5)^(O11-1))</x:f>
        <x:v>3162.2776601683795</x:v>
      </x:c>
      <x:c r="U11" s="31" t="n">
        <x:f>IF(T11="","",I11*T11)</x:f>
        <x:v>692.5570615084406</x:v>
      </x:c>
    </x:row>
    <x:row r="12" ht="18" customHeight="1">
      <x:c r="A12" s="24" t="str">
        <x:v>EEZ_555</x:v>
      </x:c>
      <x:c r="B12" s="24" t="str">
        <x:v>Kermadec Isl. (New Zealand)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0.2075026046</x:v>
      </x:c>
      <x:c r="J12" s="31" t="n">
        <x:v>0</x:v>
      </x:c>
      <x:c r="K12" s="31" t="n">
        <x:v>0.2075026046</x:v>
      </x:c>
      <x:c r="L12" s="31" t="n">
        <x:v>0</x:v>
      </x:c>
      <x:c r="M12" s="31" t="n">
        <x:v>0.2075026046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377.59266775442774</x:v>
      </x:c>
    </x:row>
    <x:row r="13" ht="18" customHeight="1">
      <x:c r="A13" s="24" t="str">
        <x:v>EEZ_555</x:v>
      </x:c>
      <x:c r="B13" s="24" t="str">
        <x:v>Kermadec Isl. (New Zealand)</x:v>
      </x:c>
      <x:c r="C13" s="24" t="str">
        <x:v>EEZ</x:v>
      </x:c>
      <x:c r="D13" s="30" t="n">
        <x:v>2019</x:v>
      </x:c>
      <x:c r="E13" s="24" t="str">
        <x:v>Kajikia audax</x:v>
      </x:c>
      <x:c r="F13" s="24" t="str">
        <x:v>Striped marlin</x:v>
      </x:c>
      <x:c r="G13" s="24" t="str">
        <x:v>Large pelagics (&gt;=90 cm)</x:v>
      </x:c>
      <x:c r="H13" s="24" t="str">
        <x:v>Tuna &amp; billfishes</x:v>
      </x:c>
      <x:c r="I13" s="31" t="n">
        <x:v>0.1802472781</x:v>
      </x:c>
      <x:c r="J13" s="31" t="n">
        <x:v>0.1802472781</x:v>
      </x:c>
      <x:c r="K13" s="31" t="n">
        <x:v>0</x:v>
      </x:c>
      <x:c r="L13" s="31" t="n">
        <x:v>0.1802472781</x:v>
      </x:c>
      <x:c r="M13" s="31" t="n">
        <x:v>0</x:v>
      </x:c>
      <x:c r="N13" s="24" t="str">
        <x:v>kajikia audax</x:v>
      </x:c>
      <x:c r="O13" s="32" t="n">
        <x:v>4.58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audax</x:v>
      </x:c>
      <x:c r="T13" s="32" t="n">
        <x:f>IF(O13="","",(1/'Metadata'!$B$5)^(O13-1))</x:f>
        <x:v>3801.8939632056126</x:v>
      </x:c>
      <x:c r="U13" s="31" t="n">
        <x:f>IF(T13="","",I13*T13)</x:f>
        <x:v>685.2810384926332</x:v>
      </x:c>
    </x:row>
    <x:row r="14" ht="18" customHeight="1">
      <x:c r="A14" s="24" t="str">
        <x:v>EEZ_555</x:v>
      </x:c>
      <x:c r="B14" s="24" t="str">
        <x:v>Kermadec Isl. (New Zealand)</x:v>
      </x:c>
      <x:c r="C14" s="24" t="str">
        <x:v>EEZ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0.1502502725</x:v>
      </x:c>
      <x:c r="J14" s="31" t="n">
        <x:v>0</x:v>
      </x:c>
      <x:c r="K14" s="31" t="n">
        <x:v>0.1502502725</x:v>
      </x:c>
      <x:c r="L14" s="31" t="n">
        <x:v>0</x:v>
      </x:c>
      <x:c r="M14" s="31" t="n">
        <x:v>0.1502502725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352.22101830417057</x:v>
      </x:c>
    </x:row>
    <x:row r="15" ht="18" customHeight="1">
      <x:c r="A15" s="24" t="str">
        <x:v>EEZ_555</x:v>
      </x:c>
      <x:c r="B15" s="24" t="str">
        <x:v>Kermadec Isl. (New Zealand)</x:v>
      </x:c>
      <x:c r="C15" s="24" t="str">
        <x:v>EEZ</x:v>
      </x:c>
      <x:c r="D15" s="30" t="n">
        <x:v>2019</x:v>
      </x:c>
      <x:c r="E15" s="24" t="str">
        <x:v>Istiompax indica</x:v>
      </x:c>
      <x:c r="F15" s="24" t="str">
        <x:v>Black marlin</x:v>
      </x:c>
      <x:c r="G15" s="24" t="str">
        <x:v>Large pelagics (&gt;=90 cm)</x:v>
      </x:c>
      <x:c r="H15" s="24" t="str">
        <x:v>Tuna &amp; billfishes</x:v>
      </x:c>
      <x:c r="I15" s="31" t="n">
        <x:v>0.1454106054</x:v>
      </x:c>
      <x:c r="J15" s="31" t="n">
        <x:v>0.1454106054</x:v>
      </x:c>
      <x:c r="K15" s="31" t="n">
        <x:v>0</x:v>
      </x:c>
      <x:c r="L15" s="31" t="n">
        <x:v>0.1454106054</x:v>
      </x:c>
      <x:c r="M15" s="31" t="n">
        <x:v>0</x:v>
      </x:c>
      <x:c r="N15" s="24" t="str">
        <x:v>istiompax indica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Istiompax indica</x:v>
      </x:c>
      <x:c r="T15" s="32" t="n">
        <x:f>IF(O15="","",(1/'Metadata'!$B$5)^(O15-1))</x:f>
        <x:v>3162.2776601683795</x:v>
      </x:c>
      <x:c r="U15" s="31" t="n">
        <x:f>IF(T15="","",I15*T15)</x:f>
        <x:v>459.8287090079795</x:v>
      </x:c>
    </x:row>
    <x:row r="16" ht="18" customHeight="1">
      <x:c r="A16" s="24" t="str">
        <x:v>EEZ_555</x:v>
      </x:c>
      <x:c r="B16" s="24" t="str">
        <x:v>Kermadec Isl. (New Zealand)</x:v>
      </x:c>
      <x:c r="C16" s="24" t="str">
        <x:v>EEZ</x:v>
      </x:c>
      <x:c r="D16" s="30" t="n">
        <x:v>2019</x:v>
      </x:c>
      <x:c r="E16" s="24" t="str">
        <x:v>Carcharhinus longimanus</x:v>
      </x:c>
      <x:c r="F16" s="24" t="str">
        <x:v>Oceanic whitetip shark</x:v>
      </x:c>
      <x:c r="G16" s="24" t="str">
        <x:v>Large sharks (&gt;=90 cm)</x:v>
      </x:c>
      <x:c r="H16" s="24" t="str">
        <x:v>Sharks &amp; rays</x:v>
      </x:c>
      <x:c r="I16" s="31" t="n">
        <x:v>0.13665982</x:v>
      </x:c>
      <x:c r="J16" s="31" t="n">
        <x:v>0</x:v>
      </x:c>
      <x:c r="K16" s="31" t="n">
        <x:v>0.13665982</x:v>
      </x:c>
      <x:c r="L16" s="31" t="n">
        <x:v>0</x:v>
      </x:c>
      <x:c r="M16" s="31" t="n">
        <x:v>0.13665982</x:v>
      </x:c>
      <x:c r="N16" s="24" t="str">
        <x:v>carcharhinus longimanus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longimanus</x:v>
      </x:c>
      <x:c r="T16" s="32" t="n">
        <x:f>IF(O16="","",(1/'Metadata'!$B$5)^(O16-1))</x:f>
        <x:v>1445.439770745928</x:v>
      </x:c>
      <x:c r="U16" s="31" t="n">
        <x:f>IF(T16="","",I16*T16)</x:f>
        <x:v>197.53353889097977</x:v>
      </x:c>
    </x:row>
    <x:row r="17" ht="18" customHeight="1">
      <x:c r="A17" s="24" t="str">
        <x:v>EEZ_555</x:v>
      </x:c>
      <x:c r="B17" s="24" t="str">
        <x:v>Kermadec Isl. (New Zealand)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0.1165362992</x:v>
      </x:c>
      <x:c r="J17" s="31" t="n">
        <x:v>0</x:v>
      </x:c>
      <x:c r="K17" s="31" t="n">
        <x:v>0.1165362992</x:v>
      </x:c>
      <x:c r="L17" s="31" t="n">
        <x:v>0</x:v>
      </x:c>
      <x:c r="M17" s="31" t="n">
        <x:v>0.1165362992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351.93399725832444</x:v>
      </x:c>
    </x:row>
    <x:row r="18" ht="18" customHeight="1">
      <x:c r="A18" s="24" t="str">
        <x:v>EEZ_555</x:v>
      </x:c>
      <x:c r="B18" s="24" t="str">
        <x:v>Kermadec Isl. (New Zealand)</x:v>
      </x:c>
      <x:c r="C18" s="24" t="str">
        <x:v>EEZ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0.0363074264</x:v>
      </x:c>
      <x:c r="J18" s="31" t="n">
        <x:v>0.0023690971</x:v>
      </x:c>
      <x:c r="K18" s="31" t="n">
        <x:v>0.0339383293</x:v>
      </x:c>
      <x:c r="L18" s="31" t="n">
        <x:v>0.0023690971</x:v>
      </x:c>
      <x:c r="M18" s="31" t="n">
        <x:v>0.0339383293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114.81416340292766</x:v>
      </x:c>
    </x:row>
    <x:row r="19" ht="18" customHeight="1">
      <x:c r="A19" s="24" t="str">
        <x:v>EEZ_555</x:v>
      </x:c>
      <x:c r="B19" s="24" t="str">
        <x:v>Kermadec Isl. (New Zealand)</x:v>
      </x:c>
      <x:c r="C19" s="24" t="str">
        <x:v>EEZ</x:v>
      </x:c>
      <x:c r="D19" s="30" t="n">
        <x:v>2019</x:v>
      </x:c>
      <x:c r="E19" s="24" t="str">
        <x:v>Thunnus orientalis</x:v>
      </x:c>
      <x:c r="F19" s="24" t="str">
        <x:v>Pacific bluefin tuna</x:v>
      </x:c>
      <x:c r="G19" s="24" t="str">
        <x:v>Large pelagics (&gt;=90 cm)</x:v>
      </x:c>
      <x:c r="H19" s="24" t="str">
        <x:v>Tuna &amp; billfishes</x:v>
      </x:c>
      <x:c r="I19" s="31" t="n">
        <x:v>0.0299728577</x:v>
      </x:c>
      <x:c r="J19" s="31" t="n">
        <x:v>0.0299728577</x:v>
      </x:c>
      <x:c r="K19" s="31" t="n">
        <x:v>0</x:v>
      </x:c>
      <x:c r="L19" s="31" t="n">
        <x:v>0.0299728577</x:v>
      </x:c>
      <x:c r="M19" s="31" t="n">
        <x:v>0</x:v>
      </x:c>
      <x:c r="N19" s="24" t="str">
        <x:v>thunnus orientalis</x:v>
      </x:c>
      <x:c r="O19" s="32" t="n">
        <x:v>4.05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orientalis</x:v>
      </x:c>
      <x:c r="T19" s="32" t="n">
        <x:f>IF(O19="","",(1/'Metadata'!$B$5)^(O19-1))</x:f>
        <x:v>1122.018454301963</x:v>
      </x:c>
      <x:c r="U19" s="31" t="n">
        <x:f>IF(T19="","",I19*T19)</x:f>
        <x:v>33.63009946756669</x:v>
      </x:c>
    </x:row>
    <x:row r="20" ht="18" customHeight="1">
      <x:c r="A20" s="24" t="str">
        <x:v>EEZ_555</x:v>
      </x:c>
      <x:c r="B20" s="24" t="str">
        <x:v>Kermadec Isl. (New Zealand)</x:v>
      </x:c>
      <x:c r="C20" s="24" t="str">
        <x:v>EEZ</x:v>
      </x:c>
      <x:c r="D20" s="30" t="n">
        <x:v>2019</x:v>
      </x:c>
      <x:c r="E20" s="24" t="str">
        <x:v>Arripis trutta</x:v>
      </x:c>
      <x:c r="F20" s="24" t="str">
        <x:v>Australian salmon</x:v>
      </x:c>
      <x:c r="G20" s="24" t="str">
        <x:v>Medium pelagics (30 - 89 cm)</x:v>
      </x:c>
      <x:c r="H20" s="24" t="str">
        <x:v>Perch-likes</x:v>
      </x:c>
      <x:c r="I20" s="31" t="n">
        <x:v>0.0135</x:v>
      </x:c>
      <x:c r="J20" s="31" t="n">
        <x:v>0.0135</x:v>
      </x:c>
      <x:c r="K20" s="31" t="n">
        <x:v>0</x:v>
      </x:c>
      <x:c r="L20" s="31" t="n">
        <x:v>0.0135</x:v>
      </x:c>
      <x:c r="M20" s="31" t="n">
        <x:v>0</x:v>
      </x:c>
      <x:c r="N20" s="24" t="str">
        <x:v>arripis trutta</x:v>
      </x:c>
      <x:c r="O20" s="32" t="n">
        <x:v>4.07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Arripis trutta</x:v>
      </x:c>
      <x:c r="T20" s="32" t="n">
        <x:f>IF(O20="","",(1/'Metadata'!$B$5)^(O20-1))</x:f>
        <x:v>1174.8975549395302</x:v>
      </x:c>
      <x:c r="U20" s="31" t="n">
        <x:f>IF(T20="","",I20*T20)</x:f>
        <x:v>15.861116991683657</x:v>
      </x:c>
    </x:row>
    <x:row r="21" ht="18" customHeight="1">
      <x:c r="A21" s="24" t="str">
        <x:v>EEZ_555</x:v>
      </x:c>
      <x:c r="B21" s="24" t="str">
        <x:v>Kermadec Isl. (New Zealand)</x:v>
      </x:c>
      <x:c r="C21" s="24" t="str">
        <x:v>EEZ</x:v>
      </x:c>
      <x:c r="D21" s="30" t="n">
        <x:v>2019</x:v>
      </x:c>
      <x:c r="E21" s="24" t="str">
        <x:v>Lamna nasus</x:v>
      </x:c>
      <x:c r="F21" s="24" t="str">
        <x:v>Porbeagle</x:v>
      </x:c>
      <x:c r="G21" s="24" t="str">
        <x:v>Large sharks (&gt;=90 cm)</x:v>
      </x:c>
      <x:c r="H21" s="24" t="str">
        <x:v>Sharks &amp; rays</x:v>
      </x:c>
      <x:c r="I21" s="31" t="n">
        <x:v>0.0019832106</x:v>
      </x:c>
      <x:c r="J21" s="31" t="n">
        <x:v>0.0019832106</x:v>
      </x:c>
      <x:c r="K21" s="31" t="n">
        <x:v>0</x:v>
      </x:c>
      <x:c r="L21" s="31" t="n">
        <x:v>0.0019832106</x:v>
      </x:c>
      <x:c r="M21" s="31" t="n">
        <x:v>0</x:v>
      </x:c>
      <x:c r="N21" s="24" t="str">
        <x:v>lamna nasus</x:v>
      </x:c>
      <x:c r="O21" s="32" t="n">
        <x:v>4.57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Lamna nasus</x:v>
      </x:c>
      <x:c r="T21" s="32" t="n">
        <x:f>IF(O21="","",(1/'Metadata'!$B$5)^(O21-1))</x:f>
        <x:v>3715.3522909717276</x:v>
      </x:c>
      <x:c r="U21" s="31" t="n">
        <x:f>IF(T21="","",I21*T21)</x:f>
        <x:v>7.368326046189416</x:v>
      </x:c>
    </x:row>
    <x:row r="22" ht="18" customHeight="1">
      <x:c r="A22" s="24" t="str">
        <x:v>EEZ_555</x:v>
      </x:c>
      <x:c r="B22" s="24" t="str">
        <x:v>Kermadec Isl. (New Zealand)</x:v>
      </x:c>
      <x:c r="C22" s="24" t="str">
        <x:v>EEZ</x:v>
      </x:c>
      <x:c r="D22" s="30" t="n">
        <x:v>2019</x:v>
      </x:c>
      <x:c r="E22" s="24" t="str">
        <x:v>Nototodarus sloanii</x:v>
      </x:c>
      <x:c r="F22" s="24" t="str">
        <x:v>Wellington flying squid</x:v>
      </x:c>
      <x:c r="G22" s="24" t="str">
        <x:v>Cephalopods</x:v>
      </x:c>
      <x:c r="H22" s="24" t="str">
        <x:v>Other fishes &amp; inverts</x:v>
      </x:c>
      <x:c r="I22" s="31" t="n">
        <x:v>0.00075</x:v>
      </x:c>
      <x:c r="J22" s="31" t="n">
        <x:v>0.00075</x:v>
      </x:c>
      <x:c r="K22" s="31" t="n">
        <x:v>0</x:v>
      </x:c>
      <x:c r="L22" s="31" t="n">
        <x:v>0.00075</x:v>
      </x:c>
      <x:c r="M22" s="31" t="n">
        <x:v>0</x:v>
      </x:c>
      <x:c r="N22" s="24" t="str">
        <x:v>nototodarus sloanii</x:v>
      </x:c>
      <x:c r="O22" s="32" t="n">
        <x:v>3.2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Nototodarus sloanii</x:v>
      </x:c>
      <x:c r="T22" s="32" t="n">
        <x:f>IF(O22="","",(1/'Metadata'!$B$5)^(O22-1))</x:f>
        <x:v>158.48931924611142</x:v>
      </x:c>
      <x:c r="U22" s="31" t="n">
        <x:f>IF(T22="","",I22*T22)</x:f>
        <x:v>0.11886698943458357</x:v>
      </x:c>
    </x:row>
    <x:row r="23" ht="18" customHeight="1">
      <x:c r="A23" s="24" t="str">
        <x:v>EEZ_555</x:v>
      </x:c>
      <x:c r="B23" s="24" t="str">
        <x:v>Kermadec Isl. (New Zealand)</x:v>
      </x:c>
      <x:c r="C23" s="24" t="str">
        <x:v>EEZ</x:v>
      </x:c>
      <x:c r="D23" s="30" t="n">
        <x:v>2019</x:v>
      </x:c>
      <x:c r="E23" s="24" t="str">
        <x:v>Aldrichetta forsteri</x:v>
      </x:c>
      <x:c r="F23" s="24" t="str">
        <x:v>Yellow-eye mullet</x:v>
      </x:c>
      <x:c r="G23" s="24" t="str">
        <x:v>Small pelagics (&lt;30 cm)</x:v>
      </x:c>
      <x:c r="H23" s="24" t="str">
        <x:v>Other fishes &amp; inverts</x:v>
      </x:c>
      <x:c r="I23" s="31" t="n">
        <x:v>0.00025</x:v>
      </x:c>
      <x:c r="J23" s="31" t="n">
        <x:v>0.00025</x:v>
      </x:c>
      <x:c r="K23" s="31" t="n">
        <x:v>0</x:v>
      </x:c>
      <x:c r="L23" s="31" t="n">
        <x:v>0.00025</x:v>
      </x:c>
      <x:c r="M23" s="31" t="n">
        <x:v>0</x:v>
      </x:c>
      <x:c r="N23" s="24" t="str">
        <x:v>aldrichetta forsteri</x:v>
      </x:c>
      <x:c r="O23" s="32" t="n">
        <x:v>2.51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Aldrichetta forsteri</x:v>
      </x:c>
      <x:c r="T23" s="32" t="n">
        <x:f>IF(O23="","",(1/'Metadata'!$B$5)^(O23-1))</x:f>
        <x:v>32.35936569296281</x:v>
      </x:c>
      <x:c r="U23" s="31" t="n">
        <x:f>IF(T23="","",I23*T23)</x:f>
        <x:v>0.008089841423240703</x:v>
      </x:c>
    </x:row>
  </x:sheetData>
  <x:conditionalFormatting sqref="R2:R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829516692a847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4</x:v>
      </x:c>
      <x:c r="C2" s="33" t="n">
        <x:v>4</x:v>
      </x:c>
      <x:c r="D2" s="31" t="n">
        <x:v>37.3161985004</x:v>
      </x:c>
      <x:c r="E2" s="31" t="n">
        <x:v>37.3161985004</x:v>
      </x:c>
      <x:c r="F2" s="32" t="n">
        <x:v>0</x:v>
      </x:c>
      <x:c r="G2" s="34" t="n">
        <x:v>1</x:v>
      </x:c>
      <x:c r="H2" s="32" t="n">
        <x:f>IF(E2=0,"",I2/E2)</x:f>
        <x:v>191.03349099992735</x:v>
      </x:c>
      <x:c r="I2" s="31" t="n">
        <x:f>IF(C2=0,"",SUMIF('Species'!$H$2:$H$23,A2,'Species'!$U$2:$U$23))</x:f>
        <x:v>7128.643670377666</x:v>
      </x:c>
      <x:c r="J2" s="32" t="n">
        <x:v>3.2810206170943585</x:v>
      </x:c>
      <x:c r="K2" s="32" t="n">
        <x:f>IF(J2="","",(1/'Metadata'!$B$5)^(J2-1))</x:f>
        <x:v>190.99439264451323</x:v>
      </x:c>
      <x:c r="L2" s="31" t="n">
        <x:f>IF(E2=0,"",E2*K2)</x:f>
        <x:v>7127.184668385993</x:v>
      </x:c>
      <x:c r="M2" s="31" t="n">
        <x:f>IF(E2=0,"",I2-L2)</x:f>
        <x:v>1.4590019916731762</x:v>
      </x:c>
      <x:c r="N2" s="32" t="n">
        <x:f>IF(L2=0,"",I2/L2)</x:f>
        <x:v>1.0002047094413233</x:v>
      </x:c>
      <x:c r="O2" s="34" t="n">
        <x:f>IF(L2=0,"",M2/L2)</x:f>
        <x:v>0.00020470944132328463</x:v>
      </x:c>
    </x:row>
    <x:row r="3" ht="18" customHeight="1">
      <x:c r="A3" s="24" t="str">
        <x:v>Perch-likes</x:v>
      </x:c>
      <x:c r="B3" s="33" t="n">
        <x:v>3</x:v>
      </x:c>
      <x:c r="C3" s="33" t="n">
        <x:v>3</x:v>
      </x:c>
      <x:c r="D3" s="31" t="n">
        <x:v>0.37125287710000004</x:v>
      </x:c>
      <x:c r="E3" s="31" t="n">
        <x:v>0.37125287710000004</x:v>
      </x:c>
      <x:c r="F3" s="32" t="n">
        <x:v>0</x:v>
      </x:c>
      <x:c r="G3" s="34" t="n">
        <x:v>1</x:v>
      </x:c>
      <x:c r="H3" s="32" t="n">
        <x:f>IF(E3=0,"",I3/E3)</x:f>
        <x:v>2008.5360923665735</x:v>
      </x:c>
      <x:c r="I3" s="31" t="n">
        <x:f>IF(C3=0,"",SUMIF('Species'!$H$2:$H$23,A3,'Species'!$U$2:$U$23))</x:f>
        <x:v>745.6748030502819</x:v>
      </x:c>
      <x:c r="J3" s="32" t="n">
        <x:v>4.297609216887602</x:v>
      </x:c>
      <x:c r="K3" s="32" t="n">
        <x:f>IF(J3="","",(1/'Metadata'!$B$5)^(J3-1))</x:f>
        <x:v>1984.308610360616</x:v>
      </x:c>
      <x:c r="L3" s="31" t="n">
        <x:f>IF(E3=0,"",E3*K3)</x:f>
        <x:v>736.6802806506817</x:v>
      </x:c>
      <x:c r="M3" s="31" t="n">
        <x:f>IF(E3=0,"",I3-L3)</x:f>
        <x:v>8.994522399600214</x:v>
      </x:c>
      <x:c r="N3" s="32" t="n">
        <x:f>IF(L3=0,"",I3/L3)</x:f>
        <x:v>1.0122095332749448</x:v>
      </x:c>
      <x:c r="O3" s="34" t="n">
        <x:f>IF(L3=0,"",M3/L3)</x:f>
        <x:v>0.012209533274944858</x:v>
      </x:c>
    </x:row>
    <x:row r="4" ht="18" customHeight="1">
      <x:c r="A4" s="24" t="str">
        <x:v>Sharks &amp; rays</x:v>
      </x:c>
      <x:c r="B4" s="33" t="n">
        <x:v>5</x:v>
      </x:c>
      <x:c r="C4" s="33" t="n">
        <x:v>5</x:v>
      </x:c>
      <x:c r="D4" s="31" t="n">
        <x:v>3.1691429074000004</x:v>
      </x:c>
      <x:c r="E4" s="31" t="n">
        <x:v>3.1691429074000004</x:v>
      </x:c>
      <x:c r="F4" s="32" t="n">
        <x:v>0</x:v>
      </x:c>
      <x:c r="G4" s="34" t="n">
        <x:v>1</x:v>
      </x:c>
      <x:c r="H4" s="32" t="n">
        <x:f>IF(E4=0,"",I4/E4)</x:f>
        <x:v>2279.8410739034694</x:v>
      </x:c>
      <x:c r="I4" s="31" t="n">
        <x:f>IF(C4=0,"",SUMIF('Species'!$H$2:$H$23,A4,'Species'!$U$2:$U$23))</x:f>
        <x:v>7225.142169360381</x:v>
      </x:c>
      <x:c r="J4" s="32" t="n">
        <x:v>4.35402882442511</x:v>
      </x:c>
      <x:c r="K4" s="32" t="n">
        <x:f>IF(J4="","",(1/'Metadata'!$B$5)^(J4-1))</x:f>
        <x:v>2259.5857355122057</x:v>
      </x:c>
      <x:c r="L4" s="31" t="n">
        <x:f>IF(E4=0,"",E4*K4)</x:f>
        <x:v>7160.95010736072</x:v>
      </x:c>
      <x:c r="M4" s="31" t="n">
        <x:f>IF(E4=0,"",I4-L4)</x:f>
        <x:v>64.19206199966084</x:v>
      </x:c>
      <x:c r="N4" s="32" t="n">
        <x:f>IF(L4=0,"",I4/L4)</x:f>
        <x:v>1.0089641822715225</x:v>
      </x:c>
      <x:c r="O4" s="34" t="n">
        <x:f>IF(L4=0,"",M4/L4)</x:f>
        <x:v>0.008964182271522602</x:v>
      </x:c>
    </x:row>
    <x:row r="5" ht="18" customHeight="1">
      <x:c r="A5" s="24" t="str">
        <x:v>Tuna &amp; billfishes</x:v>
      </x:c>
      <x:c r="B5" s="33" t="n">
        <x:v>10</x:v>
      </x:c>
      <x:c r="C5" s="33" t="n">
        <x:v>10</x:v>
      </x:c>
      <x:c r="D5" s="31" t="n">
        <x:v>25.261111764099997</x:v>
      </x:c>
      <x:c r="E5" s="31" t="n">
        <x:v>25.261111764099997</x:v>
      </x:c>
      <x:c r="F5" s="32" t="n">
        <x:v>0</x:v>
      </x:c>
      <x:c r="G5" s="34" t="n">
        <x:v>1</x:v>
      </x:c>
      <x:c r="H5" s="32" t="n">
        <x:f>IF(E5=0,"",I5/E5)</x:f>
        <x:v>2522.65244349275</x:v>
      </x:c>
      <x:c r="I5" s="31" t="n">
        <x:f>IF(C5=0,"",SUMIF('Species'!$H$2:$H$23,A5,'Species'!$U$2:$U$23))</x:f>
        <x:v>63725.005317050316</x:v>
      </x:c>
      <x:c r="J5" s="32" t="n">
        <x:v>4.385643785133821</x:v>
      </x:c>
      <x:c r="K5" s="32" t="n">
        <x:f>IF(J5="","",(1/'Metadata'!$B$5)^(J5-1))</x:f>
        <x:v>2430.2098966756466</x:v>
      </x:c>
      <x:c r="L5" s="31" t="n">
        <x:f>IF(E5=0,"",E5*K5)</x:f>
        <x:v>61389.803810145415</x:v>
      </x:c>
      <x:c r="M5" s="31" t="n">
        <x:f>IF(E5=0,"",I5-L5)</x:f>
        <x:v>2335.201506904901</x:v>
      </x:c>
      <x:c r="N5" s="32" t="n">
        <x:f>IF(L5=0,"",I5/L5)</x:f>
        <x:v>1.0380389146400721</x:v>
      </x:c>
      <x:c r="O5" s="34" t="n">
        <x:f>IF(L5=0,"",M5/L5)</x:f>
        <x:v>0.03803891464007221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ab9c5cbce8147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0.00075</x:v>
      </x:c>
      <x:c r="E2" s="31" t="n">
        <x:v>0.00075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IF(C2=0,"",SUMIF('Species'!$G$2:$G$23,A2,'Species'!$U$2:$U$23))</x:f>
        <x:v>0.11886698943458357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0.11886698943458357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11</x:v>
      </x:c>
      <x:c r="C3" s="33" t="n">
        <x:v>11</x:v>
      </x:c>
      <x:c r="D3" s="31" t="n">
        <x:v>25.411362036599996</x:v>
      </x:c>
      <x:c r="E3" s="31" t="n">
        <x:v>25.411362036599996</x:v>
      </x:c>
      <x:c r="F3" s="32" t="n">
        <x:v>0</x:v>
      </x:c>
      <x:c r="G3" s="34" t="n">
        <x:v>1</x:v>
      </x:c>
      <x:c r="H3" s="32" t="n">
        <x:f>IF(E3=0,"",I3/E3)</x:f>
        <x:v>2521.5974745101826</x:v>
      </x:c>
      <x:c r="I3" s="31" t="n">
        <x:f>IF(C3=0,"",SUMIF('Species'!$G$2:$G$23,A3,'Species'!$U$2:$U$23))</x:f>
        <x:v>64077.226335354484</x:v>
      </x:c>
      <x:c r="J3" s="32" t="n">
        <x:v>4.385551287810147</x:v>
      </x:c>
      <x:c r="K3" s="32" t="n">
        <x:f>IF(J3="","",(1/'Metadata'!$B$5)^(J3-1))</x:f>
        <x:v>2429.692358497113</x:v>
      </x:c>
      <x:c r="L3" s="31" t="n">
        <x:f>IF(E3=0,"",E3*K3)</x:f>
        <x:v>61741.79215933065</x:v>
      </x:c>
      <x:c r="M3" s="31" t="n">
        <x:f>IF(E3=0,"",I3-L3)</x:f>
        <x:v>2335.4341760238312</x:v>
      </x:c>
      <x:c r="N3" s="32" t="n">
        <x:f>IF(L3=0,"",I3/L3)</x:f>
        <x:v>1.0378258242001952</x:v>
      </x:c>
      <x:c r="O3" s="34" t="n">
        <x:f>IF(L3=0,"",M3/L3)</x:f>
        <x:v>0.037825824200195195</x:v>
      </x:c>
    </x:row>
    <x:row r="4" ht="18" customHeight="1">
      <x:c r="A4" s="24" t="str">
        <x:v>Large sharks (&gt;=90 cm)</x:v>
      </x:c>
      <x:c r="B4" s="33" t="n">
        <x:v>5</x:v>
      </x:c>
      <x:c r="C4" s="33" t="n">
        <x:v>5</x:v>
      </x:c>
      <x:c r="D4" s="31" t="n">
        <x:v>3.1691429074000004</x:v>
      </x:c>
      <x:c r="E4" s="31" t="n">
        <x:v>3.1691429074000004</x:v>
      </x:c>
      <x:c r="F4" s="32" t="n">
        <x:v>0</x:v>
      </x:c>
      <x:c r="G4" s="34" t="n">
        <x:v>1</x:v>
      </x:c>
      <x:c r="H4" s="32" t="n">
        <x:f>IF(E4=0,"",I4/E4)</x:f>
        <x:v>2279.8410739034694</x:v>
      </x:c>
      <x:c r="I4" s="31" t="n">
        <x:f>IF(C4=0,"",SUMIF('Species'!$G$2:$G$23,A4,'Species'!$U$2:$U$23))</x:f>
        <x:v>7225.142169360381</x:v>
      </x:c>
      <x:c r="J4" s="32" t="n">
        <x:v>4.35402882442511</x:v>
      </x:c>
      <x:c r="K4" s="32" t="n">
        <x:f>IF(J4="","",(1/'Metadata'!$B$5)^(J4-1))</x:f>
        <x:v>2259.5857355122057</x:v>
      </x:c>
      <x:c r="L4" s="31" t="n">
        <x:f>IF(E4=0,"",E4*K4)</x:f>
        <x:v>7160.95010736072</x:v>
      </x:c>
      <x:c r="M4" s="31" t="n">
        <x:f>IF(E4=0,"",I4-L4)</x:f>
        <x:v>64.19206199966084</x:v>
      </x:c>
      <x:c r="N4" s="32" t="n">
        <x:f>IF(L4=0,"",I4/L4)</x:f>
        <x:v>1.0089641822715225</x:v>
      </x:c>
      <x:c r="O4" s="34" t="n">
        <x:f>IF(L4=0,"",M4/L4)</x:f>
        <x:v>0.008964182271522602</x:v>
      </x:c>
    </x:row>
    <x:row r="5" ht="18" customHeight="1">
      <x:c r="A5" s="24" t="str">
        <x:v>Medium demersals (30 - 89 cm)</x:v>
      </x:c>
      <x:c r="B5" s="33" t="n">
        <x:v>1</x:v>
      </x:c>
      <x:c r="C5" s="33" t="n">
        <x:v>1</x:v>
      </x:c>
      <x:c r="D5" s="31" t="n">
        <x:v>36.7675120706</x:v>
      </x:c>
      <x:c r="E5" s="31" t="n">
        <x:v>36.7675120706</x:v>
      </x:c>
      <x:c r="F5" s="32" t="n">
        <x:v>0</x:v>
      </x:c>
      <x:c r="G5" s="34" t="n">
        <x:v>1</x:v>
      </x:c>
      <x:c r="H5" s="32" t="n">
        <x:f>IF(E5=0,"",I5/E5)</x:f>
        <x:v>190.54607179632464</x:v>
      </x:c>
      <x:c r="I5" s="31" t="n">
        <x:f>IF(C5=0,"",SUMIF('Species'!$G$2:$G$23,A5,'Species'!$U$2:$U$23))</x:f>
        <x:v>7005.90499477678</x:v>
      </x:c>
      <x:c r="J5" s="32" t="n">
        <x:v>3.28</x:v>
      </x:c>
      <x:c r="K5" s="32" t="n">
        <x:f>IF(J5="","",(1/'Metadata'!$B$5)^(J5-1))</x:f>
        <x:v>190.54607179632464</x:v>
      </x:c>
      <x:c r="L5" s="31" t="n">
        <x:f>IF(E5=0,"",E5*K5)</x:f>
        <x:v>7005.90499477678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pelagics (30 - 89 cm)</x:v>
      </x:c>
      <x:c r="B6" s="33" t="n">
        <x:v>3</x:v>
      </x:c>
      <x:c r="C6" s="33" t="n">
        <x:v>3</x:v>
      </x:c>
      <x:c r="D6" s="31" t="n">
        <x:v>0.7686890344</x:v>
      </x:c>
      <x:c r="E6" s="31" t="n">
        <x:v>0.7686890344</x:v>
      </x:c>
      <x:c r="F6" s="32" t="n">
        <x:v>0</x:v>
      </x:c>
      <x:c r="G6" s="34" t="n">
        <x:v>1</x:v>
      </x:c>
      <x:c r="H6" s="32" t="n">
        <x:f>IF(E6=0,"",I6/E6)</x:f>
        <x:v>671.3579619604625</x:v>
      </x:c>
      <x:c r="I6" s="31" t="n">
        <x:f>IF(C6=0,"",SUMIF('Species'!$G$2:$G$23,A6,'Species'!$U$2:$U$23))</x:f>
        <x:v>516.0655035161399</x:v>
      </x:c>
      <x:c r="J6" s="32" t="n">
        <x:v>3.60829348579296</x:v>
      </x:c>
      <x:c r="K6" s="32" t="n">
        <x:f>IF(J6="","",(1/'Metadata'!$B$5)^(J6-1))</x:f>
        <x:v>405.7826610025551</x:v>
      </x:c>
      <x:c r="L6" s="31" t="n">
        <x:f>IF(E6=0,"",E6*K6)</x:f>
        <x:v>311.9206818623166</x:v>
      </x:c>
      <x:c r="M6" s="31" t="n">
        <x:f>IF(E6=0,"",I6-L6)</x:f>
        <x:v>204.14482165382327</x:v>
      </x:c>
      <x:c r="N6" s="32" t="n">
        <x:f>IF(L6=0,"",I6/L6)</x:f>
        <x:v>1.6544767100244218</x:v>
      </x:c>
      <x:c r="O6" s="34" t="n">
        <x:f>IF(L6=0,"",M6/L6)</x:f>
        <x:v>0.6544767100244216</x:v>
      </x:c>
    </x:row>
    <x:row r="7" ht="18" customHeight="1">
      <x:c r="A7" s="24" t="str">
        <x:v>Small pelagics (&lt;30 cm)</x:v>
      </x:c>
      <x:c r="B7" s="33" t="n">
        <x:v>1</x:v>
      </x:c>
      <x:c r="C7" s="33" t="n">
        <x:v>1</x:v>
      </x:c>
      <x:c r="D7" s="31" t="n">
        <x:v>0.00025</x:v>
      </x:c>
      <x:c r="E7" s="31" t="n">
        <x:v>0.00025</x:v>
      </x:c>
      <x:c r="F7" s="32" t="n">
        <x:v>0</x:v>
      </x:c>
      <x:c r="G7" s="34" t="n">
        <x:v>1</x:v>
      </x:c>
      <x:c r="H7" s="32" t="n">
        <x:f>IF(E7=0,"",I7/E7)</x:f>
        <x:v>32.35936569296281</x:v>
      </x:c>
      <x:c r="I7" s="31" t="n">
        <x:f>IF(C7=0,"",SUMIF('Species'!$G$2:$G$23,A7,'Species'!$U$2:$U$23))</x:f>
        <x:v>0.008089841423240703</x:v>
      </x:c>
      <x:c r="J7" s="32" t="n">
        <x:v>2.51</x:v>
      </x:c>
      <x:c r="K7" s="32" t="n">
        <x:f>IF(J7="","",(1/'Metadata'!$B$5)^(J7-1))</x:f>
        <x:v>32.35936569296281</x:v>
      </x:c>
      <x:c r="L7" s="31" t="n">
        <x:f>IF(E7=0,"",E7*K7)</x:f>
        <x:v>0.008089841423240703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6188bb1484047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EEZ_555</x:v>
      </x:c>
      <x:c r="B2" s="24" t="str">
        <x:v>raw_filtered_tonnes</x:v>
      </x:c>
      <x:c r="C2" s="24" t="n">
        <x:v>66.11770604899999</x:v>
      </x:c>
      <x:c r="D2" s="24" t="str">
        <x:v>tonnes</x:v>
      </x:c>
    </x:row>
    <x:row r="3" ht="18" customHeight="1">
      <x:c r="A3" s="24" t="str">
        <x:v>EEZ_555</x:v>
      </x:c>
      <x:c r="B3" s="24" t="str">
        <x:v>species_catch_tonnes</x:v>
      </x:c>
      <x:c r="C3" s="24" t="n">
        <x:v>66.11770604899998</x:v>
      </x:c>
      <x:c r="D3" s="24" t="str">
        <x:v>tonnes</x:v>
      </x:c>
    </x:row>
    <x:row r="4" ht="18" customHeight="1">
      <x:c r="A4" s="24" t="str">
        <x:v>EEZ_555</x:v>
      </x:c>
      <x:c r="B4" s="24" t="str">
        <x:v>catch_difference_tonnes</x:v>
      </x:c>
      <x:c r="C4" s="24" t="n">
        <x:v>-1.4210854715202004e-14</x:v>
      </x:c>
      <x:c r="D4" s="24" t="str">
        <x:v>tonnes</x:v>
      </x:c>
    </x:row>
    <x:row r="5" ht="18" customHeight="1">
      <x:c r="A5" s="24" t="str">
        <x:v>EEZ_555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EEZ_555</x:v>
      </x:c>
      <x:c r="B6" s="24" t="str">
        <x:v>matched_catch_tonnes</x:v>
      </x:c>
      <x:c r="C6" s="24" t="n">
        <x:v>66.11770604899998</x:v>
      </x:c>
      <x:c r="D6" s="24" t="str">
        <x:v>tonnes</x:v>
      </x:c>
    </x:row>
    <x:row r="7" ht="18" customHeight="1">
      <x:c r="A7" s="24" t="str">
        <x:v>EEZ_555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EEZ_555</x:v>
      </x:c>
      <x:c r="B8" s="24" t="str">
        <x:v>taxa_count</x:v>
      </x:c>
      <x:c r="C8" s="24" t="n">
        <x:v>22</x:v>
      </x:c>
      <x:c r="D8" s="24" t="str">
        <x:v>count</x:v>
      </x:c>
    </x:row>
    <x:row r="9" ht="18" customHeight="1">
      <x:c r="A9" s="24" t="str">
        <x:v>EEZ_555</x:v>
      </x:c>
      <x:c r="B9" s="24" t="str">
        <x:v>matched_taxa_count</x:v>
      </x:c>
      <x:c r="C9" s="24" t="n">
        <x:v>22</x:v>
      </x:c>
      <x:c r="D9" s="24" t="str">
        <x:v>count</x:v>
      </x:c>
    </x:row>
    <x:row r="10" ht="18" customHeight="1">
      <x:c r="A10" s="24" t="str">
        <x:v>EEZ_555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EEZ_555</x:v>
      </x:c>
      <x:c r="B11" s="24" t="str">
        <x:v>species_ppr</x:v>
      </x:c>
      <x:c r="C11" s="24" t="n">
        <x:v>78824.46595983862</x:v>
      </x:c>
      <x:c r="D11" s="24" t="str">
        <x:v>tonnes_primary_production_equivalent</x:v>
      </x:c>
    </x:row>
    <x:row r="12" ht="18" customHeight="1">
      <x:c r="A12" s="24" t="str">
        <x:v>EEZ_555</x:v>
      </x:c>
      <x:c r="B12" s="24" t="str">
        <x:v>commercial_ppr</x:v>
      </x:c>
      <x:c r="C12" s="24" t="n">
        <x:v>78824.46595983864</x:v>
      </x:c>
      <x:c r="D12" s="24" t="str">
        <x:v>tonnes_primary_production_equivalent</x:v>
      </x:c>
    </x:row>
    <x:row r="13" ht="18" customHeight="1">
      <x:c r="A13" s="24" t="str">
        <x:v>EEZ_555</x:v>
      </x:c>
      <x:c r="B13" s="24" t="str">
        <x:v>functional_ppr</x:v>
      </x:c>
      <x:c r="C13" s="24" t="n">
        <x:v>78824.46595983864</x:v>
      </x:c>
      <x:c r="D13" s="24" t="str">
        <x:v>tonnes_primary_production_equivalent</x:v>
      </x:c>
    </x:row>
    <x:row r="14" ht="18" customHeight="1">
      <x:c r="A14" s="24" t="str">
        <x:v>EEZ_555</x:v>
      </x:c>
      <x:c r="B14" s="24" t="str">
        <x:v>commercial_ppr_difference</x:v>
      </x:c>
      <x:c r="C14" s="24" t="n">
        <x:v>1.4551915228366852e-11</x:v>
      </x:c>
      <x:c r="D14" s="24" t="str">
        <x:v>tonnes_primary_production_equivalent</x:v>
      </x:c>
    </x:row>
    <x:row r="15" ht="18" customHeight="1">
      <x:c r="A15" s="24" t="str">
        <x:v>EEZ_555</x:v>
      </x:c>
      <x:c r="B15" s="24" t="str">
        <x:v>functional_ppr_difference</x:v>
      </x:c>
      <x:c r="C15" s="24" t="n">
        <x:v>1.4551915228366852e-11</x:v>
      </x:c>
      <x:c r="D15" s="24" t="str">
        <x:v>tonnes_primary_production_equivalent</x:v>
      </x:c>
    </x:row>
    <x:row r="16" ht="18" customHeight="1">
      <x:c r="A16" s="24" t="str">
        <x:v>EEZ_555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EEZ_555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EEZ_555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EEZ_555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ee914ee832b42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EEZ_555 - Kermadec Isl. (New Zealand)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EEZ_555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raw_data/SAU_downloads/EEZ_555-catch.zip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