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f8bda4ca7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3ed21a69dc04144"/>
    <x:sheet xmlns:r="http://schemas.openxmlformats.org/officeDocument/2006/relationships" name="Commercial" sheetId="2" r:id="R4102de94ddf8495f"/>
    <x:sheet xmlns:r="http://schemas.openxmlformats.org/officeDocument/2006/relationships" name="Functional" sheetId="3" r:id="Re042f6b4c8794ec4"/>
    <x:sheet xmlns:r="http://schemas.openxmlformats.org/officeDocument/2006/relationships" name="Missing TL" sheetId="4" r:id="Rfa8f9dfa391e4b6b"/>
    <x:sheet xmlns:r="http://schemas.openxmlformats.org/officeDocument/2006/relationships" name="Validation" sheetId="5" r:id="R4b2905bf16fa4d3d"/>
    <x:sheet xmlns:r="http://schemas.openxmlformats.org/officeDocument/2006/relationships" name="Metadata" sheetId="6" r:id="R2c5273c3043845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7363efc57483d" /><Relationship Type="http://schemas.openxmlformats.org/officeDocument/2006/relationships/theme" Target="/xl/theme/theme1.xml" Id="R99cac1e9c6ca4c77" /><Relationship Type="http://schemas.microsoft.com/office/2022/11/relationships/FeaturePropertyBag" Target="/xl/featurePropertyBag/featurePropertyBag.xml" Id="R79ff89d770b94939" /><Relationship Type="http://schemas.openxmlformats.org/officeDocument/2006/relationships/sharedStrings" Target="/xl/sharedStrings.xml" Id="Rb4ff864985f94476" /><Relationship Type="http://schemas.openxmlformats.org/officeDocument/2006/relationships/worksheet" Target="/xl/worksheets/sheet1.xml" Id="Re3ed21a69dc04144" /><Relationship Type="http://schemas.openxmlformats.org/officeDocument/2006/relationships/worksheet" Target="/xl/worksheets/sheet2.xml" Id="R4102de94ddf8495f" /><Relationship Type="http://schemas.openxmlformats.org/officeDocument/2006/relationships/worksheet" Target="/xl/worksheets/sheet3.xml" Id="Re042f6b4c8794ec4" /><Relationship Type="http://schemas.openxmlformats.org/officeDocument/2006/relationships/worksheet" Target="/xl/worksheets/sheet4.xml" Id="Rfa8f9dfa391e4b6b" /><Relationship Type="http://schemas.openxmlformats.org/officeDocument/2006/relationships/worksheet" Target="/xl/worksheets/sheet5.xml" Id="R4b2905bf16fa4d3d" /><Relationship Type="http://schemas.openxmlformats.org/officeDocument/2006/relationships/worksheet" Target="/xl/worksheets/sheet6.xml" Id="R2c5273c3043845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30SpeciesTable" displayName="EEZ630SpeciesTable" ref="A1:U37" headerRowCount="1" totalsRowCount="0" totalsRowShown="0">
  <x:autoFilter ref="A1:U3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30CommercialTable" displayName="EEZ630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30FunctionalTable" displayName="EEZ630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30ValidationTable" displayName="EEZ63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5398e5e6ad41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302a528bd14c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fdd450c5fb45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e514b6c6984d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EEZ_630</x:v>
      </x:c>
      <x:c r="B2" s="24" t="str">
        <x:v>Puerto Rico (USA)</x:v>
      </x:c>
      <x:c r="C2" s="24" t="str">
        <x:v>EEZ</x:v>
      </x:c>
      <x:c r="D2" s="30" t="n">
        <x:v>2019</x:v>
      </x:c>
      <x:c r="E2" s="24" t="str">
        <x:v>Lutjanidae</x:v>
      </x:c>
      <x:c r="F2" s="24" t="str">
        <x:v>Snappers</x:v>
      </x:c>
      <x:c r="G2" s="24" t="str">
        <x:v>Medium reef assoc. fish (30 - 89 cm)</x:v>
      </x:c>
      <x:c r="H2" s="24" t="str">
        <x:v>Perch-likes</x:v>
      </x:c>
      <x:c r="I2" s="31" t="n">
        <x:v>332.41912637400003</x:v>
      </x:c>
      <x:c r="J2" s="31" t="n">
        <x:v>332.41912637400003</x:v>
      </x:c>
      <x:c r="K2" s="31" t="n">
        <x:v>0</x:v>
      </x:c>
      <x:c r="L2" s="31" t="n">
        <x:v>132.30281567400002</x:v>
      </x:c>
      <x:c r="M2" s="31" t="n">
        <x:v>200.1163107</x:v>
      </x:c>
      <x:c r="N2" s="24" t="str">
        <x:v>lutjanidae</x:v>
      </x:c>
      <x:c r="O2" s="32" t="n">
        <x:v>4.02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Lutjanidae</x:v>
      </x:c>
      <x:c r="T2" s="32" t="n">
        <x:f>IF(O2="","",(1/'Metadata'!$B$5)^(O2-1))</x:f>
        <x:v>1047.1285480508984</x:v>
      </x:c>
      <x:c r="U2" s="31" t="n">
        <x:f>IF(T2="","",I2*T2)</x:f>
        <x:v>348085.55714435474</x:v>
      </x:c>
    </x:row>
    <x:row r="3" ht="18" customHeight="1">
      <x:c r="A3" s="24" t="str">
        <x:v>EEZ_630</x:v>
      </x:c>
      <x:c r="B3" s="24" t="str">
        <x:v>Puerto Rico (USA)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327.865836297</x:v>
      </x:c>
      <x:c r="J3" s="31" t="n">
        <x:v>323.919411157</x:v>
      </x:c>
      <x:c r="K3" s="31" t="n">
        <x:v>3.9464251399999997</x:v>
      </x:c>
      <x:c r="L3" s="31" t="n">
        <x:v>271.157116337</x:v>
      </x:c>
      <x:c r="M3" s="31" t="n">
        <x:v>56.708719959999996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62473.54718261018</x:v>
      </x:c>
    </x:row>
    <x:row r="4" ht="18" customHeight="1">
      <x:c r="A4" s="24" t="str">
        <x:v>EEZ_630</x:v>
      </x:c>
      <x:c r="B4" s="24" t="str">
        <x:v>Puerto Rico (USA)</x:v>
      </x:c>
      <x:c r="C4" s="24" t="str">
        <x:v>EEZ</x:v>
      </x:c>
      <x:c r="D4" s="30" t="n">
        <x:v>2019</x:v>
      </x:c>
      <x:c r="E4" s="24" t="str">
        <x:v>Engraulidae</x:v>
      </x:c>
      <x:c r="F4" s="24" t="str">
        <x:v>Anchovies, round herrings</x:v>
      </x:c>
      <x:c r="G4" s="24" t="str">
        <x:v>Small pelagics (&lt;30 cm)</x:v>
      </x:c>
      <x:c r="H4" s="24" t="str">
        <x:v>Anchovies</x:v>
      </x:c>
      <x:c r="I4" s="31" t="n">
        <x:v>146.7852115</x:v>
      </x:c>
      <x:c r="J4" s="31" t="n">
        <x:v>146.7852115</x:v>
      </x:c>
      <x:c r="K4" s="31" t="n">
        <x:v>0</x:v>
      </x:c>
      <x:c r="L4" s="31" t="n">
        <x:v>146.7852115</x:v>
      </x:c>
      <x:c r="M4" s="31" t="n">
        <x:v>0</x:v>
      </x:c>
      <x:c r="N4" s="24" t="str">
        <x:v>engraulidae</x:v>
      </x:c>
      <x:c r="O4" s="32" t="n">
        <x:v>3.2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Engraulidae</x:v>
      </x:c>
      <x:c r="T4" s="32" t="n">
        <x:f>IF(O4="","",(1/'Metadata'!$B$5)^(O4-1))</x:f>
        <x:v>158.48931924611142</x:v>
      </x:c>
      <x:c r="U4" s="31" t="n">
        <x:f>IF(T4="","",I4*T4)</x:f>
        <x:v>23263.888246031485</x:v>
      </x:c>
    </x:row>
    <x:row r="5" ht="18" customHeight="1">
      <x:c r="A5" s="24" t="str">
        <x:v>EEZ_630</x:v>
      </x:c>
      <x:c r="B5" s="24" t="str">
        <x:v>Puerto Rico (USA)</x:v>
      </x:c>
      <x:c r="C5" s="24" t="str">
        <x:v>EEZ</x:v>
      </x:c>
      <x:c r="D5" s="30" t="n">
        <x:v>2019</x:v>
      </x:c>
      <x:c r="E5" s="24" t="str">
        <x:v>Ocyurus chrysurus</x:v>
      </x:c>
      <x:c r="F5" s="24" t="str">
        <x:v>Yellowtail snapper</x:v>
      </x:c>
      <x:c r="G5" s="24" t="str">
        <x:v>Medium reef assoc. fish (30 - 89 cm)</x:v>
      </x:c>
      <x:c r="H5" s="24" t="str">
        <x:v>Perch-likes</x:v>
      </x:c>
      <x:c r="I5" s="31" t="n">
        <x:v>130.039402578</x:v>
      </x:c>
      <x:c r="J5" s="31" t="n">
        <x:v>127.96505398000001</x:v>
      </x:c>
      <x:c r="K5" s="31" t="n">
        <x:v>2.0743485980000003</x:v>
      </x:c>
      <x:c r="L5" s="31" t="n">
        <x:v>127.96505398000001</x:v>
      </x:c>
      <x:c r="M5" s="31" t="n">
        <x:v>2.0743485980000003</x:v>
      </x:c>
      <x:c r="N5" s="24" t="str">
        <x:v>ocyurus chrysurus</x:v>
      </x:c>
      <x:c r="O5" s="32" t="n">
        <x:v>4.03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Ocyurus chrysurus</x:v>
      </x:c>
      <x:c r="T5" s="32" t="n">
        <x:f>IF(O5="","",(1/'Metadata'!$B$5)^(O5-1))</x:f>
        <x:v>1071.519305237607</x:v>
      </x:c>
      <x:c r="U5" s="31" t="n">
        <x:f>IF(T5="","",I5*T5)</x:f>
        <x:v>139339.73030389205</x:v>
      </x:c>
    </x:row>
    <x:row r="6" ht="18" customHeight="1">
      <x:c r="A6" s="24" t="str">
        <x:v>EEZ_630</x:v>
      </x:c>
      <x:c r="B6" s="24" t="str">
        <x:v>Puerto Rico (USA)</x:v>
      </x:c>
      <x:c r="C6" s="24" t="str">
        <x:v>EEZ</x:v>
      </x:c>
      <x:c r="D6" s="30" t="n">
        <x:v>2019</x:v>
      </x:c>
      <x:c r="E6" s="24" t="str">
        <x:v>Haemulidae</x:v>
      </x:c>
      <x:c r="F6" s="24" t="str">
        <x:v>Grunts, sweetlips, bonnetmouths</x:v>
      </x:c>
      <x:c r="G6" s="24" t="str">
        <x:v>Medium demersals (30 - 89 cm)</x:v>
      </x:c>
      <x:c r="H6" s="24" t="str">
        <x:v>Perch-likes</x:v>
      </x:c>
      <x:c r="I6" s="31" t="n">
        <x:v>109.598686429</x:v>
      </x:c>
      <x:c r="J6" s="31" t="n">
        <x:v>108.706234126</x:v>
      </x:c>
      <x:c r="K6" s="31" t="n">
        <x:v>0.892452303</x:v>
      </x:c>
      <x:c r="L6" s="31" t="n">
        <x:v>73.614748366</x:v>
      </x:c>
      <x:c r="M6" s="31" t="n">
        <x:v>35.983938063</x:v>
      </x:c>
      <x:c r="N6" s="24" t="str">
        <x:v>haemulidae</x:v>
      </x:c>
      <x:c r="O6" s="32" t="n">
        <x:v>3.36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Haemulidae</x:v>
      </x:c>
      <x:c r="T6" s="32" t="n">
        <x:f>IF(O6="","",(1/'Metadata'!$B$5)^(O6-1))</x:f>
        <x:v>229.08676527677724</x:v>
      </x:c>
      <x:c r="U6" s="31" t="n">
        <x:f>IF(T6="","",I6*T6)</x:f>
        <x:v>25107.608552603433</x:v>
      </x:c>
    </x:row>
    <x:row r="7" ht="18" customHeight="1">
      <x:c r="A7" s="24" t="str">
        <x:v>EEZ_630</x:v>
      </x:c>
      <x:c r="B7" s="24" t="str">
        <x:v>Puerto Rico (USA)</x:v>
      </x:c>
      <x:c r="C7" s="24" t="str">
        <x:v>EEZ</x:v>
      </x:c>
      <x:c r="D7" s="30" t="n">
        <x:v>2019</x:v>
      </x:c>
      <x:c r="E7" s="24" t="str">
        <x:v>Etelis</x:v>
      </x:c>
      <x:c r="F7" s="24" t="str">
        <x:v>Snappers</x:v>
      </x:c>
      <x:c r="G7" s="24" t="str">
        <x:v>Medium bathydemersals (30 - 89 cm)</x:v>
      </x:c>
      <x:c r="H7" s="24" t="str">
        <x:v>Perch-likes</x:v>
      </x:c>
      <x:c r="I7" s="31" t="n">
        <x:v>107.358111436</x:v>
      </x:c>
      <x:c r="J7" s="31" t="n">
        <x:v>105.64556782599999</x:v>
      </x:c>
      <x:c r="K7" s="31" t="n">
        <x:v>1.71254361</x:v>
      </x:c>
      <x:c r="L7" s="31" t="n">
        <x:v>105.64556782599999</x:v>
      </x:c>
      <x:c r="M7" s="31" t="n">
        <x:v>1.71254361</x:v>
      </x:c>
      <x:c r="N7" s="24" t="str">
        <x:v>etelis</x:v>
      </x:c>
      <x:c r="O7" s="32" t="n">
        <x:v>4.36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Etelis</x:v>
      </x:c>
      <x:c r="T7" s="32" t="n">
        <x:f>IF(O7="","",(1/'Metadata'!$B$5)^(O7-1))</x:f>
        <x:v>2290.867652767775</x:v>
      </x:c>
      <x:c r="U7" s="31" t="n">
        <x:f>IF(T7="","",I7*T7)</x:f>
        <x:v>245943.22475097052</x:v>
      </x:c>
    </x:row>
    <x:row r="8" ht="18" customHeight="1">
      <x:c r="A8" s="24" t="str">
        <x:v>EEZ_630</x:v>
      </x:c>
      <x:c r="B8" s="24" t="str">
        <x:v>Puerto Rico (USA)</x:v>
      </x:c>
      <x:c r="C8" s="24" t="str">
        <x:v>EEZ</x:v>
      </x:c>
      <x:c r="D8" s="30" t="n">
        <x:v>2019</x:v>
      </x:c>
      <x:c r="E8" s="24" t="str">
        <x:v>Panulirus argus</x:v>
      </x:c>
      <x:c r="F8" s="24" t="str">
        <x:v>Caribbean spiny lobster</x:v>
      </x:c>
      <x:c r="G8" s="24" t="str">
        <x:v>Lobsters, crabs</x:v>
      </x:c>
      <x:c r="H8" s="24" t="str">
        <x:v>Crustaceans</x:v>
      </x:c>
      <x:c r="I8" s="31" t="n">
        <x:v>101.56060384</x:v>
      </x:c>
      <x:c r="J8" s="31" t="n">
        <x:v>99.94054029</x:v>
      </x:c>
      <x:c r="K8" s="31" t="n">
        <x:v>1.6200635499999998</x:v>
      </x:c>
      <x:c r="L8" s="31" t="n">
        <x:v>99.94054029</x:v>
      </x:c>
      <x:c r="M8" s="31" t="n">
        <x:v>1.6200635499999998</x:v>
      </x:c>
      <x:c r="N8" s="24" t="str">
        <x:v>panulirus argus</x:v>
      </x:c>
      <x:c r="O8" s="32" t="n">
        <x:v>3.2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Panulirus argus</x:v>
      </x:c>
      <x:c r="T8" s="32" t="n">
        <x:f>IF(O8="","",(1/'Metadata'!$B$5)^(O8-1))</x:f>
        <x:v>158.48931924611142</x:v>
      </x:c>
      <x:c r="U8" s="31" t="n">
        <x:f>IF(T8="","",I8*T8)</x:f>
        <x:v>16096.27096482561</x:v>
      </x:c>
    </x:row>
    <x:row r="9" ht="18" customHeight="1">
      <x:c r="A9" s="24" t="str">
        <x:v>EEZ_630</x:v>
      </x:c>
      <x:c r="B9" s="24" t="str">
        <x:v>Puerto Rico (USA)</x:v>
      </x:c>
      <x:c r="C9" s="24" t="str">
        <x:v>EEZ</x:v>
      </x:c>
      <x:c r="D9" s="30" t="n">
        <x:v>2019</x:v>
      </x:c>
      <x:c r="E9" s="24" t="str">
        <x:v>Aliger gigas</x:v>
      </x:c>
      <x:c r="F9" s="24" t="str">
        <x:v>Pink conch</x:v>
      </x:c>
      <x:c r="G9" s="24" t="str">
        <x:v>Other demersal invertebrates</x:v>
      </x:c>
      <x:c r="H9" s="24" t="str">
        <x:v>Molluscs</x:v>
      </x:c>
      <x:c r="I9" s="31" t="n">
        <x:v>92.43156079</x:v>
      </x:c>
      <x:c r="J9" s="31" t="n">
        <x:v>90.95712093</x:v>
      </x:c>
      <x:c r="K9" s="31" t="n">
        <x:v>1.47443986</x:v>
      </x:c>
      <x:c r="L9" s="31" t="n">
        <x:v>90.95712093</x:v>
      </x:c>
      <x:c r="M9" s="31" t="n">
        <x:v>1.47443986</x:v>
      </x:c>
      <x:c r="N9" s="24" t="str">
        <x:v>aliger gigas</x:v>
      </x:c>
      <x:c r="O9" s="32" t="n">
        <x:v>2.19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Aliger gigas</x:v>
      </x:c>
      <x:c r="T9" s="32" t="n">
        <x:f>IF(O9="","",(1/'Metadata'!$B$5)^(O9-1))</x:f>
        <x:v>15.488166189124811</x:v>
      </x:c>
      <x:c r="U9" s="31" t="n">
        <x:f>IF(T9="","",I9*T9)</x:f>
        <x:v>1431.5953746357127</x:v>
      </x:c>
    </x:row>
    <x:row r="10" ht="18" customHeight="1">
      <x:c r="A10" s="24" t="str">
        <x:v>EEZ_630</x:v>
      </x:c>
      <x:c r="B10" s="24" t="str">
        <x:v>Puerto Rico (USA)</x:v>
      </x:c>
      <x:c r="C10" s="24" t="str">
        <x:v>EEZ</x:v>
      </x:c>
      <x:c r="D10" s="30" t="n">
        <x:v>2019</x:v>
      </x:c>
      <x:c r="E10" s="24" t="str">
        <x:v>Lutjanus synagris</x:v>
      </x:c>
      <x:c r="F10" s="24" t="str">
        <x:v>Lane snapper</x:v>
      </x:c>
      <x:c r="G10" s="24" t="str">
        <x:v>Medium reef assoc. fish (30 - 89 cm)</x:v>
      </x:c>
      <x:c r="H10" s="24" t="str">
        <x:v>Perch-likes</x:v>
      </x:c>
      <x:c r="I10" s="31" t="n">
        <x:v>81.652648125</x:v>
      </x:c>
      <x:c r="J10" s="31" t="n">
        <x:v>80.35015016899999</x:v>
      </x:c>
      <x:c r="K10" s="31" t="n">
        <x:v>1.302497956</x:v>
      </x:c>
      <x:c r="L10" s="31" t="n">
        <x:v>80.35015016899999</x:v>
      </x:c>
      <x:c r="M10" s="31" t="n">
        <x:v>1.302497956</x:v>
      </x:c>
      <x:c r="N10" s="24" t="str">
        <x:v>lutjanus synagris</x:v>
      </x:c>
      <x:c r="O10" s="32" t="n">
        <x:v>3.82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Lutjanus synagris</x:v>
      </x:c>
      <x:c r="T10" s="32" t="n">
        <x:f>IF(O10="","",(1/'Metadata'!$B$5)^(O10-1))</x:f>
        <x:v>660.6934480075957</x:v>
      </x:c>
      <x:c r="U10" s="31" t="n">
        <x:f>IF(T10="","",I10*T10)</x:f>
        <x:v>53947.369628657194</x:v>
      </x:c>
    </x:row>
    <x:row r="11" ht="18" customHeight="1">
      <x:c r="A11" s="24" t="str">
        <x:v>EEZ_630</x:v>
      </x:c>
      <x:c r="B11" s="24" t="str">
        <x:v>Puerto Rico (USA)</x:v>
      </x:c>
      <x:c r="C11" s="24" t="str">
        <x:v>EEZ</x:v>
      </x:c>
      <x:c r="D11" s="30" t="n">
        <x:v>2019</x:v>
      </x:c>
      <x:c r="E11" s="24" t="str">
        <x:v>Serranidae</x:v>
      </x:c>
      <x:c r="F11" s="24" t="str">
        <x:v>Basses, groupers, hinds</x:v>
      </x:c>
      <x:c r="G11" s="24" t="str">
        <x:v>Medium reef assoc. fish (30 - 89 cm)</x:v>
      </x:c>
      <x:c r="H11" s="24" t="str">
        <x:v>Perch-likes</x:v>
      </x:c>
      <x:c r="I11" s="31" t="n">
        <x:v>65.166786539</x:v>
      </x:c>
      <x:c r="J11" s="31" t="n">
        <x:v>64.636139223</x:v>
      </x:c>
      <x:c r="K11" s="31" t="n">
        <x:v>0.530647316</x:v>
      </x:c>
      <x:c r="L11" s="31" t="n">
        <x:v>43.770931473000005</x:v>
      </x:c>
      <x:c r="M11" s="31" t="n">
        <x:v>21.395855066</x:v>
      </x:c>
      <x:c r="N11" s="24" t="str">
        <x:v>serranidae</x:v>
      </x:c>
      <x:c r="O11" s="32" t="n">
        <x:v>3.98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Serranidae</x:v>
      </x:c>
      <x:c r="T11" s="32" t="n">
        <x:f>IF(O11="","",(1/'Metadata'!$B$5)^(O11-1))</x:f>
        <x:v>954.992586021436</x:v>
      </x:c>
      <x:c r="U11" s="31" t="n">
        <x:f>IF(T11="","",I11*T11)</x:f>
        <x:v>62233.79799958651</x:v>
      </x:c>
    </x:row>
    <x:row r="12" ht="18" customHeight="1">
      <x:c r="A12" s="24" t="str">
        <x:v>EEZ_630</x:v>
      </x:c>
      <x:c r="B12" s="24" t="str">
        <x:v>Puerto Rico (USA)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54.247902529</x:v>
      </x:c>
      <x:c r="J12" s="31" t="n">
        <x:v>54.247902529</x:v>
      </x:c>
      <x:c r="K12" s="31" t="n">
        <x:v>0</x:v>
      </x:c>
      <x:c r="L12" s="31" t="n">
        <x:v>21.887028369</x:v>
      </x:c>
      <x:c r="M12" s="31" t="n">
        <x:v>32.36087416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98714.95480981194</x:v>
      </x:c>
    </x:row>
    <x:row r="13" ht="18" customHeight="1">
      <x:c r="A13" s="24" t="str">
        <x:v>EEZ_630</x:v>
      </x:c>
      <x:c r="B13" s="24" t="str">
        <x:v>Puerto Rico (USA)</x:v>
      </x:c>
      <x:c r="C13" s="24" t="str">
        <x:v>EEZ</x:v>
      </x:c>
      <x:c r="D13" s="30" t="n">
        <x:v>2019</x:v>
      </x:c>
      <x:c r="E13" s="24" t="str">
        <x:v>Scomberomorus cavalla</x:v>
      </x:c>
      <x:c r="F13" s="24" t="str">
        <x:v>King mackerel</x:v>
      </x:c>
      <x:c r="G13" s="24" t="str">
        <x:v>Large pelagics (&gt;=90 cm)</x:v>
      </x:c>
      <x:c r="H13" s="24" t="str">
        <x:v>Perch-likes</x:v>
      </x:c>
      <x:c r="I13" s="31" t="n">
        <x:v>37.657302539999996</x:v>
      </x:c>
      <x:c r="J13" s="31" t="n">
        <x:v>37.05660482</x:v>
      </x:c>
      <x:c r="K13" s="31" t="n">
        <x:v>0.60069772</x:v>
      </x:c>
      <x:c r="L13" s="31" t="n">
        <x:v>37.05660482</x:v>
      </x:c>
      <x:c r="M13" s="31" t="n">
        <x:v>0.60069772</x:v>
      </x:c>
      <x:c r="N13" s="24" t="str">
        <x:v>scomberomorus cavalla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Scomberomorus cavalla</x:v>
      </x:c>
      <x:c r="T13" s="32" t="n">
        <x:f>IF(O13="","",(1/'Metadata'!$B$5)^(O13-1))</x:f>
        <x:v>2630.2679918953813</x:v>
      </x:c>
      <x:c r="U13" s="31" t="n">
        <x:f>IF(T13="","",I13*T13)</x:f>
        <x:v>99048.79753208264</x:v>
      </x:c>
    </x:row>
    <x:row r="14" ht="18" customHeight="1">
      <x:c r="A14" s="24" t="str">
        <x:v>EEZ_630</x:v>
      </x:c>
      <x:c r="B14" s="24" t="str">
        <x:v>Puerto Rico (USA)</x:v>
      </x:c>
      <x:c r="C14" s="24" t="str">
        <x:v>EEZ</x:v>
      </x:c>
      <x:c r="D14" s="30" t="n">
        <x:v>2019</x:v>
      </x:c>
      <x:c r="E14" s="24" t="str">
        <x:v>Ostraciidae</x:v>
      </x:c>
      <x:c r="F14" s="24" t="str">
        <x:v>Box-, cow-, trunkfishes</x:v>
      </x:c>
      <x:c r="G14" s="24" t="str">
        <x:v>Medium reef assoc. fish (30 - 89 cm)</x:v>
      </x:c>
      <x:c r="H14" s="24" t="str">
        <x:v>Other fishes &amp; inverts</x:v>
      </x:c>
      <x:c r="I14" s="31" t="n">
        <x:v>35.057863921</x:v>
      </x:c>
      <x:c r="J14" s="31" t="n">
        <x:v>34.479754414</x:v>
      </x:c>
      <x:c r="K14" s="31" t="n">
        <x:v>0.5781095070000001</x:v>
      </x:c>
      <x:c r="L14" s="31" t="n">
        <x:v>34.479754414</x:v>
      </x:c>
      <x:c r="M14" s="31" t="n">
        <x:v>0.5781095070000001</x:v>
      </x:c>
      <x:c r="N14" s="24" t="str">
        <x:v>ostraciidae</x:v>
      </x:c>
      <x:c r="O14" s="32" t="n">
        <x:v>2.83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Ostraciidae</x:v>
      </x:c>
      <x:c r="T14" s="32" t="n">
        <x:f>IF(O14="","",(1/'Metadata'!$B$5)^(O14-1))</x:f>
        <x:v>67.60829753919819</x:v>
      </x:c>
      <x:c r="U14" s="31" t="n">
        <x:f>IF(T14="","",I14*T14)</x:f>
        <x:v>2370.202495059689</x:v>
      </x:c>
    </x:row>
    <x:row r="15" ht="18" customHeight="1">
      <x:c r="A15" s="24" t="str">
        <x:v>EEZ_630</x:v>
      </x:c>
      <x:c r="B15" s="24" t="str">
        <x:v>Puerto Rico (USA)</x:v>
      </x:c>
      <x:c r="C15" s="24" t="str">
        <x:v>EEZ</x:v>
      </x:c>
      <x:c r="D15" s="30" t="n">
        <x:v>2019</x:v>
      </x:c>
      <x:c r="E15" s="24" t="str">
        <x:v>Coryphaena hippurus</x:v>
      </x:c>
      <x:c r="F15" s="24" t="str">
        <x:v>Common dolphinfish</x:v>
      </x:c>
      <x:c r="G15" s="24" t="str">
        <x:v>Large pelagics (&gt;=90 cm)</x:v>
      </x:c>
      <x:c r="H15" s="24" t="str">
        <x:v>Perch-likes</x:v>
      </x:c>
      <x:c r="I15" s="31" t="n">
        <x:v>34.869546708099996</x:v>
      </x:c>
      <x:c r="J15" s="31" t="n">
        <x:v>34.3234578711</x:v>
      </x:c>
      <x:c r="K15" s="31" t="n">
        <x:v>0.546088837</x:v>
      </x:c>
      <x:c r="L15" s="31" t="n">
        <x:v>34.3234578711</x:v>
      </x:c>
      <x:c r="M15" s="31" t="n">
        <x:v>0.546088837</x:v>
      </x:c>
      <x:c r="N15" s="24" t="str">
        <x:v>coryphaena hippurus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Coryphaena hippurus</x:v>
      </x:c>
      <x:c r="T15" s="32" t="n">
        <x:f>IF(O15="","",(1/'Metadata'!$B$5)^(O15-1))</x:f>
        <x:v>2344.228815319923</x:v>
      </x:c>
      <x:c r="U15" s="31" t="n">
        <x:f>IF(T15="","",I15*T15)</x:f>
        <x:v>81742.19617027197</x:v>
      </x:c>
    </x:row>
    <x:row r="16" ht="18" customHeight="1">
      <x:c r="A16" s="24" t="str">
        <x:v>EEZ_630</x:v>
      </x:c>
      <x:c r="B16" s="24" t="str">
        <x:v>Puerto Rico (USA)</x:v>
      </x:c>
      <x:c r="C16" s="24" t="str">
        <x:v>EEZ</x:v>
      </x:c>
      <x:c r="D16" s="30" t="n">
        <x:v>2019</x:v>
      </x:c>
      <x:c r="E16" s="24" t="str">
        <x:v>Miscellaneous aquatic invertebrates</x:v>
      </x:c>
      <x:c r="F16" s="24" t="str">
        <x:v>Aquatic invertebrates</x:v>
      </x:c>
      <x:c r="G16" s="24" t="str">
        <x:v>Other demersal invertebrates</x:v>
      </x:c>
      <x:c r="H16" s="24" t="str">
        <x:v>Other fishes &amp; inverts</x:v>
      </x:c>
      <x:c r="I16" s="31" t="n">
        <x:v>32.194679353</x:v>
      </x:c>
      <x:c r="J16" s="31" t="n">
        <x:v>31.721402361</x:v>
      </x:c>
      <x:c r="K16" s="31" t="n">
        <x:v>0.473276992</x:v>
      </x:c>
      <x:c r="L16" s="31" t="n">
        <x:v>31.721402361</x:v>
      </x:c>
      <x:c r="M16" s="31" t="n">
        <x:v>0.473276992</x:v>
      </x:c>
      <x:c r="N16" s="24" t="str">
        <x:v>miscellaneous aquatic invertebrates</x:v>
      </x:c>
      <x:c r="O16" s="32" t="n">
        <x:v>2.43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Miscellaneous aquatic invertebrates</x:v>
      </x:c>
      <x:c r="T16" s="32" t="n">
        <x:f>IF(O16="","",(1/'Metadata'!$B$5)^(O16-1))</x:f>
        <x:v>26.915348039269166</x:v>
      </x:c>
      <x:c r="U16" s="31" t="n">
        <x:f>IF(T16="","",I16*T16)</x:f>
        <x:v>866.530999798668</x:v>
      </x:c>
    </x:row>
    <x:row r="17" ht="18" customHeight="1">
      <x:c r="A17" s="24" t="str">
        <x:v>EEZ_630</x:v>
      </x:c>
      <x:c r="B17" s="24" t="str">
        <x:v>Puerto Rico (USA)</x:v>
      </x:c>
      <x:c r="C17" s="24" t="str">
        <x:v>EEZ</x:v>
      </x:c>
      <x:c r="D17" s="30" t="n">
        <x:v>2019</x:v>
      </x:c>
      <x:c r="E17" s="24" t="str">
        <x:v>Octopodidae</x:v>
      </x:c>
      <x:c r="F17" s="24" t="str">
        <x:v>Octopuses</x:v>
      </x:c>
      <x:c r="G17" s="24" t="str">
        <x:v>Cephalopods</x:v>
      </x:c>
      <x:c r="H17" s="24" t="str">
        <x:v>Other fishes &amp; inverts</x:v>
      </x:c>
      <x:c r="I17" s="31" t="n">
        <x:v>29.669389889</x:v>
      </x:c>
      <x:c r="J17" s="31" t="n">
        <x:v>29.196112897</x:v>
      </x:c>
      <x:c r="K17" s="31" t="n">
        <x:v>0.473276992</x:v>
      </x:c>
      <x:c r="L17" s="31" t="n">
        <x:v>29.196112897</x:v>
      </x:c>
      <x:c r="M17" s="31" t="n">
        <x:v>0.473276992</x:v>
      </x:c>
      <x:c r="N17" s="24" t="str">
        <x:v>octopodidae</x:v>
      </x:c>
      <x:c r="O17" s="32" t="n">
        <x:v>3.59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Octopodidae</x:v>
      </x:c>
      <x:c r="T17" s="32" t="n">
        <x:f>IF(O17="","",(1/'Metadata'!$B$5)^(O17-1))</x:f>
        <x:v>389.04514499428046</x:v>
      </x:c>
      <x:c r="U17" s="31" t="n">
        <x:f>IF(T17="","",I17*T17)</x:f>
        <x:v>11542.732091257843</x:v>
      </x:c>
    </x:row>
    <x:row r="18" ht="18" customHeight="1">
      <x:c r="A18" s="24" t="str">
        <x:v>EEZ_630</x:v>
      </x:c>
      <x:c r="B18" s="24" t="str">
        <x:v>Puerto Rico (USA)</x:v>
      </x:c>
      <x:c r="C18" s="24" t="str">
        <x:v>EEZ</x:v>
      </x:c>
      <x:c r="D18" s="30" t="n">
        <x:v>2019</x:v>
      </x:c>
      <x:c r="E18" s="24" t="str">
        <x:v>Bivalvia</x:v>
      </x:c>
      <x:c r="F18" s="24" t="str">
        <x:v>Clams</x:v>
      </x:c>
      <x:c r="G18" s="24" t="str">
        <x:v>Other demersal invertebrates</x:v>
      </x:c>
      <x:c r="H18" s="24" t="str">
        <x:v>Molluscs</x:v>
      </x:c>
      <x:c r="I18" s="31" t="n">
        <x:v>29.669389881999997</x:v>
      </x:c>
      <x:c r="J18" s="31" t="n">
        <x:v>29.19611289</x:v>
      </x:c>
      <x:c r="K18" s="31" t="n">
        <x:v>0.473276992</x:v>
      </x:c>
      <x:c r="L18" s="31" t="n">
        <x:v>29.19611289</x:v>
      </x:c>
      <x:c r="M18" s="31" t="n">
        <x:v>0.473276992</x:v>
      </x:c>
      <x:c r="N18" s="24" t="str">
        <x:v>bivalvia</x:v>
      </x:c>
      <x:c r="O18" s="32" t="n">
        <x:v>2.23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Bivalvia</x:v>
      </x:c>
      <x:c r="T18" s="32" t="n">
        <x:f>IF(O18="","",(1/'Metadata'!$B$5)^(O18-1))</x:f>
        <x:v>16.982436524617444</x:v>
      </x:c>
      <x:c r="U18" s="31" t="n">
        <x:f>IF(T18="","",I18*T18)</x:f>
        <x:v>503.858530395192</x:v>
      </x:c>
    </x:row>
    <x:row r="19" ht="18" customHeight="1">
      <x:c r="A19" s="24" t="str">
        <x:v>EEZ_630</x:v>
      </x:c>
      <x:c r="B19" s="24" t="str">
        <x:v>Puerto Rico (USA)</x:v>
      </x:c>
      <x:c r="C19" s="24" t="str">
        <x:v>EEZ</x:v>
      </x:c>
      <x:c r="D19" s="30" t="n">
        <x:v>2019</x:v>
      </x:c>
      <x:c r="E19" s="24" t="str">
        <x:v>Mollusca</x:v>
      </x:c>
      <x:c r="F19" s="24" t="str">
        <x:v>Clams, seasnails, squids, octopuses</x:v>
      </x:c>
      <x:c r="G19" s="24" t="str">
        <x:v>Other demersal invertebrates</x:v>
      </x:c>
      <x:c r="H19" s="24" t="str">
        <x:v>Molluscs</x:v>
      </x:c>
      <x:c r="I19" s="31" t="n">
        <x:v>29.669389881999997</x:v>
      </x:c>
      <x:c r="J19" s="31" t="n">
        <x:v>29.19611289</x:v>
      </x:c>
      <x:c r="K19" s="31" t="n">
        <x:v>0.473276992</x:v>
      </x:c>
      <x:c r="L19" s="31" t="n">
        <x:v>29.19611289</x:v>
      </x:c>
      <x:c r="M19" s="31" t="n">
        <x:v>0.473276992</x:v>
      </x:c>
      <x:c r="N19" s="24" t="str">
        <x:v>mollusca</x:v>
      </x:c>
      <x:c r="O19" s="32" t="n">
        <x:v>2.1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Mollusca</x:v>
      </x:c>
      <x:c r="T19" s="32" t="n">
        <x:f>IF(O19="","",(1/'Metadata'!$B$5)^(O19-1))</x:f>
        <x:v>12.589254117941675</x:v>
      </x:c>
      <x:c r="U19" s="31" t="n">
        <x:f>IF(T19="","",I19*T19)</x:f>
        <x:v>373.5154887487855</x:v>
      </x:c>
    </x:row>
    <x:row r="20" ht="18" customHeight="1">
      <x:c r="A20" s="24" t="str">
        <x:v>EEZ_630</x:v>
      </x:c>
      <x:c r="B20" s="24" t="str">
        <x:v>Puerto Rico (USA)</x:v>
      </x:c>
      <x:c r="C20" s="24" t="str">
        <x:v>EEZ</x:v>
      </x:c>
      <x:c r="D20" s="30" t="n">
        <x:v>2019</x:v>
      </x:c>
      <x:c r="E20" s="24" t="str">
        <x:v>Scomberomorus regalis</x:v>
      </x:c>
      <x:c r="F20" s="24" t="str">
        <x:v>Cero</x:v>
      </x:c>
      <x:c r="G20" s="24" t="str">
        <x:v>Large reef assoc. fish (&gt;=90 cm)</x:v>
      </x:c>
      <x:c r="H20" s="24" t="str">
        <x:v>Perch-likes</x:v>
      </x:c>
      <x:c r="I20" s="31" t="n">
        <x:v>21.681477223999998</x:v>
      </x:c>
      <x:c r="J20" s="31" t="n">
        <x:v>21.33562096</x:v>
      </x:c>
      <x:c r="K20" s="31" t="n">
        <x:v>0.345856264</x:v>
      </x:c>
      <x:c r="L20" s="31" t="n">
        <x:v>21.33562096</x:v>
      </x:c>
      <x:c r="M20" s="31" t="n">
        <x:v>0.345856264</x:v>
      </x:c>
      <x:c r="N20" s="24" t="str">
        <x:v>scomberomorus regalis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Scomberomorus regalis</x:v>
      </x:c>
      <x:c r="T20" s="32" t="n">
        <x:f>IF(O20="","",(1/'Metadata'!$B$5)^(O20-1))</x:f>
        <x:v>3235.936569296281</x:v>
      </x:c>
      <x:c r="U20" s="31" t="n">
        <x:f>IF(T20="","",I20*T20)</x:f>
        <x:v>70159.88502550601</x:v>
      </x:c>
    </x:row>
    <x:row r="21" ht="18" customHeight="1">
      <x:c r="A21" s="24" t="str">
        <x:v>EEZ_630</x:v>
      </x:c>
      <x:c r="B21" s="24" t="str">
        <x:v>Puerto Rico (USA)</x:v>
      </x:c>
      <x:c r="C21" s="24" t="str">
        <x:v>EEZ</x:v>
      </x:c>
      <x:c r="D21" s="30" t="n">
        <x:v>2019</x:v>
      </x:c>
      <x:c r="E21" s="24" t="str">
        <x:v>Coryphaena</x:v>
      </x:c>
      <x:c r="F21" s="24" t="str">
        <x:v>Dolphinfishes</x:v>
      </x:c>
      <x:c r="G21" s="24" t="str">
        <x:v>Large pelagics (&gt;=90 cm)</x:v>
      </x:c>
      <x:c r="H21" s="24" t="str">
        <x:v>Perch-likes</x:v>
      </x:c>
      <x:c r="I21" s="31" t="n">
        <x:v>17.689533427999997</x:v>
      </x:c>
      <x:c r="J21" s="31" t="n">
        <x:v>17.689533427999997</x:v>
      </x:c>
      <x:c r="K21" s="31" t="n">
        <x:v>0</x:v>
      </x:c>
      <x:c r="L21" s="31" t="n">
        <x:v>7.137074468</x:v>
      </x:c>
      <x:c r="M21" s="31" t="n">
        <x:v>10.55245896</x:v>
      </x:c>
      <x:c r="N21" s="24" t="str">
        <x:v>coryphaena</x:v>
      </x:c>
      <x:c r="O21" s="32" t="n">
        <x:v>4.49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Coryphaena</x:v>
      </x:c>
      <x:c r="T21" s="32" t="n">
        <x:f>IF(O21="","",(1/'Metadata'!$B$5)^(O21-1))</x:f>
        <x:v>3090.295432513592</x:v>
      </x:c>
      <x:c r="U21" s="31" t="n">
        <x:f>IF(T21="","",I21*T21)</x:f>
        <x:v>54665.88435584489</x:v>
      </x:c>
    </x:row>
    <x:row r="22" ht="18" customHeight="1">
      <x:c r="A22" s="24" t="str">
        <x:v>EEZ_630</x:v>
      </x:c>
      <x:c r="B22" s="24" t="str">
        <x:v>Puerto Rico (USA)</x:v>
      </x:c>
      <x:c r="C22" s="24" t="str">
        <x:v>EEZ</x:v>
      </x:c>
      <x:c r="D22" s="30" t="n">
        <x:v>2019</x:v>
      </x:c>
      <x:c r="E22" s="24" t="str">
        <x:v>Thunnus atlanticus</x:v>
      </x:c>
      <x:c r="F22" s="24" t="str">
        <x:v>Blackfin tuna</x:v>
      </x:c>
      <x:c r="G22" s="24" t="str">
        <x:v>Large pelagics (&gt;=90 cm)</x:v>
      </x:c>
      <x:c r="H22" s="24" t="str">
        <x:v>Tuna &amp; billfishes</x:v>
      </x:c>
      <x:c r="I22" s="31" t="n">
        <x:v>15.2914427781</x:v>
      </x:c>
      <x:c r="J22" s="31" t="n">
        <x:v>15.0487366281</x:v>
      </x:c>
      <x:c r="K22" s="31" t="n">
        <x:v>0.24270615</x:v>
      </x:c>
      <x:c r="L22" s="31" t="n">
        <x:v>15.0487366281</x:v>
      </x:c>
      <x:c r="M22" s="31" t="n">
        <x:v>0.24270615</x:v>
      </x:c>
      <x:c r="N22" s="24" t="str">
        <x:v>thunnus atlanticus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atlanticus</x:v>
      </x:c>
      <x:c r="T22" s="32" t="n">
        <x:f>IF(O22="","",(1/'Metadata'!$B$5)^(O22-1))</x:f>
        <x:v>2238.7211385683377</x:v>
      </x:c>
      <x:c r="U22" s="31" t="n">
        <x:f>IF(T22="","",I22*T22)</x:f>
        <x:v>34233.276186540614</x:v>
      </x:c>
    </x:row>
    <x:row r="23" ht="18" customHeight="1">
      <x:c r="A23" s="24" t="str">
        <x:v>EEZ_630</x:v>
      </x:c>
      <x:c r="B23" s="24" t="str">
        <x:v>Puerto Rico (USA)</x:v>
      </x:c>
      <x:c r="C23" s="24" t="str">
        <x:v>EEZ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15.260207237500001</x:v>
      </x:c>
      <x:c r="J23" s="31" t="n">
        <x:v>15.017501087500001</x:v>
      </x:c>
      <x:c r="K23" s="31" t="n">
        <x:v>0.24270615</x:v>
      </x:c>
      <x:c r="L23" s="31" t="n">
        <x:v>15.017501087500001</x:v>
      </x:c>
      <x:c r="M23" s="31" t="n">
        <x:v>0.24270615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39224.77232744891</x:v>
      </x:c>
    </x:row>
    <x:row r="24" ht="18" customHeight="1">
      <x:c r="A24" s="24" t="str">
        <x:v>EEZ_630</x:v>
      </x:c>
      <x:c r="B24" s="24" t="str">
        <x:v>Puerto Rico (USA)</x:v>
      </x:c>
      <x:c r="C24" s="24" t="str">
        <x:v>EEZ</x:v>
      </x:c>
      <x:c r="D24" s="30" t="n">
        <x:v>2019</x:v>
      </x:c>
      <x:c r="E24" s="24" t="str">
        <x:v>Katsuwonus pelamis</x:v>
      </x:c>
      <x:c r="F24" s="24" t="str">
        <x:v>Skipjack tuna</x:v>
      </x:c>
      <x:c r="G24" s="24" t="str">
        <x:v>Large pelagics (&gt;=90 cm)</x:v>
      </x:c>
      <x:c r="H24" s="24" t="str">
        <x:v>Tuna &amp; billfishes</x:v>
      </x:c>
      <x:c r="I24" s="31" t="n">
        <x:v>15.224562630800001</x:v>
      </x:c>
      <x:c r="J24" s="31" t="n">
        <x:v>14.981856480800001</x:v>
      </x:c>
      <x:c r="K24" s="31" t="n">
        <x:v>0.24270615</x:v>
      </x:c>
      <x:c r="L24" s="31" t="n">
        <x:v>14.981856480800001</x:v>
      </x:c>
      <x:c r="M24" s="31" t="n">
        <x:v>0.24270615</x:v>
      </x:c>
      <x:c r="N24" s="24" t="str">
        <x:v>katsuwonus pelamis</x:v>
      </x:c>
      <x:c r="O24" s="32" t="n">
        <x:v>4.43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Katsuwonus pelamis</x:v>
      </x:c>
      <x:c r="T24" s="32" t="n">
        <x:f>IF(O24="","",(1/'Metadata'!$B$5)^(O24-1))</x:f>
        <x:v>2691.534803926914</x:v>
      </x:c>
      <x:c r="U24" s="31" t="n">
        <x:f>IF(T24="","",I24*T24)</x:f>
        <x:v>40977.4401953633</x:v>
      </x:c>
    </x:row>
    <x:row r="25" ht="18" customHeight="1">
      <x:c r="A25" s="24" t="str">
        <x:v>EEZ_630</x:v>
      </x:c>
      <x:c r="B25" s="24" t="str">
        <x:v>Puerto Rico (USA)</x:v>
      </x:c>
      <x:c r="C25" s="24" t="str">
        <x:v>EEZ</x:v>
      </x:c>
      <x:c r="D25" s="30" t="n">
        <x:v>2019</x:v>
      </x:c>
      <x:c r="E25" s="24" t="str">
        <x:v>Marine pelagic fishes not identified</x:v>
      </x:c>
      <x:c r="F25" s="24" t="str">
        <x:v>Pelagic fishes</x:v>
      </x:c>
      <x:c r="G25" s="24" t="str">
        <x:v>Medium pelagics (30 - 89 cm)</x:v>
      </x:c>
      <x:c r="H25" s="24" t="str">
        <x:v>Other fishes &amp; inverts</x:v>
      </x:c>
      <x:c r="I25" s="31" t="n">
        <x:v>2.5536669703</x:v>
      </x:c>
      <x:c r="J25" s="31" t="n">
        <x:v>2.5536669703</x:v>
      </x:c>
      <x:c r="K25" s="31" t="n">
        <x:v>0</x:v>
      </x:c>
      <x:c r="L25" s="31" t="n">
        <x:v>2.5536669703</x:v>
      </x:c>
      <x:c r="M25" s="31" t="n">
        <x:v>0</x:v>
      </x:c>
      <x:c r="N25" s="24" t="str">
        <x:v>marine pelagic fishes not identified</x:v>
      </x:c>
      <x:c r="O25" s="32" t="n">
        <x:v>3.35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Marine pelagic fishes not identified</x:v>
      </x:c>
      <x:c r="T25" s="32" t="n">
        <x:f>IF(O25="","",(1/'Metadata'!$B$5)^(O25-1))</x:f>
        <x:v>223.872113856834</x:v>
      </x:c>
      <x:c r="U25" s="31" t="n">
        <x:f>IF(T25="","",I25*T25)</x:f>
        <x:v>571.694822727438</x:v>
      </x:c>
    </x:row>
    <x:row r="26" ht="18" customHeight="1">
      <x:c r="A26" s="24" t="str">
        <x:v>EEZ_630</x:v>
      </x:c>
      <x:c r="B26" s="24" t="str">
        <x:v>Puerto Rico (USA)</x:v>
      </x:c>
      <x:c r="C26" s="24" t="str">
        <x:v>EEZ</x:v>
      </x:c>
      <x:c r="D26" s="30" t="n">
        <x:v>2019</x:v>
      </x:c>
      <x:c r="E26" s="24" t="str">
        <x:v>Xiphias gladius</x:v>
      </x:c>
      <x:c r="F26" s="24" t="str">
        <x:v>Swordfish</x:v>
      </x:c>
      <x:c r="G26" s="24" t="str">
        <x:v>Large pelagics (&gt;=90 cm)</x:v>
      </x:c>
      <x:c r="H26" s="24" t="str">
        <x:v>Tuna &amp; billfishes</x:v>
      </x:c>
      <x:c r="I26" s="31" t="n">
        <x:v>0.1463072196</x:v>
      </x:c>
      <x:c r="J26" s="31" t="n">
        <x:v>0.1463072196</x:v>
      </x:c>
      <x:c r="K26" s="31" t="n">
        <x:v>0</x:v>
      </x:c>
      <x:c r="L26" s="31" t="n">
        <x:v>0.1463072196</x:v>
      </x:c>
      <x:c r="M26" s="31" t="n">
        <x:v>0</x:v>
      </x:c>
      <x:c r="N26" s="24" t="str">
        <x:v>xiphias gladius</x:v>
      </x:c>
      <x:c r="O26" s="32" t="n">
        <x:v>4.53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Xiphias gladius</x:v>
      </x:c>
      <x:c r="T26" s="32" t="n">
        <x:f>IF(O26="","",(1/'Metadata'!$B$5)^(O26-1))</x:f>
        <x:v>3388.4415613920273</x:v>
      </x:c>
      <x:c r="U26" s="31" t="n">
        <x:f>IF(T26="","",I26*T26)</x:f>
        <x:v>495.7534636243503</x:v>
      </x:c>
    </x:row>
    <x:row r="27" ht="18" customHeight="1">
      <x:c r="A27" s="24" t="str">
        <x:v>EEZ_630</x:v>
      </x:c>
      <x:c r="B27" s="24" t="str">
        <x:v>Puerto Rico (USA)</x:v>
      </x:c>
      <x:c r="C27" s="24" t="str">
        <x:v>EEZ</x:v>
      </x:c>
      <x:c r="D27" s="30" t="n">
        <x:v>2019</x:v>
      </x:c>
      <x:c r="E27" s="24" t="str">
        <x:v>Thunnus thynnus</x:v>
      </x:c>
      <x:c r="F27" s="24" t="str">
        <x:v>Atlantic bluefin tuna</x:v>
      </x:c>
      <x:c r="G27" s="24" t="str">
        <x:v>Large pelagics (&gt;=90 cm)</x:v>
      </x:c>
      <x:c r="H27" s="24" t="str">
        <x:v>Tuna &amp; billfishes</x:v>
      </x:c>
      <x:c r="I27" s="31" t="n">
        <x:v>0.11968043299999999</x:v>
      </x:c>
      <x:c r="J27" s="31" t="n">
        <x:v>0.11968043299999999</x:v>
      </x:c>
      <x:c r="K27" s="31" t="n">
        <x:v>0</x:v>
      </x:c>
      <x:c r="L27" s="31" t="n">
        <x:v>0.11968043299999999</x:v>
      </x:c>
      <x:c r="M27" s="31" t="n">
        <x:v>0</x:v>
      </x:c>
      <x:c r="N27" s="24" t="str">
        <x:v>thunnus thynnus</x:v>
      </x:c>
      <x:c r="O27" s="32" t="n">
        <x:v>4.45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Thunnus thynnus</x:v>
      </x:c>
      <x:c r="T27" s="32" t="n">
        <x:f>IF(O27="","",(1/'Metadata'!$B$5)^(O27-1))</x:f>
        <x:v>2818.382931264455</x:v>
      </x:c>
      <x:c r="U27" s="31" t="n">
        <x:f>IF(T27="","",I27*T27)</x:f>
        <x:v>337.30528957353914</x:v>
      </x:c>
    </x:row>
    <x:row r="28" ht="18" customHeight="1">
      <x:c r="A28" s="24" t="str">
        <x:v>EEZ_630</x:v>
      </x:c>
      <x:c r="B28" s="24" t="str">
        <x:v>Puerto Rico (USA)</x:v>
      </x:c>
      <x:c r="C28" s="24" t="str">
        <x:v>EEZ</x:v>
      </x:c>
      <x:c r="D28" s="30" t="n">
        <x:v>2019</x:v>
      </x:c>
      <x:c r="E28" s="24" t="str">
        <x:v>Acanthocybium solandri</x:v>
      </x:c>
      <x:c r="F28" s="24" t="str">
        <x:v>Wahoo</x:v>
      </x:c>
      <x:c r="G28" s="24" t="str">
        <x:v>Large pelagics (&gt;=90 cm)</x:v>
      </x:c>
      <x:c r="H28" s="24" t="str">
        <x:v>Perch-likes</x:v>
      </x:c>
      <x:c r="I28" s="31" t="n">
        <x:v>0.0983497026</x:v>
      </x:c>
      <x:c r="J28" s="31" t="n">
        <x:v>0.0983497026</x:v>
      </x:c>
      <x:c r="K28" s="31" t="n">
        <x:v>0</x:v>
      </x:c>
      <x:c r="L28" s="31" t="n">
        <x:v>0.0983497026</x:v>
      </x:c>
      <x:c r="M28" s="31" t="n">
        <x:v>0</x:v>
      </x:c>
      <x:c r="N28" s="24" t="str">
        <x:v>acanthocybium solandri</x:v>
      </x:c>
      <x:c r="O28" s="32" t="n">
        <x:v>4.26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Acanthocybium solandri</x:v>
      </x:c>
      <x:c r="T28" s="32" t="n">
        <x:f>IF(O28="","",(1/'Metadata'!$B$5)^(O28-1))</x:f>
        <x:v>1819.7008586099826</x:v>
      </x:c>
      <x:c r="U28" s="31" t="n">
        <x:f>IF(T28="","",I28*T28)</x:f>
        <x:v>178.96703826525643</x:v>
      </x:c>
    </x:row>
    <x:row r="29" ht="18" customHeight="1">
      <x:c r="A29" s="24" t="str">
        <x:v>EEZ_630</x:v>
      </x:c>
      <x:c r="B29" s="24" t="str">
        <x:v>Puerto Rico (USA)</x:v>
      </x:c>
      <x:c r="C29" s="24" t="str">
        <x:v>EEZ</x:v>
      </x:c>
      <x:c r="D29" s="30" t="n">
        <x:v>2019</x:v>
      </x:c>
      <x:c r="E29" s="24" t="str">
        <x:v>Thunnus obesus</x:v>
      </x:c>
      <x:c r="F29" s="24" t="str">
        <x:v>Bigeye tuna</x:v>
      </x:c>
      <x:c r="G29" s="24" t="str">
        <x:v>Large pelagics (&gt;=90 cm)</x:v>
      </x:c>
      <x:c r="H29" s="24" t="str">
        <x:v>Tuna &amp; billfishes</x:v>
      </x:c>
      <x:c r="I29" s="31" t="n">
        <x:v>0.0837209411</x:v>
      </x:c>
      <x:c r="J29" s="31" t="n">
        <x:v>0.0837209411</x:v>
      </x:c>
      <x:c r="K29" s="31" t="n">
        <x:v>0</x:v>
      </x:c>
      <x:c r="L29" s="31" t="n">
        <x:v>0.0837209411</x:v>
      </x:c>
      <x:c r="M29" s="31" t="n">
        <x:v>0</x:v>
      </x:c>
      <x:c r="N29" s="24" t="str">
        <x:v>thunnus obesus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obesus</x:v>
      </x:c>
      <x:c r="T29" s="32" t="n">
        <x:f>IF(O29="","",(1/'Metadata'!$B$5)^(O29-1))</x:f>
        <x:v>3090.295432513592</x:v>
      </x:c>
      <x:c r="U29" s="31" t="n">
        <x:f>IF(T29="","",I29*T29)</x:f>
        <x:v>258.72244188706946</x:v>
      </x:c>
    </x:row>
    <x:row r="30" ht="18" customHeight="1">
      <x:c r="A30" s="24" t="str">
        <x:v>EEZ_630</x:v>
      </x:c>
      <x:c r="B30" s="24" t="str">
        <x:v>Puerto Rico (USA)</x:v>
      </x:c>
      <x:c r="C30" s="24" t="str">
        <x:v>EEZ</x:v>
      </x:c>
      <x:c r="D30" s="30" t="n">
        <x:v>2019</x:v>
      </x:c>
      <x:c r="E30" s="24" t="str">
        <x:v>Thunnus alalunga</x:v>
      </x:c>
      <x:c r="F30" s="24" t="str">
        <x:v>Albacore</x:v>
      </x:c>
      <x:c r="G30" s="24" t="str">
        <x:v>Large pelagics (&gt;=90 cm)</x:v>
      </x:c>
      <x:c r="H30" s="24" t="str">
        <x:v>Tuna &amp; billfishes</x:v>
      </x:c>
      <x:c r="I30" s="31" t="n">
        <x:v>0.0223273071</x:v>
      </x:c>
      <x:c r="J30" s="31" t="n">
        <x:v>0.0223273071</x:v>
      </x:c>
      <x:c r="K30" s="31" t="n">
        <x:v>0</x:v>
      </x:c>
      <x:c r="L30" s="31" t="n">
        <x:v>0.0223273071</x:v>
      </x:c>
      <x:c r="M30" s="31" t="n">
        <x:v>0</x:v>
      </x:c>
      <x:c r="N30" s="24" t="str">
        <x:v>thunnus alalunga</x:v>
      </x:c>
      <x:c r="O30" s="32" t="n">
        <x:v>4.3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alalunga</x:v>
      </x:c>
      <x:c r="T30" s="32" t="n">
        <x:f>IF(O30="","",(1/'Metadata'!$B$5)^(O30-1))</x:f>
        <x:v>1995.2623149688789</x:v>
      </x:c>
      <x:c r="U30" s="31" t="n">
        <x:f>IF(T30="","",I30*T30)</x:f>
        <x:v>44.548834451367085</x:v>
      </x:c>
    </x:row>
    <x:row r="31" ht="18" customHeight="1">
      <x:c r="A31" s="24" t="str">
        <x:v>EEZ_630</x:v>
      </x:c>
      <x:c r="B31" s="24" t="str">
        <x:v>Puerto Rico (USA)</x:v>
      </x:c>
      <x:c r="C31" s="24" t="str">
        <x:v>EEZ</x:v>
      </x:c>
      <x:c r="D31" s="30" t="n">
        <x:v>2019</x:v>
      </x:c>
      <x:c r="E31" s="24" t="str">
        <x:v>Sarda sarda</x:v>
      </x:c>
      <x:c r="F31" s="24" t="str">
        <x:v>Atlantic bonito</x:v>
      </x:c>
      <x:c r="G31" s="24" t="str">
        <x:v>Medium pelagics (30 - 89 cm)</x:v>
      </x:c>
      <x:c r="H31" s="24" t="str">
        <x:v>Tuna &amp; billfishes</x:v>
      </x:c>
      <x:c r="I31" s="31" t="n">
        <x:v>0.010795015199999999</x:v>
      </x:c>
      <x:c r="J31" s="31" t="n">
        <x:v>0.010795015199999999</x:v>
      </x:c>
      <x:c r="K31" s="31" t="n">
        <x:v>0</x:v>
      </x:c>
      <x:c r="L31" s="31" t="n">
        <x:v>0.010795015199999999</x:v>
      </x:c>
      <x:c r="M31" s="31" t="n">
        <x:v>0</x:v>
      </x:c>
      <x:c r="N31" s="24" t="str">
        <x:v>sarda sarda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Sarda sarda</x:v>
      </x:c>
      <x:c r="T31" s="32" t="n">
        <x:f>IF(O31="","",(1/'Metadata'!$B$5)^(O31-1))</x:f>
        <x:v>3162.2776601683795</x:v>
      </x:c>
      <x:c r="U31" s="31" t="n">
        <x:f>IF(T31="","",I31*T31)</x:f>
        <x:v>34.13683540813809</x:v>
      </x:c>
    </x:row>
    <x:row r="32" ht="18" customHeight="1">
      <x:c r="A32" s="24" t="str">
        <x:v>EEZ_630</x:v>
      </x:c>
      <x:c r="B32" s="24" t="str">
        <x:v>Puerto Rico (USA)</x:v>
      </x:c>
      <x:c r="C32" s="24" t="str">
        <x:v>EEZ</x:v>
      </x:c>
      <x:c r="D32" s="30" t="n">
        <x:v>2019</x:v>
      </x:c>
      <x:c r="E32" s="24" t="str">
        <x:v>Isurus oxyrinchus</x:v>
      </x:c>
      <x:c r="F32" s="24" t="str">
        <x:v>Shortfin mako</x:v>
      </x:c>
      <x:c r="G32" s="24" t="str">
        <x:v>Large sharks (&gt;=90 cm)</x:v>
      </x:c>
      <x:c r="H32" s="24" t="str">
        <x:v>Sharks &amp; rays</x:v>
      </x:c>
      <x:c r="I32" s="31" t="n">
        <x:v>0.0057709925</x:v>
      </x:c>
      <x:c r="J32" s="31" t="n">
        <x:v>0.0057709925</x:v>
      </x:c>
      <x:c r="K32" s="31" t="n">
        <x:v>0</x:v>
      </x:c>
      <x:c r="L32" s="31" t="n">
        <x:v>0.0057709925</x:v>
      </x:c>
      <x:c r="M32" s="31" t="n">
        <x:v>0</x:v>
      </x:c>
      <x:c r="N32" s="24" t="str">
        <x:v>isurus oxyrinchus</x:v>
      </x:c>
      <x:c r="O32" s="32" t="n">
        <x:v>4.5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Isurus oxyrinchus</x:v>
      </x:c>
      <x:c r="T32" s="32" t="n">
        <x:f>IF(O32="","",(1/'Metadata'!$B$5)^(O32-1))</x:f>
        <x:v>3162.2776601683795</x:v>
      </x:c>
      <x:c r="U32" s="31" t="n">
        <x:f>IF(T32="","",I32*T32)</x:f>
        <x:v>18.249480659749267</x:v>
      </x:c>
    </x:row>
    <x:row r="33" ht="18" customHeight="1">
      <x:c r="A33" s="24" t="str">
        <x:v>EEZ_630</x:v>
      </x:c>
      <x:c r="B33" s="24" t="str">
        <x:v>Puerto Rico (USA)</x:v>
      </x:c>
      <x:c r="C33" s="24" t="str">
        <x:v>EEZ</x:v>
      </x:c>
      <x:c r="D33" s="30" t="n">
        <x:v>2019</x:v>
      </x:c>
      <x:c r="E33" s="24" t="str">
        <x:v>Prionace glauca</x:v>
      </x:c>
      <x:c r="F33" s="24" t="str">
        <x:v>Blue shark</x:v>
      </x:c>
      <x:c r="G33" s="24" t="str">
        <x:v>Large sharks (&gt;=90 cm)</x:v>
      </x:c>
      <x:c r="H33" s="24" t="str">
        <x:v>Sharks &amp; rays</x:v>
      </x:c>
      <x:c r="I33" s="31" t="n">
        <x:v>0.0018288611</x:v>
      </x:c>
      <x:c r="J33" s="31" t="n">
        <x:v>0.0018288611</x:v>
      </x:c>
      <x:c r="K33" s="31" t="n">
        <x:v>0</x:v>
      </x:c>
      <x:c r="L33" s="31" t="n">
        <x:v>0.0018288611</x:v>
      </x:c>
      <x:c r="M33" s="31" t="n">
        <x:v>0</x:v>
      </x:c>
      <x:c r="N33" s="24" t="str">
        <x:v>prionace glauca</x:v>
      </x:c>
      <x:c r="O33" s="32" t="n">
        <x:v>4.35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Prionace glauca</x:v>
      </x:c>
      <x:c r="T33" s="32" t="n">
        <x:f>IF(O33="","",(1/'Metadata'!$B$5)^(O33-1))</x:f>
        <x:v>2238.7211385683377</x:v>
      </x:c>
      <x:c r="U33" s="31" t="n">
        <x:f>IF(T33="","",I33*T33)</x:f>
        <x:v>4.094310004075343</x:v>
      </x:c>
    </x:row>
    <x:row r="34" ht="18" customHeight="1">
      <x:c r="A34" s="24" t="str">
        <x:v>EEZ_630</x:v>
      </x:c>
      <x:c r="B34" s="24" t="str">
        <x:v>Puerto Rico (USA)</x:v>
      </x:c>
      <x:c r="C34" s="24" t="str">
        <x:v>EEZ</x:v>
      </x:c>
      <x:c r="D34" s="30" t="n">
        <x:v>2019</x:v>
      </x:c>
      <x:c r="E34" s="24" t="str">
        <x:v>Makaira nigricans</x:v>
      </x:c>
      <x:c r="F34" s="24" t="str">
        <x:v>Blue marlin</x:v>
      </x:c>
      <x:c r="G34" s="24" t="str">
        <x:v>Large pelagics (&gt;=90 cm)</x:v>
      </x:c>
      <x:c r="H34" s="24" t="str">
        <x:v>Tuna &amp; billfishes</x:v>
      </x:c>
      <x:c r="I34" s="31" t="n">
        <x:v>0.0017361645</x:v>
      </x:c>
      <x:c r="J34" s="31" t="n">
        <x:v>0.0017361645</x:v>
      </x:c>
      <x:c r="K34" s="31" t="n">
        <x:v>0</x:v>
      </x:c>
      <x:c r="L34" s="31" t="n">
        <x:v>0.0017361645</x:v>
      </x:c>
      <x:c r="M34" s="31" t="n">
        <x:v>0</x:v>
      </x:c>
      <x:c r="N34" s="24" t="str">
        <x:v>makaira nigricans</x:v>
      </x:c>
      <x:c r="O34" s="32" t="n">
        <x:v>4.49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Makaira nigricans</x:v>
      </x:c>
      <x:c r="T34" s="32" t="n">
        <x:f>IF(O34="","",(1/'Metadata'!$B$5)^(O34-1))</x:f>
        <x:v>3090.295432513592</x:v>
      </x:c>
      <x:c r="U34" s="31" t="n">
        <x:f>IF(T34="","",I34*T34)</x:f>
        <x:v>5.365261224442245</x:v>
      </x:c>
    </x:row>
    <x:row r="35" ht="18" customHeight="1">
      <x:c r="A35" s="24" t="str">
        <x:v>EEZ_630</x:v>
      </x:c>
      <x:c r="B35" s="24" t="str">
        <x:v>Puerto Rico (USA)</x:v>
      </x:c>
      <x:c r="C35" s="24" t="str">
        <x:v>EEZ</x:v>
      </x:c>
      <x:c r="D35" s="30" t="n">
        <x:v>2019</x:v>
      </x:c>
      <x:c r="E35" s="24" t="str">
        <x:v>Istiophorus albicans</x:v>
      </x:c>
      <x:c r="F35" s="24" t="str">
        <x:v>Atlantic sailfish</x:v>
      </x:c>
      <x:c r="G35" s="24" t="str">
        <x:v>Large pelagics (&gt;=90 cm)</x:v>
      </x:c>
      <x:c r="H35" s="24" t="str">
        <x:v>Tuna &amp; billfishes</x:v>
      </x:c>
      <x:c r="I35" s="31" t="n">
        <x:v>0.0002655489</x:v>
      </x:c>
      <x:c r="J35" s="31" t="n">
        <x:v>0.0002655489</x:v>
      </x:c>
      <x:c r="K35" s="31" t="n">
        <x:v>0</x:v>
      </x:c>
      <x:c r="L35" s="31" t="n">
        <x:v>0.0002655489</x:v>
      </x:c>
      <x:c r="M35" s="31" t="n">
        <x:v>0</x:v>
      </x:c>
      <x:c r="N35" s="24" t="str">
        <x:v>istiophorus albicans</x:v>
      </x:c>
      <x:c r="O35" s="32" t="n">
        <x:v>4.5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Istiophorus albicans</x:v>
      </x:c>
      <x:c r="T35" s="32" t="n">
        <x:f>IF(O35="","",(1/'Metadata'!$B$5)^(O35-1))</x:f>
        <x:v>3162.2776601683795</x:v>
      </x:c>
      <x:c r="U35" s="31" t="n">
        <x:f>IF(T35="","",I35*T35)</x:f>
        <x:v>0.839739354152287</x:v>
      </x:c>
    </x:row>
    <x:row r="36" ht="18" customHeight="1">
      <x:c r="A36" s="24" t="str">
        <x:v>EEZ_630</x:v>
      </x:c>
      <x:c r="B36" s="24" t="str">
        <x:v>Puerto Rico (USA)</x:v>
      </x:c>
      <x:c r="C36" s="24" t="str">
        <x:v>EEZ</x:v>
      </x:c>
      <x:c r="D36" s="30" t="n">
        <x:v>2019</x:v>
      </x:c>
      <x:c r="E36" s="24" t="str">
        <x:v>Kajikia albida</x:v>
      </x:c>
      <x:c r="F36" s="24" t="str">
        <x:v>Atlantic white marlin</x:v>
      </x:c>
      <x:c r="G36" s="24" t="str">
        <x:v>Large pelagics (&gt;=90 cm)</x:v>
      </x:c>
      <x:c r="H36" s="24" t="str">
        <x:v>Tuna &amp; billfishes</x:v>
      </x:c>
      <x:c r="I36" s="31" t="n">
        <x:v>0.0001742727</x:v>
      </x:c>
      <x:c r="J36" s="31" t="n">
        <x:v>0.0001742727</x:v>
      </x:c>
      <x:c r="K36" s="31" t="n">
        <x:v>0</x:v>
      </x:c>
      <x:c r="L36" s="31" t="n">
        <x:v>0.0001742727</x:v>
      </x:c>
      <x:c r="M36" s="31" t="n">
        <x:v>0</x:v>
      </x:c>
      <x:c r="N36" s="24" t="str">
        <x:v>kajikia albida</x:v>
      </x:c>
      <x:c r="O36" s="32" t="n">
        <x:v>4.49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Kajikia albida</x:v>
      </x:c>
      <x:c r="T36" s="32" t="n">
        <x:f>IF(O36="","",(1/'Metadata'!$B$5)^(O36-1))</x:f>
        <x:v>3090.295432513592</x:v>
      </x:c>
      <x:c r="U36" s="31" t="n">
        <x:f>IF(T36="","",I36*T36)</x:f>
        <x:v>0.5385541288218114</x:v>
      </x:c>
    </x:row>
    <x:row r="37" ht="18" customHeight="1">
      <x:c r="A37" s="24" t="str">
        <x:v>EEZ_630</x:v>
      </x:c>
      <x:c r="B37" s="24" t="str">
        <x:v>Puerto Rico (USA)</x:v>
      </x:c>
      <x:c r="C37" s="24" t="str">
        <x:v>EEZ</x:v>
      </x:c>
      <x:c r="D37" s="30" t="n">
        <x:v>2019</x:v>
      </x:c>
      <x:c r="E37" s="24" t="str">
        <x:v>Istiophoridae</x:v>
      </x:c>
      <x:c r="F37" s="24" t="str">
        <x:v>Billfishes</x:v>
      </x:c>
      <x:c r="G37" s="24" t="str">
        <x:v>Large pelagics (&gt;=90 cm)</x:v>
      </x:c>
      <x:c r="H37" s="24" t="str">
        <x:v>Tuna &amp; billfishes</x:v>
      </x:c>
      <x:c r="I37" s="31" t="n">
        <x:v>0.0000181744</x:v>
      </x:c>
      <x:c r="J37" s="31" t="n">
        <x:v>0.0000181744</x:v>
      </x:c>
      <x:c r="K37" s="31" t="n">
        <x:v>0</x:v>
      </x:c>
      <x:c r="L37" s="31" t="n">
        <x:v>0.0000181744</x:v>
      </x:c>
      <x:c r="M37" s="31" t="n">
        <x:v>0</x:v>
      </x:c>
      <x:c r="N37" s="24" t="str">
        <x:v>istiophoridae</x:v>
      </x:c>
      <x:c r="O37" s="32" t="n">
        <x:v>4.48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Istiophoridae</x:v>
      </x:c>
      <x:c r="T37" s="32" t="n">
        <x:f>IF(O37="","",(1/'Metadata'!$B$5)^(O37-1))</x:f>
        <x:v>3019.951720402019</x:v>
      </x:c>
      <x:c r="U37" s="31" t="n">
        <x:f>IF(T37="","",I37*T37)</x:f>
        <x:v>0.054885810547274455</x:v>
      </x:c>
    </x:row>
  </x:sheetData>
  <x:conditionalFormatting sqref="R2:R3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25398e5e6ad41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146.7852115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23263.888246031485</x:v>
      </x:c>
    </x:row>
    <x:row r="3" ht="18" customHeight="1">
      <x:c r="A3" s="24" t="str">
        <x:v>Crustaceans</x:v>
      </x:c>
      <x:c r="B3" s="31" t="n">
        <x:v>101.56060384</x:v>
      </x:c>
      <x:c r="C3" s="32" t="n">
        <x:v>3.2</x:v>
      </x:c>
      <x:c r="D3" s="32" t="n">
        <x:f>IF(C3="","",(1/'Metadata'!$B$5)^(C3-1))</x:f>
        <x:v>158.48931924611142</x:v>
      </x:c>
      <x:c r="E3" s="31" t="n">
        <x:f>IF(B3=0,"",B3*D3)</x:f>
        <x:v>16096.27096482561</x:v>
      </x:c>
    </x:row>
    <x:row r="4" ht="18" customHeight="1">
      <x:c r="A4" s="24" t="str">
        <x:v>Molluscs</x:v>
      </x:c>
      <x:c r="B4" s="31" t="n">
        <x:v>151.770340554</x:v>
      </x:c>
      <x:c r="C4" s="32" t="n">
        <x:v>2.180225563910017</x:v>
      </x:c>
      <x:c r="D4" s="32" t="n">
        <x:f>IF(C4="","",(1/'Metadata'!$B$5)^(C4-1))</x:f>
        <x:v>15.143475662050397</x:v>
      </x:c>
      <x:c r="E4" s="31" t="n">
        <x:f>IF(B4=0,"",B4*D4)</x:f>
        <x:v>2298.3304584005996</x:v>
      </x:c>
    </x:row>
    <x:row r="5" ht="18" customHeight="1">
      <x:c r="A5" s="24" t="str">
        <x:v>Other fishes &amp; inverts</x:v>
      </x:c>
      <x:c r="B5" s="31" t="n">
        <x:v>427.3414364303</x:v>
      </x:c>
      <x:c r="C5" s="32" t="n">
        <x:v>3.2009876558120847</x:v>
      </x:c>
      <x:c r="D5" s="32" t="n">
        <x:f>IF(C5="","",(1/'Metadata'!$B$5)^(C5-1))</x:f>
        <x:v>158.85015971125227</x:v>
      </x:c>
      <x:c r="E5" s="31" t="n">
        <x:f>IF(B5=0,"",B5*D5)</x:f>
        <x:v>67883.25542818912</x:v>
      </x:c>
    </x:row>
    <x:row r="6" ht="18" customHeight="1">
      <x:c r="A6" s="24" t="str">
        <x:v>Perch-likes</x:v>
      </x:c>
      <x:c r="B6" s="31" t="n">
        <x:v>992.4788736127</x:v>
      </x:c>
      <x:c r="C6" s="32" t="n">
        <x:v>4.025821973029639</x:v>
      </x:c>
      <x:c r="D6" s="32" t="n">
        <x:f>IF(C6="","",(1/'Metadata'!$B$5)^(C6-1))</x:f>
        <x:v>1061.2604337585974</x:v>
      </x:c>
      <x:c r="E6" s="31" t="n">
        <x:f>IF(B6=0,"",B6*D6)</x:f>
        <x:v>1053278.5599064582</x:v>
      </x:c>
    </x:row>
    <x:row r="7" ht="18" customHeight="1">
      <x:c r="A7" s="24" t="str">
        <x:v>Sharks &amp; rays</x:v>
      </x:c>
      <x:c r="B7" s="31" t="n">
        <x:v>0.0075998535999999995</x:v>
      </x:c>
      <x:c r="C7" s="32" t="n">
        <x:v>4.463903361901603</x:v>
      </x:c>
      <x:c r="D7" s="32" t="n">
        <x:f>IF(C7="","",(1/'Metadata'!$B$5)^(C7-1))</x:f>
        <x:v>2910.0695047863023</x:v>
      </x:c>
      <x:c r="E7" s="31" t="n">
        <x:f>IF(B7=0,"",B7*D7)</x:f>
        <x:v>22.116102202200395</x:v>
      </x:c>
    </x:row>
    <x:row r="8" ht="18" customHeight="1">
      <x:c r="A8" s="24" t="str">
        <x:v>Tuna &amp; billfishes</x:v>
      </x:c>
      <x:c r="B8" s="31" t="n">
        <x:v>46.161237722900005</x:v>
      </x:c>
      <x:c r="C8" s="32" t="n">
        <x:v>4.397321397132996</x:v>
      </x:c>
      <x:c r="D8" s="32" t="n">
        <x:f>IF(C8="","",(1/'Metadata'!$B$5)^(C8-1))</x:f>
        <x:v>2496.441520690399</x:v>
      </x:c>
      <x:c r="E8" s="31" t="n">
        <x:f>IF(B8=0,"",B8*D8)</x:f>
        <x:v>115238.8304979075</x:v>
      </x:c>
    </x:row>
  </x:sheetData>
  <x:pageMargins left="0.7" right="0.7" top="0.75" bottom="0.75" header="0.3" footer="0.3"/>
  <x:tableParts count="1">
    <x:tablePart xmlns:r="http://schemas.openxmlformats.org/officeDocument/2006/relationships" r:id="Rab302a528bd14c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29.669389889</x:v>
      </x:c>
      <x:c r="C2" s="32" t="n">
        <x:v>3.59</x:v>
      </x:c>
      <x:c r="D2" s="32" t="n">
        <x:f>IF(C2="","",(1/'Metadata'!$B$5)^(C2-1))</x:f>
        <x:v>389.04514499428046</x:v>
      </x:c>
      <x:c r="E2" s="31" t="n">
        <x:f>IF(B2=0,"",B2*D2)</x:f>
        <x:v>11542.732091257843</x:v>
      </x:c>
    </x:row>
    <x:row r="3" ht="18" customHeight="1">
      <x:c r="A3" s="24" t="str">
        <x:v>Large pelagics (&gt;=90 cm)</x:v>
      </x:c>
      <x:c r="B3" s="31" t="n">
        <x:v>136.46517508639997</x:v>
      </x:c>
      <x:c r="C3" s="32" t="n">
        <x:v>4.408504891989837</x:v>
      </x:c>
      <x:c r="D3" s="32" t="n">
        <x:f>IF(C3="","",(1/'Metadata'!$B$5)^(C3-1))</x:f>
        <x:v>2561.5621179320424</x:v>
      </x:c>
      <x:c r="E3" s="31" t="n">
        <x:f>IF(B3=0,"",B3*D3)</x:f>
        <x:v>349564.0229182857</x:v>
      </x:c>
    </x:row>
    <x:row r="4" ht="18" customHeight="1">
      <x:c r="A4" s="24" t="str">
        <x:v>Large reef assoc. fish (&gt;=90 cm)</x:v>
      </x:c>
      <x:c r="B4" s="31" t="n">
        <x:v>21.681477223999998</x:v>
      </x:c>
      <x:c r="C4" s="32" t="n">
        <x:v>4.51</x:v>
      </x:c>
      <x:c r="D4" s="32" t="n">
        <x:f>IF(C4="","",(1/'Metadata'!$B$5)^(C4-1))</x:f>
        <x:v>3235.936569296281</x:v>
      </x:c>
      <x:c r="E4" s="31" t="n">
        <x:f>IF(B4=0,"",B4*D4)</x:f>
        <x:v>70159.88502550601</x:v>
      </x:c>
    </x:row>
    <x:row r="5" ht="18" customHeight="1">
      <x:c r="A5" s="24" t="str">
        <x:v>Large sharks (&gt;=90 cm)</x:v>
      </x:c>
      <x:c r="B5" s="31" t="n">
        <x:v>0.0075998535999999995</x:v>
      </x:c>
      <x:c r="C5" s="32" t="n">
        <x:v>4.463903361901603</x:v>
      </x:c>
      <x:c r="D5" s="32" t="n">
        <x:f>IF(C5="","",(1/'Metadata'!$B$5)^(C5-1))</x:f>
        <x:v>2910.0695047863023</x:v>
      </x:c>
      <x:c r="E5" s="31" t="n">
        <x:f>IF(B5=0,"",B5*D5)</x:f>
        <x:v>22.116102202200395</x:v>
      </x:c>
    </x:row>
    <x:row r="6" ht="18" customHeight="1">
      <x:c r="A6" s="24" t="str">
        <x:v>Lobsters, crabs</x:v>
      </x:c>
      <x:c r="B6" s="31" t="n">
        <x:v>101.56060384</x:v>
      </x:c>
      <x:c r="C6" s="32" t="n">
        <x:v>3.2</x:v>
      </x:c>
      <x:c r="D6" s="32" t="n">
        <x:f>IF(C6="","",(1/'Metadata'!$B$5)^(C6-1))</x:f>
        <x:v>158.48931924611142</x:v>
      </x:c>
      <x:c r="E6" s="31" t="n">
        <x:f>IF(B6=0,"",B6*D6)</x:f>
        <x:v>16096.27096482561</x:v>
      </x:c>
    </x:row>
    <x:row r="7" ht="18" customHeight="1">
      <x:c r="A7" s="24" t="str">
        <x:v>Medium bathydemersals (30 - 89 cm)</x:v>
      </x:c>
      <x:c r="B7" s="31" t="n">
        <x:v>107.358111436</x:v>
      </x:c>
      <x:c r="C7" s="32" t="n">
        <x:v>4.36</x:v>
      </x:c>
      <x:c r="D7" s="32" t="n">
        <x:f>IF(C7="","",(1/'Metadata'!$B$5)^(C7-1))</x:f>
        <x:v>2290.867652767775</x:v>
      </x:c>
      <x:c r="E7" s="31" t="n">
        <x:f>IF(B7=0,"",B7*D7)</x:f>
        <x:v>245943.22475097052</x:v>
      </x:c>
    </x:row>
    <x:row r="8" ht="18" customHeight="1">
      <x:c r="A8" s="24" t="str">
        <x:v>Medium demersals (30 - 89 cm)</x:v>
      </x:c>
      <x:c r="B8" s="31" t="n">
        <x:v>437.464522726</x:v>
      </x:c>
      <x:c r="C8" s="32" t="n">
        <x:v>3.300042527928171</x:v>
      </x:c>
      <x:c r="D8" s="32" t="n">
        <x:f>IF(C8="","",(1/'Metadata'!$B$5)^(C8-1))</x:f>
        <x:v>199.54577089486142</x:v>
      </x:c>
      <x:c r="E8" s="31" t="n">
        <x:f>IF(B8=0,"",B8*D8)</x:f>
        <x:v>87294.19542651229</x:v>
      </x:c>
    </x:row>
    <x:row r="9" ht="18" customHeight="1">
      <x:c r="A9" s="24" t="str">
        <x:v>Medium pelagics (30 - 89 cm)</x:v>
      </x:c>
      <x:c r="B9" s="31" t="n">
        <x:v>56.812364514500004</x:v>
      </x:c>
      <x:c r="C9" s="32" t="n">
        <x:v>4.2191418847083435</x:v>
      </x:c>
      <x:c r="D9" s="32" t="n">
        <x:f>IF(C9="","",(1/'Metadata'!$B$5)^(C9-1))</x:f>
        <x:v>1656.3109945626486</x:v>
      </x:c>
      <x:c r="E9" s="31" t="n">
        <x:f>IF(B9=0,"",B9*D9)</x:f>
        <x:v>94098.94397246723</x:v>
      </x:c>
    </x:row>
    <x:row r="10" ht="18" customHeight="1">
      <x:c r="A10" s="24" t="str">
        <x:v>Medium reef assoc. fish (30 - 89 cm)</x:v>
      </x:c>
      <x:c r="B10" s="31" t="n">
        <x:v>644.3358275370001</x:v>
      </x:c>
      <x:c r="C10" s="32" t="n">
        <x:v>3.92788085561894</x:v>
      </x:c>
      <x:c r="D10" s="32" t="n">
        <x:f>IF(C10="","",(1/'Metadata'!$B$5)^(C10-1))</x:f>
        <x:v>846.9950175869318</x:v>
      </x:c>
      <x:c r="E10" s="31" t="n">
        <x:f>IF(B10=0,"",B10*D10)</x:f>
        <x:v>545749.2355765917</x:v>
      </x:c>
    </x:row>
    <x:row r="11" ht="18" customHeight="1">
      <x:c r="A11" s="24" t="str">
        <x:v>Other demersal invertebrates</x:v>
      </x:c>
      <x:c r="B11" s="31" t="n">
        <x:v>183.965019907</x:v>
      </x:c>
      <x:c r="C11" s="32" t="n">
        <x:v>2.2239371775883057</x:v>
      </x:c>
      <x:c r="D11" s="32" t="n">
        <x:f>IF(C11="","",(1/'Metadata'!$B$5)^(C11-1))</x:f>
        <x:v>16.74700606448666</x:v>
      </x:c>
      <x:c r="E11" s="31" t="n">
        <x:f>IF(B11=0,"",B11*D11)</x:f>
        <x:v>3080.8633040359377</x:v>
      </x:c>
    </x:row>
    <x:row r="12" ht="18" customHeight="1">
      <x:c r="A12" s="24" t="str">
        <x:v>Small pelagics (&lt;30 cm)</x:v>
      </x:c>
      <x:c r="B12" s="31" t="n">
        <x:v>146.7852115</x:v>
      </x:c>
      <x:c r="C12" s="32" t="n">
        <x:v>3.2</x:v>
      </x:c>
      <x:c r="D12" s="32" t="n">
        <x:f>IF(C12="","",(1/'Metadata'!$B$5)^(C12-1))</x:f>
        <x:v>158.48931924611142</x:v>
      </x:c>
      <x:c r="E12" s="31" t="n">
        <x:f>IF(B12=0,"",B12*D12)</x:f>
        <x:v>23263.888246031485</x:v>
      </x:c>
    </x:row>
  </x:sheetData>
  <x:pageMargins left="0.7" right="0.7" top="0.75" bottom="0.75" header="0.3" footer="0.3"/>
  <x:tableParts count="1">
    <x:tablePart xmlns:r="http://schemas.openxmlformats.org/officeDocument/2006/relationships" r:id="R6afdd450c5fb45e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EEZ_630</x:v>
      </x:c>
      <x:c r="B2" s="24" t="str">
        <x:v>raw_filtered_tonnes</x:v>
      </x:c>
      <x:c r="C2" s="24" t="n">
        <x:v>1866.1053035135</x:v>
      </x:c>
      <x:c r="D2" s="24" t="str">
        <x:v>tonnes</x:v>
      </x:c>
    </x:row>
    <x:row r="3" ht="18" customHeight="1">
      <x:c r="A3" s="24" t="str">
        <x:v>EEZ_630</x:v>
      </x:c>
      <x:c r="B3" s="24" t="str">
        <x:v>species_catch_tonnes</x:v>
      </x:c>
      <x:c r="C3" s="24" t="n">
        <x:v>1866.1053035134998</x:v>
      </x:c>
      <x:c r="D3" s="24" t="str">
        <x:v>tonnes</x:v>
      </x:c>
    </x:row>
    <x:row r="4" ht="18" customHeight="1">
      <x:c r="A4" s="24" t="str">
        <x:v>EEZ_630</x:v>
      </x:c>
      <x:c r="B4" s="24" t="str">
        <x:v>catch_difference_tonnes</x:v>
      </x:c>
      <x:c r="C4" s="24" t="n">
        <x:v>-2.2737367544323206e-13</x:v>
      </x:c>
      <x:c r="D4" s="24" t="str">
        <x:v>tonnes</x:v>
      </x:c>
    </x:row>
    <x:row r="5" ht="18" customHeight="1">
      <x:c r="A5" s="24" t="str">
        <x:v>EEZ_630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EEZ_630</x:v>
      </x:c>
      <x:c r="B6" s="24" t="str">
        <x:v>matched_catch_tonnes</x:v>
      </x:c>
      <x:c r="C6" s="24" t="n">
        <x:v>1866.1053035134998</x:v>
      </x:c>
      <x:c r="D6" s="24" t="str">
        <x:v>tonnes</x:v>
      </x:c>
    </x:row>
    <x:row r="7" ht="18" customHeight="1">
      <x:c r="A7" s="24" t="str">
        <x:v>EEZ_630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EEZ_630</x:v>
      </x:c>
      <x:c r="B8" s="24" t="str">
        <x:v>taxa_count</x:v>
      </x:c>
      <x:c r="C8" s="24" t="n">
        <x:v>36</x:v>
      </x:c>
      <x:c r="D8" s="24" t="str">
        <x:v>count</x:v>
      </x:c>
    </x:row>
    <x:row r="9" ht="18" customHeight="1">
      <x:c r="A9" s="24" t="str">
        <x:v>EEZ_630</x:v>
      </x:c>
      <x:c r="B9" s="24" t="str">
        <x:v>matched_taxa_count</x:v>
      </x:c>
      <x:c r="C9" s="24" t="n">
        <x:v>36</x:v>
      </x:c>
      <x:c r="D9" s="24" t="str">
        <x:v>count</x:v>
      </x:c>
    </x:row>
    <x:row r="10" ht="18" customHeight="1">
      <x:c r="A10" s="24" t="str">
        <x:v>EEZ_630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EEZ_630</x:v>
      </x:c>
      <x:c r="B11" s="24" t="str">
        <x:v>species_ppr</x:v>
      </x:c>
      <x:c r="C11" s="24" t="n">
        <x:v>1514296.9073134165</x:v>
      </x:c>
      <x:c r="D11" s="24" t="str">
        <x:v>tonnes_primary_production_equivalent</x:v>
      </x:c>
    </x:row>
    <x:row r="12" ht="18" customHeight="1">
      <x:c r="A12" s="24" t="str">
        <x:v>EEZ_630</x:v>
      </x:c>
      <x:c r="B12" s="24" t="str">
        <x:v>commercial_ppr</x:v>
      </x:c>
      <x:c r="C12" s="24" t="n">
        <x:v>1278081.2516040145</x:v>
      </x:c>
      <x:c r="D12" s="24" t="str">
        <x:v>tonnes_primary_production_equivalent</x:v>
      </x:c>
    </x:row>
    <x:row r="13" ht="18" customHeight="1">
      <x:c r="A13" s="24" t="str">
        <x:v>EEZ_630</x:v>
      </x:c>
      <x:c r="B13" s="24" t="str">
        <x:v>functional_ppr</x:v>
      </x:c>
      <x:c r="C13" s="24" t="n">
        <x:v>1446815.3783786865</x:v>
      </x:c>
      <x:c r="D13" s="24" t="str">
        <x:v>tonnes_primary_production_equivalent</x:v>
      </x:c>
    </x:row>
    <x:row r="14" ht="18" customHeight="1">
      <x:c r="A14" s="24" t="str">
        <x:v>EEZ_630</x:v>
      </x:c>
      <x:c r="B14" s="24" t="str">
        <x:v>commercial_ppr_difference</x:v>
      </x:c>
      <x:c r="C14" s="24" t="n">
        <x:v>-236215.65570940194</x:v>
      </x:c>
      <x:c r="D14" s="24" t="str">
        <x:v>tonnes_primary_production_equivalent</x:v>
      </x:c>
    </x:row>
    <x:row r="15" ht="18" customHeight="1">
      <x:c r="A15" s="24" t="str">
        <x:v>EEZ_630</x:v>
      </x:c>
      <x:c r="B15" s="24" t="str">
        <x:v>functional_ppr_difference</x:v>
      </x:c>
      <x:c r="C15" s="24" t="n">
        <x:v>-67481.52893472998</x:v>
      </x:c>
      <x:c r="D15" s="24" t="str">
        <x:v>tonnes_primary_production_equivalent</x:v>
      </x:c>
    </x:row>
    <x:row r="16" ht="18" customHeight="1">
      <x:c r="A16" s="24" t="str">
        <x:v>EEZ_630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EEZ_630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8e514b6c6984d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EEZ_630 - Puerto Rico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EEZ_630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raw_data/SAU_downloads/EEZ_630-catch.zip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