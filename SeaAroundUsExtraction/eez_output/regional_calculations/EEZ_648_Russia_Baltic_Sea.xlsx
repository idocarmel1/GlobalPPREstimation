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c36038f8f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2c91feb40e54dcb"/>
    <x:sheet xmlns:r="http://schemas.openxmlformats.org/officeDocument/2006/relationships" name="Commercial" sheetId="2" r:id="R7d5e8c138d8f4d51"/>
    <x:sheet xmlns:r="http://schemas.openxmlformats.org/officeDocument/2006/relationships" name="Functional" sheetId="3" r:id="R05e8c76404174b2b"/>
    <x:sheet xmlns:r="http://schemas.openxmlformats.org/officeDocument/2006/relationships" name="Missing TL" sheetId="4" r:id="R84e77d473c1b4b26"/>
    <x:sheet xmlns:r="http://schemas.openxmlformats.org/officeDocument/2006/relationships" name="Validation" sheetId="5" r:id="R4514ed1c6a034816"/>
    <x:sheet xmlns:r="http://schemas.openxmlformats.org/officeDocument/2006/relationships" name="Metadata" sheetId="6" r:id="R8f2b23549123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d5f2f5d384dad" /><Relationship Type="http://schemas.openxmlformats.org/officeDocument/2006/relationships/theme" Target="/xl/theme/theme1.xml" Id="R2a16e25d521f48a3" /><Relationship Type="http://schemas.microsoft.com/office/2022/11/relationships/FeaturePropertyBag" Target="/xl/featurePropertyBag/featurePropertyBag.xml" Id="R91deaeba9fc649c9" /><Relationship Type="http://schemas.openxmlformats.org/officeDocument/2006/relationships/sharedStrings" Target="/xl/sharedStrings.xml" Id="R174c4f6ccbcf4a01" /><Relationship Type="http://schemas.openxmlformats.org/officeDocument/2006/relationships/worksheet" Target="/xl/worksheets/sheet1.xml" Id="Rd2c91feb40e54dcb" /><Relationship Type="http://schemas.openxmlformats.org/officeDocument/2006/relationships/worksheet" Target="/xl/worksheets/sheet2.xml" Id="R7d5e8c138d8f4d51" /><Relationship Type="http://schemas.openxmlformats.org/officeDocument/2006/relationships/worksheet" Target="/xl/worksheets/sheet3.xml" Id="R05e8c76404174b2b" /><Relationship Type="http://schemas.openxmlformats.org/officeDocument/2006/relationships/worksheet" Target="/xl/worksheets/sheet4.xml" Id="R84e77d473c1b4b26" /><Relationship Type="http://schemas.openxmlformats.org/officeDocument/2006/relationships/worksheet" Target="/xl/worksheets/sheet5.xml" Id="R4514ed1c6a034816" /><Relationship Type="http://schemas.openxmlformats.org/officeDocument/2006/relationships/worksheet" Target="/xl/worksheets/sheet6.xml" Id="R8f2b2354912345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48SpeciesTable" displayName="EEZ648SpeciesTable" ref="A1:U48" headerRowCount="1" totalsRowCount="0" totalsRowShown="0">
  <x:autoFilter ref="A1:U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48CommercialTable" displayName="EEZ648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48FunctionalTable" displayName="EEZ648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48ValidationTable" displayName="EEZ64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4268e6daaa44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c1926c06b24e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a2bca2e08942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afda9d2a6c43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EEZ_648</x:v>
      </x:c>
      <x:c r="B2" s="24" t="str">
        <x:v>Russia (Baltic Sea)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51397.3915356314</x:v>
      </x:c>
      <x:c r="J2" s="31" t="n">
        <x:v>51130.681004242004</x:v>
      </x:c>
      <x:c r="K2" s="31" t="n">
        <x:v>266.7105313894</x:v>
      </x:c>
      <x:c r="L2" s="31" t="n">
        <x:v>45815.422127470905</x:v>
      </x:c>
      <x:c r="M2" s="31" t="n">
        <x:v>5581.9694081605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12329375.47674063</x:v>
      </x:c>
    </x:row>
    <x:row r="3" ht="18" customHeight="1">
      <x:c r="A3" s="24" t="str">
        <x:v>EEZ_648</x:v>
      </x:c>
      <x:c r="B3" s="24" t="str">
        <x:v>Russia (Baltic Sea)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47952.0491334899</x:v>
      </x:c>
      <x:c r="J3" s="31" t="n">
        <x:v>47264.1260960033</x:v>
      </x:c>
      <x:c r="K3" s="31" t="n">
        <x:v>687.9230374865999</x:v>
      </x:c>
      <x:c r="L3" s="31" t="n">
        <x:v>45013.0796123598</x:v>
      </x:c>
      <x:c r="M3" s="31" t="n">
        <x:v>2938.9695211301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4906899.58438026</x:v>
      </x:c>
    </x:row>
    <x:row r="4" ht="18" customHeight="1">
      <x:c r="A4" s="24" t="str">
        <x:v>EEZ_648</x:v>
      </x:c>
      <x:c r="B4" s="24" t="str">
        <x:v>Russia (Baltic Sea)</x:v>
      </x:c>
      <x:c r="C4" s="24" t="str">
        <x:v>EEZ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4900.7291736517</x:v>
      </x:c>
      <x:c r="J4" s="31" t="n">
        <x:v>4204.6822450295</x:v>
      </x:c>
      <x:c r="K4" s="31" t="n">
        <x:v>696.0469286222</x:v>
      </x:c>
      <x:c r="L4" s="31" t="n">
        <x:v>1608.5240344592999</x:v>
      </x:c>
      <x:c r="M4" s="31" t="n">
        <x:v>3292.2051391924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6029214.0565528525</x:v>
      </x:c>
    </x:row>
    <x:row r="5" ht="18" customHeight="1">
      <x:c r="A5" s="24" t="str">
        <x:v>EEZ_648</x:v>
      </x:c>
      <x:c r="B5" s="24" t="str">
        <x:v>Russia (Baltic Sea)</x:v>
      </x:c>
      <x:c r="C5" s="24" t="str">
        <x:v>EEZ</x:v>
      </x:c>
      <x:c r="D5" s="30" t="n">
        <x:v>2019</x:v>
      </x:c>
      <x:c r="E5" s="24" t="str">
        <x:v>Cyprinidae</x:v>
      </x:c>
      <x:c r="F5" s="24" t="str">
        <x:v>Carps, barbels, other cyprinids</x:v>
      </x:c>
      <x:c r="G5" s="24" t="str">
        <x:v>Medium demersals (30 - 89 cm)</x:v>
      </x:c>
      <x:c r="H5" s="24" t="str">
        <x:v>Other fishes &amp; inverts</x:v>
      </x:c>
      <x:c r="I5" s="31" t="n">
        <x:v>2910.4587078604</x:v>
      </x:c>
      <x:c r="J5" s="31" t="n">
        <x:v>2876.5780562136</x:v>
      </x:c>
      <x:c r="K5" s="31" t="n">
        <x:v>33.8806516468</x:v>
      </x:c>
      <x:c r="L5" s="31" t="n">
        <x:v>2822.8327465359002</x:v>
      </x:c>
      <x:c r="M5" s="31" t="n">
        <x:v>87.6259613245</x:v>
      </x:c>
      <x:c r="N5" s="24" t="str">
        <x:v>cyprinidae</x:v>
      </x:c>
      <x:c r="O5" s="32" t="n">
        <x:v>2.8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Cyprinidae</x:v>
      </x:c>
      <x:c r="T5" s="32" t="n">
        <x:f>IF(O5="","",(1/'Metadata'!$B$5)^(O5-1))</x:f>
        <x:v>63.0957344480193</x:v>
      </x:c>
      <x:c r="U5" s="31" t="n">
        <x:f>IF(T5="","",I5*T5)</x:f>
        <x:v>183637.52975308517</x:v>
      </x:c>
    </x:row>
    <x:row r="6" ht="18" customHeight="1">
      <x:c r="A6" s="24" t="str">
        <x:v>EEZ_648</x:v>
      </x:c>
      <x:c r="B6" s="24" t="str">
        <x:v>Russia (Baltic Sea)</x:v>
      </x:c>
      <x:c r="C6" s="24" t="str">
        <x:v>EEZ</x:v>
      </x:c>
      <x:c r="D6" s="30" t="n">
        <x:v>2019</x:v>
      </x:c>
      <x:c r="E6" s="24" t="str">
        <x:v>Platichthys flesus</x:v>
      </x:c>
      <x:c r="F6" s="24" t="str">
        <x:v>European flounder</x:v>
      </x:c>
      <x:c r="G6" s="24" t="str">
        <x:v>Small to medium flatfishes (&lt;90 cm)</x:v>
      </x:c>
      <x:c r="H6" s="24" t="str">
        <x:v>Flatfishes</x:v>
      </x:c>
      <x:c r="I6" s="31" t="n">
        <x:v>952.0985147431</x:v>
      </x:c>
      <x:c r="J6" s="31" t="n">
        <x:v>728.8567512133</x:v>
      </x:c>
      <x:c r="K6" s="31" t="n">
        <x:v>223.2417635298</x:v>
      </x:c>
      <x:c r="L6" s="31" t="n">
        <x:v>653.2765108536</x:v>
      </x:c>
      <x:c r="M6" s="31" t="n">
        <x:v>298.8220038895</x:v>
      </x:c>
      <x:c r="N6" s="24" t="str">
        <x:v>platichthys flesus</x:v>
      </x:c>
      <x:c r="O6" s="32" t="n">
        <x:v>3.32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Platichthys flesus</x:v>
      </x:c>
      <x:c r="T6" s="32" t="n">
        <x:f>IF(O6="","",(1/'Metadata'!$B$5)^(O6-1))</x:f>
        <x:v>208.92961308540387</x:v>
      </x:c>
      <x:c r="U6" s="31" t="n">
        <x:f>IF(T6="","",I6*T6)</x:f>
        <x:v>198921.57430446357</x:v>
      </x:c>
    </x:row>
    <x:row r="7" ht="18" customHeight="1">
      <x:c r="A7" s="24" t="str">
        <x:v>EEZ_648</x:v>
      </x:c>
      <x:c r="B7" s="24" t="str">
        <x:v>Russia (Baltic Sea)</x:v>
      </x:c>
      <x:c r="C7" s="24" t="str">
        <x:v>EEZ</x:v>
      </x:c>
      <x:c r="D7" s="30" t="n">
        <x:v>2019</x:v>
      </x:c>
      <x:c r="E7" s="24" t="str">
        <x:v>Sander lucioperca</x:v>
      </x:c>
      <x:c r="F7" s="24" t="str">
        <x:v>Pike-perch</x:v>
      </x:c>
      <x:c r="G7" s="24" t="str">
        <x:v>Large pelagics (&gt;=90 cm)</x:v>
      </x:c>
      <x:c r="H7" s="24" t="str">
        <x:v>Perch-likes</x:v>
      </x:c>
      <x:c r="I7" s="31" t="n">
        <x:v>710.8603152995</x:v>
      </x:c>
      <x:c r="J7" s="31" t="n">
        <x:v>709.9932469147</x:v>
      </x:c>
      <x:c r="K7" s="31" t="n">
        <x:v>0.8670683848</x:v>
      </x:c>
      <x:c r="L7" s="31" t="n">
        <x:v>696.583921666</x:v>
      </x:c>
      <x:c r="M7" s="31" t="n">
        <x:v>14.2763936335</x:v>
      </x:c>
      <x:c r="N7" s="24" t="str">
        <x:v>sander lucioperca</x:v>
      </x:c>
      <x:c r="O7" s="32" t="n">
        <x:v>4.04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Sander lucioperca</x:v>
      </x:c>
      <x:c r="T7" s="32" t="n">
        <x:f>IF(O7="","",(1/'Metadata'!$B$5)^(O7-1))</x:f>
        <x:v>1096.4781961431852</x:v>
      </x:c>
      <x:c r="U7" s="31" t="n">
        <x:f>IF(T7="","",I7*T7)</x:f>
        <x:v>779442.8362293716</x:v>
      </x:c>
    </x:row>
    <x:row r="8" ht="18" customHeight="1">
      <x:c r="A8" s="24" t="str">
        <x:v>EEZ_648</x:v>
      </x:c>
      <x:c r="B8" s="24" t="str">
        <x:v>Russia (Baltic Sea)</x:v>
      </x:c>
      <x:c r="C8" s="24" t="str">
        <x:v>EEZ</x:v>
      </x:c>
      <x:c r="D8" s="30" t="n">
        <x:v>2019</x:v>
      </x:c>
      <x:c r="E8" s="24" t="str">
        <x:v>Scophthalmidae</x:v>
      </x:c>
      <x:c r="F8" s="24" t="str">
        <x:v>Turbots</x:v>
      </x:c>
      <x:c r="G8" s="24" t="str">
        <x:v>Small to medium flatfishes (&lt;90 cm)</x:v>
      </x:c>
      <x:c r="H8" s="24" t="str">
        <x:v>Flatfishes</x:v>
      </x:c>
      <x:c r="I8" s="31" t="n">
        <x:v>703.7508407921999</x:v>
      </x:c>
      <x:c r="J8" s="31" t="n">
        <x:v>702.9695992871</x:v>
      </x:c>
      <x:c r="K8" s="31" t="n">
        <x:v>0.7812415051</x:v>
      </x:c>
      <x:c r="L8" s="31" t="n">
        <x:v>0</x:v>
      </x:c>
      <x:c r="M8" s="31" t="n">
        <x:v>703.7508407921999</x:v>
      </x:c>
      <x:c r="N8" s="24" t="str">
        <x:v>scophthalmidae</x:v>
      </x:c>
      <x:c r="O8" s="32" t="n">
        <x:v>3.71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Scophthalmidae</x:v>
      </x:c>
      <x:c r="T8" s="32" t="n">
        <x:f>IF(O8="","",(1/'Metadata'!$B$5)^(O8-1))</x:f>
        <x:v>512.8613839913648</x:v>
      </x:c>
      <x:c r="U8" s="31" t="n">
        <x:f>IF(T8="","",I8*T8)</x:f>
        <x:v>360926.6301937743</x:v>
      </x:c>
    </x:row>
    <x:row r="9" ht="18" customHeight="1">
      <x:c r="A9" s="24" t="str">
        <x:v>EEZ_648</x:v>
      </x:c>
      <x:c r="B9" s="24" t="str">
        <x:v>Russia (Baltic Sea)</x:v>
      </x:c>
      <x:c r="C9" s="24" t="str">
        <x:v>EEZ</x:v>
      </x:c>
      <x:c r="D9" s="30" t="n">
        <x:v>2019</x:v>
      </x:c>
      <x:c r="E9" s="24" t="str">
        <x:v>Osmerus eperlanus</x:v>
      </x:c>
      <x:c r="F9" s="24" t="str">
        <x:v>European smelt</x:v>
      </x:c>
      <x:c r="G9" s="24" t="str">
        <x:v>Medium pelagics (30 - 89 cm)</x:v>
      </x:c>
      <x:c r="H9" s="24" t="str">
        <x:v>Salmon, smelts, etc</x:v>
      </x:c>
      <x:c r="I9" s="31" t="n">
        <x:v>420.71118296990005</x:v>
      </x:c>
      <x:c r="J9" s="31" t="n">
        <x:v>402.13352780990004</x:v>
      </x:c>
      <x:c r="K9" s="31" t="n">
        <x:v>18.57765516</x:v>
      </x:c>
      <x:c r="L9" s="31" t="n">
        <x:v>371.88254031630004</x:v>
      </x:c>
      <x:c r="M9" s="31" t="n">
        <x:v>48.8286426536</x:v>
      </x:c>
      <x:c r="N9" s="24" t="str">
        <x:v>osmerus eperlanus</x:v>
      </x:c>
      <x:c r="O9" s="32" t="n">
        <x:v>3.46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Osmerus eperlanus</x:v>
      </x:c>
      <x:c r="T9" s="32" t="n">
        <x:f>IF(O9="","",(1/'Metadata'!$B$5)^(O9-1))</x:f>
        <x:v>288.40315031266056</x:v>
      </x:c>
      <x:c r="U9" s="31" t="n">
        <x:f>IF(T9="","",I9*T9)</x:f>
        <x:v>121334.43054028532</x:v>
      </x:c>
    </x:row>
    <x:row r="10" ht="18" customHeight="1">
      <x:c r="A10" s="24" t="str">
        <x:v>EEZ_648</x:v>
      </x:c>
      <x:c r="B10" s="24" t="str">
        <x:v>Russia (Baltic Sea)</x:v>
      </x:c>
      <x:c r="C10" s="24" t="str">
        <x:v>EEZ</x:v>
      </x:c>
      <x:c r="D10" s="30" t="n">
        <x:v>2019</x:v>
      </x:c>
      <x:c r="E10" s="24" t="str">
        <x:v>Rutilus rutilus</x:v>
      </x:c>
      <x:c r="F10" s="24" t="str">
        <x:v>Roach</x:v>
      </x:c>
      <x:c r="G10" s="24" t="str">
        <x:v>Medium benthopelagics (30 - 89 cm)</x:v>
      </x:c>
      <x:c r="H10" s="24" t="str">
        <x:v>Other fishes &amp; inverts</x:v>
      </x:c>
      <x:c r="I10" s="31" t="n">
        <x:v>291.8283298292</x:v>
      </x:c>
      <x:c r="J10" s="31" t="n">
        <x:v>276.4502434909</x:v>
      </x:c>
      <x:c r="K10" s="31" t="n">
        <x:v>15.3780863383</x:v>
      </x:c>
      <x:c r="L10" s="31" t="n">
        <x:v>238.6786893758</x:v>
      </x:c>
      <x:c r="M10" s="31" t="n">
        <x:v>53.149640453399996</x:v>
      </x:c>
      <x:c r="N10" s="24" t="str">
        <x:v>rutilus rutilus</x:v>
      </x:c>
      <x:c r="O10" s="32" t="n">
        <x:v>2.96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Rutilus rutilus</x:v>
      </x:c>
      <x:c r="T10" s="32" t="n">
        <x:f>IF(O10="","",(1/'Metadata'!$B$5)^(O10-1))</x:f>
        <x:v>91.20108393559097</x:v>
      </x:c>
      <x:c r="U10" s="31" t="n">
        <x:f>IF(T10="","",I10*T10)</x:f>
        <x:v>26615.060003536197</x:v>
      </x:c>
    </x:row>
    <x:row r="11" ht="18" customHeight="1">
      <x:c r="A11" s="24" t="str">
        <x:v>EEZ_648</x:v>
      </x:c>
      <x:c r="B11" s="24" t="str">
        <x:v>Russia (Baltic Sea)</x:v>
      </x:c>
      <x:c r="C11" s="24" t="str">
        <x:v>EEZ</x:v>
      </x:c>
      <x:c r="D11" s="30" t="n">
        <x:v>2019</x:v>
      </x:c>
      <x:c r="E11" s="24" t="str">
        <x:v>Perca fluviatilis</x:v>
      </x:c>
      <x:c r="F11" s="24" t="str">
        <x:v>European perch</x:v>
      </x:c>
      <x:c r="G11" s="24" t="str">
        <x:v>Medium demersals (30 - 89 cm)</x:v>
      </x:c>
      <x:c r="H11" s="24" t="str">
        <x:v>Perch-likes</x:v>
      </x:c>
      <x:c r="I11" s="31" t="n">
        <x:v>202.0924776018</x:v>
      </x:c>
      <x:c r="J11" s="31" t="n">
        <x:v>195.7412402169</x:v>
      </x:c>
      <x:c r="K11" s="31" t="n">
        <x:v>6.3512373849</x:v>
      </x:c>
      <x:c r="L11" s="31" t="n">
        <x:v>154.0877824305</x:v>
      </x:c>
      <x:c r="M11" s="31" t="n">
        <x:v>48.0046951713</x:v>
      </x:c>
      <x:c r="N11" s="24" t="str">
        <x:v>perca fluviatilis</x:v>
      </x:c>
      <x:c r="O11" s="32" t="n">
        <x:v>4.35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Perca fluviatilis</x:v>
      </x:c>
      <x:c r="T11" s="32" t="n">
        <x:f>IF(O11="","",(1/'Metadata'!$B$5)^(O11-1))</x:f>
        <x:v>2238.7211385683377</x:v>
      </x:c>
      <x:c r="U11" s="31" t="n">
        <x:f>IF(T11="","",I11*T11)</x:f>
        <x:v>452428.701552798</x:v>
      </x:c>
    </x:row>
    <x:row r="12" ht="18" customHeight="1">
      <x:c r="A12" s="24" t="str">
        <x:v>EEZ_648</x:v>
      </x:c>
      <x:c r="B12" s="24" t="str">
        <x:v>Russia (Baltic Sea)</x:v>
      </x:c>
      <x:c r="C12" s="24" t="str">
        <x:v>EEZ</x:v>
      </x:c>
      <x:c r="D12" s="30" t="n">
        <x:v>2019</x:v>
      </x:c>
      <x:c r="E12" s="24" t="str">
        <x:v>Gobiidae</x:v>
      </x:c>
      <x:c r="F12" s="24" t="str">
        <x:v>Gobies</x:v>
      </x:c>
      <x:c r="G12" s="24" t="str">
        <x:v>Small reef assoc. fish (&lt;30 cm)</x:v>
      </x:c>
      <x:c r="H12" s="24" t="str">
        <x:v>Perch-likes</x:v>
      </x:c>
      <x:c r="I12" s="31" t="n">
        <x:v>197.4110265811</x:v>
      </x:c>
      <x:c r="J12" s="31" t="n">
        <x:v>176.34027802600002</x:v>
      </x:c>
      <x:c r="K12" s="31" t="n">
        <x:v>21.0707485551</x:v>
      </x:c>
      <x:c r="L12" s="31" t="n">
        <x:v>154.5167746538</x:v>
      </x:c>
      <x:c r="M12" s="31" t="n">
        <x:v>42.894251927300004</x:v>
      </x:c>
      <x:c r="N12" s="24" t="str">
        <x:v>gobiidae</x:v>
      </x:c>
      <x:c r="O12" s="32" t="n">
        <x:v>3.11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Gobiidae</x:v>
      </x:c>
      <x:c r="T12" s="32" t="n">
        <x:f>IF(O12="","",(1/'Metadata'!$B$5)^(O12-1))</x:f>
        <x:v>128.82495516931337</x:v>
      </x:c>
      <x:c r="U12" s="31" t="n">
        <x:f>IF(T12="","",I12*T12)</x:f>
        <x:v>25431.466649238337</x:v>
      </x:c>
    </x:row>
    <x:row r="13" ht="18" customHeight="1">
      <x:c r="A13" s="24" t="str">
        <x:v>EEZ_648</x:v>
      </x:c>
      <x:c r="B13" s="24" t="str">
        <x:v>Russia (Baltic Sea)</x:v>
      </x:c>
      <x:c r="C13" s="24" t="str">
        <x:v>EEZ</x:v>
      </x:c>
      <x:c r="D13" s="30" t="n">
        <x:v>2019</x:v>
      </x:c>
      <x:c r="E13" s="24" t="str">
        <x:v>Pelecus cultratus</x:v>
      </x:c>
      <x:c r="F13" s="24" t="str">
        <x:v>Sichel</x:v>
      </x:c>
      <x:c r="G13" s="24" t="str">
        <x:v>Medium pelagics (30 - 89 cm)</x:v>
      </x:c>
      <x:c r="H13" s="24" t="str">
        <x:v>Other fishes &amp; inverts</x:v>
      </x:c>
      <x:c r="I13" s="31" t="n">
        <x:v>170.1350961184</x:v>
      </x:c>
      <x:c r="J13" s="31" t="n">
        <x:v>163.85251478039999</x:v>
      </x:c>
      <x:c r="K13" s="31" t="n">
        <x:v>6.282581338</x:v>
      </x:c>
      <x:c r="L13" s="31" t="n">
        <x:v>151.3784044656</x:v>
      </x:c>
      <x:c r="M13" s="31" t="n">
        <x:v>18.7566916528</x:v>
      </x:c>
      <x:c r="N13" s="24" t="str">
        <x:v>pelecus cultratus</x:v>
      </x:c>
      <x:c r="O13" s="32" t="n">
        <x:v>3.33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Pelecus cultratus</x:v>
      </x:c>
      <x:c r="T13" s="32" t="n">
        <x:f>IF(O13="","",(1/'Metadata'!$B$5)^(O13-1))</x:f>
        <x:v>213.79620895022325</x:v>
      </x:c>
      <x:c r="U13" s="31" t="n">
        <x:f>IF(T13="","",I13*T13)</x:f>
        <x:v>36374.23855949577</x:v>
      </x:c>
    </x:row>
    <x:row r="14" ht="18" customHeight="1">
      <x:c r="A14" s="24" t="str">
        <x:v>EEZ_648</x:v>
      </x:c>
      <x:c r="B14" s="24" t="str">
        <x:v>Russia (Baltic Sea)</x:v>
      </x:c>
      <x:c r="C14" s="24" t="str">
        <x:v>EEZ</x:v>
      </x:c>
      <x:c r="D14" s="30" t="n">
        <x:v>2019</x:v>
      </x:c>
      <x:c r="E14" s="24" t="str">
        <x:v>Gymnocephalus cernua</x:v>
      </x:c>
      <x:c r="F14" s="24" t="str">
        <x:v>Ruffe</x:v>
      </x:c>
      <x:c r="G14" s="24" t="str">
        <x:v>Small demersals (&lt;30 cm)</x:v>
      </x:c>
      <x:c r="H14" s="24" t="str">
        <x:v>Perch-likes</x:v>
      </x:c>
      <x:c r="I14" s="31" t="n">
        <x:v>93.7433020173</x:v>
      </x:c>
      <x:c r="J14" s="31" t="n">
        <x:v>85.71635295009999</x:v>
      </x:c>
      <x:c r="K14" s="31" t="n">
        <x:v>8.0269490672</x:v>
      </x:c>
      <x:c r="L14" s="31" t="n">
        <x:v>72.76137245429999</x:v>
      </x:c>
      <x:c r="M14" s="31" t="n">
        <x:v>20.981929562999998</x:v>
      </x:c>
      <x:c r="N14" s="24" t="str">
        <x:v>gymnocephalus cernua</x:v>
      </x:c>
      <x:c r="O14" s="32" t="n">
        <x:v>3.32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Gymnocephalus cernua</x:v>
      </x:c>
      <x:c r="T14" s="32" t="n">
        <x:f>IF(O14="","",(1/'Metadata'!$B$5)^(O14-1))</x:f>
        <x:v>208.92961308540387</x:v>
      </x:c>
      <x:c r="U14" s="31" t="n">
        <x:f>IF(T14="","",I14*T14)</x:f>
        <x:v>19585.75181982265</x:v>
      </x:c>
    </x:row>
    <x:row r="15" ht="18" customHeight="1">
      <x:c r="A15" s="24" t="str">
        <x:v>EEZ_648</x:v>
      </x:c>
      <x:c r="B15" s="24" t="str">
        <x:v>Russia (Baltic Sea)</x:v>
      </x:c>
      <x:c r="C15" s="24" t="str">
        <x:v>EEZ</x:v>
      </x:c>
      <x:c r="D15" s="30" t="n">
        <x:v>2019</x:v>
      </x:c>
      <x:c r="E15" s="24" t="str">
        <x:v>Salmo trutta</x:v>
      </x:c>
      <x:c r="F15" s="24" t="str">
        <x:v>Sea trout</x:v>
      </x:c>
      <x:c r="G15" s="24" t="str">
        <x:v>Large pelagics (&gt;=90 cm)</x:v>
      </x:c>
      <x:c r="H15" s="24" t="str">
        <x:v>Salmon, smelts, etc</x:v>
      </x:c>
      <x:c r="I15" s="31" t="n">
        <x:v>58.9302061888</x:v>
      </x:c>
      <x:c r="J15" s="31" t="n">
        <x:v>58.316273554199995</x:v>
      </x:c>
      <x:c r="K15" s="31" t="n">
        <x:v>0.6139326346</x:v>
      </x:c>
      <x:c r="L15" s="31" t="n">
        <x:v>50.5868270497</x:v>
      </x:c>
      <x:c r="M15" s="31" t="n">
        <x:v>8.3433791391</x:v>
      </x:c>
      <x:c r="N15" s="24" t="str">
        <x:v>salmo trutta</x:v>
      </x:c>
      <x:c r="O15" s="32" t="n">
        <x:v>3.36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Salmo trutta</x:v>
      </x:c>
      <x:c r="T15" s="32" t="n">
        <x:f>IF(O15="","",(1/'Metadata'!$B$5)^(O15-1))</x:f>
        <x:v>229.08676527677724</x:v>
      </x:c>
      <x:c r="U15" s="31" t="n">
        <x:f>IF(T15="","",I15*T15)</x:f>
        <x:v>13500.13031288571</x:v>
      </x:c>
    </x:row>
    <x:row r="16" ht="18" customHeight="1">
      <x:c r="A16" s="24" t="str">
        <x:v>EEZ_648</x:v>
      </x:c>
      <x:c r="B16" s="24" t="str">
        <x:v>Russia (Baltic Sea)</x:v>
      </x:c>
      <x:c r="C16" s="24" t="str">
        <x:v>EEZ</x:v>
      </x:c>
      <x:c r="D16" s="30" t="n">
        <x:v>2019</x:v>
      </x:c>
      <x:c r="E16" s="24" t="str">
        <x:v>Esox lucius</x:v>
      </x:c>
      <x:c r="F16" s="24" t="str">
        <x:v>Northern pike</x:v>
      </x:c>
      <x:c r="G16" s="24" t="str">
        <x:v>Large demersals (&gt;=90 cm)</x:v>
      </x:c>
      <x:c r="H16" s="24" t="str">
        <x:v>Salmon, smelts, etc</x:v>
      </x:c>
      <x:c r="I16" s="31" t="n">
        <x:v>41.1477547823</x:v>
      </x:c>
      <x:c r="J16" s="31" t="n">
        <x:v>40.2762404432</x:v>
      </x:c>
      <x:c r="K16" s="31" t="n">
        <x:v>0.8715143391</x:v>
      </x:c>
      <x:c r="L16" s="31" t="n">
        <x:v>22.2270983224</x:v>
      </x:c>
      <x:c r="M16" s="31" t="n">
        <x:v>18.9206564599</x:v>
      </x:c>
      <x:c r="N16" s="24" t="str">
        <x:v>esox lucius</x:v>
      </x:c>
      <x:c r="O16" s="32" t="n">
        <x:v>4.07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Esox lucius</x:v>
      </x:c>
      <x:c r="T16" s="32" t="n">
        <x:f>IF(O16="","",(1/'Metadata'!$B$5)^(O16-1))</x:f>
        <x:v>1174.8975549395302</x:v>
      </x:c>
      <x:c r="U16" s="31" t="n">
        <x:f>IF(T16="","",I16*T16)</x:f>
        <x:v>48344.39648497563</x:v>
      </x:c>
    </x:row>
    <x:row r="17" ht="18" customHeight="1">
      <x:c r="A17" s="24" t="str">
        <x:v>EEZ_648</x:v>
      </x:c>
      <x:c r="B17" s="24" t="str">
        <x:v>Russia (Baltic Sea)</x:v>
      </x:c>
      <x:c r="C17" s="24" t="str">
        <x:v>EEZ</x:v>
      </x:c>
      <x:c r="D17" s="30" t="n">
        <x:v>2019</x:v>
      </x:c>
      <x:c r="E17" s="24" t="str">
        <x:v>Belone belone</x:v>
      </x:c>
      <x:c r="F17" s="24" t="str">
        <x:v>Garfish</x:v>
      </x:c>
      <x:c r="G17" s="24" t="str">
        <x:v>Medium pelagics (30 - 89 cm)</x:v>
      </x:c>
      <x:c r="H17" s="24" t="str">
        <x:v>Other fishes &amp; inverts</x:v>
      </x:c>
      <x:c r="I17" s="31" t="n">
        <x:v>40.3007138523</x:v>
      </x:c>
      <x:c r="J17" s="31" t="n">
        <x:v>39.8957022756</x:v>
      </x:c>
      <x:c r="K17" s="31" t="n">
        <x:v>0.4050115767</x:v>
      </x:c>
      <x:c r="L17" s="31" t="n">
        <x:v>38.0252368122</x:v>
      </x:c>
      <x:c r="M17" s="31" t="n">
        <x:v>2.2754770401</x:v>
      </x:c>
      <x:c r="N17" s="24" t="str">
        <x:v>belone belone</x:v>
      </x:c>
      <x:c r="O17" s="32" t="n">
        <x:v>4.16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Belone belone</x:v>
      </x:c>
      <x:c r="T17" s="32" t="n">
        <x:f>IF(O17="","",(1/'Metadata'!$B$5)^(O17-1))</x:f>
        <x:v>1445.439770745928</x:v>
      </x:c>
      <x:c r="U17" s="31" t="n">
        <x:f>IF(T17="","",I17*T17)</x:f>
        <x:v>58252.254591565754</x:v>
      </x:c>
    </x:row>
    <x:row r="18" ht="18" customHeight="1">
      <x:c r="A18" s="24" t="str">
        <x:v>EEZ_648</x:v>
      </x:c>
      <x:c r="B18" s="24" t="str">
        <x:v>Russia (Baltic Sea)</x:v>
      </x:c>
      <x:c r="C18" s="24" t="str">
        <x:v>EEZ</x:v>
      </x:c>
      <x:c r="D18" s="30" t="n">
        <x:v>2019</x:v>
      </x:c>
      <x:c r="E18" s="24" t="str">
        <x:v>Carassius carassius</x:v>
      </x:c>
      <x:c r="F18" s="24" t="str">
        <x:v>Crucian carp</x:v>
      </x:c>
      <x:c r="G18" s="24" t="str">
        <x:v>Medium demersals (30 - 89 cm)</x:v>
      </x:c>
      <x:c r="H18" s="24" t="str">
        <x:v>Other fishes &amp; inverts</x:v>
      </x:c>
      <x:c r="I18" s="31" t="n">
        <x:v>33.4464880647</x:v>
      </x:c>
      <x:c r="J18" s="31" t="n">
        <x:v>33.393383656800005</x:v>
      </x:c>
      <x:c r="K18" s="31" t="n">
        <x:v>0.0531044079</x:v>
      </x:c>
      <x:c r="L18" s="31" t="n">
        <x:v>32.3481593703</x:v>
      </x:c>
      <x:c r="M18" s="31" t="n">
        <x:v>1.0983286944000001</x:v>
      </x:c>
      <x:c r="N18" s="24" t="str">
        <x:v>carassius carassius</x:v>
      </x:c>
      <x:c r="O18" s="32" t="n">
        <x:v>3.11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Carassius carassius</x:v>
      </x:c>
      <x:c r="T18" s="32" t="n">
        <x:f>IF(O18="","",(1/'Metadata'!$B$5)^(O18-1))</x:f>
        <x:v>128.82495516931337</x:v>
      </x:c>
      <x:c r="U18" s="31" t="n">
        <x:f>IF(T18="","",I18*T18)</x:f>
        <x:v>4308.742325505952</x:v>
      </x:c>
    </x:row>
    <x:row r="19" ht="18" customHeight="1">
      <x:c r="A19" s="24" t="str">
        <x:v>EEZ_648</x:v>
      </x:c>
      <x:c r="B19" s="24" t="str">
        <x:v>Russia (Baltic Sea)</x:v>
      </x:c>
      <x:c r="C19" s="24" t="str">
        <x:v>EEZ</x:v>
      </x:c>
      <x:c r="D19" s="30" t="n">
        <x:v>2019</x:v>
      </x:c>
      <x:c r="E19" s="24" t="str">
        <x:v>Salmo salar</x:v>
      </x:c>
      <x:c r="F19" s="24" t="str">
        <x:v>Atlantic salmon</x:v>
      </x:c>
      <x:c r="G19" s="24" t="str">
        <x:v>Large benthopelagics (&gt;=90 cm)</x:v>
      </x:c>
      <x:c r="H19" s="24" t="str">
        <x:v>Salmon, smelts, etc</x:v>
      </x:c>
      <x:c r="I19" s="31" t="n">
        <x:v>27.3027590326</x:v>
      </x:c>
      <x:c r="J19" s="31" t="n">
        <x:v>25.3663977593</x:v>
      </x:c>
      <x:c r="K19" s="31" t="n">
        <x:v>1.9363612733000002</x:v>
      </x:c>
      <x:c r="L19" s="31" t="n">
        <x:v>17.1551779992</x:v>
      </x:c>
      <x:c r="M19" s="31" t="n">
        <x:v>10.1475810334</x:v>
      </x:c>
      <x:c r="N19" s="24" t="str">
        <x:v>salmo salar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Salmo salar</x:v>
      </x:c>
      <x:c r="T19" s="32" t="n">
        <x:f>IF(O19="","",(1/'Metadata'!$B$5)^(O19-1))</x:f>
        <x:v>3162.2776601683795</x:v>
      </x:c>
      <x:c r="U19" s="31" t="n">
        <x:f>IF(T19="","",I19*T19)</x:f>
        <x:v>86338.90494975142</x:v>
      </x:c>
    </x:row>
    <x:row r="20" ht="18" customHeight="1">
      <x:c r="A20" s="24" t="str">
        <x:v>EEZ_648</x:v>
      </x:c>
      <x:c r="B20" s="24" t="str">
        <x:v>Russia (Baltic Sea)</x:v>
      </x:c>
      <x:c r="C20" s="24" t="str">
        <x:v>EEZ</x:v>
      </x:c>
      <x:c r="D20" s="30" t="n">
        <x:v>2019</x:v>
      </x:c>
      <x:c r="E20" s="24" t="str">
        <x:v>Anguilla anguilla</x:v>
      </x:c>
      <x:c r="F20" s="24" t="str">
        <x:v>European eel</x:v>
      </x:c>
      <x:c r="G20" s="24" t="str">
        <x:v>Large demersals (&gt;=90 cm)</x:v>
      </x:c>
      <x:c r="H20" s="24" t="str">
        <x:v>Other fishes &amp; inverts</x:v>
      </x:c>
      <x:c r="I20" s="31" t="n">
        <x:v>24.2514264591</x:v>
      </x:c>
      <x:c r="J20" s="31" t="n">
        <x:v>23.989392375</x:v>
      </x:c>
      <x:c r="K20" s="31" t="n">
        <x:v>0.2620340841</x:v>
      </x:c>
      <x:c r="L20" s="31" t="n">
        <x:v>22.4366138862</x:v>
      </x:c>
      <x:c r="M20" s="31" t="n">
        <x:v>1.8148125729</x:v>
      </x:c>
      <x:c r="N20" s="24" t="str">
        <x:v>anguilla anguilla</x:v>
      </x:c>
      <x:c r="O20" s="32" t="n">
        <x:v>3.55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Anguilla anguilla</x:v>
      </x:c>
      <x:c r="T20" s="32" t="n">
        <x:f>IF(O20="","",(1/'Metadata'!$B$5)^(O20-1))</x:f>
        <x:v>354.8133892335753</x:v>
      </x:c>
      <x:c r="U20" s="31" t="n">
        <x:f>IF(T20="","",I20*T20)</x:f>
        <x:v>8604.730815702076</x:v>
      </x:c>
    </x:row>
    <x:row r="21" ht="18" customHeight="1">
      <x:c r="A21" s="24" t="str">
        <x:v>EEZ_648</x:v>
      </x:c>
      <x:c r="B21" s="24" t="str">
        <x:v>Russia (Baltic Sea)</x:v>
      </x:c>
      <x:c r="C21" s="24" t="str">
        <x:v>EEZ</x:v>
      </x:c>
      <x:c r="D21" s="30" t="n">
        <x:v>2019</x:v>
      </x:c>
      <x:c r="E21" s="24" t="str">
        <x:v>Perciformes</x:v>
      </x:c>
      <x:c r="F21" s="24" t="str">
        <x:v>Perch-likes</x:v>
      </x:c>
      <x:c r="G21" s="24" t="str">
        <x:v>Medium demersals (30 - 89 cm)</x:v>
      </x:c>
      <x:c r="H21" s="24" t="str">
        <x:v>Perch-likes</x:v>
      </x:c>
      <x:c r="I21" s="31" t="n">
        <x:v>22.092356192</x:v>
      </x:c>
      <x:c r="J21" s="31" t="n">
        <x:v>13.6405969118</x:v>
      </x:c>
      <x:c r="K21" s="31" t="n">
        <x:v>8.451759280200001</x:v>
      </x:c>
      <x:c r="L21" s="31" t="n">
        <x:v>0</x:v>
      </x:c>
      <x:c r="M21" s="31" t="n">
        <x:v>22.092356192</x:v>
      </x:c>
      <x:c r="N21" s="24" t="str">
        <x:v>perciformes</x:v>
      </x:c>
      <x:c r="O21" s="32" t="n">
        <x:v>3.53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Perciformes</x:v>
      </x:c>
      <x:c r="T21" s="32" t="n">
        <x:f>IF(O21="","",(1/'Metadata'!$B$5)^(O21-1))</x:f>
        <x:v>338.84415613920237</x:v>
      </x:c>
      <x:c r="U21" s="31" t="n">
        <x:f>IF(T21="","",I21*T21)</x:f>
        <x:v>7485.865791004922</x:v>
      </x:c>
    </x:row>
    <x:row r="22" ht="18" customHeight="1">
      <x:c r="A22" s="24" t="str">
        <x:v>EEZ_648</x:v>
      </x:c>
      <x:c r="B22" s="24" t="str">
        <x:v>Russia (Baltic Sea)</x:v>
      </x:c>
      <x:c r="C22" s="24" t="str">
        <x:v>EEZ</x:v>
      </x:c>
      <x:c r="D22" s="30" t="n">
        <x:v>2019</x:v>
      </x:c>
      <x:c r="E22" s="24" t="str">
        <x:v>Alosa fallax</x:v>
      </x:c>
      <x:c r="F22" s="24" t="str">
        <x:v>Twaite shad</x:v>
      </x:c>
      <x:c r="G22" s="24" t="str">
        <x:v>Medium pelagics (30 - 89 cm)</x:v>
      </x:c>
      <x:c r="H22" s="24" t="str">
        <x:v>Herring-likes</x:v>
      </x:c>
      <x:c r="I22" s="31" t="n">
        <x:v>21.9038705124</x:v>
      </x:c>
      <x:c r="J22" s="31" t="n">
        <x:v>21.0528540783</x:v>
      </x:c>
      <x:c r="K22" s="31" t="n">
        <x:v>0.8510164340999999</x:v>
      </x:c>
      <x:c r="L22" s="31" t="n">
        <x:v>19.6795537615</x:v>
      </x:c>
      <x:c r="M22" s="31" t="n">
        <x:v>2.2243167509</x:v>
      </x:c>
      <x:c r="N22" s="24" t="str">
        <x:v>alosa fallax</x:v>
      </x:c>
      <x:c r="O22" s="32" t="n">
        <x:v>4.03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Alosa fallax</x:v>
      </x:c>
      <x:c r="T22" s="32" t="n">
        <x:f>IF(O22="","",(1/'Metadata'!$B$5)^(O22-1))</x:f>
        <x:v>1071.519305237607</x:v>
      </x:c>
      <x:c r="U22" s="31" t="n">
        <x:f>IF(T22="","",I22*T22)</x:f>
        <x:v>23470.420113461358</x:v>
      </x:c>
    </x:row>
    <x:row r="23" ht="18" customHeight="1">
      <x:c r="A23" s="24" t="str">
        <x:v>EEZ_648</x:v>
      </x:c>
      <x:c r="B23" s="24" t="str">
        <x:v>Russia (Baltic Sea)</x:v>
      </x:c>
      <x:c r="C23" s="24" t="str">
        <x:v>EEZ</x:v>
      </x:c>
      <x:c r="D23" s="30" t="n">
        <x:v>2019</x:v>
      </x:c>
      <x:c r="E23" s="24" t="str">
        <x:v>Marine fishes not identified</x:v>
      </x:c>
      <x:c r="F23" s="24" t="str">
        <x:v>Marine fishes nei</x:v>
      </x:c>
      <x:c r="G23" s="24" t="str">
        <x:v>Medium demersals (30 - 89 cm)</x:v>
      </x:c>
      <x:c r="H23" s="24" t="str">
        <x:v>Other fishes &amp; inverts</x:v>
      </x:c>
      <x:c r="I23" s="31" t="n">
        <x:v>17.2735504667</x:v>
      </x:c>
      <x:c r="J23" s="31" t="n">
        <x:v>17.090847649</x:v>
      </x:c>
      <x:c r="K23" s="31" t="n">
        <x:v>0.1827028177</x:v>
      </x:c>
      <x:c r="L23" s="31" t="n">
        <x:v>17.010425542</x:v>
      </x:c>
      <x:c r="M23" s="31" t="n">
        <x:v>0.2631249247</x:v>
      </x:c>
      <x:c r="N23" s="24" t="str">
        <x:v>marine fishes not identified</x:v>
      </x:c>
      <x:c r="O23" s="32" t="n">
        <x:v>3.28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Marine fishes not identified</x:v>
      </x:c>
      <x:c r="T23" s="32" t="n">
        <x:f>IF(O23="","",(1/'Metadata'!$B$5)^(O23-1))</x:f>
        <x:v>190.54607179632464</x:v>
      </x:c>
      <x:c r="U23" s="31" t="n">
        <x:f>IF(T23="","",I23*T23)</x:f>
        <x:v>3291.4071874052556</x:v>
      </x:c>
    </x:row>
    <x:row r="24" ht="18" customHeight="1">
      <x:c r="A24" s="24" t="str">
        <x:v>EEZ_648</x:v>
      </x:c>
      <x:c r="B24" s="24" t="str">
        <x:v>Russia (Baltic Sea)</x:v>
      </x:c>
      <x:c r="C24" s="24" t="str">
        <x:v>EEZ</x:v>
      </x:c>
      <x:c r="D24" s="30" t="n">
        <x:v>2019</x:v>
      </x:c>
      <x:c r="E24" s="24" t="str">
        <x:v>Petromyzontidae</x:v>
      </x:c>
      <x:c r="F24" s="24" t="str">
        <x:v>Lampreys</x:v>
      </x:c>
      <x:c r="G24" s="24" t="str">
        <x:v>Large demersals (&gt;=90 cm)</x:v>
      </x:c>
      <x:c r="H24" s="24" t="str">
        <x:v>Other fishes &amp; inverts</x:v>
      </x:c>
      <x:c r="I24" s="31" t="n">
        <x:v>15.136661117300001</x:v>
      </x:c>
      <x:c r="J24" s="31" t="n">
        <x:v>14.3529823787</x:v>
      </x:c>
      <x:c r="K24" s="31" t="n">
        <x:v>0.7836787386</x:v>
      </x:c>
      <x:c r="L24" s="31" t="n">
        <x:v>13.0883558677</x:v>
      </x:c>
      <x:c r="M24" s="31" t="n">
        <x:v>2.0483052496000003</x:v>
      </x:c>
      <x:c r="N24" s="24" t="str">
        <x:v>petromyzontidae</x:v>
      </x:c>
      <x:c r="O24" s="32" t="n">
        <x:v>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Petromyzontidae</x:v>
      </x:c>
      <x:c r="T24" s="32" t="n">
        <x:f>IF(O24="","",(1/'Metadata'!$B$5)^(O24-1))</x:f>
        <x:v>1000</x:v>
      </x:c>
      <x:c r="U24" s="31" t="n">
        <x:f>IF(T24="","",I24*T24)</x:f>
        <x:v>15136.6611173</x:v>
      </x:c>
    </x:row>
    <x:row r="25" ht="18" customHeight="1">
      <x:c r="A25" s="24" t="str">
        <x:v>EEZ_648</x:v>
      </x:c>
      <x:c r="B25" s="24" t="str">
        <x:v>Russia (Baltic Sea)</x:v>
      </x:c>
      <x:c r="C25" s="24" t="str">
        <x:v>EEZ</x:v>
      </x:c>
      <x:c r="D25" s="30" t="n">
        <x:v>2019</x:v>
      </x:c>
      <x:c r="E25" s="24" t="str">
        <x:v>Gasterosteus aculeatus</x:v>
      </x:c>
      <x:c r="F25" s="24" t="str">
        <x:v>Three-spined stickleback</x:v>
      </x:c>
      <x:c r="G25" s="24" t="str">
        <x:v>Small benthopelagics (&lt;30 cm)</x:v>
      </x:c>
      <x:c r="H25" s="24" t="str">
        <x:v>Other fishes &amp; inverts</x:v>
      </x:c>
      <x:c r="I25" s="31" t="n">
        <x:v>13.5092344123</x:v>
      </x:c>
      <x:c r="J25" s="31" t="n">
        <x:v>12.9528306718</x:v>
      </x:c>
      <x:c r="K25" s="31" t="n">
        <x:v>0.5564037405</x:v>
      </x:c>
      <x:c r="L25" s="31" t="n">
        <x:v>12.054632141599999</x:v>
      </x:c>
      <x:c r="M25" s="31" t="n">
        <x:v>1.4546022707</x:v>
      </x:c>
      <x:c r="N25" s="24" t="str">
        <x:v>gasterosteus aculeatus</x:v>
      </x:c>
      <x:c r="O25" s="32" t="n">
        <x:v>3.31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Gasterosteus aculeatus</x:v>
      </x:c>
      <x:c r="T25" s="32" t="n">
        <x:f>IF(O25="","",(1/'Metadata'!$B$5)^(O25-1))</x:f>
        <x:v>204.17379446695296</x:v>
      </x:c>
      <x:c r="U25" s="31" t="n">
        <x:f>IF(T25="","",I25*T25)</x:f>
        <x:v>2758.2316503028283</x:v>
      </x:c>
    </x:row>
    <x:row r="26" ht="18" customHeight="1">
      <x:c r="A26" s="24" t="str">
        <x:v>EEZ_648</x:v>
      </x:c>
      <x:c r="B26" s="24" t="str">
        <x:v>Russia (Baltic Sea)</x:v>
      </x:c>
      <x:c r="C26" s="24" t="str">
        <x:v>EEZ</x:v>
      </x:c>
      <x:c r="D26" s="30" t="n">
        <x:v>2019</x:v>
      </x:c>
      <x:c r="E26" s="24" t="str">
        <x:v>Ammodytes tobianus</x:v>
      </x:c>
      <x:c r="F26" s="24" t="str">
        <x:v>Small sandeel</x:v>
      </x:c>
      <x:c r="G26" s="24" t="str">
        <x:v>Small demersals (&lt;30 cm)</x:v>
      </x:c>
      <x:c r="H26" s="24" t="str">
        <x:v>Perch-likes</x:v>
      </x:c>
      <x:c r="I26" s="31" t="n">
        <x:v>13.2217315074</x:v>
      </x:c>
      <x:c r="J26" s="31" t="n">
        <x:v>13.2217315074</x:v>
      </x:c>
      <x:c r="K26" s="31" t="n">
        <x:v>0</x:v>
      </x:c>
      <x:c r="L26" s="31" t="n">
        <x:v>13.2217315074</x:v>
      </x:c>
      <x:c r="M26" s="31" t="n">
        <x:v>0</x:v>
      </x:c>
      <x:c r="N26" s="24" t="str">
        <x:v>ammodytes tobianus</x:v>
      </x:c>
      <x:c r="O26" s="32" t="n">
        <x:v>3.08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Ammodytes tobianus</x:v>
      </x:c>
      <x:c r="T26" s="32" t="n">
        <x:f>IF(O26="","",(1/'Metadata'!$B$5)^(O26-1))</x:f>
        <x:v>120.22644346174131</x:v>
      </x:c>
      <x:c r="U26" s="31" t="n">
        <x:f>IF(T26="","",I26*T26)</x:f>
        <x:v>1589.6017555407498</x:v>
      </x:c>
    </x:row>
    <x:row r="27" ht="18" customHeight="1">
      <x:c r="A27" s="24" t="str">
        <x:v>EEZ_648</x:v>
      </x:c>
      <x:c r="B27" s="24" t="str">
        <x:v>Russia (Baltic Sea)</x:v>
      </x:c>
      <x:c r="C27" s="24" t="str">
        <x:v>EEZ</x:v>
      </x:c>
      <x:c r="D27" s="30" t="n">
        <x:v>2019</x:v>
      </x:c>
      <x:c r="E27" s="24" t="str">
        <x:v>Lota lota</x:v>
      </x:c>
      <x:c r="F27" s="24" t="str">
        <x:v>Burbot</x:v>
      </x:c>
      <x:c r="G27" s="24" t="str">
        <x:v>Large demersals (&gt;=90 cm)</x:v>
      </x:c>
      <x:c r="H27" s="24" t="str">
        <x:v>Cod-likes</x:v>
      </x:c>
      <x:c r="I27" s="31" t="n">
        <x:v>10.7634861008</x:v>
      </x:c>
      <x:c r="J27" s="31" t="n">
        <x:v>10.3008859411</x:v>
      </x:c>
      <x:c r="K27" s="31" t="n">
        <x:v>0.46260015969999996</x:v>
      </x:c>
      <x:c r="L27" s="31" t="n">
        <x:v>6.3745624799</x:v>
      </x:c>
      <x:c r="M27" s="31" t="n">
        <x:v>4.3889236209</x:v>
      </x:c>
      <x:c r="N27" s="24" t="str">
        <x:v>lota lota</x:v>
      </x:c>
      <x:c r="O27" s="32" t="n">
        <x:v>3.84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Lota lota</x:v>
      </x:c>
      <x:c r="T27" s="32" t="n">
        <x:f>IF(O27="","",(1/'Metadata'!$B$5)^(O27-1))</x:f>
        <x:v>691.8309709189363</x:v>
      </x:c>
      <x:c r="U27" s="31" t="n">
        <x:f>IF(T27="","",I27*T27)</x:f>
        <x:v>7446.513039588939</x:v>
      </x:c>
    </x:row>
    <x:row r="28" ht="18" customHeight="1">
      <x:c r="A28" s="24" t="str">
        <x:v>EEZ_648</x:v>
      </x:c>
      <x:c r="B28" s="24" t="str">
        <x:v>Russia (Baltic Sea)</x:v>
      </x:c>
      <x:c r="C28" s="24" t="str">
        <x:v>EEZ</x:v>
      </x:c>
      <x:c r="D28" s="30" t="n">
        <x:v>2019</x:v>
      </x:c>
      <x:c r="E28" s="24" t="str">
        <x:v>Coregonus</x:v>
      </x:c>
      <x:c r="F28" s="24" t="str">
        <x:v>Whitefishes</x:v>
      </x:c>
      <x:c r="G28" s="24" t="str">
        <x:v>Medium pelagics (30 - 89 cm)</x:v>
      </x:c>
      <x:c r="H28" s="24" t="str">
        <x:v>Salmon, smelts, etc</x:v>
      </x:c>
      <x:c r="I28" s="31" t="n">
        <x:v>10.2503349261</x:v>
      </x:c>
      <x:c r="J28" s="31" t="n">
        <x:v>9.9790323388</x:v>
      </x:c>
      <x:c r="K28" s="31" t="n">
        <x:v>0.2713025873</x:v>
      </x:c>
      <x:c r="L28" s="31" t="n">
        <x:v>4.9293311309</x:v>
      </x:c>
      <x:c r="M28" s="31" t="n">
        <x:v>5.3210037952</x:v>
      </x:c>
      <x:c r="N28" s="24" t="str">
        <x:v>coregonus</x:v>
      </x:c>
      <x:c r="O28" s="32" t="n">
        <x:v>3.3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Coregonus</x:v>
      </x:c>
      <x:c r="T28" s="32" t="n">
        <x:f>IF(O28="","",(1/'Metadata'!$B$5)^(O28-1))</x:f>
        <x:v>199.52623149688787</x:v>
      </x:c>
      <x:c r="U28" s="31" t="n">
        <x:f>IF(T28="","",I28*T28)</x:f>
        <x:v>2045.2106993856637</x:v>
      </x:c>
    </x:row>
    <x:row r="29" ht="18" customHeight="1">
      <x:c r="A29" s="24" t="str">
        <x:v>EEZ_648</x:v>
      </x:c>
      <x:c r="B29" s="24" t="str">
        <x:v>Russia (Baltic Sea)</x:v>
      </x:c>
      <x:c r="C29" s="24" t="str">
        <x:v>EEZ</x:v>
      </x:c>
      <x:c r="D29" s="30" t="n">
        <x:v>2019</x:v>
      </x:c>
      <x:c r="E29" s="24" t="str">
        <x:v>Coregonus albula</x:v>
      </x:c>
      <x:c r="F29" s="24" t="str">
        <x:v>Vendace</x:v>
      </x:c>
      <x:c r="G29" s="24" t="str">
        <x:v>Medium pelagics (30 - 89 cm)</x:v>
      </x:c>
      <x:c r="H29" s="24" t="str">
        <x:v>Salmon, smelts, etc</x:v>
      </x:c>
      <x:c r="I29" s="31" t="n">
        <x:v>9.0064605668</x:v>
      </x:c>
      <x:c r="J29" s="31" t="n">
        <x:v>8.6274035671</x:v>
      </x:c>
      <x:c r="K29" s="31" t="n">
        <x:v>0.3790569997</x:v>
      </x:c>
      <x:c r="L29" s="31" t="n">
        <x:v>8</x:v>
      </x:c>
      <x:c r="M29" s="31" t="n">
        <x:v>1.0064605668</x:v>
      </x:c>
      <x:c r="N29" s="24" t="str">
        <x:v>coregonus albula</x:v>
      </x:c>
      <x:c r="O29" s="32" t="n">
        <x:v>3.06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Coregonus albula</x:v>
      </x:c>
      <x:c r="T29" s="32" t="n">
        <x:f>IF(O29="","",(1/'Metadata'!$B$5)^(O29-1))</x:f>
        <x:v>114.81536214968828</x:v>
      </x:c>
      <x:c r="U29" s="31" t="n">
        <x:f>IF(T29="","",I29*T29)</x:f>
        <x:v>1034.0800316640286</x:v>
      </x:c>
    </x:row>
    <x:row r="30" ht="18" customHeight="1">
      <x:c r="A30" s="24" t="str">
        <x:v>EEZ_648</x:v>
      </x:c>
      <x:c r="B30" s="24" t="str">
        <x:v>Russia (Baltic Sea)</x:v>
      </x:c>
      <x:c r="C30" s="24" t="str">
        <x:v>EEZ</x:v>
      </x:c>
      <x:c r="D30" s="30" t="n">
        <x:v>2019</x:v>
      </x:c>
      <x:c r="E30" s="24" t="str">
        <x:v>Vimba</x:v>
      </x:c>
      <x:c r="F30" s="24" t="str">
        <x:v>Vimba breams</x:v>
      </x:c>
      <x:c r="G30" s="24" t="str">
        <x:v>Medium demersals (30 - 89 cm)</x:v>
      </x:c>
      <x:c r="H30" s="24" t="str">
        <x:v>Other fishes &amp; inverts</x:v>
      </x:c>
      <x:c r="I30" s="31" t="n">
        <x:v>8.984414679399999</x:v>
      </x:c>
      <x:c r="J30" s="31" t="n">
        <x:v>8.884478466000001</x:v>
      </x:c>
      <x:c r="K30" s="31" t="n">
        <x:v>0.0999362134</x:v>
      </x:c>
      <x:c r="L30" s="31" t="n">
        <x:v>8.743247964</x:v>
      </x:c>
      <x:c r="M30" s="31" t="n">
        <x:v>0.2411667154</x:v>
      </x:c>
      <x:c r="N30" s="24" t="str">
        <x:v>vimba</x:v>
      </x:c>
      <x:c r="O30" s="32" t="n">
        <x:v>3.05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Vimba</x:v>
      </x:c>
      <x:c r="T30" s="32" t="n">
        <x:f>IF(O30="","",(1/'Metadata'!$B$5)^(O30-1))</x:f>
        <x:v>112.2018454301963</x:v>
      </x:c>
      <x:c r="U30" s="31" t="n">
        <x:f>IF(T30="","",I30*T30)</x:f>
        <x:v>1008.0679071388253</x:v>
      </x:c>
    </x:row>
    <x:row r="31" ht="18" customHeight="1">
      <x:c r="A31" s="24" t="str">
        <x:v>EEZ_648</x:v>
      </x:c>
      <x:c r="B31" s="24" t="str">
        <x:v>Russia (Baltic Sea)</x:v>
      </x:c>
      <x:c r="C31" s="24" t="str">
        <x:v>EEZ</x:v>
      </x:c>
      <x:c r="D31" s="30" t="n">
        <x:v>2019</x:v>
      </x:c>
      <x:c r="E31" s="24" t="str">
        <x:v>Osteichthyes</x:v>
      </x:c>
      <x:c r="F31" s="24" t="str">
        <x:v>Bony fishes</x:v>
      </x:c>
      <x:c r="G31" s="24" t="str">
        <x:v>Medium demersals (30 - 89 cm)</x:v>
      </x:c>
      <x:c r="H31" s="24" t="str">
        <x:v>Other fishes &amp; inverts</x:v>
      </x:c>
      <x:c r="I31" s="31" t="n">
        <x:v>6.2877899353</x:v>
      </x:c>
      <x:c r="J31" s="31" t="n">
        <x:v>6.2877899353</x:v>
      </x:c>
      <x:c r="K31" s="31" t="n">
        <x:v>0</x:v>
      </x:c>
      <x:c r="L31" s="31" t="n">
        <x:v>6.2877899353</x:v>
      </x:c>
      <x:c r="M31" s="31" t="n">
        <x:v>0</x:v>
      </x:c>
      <x:c r="N31" s="24" t="str">
        <x:v>osteichthyes</x:v>
      </x:c>
      <x:c r="O31" s="32" t="n">
        <x:v>3.79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Osteichthyes</x:v>
      </x:c>
      <x:c r="T31" s="32" t="n">
        <x:f>IF(O31="","",(1/'Metadata'!$B$5)^(O31-1))</x:f>
        <x:v>616.5950018614822</x:v>
      </x:c>
      <x:c r="U31" s="31" t="n">
        <x:f>IF(T31="","",I31*T31)</x:f>
        <x:v>3877.0198468609124</x:v>
      </x:c>
    </x:row>
    <x:row r="32" ht="18" customHeight="1">
      <x:c r="A32" s="24" t="str">
        <x:v>EEZ_648</x:v>
      </x:c>
      <x:c r="B32" s="24" t="str">
        <x:v>Russia (Baltic Sea)</x:v>
      </x:c>
      <x:c r="C32" s="24" t="str">
        <x:v>EEZ</x:v>
      </x:c>
      <x:c r="D32" s="30" t="n">
        <x:v>2019</x:v>
      </x:c>
      <x:c r="E32" s="24" t="str">
        <x:v>Scophthalmus maximus</x:v>
      </x:c>
      <x:c r="F32" s="24" t="str">
        <x:v>Turbot</x:v>
      </x:c>
      <x:c r="G32" s="24" t="str">
        <x:v>Large flatfishes (&gt;=90 cm)</x:v>
      </x:c>
      <x:c r="H32" s="24" t="str">
        <x:v>Flatfishes</x:v>
      </x:c>
      <x:c r="I32" s="31" t="n">
        <x:v>5.7994343788</x:v>
      </x:c>
      <x:c r="J32" s="31" t="n">
        <x:v>4.5718064568</x:v>
      </x:c>
      <x:c r="K32" s="31" t="n">
        <x:v>1.227627922</x:v>
      </x:c>
      <x:c r="L32" s="31" t="n">
        <x:v>4.2409613857</x:v>
      </x:c>
      <x:c r="M32" s="31" t="n">
        <x:v>1.5584729931</x:v>
      </x:c>
      <x:c r="N32" s="24" t="str">
        <x:v>scophthalmus maximus</x:v>
      </x:c>
      <x:c r="O32" s="32" t="n">
        <x:v>4.36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Scophthalmus maximus</x:v>
      </x:c>
      <x:c r="T32" s="32" t="n">
        <x:f>IF(O32="","",(1/'Metadata'!$B$5)^(O32-1))</x:f>
        <x:v>2290.867652767775</x:v>
      </x:c>
      <x:c r="U32" s="31" t="n">
        <x:f>IF(T32="","",I32*T32)</x:f>
        <x:v>13285.736622742295</x:v>
      </x:c>
    </x:row>
    <x:row r="33" ht="18" customHeight="1">
      <x:c r="A33" s="24" t="str">
        <x:v>EEZ_648</x:v>
      </x:c>
      <x:c r="B33" s="24" t="str">
        <x:v>Russia (Baltic Sea)</x:v>
      </x:c>
      <x:c r="C33" s="24" t="str">
        <x:v>EEZ</x:v>
      </x:c>
      <x:c r="D33" s="30" t="n">
        <x:v>2019</x:v>
      </x:c>
      <x:c r="E33" s="24" t="str">
        <x:v>Salmo</x:v>
      </x:c>
      <x:c r="F33" s="24" t="str">
        <x:v>Trouts</x:v>
      </x:c>
      <x:c r="G33" s="24" t="str">
        <x:v>Large benthopelagics (&gt;=90 cm)</x:v>
      </x:c>
      <x:c r="H33" s="24" t="str">
        <x:v>Salmon, smelts, etc</x:v>
      </x:c>
      <x:c r="I33" s="31" t="n">
        <x:v>5.0151753524</x:v>
      </x:c>
      <x:c r="J33" s="31" t="n">
        <x:v>4.9838042212</x:v>
      </x:c>
      <x:c r="K33" s="31" t="n">
        <x:v>0.0313711312</x:v>
      </x:c>
      <x:c r="L33" s="31" t="n">
        <x:v>0</x:v>
      </x:c>
      <x:c r="M33" s="31" t="n">
        <x:v>5.0151753524</x:v>
      </x:c>
      <x:c r="N33" s="24" t="str">
        <x:v>salmo</x:v>
      </x:c>
      <x:c r="O33" s="32" t="n">
        <x:v>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Salmo</x:v>
      </x:c>
      <x:c r="T33" s="32" t="n">
        <x:f>IF(O33="","",(1/'Metadata'!$B$5)^(O33-1))</x:f>
        <x:v>1000</x:v>
      </x:c>
      <x:c r="U33" s="31" t="n">
        <x:f>IF(T33="","",I33*T33)</x:f>
        <x:v>5015.1753524</x:v>
      </x:c>
    </x:row>
    <x:row r="34" ht="18" customHeight="1">
      <x:c r="A34" s="24" t="str">
        <x:v>EEZ_648</x:v>
      </x:c>
      <x:c r="B34" s="24" t="str">
        <x:v>Russia (Baltic Sea)</x:v>
      </x:c>
      <x:c r="C34" s="24" t="str">
        <x:v>EEZ</x:v>
      </x:c>
      <x:c r="D34" s="30" t="n">
        <x:v>2019</x:v>
      </x:c>
      <x:c r="E34" s="24" t="str">
        <x:v>Marine finfishes not identified</x:v>
      </x:c>
      <x:c r="F34" s="24" t="str">
        <x:v>Finfishes</x:v>
      </x:c>
      <x:c r="G34" s="24" t="str">
        <x:v>Medium demersals (30 - 89 cm)</x:v>
      </x:c>
      <x:c r="H34" s="24" t="str">
        <x:v>Other fishes &amp; inverts</x:v>
      </x:c>
      <x:c r="I34" s="31" t="n">
        <x:v>3.2548465919000003</x:v>
      </x:c>
      <x:c r="J34" s="31" t="n">
        <x:v>2.9574191434</x:v>
      </x:c>
      <x:c r="K34" s="31" t="n">
        <x:v>0.2974274485</x:v>
      </x:c>
      <x:c r="L34" s="31" t="n">
        <x:v>0</x:v>
      </x:c>
      <x:c r="M34" s="31" t="n">
        <x:v>3.2548465919000003</x:v>
      </x:c>
      <x:c r="N34" s="24" t="str">
        <x:v>marine finfishes not identified</x:v>
      </x:c>
      <x:c r="O34" s="32" t="n">
        <x:v>3.23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Marine finfishes not identified</x:v>
      </x:c>
      <x:c r="T34" s="32" t="n">
        <x:f>IF(O34="","",(1/'Metadata'!$B$5)^(O34-1))</x:f>
        <x:v>169.82436524617444</x:v>
      </x:c>
      <x:c r="U34" s="31" t="n">
        <x:f>IF(T34="","",I34*T34)</x:f>
        <x:v>552.7522564430917</x:v>
      </x:c>
    </x:row>
    <x:row r="35" ht="18" customHeight="1">
      <x:c r="A35" s="24" t="str">
        <x:v>EEZ_648</x:v>
      </x:c>
      <x:c r="B35" s="24" t="str">
        <x:v>Russia (Baltic Sea)</x:v>
      </x:c>
      <x:c r="C35" s="24" t="str">
        <x:v>EEZ</x:v>
      </x:c>
      <x:c r="D35" s="30" t="n">
        <x:v>2019</x:v>
      </x:c>
      <x:c r="E35" s="24" t="str">
        <x:v>Scardinius erythrophthalmus</x:v>
      </x:c>
      <x:c r="F35" s="24" t="str">
        <x:v>Rudd</x:v>
      </x:c>
      <x:c r="G35" s="24" t="str">
        <x:v>Medium benthopelagics (30 - 89 cm)</x:v>
      </x:c>
      <x:c r="H35" s="24" t="str">
        <x:v>Other fishes &amp; inverts</x:v>
      </x:c>
      <x:c r="I35" s="31" t="n">
        <x:v>2.1419623382</x:v>
      </x:c>
      <x:c r="J35" s="31" t="n">
        <x:v>2.1419623382</x:v>
      </x:c>
      <x:c r="K35" s="31" t="n">
        <x:v>0</x:v>
      </x:c>
      <x:c r="L35" s="31" t="n">
        <x:v>2.1419623382</x:v>
      </x:c>
      <x:c r="M35" s="31" t="n">
        <x:v>0</x:v>
      </x:c>
      <x:c r="N35" s="24" t="str">
        <x:v>scardinius erythrophthalmus</x:v>
      </x:c>
      <x:c r="O35" s="32" t="n">
        <x:v>2.89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Scardinius erythrophthalmus</x:v>
      </x:c>
      <x:c r="T35" s="32" t="n">
        <x:f>IF(O35="","",(1/'Metadata'!$B$5)^(O35-1))</x:f>
        <x:v>77.6247116628692</x:v>
      </x:c>
      <x:c r="U35" s="31" t="n">
        <x:f>IF(T35="","",I35*T35)</x:f>
        <x:v>166.26920889550013</x:v>
      </x:c>
    </x:row>
    <x:row r="36" ht="18" customHeight="1">
      <x:c r="A36" s="24" t="str">
        <x:v>EEZ_648</x:v>
      </x:c>
      <x:c r="B36" s="24" t="str">
        <x:v>Russia (Baltic Sea)</x:v>
      </x:c>
      <x:c r="C36" s="24" t="str">
        <x:v>EEZ</x:v>
      </x:c>
      <x:c r="D36" s="30" t="n">
        <x:v>2019</x:v>
      </x:c>
      <x:c r="E36" s="24" t="str">
        <x:v>Leuciscus idus</x:v>
      </x:c>
      <x:c r="F36" s="24" t="str">
        <x:v>Ide</x:v>
      </x:c>
      <x:c r="G36" s="24" t="str">
        <x:v>Medium benthopelagics (30 - 89 cm)</x:v>
      </x:c>
      <x:c r="H36" s="24" t="str">
        <x:v>Other fishes &amp; inverts</x:v>
      </x:c>
      <x:c r="I36" s="31" t="n">
        <x:v>0.3496186063</x:v>
      </x:c>
      <x:c r="J36" s="31" t="n">
        <x:v>0.3184272556</x:v>
      </x:c>
      <x:c r="K36" s="31" t="n">
        <x:v>0.0311913507</x:v>
      </x:c>
      <x:c r="L36" s="31" t="n">
        <x:v>0.2856722772</x:v>
      </x:c>
      <x:c r="M36" s="31" t="n">
        <x:v>0.0639463291</x:v>
      </x:c>
      <x:c r="N36" s="24" t="str">
        <x:v>leuciscus idus</x:v>
      </x:c>
      <x:c r="O36" s="32" t="n">
        <x:v>3.79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Leuciscus idus</x:v>
      </x:c>
      <x:c r="T36" s="32" t="n">
        <x:f>IF(O36="","",(1/'Metadata'!$B$5)^(O36-1))</x:f>
        <x:v>616.5950018614822</x:v>
      </x:c>
      <x:c r="U36" s="31" t="n">
        <x:f>IF(T36="","",I36*T36)</x:f>
        <x:v>215.5730852023573</x:v>
      </x:c>
    </x:row>
    <x:row r="37" ht="18" customHeight="1">
      <x:c r="A37" s="24" t="str">
        <x:v>EEZ_648</x:v>
      </x:c>
      <x:c r="B37" s="24" t="str">
        <x:v>Russia (Baltic Sea)</x:v>
      </x:c>
      <x:c r="C37" s="24" t="str">
        <x:v>EEZ</x:v>
      </x:c>
      <x:c r="D37" s="30" t="n">
        <x:v>2019</x:v>
      </x:c>
      <x:c r="E37" s="24" t="str">
        <x:v>Leuciscus aspius</x:v>
      </x:c>
      <x:c r="F37" s="24" t="str">
        <x:v>Asp</x:v>
      </x:c>
      <x:c r="G37" s="24" t="str">
        <x:v>Large benthopelagics (&gt;=90 cm)</x:v>
      </x:c>
      <x:c r="H37" s="24" t="str">
        <x:v>Other fishes &amp; inverts</x:v>
      </x:c>
      <x:c r="I37" s="31" t="n">
        <x:v>0.1965124247</x:v>
      </x:c>
      <x:c r="J37" s="31" t="n">
        <x:v>0.1964791668</x:v>
      </x:c>
      <x:c r="K37" s="31" t="n">
        <x:v>0.0000332579</x:v>
      </x:c>
      <x:c r="L37" s="31" t="n">
        <x:v>0.16654896500000002</x:v>
      </x:c>
      <x:c r="M37" s="31" t="n">
        <x:v>0.0299634597</x:v>
      </x:c>
      <x:c r="N37" s="24" t="str">
        <x:v>leuciscus aspius</x:v>
      </x:c>
      <x:c r="O37" s="32" t="n">
        <x:v>4.47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Leuciscus aspius</x:v>
      </x:c>
      <x:c r="T37" s="32" t="n">
        <x:f>IF(O37="","",(1/'Metadata'!$B$5)^(O37-1))</x:f>
        <x:v>2951.209226666384</x:v>
      </x:c>
      <x:c r="U37" s="31" t="n">
        <x:f>IF(T37="","",I37*T37)</x:f>
        <x:v>579.949280929223</x:v>
      </x:c>
    </x:row>
    <x:row r="38" ht="18" customHeight="1">
      <x:c r="A38" s="24" t="str">
        <x:v>EEZ_648</x:v>
      </x:c>
      <x:c r="B38" s="24" t="str">
        <x:v>Russia (Baltic Sea)</x:v>
      </x:c>
      <x:c r="C38" s="24" t="str">
        <x:v>EEZ</x:v>
      </x:c>
      <x:c r="D38" s="30" t="n">
        <x:v>2019</x:v>
      </x:c>
      <x:c r="E38" s="24" t="str">
        <x:v>Limanda limanda</x:v>
      </x:c>
      <x:c r="F38" s="24" t="str">
        <x:v>Common dab</x:v>
      </x:c>
      <x:c r="G38" s="24" t="str">
        <x:v>Small to medium flatfishes (&lt;90 cm)</x:v>
      </x:c>
      <x:c r="H38" s="24" t="str">
        <x:v>Flatfishes</x:v>
      </x:c>
      <x:c r="I38" s="31" t="n">
        <x:v>0.16252886009999998</x:v>
      </x:c>
      <x:c r="J38" s="31" t="n">
        <x:v>0.16252886009999998</x:v>
      </x:c>
      <x:c r="K38" s="31" t="n">
        <x:v>0</x:v>
      </x:c>
      <x:c r="L38" s="31" t="n">
        <x:v>0.16252886009999998</x:v>
      </x:c>
      <x:c r="M38" s="31" t="n">
        <x:v>0</x:v>
      </x:c>
      <x:c r="N38" s="24" t="str">
        <x:v>limanda limanda</x:v>
      </x:c>
      <x:c r="O38" s="32" t="n">
        <x:v>3.29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Limanda limanda</x:v>
      </x:c>
      <x:c r="T38" s="32" t="n">
        <x:f>IF(O38="","",(1/'Metadata'!$B$5)^(O38-1))</x:f>
        <x:v>194.98445997580455</x:v>
      </x:c>
      <x:c r="U38" s="31" t="n">
        <x:f>IF(T38="","",I38*T38)</x:f>
        <x:v>31.690602017081584</x:v>
      </x:c>
    </x:row>
    <x:row r="39" ht="18" customHeight="1">
      <x:c r="A39" s="24" t="str">
        <x:v>EEZ_648</x:v>
      </x:c>
      <x:c r="B39" s="24" t="str">
        <x:v>Russia (Baltic Sea)</x:v>
      </x:c>
      <x:c r="C39" s="24" t="str">
        <x:v>EEZ</x:v>
      </x:c>
      <x:c r="D39" s="30" t="n">
        <x:v>2019</x:v>
      </x:c>
      <x:c r="E39" s="24" t="str">
        <x:v>Pleuronectes platessa</x:v>
      </x:c>
      <x:c r="F39" s="24" t="str">
        <x:v>European plaice</x:v>
      </x:c>
      <x:c r="G39" s="24" t="str">
        <x:v>Large flatfishes (&gt;=90 cm)</x:v>
      </x:c>
      <x:c r="H39" s="24" t="str">
        <x:v>Flatfishes</x:v>
      </x:c>
      <x:c r="I39" s="31" t="n">
        <x:v>0.1011026106</x:v>
      </x:c>
      <x:c r="J39" s="31" t="n">
        <x:v>0.0711283754</x:v>
      </x:c>
      <x:c r="K39" s="31" t="n">
        <x:v>0.0299742352</x:v>
      </x:c>
      <x:c r="L39" s="31" t="n">
        <x:v>0.000677617</x:v>
      </x:c>
      <x:c r="M39" s="31" t="n">
        <x:v>0.1004249936</x:v>
      </x:c>
      <x:c r="N39" s="24" t="str">
        <x:v>pleuronectes platessa</x:v>
      </x:c>
      <x:c r="O39" s="32" t="n">
        <x:v>3.26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Pleuronectes platessa</x:v>
      </x:c>
      <x:c r="T39" s="32" t="n">
        <x:f>IF(O39="","",(1/'Metadata'!$B$5)^(O39-1))</x:f>
        <x:v>181.97008586099827</x:v>
      </x:c>
      <x:c r="U39" s="31" t="n">
        <x:f>IF(T39="","",I39*T39)</x:f>
        <x:v>18.397650731653073</x:v>
      </x:c>
    </x:row>
    <x:row r="40" ht="18" customHeight="1">
      <x:c r="A40" s="24" t="str">
        <x:v>EEZ_648</x:v>
      </x:c>
      <x:c r="B40" s="24" t="str">
        <x:v>Russia (Baltic Sea)</x:v>
      </x:c>
      <x:c r="C40" s="24" t="str">
        <x:v>EEZ</x:v>
      </x:c>
      <x:c r="D40" s="30" t="n">
        <x:v>2019</x:v>
      </x:c>
      <x:c r="E40" s="24" t="str">
        <x:v>Tinca tinca</x:v>
      </x:c>
      <x:c r="F40" s="24" t="str">
        <x:v>Tench</x:v>
      </x:c>
      <x:c r="G40" s="24" t="str">
        <x:v>Medium demersals (30 - 89 cm)</x:v>
      </x:c>
      <x:c r="H40" s="24" t="str">
        <x:v>Other fishes &amp; inverts</x:v>
      </x:c>
      <x:c r="I40" s="31" t="n">
        <x:v>0.0809122564</x:v>
      </x:c>
      <x:c r="J40" s="31" t="n">
        <x:v>0.08086965</x:v>
      </x:c>
      <x:c r="K40" s="31" t="n">
        <x:v>0.0000426064</x:v>
      </x:c>
      <x:c r="L40" s="31" t="n">
        <x:v>0.0506598084</x:v>
      </x:c>
      <x:c r="M40" s="31" t="n">
        <x:v>0.030252448</x:v>
      </x:c>
      <x:c r="N40" s="24" t="str">
        <x:v>tinca tinca</x:v>
      </x:c>
      <x:c r="O40" s="32" t="n">
        <x:v>3.69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Tinca tinca</x:v>
      </x:c>
      <x:c r="T40" s="32" t="n">
        <x:f>IF(O40="","",(1/'Metadata'!$B$5)^(O40-1))</x:f>
        <x:v>489.77881936844614</x:v>
      </x:c>
      <x:c r="U40" s="31" t="n">
        <x:f>IF(T40="","",I40*T40)</x:f>
        <x:v>39.629109412028996</x:v>
      </x:c>
    </x:row>
    <x:row r="41" ht="18" customHeight="1">
      <x:c r="A41" s="24" t="str">
        <x:v>EEZ_648</x:v>
      </x:c>
      <x:c r="B41" s="24" t="str">
        <x:v>Russia (Baltic Sea)</x:v>
      </x:c>
      <x:c r="C41" s="24" t="str">
        <x:v>EEZ</x:v>
      </x:c>
      <x:c r="D41" s="30" t="n">
        <x:v>2019</x:v>
      </x:c>
      <x:c r="E41" s="24" t="str">
        <x:v>Cyprinus carpio</x:v>
      </x:c>
      <x:c r="F41" s="24" t="str">
        <x:v>Common carp</x:v>
      </x:c>
      <x:c r="G41" s="24" t="str">
        <x:v>Large benthopelagics (&gt;=90 cm)</x:v>
      </x:c>
      <x:c r="H41" s="24" t="str">
        <x:v>Other fishes &amp; inverts</x:v>
      </x:c>
      <x:c r="I41" s="31" t="n">
        <x:v>0.0640928558</x:v>
      </x:c>
      <x:c r="J41" s="31" t="n">
        <x:v>0.0640928558</x:v>
      </x:c>
      <x:c r="K41" s="31" t="n">
        <x:v>0</x:v>
      </x:c>
      <x:c r="L41" s="31" t="n">
        <x:v>0.058092865800000004</x:v>
      </x:c>
      <x:c r="M41" s="31" t="n">
        <x:v>0.00599999</x:v>
      </x:c>
      <x:c r="N41" s="24" t="str">
        <x:v>cyprinus carpio</x:v>
      </x:c>
      <x:c r="O41" s="32" t="n">
        <x:v>3.06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Cyprinus carpio</x:v>
      </x:c>
      <x:c r="T41" s="32" t="n">
        <x:f>IF(O41="","",(1/'Metadata'!$B$5)^(O41-1))</x:f>
        <x:v>114.81536214968828</x:v>
      </x:c>
      <x:c r="U41" s="31" t="n">
        <x:f>IF(T41="","",I41*T41)</x:f>
        <x:v>7.358844449884749</x:v>
      </x:c>
    </x:row>
    <x:row r="42" ht="18" customHeight="1">
      <x:c r="A42" s="24" t="str">
        <x:v>EEZ_648</x:v>
      </x:c>
      <x:c r="B42" s="24" t="str">
        <x:v>Russia (Baltic Sea)</x:v>
      </x:c>
      <x:c r="C42" s="24" t="str">
        <x:v>EEZ</x:v>
      </x:c>
      <x:c r="D42" s="30" t="n">
        <x:v>2019</x:v>
      </x:c>
      <x:c r="E42" s="24" t="str">
        <x:v>Zoarces viviparus</x:v>
      </x:c>
      <x:c r="F42" s="24" t="str">
        <x:v>Eelpout</x:v>
      </x:c>
      <x:c r="G42" s="24" t="str">
        <x:v>Medium demersals (30 - 89 cm)</x:v>
      </x:c>
      <x:c r="H42" s="24" t="str">
        <x:v>Perch-likes</x:v>
      </x:c>
      <x:c r="I42" s="31" t="n">
        <x:v>0.0144758096</x:v>
      </x:c>
      <x:c r="J42" s="31" t="n">
        <x:v>0.0144536112</x:v>
      </x:c>
      <x:c r="K42" s="31" t="n">
        <x:v>0.0000221984</x:v>
      </x:c>
      <x:c r="L42" s="31" t="n">
        <x:v>0.0012248441</x:v>
      </x:c>
      <x:c r="M42" s="31" t="n">
        <x:v>0.013250965500000001</x:v>
      </x:c>
      <x:c r="N42" s="24" t="str">
        <x:v>zoarces viviparus</x:v>
      </x:c>
      <x:c r="O42" s="32" t="n">
        <x:v>3.47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Zoarces viviparus</x:v>
      </x:c>
      <x:c r="T42" s="32" t="n">
        <x:f>IF(O42="","",(1/'Metadata'!$B$5)^(O42-1))</x:f>
        <x:v>295.1209226666387</x:v>
      </x:c>
      <x:c r="U42" s="31" t="n">
        <x:f>IF(T42="","",I42*T42)</x:f>
        <x:v>4.272114285498586</x:v>
      </x:c>
    </x:row>
    <x:row r="43" ht="18" customHeight="1">
      <x:c r="A43" s="24" t="str">
        <x:v>EEZ_648</x:v>
      </x:c>
      <x:c r="B43" s="24" t="str">
        <x:v>Russia (Baltic Sea)</x:v>
      </x:c>
      <x:c r="C43" s="24" t="str">
        <x:v>EEZ</x:v>
      </x:c>
      <x:c r="D43" s="30" t="n">
        <x:v>2019</x:v>
      </x:c>
      <x:c r="E43" s="24" t="str">
        <x:v>Scomber scombrus</x:v>
      </x:c>
      <x:c r="F43" s="24" t="str">
        <x:v>Atlantic mackerel</x:v>
      </x:c>
      <x:c r="G43" s="24" t="str">
        <x:v>Medium pelagics (30 - 89 cm)</x:v>
      </x:c>
      <x:c r="H43" s="24" t="str">
        <x:v>Perch-likes</x:v>
      </x:c>
      <x:c r="I43" s="31" t="n">
        <x:v>0.008920085900000001</x:v>
      </x:c>
      <x:c r="J43" s="31" t="n">
        <x:v>0.008920085900000001</x:v>
      </x:c>
      <x:c r="K43" s="31" t="n">
        <x:v>0</x:v>
      </x:c>
      <x:c r="L43" s="31" t="n">
        <x:v>0.008920085900000001</x:v>
      </x:c>
      <x:c r="M43" s="31" t="n">
        <x:v>0</x:v>
      </x:c>
      <x:c r="N43" s="24" t="str">
        <x:v>scomber scombrus</x:v>
      </x:c>
      <x:c r="O43" s="32" t="n">
        <x:v>3.63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Scomber scombrus</x:v>
      </x:c>
      <x:c r="T43" s="32" t="n">
        <x:f>IF(O43="","",(1/'Metadata'!$B$5)^(O43-1))</x:f>
        <x:v>426.57951880159254</x:v>
      </x:c>
      <x:c r="U43" s="31" t="n">
        <x:f>IF(T43="","",I43*T43)</x:f>
        <x:v>3.805125950890871</x:v>
      </x:c>
    </x:row>
    <x:row r="44" ht="18" customHeight="1">
      <x:c r="A44" s="24" t="str">
        <x:v>EEZ_648</x:v>
      </x:c>
      <x:c r="B44" s="24" t="str">
        <x:v>Russia (Baltic Sea)</x:v>
      </x:c>
      <x:c r="C44" s="24" t="str">
        <x:v>EEZ</x:v>
      </x:c>
      <x:c r="D44" s="30" t="n">
        <x:v>2019</x:v>
      </x:c>
      <x:c r="E44" s="24" t="str">
        <x:v>Myoxocephalus quadricornis</x:v>
      </x:c>
      <x:c r="F44" s="24" t="str">
        <x:v>Fourhorn sculpin</x:v>
      </x:c>
      <x:c r="G44" s="24" t="str">
        <x:v>Medium demersals (30 - 89 cm)</x:v>
      </x:c>
      <x:c r="H44" s="24" t="str">
        <x:v>Scorpionfishes</x:v>
      </x:c>
      <x:c r="I44" s="31" t="n">
        <x:v>0.0084875681</x:v>
      </x:c>
      <x:c r="J44" s="31" t="n">
        <x:v>0.0084875681</x:v>
      </x:c>
      <x:c r="K44" s="31" t="n">
        <x:v>0</x:v>
      </x:c>
      <x:c r="L44" s="31" t="n">
        <x:v>0.0084875681</x:v>
      </x:c>
      <x:c r="M44" s="31" t="n">
        <x:v>0</x:v>
      </x:c>
      <x:c r="N44" s="24" t="str">
        <x:v>myoxocephalus quadricornis</x:v>
      </x:c>
      <x:c r="O44" s="32" t="n">
        <x:v>3.69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Myoxocephalus quadricornis</x:v>
      </x:c>
      <x:c r="T44" s="32" t="n">
        <x:f>IF(O44="","",(1/'Metadata'!$B$5)^(O44-1))</x:f>
        <x:v>489.77881936844614</x:v>
      </x:c>
      <x:c r="U44" s="31" t="n">
        <x:f>IF(T44="","",I44*T44)</x:f>
        <x:v>4.157031083327285</x:v>
      </x:c>
    </x:row>
    <x:row r="45" ht="18" customHeight="1">
      <x:c r="A45" s="24" t="str">
        <x:v>EEZ_648</x:v>
      </x:c>
      <x:c r="B45" s="24" t="str">
        <x:v>Russia (Baltic Sea)</x:v>
      </x:c>
      <x:c r="C45" s="24" t="str">
        <x:v>EEZ</x:v>
      </x:c>
      <x:c r="D45" s="30" t="n">
        <x:v>2019</x:v>
      </x:c>
      <x:c r="E45" s="24" t="str">
        <x:v>Acipenseridae</x:v>
      </x:c>
      <x:c r="F45" s="24" t="str">
        <x:v>Sturgeons</x:v>
      </x:c>
      <x:c r="G45" s="24" t="str">
        <x:v>Large demersals (&gt;=90 cm)</x:v>
      </x:c>
      <x:c r="H45" s="24" t="str">
        <x:v>Other fishes &amp; inverts</x:v>
      </x:c>
      <x:c r="I45" s="31" t="n">
        <x:v>0.0016489288</x:v>
      </x:c>
      <x:c r="J45" s="31" t="n">
        <x:v>0.0016489288</x:v>
      </x:c>
      <x:c r="K45" s="31" t="n">
        <x:v>0</x:v>
      </x:c>
      <x:c r="L45" s="31" t="n">
        <x:v>0.0016489288</x:v>
      </x:c>
      <x:c r="M45" s="31" t="n">
        <x:v>0</x:v>
      </x:c>
      <x:c r="N45" s="24" t="str">
        <x:v>acipenseridae</x:v>
      </x:c>
      <x:c r="O45" s="32" t="n">
        <x:v>3.6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Acipenseridae</x:v>
      </x:c>
      <x:c r="T45" s="32" t="n">
        <x:f>IF(O45="","",(1/'Metadata'!$B$5)^(O45-1))</x:f>
        <x:v>398.1071705534973</x:v>
      </x:c>
      <x:c r="U45" s="31" t="n">
        <x:f>IF(T45="","",I45*T45)</x:f>
        <x:v>0.6564503790121737</x:v>
      </x:c>
    </x:row>
    <x:row r="46" ht="18" customHeight="1">
      <x:c r="A46" s="24" t="str">
        <x:v>EEZ_648</x:v>
      </x:c>
      <x:c r="B46" s="24" t="str">
        <x:v>Russia (Baltic Sea)</x:v>
      </x:c>
      <x:c r="C46" s="24" t="str">
        <x:v>EEZ</x:v>
      </x:c>
      <x:c r="D46" s="30" t="n">
        <x:v>2019</x:v>
      </x:c>
      <x:c r="E46" s="24" t="str">
        <x:v>Salvelinus</x:v>
      </x:c>
      <x:c r="F46" s="24" t="str">
        <x:v>Chars</x:v>
      </x:c>
      <x:c r="G46" s="24" t="str">
        <x:v>Large benthopelagics (&gt;=90 cm)</x:v>
      </x:c>
      <x:c r="H46" s="24" t="str">
        <x:v>Salmon, smelts, etc</x:v>
      </x:c>
      <x:c r="I46" s="31" t="n">
        <x:v>0.0006509406</x:v>
      </x:c>
      <x:c r="J46" s="31" t="n">
        <x:v>0.0006509406</x:v>
      </x:c>
      <x:c r="K46" s="31" t="n">
        <x:v>0</x:v>
      </x:c>
      <x:c r="L46" s="31" t="n">
        <x:v>0.0006509406</x:v>
      </x:c>
      <x:c r="M46" s="31" t="n">
        <x:v>0</x:v>
      </x:c>
      <x:c r="N46" s="24" t="str">
        <x:v>salvelinus</x:v>
      </x:c>
      <x:c r="O46" s="32" t="n">
        <x:v>4.1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Salvelinus</x:v>
      </x:c>
      <x:c r="T46" s="32" t="n">
        <x:f>IF(O46="","",(1/'Metadata'!$B$5)^(O46-1))</x:f>
        <x:v>1258.9254117941662</x:v>
      </x:c>
      <x:c r="U46" s="31" t="n">
        <x:f>IF(T46="","",I46*T46)</x:f>
        <x:v>0.8194856629085416</x:v>
      </x:c>
    </x:row>
    <x:row r="47" ht="18" customHeight="1">
      <x:c r="A47" s="24" t="str">
        <x:v>EEZ_648</x:v>
      </x:c>
      <x:c r="B47" s="24" t="str">
        <x:v>Russia (Baltic Sea)</x:v>
      </x:c>
      <x:c r="C47" s="24" t="str">
        <x:v>EEZ</x:v>
      </x:c>
      <x:c r="D47" s="30" t="n">
        <x:v>2019</x:v>
      </x:c>
      <x:c r="E47" s="24" t="str">
        <x:v>Gastropoda</x:v>
      </x:c>
      <x:c r="F47" s="24" t="str">
        <x:v>Sea snails</x:v>
      </x:c>
      <x:c r="G47" s="24" t="str">
        <x:v>Other demersal invertebrates</x:v>
      </x:c>
      <x:c r="H47" s="24" t="str">
        <x:v>Molluscs</x:v>
      </x:c>
      <x:c r="I47" s="31" t="n">
        <x:v>0.0000337339</x:v>
      </x:c>
      <x:c r="J47" s="31" t="n">
        <x:v>0.0000337339</x:v>
      </x:c>
      <x:c r="K47" s="31" t="n">
        <x:v>0</x:v>
      </x:c>
      <x:c r="L47" s="31" t="n">
        <x:v>0.0000337339</x:v>
      </x:c>
      <x:c r="M47" s="31" t="n">
        <x:v>0</x:v>
      </x:c>
      <x:c r="N47" s="24" t="str">
        <x:v>gastropoda</x:v>
      </x:c>
      <x:c r="O47" s="32" t="n">
        <x:v>3.06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Gastropoda</x:v>
      </x:c>
      <x:c r="T47" s="32" t="n">
        <x:f>IF(O47="","",(1/'Metadata'!$B$5)^(O47-1))</x:f>
        <x:v>114.81536214968828</x:v>
      </x:c>
      <x:c r="U47" s="31" t="n">
        <x:f>IF(T47="","",I47*T47)</x:f>
        <x:v>0.0038731699452213696</x:v>
      </x:c>
    </x:row>
    <x:row r="48" ht="18" customHeight="1">
      <x:c r="A48" s="24" t="str">
        <x:v>EEZ_648</x:v>
      </x:c>
      <x:c r="B48" s="24" t="str">
        <x:v>Russia (Baltic Sea)</x:v>
      </x:c>
      <x:c r="C48" s="24" t="str">
        <x:v>EEZ</x:v>
      </x:c>
      <x:c r="D48" s="30" t="n">
        <x:v>2019</x:v>
      </x:c>
      <x:c r="E48" s="24" t="str">
        <x:v>Silurus glanis</x:v>
      </x:c>
      <x:c r="F48" s="24" t="str">
        <x:v>Wels catfish</x:v>
      </x:c>
      <x:c r="G48" s="24" t="str">
        <x:v>Large demersals (&gt;=90 cm)</x:v>
      </x:c>
      <x:c r="H48" s="24" t="str">
        <x:v>Other fishes &amp; inverts</x:v>
      </x:c>
      <x:c r="I48" s="31" t="n">
        <x:v>3.3989999999999997e-7</x:v>
      </x:c>
      <x:c r="J48" s="31" t="n">
        <x:v>0</x:v>
      </x:c>
      <x:c r="K48" s="31" t="n">
        <x:v>3.3989999999999997e-7</x:v>
      </x:c>
      <x:c r="L48" s="31" t="n">
        <x:v>0</x:v>
      </x:c>
      <x:c r="M48" s="31" t="n">
        <x:v>3.3989999999999997e-7</x:v>
      </x:c>
      <x:c r="N48" s="24" t="str">
        <x:v>silurus glanis</x:v>
      </x:c>
      <x:c r="O48" s="32" t="n">
        <x:v>4.36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Silurus glanis</x:v>
      </x:c>
      <x:c r="T48" s="32" t="n">
        <x:f>IF(O48="","",(1/'Metadata'!$B$5)^(O48-1))</x:f>
        <x:v>2290.867652767775</x:v>
      </x:c>
      <x:c r="U48" s="31" t="n">
        <x:f>IF(T48="","",I48*T48)</x:f>
        <x:v>0.0007786659151757665</x:v>
      </x:c>
    </x:row>
  </x:sheetData>
  <x:conditionalFormatting sqref="R2:R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64268e6daaa44a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4911.4926597525</x:v>
      </x:c>
      <x:c r="C2" s="32" t="n">
        <x:v>4.0894521275482605</x:v>
      </x:c>
      <x:c r="D2" s="32" t="n">
        <x:f>IF(C2="","",(1/'Metadata'!$B$5)^(C2-1))</x:f>
        <x:v>1228.7177370733634</x:v>
      </x:c>
      <x:c r="E2" s="31" t="n">
        <x:f>IF(B2=0,"",B2*D2)</x:f>
        <x:v>6034838.146543527</x:v>
      </x:c>
    </x:row>
    <x:row r="3" ht="18" customHeight="1">
      <x:c r="A3" s="24" t="str">
        <x:v>Flatfishes</x:v>
      </x:c>
      <x:c r="B3" s="31" t="n">
        <x:v>1661.9124213848002</x:v>
      </x:c>
      <x:c r="C3" s="32" t="n">
        <x:v>3.4887714069835014</x:v>
      </x:c>
      <x:c r="D3" s="32" t="n">
        <x:f>IF(C3="","",(1/'Metadata'!$B$5)^(C3-1))</x:f>
        <x:v>308.15655262728194</x:v>
      </x:c>
      <x:c r="E3" s="31" t="n">
        <x:f>IF(B3=0,"",B3*D3)</x:f>
        <x:v>512129.2025423987</x:v>
      </x:c>
    </x:row>
    <x:row r="4" ht="18" customHeight="1">
      <x:c r="A4" s="24" t="str">
        <x:v>Herring-likes</x:v>
      </x:c>
      <x:c r="B4" s="31" t="n">
        <x:v>99371.3445396337</x:v>
      </x:c>
      <x:c r="C4" s="32" t="n">
        <x:v>3.2015982610913802</x:v>
      </x:c>
      <x:c r="D4" s="32" t="n">
        <x:f>IF(C4="","",(1/'Metadata'!$B$5)^(C4-1))</x:f>
        <x:v>159.07365544520604</x:v>
      </x:c>
      <x:c r="E4" s="31" t="n">
        <x:f>IF(B4=0,"",B4*D4)</x:f>
        <x:v>15807363.022424549</x:v>
      </x:c>
    </x:row>
    <x:row r="5" ht="18" customHeight="1">
      <x:c r="A5" s="24" t="str">
        <x:v>Molluscs</x:v>
      </x:c>
      <x:c r="B5" s="31" t="n">
        <x:v>0.0000337339</x:v>
      </x:c>
      <x:c r="C5" s="32" t="n">
        <x:v>3.06</x:v>
      </x:c>
      <x:c r="D5" s="32" t="n">
        <x:f>IF(C5="","",(1/'Metadata'!$B$5)^(C5-1))</x:f>
        <x:v>114.81536214968828</x:v>
      </x:c>
      <x:c r="E5" s="31" t="n">
        <x:f>IF(B5=0,"",B5*D5)</x:f>
        <x:v>0.0038731699452213696</x:v>
      </x:c>
    </x:row>
    <x:row r="6" ht="18" customHeight="1">
      <x:c r="A6" s="24" t="str">
        <x:v>Other fishes &amp; inverts</x:v>
      </x:c>
      <x:c r="B6" s="31" t="n">
        <x:v>3537.7020071371</x:v>
      </x:c>
      <x:c r="C6" s="32" t="n">
        <x:v>2.8747385626389077</x:v>
      </x:c>
      <x:c r="D6" s="32" t="n">
        <x:f>IF(C6="","",(1/'Metadata'!$B$5)^(C6-1))</x:f>
        <x:v>74.94429225355478</x:v>
      </x:c>
      <x:c r="E6" s="31" t="n">
        <x:f>IF(B6=0,"",B6*D6)</x:f>
        <x:v>265130.57312887016</x:v>
      </x:c>
    </x:row>
    <x:row r="7" ht="18" customHeight="1">
      <x:c r="A7" s="24" t="str">
        <x:v>Perch-likes</x:v>
      </x:c>
      <x:c r="B7" s="31" t="n">
        <x:v>1239.4446050946</x:v>
      </x:c>
      <x:c r="C7" s="32" t="n">
        <x:v>3.8686243406159937</x:v>
      </x:c>
      <x:c r="D7" s="32" t="n">
        <x:f>IF(C7="","",(1/'Metadata'!$B$5)^(C7-1))</x:f>
        <x:v>738.9658022021389</x:v>
      </x:c>
      <x:c r="E7" s="31" t="n">
        <x:f>IF(B7=0,"",B7*D7)</x:f>
        <x:v>915907.1768888443</x:v>
      </x:c>
    </x:row>
    <x:row r="8" ht="18" customHeight="1">
      <x:c r="A8" s="24" t="str">
        <x:v>Salmon, smelts, etc</x:v>
      </x:c>
      <x:c r="B8" s="31" t="n">
        <x:v>572.3645247595001</x:v>
      </x:c>
      <x:c r="C8" s="32" t="n">
        <x:v>3.5387399475684616</x:v>
      </x:c>
      <x:c r="D8" s="32" t="n">
        <x:f>IF(C8="","",(1/'Metadata'!$B$5)^(C8-1))</x:f>
        <x:v>345.73229380576845</x:v>
      </x:c>
      <x:c r="E8" s="31" t="n">
        <x:f>IF(B8=0,"",B8*D8)</x:f>
        <x:v>197884.90003815052</x:v>
      </x:c>
    </x:row>
    <x:row r="9" ht="18" customHeight="1">
      <x:c r="A9" s="24" t="str">
        <x:v>Scorpionfishes</x:v>
      </x:c>
      <x:c r="B9" s="31" t="n">
        <x:v>0.0084875681</x:v>
      </x:c>
      <x:c r="C9" s="32" t="n">
        <x:v>3.69</x:v>
      </x:c>
      <x:c r="D9" s="32" t="n">
        <x:f>IF(C9="","",(1/'Metadata'!$B$5)^(C9-1))</x:f>
        <x:v>489.77881936844614</x:v>
      </x:c>
      <x:c r="E9" s="31" t="n">
        <x:f>IF(B9=0,"",B9*D9)</x:f>
        <x:v>4.157031083327285</x:v>
      </x:c>
    </x:row>
  </x:sheetData>
  <x:pageMargins left="0.7" right="0.7" top="0.75" bottom="0.75" header="0.3" footer="0.3"/>
  <x:tableParts count="1">
    <x:tablePart xmlns:r="http://schemas.openxmlformats.org/officeDocument/2006/relationships" r:id="R8fc1926c06b24e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4933.308364257799</x:v>
      </x:c>
      <x:c r="C2" s="32" t="n">
        <x:v>4.092179355154213</x:v>
      </x:c>
      <x:c r="D2" s="32" t="n">
        <x:f>IF(C2="","",(1/'Metadata'!$B$5)^(C2-1))</x:f>
        <x:v>1236.457961050758</x:v>
      </x:c>
      <x:c r="E2" s="31" t="n">
        <x:f>IF(B2=0,"",B2*D2)</x:f>
        <x:v>6099828.401304849</x:v>
      </x:c>
    </x:row>
    <x:row r="3" ht="18" customHeight="1">
      <x:c r="A3" s="24" t="str">
        <x:v>Large demersals (&gt;=90 cm)</x:v>
      </x:c>
      <x:c r="B3" s="31" t="n">
        <x:v>91.30097772819998</x:v>
      </x:c>
      <x:c r="C3" s="32" t="n">
        <x:v>3.8931488299483483</x:v>
      </x:c>
      <x:c r="D3" s="32" t="n">
        <x:f>IF(C3="","",(1/'Metadata'!$B$5)^(C3-1))</x:f>
        <x:v>781.8957093525395</x:v>
      </x:c>
      <x:c r="E3" s="31" t="n">
        <x:f>IF(B3=0,"",B3*D3)</x:f>
        <x:v>71387.84274537134</x:v>
      </x:c>
    </x:row>
    <x:row r="4" ht="18" customHeight="1">
      <x:c r="A4" s="24" t="str">
        <x:v>Large flatfishes (&gt;=90 cm)</x:v>
      </x:c>
      <x:c r="B4" s="31" t="n">
        <x:v>5.9005369894</x:v>
      </x:c>
      <x:c r="C4" s="32" t="n">
        <x:v>4.341152076182254</x:v>
      </x:c>
      <x:c r="D4" s="32" t="n">
        <x:f>IF(C4="","",(1/'Metadata'!$B$5)^(C4-1))</x:f>
        <x:v>2193.5729206913315</x:v>
      </x:c>
      <x:c r="E4" s="31" t="n">
        <x:f>IF(B4=0,"",B4*D4)</x:f>
        <x:v>12943.258157485394</x:v>
      </x:c>
    </x:row>
    <x:row r="5" ht="18" customHeight="1">
      <x:c r="A5" s="24" t="str">
        <x:v>Large pelagics (&gt;=90 cm)</x:v>
      </x:c>
      <x:c r="B5" s="31" t="n">
        <x:v>769.7905214883</x:v>
      </x:c>
      <x:c r="C5" s="32" t="n">
        <x:v>3.9879435780387262</x:v>
      </x:c>
      <x:c r="D5" s="32" t="n">
        <x:f>IF(C5="","",(1/'Metadata'!$B$5)^(C5-1))</x:f>
        <x:v>972.6208562004807</x:v>
      </x:c>
      <x:c r="E5" s="31" t="n">
        <x:f>IF(B5=0,"",B5*D5)</x:f>
        <x:v>748714.3161049649</x:v>
      </x:c>
    </x:row>
    <x:row r="6" ht="18" customHeight="1">
      <x:c r="A6" s="24" t="str">
        <x:v>Medium benthopelagics (30 - 89 cm)</x:v>
      </x:c>
      <x:c r="B6" s="31" t="n">
        <x:v>294.31991077370003</x:v>
      </x:c>
      <x:c r="C6" s="32" t="n">
        <x:v>2.960476508976869</x:v>
      </x:c>
      <x:c r="D6" s="32" t="n">
        <x:f>IF(C6="","",(1/'Metadata'!$B$5)^(C6-1))</x:f>
        <x:v>91.3012049063052</x:v>
      </x:c>
      <x:c r="E6" s="31" t="n">
        <x:f>IF(B6=0,"",B6*D6)</x:f>
        <x:v>26871.76248155505</x:v>
      </x:c>
    </x:row>
    <x:row r="7" ht="18" customHeight="1">
      <x:c r="A7" s="24" t="str">
        <x:v>Medium demersals (30 - 89 cm)</x:v>
      </x:c>
      <x:c r="B7" s="31" t="n">
        <x:v>3203.9945070263</x:v>
      </x:c>
      <x:c r="C7" s="32" t="n">
        <x:v>2.9117325074741878</x:v>
      </x:c>
      <x:c r="D7" s="32" t="n">
        <x:f>IF(C7="","",(1/'Metadata'!$B$5)^(C7-1))</x:f>
        <x:v>81.60795732898129</x:v>
      </x:c>
      <x:c r="E7" s="31" t="n">
        <x:f>IF(B7=0,"",B7*D7)</x:f>
        <x:v>261471.44701169274</x:v>
      </x:c>
    </x:row>
    <x:row r="8" ht="18" customHeight="1">
      <x:c r="A8" s="24" t="str">
        <x:v>Medium pelagics (30 - 89 cm)</x:v>
      </x:c>
      <x:c r="B8" s="31" t="n">
        <x:v>52069.708114663204</x:v>
      </x:c>
      <x:c r="C8" s="32" t="n">
        <x:v>3.3812890863180507</x:v>
      </x:c>
      <x:c r="D8" s="32" t="n">
        <x:f>IF(C8="","",(1/'Metadata'!$B$5)^(C8-1))</x:f>
        <x:v>240.5963786904339</x:v>
      </x:c>
      <x:c r="E8" s="31" t="n">
        <x:f>IF(B8=0,"",B8*D8)</x:f>
        <x:v>12527783.211855868</x:v>
      </x:c>
    </x:row>
    <x:row r="9" ht="18" customHeight="1">
      <x:c r="A9" s="24" t="str">
        <x:v>Other demersal invertebrates</x:v>
      </x:c>
      <x:c r="B9" s="31" t="n">
        <x:v>0.0000337339</x:v>
      </x:c>
      <x:c r="C9" s="32" t="n">
        <x:v>3.06</x:v>
      </x:c>
      <x:c r="D9" s="32" t="n">
        <x:f>IF(C9="","",(1/'Metadata'!$B$5)^(C9-1))</x:f>
        <x:v>114.81536214968828</x:v>
      </x:c>
      <x:c r="E9" s="31" t="n">
        <x:f>IF(B9=0,"",B9*D9)</x:f>
        <x:v>0.0038731699452213696</x:v>
      </x:c>
    </x:row>
    <x:row r="10" ht="18" customHeight="1">
      <x:c r="A10" s="24" t="str">
        <x:v>Small benthopelagics (&lt;30 cm)</x:v>
      </x:c>
      <x:c r="B10" s="31" t="n">
        <x:v>13.5092344123</x:v>
      </x:c>
      <x:c r="C10" s="32" t="n">
        <x:v>3.3100000000000005</x:v>
      </x:c>
      <x:c r="D10" s="32" t="n">
        <x:f>IF(C10="","",(1/'Metadata'!$B$5)^(C10-1))</x:f>
        <x:v>204.17379446695315</x:v>
      </x:c>
      <x:c r="E10" s="31" t="n">
        <x:f>IF(B10=0,"",B10*D10)</x:f>
        <x:v>2758.231650302831</x:v>
      </x:c>
    </x:row>
    <x:row r="11" ht="18" customHeight="1">
      <x:c r="A11" s="24" t="str">
        <x:v>Small demersals (&lt;30 cm)</x:v>
      </x:c>
      <x:c r="B11" s="31" t="n">
        <x:v>106.96503352469999</x:v>
      </x:c>
      <x:c r="C11" s="32" t="n">
        <x:v>3.290334085287383</x:v>
      </x:c>
      <x:c r="D11" s="32" t="n">
        <x:f>IF(C11="","",(1/'Metadata'!$B$5)^(C11-1))</x:f>
        <x:v>195.13451138984038</x:v>
      </x:c>
      <x:c r="E11" s="31" t="n">
        <x:f>IF(B11=0,"",B11*D11)</x:f>
        <x:v>20872.56955264023</x:v>
      </x:c>
    </x:row>
    <x:row r="12" ht="18" customHeight="1">
      <x:c r="A12" s="24" t="str">
        <x:v>Small pelagics (&lt;30 cm)</x:v>
      </x:c>
      <x:c r="B12" s="31" t="n">
        <x:v>47952.0491334899</x:v>
      </x:c>
      <x:c r="C12" s="32" t="n">
        <x:v>3.0100000000000002</x:v>
      </x:c>
      <x:c r="D12" s="32" t="n">
        <x:f>IF(C12="","",(1/'Metadata'!$B$5)^(C12-1))</x:f>
        <x:v>102.32929922807547</x:v>
      </x:c>
      <x:c r="E12" s="31" t="n">
        <x:f>IF(B12=0,"",B12*D12)</x:f>
        <x:v>4906899.584380264</x:v>
      </x:c>
    </x:row>
    <x:row r="13" ht="18" customHeight="1">
      <x:c r="A13" s="24" t="str">
        <x:v>Small reef assoc. fish (&lt;30 cm)</x:v>
      </x:c>
      <x:c r="B13" s="31" t="n">
        <x:v>197.4110265811</x:v>
      </x:c>
      <x:c r="C13" s="32" t="n">
        <x:v>3.1100000000000003</x:v>
      </x:c>
      <x:c r="D13" s="32" t="n">
        <x:f>IF(C13="","",(1/'Metadata'!$B$5)^(C13-1))</x:f>
        <x:v>128.82495516931348</x:v>
      </x:c>
      <x:c r="E13" s="31" t="n">
        <x:f>IF(B13=0,"",B13*D13)</x:f>
        <x:v>25431.466649238362</x:v>
      </x:c>
    </x:row>
    <x:row r="14" ht="18" customHeight="1">
      <x:c r="A14" s="24" t="str">
        <x:v>Small to medium flatfishes (&lt;90 cm)</x:v>
      </x:c>
      <x:c r="B14" s="31" t="n">
        <x:v>1656.0118843954</x:v>
      </x:c>
      <x:c r="C14" s="32" t="n">
        <x:v>3.485734288883656</x:v>
      </x:c>
      <x:c r="D14" s="32" t="n">
        <x:f>IF(C14="","",(1/'Metadata'!$B$5)^(C14-1))</x:f>
        <x:v>306.00906286744157</x:v>
      </x:c>
      <x:c r="E14" s="31" t="n">
        <x:f>IF(B14=0,"",B14*D14)</x:f>
        <x:v>506754.6448411824</x:v>
      </x:c>
    </x:row>
  </x:sheetData>
  <x:pageMargins left="0.7" right="0.7" top="0.75" bottom="0.75" header="0.3" footer="0.3"/>
  <x:tableParts count="1">
    <x:tablePart xmlns:r="http://schemas.openxmlformats.org/officeDocument/2006/relationships" r:id="R94a2bca2e08942a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EEZ_648</x:v>
      </x:c>
      <x:c r="B2" s="24" t="str">
        <x:v>raw_filtered_tonnes</x:v>
      </x:c>
      <x:c r="C2" s="24" t="n">
        <x:v>111294.2692790642</x:v>
      </x:c>
      <x:c r="D2" s="24" t="str">
        <x:v>tonnes</x:v>
      </x:c>
    </x:row>
    <x:row r="3" ht="18" customHeight="1">
      <x:c r="A3" s="24" t="str">
        <x:v>EEZ_648</x:v>
      </x:c>
      <x:c r="B3" s="24" t="str">
        <x:v>species_catch_tonnes</x:v>
      </x:c>
      <x:c r="C3" s="24" t="n">
        <x:v>111294.2692790642</x:v>
      </x:c>
      <x:c r="D3" s="24" t="str">
        <x:v>tonnes</x:v>
      </x:c>
    </x:row>
    <x:row r="4" ht="18" customHeight="1">
      <x:c r="A4" s="24" t="str">
        <x:v>EEZ_648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EEZ_648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EEZ_648</x:v>
      </x:c>
      <x:c r="B6" s="24" t="str">
        <x:v>matched_catch_tonnes</x:v>
      </x:c>
      <x:c r="C6" s="24" t="n">
        <x:v>111294.2692790642</x:v>
      </x:c>
      <x:c r="D6" s="24" t="str">
        <x:v>tonnes</x:v>
      </x:c>
    </x:row>
    <x:row r="7" ht="18" customHeight="1">
      <x:c r="A7" s="24" t="str">
        <x:v>EEZ_648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EEZ_648</x:v>
      </x:c>
      <x:c r="B8" s="24" t="str">
        <x:v>taxa_count</x:v>
      </x:c>
      <x:c r="C8" s="24" t="n">
        <x:v>47</x:v>
      </x:c>
      <x:c r="D8" s="24" t="str">
        <x:v>count</x:v>
      </x:c>
    </x:row>
    <x:row r="9" ht="18" customHeight="1">
      <x:c r="A9" s="24" t="str">
        <x:v>EEZ_648</x:v>
      </x:c>
      <x:c r="B9" s="24" t="str">
        <x:v>matched_taxa_count</x:v>
      </x:c>
      <x:c r="C9" s="24" t="n">
        <x:v>47</x:v>
      </x:c>
      <x:c r="D9" s="24" t="str">
        <x:v>count</x:v>
      </x:c>
    </x:row>
    <x:row r="10" ht="18" customHeight="1">
      <x:c r="A10" s="24" t="str">
        <x:v>EEZ_648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EEZ_648</x:v>
      </x:c>
      <x:c r="B11" s="24" t="str">
        <x:v>species_ppr</x:v>
      </x:c>
      <x:c r="C11" s="24" t="n">
        <x:v>25778605.82277208</x:v>
      </x:c>
      <x:c r="D11" s="24" t="str">
        <x:v>tonnes_primary_production_equivalent</x:v>
      </x:c>
    </x:row>
    <x:row r="12" ht="18" customHeight="1">
      <x:c r="A12" s="24" t="str">
        <x:v>EEZ_648</x:v>
      </x:c>
      <x:c r="B12" s="24" t="str">
        <x:v>commercial_ppr</x:v>
      </x:c>
      <x:c r="C12" s="24" t="n">
        <x:v>23733257.182470594</x:v>
      </x:c>
      <x:c r="D12" s="24" t="str">
        <x:v>tonnes_primary_production_equivalent</x:v>
      </x:c>
    </x:row>
    <x:row r="13" ht="18" customHeight="1">
      <x:c r="A13" s="24" t="str">
        <x:v>EEZ_648</x:v>
      </x:c>
      <x:c r="B13" s="24" t="str">
        <x:v>functional_ppr</x:v>
      </x:c>
      <x:c r="C13" s="24" t="n">
        <x:v>25211716.740608588</x:v>
      </x:c>
      <x:c r="D13" s="24" t="str">
        <x:v>tonnes_primary_production_equivalent</x:v>
      </x:c>
    </x:row>
    <x:row r="14" ht="18" customHeight="1">
      <x:c r="A14" s="24" t="str">
        <x:v>EEZ_648</x:v>
      </x:c>
      <x:c r="B14" s="24" t="str">
        <x:v>commercial_ppr_difference</x:v>
      </x:c>
      <x:c r="C14" s="24" t="n">
        <x:v>-2045348.6403014846</x:v>
      </x:c>
      <x:c r="D14" s="24" t="str">
        <x:v>tonnes_primary_production_equivalent</x:v>
      </x:c>
    </x:row>
    <x:row r="15" ht="18" customHeight="1">
      <x:c r="A15" s="24" t="str">
        <x:v>EEZ_648</x:v>
      </x:c>
      <x:c r="B15" s="24" t="str">
        <x:v>functional_ppr_difference</x:v>
      </x:c>
      <x:c r="C15" s="24" t="n">
        <x:v>-566889.0821634904</x:v>
      </x:c>
      <x:c r="D15" s="24" t="str">
        <x:v>tonnes_primary_production_equivalent</x:v>
      </x:c>
    </x:row>
    <x:row r="16" ht="18" customHeight="1">
      <x:c r="A16" s="24" t="str">
        <x:v>EEZ_648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EEZ_648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aafda9d2a6c43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EEZ_648 - Russia (Baltic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EEZ_648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raw_data/SAU_downloads/EEZ_648-catch.zip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