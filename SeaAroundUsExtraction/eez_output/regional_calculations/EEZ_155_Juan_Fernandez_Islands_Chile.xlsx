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967fadeb6c8439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pecies" sheetId="1" r:id="R4b6cd5023b4548a4"/>
    <x:sheet xmlns:r="http://schemas.openxmlformats.org/officeDocument/2006/relationships" name="Commercial" sheetId="2" r:id="R1e51bf69a15e4802"/>
    <x:sheet xmlns:r="http://schemas.openxmlformats.org/officeDocument/2006/relationships" name="Functional" sheetId="3" r:id="Rf4e0d6db8cd74d33"/>
    <x:sheet xmlns:r="http://schemas.openxmlformats.org/officeDocument/2006/relationships" name="Missing TL" sheetId="4" r:id="R6deb9a50185a4934"/>
    <x:sheet xmlns:r="http://schemas.openxmlformats.org/officeDocument/2006/relationships" name="Validation" sheetId="5" r:id="R4ee8c9566ea947c6"/>
    <x:sheet xmlns:r="http://schemas.openxmlformats.org/officeDocument/2006/relationships" name="Metadata" sheetId="6" r:id="Ra4b47be199a14f5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0"/>
    <x:numFmt numFmtId="201" formatCode="#,##0.00"/>
    <x:numFmt numFmtId="202" formatCode="0.0000"/>
    <x:numFmt numFmtId="203" formatCode="#,##0"/>
    <x:numFmt numFmtId="204" formatCode="0.00%"/>
    <x:numFmt numFmtId="205" formatCode="0.00"/>
  </x:numFmts>
  <x:fonts count="7">
    <x:font>
      <x:sz val="11"/>
      <x:name val="Carlito"/>
    </x:font>
    <x:font>
      <x:b/>
      <x:sz val="16"/>
      <x:color rgb="FFFFFFFF"/>
      <x:name val="Aptos Display"/>
    </x:font>
    <x:font>
      <x:sz val="10"/>
      <x:name val="Aptos"/>
    </x:font>
    <x:font>
      <x:b/>
      <x:sz val="10"/>
      <x:color rgb="FFFFFFFF"/>
      <x:name val="Aptos"/>
    </x:font>
    <x:font>
      <x:b/>
      <x:sz val="10"/>
      <x:color rgb="FF17324D"/>
      <x:name val="Aptos"/>
    </x:font>
    <x:font>
      <x:sz val="9"/>
      <x:color rgb="FF1D2939"/>
      <x:name val="Aptos"/>
    </x:font>
    <x:font>
      <x:b/>
      <x:sz val="10"/>
      <x:color rgb="FFFFFFFF"/>
      <x:name val="Aptos Display"/>
    </x:font>
  </x:fonts>
  <x:fills count="4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147D92"/>
      </x:patternFill>
    </x:fill>
  </x:fills>
  <x:borders count="11">
    <x:border/>
    <x:border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bottom style="thin">
        <x:color rgb="FFD0D5DD"/>
      </x:bottom>
    </x:border>
    <x:border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top style="thin">
        <x:color rgb="FFD0D5DD"/>
      </x:top>
      <x:bottom style="thin">
        <x:color rgb="FFD0D5DD"/>
      </x:bottom>
    </x:border>
    <x:border>
      <x:right style="thin">
        <x:color rgb="FFD0D5DD"/>
      </x:right>
      <x:top style="thin">
        <x:color rgb="FFD0D5DD"/>
      </x:top>
    </x:border>
    <x:border>
      <x:left style="thin">
        <x:color rgb="FFD0D5DD"/>
      </x:left>
      <x:right style="thin">
        <x:color rgb="FFD0D5DD"/>
      </x:right>
      <x:top style="thin">
        <x:color rgb="FFD0D5DD"/>
      </x:top>
    </x:border>
    <x:border>
      <x:left style="thin">
        <x:color rgb="FFD0D5DD"/>
      </x:left>
      <x:top style="thin">
        <x:color rgb="FFD0D5DD"/>
      </x:top>
    </x:border>
    <x:border>
      <x:bottom style="medium">
        <x:color rgb="FF147D92"/>
      </x:bottom>
    </x:border>
  </x:borders>
  <x:cellStyleXfs count="1">
    <x:xf numFmtId="0" fontId="0" fillId="0" borderId="0"/>
  </x:cellStyleXfs>
  <x:cellXfs count="37">
    <x:xf numFmtId="0" fontId="0" fillId="0" borderId="0" xfId="0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0" borderId="0" xfId="0" applyNumberFormat="1" applyFont="1" applyFill="1" applyBorder="1"/>
    <x:xf numFmtId="0" fontId="2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2" xfId="0" applyNumberFormat="1" applyFont="1" applyFill="1" applyBorder="1"/>
    <x:xf numFmtId="0" fontId="3" fillId="3" borderId="3" xfId="0" applyNumberFormat="1" applyFont="1" applyFill="1" applyBorder="1"/>
    <x:xf numFmtId="0" fontId="2" fillId="0" borderId="4" xfId="0" applyNumberFormat="1" applyFont="1" applyFill="1" applyBorder="1"/>
    <x:xf numFmtId="0" fontId="2" fillId="0" borderId="5" xfId="0" applyNumberFormat="1" applyFont="1" applyFill="1" applyBorder="1"/>
    <x:xf numFmtId="0" fontId="2" fillId="0" borderId="6" xfId="0" applyNumberFormat="1" applyFont="1" applyFill="1" applyBorder="1"/>
    <x:xf numFmtId="0" fontId="2" fillId="0" borderId="7" xfId="0" applyNumberFormat="1" applyFont="1" applyFill="1" applyBorder="1"/>
    <x:xf numFmtId="0" fontId="2" fillId="0" borderId="8" xfId="0" applyNumberFormat="1" applyFont="1" applyFill="1" applyBorder="1"/>
    <x:xf numFmtId="0" fontId="2" fillId="0" borderId="9" xfId="0" applyNumberFormat="1" applyFont="1" applyFill="1" applyBorder="1"/>
    <x:xf numFmtId="0" fontId="2" fillId="0" borderId="4" xfId="0" applyNumberFormat="1" applyFont="1" applyFill="1" applyBorder="1" applyAlignment="1">
      <x:alignment wrapText="1"/>
    </x:xf>
    <x:xf numFmtId="0" fontId="2" fillId="0" borderId="5" xfId="0" applyNumberFormat="1" applyFont="1" applyFill="1" applyBorder="1" applyAlignment="1">
      <x:alignment wrapText="1"/>
    </x:xf>
    <x:xf numFmtId="0" fontId="2" fillId="0" borderId="6" xfId="0" applyNumberFormat="1" applyFont="1" applyFill="1" applyBorder="1" applyAlignment="1">
      <x:alignment wrapText="1"/>
    </x:xf>
    <x:xf numFmtId="0" fontId="2" fillId="0" borderId="7" xfId="0" applyNumberFormat="1" applyFont="1" applyFill="1" applyBorder="1" applyAlignment="1">
      <x:alignment wrapText="1"/>
    </x:xf>
    <x:xf numFmtId="0" fontId="2" fillId="0" borderId="8" xfId="0" applyNumberFormat="1" applyFont="1" applyFill="1" applyBorder="1" applyAlignment="1">
      <x:alignment wrapText="1"/>
    </x:xf>
    <x:xf numFmtId="0" fontId="2" fillId="0" borderId="9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7" xfId="0" applyNumberFormat="1" applyFont="1" applyFill="1" applyBorder="1" applyAlignment="1">
      <x:alignment wrapText="1"/>
    </x:xf>
    <x:xf numFmtId="0" fontId="5" fillId="0" borderId="0" xfId="0" applyNumberFormat="1" applyFont="1" applyFill="1" applyBorder="1"/>
    <x:xf numFmtId="0" fontId="5" fillId="2" borderId="0" xfId="0" applyNumberFormat="1" applyFont="1" applyFill="1" applyBorder="1"/>
    <x:xf numFmtId="0" fontId="6" fillId="2" borderId="0" xfId="0" applyNumberFormat="1" applyFont="1" applyFill="1" applyBorder="1"/>
    <x:xf numFmtId="0" fontId="6" fillId="2" borderId="10" xfId="0" applyNumberFormat="1" applyFont="1" applyFill="1" applyBorder="1"/>
    <x:xf numFmtId="0" fontId="6" fillId="2" borderId="10" xfId="0" applyNumberFormat="1" applyFont="1" applyFill="1" applyBorder="1" applyAlignment="1">
      <x:alignment wrapText="1"/>
    </x:xf>
    <x:xf numFmtId="0" fontId="6" fillId="2" borderId="10" xfId="0" applyNumberFormat="1" applyFont="1" applyFill="1" applyBorder="1" applyAlignment="1">
      <x:alignment vertical="center" wrapText="1"/>
    </x:xf>
    <x:xf numFmtId="200" fontId="5" fillId="0" borderId="0" xfId="0" applyNumberFormat="1" applyFont="1" applyFill="1" applyBorder="1"/>
    <x:xf numFmtId="201" fontId="5" fillId="0" borderId="0" xfId="0" applyNumberFormat="1" applyFont="1" applyFill="1" applyBorder="1"/>
    <x:xf numFmtId="202" fontId="5" fillId="0" borderId="0" xfId="0" applyNumberFormat="1" applyFont="1" applyFill="1" applyBorder="1"/>
    <x:xf numFmtId="203" fontId="5" fillId="0" borderId="0" xfId="0" applyNumberFormat="1" applyFont="1" applyFill="1" applyBorder="1"/>
    <x:xf numFmtId="204" fontId="5" fillId="0" borderId="0" xfId="0" applyNumberFormat="1" applyFont="1" applyFill="1" applyBorder="1"/>
    <x:xf numFmtId="0" fontId="5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5" fontId="2" fillId="0" borderId="5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A3412"/>
      </x:font>
      <x:fill>
        <x:patternFill patternType="solid">
          <x:bgColor rgb="FFFCEAD8"/>
        </x:patternFill>
      </x:fill>
    </x:dxf>
    <x:dxf>
      <x:font>
        <x:b/>
        <x:color rgb="FFB42318"/>
      </x:font>
      <x:fill>
        <x:patternFill patternType="solid">
          <x:bgColor rgb="FFFEE4E2"/>
        </x:patternFill>
      </x:fill>
    </x:dxf>
    <x:dxf>
      <x:font>
        <x:b/>
        <x:color rgb="FFB42318"/>
      </x:font>
      <x:fill>
        <x:patternFill patternType="solid">
          <x:bgColor rgb="FFFEE4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31f949eb83046f9" /><Relationship Type="http://schemas.openxmlformats.org/officeDocument/2006/relationships/theme" Target="/xl/theme/theme1.xml" Id="R8a385820a4554e42" /><Relationship Type="http://schemas.microsoft.com/office/2022/11/relationships/FeaturePropertyBag" Target="/xl/featurePropertyBag/featurePropertyBag.xml" Id="Rca99fa62c1b742c5" /><Relationship Type="http://schemas.openxmlformats.org/officeDocument/2006/relationships/sharedStrings" Target="/xl/sharedStrings.xml" Id="Raa4f7c619bee442a" /><Relationship Type="http://schemas.openxmlformats.org/officeDocument/2006/relationships/worksheet" Target="/xl/worksheets/sheet1.xml" Id="R4b6cd5023b4548a4" /><Relationship Type="http://schemas.openxmlformats.org/officeDocument/2006/relationships/worksheet" Target="/xl/worksheets/sheet2.xml" Id="R1e51bf69a15e4802" /><Relationship Type="http://schemas.openxmlformats.org/officeDocument/2006/relationships/worksheet" Target="/xl/worksheets/sheet3.xml" Id="Rf4e0d6db8cd74d33" /><Relationship Type="http://schemas.openxmlformats.org/officeDocument/2006/relationships/worksheet" Target="/xl/worksheets/sheet4.xml" Id="R6deb9a50185a4934" /><Relationship Type="http://schemas.openxmlformats.org/officeDocument/2006/relationships/worksheet" Target="/xl/worksheets/sheet5.xml" Id="R4ee8c9566ea947c6" /><Relationship Type="http://schemas.openxmlformats.org/officeDocument/2006/relationships/worksheet" Target="/xl/worksheets/sheet6.xml" Id="Ra4b47be199a14f5d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EEZ155SpeciesTable" displayName="EEZ155SpeciesTable" ref="A1:U23" headerRowCount="1" totalsRowCount="0" totalsRowShown="0">
  <x:autoFilter ref="A1:U23"/>
  <x:tableColumns count="21">
    <x:tableColumn id="1" name="unit_id"/>
    <x:tableColumn id="2" name="region_name"/>
    <x:tableColumn id="3" name="region_type"/>
    <x:tableColumn id="4" name="year"/>
    <x:tableColumn id="5" name="taxon"/>
    <x:tableColumn id="6" name="common_name"/>
    <x:tableColumn id="7" name="functional_group"/>
    <x:tableColumn id="8" name="commercial_group"/>
    <x:tableColumn id="9" name="catch_tonnes"/>
    <x:tableColumn id="10" name="landings_tonnes"/>
    <x:tableColumn id="11" name="discards_tonnes"/>
    <x:tableColumn id="12" name="reported_tonnes"/>
    <x:tableColumn id="13" name="unreported_tonnes"/>
    <x:tableColumn id="14" name="taxon_key"/>
    <x:tableColumn id="15" name="tl"/>
    <x:tableColumn id="16" name="match_method"/>
    <x:tableColumn id="17" name="tl_source"/>
    <x:tableColumn id="18" name="match_confidence"/>
    <x:tableColumn id="19" name="reference_taxon"/>
    <x:tableColumn id="20" name="sppr"/>
    <x:tableColumn id="21" name="ppr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EZ155CommercialTable" displayName="EEZ155CommercialTable" ref="A1:O8" headerRowCount="1" totalsRowCount="0" totalsRowShown="0">
  <x:autoFilter ref="A1:O8"/>
  <x:tableColumns count="15">
    <x:tableColumn id="1" name="commercial_group"/>
    <x:tableColumn id="2" name="taxon_count_total"/>
    <x:tableColumn id="3" name="taxon_count_matched"/>
    <x:tableColumn id="4" name="catch_tonnes_total"/>
    <x:tableColumn id="5" name="catch_tonnes_matched"/>
    <x:tableColumn id="6" name="catch_tonnes_missing_tl"/>
    <x:tableColumn id="7" name="catch_coverage_fraction"/>
    <x:tableColumn id="8" name="sppr_correct"/>
    <x:tableColumn id="9" name="ppr_correct"/>
    <x:tableColumn id="10" name="tl_weighted_jensen"/>
    <x:tableColumn id="11" name="sppr_jensen"/>
    <x:tableColumn id="12" name="ppr_jensen"/>
    <x:tableColumn id="13" name="jensen_difference"/>
    <x:tableColumn id="14" name="jensen_ratio_correct_to_error"/>
    <x:tableColumn id="15" name="jensen_percent_differenc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EEZ155FunctionalTable" displayName="EEZ155FunctionalTable" ref="A1:O12" headerRowCount="1" totalsRowCount="0" totalsRowShown="0">
  <x:autoFilter ref="A1:O12"/>
  <x:tableColumns count="15">
    <x:tableColumn id="1" name="functional_group"/>
    <x:tableColumn id="2" name="taxon_count_total"/>
    <x:tableColumn id="3" name="taxon_count_matched"/>
    <x:tableColumn id="4" name="catch_tonnes_total"/>
    <x:tableColumn id="5" name="catch_tonnes_matched"/>
    <x:tableColumn id="6" name="catch_tonnes_missing_tl"/>
    <x:tableColumn id="7" name="catch_coverage_fraction"/>
    <x:tableColumn id="8" name="sppr_correct"/>
    <x:tableColumn id="9" name="ppr_correct"/>
    <x:tableColumn id="10" name="tl_weighted_jensen"/>
    <x:tableColumn id="11" name="sppr_jensen"/>
    <x:tableColumn id="12" name="ppr_jensen"/>
    <x:tableColumn id="13" name="jensen_difference"/>
    <x:tableColumn id="14" name="jensen_ratio_correct_to_error"/>
    <x:tableColumn id="15" name="jensen_percent_differenc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EEZ155ValidationTable" displayName="EEZ155ValidationTable" ref="A1:D19" headerRowCount="1" totalsRowCount="0" totalsRowShown="0">
  <x:autoFilter ref="A1:D19"/>
  <x:tableColumns count="4">
    <x:tableColumn id="1" name="unit_id"/>
    <x:tableColumn id="2" name="check"/>
    <x:tableColumn id="3" name="value"/>
    <x:tableColumn id="4" name="uni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9652daae7e2c423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bb8634bb0c5845ab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39e45c999f3b4eb6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37004329ba1e4fa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3" hidden="0" customWidth="1"/>
    <x:col min="7" max="7" width="30" hidden="0" customWidth="1"/>
    <x:col min="8" max="8" width="24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40" hidden="0" customWidth="1"/>
    <x:col min="18" max="18" width="22" hidden="0" customWidth="1"/>
    <x:col min="19" max="19" width="25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  <x:row r="2" ht="18" customHeight="1">
      <x:c r="A2" s="24" t="str">
        <x:v>EEZ_155</x:v>
      </x:c>
      <x:c r="B2" s="24" t="str">
        <x:v>Juan Fernandez Islands (Chile)</x:v>
      </x:c>
      <x:c r="C2" s="24" t="str">
        <x:v>EEZ</x:v>
      </x:c>
      <x:c r="D2" s="30" t="n">
        <x:v>2019</x:v>
      </x:c>
      <x:c r="E2" s="24" t="str">
        <x:v>Trachurus murphyi</x:v>
      </x:c>
      <x:c r="F2" s="24" t="str">
        <x:v>Chilean jack mackerel</x:v>
      </x:c>
      <x:c r="G2" s="24" t="str">
        <x:v>Medium pelagics (30 - 89 cm)</x:v>
      </x:c>
      <x:c r="H2" s="24" t="str">
        <x:v>Perch-likes</x:v>
      </x:c>
      <x:c r="I2" s="31" t="n">
        <x:v>40496.384806131</x:v>
      </x:c>
      <x:c r="J2" s="31" t="n">
        <x:v>40496.384806131</x:v>
      </x:c>
      <x:c r="K2" s="31" t="n">
        <x:v>0</x:v>
      </x:c>
      <x:c r="L2" s="31" t="n">
        <x:v>40495.8994807882</x:v>
      </x:c>
      <x:c r="M2" s="31" t="n">
        <x:v>0.4853253428</x:v>
      </x:c>
      <x:c r="N2" s="24" t="str">
        <x:v>trachurus murphyi</x:v>
      </x:c>
      <x:c r="O2" s="32" t="n">
        <x:v>3.33</x:v>
      </x:c>
      <x:c r="P2" s="24" t="str">
        <x:v>exact_2020_supplement</x:v>
      </x:c>
      <x:c r="Q2" s="32" t="str">
        <x:v>2020 supplement MeanTL</x:v>
      </x:c>
      <x:c r="R2" s="24" t="str">
        <x:v>high</x:v>
      </x:c>
      <x:c r="S2" s="24" t="str">
        <x:v>Trachurus murphyi</x:v>
      </x:c>
      <x:c r="T2" s="32" t="n">
        <x:f>IF(O2="","",(1/'Metadata'!$B$5)^(O2-1))</x:f>
        <x:v>213.79620895022325</x:v>
      </x:c>
      <x:c r="U2" s="31" t="n">
        <x:f>IF(T2="","",I2*T2)</x:f>
        <x:v>8657973.547740228</x:v>
      </x:c>
    </x:row>
    <x:row r="3" ht="18" customHeight="1">
      <x:c r="A3" s="24" t="str">
        <x:v>EEZ_155</x:v>
      </x:c>
      <x:c r="B3" s="24" t="str">
        <x:v>Juan Fernandez Islands (Chile)</x:v>
      </x:c>
      <x:c r="C3" s="24" t="str">
        <x:v>EEZ</x:v>
      </x:c>
      <x:c r="D3" s="30" t="n">
        <x:v>2019</x:v>
      </x:c>
      <x:c r="E3" s="24" t="str">
        <x:v>Marine fishes not identified</x:v>
      </x:c>
      <x:c r="F3" s="24" t="str">
        <x:v>Marine fishes nei</x:v>
      </x:c>
      <x:c r="G3" s="24" t="str">
        <x:v>Medium demersals (30 - 89 cm)</x:v>
      </x:c>
      <x:c r="H3" s="24" t="str">
        <x:v>Other fishes &amp; inverts</x:v>
      </x:c>
      <x:c r="I3" s="31" t="n">
        <x:v>1119.7364783066998</x:v>
      </x:c>
      <x:c r="J3" s="31" t="n">
        <x:v>40.3855009743</x:v>
      </x:c>
      <x:c r="K3" s="31" t="n">
        <x:v>1079.3509773324</x:v>
      </x:c>
      <x:c r="L3" s="31" t="n">
        <x:v>11.2059564538</x:v>
      </x:c>
      <x:c r="M3" s="31" t="n">
        <x:v>1108.5305218529</x:v>
      </x:c>
      <x:c r="N3" s="24" t="str">
        <x:v>marine fishes not identified</x:v>
      </x:c>
      <x:c r="O3" s="32" t="n">
        <x:v>3.28</x:v>
      </x:c>
      <x:c r="P3" s="24" t="str">
        <x:v>exact_sea_around_us</x:v>
      </x:c>
      <x:c r="Q3" s="32" t="str">
        <x:v>Sea Around Us exploited organisms</x:v>
      </x:c>
      <x:c r="R3" s="24" t="str">
        <x:v>high</x:v>
      </x:c>
      <x:c r="S3" s="24" t="str">
        <x:v>Marine fishes not identified</x:v>
      </x:c>
      <x:c r="T3" s="32" t="n">
        <x:f>IF(O3="","",(1/'Metadata'!$B$5)^(O3-1))</x:f>
        <x:v>190.54607179632464</x:v>
      </x:c>
      <x:c r="U3" s="31" t="n">
        <x:f>IF(T3="","",I3*T3)</x:f>
        <x:v>213361.38738839215</x:v>
      </x:c>
    </x:row>
    <x:row r="4" ht="18" customHeight="1">
      <x:c r="A4" s="24" t="str">
        <x:v>EEZ_155</x:v>
      </x:c>
      <x:c r="B4" s="24" t="str">
        <x:v>Juan Fernandez Islands (Chile)</x:v>
      </x:c>
      <x:c r="C4" s="24" t="str">
        <x:v>EEZ</x:v>
      </x:c>
      <x:c r="D4" s="30" t="n">
        <x:v>2019</x:v>
      </x:c>
      <x:c r="E4" s="24" t="str">
        <x:v>Bramidae</x:v>
      </x:c>
      <x:c r="F4" s="24" t="str">
        <x:v>Pomfrets</x:v>
      </x:c>
      <x:c r="G4" s="24" t="str">
        <x:v>Medium pelagics (30 - 89 cm)</x:v>
      </x:c>
      <x:c r="H4" s="24" t="str">
        <x:v>Perch-likes</x:v>
      </x:c>
      <x:c r="I4" s="31" t="n">
        <x:v>269.84038722009996</x:v>
      </x:c>
      <x:c r="J4" s="31" t="n">
        <x:v>0.002642887</x:v>
      </x:c>
      <x:c r="K4" s="31" t="n">
        <x:v>269.8377443331</x:v>
      </x:c>
      <x:c r="L4" s="31" t="n">
        <x:v>0</x:v>
      </x:c>
      <x:c r="M4" s="31" t="n">
        <x:v>269.84038722009996</x:v>
      </x:c>
      <x:c r="N4" s="24" t="str">
        <x:v>bramidae</x:v>
      </x:c>
      <x:c r="O4" s="32" t="n">
        <x:v>4.14</x:v>
      </x:c>
      <x:c r="P4" s="24" t="str">
        <x:v>exact_sea_around_us</x:v>
      </x:c>
      <x:c r="Q4" s="32" t="str">
        <x:v>Sea Around Us exploited organisms</x:v>
      </x:c>
      <x:c r="R4" s="24" t="str">
        <x:v>high</x:v>
      </x:c>
      <x:c r="S4" s="24" t="str">
        <x:v>Bramidae</x:v>
      </x:c>
      <x:c r="T4" s="32" t="n">
        <x:f>IF(O4="","",(1/'Metadata'!$B$5)^(O4-1))</x:f>
        <x:v>1380.3842646028838</x:v>
      </x:c>
      <x:c r="U4" s="31" t="n">
        <x:f>IF(T4="","",I4*T4)</x:f>
        <x:v>372483.4244729751</x:v>
      </x:c>
    </x:row>
    <x:row r="5" ht="18" customHeight="1">
      <x:c r="A5" s="24" t="str">
        <x:v>EEZ_155</x:v>
      </x:c>
      <x:c r="B5" s="24" t="str">
        <x:v>Juan Fernandez Islands (Chile)</x:v>
      </x:c>
      <x:c r="C5" s="24" t="str">
        <x:v>EEZ</x:v>
      </x:c>
      <x:c r="D5" s="30" t="n">
        <x:v>2019</x:v>
      </x:c>
      <x:c r="E5" s="24" t="str">
        <x:v>Pleuronectiformes</x:v>
      </x:c>
      <x:c r="F5" s="24" t="str">
        <x:v>Flatfishes</x:v>
      </x:c>
      <x:c r="G5" s="24" t="str">
        <x:v>Small to medium flatfishes (&lt;90 cm)</x:v>
      </x:c>
      <x:c r="H5" s="24" t="str">
        <x:v>Flatfishes</x:v>
      </x:c>
      <x:c r="I5" s="31" t="n">
        <x:v>269.8377443331</x:v>
      </x:c>
      <x:c r="J5" s="31" t="n">
        <x:v>0</x:v>
      </x:c>
      <x:c r="K5" s="31" t="n">
        <x:v>269.8377443331</x:v>
      </x:c>
      <x:c r="L5" s="31" t="n">
        <x:v>0</x:v>
      </x:c>
      <x:c r="M5" s="31" t="n">
        <x:v>269.8377443331</x:v>
      </x:c>
      <x:c r="N5" s="24" t="str">
        <x:v>pleuronectiformes</x:v>
      </x:c>
      <x:c r="O5" s="32" t="n">
        <x:v>3.57</x:v>
      </x:c>
      <x:c r="P5" s="24" t="str">
        <x:v>exact_sea_around_us</x:v>
      </x:c>
      <x:c r="Q5" s="32" t="str">
        <x:v>Sea Around Us exploited organisms</x:v>
      </x:c>
      <x:c r="R5" s="24" t="str">
        <x:v>high</x:v>
      </x:c>
      <x:c r="S5" s="24" t="str">
        <x:v>Pleuronectiformes</x:v>
      </x:c>
      <x:c r="T5" s="32" t="n">
        <x:f>IF(O5="","",(1/'Metadata'!$B$5)^(O5-1))</x:f>
        <x:v>371.5352290971724</x:v>
      </x:c>
      <x:c r="U5" s="31" t="n">
        <x:f>IF(T5="","",I5*T5)</x:f>
        <x:v>100254.22815986254</x:v>
      </x:c>
    </x:row>
    <x:row r="6" ht="18" customHeight="1">
      <x:c r="A6" s="24" t="str">
        <x:v>EEZ_155</x:v>
      </x:c>
      <x:c r="B6" s="24" t="str">
        <x:v>Juan Fernandez Islands (Chile)</x:v>
      </x:c>
      <x:c r="C6" s="24" t="str">
        <x:v>EEZ</x:v>
      </x:c>
      <x:c r="D6" s="30" t="n">
        <x:v>2019</x:v>
      </x:c>
      <x:c r="E6" s="24" t="str">
        <x:v>Xiphias gladius</x:v>
      </x:c>
      <x:c r="F6" s="24" t="str">
        <x:v>Swordfish</x:v>
      </x:c>
      <x:c r="G6" s="24" t="str">
        <x:v>Large pelagics (&gt;=90 cm)</x:v>
      </x:c>
      <x:c r="H6" s="24" t="str">
        <x:v>Tuna &amp; billfishes</x:v>
      </x:c>
      <x:c r="I6" s="31" t="n">
        <x:v>195.0529695174</x:v>
      </x:c>
      <x:c r="J6" s="31" t="n">
        <x:v>195.0529695174</x:v>
      </x:c>
      <x:c r="K6" s="31" t="n">
        <x:v>0</x:v>
      </x:c>
      <x:c r="L6" s="31" t="n">
        <x:v>175.5283771697</x:v>
      </x:c>
      <x:c r="M6" s="31" t="n">
        <x:v>19.5245923477</x:v>
      </x:c>
      <x:c r="N6" s="24" t="str">
        <x:v>xiphias gladius</x:v>
      </x:c>
      <x:c r="O6" s="32" t="n">
        <x:v>4.53</x:v>
      </x:c>
      <x:c r="P6" s="24" t="str">
        <x:v>exact_2020_supplement</x:v>
      </x:c>
      <x:c r="Q6" s="32" t="str">
        <x:v>2020 supplement MeanTL</x:v>
      </x:c>
      <x:c r="R6" s="24" t="str">
        <x:v>high</x:v>
      </x:c>
      <x:c r="S6" s="24" t="str">
        <x:v>Xiphias gladius</x:v>
      </x:c>
      <x:c r="T6" s="32" t="n">
        <x:f>IF(O6="","",(1/'Metadata'!$B$5)^(O6-1))</x:f>
        <x:v>3388.4415613920273</x:v>
      </x:c>
      <x:c r="U6" s="31" t="n">
        <x:f>IF(T6="","",I6*T6)</x:f>
        <x:v>660925.5885856904</x:v>
      </x:c>
    </x:row>
    <x:row r="7" ht="18" customHeight="1">
      <x:c r="A7" s="24" t="str">
        <x:v>EEZ_155</x:v>
      </x:c>
      <x:c r="B7" s="24" t="str">
        <x:v>Juan Fernandez Islands (Chile)</x:v>
      </x:c>
      <x:c r="C7" s="24" t="str">
        <x:v>EEZ</x:v>
      </x:c>
      <x:c r="D7" s="30" t="n">
        <x:v>2019</x:v>
      </x:c>
      <x:c r="E7" s="24" t="str">
        <x:v>Jasus frontalis</x:v>
      </x:c>
      <x:c r="F7" s="24" t="str">
        <x:v>Juan Fernandez rock lobster</x:v>
      </x:c>
      <x:c r="G7" s="24" t="str">
        <x:v>Lobsters, crabs</x:v>
      </x:c>
      <x:c r="H7" s="24" t="str">
        <x:v>Crustaceans</x:v>
      </x:c>
      <x:c r="I7" s="31" t="n">
        <x:v>103.0701196879</x:v>
      </x:c>
      <x:c r="J7" s="31" t="n">
        <x:v>103.0701196879</x:v>
      </x:c>
      <x:c r="K7" s="31" t="n">
        <x:v>0</x:v>
      </x:c>
      <x:c r="L7" s="31" t="n">
        <x:v>86</x:v>
      </x:c>
      <x:c r="M7" s="31" t="n">
        <x:v>17.0701196879</x:v>
      </x:c>
      <x:c r="N7" s="24" t="str">
        <x:v>jasus frontalis</x:v>
      </x:c>
      <x:c r="O7" s="32" t="n">
        <x:v>3.34</x:v>
      </x:c>
      <x:c r="P7" s="24" t="str">
        <x:v>exact_2020_supplement</x:v>
      </x:c>
      <x:c r="Q7" s="32" t="str">
        <x:v>2020 supplement MeanTL</x:v>
      </x:c>
      <x:c r="R7" s="24" t="str">
        <x:v>high</x:v>
      </x:c>
      <x:c r="S7" s="24" t="str">
        <x:v>Jasus frontalis</x:v>
      </x:c>
      <x:c r="T7" s="32" t="n">
        <x:f>IF(O7="","",(1/'Metadata'!$B$5)^(O7-1))</x:f>
        <x:v>218.77616239495518</x:v>
      </x:c>
      <x:c r="U7" s="31" t="n">
        <x:f>IF(T7="","",I7*T7)</x:f>
        <x:v>22549.285242907477</x:v>
      </x:c>
    </x:row>
    <x:row r="8" ht="18" customHeight="1">
      <x:c r="A8" s="24" t="str">
        <x:v>EEZ_155</x:v>
      </x:c>
      <x:c r="B8" s="24" t="str">
        <x:v>Juan Fernandez Islands (Chile)</x:v>
      </x:c>
      <x:c r="C8" s="24" t="str">
        <x:v>EEZ</x:v>
      </x:c>
      <x:c r="D8" s="30" t="n">
        <x:v>2019</x:v>
      </x:c>
      <x:c r="E8" s="24" t="str">
        <x:v>Nemadactylus gayi</x:v>
      </x:c>
      <x:c r="F8" s="24" t="str">
        <x:v>Bilagay</x:v>
      </x:c>
      <x:c r="G8" s="24" t="str">
        <x:v>Small demersals (&lt;30 cm)</x:v>
      </x:c>
      <x:c r="H8" s="24" t="str">
        <x:v>Perch-likes</x:v>
      </x:c>
      <x:c r="I8" s="31" t="n">
        <x:v>41.3347823309</x:v>
      </x:c>
      <x:c r="J8" s="31" t="n">
        <x:v>41.3347823309</x:v>
      </x:c>
      <x:c r="K8" s="31" t="n">
        <x:v>0</x:v>
      </x:c>
      <x:c r="L8" s="31" t="n">
        <x:v>41.3347823309</x:v>
      </x:c>
      <x:c r="M8" s="31" t="n">
        <x:v>0</x:v>
      </x:c>
      <x:c r="N8" s="24" t="str">
        <x:v>nemadactylus gayi</x:v>
      </x:c>
      <x:c r="O8" s="32" t="n">
        <x:v>3.41</x:v>
      </x:c>
      <x:c r="P8" s="24" t="str">
        <x:v>exact_sea_around_us</x:v>
      </x:c>
      <x:c r="Q8" s="32" t="str">
        <x:v>Sea Around Us exploited organisms</x:v>
      </x:c>
      <x:c r="R8" s="24" t="str">
        <x:v>high</x:v>
      </x:c>
      <x:c r="S8" s="24" t="str">
        <x:v>Nemadactylus gayi</x:v>
      </x:c>
      <x:c r="T8" s="32" t="n">
        <x:f>IF(O8="","",(1/'Metadata'!$B$5)^(O8-1))</x:f>
        <x:v>257.03957827688646</x:v>
      </x:c>
      <x:c r="U8" s="31" t="n">
        <x:f>IF(T8="","",I8*T8)</x:f>
        <x:v>10624.675018501433</x:v>
      </x:c>
    </x:row>
    <x:row r="9" ht="18" customHeight="1">
      <x:c r="A9" s="24" t="str">
        <x:v>EEZ_155</x:v>
      </x:c>
      <x:c r="B9" s="24" t="str">
        <x:v>Juan Fernandez Islands (Chile)</x:v>
      </x:c>
      <x:c r="C9" s="24" t="str">
        <x:v>EEZ</x:v>
      </x:c>
      <x:c r="D9" s="30" t="n">
        <x:v>2019</x:v>
      </x:c>
      <x:c r="E9" s="24" t="str">
        <x:v>Seriola lalandi</x:v>
      </x:c>
      <x:c r="F9" s="24" t="str">
        <x:v>Yellowtail amberjack</x:v>
      </x:c>
      <x:c r="G9" s="24" t="str">
        <x:v>Large benthopelagics (&gt;=90 cm)</x:v>
      </x:c>
      <x:c r="H9" s="24" t="str">
        <x:v>Perch-likes</x:v>
      </x:c>
      <x:c r="I9" s="31" t="n">
        <x:v>20.1718288371</x:v>
      </x:c>
      <x:c r="J9" s="31" t="n">
        <x:v>20.1718288371</x:v>
      </x:c>
      <x:c r="K9" s="31" t="n">
        <x:v>0</x:v>
      </x:c>
      <x:c r="L9" s="31" t="n">
        <x:v>3.1296801074</x:v>
      </x:c>
      <x:c r="M9" s="31" t="n">
        <x:v>17.0421487297</x:v>
      </x:c>
      <x:c r="N9" s="24" t="str">
        <x:v>seriola lalandi</x:v>
      </x:c>
      <x:c r="O9" s="32" t="n">
        <x:v>4.16</x:v>
      </x:c>
      <x:c r="P9" s="24" t="str">
        <x:v>exact_2020_supplement</x:v>
      </x:c>
      <x:c r="Q9" s="32" t="str">
        <x:v>2020 supplement MeanTL</x:v>
      </x:c>
      <x:c r="R9" s="24" t="str">
        <x:v>high</x:v>
      </x:c>
      <x:c r="S9" s="24" t="str">
        <x:v>Seriola lalandi</x:v>
      </x:c>
      <x:c r="T9" s="32" t="n">
        <x:f>IF(O9="","",(1/'Metadata'!$B$5)^(O9-1))</x:f>
        <x:v>1445.439770745928</x:v>
      </x:c>
      <x:c r="U9" s="31" t="n">
        <x:f>IF(T9="","",I9*T9)</x:f>
        <x:v>29157.163649823924</x:v>
      </x:c>
    </x:row>
    <x:row r="10" ht="18" customHeight="1">
      <x:c r="A10" s="24" t="str">
        <x:v>EEZ_155</x:v>
      </x:c>
      <x:c r="B10" s="24" t="str">
        <x:v>Juan Fernandez Islands (Chile)</x:v>
      </x:c>
      <x:c r="C10" s="24" t="str">
        <x:v>EEZ</x:v>
      </x:c>
      <x:c r="D10" s="30" t="n">
        <x:v>2019</x:v>
      </x:c>
      <x:c r="E10" s="24" t="str">
        <x:v>Polyprion oxygeneios</x:v>
      </x:c>
      <x:c r="F10" s="24" t="str">
        <x:v>Hapuku wreckfish</x:v>
      </x:c>
      <x:c r="G10" s="24" t="str">
        <x:v>Large demersals (&gt;=90 cm)</x:v>
      </x:c>
      <x:c r="H10" s="24" t="str">
        <x:v>Perch-likes</x:v>
      </x:c>
      <x:c r="I10" s="31" t="n">
        <x:v>14.791529806</x:v>
      </x:c>
      <x:c r="J10" s="31" t="n">
        <x:v>14.791529806</x:v>
      </x:c>
      <x:c r="K10" s="31" t="n">
        <x:v>0</x:v>
      </x:c>
      <x:c r="L10" s="31" t="n">
        <x:v>6</x:v>
      </x:c>
      <x:c r="M10" s="31" t="n">
        <x:v>8.791529806</x:v>
      </x:c>
      <x:c r="N10" s="24" t="str">
        <x:v>polyprion oxygeneios</x:v>
      </x:c>
      <x:c r="O10" s="32" t="n">
        <x:v>4.45</x:v>
      </x:c>
      <x:c r="P10" s="24" t="str">
        <x:v>exact_2020_supplement</x:v>
      </x:c>
      <x:c r="Q10" s="32" t="str">
        <x:v>2020 supplement MeanTL</x:v>
      </x:c>
      <x:c r="R10" s="24" t="str">
        <x:v>high</x:v>
      </x:c>
      <x:c r="S10" s="24" t="str">
        <x:v>Polyprion oxygeneios</x:v>
      </x:c>
      <x:c r="T10" s="32" t="n">
        <x:f>IF(O10="","",(1/'Metadata'!$B$5)^(O10-1))</x:f>
        <x:v>2818.382931264455</x:v>
      </x:c>
      <x:c r="U10" s="31" t="n">
        <x:f>IF(T10="","",I10*T10)</x:f>
        <x:v>41688.19513251983</x:v>
      </x:c>
    </x:row>
    <x:row r="11" ht="18" customHeight="1">
      <x:c r="A11" s="24" t="str">
        <x:v>EEZ_155</x:v>
      </x:c>
      <x:c r="B11" s="24" t="str">
        <x:v>Juan Fernandez Islands (Chile)</x:v>
      </x:c>
      <x:c r="C11" s="24" t="str">
        <x:v>EEZ</x:v>
      </x:c>
      <x:c r="D11" s="30" t="n">
        <x:v>2019</x:v>
      </x:c>
      <x:c r="E11" s="24" t="str">
        <x:v>Gymnothorax porphyreus</x:v>
      </x:c>
      <x:c r="F11" s="24" t="str">
        <x:v>Lowfin moray</x:v>
      </x:c>
      <x:c r="G11" s="24" t="str">
        <x:v>Large demersals (&gt;=90 cm)</x:v>
      </x:c>
      <x:c r="H11" s="24" t="str">
        <x:v>Other fishes &amp; inverts</x:v>
      </x:c>
      <x:c r="I11" s="31" t="n">
        <x:v>11</x:v>
      </x:c>
      <x:c r="J11" s="31" t="n">
        <x:v>11</x:v>
      </x:c>
      <x:c r="K11" s="31" t="n">
        <x:v>0</x:v>
      </x:c>
      <x:c r="L11" s="31" t="n">
        <x:v>11</x:v>
      </x:c>
      <x:c r="M11" s="31" t="n">
        <x:v>0</x:v>
      </x:c>
      <x:c r="N11" s="24" t="str">
        <x:v>gymnothorax porphyreus</x:v>
      </x:c>
      <x:c r="O11" s="32" t="n">
        <x:v>4.1</x:v>
      </x:c>
      <x:c r="P11" s="24" t="str">
        <x:v>exact_sea_around_us</x:v>
      </x:c>
      <x:c r="Q11" s="32" t="str">
        <x:v>Sea Around Us exploited organisms</x:v>
      </x:c>
      <x:c r="R11" s="24" t="str">
        <x:v>high</x:v>
      </x:c>
      <x:c r="S11" s="24" t="str">
        <x:v>Gymnothorax porphyreus</x:v>
      </x:c>
      <x:c r="T11" s="32" t="n">
        <x:f>IF(O11="","",(1/'Metadata'!$B$5)^(O11-1))</x:f>
        <x:v>1258.9254117941662</x:v>
      </x:c>
      <x:c r="U11" s="31" t="n">
        <x:f>IF(T11="","",I11*T11)</x:f>
        <x:v>13848.179529735828</x:v>
      </x:c>
    </x:row>
    <x:row r="12" ht="18" customHeight="1">
      <x:c r="A12" s="24" t="str">
        <x:v>EEZ_155</x:v>
      </x:c>
      <x:c r="B12" s="24" t="str">
        <x:v>Juan Fernandez Islands (Chile)</x:v>
      </x:c>
      <x:c r="C12" s="24" t="str">
        <x:v>EEZ</x:v>
      </x:c>
      <x:c r="D12" s="30" t="n">
        <x:v>2019</x:v>
      </x:c>
      <x:c r="E12" s="24" t="str">
        <x:v>Perciformes</x:v>
      </x:c>
      <x:c r="F12" s="24" t="str">
        <x:v>Perch-likes</x:v>
      </x:c>
      <x:c r="G12" s="24" t="str">
        <x:v>Medium demersals (30 - 89 cm)</x:v>
      </x:c>
      <x:c r="H12" s="24" t="str">
        <x:v>Perch-likes</x:v>
      </x:c>
      <x:c r="I12" s="31" t="n">
        <x:v>10.7529989505</x:v>
      </x:c>
      <x:c r="J12" s="31" t="n">
        <x:v>10.7529989505</x:v>
      </x:c>
      <x:c r="K12" s="31" t="n">
        <x:v>0</x:v>
      </x:c>
      <x:c r="L12" s="31" t="n">
        <x:v>6.739726027400001</x:v>
      </x:c>
      <x:c r="M12" s="31" t="n">
        <x:v>4.0132729231</x:v>
      </x:c>
      <x:c r="N12" s="24" t="str">
        <x:v>perciformes</x:v>
      </x:c>
      <x:c r="O12" s="32" t="n">
        <x:v>3.53</x:v>
      </x:c>
      <x:c r="P12" s="24" t="str">
        <x:v>exact_sea_around_us</x:v>
      </x:c>
      <x:c r="Q12" s="32" t="str">
        <x:v>Sea Around Us exploited organisms</x:v>
      </x:c>
      <x:c r="R12" s="24" t="str">
        <x:v>high</x:v>
      </x:c>
      <x:c r="S12" s="24" t="str">
        <x:v>Perciformes</x:v>
      </x:c>
      <x:c r="T12" s="32" t="n">
        <x:f>IF(O12="","",(1/'Metadata'!$B$5)^(O12-1))</x:f>
        <x:v>338.84415613920237</x:v>
      </x:c>
      <x:c r="U12" s="31" t="n">
        <x:f>IF(T12="","",I12*T12)</x:f>
        <x:v>3643.590855347901</x:v>
      </x:c>
    </x:row>
    <x:row r="13" ht="18" customHeight="1">
      <x:c r="A13" s="24" t="str">
        <x:v>EEZ_155</x:v>
      </x:c>
      <x:c r="B13" s="24" t="str">
        <x:v>Juan Fernandez Islands (Chile)</x:v>
      </x:c>
      <x:c r="C13" s="24" t="str">
        <x:v>EEZ</x:v>
      </x:c>
      <x:c r="D13" s="30" t="n">
        <x:v>2019</x:v>
      </x:c>
      <x:c r="E13" s="24" t="str">
        <x:v>Isurus oxyrinchus</x:v>
      </x:c>
      <x:c r="F13" s="24" t="str">
        <x:v>Shortfin mako</x:v>
      </x:c>
      <x:c r="G13" s="24" t="str">
        <x:v>Large sharks (&gt;=90 cm)</x:v>
      </x:c>
      <x:c r="H13" s="24" t="str">
        <x:v>Sharks &amp; rays</x:v>
      </x:c>
      <x:c r="I13" s="31" t="n">
        <x:v>1.9992893415</x:v>
      </x:c>
      <x:c r="J13" s="31" t="n">
        <x:v>1.9992893415</x:v>
      </x:c>
      <x:c r="K13" s="31" t="n">
        <x:v>0</x:v>
      </x:c>
      <x:c r="L13" s="31" t="n">
        <x:v>1.7217862015</x:v>
      </x:c>
      <x:c r="M13" s="31" t="n">
        <x:v>0.27750314</x:v>
      </x:c>
      <x:c r="N13" s="24" t="str">
        <x:v>isurus oxyrinchus</x:v>
      </x:c>
      <x:c r="O13" s="32" t="n">
        <x:v>4.5</x:v>
      </x:c>
      <x:c r="P13" s="24" t="str">
        <x:v>exact_2020_supplement</x:v>
      </x:c>
      <x:c r="Q13" s="32" t="str">
        <x:v>2020 supplement MeanTL</x:v>
      </x:c>
      <x:c r="R13" s="24" t="str">
        <x:v>high</x:v>
      </x:c>
      <x:c r="S13" s="24" t="str">
        <x:v>Isurus oxyrinchus</x:v>
      </x:c>
      <x:c r="T13" s="32" t="n">
        <x:f>IF(O13="","",(1/'Metadata'!$B$5)^(O13-1))</x:f>
        <x:v>3162.2776601683795</x:v>
      </x:c>
      <x:c r="U13" s="31" t="n">
        <x:f>IF(T13="","",I13*T13)</x:f>
        <x:v>6322.3080208382</x:v>
      </x:c>
    </x:row>
    <x:row r="14" ht="18" customHeight="1">
      <x:c r="A14" s="24" t="str">
        <x:v>EEZ_155</x:v>
      </x:c>
      <x:c r="B14" s="24" t="str">
        <x:v>Juan Fernandez Islands (Chile)</x:v>
      </x:c>
      <x:c r="C14" s="24" t="str">
        <x:v>EEZ</x:v>
      </x:c>
      <x:c r="D14" s="30" t="n">
        <x:v>2019</x:v>
      </x:c>
      <x:c r="E14" s="24" t="str">
        <x:v>Malacostraca</x:v>
      </x:c>
      <x:c r="F14" s="24" t="str">
        <x:v>Lobsters, crabs, shrimps, krill</x:v>
      </x:c>
      <x:c r="G14" s="24" t="str">
        <x:v>Shrimps</x:v>
      </x:c>
      <x:c r="H14" s="24" t="str">
        <x:v>Crustaceans</x:v>
      </x:c>
      <x:c r="I14" s="31" t="n">
        <x:v>0.995513721</x:v>
      </x:c>
      <x:c r="J14" s="31" t="n">
        <x:v>0.995513721</x:v>
      </x:c>
      <x:c r="K14" s="31" t="n">
        <x:v>0</x:v>
      </x:c>
      <x:c r="L14" s="31" t="n">
        <x:v>0.0166666666</x:v>
      </x:c>
      <x:c r="M14" s="31" t="n">
        <x:v>0.9788470544</x:v>
      </x:c>
      <x:c r="N14" s="24" t="str">
        <x:v>malacostraca</x:v>
      </x:c>
      <x:c r="O14" s="32" t="n">
        <x:v>3</x:v>
      </x:c>
      <x:c r="P14" s="24" t="str">
        <x:v>exact_sea_around_us</x:v>
      </x:c>
      <x:c r="Q14" s="32" t="str">
        <x:v>Sea Around Us exploited organisms</x:v>
      </x:c>
      <x:c r="R14" s="24" t="str">
        <x:v>high</x:v>
      </x:c>
      <x:c r="S14" s="24" t="str">
        <x:v>Malacostraca</x:v>
      </x:c>
      <x:c r="T14" s="32" t="n">
        <x:f>IF(O14="","",(1/'Metadata'!$B$5)^(O14-1))</x:f>
        <x:v>100</x:v>
      </x:c>
      <x:c r="U14" s="31" t="n">
        <x:f>IF(T14="","",I14*T14)</x:f>
        <x:v>99.55137210000001</x:v>
      </x:c>
    </x:row>
    <x:row r="15" ht="18" customHeight="1">
      <x:c r="A15" s="24" t="str">
        <x:v>EEZ_155</x:v>
      </x:c>
      <x:c r="B15" s="24" t="str">
        <x:v>Juan Fernandez Islands (Chile)</x:v>
      </x:c>
      <x:c r="C15" s="24" t="str">
        <x:v>EEZ</x:v>
      </x:c>
      <x:c r="D15" s="30" t="n">
        <x:v>2019</x:v>
      </x:c>
      <x:c r="E15" s="24" t="str">
        <x:v>Thunnus albacares</x:v>
      </x:c>
      <x:c r="F15" s="24" t="str">
        <x:v>Yellowfin tuna</x:v>
      </x:c>
      <x:c r="G15" s="24" t="str">
        <x:v>Large pelagics (&gt;=90 cm)</x:v>
      </x:c>
      <x:c r="H15" s="24" t="str">
        <x:v>Tuna &amp; billfishes</x:v>
      </x:c>
      <x:c r="I15" s="31" t="n">
        <x:v>0.3628214682</x:v>
      </x:c>
      <x:c r="J15" s="31" t="n">
        <x:v>0.3628214682</x:v>
      </x:c>
      <x:c r="K15" s="31" t="n">
        <x:v>0</x:v>
      </x:c>
      <x:c r="L15" s="31" t="n">
        <x:v>0.3114613632</x:v>
      </x:c>
      <x:c r="M15" s="31" t="n">
        <x:v>0.051360105</x:v>
      </x:c>
      <x:c r="N15" s="24" t="str">
        <x:v>thunnus albacares</x:v>
      </x:c>
      <x:c r="O15" s="32" t="n">
        <x:v>4.41</x:v>
      </x:c>
      <x:c r="P15" s="24" t="str">
        <x:v>exact_2020_supplement</x:v>
      </x:c>
      <x:c r="Q15" s="32" t="str">
        <x:v>2020 supplement MeanTL</x:v>
      </x:c>
      <x:c r="R15" s="24" t="str">
        <x:v>high</x:v>
      </x:c>
      <x:c r="S15" s="24" t="str">
        <x:v>Thunnus albacares</x:v>
      </x:c>
      <x:c r="T15" s="32" t="n">
        <x:f>IF(O15="","",(1/'Metadata'!$B$5)^(O15-1))</x:f>
        <x:v>2570.3957827688646</x:v>
      </x:c>
      <x:c r="U15" s="31" t="n">
        <x:f>IF(T15="","",I15*T15)</x:f>
        <x:v>932.5947717592877</x:v>
      </x:c>
    </x:row>
    <x:row r="16" ht="18" customHeight="1">
      <x:c r="A16" s="24" t="str">
        <x:v>EEZ_155</x:v>
      </x:c>
      <x:c r="B16" s="24" t="str">
        <x:v>Juan Fernandez Islands (Chile)</x:v>
      </x:c>
      <x:c r="C16" s="24" t="str">
        <x:v>EEZ</x:v>
      </x:c>
      <x:c r="D16" s="30" t="n">
        <x:v>2019</x:v>
      </x:c>
      <x:c r="E16" s="24" t="str">
        <x:v>Haliporoides diomedeae</x:v>
      </x:c>
      <x:c r="F16" s="24" t="str">
        <x:v>Chilean knife shrimp</x:v>
      </x:c>
      <x:c r="G16" s="24" t="str">
        <x:v>Shrimps</x:v>
      </x:c>
      <x:c r="H16" s="24" t="str">
        <x:v>Crustaceans</x:v>
      </x:c>
      <x:c r="I16" s="31" t="n">
        <x:v>0.1233347289</x:v>
      </x:c>
      <x:c r="J16" s="31" t="n">
        <x:v>0.1233347289</x:v>
      </x:c>
      <x:c r="K16" s="31" t="n">
        <x:v>0</x:v>
      </x:c>
      <x:c r="L16" s="31" t="n">
        <x:v>0</x:v>
      </x:c>
      <x:c r="M16" s="31" t="n">
        <x:v>0.1233347289</x:v>
      </x:c>
      <x:c r="N16" s="24" t="str">
        <x:v>haliporoides diomedeae</x:v>
      </x:c>
      <x:c r="O16" s="32" t="n">
        <x:v>2.6</x:v>
      </x:c>
      <x:c r="P16" s="24" t="str">
        <x:v>exact_sea_around_us</x:v>
      </x:c>
      <x:c r="Q16" s="32" t="str">
        <x:v>Sea Around Us exploited organisms</x:v>
      </x:c>
      <x:c r="R16" s="24" t="str">
        <x:v>high</x:v>
      </x:c>
      <x:c r="S16" s="24" t="str">
        <x:v>Haliporoides diomedeae</x:v>
      </x:c>
      <x:c r="T16" s="32" t="n">
        <x:f>IF(O16="","",(1/'Metadata'!$B$5)^(O16-1))</x:f>
        <x:v>39.810717055349734</x:v>
      </x:c>
      <x:c r="U16" s="31" t="n">
        <x:f>IF(T16="","",I16*T16)</x:f>
        <x:v>4.910043995336165</x:v>
      </x:c>
    </x:row>
    <x:row r="17" ht="18" customHeight="1">
      <x:c r="A17" s="24" t="str">
        <x:v>EEZ_155</x:v>
      </x:c>
      <x:c r="B17" s="24" t="str">
        <x:v>Juan Fernandez Islands (Chile)</x:v>
      </x:c>
      <x:c r="C17" s="24" t="str">
        <x:v>EEZ</x:v>
      </x:c>
      <x:c r="D17" s="30" t="n">
        <x:v>2019</x:v>
      </x:c>
      <x:c r="E17" s="24" t="str">
        <x:v>Thunnus obesus</x:v>
      </x:c>
      <x:c r="F17" s="24" t="str">
        <x:v>Bigeye tuna</x:v>
      </x:c>
      <x:c r="G17" s="24" t="str">
        <x:v>Large pelagics (&gt;=90 cm)</x:v>
      </x:c>
      <x:c r="H17" s="24" t="str">
        <x:v>Tuna &amp; billfishes</x:v>
      </x:c>
      <x:c r="I17" s="31" t="n">
        <x:v>0.0248724395</x:v>
      </x:c>
      <x:c r="J17" s="31" t="n">
        <x:v>0.0248724395</x:v>
      </x:c>
      <x:c r="K17" s="31" t="n">
        <x:v>0</x:v>
      </x:c>
      <x:c r="L17" s="31" t="n">
        <x:v>0.0188818955</x:v>
      </x:c>
      <x:c r="M17" s="31" t="n">
        <x:v>0.005990544</x:v>
      </x:c>
      <x:c r="N17" s="24" t="str">
        <x:v>thunnus obesus</x:v>
      </x:c>
      <x:c r="O17" s="32" t="n">
        <x:v>4.49</x:v>
      </x:c>
      <x:c r="P17" s="24" t="str">
        <x:v>exact_2020_supplement</x:v>
      </x:c>
      <x:c r="Q17" s="32" t="str">
        <x:v>2020 supplement MeanTL</x:v>
      </x:c>
      <x:c r="R17" s="24" t="str">
        <x:v>high</x:v>
      </x:c>
      <x:c r="S17" s="24" t="str">
        <x:v>Thunnus obesus</x:v>
      </x:c>
      <x:c r="T17" s="32" t="n">
        <x:f>IF(O17="","",(1/'Metadata'!$B$5)^(O17-1))</x:f>
        <x:v>3090.295432513592</x:v>
      </x:c>
      <x:c r="U17" s="31" t="n">
        <x:f>IF(T17="","",I17*T17)</x:f>
        <x:v>76.86318618232065</x:v>
      </x:c>
    </x:row>
    <x:row r="18" ht="18" customHeight="1">
      <x:c r="A18" s="24" t="str">
        <x:v>EEZ_155</x:v>
      </x:c>
      <x:c r="B18" s="24" t="str">
        <x:v>Juan Fernandez Islands (Chile)</x:v>
      </x:c>
      <x:c r="C18" s="24" t="str">
        <x:v>EEZ</x:v>
      </x:c>
      <x:c r="D18" s="30" t="n">
        <x:v>2019</x:v>
      </x:c>
      <x:c r="E18" s="24" t="str">
        <x:v>Thyrsites atun</x:v>
      </x:c>
      <x:c r="F18" s="24" t="str">
        <x:v>Snoek</x:v>
      </x:c>
      <x:c r="G18" s="24" t="str">
        <x:v>Large benthopelagics (&gt;=90 cm)</x:v>
      </x:c>
      <x:c r="H18" s="24" t="str">
        <x:v>Perch-likes</x:v>
      </x:c>
      <x:c r="I18" s="31" t="n">
        <x:v>0.024448680100000002</x:v>
      </x:c>
      <x:c r="J18" s="31" t="n">
        <x:v>0.024448680100000002</x:v>
      </x:c>
      <x:c r="K18" s="31" t="n">
        <x:v>0</x:v>
      </x:c>
      <x:c r="L18" s="31" t="n">
        <x:v>0.0213653118</x:v>
      </x:c>
      <x:c r="M18" s="31" t="n">
        <x:v>0.0030833683</x:v>
      </x:c>
      <x:c r="N18" s="24" t="str">
        <x:v>thyrsites atun</x:v>
      </x:c>
      <x:c r="O18" s="32" t="n">
        <x:v>3.63</x:v>
      </x:c>
      <x:c r="P18" s="24" t="str">
        <x:v>exact_2020_supplement</x:v>
      </x:c>
      <x:c r="Q18" s="32" t="str">
        <x:v>2020 supplement MeanTL</x:v>
      </x:c>
      <x:c r="R18" s="24" t="str">
        <x:v>high</x:v>
      </x:c>
      <x:c r="S18" s="24" t="str">
        <x:v>Thyrsites atun</x:v>
      </x:c>
      <x:c r="T18" s="32" t="n">
        <x:f>IF(O18="","",(1/'Metadata'!$B$5)^(O18-1))</x:f>
        <x:v>426.57951880159254</x:v>
      </x:c>
      <x:c r="U18" s="31" t="n">
        <x:f>IF(T18="","",I18*T18)</x:f>
        <x:v>10.429306192392072</x:v>
      </x:c>
    </x:row>
    <x:row r="19" ht="18" customHeight="1">
      <x:c r="A19" s="24" t="str">
        <x:v>EEZ_155</x:v>
      </x:c>
      <x:c r="B19" s="24" t="str">
        <x:v>Juan Fernandez Islands (Chile)</x:v>
      </x:c>
      <x:c r="C19" s="24" t="str">
        <x:v>EEZ</x:v>
      </x:c>
      <x:c r="D19" s="30" t="n">
        <x:v>2019</x:v>
      </x:c>
      <x:c r="E19" s="24" t="str">
        <x:v>Thunnus alalunga</x:v>
      </x:c>
      <x:c r="F19" s="24" t="str">
        <x:v>Albacore</x:v>
      </x:c>
      <x:c r="G19" s="24" t="str">
        <x:v>Large pelagics (&gt;=90 cm)</x:v>
      </x:c>
      <x:c r="H19" s="24" t="str">
        <x:v>Tuna &amp; billfishes</x:v>
      </x:c>
      <x:c r="I19" s="31" t="n">
        <x:v>0.018981035</x:v>
      </x:c>
      <x:c r="J19" s="31" t="n">
        <x:v>0.018981035</x:v>
      </x:c>
      <x:c r="K19" s="31" t="n">
        <x:v>0</x:v>
      </x:c>
      <x:c r="L19" s="31" t="n">
        <x:v>0.018188169</x:v>
      </x:c>
      <x:c r="M19" s="31" t="n">
        <x:v>0.0007928659999999999</x:v>
      </x:c>
      <x:c r="N19" s="24" t="str">
        <x:v>thunnus alalunga</x:v>
      </x:c>
      <x:c r="O19" s="32" t="n">
        <x:v>4.3</x:v>
      </x:c>
      <x:c r="P19" s="24" t="str">
        <x:v>exact_2020_supplement</x:v>
      </x:c>
      <x:c r="Q19" s="32" t="str">
        <x:v>2020 supplement MeanTL</x:v>
      </x:c>
      <x:c r="R19" s="24" t="str">
        <x:v>high</x:v>
      </x:c>
      <x:c r="S19" s="24" t="str">
        <x:v>Thunnus alalunga</x:v>
      </x:c>
      <x:c r="T19" s="32" t="n">
        <x:f>IF(O19="","",(1/'Metadata'!$B$5)^(O19-1))</x:f>
        <x:v>1995.2623149688789</x:v>
      </x:c>
      <x:c r="U19" s="31" t="n">
        <x:f>IF(T19="","",I19*T19)</x:f>
        <x:v>37.87214383460531</x:v>
      </x:c>
    </x:row>
    <x:row r="20" ht="18" customHeight="1">
      <x:c r="A20" s="24" t="str">
        <x:v>EEZ_155</x:v>
      </x:c>
      <x:c r="B20" s="24" t="str">
        <x:v>Juan Fernandez Islands (Chile)</x:v>
      </x:c>
      <x:c r="C20" s="24" t="str">
        <x:v>EEZ</x:v>
      </x:c>
      <x:c r="D20" s="30" t="n">
        <x:v>2019</x:v>
      </x:c>
      <x:c r="E20" s="24" t="str">
        <x:v>Ovalipes trimaculatus</x:v>
      </x:c>
      <x:c r="F20" s="24" t="str">
        <x:v>Rowing crab</x:v>
      </x:c>
      <x:c r="G20" s="24" t="str">
        <x:v>Lobsters, crabs</x:v>
      </x:c>
      <x:c r="H20" s="24" t="str">
        <x:v>Crustaceans</x:v>
      </x:c>
      <x:c r="I20" s="31" t="n">
        <x:v>0.0019216484</x:v>
      </x:c>
      <x:c r="J20" s="31" t="n">
        <x:v>0.0019216484</x:v>
      </x:c>
      <x:c r="K20" s="31" t="n">
        <x:v>0</x:v>
      </x:c>
      <x:c r="L20" s="31" t="n">
        <x:v>0.0019216484</x:v>
      </x:c>
      <x:c r="M20" s="31" t="n">
        <x:v>0</x:v>
      </x:c>
      <x:c r="N20" s="24" t="str">
        <x:v>ovalipes trimaculatus</x:v>
      </x:c>
      <x:c r="O20" s="32" t="n">
        <x:v>4.41</x:v>
      </x:c>
      <x:c r="P20" s="24" t="str">
        <x:v>exact_sea_around_us</x:v>
      </x:c>
      <x:c r="Q20" s="32" t="str">
        <x:v>Sea Around Us exploited organisms</x:v>
      </x:c>
      <x:c r="R20" s="24" t="str">
        <x:v>high</x:v>
      </x:c>
      <x:c r="S20" s="24" t="str">
        <x:v>Ovalipes trimaculatus</x:v>
      </x:c>
      <x:c r="T20" s="32" t="n">
        <x:f>IF(O20="","",(1/'Metadata'!$B$5)^(O20-1))</x:f>
        <x:v>2570.3957827688646</x:v>
      </x:c>
      <x:c r="U20" s="31" t="n">
        <x:f>IF(T20="","",I20*T20)</x:f>
        <x:v>4.939396943324536</x:v>
      </x:c>
    </x:row>
    <x:row r="21" ht="18" customHeight="1">
      <x:c r="A21" s="24" t="str">
        <x:v>EEZ_155</x:v>
      </x:c>
      <x:c r="B21" s="24" t="str">
        <x:v>Juan Fernandez Islands (Chile)</x:v>
      </x:c>
      <x:c r="C21" s="24" t="str">
        <x:v>EEZ</x:v>
      </x:c>
      <x:c r="D21" s="30" t="n">
        <x:v>2019</x:v>
      </x:c>
      <x:c r="E21" s="24" t="str">
        <x:v>Sebastidae</x:v>
      </x:c>
      <x:c r="F21" s="24" t="str">
        <x:v>Rockfishes, rockcods, thornyheads</x:v>
      </x:c>
      <x:c r="G21" s="24" t="str">
        <x:v>Medium demersals (30 - 89 cm)</x:v>
      </x:c>
      <x:c r="H21" s="24" t="str">
        <x:v>Scorpionfishes</x:v>
      </x:c>
      <x:c r="I21" s="31" t="n">
        <x:v>0.0016191257000000001</x:v>
      </x:c>
      <x:c r="J21" s="31" t="n">
        <x:v>0.0016191257000000001</x:v>
      </x:c>
      <x:c r="K21" s="31" t="n">
        <x:v>0</x:v>
      </x:c>
      <x:c r="L21" s="31" t="n">
        <x:v>0.0016191257000000001</x:v>
      </x:c>
      <x:c r="M21" s="31" t="n">
        <x:v>0</x:v>
      </x:c>
      <x:c r="N21" s="24" t="str">
        <x:v>sebastidae</x:v>
      </x:c>
      <x:c r="O21" s="32" t="n">
        <x:v>3.74</x:v>
      </x:c>
      <x:c r="P21" s="24" t="str">
        <x:v>exact_sea_around_us</x:v>
      </x:c>
      <x:c r="Q21" s="32" t="str">
        <x:v>Sea Around Us exploited organisms</x:v>
      </x:c>
      <x:c r="R21" s="24" t="str">
        <x:v>high</x:v>
      </x:c>
      <x:c r="S21" s="24" t="str">
        <x:v>Sebastidae</x:v>
      </x:c>
      <x:c r="T21" s="32" t="n">
        <x:f>IF(O21="","",(1/'Metadata'!$B$5)^(O21-1))</x:f>
        <x:v>549.5408738576248</x:v>
      </x:c>
      <x:c r="U21" s="31" t="n">
        <x:f>IF(T21="","",I21*T21)</x:f>
        <x:v>0.8897757520633385</x:v>
      </x:c>
    </x:row>
    <x:row r="22" ht="18" customHeight="1">
      <x:c r="A22" s="24" t="str">
        <x:v>EEZ_155</x:v>
      </x:c>
      <x:c r="B22" s="24" t="str">
        <x:v>Juan Fernandez Islands (Chile)</x:v>
      </x:c>
      <x:c r="C22" s="24" t="str">
        <x:v>EEZ</x:v>
      </x:c>
      <x:c r="D22" s="30" t="n">
        <x:v>2019</x:v>
      </x:c>
      <x:c r="E22" s="24" t="str">
        <x:v>Seriolella</x:v>
      </x:c>
      <x:c r="F22" s="24" t="str">
        <x:v>Warehous, butterfishes</x:v>
      </x:c>
      <x:c r="G22" s="24" t="str">
        <x:v>Medium benthopelagics (30 - 89 cm)</x:v>
      </x:c>
      <x:c r="H22" s="24" t="str">
        <x:v>Perch-likes</x:v>
      </x:c>
      <x:c r="I22" s="31" t="n">
        <x:v>0.0012333473</x:v>
      </x:c>
      <x:c r="J22" s="31" t="n">
        <x:v>0.0012333473</x:v>
      </x:c>
      <x:c r="K22" s="31" t="n">
        <x:v>0</x:v>
      </x:c>
      <x:c r="L22" s="31" t="n">
        <x:v>0</x:v>
      </x:c>
      <x:c r="M22" s="31" t="n">
        <x:v>0.0012333473</x:v>
      </x:c>
      <x:c r="N22" s="24" t="str">
        <x:v>seriolella</x:v>
      </x:c>
      <x:c r="O22" s="32" t="n">
        <x:v>3.51</x:v>
      </x:c>
      <x:c r="P22" s="24" t="str">
        <x:v>exact_sea_around_us</x:v>
      </x:c>
      <x:c r="Q22" s="32" t="str">
        <x:v>Sea Around Us exploited organisms</x:v>
      </x:c>
      <x:c r="R22" s="24" t="str">
        <x:v>high</x:v>
      </x:c>
      <x:c r="S22" s="24" t="str">
        <x:v>Seriolella</x:v>
      </x:c>
      <x:c r="T22" s="32" t="n">
        <x:f>IF(O22="","",(1/'Metadata'!$B$5)^(O22-1))</x:f>
        <x:v>323.5936569296281</x:v>
      </x:c>
      <x:c r="U22" s="31" t="n">
        <x:f>IF(T22="","",I22*T22)</x:f>
        <x:v>0.3991033630712831</x:v>
      </x:c>
    </x:row>
    <x:row r="23" ht="18" customHeight="1">
      <x:c r="A23" s="24" t="str">
        <x:v>EEZ_155</x:v>
      </x:c>
      <x:c r="B23" s="24" t="str">
        <x:v>Juan Fernandez Islands (Chile)</x:v>
      </x:c>
      <x:c r="C23" s="24" t="str">
        <x:v>EEZ</x:v>
      </x:c>
      <x:c r="D23" s="30" t="n">
        <x:v>2019</x:v>
      </x:c>
      <x:c r="E23" s="24" t="str">
        <x:v>Beryx splendens</x:v>
      </x:c>
      <x:c r="F23" s="24" t="str">
        <x:v>Splendid alfonsino</x:v>
      </x:c>
      <x:c r="G23" s="24" t="str">
        <x:v>Medium benthopelagics (30 - 89 cm)</x:v>
      </x:c>
      <x:c r="H23" s="24" t="str">
        <x:v>Other fishes &amp; inverts</x:v>
      </x:c>
      <x:c r="I23" s="31" t="n">
        <x:v>0.0002642886</x:v>
      </x:c>
      <x:c r="J23" s="31" t="n">
        <x:v>0.0002642886</x:v>
      </x:c>
      <x:c r="K23" s="31" t="n">
        <x:v>0</x:v>
      </x:c>
      <x:c r="L23" s="31" t="n">
        <x:v>0</x:v>
      </x:c>
      <x:c r="M23" s="31" t="n">
        <x:v>0.0002642886</x:v>
      </x:c>
      <x:c r="N23" s="24" t="str">
        <x:v>beryx splendens</x:v>
      </x:c>
      <x:c r="O23" s="32" t="n">
        <x:v>4.27</x:v>
      </x:c>
      <x:c r="P23" s="24" t="str">
        <x:v>exact_2020_supplement</x:v>
      </x:c>
      <x:c r="Q23" s="32" t="str">
        <x:v>2020 supplement MeanTL</x:v>
      </x:c>
      <x:c r="R23" s="24" t="str">
        <x:v>high</x:v>
      </x:c>
      <x:c r="S23" s="24" t="str">
        <x:v>Beryx splendens</x:v>
      </x:c>
      <x:c r="T23" s="32" t="n">
        <x:f>IF(O23="","",(1/'Metadata'!$B$5)^(O23-1))</x:f>
        <x:v>1862.0871366628655</x:v>
      </x:c>
      <x:c r="U23" s="31" t="n">
        <x:f>IF(T23="","",I23*T23)</x:f>
        <x:v>0.49212840242663736</x:v>
      </x:c>
    </x:row>
  </x:sheetData>
  <x:conditionalFormatting sqref="R2:R23">
    <x:cfRule type="containsText" dxfId="0" priority="1" operator="containsText" text="low"/>
  </x:conditionalFormatting>
  <x:pageMargins left="0.7" right="0.7" top="0.75" bottom="0.75" header="0.3" footer="0.3"/>
  <x:tableParts count="1">
    <x:tablePart xmlns:r="http://schemas.openxmlformats.org/officeDocument/2006/relationships" r:id="R9652daae7e2c4237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22" hidden="0" customWidth="1"/>
    <x:col min="3" max="3" width="22" hidden="0" customWidth="1"/>
    <x:col min="4" max="4" width="18" hidden="0" customWidth="1"/>
    <x:col min="5" max="5" width="18" hidden="0" customWidth="1"/>
    <x:col min="6" max="6" width="18" hidden="0" customWidth="1"/>
    <x:col min="7" max="7" width="16" hidden="0" customWidth="1"/>
    <x:col min="8" max="8" width="18" hidden="0" customWidth="1"/>
    <x:col min="9" max="9" width="18" hidden="0" customWidth="1"/>
    <x:col min="10" max="10" width="15" hidden="0" customWidth="1"/>
    <x:col min="11" max="11" width="18" hidden="0" customWidth="1"/>
    <x:col min="12" max="12" width="18" hidden="0" customWidth="1"/>
    <x:col min="13" max="13" width="18" hidden="0" customWidth="1"/>
    <x:col min="14" max="14" width="16" hidden="0" customWidth="1"/>
    <x:col min="15" max="15" width="16" hidden="0" customWidth="1"/>
  </x:cols>
  <x:sheetData>
    <x:row r="1" ht="32" customHeight="1">
      <x:c r="A1" s="29" t="str">
        <x:v>commercial_group</x:v>
      </x:c>
      <x:c r="B1" s="29" t="str">
        <x:v>taxon_count_total</x:v>
      </x:c>
      <x:c r="C1" s="29" t="str">
        <x:v>taxon_count_matched</x:v>
      </x:c>
      <x:c r="D1" s="29" t="str">
        <x:v>catch_tonnes_total</x:v>
      </x:c>
      <x:c r="E1" s="29" t="str">
        <x:v>catch_tonnes_matched</x:v>
      </x:c>
      <x:c r="F1" s="29" t="str">
        <x:v>catch_tonnes_missing_tl</x:v>
      </x:c>
      <x:c r="G1" s="29" t="str">
        <x:v>catch_coverage_fraction</x:v>
      </x:c>
      <x:c r="H1" s="29" t="str">
        <x:v>sppr_correct</x:v>
      </x:c>
      <x:c r="I1" s="29" t="str">
        <x:v>ppr_correct</x:v>
      </x:c>
      <x:c r="J1" s="29" t="str">
        <x:v>tl_weighted_jensen</x:v>
      </x:c>
      <x:c r="K1" s="29" t="str">
        <x:v>sppr_jensen</x:v>
      </x:c>
      <x:c r="L1" s="29" t="str">
        <x:v>ppr_jensen</x:v>
      </x:c>
      <x:c r="M1" s="29" t="str">
        <x:v>jensen_difference</x:v>
      </x:c>
      <x:c r="N1" s="29" t="str">
        <x:v>jensen_ratio_correct_to_error</x:v>
      </x:c>
      <x:c r="O1" s="29" t="str">
        <x:v>jensen_percent_difference</x:v>
      </x:c>
    </x:row>
    <x:row r="2" ht="18" customHeight="1">
      <x:c r="A2" s="24" t="str">
        <x:v>Crustaceans</x:v>
      </x:c>
      <x:c r="B2" s="33" t="n">
        <x:v>4</x:v>
      </x:c>
      <x:c r="C2" s="33" t="n">
        <x:v>4</x:v>
      </x:c>
      <x:c r="D2" s="31" t="n">
        <x:v>104.1908897862</x:v>
      </x:c>
      <x:c r="E2" s="31" t="n">
        <x:v>104.1908897862</x:v>
      </x:c>
      <x:c r="F2" s="32" t="n">
        <x:v>0</x:v>
      </x:c>
      <x:c r="G2" s="34" t="n">
        <x:v>1</x:v>
      </x:c>
      <x:c r="H2" s="32" t="n">
        <x:f>IF(E2=0,"",I2/E2)</x:f>
        <x:v>217.47281458524662</x:v>
      </x:c>
      <x:c r="I2" s="31" t="n">
        <x:f>IF(C2=0,"",SUMIF('Species'!$H$2:$H$23,A2,'Species'!$U$2:$U$23))</x:f>
        <x:v>22658.68605594614</x:v>
      </x:c>
      <x:c r="J2" s="32" t="n">
        <x:v>3.335895167018771</x:v>
      </x:c>
      <x:c r="K2" s="32" t="n">
        <x:f>IF(J2="","",(1/'Metadata'!$B$5)^(J2-1))</x:f>
        <x:v>216.7180912681182</x:v>
      </x:c>
      <x:c r="L2" s="31" t="n">
        <x:f>IF(E2=0,"",E2*K2)</x:f>
        <x:v>22580.050761992137</x:v>
      </x:c>
      <x:c r="M2" s="31" t="n">
        <x:f>IF(E2=0,"",I2-L2)</x:f>
        <x:v>78.6352939540011</x:v>
      </x:c>
      <x:c r="N2" s="32" t="n">
        <x:f>IF(L2=0,"",I2/L2)</x:f>
        <x:v>1.0034825118323634</x:v>
      </x:c>
      <x:c r="O2" s="34" t="n">
        <x:f>IF(L2=0,"",M2/L2)</x:f>
        <x:v>0.003482511832363279</x:v>
      </x:c>
    </x:row>
    <x:row r="3" ht="18" customHeight="1">
      <x:c r="A3" s="24" t="str">
        <x:v>Flatfishes</x:v>
      </x:c>
      <x:c r="B3" s="33" t="n">
        <x:v>1</x:v>
      </x:c>
      <x:c r="C3" s="33" t="n">
        <x:v>1</x:v>
      </x:c>
      <x:c r="D3" s="31" t="n">
        <x:v>269.8377443331</x:v>
      </x:c>
      <x:c r="E3" s="31" t="n">
        <x:v>269.8377443331</x:v>
      </x:c>
      <x:c r="F3" s="32" t="n">
        <x:v>0</x:v>
      </x:c>
      <x:c r="G3" s="34" t="n">
        <x:v>1</x:v>
      </x:c>
      <x:c r="H3" s="32" t="n">
        <x:f>IF(E3=0,"",I3/E3)</x:f>
        <x:v>371.5352290971724</x:v>
      </x:c>
      <x:c r="I3" s="31" t="n">
        <x:f>IF(C3=0,"",SUMIF('Species'!$H$2:$H$23,A3,'Species'!$U$2:$U$23))</x:f>
        <x:v>100254.22815986254</x:v>
      </x:c>
      <x:c r="J3" s="32" t="n">
        <x:v>3.57</x:v>
      </x:c>
      <x:c r="K3" s="32" t="n">
        <x:f>IF(J3="","",(1/'Metadata'!$B$5)^(J3-1))</x:f>
        <x:v>371.5352290971724</x:v>
      </x:c>
      <x:c r="L3" s="31" t="n">
        <x:f>IF(E3=0,"",E3*K3)</x:f>
        <x:v>100254.22815986254</x:v>
      </x:c>
      <x:c r="M3" s="31" t="n">
        <x:f>IF(E3=0,"",I3-L3)</x:f>
        <x:v>0</x:v>
      </x:c>
      <x:c r="N3" s="32" t="n">
        <x:f>IF(L3=0,"",I3/L3)</x:f>
        <x:v>1</x:v>
      </x:c>
      <x:c r="O3" s="34" t="n">
        <x:f>IF(L3=0,"",M3/L3)</x:f>
        <x:v>0</x:v>
      </x:c>
    </x:row>
    <x:row r="4" ht="18" customHeight="1">
      <x:c r="A4" s="24" t="str">
        <x:v>Other fishes &amp; inverts</x:v>
      </x:c>
      <x:c r="B4" s="33" t="n">
        <x:v>3</x:v>
      </x:c>
      <x:c r="C4" s="33" t="n">
        <x:v>3</x:v>
      </x:c>
      <x:c r="D4" s="31" t="n">
        <x:v>1130.7367425952998</x:v>
      </x:c>
      <x:c r="E4" s="31" t="n">
        <x:v>1130.7367425952998</x:v>
      </x:c>
      <x:c r="F4" s="32" t="n">
        <x:v>0</x:v>
      </x:c>
      <x:c r="G4" s="34" t="n">
        <x:v>1</x:v>
      </x:c>
      <x:c r="H4" s="32" t="n">
        <x:f>IF(E4=0,"",I4/E4)</x:f>
        <x:v>200.93983903364744</x:v>
      </x:c>
      <x:c r="I4" s="31" t="n">
        <x:f>IF(C4=0,"",SUMIF('Species'!$H$2:$H$23,A4,'Species'!$U$2:$U$23))</x:f>
        <x:v>227210.0590465304</x:v>
      </x:c>
      <x:c r="J4" s="32" t="n">
        <x:v>3.2879773313326766</x:v>
      </x:c>
      <x:c r="K4" s="32" t="n">
        <x:f>IF(J4="","",(1/'Metadata'!$B$5)^(J4-1))</x:f>
        <x:v>194.07845727181552</x:v>
      </x:c>
      <x:c r="L4" s="31" t="n">
        <x:f>IF(E4=0,"",E4*K4)</x:f>
        <x:v>219451.64258345377</x:v>
      </x:c>
      <x:c r="M4" s="31" t="n">
        <x:f>IF(E4=0,"",I4-L4)</x:f>
        <x:v>7758.416463076632</x:v>
      </x:c>
      <x:c r="N4" s="32" t="n">
        <x:f>IF(L4=0,"",I4/L4)</x:f>
        <x:v>1.035353649540929</x:v>
      </x:c>
      <x:c r="O4" s="34" t="n">
        <x:f>IF(L4=0,"",M4/L4)</x:f>
        <x:v>0.03535364954092898</x:v>
      </x:c>
    </x:row>
    <x:row r="5" ht="18" customHeight="1">
      <x:c r="A5" s="24" t="str">
        <x:v>Perch-likes</x:v>
      </x:c>
      <x:c r="B5" s="33" t="n">
        <x:v>8</x:v>
      </x:c>
      <x:c r="C5" s="33" t="n">
        <x:v>8</x:v>
      </x:c>
      <x:c r="D5" s="31" t="n">
        <x:v>40853.302015303</x:v>
      </x:c>
      <x:c r="E5" s="31" t="n">
        <x:v>40853.302015303</x:v>
      </x:c>
      <x:c r="F5" s="32" t="n">
        <x:v>0</x:v>
      </x:c>
      <x:c r="G5" s="34" t="n">
        <x:v>1</x:v>
      </x:c>
      <x:c r="H5" s="32" t="n">
        <x:f>IF(E5=0,"",I5/E5)</x:f>
        <x:v>223.12961194334787</x:v>
      </x:c>
      <x:c r="I5" s="31" t="n">
        <x:f>IF(C5=0,"",SUMIF('Species'!$H$2:$H$23,A5,'Species'!$U$2:$U$23))</x:f>
        <x:v>9115581.42527895</x:v>
      </x:c>
      <x:c r="J5" s="32" t="n">
        <x:v>3.33629924072851</x:v>
      </x:c>
      <x:c r="K5" s="32" t="n">
        <x:f>IF(J5="","",(1/'Metadata'!$B$5)^(J5-1))</x:f>
        <x:v>216.91982266838775</x:v>
      </x:c>
      <x:c r="L5" s="31" t="n">
        <x:f>IF(E5=0,"",E5*K5)</x:f>
        <x:v>8861891.028577615</x:v>
      </x:c>
      <x:c r="M5" s="31" t="n">
        <x:f>IF(E5=0,"",I5-L5)</x:f>
        <x:v>253690.3967013359</x:v>
      </x:c>
      <x:c r="N5" s="32" t="n">
        <x:f>IF(L5=0,"",I5/L5)</x:f>
        <x:v>1.0286271176076576</x:v>
      </x:c>
      <x:c r="O5" s="34" t="n">
        <x:f>IF(L5=0,"",M5/L5)</x:f>
        <x:v>0.02862711760765746</x:v>
      </x:c>
    </x:row>
    <x:row r="6" ht="18" customHeight="1">
      <x:c r="A6" s="24" t="str">
        <x:v>Scorpionfishes</x:v>
      </x:c>
      <x:c r="B6" s="33" t="n">
        <x:v>1</x:v>
      </x:c>
      <x:c r="C6" s="33" t="n">
        <x:v>1</x:v>
      </x:c>
      <x:c r="D6" s="31" t="n">
        <x:v>0.0016191257000000001</x:v>
      </x:c>
      <x:c r="E6" s="31" t="n">
        <x:v>0.0016191257000000001</x:v>
      </x:c>
      <x:c r="F6" s="32" t="n">
        <x:v>0</x:v>
      </x:c>
      <x:c r="G6" s="34" t="n">
        <x:v>1</x:v>
      </x:c>
      <x:c r="H6" s="32" t="n">
        <x:f>IF(E6=0,"",I6/E6)</x:f>
        <x:v>549.5408738576248</x:v>
      </x:c>
      <x:c r="I6" s="31" t="n">
        <x:f>IF(C6=0,"",SUMIF('Species'!$H$2:$H$23,A6,'Species'!$U$2:$U$23))</x:f>
        <x:v>0.8897757520633385</x:v>
      </x:c>
      <x:c r="J6" s="32" t="n">
        <x:v>3.74</x:v>
      </x:c>
      <x:c r="K6" s="32" t="n">
        <x:f>IF(J6="","",(1/'Metadata'!$B$5)^(J6-1))</x:f>
        <x:v>549.5408738576248</x:v>
      </x:c>
      <x:c r="L6" s="31" t="n">
        <x:f>IF(E6=0,"",E6*K6)</x:f>
        <x:v>0.8897757520633385</x:v>
      </x:c>
      <x:c r="M6" s="31" t="n">
        <x:f>IF(E6=0,"",I6-L6)</x:f>
        <x:v>0</x:v>
      </x:c>
      <x:c r="N6" s="32" t="n">
        <x:f>IF(L6=0,"",I6/L6)</x:f>
        <x:v>1</x:v>
      </x:c>
      <x:c r="O6" s="34" t="n">
        <x:f>IF(L6=0,"",M6/L6)</x:f>
        <x:v>0</x:v>
      </x:c>
    </x:row>
    <x:row r="7" ht="18" customHeight="1">
      <x:c r="A7" s="24" t="str">
        <x:v>Sharks &amp; rays</x:v>
      </x:c>
      <x:c r="B7" s="33" t="n">
        <x:v>1</x:v>
      </x:c>
      <x:c r="C7" s="33" t="n">
        <x:v>1</x:v>
      </x:c>
      <x:c r="D7" s="31" t="n">
        <x:v>1.9992893415</x:v>
      </x:c>
      <x:c r="E7" s="31" t="n">
        <x:v>1.9992893415</x:v>
      </x:c>
      <x:c r="F7" s="32" t="n">
        <x:v>0</x:v>
      </x:c>
      <x:c r="G7" s="34" t="n">
        <x:v>1</x:v>
      </x:c>
      <x:c r="H7" s="32" t="n">
        <x:f>IF(E7=0,"",I7/E7)</x:f>
        <x:v>3162.2776601683795</x:v>
      </x:c>
      <x:c r="I7" s="31" t="n">
        <x:f>IF(C7=0,"",SUMIF('Species'!$H$2:$H$23,A7,'Species'!$U$2:$U$23))</x:f>
        <x:v>6322.3080208382</x:v>
      </x:c>
      <x:c r="J7" s="32" t="n">
        <x:v>4.5</x:v>
      </x:c>
      <x:c r="K7" s="32" t="n">
        <x:f>IF(J7="","",(1/'Metadata'!$B$5)^(J7-1))</x:f>
        <x:v>3162.2776601683795</x:v>
      </x:c>
      <x:c r="L7" s="31" t="n">
        <x:f>IF(E7=0,"",E7*K7)</x:f>
        <x:v>6322.3080208382</x:v>
      </x:c>
      <x:c r="M7" s="31" t="n">
        <x:f>IF(E7=0,"",I7-L7)</x:f>
        <x:v>0</x:v>
      </x:c>
      <x:c r="N7" s="32" t="n">
        <x:f>IF(L7=0,"",I7/L7)</x:f>
        <x:v>1</x:v>
      </x:c>
      <x:c r="O7" s="34" t="n">
        <x:f>IF(L7=0,"",M7/L7)</x:f>
        <x:v>0</x:v>
      </x:c>
    </x:row>
    <x:row r="8" ht="18" customHeight="1">
      <x:c r="A8" s="24" t="str">
        <x:v>Tuna &amp; billfishes</x:v>
      </x:c>
      <x:c r="B8" s="33" t="n">
        <x:v>4</x:v>
      </x:c>
      <x:c r="C8" s="33" t="n">
        <x:v>4</x:v>
      </x:c>
      <x:c r="D8" s="31" t="n">
        <x:v>195.45964446009998</x:v>
      </x:c>
      <x:c r="E8" s="31" t="n">
        <x:v>195.45964446009998</x:v>
      </x:c>
      <x:c r="F8" s="32" t="n">
        <x:v>0</x:v>
      </x:c>
      <x:c r="G8" s="34" t="n">
        <x:v>1</x:v>
      </x:c>
      <x:c r="H8" s="32" t="n">
        <x:f>IF(E8=0,"",I8/E8)</x:f>
        <x:v>3386.749835322646</x:v>
      </x:c>
      <x:c r="I8" s="31" t="n">
        <x:f>IF(C8=0,"",SUMIF('Species'!$H$2:$H$23,A8,'Species'!$U$2:$U$23))</x:f>
        <x:v>661972.9186874665</x:v>
      </x:c>
      <x:c r="J8" s="32" t="n">
        <x:v>4.529749825024244</x:v>
      </x:c>
      <x:c r="K8" s="32" t="n">
        <x:f>IF(J8="","",(1/'Metadata'!$B$5)^(J8-1))</x:f>
        <x:v>3386.490214533447</x:v>
      </x:c>
      <x:c r="L8" s="31" t="n">
        <x:f>IF(E8=0,"",E8*K8)</x:f>
        <x:v>661922.1733003153</x:v>
      </x:c>
      <x:c r="M8" s="31" t="n">
        <x:f>IF(E8=0,"",I8-L8)</x:f>
        <x:v>50.74538715125527</x:v>
      </x:c>
      <x:c r="N8" s="32" t="n">
        <x:f>IF(L8=0,"",I8/L8)</x:f>
        <x:v>1.0000766636761815</x:v>
      </x:c>
      <x:c r="O8" s="34" t="n">
        <x:f>IF(L8=0,"",M8/L8)</x:f>
        <x:v>0.00007666367618150782</x:v>
      </x:c>
    </x:row>
  </x:sheetData>
  <x:conditionalFormatting sqref="G2:G8">
    <x:cfRule type="cellIs" dxfId="1" priority="1" operator="lessThan">
      <x:formula>0.9</x:formula>
    </x:cfRule>
  </x:conditionalFormatting>
  <x:conditionalFormatting sqref="O2:O8">
    <x:cfRule type="dataBar" priority="2">
      <x:dataBar>
        <x:cfvo type="min"/>
        <x:cfvo type="max"/>
        <x:color rgb="FFE28A32"/>
      </x:dataBar>
    </x:cfRule>
  </x:conditionalFormatting>
  <x:pageMargins left="0.7" right="0.7" top="0.75" bottom="0.75" header="0.3" footer="0.3"/>
  <x:tableParts count="1">
    <x:tablePart xmlns:r="http://schemas.openxmlformats.org/officeDocument/2006/relationships" r:id="Rbb8634bb0c5845ab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22" hidden="0" customWidth="1"/>
    <x:col min="3" max="3" width="22" hidden="0" customWidth="1"/>
    <x:col min="4" max="4" width="18" hidden="0" customWidth="1"/>
    <x:col min="5" max="5" width="18" hidden="0" customWidth="1"/>
    <x:col min="6" max="6" width="18" hidden="0" customWidth="1"/>
    <x:col min="7" max="7" width="16" hidden="0" customWidth="1"/>
    <x:col min="8" max="8" width="18" hidden="0" customWidth="1"/>
    <x:col min="9" max="9" width="18" hidden="0" customWidth="1"/>
    <x:col min="10" max="10" width="15" hidden="0" customWidth="1"/>
    <x:col min="11" max="11" width="18" hidden="0" customWidth="1"/>
    <x:col min="12" max="12" width="18" hidden="0" customWidth="1"/>
    <x:col min="13" max="13" width="18" hidden="0" customWidth="1"/>
    <x:col min="14" max="14" width="16" hidden="0" customWidth="1"/>
    <x:col min="15" max="15" width="16" hidden="0" customWidth="1"/>
  </x:cols>
  <x:sheetData>
    <x:row r="1" ht="32" customHeight="1">
      <x:c r="A1" s="29" t="str">
        <x:v>functional_group</x:v>
      </x:c>
      <x:c r="B1" s="29" t="str">
        <x:v>taxon_count_total</x:v>
      </x:c>
      <x:c r="C1" s="29" t="str">
        <x:v>taxon_count_matched</x:v>
      </x:c>
      <x:c r="D1" s="29" t="str">
        <x:v>catch_tonnes_total</x:v>
      </x:c>
      <x:c r="E1" s="29" t="str">
        <x:v>catch_tonnes_matched</x:v>
      </x:c>
      <x:c r="F1" s="29" t="str">
        <x:v>catch_tonnes_missing_tl</x:v>
      </x:c>
      <x:c r="G1" s="29" t="str">
        <x:v>catch_coverage_fraction</x:v>
      </x:c>
      <x:c r="H1" s="29" t="str">
        <x:v>sppr_correct</x:v>
      </x:c>
      <x:c r="I1" s="29" t="str">
        <x:v>ppr_correct</x:v>
      </x:c>
      <x:c r="J1" s="29" t="str">
        <x:v>tl_weighted_jensen</x:v>
      </x:c>
      <x:c r="K1" s="29" t="str">
        <x:v>sppr_jensen</x:v>
      </x:c>
      <x:c r="L1" s="29" t="str">
        <x:v>ppr_jensen</x:v>
      </x:c>
      <x:c r="M1" s="29" t="str">
        <x:v>jensen_difference</x:v>
      </x:c>
      <x:c r="N1" s="29" t="str">
        <x:v>jensen_ratio_correct_to_error</x:v>
      </x:c>
      <x:c r="O1" s="29" t="str">
        <x:v>jensen_percent_difference</x:v>
      </x:c>
    </x:row>
    <x:row r="2" ht="18" customHeight="1">
      <x:c r="A2" s="24" t="str">
        <x:v>Large benthopelagics (&gt;=90 cm)</x:v>
      </x:c>
      <x:c r="B2" s="33" t="n">
        <x:v>2</x:v>
      </x:c>
      <x:c r="C2" s="33" t="n">
        <x:v>2</x:v>
      </x:c>
      <x:c r="D2" s="31" t="n">
        <x:v>20.196277517200002</x:v>
      </x:c>
      <x:c r="E2" s="31" t="n">
        <x:v>20.196277517200002</x:v>
      </x:c>
      <x:c r="F2" s="32" t="n">
        <x:v>0</x:v>
      </x:c>
      <x:c r="G2" s="34" t="n">
        <x:v>1</x:v>
      </x:c>
      <x:c r="H2" s="32" t="n">
        <x:f>IF(E2=0,"",I2/E2)</x:f>
        <x:v>1444.2063856161594</x:v>
      </x:c>
      <x:c r="I2" s="31" t="n">
        <x:f>IF(C2=0,"",SUMIF('Species'!$G$2:$G$23,A2,'Species'!$U$2:$U$23))</x:f>
        <x:v>29167.592956016317</x:v>
      </x:c>
      <x:c r="J2" s="32" t="n">
        <x:v>4.159358406496348</x:v>
      </x:c>
      <x:c r="K2" s="32" t="n">
        <x:f>IF(J2="","",(1/'Metadata'!$B$5)^(J2-1))</x:f>
        <x:v>1443.3059649553015</x:v>
      </x:c>
      <x:c r="L2" s="31" t="n">
        <x:f>IF(E2=0,"",E2*K2)</x:f>
        <x:v>29149.40781046741</x:v>
      </x:c>
      <x:c r="M2" s="31" t="n">
        <x:f>IF(E2=0,"",I2-L2)</x:f>
        <x:v>18.185145548904984</x:v>
      </x:c>
      <x:c r="N2" s="32" t="n">
        <x:f>IF(L2=0,"",I2/L2)</x:f>
        <x:v>1.0006238598625106</x:v>
      </x:c>
      <x:c r="O2" s="34" t="n">
        <x:f>IF(L2=0,"",M2/L2)</x:f>
        <x:v>0.0006238598625106472</x:v>
      </x:c>
    </x:row>
    <x:row r="3" ht="18" customHeight="1">
      <x:c r="A3" s="24" t="str">
        <x:v>Large demersals (&gt;=90 cm)</x:v>
      </x:c>
      <x:c r="B3" s="33" t="n">
        <x:v>2</x:v>
      </x:c>
      <x:c r="C3" s="33" t="n">
        <x:v>2</x:v>
      </x:c>
      <x:c r="D3" s="31" t="n">
        <x:v>25.791529806</x:v>
      </x:c>
      <x:c r="E3" s="31" t="n">
        <x:v>25.791529806</x:v>
      </x:c>
      <x:c r="F3" s="32" t="n">
        <x:v>0</x:v>
      </x:c>
      <x:c r="G3" s="34" t="n">
        <x:v>1</x:v>
      </x:c>
      <x:c r="H3" s="32" t="n">
        <x:f>IF(E3=0,"",I3/E3)</x:f>
        <x:v>2153.279587523187</x:v>
      </x:c>
      <x:c r="I3" s="31" t="n">
        <x:f>IF(C3=0,"",SUMIF('Species'!$G$2:$G$23,A3,'Species'!$U$2:$U$23))</x:f>
        <x:v>55536.37466225566</x:v>
      </x:c>
      <x:c r="J3" s="32" t="n">
        <x:v>4.300726186893173</x:v>
      </x:c>
      <x:c r="K3" s="32" t="n">
        <x:f>IF(J3="","",(1/'Metadata'!$B$5)^(J3-1))</x:f>
        <x:v>1998.6013981563135</x:v>
      </x:c>
      <x:c r="L3" s="31" t="n">
        <x:f>IF(E3=0,"",E3*K3)</x:f>
        <x:v>51546.987530861836</x:v>
      </x:c>
      <x:c r="M3" s="31" t="n">
        <x:f>IF(E3=0,"",I3-L3)</x:f>
        <x:v>3989.3871313938216</x:v>
      </x:c>
      <x:c r="N3" s="32" t="n">
        <x:f>IF(L3=0,"",I3/L3)</x:f>
        <x:v>1.0773932158306114</x:v>
      </x:c>
      <x:c r="O3" s="34" t="n">
        <x:f>IF(L3=0,"",M3/L3)</x:f>
        <x:v>0.07739321583061134</x:v>
      </x:c>
    </x:row>
    <x:row r="4" ht="18" customHeight="1">
      <x:c r="A4" s="24" t="str">
        <x:v>Large pelagics (&gt;=90 cm)</x:v>
      </x:c>
      <x:c r="B4" s="33" t="n">
        <x:v>4</x:v>
      </x:c>
      <x:c r="C4" s="33" t="n">
        <x:v>4</x:v>
      </x:c>
      <x:c r="D4" s="31" t="n">
        <x:v>195.45964446009998</x:v>
      </x:c>
      <x:c r="E4" s="31" t="n">
        <x:v>195.45964446009998</x:v>
      </x:c>
      <x:c r="F4" s="32" t="n">
        <x:v>0</x:v>
      </x:c>
      <x:c r="G4" s="34" t="n">
        <x:v>1</x:v>
      </x:c>
      <x:c r="H4" s="32" t="n">
        <x:f>IF(E4=0,"",I4/E4)</x:f>
        <x:v>3386.749835322646</x:v>
      </x:c>
      <x:c r="I4" s="31" t="n">
        <x:f>IF(C4=0,"",SUMIF('Species'!$G$2:$G$23,A4,'Species'!$U$2:$U$23))</x:f>
        <x:v>661972.9186874665</x:v>
      </x:c>
      <x:c r="J4" s="32" t="n">
        <x:v>4.529749825024244</x:v>
      </x:c>
      <x:c r="K4" s="32" t="n">
        <x:f>IF(J4="","",(1/'Metadata'!$B$5)^(J4-1))</x:f>
        <x:v>3386.490214533447</x:v>
      </x:c>
      <x:c r="L4" s="31" t="n">
        <x:f>IF(E4=0,"",E4*K4)</x:f>
        <x:v>661922.1733003153</x:v>
      </x:c>
      <x:c r="M4" s="31" t="n">
        <x:f>IF(E4=0,"",I4-L4)</x:f>
        <x:v>50.74538715125527</x:v>
      </x:c>
      <x:c r="N4" s="32" t="n">
        <x:f>IF(L4=0,"",I4/L4)</x:f>
        <x:v>1.0000766636761815</x:v>
      </x:c>
      <x:c r="O4" s="34" t="n">
        <x:f>IF(L4=0,"",M4/L4)</x:f>
        <x:v>0.00007666367618150782</x:v>
      </x:c>
    </x:row>
    <x:row r="5" ht="18" customHeight="1">
      <x:c r="A5" s="24" t="str">
        <x:v>Large sharks (&gt;=90 cm)</x:v>
      </x:c>
      <x:c r="B5" s="33" t="n">
        <x:v>1</x:v>
      </x:c>
      <x:c r="C5" s="33" t="n">
        <x:v>1</x:v>
      </x:c>
      <x:c r="D5" s="31" t="n">
        <x:v>1.9992893415</x:v>
      </x:c>
      <x:c r="E5" s="31" t="n">
        <x:v>1.9992893415</x:v>
      </x:c>
      <x:c r="F5" s="32" t="n">
        <x:v>0</x:v>
      </x:c>
      <x:c r="G5" s="34" t="n">
        <x:v>1</x:v>
      </x:c>
      <x:c r="H5" s="32" t="n">
        <x:f>IF(E5=0,"",I5/E5)</x:f>
        <x:v>3162.2776601683795</x:v>
      </x:c>
      <x:c r="I5" s="31" t="n">
        <x:f>IF(C5=0,"",SUMIF('Species'!$G$2:$G$23,A5,'Species'!$U$2:$U$23))</x:f>
        <x:v>6322.3080208382</x:v>
      </x:c>
      <x:c r="J5" s="32" t="n">
        <x:v>4.5</x:v>
      </x:c>
      <x:c r="K5" s="32" t="n">
        <x:f>IF(J5="","",(1/'Metadata'!$B$5)^(J5-1))</x:f>
        <x:v>3162.2776601683795</x:v>
      </x:c>
      <x:c r="L5" s="31" t="n">
        <x:f>IF(E5=0,"",E5*K5)</x:f>
        <x:v>6322.3080208382</x:v>
      </x:c>
      <x:c r="M5" s="31" t="n">
        <x:f>IF(E5=0,"",I5-L5)</x:f>
        <x:v>0</x:v>
      </x:c>
      <x:c r="N5" s="32" t="n">
        <x:f>IF(L5=0,"",I5/L5)</x:f>
        <x:v>1</x:v>
      </x:c>
      <x:c r="O5" s="34" t="n">
        <x:f>IF(L5=0,"",M5/L5)</x:f>
        <x:v>0</x:v>
      </x:c>
    </x:row>
    <x:row r="6" ht="18" customHeight="1">
      <x:c r="A6" s="24" t="str">
        <x:v>Lobsters, crabs</x:v>
      </x:c>
      <x:c r="B6" s="33" t="n">
        <x:v>2</x:v>
      </x:c>
      <x:c r="C6" s="33" t="n">
        <x:v>2</x:v>
      </x:c>
      <x:c r="D6" s="31" t="n">
        <x:v>103.0720413363</x:v>
      </x:c>
      <x:c r="E6" s="31" t="n">
        <x:v>103.0720413363</x:v>
      </x:c>
      <x:c r="F6" s="32" t="n">
        <x:v>0</x:v>
      </x:c>
      <x:c r="G6" s="34" t="n">
        <x:v>1</x:v>
      </x:c>
      <x:c r="H6" s="32" t="n">
        <x:f>IF(E6=0,"",I6/E6)</x:f>
        <x:v>218.82000538110654</x:v>
      </x:c>
      <x:c r="I6" s="31" t="n">
        <x:f>IF(C6=0,"",SUMIF('Species'!$G$2:$G$23,A6,'Species'!$U$2:$U$23))</x:f>
        <x:v>22554.224639850803</x:v>
      </x:c>
      <x:c r="J6" s="32" t="n">
        <x:v>3.3400199488024236</x:v>
      </x:c>
      <x:c r="K6" s="32" t="n">
        <x:f>IF(J6="","",(1/'Metadata'!$B$5)^(J6-1))</x:f>
        <x:v>218.78621184954653</x:v>
      </x:c>
      <x:c r="L6" s="31" t="n">
        <x:f>IF(E6=0,"",E6*K6)</x:f>
        <x:v>22550.74147156895</x:v>
      </x:c>
      <x:c r="M6" s="31" t="n">
        <x:f>IF(E6=0,"",I6-L6)</x:f>
        <x:v>3.483168281854887</x:v>
      </x:c>
      <x:c r="N6" s="32" t="n">
        <x:f>IF(L6=0,"",I6/L6)</x:f>
        <x:v>1.0001544591465539</x:v>
      </x:c>
      <x:c r="O6" s="34" t="n">
        <x:f>IF(L6=0,"",M6/L6)</x:f>
        <x:v>0.00015445914655384273</x:v>
      </x:c>
    </x:row>
    <x:row r="7" ht="18" customHeight="1">
      <x:c r="A7" s="24" t="str">
        <x:v>Medium benthopelagics (30 - 89 cm)</x:v>
      </x:c>
      <x:c r="B7" s="33" t="n">
        <x:v>2</x:v>
      </x:c>
      <x:c r="C7" s="33" t="n">
        <x:v>2</x:v>
      </x:c>
      <x:c r="D7" s="31" t="n">
        <x:v>0.0014976359</x:v>
      </x:c>
      <x:c r="E7" s="31" t="n">
        <x:v>0.0014976359</x:v>
      </x:c>
      <x:c r="F7" s="32" t="n">
        <x:v>0</x:v>
      </x:c>
      <x:c r="G7" s="34" t="n">
        <x:v>1</x:v>
      </x:c>
      <x:c r="H7" s="32" t="n">
        <x:f>IF(E7=0,"",I7/E7)</x:f>
        <x:v>595.092415651842</x:v>
      </x:c>
      <x:c r="I7" s="31" t="n">
        <x:f>IF(C7=0,"",SUMIF('Species'!$G$2:$G$23,A7,'Species'!$U$2:$U$23))</x:f>
        <x:v>0.8912317654979205</x:v>
      </x:c>
      <x:c r="J7" s="32" t="n">
        <x:v>3.6441176022823694</x:v>
      </x:c>
      <x:c r="K7" s="32" t="n">
        <x:f>IF(J7="","",(1/'Metadata'!$B$5)^(J7-1))</x:f>
        <x:v>440.6741771867413</x:v>
      </x:c>
      <x:c r="L7" s="31" t="n">
        <x:f>IF(E7=0,"",E7*K7)</x:f>
        <x:v>0.6599694679578249</x:v>
      </x:c>
      <x:c r="M7" s="31" t="n">
        <x:f>IF(E7=0,"",I7-L7)</x:f>
        <x:v>0.23126229754009564</x:v>
      </x:c>
      <x:c r="N7" s="32" t="n">
        <x:f>IF(L7=0,"",I7/L7)</x:f>
        <x:v>1.350413630884625</x:v>
      </x:c>
      <x:c r="O7" s="34" t="n">
        <x:f>IF(L7=0,"",M7/L7)</x:f>
        <x:v>0.35041363088462507</x:v>
      </x:c>
    </x:row>
    <x:row r="8" ht="18" customHeight="1">
      <x:c r="A8" s="24" t="str">
        <x:v>Medium demersals (30 - 89 cm)</x:v>
      </x:c>
      <x:c r="B8" s="33" t="n">
        <x:v>3</x:v>
      </x:c>
      <x:c r="C8" s="33" t="n">
        <x:v>3</x:v>
      </x:c>
      <x:c r="D8" s="31" t="n">
        <x:v>1130.4910963828997</x:v>
      </x:c>
      <x:c r="E8" s="31" t="n">
        <x:v>1130.4910963828997</x:v>
      </x:c>
      <x:c r="F8" s="32" t="n">
        <x:v>0</x:v>
      </x:c>
      <x:c r="G8" s="34" t="n">
        <x:v>1</x:v>
      </x:c>
      <x:c r="H8" s="32" t="n">
        <x:f>IF(E8=0,"",I8/E8)</x:f>
        <x:v>191.95716685767843</x:v>
      </x:c>
      <x:c r="I8" s="31" t="n">
        <x:f>IF(C8=0,"",SUMIF('Species'!$G$2:$G$23,A8,'Species'!$U$2:$U$23))</x:f>
        <x:v>217005.8680194921</x:v>
      </x:c>
      <x:c r="J8" s="32" t="n">
        <x:v>3.282378607442421</x:v>
      </x:c>
      <x:c r="K8" s="32" t="n">
        <x:f>IF(J8="","",(1/'Metadata'!$B$5)^(J8-1))</x:f>
        <x:v>191.5925454735119</x:v>
      </x:c>
      <x:c r="L8" s="31" t="n">
        <x:f>IF(E8=0,"",E8*K8)</x:f>
        <x:v>216593.66679114106</x:v>
      </x:c>
      <x:c r="M8" s="31" t="n">
        <x:f>IF(E8=0,"",I8-L8)</x:f>
        <x:v>412.2012283510412</x:v>
      </x:c>
      <x:c r="N8" s="32" t="n">
        <x:f>IF(L8=0,"",I8/L8)</x:f>
        <x:v>1.0019031084078212</x:v>
      </x:c>
      <x:c r="O8" s="34" t="n">
        <x:f>IF(L8=0,"",M8/L8)</x:f>
        <x:v>0.0019031084078211871</x:v>
      </x:c>
    </x:row>
    <x:row r="9" ht="18" customHeight="1">
      <x:c r="A9" s="24" t="str">
        <x:v>Medium pelagics (30 - 89 cm)</x:v>
      </x:c>
      <x:c r="B9" s="33" t="n">
        <x:v>2</x:v>
      </x:c>
      <x:c r="C9" s="33" t="n">
        <x:v>2</x:v>
      </x:c>
      <x:c r="D9" s="31" t="n">
        <x:v>40766.2251933511</x:v>
      </x:c>
      <x:c r="E9" s="31" t="n">
        <x:v>40766.2251933511</x:v>
      </x:c>
      <x:c r="F9" s="32" t="n">
        <x:v>0</x:v>
      </x:c>
      <x:c r="G9" s="34" t="n">
        <x:v>1</x:v>
      </x:c>
      <x:c r="H9" s="32" t="n">
        <x:f>IF(E9=0,"",I9/E9)</x:f>
        <x:v>221.5181054753643</x:v>
      </x:c>
      <x:c r="I9" s="31" t="n">
        <x:f>IF(C9=0,"",SUMIF('Species'!$G$2:$G$23,A9,'Species'!$U$2:$U$23))</x:f>
        <x:v>9030456.972213203</x:v>
      </x:c>
      <x:c r="J9" s="32" t="n">
        <x:v>3.3353615637114205</x:v>
      </x:c>
      <x:c r="K9" s="32" t="n">
        <x:f>IF(J9="","",(1/'Metadata'!$B$5)^(J9-1))</x:f>
        <x:v>216.45198041080053</x:v>
      </x:c>
      <x:c r="L9" s="31" t="n">
        <x:f>IF(E9=0,"",E9*K9)</x:f>
        <x:v>8823930.176973516</x:v>
      </x:c>
      <x:c r="M9" s="31" t="n">
        <x:f>IF(E9=0,"",I9-L9)</x:f>
        <x:v>206526.79523968697</x:v>
      </x:c>
      <x:c r="N9" s="32" t="n">
        <x:f>IF(L9=0,"",I9/L9)</x:f>
        <x:v>1.023405307056784</x:v>
      </x:c>
      <x:c r="O9" s="34" t="n">
        <x:f>IF(L9=0,"",M9/L9)</x:f>
        <x:v>0.023405307056783935</x:v>
      </x:c>
    </x:row>
    <x:row r="10" ht="18" customHeight="1">
      <x:c r="A10" s="24" t="str">
        <x:v>Shrimps</x:v>
      </x:c>
      <x:c r="B10" s="33" t="n">
        <x:v>2</x:v>
      </x:c>
      <x:c r="C10" s="33" t="n">
        <x:v>2</x:v>
      </x:c>
      <x:c r="D10" s="31" t="n">
        <x:v>1.1188484499</x:v>
      </x:c>
      <x:c r="E10" s="31" t="n">
        <x:v>1.1188484499</x:v>
      </x:c>
      <x:c r="F10" s="32" t="n">
        <x:v>0</x:v>
      </x:c>
      <x:c r="G10" s="34" t="n">
        <x:v>1</x:v>
      </x:c>
      <x:c r="H10" s="32" t="n">
        <x:f>IF(E10=0,"",I10/E10)</x:f>
        <x:v>93.36511670072268</x:v>
      </x:c>
      <x:c r="I10" s="31" t="n">
        <x:f>IF(C10=0,"",SUMIF('Species'!$G$2:$G$23,A10,'Species'!$U$2:$U$23))</x:f>
        <x:v>104.46141609533618</x:v>
      </x:c>
      <x:c r="J10" s="32" t="n">
        <x:v>2.955906546981936</x:v>
      </x:c>
      <x:c r="K10" s="32" t="n">
        <x:f>IF(J10="","",(1/'Metadata'!$B$5)^(J10-1))</x:f>
        <x:v>90.34550441617856</x:v>
      </x:c>
      <x:c r="L10" s="31" t="n">
        <x:f>IF(E10=0,"",E10*K10)</x:f>
        <x:v>101.08292757147498</x:v>
      </x:c>
      <x:c r="M10" s="31" t="n">
        <x:f>IF(E10=0,"",I10-L10)</x:f>
        <x:v>3.3784885238611935</x:v>
      </x:c>
      <x:c r="N10" s="32" t="n">
        <x:f>IF(L10=0,"",I10/L10)</x:f>
        <x:v>1.0334229390168017</x:v>
      </x:c>
      <x:c r="O10" s="34" t="n">
        <x:f>IF(L10=0,"",M10/L10)</x:f>
        <x:v>0.03342293901680172</x:v>
      </x:c>
    </x:row>
    <x:row r="11" ht="18" customHeight="1">
      <x:c r="A11" s="24" t="str">
        <x:v>Small demersals (&lt;30 cm)</x:v>
      </x:c>
      <x:c r="B11" s="33" t="n">
        <x:v>1</x:v>
      </x:c>
      <x:c r="C11" s="33" t="n">
        <x:v>1</x:v>
      </x:c>
      <x:c r="D11" s="31" t="n">
        <x:v>41.3347823309</x:v>
      </x:c>
      <x:c r="E11" s="31" t="n">
        <x:v>41.3347823309</x:v>
      </x:c>
      <x:c r="F11" s="32" t="n">
        <x:v>0</x:v>
      </x:c>
      <x:c r="G11" s="34" t="n">
        <x:v>1</x:v>
      </x:c>
      <x:c r="H11" s="32" t="n">
        <x:f>IF(E11=0,"",I11/E11)</x:f>
        <x:v>257.03957827688646</x:v>
      </x:c>
      <x:c r="I11" s="31" t="n">
        <x:f>IF(C11=0,"",SUMIF('Species'!$G$2:$G$23,A11,'Species'!$U$2:$U$23))</x:f>
        <x:v>10624.675018501433</x:v>
      </x:c>
      <x:c r="J11" s="32" t="n">
        <x:v>3.4099999999999997</x:v>
      </x:c>
      <x:c r="K11" s="32" t="n">
        <x:f>IF(J11="","",(1/'Metadata'!$B$5)^(J11-1))</x:f>
        <x:v>257.0395782768862</x:v>
      </x:c>
      <x:c r="L11" s="31" t="n">
        <x:f>IF(E11=0,"",E11*K11)</x:f>
        <x:v>10624.67501850142</x:v>
      </x:c>
      <x:c r="M11" s="31" t="n">
        <x:f>IF(E11=0,"",I11-L11)</x:f>
        <x:v>1.2732925824820995e-11</x:v>
      </x:c>
      <x:c r="N11" s="32" t="n">
        <x:f>IF(L11=0,"",I11/L11)</x:f>
        <x:v>1.000000000000001</x:v>
      </x:c>
      <x:c r="O11" s="34" t="n">
        <x:f>IF(L11=0,"",M11/L11)</x:f>
        <x:v>1.1984296745687133e-15</x:v>
      </x:c>
    </x:row>
    <x:row r="12" ht="18" customHeight="1">
      <x:c r="A12" s="24" t="str">
        <x:v>Small to medium flatfishes (&lt;90 cm)</x:v>
      </x:c>
      <x:c r="B12" s="33" t="n">
        <x:v>1</x:v>
      </x:c>
      <x:c r="C12" s="33" t="n">
        <x:v>1</x:v>
      </x:c>
      <x:c r="D12" s="31" t="n">
        <x:v>269.8377443331</x:v>
      </x:c>
      <x:c r="E12" s="31" t="n">
        <x:v>269.8377443331</x:v>
      </x:c>
      <x:c r="F12" s="32" t="n">
        <x:v>0</x:v>
      </x:c>
      <x:c r="G12" s="34" t="n">
        <x:v>1</x:v>
      </x:c>
      <x:c r="H12" s="32" t="n">
        <x:f>IF(E12=0,"",I12/E12)</x:f>
        <x:v>371.5352290971724</x:v>
      </x:c>
      <x:c r="I12" s="31" t="n">
        <x:f>IF(C12=0,"",SUMIF('Species'!$G$2:$G$23,A12,'Species'!$U$2:$U$23))</x:f>
        <x:v>100254.22815986254</x:v>
      </x:c>
      <x:c r="J12" s="32" t="n">
        <x:v>3.57</x:v>
      </x:c>
      <x:c r="K12" s="32" t="n">
        <x:f>IF(J12="","",(1/'Metadata'!$B$5)^(J12-1))</x:f>
        <x:v>371.5352290971724</x:v>
      </x:c>
      <x:c r="L12" s="31" t="n">
        <x:f>IF(E12=0,"",E12*K12)</x:f>
        <x:v>100254.22815986254</x:v>
      </x:c>
      <x:c r="M12" s="31" t="n">
        <x:f>IF(E12=0,"",I12-L12)</x:f>
        <x:v>0</x:v>
      </x:c>
      <x:c r="N12" s="32" t="n">
        <x:f>IF(L12=0,"",I12/L12)</x:f>
        <x:v>1</x:v>
      </x:c>
      <x:c r="O12" s="34" t="n">
        <x:f>IF(L12=0,"",M12/L12)</x:f>
        <x:v>0</x:v>
      </x:c>
    </x:row>
  </x:sheetData>
  <x:conditionalFormatting sqref="G2:G12">
    <x:cfRule type="cellIs" dxfId="2" priority="1" operator="lessThan">
      <x:formula>0.9</x:formula>
    </x:cfRule>
  </x:conditionalFormatting>
  <x:conditionalFormatting sqref="O2:O12">
    <x:cfRule type="dataBar" priority="2">
      <x:dataBar>
        <x:cfvo type="min"/>
        <x:cfvo type="max"/>
        <x:color rgb="FFE28A32"/>
      </x:dataBar>
    </x:cfRule>
  </x:conditionalFormatting>
  <x:pageMargins left="0.7" right="0.7" top="0.75" bottom="0.75" header="0.3" footer="0.3"/>
  <x:tableParts count="1">
    <x:tablePart xmlns:r="http://schemas.openxmlformats.org/officeDocument/2006/relationships" r:id="R39e45c999f3b4eb6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2" hidden="0" customWidth="1"/>
    <x:col min="7" max="7" width="22" hidden="0" customWidth="1"/>
    <x:col min="8" max="8" width="22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36" hidden="0" customWidth="1"/>
    <x:col min="18" max="18" width="22" hidden="0" customWidth="1"/>
    <x:col min="19" max="19" width="22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4" hidden="0" customWidth="1"/>
    <x:col min="3" max="3" width="15" hidden="0" customWidth="1"/>
    <x:col min="4" max="4" width="34" hidden="0" customWidth="1"/>
  </x:cols>
  <x:sheetData>
    <x:row r="1" ht="32" customHeight="1">
      <x:c r="A1" s="29" t="str">
        <x:v>unit_id</x:v>
      </x:c>
      <x:c r="B1" s="29" t="str">
        <x:v>check</x:v>
      </x:c>
      <x:c r="C1" s="29" t="str">
        <x:v>value</x:v>
      </x:c>
      <x:c r="D1" s="29" t="str">
        <x:v>unit</x:v>
      </x:c>
    </x:row>
    <x:row r="2" ht="18" customHeight="1">
      <x:c r="A2" s="24" t="str">
        <x:v>EEZ_155</x:v>
      </x:c>
      <x:c r="B2" s="24" t="str">
        <x:v>raw_filtered_tonnes</x:v>
      </x:c>
      <x:c r="C2" s="24" t="n">
        <x:v>42555.5279449449</x:v>
      </x:c>
      <x:c r="D2" s="24" t="str">
        <x:v>tonnes</x:v>
      </x:c>
    </x:row>
    <x:row r="3" ht="18" customHeight="1">
      <x:c r="A3" s="24" t="str">
        <x:v>EEZ_155</x:v>
      </x:c>
      <x:c r="B3" s="24" t="str">
        <x:v>species_catch_tonnes</x:v>
      </x:c>
      <x:c r="C3" s="24" t="n">
        <x:v>42555.52794494491</x:v>
      </x:c>
      <x:c r="D3" s="24" t="str">
        <x:v>tonnes</x:v>
      </x:c>
    </x:row>
    <x:row r="4" ht="18" customHeight="1">
      <x:c r="A4" s="24" t="str">
        <x:v>EEZ_155</x:v>
      </x:c>
      <x:c r="B4" s="24" t="str">
        <x:v>catch_difference_tonnes</x:v>
      </x:c>
      <x:c r="C4" s="24" t="n">
        <x:v>7.275957614183426e-12</x:v>
      </x:c>
      <x:c r="D4" s="24" t="str">
        <x:v>tonnes</x:v>
      </x:c>
    </x:row>
    <x:row r="5" ht="18" customHeight="1">
      <x:c r="A5" s="24" t="str">
        <x:v>EEZ_155</x:v>
      </x:c>
      <x:c r="B5" s="24" t="str">
        <x:v>catch_reconciled</x:v>
      </x:c>
      <x:c r="C5" s="35" t="b">
        <x:v>1</x:v>
      </x:c>
      <x:c r="D5" s="24" t="str">
        <x:v>boolean</x:v>
      </x:c>
    </x:row>
    <x:row r="6" ht="18" customHeight="1">
      <x:c r="A6" s="24" t="str">
        <x:v>EEZ_155</x:v>
      </x:c>
      <x:c r="B6" s="24" t="str">
        <x:v>matched_catch_tonnes</x:v>
      </x:c>
      <x:c r="C6" s="24" t="n">
        <x:v>42555.52794494491</x:v>
      </x:c>
      <x:c r="D6" s="24" t="str">
        <x:v>tonnes</x:v>
      </x:c>
    </x:row>
    <x:row r="7" ht="18" customHeight="1">
      <x:c r="A7" s="24" t="str">
        <x:v>EEZ_155</x:v>
      </x:c>
      <x:c r="B7" s="24" t="str">
        <x:v>catch_coverage_fraction</x:v>
      </x:c>
      <x:c r="C7" s="24" t="n">
        <x:v>1</x:v>
      </x:c>
      <x:c r="D7" s="24" t="str">
        <x:v>fraction</x:v>
      </x:c>
    </x:row>
    <x:row r="8" ht="18" customHeight="1">
      <x:c r="A8" s="24" t="str">
        <x:v>EEZ_155</x:v>
      </x:c>
      <x:c r="B8" s="24" t="str">
        <x:v>taxa_count</x:v>
      </x:c>
      <x:c r="C8" s="24" t="n">
        <x:v>22</x:v>
      </x:c>
      <x:c r="D8" s="24" t="str">
        <x:v>count</x:v>
      </x:c>
    </x:row>
    <x:row r="9" ht="18" customHeight="1">
      <x:c r="A9" s="24" t="str">
        <x:v>EEZ_155</x:v>
      </x:c>
      <x:c r="B9" s="24" t="str">
        <x:v>matched_taxa_count</x:v>
      </x:c>
      <x:c r="C9" s="24" t="n">
        <x:v>22</x:v>
      </x:c>
      <x:c r="D9" s="24" t="str">
        <x:v>count</x:v>
      </x:c>
    </x:row>
    <x:row r="10" ht="18" customHeight="1">
      <x:c r="A10" s="24" t="str">
        <x:v>EEZ_155</x:v>
      </x:c>
      <x:c r="B10" s="24" t="str">
        <x:v>unmatched_taxa_count</x:v>
      </x:c>
      <x:c r="C10" s="24" t="n">
        <x:v>0</x:v>
      </x:c>
      <x:c r="D10" s="24" t="str">
        <x:v>count</x:v>
      </x:c>
    </x:row>
    <x:row r="11" ht="18" customHeight="1">
      <x:c r="A11" s="24" t="str">
        <x:v>EEZ_155</x:v>
      </x:c>
      <x:c r="B11" s="24" t="str">
        <x:v>species_ppr</x:v>
      </x:c>
      <x:c r="C11" s="24" t="n">
        <x:v>10134000.51502535</x:v>
      </x:c>
      <x:c r="D11" s="24" t="str">
        <x:v>tonnes_primary_production_equivalent</x:v>
      </x:c>
    </x:row>
    <x:row r="12" ht="18" customHeight="1">
      <x:c r="A12" s="24" t="str">
        <x:v>EEZ_155</x:v>
      </x:c>
      <x:c r="B12" s="24" t="str">
        <x:v>commercial_ppr</x:v>
      </x:c>
      <x:c r="C12" s="24" t="n">
        <x:v>10134000.515025347</x:v>
      </x:c>
      <x:c r="D12" s="24" t="str">
        <x:v>tonnes_primary_production_equivalent</x:v>
      </x:c>
    </x:row>
    <x:row r="13" ht="18" customHeight="1">
      <x:c r="A13" s="24" t="str">
        <x:v>EEZ_155</x:v>
      </x:c>
      <x:c r="B13" s="24" t="str">
        <x:v>functional_ppr</x:v>
      </x:c>
      <x:c r="C13" s="24" t="n">
        <x:v>10134000.515025344</x:v>
      </x:c>
      <x:c r="D13" s="24" t="str">
        <x:v>tonnes_primary_production_equivalent</x:v>
      </x:c>
    </x:row>
    <x:row r="14" ht="18" customHeight="1">
      <x:c r="A14" s="24" t="str">
        <x:v>EEZ_155</x:v>
      </x:c>
      <x:c r="B14" s="24" t="str">
        <x:v>commercial_ppr_difference</x:v>
      </x:c>
      <x:c r="C14" s="24" t="n">
        <x:v>-1.862645149230957e-9</x:v>
      </x:c>
      <x:c r="D14" s="24" t="str">
        <x:v>tonnes_primary_production_equivalent</x:v>
      </x:c>
    </x:row>
    <x:row r="15" ht="18" customHeight="1">
      <x:c r="A15" s="24" t="str">
        <x:v>EEZ_155</x:v>
      </x:c>
      <x:c r="B15" s="24" t="str">
        <x:v>functional_ppr_difference</x:v>
      </x:c>
      <x:c r="C15" s="24" t="n">
        <x:v>-5.587935447692871e-9</x:v>
      </x:c>
      <x:c r="D15" s="24" t="str">
        <x:v>tonnes_primary_production_equivalent</x:v>
      </x:c>
    </x:row>
    <x:row r="16" ht="18" customHeight="1">
      <x:c r="A16" s="24" t="str">
        <x:v>EEZ_155</x:v>
      </x:c>
      <x:c r="B16" s="24" t="str">
        <x:v>commercial_ppr_reconciled</x:v>
      </x:c>
      <x:c r="C16" s="35" t="b">
        <x:v>1</x:v>
      </x:c>
      <x:c r="D16" s="24" t="str">
        <x:v>boolean</x:v>
      </x:c>
    </x:row>
    <x:row r="17" ht="18" customHeight="1">
      <x:c r="A17" s="24" t="str">
        <x:v>EEZ_155</x:v>
      </x:c>
      <x:c r="B17" s="24" t="str">
        <x:v>functional_ppr_reconciled</x:v>
      </x:c>
      <x:c r="C17" s="35" t="b">
        <x:v>1</x:v>
      </x:c>
      <x:c r="D17" s="24" t="str">
        <x:v>boolean</x:v>
      </x:c>
    </x:row>
    <x:row r="18" ht="18" customHeight="1">
      <x:c r="A18" s="24" t="str">
        <x:v>EEZ_155</x:v>
      </x:c>
      <x:c r="B18" s="24" t="str">
        <x:v>commercial_jensen_violations</x:v>
      </x:c>
      <x:c r="C18" s="24" t="n">
        <x:v>0</x:v>
      </x:c>
      <x:c r="D18" s="24" t="str">
        <x:v>count</x:v>
      </x:c>
    </x:row>
    <x:row r="19" ht="18" customHeight="1">
      <x:c r="A19" s="24" t="str">
        <x:v>EEZ_155</x:v>
      </x:c>
      <x:c r="B19" s="24" t="str">
        <x:v>functional_jensen_violations</x:v>
      </x:c>
      <x:c r="C19" s="24" t="n">
        <x:v>0</x:v>
      </x:c>
      <x:c r="D19" s="24" t="str">
        <x:v>count</x:v>
      </x:c>
    </x:row>
  </x:sheetData>
  <x:pageMargins left="0.7" right="0.7" top="0.75" bottom="0.75" header="0.3" footer="0.3"/>
  <x:tableParts count="1">
    <x:tablePart xmlns:r="http://schemas.openxmlformats.org/officeDocument/2006/relationships" r:id="R37004329ba1e4fa7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28" hidden="0" customWidth="1"/>
    <x:col min="3" max="3" width="68" hidden="0" customWidth="1"/>
  </x:cols>
  <x:sheetData>
    <x:row r="1" ht="30" customHeight="1">
      <x:c r="A1" s="3" t="str">
        <x:v>EEZ_155 - Juan Fernandez Islands (Chile)</x:v>
      </x:c>
      <x:c r="B1" s="3"/>
      <x:c r="C1" s="3"/>
    </x:row>
    <x:row r="3">
      <x:c r="A3" s="7" t="str">
        <x:v>Field</x:v>
      </x:c>
      <x:c r="B3" s="8" t="str">
        <x:v>Value</x:v>
      </x:c>
      <x:c r="C3" s="9" t="str">
        <x:v>Notes / source</x:v>
      </x:c>
    </x:row>
    <x:row r="4">
      <x:c r="A4" s="22" t="str">
        <x:v>Unit ID</x:v>
      </x:c>
      <x:c r="B4" s="17" t="str">
        <x:v>EEZ_155</x:v>
      </x:c>
      <x:c r="C4" s="18" t="str">
        <x:v>Sea Around Us region identifier</x:v>
      </x:c>
    </x:row>
    <x:row r="5">
      <x:c r="A5" s="22" t="str">
        <x:v>Transfer efficiency</x:v>
      </x:c>
      <x:c r="B5" s="36" t="n">
        <x:v>0.1</x:v>
      </x:c>
      <x:c r="C5" s="18" t="str">
        <x:v>Used by every SPPR formula</x:v>
      </x:c>
    </x:row>
    <x:row r="6">
      <x:c r="A6" s="22" t="str">
        <x:v>Year</x:v>
      </x:c>
      <x:c r="B6" s="17" t="n">
        <x:v>2019</x:v>
      </x:c>
      <x:c r="C6" s="18" t="str">
        <x:v>Latest year common to all 282 datasets</x:v>
      </x:c>
    </x:row>
    <x:row r="7">
      <x:c r="A7" s="22" t="str">
        <x:v>Region type</x:v>
      </x:c>
      <x:c r="B7" s="17" t="str">
        <x:v>EEZ</x:v>
      </x:c>
      <x:c r="C7" s="18" t="str">
        <x:v>Sea Around Us spatial classification</x:v>
      </x:c>
    </x:row>
    <x:row r="8">
      <x:c r="A8" s="22" t="str">
        <x:v>Catch scope</x:v>
      </x:c>
      <x:c r="B8" s="17" t="str">
        <x:v>Landings + Discards</x:v>
      </x:c>
      <x:c r="C8" s="18" t="str">
        <x:v>Reported + unreported; all sectors, gears, entities, and end uses</x:v>
      </x:c>
    </x:row>
    <x:row r="9">
      <x:c r="A9" s="22" t="str">
        <x:v>SPPR formula</x:v>
      </x:c>
      <x:c r="B9" s="17" t="str">
        <x:v>(1 / TE)^(TL - 1)</x:v>
      </x:c>
      <x:c r="C9" s="18" t="str">
        <x:v>TE is the Metadata!B5 value</x:v>
      </x:c>
    </x:row>
    <x:row r="10">
      <x:c r="A10" s="22" t="str">
        <x:v>PPR formula</x:v>
      </x:c>
      <x:c r="B10" s="17" t="str">
        <x:v>Catch tonnes × SPPR</x:v>
      </x:c>
      <x:c r="C10" s="18" t="str">
        <x:v>Unit: tonnes primary-production equivalent</x:v>
      </x:c>
    </x:row>
    <x:row r="11">
      <x:c r="A11" s="22" t="str">
        <x:v>Wet-weight/carbon divisor</x:v>
      </x:c>
      <x:c r="B11" s="17" t="str">
        <x:v>Not applied</x:v>
      </x:c>
      <x:c r="C11" s="18" t="str">
        <x:v>The paper's /9 conversion is intentionally omitted</x:v>
      </x:c>
    </x:row>
    <x:row r="12">
      <x:c r="A12" s="22" t="str">
        <x:v>Primary TL source</x:v>
      </x:c>
      <x:c r="B12" s="17" t="str">
        <x:v>2020 supplement MeanTL</x:v>
      </x:c>
      <x:c r="C12" s="18" t="str">
        <x:v>No SPPR regression from the supplement is used</x:v>
      </x:c>
    </x:row>
    <x:row r="13">
      <x:c r="A13" s="22" t="str">
        <x:v>Secondary TL source</x:v>
      </x:c>
      <x:c r="B13" s="17" t="str">
        <x:v>Sea Around Us exploited organisms</x:v>
      </x:c>
      <x:c r="C13" s="18" t="str">
        <x:v>Exact taxon matches, followed by documented fallbacks</x:v>
      </x:c>
    </x:row>
    <x:row r="14">
      <x:c r="A14" s="22" t="str">
        <x:v>Catch data URL</x:v>
      </x:c>
      <x:c r="B14" s="17" t="str">
        <x:v>https://www.seaaroundus.org/data/</x:v>
      </x:c>
      <x:c r="C14" s="18" t="str">
        <x:v>Frozen archive: raw_data/SAU_downloads/EEZ_155-catch.zip</x:v>
      </x:c>
    </x:row>
    <x:row r="15">
      <x:c r="A15" s="23" t="str">
        <x:v>Method source</x:v>
      </x:c>
      <x:c r="B15" s="20" t="str">
        <x:v>Pauly &amp; Christensen (1995)</x:v>
      </x:c>
      <x:c r="C15" s="21" t="str">
        <x:v>Nature 374:255-257</x:v>
      </x:c>
    </x:row>
  </x:sheetData>
  <x:mergeCells>
    <x:mergeCell ref="A1:C1"/>
  </x:mergeCells>
  <x:pageMargins left="0.7" right="0.7" top="0.75" bottom="0.75" header="0.3" footer="0.3"/>
</x:worksheet>
</file>