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64194595e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eaee9caf2334384"/>
    <x:sheet xmlns:r="http://schemas.openxmlformats.org/officeDocument/2006/relationships" name="Commercial" sheetId="2" r:id="R932639041ed04859"/>
    <x:sheet xmlns:r="http://schemas.openxmlformats.org/officeDocument/2006/relationships" name="Functional" sheetId="3" r:id="R1ec02b21d9184799"/>
    <x:sheet xmlns:r="http://schemas.openxmlformats.org/officeDocument/2006/relationships" name="Missing TL" sheetId="4" r:id="Rcf38cd52092245a0"/>
    <x:sheet xmlns:r="http://schemas.openxmlformats.org/officeDocument/2006/relationships" name="Validation" sheetId="5" r:id="Ra577a36c56294266"/>
    <x:sheet xmlns:r="http://schemas.openxmlformats.org/officeDocument/2006/relationships" name="Metadata" sheetId="6" r:id="Rd3bd7cadcb7a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abe80052f452c" /><Relationship Type="http://schemas.openxmlformats.org/officeDocument/2006/relationships/theme" Target="/xl/theme/theme1.xml" Id="Rd4c10fc2a45d4f47" /><Relationship Type="http://schemas.microsoft.com/office/2022/11/relationships/FeaturePropertyBag" Target="/xl/featurePropertyBag/featurePropertyBag.xml" Id="R76596c6becc340a0" /><Relationship Type="http://schemas.openxmlformats.org/officeDocument/2006/relationships/sharedStrings" Target="/xl/sharedStrings.xml" Id="Re87b3ca6fe1e4940" /><Relationship Type="http://schemas.openxmlformats.org/officeDocument/2006/relationships/worksheet" Target="/xl/worksheets/sheet1.xml" Id="R6eaee9caf2334384" /><Relationship Type="http://schemas.openxmlformats.org/officeDocument/2006/relationships/worksheet" Target="/xl/worksheets/sheet2.xml" Id="R932639041ed04859" /><Relationship Type="http://schemas.openxmlformats.org/officeDocument/2006/relationships/worksheet" Target="/xl/worksheets/sheet3.xml" Id="R1ec02b21d9184799" /><Relationship Type="http://schemas.openxmlformats.org/officeDocument/2006/relationships/worksheet" Target="/xl/worksheets/sheet4.xml" Id="Rcf38cd52092245a0" /><Relationship Type="http://schemas.openxmlformats.org/officeDocument/2006/relationships/worksheet" Target="/xl/worksheets/sheet5.xml" Id="Ra577a36c56294266" /><Relationship Type="http://schemas.openxmlformats.org/officeDocument/2006/relationships/worksheet" Target="/xl/worksheets/sheet6.xml" Id="Rd3bd7cadcb7a4d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55SpeciesTable" displayName="EEZ155SpeciesTable" ref="A1:U23" headerRowCount="1" totalsRowCount="0" totalsRowShown="0">
  <x:autoFilter ref="A1:U2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55CommercialTable" displayName="EEZ155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55FunctionalTable" displayName="EEZ155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55ValidationTable" displayName="EEZ15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489b6e8bab41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bec506ca1e4a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d6114c560d45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1a9be7608247d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EEZ_155</x:v>
      </x:c>
      <x:c r="B2" s="24" t="str">
        <x:v>Juan Fernandez Islands (Chile)</x:v>
      </x:c>
      <x:c r="C2" s="24" t="str">
        <x:v>EEZ</x:v>
      </x:c>
      <x:c r="D2" s="30" t="n">
        <x:v>2019</x:v>
      </x:c>
      <x:c r="E2" s="24" t="str">
        <x:v>Trachurus murphyi</x:v>
      </x:c>
      <x:c r="F2" s="24" t="str">
        <x:v>Chilean jack mackerel</x:v>
      </x:c>
      <x:c r="G2" s="24" t="str">
        <x:v>Medium pelagics (30 - 89 cm)</x:v>
      </x:c>
      <x:c r="H2" s="24" t="str">
        <x:v>Perch-likes</x:v>
      </x:c>
      <x:c r="I2" s="31" t="n">
        <x:v>40496.384806131</x:v>
      </x:c>
      <x:c r="J2" s="31" t="n">
        <x:v>40496.384806131</x:v>
      </x:c>
      <x:c r="K2" s="31" t="n">
        <x:v>0</x:v>
      </x:c>
      <x:c r="L2" s="31" t="n">
        <x:v>40495.8994807882</x:v>
      </x:c>
      <x:c r="M2" s="31" t="n">
        <x:v>0.4853253428</x:v>
      </x:c>
      <x:c r="N2" s="24" t="str">
        <x:v>trachurus murphyi</x:v>
      </x:c>
      <x:c r="O2" s="32" t="n">
        <x:v>3.33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Trachurus murphyi</x:v>
      </x:c>
      <x:c r="T2" s="32" t="n">
        <x:f>IF(O2="","",(1/'Metadata'!$B$5)^(O2-1))</x:f>
        <x:v>213.79620895022325</x:v>
      </x:c>
      <x:c r="U2" s="31" t="n">
        <x:f>IF(T2="","",I2*T2)</x:f>
        <x:v>8657973.547740228</x:v>
      </x:c>
    </x:row>
    <x:row r="3" ht="18" customHeight="1">
      <x:c r="A3" s="24" t="str">
        <x:v>EEZ_155</x:v>
      </x:c>
      <x:c r="B3" s="24" t="str">
        <x:v>Juan Fernandez Islands (Chile)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1119.7364783066998</x:v>
      </x:c>
      <x:c r="J3" s="31" t="n">
        <x:v>40.3855009743</x:v>
      </x:c>
      <x:c r="K3" s="31" t="n">
        <x:v>1079.3509773324</x:v>
      </x:c>
      <x:c r="L3" s="31" t="n">
        <x:v>11.2059564538</x:v>
      </x:c>
      <x:c r="M3" s="31" t="n">
        <x:v>1108.5305218529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213361.38738839215</x:v>
      </x:c>
    </x:row>
    <x:row r="4" ht="18" customHeight="1">
      <x:c r="A4" s="24" t="str">
        <x:v>EEZ_155</x:v>
      </x:c>
      <x:c r="B4" s="24" t="str">
        <x:v>Juan Fernandez Islands (Chile)</x:v>
      </x:c>
      <x:c r="C4" s="24" t="str">
        <x:v>EEZ</x:v>
      </x:c>
      <x:c r="D4" s="30" t="n">
        <x:v>2019</x:v>
      </x:c>
      <x:c r="E4" s="24" t="str">
        <x:v>Bramidae</x:v>
      </x:c>
      <x:c r="F4" s="24" t="str">
        <x:v>Pomfrets</x:v>
      </x:c>
      <x:c r="G4" s="24" t="str">
        <x:v>Medium pelagics (30 - 89 cm)</x:v>
      </x:c>
      <x:c r="H4" s="24" t="str">
        <x:v>Perch-likes</x:v>
      </x:c>
      <x:c r="I4" s="31" t="n">
        <x:v>269.84038722009996</x:v>
      </x:c>
      <x:c r="J4" s="31" t="n">
        <x:v>0.002642887</x:v>
      </x:c>
      <x:c r="K4" s="31" t="n">
        <x:v>269.8377443331</x:v>
      </x:c>
      <x:c r="L4" s="31" t="n">
        <x:v>0</x:v>
      </x:c>
      <x:c r="M4" s="31" t="n">
        <x:v>269.84038722009996</x:v>
      </x:c>
      <x:c r="N4" s="24" t="str">
        <x:v>bramidae</x:v>
      </x:c>
      <x:c r="O4" s="32" t="n">
        <x:v>4.14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Bramidae</x:v>
      </x:c>
      <x:c r="T4" s="32" t="n">
        <x:f>IF(O4="","",(1/'Metadata'!$B$5)^(O4-1))</x:f>
        <x:v>1380.3842646028838</x:v>
      </x:c>
      <x:c r="U4" s="31" t="n">
        <x:f>IF(T4="","",I4*T4)</x:f>
        <x:v>372483.4244729751</x:v>
      </x:c>
    </x:row>
    <x:row r="5" ht="18" customHeight="1">
      <x:c r="A5" s="24" t="str">
        <x:v>EEZ_155</x:v>
      </x:c>
      <x:c r="B5" s="24" t="str">
        <x:v>Juan Fernandez Islands (Chile)</x:v>
      </x:c>
      <x:c r="C5" s="24" t="str">
        <x:v>EEZ</x:v>
      </x:c>
      <x:c r="D5" s="30" t="n">
        <x:v>2019</x:v>
      </x:c>
      <x:c r="E5" s="24" t="str">
        <x:v>Pleuronectiformes</x:v>
      </x:c>
      <x:c r="F5" s="24" t="str">
        <x:v>Flatfishes</x:v>
      </x:c>
      <x:c r="G5" s="24" t="str">
        <x:v>Small to medium flatfishes (&lt;90 cm)</x:v>
      </x:c>
      <x:c r="H5" s="24" t="str">
        <x:v>Flatfishes</x:v>
      </x:c>
      <x:c r="I5" s="31" t="n">
        <x:v>269.8377443331</x:v>
      </x:c>
      <x:c r="J5" s="31" t="n">
        <x:v>0</x:v>
      </x:c>
      <x:c r="K5" s="31" t="n">
        <x:v>269.8377443331</x:v>
      </x:c>
      <x:c r="L5" s="31" t="n">
        <x:v>0</x:v>
      </x:c>
      <x:c r="M5" s="31" t="n">
        <x:v>269.8377443331</x:v>
      </x:c>
      <x:c r="N5" s="24" t="str">
        <x:v>pleuronectiformes</x:v>
      </x:c>
      <x:c r="O5" s="32" t="n">
        <x:v>3.57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Pleuronectiformes</x:v>
      </x:c>
      <x:c r="T5" s="32" t="n">
        <x:f>IF(O5="","",(1/'Metadata'!$B$5)^(O5-1))</x:f>
        <x:v>371.5352290971724</x:v>
      </x:c>
      <x:c r="U5" s="31" t="n">
        <x:f>IF(T5="","",I5*T5)</x:f>
        <x:v>100254.22815986254</x:v>
      </x:c>
    </x:row>
    <x:row r="6" ht="18" customHeight="1">
      <x:c r="A6" s="24" t="str">
        <x:v>EEZ_155</x:v>
      </x:c>
      <x:c r="B6" s="24" t="str">
        <x:v>Juan Fernandez Islands (Chile)</x:v>
      </x:c>
      <x:c r="C6" s="24" t="str">
        <x:v>EEZ</x:v>
      </x:c>
      <x:c r="D6" s="30" t="n">
        <x:v>2019</x:v>
      </x:c>
      <x:c r="E6" s="24" t="str">
        <x:v>Xiphias gladius</x:v>
      </x:c>
      <x:c r="F6" s="24" t="str">
        <x:v>Swordfish</x:v>
      </x:c>
      <x:c r="G6" s="24" t="str">
        <x:v>Large pelagics (&gt;=90 cm)</x:v>
      </x:c>
      <x:c r="H6" s="24" t="str">
        <x:v>Tuna &amp; billfishes</x:v>
      </x:c>
      <x:c r="I6" s="31" t="n">
        <x:v>195.0529695174</x:v>
      </x:c>
      <x:c r="J6" s="31" t="n">
        <x:v>195.0529695174</x:v>
      </x:c>
      <x:c r="K6" s="31" t="n">
        <x:v>0</x:v>
      </x:c>
      <x:c r="L6" s="31" t="n">
        <x:v>175.5283771697</x:v>
      </x:c>
      <x:c r="M6" s="31" t="n">
        <x:v>19.5245923477</x:v>
      </x:c>
      <x:c r="N6" s="24" t="str">
        <x:v>xiphias gladius</x:v>
      </x:c>
      <x:c r="O6" s="32" t="n">
        <x:v>4.53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Xiphias gladius</x:v>
      </x:c>
      <x:c r="T6" s="32" t="n">
        <x:f>IF(O6="","",(1/'Metadata'!$B$5)^(O6-1))</x:f>
        <x:v>3388.4415613920273</x:v>
      </x:c>
      <x:c r="U6" s="31" t="n">
        <x:f>IF(T6="","",I6*T6)</x:f>
        <x:v>660925.5885856904</x:v>
      </x:c>
    </x:row>
    <x:row r="7" ht="18" customHeight="1">
      <x:c r="A7" s="24" t="str">
        <x:v>EEZ_155</x:v>
      </x:c>
      <x:c r="B7" s="24" t="str">
        <x:v>Juan Fernandez Islands (Chile)</x:v>
      </x:c>
      <x:c r="C7" s="24" t="str">
        <x:v>EEZ</x:v>
      </x:c>
      <x:c r="D7" s="30" t="n">
        <x:v>2019</x:v>
      </x:c>
      <x:c r="E7" s="24" t="str">
        <x:v>Jasus frontalis</x:v>
      </x:c>
      <x:c r="F7" s="24" t="str">
        <x:v>Juan Fernandez rock lobster</x:v>
      </x:c>
      <x:c r="G7" s="24" t="str">
        <x:v>Lobsters, crabs</x:v>
      </x:c>
      <x:c r="H7" s="24" t="str">
        <x:v>Crustaceans</x:v>
      </x:c>
      <x:c r="I7" s="31" t="n">
        <x:v>103.0701196879</x:v>
      </x:c>
      <x:c r="J7" s="31" t="n">
        <x:v>103.0701196879</x:v>
      </x:c>
      <x:c r="K7" s="31" t="n">
        <x:v>0</x:v>
      </x:c>
      <x:c r="L7" s="31" t="n">
        <x:v>86</x:v>
      </x:c>
      <x:c r="M7" s="31" t="n">
        <x:v>17.0701196879</x:v>
      </x:c>
      <x:c r="N7" s="24" t="str">
        <x:v>jasus frontalis</x:v>
      </x:c>
      <x:c r="O7" s="32" t="n">
        <x:v>3.34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Jasus frontalis</x:v>
      </x:c>
      <x:c r="T7" s="32" t="n">
        <x:f>IF(O7="","",(1/'Metadata'!$B$5)^(O7-1))</x:f>
        <x:v>218.77616239495518</x:v>
      </x:c>
      <x:c r="U7" s="31" t="n">
        <x:f>IF(T7="","",I7*T7)</x:f>
        <x:v>22549.285242907477</x:v>
      </x:c>
    </x:row>
    <x:row r="8" ht="18" customHeight="1">
      <x:c r="A8" s="24" t="str">
        <x:v>EEZ_155</x:v>
      </x:c>
      <x:c r="B8" s="24" t="str">
        <x:v>Juan Fernandez Islands (Chile)</x:v>
      </x:c>
      <x:c r="C8" s="24" t="str">
        <x:v>EEZ</x:v>
      </x:c>
      <x:c r="D8" s="30" t="n">
        <x:v>2019</x:v>
      </x:c>
      <x:c r="E8" s="24" t="str">
        <x:v>Nemadactylus gayi</x:v>
      </x:c>
      <x:c r="F8" s="24" t="str">
        <x:v>Bilagay</x:v>
      </x:c>
      <x:c r="G8" s="24" t="str">
        <x:v>Small demersals (&lt;30 cm)</x:v>
      </x:c>
      <x:c r="H8" s="24" t="str">
        <x:v>Perch-likes</x:v>
      </x:c>
      <x:c r="I8" s="31" t="n">
        <x:v>41.3347823309</x:v>
      </x:c>
      <x:c r="J8" s="31" t="n">
        <x:v>41.3347823309</x:v>
      </x:c>
      <x:c r="K8" s="31" t="n">
        <x:v>0</x:v>
      </x:c>
      <x:c r="L8" s="31" t="n">
        <x:v>41.3347823309</x:v>
      </x:c>
      <x:c r="M8" s="31" t="n">
        <x:v>0</x:v>
      </x:c>
      <x:c r="N8" s="24" t="str">
        <x:v>nemadactylus gayi</x:v>
      </x:c>
      <x:c r="O8" s="32" t="n">
        <x:v>3.41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Nemadactylus gayi</x:v>
      </x:c>
      <x:c r="T8" s="32" t="n">
        <x:f>IF(O8="","",(1/'Metadata'!$B$5)^(O8-1))</x:f>
        <x:v>257.03957827688646</x:v>
      </x:c>
      <x:c r="U8" s="31" t="n">
        <x:f>IF(T8="","",I8*T8)</x:f>
        <x:v>10624.675018501433</x:v>
      </x:c>
    </x:row>
    <x:row r="9" ht="18" customHeight="1">
      <x:c r="A9" s="24" t="str">
        <x:v>EEZ_155</x:v>
      </x:c>
      <x:c r="B9" s="24" t="str">
        <x:v>Juan Fernandez Islands (Chile)</x:v>
      </x:c>
      <x:c r="C9" s="24" t="str">
        <x:v>EEZ</x:v>
      </x:c>
      <x:c r="D9" s="30" t="n">
        <x:v>2019</x:v>
      </x:c>
      <x:c r="E9" s="24" t="str">
        <x:v>Seriola lalandi</x:v>
      </x:c>
      <x:c r="F9" s="24" t="str">
        <x:v>Yellowtail amberjack</x:v>
      </x:c>
      <x:c r="G9" s="24" t="str">
        <x:v>Large benthopelagics (&gt;=90 cm)</x:v>
      </x:c>
      <x:c r="H9" s="24" t="str">
        <x:v>Perch-likes</x:v>
      </x:c>
      <x:c r="I9" s="31" t="n">
        <x:v>20.1718288371</x:v>
      </x:c>
      <x:c r="J9" s="31" t="n">
        <x:v>20.1718288371</x:v>
      </x:c>
      <x:c r="K9" s="31" t="n">
        <x:v>0</x:v>
      </x:c>
      <x:c r="L9" s="31" t="n">
        <x:v>3.1296801074</x:v>
      </x:c>
      <x:c r="M9" s="31" t="n">
        <x:v>17.0421487297</x:v>
      </x:c>
      <x:c r="N9" s="24" t="str">
        <x:v>seriola lalandi</x:v>
      </x:c>
      <x:c r="O9" s="32" t="n">
        <x:v>4.16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Seriola lalandi</x:v>
      </x:c>
      <x:c r="T9" s="32" t="n">
        <x:f>IF(O9="","",(1/'Metadata'!$B$5)^(O9-1))</x:f>
        <x:v>1445.439770745928</x:v>
      </x:c>
      <x:c r="U9" s="31" t="n">
        <x:f>IF(T9="","",I9*T9)</x:f>
        <x:v>29157.163649823924</x:v>
      </x:c>
    </x:row>
    <x:row r="10" ht="18" customHeight="1">
      <x:c r="A10" s="24" t="str">
        <x:v>EEZ_155</x:v>
      </x:c>
      <x:c r="B10" s="24" t="str">
        <x:v>Juan Fernandez Islands (Chile)</x:v>
      </x:c>
      <x:c r="C10" s="24" t="str">
        <x:v>EEZ</x:v>
      </x:c>
      <x:c r="D10" s="30" t="n">
        <x:v>2019</x:v>
      </x:c>
      <x:c r="E10" s="24" t="str">
        <x:v>Polyprion oxygeneios</x:v>
      </x:c>
      <x:c r="F10" s="24" t="str">
        <x:v>Hapuku wreckfish</x:v>
      </x:c>
      <x:c r="G10" s="24" t="str">
        <x:v>Large demersals (&gt;=90 cm)</x:v>
      </x:c>
      <x:c r="H10" s="24" t="str">
        <x:v>Perch-likes</x:v>
      </x:c>
      <x:c r="I10" s="31" t="n">
        <x:v>14.791529806</x:v>
      </x:c>
      <x:c r="J10" s="31" t="n">
        <x:v>14.791529806</x:v>
      </x:c>
      <x:c r="K10" s="31" t="n">
        <x:v>0</x:v>
      </x:c>
      <x:c r="L10" s="31" t="n">
        <x:v>6</x:v>
      </x:c>
      <x:c r="M10" s="31" t="n">
        <x:v>8.791529806</x:v>
      </x:c>
      <x:c r="N10" s="24" t="str">
        <x:v>polyprion oxygeneios</x:v>
      </x:c>
      <x:c r="O10" s="32" t="n">
        <x:v>4.45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Polyprion oxygeneios</x:v>
      </x:c>
      <x:c r="T10" s="32" t="n">
        <x:f>IF(O10="","",(1/'Metadata'!$B$5)^(O10-1))</x:f>
        <x:v>2818.382931264455</x:v>
      </x:c>
      <x:c r="U10" s="31" t="n">
        <x:f>IF(T10="","",I10*T10)</x:f>
        <x:v>41688.19513251983</x:v>
      </x:c>
    </x:row>
    <x:row r="11" ht="18" customHeight="1">
      <x:c r="A11" s="24" t="str">
        <x:v>EEZ_155</x:v>
      </x:c>
      <x:c r="B11" s="24" t="str">
        <x:v>Juan Fernandez Islands (Chile)</x:v>
      </x:c>
      <x:c r="C11" s="24" t="str">
        <x:v>EEZ</x:v>
      </x:c>
      <x:c r="D11" s="30" t="n">
        <x:v>2019</x:v>
      </x:c>
      <x:c r="E11" s="24" t="str">
        <x:v>Gymnothorax porphyreus</x:v>
      </x:c>
      <x:c r="F11" s="24" t="str">
        <x:v>Lowfin moray</x:v>
      </x:c>
      <x:c r="G11" s="24" t="str">
        <x:v>Large demersals (&gt;=90 cm)</x:v>
      </x:c>
      <x:c r="H11" s="24" t="str">
        <x:v>Other fishes &amp; inverts</x:v>
      </x:c>
      <x:c r="I11" s="31" t="n">
        <x:v>11</x:v>
      </x:c>
      <x:c r="J11" s="31" t="n">
        <x:v>11</x:v>
      </x:c>
      <x:c r="K11" s="31" t="n">
        <x:v>0</x:v>
      </x:c>
      <x:c r="L11" s="31" t="n">
        <x:v>11</x:v>
      </x:c>
      <x:c r="M11" s="31" t="n">
        <x:v>0</x:v>
      </x:c>
      <x:c r="N11" s="24" t="str">
        <x:v>gymnothorax porphyreus</x:v>
      </x:c>
      <x:c r="O11" s="32" t="n">
        <x:v>4.1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Gymnothorax porphyreus</x:v>
      </x:c>
      <x:c r="T11" s="32" t="n">
        <x:f>IF(O11="","",(1/'Metadata'!$B$5)^(O11-1))</x:f>
        <x:v>1258.9254117941662</x:v>
      </x:c>
      <x:c r="U11" s="31" t="n">
        <x:f>IF(T11="","",I11*T11)</x:f>
        <x:v>13848.179529735828</x:v>
      </x:c>
    </x:row>
    <x:row r="12" ht="18" customHeight="1">
      <x:c r="A12" s="24" t="str">
        <x:v>EEZ_155</x:v>
      </x:c>
      <x:c r="B12" s="24" t="str">
        <x:v>Juan Fernandez Islands (Chile)</x:v>
      </x:c>
      <x:c r="C12" s="24" t="str">
        <x:v>EEZ</x:v>
      </x:c>
      <x:c r="D12" s="30" t="n">
        <x:v>2019</x:v>
      </x:c>
      <x:c r="E12" s="24" t="str">
        <x:v>Perciformes</x:v>
      </x:c>
      <x:c r="F12" s="24" t="str">
        <x:v>Perch-likes</x:v>
      </x:c>
      <x:c r="G12" s="24" t="str">
        <x:v>Medium demersals (30 - 89 cm)</x:v>
      </x:c>
      <x:c r="H12" s="24" t="str">
        <x:v>Perch-likes</x:v>
      </x:c>
      <x:c r="I12" s="31" t="n">
        <x:v>10.7529989505</x:v>
      </x:c>
      <x:c r="J12" s="31" t="n">
        <x:v>10.7529989505</x:v>
      </x:c>
      <x:c r="K12" s="31" t="n">
        <x:v>0</x:v>
      </x:c>
      <x:c r="L12" s="31" t="n">
        <x:v>6.739726027400001</x:v>
      </x:c>
      <x:c r="M12" s="31" t="n">
        <x:v>4.0132729231</x:v>
      </x:c>
      <x:c r="N12" s="24" t="str">
        <x:v>perciformes</x:v>
      </x:c>
      <x:c r="O12" s="32" t="n">
        <x:v>3.53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Perciformes</x:v>
      </x:c>
      <x:c r="T12" s="32" t="n">
        <x:f>IF(O12="","",(1/'Metadata'!$B$5)^(O12-1))</x:f>
        <x:v>338.84415613920237</x:v>
      </x:c>
      <x:c r="U12" s="31" t="n">
        <x:f>IF(T12="","",I12*T12)</x:f>
        <x:v>3643.590855347901</x:v>
      </x:c>
    </x:row>
    <x:row r="13" ht="18" customHeight="1">
      <x:c r="A13" s="24" t="str">
        <x:v>EEZ_155</x:v>
      </x:c>
      <x:c r="B13" s="24" t="str">
        <x:v>Juan Fernandez Islands (Chile)</x:v>
      </x:c>
      <x:c r="C13" s="24" t="str">
        <x:v>EEZ</x:v>
      </x:c>
      <x:c r="D13" s="30" t="n">
        <x:v>2019</x:v>
      </x:c>
      <x:c r="E13" s="24" t="str">
        <x:v>Isurus oxyrinchus</x:v>
      </x:c>
      <x:c r="F13" s="24" t="str">
        <x:v>Shortfin mako</x:v>
      </x:c>
      <x:c r="G13" s="24" t="str">
        <x:v>Large sharks (&gt;=90 cm)</x:v>
      </x:c>
      <x:c r="H13" s="24" t="str">
        <x:v>Sharks &amp; rays</x:v>
      </x:c>
      <x:c r="I13" s="31" t="n">
        <x:v>1.9992893415</x:v>
      </x:c>
      <x:c r="J13" s="31" t="n">
        <x:v>1.9992893415</x:v>
      </x:c>
      <x:c r="K13" s="31" t="n">
        <x:v>0</x:v>
      </x:c>
      <x:c r="L13" s="31" t="n">
        <x:v>1.7217862015</x:v>
      </x:c>
      <x:c r="M13" s="31" t="n">
        <x:v>0.27750314</x:v>
      </x:c>
      <x:c r="N13" s="24" t="str">
        <x:v>isurus oxyrinchus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Isurus oxyrinchus</x:v>
      </x:c>
      <x:c r="T13" s="32" t="n">
        <x:f>IF(O13="","",(1/'Metadata'!$B$5)^(O13-1))</x:f>
        <x:v>3162.2776601683795</x:v>
      </x:c>
      <x:c r="U13" s="31" t="n">
        <x:f>IF(T13="","",I13*T13)</x:f>
        <x:v>6322.3080208382</x:v>
      </x:c>
    </x:row>
    <x:row r="14" ht="18" customHeight="1">
      <x:c r="A14" s="24" t="str">
        <x:v>EEZ_155</x:v>
      </x:c>
      <x:c r="B14" s="24" t="str">
        <x:v>Juan Fernandez Islands (Chile)</x:v>
      </x:c>
      <x:c r="C14" s="24" t="str">
        <x:v>EEZ</x:v>
      </x:c>
      <x:c r="D14" s="30" t="n">
        <x:v>2019</x:v>
      </x:c>
      <x:c r="E14" s="24" t="str">
        <x:v>Malacostraca</x:v>
      </x:c>
      <x:c r="F14" s="24" t="str">
        <x:v>Lobsters, crabs, shrimps, krill</x:v>
      </x:c>
      <x:c r="G14" s="24" t="str">
        <x:v>Shrimps</x:v>
      </x:c>
      <x:c r="H14" s="24" t="str">
        <x:v>Crustaceans</x:v>
      </x:c>
      <x:c r="I14" s="31" t="n">
        <x:v>0.995513721</x:v>
      </x:c>
      <x:c r="J14" s="31" t="n">
        <x:v>0.995513721</x:v>
      </x:c>
      <x:c r="K14" s="31" t="n">
        <x:v>0</x:v>
      </x:c>
      <x:c r="L14" s="31" t="n">
        <x:v>0.0166666666</x:v>
      </x:c>
      <x:c r="M14" s="31" t="n">
        <x:v>0.9788470544</x:v>
      </x:c>
      <x:c r="N14" s="24" t="str">
        <x:v>malacostraca</x:v>
      </x:c>
      <x:c r="O14" s="32" t="n">
        <x:v>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Malacostraca</x:v>
      </x:c>
      <x:c r="T14" s="32" t="n">
        <x:f>IF(O14="","",(1/'Metadata'!$B$5)^(O14-1))</x:f>
        <x:v>100</x:v>
      </x:c>
      <x:c r="U14" s="31" t="n">
        <x:f>IF(T14="","",I14*T14)</x:f>
        <x:v>99.55137210000001</x:v>
      </x:c>
    </x:row>
    <x:row r="15" ht="18" customHeight="1">
      <x:c r="A15" s="24" t="str">
        <x:v>EEZ_155</x:v>
      </x:c>
      <x:c r="B15" s="24" t="str">
        <x:v>Juan Fernandez Islands (Chile)</x:v>
      </x:c>
      <x:c r="C15" s="24" t="str">
        <x:v>EEZ</x:v>
      </x:c>
      <x:c r="D15" s="30" t="n">
        <x:v>2019</x:v>
      </x:c>
      <x:c r="E15" s="24" t="str">
        <x:v>Thunnus albacares</x:v>
      </x:c>
      <x:c r="F15" s="24" t="str">
        <x:v>Yellowfin tuna</x:v>
      </x:c>
      <x:c r="G15" s="24" t="str">
        <x:v>Large pelagics (&gt;=90 cm)</x:v>
      </x:c>
      <x:c r="H15" s="24" t="str">
        <x:v>Tuna &amp; billfishes</x:v>
      </x:c>
      <x:c r="I15" s="31" t="n">
        <x:v>0.3628214682</x:v>
      </x:c>
      <x:c r="J15" s="31" t="n">
        <x:v>0.3628214682</x:v>
      </x:c>
      <x:c r="K15" s="31" t="n">
        <x:v>0</x:v>
      </x:c>
      <x:c r="L15" s="31" t="n">
        <x:v>0.3114613632</x:v>
      </x:c>
      <x:c r="M15" s="31" t="n">
        <x:v>0.051360105</x:v>
      </x:c>
      <x:c r="N15" s="24" t="str">
        <x:v>thunnus albacares</x:v>
      </x:c>
      <x:c r="O15" s="32" t="n">
        <x:v>4.41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albacares</x:v>
      </x:c>
      <x:c r="T15" s="32" t="n">
        <x:f>IF(O15="","",(1/'Metadata'!$B$5)^(O15-1))</x:f>
        <x:v>2570.3957827688646</x:v>
      </x:c>
      <x:c r="U15" s="31" t="n">
        <x:f>IF(T15="","",I15*T15)</x:f>
        <x:v>932.5947717592877</x:v>
      </x:c>
    </x:row>
    <x:row r="16" ht="18" customHeight="1">
      <x:c r="A16" s="24" t="str">
        <x:v>EEZ_155</x:v>
      </x:c>
      <x:c r="B16" s="24" t="str">
        <x:v>Juan Fernandez Islands (Chile)</x:v>
      </x:c>
      <x:c r="C16" s="24" t="str">
        <x:v>EEZ</x:v>
      </x:c>
      <x:c r="D16" s="30" t="n">
        <x:v>2019</x:v>
      </x:c>
      <x:c r="E16" s="24" t="str">
        <x:v>Haliporoides diomedeae</x:v>
      </x:c>
      <x:c r="F16" s="24" t="str">
        <x:v>Chilean knife shrimp</x:v>
      </x:c>
      <x:c r="G16" s="24" t="str">
        <x:v>Shrimps</x:v>
      </x:c>
      <x:c r="H16" s="24" t="str">
        <x:v>Crustaceans</x:v>
      </x:c>
      <x:c r="I16" s="31" t="n">
        <x:v>0.1233347289</x:v>
      </x:c>
      <x:c r="J16" s="31" t="n">
        <x:v>0.1233347289</x:v>
      </x:c>
      <x:c r="K16" s="31" t="n">
        <x:v>0</x:v>
      </x:c>
      <x:c r="L16" s="31" t="n">
        <x:v>0</x:v>
      </x:c>
      <x:c r="M16" s="31" t="n">
        <x:v>0.1233347289</x:v>
      </x:c>
      <x:c r="N16" s="24" t="str">
        <x:v>haliporoides diomedeae</x:v>
      </x:c>
      <x:c r="O16" s="32" t="n">
        <x:v>2.6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Haliporoides diomedeae</x:v>
      </x:c>
      <x:c r="T16" s="32" t="n">
        <x:f>IF(O16="","",(1/'Metadata'!$B$5)^(O16-1))</x:f>
        <x:v>39.810717055349734</x:v>
      </x:c>
      <x:c r="U16" s="31" t="n">
        <x:f>IF(T16="","",I16*T16)</x:f>
        <x:v>4.910043995336165</x:v>
      </x:c>
    </x:row>
    <x:row r="17" ht="18" customHeight="1">
      <x:c r="A17" s="24" t="str">
        <x:v>EEZ_155</x:v>
      </x:c>
      <x:c r="B17" s="24" t="str">
        <x:v>Juan Fernandez Islands (Chile)</x:v>
      </x:c>
      <x:c r="C17" s="24" t="str">
        <x:v>EEZ</x:v>
      </x:c>
      <x:c r="D17" s="30" t="n">
        <x:v>2019</x:v>
      </x:c>
      <x:c r="E17" s="24" t="str">
        <x:v>Thunnus obesus</x:v>
      </x:c>
      <x:c r="F17" s="24" t="str">
        <x:v>Bigeye tuna</x:v>
      </x:c>
      <x:c r="G17" s="24" t="str">
        <x:v>Large pelagics (&gt;=90 cm)</x:v>
      </x:c>
      <x:c r="H17" s="24" t="str">
        <x:v>Tuna &amp; billfishes</x:v>
      </x:c>
      <x:c r="I17" s="31" t="n">
        <x:v>0.0248724395</x:v>
      </x:c>
      <x:c r="J17" s="31" t="n">
        <x:v>0.0248724395</x:v>
      </x:c>
      <x:c r="K17" s="31" t="n">
        <x:v>0</x:v>
      </x:c>
      <x:c r="L17" s="31" t="n">
        <x:v>0.0188818955</x:v>
      </x:c>
      <x:c r="M17" s="31" t="n">
        <x:v>0.005990544</x:v>
      </x:c>
      <x:c r="N17" s="24" t="str">
        <x:v>thunnus obesus</x:v>
      </x:c>
      <x:c r="O17" s="32" t="n">
        <x:v>4.49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obesus</x:v>
      </x:c>
      <x:c r="T17" s="32" t="n">
        <x:f>IF(O17="","",(1/'Metadata'!$B$5)^(O17-1))</x:f>
        <x:v>3090.295432513592</x:v>
      </x:c>
      <x:c r="U17" s="31" t="n">
        <x:f>IF(T17="","",I17*T17)</x:f>
        <x:v>76.86318618232065</x:v>
      </x:c>
    </x:row>
    <x:row r="18" ht="18" customHeight="1">
      <x:c r="A18" s="24" t="str">
        <x:v>EEZ_155</x:v>
      </x:c>
      <x:c r="B18" s="24" t="str">
        <x:v>Juan Fernandez Islands (Chile)</x:v>
      </x:c>
      <x:c r="C18" s="24" t="str">
        <x:v>EEZ</x:v>
      </x:c>
      <x:c r="D18" s="30" t="n">
        <x:v>2019</x:v>
      </x:c>
      <x:c r="E18" s="24" t="str">
        <x:v>Thyrsites atun</x:v>
      </x:c>
      <x:c r="F18" s="24" t="str">
        <x:v>Snoek</x:v>
      </x:c>
      <x:c r="G18" s="24" t="str">
        <x:v>Large benthopelagics (&gt;=90 cm)</x:v>
      </x:c>
      <x:c r="H18" s="24" t="str">
        <x:v>Perch-likes</x:v>
      </x:c>
      <x:c r="I18" s="31" t="n">
        <x:v>0.024448680100000002</x:v>
      </x:c>
      <x:c r="J18" s="31" t="n">
        <x:v>0.024448680100000002</x:v>
      </x:c>
      <x:c r="K18" s="31" t="n">
        <x:v>0</x:v>
      </x:c>
      <x:c r="L18" s="31" t="n">
        <x:v>0.0213653118</x:v>
      </x:c>
      <x:c r="M18" s="31" t="n">
        <x:v>0.0030833683</x:v>
      </x:c>
      <x:c r="N18" s="24" t="str">
        <x:v>thyrsites atun</x:v>
      </x:c>
      <x:c r="O18" s="32" t="n">
        <x:v>3.63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Thyrsites atun</x:v>
      </x:c>
      <x:c r="T18" s="32" t="n">
        <x:f>IF(O18="","",(1/'Metadata'!$B$5)^(O18-1))</x:f>
        <x:v>426.57951880159254</x:v>
      </x:c>
      <x:c r="U18" s="31" t="n">
        <x:f>IF(T18="","",I18*T18)</x:f>
        <x:v>10.429306192392072</x:v>
      </x:c>
    </x:row>
    <x:row r="19" ht="18" customHeight="1">
      <x:c r="A19" s="24" t="str">
        <x:v>EEZ_155</x:v>
      </x:c>
      <x:c r="B19" s="24" t="str">
        <x:v>Juan Fernandez Islands (Chile)</x:v>
      </x:c>
      <x:c r="C19" s="24" t="str">
        <x:v>EEZ</x:v>
      </x:c>
      <x:c r="D19" s="30" t="n">
        <x:v>2019</x:v>
      </x:c>
      <x:c r="E19" s="24" t="str">
        <x:v>Thunnus alalunga</x:v>
      </x:c>
      <x:c r="F19" s="24" t="str">
        <x:v>Albacore</x:v>
      </x:c>
      <x:c r="G19" s="24" t="str">
        <x:v>Large pelagics (&gt;=90 cm)</x:v>
      </x:c>
      <x:c r="H19" s="24" t="str">
        <x:v>Tuna &amp; billfishes</x:v>
      </x:c>
      <x:c r="I19" s="31" t="n">
        <x:v>0.018981035</x:v>
      </x:c>
      <x:c r="J19" s="31" t="n">
        <x:v>0.018981035</x:v>
      </x:c>
      <x:c r="K19" s="31" t="n">
        <x:v>0</x:v>
      </x:c>
      <x:c r="L19" s="31" t="n">
        <x:v>0.018188169</x:v>
      </x:c>
      <x:c r="M19" s="31" t="n">
        <x:v>0.0007928659999999999</x:v>
      </x:c>
      <x:c r="N19" s="24" t="str">
        <x:v>thunnus alalunga</x:v>
      </x:c>
      <x:c r="O19" s="32" t="n">
        <x:v>4.3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alalunga</x:v>
      </x:c>
      <x:c r="T19" s="32" t="n">
        <x:f>IF(O19="","",(1/'Metadata'!$B$5)^(O19-1))</x:f>
        <x:v>1995.2623149688789</x:v>
      </x:c>
      <x:c r="U19" s="31" t="n">
        <x:f>IF(T19="","",I19*T19)</x:f>
        <x:v>37.87214383460531</x:v>
      </x:c>
    </x:row>
    <x:row r="20" ht="18" customHeight="1">
      <x:c r="A20" s="24" t="str">
        <x:v>EEZ_155</x:v>
      </x:c>
      <x:c r="B20" s="24" t="str">
        <x:v>Juan Fernandez Islands (Chile)</x:v>
      </x:c>
      <x:c r="C20" s="24" t="str">
        <x:v>EEZ</x:v>
      </x:c>
      <x:c r="D20" s="30" t="n">
        <x:v>2019</x:v>
      </x:c>
      <x:c r="E20" s="24" t="str">
        <x:v>Ovalipes trimaculatus</x:v>
      </x:c>
      <x:c r="F20" s="24" t="str">
        <x:v>Rowing crab</x:v>
      </x:c>
      <x:c r="G20" s="24" t="str">
        <x:v>Lobsters, crabs</x:v>
      </x:c>
      <x:c r="H20" s="24" t="str">
        <x:v>Crustaceans</x:v>
      </x:c>
      <x:c r="I20" s="31" t="n">
        <x:v>0.0019216484</x:v>
      </x:c>
      <x:c r="J20" s="31" t="n">
        <x:v>0.0019216484</x:v>
      </x:c>
      <x:c r="K20" s="31" t="n">
        <x:v>0</x:v>
      </x:c>
      <x:c r="L20" s="31" t="n">
        <x:v>0.0019216484</x:v>
      </x:c>
      <x:c r="M20" s="31" t="n">
        <x:v>0</x:v>
      </x:c>
      <x:c r="N20" s="24" t="str">
        <x:v>ovalipes trimaculatus</x:v>
      </x:c>
      <x:c r="O20" s="32" t="n">
        <x:v>4.41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Ovalipes trimaculatus</x:v>
      </x:c>
      <x:c r="T20" s="32" t="n">
        <x:f>IF(O20="","",(1/'Metadata'!$B$5)^(O20-1))</x:f>
        <x:v>2570.3957827688646</x:v>
      </x:c>
      <x:c r="U20" s="31" t="n">
        <x:f>IF(T20="","",I20*T20)</x:f>
        <x:v>4.939396943324536</x:v>
      </x:c>
    </x:row>
    <x:row r="21" ht="18" customHeight="1">
      <x:c r="A21" s="24" t="str">
        <x:v>EEZ_155</x:v>
      </x:c>
      <x:c r="B21" s="24" t="str">
        <x:v>Juan Fernandez Islands (Chile)</x:v>
      </x:c>
      <x:c r="C21" s="24" t="str">
        <x:v>EEZ</x:v>
      </x:c>
      <x:c r="D21" s="30" t="n">
        <x:v>2019</x:v>
      </x:c>
      <x:c r="E21" s="24" t="str">
        <x:v>Sebastidae</x:v>
      </x:c>
      <x:c r="F21" s="24" t="str">
        <x:v>Rockfishes, rockcods, thornyheads</x:v>
      </x:c>
      <x:c r="G21" s="24" t="str">
        <x:v>Medium demersals (30 - 89 cm)</x:v>
      </x:c>
      <x:c r="H21" s="24" t="str">
        <x:v>Scorpionfishes</x:v>
      </x:c>
      <x:c r="I21" s="31" t="n">
        <x:v>0.0016191257000000001</x:v>
      </x:c>
      <x:c r="J21" s="31" t="n">
        <x:v>0.0016191257000000001</x:v>
      </x:c>
      <x:c r="K21" s="31" t="n">
        <x:v>0</x:v>
      </x:c>
      <x:c r="L21" s="31" t="n">
        <x:v>0.0016191257000000001</x:v>
      </x:c>
      <x:c r="M21" s="31" t="n">
        <x:v>0</x:v>
      </x:c>
      <x:c r="N21" s="24" t="str">
        <x:v>sebastidae</x:v>
      </x:c>
      <x:c r="O21" s="32" t="n">
        <x:v>3.74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Sebastidae</x:v>
      </x:c>
      <x:c r="T21" s="32" t="n">
        <x:f>IF(O21="","",(1/'Metadata'!$B$5)^(O21-1))</x:f>
        <x:v>549.5408738576248</x:v>
      </x:c>
      <x:c r="U21" s="31" t="n">
        <x:f>IF(T21="","",I21*T21)</x:f>
        <x:v>0.8897757520633385</x:v>
      </x:c>
    </x:row>
    <x:row r="22" ht="18" customHeight="1">
      <x:c r="A22" s="24" t="str">
        <x:v>EEZ_155</x:v>
      </x:c>
      <x:c r="B22" s="24" t="str">
        <x:v>Juan Fernandez Islands (Chile)</x:v>
      </x:c>
      <x:c r="C22" s="24" t="str">
        <x:v>EEZ</x:v>
      </x:c>
      <x:c r="D22" s="30" t="n">
        <x:v>2019</x:v>
      </x:c>
      <x:c r="E22" s="24" t="str">
        <x:v>Seriolella</x:v>
      </x:c>
      <x:c r="F22" s="24" t="str">
        <x:v>Warehous, butterfishes</x:v>
      </x:c>
      <x:c r="G22" s="24" t="str">
        <x:v>Medium benthopelagics (30 - 89 cm)</x:v>
      </x:c>
      <x:c r="H22" s="24" t="str">
        <x:v>Perch-likes</x:v>
      </x:c>
      <x:c r="I22" s="31" t="n">
        <x:v>0.0012333473</x:v>
      </x:c>
      <x:c r="J22" s="31" t="n">
        <x:v>0.0012333473</x:v>
      </x:c>
      <x:c r="K22" s="31" t="n">
        <x:v>0</x:v>
      </x:c>
      <x:c r="L22" s="31" t="n">
        <x:v>0</x:v>
      </x:c>
      <x:c r="M22" s="31" t="n">
        <x:v>0.0012333473</x:v>
      </x:c>
      <x:c r="N22" s="24" t="str">
        <x:v>seriolella</x:v>
      </x:c>
      <x:c r="O22" s="32" t="n">
        <x:v>3.51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Seriolella</x:v>
      </x:c>
      <x:c r="T22" s="32" t="n">
        <x:f>IF(O22="","",(1/'Metadata'!$B$5)^(O22-1))</x:f>
        <x:v>323.5936569296281</x:v>
      </x:c>
      <x:c r="U22" s="31" t="n">
        <x:f>IF(T22="","",I22*T22)</x:f>
        <x:v>0.3991033630712831</x:v>
      </x:c>
    </x:row>
    <x:row r="23" ht="18" customHeight="1">
      <x:c r="A23" s="24" t="str">
        <x:v>EEZ_155</x:v>
      </x:c>
      <x:c r="B23" s="24" t="str">
        <x:v>Juan Fernandez Islands (Chile)</x:v>
      </x:c>
      <x:c r="C23" s="24" t="str">
        <x:v>EEZ</x:v>
      </x:c>
      <x:c r="D23" s="30" t="n">
        <x:v>2019</x:v>
      </x:c>
      <x:c r="E23" s="24" t="str">
        <x:v>Beryx splendens</x:v>
      </x:c>
      <x:c r="F23" s="24" t="str">
        <x:v>Splendid alfonsino</x:v>
      </x:c>
      <x:c r="G23" s="24" t="str">
        <x:v>Medium benthopelagics (30 - 89 cm)</x:v>
      </x:c>
      <x:c r="H23" s="24" t="str">
        <x:v>Other fishes &amp; inverts</x:v>
      </x:c>
      <x:c r="I23" s="31" t="n">
        <x:v>0.0002642886</x:v>
      </x:c>
      <x:c r="J23" s="31" t="n">
        <x:v>0.0002642886</x:v>
      </x:c>
      <x:c r="K23" s="31" t="n">
        <x:v>0</x:v>
      </x:c>
      <x:c r="L23" s="31" t="n">
        <x:v>0</x:v>
      </x:c>
      <x:c r="M23" s="31" t="n">
        <x:v>0.0002642886</x:v>
      </x:c>
      <x:c r="N23" s="24" t="str">
        <x:v>beryx splendens</x:v>
      </x:c>
      <x:c r="O23" s="32" t="n">
        <x:v>4.27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Beryx splendens</x:v>
      </x:c>
      <x:c r="T23" s="32" t="n">
        <x:f>IF(O23="","",(1/'Metadata'!$B$5)^(O23-1))</x:f>
        <x:v>1862.0871366628655</x:v>
      </x:c>
      <x:c r="U23" s="31" t="n">
        <x:f>IF(T23="","",I23*T23)</x:f>
        <x:v>0.49212840242663736</x:v>
      </x:c>
    </x:row>
  </x:sheetData>
  <x:conditionalFormatting sqref="R2:R2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9489b6e8bab419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104.1908897862</x:v>
      </x:c>
      <x:c r="C2" s="32" t="n">
        <x:v>3.335895167018771</x:v>
      </x:c>
      <x:c r="D2" s="32" t="n">
        <x:f>IF(C2="","",(1/'Metadata'!$B$5)^(C2-1))</x:f>
        <x:v>216.7180912681182</x:v>
      </x:c>
      <x:c r="E2" s="31" t="n">
        <x:f>IF(B2=0,"",B2*D2)</x:f>
        <x:v>22580.050761992137</x:v>
      </x:c>
    </x:row>
    <x:row r="3" ht="18" customHeight="1">
      <x:c r="A3" s="24" t="str">
        <x:v>Flatfishes</x:v>
      </x:c>
      <x:c r="B3" s="31" t="n">
        <x:v>269.8377443331</x:v>
      </x:c>
      <x:c r="C3" s="32" t="n">
        <x:v>3.57</x:v>
      </x:c>
      <x:c r="D3" s="32" t="n">
        <x:f>IF(C3="","",(1/'Metadata'!$B$5)^(C3-1))</x:f>
        <x:v>371.5352290971724</x:v>
      </x:c>
      <x:c r="E3" s="31" t="n">
        <x:f>IF(B3=0,"",B3*D3)</x:f>
        <x:v>100254.22815986254</x:v>
      </x:c>
    </x:row>
    <x:row r="4" ht="18" customHeight="1">
      <x:c r="A4" s="24" t="str">
        <x:v>Other fishes &amp; inverts</x:v>
      </x:c>
      <x:c r="B4" s="31" t="n">
        <x:v>1130.7367425952998</x:v>
      </x:c>
      <x:c r="C4" s="32" t="n">
        <x:v>3.2879773313326766</x:v>
      </x:c>
      <x:c r="D4" s="32" t="n">
        <x:f>IF(C4="","",(1/'Metadata'!$B$5)^(C4-1))</x:f>
        <x:v>194.07845727181552</x:v>
      </x:c>
      <x:c r="E4" s="31" t="n">
        <x:f>IF(B4=0,"",B4*D4)</x:f>
        <x:v>219451.64258345377</x:v>
      </x:c>
    </x:row>
    <x:row r="5" ht="18" customHeight="1">
      <x:c r="A5" s="24" t="str">
        <x:v>Perch-likes</x:v>
      </x:c>
      <x:c r="B5" s="31" t="n">
        <x:v>40853.302015303</x:v>
      </x:c>
      <x:c r="C5" s="32" t="n">
        <x:v>3.33629924072851</x:v>
      </x:c>
      <x:c r="D5" s="32" t="n">
        <x:f>IF(C5="","",(1/'Metadata'!$B$5)^(C5-1))</x:f>
        <x:v>216.91982266838775</x:v>
      </x:c>
      <x:c r="E5" s="31" t="n">
        <x:f>IF(B5=0,"",B5*D5)</x:f>
        <x:v>8861891.028577615</x:v>
      </x:c>
    </x:row>
    <x:row r="6" ht="18" customHeight="1">
      <x:c r="A6" s="24" t="str">
        <x:v>Scorpionfishes</x:v>
      </x:c>
      <x:c r="B6" s="31" t="n">
        <x:v>0.0016191257000000001</x:v>
      </x:c>
      <x:c r="C6" s="32" t="n">
        <x:v>3.74</x:v>
      </x:c>
      <x:c r="D6" s="32" t="n">
        <x:f>IF(C6="","",(1/'Metadata'!$B$5)^(C6-1))</x:f>
        <x:v>549.5408738576248</x:v>
      </x:c>
      <x:c r="E6" s="31" t="n">
        <x:f>IF(B6=0,"",B6*D6)</x:f>
        <x:v>0.8897757520633385</x:v>
      </x:c>
    </x:row>
    <x:row r="7" ht="18" customHeight="1">
      <x:c r="A7" s="24" t="str">
        <x:v>Sharks &amp; rays</x:v>
      </x:c>
      <x:c r="B7" s="31" t="n">
        <x:v>1.9992893415</x:v>
      </x:c>
      <x:c r="C7" s="32" t="n">
        <x:v>4.5</x:v>
      </x:c>
      <x:c r="D7" s="32" t="n">
        <x:f>IF(C7="","",(1/'Metadata'!$B$5)^(C7-1))</x:f>
        <x:v>3162.2776601683795</x:v>
      </x:c>
      <x:c r="E7" s="31" t="n">
        <x:f>IF(B7=0,"",B7*D7)</x:f>
        <x:v>6322.3080208382</x:v>
      </x:c>
    </x:row>
    <x:row r="8" ht="18" customHeight="1">
      <x:c r="A8" s="24" t="str">
        <x:v>Tuna &amp; billfishes</x:v>
      </x:c>
      <x:c r="B8" s="31" t="n">
        <x:v>195.45964446009998</x:v>
      </x:c>
      <x:c r="C8" s="32" t="n">
        <x:v>4.529749825024244</x:v>
      </x:c>
      <x:c r="D8" s="32" t="n">
        <x:f>IF(C8="","",(1/'Metadata'!$B$5)^(C8-1))</x:f>
        <x:v>3386.490214533447</x:v>
      </x:c>
      <x:c r="E8" s="31" t="n">
        <x:f>IF(B8=0,"",B8*D8)</x:f>
        <x:v>661922.1733003153</x:v>
      </x:c>
    </x:row>
  </x:sheetData>
  <x:pageMargins left="0.7" right="0.7" top="0.75" bottom="0.75" header="0.3" footer="0.3"/>
  <x:tableParts count="1">
    <x:tablePart xmlns:r="http://schemas.openxmlformats.org/officeDocument/2006/relationships" r:id="R01bec506ca1e4a7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20.196277517200002</x:v>
      </x:c>
      <x:c r="C2" s="32" t="n">
        <x:v>4.159358406496348</x:v>
      </x:c>
      <x:c r="D2" s="32" t="n">
        <x:f>IF(C2="","",(1/'Metadata'!$B$5)^(C2-1))</x:f>
        <x:v>1443.3059649553015</x:v>
      </x:c>
      <x:c r="E2" s="31" t="n">
        <x:f>IF(B2=0,"",B2*D2)</x:f>
        <x:v>29149.40781046741</x:v>
      </x:c>
    </x:row>
    <x:row r="3" ht="18" customHeight="1">
      <x:c r="A3" s="24" t="str">
        <x:v>Large demersals (&gt;=90 cm)</x:v>
      </x:c>
      <x:c r="B3" s="31" t="n">
        <x:v>25.791529806</x:v>
      </x:c>
      <x:c r="C3" s="32" t="n">
        <x:v>4.300726186893173</x:v>
      </x:c>
      <x:c r="D3" s="32" t="n">
        <x:f>IF(C3="","",(1/'Metadata'!$B$5)^(C3-1))</x:f>
        <x:v>1998.6013981563135</x:v>
      </x:c>
      <x:c r="E3" s="31" t="n">
        <x:f>IF(B3=0,"",B3*D3)</x:f>
        <x:v>51546.987530861836</x:v>
      </x:c>
    </x:row>
    <x:row r="4" ht="18" customHeight="1">
      <x:c r="A4" s="24" t="str">
        <x:v>Large pelagics (&gt;=90 cm)</x:v>
      </x:c>
      <x:c r="B4" s="31" t="n">
        <x:v>195.45964446009998</x:v>
      </x:c>
      <x:c r="C4" s="32" t="n">
        <x:v>4.529749825024244</x:v>
      </x:c>
      <x:c r="D4" s="32" t="n">
        <x:f>IF(C4="","",(1/'Metadata'!$B$5)^(C4-1))</x:f>
        <x:v>3386.490214533447</x:v>
      </x:c>
      <x:c r="E4" s="31" t="n">
        <x:f>IF(B4=0,"",B4*D4)</x:f>
        <x:v>661922.1733003153</x:v>
      </x:c>
    </x:row>
    <x:row r="5" ht="18" customHeight="1">
      <x:c r="A5" s="24" t="str">
        <x:v>Large sharks (&gt;=90 cm)</x:v>
      </x:c>
      <x:c r="B5" s="31" t="n">
        <x:v>1.9992893415</x:v>
      </x:c>
      <x:c r="C5" s="32" t="n">
        <x:v>4.5</x:v>
      </x:c>
      <x:c r="D5" s="32" t="n">
        <x:f>IF(C5="","",(1/'Metadata'!$B$5)^(C5-1))</x:f>
        <x:v>3162.2776601683795</x:v>
      </x:c>
      <x:c r="E5" s="31" t="n">
        <x:f>IF(B5=0,"",B5*D5)</x:f>
        <x:v>6322.3080208382</x:v>
      </x:c>
    </x:row>
    <x:row r="6" ht="18" customHeight="1">
      <x:c r="A6" s="24" t="str">
        <x:v>Lobsters, crabs</x:v>
      </x:c>
      <x:c r="B6" s="31" t="n">
        <x:v>103.0720413363</x:v>
      </x:c>
      <x:c r="C6" s="32" t="n">
        <x:v>3.3400199488024236</x:v>
      </x:c>
      <x:c r="D6" s="32" t="n">
        <x:f>IF(C6="","",(1/'Metadata'!$B$5)^(C6-1))</x:f>
        <x:v>218.78621184954653</x:v>
      </x:c>
      <x:c r="E6" s="31" t="n">
        <x:f>IF(B6=0,"",B6*D6)</x:f>
        <x:v>22550.74147156895</x:v>
      </x:c>
    </x:row>
    <x:row r="7" ht="18" customHeight="1">
      <x:c r="A7" s="24" t="str">
        <x:v>Medium benthopelagics (30 - 89 cm)</x:v>
      </x:c>
      <x:c r="B7" s="31" t="n">
        <x:v>0.0014976359</x:v>
      </x:c>
      <x:c r="C7" s="32" t="n">
        <x:v>3.6441176022823694</x:v>
      </x:c>
      <x:c r="D7" s="32" t="n">
        <x:f>IF(C7="","",(1/'Metadata'!$B$5)^(C7-1))</x:f>
        <x:v>440.6741771867413</x:v>
      </x:c>
      <x:c r="E7" s="31" t="n">
        <x:f>IF(B7=0,"",B7*D7)</x:f>
        <x:v>0.6599694679578249</x:v>
      </x:c>
    </x:row>
    <x:row r="8" ht="18" customHeight="1">
      <x:c r="A8" s="24" t="str">
        <x:v>Medium demersals (30 - 89 cm)</x:v>
      </x:c>
      <x:c r="B8" s="31" t="n">
        <x:v>1130.4910963828997</x:v>
      </x:c>
      <x:c r="C8" s="32" t="n">
        <x:v>3.282378607442421</x:v>
      </x:c>
      <x:c r="D8" s="32" t="n">
        <x:f>IF(C8="","",(1/'Metadata'!$B$5)^(C8-1))</x:f>
        <x:v>191.5925454735119</x:v>
      </x:c>
      <x:c r="E8" s="31" t="n">
        <x:f>IF(B8=0,"",B8*D8)</x:f>
        <x:v>216593.66679114106</x:v>
      </x:c>
    </x:row>
    <x:row r="9" ht="18" customHeight="1">
      <x:c r="A9" s="24" t="str">
        <x:v>Medium pelagics (30 - 89 cm)</x:v>
      </x:c>
      <x:c r="B9" s="31" t="n">
        <x:v>40766.2251933511</x:v>
      </x:c>
      <x:c r="C9" s="32" t="n">
        <x:v>3.3353615637114205</x:v>
      </x:c>
      <x:c r="D9" s="32" t="n">
        <x:f>IF(C9="","",(1/'Metadata'!$B$5)^(C9-1))</x:f>
        <x:v>216.45198041080053</x:v>
      </x:c>
      <x:c r="E9" s="31" t="n">
        <x:f>IF(B9=0,"",B9*D9)</x:f>
        <x:v>8823930.176973516</x:v>
      </x:c>
    </x:row>
    <x:row r="10" ht="18" customHeight="1">
      <x:c r="A10" s="24" t="str">
        <x:v>Shrimps</x:v>
      </x:c>
      <x:c r="B10" s="31" t="n">
        <x:v>1.1188484499</x:v>
      </x:c>
      <x:c r="C10" s="32" t="n">
        <x:v>2.955906546981936</x:v>
      </x:c>
      <x:c r="D10" s="32" t="n">
        <x:f>IF(C10="","",(1/'Metadata'!$B$5)^(C10-1))</x:f>
        <x:v>90.34550441617856</x:v>
      </x:c>
      <x:c r="E10" s="31" t="n">
        <x:f>IF(B10=0,"",B10*D10)</x:f>
        <x:v>101.08292757147498</x:v>
      </x:c>
    </x:row>
    <x:row r="11" ht="18" customHeight="1">
      <x:c r="A11" s="24" t="str">
        <x:v>Small demersals (&lt;30 cm)</x:v>
      </x:c>
      <x:c r="B11" s="31" t="n">
        <x:v>41.3347823309</x:v>
      </x:c>
      <x:c r="C11" s="32" t="n">
        <x:v>3.4099999999999997</x:v>
      </x:c>
      <x:c r="D11" s="32" t="n">
        <x:f>IF(C11="","",(1/'Metadata'!$B$5)^(C11-1))</x:f>
        <x:v>257.0395782768862</x:v>
      </x:c>
      <x:c r="E11" s="31" t="n">
        <x:f>IF(B11=0,"",B11*D11)</x:f>
        <x:v>10624.67501850142</x:v>
      </x:c>
    </x:row>
    <x:row r="12" ht="18" customHeight="1">
      <x:c r="A12" s="24" t="str">
        <x:v>Small to medium flatfishes (&lt;90 cm)</x:v>
      </x:c>
      <x:c r="B12" s="31" t="n">
        <x:v>269.8377443331</x:v>
      </x:c>
      <x:c r="C12" s="32" t="n">
        <x:v>3.57</x:v>
      </x:c>
      <x:c r="D12" s="32" t="n">
        <x:f>IF(C12="","",(1/'Metadata'!$B$5)^(C12-1))</x:f>
        <x:v>371.5352290971724</x:v>
      </x:c>
      <x:c r="E12" s="31" t="n">
        <x:f>IF(B12=0,"",B12*D12)</x:f>
        <x:v>100254.22815986254</x:v>
      </x:c>
    </x:row>
  </x:sheetData>
  <x:pageMargins left="0.7" right="0.7" top="0.75" bottom="0.75" header="0.3" footer="0.3"/>
  <x:tableParts count="1">
    <x:tablePart xmlns:r="http://schemas.openxmlformats.org/officeDocument/2006/relationships" r:id="R47d6114c560d45f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EEZ_155</x:v>
      </x:c>
      <x:c r="B2" s="24" t="str">
        <x:v>raw_filtered_tonnes</x:v>
      </x:c>
      <x:c r="C2" s="24" t="n">
        <x:v>42555.5279449449</x:v>
      </x:c>
      <x:c r="D2" s="24" t="str">
        <x:v>tonnes</x:v>
      </x:c>
    </x:row>
    <x:row r="3" ht="18" customHeight="1">
      <x:c r="A3" s="24" t="str">
        <x:v>EEZ_155</x:v>
      </x:c>
      <x:c r="B3" s="24" t="str">
        <x:v>species_catch_tonnes</x:v>
      </x:c>
      <x:c r="C3" s="24" t="n">
        <x:v>42555.52794494491</x:v>
      </x:c>
      <x:c r="D3" s="24" t="str">
        <x:v>tonnes</x:v>
      </x:c>
    </x:row>
    <x:row r="4" ht="18" customHeight="1">
      <x:c r="A4" s="24" t="str">
        <x:v>EEZ_155</x:v>
      </x:c>
      <x:c r="B4" s="24" t="str">
        <x:v>catch_difference_tonnes</x:v>
      </x:c>
      <x:c r="C4" s="24" t="n">
        <x:v>7.275957614183426e-12</x:v>
      </x:c>
      <x:c r="D4" s="24" t="str">
        <x:v>tonnes</x:v>
      </x:c>
    </x:row>
    <x:row r="5" ht="18" customHeight="1">
      <x:c r="A5" s="24" t="str">
        <x:v>EEZ_155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EEZ_155</x:v>
      </x:c>
      <x:c r="B6" s="24" t="str">
        <x:v>matched_catch_tonnes</x:v>
      </x:c>
      <x:c r="C6" s="24" t="n">
        <x:v>42555.52794494491</x:v>
      </x:c>
      <x:c r="D6" s="24" t="str">
        <x:v>tonnes</x:v>
      </x:c>
    </x:row>
    <x:row r="7" ht="18" customHeight="1">
      <x:c r="A7" s="24" t="str">
        <x:v>EEZ_155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EEZ_155</x:v>
      </x:c>
      <x:c r="B8" s="24" t="str">
        <x:v>taxa_count</x:v>
      </x:c>
      <x:c r="C8" s="24" t="n">
        <x:v>22</x:v>
      </x:c>
      <x:c r="D8" s="24" t="str">
        <x:v>count</x:v>
      </x:c>
    </x:row>
    <x:row r="9" ht="18" customHeight="1">
      <x:c r="A9" s="24" t="str">
        <x:v>EEZ_155</x:v>
      </x:c>
      <x:c r="B9" s="24" t="str">
        <x:v>matched_taxa_count</x:v>
      </x:c>
      <x:c r="C9" s="24" t="n">
        <x:v>22</x:v>
      </x:c>
      <x:c r="D9" s="24" t="str">
        <x:v>count</x:v>
      </x:c>
    </x:row>
    <x:row r="10" ht="18" customHeight="1">
      <x:c r="A10" s="24" t="str">
        <x:v>EEZ_155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EEZ_155</x:v>
      </x:c>
      <x:c r="B11" s="24" t="str">
        <x:v>species_ppr</x:v>
      </x:c>
      <x:c r="C11" s="24" t="n">
        <x:v>10134000.51502535</x:v>
      </x:c>
      <x:c r="D11" s="24" t="str">
        <x:v>tonnes_primary_production_equivalent</x:v>
      </x:c>
    </x:row>
    <x:row r="12" ht="18" customHeight="1">
      <x:c r="A12" s="24" t="str">
        <x:v>EEZ_155</x:v>
      </x:c>
      <x:c r="B12" s="24" t="str">
        <x:v>commercial_ppr</x:v>
      </x:c>
      <x:c r="C12" s="24" t="n">
        <x:v>9872422.321179826</x:v>
      </x:c>
      <x:c r="D12" s="24" t="str">
        <x:v>tonnes_primary_production_equivalent</x:v>
      </x:c>
    </x:row>
    <x:row r="13" ht="18" customHeight="1">
      <x:c r="A13" s="24" t="str">
        <x:v>EEZ_155</x:v>
      </x:c>
      <x:c r="B13" s="24" t="str">
        <x:v>functional_ppr</x:v>
      </x:c>
      <x:c r="C13" s="24" t="n">
        <x:v>9922996.107974112</x:v>
      </x:c>
      <x:c r="D13" s="24" t="str">
        <x:v>tonnes_primary_production_equivalent</x:v>
      </x:c>
    </x:row>
    <x:row r="14" ht="18" customHeight="1">
      <x:c r="A14" s="24" t="str">
        <x:v>EEZ_155</x:v>
      </x:c>
      <x:c r="B14" s="24" t="str">
        <x:v>commercial_ppr_difference</x:v>
      </x:c>
      <x:c r="C14" s="24" t="n">
        <x:v>-261578.19384552352</x:v>
      </x:c>
      <x:c r="D14" s="24" t="str">
        <x:v>tonnes_primary_production_equivalent</x:v>
      </x:c>
    </x:row>
    <x:row r="15" ht="18" customHeight="1">
      <x:c r="A15" s="24" t="str">
        <x:v>EEZ_155</x:v>
      </x:c>
      <x:c r="B15" s="24" t="str">
        <x:v>functional_ppr_difference</x:v>
      </x:c>
      <x:c r="C15" s="24" t="n">
        <x:v>-211004.4070512373</x:v>
      </x:c>
      <x:c r="D15" s="24" t="str">
        <x:v>tonnes_primary_production_equivalent</x:v>
      </x:c>
    </x:row>
    <x:row r="16" ht="18" customHeight="1">
      <x:c r="A16" s="24" t="str">
        <x:v>EEZ_155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EEZ_155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e1a9be7608247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EEZ_155 - Juan Fernandez Islands (Chile)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EEZ_155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raw_data/SAU_downloads/EEZ_155-catch.zip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