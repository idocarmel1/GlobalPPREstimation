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fa28d6e1d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7a79bf8378c4422"/>
    <x:sheet xmlns:r="http://schemas.openxmlformats.org/officeDocument/2006/relationships" name="Commercial" sheetId="2" r:id="R97707b644d8b4a78"/>
    <x:sheet xmlns:r="http://schemas.openxmlformats.org/officeDocument/2006/relationships" name="Functional" sheetId="3" r:id="Redaaf25c6f244bd2"/>
    <x:sheet xmlns:r="http://schemas.openxmlformats.org/officeDocument/2006/relationships" name="Missing TL" sheetId="4" r:id="Rc8b59f70dbb7446f"/>
    <x:sheet xmlns:r="http://schemas.openxmlformats.org/officeDocument/2006/relationships" name="Validation" sheetId="5" r:id="Re5a573d6cfc74d8c"/>
    <x:sheet xmlns:r="http://schemas.openxmlformats.org/officeDocument/2006/relationships" name="Metadata" sheetId="6" r:id="R528f69b21cc1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768c12d474e0e" /><Relationship Type="http://schemas.openxmlformats.org/officeDocument/2006/relationships/theme" Target="/xl/theme/theme1.xml" Id="R203c380e8f074326" /><Relationship Type="http://schemas.microsoft.com/office/2022/11/relationships/FeaturePropertyBag" Target="/xl/featurePropertyBag/featurePropertyBag.xml" Id="Rddadd1682cb44307" /><Relationship Type="http://schemas.openxmlformats.org/officeDocument/2006/relationships/sharedStrings" Target="/xl/sharedStrings.xml" Id="Rcd96ab2f1f934f01" /><Relationship Type="http://schemas.openxmlformats.org/officeDocument/2006/relationships/worksheet" Target="/xl/worksheets/sheet1.xml" Id="R17a79bf8378c4422" /><Relationship Type="http://schemas.openxmlformats.org/officeDocument/2006/relationships/worksheet" Target="/xl/worksheets/sheet2.xml" Id="R97707b644d8b4a78" /><Relationship Type="http://schemas.openxmlformats.org/officeDocument/2006/relationships/worksheet" Target="/xl/worksheets/sheet3.xml" Id="Redaaf25c6f244bd2" /><Relationship Type="http://schemas.openxmlformats.org/officeDocument/2006/relationships/worksheet" Target="/xl/worksheets/sheet4.xml" Id="Rc8b59f70dbb7446f" /><Relationship Type="http://schemas.openxmlformats.org/officeDocument/2006/relationships/worksheet" Target="/xl/worksheets/sheet5.xml" Id="Re5a573d6cfc74d8c" /><Relationship Type="http://schemas.openxmlformats.org/officeDocument/2006/relationships/worksheet" Target="/xl/worksheets/sheet6.xml" Id="R528f69b21cc143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52SpeciesTable" displayName="EEZ352SpeciesTable" ref="A1:U80" headerRowCount="1" totalsRowCount="0" totalsRowShown="0">
  <x:autoFilter ref="A1:U8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52CommercialTable" displayName="EEZ352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52FunctionalTable" displayName="EEZ352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52ValidationTable" displayName="EEZ35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fd5566ec0b46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35a3541c364e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ee79e5592c41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6a5e59b82c49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EEZ_352</x:v>
      </x:c>
      <x:c r="B2" s="24" t="str">
        <x:v>Iceland</x:v>
      </x:c>
      <x:c r="C2" s="24" t="str">
        <x:v>EEZ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284539.5631554043</x:v>
      </x:c>
      <x:c r="J2" s="31" t="n">
        <x:v>283920.437299713</x:v>
      </x:c>
      <x:c r="K2" s="31" t="n">
        <x:v>619.1258556913</x:v>
      </x:c>
      <x:c r="L2" s="31" t="n">
        <x:v>283033.2186038887</x:v>
      </x:c>
      <x:c r="M2" s="31" t="n">
        <x:v>1506.3445515156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350060138.61069113</x:v>
      </x:c>
    </x:row>
    <x:row r="3" ht="18" customHeight="1">
      <x:c r="A3" s="24" t="str">
        <x:v>EEZ_352</x:v>
      </x:c>
      <x:c r="B3" s="24" t="str">
        <x:v>Iceland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146970.6256071837</x:v>
      </x:c>
      <x:c r="J3" s="31" t="n">
        <x:v>140176.5635514747</x:v>
      </x:c>
      <x:c r="K3" s="31" t="n">
        <x:v>6794.062055709</x:v>
      </x:c>
      <x:c r="L3" s="31" t="n">
        <x:v>140165.7555980387</x:v>
      </x:c>
      <x:c r="M3" s="31" t="n">
        <x:v>6804.870009145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28004675.378897175</x:v>
      </x:c>
    </x:row>
    <x:row r="4" ht="18" customHeight="1">
      <x:c r="A4" s="24" t="str">
        <x:v>EEZ_352</x:v>
      </x:c>
      <x:c r="B4" s="24" t="str">
        <x:v>Iceland</x:v>
      </x:c>
      <x:c r="C4" s="24" t="str">
        <x:v>EEZ</x:v>
      </x:c>
      <x:c r="D4" s="30" t="n">
        <x:v>2019</x:v>
      </x:c>
      <x:c r="E4" s="24" t="str">
        <x:v>Scomber scombrus</x:v>
      </x:c>
      <x:c r="F4" s="24" t="str">
        <x:v>Atlantic mackerel</x:v>
      </x:c>
      <x:c r="G4" s="24" t="str">
        <x:v>Medium pelagics (30 - 89 cm)</x:v>
      </x:c>
      <x:c r="H4" s="24" t="str">
        <x:v>Perch-likes</x:v>
      </x:c>
      <x:c r="I4" s="31" t="n">
        <x:v>66448.97439729891</x:v>
      </x:c>
      <x:c r="J4" s="31" t="n">
        <x:v>65729.623899764</x:v>
      </x:c>
      <x:c r="K4" s="31" t="n">
        <x:v>719.3504975349</x:v>
      </x:c>
      <x:c r="L4" s="31" t="n">
        <x:v>65729.623899764</x:v>
      </x:c>
      <x:c r="M4" s="31" t="n">
        <x:v>719.3504975349</x:v>
      </x:c>
      <x:c r="N4" s="24" t="str">
        <x:v>scomber scombrus</x:v>
      </x:c>
      <x:c r="O4" s="32" t="n">
        <x:v>3.63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scombrus</x:v>
      </x:c>
      <x:c r="T4" s="32" t="n">
        <x:f>IF(O4="","",(1/'Metadata'!$B$5)^(O4-1))</x:f>
        <x:v>426.57951880159254</x:v>
      </x:c>
      <x:c r="U4" s="31" t="n">
        <x:f>IF(T4="","",I4*T4)</x:f>
        <x:v>28345771.52325911</x:v>
      </x:c>
    </x:row>
    <x:row r="5" ht="18" customHeight="1">
      <x:c r="A5" s="24" t="str">
        <x:v>EEZ_352</x:v>
      </x:c>
      <x:c r="B5" s="24" t="str">
        <x:v>Iceland</x:v>
      </x:c>
      <x:c r="C5" s="24" t="str">
        <x:v>EEZ</x:v>
      </x:c>
      <x:c r="D5" s="30" t="n">
        <x:v>2019</x:v>
      </x:c>
      <x:c r="E5" s="24" t="str">
        <x:v>Pollachius virens</x:v>
      </x:c>
      <x:c r="F5" s="24" t="str">
        <x:v>Saithe</x:v>
      </x:c>
      <x:c r="G5" s="24" t="str">
        <x:v>Large demersals (&gt;=90 cm)</x:v>
      </x:c>
      <x:c r="H5" s="24" t="str">
        <x:v>Cod-likes</x:v>
      </x:c>
      <x:c r="I5" s="31" t="n">
        <x:v>65361.942374806</x:v>
      </x:c>
      <x:c r="J5" s="31" t="n">
        <x:v>64561.800580777395</x:v>
      </x:c>
      <x:c r="K5" s="31" t="n">
        <x:v>800.1417940286</x:v>
      </x:c>
      <x:c r="L5" s="31" t="n">
        <x:v>64527.9134044039</x:v>
      </x:c>
      <x:c r="M5" s="31" t="n">
        <x:v>834.0289704021</x:v>
      </x:c>
      <x:c r="N5" s="24" t="str">
        <x:v>pollachius virens</x:v>
      </x:c>
      <x:c r="O5" s="32" t="n">
        <x:v>4.31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Pollachius virens</x:v>
      </x:c>
      <x:c r="T5" s="32" t="n">
        <x:f>IF(O5="","",(1/'Metadata'!$B$5)^(O5-1))</x:f>
        <x:v>2041.7379446695275</x:v>
      </x:c>
      <x:c r="U5" s="31" t="n">
        <x:f>IF(T5="","",I5*T5)</x:f>
        <x:v>133451957.8839445</x:v>
      </x:c>
    </x:row>
    <x:row r="6" ht="18" customHeight="1">
      <x:c r="A6" s="24" t="str">
        <x:v>EEZ_352</x:v>
      </x:c>
      <x:c r="B6" s="24" t="str">
        <x:v>Iceland</x:v>
      </x:c>
      <x:c r="C6" s="24" t="str">
        <x:v>EEZ</x:v>
      </x:c>
      <x:c r="D6" s="30" t="n">
        <x:v>2019</x:v>
      </x:c>
      <x:c r="E6" s="24" t="str">
        <x:v>Melanogrammus aeglefinus</x:v>
      </x:c>
      <x:c r="F6" s="24" t="str">
        <x:v>Haddock</x:v>
      </x:c>
      <x:c r="G6" s="24" t="str">
        <x:v>Medium demersals (30 - 89 cm)</x:v>
      </x:c>
      <x:c r="H6" s="24" t="str">
        <x:v>Cod-likes</x:v>
      </x:c>
      <x:c r="I6" s="31" t="n">
        <x:v>63622.6300431447</x:v>
      </x:c>
      <x:c r="J6" s="31" t="n">
        <x:v>63488.7910257528</x:v>
      </x:c>
      <x:c r="K6" s="31" t="n">
        <x:v>133.8390173919</x:v>
      </x:c>
      <x:c r="L6" s="31" t="n">
        <x:v>58371.6598930137</x:v>
      </x:c>
      <x:c r="M6" s="31" t="n">
        <x:v>5250.970150131</x:v>
      </x:c>
      <x:c r="N6" s="24" t="str">
        <x:v>melanogrammus aeglefinus</x:v>
      </x:c>
      <x:c r="O6" s="32" t="n">
        <x:v>4.03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Melanogrammus aeglefinus</x:v>
      </x:c>
      <x:c r="T6" s="32" t="n">
        <x:f>IF(O6="","",(1/'Metadata'!$B$5)^(O6-1))</x:f>
        <x:v>1071.519305237607</x:v>
      </x:c>
      <x:c r="U6" s="31" t="n">
        <x:f>IF(T6="","",I6*T6)</x:f>
        <x:v>68172876.34121972</x:v>
      </x:c>
    </x:row>
    <x:row r="7" ht="18" customHeight="1">
      <x:c r="A7" s="24" t="str">
        <x:v>EEZ_352</x:v>
      </x:c>
      <x:c r="B7" s="24" t="str">
        <x:v>Iceland</x:v>
      </x:c>
      <x:c r="C7" s="24" t="str">
        <x:v>EEZ</x:v>
      </x:c>
      <x:c r="D7" s="30" t="n">
        <x:v>2019</x:v>
      </x:c>
      <x:c r="E7" s="24" t="str">
        <x:v>Sebastes norvegicus</x:v>
      </x:c>
      <x:c r="F7" s="24" t="str">
        <x:v>Golden redfish</x:v>
      </x:c>
      <x:c r="G7" s="24" t="str">
        <x:v>Medium benthopelagics (30 - 89 cm)</x:v>
      </x:c>
      <x:c r="H7" s="24" t="str">
        <x:v>Scorpionfishes</x:v>
      </x:c>
      <x:c r="I7" s="31" t="n">
        <x:v>47295.260902853</x:v>
      </x:c>
      <x:c r="J7" s="31" t="n">
        <x:v>44774.965447359704</x:v>
      </x:c>
      <x:c r="K7" s="31" t="n">
        <x:v>2520.2954554933</x:v>
      </x:c>
      <x:c r="L7" s="31" t="n">
        <x:v>44693.298746576904</x:v>
      </x:c>
      <x:c r="M7" s="31" t="n">
        <x:v>2601.9621562761</x:v>
      </x:c>
      <x:c r="N7" s="24" t="str">
        <x:v>sebastes norvegicus</x:v>
      </x:c>
      <x:c r="O7" s="32" t="n">
        <x:v>4.04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Sebastes norvegicus</x:v>
      </x:c>
      <x:c r="T7" s="32" t="n">
        <x:f>IF(O7="","",(1/'Metadata'!$B$5)^(O7-1))</x:f>
        <x:v>1096.4781961431852</x:v>
      </x:c>
      <x:c r="U7" s="31" t="n">
        <x:f>IF(T7="","",I7*T7)</x:f>
        <x:v>51858222.36088157</x:v>
      </x:c>
    </x:row>
    <x:row r="8" ht="18" customHeight="1">
      <x:c r="A8" s="24" t="str">
        <x:v>EEZ_352</x:v>
      </x:c>
      <x:c r="B8" s="24" t="str">
        <x:v>Iceland</x:v>
      </x:c>
      <x:c r="C8" s="24" t="str">
        <x:v>EEZ</x:v>
      </x:c>
      <x:c r="D8" s="30" t="n">
        <x:v>2019</x:v>
      </x:c>
      <x:c r="E8" s="24" t="str">
        <x:v>Reinhardtius hippoglossoides</x:v>
      </x:c>
      <x:c r="F8" s="24" t="str">
        <x:v>Greenland halibut</x:v>
      </x:c>
      <x:c r="G8" s="24" t="str">
        <x:v>Small to medium flatfishes (&lt;90 cm)</x:v>
      </x:c>
      <x:c r="H8" s="24" t="str">
        <x:v>Flatfishes</x:v>
      </x:c>
      <x:c r="I8" s="31" t="n">
        <x:v>12580.9096395887</x:v>
      </x:c>
      <x:c r="J8" s="31" t="n">
        <x:v>12328.552571345701</x:v>
      </x:c>
      <x:c r="K8" s="31" t="n">
        <x:v>252.357068243</x:v>
      </x:c>
      <x:c r="L8" s="31" t="n">
        <x:v>12314.2351</x:v>
      </x:c>
      <x:c r="M8" s="31" t="n">
        <x:v>266.6745395887</x:v>
      </x:c>
      <x:c r="N8" s="24" t="str">
        <x:v>reinhardtius hippoglossoides</x:v>
      </x:c>
      <x:c r="O8" s="32" t="n">
        <x:v>4.38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Reinhardtius hippoglossoides</x:v>
      </x:c>
      <x:c r="T8" s="32" t="n">
        <x:f>IF(O8="","",(1/'Metadata'!$B$5)^(O8-1))</x:f>
        <x:v>2398.83291901949</x:v>
      </x:c>
      <x:c r="U8" s="31" t="n">
        <x:f>IF(T8="","",I8*T8)</x:f>
        <x:v>30179500.194655</x:v>
      </x:c>
    </x:row>
    <x:row r="9" ht="18" customHeight="1">
      <x:c r="A9" s="24" t="str">
        <x:v>EEZ_352</x:v>
      </x:c>
      <x:c r="B9" s="24" t="str">
        <x:v>Iceland</x:v>
      </x:c>
      <x:c r="C9" s="24" t="str">
        <x:v>EEZ</x:v>
      </x:c>
      <x:c r="D9" s="30" t="n">
        <x:v>2019</x:v>
      </x:c>
      <x:c r="E9" s="24" t="str">
        <x:v>Anarhichas lupus</x:v>
      </x:c>
      <x:c r="F9" s="24" t="str">
        <x:v>Atlantic wolffish</x:v>
      </x:c>
      <x:c r="G9" s="24" t="str">
        <x:v>Large demersals (&gt;=90 cm)</x:v>
      </x:c>
      <x:c r="H9" s="24" t="str">
        <x:v>Perch-likes</x:v>
      </x:c>
      <x:c r="I9" s="31" t="n">
        <x:v>9944.8388520519</x:v>
      </x:c>
      <x:c r="J9" s="31" t="n">
        <x:v>9814.913387463</x:v>
      </x:c>
      <x:c r="K9" s="31" t="n">
        <x:v>129.92546458889998</x:v>
      </x:c>
      <x:c r="L9" s="31" t="n">
        <x:v>9211.051440000001</x:v>
      </x:c>
      <x:c r="M9" s="31" t="n">
        <x:v>733.7874120519</x:v>
      </x:c>
      <x:c r="N9" s="24" t="str">
        <x:v>anarhichas lupus</x:v>
      </x:c>
      <x:c r="O9" s="32" t="n">
        <x:v>3.55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Anarhichas lupus</x:v>
      </x:c>
      <x:c r="T9" s="32" t="n">
        <x:f>IF(O9="","",(1/'Metadata'!$B$5)^(O9-1))</x:f>
        <x:v>354.8133892335753</x:v>
      </x:c>
      <x:c r="U9" s="31" t="n">
        <x:f>IF(T9="","",I9*T9)</x:f>
        <x:v>3528561.9784782734</x:v>
      </x:c>
    </x:row>
    <x:row r="10" ht="18" customHeight="1">
      <x:c r="A10" s="24" t="str">
        <x:v>EEZ_352</x:v>
      </x:c>
      <x:c r="B10" s="24" t="str">
        <x:v>Iceland</x:v>
      </x:c>
      <x:c r="C10" s="24" t="str">
        <x:v>EEZ</x:v>
      </x:c>
      <x:c r="D10" s="30" t="n">
        <x:v>2019</x:v>
      </x:c>
      <x:c r="E10" s="24" t="str">
        <x:v>Sebastes mentella</x:v>
      </x:c>
      <x:c r="F10" s="24" t="str">
        <x:v>Beaked redfish</x:v>
      </x:c>
      <x:c r="G10" s="24" t="str">
        <x:v>Medium bathypelagics (30 - 89 cm)</x:v>
      </x:c>
      <x:c r="H10" s="24" t="str">
        <x:v>Scorpionfishes</x:v>
      </x:c>
      <x:c r="I10" s="31" t="n">
        <x:v>9837.812755943101</x:v>
      </x:c>
      <x:c r="J10" s="31" t="n">
        <x:v>9133.072910557701</x:v>
      </x:c>
      <x:c r="K10" s="31" t="n">
        <x:v>704.7398453854</x:v>
      </x:c>
      <x:c r="L10" s="31" t="n">
        <x:v>9133.072910557701</x:v>
      </x:c>
      <x:c r="M10" s="31" t="n">
        <x:v>704.7398453854</x:v>
      </x:c>
      <x:c r="N10" s="24" t="str">
        <x:v>sebastes mentella</x:v>
      </x:c>
      <x:c r="O10" s="32" t="n">
        <x:v>3.65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Sebastes mentella</x:v>
      </x:c>
      <x:c r="T10" s="32" t="n">
        <x:f>IF(O10="","",(1/'Metadata'!$B$5)^(O10-1))</x:f>
        <x:v>446.683592150963</x:v>
      </x:c>
      <x:c r="U10" s="31" t="n">
        <x:f>IF(T10="","",I10*T10)</x:f>
        <x:v>4394389.540733229</x:v>
      </x:c>
    </x:row>
    <x:row r="11" ht="18" customHeight="1">
      <x:c r="A11" s="24" t="str">
        <x:v>EEZ_352</x:v>
      </x:c>
      <x:c r="B11" s="24" t="str">
        <x:v>Iceland</x:v>
      </x:c>
      <x:c r="C11" s="24" t="str">
        <x:v>EEZ</x:v>
      </x:c>
      <x:c r="D11" s="30" t="n">
        <x:v>2019</x:v>
      </x:c>
      <x:c r="E11" s="24" t="str">
        <x:v>Molva molva</x:v>
      </x:c>
      <x:c r="F11" s="24" t="str">
        <x:v>Ling</x:v>
      </x:c>
      <x:c r="G11" s="24" t="str">
        <x:v>Large demersals (&gt;=90 cm)</x:v>
      </x:c>
      <x:c r="H11" s="24" t="str">
        <x:v>Cod-likes</x:v>
      </x:c>
      <x:c r="I11" s="31" t="n">
        <x:v>8501.6027959536</x:v>
      </x:c>
      <x:c r="J11" s="31" t="n">
        <x:v>8393.0095932886</x:v>
      </x:c>
      <x:c r="K11" s="31" t="n">
        <x:v>108.593202665</x:v>
      </x:c>
      <x:c r="L11" s="31" t="n">
        <x:v>8328.9576671153</x:v>
      </x:c>
      <x:c r="M11" s="31" t="n">
        <x:v>172.6451288383</x:v>
      </x:c>
      <x:c r="N11" s="24" t="str">
        <x:v>molva molva</x:v>
      </x:c>
      <x:c r="O11" s="32" t="n">
        <x:v>4.4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Molva molva</x:v>
      </x:c>
      <x:c r="T11" s="32" t="n">
        <x:f>IF(O11="","",(1/'Metadata'!$B$5)^(O11-1))</x:f>
        <x:v>2511.886431509582</x:v>
      </x:c>
      <x:c r="U11" s="31" t="n">
        <x:f>IF(T11="","",I11*T11)</x:f>
        <x:v>21355060.709239773</x:v>
      </x:c>
    </x:row>
    <x:row r="12" ht="18" customHeight="1">
      <x:c r="A12" s="24" t="str">
        <x:v>EEZ_352</x:v>
      </x:c>
      <x:c r="B12" s="24" t="str">
        <x:v>Iceland</x:v>
      </x:c>
      <x:c r="C12" s="24" t="str">
        <x:v>EEZ</x:v>
      </x:c>
      <x:c r="D12" s="30" t="n">
        <x:v>2019</x:v>
      </x:c>
      <x:c r="E12" s="24" t="str">
        <x:v>Pleuronectes platessa</x:v>
      </x:c>
      <x:c r="F12" s="24" t="str">
        <x:v>European plaice</x:v>
      </x:c>
      <x:c r="G12" s="24" t="str">
        <x:v>Large flatfishes (&gt;=90 cm)</x:v>
      </x:c>
      <x:c r="H12" s="24" t="str">
        <x:v>Flatfishes</x:v>
      </x:c>
      <x:c r="I12" s="31" t="n">
        <x:v>7099.6124527885</x:v>
      </x:c>
      <x:c r="J12" s="31" t="n">
        <x:v>6968.970835869</x:v>
      </x:c>
      <x:c r="K12" s="31" t="n">
        <x:v>130.6416169195</x:v>
      </x:c>
      <x:c r="L12" s="31" t="n">
        <x:v>6834.5792029036</x:v>
      </x:c>
      <x:c r="M12" s="31" t="n">
        <x:v>265.0332498849</x:v>
      </x:c>
      <x:c r="N12" s="24" t="str">
        <x:v>pleuronectes platessa</x:v>
      </x:c>
      <x:c r="O12" s="32" t="n">
        <x:v>3.26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Pleuronectes platessa</x:v>
      </x:c>
      <x:c r="T12" s="32" t="n">
        <x:f>IF(O12="","",(1/'Metadata'!$B$5)^(O12-1))</x:f>
        <x:v>181.97008586099827</x:v>
      </x:c>
      <x:c r="U12" s="31" t="n">
        <x:f>IF(T12="","",I12*T12)</x:f>
        <x:v>1291917.0876137358</x:v>
      </x:c>
    </x:row>
    <x:row r="13" ht="18" customHeight="1">
      <x:c r="A13" s="24" t="str">
        <x:v>EEZ_352</x:v>
      </x:c>
      <x:c r="B13" s="24" t="str">
        <x:v>Iceland</x:v>
      </x:c>
      <x:c r="C13" s="24" t="str">
        <x:v>EEZ</x:v>
      </x:c>
      <x:c r="D13" s="30" t="n">
        <x:v>2019</x:v>
      </x:c>
      <x:c r="E13" s="24" t="str">
        <x:v>Cyclopterus lumpus</x:v>
      </x:c>
      <x:c r="F13" s="24" t="str">
        <x:v>Lumpfish</x:v>
      </x:c>
      <x:c r="G13" s="24" t="str">
        <x:v>Medium benthopelagics (30 - 89 cm)</x:v>
      </x:c>
      <x:c r="H13" s="24" t="str">
        <x:v>Scorpionfishes</x:v>
      </x:c>
      <x:c r="I13" s="31" t="n">
        <x:v>5314.7107583953</x:v>
      </x:c>
      <x:c r="J13" s="31" t="n">
        <x:v>5037.588</x:v>
      </x:c>
      <x:c r="K13" s="31" t="n">
        <x:v>277.1227583953</x:v>
      </x:c>
      <x:c r="L13" s="31" t="n">
        <x:v>5037.588</x:v>
      </x:c>
      <x:c r="M13" s="31" t="n">
        <x:v>277.1227583953</x:v>
      </x:c>
      <x:c r="N13" s="24" t="str">
        <x:v>cyclopterus lumpus</x:v>
      </x:c>
      <x:c r="O13" s="32" t="n">
        <x:v>3.89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Cyclopterus lumpus</x:v>
      </x:c>
      <x:c r="T13" s="32" t="n">
        <x:f>IF(O13="","",(1/'Metadata'!$B$5)^(O13-1))</x:f>
        <x:v>776.247116628692</x:v>
      </x:c>
      <x:c r="U13" s="31" t="n">
        <x:f>IF(T13="","",I13*T13)</x:f>
        <x:v>4125528.9019198404</x:v>
      </x:c>
    </x:row>
    <x:row r="14" ht="18" customHeight="1">
      <x:c r="A14" s="24" t="str">
        <x:v>EEZ_352</x:v>
      </x:c>
      <x:c r="B14" s="24" t="str">
        <x:v>Iceland</x:v>
      </x:c>
      <x:c r="C14" s="24" t="str">
        <x:v>EEZ</x:v>
      </x:c>
      <x:c r="D14" s="30" t="n">
        <x:v>2019</x:v>
      </x:c>
      <x:c r="E14" s="24" t="str">
        <x:v>Micromesistius poutassou</x:v>
      </x:c>
      <x:c r="F14" s="24" t="str">
        <x:v>Blue whiting</x:v>
      </x:c>
      <x:c r="G14" s="24" t="str">
        <x:v>Medium benthopelagics (30 - 89 cm)</x:v>
      </x:c>
      <x:c r="H14" s="24" t="str">
        <x:v>Cod-likes</x:v>
      </x:c>
      <x:c r="I14" s="31" t="n">
        <x:v>5136.3865746576</x:v>
      </x:c>
      <x:c r="J14" s="31" t="n">
        <x:v>4984.6151993874</x:v>
      </x:c>
      <x:c r="K14" s="31" t="n">
        <x:v>151.7713752702</x:v>
      </x:c>
      <x:c r="L14" s="31" t="n">
        <x:v>4984.6151993874</x:v>
      </x:c>
      <x:c r="M14" s="31" t="n">
        <x:v>151.7713752702</x:v>
      </x:c>
      <x:c r="N14" s="24" t="str">
        <x:v>micromesistius poutassou</x:v>
      </x:c>
      <x:c r="O14" s="32" t="n">
        <x:v>4.13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Micromesistius poutassou</x:v>
      </x:c>
      <x:c r="T14" s="32" t="n">
        <x:f>IF(O14="","",(1/'Metadata'!$B$5)^(O14-1))</x:f>
        <x:v>1348.9628825916532</x:v>
      </x:c>
      <x:c r="U14" s="31" t="n">
        <x:f>IF(T14="","",I14*T14)</x:f>
        <x:v>6928794.839855184</x:v>
      </x:c>
    </x:row>
    <x:row r="15" ht="18" customHeight="1">
      <x:c r="A15" s="24" t="str">
        <x:v>EEZ_352</x:v>
      </x:c>
      <x:c r="B15" s="24" t="str">
        <x:v>Iceland</x:v>
      </x:c>
      <x:c r="C15" s="24" t="str">
        <x:v>EEZ</x:v>
      </x:c>
      <x:c r="D15" s="30" t="n">
        <x:v>2019</x:v>
      </x:c>
      <x:c r="E15" s="24" t="str">
        <x:v>Brosme brosme</x:v>
      </x:c>
      <x:c r="F15" s="24" t="str">
        <x:v>Tusk</x:v>
      </x:c>
      <x:c r="G15" s="24" t="str">
        <x:v>Large demersals (&gt;=90 cm)</x:v>
      </x:c>
      <x:c r="H15" s="24" t="str">
        <x:v>Cod-likes</x:v>
      </x:c>
      <x:c r="I15" s="31" t="n">
        <x:v>3494.4484019634</x:v>
      </x:c>
      <x:c r="J15" s="31" t="n">
        <x:v>3475.9047460702</x:v>
      </x:c>
      <x:c r="K15" s="31" t="n">
        <x:v>18.5436558932</x:v>
      </x:c>
      <x:c r="L15" s="31" t="n">
        <x:v>3374.0557826868</x:v>
      </x:c>
      <x:c r="M15" s="31" t="n">
        <x:v>120.3926192766</x:v>
      </x:c>
      <x:c r="N15" s="24" t="str">
        <x:v>brosme brosme</x:v>
      </x:c>
      <x:c r="O15" s="32" t="n">
        <x:v>3.9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Brosme brosme</x:v>
      </x:c>
      <x:c r="T15" s="32" t="n">
        <x:f>IF(O15="","",(1/'Metadata'!$B$5)^(O15-1))</x:f>
        <x:v>794.3282347242813</x:v>
      </x:c>
      <x:c r="U15" s="31" t="n">
        <x:f>IF(T15="","",I15*T15)</x:f>
        <x:v>2775739.0304666734</x:v>
      </x:c>
    </x:row>
    <x:row r="16" ht="18" customHeight="1">
      <x:c r="A16" s="24" t="str">
        <x:v>EEZ_352</x:v>
      </x:c>
      <x:c r="B16" s="24" t="str">
        <x:v>Iceland</x:v>
      </x:c>
      <x:c r="C16" s="24" t="str">
        <x:v>EEZ</x:v>
      </x:c>
      <x:c r="D16" s="30" t="n">
        <x:v>2019</x:v>
      </x:c>
      <x:c r="E16" s="24" t="str">
        <x:v>Argentina silus</x:v>
      </x:c>
      <x:c r="F16" s="24" t="str">
        <x:v>Greater argentine</x:v>
      </x:c>
      <x:c r="G16" s="24" t="str">
        <x:v>Medium bathydemersals (30 - 89 cm)</x:v>
      </x:c>
      <x:c r="H16" s="24" t="str">
        <x:v>Salmon, smelts, etc</x:v>
      </x:c>
      <x:c r="I16" s="31" t="n">
        <x:v>3290.63150473</x:v>
      </x:c>
      <x:c r="J16" s="31" t="n">
        <x:v>3209.133</x:v>
      </x:c>
      <x:c r="K16" s="31" t="n">
        <x:v>81.49850473</x:v>
      </x:c>
      <x:c r="L16" s="31" t="n">
        <x:v>3209.133</x:v>
      </x:c>
      <x:c r="M16" s="31" t="n">
        <x:v>81.49850473</x:v>
      </x:c>
      <x:c r="N16" s="24" t="str">
        <x:v>argentina silus</x:v>
      </x:c>
      <x:c r="O16" s="32" t="n">
        <x:v>3.32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Argentina silus</x:v>
      </x:c>
      <x:c r="T16" s="32" t="n">
        <x:f>IF(O16="","",(1/'Metadata'!$B$5)^(O16-1))</x:f>
        <x:v>208.92961308540387</x:v>
      </x:c>
      <x:c r="U16" s="31" t="n">
        <x:f>IF(T16="","",I16*T16)</x:f>
        <x:v>687510.3670898792</x:v>
      </x:c>
    </x:row>
    <x:row r="17" ht="18" customHeight="1">
      <x:c r="A17" s="24" t="str">
        <x:v>EEZ_352</x:v>
      </x:c>
      <x:c r="B17" s="24" t="str">
        <x:v>Iceland</x:v>
      </x:c>
      <x:c r="C17" s="24" t="str">
        <x:v>EEZ</x:v>
      </x:c>
      <x:c r="D17" s="30" t="n">
        <x:v>2019</x:v>
      </x:c>
      <x:c r="E17" s="24" t="str">
        <x:v>Pandalus borealis</x:v>
      </x:c>
      <x:c r="F17" s="24" t="str">
        <x:v>Northern prawn</x:v>
      </x:c>
      <x:c r="G17" s="24" t="str">
        <x:v>Shrimps</x:v>
      </x:c>
      <x:c r="H17" s="24" t="str">
        <x:v>Crustaceans</x:v>
      </x:c>
      <x:c r="I17" s="31" t="n">
        <x:v>2987.9300109508</x:v>
      </x:c>
      <x:c r="J17" s="31" t="n">
        <x:v>2924.3963260458995</x:v>
      </x:c>
      <x:c r="K17" s="31" t="n">
        <x:v>63.53368490490001</x:v>
      </x:c>
      <x:c r="L17" s="31" t="n">
        <x:v>2919.5090000001996</x:v>
      </x:c>
      <x:c r="M17" s="31" t="n">
        <x:v>68.4210109506</x:v>
      </x:c>
      <x:c r="N17" s="24" t="str">
        <x:v>pandalus borealis</x:v>
      </x:c>
      <x:c r="O17" s="32" t="n">
        <x:v>3.07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Pandalus borealis</x:v>
      </x:c>
      <x:c r="T17" s="32" t="n">
        <x:f>IF(O17="","",(1/'Metadata'!$B$5)^(O17-1))</x:f>
        <x:v>117.48975549395291</x:v>
      </x:c>
      <x:c r="U17" s="31" t="n">
        <x:f>IF(T17="","",I17*T17)</x:f>
        <x:v>351051.1664196535</x:v>
      </x:c>
    </x:row>
    <x:row r="18" ht="18" customHeight="1">
      <x:c r="A18" s="24" t="str">
        <x:v>EEZ_352</x:v>
      </x:c>
      <x:c r="B18" s="24" t="str">
        <x:v>Iceland</x:v>
      </x:c>
      <x:c r="C18" s="24" t="str">
        <x:v>EEZ</x:v>
      </x:c>
      <x:c r="D18" s="30" t="n">
        <x:v>2019</x:v>
      </x:c>
      <x:c r="E18" s="24" t="str">
        <x:v>Anarhichas minor</x:v>
      </x:c>
      <x:c r="F18" s="24" t="str">
        <x:v>Spotted wolffish</x:v>
      </x:c>
      <x:c r="G18" s="24" t="str">
        <x:v>Large demersals (&gt;=90 cm)</x:v>
      </x:c>
      <x:c r="H18" s="24" t="str">
        <x:v>Perch-likes</x:v>
      </x:c>
      <x:c r="I18" s="31" t="n">
        <x:v>1529.3826132791</x:v>
      </x:c>
      <x:c r="J18" s="31" t="n">
        <x:v>1506.8187659921</x:v>
      </x:c>
      <x:c r="K18" s="31" t="n">
        <x:v>22.563847287</x:v>
      </x:c>
      <x:c r="L18" s="31" t="n">
        <x:v>1389.6769999997998</x:v>
      </x:c>
      <x:c r="M18" s="31" t="n">
        <x:v>139.7056132793</x:v>
      </x:c>
      <x:c r="N18" s="24" t="str">
        <x:v>anarhichas minor</x:v>
      </x:c>
      <x:c r="O18" s="32" t="n">
        <x:v>3.45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Anarhichas minor</x:v>
      </x:c>
      <x:c r="T18" s="32" t="n">
        <x:f>IF(O18="","",(1/'Metadata'!$B$5)^(O18-1))</x:f>
        <x:v>281.8382931264455</x:v>
      </x:c>
      <x:c r="U18" s="31" t="n">
        <x:f>IF(T18="","",I18*T18)</x:f>
        <x:v>431038.58526384423</x:v>
      </x:c>
    </x:row>
    <x:row r="19" ht="18" customHeight="1">
      <x:c r="A19" s="24" t="str">
        <x:v>EEZ_352</x:v>
      </x:c>
      <x:c r="B19" s="24" t="str">
        <x:v>Iceland</x:v>
      </x:c>
      <x:c r="C19" s="24" t="str">
        <x:v>EEZ</x:v>
      </x:c>
      <x:c r="D19" s="30" t="n">
        <x:v>2019</x:v>
      </x:c>
      <x:c r="E19" s="24" t="str">
        <x:v>Microstomus kitt</x:v>
      </x:c>
      <x:c r="F19" s="24" t="str">
        <x:v>Lemon sole</x:v>
      </x:c>
      <x:c r="G19" s="24" t="str">
        <x:v>Small to medium flatfishes (&lt;90 cm)</x:v>
      </x:c>
      <x:c r="H19" s="24" t="str">
        <x:v>Flatfishes</x:v>
      </x:c>
      <x:c r="I19" s="31" t="n">
        <x:v>1479.5615987811</x:v>
      </x:c>
      <x:c r="J19" s="31" t="n">
        <x:v>1453.1118608366</x:v>
      </x:c>
      <x:c r="K19" s="31" t="n">
        <x:v>26.4497379445</x:v>
      </x:c>
      <x:c r="L19" s="31" t="n">
        <x:v>1449.202</x:v>
      </x:c>
      <x:c r="M19" s="31" t="n">
        <x:v>30.3595987811</x:v>
      </x:c>
      <x:c r="N19" s="24" t="str">
        <x:v>microstomus kitt</x:v>
      </x:c>
      <x:c r="O19" s="32" t="n">
        <x:v>3.22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Microstomus kitt</x:v>
      </x:c>
      <x:c r="T19" s="32" t="n">
        <x:f>IF(O19="","",(1/'Metadata'!$B$5)^(O19-1))</x:f>
        <x:v>165.95869074375614</x:v>
      </x:c>
      <x:c r="U19" s="31" t="n">
        <x:f>IF(T19="","",I19*T19)</x:f>
        <x:v>245546.10580844997</x:v>
      </x:c>
    </x:row>
    <x:row r="20" ht="18" customHeight="1">
      <x:c r="A20" s="24" t="str">
        <x:v>EEZ_352</x:v>
      </x:c>
      <x:c r="B20" s="24" t="str">
        <x:v>Iceland</x:v>
      </x:c>
      <x:c r="C20" s="24" t="str">
        <x:v>EEZ</x:v>
      </x:c>
      <x:c r="D20" s="30" t="n">
        <x:v>2019</x:v>
      </x:c>
      <x:c r="E20" s="24" t="str">
        <x:v>Sebastes</x:v>
      </x:c>
      <x:c r="F20" s="24" t="str">
        <x:v>Redfishes</x:v>
      </x:c>
      <x:c r="G20" s="24" t="str">
        <x:v>Large reef assoc. fish (&gt;=90 cm)</x:v>
      </x:c>
      <x:c r="H20" s="24" t="str">
        <x:v>Scorpionfishes</x:v>
      </x:c>
      <x:c r="I20" s="31" t="n">
        <x:v>1377.6486039627</x:v>
      </x:c>
      <x:c r="J20" s="31" t="n">
        <x:v>105.4925653454</x:v>
      </x:c>
      <x:c r="K20" s="31" t="n">
        <x:v>1272.1560386173</x:v>
      </x:c>
      <x:c r="L20" s="31" t="n">
        <x:v>105.4925653454</x:v>
      </x:c>
      <x:c r="M20" s="31" t="n">
        <x:v>1272.1560386173</x:v>
      </x:c>
      <x:c r="N20" s="24" t="str">
        <x:v>sebastes</x:v>
      </x:c>
      <x:c r="O20" s="32" t="n">
        <x:v>3.79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Sebastes</x:v>
      </x:c>
      <x:c r="T20" s="32" t="n">
        <x:f>IF(O20="","",(1/'Metadata'!$B$5)^(O20-1))</x:f>
        <x:v>616.5950018614822</x:v>
      </x:c>
      <x:c r="U20" s="31" t="n">
        <x:f>IF(T20="","",I20*T20)</x:f>
        <x:v>849451.2435248493</x:v>
      </x:c>
    </x:row>
    <x:row r="21" ht="18" customHeight="1">
      <x:c r="A21" s="24" t="str">
        <x:v>EEZ_352</x:v>
      </x:c>
      <x:c r="B21" s="24" t="str">
        <x:v>Iceland</x:v>
      </x:c>
      <x:c r="C21" s="24" t="str">
        <x:v>EEZ</x:v>
      </x:c>
      <x:c r="D21" s="30" t="n">
        <x:v>2019</x:v>
      </x:c>
      <x:c r="E21" s="24" t="str">
        <x:v>Trisopterus esmarkii</x:v>
      </x:c>
      <x:c r="F21" s="24" t="str">
        <x:v>Norway pout</x:v>
      </x:c>
      <x:c r="G21" s="24" t="str">
        <x:v>Medium benthopelagics (30 - 89 cm)</x:v>
      </x:c>
      <x:c r="H21" s="24" t="str">
        <x:v>Cod-likes</x:v>
      </x:c>
      <x:c r="I21" s="31" t="n">
        <x:v>1365.5618310201</x:v>
      </x:c>
      <x:c r="J21" s="31" t="n">
        <x:v>1362.079395</x:v>
      </x:c>
      <x:c r="K21" s="31" t="n">
        <x:v>3.4824360201</x:v>
      </x:c>
      <x:c r="L21" s="31" t="n">
        <x:v>1362.079395</x:v>
      </x:c>
      <x:c r="M21" s="31" t="n">
        <x:v>3.4824360201</x:v>
      </x:c>
      <x:c r="N21" s="24" t="str">
        <x:v>trisopterus esmarkii</x:v>
      </x:c>
      <x:c r="O21" s="32" t="n">
        <x:v>3.24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Trisopterus esmarkii</x:v>
      </x:c>
      <x:c r="T21" s="32" t="n">
        <x:f>IF(O21="","",(1/'Metadata'!$B$5)^(O21-1))</x:f>
        <x:v>173.78008287493762</x:v>
      </x:c>
      <x:c r="U21" s="31" t="n">
        <x:f>IF(T21="","",I21*T21)</x:f>
        <x:v>237307.44816552455</x:v>
      </x:c>
    </x:row>
    <x:row r="22" ht="18" customHeight="1">
      <x:c r="A22" s="24" t="str">
        <x:v>EEZ_352</x:v>
      </x:c>
      <x:c r="B22" s="24" t="str">
        <x:v>Iceland</x:v>
      </x:c>
      <x:c r="C22" s="24" t="str">
        <x:v>EEZ</x:v>
      </x:c>
      <x:c r="D22" s="30" t="n">
        <x:v>2019</x:v>
      </x:c>
      <x:c r="E22" s="24" t="str">
        <x:v>Mallotus villosus</x:v>
      </x:c>
      <x:c r="F22" s="24" t="str">
        <x:v>Capelin</x:v>
      </x:c>
      <x:c r="G22" s="24" t="str">
        <x:v>Small pelagics (&lt;30 cm)</x:v>
      </x:c>
      <x:c r="H22" s="24" t="str">
        <x:v>Salmon, smelts, etc</x:v>
      </x:c>
      <x:c r="I22" s="31" t="n">
        <x:v>968.8298569929</x:v>
      </x:c>
      <x:c r="J22" s="31" t="n">
        <x:v>2.9597584379999997</x:v>
      </x:c>
      <x:c r="K22" s="31" t="n">
        <x:v>965.8700985549</x:v>
      </x:c>
      <x:c r="L22" s="31" t="n">
        <x:v>2.9597584379999997</x:v>
      </x:c>
      <x:c r="M22" s="31" t="n">
        <x:v>965.8700985549</x:v>
      </x:c>
      <x:c r="N22" s="24" t="str">
        <x:v>mallotus villosus</x:v>
      </x:c>
      <x:c r="O22" s="32" t="n">
        <x:v>3.15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Mallotus villosus</x:v>
      </x:c>
      <x:c r="T22" s="32" t="n">
        <x:f>IF(O22="","",(1/'Metadata'!$B$5)^(O22-1))</x:f>
        <x:v>141.2537544622754</x:v>
      </x:c>
      <x:c r="U22" s="31" t="n">
        <x:f>IF(T22="","",I22*T22)</x:f>
        <x:v>136850.85473539648</x:v>
      </x:c>
    </x:row>
    <x:row r="23" ht="18" customHeight="1">
      <x:c r="A23" s="24" t="str">
        <x:v>EEZ_352</x:v>
      </x:c>
      <x:c r="B23" s="24" t="str">
        <x:v>Iceland</x:v>
      </x:c>
      <x:c r="C23" s="24" t="str">
        <x:v>EEZ</x:v>
      </x:c>
      <x:c r="D23" s="30" t="n">
        <x:v>2019</x:v>
      </x:c>
      <x:c r="E23" s="24" t="str">
        <x:v>Amblyraja radiata</x:v>
      </x:c>
      <x:c r="F23" s="24" t="str">
        <x:v>Starry ray</x:v>
      </x:c>
      <x:c r="G23" s="24" t="str">
        <x:v>Large rays (&gt;=90 cm)</x:v>
      </x:c>
      <x:c r="H23" s="24" t="str">
        <x:v>Sharks &amp; rays</x:v>
      </x:c>
      <x:c r="I23" s="31" t="n">
        <x:v>962.617</x:v>
      </x:c>
      <x:c r="J23" s="31" t="n">
        <x:v>962.617</x:v>
      </x:c>
      <x:c r="K23" s="31" t="n">
        <x:v>0</x:v>
      </x:c>
      <x:c r="L23" s="31" t="n">
        <x:v>962.617</x:v>
      </x:c>
      <x:c r="M23" s="31" t="n">
        <x:v>0</x:v>
      </x:c>
      <x:c r="N23" s="24" t="str">
        <x:v>amblyraja radiata</x:v>
      </x:c>
      <x:c r="O23" s="32" t="n">
        <x:v>4.2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Amblyraja radiata</x:v>
      </x:c>
      <x:c r="T23" s="32" t="n">
        <x:f>IF(O23="","",(1/'Metadata'!$B$5)^(O23-1))</x:f>
        <x:v>1584.893192461114</x:v>
      </x:c>
      <x:c r="U23" s="31" t="n">
        <x:f>IF(T23="","",I23*T23)</x:f>
        <x:v>1525645.13024734</x:v>
      </x:c>
    </x:row>
    <x:row r="24" ht="18" customHeight="1">
      <x:c r="A24" s="24" t="str">
        <x:v>EEZ_352</x:v>
      </x:c>
      <x:c r="B24" s="24" t="str">
        <x:v>Iceland</x:v>
      </x:c>
      <x:c r="C24" s="24" t="str">
        <x:v>EEZ</x:v>
      </x:c>
      <x:c r="D24" s="30" t="n">
        <x:v>2019</x:v>
      </x:c>
      <x:c r="E24" s="24" t="str">
        <x:v>Glyptocephalus cynoglossus</x:v>
      </x:c>
      <x:c r="F24" s="24" t="str">
        <x:v>Witch flounder</x:v>
      </x:c>
      <x:c r="G24" s="24" t="str">
        <x:v>Small to medium flatfishes (&lt;90 cm)</x:v>
      </x:c>
      <x:c r="H24" s="24" t="str">
        <x:v>Flatfishes</x:v>
      </x:c>
      <x:c r="I24" s="31" t="n">
        <x:v>897.0514249388</x:v>
      </x:c>
      <x:c r="J24" s="31" t="n">
        <x:v>880.6290000002</x:v>
      </x:c>
      <x:c r="K24" s="31" t="n">
        <x:v>16.4224249386</x:v>
      </x:c>
      <x:c r="L24" s="31" t="n">
        <x:v>880.6290000002</x:v>
      </x:c>
      <x:c r="M24" s="31" t="n">
        <x:v>16.4224249386</x:v>
      </x:c>
      <x:c r="N24" s="24" t="str">
        <x:v>glyptocephalus cynoglossus</x:v>
      </x:c>
      <x:c r="O24" s="32" t="n">
        <x:v>3.17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Glyptocephalus cynoglossus</x:v>
      </x:c>
      <x:c r="T24" s="32" t="n">
        <x:f>IF(O24="","",(1/'Metadata'!$B$5)^(O24-1))</x:f>
        <x:v>147.91083881682073</x:v>
      </x:c>
      <x:c r="U24" s="31" t="n">
        <x:f>IF(T24="","",I24*T24)</x:f>
        <x:v>132683.6287245222</x:v>
      </x:c>
    </x:row>
    <x:row r="25" ht="18" customHeight="1">
      <x:c r="A25" s="24" t="str">
        <x:v>EEZ_352</x:v>
      </x:c>
      <x:c r="B25" s="24" t="str">
        <x:v>Iceland</x:v>
      </x:c>
      <x:c r="C25" s="24" t="str">
        <x:v>EEZ</x:v>
      </x:c>
      <x:c r="D25" s="30" t="n">
        <x:v>2019</x:v>
      </x:c>
      <x:c r="E25" s="24" t="str">
        <x:v>Merlangius merlangus</x:v>
      </x:c>
      <x:c r="F25" s="24" t="str">
        <x:v>Whiting</x:v>
      </x:c>
      <x:c r="G25" s="24" t="str">
        <x:v>Medium benthopelagics (30 - 89 cm)</x:v>
      </x:c>
      <x:c r="H25" s="24" t="str">
        <x:v>Cod-likes</x:v>
      </x:c>
      <x:c r="I25" s="31" t="n">
        <x:v>836.0983299333</x:v>
      </x:c>
      <x:c r="J25" s="31" t="n">
        <x:v>827.7641661735</x:v>
      </x:c>
      <x:c r="K25" s="31" t="n">
        <x:v>8.3341637598</x:v>
      </x:c>
      <x:c r="L25" s="31" t="n">
        <x:v>763.7122400002</x:v>
      </x:c>
      <x:c r="M25" s="31" t="n">
        <x:v>72.38608993310001</x:v>
      </x:c>
      <x:c r="N25" s="24" t="str">
        <x:v>merlangius merlangus</x:v>
      </x:c>
      <x:c r="O25" s="32" t="n">
        <x:v>4.36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Merlangius merlangus</x:v>
      </x:c>
      <x:c r="T25" s="32" t="n">
        <x:f>IF(O25="","",(1/'Metadata'!$B$5)^(O25-1))</x:f>
        <x:v>2290.867652767775</x:v>
      </x:c>
      <x:c r="U25" s="31" t="n">
        <x:f>IF(T25="","",I25*T25)</x:f>
        <x:v>1915390.6185773555</x:v>
      </x:c>
    </x:row>
    <x:row r="26" ht="18" customHeight="1">
      <x:c r="A26" s="24" t="str">
        <x:v>EEZ_352</x:v>
      </x:c>
      <x:c r="B26" s="24" t="str">
        <x:v>Iceland</x:v>
      </x:c>
      <x:c r="C26" s="24" t="str">
        <x:v>EEZ</x:v>
      </x:c>
      <x:c r="D26" s="30" t="n">
        <x:v>2019</x:v>
      </x:c>
      <x:c r="E26" s="24" t="str">
        <x:v>Lophius piscatorius</x:v>
      </x:c>
      <x:c r="F26" s="24" t="str">
        <x:v>Angler</x:v>
      </x:c>
      <x:c r="G26" s="24" t="str">
        <x:v>Large bathydemersals (&gt;=90 cm)</x:v>
      </x:c>
      <x:c r="H26" s="24" t="str">
        <x:v>Other fishes &amp; inverts</x:v>
      </x:c>
      <x:c r="I26" s="31" t="n">
        <x:v>592.6185572175</x:v>
      </x:c>
      <x:c r="J26" s="31" t="n">
        <x:v>586.8164783664</x:v>
      </x:c>
      <x:c r="K26" s="31" t="n">
        <x:v>5.8020788511</x:v>
      </x:c>
      <x:c r="L26" s="31" t="n">
        <x:v>511.2202700003</x:v>
      </x:c>
      <x:c r="M26" s="31" t="n">
        <x:v>81.39828721720001</x:v>
      </x:c>
      <x:c r="N26" s="24" t="str">
        <x:v>lophius piscatorius</x:v>
      </x:c>
      <x:c r="O26" s="32" t="n">
        <x:v>4.45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Lophius piscatorius</x:v>
      </x:c>
      <x:c r="T26" s="32" t="n">
        <x:f>IF(O26="","",(1/'Metadata'!$B$5)^(O26-1))</x:f>
        <x:v>2818.382931264455</x:v>
      </x:c>
      <x:c r="U26" s="31" t="n">
        <x:f>IF(T26="","",I26*T26)</x:f>
        <x:v>1670226.0264123697</x:v>
      </x:c>
    </x:row>
    <x:row r="27" ht="18" customHeight="1">
      <x:c r="A27" s="24" t="str">
        <x:v>EEZ_352</x:v>
      </x:c>
      <x:c r="B27" s="24" t="str">
        <x:v>Iceland</x:v>
      </x:c>
      <x:c r="C27" s="24" t="str">
        <x:v>EEZ</x:v>
      </x:c>
      <x:c r="D27" s="30" t="n">
        <x:v>2019</x:v>
      </x:c>
      <x:c r="E27" s="24" t="str">
        <x:v>Limanda limanda</x:v>
      </x:c>
      <x:c r="F27" s="24" t="str">
        <x:v>Common dab</x:v>
      </x:c>
      <x:c r="G27" s="24" t="str">
        <x:v>Small to medium flatfishes (&lt;90 cm)</x:v>
      </x:c>
      <x:c r="H27" s="24" t="str">
        <x:v>Flatfishes</x:v>
      </x:c>
      <x:c r="I27" s="31" t="n">
        <x:v>504.0610276621</x:v>
      </x:c>
      <x:c r="J27" s="31" t="n">
        <x:v>502.3190000001</x:v>
      </x:c>
      <x:c r="K27" s="31" t="n">
        <x:v>1.7420276620000001</x:v>
      </x:c>
      <x:c r="L27" s="31" t="n">
        <x:v>502.3190000001</x:v>
      </x:c>
      <x:c r="M27" s="31" t="n">
        <x:v>1.7420276620000001</x:v>
      </x:c>
      <x:c r="N27" s="24" t="str">
        <x:v>limanda limanda</x:v>
      </x:c>
      <x:c r="O27" s="32" t="n">
        <x:v>3.29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Limanda limanda</x:v>
      </x:c>
      <x:c r="T27" s="32" t="n">
        <x:f>IF(O27="","",(1/'Metadata'!$B$5)^(O27-1))</x:f>
        <x:v>194.98445997580455</x:v>
      </x:c>
      <x:c r="U27" s="31" t="n">
        <x:f>IF(T27="","",I27*T27)</x:f>
        <x:v>98284.06727354365</x:v>
      </x:c>
    </x:row>
    <x:row r="28" ht="18" customHeight="1">
      <x:c r="A28" s="24" t="str">
        <x:v>EEZ_352</x:v>
      </x:c>
      <x:c r="B28" s="24" t="str">
        <x:v>Iceland</x:v>
      </x:c>
      <x:c r="C28" s="24" t="str">
        <x:v>EEZ</x:v>
      </x:c>
      <x:c r="D28" s="30" t="n">
        <x:v>2019</x:v>
      </x:c>
      <x:c r="E28" s="24" t="str">
        <x:v>Molva dypterygia</x:v>
      </x:c>
      <x:c r="F28" s="24" t="str">
        <x:v>Blue ling</x:v>
      </x:c>
      <x:c r="G28" s="24" t="str">
        <x:v>Large demersals (&gt;=90 cm)</x:v>
      </x:c>
      <x:c r="H28" s="24" t="str">
        <x:v>Cod-likes</x:v>
      </x:c>
      <x:c r="I28" s="31" t="n">
        <x:v>482.7022696267</x:v>
      </x:c>
      <x:c r="J28" s="31" t="n">
        <x:v>477.7205969251</x:v>
      </x:c>
      <x:c r="K28" s="31" t="n">
        <x:v>4.9816727016</x:v>
      </x:c>
      <x:c r="L28" s="31" t="n">
        <x:v>438.33567087899996</x:v>
      </x:c>
      <x:c r="M28" s="31" t="n">
        <x:v>44.366598747699996</x:v>
      </x:c>
      <x:c r="N28" s="24" t="str">
        <x:v>molva dypterygia</x:v>
      </x:c>
      <x:c r="O28" s="32" t="n">
        <x:v>4.49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Molva dypterygia</x:v>
      </x:c>
      <x:c r="T28" s="32" t="n">
        <x:f>IF(O28="","",(1/'Metadata'!$B$5)^(O28-1))</x:f>
        <x:v>3090.295432513592</x:v>
      </x:c>
      <x:c r="U28" s="31" t="n">
        <x:f>IF(T28="","",I28*T28)</x:f>
        <x:v>1491692.6190913355</x:v>
      </x:c>
    </x:row>
    <x:row r="29" ht="18" customHeight="1">
      <x:c r="A29" s="24" t="str">
        <x:v>EEZ_352</x:v>
      </x:c>
      <x:c r="B29" s="24" t="str">
        <x:v>Iceland</x:v>
      </x:c>
      <x:c r="C29" s="24" t="str">
        <x:v>EEZ</x:v>
      </x:c>
      <x:c r="D29" s="30" t="n">
        <x:v>2019</x:v>
      </x:c>
      <x:c r="E29" s="24" t="str">
        <x:v>Echinoidea</x:v>
      </x:c>
      <x:c r="F29" s="24" t="str">
        <x:v>Sea urchins, sea hedgehogs</x:v>
      </x:c>
      <x:c r="G29" s="24" t="str">
        <x:v>Other demersal invertebrates</x:v>
      </x:c>
      <x:c r="H29" s="24" t="str">
        <x:v>Other fishes &amp; inverts</x:v>
      </x:c>
      <x:c r="I29" s="31" t="n">
        <x:v>385.62738385939997</x:v>
      </x:c>
      <x:c r="J29" s="31" t="n">
        <x:v>345.351</x:v>
      </x:c>
      <x:c r="K29" s="31" t="n">
        <x:v>40.2763838594</x:v>
      </x:c>
      <x:c r="L29" s="31" t="n">
        <x:v>345.351</x:v>
      </x:c>
      <x:c r="M29" s="31" t="n">
        <x:v>40.2763838594</x:v>
      </x:c>
      <x:c r="N29" s="24" t="str">
        <x:v>echinoidea</x:v>
      </x:c>
      <x:c r="O29" s="32" t="n">
        <x:v>2.51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Echinoidea</x:v>
      </x:c>
      <x:c r="T29" s="32" t="n">
        <x:f>IF(O29="","",(1/'Metadata'!$B$5)^(O29-1))</x:f>
        <x:v>32.35936569296281</x:v>
      </x:c>
      <x:c r="U29" s="31" t="n">
        <x:f>IF(T29="","",I29*T29)</x:f>
        <x:v>12478.657535526869</x:v>
      </x:c>
    </x:row>
    <x:row r="30" ht="18" customHeight="1">
      <x:c r="A30" s="24" t="str">
        <x:v>EEZ_352</x:v>
      </x:c>
      <x:c r="B30" s="24" t="str">
        <x:v>Iceland</x:v>
      </x:c>
      <x:c r="C30" s="24" t="str">
        <x:v>EEZ</x:v>
      </x:c>
      <x:c r="D30" s="30" t="n">
        <x:v>2019</x:v>
      </x:c>
      <x:c r="E30" s="24" t="str">
        <x:v>Buccinum undatum</x:v>
      </x:c>
      <x:c r="F30" s="24" t="str">
        <x:v>Whelk</x:v>
      </x:c>
      <x:c r="G30" s="24" t="str">
        <x:v>Other demersal invertebrates</x:v>
      </x:c>
      <x:c r="H30" s="24" t="str">
        <x:v>Molluscs</x:v>
      </x:c>
      <x:c r="I30" s="31" t="n">
        <x:v>363.4829122128</x:v>
      </x:c>
      <x:c r="J30" s="31" t="n">
        <x:v>351.33616232019995</x:v>
      </x:c>
      <x:c r="K30" s="31" t="n">
        <x:v>12.146749892599999</x:v>
      </x:c>
      <x:c r="L30" s="31" t="n">
        <x:v>351.33616232019995</x:v>
      </x:c>
      <x:c r="M30" s="31" t="n">
        <x:v>12.146749892599999</x:v>
      </x:c>
      <x:c r="N30" s="24" t="str">
        <x:v>buccinum undatum</x:v>
      </x:c>
      <x:c r="O30" s="32" t="n">
        <x:v>3.75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Buccinum undatum</x:v>
      </x:c>
      <x:c r="T30" s="32" t="n">
        <x:f>IF(O30="","",(1/'Metadata'!$B$5)^(O30-1))</x:f>
        <x:v>562.341325190349</x:v>
      </x:c>
      <x:c r="U30" s="31" t="n">
        <x:f>IF(T30="","",I30*T30)</x:f>
        <x:v>204401.46253779324</x:v>
      </x:c>
    </x:row>
    <x:row r="31" ht="18" customHeight="1">
      <x:c r="A31" s="24" t="str">
        <x:v>EEZ_352</x:v>
      </x:c>
      <x:c r="B31" s="24" t="str">
        <x:v>Iceland</x:v>
      </x:c>
      <x:c r="C31" s="24" t="str">
        <x:v>EEZ</x:v>
      </x:c>
      <x:c r="D31" s="30" t="n">
        <x:v>2019</x:v>
      </x:c>
      <x:c r="E31" s="24" t="str">
        <x:v>Lepidorhombus whiffiagonis</x:v>
      </x:c>
      <x:c r="F31" s="24" t="str">
        <x:v>Megrim</x:v>
      </x:c>
      <x:c r="G31" s="24" t="str">
        <x:v>Small to medium flatfishes (&lt;90 cm)</x:v>
      </x:c>
      <x:c r="H31" s="24" t="str">
        <x:v>Flatfishes</x:v>
      </x:c>
      <x:c r="I31" s="31" t="n">
        <x:v>340.0002147185</x:v>
      </x:c>
      <x:c r="J31" s="31" t="n">
        <x:v>330.993</x:v>
      </x:c>
      <x:c r="K31" s="31" t="n">
        <x:v>9.0072147185</x:v>
      </x:c>
      <x:c r="L31" s="31" t="n">
        <x:v>330.993</x:v>
      </x:c>
      <x:c r="M31" s="31" t="n">
        <x:v>9.0072147185</x:v>
      </x:c>
      <x:c r="N31" s="24" t="str">
        <x:v>lepidorhombus whiffiagonis</x:v>
      </x:c>
      <x:c r="O31" s="32" t="n">
        <x:v>4.34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Lepidorhombus whiffiagonis</x:v>
      </x:c>
      <x:c r="T31" s="32" t="n">
        <x:f>IF(O31="","",(1/'Metadata'!$B$5)^(O31-1))</x:f>
        <x:v>2187.761623949552</x:v>
      </x:c>
      <x:c r="U31" s="31" t="n">
        <x:f>IF(T31="","",I31*T31)</x:f>
        <x:v>743839.4218957418</x:v>
      </x:c>
    </x:row>
    <x:row r="32" ht="18" customHeight="1">
      <x:c r="A32" s="24" t="str">
        <x:v>EEZ_352</x:v>
      </x:c>
      <x:c r="B32" s="24" t="str">
        <x:v>Iceland</x:v>
      </x:c>
      <x:c r="C32" s="24" t="str">
        <x:v>EEZ</x:v>
      </x:c>
      <x:c r="D32" s="30" t="n">
        <x:v>2019</x:v>
      </x:c>
      <x:c r="E32" s="24" t="str">
        <x:v>Hippoglossus hippoglossus</x:v>
      </x:c>
      <x:c r="F32" s="24" t="str">
        <x:v>Atlantic halibut</x:v>
      </x:c>
      <x:c r="G32" s="24" t="str">
        <x:v>Large flatfishes (&gt;=90 cm)</x:v>
      </x:c>
      <x:c r="H32" s="24" t="str">
        <x:v>Flatfishes</x:v>
      </x:c>
      <x:c r="I32" s="31" t="n">
        <x:v>334.76725542689996</x:v>
      </x:c>
      <x:c r="J32" s="31" t="n">
        <x:v>332.0805863462</x:v>
      </x:c>
      <x:c r="K32" s="31" t="n">
        <x:v>2.6866690807</x:v>
      </x:c>
      <x:c r="L32" s="31" t="n">
        <x:v>128.5439999999</x:v>
      </x:c>
      <x:c r="M32" s="31" t="n">
        <x:v>206.223255427</x:v>
      </x:c>
      <x:c r="N32" s="24" t="str">
        <x:v>hippoglossus hippoglossus</x:v>
      </x:c>
      <x:c r="O32" s="32" t="n">
        <x:v>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Hippoglossus hippoglossus</x:v>
      </x:c>
      <x:c r="T32" s="32" t="n">
        <x:f>IF(O32="","",(1/'Metadata'!$B$5)^(O32-1))</x:f>
        <x:v>1000</x:v>
      </x:c>
      <x:c r="U32" s="31" t="n">
        <x:f>IF(T32="","",I32*T32)</x:f>
        <x:v>334767.25542689994</x:v>
      </x:c>
    </x:row>
    <x:row r="33" ht="18" customHeight="1">
      <x:c r="A33" s="24" t="str">
        <x:v>EEZ_352</x:v>
      </x:c>
      <x:c r="B33" s="24" t="str">
        <x:v>Iceland</x:v>
      </x:c>
      <x:c r="C33" s="24" t="str">
        <x:v>EEZ</x:v>
      </x:c>
      <x:c r="D33" s="30" t="n">
        <x:v>2019</x:v>
      </x:c>
      <x:c r="E33" s="24" t="str">
        <x:v>Dipturus batis</x:v>
      </x:c>
      <x:c r="F33" s="24" t="str">
        <x:v>Blue skate</x:v>
      </x:c>
      <x:c r="G33" s="24" t="str">
        <x:v>Large rays (&gt;=90 cm)</x:v>
      </x:c>
      <x:c r="H33" s="24" t="str">
        <x:v>Sharks &amp; rays</x:v>
      </x:c>
      <x:c r="I33" s="31" t="n">
        <x:v>252.6947790051</x:v>
      </x:c>
      <x:c r="J33" s="31" t="n">
        <x:v>250.4324171111</x:v>
      </x:c>
      <x:c r="K33" s="31" t="n">
        <x:v>2.262361894</x:v>
      </x:c>
      <x:c r="L33" s="31" t="n">
        <x:v>181.7009999999</x:v>
      </x:c>
      <x:c r="M33" s="31" t="n">
        <x:v>70.9937790052</x:v>
      </x:c>
      <x:c r="N33" s="24" t="str">
        <x:v>dipturus batis</x:v>
      </x:c>
      <x:c r="O33" s="32" t="n">
        <x:v>3.52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Dipturus batis</x:v>
      </x:c>
      <x:c r="T33" s="32" t="n">
        <x:f>IF(O33="","",(1/'Metadata'!$B$5)^(O33-1))</x:f>
        <x:v>331.1311214825911</x:v>
      </x:c>
      <x:c r="U33" s="31" t="n">
        <x:f>IF(T33="","",I33*T33)</x:f>
        <x:v>83675.10556475428</x:v>
      </x:c>
    </x:row>
    <x:row r="34" ht="18" customHeight="1">
      <x:c r="A34" s="24" t="str">
        <x:v>EEZ_352</x:v>
      </x:c>
      <x:c r="B34" s="24" t="str">
        <x:v>Iceland</x:v>
      </x:c>
      <x:c r="C34" s="24" t="str">
        <x:v>EEZ</x:v>
      </x:c>
      <x:c r="D34" s="30" t="n">
        <x:v>2019</x:v>
      </x:c>
      <x:c r="E34" s="24" t="str">
        <x:v>Sebastes viviparus</x:v>
      </x:c>
      <x:c r="F34" s="24" t="str">
        <x:v>Norway redfish</x:v>
      </x:c>
      <x:c r="G34" s="24" t="str">
        <x:v>Medium demersals (30 - 89 cm)</x:v>
      </x:c>
      <x:c r="H34" s="24" t="str">
        <x:v>Scorpionfishes</x:v>
      </x:c>
      <x:c r="I34" s="31" t="n">
        <x:v>145.56017080830003</x:v>
      </x:c>
      <x:c r="J34" s="31" t="n">
        <x:v>142.17600000000002</x:v>
      </x:c>
      <x:c r="K34" s="31" t="n">
        <x:v>3.3841708083</x:v>
      </x:c>
      <x:c r="L34" s="31" t="n">
        <x:v>142.17600000000002</x:v>
      </x:c>
      <x:c r="M34" s="31" t="n">
        <x:v>3.3841708083</x:v>
      </x:c>
      <x:c r="N34" s="24" t="str">
        <x:v>sebastes viviparus</x:v>
      </x:c>
      <x:c r="O34" s="32" t="n">
        <x:v>4.03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Sebastes viviparus</x:v>
      </x:c>
      <x:c r="T34" s="32" t="n">
        <x:f>IF(O34="","",(1/'Metadata'!$B$5)^(O34-1))</x:f>
        <x:v>1071.519305237607</x:v>
      </x:c>
      <x:c r="U34" s="31" t="n">
        <x:f>IF(T34="","",I34*T34)</x:f>
        <x:v>155970.53309477706</x:v>
      </x:c>
    </x:row>
    <x:row r="35" ht="18" customHeight="1">
      <x:c r="A35" s="24" t="str">
        <x:v>EEZ_352</x:v>
      </x:c>
      <x:c r="B35" s="24" t="str">
        <x:v>Iceland</x:v>
      </x:c>
      <x:c r="C35" s="24" t="str">
        <x:v>EEZ</x:v>
      </x:c>
      <x:c r="D35" s="30" t="n">
        <x:v>2019</x:v>
      </x:c>
      <x:c r="E35" s="24" t="str">
        <x:v>Nephrops norvegicus</x:v>
      </x:c>
      <x:c r="F35" s="24" t="str">
        <x:v>Norway lobster</x:v>
      </x:c>
      <x:c r="G35" s="24" t="str">
        <x:v>Lobsters, crabs</x:v>
      </x:c>
      <x:c r="H35" s="24" t="str">
        <x:v>Crustaceans</x:v>
      </x:c>
      <x:c r="I35" s="31" t="n">
        <x:v>143.19812899800002</x:v>
      </x:c>
      <x:c r="J35" s="31" t="n">
        <x:v>22.3428941807</x:v>
      </x:c>
      <x:c r="K35" s="31" t="n">
        <x:v>120.8552348173</x:v>
      </x:c>
      <x:c r="L35" s="31" t="n">
        <x:v>0</x:v>
      </x:c>
      <x:c r="M35" s="31" t="n">
        <x:v>143.19812899800002</x:v>
      </x:c>
      <x:c r="N35" s="24" t="str">
        <x:v>nephrops norvegicus</x:v>
      </x:c>
      <x:c r="O35" s="32" t="n">
        <x:v>2.87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Nephrops norvegicus</x:v>
      </x:c>
      <x:c r="T35" s="32" t="n">
        <x:f>IF(O35="","",(1/'Metadata'!$B$5)^(O35-1))</x:f>
        <x:v>74.13102413009177</x:v>
      </x:c>
      <x:c r="U35" s="31" t="n">
        <x:f>IF(T35="","",I35*T35)</x:f>
        <x:v>10615.423956134733</x:v>
      </x:c>
    </x:row>
    <x:row r="36" ht="18" customHeight="1">
      <x:c r="A36" s="24" t="str">
        <x:v>EEZ_352</x:v>
      </x:c>
      <x:c r="B36" s="24" t="str">
        <x:v>Iceland</x:v>
      </x:c>
      <x:c r="C36" s="24" t="str">
        <x:v>EEZ</x:v>
      </x:c>
      <x:c r="D36" s="30" t="n">
        <x:v>2019</x:v>
      </x:c>
      <x:c r="E36" s="24" t="str">
        <x:v>Rajidae</x:v>
      </x:c>
      <x:c r="F36" s="24" t="str">
        <x:v>Stingrays</x:v>
      </x:c>
      <x:c r="G36" s="24" t="str">
        <x:v>Large rays (&gt;=90 cm)</x:v>
      </x:c>
      <x:c r="H36" s="24" t="str">
        <x:v>Sharks &amp; rays</x:v>
      </x:c>
      <x:c r="I36" s="31" t="n">
        <x:v>81.3110470061</x:v>
      </x:c>
      <x:c r="J36" s="31" t="n">
        <x:v>70.4367000114</x:v>
      </x:c>
      <x:c r="K36" s="31" t="n">
        <x:v>10.8743469947</x:v>
      </x:c>
      <x:c r="L36" s="31" t="n">
        <x:v>2.6827481093000003</x:v>
      </x:c>
      <x:c r="M36" s="31" t="n">
        <x:v>78.6282988968</x:v>
      </x:c>
      <x:c r="N36" s="24" t="str">
        <x:v>rajidae</x:v>
      </x:c>
      <x:c r="O36" s="32" t="n">
        <x:v>3.82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Rajidae</x:v>
      </x:c>
      <x:c r="T36" s="32" t="n">
        <x:f>IF(O36="","",(1/'Metadata'!$B$5)^(O36-1))</x:f>
        <x:v>660.6934480075957</x:v>
      </x:c>
      <x:c r="U36" s="31" t="n">
        <x:f>IF(T36="","",I36*T36)</x:f>
        <x:v>53721.676007567905</x:v>
      </x:c>
    </x:row>
    <x:row r="37" ht="18" customHeight="1">
      <x:c r="A37" s="24" t="str">
        <x:v>EEZ_352</x:v>
      </x:c>
      <x:c r="B37" s="24" t="str">
        <x:v>Iceland</x:v>
      </x:c>
      <x:c r="C37" s="24" t="str">
        <x:v>EEZ</x:v>
      </x:c>
      <x:c r="D37" s="30" t="n">
        <x:v>2019</x:v>
      </x:c>
      <x:c r="E37" s="24" t="str">
        <x:v>Aphanopus carbo</x:v>
      </x:c>
      <x:c r="F37" s="24" t="str">
        <x:v>Black scabbardfish</x:v>
      </x:c>
      <x:c r="G37" s="24" t="str">
        <x:v>Large benthopelagics (&gt;=90 cm)</x:v>
      </x:c>
      <x:c r="H37" s="24" t="str">
        <x:v>Perch-likes</x:v>
      </x:c>
      <x:c r="I37" s="31" t="n">
        <x:v>70.38030810309999</x:v>
      </x:c>
      <x:c r="J37" s="31" t="n">
        <x:v>65.3466972637</x:v>
      </x:c>
      <x:c r="K37" s="31" t="n">
        <x:v>5.0336108394</x:v>
      </x:c>
      <x:c r="L37" s="31" t="n">
        <x:v>65.3466972637</x:v>
      </x:c>
      <x:c r="M37" s="31" t="n">
        <x:v>5.0336108394</x:v>
      </x:c>
      <x:c r="N37" s="24" t="str">
        <x:v>aphanopus carbo</x:v>
      </x:c>
      <x:c r="O37" s="32" t="n">
        <x:v>4.48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Aphanopus carbo</x:v>
      </x:c>
      <x:c r="T37" s="32" t="n">
        <x:f>IF(O37="","",(1/'Metadata'!$B$5)^(O37-1))</x:f>
        <x:v>3019.951720402019</x:v>
      </x:c>
      <x:c r="U37" s="31" t="n">
        <x:f>IF(T37="","",I37*T37)</x:f>
        <x:v>212545.13253838097</x:v>
      </x:c>
    </x:row>
    <x:row r="38" ht="18" customHeight="1">
      <x:c r="A38" s="24" t="str">
        <x:v>EEZ_352</x:v>
      </x:c>
      <x:c r="B38" s="24" t="str">
        <x:v>Iceland</x:v>
      </x:c>
      <x:c r="C38" s="24" t="str">
        <x:v>EEZ</x:v>
      </x:c>
      <x:c r="D38" s="30" t="n">
        <x:v>2019</x:v>
      </x:c>
      <x:c r="E38" s="24" t="str">
        <x:v>Elasmobranchii</x:v>
      </x:c>
      <x:c r="F38" s="24" t="str">
        <x:v>Sharks, rays, skates</x:v>
      </x:c>
      <x:c r="G38" s="24" t="str">
        <x:v>Large sharks (&gt;=90 cm)</x:v>
      </x:c>
      <x:c r="H38" s="24" t="str">
        <x:v>Sharks &amp; rays</x:v>
      </x:c>
      <x:c r="I38" s="31" t="n">
        <x:v>49.1517350007</x:v>
      </x:c>
      <x:c r="J38" s="31" t="n">
        <x:v>0</x:v>
      </x:c>
      <x:c r="K38" s="31" t="n">
        <x:v>49.1517350007</x:v>
      </x:c>
      <x:c r="L38" s="31" t="n">
        <x:v>0</x:v>
      </x:c>
      <x:c r="M38" s="31" t="n">
        <x:v>49.1517350007</x:v>
      </x:c>
      <x:c r="N38" s="24" t="str">
        <x:v>elasmobranchii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Elasmobranchii</x:v>
      </x:c>
      <x:c r="T38" s="32" t="n">
        <x:f>IF(O38="","",(1/'Metadata'!$B$5)^(O38-1))</x:f>
        <x:v>1122.018454301963</x:v>
      </x:c>
      <x:c r="U38" s="31" t="n">
        <x:f>IF(T38="","",I38*T38)</x:f>
        <x:v>55149.15373174511</x:v>
      </x:c>
    </x:row>
    <x:row r="39" ht="18" customHeight="1">
      <x:c r="A39" s="24" t="str">
        <x:v>EEZ_352</x:v>
      </x:c>
      <x:c r="B39" s="24" t="str">
        <x:v>Iceland</x:v>
      </x:c>
      <x:c r="C39" s="24" t="str">
        <x:v>EEZ</x:v>
      </x:c>
      <x:c r="D39" s="30" t="n">
        <x:v>2019</x:v>
      </x:c>
      <x:c r="E39" s="24" t="str">
        <x:v>Anarhichas</x:v>
      </x:c>
      <x:c r="F39" s="24" t="str">
        <x:v>Wolffishes</x:v>
      </x:c>
      <x:c r="G39" s="24" t="str">
        <x:v>Large demersals (&gt;=90 cm)</x:v>
      </x:c>
      <x:c r="H39" s="24" t="str">
        <x:v>Perch-likes</x:v>
      </x:c>
      <x:c r="I39" s="31" t="n">
        <x:v>47.759864121700005</x:v>
      </x:c>
      <x:c r="J39" s="31" t="n">
        <x:v>47.56692</x:v>
      </x:c>
      <x:c r="K39" s="31" t="n">
        <x:v>0.1929441217</x:v>
      </x:c>
      <x:c r="L39" s="31" t="n">
        <x:v>47.56692</x:v>
      </x:c>
      <x:c r="M39" s="31" t="n">
        <x:v>0.1929441217</x:v>
      </x:c>
      <x:c r="N39" s="24" t="str">
        <x:v>anarhichas</x:v>
      </x:c>
      <x:c r="O39" s="32" t="n">
        <x:v>3.35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Anarhichas</x:v>
      </x:c>
      <x:c r="T39" s="32" t="n">
        <x:f>IF(O39="","",(1/'Metadata'!$B$5)^(O39-1))</x:f>
        <x:v>223.872113856834</x:v>
      </x:c>
      <x:c r="U39" s="31" t="n">
        <x:f>IF(T39="","",I39*T39)</x:f>
        <x:v>10692.101738440146</x:v>
      </x:c>
    </x:row>
    <x:row r="40" ht="18" customHeight="1">
      <x:c r="A40" s="24" t="str">
        <x:v>EEZ_352</x:v>
      </x:c>
      <x:c r="B40" s="24" t="str">
        <x:v>Iceland</x:v>
      </x:c>
      <x:c r="C40" s="24" t="str">
        <x:v>EEZ</x:v>
      </x:c>
      <x:c r="D40" s="30" t="n">
        <x:v>2019</x:v>
      </x:c>
      <x:c r="E40" s="24" t="str">
        <x:v>Leucoraja fullonica</x:v>
      </x:c>
      <x:c r="F40" s="24" t="str">
        <x:v>Shagreen ray</x:v>
      </x:c>
      <x:c r="G40" s="24" t="str">
        <x:v>Large rays (&gt;=90 cm)</x:v>
      </x:c>
      <x:c r="H40" s="24" t="str">
        <x:v>Sharks &amp; rays</x:v>
      </x:c>
      <x:c r="I40" s="31" t="n">
        <x:v>30.9364793017</x:v>
      </x:c>
      <x:c r="J40" s="31" t="n">
        <x:v>30.891000000000002</x:v>
      </x:c>
      <x:c r="K40" s="31" t="n">
        <x:v>0.0454793017</x:v>
      </x:c>
      <x:c r="L40" s="31" t="n">
        <x:v>30.891000000000002</x:v>
      </x:c>
      <x:c r="M40" s="31" t="n">
        <x:v>0.0454793017</x:v>
      </x:c>
      <x:c r="N40" s="24" t="str">
        <x:v>leucoraja fullonica</x:v>
      </x:c>
      <x:c r="O40" s="32" t="n">
        <x:v>3.5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Leucoraja fullonica</x:v>
      </x:c>
      <x:c r="T40" s="32" t="n">
        <x:f>IF(O40="","",(1/'Metadata'!$B$5)^(O40-1))</x:f>
        <x:v>316.22776601683796</x:v>
      </x:c>
      <x:c r="U40" s="31" t="n">
        <x:f>IF(T40="","",I40*T40)</x:f>
        <x:v>9782.973738002738</x:v>
      </x:c>
    </x:row>
    <x:row r="41" ht="18" customHeight="1">
      <x:c r="A41" s="24" t="str">
        <x:v>EEZ_352</x:v>
      </x:c>
      <x:c r="B41" s="24" t="str">
        <x:v>Iceland</x:v>
      </x:c>
      <x:c r="C41" s="24" t="str">
        <x:v>EEZ</x:v>
      </x:c>
      <x:c r="D41" s="30" t="n">
        <x:v>2019</x:v>
      </x:c>
      <x:c r="E41" s="24" t="str">
        <x:v>Perciformes</x:v>
      </x:c>
      <x:c r="F41" s="24" t="str">
        <x:v>Perch-likes</x:v>
      </x:c>
      <x:c r="G41" s="24" t="str">
        <x:v>Medium demersals (30 - 89 cm)</x:v>
      </x:c>
      <x:c r="H41" s="24" t="str">
        <x:v>Perch-likes</x:v>
      </x:c>
      <x:c r="I41" s="31" t="n">
        <x:v>25.4303773962</x:v>
      </x:c>
      <x:c r="J41" s="31" t="n">
        <x:v>25.4303773962</x:v>
      </x:c>
      <x:c r="K41" s="31" t="n">
        <x:v>0</x:v>
      </x:c>
      <x:c r="L41" s="31" t="n">
        <x:v>25.4303773962</x:v>
      </x:c>
      <x:c r="M41" s="31" t="n">
        <x:v>0</x:v>
      </x:c>
      <x:c r="N41" s="24" t="str">
        <x:v>perciformes</x:v>
      </x:c>
      <x:c r="O41" s="32" t="n">
        <x:v>3.53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Perciformes</x:v>
      </x:c>
      <x:c r="T41" s="32" t="n">
        <x:f>IF(O41="","",(1/'Metadata'!$B$5)^(O41-1))</x:f>
        <x:v>338.84415613920237</x:v>
      </x:c>
      <x:c r="U41" s="31" t="n">
        <x:f>IF(T41="","",I41*T41)</x:f>
        <x:v>8616.934769116835</x:v>
      </x:c>
    </x:row>
    <x:row r="42" ht="18" customHeight="1">
      <x:c r="A42" s="24" t="str">
        <x:v>EEZ_352</x:v>
      </x:c>
      <x:c r="B42" s="24" t="str">
        <x:v>Iceland</x:v>
      </x:c>
      <x:c r="C42" s="24" t="str">
        <x:v>EEZ</x:v>
      </x:c>
      <x:c r="D42" s="30" t="n">
        <x:v>2019</x:v>
      </x:c>
      <x:c r="E42" s="24" t="str">
        <x:v>Somniosus microcephalus</x:v>
      </x:c>
      <x:c r="F42" s="24" t="str">
        <x:v>Greenland shark</x:v>
      </x:c>
      <x:c r="G42" s="24" t="str">
        <x:v>Large sharks (&gt;=90 cm)</x:v>
      </x:c>
      <x:c r="H42" s="24" t="str">
        <x:v>Sharks &amp; rays</x:v>
      </x:c>
      <x:c r="I42" s="31" t="n">
        <x:v>20.516262421</x:v>
      </x:c>
      <x:c r="J42" s="31" t="n">
        <x:v>20.034471345700002</x:v>
      </x:c>
      <x:c r="K42" s="31" t="n">
        <x:v>0.4817910753</x:v>
      </x:c>
      <x:c r="L42" s="31" t="n">
        <x:v>5.717</x:v>
      </x:c>
      <x:c r="M42" s="31" t="n">
        <x:v>14.799262421</x:v>
      </x:c>
      <x:c r="N42" s="24" t="str">
        <x:v>somniosus microcephalus</x:v>
      </x:c>
      <x:c r="O42" s="32" t="n">
        <x:v>4.22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Somniosus microcephalus</x:v>
      </x:c>
      <x:c r="T42" s="32" t="n">
        <x:f>IF(O42="","",(1/'Metadata'!$B$5)^(O42-1))</x:f>
        <x:v>1659.5869074375596</x:v>
      </x:c>
      <x:c r="U42" s="31" t="n">
        <x:f>IF(T42="","",I42*T42)</x:f>
        <x:v>34048.52050344481</x:v>
      </x:c>
    </x:row>
    <x:row r="43" ht="18" customHeight="1">
      <x:c r="A43" s="24" t="str">
        <x:v>EEZ_352</x:v>
      </x:c>
      <x:c r="B43" s="24" t="str">
        <x:v>Iceland</x:v>
      </x:c>
      <x:c r="C43" s="24" t="str">
        <x:v>EEZ</x:v>
      </x:c>
      <x:c r="D43" s="30" t="n">
        <x:v>2019</x:v>
      </x:c>
      <x:c r="E43" s="24" t="str">
        <x:v>Hippoglossoides platessoides</x:v>
      </x:c>
      <x:c r="F43" s="24" t="str">
        <x:v>American plaice</x:v>
      </x:c>
      <x:c r="G43" s="24" t="str">
        <x:v>Small to medium flatfishes (&lt;90 cm)</x:v>
      </x:c>
      <x:c r="H43" s="24" t="str">
        <x:v>Flatfishes</x:v>
      </x:c>
      <x:c r="I43" s="31" t="n">
        <x:v>19.254466894</x:v>
      </x:c>
      <x:c r="J43" s="31" t="n">
        <x:v>16.0819999998</x:v>
      </x:c>
      <x:c r="K43" s="31" t="n">
        <x:v>3.1724668942000003</x:v>
      </x:c>
      <x:c r="L43" s="31" t="n">
        <x:v>16.0819999998</x:v>
      </x:c>
      <x:c r="M43" s="31" t="n">
        <x:v>3.1724668942000003</x:v>
      </x:c>
      <x:c r="N43" s="24" t="str">
        <x:v>hippoglossoides platessoides</x:v>
      </x:c>
      <x:c r="O43" s="32" t="n">
        <x:v>4.08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Hippoglossoides platessoides</x:v>
      </x:c>
      <x:c r="T43" s="32" t="n">
        <x:f>IF(O43="","",(1/'Metadata'!$B$5)^(O43-1))</x:f>
        <x:v>1202.2644346174131</x:v>
      </x:c>
      <x:c r="U43" s="31" t="n">
        <x:f>IF(T43="","",I43*T43)</x:f>
        <x:v>23148.960754174608</x:v>
      </x:c>
    </x:row>
    <x:row r="44" ht="18" customHeight="1">
      <x:c r="A44" s="24" t="str">
        <x:v>EEZ_352</x:v>
      </x:c>
      <x:c r="B44" s="24" t="str">
        <x:v>Iceland</x:v>
      </x:c>
      <x:c r="C44" s="24" t="str">
        <x:v>EEZ</x:v>
      </x:c>
      <x:c r="D44" s="30" t="n">
        <x:v>2019</x:v>
      </x:c>
      <x:c r="E44" s="24" t="str">
        <x:v>Macrourus berglax</x:v>
      </x:c>
      <x:c r="F44" s="24" t="str">
        <x:v>Roughhead grenadier</x:v>
      </x:c>
      <x:c r="G44" s="24" t="str">
        <x:v>Large benthopelagics (&gt;=90 cm)</x:v>
      </x:c>
      <x:c r="H44" s="24" t="str">
        <x:v>Cod-likes</x:v>
      </x:c>
      <x:c r="I44" s="31" t="n">
        <x:v>18.4119773036</x:v>
      </x:c>
      <x:c r="J44" s="31" t="n">
        <x:v>17.924</x:v>
      </x:c>
      <x:c r="K44" s="31" t="n">
        <x:v>0.4879773036</x:v>
      </x:c>
      <x:c r="L44" s="31" t="n">
        <x:v>17.924</x:v>
      </x:c>
      <x:c r="M44" s="31" t="n">
        <x:v>0.4879773036</x:v>
      </x:c>
      <x:c r="N44" s="24" t="str">
        <x:v>macrourus berglax</x:v>
      </x:c>
      <x:c r="O44" s="32" t="n">
        <x:v>4.48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Macrourus berglax</x:v>
      </x:c>
      <x:c r="T44" s="32" t="n">
        <x:f>IF(O44="","",(1/'Metadata'!$B$5)^(O44-1))</x:f>
        <x:v>3019.951720402019</x:v>
      </x:c>
      <x:c r="U44" s="31" t="n">
        <x:f>IF(T44="","",I44*T44)</x:f>
        <x:v>55603.28253400975</x:v>
      </x:c>
    </x:row>
    <x:row r="45" ht="18" customHeight="1">
      <x:c r="A45" s="24" t="str">
        <x:v>EEZ_352</x:v>
      </x:c>
      <x:c r="B45" s="24" t="str">
        <x:v>Iceland</x:v>
      </x:c>
      <x:c r="C45" s="24" t="str">
        <x:v>EEZ</x:v>
      </x:c>
      <x:c r="D45" s="30" t="n">
        <x:v>2019</x:v>
      </x:c>
      <x:c r="E45" s="24" t="str">
        <x:v>Anarhichas denticulatus</x:v>
      </x:c>
      <x:c r="F45" s="24" t="str">
        <x:v>Northern wolffish</x:v>
      </x:c>
      <x:c r="G45" s="24" t="str">
        <x:v>Large benthopelagics (&gt;=90 cm)</x:v>
      </x:c>
      <x:c r="H45" s="24" t="str">
        <x:v>Perch-likes</x:v>
      </x:c>
      <x:c r="I45" s="31" t="n">
        <x:v>17.1802819079</x:v>
      </x:c>
      <x:c r="J45" s="31" t="n">
        <x:v>16.9707088139</x:v>
      </x:c>
      <x:c r="K45" s="31" t="n">
        <x:v>0.209573094</x:v>
      </x:c>
      <x:c r="L45" s="31" t="n">
        <x:v>16.9707088139</x:v>
      </x:c>
      <x:c r="M45" s="31" t="n">
        <x:v>0.209573094</x:v>
      </x:c>
      <x:c r="N45" s="24" t="str">
        <x:v>anarhichas denticulatus</x:v>
      </x:c>
      <x:c r="O45" s="32" t="n">
        <x:v>3.75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Anarhichas denticulatus</x:v>
      </x:c>
      <x:c r="T45" s="32" t="n">
        <x:f>IF(O45="","",(1/'Metadata'!$B$5)^(O45-1))</x:f>
        <x:v>562.341325190349</x:v>
      </x:c>
      <x:c r="U45" s="31" t="n">
        <x:f>IF(T45="","",I45*T45)</x:f>
        <x:v>9661.182495232264</x:v>
      </x:c>
    </x:row>
    <x:row r="46" ht="18" customHeight="1">
      <x:c r="A46" s="24" t="str">
        <x:v>EEZ_352</x:v>
      </x:c>
      <x:c r="B46" s="24" t="str">
        <x:v>Iceland</x:v>
      </x:c>
      <x:c r="C46" s="24" t="str">
        <x:v>EEZ</x:v>
      </x:c>
      <x:c r="D46" s="30" t="n">
        <x:v>2019</x:v>
      </x:c>
      <x:c r="E46" s="24" t="str">
        <x:v>Marine finfishes not identified</x:v>
      </x:c>
      <x:c r="F46" s="24" t="str">
        <x:v>Finfishes</x:v>
      </x:c>
      <x:c r="G46" s="24" t="str">
        <x:v>Medium demersals (30 - 89 cm)</x:v>
      </x:c>
      <x:c r="H46" s="24" t="str">
        <x:v>Other fishes &amp; inverts</x:v>
      </x:c>
      <x:c r="I46" s="31" t="n">
        <x:v>16.4433662222</x:v>
      </x:c>
      <x:c r="J46" s="31" t="n">
        <x:v>9.8189912317</x:v>
      </x:c>
      <x:c r="K46" s="31" t="n">
        <x:v>6.6243749905</x:v>
      </x:c>
      <x:c r="L46" s="31" t="n">
        <x:v>9.8189912317</x:v>
      </x:c>
      <x:c r="M46" s="31" t="n">
        <x:v>6.6243749905</x:v>
      </x:c>
      <x:c r="N46" s="24" t="str">
        <x:v>marine finfishes not identified</x:v>
      </x:c>
      <x:c r="O46" s="32" t="n">
        <x:v>3.23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Marine finfishes not identified</x:v>
      </x:c>
      <x:c r="T46" s="32" t="n">
        <x:f>IF(O46="","",(1/'Metadata'!$B$5)^(O46-1))</x:f>
        <x:v>169.82436524617444</x:v>
      </x:c>
      <x:c r="U46" s="31" t="n">
        <x:f>IF(T46="","",I46*T46)</x:f>
        <x:v>2792.484231195501</x:v>
      </x:c>
    </x:row>
    <x:row r="47" ht="18" customHeight="1">
      <x:c r="A47" s="24" t="str">
        <x:v>EEZ_352</x:v>
      </x:c>
      <x:c r="B47" s="24" t="str">
        <x:v>Iceland</x:v>
      </x:c>
      <x:c r="C47" s="24" t="str">
        <x:v>EEZ</x:v>
      </x:c>
      <x:c r="D47" s="30" t="n">
        <x:v>2019</x:v>
      </x:c>
      <x:c r="E47" s="24" t="str">
        <x:v>Urophycis tenuis</x:v>
      </x:c>
      <x:c r="F47" s="24" t="str">
        <x:v>White hake</x:v>
      </x:c>
      <x:c r="G47" s="24" t="str">
        <x:v>Large demersals (&gt;=90 cm)</x:v>
      </x:c>
      <x:c r="H47" s="24" t="str">
        <x:v>Cod-likes</x:v>
      </x:c>
      <x:c r="I47" s="31" t="n">
        <x:v>14.5427578266</x:v>
      </x:c>
      <x:c r="J47" s="31" t="n">
        <x:v>14.176</x:v>
      </x:c>
      <x:c r="K47" s="31" t="n">
        <x:v>0.3667578266</x:v>
      </x:c>
      <x:c r="L47" s="31" t="n">
        <x:v>14.176</x:v>
      </x:c>
      <x:c r="M47" s="31" t="n">
        <x:v>0.3667578266</x:v>
      </x:c>
      <x:c r="N47" s="24" t="str">
        <x:v>urophycis tenuis</x:v>
      </x:c>
      <x:c r="O47" s="32" t="n">
        <x:v>4.27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Urophycis tenuis</x:v>
      </x:c>
      <x:c r="T47" s="32" t="n">
        <x:f>IF(O47="","",(1/'Metadata'!$B$5)^(O47-1))</x:f>
        <x:v>1862.0871366628655</x:v>
      </x:c>
      <x:c r="U47" s="31" t="n">
        <x:f>IF(T47="","",I47*T47)</x:f>
        <x:v>27079.882280515074</x:v>
      </x:c>
    </x:row>
    <x:row r="48" ht="18" customHeight="1">
      <x:c r="A48" s="24" t="str">
        <x:v>EEZ_352</x:v>
      </x:c>
      <x:c r="B48" s="24" t="str">
        <x:v>Iceland</x:v>
      </x:c>
      <x:c r="C48" s="24" t="str">
        <x:v>EEZ</x:v>
      </x:c>
      <x:c r="D48" s="30" t="n">
        <x:v>2019</x:v>
      </x:c>
      <x:c r="E48" s="24" t="str">
        <x:v>Mollusca</x:v>
      </x:c>
      <x:c r="F48" s="24" t="str">
        <x:v>Clams, seasnails, squids, octopuses</x:v>
      </x:c>
      <x:c r="G48" s="24" t="str">
        <x:v>Other demersal invertebrates</x:v>
      </x:c>
      <x:c r="H48" s="24" t="str">
        <x:v>Molluscs</x:v>
      </x:c>
      <x:c r="I48" s="31" t="n">
        <x:v>14.3589741361</x:v>
      </x:c>
      <x:c r="J48" s="31" t="n">
        <x:v>0</x:v>
      </x:c>
      <x:c r="K48" s="31" t="n">
        <x:v>14.3589741361</x:v>
      </x:c>
      <x:c r="L48" s="31" t="n">
        <x:v>0</x:v>
      </x:c>
      <x:c r="M48" s="31" t="n">
        <x:v>14.3589741361</x:v>
      </x:c>
      <x:c r="N48" s="24" t="str">
        <x:v>mollusca</x:v>
      </x:c>
      <x:c r="O48" s="32" t="n">
        <x:v>2.1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Mollusca</x:v>
      </x:c>
      <x:c r="T48" s="32" t="n">
        <x:f>IF(O48="","",(1/'Metadata'!$B$5)^(O48-1))</x:f>
        <x:v>12.589254117941675</x:v>
      </x:c>
      <x:c r="U48" s="31" t="n">
        <x:f>IF(T48="","",I48*T48)</x:f>
        <x:v>180.76877427231494</x:v>
      </x:c>
    </x:row>
    <x:row r="49" ht="18" customHeight="1">
      <x:c r="A49" s="24" t="str">
        <x:v>EEZ_352</x:v>
      </x:c>
      <x:c r="B49" s="24" t="str">
        <x:v>Iceland</x:v>
      </x:c>
      <x:c r="C49" s="24" t="str">
        <x:v>EEZ</x:v>
      </x:c>
      <x:c r="D49" s="30" t="n">
        <x:v>2019</x:v>
      </x:c>
      <x:c r="E49" s="24" t="str">
        <x:v>Lophiidae</x:v>
      </x:c>
      <x:c r="F49" s="24" t="str">
        <x:v>Goosefishes</x:v>
      </x:c>
      <x:c r="G49" s="24" t="str">
        <x:v>Medium bathydemersals (30 - 89 cm)</x:v>
      </x:c>
      <x:c r="H49" s="24" t="str">
        <x:v>Other fishes &amp; inverts</x:v>
      </x:c>
      <x:c r="I49" s="31" t="n">
        <x:v>11.7701399659</x:v>
      </x:c>
      <x:c r="J49" s="31" t="n">
        <x:v>11.7701399659</x:v>
      </x:c>
      <x:c r="K49" s="31" t="n">
        <x:v>0</x:v>
      </x:c>
      <x:c r="L49" s="31" t="n">
        <x:v>11.7701399659</x:v>
      </x:c>
      <x:c r="M49" s="31" t="n">
        <x:v>0</x:v>
      </x:c>
      <x:c r="N49" s="24" t="str">
        <x:v>lophiidae</x:v>
      </x:c>
      <x:c r="O49" s="32" t="n">
        <x:v>4.46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Lophiidae</x:v>
      </x:c>
      <x:c r="T49" s="32" t="n">
        <x:f>IF(O49="","",(1/'Metadata'!$B$5)^(O49-1))</x:f>
        <x:v>2884.031503126606</x:v>
      </x:c>
      <x:c r="U49" s="31" t="n">
        <x:f>IF(T49="","",I49*T49)</x:f>
        <x:v>33945.45445786512</x:v>
      </x:c>
    </x:row>
    <x:row r="50" ht="18" customHeight="1">
      <x:c r="A50" s="24" t="str">
        <x:v>EEZ_352</x:v>
      </x:c>
      <x:c r="B50" s="24" t="str">
        <x:v>Iceland</x:v>
      </x:c>
      <x:c r="C50" s="24" t="str">
        <x:v>EEZ</x:v>
      </x:c>
      <x:c r="D50" s="30" t="n">
        <x:v>2019</x:v>
      </x:c>
      <x:c r="E50" s="24" t="str">
        <x:v>Miscellaneous marine crustaceans</x:v>
      </x:c>
      <x:c r="F50" s="24" t="str">
        <x:v>Marine crabs, shrimps, lobsters nei</x:v>
      </x:c>
      <x:c r="G50" s="24" t="str">
        <x:v>Shrimps</x:v>
      </x:c>
      <x:c r="H50" s="24" t="str">
        <x:v>Crustaceans</x:v>
      </x:c>
      <x:c r="I50" s="31" t="n">
        <x:v>9.6410968574</x:v>
      </x:c>
      <x:c r="J50" s="31" t="n">
        <x:v>0</x:v>
      </x:c>
      <x:c r="K50" s="31" t="n">
        <x:v>9.6410968574</x:v>
      </x:c>
      <x:c r="L50" s="31" t="n">
        <x:v>0</x:v>
      </x:c>
      <x:c r="M50" s="31" t="n">
        <x:v>9.6410968574</x:v>
      </x:c>
      <x:c r="N50" s="24" t="str">
        <x:v>miscellaneous marine crustaceans</x:v>
      </x:c>
      <x:c r="O50" s="32" t="n">
        <x:v>2.7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Miscellaneous marine crustaceans</x:v>
      </x:c>
      <x:c r="T50" s="32" t="n">
        <x:f>IF(O50="","",(1/'Metadata'!$B$5)^(O50-1))</x:f>
        <x:v>50.11872336272725</x:v>
      </x:c>
      <x:c r="U50" s="31" t="n">
        <x:f>IF(T50="","",I50*T50)</x:f>
        <x:v>483.19946630928973</x:v>
      </x:c>
    </x:row>
    <x:row r="51" ht="18" customHeight="1">
      <x:c r="A51" s="24" t="str">
        <x:v>EEZ_352</x:v>
      </x:c>
      <x:c r="B51" s="24" t="str">
        <x:v>Iceland</x:v>
      </x:c>
      <x:c r="C51" s="24" t="str">
        <x:v>EEZ</x:v>
      </x:c>
      <x:c r="D51" s="30" t="n">
        <x:v>2019</x:v>
      </x:c>
      <x:c r="E51" s="24" t="str">
        <x:v>Cephalopoda</x:v>
      </x:c>
      <x:c r="F51" s="24" t="str">
        <x:v>Squids, cuttlefishes, octopuses</x:v>
      </x:c>
      <x:c r="G51" s="24" t="str">
        <x:v>Cephalopods</x:v>
      </x:c>
      <x:c r="H51" s="24" t="str">
        <x:v>Other fishes &amp; inverts</x:v>
      </x:c>
      <x:c r="I51" s="31" t="n">
        <x:v>9.5945934739</x:v>
      </x:c>
      <x:c r="J51" s="31" t="n">
        <x:v>0</x:v>
      </x:c>
      <x:c r="K51" s="31" t="n">
        <x:v>9.5945934739</x:v>
      </x:c>
      <x:c r="L51" s="31" t="n">
        <x:v>0</x:v>
      </x:c>
      <x:c r="M51" s="31" t="n">
        <x:v>9.5945934739</x:v>
      </x:c>
      <x:c r="N51" s="24" t="str">
        <x:v>cephalopoda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Cephalopoda</x:v>
      </x:c>
      <x:c r="T51" s="32" t="n">
        <x:f>IF(O51="","",(1/'Metadata'!$B$5)^(O51-1))</x:f>
        <x:v>645.6542290346556</x:v>
      </x:c>
      <x:c r="U51" s="31" t="n">
        <x:f>IF(T51="","",I51*T51)</x:f>
        <x:v>6194.789852291842</x:v>
      </x:c>
    </x:row>
    <x:row r="52" ht="18" customHeight="1">
      <x:c r="A52" s="24" t="str">
        <x:v>EEZ_352</x:v>
      </x:c>
      <x:c r="B52" s="24" t="str">
        <x:v>Iceland</x:v>
      </x:c>
      <x:c r="C52" s="24" t="str">
        <x:v>EEZ</x:v>
      </x:c>
      <x:c r="D52" s="30" t="n">
        <x:v>2019</x:v>
      </x:c>
      <x:c r="E52" s="24" t="str">
        <x:v>Carangidae</x:v>
      </x:c>
      <x:c r="F52" s="24" t="str">
        <x:v>Jacks, pompanos</x:v>
      </x:c>
      <x:c r="G52" s="24" t="str">
        <x:v>Medium pelagics (30 - 89 cm)</x:v>
      </x:c>
      <x:c r="H52" s="24" t="str">
        <x:v>Perch-likes</x:v>
      </x:c>
      <x:c r="I52" s="31" t="n">
        <x:v>7.9902630585</x:v>
      </x:c>
      <x:c r="J52" s="31" t="n">
        <x:v>0</x:v>
      </x:c>
      <x:c r="K52" s="31" t="n">
        <x:v>7.9902630585</x:v>
      </x:c>
      <x:c r="L52" s="31" t="n">
        <x:v>0</x:v>
      </x:c>
      <x:c r="M52" s="31" t="n">
        <x:v>7.9902630585</x:v>
      </x:c>
      <x:c r="N52" s="24" t="str">
        <x:v>carangidae</x:v>
      </x:c>
      <x:c r="O52" s="32" t="n">
        <x:v>4.05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Carangidae</x:v>
      </x:c>
      <x:c r="T52" s="32" t="n">
        <x:f>IF(O52="","",(1/'Metadata'!$B$5)^(O52-1))</x:f>
        <x:v>1122.018454301963</x:v>
      </x:c>
      <x:c r="U52" s="31" t="n">
        <x:f>IF(T52="","",I52*T52)</x:f>
        <x:v>8965.222606364245</x:v>
      </x:c>
    </x:row>
    <x:row r="53" ht="18" customHeight="1">
      <x:c r="A53" s="24" t="str">
        <x:v>EEZ_352</x:v>
      </x:c>
      <x:c r="B53" s="24" t="str">
        <x:v>Iceland</x:v>
      </x:c>
      <x:c r="C53" s="24" t="str">
        <x:v>EEZ</x:v>
      </x:c>
      <x:c r="D53" s="30" t="n">
        <x:v>2019</x:v>
      </x:c>
      <x:c r="E53" s="24" t="str">
        <x:v>Coryphaenoides rupestris</x:v>
      </x:c>
      <x:c r="F53" s="24" t="str">
        <x:v>Roundnose grenadier</x:v>
      </x:c>
      <x:c r="G53" s="24" t="str">
        <x:v>Large bathypelagics (&gt;=90 cm)</x:v>
      </x:c>
      <x:c r="H53" s="24" t="str">
        <x:v>Cod-likes</x:v>
      </x:c>
      <x:c r="I53" s="31" t="n">
        <x:v>5.5018018432</x:v>
      </x:c>
      <x:c r="J53" s="31" t="n">
        <x:v>5.0429500469</x:v>
      </x:c>
      <x:c r="K53" s="31" t="n">
        <x:v>0.4588517963</x:v>
      </x:c>
      <x:c r="L53" s="31" t="n">
        <x:v>5.0429500469</x:v>
      </x:c>
      <x:c r="M53" s="31" t="n">
        <x:v>0.4588517963</x:v>
      </x:c>
      <x:c r="N53" s="24" t="str">
        <x:v>coryphaenoides rupestris</x:v>
      </x:c>
      <x:c r="O53" s="32" t="n">
        <x:v>3.54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Coryphaenoides rupestris</x:v>
      </x:c>
      <x:c r="T53" s="32" t="n">
        <x:f>IF(O53="","",(1/'Metadata'!$B$5)^(O53-1))</x:f>
        <x:v>346.73685045253166</x:v>
      </x:c>
      <x:c r="U53" s="31" t="n">
        <x:f>IF(T53="","",I53*T53)</x:f>
        <x:v>1907.6774429251013</x:v>
      </x:c>
    </x:row>
    <x:row r="54" ht="18" customHeight="1">
      <x:c r="A54" s="24" t="str">
        <x:v>EEZ_352</x:v>
      </x:c>
      <x:c r="B54" s="24" t="str">
        <x:v>Iceland</x:v>
      </x:c>
      <x:c r="C54" s="24" t="str">
        <x:v>EEZ</x:v>
      </x:c>
      <x:c r="D54" s="30" t="n">
        <x:v>2019</x:v>
      </x:c>
      <x:c r="E54" s="24" t="str">
        <x:v>Rajella lintea</x:v>
      </x:c>
      <x:c r="F54" s="24" t="str">
        <x:v>Sailray</x:v>
      </x:c>
      <x:c r="G54" s="24" t="str">
        <x:v>Large rays (&gt;=90 cm)</x:v>
      </x:c>
      <x:c r="H54" s="24" t="str">
        <x:v>Sharks &amp; rays</x:v>
      </x:c>
      <x:c r="I54" s="31" t="n">
        <x:v>4.7791504913</x:v>
      </x:c>
      <x:c r="J54" s="31" t="n">
        <x:v>4.7410000000000005</x:v>
      </x:c>
      <x:c r="K54" s="31" t="n">
        <x:v>0.0381504913</x:v>
      </x:c>
      <x:c r="L54" s="31" t="n">
        <x:v>4.7410000000000005</x:v>
      </x:c>
      <x:c r="M54" s="31" t="n">
        <x:v>0.0381504913</x:v>
      </x:c>
      <x:c r="N54" s="24" t="str">
        <x:v>rajella lintea</x:v>
      </x:c>
      <x:c r="O54" s="32" t="n">
        <x:v>3.62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Rajella lintea</x:v>
      </x:c>
      <x:c r="T54" s="32" t="n">
        <x:f>IF(O54="","",(1/'Metadata'!$B$5)^(O54-1))</x:f>
        <x:v>416.8693834703355</x:v>
      </x:c>
      <x:c r="U54" s="31" t="n">
        <x:f>IF(T54="","",I54*T54)</x:f>
        <x:v>1992.281518820182</x:v>
      </x:c>
    </x:row>
    <x:row r="55" ht="18" customHeight="1">
      <x:c r="A55" s="24" t="str">
        <x:v>EEZ_352</x:v>
      </x:c>
      <x:c r="B55" s="24" t="str">
        <x:v>Iceland</x:v>
      </x:c>
      <x:c r="C55" s="24" t="str">
        <x:v>EEZ</x:v>
      </x:c>
      <x:c r="D55" s="30" t="n">
        <x:v>2019</x:v>
      </x:c>
      <x:c r="E55" s="24" t="str">
        <x:v>Raja</x:v>
      </x:c>
      <x:c r="F55" s="24" t="str">
        <x:v>Stingrays, skates</x:v>
      </x:c>
      <x:c r="G55" s="24" t="str">
        <x:v>Small to medium rays (&lt;90 cm)</x:v>
      </x:c>
      <x:c r="H55" s="24" t="str">
        <x:v>Sharks &amp; rays</x:v>
      </x:c>
      <x:c r="I55" s="31" t="n">
        <x:v>4.62706</x:v>
      </x:c>
      <x:c r="J55" s="31" t="n">
        <x:v>4.62706</x:v>
      </x:c>
      <x:c r="K55" s="31" t="n">
        <x:v>0</x:v>
      </x:c>
      <x:c r="L55" s="31" t="n">
        <x:v>4.62706</x:v>
      </x:c>
      <x:c r="M55" s="31" t="n">
        <x:v>0</x:v>
      </x:c>
      <x:c r="N55" s="24" t="str">
        <x:v>raja</x:v>
      </x:c>
      <x:c r="O55" s="32" t="n">
        <x:v>3.8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Raja</x:v>
      </x:c>
      <x:c r="T55" s="32" t="n">
        <x:f>IF(O55="","",(1/'Metadata'!$B$5)^(O55-1))</x:f>
        <x:v>630.957344480193</x:v>
      </x:c>
      <x:c r="U55" s="31" t="n">
        <x:f>IF(T55="","",I55*T55)</x:f>
        <x:v>2919.4774903505217</x:v>
      </x:c>
    </x:row>
    <x:row r="56" ht="18" customHeight="1">
      <x:c r="A56" s="24" t="str">
        <x:v>EEZ_352</x:v>
      </x:c>
      <x:c r="B56" s="24" t="str">
        <x:v>Iceland</x:v>
      </x:c>
      <x:c r="C56" s="24" t="str">
        <x:v>EEZ</x:v>
      </x:c>
      <x:c r="D56" s="30" t="n">
        <x:v>2019</x:v>
      </x:c>
      <x:c r="E56" s="24" t="str">
        <x:v>Alepocephalus bairdii</x:v>
      </x:c>
      <x:c r="F56" s="24" t="str">
        <x:v>Baird's slickhead</x:v>
      </x:c>
      <x:c r="G56" s="24" t="str">
        <x:v>Large bathydemersals (&gt;=90 cm)</x:v>
      </x:c>
      <x:c r="H56" s="24" t="str">
        <x:v>Salmon, smelts, etc</x:v>
      </x:c>
      <x:c r="I56" s="31" t="n">
        <x:v>4.6129999999999995</x:v>
      </x:c>
      <x:c r="J56" s="31" t="n">
        <x:v>4.6129999999999995</x:v>
      </x:c>
      <x:c r="K56" s="31" t="n">
        <x:v>0</x:v>
      </x:c>
      <x:c r="L56" s="31" t="n">
        <x:v>4.6129999999999995</x:v>
      </x:c>
      <x:c r="M56" s="31" t="n">
        <x:v>0</x:v>
      </x:c>
      <x:c r="N56" s="24" t="str">
        <x:v>alepocephalus bairdii</x:v>
      </x:c>
      <x:c r="O56" s="32" t="n">
        <x:v>3.69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Alepocephalus bairdii</x:v>
      </x:c>
      <x:c r="T56" s="32" t="n">
        <x:f>IF(O56="","",(1/'Metadata'!$B$5)^(O56-1))</x:f>
        <x:v>489.77881936844614</x:v>
      </x:c>
      <x:c r="U56" s="31" t="n">
        <x:f>IF(T56="","",I56*T56)</x:f>
        <x:v>2259.3496937466416</x:v>
      </x:c>
    </x:row>
    <x:row r="57" ht="18" customHeight="1">
      <x:c r="A57" s="24" t="str">
        <x:v>EEZ_352</x:v>
      </x:c>
      <x:c r="B57" s="24" t="str">
        <x:v>Iceland</x:v>
      </x:c>
      <x:c r="C57" s="24" t="str">
        <x:v>EEZ</x:v>
      </x:c>
      <x:c r="D57" s="30" t="n">
        <x:v>2019</x:v>
      </x:c>
      <x:c r="E57" s="24" t="str">
        <x:v>Triglidae</x:v>
      </x:c>
      <x:c r="F57" s="24" t="str">
        <x:v>Searobins, gurnards</x:v>
      </x:c>
      <x:c r="G57" s="24" t="str">
        <x:v>Medium demersals (30 - 89 cm)</x:v>
      </x:c>
      <x:c r="H57" s="24" t="str">
        <x:v>Scorpionfishes</x:v>
      </x:c>
      <x:c r="I57" s="31" t="n">
        <x:v>4.3758189678</x:v>
      </x:c>
      <x:c r="J57" s="31" t="n">
        <x:v>1.1576297242</x:v>
      </x:c>
      <x:c r="K57" s="31" t="n">
        <x:v>3.2181892436</x:v>
      </x:c>
      <x:c r="L57" s="31" t="n">
        <x:v>1.1576297242</x:v>
      </x:c>
      <x:c r="M57" s="31" t="n">
        <x:v>3.2181892436</x:v>
      </x:c>
      <x:c r="N57" s="24" t="str">
        <x:v>triglidae</x:v>
      </x:c>
      <x:c r="O57" s="32" t="n">
        <x:v>3.74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Triglidae</x:v>
      </x:c>
      <x:c r="T57" s="32" t="n">
        <x:f>IF(O57="","",(1/'Metadata'!$B$5)^(O57-1))</x:f>
        <x:v>549.5408738576248</x:v>
      </x:c>
      <x:c r="U57" s="31" t="n">
        <x:f>IF(T57="","",I57*T57)</x:f>
        <x:v>2404.6913794075817</x:v>
      </x:c>
    </x:row>
    <x:row r="58" ht="18" customHeight="1">
      <x:c r="A58" s="24" t="str">
        <x:v>EEZ_352</x:v>
      </x:c>
      <x:c r="B58" s="24" t="str">
        <x:v>Iceland</x:v>
      </x:c>
      <x:c r="C58" s="24" t="str">
        <x:v>EEZ</x:v>
      </x:c>
      <x:c r="D58" s="30" t="n">
        <x:v>2019</x:v>
      </x:c>
      <x:c r="E58" s="24" t="str">
        <x:v>Bivalvia</x:v>
      </x:c>
      <x:c r="F58" s="24" t="str">
        <x:v>Clams</x:v>
      </x:c>
      <x:c r="G58" s="24" t="str">
        <x:v>Other demersal invertebrates</x:v>
      </x:c>
      <x:c r="H58" s="24" t="str">
        <x:v>Molluscs</x:v>
      </x:c>
      <x:c r="I58" s="31" t="n">
        <x:v>3.7201174709</x:v>
      </x:c>
      <x:c r="J58" s="31" t="n">
        <x:v>0</x:v>
      </x:c>
      <x:c r="K58" s="31" t="n">
        <x:v>3.7201174709</x:v>
      </x:c>
      <x:c r="L58" s="31" t="n">
        <x:v>0</x:v>
      </x:c>
      <x:c r="M58" s="31" t="n">
        <x:v>3.7201174709</x:v>
      </x:c>
      <x:c r="N58" s="24" t="str">
        <x:v>bivalvia</x:v>
      </x:c>
      <x:c r="O58" s="32" t="n">
        <x:v>2.23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Bivalvia</x:v>
      </x:c>
      <x:c r="T58" s="32" t="n">
        <x:f>IF(O58="","",(1/'Metadata'!$B$5)^(O58-1))</x:f>
        <x:v>16.982436524617444</x:v>
      </x:c>
      <x:c r="U58" s="31" t="n">
        <x:f>IF(T58="","",I58*T58)</x:f>
        <x:v>63.17665881367963</x:v>
      </x:c>
    </x:row>
    <x:row r="59" ht="18" customHeight="1">
      <x:c r="A59" s="24" t="str">
        <x:v>EEZ_352</x:v>
      </x:c>
      <x:c r="B59" s="24" t="str">
        <x:v>Iceland</x:v>
      </x:c>
      <x:c r="C59" s="24" t="str">
        <x:v>EEZ</x:v>
      </x:c>
      <x:c r="D59" s="30" t="n">
        <x:v>2019</x:v>
      </x:c>
      <x:c r="E59" s="24" t="str">
        <x:v>Lamna nasus</x:v>
      </x:c>
      <x:c r="F59" s="24" t="str">
        <x:v>Porbeagle</x:v>
      </x:c>
      <x:c r="G59" s="24" t="str">
        <x:v>Large sharks (&gt;=90 cm)</x:v>
      </x:c>
      <x:c r="H59" s="24" t="str">
        <x:v>Sharks &amp; rays</x:v>
      </x:c>
      <x:c r="I59" s="31" t="n">
        <x:v>2.5559999999999996</x:v>
      </x:c>
      <x:c r="J59" s="31" t="n">
        <x:v>2.5559999999999996</x:v>
      </x:c>
      <x:c r="K59" s="31" t="n">
        <x:v>0</x:v>
      </x:c>
      <x:c r="L59" s="31" t="n">
        <x:v>2.5559999999999996</x:v>
      </x:c>
      <x:c r="M59" s="31" t="n">
        <x:v>0</x:v>
      </x:c>
      <x:c r="N59" s="24" t="str">
        <x:v>lamna nasus</x:v>
      </x:c>
      <x:c r="O59" s="32" t="n">
        <x:v>4.57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Lamna nasus</x:v>
      </x:c>
      <x:c r="T59" s="32" t="n">
        <x:f>IF(O59="","",(1/'Metadata'!$B$5)^(O59-1))</x:f>
        <x:v>3715.3522909717276</x:v>
      </x:c>
      <x:c r="U59" s="31" t="n">
        <x:f>IF(T59="","",I59*T59)</x:f>
        <x:v>9496.440455723734</x:v>
      </x:c>
    </x:row>
    <x:row r="60" ht="18" customHeight="1">
      <x:c r="A60" s="24" t="str">
        <x:v>EEZ_352</x:v>
      </x:c>
      <x:c r="B60" s="24" t="str">
        <x:v>Iceland</x:v>
      </x:c>
      <x:c r="C60" s="24" t="str">
        <x:v>EEZ</x:v>
      </x:c>
      <x:c r="D60" s="30" t="n">
        <x:v>2019</x:v>
      </x:c>
      <x:c r="E60" s="24" t="str">
        <x:v>Squalus acanthias</x:v>
      </x:c>
      <x:c r="F60" s="24" t="str">
        <x:v>Picked dogfish</x:v>
      </x:c>
      <x:c r="G60" s="24" t="str">
        <x:v>Large sharks (&gt;=90 cm)</x:v>
      </x:c>
      <x:c r="H60" s="24" t="str">
        <x:v>Sharks &amp; rays</x:v>
      </x:c>
      <x:c r="I60" s="31" t="n">
        <x:v>1.1605815816</x:v>
      </x:c>
      <x:c r="J60" s="31" t="n">
        <x:v>1.0889999998</x:v>
      </x:c>
      <x:c r="K60" s="31" t="n">
        <x:v>0.0715815818</x:v>
      </x:c>
      <x:c r="L60" s="31" t="n">
        <x:v>1.0889999998</x:v>
      </x:c>
      <x:c r="M60" s="31" t="n">
        <x:v>0.0715815818</x:v>
      </x:c>
      <x:c r="N60" s="24" t="str">
        <x:v>squalus acanthias</x:v>
      </x:c>
      <x:c r="O60" s="32" t="n">
        <x:v>4.37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Squalus acanthias</x:v>
      </x:c>
      <x:c r="T60" s="32" t="n">
        <x:f>IF(O60="","",(1/'Metadata'!$B$5)^(O60-1))</x:f>
        <x:v>2344.228815319923</x:v>
      </x:c>
      <x:c r="U60" s="31" t="n">
        <x:f>IF(T60="","",I60*T60)</x:f>
        <x:v>2720.6687861162904</x:v>
      </x:c>
    </x:row>
    <x:row r="61" ht="18" customHeight="1">
      <x:c r="A61" s="24" t="str">
        <x:v>EEZ_352</x:v>
      </x:c>
      <x:c r="B61" s="24" t="str">
        <x:v>Iceland</x:v>
      </x:c>
      <x:c r="C61" s="24" t="str">
        <x:v>EEZ</x:v>
      </x:c>
      <x:c r="D61" s="30" t="n">
        <x:v>2019</x:v>
      </x:c>
      <x:c r="E61" s="24" t="str">
        <x:v>Merlucciidae</x:v>
      </x:c>
      <x:c r="F61" s="24" t="str">
        <x:v>Merluccid hakes</x:v>
      </x:c>
      <x:c r="G61" s="24" t="str">
        <x:v>Large bathydemersals (&gt;=90 cm)</x:v>
      </x:c>
      <x:c r="H61" s="24" t="str">
        <x:v>Cod-likes</x:v>
      </x:c>
      <x:c r="I61" s="31" t="n">
        <x:v>0.8994562935999999</x:v>
      </x:c>
      <x:c r="J61" s="31" t="n">
        <x:v>0</x:v>
      </x:c>
      <x:c r="K61" s="31" t="n">
        <x:v>0.8994562935999999</x:v>
      </x:c>
      <x:c r="L61" s="31" t="n">
        <x:v>0</x:v>
      </x:c>
      <x:c r="M61" s="31" t="n">
        <x:v>0.8994562935999999</x:v>
      </x:c>
      <x:c r="N61" s="24" t="str">
        <x:v>merlucciidae</x:v>
      </x:c>
      <x:c r="O61" s="32" t="n">
        <x:v>4.35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Merlucciidae</x:v>
      </x:c>
      <x:c r="T61" s="32" t="n">
        <x:f>IF(O61="","",(1/'Metadata'!$B$5)^(O61-1))</x:f>
        <x:v>2238.7211385683377</x:v>
      </x:c>
      <x:c r="U61" s="31" t="n">
        <x:f>IF(T61="","",I61*T61)</x:f>
        <x:v>2013.6318177006488</x:v>
      </x:c>
    </x:row>
    <x:row r="62" ht="18" customHeight="1">
      <x:c r="A62" s="24" t="str">
        <x:v>EEZ_352</x:v>
      </x:c>
      <x:c r="B62" s="24" t="str">
        <x:v>Iceland</x:v>
      </x:c>
      <x:c r="C62" s="24" t="str">
        <x:v>EEZ</x:v>
      </x:c>
      <x:c r="D62" s="30" t="n">
        <x:v>2019</x:v>
      </x:c>
      <x:c r="E62" s="24" t="str">
        <x:v>Platichthys flesus</x:v>
      </x:c>
      <x:c r="F62" s="24" t="str">
        <x:v>European flounder</x:v>
      </x:c>
      <x:c r="G62" s="24" t="str">
        <x:v>Small to medium flatfishes (&lt;90 cm)</x:v>
      </x:c>
      <x:c r="H62" s="24" t="str">
        <x:v>Flatfishes</x:v>
      </x:c>
      <x:c r="I62" s="31" t="n">
        <x:v>0.6645670195</x:v>
      </x:c>
      <x:c r="J62" s="31" t="n">
        <x:v>0.6645670195</x:v>
      </x:c>
      <x:c r="K62" s="31" t="n">
        <x:v>0</x:v>
      </x:c>
      <x:c r="L62" s="31" t="n">
        <x:v>0.6645670195</x:v>
      </x:c>
      <x:c r="M62" s="31" t="n">
        <x:v>0</x:v>
      </x:c>
      <x:c r="N62" s="24" t="str">
        <x:v>platichthys flesus</x:v>
      </x:c>
      <x:c r="O62" s="32" t="n">
        <x:v>3.32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Platichthys flesus</x:v>
      </x:c>
      <x:c r="T62" s="32" t="n">
        <x:f>IF(O62="","",(1/'Metadata'!$B$5)^(O62-1))</x:f>
        <x:v>208.92961308540387</x:v>
      </x:c>
      <x:c r="U62" s="31" t="n">
        <x:f>IF(T62="","",I62*T62)</x:f>
        <x:v>138.84773025345504</x:v>
      </x:c>
    </x:row>
    <x:row r="63" ht="18" customHeight="1">
      <x:c r="A63" s="24" t="str">
        <x:v>EEZ_352</x:v>
      </x:c>
      <x:c r="B63" s="24" t="str">
        <x:v>Iceland</x:v>
      </x:c>
      <x:c r="C63" s="24" t="str">
        <x:v>EEZ</x:v>
      </x:c>
      <x:c r="D63" s="30" t="n">
        <x:v>2019</x:v>
      </x:c>
      <x:c r="E63" s="24" t="str">
        <x:v>Merluccius merluccius</x:v>
      </x:c>
      <x:c r="F63" s="24" t="str">
        <x:v>European hake</x:v>
      </x:c>
      <x:c r="G63" s="24" t="str">
        <x:v>Large demersals (&gt;=90 cm)</x:v>
      </x:c>
      <x:c r="H63" s="24" t="str">
        <x:v>Cod-likes</x:v>
      </x:c>
      <x:c r="I63" s="31" t="n">
        <x:v>0.6464494202</x:v>
      </x:c>
      <x:c r="J63" s="31" t="n">
        <x:v>0</x:v>
      </x:c>
      <x:c r="K63" s="31" t="n">
        <x:v>0.6464494202</x:v>
      </x:c>
      <x:c r="L63" s="31" t="n">
        <x:v>0</x:v>
      </x:c>
      <x:c r="M63" s="31" t="n">
        <x:v>0.6464494202</x:v>
      </x:c>
      <x:c r="N63" s="24" t="str">
        <x:v>merluccius merluccius</x:v>
      </x:c>
      <x:c r="O63" s="32" t="n">
        <x:v>4.42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Merluccius merluccius</x:v>
      </x:c>
      <x:c r="T63" s="32" t="n">
        <x:f>IF(O63="","",(1/'Metadata'!$B$5)^(O63-1))</x:f>
        <x:v>2630.2679918953813</x:v>
      </x:c>
      <x:c r="U63" s="31" t="n">
        <x:f>IF(T63="","",I63*T63)</x:f>
        <x:v>1700.3352183313875</x:v>
      </x:c>
    </x:row>
    <x:row r="64" ht="18" customHeight="1">
      <x:c r="A64" s="24" t="str">
        <x:v>EEZ_352</x:v>
      </x:c>
      <x:c r="B64" s="24" t="str">
        <x:v>Iceland</x:v>
      </x:c>
      <x:c r="C64" s="24" t="str">
        <x:v>EEZ</x:v>
      </x:c>
      <x:c r="D64" s="30" t="n">
        <x:v>2019</x:v>
      </x:c>
      <x:c r="E64" s="24" t="str">
        <x:v>Macrouridae</x:v>
      </x:c>
      <x:c r="F64" s="24" t="str">
        <x:v>Grenadiers, rattails</x:v>
      </x:c>
      <x:c r="G64" s="24" t="str">
        <x:v>Medium benthopelagics (30 - 89 cm)</x:v>
      </x:c>
      <x:c r="H64" s="24" t="str">
        <x:v>Cod-likes</x:v>
      </x:c>
      <x:c r="I64" s="31" t="n">
        <x:v>0.5259716509</x:v>
      </x:c>
      <x:c r="J64" s="31" t="n">
        <x:v>0</x:v>
      </x:c>
      <x:c r="K64" s="31" t="n">
        <x:v>0.5259716509</x:v>
      </x:c>
      <x:c r="L64" s="31" t="n">
        <x:v>0</x:v>
      </x:c>
      <x:c r="M64" s="31" t="n">
        <x:v>0.5259716509</x:v>
      </x:c>
      <x:c r="N64" s="24" t="str">
        <x:v>macrouridae</x:v>
      </x:c>
      <x:c r="O64" s="32" t="n">
        <x:v>3.88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Macrouridae</x:v>
      </x:c>
      <x:c r="T64" s="32" t="n">
        <x:f>IF(O64="","",(1/'Metadata'!$B$5)^(O64-1))</x:f>
        <x:v>758.5775750291835</x:v>
      </x:c>
      <x:c r="U64" s="31" t="n">
        <x:f>IF(T64="","",I64*T64)</x:f>
        <x:v>398.99029947381825</x:v>
      </x:c>
    </x:row>
    <x:row r="65" ht="18" customHeight="1">
      <x:c r="A65" s="24" t="str">
        <x:v>EEZ_352</x:v>
      </x:c>
      <x:c r="B65" s="24" t="str">
        <x:v>Iceland</x:v>
      </x:c>
      <x:c r="C65" s="24" t="str">
        <x:v>EEZ</x:v>
      </x:c>
      <x:c r="D65" s="30" t="n">
        <x:v>2019</x:v>
      </x:c>
      <x:c r="E65" s="24" t="str">
        <x:v>Gadidae</x:v>
      </x:c>
      <x:c r="F65" s="24" t="str">
        <x:v>Cods, haddocks</x:v>
      </x:c>
      <x:c r="G65" s="24" t="str">
        <x:v>Medium demersals (30 - 89 cm)</x:v>
      </x:c>
      <x:c r="H65" s="24" t="str">
        <x:v>Cod-likes</x:v>
      </x:c>
      <x:c r="I65" s="31" t="n">
        <x:v>0.3942968053</x:v>
      </x:c>
      <x:c r="J65" s="31" t="n">
        <x:v>0</x:v>
      </x:c>
      <x:c r="K65" s="31" t="n">
        <x:v>0.3942968053</x:v>
      </x:c>
      <x:c r="L65" s="31" t="n">
        <x:v>0</x:v>
      </x:c>
      <x:c r="M65" s="31" t="n">
        <x:v>0.3942968053</x:v>
      </x:c>
      <x:c r="N65" s="24" t="str">
        <x:v>gadidae</x:v>
      </x:c>
      <x:c r="O65" s="32" t="n">
        <x:v>3.84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Gadidae</x:v>
      </x:c>
      <x:c r="T65" s="32" t="n">
        <x:f>IF(O65="","",(1/'Metadata'!$B$5)^(O65-1))</x:f>
        <x:v>691.8309709189363</x:v>
      </x:c>
      <x:c r="U65" s="31" t="n">
        <x:f>IF(T65="","",I65*T65)</x:f>
        <x:v>272.78674164093377</x:v>
      </x:c>
    </x:row>
    <x:row r="66" ht="18" customHeight="1">
      <x:c r="A66" s="24" t="str">
        <x:v>EEZ_352</x:v>
      </x:c>
      <x:c r="B66" s="24" t="str">
        <x:v>Iceland</x:v>
      </x:c>
      <x:c r="C66" s="24" t="str">
        <x:v>EEZ</x:v>
      </x:c>
      <x:c r="D66" s="30" t="n">
        <x:v>2019</x:v>
      </x:c>
      <x:c r="E66" s="24" t="str">
        <x:v>Pleuronectidae</x:v>
      </x:c>
      <x:c r="F66" s="24" t="str">
        <x:v>Righteye flounders</x:v>
      </x:c>
      <x:c r="G66" s="24" t="str">
        <x:v>Small to medium flatfishes (&lt;90 cm)</x:v>
      </x:c>
      <x:c r="H66" s="24" t="str">
        <x:v>Flatfishes</x:v>
      </x:c>
      <x:c r="I66" s="31" t="n">
        <x:v>0.2955399944</x:v>
      </x:c>
      <x:c r="J66" s="31" t="n">
        <x:v>0.000060288</x:v>
      </x:c>
      <x:c r="K66" s="31" t="n">
        <x:v>0.2954797064</x:v>
      </x:c>
      <x:c r="L66" s="31" t="n">
        <x:v>0.000060288</x:v>
      </x:c>
      <x:c r="M66" s="31" t="n">
        <x:v>0.2954797064</x:v>
      </x:c>
      <x:c r="N66" s="24" t="str">
        <x:v>pleuronectidae</x:v>
      </x:c>
      <x:c r="O66" s="32" t="n">
        <x:v>3.49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Pleuronectidae</x:v>
      </x:c>
      <x:c r="T66" s="32" t="n">
        <x:f>IF(O66="","",(1/'Metadata'!$B$5)^(O66-1))</x:f>
        <x:v>309.0295432513592</x:v>
      </x:c>
      <x:c r="U66" s="31" t="n">
        <x:f>IF(T66="","",I66*T66)</x:f>
        <x:v>91.33058948194126</x:v>
      </x:c>
    </x:row>
    <x:row r="67" ht="18" customHeight="1">
      <x:c r="A67" s="24" t="str">
        <x:v>EEZ_352</x:v>
      </x:c>
      <x:c r="B67" s="24" t="str">
        <x:v>Iceland</x:v>
      </x:c>
      <x:c r="C67" s="24" t="str">
        <x:v>EEZ</x:v>
      </x:c>
      <x:c r="D67" s="30" t="n">
        <x:v>2019</x:v>
      </x:c>
      <x:c r="E67" s="24" t="str">
        <x:v>Squaliformes</x:v>
      </x:c>
      <x:c r="F67" s="24" t="str">
        <x:v>Bramble, sleeper, dogfish sharks</x:v>
      </x:c>
      <x:c r="G67" s="24" t="str">
        <x:v>Large sharks (&gt;=90 cm)</x:v>
      </x:c>
      <x:c r="H67" s="24" t="str">
        <x:v>Sharks &amp; rays</x:v>
      </x:c>
      <x:c r="I67" s="31" t="n">
        <x:v>0.2562434756</x:v>
      </x:c>
      <x:c r="J67" s="31" t="n">
        <x:v>0</x:v>
      </x:c>
      <x:c r="K67" s="31" t="n">
        <x:v>0.2562434756</x:v>
      </x:c>
      <x:c r="L67" s="31" t="n">
        <x:v>0</x:v>
      </x:c>
      <x:c r="M67" s="31" t="n">
        <x:v>0.2562434756</x:v>
      </x:c>
      <x:c r="N67" s="24" t="str">
        <x:v>squaliformes</x:v>
      </x:c>
      <x:c r="O67" s="32" t="n">
        <x:v>4.19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Squaliformes</x:v>
      </x:c>
      <x:c r="T67" s="32" t="n">
        <x:f>IF(O67="","",(1/'Metadata'!$B$5)^(O67-1))</x:f>
        <x:v>1548.8166189124827</x:v>
      </x:c>
      <x:c r="U67" s="31" t="n">
        <x:f>IF(T67="","",I67*T67)</x:f>
        <x:v>396.87415349717526</x:v>
      </x:c>
    </x:row>
    <x:row r="68" ht="18" customHeight="1">
      <x:c r="A68" s="24" t="str">
        <x:v>EEZ_352</x:v>
      </x:c>
      <x:c r="B68" s="24" t="str">
        <x:v>Iceland</x:v>
      </x:c>
      <x:c r="C68" s="24" t="str">
        <x:v>EEZ</x:v>
      </x:c>
      <x:c r="D68" s="30" t="n">
        <x:v>2019</x:v>
      </x:c>
      <x:c r="E68" s="24" t="str">
        <x:v>Gadiformes</x:v>
      </x:c>
      <x:c r="F68" s="24" t="str">
        <x:v>Cods</x:v>
      </x:c>
      <x:c r="G68" s="24" t="str">
        <x:v>Medium benthopelagics (30 - 89 cm)</x:v>
      </x:c>
      <x:c r="H68" s="24" t="str">
        <x:v>Cod-likes</x:v>
      </x:c>
      <x:c r="I68" s="31" t="n">
        <x:v>0.2049183501</x:v>
      </x:c>
      <x:c r="J68" s="31" t="n">
        <x:v>0</x:v>
      </x:c>
      <x:c r="K68" s="31" t="n">
        <x:v>0.2049183501</x:v>
      </x:c>
      <x:c r="L68" s="31" t="n">
        <x:v>0</x:v>
      </x:c>
      <x:c r="M68" s="31" t="n">
        <x:v>0.2049183501</x:v>
      </x:c>
      <x:c r="N68" s="24" t="str">
        <x:v>gadiformes</x:v>
      </x:c>
      <x:c r="O68" s="32" t="n">
        <x:v>3.91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Gadiformes</x:v>
      </x:c>
      <x:c r="T68" s="32" t="n">
        <x:f>IF(O68="","",(1/'Metadata'!$B$5)^(O68-1))</x:f>
        <x:v>812.8305161640995</x:v>
      </x:c>
      <x:c r="U68" s="31" t="n">
        <x:f>IF(T68="","",I68*T68)</x:f>
        <x:v>166.56388828327866</x:v>
      </x:c>
    </x:row>
    <x:row r="69" ht="18" customHeight="1">
      <x:c r="A69" s="24" t="str">
        <x:v>EEZ_352</x:v>
      </x:c>
      <x:c r="B69" s="24" t="str">
        <x:v>Iceland</x:v>
      </x:c>
      <x:c r="C69" s="24" t="str">
        <x:v>EEZ</x:v>
      </x:c>
      <x:c r="D69" s="30" t="n">
        <x:v>2019</x:v>
      </x:c>
      <x:c r="E69" s="24" t="str">
        <x:v>Clupeidae</x:v>
      </x:c>
      <x:c r="F69" s="24" t="str">
        <x:v>Herrings, sardines, menhadens</x:v>
      </x:c>
      <x:c r="G69" s="24" t="str">
        <x:v>Small pelagics (&lt;30 cm)</x:v>
      </x:c>
      <x:c r="H69" s="24" t="str">
        <x:v>Herring-likes</x:v>
      </x:c>
      <x:c r="I69" s="31" t="n">
        <x:v>0.19816714659999998</x:v>
      </x:c>
      <x:c r="J69" s="31" t="n">
        <x:v>0.0058549416</x:v>
      </x:c>
      <x:c r="K69" s="31" t="n">
        <x:v>0.19231220499999999</x:v>
      </x:c>
      <x:c r="L69" s="31" t="n">
        <x:v>0.0058549416</x:v>
      </x:c>
      <x:c r="M69" s="31" t="n">
        <x:v>0.19231220499999999</x:v>
      </x:c>
      <x:c r="N69" s="24" t="str">
        <x:v>clupeidae</x:v>
      </x:c>
      <x:c r="O69" s="32" t="n">
        <x:v>3.16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Clupeidae</x:v>
      </x:c>
      <x:c r="T69" s="32" t="n">
        <x:f>IF(O69="","",(1/'Metadata'!$B$5)^(O69-1))</x:f>
        <x:v>144.5439770745928</x:v>
      </x:c>
      <x:c r="U69" s="31" t="n">
        <x:f>IF(T69="","",I69*T69)</x:f>
        <x:v>28.643867495087864</x:v>
      </x:c>
    </x:row>
    <x:row r="70" ht="18" customHeight="1">
      <x:c r="A70" s="24" t="str">
        <x:v>EEZ_352</x:v>
      </x:c>
      <x:c r="B70" s="24" t="str">
        <x:v>Iceland</x:v>
      </x:c>
      <x:c r="C70" s="24" t="str">
        <x:v>EEZ</x:v>
      </x:c>
      <x:c r="D70" s="30" t="n">
        <x:v>2019</x:v>
      </x:c>
      <x:c r="E70" s="24" t="str">
        <x:v>Eutrigla gurnardus</x:v>
      </x:c>
      <x:c r="F70" s="24" t="str">
        <x:v>Grey gurnard</x:v>
      </x:c>
      <x:c r="G70" s="24" t="str">
        <x:v>Medium demersals (30 - 89 cm)</x:v>
      </x:c>
      <x:c r="H70" s="24" t="str">
        <x:v>Scorpionfishes</x:v>
      </x:c>
      <x:c r="I70" s="31" t="n">
        <x:v>0.143750658</x:v>
      </x:c>
      <x:c r="J70" s="31" t="n">
        <x:v>0</x:v>
      </x:c>
      <x:c r="K70" s="31" t="n">
        <x:v>0.143750658</x:v>
      </x:c>
      <x:c r="L70" s="31" t="n">
        <x:v>0</x:v>
      </x:c>
      <x:c r="M70" s="31" t="n">
        <x:v>0.143750658</x:v>
      </x:c>
      <x:c r="N70" s="24" t="str">
        <x:v>eutrigla gurnardus</x:v>
      </x:c>
      <x:c r="O70" s="32" t="n">
        <x:v>3.87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Eutrigla gurnardus</x:v>
      </x:c>
      <x:c r="T70" s="32" t="n">
        <x:f>IF(O70="","",(1/'Metadata'!$B$5)^(O70-1))</x:f>
        <x:v>741.3102413009177</x:v>
      </x:c>
      <x:c r="U70" s="31" t="n">
        <x:f>IF(T70="","",I70*T70)</x:f>
        <x:v>106.5638349691457</x:v>
      </x:c>
    </x:row>
    <x:row r="71" ht="18" customHeight="1">
      <x:c r="A71" s="24" t="str">
        <x:v>EEZ_352</x:v>
      </x:c>
      <x:c r="B71" s="24" t="str">
        <x:v>Iceland</x:v>
      </x:c>
      <x:c r="C71" s="24" t="str">
        <x:v>EEZ</x:v>
      </x:c>
      <x:c r="D71" s="30" t="n">
        <x:v>2019</x:v>
      </x:c>
      <x:c r="E71" s="24" t="str">
        <x:v>Trachipterus</x:v>
      </x:c>
      <x:c r="F71" s="24" t="str">
        <x:v>Ribbonfishes</x:v>
      </x:c>
      <x:c r="G71" s="24" t="str">
        <x:v>Large bathypelagics (&gt;=90 cm)</x:v>
      </x:c>
      <x:c r="H71" s="24" t="str">
        <x:v>Other fishes &amp; inverts</x:v>
      </x:c>
      <x:c r="I71" s="31" t="n">
        <x:v>0.1118854766</x:v>
      </x:c>
      <x:c r="J71" s="31" t="n">
        <x:v>0</x:v>
      </x:c>
      <x:c r="K71" s="31" t="n">
        <x:v>0.1118854766</x:v>
      </x:c>
      <x:c r="L71" s="31" t="n">
        <x:v>0</x:v>
      </x:c>
      <x:c r="M71" s="31" t="n">
        <x:v>0.1118854766</x:v>
      </x:c>
      <x:c r="N71" s="24" t="str">
        <x:v>trachipterus</x:v>
      </x:c>
      <x:c r="O71" s="32" t="n">
        <x:v>4.5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Trachipterus</x:v>
      </x:c>
      <x:c r="T71" s="32" t="n">
        <x:f>IF(O71="","",(1/'Metadata'!$B$5)^(O71-1))</x:f>
        <x:v>3162.2776601683795</x:v>
      </x:c>
      <x:c r="U71" s="31" t="n">
        <x:f>IF(T71="","",I71*T71)</x:f>
        <x:v>353.812943149472</x:v>
      </x:c>
    </x:row>
    <x:row r="72" ht="18" customHeight="1">
      <x:c r="A72" s="24" t="str">
        <x:v>EEZ_352</x:v>
      </x:c>
      <x:c r="B72" s="24" t="str">
        <x:v>Iceland</x:v>
      </x:c>
      <x:c r="C72" s="24" t="str">
        <x:v>EEZ</x:v>
      </x:c>
      <x:c r="D72" s="30" t="n">
        <x:v>2019</x:v>
      </x:c>
      <x:c r="E72" s="24" t="str">
        <x:v>Gastropoda</x:v>
      </x:c>
      <x:c r="F72" s="24" t="str">
        <x:v>Sea snails</x:v>
      </x:c>
      <x:c r="G72" s="24" t="str">
        <x:v>Other demersal invertebrates</x:v>
      </x:c>
      <x:c r="H72" s="24" t="str">
        <x:v>Molluscs</x:v>
      </x:c>
      <x:c r="I72" s="31" t="n">
        <x:v>0.0873671383</x:v>
      </x:c>
      <x:c r="J72" s="31" t="n">
        <x:v>0</x:v>
      </x:c>
      <x:c r="K72" s="31" t="n">
        <x:v>0.0873671383</x:v>
      </x:c>
      <x:c r="L72" s="31" t="n">
        <x:v>0</x:v>
      </x:c>
      <x:c r="M72" s="31" t="n">
        <x:v>0.0873671383</x:v>
      </x:c>
      <x:c r="N72" s="24" t="str">
        <x:v>gastropoda</x:v>
      </x:c>
      <x:c r="O72" s="32" t="n">
        <x:v>3.06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Gastropoda</x:v>
      </x:c>
      <x:c r="T72" s="32" t="n">
        <x:f>IF(O72="","",(1/'Metadata'!$B$5)^(O72-1))</x:f>
        <x:v>114.81536214968828</x:v>
      </x:c>
      <x:c r="U72" s="31" t="n">
        <x:f>IF(T72="","",I72*T72)</x:f>
        <x:v>10.031089623896401</x:v>
      </x:c>
    </x:row>
    <x:row r="73" ht="18" customHeight="1">
      <x:c r="A73" s="24" t="str">
        <x:v>EEZ_352</x:v>
      </x:c>
      <x:c r="B73" s="24" t="str">
        <x:v>Iceland</x:v>
      </x:c>
      <x:c r="C73" s="24" t="str">
        <x:v>EEZ</x:v>
      </x:c>
      <x:c r="D73" s="30" t="n">
        <x:v>2019</x:v>
      </x:c>
      <x:c r="E73" s="24" t="str">
        <x:v>Sebastidae</x:v>
      </x:c>
      <x:c r="F73" s="24" t="str">
        <x:v>Rockfishes, rockcods, thornyheads</x:v>
      </x:c>
      <x:c r="G73" s="24" t="str">
        <x:v>Medium demersals (30 - 89 cm)</x:v>
      </x:c>
      <x:c r="H73" s="24" t="str">
        <x:v>Scorpionfishes</x:v>
      </x:c>
      <x:c r="I73" s="31" t="n">
        <x:v>0.0830537244</x:v>
      </x:c>
      <x:c r="J73" s="31" t="n">
        <x:v>0</x:v>
      </x:c>
      <x:c r="K73" s="31" t="n">
        <x:v>0.0830537244</x:v>
      </x:c>
      <x:c r="L73" s="31" t="n">
        <x:v>0</x:v>
      </x:c>
      <x:c r="M73" s="31" t="n">
        <x:v>0.0830537244</x:v>
      </x:c>
      <x:c r="N73" s="24" t="str">
        <x:v>sebastidae</x:v>
      </x:c>
      <x:c r="O73" s="32" t="n">
        <x:v>3.74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Sebastidae</x:v>
      </x:c>
      <x:c r="T73" s="32" t="n">
        <x:f>IF(O73="","",(1/'Metadata'!$B$5)^(O73-1))</x:f>
        <x:v>549.5408738576248</x:v>
      </x:c>
      <x:c r="U73" s="31" t="n">
        <x:f>IF(T73="","",I73*T73)</x:f>
        <x:v>45.64141628390633</x:v>
      </x:c>
    </x:row>
    <x:row r="74" ht="18" customHeight="1">
      <x:c r="A74" s="24" t="str">
        <x:v>EEZ_352</x:v>
      </x:c>
      <x:c r="B74" s="24" t="str">
        <x:v>Iceland</x:v>
      </x:c>
      <x:c r="C74" s="24" t="str">
        <x:v>EEZ</x:v>
      </x:c>
      <x:c r="D74" s="30" t="n">
        <x:v>2019</x:v>
      </x:c>
      <x:c r="E74" s="24" t="str">
        <x:v>Maurolicus muelleri</x:v>
      </x:c>
      <x:c r="F74" s="24" t="str">
        <x:v>Silvery lightfish</x:v>
      </x:c>
      <x:c r="G74" s="24" t="str">
        <x:v>Small bathypelagics (&lt;30 cm)</x:v>
      </x:c>
      <x:c r="H74" s="24" t="str">
        <x:v>Other fishes &amp; inverts</x:v>
      </x:c>
      <x:c r="I74" s="31" t="n">
        <x:v>0.0813985401</x:v>
      </x:c>
      <x:c r="J74" s="31" t="n">
        <x:v>0</x:v>
      </x:c>
      <x:c r="K74" s="31" t="n">
        <x:v>0.0813985401</x:v>
      </x:c>
      <x:c r="L74" s="31" t="n">
        <x:v>0</x:v>
      </x:c>
      <x:c r="M74" s="31" t="n">
        <x:v>0.0813985401</x:v>
      </x:c>
      <x:c r="N74" s="24" t="str">
        <x:v>maurolicus muelleri</x:v>
      </x:c>
      <x:c r="O74" s="32" t="n">
        <x:v>3.01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Maurolicus muelleri</x:v>
      </x:c>
      <x:c r="T74" s="32" t="n">
        <x:f>IF(O74="","",(1/'Metadata'!$B$5)^(O74-1))</x:f>
        <x:v>102.32929922807536</x:v>
      </x:c>
      <x:c r="U74" s="31" t="n">
        <x:f>IF(T74="","",I74*T74)</x:f>
        <x:v>8.329455566621391</x:v>
      </x:c>
    </x:row>
    <x:row r="75" ht="18" customHeight="1">
      <x:c r="A75" s="24" t="str">
        <x:v>EEZ_352</x:v>
      </x:c>
      <x:c r="B75" s="24" t="str">
        <x:v>Iceland</x:v>
      </x:c>
      <x:c r="C75" s="24" t="str">
        <x:v>EEZ</x:v>
      </x:c>
      <x:c r="D75" s="30" t="n">
        <x:v>2019</x:v>
      </x:c>
      <x:c r="E75" s="24" t="str">
        <x:v>Clupeiformes</x:v>
      </x:c>
      <x:c r="F75" s="24" t="str">
        <x:v>Herrings, shads, anchovies</x:v>
      </x:c>
      <x:c r="G75" s="24" t="str">
        <x:v>Small pelagics (&lt;30 cm)</x:v>
      </x:c>
      <x:c r="H75" s="24" t="str">
        <x:v>Other fishes &amp; inverts</x:v>
      </x:c>
      <x:c r="I75" s="31" t="n">
        <x:v>0.0443918798</x:v>
      </x:c>
      <x:c r="J75" s="31" t="n">
        <x:v>0.0443918798</x:v>
      </x:c>
      <x:c r="K75" s="31" t="n">
        <x:v>0</x:v>
      </x:c>
      <x:c r="L75" s="31" t="n">
        <x:v>0.0443918798</x:v>
      </x:c>
      <x:c r="M75" s="31" t="n">
        <x:v>0</x:v>
      </x:c>
      <x:c r="N75" s="24" t="str">
        <x:v>clupeiformes</x:v>
      </x:c>
      <x:c r="O75" s="32" t="n">
        <x:v>3.24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Clupeiformes</x:v>
      </x:c>
      <x:c r="T75" s="32" t="n">
        <x:f>IF(O75="","",(1/'Metadata'!$B$5)^(O75-1))</x:f>
        <x:v>173.78008287493762</x:v>
      </x:c>
      <x:c r="U75" s="31" t="n">
        <x:f>IF(T75="","",I75*T75)</x:f>
        <x:v>7.714424550618269</x:v>
      </x:c>
    </x:row>
    <x:row r="76" ht="18" customHeight="1">
      <x:c r="A76" s="24" t="str">
        <x:v>EEZ_352</x:v>
      </x:c>
      <x:c r="B76" s="24" t="str">
        <x:v>Iceland</x:v>
      </x:c>
      <x:c r="C76" s="24" t="str">
        <x:v>EEZ</x:v>
      </x:c>
      <x:c r="D76" s="30" t="n">
        <x:v>2019</x:v>
      </x:c>
      <x:c r="E76" s="24" t="str">
        <x:v>Phycis</x:v>
      </x:c>
      <x:c r="F76" s="24" t="str">
        <x:v>Gunnels, forkbeards</x:v>
      </x:c>
      <x:c r="G76" s="24" t="str">
        <x:v>Medium benthopelagics (30 - 89 cm)</x:v>
      </x:c>
      <x:c r="H76" s="24" t="str">
        <x:v>Cod-likes</x:v>
      </x:c>
      <x:c r="I76" s="31" t="n">
        <x:v>0.035208954</x:v>
      </x:c>
      <x:c r="J76" s="31" t="n">
        <x:v>0</x:v>
      </x:c>
      <x:c r="K76" s="31" t="n">
        <x:v>0.035208954</x:v>
      </x:c>
      <x:c r="L76" s="31" t="n">
        <x:v>0</x:v>
      </x:c>
      <x:c r="M76" s="31" t="n">
        <x:v>0.035208954</x:v>
      </x:c>
      <x:c r="N76" s="24" t="str">
        <x:v>phycis</x:v>
      </x:c>
      <x:c r="O76" s="32" t="n">
        <x:v>3.99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Phycis</x:v>
      </x:c>
      <x:c r="T76" s="32" t="n">
        <x:f>IF(O76="","",(1/'Metadata'!$B$5)^(O76-1))</x:f>
        <x:v>977.2372209558112</x:v>
      </x:c>
      <x:c r="U76" s="31" t="n">
        <x:f>IF(T76="","",I76*T76)</x:f>
        <x:v>34.40750035972099</x:v>
      </x:c>
    </x:row>
    <x:row r="77" ht="18" customHeight="1">
      <x:c r="A77" s="24" t="str">
        <x:v>EEZ_352</x:v>
      </x:c>
      <x:c r="B77" s="24" t="str">
        <x:v>Iceland</x:v>
      </x:c>
      <x:c r="C77" s="24" t="str">
        <x:v>EEZ</x:v>
      </x:c>
      <x:c r="D77" s="30" t="n">
        <x:v>2019</x:v>
      </x:c>
      <x:c r="E77" s="24" t="str">
        <x:v>Centroscyllium fabricii</x:v>
      </x:c>
      <x:c r="F77" s="24" t="str">
        <x:v>Black dogfish</x:v>
      </x:c>
      <x:c r="G77" s="24" t="str">
        <x:v>Small to medium sharks (&lt;90 cm)</x:v>
      </x:c>
      <x:c r="H77" s="24" t="str">
        <x:v>Sharks &amp; rays</x:v>
      </x:c>
      <x:c r="I77" s="31" t="n">
        <x:v>0.0175403747</x:v>
      </x:c>
      <x:c r="J77" s="31" t="n">
        <x:v>0</x:v>
      </x:c>
      <x:c r="K77" s="31" t="n">
        <x:v>0.0175403747</x:v>
      </x:c>
      <x:c r="L77" s="31" t="n">
        <x:v>0</x:v>
      </x:c>
      <x:c r="M77" s="31" t="n">
        <x:v>0.0175403747</x:v>
      </x:c>
      <x:c r="N77" s="24" t="str">
        <x:v>centroscyllium fabricii</x:v>
      </x:c>
      <x:c r="O77" s="32" t="n">
        <x:v>3.84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Centroscyllium fabricii</x:v>
      </x:c>
      <x:c r="T77" s="32" t="n">
        <x:f>IF(O77="","",(1/'Metadata'!$B$5)^(O77-1))</x:f>
        <x:v>691.8309709189363</x:v>
      </x:c>
      <x:c r="U77" s="31" t="n">
        <x:f>IF(T77="","",I77*T77)</x:f>
        <x:v>12.134974458982946</x:v>
      </x:c>
    </x:row>
    <x:row r="78" ht="18" customHeight="1">
      <x:c r="A78" s="24" t="str">
        <x:v>EEZ_352</x:v>
      </x:c>
      <x:c r="B78" s="24" t="str">
        <x:v>Iceland</x:v>
      </x:c>
      <x:c r="C78" s="24" t="str">
        <x:v>EEZ</x:v>
      </x:c>
      <x:c r="D78" s="30" t="n">
        <x:v>2019</x:v>
      </x:c>
      <x:c r="E78" s="24" t="str">
        <x:v>Pleuronectiformes</x:v>
      </x:c>
      <x:c r="F78" s="24" t="str">
        <x:v>Flatfishes</x:v>
      </x:c>
      <x:c r="G78" s="24" t="str">
        <x:v>Small to medium flatfishes (&lt;90 cm)</x:v>
      </x:c>
      <x:c r="H78" s="24" t="str">
        <x:v>Flatfishes</x:v>
      </x:c>
      <x:c r="I78" s="31" t="n">
        <x:v>0.0079984562</x:v>
      </x:c>
      <x:c r="J78" s="31" t="n">
        <x:v>0.0079984562</x:v>
      </x:c>
      <x:c r="K78" s="31" t="n">
        <x:v>0</x:v>
      </x:c>
      <x:c r="L78" s="31" t="n">
        <x:v>0.0079984562</x:v>
      </x:c>
      <x:c r="M78" s="31" t="n">
        <x:v>0</x:v>
      </x:c>
      <x:c r="N78" s="24" t="str">
        <x:v>pleuronectiformes</x:v>
      </x:c>
      <x:c r="O78" s="32" t="n">
        <x:v>3.57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Pleuronectiformes</x:v>
      </x:c>
      <x:c r="T78" s="32" t="n">
        <x:f>IF(O78="","",(1/'Metadata'!$B$5)^(O78-1))</x:f>
        <x:v>371.5352290971724</x:v>
      </x:c>
      <x:c r="U78" s="31" t="n">
        <x:f>IF(T78="","",I78*T78)</x:f>
        <x:v>2.9717082566906994</x:v>
      </x:c>
    </x:row>
    <x:row r="79" ht="18" customHeight="1">
      <x:c r="A79" s="24" t="str">
        <x:v>EEZ_352</x:v>
      </x:c>
      <x:c r="B79" s="24" t="str">
        <x:v>Iceland</x:v>
      </x:c>
      <x:c r="C79" s="24" t="str">
        <x:v>EEZ</x:v>
      </x:c>
      <x:c r="D79" s="30" t="n">
        <x:v>2019</x:v>
      </x:c>
      <x:c r="E79" s="24" t="str">
        <x:v>Prionace glauca</x:v>
      </x:c>
      <x:c r="F79" s="24" t="str">
        <x:v>Blue shark</x:v>
      </x:c>
      <x:c r="G79" s="24" t="str">
        <x:v>Large sharks (&gt;=90 cm)</x:v>
      </x:c>
      <x:c r="H79" s="24" t="str">
        <x:v>Sharks &amp; rays</x:v>
      </x:c>
      <x:c r="I79" s="31" t="n">
        <x:v>0.004267752</x:v>
      </x:c>
      <x:c r="J79" s="31" t="n">
        <x:v>0</x:v>
      </x:c>
      <x:c r="K79" s="31" t="n">
        <x:v>0.004267752</x:v>
      </x:c>
      <x:c r="L79" s="31" t="n">
        <x:v>0</x:v>
      </x:c>
      <x:c r="M79" s="31" t="n">
        <x:v>0.004267752</x:v>
      </x:c>
      <x:c r="N79" s="24" t="str">
        <x:v>prionace glauca</x:v>
      </x:c>
      <x:c r="O79" s="32" t="n">
        <x:v>4.35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Prionace glauca</x:v>
      </x:c>
      <x:c r="T79" s="32" t="n">
        <x:f>IF(O79="","",(1/'Metadata'!$B$5)^(O79-1))</x:f>
        <x:v>2238.7211385683377</x:v>
      </x:c>
      <x:c r="U79" s="31" t="n">
        <x:f>IF(T79="","",I79*T79)</x:f>
        <x:v>9.554306616567299</x:v>
      </x:c>
    </x:row>
    <x:row r="80" ht="18" customHeight="1">
      <x:c r="A80" s="24" t="str">
        <x:v>EEZ_352</x:v>
      </x:c>
      <x:c r="B80" s="24" t="str">
        <x:v>Iceland</x:v>
      </x:c>
      <x:c r="C80" s="24" t="str">
        <x:v>EEZ</x:v>
      </x:c>
      <x:c r="D80" s="30" t="n">
        <x:v>2019</x:v>
      </x:c>
      <x:c r="E80" s="24" t="str">
        <x:v>Osteichthyes</x:v>
      </x:c>
      <x:c r="F80" s="24" t="str">
        <x:v>Bony fishes</x:v>
      </x:c>
      <x:c r="G80" s="24" t="str">
        <x:v>Medium demersals (30 - 89 cm)</x:v>
      </x:c>
      <x:c r="H80" s="24" t="str">
        <x:v>Other fishes &amp; inverts</x:v>
      </x:c>
      <x:c r="I80" s="31" t="n">
        <x:v>0.0008896467</x:v>
      </x:c>
      <x:c r="J80" s="31" t="n">
        <x:v>0.0008896467</x:v>
      </x:c>
      <x:c r="K80" s="31" t="n">
        <x:v>0</x:v>
      </x:c>
      <x:c r="L80" s="31" t="n">
        <x:v>0.0008896467</x:v>
      </x:c>
      <x:c r="M80" s="31" t="n">
        <x:v>0</x:v>
      </x:c>
      <x:c r="N80" s="24" t="str">
        <x:v>osteichthyes</x:v>
      </x:c>
      <x:c r="O80" s="32" t="n">
        <x:v>3.79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Osteichthyes</x:v>
      </x:c>
      <x:c r="T80" s="32" t="n">
        <x:f>IF(O80="","",(1/'Metadata'!$B$5)^(O80-1))</x:f>
        <x:v>616.5950018614822</x:v>
      </x:c>
      <x:c r="U80" s="31" t="n">
        <x:f>IF(T80="","",I80*T80)</x:f>
        <x:v>0.5485517086425615</x:v>
      </x:c>
    </x:row>
  </x:sheetData>
  <x:conditionalFormatting sqref="R2:R8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efd5566ec0b465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18</x:v>
      </x:c>
      <x:c r="C2" s="33" t="n">
        <x:v>18</x:v>
      </x:c>
      <x:c r="D2" s="31" t="n">
        <x:v>433382.09861495724</x:v>
      </x:c>
      <x:c r="E2" s="31" t="n">
        <x:v>433382.09861495724</x:v>
      </x:c>
      <x:c r="F2" s="32" t="n">
        <x:v>0</x:v>
      </x:c>
      <x:c r="G2" s="34" t="n">
        <x:v>1</x:v>
      </x:c>
      <x:c r="H2" s="32" t="n">
        <x:f>IF(E2=0,"",I2/E2)</x:f>
        <x:v>1353.2587929526755</x:v>
      </x:c>
      <x:c r="I2" s="31" t="n">
        <x:f>IF(C2=0,"",SUMIF('Species'!$H$2:$H$80,A2,'Species'!$U$2:$U$80))</x:f>
        <x:v>586478135.6589744</x:v>
      </x:c>
      <x:c r="J2" s="32" t="n">
        <x:v>4.117699221359626</x:v>
      </x:c>
      <x:c r="K2" s="32" t="n">
        <x:f>IF(J2="","",(1/'Metadata'!$B$5)^(J2-1))</x:f>
        <x:v>1311.2914254431555</x:v>
      </x:c>
      <x:c r="L2" s="31" t="n">
        <x:f>IF(E2=0,"",E2*K2)</x:f>
        <x:v>568290229.8543534</x:v>
      </x:c>
      <x:c r="M2" s="31" t="n">
        <x:f>IF(E2=0,"",I2-L2)</x:f>
        <x:v>18187905.80462098</x:v>
      </x:c>
      <x:c r="N2" s="32" t="n">
        <x:f>IF(L2=0,"",I2/L2)</x:f>
        <x:v>1.0320046075915863</x:v>
      </x:c>
      <x:c r="O2" s="34" t="n">
        <x:f>IF(L2=0,"",M2/L2)</x:f>
        <x:v>0.03200460759158633</x:v>
      </x:c>
    </x:row>
    <x:row r="3" ht="18" customHeight="1">
      <x:c r="A3" s="24" t="str">
        <x:v>Crustaceans</x:v>
      </x:c>
      <x:c r="B3" s="33" t="n">
        <x:v>3</x:v>
      </x:c>
      <x:c r="C3" s="33" t="n">
        <x:v>3</x:v>
      </x:c>
      <x:c r="D3" s="31" t="n">
        <x:v>3140.7692368062</x:v>
      </x:c>
      <x:c r="E3" s="31" t="n">
        <x:v>3140.7692368062</x:v>
      </x:c>
      <x:c r="F3" s="32" t="n">
        <x:v>0</x:v>
      </x:c>
      <x:c r="G3" s="34" t="n">
        <x:v>1</x:v>
      </x:c>
      <x:c r="H3" s="32" t="n">
        <x:f>IF(E3=0,"",I3/E3)</x:f>
        <x:v>115.3060803060979</x:v>
      </x:c>
      <x:c r="I3" s="31" t="n">
        <x:f>IF(C3=0,"",SUMIF('Species'!$H$2:$H$80,A3,'Species'!$U$2:$U$80))</x:f>
        <x:v>362149.7898420975</x:v>
      </x:c>
      <x:c r="J3" s="32" t="n">
        <x:v>3.0597455593809917</x:v>
      </x:c>
      <x:c r="K3" s="32" t="n">
        <x:f>IF(J3="","",(1/'Metadata'!$B$5)^(J3-1))</x:f>
        <x:v>114.74811483945297</x:v>
      </x:c>
      <x:c r="L3" s="31" t="n">
        <x:f>IF(E3=0,"",E3*K3)</x:f>
        <x:v>360397.3490692589</x:v>
      </x:c>
      <x:c r="M3" s="31" t="n">
        <x:f>IF(E3=0,"",I3-L3)</x:f>
        <x:v>1752.4407728385995</x:v>
      </x:c>
      <x:c r="N3" s="32" t="n">
        <x:f>IF(L3=0,"",I3/L3)</x:f>
        <x:v>1.0048625240373281</x:v>
      </x:c>
      <x:c r="O3" s="34" t="n">
        <x:f>IF(L3=0,"",M3/L3)</x:f>
        <x:v>0.004862524037328106</x:v>
      </x:c>
    </x:row>
    <x:row r="4" ht="18" customHeight="1">
      <x:c r="A4" s="24" t="str">
        <x:v>Flatfishes</x:v>
      </x:c>
      <x:c r="B4" s="33" t="n">
        <x:v>11</x:v>
      </x:c>
      <x:c r="C4" s="33" t="n">
        <x:v>11</x:v>
      </x:c>
      <x:c r="D4" s="31" t="n">
        <x:v>23256.1861862687</x:v>
      </x:c>
      <x:c r="E4" s="31" t="n">
        <x:v>23256.1861862687</x:v>
      </x:c>
      <x:c r="F4" s="32" t="n">
        <x:v>0</x:v>
      </x:c>
      <x:c r="G4" s="34" t="n">
        <x:v>1</x:v>
      </x:c>
      <x:c r="H4" s="32" t="n">
        <x:f>IF(E4=0,"",I4/E4)</x:f>
        <x:v>1421.1238079824943</x:v>
      </x:c>
      <x:c r="I4" s="31" t="n">
        <x:f>IF(C4=0,"",SUMIF('Species'!$H$2:$H$80,A4,'Species'!$U$2:$U$80))</x:f>
        <x:v>33049919.87218006</x:v>
      </x:c>
      <x:c r="J4" s="32" t="n">
        <x:v>3.887645926531932</x:v>
      </x:c>
      <x:c r="K4" s="32" t="n">
        <x:f>IF(J4="","",(1/'Metadata'!$B$5)^(J4-1))</x:f>
        <x:v>772.0508874801169</x:v>
      </x:c>
      <x:c r="L4" s="31" t="n">
        <x:f>IF(E4=0,"",E4*K4)</x:f>
        <x:v>17954959.184511583</x:v>
      </x:c>
      <x:c r="M4" s="31" t="n">
        <x:f>IF(E4=0,"",I4-L4)</x:f>
        <x:v>15094960.687668476</x:v>
      </x:c>
      <x:c r="N4" s="32" t="n">
        <x:f>IF(L4=0,"",I4/L4)</x:f>
        <x:v>1.8407126149687816</x:v>
      </x:c>
      <x:c r="O4" s="34" t="n">
        <x:f>IF(L4=0,"",M4/L4)</x:f>
        <x:v>0.8407126149687817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0.19816714659999998</x:v>
      </x:c>
      <x:c r="E5" s="31" t="n">
        <x:v>0.19816714659999998</x:v>
      </x:c>
      <x:c r="F5" s="32" t="n">
        <x:v>0</x:v>
      </x:c>
      <x:c r="G5" s="34" t="n">
        <x:v>1</x:v>
      </x:c>
      <x:c r="H5" s="32" t="n">
        <x:f>IF(E5=0,"",I5/E5)</x:f>
        <x:v>144.5439770745928</x:v>
      </x:c>
      <x:c r="I5" s="31" t="n">
        <x:f>IF(C5=0,"",SUMIF('Species'!$H$2:$H$80,A5,'Species'!$U$2:$U$80))</x:f>
        <x:v>28.643867495087864</x:v>
      </x:c>
      <x:c r="J5" s="32" t="n">
        <x:v>3.1600000000000006</x:v>
      </x:c>
      <x:c r="K5" s="32" t="n">
        <x:f>IF(J5="","",(1/'Metadata'!$B$5)^(J5-1))</x:f>
        <x:v>144.54397707459296</x:v>
      </x:c>
      <x:c r="L5" s="31" t="n">
        <x:f>IF(E5=0,"",E5*K5)</x:f>
        <x:v>28.6438674950879</x:v>
      </x:c>
      <x:c r="M5" s="31" t="n">
        <x:f>IF(E5=0,"",I5-L5)</x:f>
        <x:v>-3.552713678800501e-14</x:v>
      </x:c>
      <x:c r="N5" s="32" t="n">
        <x:f>IF(L5=0,"",I5/L5)</x:f>
        <x:v>0.9999999999999988</x:v>
      </x:c>
      <x:c r="O5" s="34" t="n">
        <x:f>IF(L5=0,"",M5/L5)</x:f>
        <x:v>-1.2403051645905537e-15</x:v>
      </x:c>
    </x:row>
    <x:row r="6" ht="18" customHeight="1">
      <x:c r="A6" s="24" t="str">
        <x:v>Molluscs</x:v>
      </x:c>
      <x:c r="B6" s="33" t="n">
        <x:v>4</x:v>
      </x:c>
      <x:c r="C6" s="33" t="n">
        <x:v>4</x:v>
      </x:c>
      <x:c r="D6" s="31" t="n">
        <x:v>381.6493709581</x:v>
      </x:c>
      <x:c r="E6" s="31" t="n">
        <x:v>381.6493709581</x:v>
      </x:c>
      <x:c r="F6" s="32" t="n">
        <x:v>0</x:v>
      </x:c>
      <x:c r="G6" s="34" t="n">
        <x:v>1</x:v>
      </x:c>
      <x:c r="H6" s="32" t="n">
        <x:f>IF(E6=0,"",I6/E6)</x:f>
        <x:v>536.2394245449223</x:v>
      </x:c>
      <x:c r="I6" s="31" t="n">
        <x:f>IF(C6=0,"",SUMIF('Species'!$H$2:$H$80,A6,'Species'!$U$2:$U$80))</x:f>
        <x:v>204655.43906050312</x:v>
      </x:c>
      <x:c r="J6" s="32" t="n">
        <x:v>3.6729471566219645</x:v>
      </x:c>
      <x:c r="K6" s="32" t="n">
        <x:f>IF(J6="","",(1/'Metadata'!$B$5)^(J6-1))</x:f>
        <x:v>470.92002306969323</x:v>
      </x:c>
      <x:c r="L6" s="31" t="n">
        <x:f>IF(E6=0,"",E6*K6)</x:f>
        <x:v>179726.33057612236</x:v>
      </x:c>
      <x:c r="M6" s="31" t="n">
        <x:f>IF(E6=0,"",I6-L6)</x:f>
        <x:v>24929.108484380762</x:v>
      </x:c>
      <x:c r="N6" s="32" t="n">
        <x:f>IF(L6=0,"",I6/L6)</x:f>
        <x:v>1.1387059336518426</x:v>
      </x:c>
      <x:c r="O6" s="34" t="n">
        <x:f>IF(L6=0,"",M6/L6)</x:f>
        <x:v>0.1387059336518426</x:v>
      </x:c>
    </x:row>
    <x:row r="7" ht="18" customHeight="1">
      <x:c r="A7" s="24" t="str">
        <x:v>Other fishes &amp; inverts</x:v>
      </x:c>
      <x:c r="B7" s="33" t="n">
        <x:v>10</x:v>
      </x:c>
      <x:c r="C7" s="33" t="n">
        <x:v>10</x:v>
      </x:c>
      <x:c r="D7" s="31" t="n">
        <x:v>147986.9182134658</x:v>
      </x:c>
      <x:c r="E7" s="31" t="n">
        <x:v>147986.9182134658</x:v>
      </x:c>
      <x:c r="F7" s="32" t="n">
        <x:v>0</x:v>
      </x:c>
      <x:c r="G7" s="34" t="n">
        <x:v>1</x:v>
      </x:c>
      <x:c r="H7" s="32" t="n">
        <x:f>IF(E7=0,"",I7/E7)</x:f>
        <x:v>200.90075228052223</x:v>
      </x:c>
      <x:c r="I7" s="31" t="n">
        <x:f>IF(C7=0,"",SUMIF('Species'!$H$2:$H$80,A7,'Species'!$U$2:$U$80))</x:f>
        <x:v>29730683.196761396</x:v>
      </x:c>
      <x:c r="J7" s="32" t="n">
        <x:v>3.282802244708445</x:v>
      </x:c>
      <x:c r="K7" s="32" t="n">
        <x:f>IF(J7="","",(1/'Metadata'!$B$5)^(J7-1))</x:f>
        <x:v>191.77952768354635</x:v>
      </x:c>
      <x:c r="L7" s="31" t="n">
        <x:f>IF(E7=0,"",E7*K7)</x:f>
        <x:v>28380861.278322075</x:v>
      </x:c>
      <x:c r="M7" s="31" t="n">
        <x:f>IF(E7=0,"",I7-L7)</x:f>
        <x:v>1349821.9184393212</x:v>
      </x:c>
      <x:c r="N7" s="32" t="n">
        <x:f>IF(L7=0,"",I7/L7)</x:f>
        <x:v>1.0475609920785014</x:v>
      </x:c>
      <x:c r="O7" s="34" t="n">
        <x:f>IF(L7=0,"",M7/L7)</x:f>
        <x:v>0.04756099207850133</x:v>
      </x:c>
    </x:row>
    <x:row r="8" ht="18" customHeight="1">
      <x:c r="A8" s="24" t="str">
        <x:v>Perch-likes</x:v>
      </x:c>
      <x:c r="B8" s="33" t="n">
        <x:v>8</x:v>
      </x:c>
      <x:c r="C8" s="33" t="n">
        <x:v>8</x:v>
      </x:c>
      <x:c r="D8" s="31" t="n">
        <x:v>78091.93695721733</x:v>
      </x:c>
      <x:c r="E8" s="31" t="n">
        <x:v>78091.93695721733</x:v>
      </x:c>
      <x:c r="F8" s="32" t="n">
        <x:v>0</x:v>
      </x:c>
      <x:c r="G8" s="34" t="n">
        <x:v>1</x:v>
      </x:c>
      <x:c r="H8" s="32" t="n">
        <x:f>IF(E8=0,"",I8/E8)</x:f>
        <x:v>416.8913453764694</x:v>
      </x:c>
      <x:c r="I8" s="31" t="n">
        <x:f>IF(C8=0,"",SUMIF('Species'!$H$2:$H$80,A8,'Species'!$U$2:$U$80))</x:f>
        <x:v>32555852.661148768</x:v>
      </x:c>
      <x:c r="J8" s="32" t="n">
        <x:v>3.616918611423268</x:v>
      </x:c>
      <x:c r="K8" s="32" t="n">
        <x:f>IF(J8="","",(1/'Metadata'!$B$5)^(J8-1))</x:f>
        <x:v>413.92209684297546</x:v>
      </x:c>
      <x:c r="L8" s="31" t="n">
        <x:f>IF(E8=0,"",E8*K8)</x:f>
        <x:v>32323978.291860845</x:v>
      </x:c>
      <x:c r="M8" s="31" t="n">
        <x:f>IF(E8=0,"",I8-L8)</x:f>
        <x:v>231874.36928792298</x:v>
      </x:c>
      <x:c r="N8" s="32" t="n">
        <x:f>IF(L8=0,"",I8/L8)</x:f>
        <x:v>1.0071734477481167</x:v>
      </x:c>
      <x:c r="O8" s="34" t="n">
        <x:f>IF(L8=0,"",M8/L8)</x:f>
        <x:v>0.007173447748116722</x:v>
      </x:c>
    </x:row>
    <x:row r="9" ht="18" customHeight="1">
      <x:c r="A9" s="24" t="str">
        <x:v>Salmon, smelts, etc</x:v>
      </x:c>
      <x:c r="B9" s="33" t="n">
        <x:v>3</x:v>
      </x:c>
      <x:c r="C9" s="33" t="n">
        <x:v>3</x:v>
      </x:c>
      <x:c r="D9" s="31" t="n">
        <x:v>4264.0743617229</x:v>
      </x:c>
      <x:c r="E9" s="31" t="n">
        <x:v>4264.0743617229</x:v>
      </x:c>
      <x:c r="F9" s="32" t="n">
        <x:v>0</x:v>
      </x:c>
      <x:c r="G9" s="34" t="n">
        <x:v>1</x:v>
      </x:c>
      <x:c r="H9" s="32" t="n">
        <x:f>IF(E9=0,"",I9/E9)</x:f>
        <x:v>193.85697841935058</x:v>
      </x:c>
      <x:c r="I9" s="31" t="n">
        <x:f>IF(C9=0,"",SUMIF('Species'!$H$2:$H$80,A9,'Species'!$U$2:$U$80))</x:f>
        <x:v>826620.5715190223</x:v>
      </x:c>
      <x:c r="J9" s="32" t="n">
        <x:v>3.281774994556395</x:v>
      </x:c>
      <x:c r="K9" s="32" t="n">
        <x:f>IF(J9="","",(1/'Metadata'!$B$5)^(J9-1))</x:f>
        <x:v>191.32644170361885</x:v>
      </x:c>
      <x:c r="L9" s="31" t="n">
        <x:f>IF(E9=0,"",E9*K9)</x:f>
        <x:v>815830.1747880722</x:v>
      </x:c>
      <x:c r="M9" s="31" t="n">
        <x:f>IF(E9=0,"",I9-L9)</x:f>
        <x:v>10790.396730950102</x:v>
      </x:c>
      <x:c r="N9" s="32" t="n">
        <x:f>IF(L9=0,"",I9/L9)</x:f>
        <x:v>1.0132262780470864</x:v>
      </x:c>
      <x:c r="O9" s="34" t="n">
        <x:f>IF(L9=0,"",M9/L9)</x:f>
        <x:v>0.013226278047086353</x:v>
      </x:c>
    </x:row>
    <x:row r="10" ht="18" customHeight="1">
      <x:c r="A10" s="24" t="str">
        <x:v>Scorpionfishes</x:v>
      </x:c>
      <x:c r="B10" s="33" t="n">
        <x:v>8</x:v>
      </x:c>
      <x:c r="C10" s="33" t="n">
        <x:v>8</x:v>
      </x:c>
      <x:c r="D10" s="31" t="n">
        <x:v>63975.595815312605</x:v>
      </x:c>
      <x:c r="E10" s="31" t="n">
        <x:v>63975.595815312605</x:v>
      </x:c>
      <x:c r="F10" s="32" t="n">
        <x:v>0</x:v>
      </x:c>
      <x:c r="G10" s="34" t="n">
        <x:v>1</x:v>
      </x:c>
      <x:c r="H10" s="32" t="n">
        <x:f>IF(E10=0,"",I10/E10)</x:f>
        <x:v>959.5239980882228</x:v>
      </x:c>
      <x:c r="I10" s="31" t="n">
        <x:f>IF(C10=0,"",SUMIF('Species'!$H$2:$H$80,A10,'Species'!$U$2:$U$80))</x:f>
        <x:v>61386119.47678493</x:v>
      </x:c>
      <x:c r="J10" s="32" t="n">
        <x:v>3.962139319263626</x:v>
      </x:c>
      <x:c r="K10" s="32" t="n">
        <x:f>IF(J10="","",(1/'Metadata'!$B$5)^(J10-1))</x:f>
        <x:v>916.5144557277432</x:v>
      </x:c>
      <x:c r="L10" s="31" t="n">
        <x:f>IF(E10=0,"",E10*K10)</x:f>
        <x:v>58634558.37852932</x:v>
      </x:c>
      <x:c r="M10" s="31" t="n">
        <x:f>IF(E10=0,"",I10-L10)</x:f>
        <x:v>2751561.098255612</x:v>
      </x:c>
      <x:c r="N10" s="32" t="n">
        <x:f>IF(L10=0,"",I10/L10)</x:f>
        <x:v>1.046927292953965</x:v>
      </x:c>
      <x:c r="O10" s="34" t="n">
        <x:f>IF(L10=0,"",M10/L10)</x:f>
        <x:v>0.04692729295396506</x:v>
      </x:c>
    </x:row>
    <x:row r="11" ht="18" customHeight="1">
      <x:c r="A11" s="24" t="str">
        <x:v>Sharks &amp; rays</x:v>
      </x:c>
      <x:c r="B11" s="33" t="n">
        <x:v>13</x:v>
      </x:c>
      <x:c r="C11" s="33" t="n">
        <x:v>13</x:v>
      </x:c>
      <x:c r="D11" s="31" t="n">
        <x:v>1410.6281464098001</x:v>
      </x:c>
      <x:c r="E11" s="31" t="n">
        <x:v>1410.6281464098001</x:v>
      </x:c>
      <x:c r="F11" s="32" t="n">
        <x:v>0</x:v>
      </x:c>
      <x:c r="G11" s="34" t="n">
        <x:v>1</x:v>
      </x:c>
      <x:c r="H11" s="32" t="n">
        <x:f>IF(E11=0,"",I11/E11)</x:f>
        <x:v>1261.5443666054975</x:v>
      </x:c>
      <x:c r="I11" s="31" t="n">
        <x:f>IF(C11=0,"",SUMIF('Species'!$H$2:$H$80,A11,'Species'!$U$2:$U$80))</x:f>
        <x:v>1779569.9914784385</x:v>
      </x:c>
      <x:c r="J11" s="32" t="n">
        <x:v>4.0335234073421296</x:v>
      </x:c>
      <x:c r="K11" s="32" t="n">
        <x:f>IF(J11="","",(1/'Metadata'!$B$5)^(J11-1))</x:f>
        <x:v>1080.2478418597466</x:v>
      </x:c>
      <x:c r="L11" s="31" t="n">
        <x:f>IF(E11=0,"",E11*K11)</x:f>
        <x:v>1523828.0108258012</x:v>
      </x:c>
      <x:c r="M11" s="31" t="n">
        <x:f>IF(E11=0,"",I11-L11)</x:f>
        <x:v>255741.9806526373</x:v>
      </x:c>
      <x:c r="N11" s="32" t="n">
        <x:f>IF(L11=0,"",I11/L11)</x:f>
        <x:v>1.167828638688722</x:v>
      </x:c>
      <x:c r="O11" s="34" t="n">
        <x:f>IF(L11=0,"",M11/L11)</x:f>
        <x:v>0.16782863868872197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835a3541c364e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9.5945934739</x:v>
      </x:c>
      <x:c r="E2" s="31" t="n">
        <x:v>9.5945934739</x:v>
      </x:c>
      <x:c r="F2" s="32" t="n">
        <x:v>0</x:v>
      </x:c>
      <x:c r="G2" s="34" t="n">
        <x:v>1</x:v>
      </x:c>
      <x:c r="H2" s="32" t="n">
        <x:f>IF(E2=0,"",I2/E2)</x:f>
        <x:v>645.6542290346556</x:v>
      </x:c>
      <x:c r="I2" s="31" t="n">
        <x:f>IF(C2=0,"",SUMIF('Species'!$G$2:$G$80,A2,'Species'!$U$2:$U$80))</x:f>
        <x:v>6194.789852291842</x:v>
      </x:c>
      <x:c r="J2" s="32" t="n">
        <x:v>3.8100000000000005</x:v>
      </x:c>
      <x:c r="K2" s="32" t="n">
        <x:f>IF(J2="","",(1/'Metadata'!$B$5)^(J2-1))</x:f>
        <x:v>645.6542290346563</x:v>
      </x:c>
      <x:c r="L2" s="31" t="n">
        <x:f>IF(E2=0,"",E2*K2)</x:f>
        <x:v>6194.789852291849</x:v>
      </x:c>
      <x:c r="M2" s="31" t="n">
        <x:f>IF(E2=0,"",I2-L2)</x:f>
        <x:v>-6.366462912410498e-12</x:v>
      </x:c>
      <x:c r="N2" s="32" t="n">
        <x:f>IF(L2=0,"",I2/L2)</x:f>
        <x:v>0.999999999999999</x:v>
      </x:c>
      <x:c r="O2" s="34" t="n">
        <x:f>IF(L2=0,"",M2/L2)</x:f>
        <x:v>-1.0277124913373997e-15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598.1310135111</x:v>
      </x:c>
      <x:c r="E3" s="31" t="n">
        <x:v>598.1310135111</x:v>
      </x:c>
      <x:c r="F3" s="32" t="n">
        <x:v>0</x:v>
      </x:c>
      <x:c r="G3" s="34" t="n">
        <x:v>1</x:v>
      </x:c>
      <x:c r="H3" s="32" t="n">
        <x:f>IF(E3=0,"",I3/E3)</x:f>
        <x:v>2799.55222200285</x:v>
      </x:c>
      <x:c r="I3" s="31" t="n">
        <x:f>IF(C3=0,"",SUMIF('Species'!$G$2:$G$80,A3,'Species'!$U$2:$U$80))</x:f>
        <x:v>1674499.0079238168</x:v>
      </x:c>
      <x:c r="J3" s="32" t="n">
        <x:v>4.443988230758588</x:v>
      </x:c>
      <x:c r="K3" s="32" t="n">
        <x:f>IF(J3="","",(1/'Metadata'!$B$5)^(J3-1))</x:f>
        <x:v>2779.6379394404034</x:v>
      </x:c>
      <x:c r="L3" s="31" t="n">
        <x:f>IF(E3=0,"",E3*K3)</x:f>
        <x:v>1662587.6579113943</x:v>
      </x:c>
      <x:c r="M3" s="31" t="n">
        <x:f>IF(E3=0,"",I3-L3)</x:f>
        <x:v>11911.35001242254</x:v>
      </x:c>
      <x:c r="N3" s="32" t="n">
        <x:f>IF(L3=0,"",I3/L3)</x:f>
        <x:v>1.0071643440607432</x:v>
      </x:c>
      <x:c r="O3" s="34" t="n">
        <x:f>IF(L3=0,"",M3/L3)</x:f>
        <x:v>0.007164344060743257</x:v>
      </x:c>
    </x:row>
    <x:row r="4" ht="18" customHeight="1">
      <x:c r="A4" s="24" t="str">
        <x:v>Large bathypelagics (&gt;=90 cm)</x:v>
      </x:c>
      <x:c r="B4" s="33" t="n">
        <x:v>2</x:v>
      </x:c>
      <x:c r="C4" s="33" t="n">
        <x:v>2</x:v>
      </x:c>
      <x:c r="D4" s="31" t="n">
        <x:v>5.6136873198</x:v>
      </x:c>
      <x:c r="E4" s="31" t="n">
        <x:v>5.6136873198</x:v>
      </x:c>
      <x:c r="F4" s="32" t="n">
        <x:v>0</x:v>
      </x:c>
      <x:c r="G4" s="34" t="n">
        <x:v>1</x:v>
      </x:c>
      <x:c r="H4" s="32" t="n">
        <x:f>IF(E4=0,"",I4/E4)</x:f>
        <x:v>402.8529302118565</x:v>
      </x:c>
      <x:c r="I4" s="31" t="n">
        <x:f>IF(C4=0,"",SUMIF('Species'!$G$2:$G$80,A4,'Species'!$U$2:$U$80))</x:f>
        <x:v>2261.4903860745735</x:v>
      </x:c>
      <x:c r="J4" s="32" t="n">
        <x:v>3.559133601751767</x:v>
      </x:c>
      <x:c r="K4" s="32" t="n">
        <x:f>IF(J4="","",(1/'Metadata'!$B$5)^(J4-1))</x:f>
        <x:v>362.354452156031</x:v>
      </x:c>
      <x:c r="L4" s="31" t="n">
        <x:f>IF(E4=0,"",E4*K4)</x:f>
        <x:v>2034.1445933413872</x:v>
      </x:c>
      <x:c r="M4" s="31" t="n">
        <x:f>IF(E4=0,"",I4-L4)</x:f>
        <x:v>227.34579273318627</x:v>
      </x:c>
      <x:c r="N4" s="32" t="n">
        <x:f>IF(L4=0,"",I4/L4)</x:f>
        <x:v>1.1117648142995267</x:v>
      </x:c>
      <x:c r="O4" s="34" t="n">
        <x:f>IF(L4=0,"",M4/L4)</x:f>
        <x:v>0.11176481429952664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284645.5357227189</x:v>
      </x:c>
      <x:c r="E5" s="31" t="n">
        <x:v>284645.5357227189</x:v>
      </x:c>
      <x:c r="F5" s="32" t="n">
        <x:v>0</x:v>
      </x:c>
      <x:c r="G5" s="34" t="n">
        <x:v>1</x:v>
      </x:c>
      <x:c r="H5" s="32" t="n">
        <x:f>IF(E5=0,"",I5/E5)</x:f>
        <x:v>1230.7867303056269</x:v>
      </x:c>
      <x:c r="I5" s="31" t="n">
        <x:f>IF(C5=0,"",SUMIF('Species'!$G$2:$G$80,A5,'Species'!$U$2:$U$80))</x:f>
        <x:v>350337948.20825875</x:v>
      </x:c>
      <x:c r="J5" s="32" t="n">
        <x:v>4.090101135243125</x:v>
      </x:c>
      <x:c r="K5" s="32" t="n">
        <x:f>IF(J5="","",(1/'Metadata'!$B$5)^(J5-1))</x:f>
        <x:v>1230.555299941727</x:v>
      </x:c>
      <x:c r="L5" s="31" t="n">
        <x:f>IF(E5=0,"",E5*K5)</x:f>
        <x:v>350272072.588344</x:v>
      </x:c>
      <x:c r="M5" s="31" t="n">
        <x:f>IF(E5=0,"",I5-L5)</x:f>
        <x:v>65875.61991477013</x:v>
      </x:c>
      <x:c r="N5" s="32" t="n">
        <x:f>IF(L5=0,"",I5/L5)</x:f>
        <x:v>1.0001880698607457</x:v>
      </x:c>
      <x:c r="O5" s="34" t="n">
        <x:f>IF(L5=0,"",M5/L5)</x:f>
        <x:v>0.00018806986074562163</x:v>
      </x:c>
    </x:row>
    <x:row r="6" ht="18" customHeight="1">
      <x:c r="A6" s="24" t="str">
        <x:v>Large demersals (&gt;=90 cm)</x:v>
      </x:c>
      <x:c r="B6" s="33" t="n">
        <x:v>9</x:v>
      </x:c>
      <x:c r="C6" s="33" t="n">
        <x:v>9</x:v>
      </x:c>
      <x:c r="D6" s="31" t="n">
        <x:v>89377.86637904918</x:v>
      </x:c>
      <x:c r="E6" s="31" t="n">
        <x:v>89377.86637904918</x:v>
      </x:c>
      <x:c r="F6" s="32" t="n">
        <x:v>0</x:v>
      </x:c>
      <x:c r="G6" s="34" t="n">
        <x:v>1</x:v>
      </x:c>
      <x:c r="H6" s="32" t="n">
        <x:f>IF(E6=0,"",I6/E6)</x:f>
        <x:v>1824.5403446322068</x:v>
      </x:c>
      <x:c r="I6" s="31" t="n">
        <x:f>IF(C6=0,"",SUMIF('Species'!$G$2:$G$80,A6,'Species'!$U$2:$U$80))</x:f>
        <x:v>163073523.12572172</x:v>
      </x:c>
      <x:c r="J6" s="32" t="n">
        <x:v>4.203705229102711</x:v>
      </x:c>
      <x:c r="K6" s="32" t="n">
        <x:f>IF(J6="","",(1/'Metadata'!$B$5)^(J6-1))</x:f>
        <x:v>1598.4727208377292</x:v>
      </x:c>
      <x:c r="L6" s="31" t="n">
        <x:f>IF(E6=0,"",E6*K6)</x:f>
        <x:v>142868081.25358975</x:v>
      </x:c>
      <x:c r="M6" s="31" t="n">
        <x:f>IF(E6=0,"",I6-L6)</x:f>
        <x:v>20205441.872131974</x:v>
      </x:c>
      <x:c r="N6" s="32" t="n">
        <x:f>IF(L6=0,"",I6/L6)</x:f>
        <x:v>1.141427264192535</x:v>
      </x:c>
      <x:c r="O6" s="34" t="n">
        <x:f>IF(L6=0,"",M6/L6)</x:f>
        <x:v>0.14142726419253485</x:v>
      </x:c>
    </x:row>
    <x:row r="7" ht="18" customHeight="1">
      <x:c r="A7" s="24" t="str">
        <x:v>Large flatfishes (&gt;=90 cm)</x:v>
      </x:c>
      <x:c r="B7" s="33" t="n">
        <x:v>2</x:v>
      </x:c>
      <x:c r="C7" s="33" t="n">
        <x:v>2</x:v>
      </x:c>
      <x:c r="D7" s="31" t="n">
        <x:v>7434.379708215401</x:v>
      </x:c>
      <x:c r="E7" s="31" t="n">
        <x:v>7434.379708215401</x:v>
      </x:c>
      <x:c r="F7" s="32" t="n">
        <x:v>0</x:v>
      </x:c>
      <x:c r="G7" s="34" t="n">
        <x:v>1</x:v>
      </x:c>
      <x:c r="H7" s="32" t="n">
        <x:f>IF(E7=0,"",I7/E7)</x:f>
        <x:v>218.8056578873769</x:v>
      </x:c>
      <x:c r="I7" s="31" t="n">
        <x:f>IF(C7=0,"",SUMIF('Species'!$G$2:$G$80,A7,'Species'!$U$2:$U$80))</x:f>
        <x:v>1626684.3430406358</x:v>
      </x:c>
      <x:c r="J7" s="32" t="n">
        <x:v>3.293321915040491</x:v>
      </x:c>
      <x:c r="K7" s="32" t="n">
        <x:f>IF(J7="","",(1/'Metadata'!$B$5)^(J7-1))</x:f>
        <x:v>196.4816131172487</x:v>
      </x:c>
      <x:c r="L7" s="31" t="n">
        <x:f>IF(E7=0,"",E7*K7)</x:f>
        <x:v>1460718.9175963027</x:v>
      </x:c>
      <x:c r="M7" s="31" t="n">
        <x:f>IF(E7=0,"",I7-L7)</x:f>
        <x:v>165965.42544433312</x:v>
      </x:c>
      <x:c r="N7" s="32" t="n">
        <x:f>IF(L7=0,"",I7/L7)</x:f>
        <x:v>1.113619001879868</x:v>
      </x:c>
      <x:c r="O7" s="34" t="n">
        <x:f>IF(L7=0,"",M7/L7)</x:f>
        <x:v>0.11361900187986804</x:v>
      </x:c>
    </x:row>
    <x:row r="8" ht="18" customHeight="1">
      <x:c r="A8" s="24" t="str">
        <x:v>Large rays (&gt;=90 cm)</x:v>
      </x:c>
      <x:c r="B8" s="33" t="n">
        <x:v>5</x:v>
      </x:c>
      <x:c r="C8" s="33" t="n">
        <x:v>5</x:v>
      </x:c>
      <x:c r="D8" s="31" t="n">
        <x:v>1332.3384558041998</x:v>
      </x:c>
      <x:c r="E8" s="31" t="n">
        <x:v>1332.3384558041998</x:v>
      </x:c>
      <x:c r="F8" s="32" t="n">
        <x:v>0</x:v>
      </x:c>
      <x:c r="G8" s="34" t="n">
        <x:v>1</x:v>
      </x:c>
      <x:c r="H8" s="32" t="n">
        <x:f>IF(E8=0,"",I8/E8)</x:f>
        <x:v>1257.0508340281788</x:v>
      </x:c>
      <x:c r="I8" s="31" t="n">
        <x:f>IF(C8=0,"",SUMIF('Species'!$G$2:$G$80,A8,'Species'!$U$2:$U$80))</x:f>
        <x:v>1674817.1670764852</x:v>
      </x:c>
      <x:c r="J8" s="32" t="n">
        <x:v>4.029504215394866</x:v>
      </x:c>
      <x:c r="K8" s="32" t="n">
        <x:f>IF(J8="","",(1/'Metadata'!$B$5)^(J8-1))</x:f>
        <x:v>1070.2967714882775</x:v>
      </x:c>
      <x:c r="L8" s="31" t="n">
        <x:f>IF(E8=0,"",E8*K8)</x:f>
        <x:v>1425997.547776912</x:v>
      </x:c>
      <x:c r="M8" s="31" t="n">
        <x:f>IF(E8=0,"",I8-L8)</x:f>
        <x:v>248819.61929957313</x:v>
      </x:c>
      <x:c r="N8" s="32" t="n">
        <x:f>IF(L8=0,"",I8/L8)</x:f>
        <x:v>1.174488111629277</x:v>
      </x:c>
      <x:c r="O8" s="34" t="n">
        <x:f>IF(L8=0,"",M8/L8)</x:f>
        <x:v>0.17448811162927702</x:v>
      </x:c>
    </x:row>
    <x:row r="9" ht="18" customHeight="1">
      <x:c r="A9" s="24" t="str">
        <x:v>Large reef assoc. fish (&gt;=90 cm)</x:v>
      </x:c>
      <x:c r="B9" s="33" t="n">
        <x:v>1</x:v>
      </x:c>
      <x:c r="C9" s="33" t="n">
        <x:v>1</x:v>
      </x:c>
      <x:c r="D9" s="31" t="n">
        <x:v>1377.6486039627</x:v>
      </x:c>
      <x:c r="E9" s="31" t="n">
        <x:v>1377.6486039627</x:v>
      </x:c>
      <x:c r="F9" s="32" t="n">
        <x:v>0</x:v>
      </x:c>
      <x:c r="G9" s="34" t="n">
        <x:v>1</x:v>
      </x:c>
      <x:c r="H9" s="32" t="n">
        <x:f>IF(E9=0,"",I9/E9)</x:f>
        <x:v>616.5950018614822</x:v>
      </x:c>
      <x:c r="I9" s="31" t="n">
        <x:f>IF(C9=0,"",SUMIF('Species'!$G$2:$G$80,A9,'Species'!$U$2:$U$80))</x:f>
        <x:v>849451.2435248493</x:v>
      </x:c>
      <x:c r="J9" s="32" t="n">
        <x:v>3.79</x:v>
      </x:c>
      <x:c r="K9" s="32" t="n">
        <x:f>IF(J9="","",(1/'Metadata'!$B$5)^(J9-1))</x:f>
        <x:v>616.5950018614822</x:v>
      </x:c>
      <x:c r="L9" s="31" t="n">
        <x:f>IF(E9=0,"",E9*K9)</x:f>
        <x:v>849451.2435248493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Large sharks (&gt;=90 cm)</x:v>
      </x:c>
      <x:c r="B10" s="33" t="n">
        <x:v>6</x:v>
      </x:c>
      <x:c r="C10" s="33" t="n">
        <x:v>6</x:v>
      </x:c>
      <x:c r="D10" s="31" t="n">
        <x:v>73.6450902309</x:v>
      </x:c>
      <x:c r="E10" s="31" t="n">
        <x:v>73.6450902309</x:v>
      </x:c>
      <x:c r="F10" s="32" t="n">
        <x:v>0</x:v>
      </x:c>
      <x:c r="G10" s="34" t="n">
        <x:v>1</x:v>
      </x:c>
      <x:c r="H10" s="32" t="n">
        <x:f>IF(E10=0,"",I10/E10)</x:f>
        <x:v>1382.5933489646477</x:v>
      </x:c>
      <x:c r="I10" s="31" t="n">
        <x:f>IF(C10=0,"",SUMIF('Species'!$G$2:$G$80,A10,'Species'!$U$2:$U$80))</x:f>
        <x:v>101821.21193714369</x:v>
      </x:c>
      <x:c r="J10" s="32" t="n">
        <x:v>4.12095415476419</x:v>
      </x:c>
      <x:c r="K10" s="32" t="n">
        <x:f>IF(J10="","",(1/'Metadata'!$B$5)^(J10-1))</x:f>
        <x:v>1321.1561622030972</x:v>
      </x:c>
      <x:c r="L10" s="31" t="n">
        <x:f>IF(E10=0,"",E10*K10)</x:f>
        <x:v>97296.66477455664</x:v>
      </x:c>
      <x:c r="M10" s="31" t="n">
        <x:f>IF(E10=0,"",I10-L10)</x:f>
        <x:v>4524.547162587041</x:v>
      </x:c>
      <x:c r="N10" s="32" t="n">
        <x:f>IF(L10=0,"",I10/L10)</x:f>
        <x:v>1.0465025925921587</x:v>
      </x:c>
      <x:c r="O10" s="34" t="n">
        <x:f>IF(L10=0,"",M10/L10)</x:f>
        <x:v>0.04650259259215865</x:v>
      </x:c>
    </x:row>
    <x:row r="11" ht="18" customHeight="1">
      <x:c r="A11" s="24" t="str">
        <x:v>Lobsters, crabs</x:v>
      </x:c>
      <x:c r="B11" s="33" t="n">
        <x:v>1</x:v>
      </x:c>
      <x:c r="C11" s="33" t="n">
        <x:v>1</x:v>
      </x:c>
      <x:c r="D11" s="31" t="n">
        <x:v>143.19812899800002</x:v>
      </x:c>
      <x:c r="E11" s="31" t="n">
        <x:v>143.19812899800002</x:v>
      </x:c>
      <x:c r="F11" s="32" t="n">
        <x:v>0</x:v>
      </x:c>
      <x:c r="G11" s="34" t="n">
        <x:v>1</x:v>
      </x:c>
      <x:c r="H11" s="32" t="n">
        <x:f>IF(E11=0,"",I11/E11)</x:f>
        <x:v>74.13102413009177</x:v>
      </x:c>
      <x:c r="I11" s="31" t="n">
        <x:f>IF(C11=0,"",SUMIF('Species'!$G$2:$G$80,A11,'Species'!$U$2:$U$80))</x:f>
        <x:v>10615.423956134733</x:v>
      </x:c>
      <x:c r="J11" s="32" t="n">
        <x:v>2.87</x:v>
      </x:c>
      <x:c r="K11" s="32" t="n">
        <x:f>IF(J11="","",(1/'Metadata'!$B$5)^(J11-1))</x:f>
        <x:v>74.13102413009177</x:v>
      </x:c>
      <x:c r="L11" s="31" t="n">
        <x:f>IF(E11=0,"",E11*K11)</x:f>
        <x:v>10615.423956134733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bathydemersals (30 - 89 cm)</x:v>
      </x:c>
      <x:c r="B12" s="33" t="n">
        <x:v>2</x:v>
      </x:c>
      <x:c r="C12" s="33" t="n">
        <x:v>2</x:v>
      </x:c>
      <x:c r="D12" s="31" t="n">
        <x:v>3302.4016446959</x:v>
      </x:c>
      <x:c r="E12" s="31" t="n">
        <x:v>3302.4016446959</x:v>
      </x:c>
      <x:c r="F12" s="32" t="n">
        <x:v>0</x:v>
      </x:c>
      <x:c r="G12" s="34" t="n">
        <x:v>1</x:v>
      </x:c>
      <x:c r="H12" s="32" t="n">
        <x:f>IF(E12=0,"",I12/E12)</x:f>
        <x:v>218.46398444795446</x:v>
      </x:c>
      <x:c r="I12" s="31" t="n">
        <x:f>IF(C12=0,"",SUMIF('Species'!$G$2:$G$80,A12,'Species'!$U$2:$U$80))</x:f>
        <x:v>721455.8215477443</x:v>
      </x:c>
      <x:c r="J12" s="32" t="n">
        <x:v>3.324063091351313</x:v>
      </x:c>
      <x:c r="K12" s="32" t="n">
        <x:f>IF(J12="","",(1/'Metadata'!$B$5)^(J12-1))</x:f>
        <x:v>210.89344993544893</x:v>
      </x:c>
      <x:c r="L12" s="31" t="n">
        <x:f>IF(E12=0,"",E12*K12)</x:f>
        <x:v>696454.875922419</x:v>
      </x:c>
      <x:c r="M12" s="31" t="n">
        <x:f>IF(E12=0,"",I12-L12)</x:f>
        <x:v>25000.945625325316</x:v>
      </x:c>
      <x:c r="N12" s="32" t="n">
        <x:f>IF(L12=0,"",I12/L12)</x:f>
        <x:v>1.0358974378522554</x:v>
      </x:c>
      <x:c r="O12" s="34" t="n">
        <x:f>IF(L12=0,"",M12/L12)</x:f>
        <x:v>0.03589743785225545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9837.812755943101</x:v>
      </x:c>
      <x:c r="E13" s="31" t="n">
        <x:v>9837.812755943101</x:v>
      </x:c>
      <x:c r="F13" s="32" t="n">
        <x:v>0</x:v>
      </x:c>
      <x:c r="G13" s="34" t="n">
        <x:v>1</x:v>
      </x:c>
      <x:c r="H13" s="32" t="n">
        <x:f>IF(E13=0,"",I13/E13)</x:f>
        <x:v>446.68359215096297</x:v>
      </x:c>
      <x:c r="I13" s="31" t="n">
        <x:f>IF(C13=0,"",SUMIF('Species'!$G$2:$G$80,A13,'Species'!$U$2:$U$80))</x:f>
        <x:v>4394389.540733229</x:v>
      </x:c>
      <x:c r="J13" s="32" t="n">
        <x:v>3.6500000000000004</x:v>
      </x:c>
      <x:c r="K13" s="32" t="n">
        <x:f>IF(J13="","",(1/'Metadata'!$B$5)^(J13-1))</x:f>
        <x:v>446.6835921509635</x:v>
      </x:c>
      <x:c r="L13" s="31" t="n">
        <x:f>IF(E13=0,"",E13*K13)</x:f>
        <x:v>4394389.540733234</x:v>
      </x:c>
      <x:c r="M13" s="31" t="n">
        <x:f>IF(E13=0,"",I13-L13)</x:f>
        <x:v>-4.6566128730773926e-9</x:v>
      </x:c>
      <x:c r="N13" s="32" t="n">
        <x:f>IF(L13=0,"",I13/L13)</x:f>
        <x:v>0.9999999999999989</x:v>
      </x:c>
      <x:c r="O13" s="34" t="n">
        <x:f>IF(L13=0,"",M13/L13)</x:f>
        <x:v>-1.0596723003078158e-15</x:v>
      </x:c>
    </x:row>
    <x:row r="14" ht="18" customHeight="1">
      <x:c r="A14" s="24" t="str">
        <x:v>Medium benthopelagics (30 - 89 cm)</x:v>
      </x:c>
      <x:c r="B14" s="33" t="n">
        <x:v>8</x:v>
      </x:c>
      <x:c r="C14" s="33" t="n">
        <x:v>8</x:v>
      </x:c>
      <x:c r="D14" s="31" t="n">
        <x:v>59948.7844958143</x:v>
      </x:c>
      <x:c r="E14" s="31" t="n">
        <x:v>59948.7844958143</x:v>
      </x:c>
      <x:c r="F14" s="32" t="n">
        <x:v>0</x:v>
      </x:c>
      <x:c r="G14" s="34" t="n">
        <x:v>1</x:v>
      </x:c>
      <x:c r="H14" s="32" t="n">
        <x:f>IF(E14=0,"",I14/E14)</x:f>
        <x:v>1085.357187444402</x:v>
      </x:c>
      <x:c r="I14" s="31" t="n">
        <x:f>IF(C14=0,"",SUMIF('Species'!$G$2:$G$80,A14,'Species'!$U$2:$U$80))</x:f>
        <x:v>65065844.13108758</x:v>
      </x:c>
      <x:c r="J14" s="32" t="n">
        <x:v>4.02065111100533</x:v>
      </x:c>
      <x:c r="K14" s="32" t="n">
        <x:f>IF(J14="","",(1/'Metadata'!$B$5)^(J14-1))</x:f>
        <x:v>1048.6996208912603</x:v>
      </x:c>
      <x:c r="L14" s="31" t="n">
        <x:f>IF(E14=0,"",E14*K14)</x:f>
        <x:v>62868267.57365233</x:v>
      </x:c>
      <x:c r="M14" s="31" t="n">
        <x:f>IF(E14=0,"",I14-L14)</x:f>
        <x:v>2197576.557435252</x:v>
      </x:c>
      <x:c r="N14" s="32" t="n">
        <x:f>IF(L14=0,"",I14/L14)</x:f>
        <x:v>1.0349552587060031</x:v>
      </x:c>
      <x:c r="O14" s="34" t="n">
        <x:f>IF(L14=0,"",M14/L14)</x:f>
        <x:v>0.03495525870600324</x:v>
      </x:c>
    </x:row>
    <x:row r="15" ht="18" customHeight="1">
      <x:c r="A15" s="24" t="str">
        <x:v>Medium demersals (30 - 89 cm)</x:v>
      </x:c>
      <x:c r="B15" s="33" t="n">
        <x:v>10</x:v>
      </x:c>
      <x:c r="C15" s="33" t="n">
        <x:v>10</x:v>
      </x:c>
      <x:c r="D15" s="31" t="n">
        <x:v>210785.68737455734</x:v>
      </x:c>
      <x:c r="E15" s="31" t="n">
        <x:v>210785.68737455734</x:v>
      </x:c>
      <x:c r="F15" s="32" t="n">
        <x:v>0</x:v>
      </x:c>
      <x:c r="G15" s="34" t="n">
        <x:v>1</x:v>
      </x:c>
      <x:c r="H15" s="32" t="n">
        <x:f>IF(E15=0,"",I15/E15)</x:f>
        <x:v>457.08872886103535</x:v>
      </x:c>
      <x:c r="I15" s="31" t="n">
        <x:f>IF(C15=0,"",SUMIF('Species'!$G$2:$G$80,A15,'Species'!$U$2:$U$80))</x:f>
        <x:v>96347761.904136</x:v>
      </x:c>
      <x:c r="J15" s="32" t="n">
        <x:v>3.5069320836559497</x:v>
      </x:c>
      <x:c r="K15" s="32" t="n">
        <x:f>IF(J15="","",(1/'Metadata'!$B$5)^(J15-1))</x:f>
        <x:v>321.3158015539779</x:v>
      </x:c>
      <x:c r="L15" s="31" t="n">
        <x:f>IF(E15=0,"",E15*K15)</x:f>
        <x:v>67728772.09486209</x:v>
      </x:c>
      <x:c r="M15" s="31" t="n">
        <x:f>IF(E15=0,"",I15-L15)</x:f>
        <x:v>28618989.809273914</x:v>
      </x:c>
      <x:c r="N15" s="32" t="n">
        <x:f>IF(L15=0,"",I15/L15)</x:f>
        <x:v>1.4225529110315134</x:v>
      </x:c>
      <x:c r="O15" s="34" t="n">
        <x:f>IF(L15=0,"",M15/L15)</x:f>
        <x:v>0.4225529110315135</x:v>
      </x:c>
    </x:row>
    <x:row r="16" ht="18" customHeight="1">
      <x:c r="A16" s="24" t="str">
        <x:v>Medium pelagics (30 - 89 cm)</x:v>
      </x:c>
      <x:c r="B16" s="33" t="n">
        <x:v>2</x:v>
      </x:c>
      <x:c r="C16" s="33" t="n">
        <x:v>2</x:v>
      </x:c>
      <x:c r="D16" s="31" t="n">
        <x:v>66456.96466035741</x:v>
      </x:c>
      <x:c r="E16" s="31" t="n">
        <x:v>66456.96466035741</x:v>
      </x:c>
      <x:c r="F16" s="32" t="n">
        <x:v>0</x:v>
      </x:c>
      <x:c r="G16" s="34" t="n">
        <x:v>1</x:v>
      </x:c>
      <x:c r="H16" s="32" t="n">
        <x:f>IF(E16=0,"",I16/E16)</x:f>
        <x:v>426.66313291283234</x:v>
      </x:c>
      <x:c r="I16" s="31" t="n">
        <x:f>IF(C16=0,"",SUMIF('Species'!$G$2:$G$80,A16,'Species'!$U$2:$U$80))</x:f>
        <x:v>28354736.745865475</x:v>
      </x:c>
      <x:c r="J16" s="32" t="n">
        <x:v>3.63005049749867</x:v>
      </x:c>
      <x:c r="K16" s="32" t="n">
        <x:f>IF(J16="","",(1/'Metadata'!$B$5)^(J16-1))</x:f>
        <x:v>426.62912212831844</x:v>
      </x:c>
      <x:c r="L16" s="31" t="n">
        <x:f>IF(E16=0,"",E16*K16)</x:f>
        <x:v>28352476.492360964</x:v>
      </x:c>
      <x:c r="M16" s="31" t="n">
        <x:f>IF(E16=0,"",I16-L16)</x:f>
        <x:v>2260.253504510969</x:v>
      </x:c>
      <x:c r="N16" s="32" t="n">
        <x:f>IF(L16=0,"",I16/L16)</x:f>
        <x:v>1.0000797197911484</x:v>
      </x:c>
      <x:c r="O16" s="34" t="n">
        <x:f>IF(L16=0,"",M16/L16)</x:f>
        <x:v>0.00007971979114840113</x:v>
      </x:c>
    </x:row>
    <x:row r="17" ht="18" customHeight="1">
      <x:c r="A17" s="24" t="str">
        <x:v>Other demersal invertebrates</x:v>
      </x:c>
      <x:c r="B17" s="33" t="n">
        <x:v>5</x:v>
      </x:c>
      <x:c r="C17" s="33" t="n">
        <x:v>5</x:v>
      </x:c>
      <x:c r="D17" s="31" t="n">
        <x:v>767.2767548175</x:v>
      </x:c>
      <x:c r="E17" s="31" t="n">
        <x:v>767.2767548175</x:v>
      </x:c>
      <x:c r="F17" s="32" t="n">
        <x:v>0</x:v>
      </x:c>
      <x:c r="G17" s="34" t="n">
        <x:v>1</x:v>
      </x:c>
      <x:c r="H17" s="32" t="n">
        <x:f>IF(E17=0,"",I17/E17)</x:f>
        <x:v>282.99319017904594</x:v>
      </x:c>
      <x:c r="I17" s="31" t="n">
        <x:f>IF(C17=0,"",SUMIF('Species'!$G$2:$G$80,A17,'Species'!$U$2:$U$80))</x:f>
        <x:v>217134.09659603</x:v>
      </x:c>
      <x:c r="J17" s="32" t="n">
        <x:v>3.088458878097842</x:v>
      </x:c>
      <x:c r="K17" s="32" t="n">
        <x:f>IF(J17="","",(1/'Metadata'!$B$5)^(J17-1))</x:f>
        <x:v>122.59108197581014</x:v>
      </x:c>
      <x:c r="L17" s="31" t="n">
        <x:f>IF(E17=0,"",E17*K17)</x:f>
        <x:v>94061.28754796572</x:v>
      </x:c>
      <x:c r="M17" s="31" t="n">
        <x:f>IF(E17=0,"",I17-L17)</x:f>
        <x:v>123072.80904806427</x:v>
      </x:c>
      <x:c r="N17" s="32" t="n">
        <x:f>IF(L17=0,"",I17/L17)</x:f>
        <x:v>2.30843211119457</x:v>
      </x:c>
      <x:c r="O17" s="34" t="n">
        <x:f>IF(L17=0,"",M17/L17)</x:f>
        <x:v>1.3084321111945696</x:v>
      </x:c>
    </x:row>
    <x:row r="18" ht="18" customHeight="1">
      <x:c r="A18" s="24" t="str">
        <x:v>Shrimps</x:v>
      </x:c>
      <x:c r="B18" s="33" t="n">
        <x:v>2</x:v>
      </x:c>
      <x:c r="C18" s="33" t="n">
        <x:v>2</x:v>
      </x:c>
      <x:c r="D18" s="31" t="n">
        <x:v>2997.5711078082</x:v>
      </x:c>
      <x:c r="E18" s="31" t="n">
        <x:v>2997.5711078082</x:v>
      </x:c>
      <x:c r="F18" s="32" t="n">
        <x:v>0</x:v>
      </x:c>
      <x:c r="G18" s="34" t="n">
        <x:v>1</x:v>
      </x:c>
      <x:c r="H18" s="32" t="n">
        <x:f>IF(E18=0,"",I18/E18)</x:f>
        <x:v>117.27306984320445</x:v>
      </x:c>
      <x:c r="I18" s="31" t="n">
        <x:f>IF(C18=0,"",SUMIF('Species'!$G$2:$G$80,A18,'Species'!$U$2:$U$80))</x:f>
        <x:v>351534.3658859628</x:v>
      </x:c>
      <x:c r="J18" s="32" t="n">
        <x:v>3.0688099679010294</x:v>
      </x:c>
      <x:c r="K18" s="32" t="n">
        <x:f>IF(J18="","",(1/'Metadata'!$B$5)^(J18-1))</x:f>
        <x:v>117.1682565991016</x:v>
      </x:c>
      <x:c r="L18" s="31" t="n">
        <x:f>IF(E18=0,"",E18*K18)</x:f>
        <x:v>351220.1807337244</x:v>
      </x:c>
      <x:c r="M18" s="31" t="n">
        <x:f>IF(E18=0,"",I18-L18)</x:f>
        <x:v>314.1851522384095</x:v>
      </x:c>
      <x:c r="N18" s="32" t="n">
        <x:f>IF(L18=0,"",I18/L18)</x:f>
        <x:v>1.000894553244583</x:v>
      </x:c>
      <x:c r="O18" s="34" t="n">
        <x:f>IF(L18=0,"",M18/L18)</x:f>
        <x:v>0.0008945532445830817</x:v>
      </x:c>
    </x:row>
    <x:row r="19" ht="18" customHeight="1">
      <x:c r="A19" s="24" t="str">
        <x:v>Small bathypelagics (&lt;30 cm)</x:v>
      </x:c>
      <x:c r="B19" s="33" t="n">
        <x:v>1</x:v>
      </x:c>
      <x:c r="C19" s="33" t="n">
        <x:v>1</x:v>
      </x:c>
      <x:c r="D19" s="31" t="n">
        <x:v>0.0813985401</x:v>
      </x:c>
      <x:c r="E19" s="31" t="n">
        <x:v>0.0813985401</x:v>
      </x:c>
      <x:c r="F19" s="32" t="n">
        <x:v>0</x:v>
      </x:c>
      <x:c r="G19" s="34" t="n">
        <x:v>1</x:v>
      </x:c>
      <x:c r="H19" s="32" t="n">
        <x:f>IF(E19=0,"",I19/E19)</x:f>
        <x:v>102.32929922807536</x:v>
      </x:c>
      <x:c r="I19" s="31" t="n">
        <x:f>IF(C19=0,"",SUMIF('Species'!$G$2:$G$80,A19,'Species'!$U$2:$U$80))</x:f>
        <x:v>8.329455566621391</x:v>
      </x:c>
      <x:c r="J19" s="32" t="n">
        <x:v>3.01</x:v>
      </x:c>
      <x:c r="K19" s="32" t="n">
        <x:f>IF(J19="","",(1/'Metadata'!$B$5)^(J19-1))</x:f>
        <x:v>102.32929922807536</x:v>
      </x:c>
      <x:c r="L19" s="31" t="n">
        <x:f>IF(E19=0,"",E19*K19)</x:f>
        <x:v>8.329455566621391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pelagics (&lt;30 cm)</x:v>
      </x:c>
      <x:c r="B20" s="33" t="n">
        <x:v>3</x:v>
      </x:c>
      <x:c r="C20" s="33" t="n">
        <x:v>3</x:v>
      </x:c>
      <x:c r="D20" s="31" t="n">
        <x:v>969.0724160192999</x:v>
      </x:c>
      <x:c r="E20" s="31" t="n">
        <x:v>969.0724160192999</x:v>
      </x:c>
      <x:c r="F20" s="32" t="n">
        <x:v>0</x:v>
      </x:c>
      <x:c r="G20" s="34" t="n">
        <x:v>1</x:v>
      </x:c>
      <x:c r="H20" s="32" t="n">
        <x:f>IF(E20=0,"",I20/E20)</x:f>
        <x:v>141.2559172716314</x:v>
      </x:c>
      <x:c r="I20" s="31" t="n">
        <x:f>IF(C20=0,"",SUMIF('Species'!$G$2:$G$80,A20,'Species'!$U$2:$U$80))</x:f>
        <x:v>136887.2130274422</x:v>
      </x:c>
      <x:c r="J20" s="32" t="n">
        <x:v>3.1500061676924753</x:v>
      </x:c>
      <x:c r="K20" s="32" t="n">
        <x:f>IF(J20="","",(1/'Metadata'!$B$5)^(J20-1))</x:f>
        <x:v>141.2557605110307</x:v>
      </x:c>
      <x:c r="L20" s="31" t="n">
        <x:f>IF(E20=0,"",E20*K20)</x:f>
        <x:v>136887.06111506815</x:v>
      </x:c>
      <x:c r="M20" s="31" t="n">
        <x:f>IF(E20=0,"",I20-L20)</x:f>
        <x:v>0.15191237404360436</x:v>
      </x:c>
      <x:c r="N20" s="32" t="n">
        <x:f>IF(L20=0,"",I20/L20)</x:f>
        <x:v>1.0000011097643036</x:v>
      </x:c>
      <x:c r="O20" s="34" t="n">
        <x:f>IF(L20=0,"",M20/L20)</x:f>
        <x:v>0.000001109764303551713</x:v>
      </x:c>
    </x:row>
    <x:row r="21" ht="18" customHeight="1">
      <x:c r="A21" s="24" t="str">
        <x:v>Small to medium flatfishes (&lt;90 cm)</x:v>
      </x:c>
      <x:c r="B21" s="33" t="n">
        <x:v>9</x:v>
      </x:c>
      <x:c r="C21" s="33" t="n">
        <x:v>9</x:v>
      </x:c>
      <x:c r="D21" s="31" t="n">
        <x:v>15821.8064780533</x:v>
      </x:c>
      <x:c r="E21" s="31" t="n">
        <x:v>15821.8064780533</x:v>
      </x:c>
      <x:c r="F21" s="32" t="n">
        <x:v>0</x:v>
      </x:c>
      <x:c r="G21" s="34" t="n">
        <x:v>1</x:v>
      </x:c>
      <x:c r="H21" s="32" t="n">
        <x:f>IF(E21=0,"",I21/E21)</x:f>
        <x:v>1986.0712853950738</x:v>
      </x:c>
      <x:c r="I21" s="31" t="n">
        <x:f>IF(C21=0,"",SUMIF('Species'!$G$2:$G$80,A21,'Species'!$U$2:$U$80))</x:f>
        <x:v>31423235.529139426</x:v>
      </x:c>
      <x:c r="J21" s="32" t="n">
        <x:v>4.1669079929253</x:v>
      </x:c>
      <x:c r="K21" s="32" t="n">
        <x:f>IF(J21="","",(1/'Metadata'!$B$5)^(J21-1))</x:f>
        <x:v>1468.6151125239196</x:v>
      </x:c>
      <x:c r="L21" s="31" t="n">
        <x:f>IF(E21=0,"",E21*K21)</x:f>
        <x:v>23236144.101097926</x:v>
      </x:c>
      <x:c r="M21" s="31" t="n">
        <x:f>IF(E21=0,"",I21-L21)</x:f>
        <x:v>8187091.428041499</x:v>
      </x:c>
      <x:c r="N21" s="32" t="n">
        <x:f>IF(L21=0,"",I21/L21)</x:f>
        <x:v>1.3523429443551545</x:v>
      </x:c>
      <x:c r="O21" s="34" t="n">
        <x:f>IF(L21=0,"",M21/L21)</x:f>
        <x:v>0.35234294435515456</x:v>
      </x:c>
    </x:row>
    <x:row r="22" ht="18" customHeight="1">
      <x:c r="A22" s="24" t="str">
        <x:v>Small to medium rays (&lt;90 cm)</x:v>
      </x:c>
      <x:c r="B22" s="33" t="n">
        <x:v>1</x:v>
      </x:c>
      <x:c r="C22" s="33" t="n">
        <x:v>1</x:v>
      </x:c>
      <x:c r="D22" s="31" t="n">
        <x:v>4.62706</x:v>
      </x:c>
      <x:c r="E22" s="31" t="n">
        <x:v>4.62706</x:v>
      </x:c>
      <x:c r="F22" s="32" t="n">
        <x:v>0</x:v>
      </x:c>
      <x:c r="G22" s="34" t="n">
        <x:v>1</x:v>
      </x:c>
      <x:c r="H22" s="32" t="n">
        <x:f>IF(E22=0,"",I22/E22)</x:f>
        <x:v>630.957344480193</x:v>
      </x:c>
      <x:c r="I22" s="31" t="n">
        <x:f>IF(C22=0,"",SUMIF('Species'!$G$2:$G$80,A22,'Species'!$U$2:$U$80))</x:f>
        <x:v>2919.4774903505217</x:v>
      </x:c>
      <x:c r="J22" s="32" t="n">
        <x:v>3.8</x:v>
      </x:c>
      <x:c r="K22" s="32" t="n">
        <x:f>IF(J22="","",(1/'Metadata'!$B$5)^(J22-1))</x:f>
        <x:v>630.957344480193</x:v>
      </x:c>
      <x:c r="L22" s="31" t="n">
        <x:f>IF(E22=0,"",E22*K22)</x:f>
        <x:v>2919.4774903505217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  <x:row r="23" ht="18" customHeight="1">
      <x:c r="A23" s="24" t="str">
        <x:v>Small to medium sharks (&lt;90 cm)</x:v>
      </x:c>
      <x:c r="B23" s="33" t="n">
        <x:v>1</x:v>
      </x:c>
      <x:c r="C23" s="33" t="n">
        <x:v>1</x:v>
      </x:c>
      <x:c r="D23" s="31" t="n">
        <x:v>0.0175403747</x:v>
      </x:c>
      <x:c r="E23" s="31" t="n">
        <x:v>0.0175403747</x:v>
      </x:c>
      <x:c r="F23" s="32" t="n">
        <x:v>0</x:v>
      </x:c>
      <x:c r="G23" s="34" t="n">
        <x:v>1</x:v>
      </x:c>
      <x:c r="H23" s="32" t="n">
        <x:f>IF(E23=0,"",I23/E23)</x:f>
        <x:v>691.8309709189363</x:v>
      </x:c>
      <x:c r="I23" s="31" t="n">
        <x:f>IF(C23=0,"",SUMIF('Species'!$G$2:$G$80,A23,'Species'!$U$2:$U$80))</x:f>
        <x:v>12.134974458982946</x:v>
      </x:c>
      <x:c r="J23" s="32" t="n">
        <x:v>3.84</x:v>
      </x:c>
      <x:c r="K23" s="32" t="n">
        <x:f>IF(J23="","",(1/'Metadata'!$B$5)^(J23-1))</x:f>
        <x:v>691.8309709189363</x:v>
      </x:c>
      <x:c r="L23" s="31" t="n">
        <x:f>IF(E23=0,"",E23*K23)</x:f>
        <x:v>12.134974458982946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4ee79e5592c41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EEZ_352</x:v>
      </x:c>
      <x:c r="B2" s="24" t="str">
        <x:v>raw_filtered_tonnes</x:v>
      </x:c>
      <x:c r="C2" s="24" t="n">
        <x:v>755890.0550702653</x:v>
      </x:c>
      <x:c r="D2" s="24" t="str">
        <x:v>tonnes</x:v>
      </x:c>
    </x:row>
    <x:row r="3" ht="18" customHeight="1">
      <x:c r="A3" s="24" t="str">
        <x:v>EEZ_352</x:v>
      </x:c>
      <x:c r="B3" s="24" t="str">
        <x:v>species_catch_tonnes</x:v>
      </x:c>
      <x:c r="C3" s="24" t="n">
        <x:v>755890.0550702651</x:v>
      </x:c>
      <x:c r="D3" s="24" t="str">
        <x:v>tonnes</x:v>
      </x:c>
    </x:row>
    <x:row r="4" ht="18" customHeight="1">
      <x:c r="A4" s="24" t="str">
        <x:v>EEZ_352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EEZ_352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EEZ_352</x:v>
      </x:c>
      <x:c r="B6" s="24" t="str">
        <x:v>matched_catch_tonnes</x:v>
      </x:c>
      <x:c r="C6" s="24" t="n">
        <x:v>755890.0550702651</x:v>
      </x:c>
      <x:c r="D6" s="24" t="str">
        <x:v>tonnes</x:v>
      </x:c>
    </x:row>
    <x:row r="7" ht="18" customHeight="1">
      <x:c r="A7" s="24" t="str">
        <x:v>EEZ_352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EEZ_352</x:v>
      </x:c>
      <x:c r="B8" s="24" t="str">
        <x:v>taxa_count</x:v>
      </x:c>
      <x:c r="C8" s="24" t="n">
        <x:v>79</x:v>
      </x:c>
      <x:c r="D8" s="24" t="str">
        <x:v>count</x:v>
      </x:c>
    </x:row>
    <x:row r="9" ht="18" customHeight="1">
      <x:c r="A9" s="24" t="str">
        <x:v>EEZ_352</x:v>
      </x:c>
      <x:c r="B9" s="24" t="str">
        <x:v>matched_taxa_count</x:v>
      </x:c>
      <x:c r="C9" s="24" t="n">
        <x:v>79</x:v>
      </x:c>
      <x:c r="D9" s="24" t="str">
        <x:v>count</x:v>
      </x:c>
    </x:row>
    <x:row r="10" ht="18" customHeight="1">
      <x:c r="A10" s="24" t="str">
        <x:v>EEZ_352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EEZ_352</x:v>
      </x:c>
      <x:c r="B11" s="24" t="str">
        <x:v>species_ppr</x:v>
      </x:c>
      <x:c r="C11" s="24" t="n">
        <x:v>746373735.3016173</x:v>
      </x:c>
      <x:c r="D11" s="24" t="str">
        <x:v>tonnes_primary_production_equivalent</x:v>
      </x:c>
    </x:row>
    <x:row r="12" ht="18" customHeight="1">
      <x:c r="A12" s="24" t="str">
        <x:v>EEZ_352</x:v>
      </x:c>
      <x:c r="B12" s="24" t="str">
        <x:v>commercial_ppr</x:v>
      </x:c>
      <x:c r="C12" s="24" t="n">
        <x:v>746373735.3016174</x:v>
      </x:c>
      <x:c r="D12" s="24" t="str">
        <x:v>tonnes_primary_production_equivalent</x:v>
      </x:c>
    </x:row>
    <x:row r="13" ht="18" customHeight="1">
      <x:c r="A13" s="24" t="str">
        <x:v>EEZ_352</x:v>
      </x:c>
      <x:c r="B13" s="24" t="str">
        <x:v>functional_ppr</x:v>
      </x:c>
      <x:c r="C13" s="24" t="n">
        <x:v>746373735.3016171</x:v>
      </x:c>
      <x:c r="D13" s="24" t="str">
        <x:v>tonnes_primary_production_equivalent</x:v>
      </x:c>
    </x:row>
    <x:row r="14" ht="18" customHeight="1">
      <x:c r="A14" s="24" t="str">
        <x:v>EEZ_352</x:v>
      </x:c>
      <x:c r="B14" s="24" t="str">
        <x:v>commercial_ppr_difference</x:v>
      </x:c>
      <x:c r="C14" s="24" t="n">
        <x:v>1.1920928955078125e-7</x:v>
      </x:c>
      <x:c r="D14" s="24" t="str">
        <x:v>tonnes_primary_production_equivalent</x:v>
      </x:c>
    </x:row>
    <x:row r="15" ht="18" customHeight="1">
      <x:c r="A15" s="24" t="str">
        <x:v>EEZ_352</x:v>
      </x:c>
      <x:c r="B15" s="24" t="str">
        <x:v>functional_ppr_difference</x:v>
      </x:c>
      <x:c r="C15" s="24" t="n">
        <x:v>-1.1920928955078125e-7</x:v>
      </x:c>
      <x:c r="D15" s="24" t="str">
        <x:v>tonnes_primary_production_equivalent</x:v>
      </x:c>
    </x:row>
    <x:row r="16" ht="18" customHeight="1">
      <x:c r="A16" s="24" t="str">
        <x:v>EEZ_352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EEZ_352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EEZ_352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EEZ_352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76a5e59b82c49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EEZ_352 - Iceland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EEZ_352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