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59f70fc07747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e93503dbe4e473d"/>
    <x:sheet xmlns:r="http://schemas.openxmlformats.org/officeDocument/2006/relationships" name="Commercial" sheetId="2" r:id="R0d48b72febc84e00"/>
    <x:sheet xmlns:r="http://schemas.openxmlformats.org/officeDocument/2006/relationships" name="Functional" sheetId="3" r:id="R521ca2ba5e724ce1"/>
    <x:sheet xmlns:r="http://schemas.openxmlformats.org/officeDocument/2006/relationships" name="Missing TL" sheetId="4" r:id="R31c52e0a616c4dd6"/>
    <x:sheet xmlns:r="http://schemas.openxmlformats.org/officeDocument/2006/relationships" name="Validation" sheetId="5" r:id="Rff6e8ce207a64f8f"/>
    <x:sheet xmlns:r="http://schemas.openxmlformats.org/officeDocument/2006/relationships" name="Metadata" sheetId="6" r:id="R9c6fd99d7b7840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181b77ad6a48c8" /><Relationship Type="http://schemas.openxmlformats.org/officeDocument/2006/relationships/theme" Target="/xl/theme/theme1.xml" Id="R45c88d0f9e464091" /><Relationship Type="http://schemas.microsoft.com/office/2022/11/relationships/FeaturePropertyBag" Target="/xl/featurePropertyBag/featurePropertyBag.xml" Id="Rf7e8a1d9920d4ff9" /><Relationship Type="http://schemas.openxmlformats.org/officeDocument/2006/relationships/sharedStrings" Target="/xl/sharedStrings.xml" Id="R018664d11b024e58" /><Relationship Type="http://schemas.openxmlformats.org/officeDocument/2006/relationships/worksheet" Target="/xl/worksheets/sheet1.xml" Id="Rde93503dbe4e473d" /><Relationship Type="http://schemas.openxmlformats.org/officeDocument/2006/relationships/worksheet" Target="/xl/worksheets/sheet2.xml" Id="R0d48b72febc84e00" /><Relationship Type="http://schemas.openxmlformats.org/officeDocument/2006/relationships/worksheet" Target="/xl/worksheets/sheet3.xml" Id="R521ca2ba5e724ce1" /><Relationship Type="http://schemas.openxmlformats.org/officeDocument/2006/relationships/worksheet" Target="/xl/worksheets/sheet4.xml" Id="R31c52e0a616c4dd6" /><Relationship Type="http://schemas.openxmlformats.org/officeDocument/2006/relationships/worksheet" Target="/xl/worksheets/sheet5.xml" Id="Rff6e8ce207a64f8f" /><Relationship Type="http://schemas.openxmlformats.org/officeDocument/2006/relationships/worksheet" Target="/xl/worksheets/sheet6.xml" Id="R9c6fd99d7b7840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784SpeciesTable" displayName="EEZ784SpeciesTable" ref="A1:U43" headerRowCount="1" totalsRowCount="0" totalsRowShown="0">
  <x:autoFilter ref="A1:U4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784CommercialTable" displayName="EEZ784CommercialTable" ref="A1:O7" headerRowCount="1" totalsRowCount="0" totalsRowShown="0">
  <x:autoFilter ref="A1:O7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784FunctionalTable" displayName="EEZ784FunctionalTable" ref="A1:O15" headerRowCount="1" totalsRowCount="0" totalsRowShown="0">
  <x:autoFilter ref="A1:O1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784ValidationTable" displayName="EEZ78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905f26bc9348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ab20dbc70049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98942a8636c47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f15086179c4c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EEZ_784</x:v>
      </x:c>
      <x:c r="B2" s="24" t="str">
        <x:v>United Arab Emirates</x:v>
      </x:c>
      <x:c r="C2" s="24" t="str">
        <x:v>EEZ</x:v>
      </x:c>
      <x:c r="D2" s="30" t="n">
        <x:v>2019</x:v>
      </x:c>
      <x:c r="E2" s="24" t="str">
        <x:v>Scomberomorus commerson</x:v>
      </x:c>
      <x:c r="F2" s="24" t="str">
        <x:v>Narrow-barred Spanish mackerel</x:v>
      </x:c>
      <x:c r="G2" s="24" t="str">
        <x:v>Large pelagics (&gt;=90 cm)</x:v>
      </x:c>
      <x:c r="H2" s="24" t="str">
        <x:v>Perch-likes</x:v>
      </x:c>
      <x:c r="I2" s="31" t="n">
        <x:v>14688.354375175199</x:v>
      </x:c>
      <x:c r="J2" s="31" t="n">
        <x:v>14688.354375175199</x:v>
      </x:c>
      <x:c r="K2" s="31" t="n">
        <x:v>0</x:v>
      </x:c>
      <x:c r="L2" s="31" t="n">
        <x:v>10360.349999999999</x:v>
      </x:c>
      <x:c r="M2" s="31" t="n">
        <x:v>4328.0043751752</x:v>
      </x:c>
      <x:c r="N2" s="24" t="str">
        <x:v>scomberomorus commerson</x:v>
      </x:c>
      <x:c r="O2" s="32" t="n">
        <x:v>4.5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Scomberomorus commerson</x:v>
      </x:c>
      <x:c r="T2" s="32" t="n">
        <x:f>IF(O2="","",(1/'Metadata'!$B$5)^(O2-1))</x:f>
        <x:v>3162.2776601683795</x:v>
      </x:c>
      <x:c r="U2" s="31" t="n">
        <x:f>IF(T2="","",I2*T2)</x:f>
        <x:v>46448654.90525301</x:v>
      </x:c>
    </x:row>
    <x:row r="3" ht="18" customHeight="1">
      <x:c r="A3" s="24" t="str">
        <x:v>EEZ_784</x:v>
      </x:c>
      <x:c r="B3" s="24" t="str">
        <x:v>United Arab Emirates</x:v>
      </x:c>
      <x:c r="C3" s="24" t="str">
        <x:v>EEZ</x:v>
      </x:c>
      <x:c r="D3" s="30" t="n">
        <x:v>2019</x:v>
      </x:c>
      <x:c r="E3" s="24" t="str">
        <x:v>Lethrinus nebulosus</x:v>
      </x:c>
      <x:c r="F3" s="24" t="str">
        <x:v>Spangled emperor</x:v>
      </x:c>
      <x:c r="G3" s="24" t="str">
        <x:v>Medium demersals (30 - 89 cm)</x:v>
      </x:c>
      <x:c r="H3" s="24" t="str">
        <x:v>Perch-likes</x:v>
      </x:c>
      <x:c r="I3" s="31" t="n">
        <x:v>5160</x:v>
      </x:c>
      <x:c r="J3" s="31" t="n">
        <x:v>5160</x:v>
      </x:c>
      <x:c r="K3" s="31" t="n">
        <x:v>0</x:v>
      </x:c>
      <x:c r="L3" s="31" t="n">
        <x:v>5160</x:v>
      </x:c>
      <x:c r="M3" s="31" t="n">
        <x:v>0</x:v>
      </x:c>
      <x:c r="N3" s="24" t="str">
        <x:v>lethrinus nebulosus</x:v>
      </x:c>
      <x:c r="O3" s="32" t="n">
        <x:v>3.76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Lethrinus nebulosus</x:v>
      </x:c>
      <x:c r="T3" s="32" t="n">
        <x:f>IF(O3="","",(1/'Metadata'!$B$5)^(O3-1))</x:f>
        <x:v>575.4399373371566</x:v>
      </x:c>
      <x:c r="U3" s="31" t="n">
        <x:f>IF(T3="","",I3*T3)</x:f>
        <x:v>2969270.0766597283</x:v>
      </x:c>
    </x:row>
    <x:row r="4" ht="18" customHeight="1">
      <x:c r="A4" s="24" t="str">
        <x:v>EEZ_784</x:v>
      </x:c>
      <x:c r="B4" s="24" t="str">
        <x:v>United Arab Emirates</x:v>
      </x:c>
      <x:c r="C4" s="24" t="str">
        <x:v>EEZ</x:v>
      </x:c>
      <x:c r="D4" s="30" t="n">
        <x:v>2019</x:v>
      </x:c>
      <x:c r="E4" s="24" t="str">
        <x:v>Epinephelus coioides</x:v>
      </x:c>
      <x:c r="F4" s="24" t="str">
        <x:v>Orange-spotted grouper</x:v>
      </x:c>
      <x:c r="G4" s="24" t="str">
        <x:v>Large reef assoc. fish (&gt;=90 cm)</x:v>
      </x:c>
      <x:c r="H4" s="24" t="str">
        <x:v>Perch-likes</x:v>
      </x:c>
      <x:c r="I4" s="31" t="n">
        <x:v>4806.0000000002</x:v>
      </x:c>
      <x:c r="J4" s="31" t="n">
        <x:v>4806.0000000002</x:v>
      </x:c>
      <x:c r="K4" s="31" t="n">
        <x:v>0</x:v>
      </x:c>
      <x:c r="L4" s="31" t="n">
        <x:v>4806.0000000002</x:v>
      </x:c>
      <x:c r="M4" s="31" t="n">
        <x:v>0</x:v>
      </x:c>
      <x:c r="N4" s="24" t="str">
        <x:v>epinephelus coioides</x:v>
      </x:c>
      <x:c r="O4" s="32" t="n">
        <x:v>4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Epinephelus coioides</x:v>
      </x:c>
      <x:c r="T4" s="32" t="n">
        <x:f>IF(O4="","",(1/'Metadata'!$B$5)^(O4-1))</x:f>
        <x:v>1000</x:v>
      </x:c>
      <x:c r="U4" s="31" t="n">
        <x:f>IF(T4="","",I4*T4)</x:f>
        <x:v>4806000.0000002</x:v>
      </x:c>
    </x:row>
    <x:row r="5" ht="18" customHeight="1">
      <x:c r="A5" s="24" t="str">
        <x:v>EEZ_784</x:v>
      </x:c>
      <x:c r="B5" s="24" t="str">
        <x:v>United Arab Emirates</x:v>
      </x:c>
      <x:c r="C5" s="24" t="str">
        <x:v>EEZ</x:v>
      </x:c>
      <x:c r="D5" s="30" t="n">
        <x:v>2019</x:v>
      </x:c>
      <x:c r="E5" s="24" t="str">
        <x:v>Epinephelus</x:v>
      </x:c>
      <x:c r="F5" s="24" t="str">
        <x:v>Seabasses, hinds</x:v>
      </x:c>
      <x:c r="G5" s="24" t="str">
        <x:v>Medium reef assoc. fish (30 - 89 cm)</x:v>
      </x:c>
      <x:c r="H5" s="24" t="str">
        <x:v>Perch-likes</x:v>
      </x:c>
      <x:c r="I5" s="31" t="n">
        <x:v>2942.9400000001</x:v>
      </x:c>
      <x:c r="J5" s="31" t="n">
        <x:v>2942.9400000001</x:v>
      </x:c>
      <x:c r="K5" s="31" t="n">
        <x:v>0</x:v>
      </x:c>
      <x:c r="L5" s="31" t="n">
        <x:v>2942.9400000001</x:v>
      </x:c>
      <x:c r="M5" s="31" t="n">
        <x:v>0</x:v>
      </x:c>
      <x:c r="N5" s="24" t="str">
        <x:v>epinephelus</x:v>
      </x:c>
      <x:c r="O5" s="32" t="n">
        <x:v>3.84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Epinephelus</x:v>
      </x:c>
      <x:c r="T5" s="32" t="n">
        <x:f>IF(O5="","",(1/'Metadata'!$B$5)^(O5-1))</x:f>
        <x:v>691.8309709189363</x:v>
      </x:c>
      <x:c r="U5" s="31" t="n">
        <x:f>IF(T5="","",I5*T5)</x:f>
        <x:v>2036017.0375562436</x:v>
      </x:c>
    </x:row>
    <x:row r="6" ht="18" customHeight="1">
      <x:c r="A6" s="24" t="str">
        <x:v>EEZ_784</x:v>
      </x:c>
      <x:c r="B6" s="24" t="str">
        <x:v>United Arab Emirates</x:v>
      </x:c>
      <x:c r="C6" s="24" t="str">
        <x:v>EEZ</x:v>
      </x:c>
      <x:c r="D6" s="30" t="n">
        <x:v>2019</x:v>
      </x:c>
      <x:c r="E6" s="24" t="str">
        <x:v>Carangidae</x:v>
      </x:c>
      <x:c r="F6" s="24" t="str">
        <x:v>Jacks, pompanos</x:v>
      </x:c>
      <x:c r="G6" s="24" t="str">
        <x:v>Medium pelagics (30 - 89 cm)</x:v>
      </x:c>
      <x:c r="H6" s="24" t="str">
        <x:v>Perch-likes</x:v>
      </x:c>
      <x:c r="I6" s="31" t="n">
        <x:v>2826</x:v>
      </x:c>
      <x:c r="J6" s="31" t="n">
        <x:v>2826</x:v>
      </x:c>
      <x:c r="K6" s="31" t="n">
        <x:v>0</x:v>
      </x:c>
      <x:c r="L6" s="31" t="n">
        <x:v>2826</x:v>
      </x:c>
      <x:c r="M6" s="31" t="n">
        <x:v>0</x:v>
      </x:c>
      <x:c r="N6" s="24" t="str">
        <x:v>carangidae</x:v>
      </x:c>
      <x:c r="O6" s="32" t="n">
        <x:v>4.05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Carangidae</x:v>
      </x:c>
      <x:c r="T6" s="32" t="n">
        <x:f>IF(O6="","",(1/'Metadata'!$B$5)^(O6-1))</x:f>
        <x:v>1122.018454301963</x:v>
      </x:c>
      <x:c r="U6" s="31" t="n">
        <x:f>IF(T6="","",I6*T6)</x:f>
        <x:v>3170824.151857347</x:v>
      </x:c>
    </x:row>
    <x:row r="7" ht="18" customHeight="1">
      <x:c r="A7" s="24" t="str">
        <x:v>EEZ_784</x:v>
      </x:c>
      <x:c r="B7" s="24" t="str">
        <x:v>United Arab Emirates</x:v>
      </x:c>
      <x:c r="C7" s="24" t="str">
        <x:v>EEZ</x:v>
      </x:c>
      <x:c r="D7" s="30" t="n">
        <x:v>2019</x:v>
      </x:c>
      <x:c r="E7" s="24" t="str">
        <x:v>Haemulidae</x:v>
      </x:c>
      <x:c r="F7" s="24" t="str">
        <x:v>Grunts, sweetlips, bonnetmouths</x:v>
      </x:c>
      <x:c r="G7" s="24" t="str">
        <x:v>Medium demersals (30 - 89 cm)</x:v>
      </x:c>
      <x:c r="H7" s="24" t="str">
        <x:v>Perch-likes</x:v>
      </x:c>
      <x:c r="I7" s="31" t="n">
        <x:v>2532</x:v>
      </x:c>
      <x:c r="J7" s="31" t="n">
        <x:v>2532</x:v>
      </x:c>
      <x:c r="K7" s="31" t="n">
        <x:v>0</x:v>
      </x:c>
      <x:c r="L7" s="31" t="n">
        <x:v>2532</x:v>
      </x:c>
      <x:c r="M7" s="31" t="n">
        <x:v>0</x:v>
      </x:c>
      <x:c r="N7" s="24" t="str">
        <x:v>haemulidae</x:v>
      </x:c>
      <x:c r="O7" s="32" t="n">
        <x:v>3.36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Haemulidae</x:v>
      </x:c>
      <x:c r="T7" s="32" t="n">
        <x:f>IF(O7="","",(1/'Metadata'!$B$5)^(O7-1))</x:f>
        <x:v>229.08676527677724</x:v>
      </x:c>
      <x:c r="U7" s="31" t="n">
        <x:f>IF(T7="","",I7*T7)</x:f>
        <x:v>580047.6896808</x:v>
      </x:c>
    </x:row>
    <x:row r="8" ht="18" customHeight="1">
      <x:c r="A8" s="24" t="str">
        <x:v>EEZ_784</x:v>
      </x:c>
      <x:c r="B8" s="24" t="str">
        <x:v>United Arab Emirates</x:v>
      </x:c>
      <x:c r="C8" s="24" t="str">
        <x:v>EEZ</x:v>
      </x:c>
      <x:c r="D8" s="30" t="n">
        <x:v>2019</x:v>
      </x:c>
      <x:c r="E8" s="24" t="str">
        <x:v>Marine fishes not identified</x:v>
      </x:c>
      <x:c r="F8" s="24" t="str">
        <x:v>Marine fishes nei</x:v>
      </x:c>
      <x:c r="G8" s="24" t="str">
        <x:v>Medium demersals (30 - 89 cm)</x:v>
      </x:c>
      <x:c r="H8" s="24" t="str">
        <x:v>Other fishes &amp; inverts</x:v>
      </x:c>
      <x:c r="I8" s="31" t="n">
        <x:v>1782.379755124</x:v>
      </x:c>
      <x:c r="J8" s="31" t="n">
        <x:v>1782.379755124</x:v>
      </x:c>
      <x:c r="K8" s="31" t="n">
        <x:v>0</x:v>
      </x:c>
      <x:c r="L8" s="31" t="n">
        <x:v>1462.4610000003001</x:v>
      </x:c>
      <x:c r="M8" s="31" t="n">
        <x:v>319.9187551237</x:v>
      </x:c>
      <x:c r="N8" s="24" t="str">
        <x:v>marine fishes not identified</x:v>
      </x:c>
      <x:c r="O8" s="32" t="n">
        <x:v>3.28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Marine fishes not identified</x:v>
      </x:c>
      <x:c r="T8" s="32" t="n">
        <x:f>IF(O8="","",(1/'Metadata'!$B$5)^(O8-1))</x:f>
        <x:v>190.54607179632464</x:v>
      </x:c>
      <x:c r="U8" s="31" t="n">
        <x:f>IF(T8="","",I8*T8)</x:f>
        <x:v>339625.46078817325</x:v>
      </x:c>
    </x:row>
    <x:row r="9" ht="18" customHeight="1">
      <x:c r="A9" s="24" t="str">
        <x:v>EEZ_784</x:v>
      </x:c>
      <x:c r="B9" s="24" t="str">
        <x:v>United Arab Emirates</x:v>
      </x:c>
      <x:c r="C9" s="24" t="str">
        <x:v>EEZ</x:v>
      </x:c>
      <x:c r="D9" s="30" t="n">
        <x:v>2019</x:v>
      </x:c>
      <x:c r="E9" s="24" t="str">
        <x:v>Lethrinidae</x:v>
      </x:c>
      <x:c r="F9" s="24" t="str">
        <x:v>Emperors, scavengers</x:v>
      </x:c>
      <x:c r="G9" s="24" t="str">
        <x:v>Medium reef assoc. fish (30 - 89 cm)</x:v>
      </x:c>
      <x:c r="H9" s="24" t="str">
        <x:v>Perch-likes</x:v>
      </x:c>
      <x:c r="I9" s="31" t="n">
        <x:v>1775.4789713983998</x:v>
      </x:c>
      <x:c r="J9" s="31" t="n">
        <x:v>1775.4789713983998</x:v>
      </x:c>
      <x:c r="K9" s="31" t="n">
        <x:v>0</x:v>
      </x:c>
      <x:c r="L9" s="31" t="n">
        <x:v>1721.9999999998</x:v>
      </x:c>
      <x:c r="M9" s="31" t="n">
        <x:v>53.4789713986</x:v>
      </x:c>
      <x:c r="N9" s="24" t="str">
        <x:v>lethrinidae</x:v>
      </x:c>
      <x:c r="O9" s="32" t="n">
        <x:v>3.59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Lethrinidae</x:v>
      </x:c>
      <x:c r="T9" s="32" t="n">
        <x:f>IF(O9="","",(1/'Metadata'!$B$5)^(O9-1))</x:f>
        <x:v>389.04514499428046</x:v>
      </x:c>
      <x:c r="U9" s="31" t="n">
        <x:f>IF(T9="","",I9*T9)</x:f>
        <x:v>690741.4738619864</x:v>
      </x:c>
    </x:row>
    <x:row r="10" ht="18" customHeight="1">
      <x:c r="A10" s="24" t="str">
        <x:v>EEZ_784</x:v>
      </x:c>
      <x:c r="B10" s="24" t="str">
        <x:v>United Arab Emirates</x:v>
      </x:c>
      <x:c r="C10" s="24" t="str">
        <x:v>EEZ</x:v>
      </x:c>
      <x:c r="D10" s="30" t="n">
        <x:v>2019</x:v>
      </x:c>
      <x:c r="E10" s="24" t="str">
        <x:v>Flavocaranx bajad</x:v>
      </x:c>
      <x:c r="F10" s="24" t="str">
        <x:v>Orangespotted trevally</x:v>
      </x:c>
      <x:c r="G10" s="24" t="str">
        <x:v>Medium reef assoc. fish (30 - 89 cm)</x:v>
      </x:c>
      <x:c r="H10" s="24" t="str">
        <x:v>Perch-likes</x:v>
      </x:c>
      <x:c r="I10" s="31" t="n">
        <x:v>1619.9999999996</x:v>
      </x:c>
      <x:c r="J10" s="31" t="n">
        <x:v>1619.9999999996</x:v>
      </x:c>
      <x:c r="K10" s="31" t="n">
        <x:v>0</x:v>
      </x:c>
      <x:c r="L10" s="31" t="n">
        <x:v>1619.9999999996</x:v>
      </x:c>
      <x:c r="M10" s="31" t="n">
        <x:v>0</x:v>
      </x:c>
      <x:c r="N10" s="24" t="str">
        <x:v>flavocaranx bajad</x:v>
      </x:c>
      <x:c r="O10" s="32" t="n">
        <x:v>4.3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Flavocaranx bajad</x:v>
      </x:c>
      <x:c r="T10" s="32" t="n">
        <x:f>IF(O10="","",(1/'Metadata'!$B$5)^(O10-1))</x:f>
        <x:v>1995.2623149688789</x:v>
      </x:c>
      <x:c r="U10" s="31" t="n">
        <x:f>IF(T10="","",I10*T10)</x:f>
        <x:v>3232324.950248786</x:v>
      </x:c>
    </x:row>
    <x:row r="11" ht="18" customHeight="1">
      <x:c r="A11" s="24" t="str">
        <x:v>EEZ_784</x:v>
      </x:c>
      <x:c r="B11" s="24" t="str">
        <x:v>United Arab Emirates</x:v>
      </x:c>
      <x:c r="C11" s="24" t="str">
        <x:v>EEZ</x:v>
      </x:c>
      <x:c r="D11" s="30" t="n">
        <x:v>2019</x:v>
      </x:c>
      <x:c r="E11" s="24" t="str">
        <x:v>Siganidae</x:v>
      </x:c>
      <x:c r="F11" s="24" t="str">
        <x:v>Rabbitfishes</x:v>
      </x:c>
      <x:c r="G11" s="24" t="str">
        <x:v>Medium reef assoc. fish (30 - 89 cm)</x:v>
      </x:c>
      <x:c r="H11" s="24" t="str">
        <x:v>Perch-likes</x:v>
      </x:c>
      <x:c r="I11" s="31" t="n">
        <x:v>1321.3200000001</x:v>
      </x:c>
      <x:c r="J11" s="31" t="n">
        <x:v>1321.3200000001</x:v>
      </x:c>
      <x:c r="K11" s="31" t="n">
        <x:v>0</x:v>
      </x:c>
      <x:c r="L11" s="31" t="n">
        <x:v>1321.3200000001</x:v>
      </x:c>
      <x:c r="M11" s="31" t="n">
        <x:v>0</x:v>
      </x:c>
      <x:c r="N11" s="24" t="str">
        <x:v>siganidae</x:v>
      </x:c>
      <x:c r="O11" s="32" t="n">
        <x:v>2.11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Siganidae</x:v>
      </x:c>
      <x:c r="T11" s="32" t="n">
        <x:f>IF(O11="","",(1/'Metadata'!$B$5)^(O11-1))</x:f>
        <x:v>12.882495516931336</x:v>
      </x:c>
      <x:c r="U11" s="31" t="n">
        <x:f>IF(T11="","",I11*T11)</x:f>
        <x:v>17021.898976433</x:v>
      </x:c>
    </x:row>
    <x:row r="12" ht="18" customHeight="1">
      <x:c r="A12" s="24" t="str">
        <x:v>EEZ_784</x:v>
      </x:c>
      <x:c r="B12" s="24" t="str">
        <x:v>United Arab Emirates</x:v>
      </x:c>
      <x:c r="C12" s="24" t="str">
        <x:v>EEZ</x:v>
      </x:c>
      <x:c r="D12" s="30" t="n">
        <x:v>2019</x:v>
      </x:c>
      <x:c r="E12" s="24" t="str">
        <x:v>Lutjanidae</x:v>
      </x:c>
      <x:c r="F12" s="24" t="str">
        <x:v>Snappers</x:v>
      </x:c>
      <x:c r="G12" s="24" t="str">
        <x:v>Medium reef assoc. fish (30 - 89 cm)</x:v>
      </x:c>
      <x:c r="H12" s="24" t="str">
        <x:v>Perch-likes</x:v>
      </x:c>
      <x:c r="I12" s="31" t="n">
        <x:v>1279.9375475402</x:v>
      </x:c>
      <x:c r="J12" s="31" t="n">
        <x:v>1279.9375475402</x:v>
      </x:c>
      <x:c r="K12" s="31" t="n">
        <x:v>0</x:v>
      </x:c>
      <x:c r="L12" s="31" t="n">
        <x:v>600.5999999999</x:v>
      </x:c>
      <x:c r="M12" s="31" t="n">
        <x:v>679.3375475403</x:v>
      </x:c>
      <x:c r="N12" s="24" t="str">
        <x:v>lutjanidae</x:v>
      </x:c>
      <x:c r="O12" s="32" t="n">
        <x:v>4.02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Lutjanidae</x:v>
      </x:c>
      <x:c r="T12" s="32" t="n">
        <x:f>IF(O12="","",(1/'Metadata'!$B$5)^(O12-1))</x:f>
        <x:v>1047.1285480508984</x:v>
      </x:c>
      <x:c r="U12" s="31" t="n">
        <x:f>IF(T12="","",I12*T12)</x:f>
        <x:v>1340259.1457515974</x:v>
      </x:c>
    </x:row>
    <x:row r="13" ht="18" customHeight="1">
      <x:c r="A13" s="24" t="str">
        <x:v>EEZ_784</x:v>
      </x:c>
      <x:c r="B13" s="24" t="str">
        <x:v>United Arab Emirates</x:v>
      </x:c>
      <x:c r="C13" s="24" t="str">
        <x:v>EEZ</x:v>
      </x:c>
      <x:c r="D13" s="30" t="n">
        <x:v>2019</x:v>
      </x:c>
      <x:c r="E13" s="24" t="str">
        <x:v>Argyrops spinifer</x:v>
      </x:c>
      <x:c r="F13" s="24" t="str">
        <x:v>King soldier bream</x:v>
      </x:c>
      <x:c r="G13" s="24" t="str">
        <x:v>Medium demersals (30 - 89 cm)</x:v>
      </x:c>
      <x:c r="H13" s="24" t="str">
        <x:v>Perch-likes</x:v>
      </x:c>
      <x:c r="I13" s="31" t="n">
        <x:v>1080</x:v>
      </x:c>
      <x:c r="J13" s="31" t="n">
        <x:v>1080</x:v>
      </x:c>
      <x:c r="K13" s="31" t="n">
        <x:v>0</x:v>
      </x:c>
      <x:c r="L13" s="31" t="n">
        <x:v>1080</x:v>
      </x:c>
      <x:c r="M13" s="31" t="n">
        <x:v>0</x:v>
      </x:c>
      <x:c r="N13" s="24" t="str">
        <x:v>argyrops spinifer</x:v>
      </x:c>
      <x:c r="O13" s="32" t="n">
        <x:v>4.49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Argyrops spinifer</x:v>
      </x:c>
      <x:c r="T13" s="32" t="n">
        <x:f>IF(O13="","",(1/'Metadata'!$B$5)^(O13-1))</x:f>
        <x:v>3090.295432513592</x:v>
      </x:c>
      <x:c r="U13" s="31" t="n">
        <x:f>IF(T13="","",I13*T13)</x:f>
        <x:v>3337519.067114679</x:v>
      </x:c>
    </x:row>
    <x:row r="14" ht="18" customHeight="1">
      <x:c r="A14" s="24" t="str">
        <x:v>EEZ_784</x:v>
      </x:c>
      <x:c r="B14" s="24" t="str">
        <x:v>United Arab Emirates</x:v>
      </x:c>
      <x:c r="C14" s="24" t="str">
        <x:v>EEZ</x:v>
      </x:c>
      <x:c r="D14" s="30" t="n">
        <x:v>2019</x:v>
      </x:c>
      <x:c r="E14" s="24" t="str">
        <x:v>Gnathanodon speciosus</x:v>
      </x:c>
      <x:c r="F14" s="24" t="str">
        <x:v>Golden trevally</x:v>
      </x:c>
      <x:c r="G14" s="24" t="str">
        <x:v>Large reef assoc. fish (&gt;=90 cm)</x:v>
      </x:c>
      <x:c r="H14" s="24" t="str">
        <x:v>Perch-likes</x:v>
      </x:c>
      <x:c r="I14" s="31" t="n">
        <x:v>1007.9999999999999</x:v>
      </x:c>
      <x:c r="J14" s="31" t="n">
        <x:v>1007.9999999999999</x:v>
      </x:c>
      <x:c r="K14" s="31" t="n">
        <x:v>0</x:v>
      </x:c>
      <x:c r="L14" s="31" t="n">
        <x:v>1007.9999999999999</x:v>
      </x:c>
      <x:c r="M14" s="31" t="n">
        <x:v>0</x:v>
      </x:c>
      <x:c r="N14" s="24" t="str">
        <x:v>gnathanodon speciosus</x:v>
      </x:c>
      <x:c r="O14" s="32" t="n">
        <x:v>3.84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Gnathanodon speciosus</x:v>
      </x:c>
      <x:c r="T14" s="32" t="n">
        <x:f>IF(O14="","",(1/'Metadata'!$B$5)^(O14-1))</x:f>
        <x:v>691.8309709189363</x:v>
      </x:c>
      <x:c r="U14" s="31" t="n">
        <x:f>IF(T14="","",I14*T14)</x:f>
        <x:v>697365.6186862877</x:v>
      </x:c>
    </x:row>
    <x:row r="15" ht="18" customHeight="1">
      <x:c r="A15" s="24" t="str">
        <x:v>EEZ_784</x:v>
      </x:c>
      <x:c r="B15" s="24" t="str">
        <x:v>United Arab Emirates</x:v>
      </x:c>
      <x:c r="C15" s="24" t="str">
        <x:v>EEZ</x:v>
      </x:c>
      <x:c r="D15" s="30" t="n">
        <x:v>2019</x:v>
      </x:c>
      <x:c r="E15" s="24" t="str">
        <x:v>Scombridae</x:v>
      </x:c>
      <x:c r="F15" s="24" t="str">
        <x:v>Mackerels, tunas, bonitos</x:v>
      </x:c>
      <x:c r="G15" s="24" t="str">
        <x:v>Medium pelagics (30 - 89 cm)</x:v>
      </x:c>
      <x:c r="H15" s="24" t="str">
        <x:v>Perch-likes</x:v>
      </x:c>
      <x:c r="I15" s="31" t="n">
        <x:v>865.5168743813</x:v>
      </x:c>
      <x:c r="J15" s="31" t="n">
        <x:v>865.5168743813</x:v>
      </x:c>
      <x:c r="K15" s="31" t="n">
        <x:v>0</x:v>
      </x:c>
      <x:c r="L15" s="31" t="n">
        <x:v>307.4476248382</x:v>
      </x:c>
      <x:c r="M15" s="31" t="n">
        <x:v>558.0692495431</x:v>
      </x:c>
      <x:c r="N15" s="24" t="str">
        <x:v>scombridae</x:v>
      </x:c>
      <x:c r="O15" s="32" t="n">
        <x:v>4.26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Scombridae</x:v>
      </x:c>
      <x:c r="T15" s="32" t="n">
        <x:f>IF(O15="","",(1/'Metadata'!$B$5)^(O15-1))</x:f>
        <x:v>1819.7008586099826</x:v>
      </x:c>
      <x:c r="U15" s="31" t="n">
        <x:f>IF(T15="","",I15*T15)</x:f>
        <x:v>1574981.79945308</x:v>
      </x:c>
    </x:row>
    <x:row r="16" ht="18" customHeight="1">
      <x:c r="A16" s="24" t="str">
        <x:v>EEZ_784</x:v>
      </x:c>
      <x:c r="B16" s="24" t="str">
        <x:v>United Arab Emirates</x:v>
      </x:c>
      <x:c r="C16" s="24" t="str">
        <x:v>EEZ</x:v>
      </x:c>
      <x:c r="D16" s="30" t="n">
        <x:v>2019</x:v>
      </x:c>
      <x:c r="E16" s="24" t="str">
        <x:v>Lethrinus lentjan</x:v>
      </x:c>
      <x:c r="F16" s="24" t="str">
        <x:v>Pink ear emperor</x:v>
      </x:c>
      <x:c r="G16" s="24" t="str">
        <x:v>Medium demersals (30 - 89 cm)</x:v>
      </x:c>
      <x:c r="H16" s="24" t="str">
        <x:v>Perch-likes</x:v>
      </x:c>
      <x:c r="I16" s="31" t="n">
        <x:v>654</x:v>
      </x:c>
      <x:c r="J16" s="31" t="n">
        <x:v>654</x:v>
      </x:c>
      <x:c r="K16" s="31" t="n">
        <x:v>0</x:v>
      </x:c>
      <x:c r="L16" s="31" t="n">
        <x:v>654</x:v>
      </x:c>
      <x:c r="M16" s="31" t="n">
        <x:v>0</x:v>
      </x:c>
      <x:c r="N16" s="24" t="str">
        <x:v>lethrinus lentjan</x:v>
      </x:c>
      <x:c r="O16" s="32" t="n">
        <x:v>3.94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Lethrinus lentjan</x:v>
      </x:c>
      <x:c r="T16" s="32" t="n">
        <x:f>IF(O16="","",(1/'Metadata'!$B$5)^(O16-1))</x:f>
        <x:v>870.9635899560806</x:v>
      </x:c>
      <x:c r="U16" s="31" t="n">
        <x:f>IF(T16="","",I16*T16)</x:f>
        <x:v>569610.1878312767</x:v>
      </x:c>
    </x:row>
    <x:row r="17" ht="18" customHeight="1">
      <x:c r="A17" s="24" t="str">
        <x:v>EEZ_784</x:v>
      </x:c>
      <x:c r="B17" s="24" t="str">
        <x:v>United Arab Emirates</x:v>
      </x:c>
      <x:c r="C17" s="24" t="str">
        <x:v>EEZ</x:v>
      </x:c>
      <x:c r="D17" s="30" t="n">
        <x:v>2019</x:v>
      </x:c>
      <x:c r="E17" s="24" t="str">
        <x:v>Clupeidae</x:v>
      </x:c>
      <x:c r="F17" s="24" t="str">
        <x:v>Herrings, sardines, menhadens</x:v>
      </x:c>
      <x:c r="G17" s="24" t="str">
        <x:v>Small pelagics (&lt;30 cm)</x:v>
      </x:c>
      <x:c r="H17" s="24" t="str">
        <x:v>Herring-likes</x:v>
      </x:c>
      <x:c r="I17" s="31" t="n">
        <x:v>540</x:v>
      </x:c>
      <x:c r="J17" s="31" t="n">
        <x:v>540</x:v>
      </x:c>
      <x:c r="K17" s="31" t="n">
        <x:v>0</x:v>
      </x:c>
      <x:c r="L17" s="31" t="n">
        <x:v>540</x:v>
      </x:c>
      <x:c r="M17" s="31" t="n">
        <x:v>0</x:v>
      </x:c>
      <x:c r="N17" s="24" t="str">
        <x:v>clupeidae</x:v>
      </x:c>
      <x:c r="O17" s="32" t="n">
        <x:v>3.16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Clupeidae</x:v>
      </x:c>
      <x:c r="T17" s="32" t="n">
        <x:f>IF(O17="","",(1/'Metadata'!$B$5)^(O17-1))</x:f>
        <x:v>144.5439770745928</x:v>
      </x:c>
      <x:c r="U17" s="31" t="n">
        <x:f>IF(T17="","",I17*T17)</x:f>
        <x:v>78053.7476202801</x:v>
      </x:c>
    </x:row>
    <x:row r="18" ht="18" customHeight="1">
      <x:c r="A18" s="24" t="str">
        <x:v>EEZ_784</x:v>
      </x:c>
      <x:c r="B18" s="24" t="str">
        <x:v>United Arab Emirates</x:v>
      </x:c>
      <x:c r="C18" s="24" t="str">
        <x:v>EEZ</x:v>
      </x:c>
      <x:c r="D18" s="30" t="n">
        <x:v>2019</x:v>
      </x:c>
      <x:c r="E18" s="24" t="str">
        <x:v>Sphyraenidae</x:v>
      </x:c>
      <x:c r="F18" s="24" t="str">
        <x:v>Barracudas</x:v>
      </x:c>
      <x:c r="G18" s="24" t="str">
        <x:v>Medium reef assoc. fish (30 - 89 cm)</x:v>
      </x:c>
      <x:c r="H18" s="24" t="str">
        <x:v>Perch-likes</x:v>
      </x:c>
      <x:c r="I18" s="31" t="n">
        <x:v>480.47999999999996</x:v>
      </x:c>
      <x:c r="J18" s="31" t="n">
        <x:v>480.47999999999996</x:v>
      </x:c>
      <x:c r="K18" s="31" t="n">
        <x:v>0</x:v>
      </x:c>
      <x:c r="L18" s="31" t="n">
        <x:v>480.47999999999996</x:v>
      </x:c>
      <x:c r="M18" s="31" t="n">
        <x:v>0</x:v>
      </x:c>
      <x:c r="N18" s="24" t="str">
        <x:v>sphyraenidae</x:v>
      </x:c>
      <x:c r="O18" s="32" t="n">
        <x:v>4.4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Sphyraenidae</x:v>
      </x:c>
      <x:c r="T18" s="32" t="n">
        <x:f>IF(O18="","",(1/'Metadata'!$B$5)^(O18-1))</x:f>
        <x:v>2511.886431509582</x:v>
      </x:c>
      <x:c r="U18" s="31" t="n">
        <x:f>IF(T18="","",I18*T18)</x:f>
        <x:v>1206911.192611724</x:v>
      </x:c>
    </x:row>
    <x:row r="19" ht="18" customHeight="1">
      <x:c r="A19" s="24" t="str">
        <x:v>EEZ_784</x:v>
      </x:c>
      <x:c r="B19" s="24" t="str">
        <x:v>United Arab Emirates</x:v>
      </x:c>
      <x:c r="C19" s="24" t="str">
        <x:v>EEZ</x:v>
      </x:c>
      <x:c r="D19" s="30" t="n">
        <x:v>2019</x:v>
      </x:c>
      <x:c r="E19" s="24" t="str">
        <x:v>Euthynnus affinis</x:v>
      </x:c>
      <x:c r="F19" s="24" t="str">
        <x:v>Kawakawa</x:v>
      </x:c>
      <x:c r="G19" s="24" t="str">
        <x:v>Large pelagics (&gt;=90 cm)</x:v>
      </x:c>
      <x:c r="H19" s="24" t="str">
        <x:v>Tuna &amp; billfishes</x:v>
      </x:c>
      <x:c r="I19" s="31" t="n">
        <x:v>450.1312313383</x:v>
      </x:c>
      <x:c r="J19" s="31" t="n">
        <x:v>450.1312313383</x:v>
      </x:c>
      <x:c r="K19" s="31" t="n">
        <x:v>0</x:v>
      </x:c>
      <x:c r="L19" s="31" t="n">
        <x:v>450.1312313383</x:v>
      </x:c>
      <x:c r="M19" s="31" t="n">
        <x:v>0</x:v>
      </x:c>
      <x:c r="N19" s="24" t="str">
        <x:v>euthynnus affinis</x:v>
      </x:c>
      <x:c r="O19" s="32" t="n">
        <x:v>4.5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Euthynnus affinis</x:v>
      </x:c>
      <x:c r="T19" s="32" t="n">
        <x:f>IF(O19="","",(1/'Metadata'!$B$5)^(O19-1))</x:f>
        <x:v>3162.2776601683795</x:v>
      </x:c>
      <x:c r="U19" s="31" t="n">
        <x:f>IF(T19="","",I19*T19)</x:f>
        <x:v>1423439.9370051909</x:v>
      </x:c>
    </x:row>
    <x:row r="20" ht="18" customHeight="1">
      <x:c r="A20" s="24" t="str">
        <x:v>EEZ_784</x:v>
      </x:c>
      <x:c r="B20" s="24" t="str">
        <x:v>United Arab Emirates</x:v>
      </x:c>
      <x:c r="C20" s="24" t="str">
        <x:v>EEZ</x:v>
      </x:c>
      <x:c r="D20" s="30" t="n">
        <x:v>2019</x:v>
      </x:c>
      <x:c r="E20" s="24" t="str">
        <x:v>Nemipteridae</x:v>
      </x:c>
      <x:c r="F20" s="24" t="str">
        <x:v>Threadfins, whiptail breams</x:v>
      </x:c>
      <x:c r="G20" s="24" t="str">
        <x:v>Small demersals (&lt;30 cm)</x:v>
      </x:c>
      <x:c r="H20" s="24" t="str">
        <x:v>Perch-likes</x:v>
      </x:c>
      <x:c r="I20" s="31" t="n">
        <x:v>447.1605143008</x:v>
      </x:c>
      <x:c r="J20" s="31" t="n">
        <x:v>447.1605143008</x:v>
      </x:c>
      <x:c r="K20" s="31" t="n">
        <x:v>0</x:v>
      </x:c>
      <x:c r="L20" s="31" t="n">
        <x:v>420.4200000001</x:v>
      </x:c>
      <x:c r="M20" s="31" t="n">
        <x:v>26.7405143007</x:v>
      </x:c>
      <x:c r="N20" s="24" t="str">
        <x:v>nemipteridae</x:v>
      </x:c>
      <x:c r="O20" s="32" t="n">
        <x:v>3.51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Nemipteridae</x:v>
      </x:c>
      <x:c r="T20" s="32" t="n">
        <x:f>IF(O20="","",(1/'Metadata'!$B$5)^(O20-1))</x:f>
        <x:v>323.5936569296281</x:v>
      </x:c>
      <x:c r="U20" s="31" t="n">
        <x:f>IF(T20="","",I20*T20)</x:f>
        <x:v>144698.3060571291</x:v>
      </x:c>
    </x:row>
    <x:row r="21" ht="18" customHeight="1">
      <x:c r="A21" s="24" t="str">
        <x:v>EEZ_784</x:v>
      </x:c>
      <x:c r="B21" s="24" t="str">
        <x:v>United Arab Emirates</x:v>
      </x:c>
      <x:c r="C21" s="24" t="str">
        <x:v>EEZ</x:v>
      </x:c>
      <x:c r="D21" s="30" t="n">
        <x:v>2019</x:v>
      </x:c>
      <x:c r="E21" s="24" t="str">
        <x:v>Thunnus tonggol</x:v>
      </x:c>
      <x:c r="F21" s="24" t="str">
        <x:v>Longtail tuna</x:v>
      </x:c>
      <x:c r="G21" s="24" t="str">
        <x:v>Large pelagics (&gt;=90 cm)</x:v>
      </x:c>
      <x:c r="H21" s="24" t="str">
        <x:v>Tuna &amp; billfishes</x:v>
      </x:c>
      <x:c r="I21" s="31" t="n">
        <x:v>446.6556783247</x:v>
      </x:c>
      <x:c r="J21" s="31" t="n">
        <x:v>446.6556783247</x:v>
      </x:c>
      <x:c r="K21" s="31" t="n">
        <x:v>0</x:v>
      </x:c>
      <x:c r="L21" s="31" t="n">
        <x:v>446.6556783247</x:v>
      </x:c>
      <x:c r="M21" s="31" t="n">
        <x:v>0</x:v>
      </x:c>
      <x:c r="N21" s="24" t="str">
        <x:v>thunnus tonggol</x:v>
      </x:c>
      <x:c r="O21" s="32" t="n">
        <x:v>4.5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Thunnus tonggol</x:v>
      </x:c>
      <x:c r="T21" s="32" t="n">
        <x:f>IF(O21="","",(1/'Metadata'!$B$5)^(O21-1))</x:f>
        <x:v>3162.2776601683795</x:v>
      </x:c>
      <x:c r="U21" s="31" t="n">
        <x:f>IF(T21="","",I21*T21)</x:f>
        <x:v>1412449.2733535527</x:v>
      </x:c>
    </x:row>
    <x:row r="22" ht="18" customHeight="1">
      <x:c r="A22" s="24" t="str">
        <x:v>EEZ_784</x:v>
      </x:c>
      <x:c r="B22" s="24" t="str">
        <x:v>United Arab Emirates</x:v>
      </x:c>
      <x:c r="C22" s="24" t="str">
        <x:v>EEZ</x:v>
      </x:c>
      <x:c r="D22" s="30" t="n">
        <x:v>2019</x:v>
      </x:c>
      <x:c r="E22" s="24" t="str">
        <x:v>Serranidae</x:v>
      </x:c>
      <x:c r="F22" s="24" t="str">
        <x:v>Basses, groupers, hinds</x:v>
      </x:c>
      <x:c r="G22" s="24" t="str">
        <x:v>Medium reef assoc. fish (30 - 89 cm)</x:v>
      </x:c>
      <x:c r="H22" s="24" t="str">
        <x:v>Perch-likes</x:v>
      </x:c>
      <x:c r="I22" s="31" t="n">
        <x:v>408.4079999998</x:v>
      </x:c>
      <x:c r="J22" s="31" t="n">
        <x:v>408.4079999998</x:v>
      </x:c>
      <x:c r="K22" s="31" t="n">
        <x:v>0</x:v>
      </x:c>
      <x:c r="L22" s="31" t="n">
        <x:v>408.4079999998</x:v>
      </x:c>
      <x:c r="M22" s="31" t="n">
        <x:v>0</x:v>
      </x:c>
      <x:c r="N22" s="24" t="str">
        <x:v>serranidae</x:v>
      </x:c>
      <x:c r="O22" s="32" t="n">
        <x:v>3.98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Serranidae</x:v>
      </x:c>
      <x:c r="T22" s="32" t="n">
        <x:f>IF(O22="","",(1/'Metadata'!$B$5)^(O22-1))</x:f>
        <x:v>954.992586021436</x:v>
      </x:c>
      <x:c r="U22" s="31" t="n">
        <x:f>IF(T22="","",I22*T22)</x:f>
        <x:v>390026.6120716516</x:v>
      </x:c>
    </x:row>
    <x:row r="23" ht="18" customHeight="1">
      <x:c r="A23" s="24" t="str">
        <x:v>EEZ_784</x:v>
      </x:c>
      <x:c r="B23" s="24" t="str">
        <x:v>United Arab Emirates</x:v>
      </x:c>
      <x:c r="C23" s="24" t="str">
        <x:v>EEZ</x:v>
      </x:c>
      <x:c r="D23" s="30" t="n">
        <x:v>2019</x:v>
      </x:c>
      <x:c r="E23" s="24" t="str">
        <x:v>Sparidae</x:v>
      </x:c>
      <x:c r="F23" s="24" t="str">
        <x:v>Porgies, seabreams</x:v>
      </x:c>
      <x:c r="G23" s="24" t="str">
        <x:v>Medium benthopelagics (30 - 89 cm)</x:v>
      </x:c>
      <x:c r="H23" s="24" t="str">
        <x:v>Perch-likes</x:v>
      </x:c>
      <x:c r="I23" s="31" t="n">
        <x:v>347.99999999970004</x:v>
      </x:c>
      <x:c r="J23" s="31" t="n">
        <x:v>347.99999999970004</x:v>
      </x:c>
      <x:c r="K23" s="31" t="n">
        <x:v>0</x:v>
      </x:c>
      <x:c r="L23" s="31" t="n">
        <x:v>347.99999999970004</x:v>
      </x:c>
      <x:c r="M23" s="31" t="n">
        <x:v>0</x:v>
      </x:c>
      <x:c r="N23" s="24" t="str">
        <x:v>sparidae</x:v>
      </x:c>
      <x:c r="O23" s="32" t="n">
        <x:v>3.31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Sparidae</x:v>
      </x:c>
      <x:c r="T23" s="32" t="n">
        <x:f>IF(O23="","",(1/'Metadata'!$B$5)^(O23-1))</x:f>
        <x:v>204.17379446695296</x:v>
      </x:c>
      <x:c r="U23" s="31" t="n">
        <x:f>IF(T23="","",I23*T23)</x:f>
        <x:v>71052.48047443839</x:v>
      </x:c>
    </x:row>
    <x:row r="24" ht="18" customHeight="1">
      <x:c r="A24" s="24" t="str">
        <x:v>EEZ_784</x:v>
      </x:c>
      <x:c r="B24" s="24" t="str">
        <x:v>United Arab Emirates</x:v>
      </x:c>
      <x:c r="C24" s="24" t="str">
        <x:v>EEZ</x:v>
      </x:c>
      <x:c r="D24" s="30" t="n">
        <x:v>2019</x:v>
      </x:c>
      <x:c r="E24" s="24" t="str">
        <x:v>Gerreidae</x:v>
      </x:c>
      <x:c r="F24" s="24" t="str">
        <x:v>Mojarras, silverbellies</x:v>
      </x:c>
      <x:c r="G24" s="24" t="str">
        <x:v>Small benthopelagics (&lt;30 cm)</x:v>
      </x:c>
      <x:c r="H24" s="24" t="str">
        <x:v>Perch-likes</x:v>
      </x:c>
      <x:c r="I24" s="31" t="n">
        <x:v>306.3059999999</x:v>
      </x:c>
      <x:c r="J24" s="31" t="n">
        <x:v>306.3059999999</x:v>
      </x:c>
      <x:c r="K24" s="31" t="n">
        <x:v>0</x:v>
      </x:c>
      <x:c r="L24" s="31" t="n">
        <x:v>306.3059999999</x:v>
      </x:c>
      <x:c r="M24" s="31" t="n">
        <x:v>0</x:v>
      </x:c>
      <x:c r="N24" s="24" t="str">
        <x:v>gerreidae</x:v>
      </x:c>
      <x:c r="O24" s="32" t="n">
        <x:v>3.03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Gerreidae</x:v>
      </x:c>
      <x:c r="T24" s="32" t="n">
        <x:f>IF(O24="","",(1/'Metadata'!$B$5)^(O24-1))</x:f>
        <x:v>107.1519305237606</x:v>
      </x:c>
      <x:c r="U24" s="31" t="n">
        <x:f>IF(T24="","",I24*T24)</x:f>
        <x:v>32821.2792310003</x:v>
      </x:c>
    </x:row>
    <x:row r="25" ht="18" customHeight="1">
      <x:c r="A25" s="24" t="str">
        <x:v>EEZ_784</x:v>
      </x:c>
      <x:c r="B25" s="24" t="str">
        <x:v>United Arab Emirates</x:v>
      </x:c>
      <x:c r="C25" s="24" t="str">
        <x:v>EEZ</x:v>
      </x:c>
      <x:c r="D25" s="30" t="n">
        <x:v>2019</x:v>
      </x:c>
      <x:c r="E25" s="24" t="str">
        <x:v>Istiophoridae</x:v>
      </x:c>
      <x:c r="F25" s="24" t="str">
        <x:v>Billfishes</x:v>
      </x:c>
      <x:c r="G25" s="24" t="str">
        <x:v>Large pelagics (&gt;=90 cm)</x:v>
      </x:c>
      <x:c r="H25" s="24" t="str">
        <x:v>Tuna &amp; billfishes</x:v>
      </x:c>
      <x:c r="I25" s="31" t="n">
        <x:v>304.0226495995</x:v>
      </x:c>
      <x:c r="J25" s="31" t="n">
        <x:v>304.0226495995</x:v>
      </x:c>
      <x:c r="K25" s="31" t="n">
        <x:v>0</x:v>
      </x:c>
      <x:c r="L25" s="31" t="n">
        <x:v>24.997274371</x:v>
      </x:c>
      <x:c r="M25" s="31" t="n">
        <x:v>279.0253752285</x:v>
      </x:c>
      <x:c r="N25" s="24" t="str">
        <x:v>istiophoridae</x:v>
      </x:c>
      <x:c r="O25" s="32" t="n">
        <x:v>4.48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Istiophoridae</x:v>
      </x:c>
      <x:c r="T25" s="32" t="n">
        <x:f>IF(O25="","",(1/'Metadata'!$B$5)^(O25-1))</x:f>
        <x:v>3019.951720402019</x:v>
      </x:c>
      <x:c r="U25" s="31" t="n">
        <x:f>IF(T25="","",I25*T25)</x:f>
        <x:v>918133.7236991903</x:v>
      </x:c>
    </x:row>
    <x:row r="26" ht="18" customHeight="1">
      <x:c r="A26" s="24" t="str">
        <x:v>EEZ_784</x:v>
      </x:c>
      <x:c r="B26" s="24" t="str">
        <x:v>United Arab Emirates</x:v>
      </x:c>
      <x:c r="C26" s="24" t="str">
        <x:v>EEZ</x:v>
      </x:c>
      <x:c r="D26" s="30" t="n">
        <x:v>2019</x:v>
      </x:c>
      <x:c r="E26" s="24" t="str">
        <x:v>Mugilidae</x:v>
      </x:c>
      <x:c r="F26" s="24" t="str">
        <x:v>Mullets, grey mullets</x:v>
      </x:c>
      <x:c r="G26" s="24" t="str">
        <x:v>Medium reef assoc. fish (30 - 89 cm)</x:v>
      </x:c>
      <x:c r="H26" s="24" t="str">
        <x:v>Perch-likes</x:v>
      </x:c>
      <x:c r="I26" s="31" t="n">
        <x:v>300.3000000002</x:v>
      </x:c>
      <x:c r="J26" s="31" t="n">
        <x:v>300.3000000002</x:v>
      </x:c>
      <x:c r="K26" s="31" t="n">
        <x:v>0</x:v>
      </x:c>
      <x:c r="L26" s="31" t="n">
        <x:v>300.3000000002</x:v>
      </x:c>
      <x:c r="M26" s="31" t="n">
        <x:v>0</x:v>
      </x:c>
      <x:c r="N26" s="24" t="str">
        <x:v>mugilidae</x:v>
      </x:c>
      <x:c r="O26" s="32" t="n">
        <x:v>2.53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Mugilidae</x:v>
      </x:c>
      <x:c r="T26" s="32" t="n">
        <x:f>IF(O26="","",(1/'Metadata'!$B$5)^(O26-1))</x:f>
        <x:v>33.88441561392024</x:v>
      </x:c>
      <x:c r="U26" s="31" t="n">
        <x:f>IF(T26="","",I26*T26)</x:f>
        <x:v>10175.490008867024</x:v>
      </x:c>
    </x:row>
    <x:row r="27" ht="18" customHeight="1">
      <x:c r="A27" s="24" t="str">
        <x:v>EEZ_784</x:v>
      </x:c>
      <x:c r="B27" s="24" t="str">
        <x:v>United Arab Emirates</x:v>
      </x:c>
      <x:c r="C27" s="24" t="str">
        <x:v>EEZ</x:v>
      </x:c>
      <x:c r="D27" s="30" t="n">
        <x:v>2019</x:v>
      </x:c>
      <x:c r="E27" s="24" t="str">
        <x:v>Rastrelliger kanagurta</x:v>
      </x:c>
      <x:c r="F27" s="24" t="str">
        <x:v>Indian mackerel</x:v>
      </x:c>
      <x:c r="G27" s="24" t="str">
        <x:v>Medium pelagics (30 - 89 cm)</x:v>
      </x:c>
      <x:c r="H27" s="24" t="str">
        <x:v>Perch-likes</x:v>
      </x:c>
      <x:c r="I27" s="31" t="n">
        <x:v>240.23999999999998</x:v>
      </x:c>
      <x:c r="J27" s="31" t="n">
        <x:v>240.23999999999998</x:v>
      </x:c>
      <x:c r="K27" s="31" t="n">
        <x:v>0</x:v>
      </x:c>
      <x:c r="L27" s="31" t="n">
        <x:v>240.23999999999998</x:v>
      </x:c>
      <x:c r="M27" s="31" t="n">
        <x:v>0</x:v>
      </x:c>
      <x:c r="N27" s="24" t="str">
        <x:v>rastrelliger kanagurta</x:v>
      </x:c>
      <x:c r="O27" s="32" t="n">
        <x:v>3.19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Rastrelliger kanagurta</x:v>
      </x:c>
      <x:c r="T27" s="32" t="n">
        <x:f>IF(O27="","",(1/'Metadata'!$B$5)^(O27-1))</x:f>
        <x:v>154.88166189124811</x:v>
      </x:c>
      <x:c r="U27" s="31" t="n">
        <x:f>IF(T27="","",I27*T27)</x:f>
        <x:v>37208.770452753444</x:v>
      </x:c>
    </x:row>
    <x:row r="28" ht="18" customHeight="1">
      <x:c r="A28" s="24" t="str">
        <x:v>EEZ_784</x:v>
      </x:c>
      <x:c r="B28" s="24" t="str">
        <x:v>United Arab Emirates</x:v>
      </x:c>
      <x:c r="C28" s="24" t="str">
        <x:v>EEZ</x:v>
      </x:c>
      <x:c r="D28" s="30" t="n">
        <x:v>2019</x:v>
      </x:c>
      <x:c r="E28" s="24" t="str">
        <x:v>Elasmobranchii</x:v>
      </x:c>
      <x:c r="F28" s="24" t="str">
        <x:v>Sharks, rays, skates</x:v>
      </x:c>
      <x:c r="G28" s="24" t="str">
        <x:v>Large sharks (&gt;=90 cm)</x:v>
      </x:c>
      <x:c r="H28" s="24" t="str">
        <x:v>Sharks &amp; rays</x:v>
      </x:c>
      <x:c r="I28" s="31" t="n">
        <x:v>240.00000000000003</x:v>
      </x:c>
      <x:c r="J28" s="31" t="n">
        <x:v>240.00000000000003</x:v>
      </x:c>
      <x:c r="K28" s="31" t="n">
        <x:v>0</x:v>
      </x:c>
      <x:c r="L28" s="31" t="n">
        <x:v>240.00000000000003</x:v>
      </x:c>
      <x:c r="M28" s="31" t="n">
        <x:v>0</x:v>
      </x:c>
      <x:c r="N28" s="24" t="str">
        <x:v>elasmobranchii</x:v>
      </x:c>
      <x:c r="O28" s="32" t="n">
        <x:v>4.05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Elasmobranchii</x:v>
      </x:c>
      <x:c r="T28" s="32" t="n">
        <x:f>IF(O28="","",(1/'Metadata'!$B$5)^(O28-1))</x:f>
        <x:v>1122.018454301963</x:v>
      </x:c>
      <x:c r="U28" s="31" t="n">
        <x:f>IF(T28="","",I28*T28)</x:f>
        <x:v>269284.42903247115</x:v>
      </x:c>
    </x:row>
    <x:row r="29" ht="18" customHeight="1">
      <x:c r="A29" s="24" t="str">
        <x:v>EEZ_784</x:v>
      </x:c>
      <x:c r="B29" s="24" t="str">
        <x:v>United Arab Emirates</x:v>
      </x:c>
      <x:c r="C29" s="24" t="str">
        <x:v>EEZ</x:v>
      </x:c>
      <x:c r="D29" s="30" t="n">
        <x:v>2019</x:v>
      </x:c>
      <x:c r="E29" s="24" t="str">
        <x:v>Mullidae</x:v>
      </x:c>
      <x:c r="F29" s="24" t="str">
        <x:v>Goatfishes</x:v>
      </x:c>
      <x:c r="G29" s="24" t="str">
        <x:v>Medium reef assoc. fish (30 - 89 cm)</x:v>
      </x:c>
      <x:c r="H29" s="24" t="str">
        <x:v>Perch-likes</x:v>
      </x:c>
      <x:c r="I29" s="31" t="n">
        <x:v>239.9999999998</x:v>
      </x:c>
      <x:c r="J29" s="31" t="n">
        <x:v>239.9999999998</x:v>
      </x:c>
      <x:c r="K29" s="31" t="n">
        <x:v>0</x:v>
      </x:c>
      <x:c r="L29" s="31" t="n">
        <x:v>239.9999999998</x:v>
      </x:c>
      <x:c r="M29" s="31" t="n">
        <x:v>0</x:v>
      </x:c>
      <x:c r="N29" s="24" t="str">
        <x:v>mullidae</x:v>
      </x:c>
      <x:c r="O29" s="32" t="n">
        <x:v>3.46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Mullidae</x:v>
      </x:c>
      <x:c r="T29" s="32" t="n">
        <x:f>IF(O29="","",(1/'Metadata'!$B$5)^(O29-1))</x:f>
        <x:v>288.40315031266056</x:v>
      </x:c>
      <x:c r="U29" s="31" t="n">
        <x:f>IF(T29="","",I29*T29)</x:f>
        <x:v>69216.75607498085</x:v>
      </x:c>
    </x:row>
    <x:row r="30" ht="18" customHeight="1">
      <x:c r="A30" s="24" t="str">
        <x:v>EEZ_784</x:v>
      </x:c>
      <x:c r="B30" s="24" t="str">
        <x:v>United Arab Emirates</x:v>
      </x:c>
      <x:c r="C30" s="24" t="str">
        <x:v>EEZ</x:v>
      </x:c>
      <x:c r="D30" s="30" t="n">
        <x:v>2019</x:v>
      </x:c>
      <x:c r="E30" s="24" t="str">
        <x:v>Decapoda</x:v>
      </x:c>
      <x:c r="F30" s="24" t="str">
        <x:v>Crabs, lobsters, shrimps</x:v>
      </x:c>
      <x:c r="G30" s="24" t="str">
        <x:v>Lobsters, crabs</x:v>
      </x:c>
      <x:c r="H30" s="24" t="str">
        <x:v>Crustaceans</x:v>
      </x:c>
      <x:c r="I30" s="31" t="n">
        <x:v>180</x:v>
      </x:c>
      <x:c r="J30" s="31" t="n">
        <x:v>180</x:v>
      </x:c>
      <x:c r="K30" s="31" t="n">
        <x:v>0</x:v>
      </x:c>
      <x:c r="L30" s="31" t="n">
        <x:v>180</x:v>
      </x:c>
      <x:c r="M30" s="31" t="n">
        <x:v>0</x:v>
      </x:c>
      <x:c r="N30" s="24" t="str">
        <x:v>decapoda</x:v>
      </x:c>
      <x:c r="O30" s="32" t="n">
        <x:v>3.43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Decapoda</x:v>
      </x:c>
      <x:c r="T30" s="32" t="n">
        <x:f>IF(O30="","",(1/'Metadata'!$B$5)^(O30-1))</x:f>
        <x:v>269.1534803926917</x:v>
      </x:c>
      <x:c r="U30" s="31" t="n">
        <x:f>IF(T30="","",I30*T30)</x:f>
        <x:v>48447.6264706845</x:v>
      </x:c>
    </x:row>
    <x:row r="31" ht="18" customHeight="1">
      <x:c r="A31" s="24" t="str">
        <x:v>EEZ_784</x:v>
      </x:c>
      <x:c r="B31" s="24" t="str">
        <x:v>United Arab Emirates</x:v>
      </x:c>
      <x:c r="C31" s="24" t="str">
        <x:v>EEZ</x:v>
      </x:c>
      <x:c r="D31" s="30" t="n">
        <x:v>2019</x:v>
      </x:c>
      <x:c r="E31" s="24" t="str">
        <x:v>Acanthopagrus bifasciatus</x:v>
      </x:c>
      <x:c r="F31" s="24" t="str">
        <x:v>Twobar seabream</x:v>
      </x:c>
      <x:c r="G31" s="24" t="str">
        <x:v>Medium reef assoc. fish (30 - 89 cm)</x:v>
      </x:c>
      <x:c r="H31" s="24" t="str">
        <x:v>Perch-likes</x:v>
      </x:c>
      <x:c r="I31" s="31" t="n">
        <x:v>179.9999999999</x:v>
      </x:c>
      <x:c r="J31" s="31" t="n">
        <x:v>179.9999999999</x:v>
      </x:c>
      <x:c r="K31" s="31" t="n">
        <x:v>0</x:v>
      </x:c>
      <x:c r="L31" s="31" t="n">
        <x:v>179.9999999999</x:v>
      </x:c>
      <x:c r="M31" s="31" t="n">
        <x:v>0</x:v>
      </x:c>
      <x:c r="N31" s="24" t="str">
        <x:v>acanthopagrus bifasciatus</x:v>
      </x:c>
      <x:c r="O31" s="32" t="n">
        <x:v>3.39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Acanthopagrus bifasciatus</x:v>
      </x:c>
      <x:c r="T31" s="32" t="n">
        <x:f>IF(O31="","",(1/'Metadata'!$B$5)^(O31-1))</x:f>
        <x:v>245.4708915685031</x:v>
      </x:c>
      <x:c r="U31" s="31" t="n">
        <x:f>IF(T31="","",I31*T31)</x:f>
        <x:v>44184.76048230602</x:v>
      </x:c>
    </x:row>
    <x:row r="32" ht="18" customHeight="1">
      <x:c r="A32" s="24" t="str">
        <x:v>EEZ_784</x:v>
      </x:c>
      <x:c r="B32" s="24" t="str">
        <x:v>United Arab Emirates</x:v>
      </x:c>
      <x:c r="C32" s="24" t="str">
        <x:v>EEZ</x:v>
      </x:c>
      <x:c r="D32" s="30" t="n">
        <x:v>2019</x:v>
      </x:c>
      <x:c r="E32" s="24" t="str">
        <x:v>Sepia pharaonis</x:v>
      </x:c>
      <x:c r="F32" s="24" t="str">
        <x:v>Pharaoh cuttlefish</x:v>
      </x:c>
      <x:c r="G32" s="24" t="str">
        <x:v>Cephalopods</x:v>
      </x:c>
      <x:c r="H32" s="24" t="str">
        <x:v>Other fishes &amp; inverts</x:v>
      </x:c>
      <x:c r="I32" s="31" t="n">
        <x:v>90</x:v>
      </x:c>
      <x:c r="J32" s="31" t="n">
        <x:v>90</x:v>
      </x:c>
      <x:c r="K32" s="31" t="n">
        <x:v>0</x:v>
      </x:c>
      <x:c r="L32" s="31" t="n">
        <x:v>90</x:v>
      </x:c>
      <x:c r="M32" s="31" t="n">
        <x:v>0</x:v>
      </x:c>
      <x:c r="N32" s="24" t="str">
        <x:v>sepia pharaonis</x:v>
      </x:c>
      <x:c r="O32" s="32" t="n">
        <x:v>3.8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Sepia pharaonis</x:v>
      </x:c>
      <x:c r="T32" s="32" t="n">
        <x:f>IF(O32="","",(1/'Metadata'!$B$5)^(O32-1))</x:f>
        <x:v>630.957344480193</x:v>
      </x:c>
      <x:c r="U32" s="31" t="n">
        <x:f>IF(T32="","",I32*T32)</x:f>
        <x:v>56786.16100321737</x:v>
      </x:c>
    </x:row>
    <x:row r="33" ht="18" customHeight="1">
      <x:c r="A33" s="24" t="str">
        <x:v>EEZ_784</x:v>
      </x:c>
      <x:c r="B33" s="24" t="str">
        <x:v>United Arab Emirates</x:v>
      </x:c>
      <x:c r="C33" s="24" t="str">
        <x:v>EEZ</x:v>
      </x:c>
      <x:c r="D33" s="30" t="n">
        <x:v>2019</x:v>
      </x:c>
      <x:c r="E33" s="24" t="str">
        <x:v>Terapon</x:v>
      </x:c>
      <x:c r="F33" s="24" t="str">
        <x:v>Terapons</x:v>
      </x:c>
      <x:c r="G33" s="24" t="str">
        <x:v>Medium demersals (30 - 89 cm)</x:v>
      </x:c>
      <x:c r="H33" s="24" t="str">
        <x:v>Perch-likes</x:v>
      </x:c>
      <x:c r="I33" s="31" t="n">
        <x:v>78</x:v>
      </x:c>
      <x:c r="J33" s="31" t="n">
        <x:v>78</x:v>
      </x:c>
      <x:c r="K33" s="31" t="n">
        <x:v>0</x:v>
      </x:c>
      <x:c r="L33" s="31" t="n">
        <x:v>78</x:v>
      </x:c>
      <x:c r="M33" s="31" t="n">
        <x:v>0</x:v>
      </x:c>
      <x:c r="N33" s="24" t="str">
        <x:v>terapon</x:v>
      </x:c>
      <x:c r="O33" s="32" t="n">
        <x:v>3.5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Terapon</x:v>
      </x:c>
      <x:c r="T33" s="32" t="n">
        <x:f>IF(O33="","",(1/'Metadata'!$B$5)^(O33-1))</x:f>
        <x:v>316.22776601683796</x:v>
      </x:c>
      <x:c r="U33" s="31" t="n">
        <x:f>IF(T33="","",I33*T33)</x:f>
        <x:v>24665.76574931336</x:v>
      </x:c>
    </x:row>
    <x:row r="34" ht="18" customHeight="1">
      <x:c r="A34" s="24" t="str">
        <x:v>EEZ_784</x:v>
      </x:c>
      <x:c r="B34" s="24" t="str">
        <x:v>United Arab Emirates</x:v>
      </x:c>
      <x:c r="C34" s="24" t="str">
        <x:v>EEZ</x:v>
      </x:c>
      <x:c r="D34" s="30" t="n">
        <x:v>2019</x:v>
      </x:c>
      <x:c r="E34" s="24" t="str">
        <x:v>Pomacanthus maculosus</x:v>
      </x:c>
      <x:c r="F34" s="24" t="str">
        <x:v>Yellowbar angelfish</x:v>
      </x:c>
      <x:c r="G34" s="24" t="str">
        <x:v>Medium reef assoc. fish (30 - 89 cm)</x:v>
      </x:c>
      <x:c r="H34" s="24" t="str">
        <x:v>Perch-likes</x:v>
      </x:c>
      <x:c r="I34" s="31" t="n">
        <x:v>66.6304179056</x:v>
      </x:c>
      <x:c r="J34" s="31" t="n">
        <x:v>41.9999999999</x:v>
      </x:c>
      <x:c r="K34" s="31" t="n">
        <x:v>24.6304179057</x:v>
      </x:c>
      <x:c r="L34" s="31" t="n">
        <x:v>41.9999999999</x:v>
      </x:c>
      <x:c r="M34" s="31" t="n">
        <x:v>24.6304179057</x:v>
      </x:c>
      <x:c r="N34" s="24" t="str">
        <x:v>pomacanthus maculosus</x:v>
      </x:c>
      <x:c r="O34" s="32" t="n">
        <x:v>2.67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Pomacanthus maculosus</x:v>
      </x:c>
      <x:c r="T34" s="32" t="n">
        <x:f>IF(O34="","",(1/'Metadata'!$B$5)^(O34-1))</x:f>
        <x:v>46.77351412871981</x:v>
      </x:c>
      <x:c r="U34" s="31" t="n">
        <x:f>IF(T34="","",I34*T34)</x:f>
        <x:v>3116.538793310087</x:v>
      </x:c>
    </x:row>
    <x:row r="35" ht="18" customHeight="1">
      <x:c r="A35" s="24" t="str">
        <x:v>EEZ_784</x:v>
      </x:c>
      <x:c r="B35" s="24" t="str">
        <x:v>United Arab Emirates</x:v>
      </x:c>
      <x:c r="C35" s="24" t="str">
        <x:v>EEZ</x:v>
      </x:c>
      <x:c r="D35" s="30" t="n">
        <x:v>2019</x:v>
      </x:c>
      <x:c r="E35" s="24" t="str">
        <x:v>Rachycentron canadum</x:v>
      </x:c>
      <x:c r="F35" s="24" t="str">
        <x:v>Cobia</x:v>
      </x:c>
      <x:c r="G35" s="24" t="str">
        <x:v>Large pelagics (&gt;=90 cm)</x:v>
      </x:c>
      <x:c r="H35" s="24" t="str">
        <x:v>Perch-likes</x:v>
      </x:c>
      <x:c r="I35" s="31" t="n">
        <x:v>64.1440799998</x:v>
      </x:c>
      <x:c r="J35" s="31" t="n">
        <x:v>64.1440799998</x:v>
      </x:c>
      <x:c r="K35" s="31" t="n">
        <x:v>0</x:v>
      </x:c>
      <x:c r="L35" s="31" t="n">
        <x:v>64.1440799998</x:v>
      </x:c>
      <x:c r="M35" s="31" t="n">
        <x:v>0</x:v>
      </x:c>
      <x:c r="N35" s="24" t="str">
        <x:v>rachycentron canadum</x:v>
      </x:c>
      <x:c r="O35" s="32" t="n">
        <x:v>3.96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Rachycentron canadum</x:v>
      </x:c>
      <x:c r="T35" s="32" t="n">
        <x:f>IF(O35="","",(1/'Metadata'!$B$5)^(O35-1))</x:f>
        <x:v>912.0108393559096</x:v>
      </x:c>
      <x:c r="U35" s="31" t="n">
        <x:f>IF(T35="","",I35*T35)</x:f>
        <x:v>58500.09624033021</x:v>
      </x:c>
    </x:row>
    <x:row r="36" ht="18" customHeight="1">
      <x:c r="A36" s="24" t="str">
        <x:v>EEZ_784</x:v>
      </x:c>
      <x:c r="B36" s="24" t="str">
        <x:v>United Arab Emirates</x:v>
      </x:c>
      <x:c r="C36" s="24" t="str">
        <x:v>EEZ</x:v>
      </x:c>
      <x:c r="D36" s="30" t="n">
        <x:v>2019</x:v>
      </x:c>
      <x:c r="E36" s="24" t="str">
        <x:v>Seriolina nigrofasciata</x:v>
      </x:c>
      <x:c r="F36" s="24" t="str">
        <x:v>Blackbanded trevally</x:v>
      </x:c>
      <x:c r="G36" s="24" t="str">
        <x:v>Medium reef assoc. fish (30 - 89 cm)</x:v>
      </x:c>
      <x:c r="H36" s="24" t="str">
        <x:v>Perch-likes</x:v>
      </x:c>
      <x:c r="I36" s="31" t="n">
        <x:v>36.0000000002</x:v>
      </x:c>
      <x:c r="J36" s="31" t="n">
        <x:v>36.0000000002</x:v>
      </x:c>
      <x:c r="K36" s="31" t="n">
        <x:v>0</x:v>
      </x:c>
      <x:c r="L36" s="31" t="n">
        <x:v>36.0000000002</x:v>
      </x:c>
      <x:c r="M36" s="31" t="n">
        <x:v>0</x:v>
      </x:c>
      <x:c r="N36" s="24" t="str">
        <x:v>seriolina nigrofasciata</x:v>
      </x:c>
      <x:c r="O36" s="32" t="n">
        <x:v>4.17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Seriolina nigrofasciata</x:v>
      </x:c>
      <x:c r="T36" s="32" t="n">
        <x:f>IF(O36="","",(1/'Metadata'!$B$5)^(O36-1))</x:f>
        <x:v>1479.1083881682073</x:v>
      </x:c>
      <x:c r="U36" s="31" t="n">
        <x:f>IF(T36="","",I36*T36)</x:f>
        <x:v>53247.901974351276</x:v>
      </x:c>
    </x:row>
    <x:row r="37" ht="18" customHeight="1">
      <x:c r="A37" s="24" t="str">
        <x:v>EEZ_784</x:v>
      </x:c>
      <x:c r="B37" s="24" t="str">
        <x:v>United Arab Emirates</x:v>
      </x:c>
      <x:c r="C37" s="24" t="str">
        <x:v>EEZ</x:v>
      </x:c>
      <x:c r="D37" s="30" t="n">
        <x:v>2019</x:v>
      </x:c>
      <x:c r="E37" s="24" t="str">
        <x:v>Chanos chanos</x:v>
      </x:c>
      <x:c r="F37" s="24" t="str">
        <x:v>Milkfish</x:v>
      </x:c>
      <x:c r="G37" s="24" t="str">
        <x:v>Large benthopelagics (&gt;=90 cm)</x:v>
      </x:c>
      <x:c r="H37" s="24" t="str">
        <x:v>Other fishes &amp; inverts</x:v>
      </x:c>
      <x:c r="I37" s="31" t="n">
        <x:v>30.03</x:v>
      </x:c>
      <x:c r="J37" s="31" t="n">
        <x:v>30.03</x:v>
      </x:c>
      <x:c r="K37" s="31" t="n">
        <x:v>0</x:v>
      </x:c>
      <x:c r="L37" s="31" t="n">
        <x:v>30.03</x:v>
      </x:c>
      <x:c r="M37" s="31" t="n">
        <x:v>0</x:v>
      </x:c>
      <x:c r="N37" s="24" t="str">
        <x:v>chanos chanos</x:v>
      </x:c>
      <x:c r="O37" s="32" t="n">
        <x:v>2.03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Chanos chanos</x:v>
      </x:c>
      <x:c r="T37" s="32" t="n">
        <x:f>IF(O37="","",(1/'Metadata'!$B$5)^(O37-1))</x:f>
        <x:v>10.71519305237606</x:v>
      </x:c>
      <x:c r="U37" s="31" t="n">
        <x:f>IF(T37="","",I37*T37)</x:f>
        <x:v>321.7772473628531</x:v>
      </x:c>
    </x:row>
    <x:row r="38" ht="18" customHeight="1">
      <x:c r="A38" s="24" t="str">
        <x:v>EEZ_784</x:v>
      </x:c>
      <x:c r="B38" s="24" t="str">
        <x:v>United Arab Emirates</x:v>
      </x:c>
      <x:c r="C38" s="24" t="str">
        <x:v>EEZ</x:v>
      </x:c>
      <x:c r="D38" s="30" t="n">
        <x:v>2019</x:v>
      </x:c>
      <x:c r="E38" s="24" t="str">
        <x:v>Lethrinus borbonicus</x:v>
      </x:c>
      <x:c r="F38" s="24" t="str">
        <x:v>Snubnose emperor</x:v>
      </x:c>
      <x:c r="G38" s="24" t="str">
        <x:v>Medium reef assoc. fish (30 - 89 cm)</x:v>
      </x:c>
      <x:c r="H38" s="24" t="str">
        <x:v>Perch-likes</x:v>
      </x:c>
      <x:c r="I38" s="31" t="n">
        <x:v>24.6304179057</x:v>
      </x:c>
      <x:c r="J38" s="31" t="n">
        <x:v>0</x:v>
      </x:c>
      <x:c r="K38" s="31" t="n">
        <x:v>24.6304179057</x:v>
      </x:c>
      <x:c r="L38" s="31" t="n">
        <x:v>0</x:v>
      </x:c>
      <x:c r="M38" s="31" t="n">
        <x:v>24.6304179057</x:v>
      </x:c>
      <x:c r="N38" s="24" t="str">
        <x:v>lethrinus borbonicus</x:v>
      </x:c>
      <x:c r="O38" s="32" t="n">
        <x:v>3.47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Lethrinus borbonicus</x:v>
      </x:c>
      <x:c r="T38" s="32" t="n">
        <x:f>IF(O38="","",(1/'Metadata'!$B$5)^(O38-1))</x:f>
        <x:v>295.1209226666387</x:v>
      </x:c>
      <x:c r="U38" s="31" t="n">
        <x:f>IF(T38="","",I38*T38)</x:f>
        <x:v>7268.951657995083</x:v>
      </x:c>
    </x:row>
    <x:row r="39" ht="18" customHeight="1">
      <x:c r="A39" s="24" t="str">
        <x:v>EEZ_784</x:v>
      </x:c>
      <x:c r="B39" s="24" t="str">
        <x:v>United Arab Emirates</x:v>
      </x:c>
      <x:c r="C39" s="24" t="str">
        <x:v>EEZ</x:v>
      </x:c>
      <x:c r="D39" s="30" t="n">
        <x:v>2019</x:v>
      </x:c>
      <x:c r="E39" s="24" t="str">
        <x:v>Lethrinus microdon</x:v>
      </x:c>
      <x:c r="F39" s="24" t="str">
        <x:v>Smalltooth emperor</x:v>
      </x:c>
      <x:c r="G39" s="24" t="str">
        <x:v>Medium reef assoc. fish (30 - 89 cm)</x:v>
      </x:c>
      <x:c r="H39" s="24" t="str">
        <x:v>Perch-likes</x:v>
      </x:c>
      <x:c r="I39" s="31" t="n">
        <x:v>24.6304179057</x:v>
      </x:c>
      <x:c r="J39" s="31" t="n">
        <x:v>0</x:v>
      </x:c>
      <x:c r="K39" s="31" t="n">
        <x:v>24.6304179057</x:v>
      </x:c>
      <x:c r="L39" s="31" t="n">
        <x:v>0</x:v>
      </x:c>
      <x:c r="M39" s="31" t="n">
        <x:v>24.6304179057</x:v>
      </x:c>
      <x:c r="N39" s="24" t="str">
        <x:v>lethrinus microdon</x:v>
      </x:c>
      <x:c r="O39" s="32" t="n">
        <x:v>3.79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Lethrinus microdon</x:v>
      </x:c>
      <x:c r="T39" s="32" t="n">
        <x:f>IF(O39="","",(1/'Metadata'!$B$5)^(O39-1))</x:f>
        <x:v>616.5950018614822</x:v>
      </x:c>
      <x:c r="U39" s="31" t="n">
        <x:f>IF(T39="","",I39*T39)</x:f>
        <x:v>15186.992574414175</x:v>
      </x:c>
    </x:row>
    <x:row r="40" ht="18" customHeight="1">
      <x:c r="A40" s="24" t="str">
        <x:v>EEZ_784</x:v>
      </x:c>
      <x:c r="B40" s="24" t="str">
        <x:v>United Arab Emirates</x:v>
      </x:c>
      <x:c r="C40" s="24" t="str">
        <x:v>EEZ</x:v>
      </x:c>
      <x:c r="D40" s="30" t="n">
        <x:v>2019</x:v>
      </x:c>
      <x:c r="E40" s="24" t="str">
        <x:v>Scolopsis taeniata</x:v>
      </x:c>
      <x:c r="F40" s="24" t="str">
        <x:v>Black-streaked monocle bream</x:v>
      </x:c>
      <x:c r="G40" s="24" t="str">
        <x:v>Small reef assoc. fish (&lt;30 cm)</x:v>
      </x:c>
      <x:c r="H40" s="24" t="str">
        <x:v>Perch-likes</x:v>
      </x:c>
      <x:c r="I40" s="31" t="n">
        <x:v>24.630417905599998</x:v>
      </x:c>
      <x:c r="J40" s="31" t="n">
        <x:v>0</x:v>
      </x:c>
      <x:c r="K40" s="31" t="n">
        <x:v>24.630417905599998</x:v>
      </x:c>
      <x:c r="L40" s="31" t="n">
        <x:v>0</x:v>
      </x:c>
      <x:c r="M40" s="31" t="n">
        <x:v>24.630417905599998</x:v>
      </x:c>
      <x:c r="N40" s="24" t="str">
        <x:v>scolopsis taeniata</x:v>
      </x:c>
      <x:c r="O40" s="32" t="n">
        <x:v>3.51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Scolopsis taeniata</x:v>
      </x:c>
      <x:c r="T40" s="32" t="n">
        <x:f>IF(O40="","",(1/'Metadata'!$B$5)^(O40-1))</x:f>
        <x:v>323.5936569296281</x:v>
      </x:c>
      <x:c r="U40" s="31" t="n">
        <x:f>IF(T40="","",I40*T40)</x:f>
        <x:v>7970.247001778094</x:v>
      </x:c>
    </x:row>
    <x:row r="41" ht="18" customHeight="1">
      <x:c r="A41" s="24" t="str">
        <x:v>EEZ_784</x:v>
      </x:c>
      <x:c r="B41" s="24" t="str">
        <x:v>United Arab Emirates</x:v>
      </x:c>
      <x:c r="C41" s="24" t="str">
        <x:v>EEZ</x:v>
      </x:c>
      <x:c r="D41" s="30" t="n">
        <x:v>2019</x:v>
      </x:c>
      <x:c r="E41" s="24" t="str">
        <x:v>Nematalosa nasus</x:v>
      </x:c>
      <x:c r="F41" s="24" t="str">
        <x:v>Bloch's gizzard shad</x:v>
      </x:c>
      <x:c r="G41" s="24" t="str">
        <x:v>Small pelagics (&lt;30 cm)</x:v>
      </x:c>
      <x:c r="H41" s="24" t="str">
        <x:v>Herring-likes</x:v>
      </x:c>
      <x:c r="I41" s="31" t="n">
        <x:v>24</x:v>
      </x:c>
      <x:c r="J41" s="31" t="n">
        <x:v>24</x:v>
      </x:c>
      <x:c r="K41" s="31" t="n">
        <x:v>0</x:v>
      </x:c>
      <x:c r="L41" s="31" t="n">
        <x:v>24</x:v>
      </x:c>
      <x:c r="M41" s="31" t="n">
        <x:v>0</x:v>
      </x:c>
      <x:c r="N41" s="24" t="str">
        <x:v>nematalosa nasus</x:v>
      </x:c>
      <x:c r="O41" s="32" t="n">
        <x:v>2.67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Nematalosa nasus</x:v>
      </x:c>
      <x:c r="T41" s="32" t="n">
        <x:f>IF(O41="","",(1/'Metadata'!$B$5)^(O41-1))</x:f>
        <x:v>46.77351412871981</x:v>
      </x:c>
      <x:c r="U41" s="31" t="n">
        <x:f>IF(T41="","",I41*T41)</x:f>
        <x:v>1122.5643390892756</x:v>
      </x:c>
    </x:row>
    <x:row r="42" ht="18" customHeight="1">
      <x:c r="A42" s="24" t="str">
        <x:v>EEZ_784</x:v>
      </x:c>
      <x:c r="B42" s="24" t="str">
        <x:v>United Arab Emirates</x:v>
      </x:c>
      <x:c r="C42" s="24" t="str">
        <x:v>EEZ</x:v>
      </x:c>
      <x:c r="D42" s="30" t="n">
        <x:v>2019</x:v>
      </x:c>
      <x:c r="E42" s="24" t="str">
        <x:v>Ablennes hians</x:v>
      </x:c>
      <x:c r="F42" s="24" t="str">
        <x:v>Flat needlefish</x:v>
      </x:c>
      <x:c r="G42" s="24" t="str">
        <x:v>Large pelagics (&gt;=90 cm)</x:v>
      </x:c>
      <x:c r="H42" s="24" t="str">
        <x:v>Other fishes &amp; inverts</x:v>
      </x:c>
      <x:c r="I42" s="31" t="n">
        <x:v>6.0060000001</x:v>
      </x:c>
      <x:c r="J42" s="31" t="n">
        <x:v>6.0060000001</x:v>
      </x:c>
      <x:c r="K42" s="31" t="n">
        <x:v>0</x:v>
      </x:c>
      <x:c r="L42" s="31" t="n">
        <x:v>6.0060000001</x:v>
      </x:c>
      <x:c r="M42" s="31" t="n">
        <x:v>0</x:v>
      </x:c>
      <x:c r="N42" s="24" t="str">
        <x:v>ablennes hians</x:v>
      </x:c>
      <x:c r="O42" s="32" t="n">
        <x:v>4.5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Ablennes hians</x:v>
      </x:c>
      <x:c r="T42" s="32" t="n">
        <x:f>IF(O42="","",(1/'Metadata'!$B$5)^(O42-1))</x:f>
        <x:v>3162.2776601683795</x:v>
      </x:c>
      <x:c r="U42" s="31" t="n">
        <x:f>IF(T42="","",I42*T42)</x:f>
        <x:v>18992.639627287517</x:v>
      </x:c>
    </x:row>
    <x:row r="43" ht="18" customHeight="1">
      <x:c r="A43" s="24" t="str">
        <x:v>EEZ_784</x:v>
      </x:c>
      <x:c r="B43" s="24" t="str">
        <x:v>United Arab Emirates</x:v>
      </x:c>
      <x:c r="C43" s="24" t="str">
        <x:v>EEZ</x:v>
      </x:c>
      <x:c r="D43" s="30" t="n">
        <x:v>2019</x:v>
      </x:c>
      <x:c r="E43" s="24" t="str">
        <x:v>Hemiramphidae</x:v>
      </x:c>
      <x:c r="F43" s="24" t="str">
        <x:v>Halfbeaks, garfishes</x:v>
      </x:c>
      <x:c r="G43" s="24" t="str">
        <x:v>Medium pelagics (30 - 89 cm)</x:v>
      </x:c>
      <x:c r="H43" s="24" t="str">
        <x:v>Other fishes &amp; inverts</x:v>
      </x:c>
      <x:c r="I43" s="31" t="n">
        <x:v>3</x:v>
      </x:c>
      <x:c r="J43" s="31" t="n">
        <x:v>3</x:v>
      </x:c>
      <x:c r="K43" s="31" t="n">
        <x:v>0</x:v>
      </x:c>
      <x:c r="L43" s="31" t="n">
        <x:v>3</x:v>
      </x:c>
      <x:c r="M43" s="31" t="n">
        <x:v>0</x:v>
      </x:c>
      <x:c r="N43" s="24" t="str">
        <x:v>hemiramphidae</x:v>
      </x:c>
      <x:c r="O43" s="32" t="n">
        <x:v>2.82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Hemiramphidae</x:v>
      </x:c>
      <x:c r="T43" s="32" t="n">
        <x:f>IF(O43="","",(1/'Metadata'!$B$5)^(O43-1))</x:f>
        <x:v>66.06934480075958</x:v>
      </x:c>
      <x:c r="U43" s="31" t="n">
        <x:f>IF(T43="","",I43*T43)</x:f>
        <x:v>198.20803440227874</x:v>
      </x:c>
    </x:row>
  </x:sheetData>
  <x:conditionalFormatting sqref="R2:R4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c905f26bc93483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1</x:v>
      </x:c>
      <x:c r="C2" s="33" t="n">
        <x:v>1</x:v>
      </x:c>
      <x:c r="D2" s="31" t="n">
        <x:v>180</x:v>
      </x:c>
      <x:c r="E2" s="31" t="n">
        <x:v>180</x:v>
      </x:c>
      <x:c r="F2" s="32" t="n">
        <x:v>0</x:v>
      </x:c>
      <x:c r="G2" s="34" t="n">
        <x:v>1</x:v>
      </x:c>
      <x:c r="H2" s="32" t="n">
        <x:f>IF(E2=0,"",I2/E2)</x:f>
        <x:v>269.1534803926917</x:v>
      </x:c>
      <x:c r="I2" s="31" t="n">
        <x:f>IF(C2=0,"",SUMIF('Species'!$H$2:$H$43,A2,'Species'!$U$2:$U$43))</x:f>
        <x:v>48447.6264706845</x:v>
      </x:c>
      <x:c r="J2" s="32" t="n">
        <x:v>3.4299999999999997</x:v>
      </x:c>
      <x:c r="K2" s="32" t="n">
        <x:f>IF(J2="","",(1/'Metadata'!$B$5)^(J2-1))</x:f>
        <x:v>269.1534803926914</x:v>
      </x:c>
      <x:c r="L2" s="31" t="n">
        <x:f>IF(E2=0,"",E2*K2)</x:f>
        <x:v>48447.62647068445</x:v>
      </x:c>
      <x:c r="M2" s="31" t="n">
        <x:f>IF(E2=0,"",I2-L2)</x:f>
        <x:v>5.093170329928398e-11</x:v>
      </x:c>
      <x:c r="N2" s="32" t="n">
        <x:f>IF(L2=0,"",I2/L2)</x:f>
        <x:v>1.000000000000001</x:v>
      </x:c>
      <x:c r="O2" s="34" t="n">
        <x:f>IF(L2=0,"",M2/L2)</x:f>
        <x:v>1.0512734474227058e-15</x:v>
      </x:c>
    </x:row>
    <x:row r="3" ht="18" customHeight="1">
      <x:c r="A3" s="24" t="str">
        <x:v>Herring-likes</x:v>
      </x:c>
      <x:c r="B3" s="33" t="n">
        <x:v>2</x:v>
      </x:c>
      <x:c r="C3" s="33" t="n">
        <x:v>2</x:v>
      </x:c>
      <x:c r="D3" s="31" t="n">
        <x:v>564</x:v>
      </x:c>
      <x:c r="E3" s="31" t="n">
        <x:v>564</x:v>
      </x:c>
      <x:c r="F3" s="32" t="n">
        <x:v>0</x:v>
      </x:c>
      <x:c r="G3" s="34" t="n">
        <x:v>1</x:v>
      </x:c>
      <x:c r="H3" s="32" t="n">
        <x:f>IF(E3=0,"",I3/E3)</x:f>
        <x:v>140.38353184285353</x:v>
      </x:c>
      <x:c r="I3" s="31" t="n">
        <x:f>IF(C3=0,"",SUMIF('Species'!$H$2:$H$43,A3,'Species'!$U$2:$U$43))</x:f>
        <x:v>79176.31195936938</x:v>
      </x:c>
      <x:c r="J3" s="32" t="n">
        <x:v>3.139148936170213</x:v>
      </x:c>
      <x:c r="K3" s="32" t="n">
        <x:f>IF(J3="","",(1/'Metadata'!$B$5)^(J3-1))</x:f>
        <x:v>137.7681847631315</x:v>
      </x:c>
      <x:c r="L3" s="31" t="n">
        <x:f>IF(E3=0,"",E3*K3)</x:f>
        <x:v>77701.25620640616</x:v>
      </x:c>
      <x:c r="M3" s="31" t="n">
        <x:f>IF(E3=0,"",I3-L3)</x:f>
        <x:v>1475.0557529632206</x:v>
      </x:c>
      <x:c r="N3" s="32" t="n">
        <x:f>IF(L3=0,"",I3/L3)</x:f>
        <x:v>1.0189836796080216</x:v>
      </x:c>
      <x:c r="O3" s="34" t="n">
        <x:f>IF(L3=0,"",M3/L3)</x:f>
        <x:v>0.018983679608021678</x:v>
      </x:c>
    </x:row>
    <x:row r="4" ht="18" customHeight="1">
      <x:c r="A4" s="24" t="str">
        <x:v>Other fishes &amp; inverts</x:v>
      </x:c>
      <x:c r="B4" s="33" t="n">
        <x:v>5</x:v>
      </x:c>
      <x:c r="C4" s="33" t="n">
        <x:v>5</x:v>
      </x:c>
      <x:c r="D4" s="31" t="n">
        <x:v>1911.4157551240999</x:v>
      </x:c>
      <x:c r="E4" s="31" t="n">
        <x:v>1911.4157551240999</x:v>
      </x:c>
      <x:c r="F4" s="32" t="n">
        <x:v>0</x:v>
      </x:c>
      <x:c r="G4" s="34" t="n">
        <x:v>1</x:v>
      </x:c>
      <x:c r="H4" s="32" t="n">
        <x:f>IF(E4=0,"",I4/E4)</x:f>
        <x:v>217.6000933263413</x:v>
      </x:c>
      <x:c r="I4" s="31" t="n">
        <x:f>IF(C4=0,"",SUMIF('Species'!$H$2:$H$43,A4,'Species'!$U$2:$U$43))</x:f>
        <x:v>415924.24670044327</x:v>
      </x:c>
      <x:c r="J4" s="32" t="n">
        <x:v>3.287957358287619</x:v>
      </x:c>
      <x:c r="K4" s="32" t="n">
        <x:f>IF(J4="","",(1/'Metadata'!$B$5)^(J4-1))</x:f>
        <x:v>194.0695318794862</x:v>
      </x:c>
      <x:c r="L4" s="31" t="n">
        <x:f>IF(E4=0,"",E4*K4)</x:f>
        <x:v>370947.56082400866</x:v>
      </x:c>
      <x:c r="M4" s="31" t="n">
        <x:f>IF(E4=0,"",I4-L4)</x:f>
        <x:v>44976.68587643461</x:v>
      </x:c>
      <x:c r="N4" s="32" t="n">
        <x:f>IF(L4=0,"",I4/L4)</x:f>
        <x:v>1.121248097107109</x:v>
      </x:c>
      <x:c r="O4" s="34" t="n">
        <x:f>IF(L4=0,"",M4/L4)</x:f>
        <x:v>0.12124809710710896</x:v>
      </x:c>
    </x:row>
    <x:row r="5" ht="18" customHeight="1">
      <x:c r="A5" s="24" t="str">
        <x:v>Perch-likes</x:v>
      </x:c>
      <x:c r="B5" s="33" t="n">
        <x:v>30</x:v>
      </x:c>
      <x:c r="C5" s="33" t="n">
        <x:v>30</x:v>
      </x:c>
      <x:c r="D5" s="31" t="n">
        <x:v>45829.10803441779</x:v>
      </x:c>
      <x:c r="E5" s="31" t="n">
        <x:v>45829.10803441779</x:v>
      </x:c>
      <x:c r="F5" s="32" t="n">
        <x:v>0</x:v>
      </x:c>
      <x:c r="G5" s="34" t="n">
        <x:v>1</x:v>
      </x:c>
      <x:c r="H5" s="32" t="n">
        <x:f>IF(E5=0,"",I5/E5)</x:f>
        <x:v>1606.9893851976951</x:v>
      </x:c>
      <x:c r="I5" s="31" t="n">
        <x:f>IF(C5=0,"",SUMIF('Species'!$H$2:$H$43,A5,'Species'!$U$2:$U$43))</x:f>
        <x:v>73646890.1443878</x:v>
      </x:c>
      <x:c r="J5" s="32" t="n">
        <x:v>4.008590219173864</x:v>
      </x:c>
      <x:c r="K5" s="32" t="n">
        <x:f>IF(J5="","",(1/'Metadata'!$B$5)^(J5-1))</x:f>
        <x:v>1019.9766252533298</x:v>
      </x:c>
      <x:c r="L5" s="31" t="n">
        <x:f>IF(E5=0,"",E5*K5)</x:f>
        <x:v>46744618.951315716</x:v>
      </x:c>
      <x:c r="M5" s="31" t="n">
        <x:f>IF(E5=0,"",I5-L5)</x:f>
        <x:v>26902271.19307208</x:v>
      </x:c>
      <x:c r="N5" s="32" t="n">
        <x:f>IF(L5=0,"",I5/L5)</x:f>
        <x:v>1.5755158945907903</x:v>
      </x:c>
      <x:c r="O5" s="34" t="n">
        <x:f>IF(L5=0,"",M5/L5)</x:f>
        <x:v>0.5755158945907904</x:v>
      </x:c>
    </x:row>
    <x:row r="6" ht="18" customHeight="1">
      <x:c r="A6" s="24" t="str">
        <x:v>Sharks &amp; rays</x:v>
      </x:c>
      <x:c r="B6" s="33" t="n">
        <x:v>1</x:v>
      </x:c>
      <x:c r="C6" s="33" t="n">
        <x:v>1</x:v>
      </x:c>
      <x:c r="D6" s="31" t="n">
        <x:v>240.00000000000003</x:v>
      </x:c>
      <x:c r="E6" s="31" t="n">
        <x:v>240.00000000000003</x:v>
      </x:c>
      <x:c r="F6" s="32" t="n">
        <x:v>0</x:v>
      </x:c>
      <x:c r="G6" s="34" t="n">
        <x:v>1</x:v>
      </x:c>
      <x:c r="H6" s="32" t="n">
        <x:f>IF(E6=0,"",I6/E6)</x:f>
        <x:v>1122.018454301963</x:v>
      </x:c>
      <x:c r="I6" s="31" t="n">
        <x:f>IF(C6=0,"",SUMIF('Species'!$H$2:$H$43,A6,'Species'!$U$2:$U$43))</x:f>
        <x:v>269284.42903247115</x:v>
      </x:c>
      <x:c r="J6" s="32" t="n">
        <x:v>4.05</x:v>
      </x:c>
      <x:c r="K6" s="32" t="n">
        <x:f>IF(J6="","",(1/'Metadata'!$B$5)^(J6-1))</x:f>
        <x:v>1122.018454301963</x:v>
      </x:c>
      <x:c r="L6" s="31" t="n">
        <x:f>IF(E6=0,"",E6*K6)</x:f>
        <x:v>269284.42903247115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Tuna &amp; billfishes</x:v>
      </x:c>
      <x:c r="B7" s="33" t="n">
        <x:v>3</x:v>
      </x:c>
      <x:c r="C7" s="33" t="n">
        <x:v>3</x:v>
      </x:c>
      <x:c r="D7" s="31" t="n">
        <x:v>1200.8095592625</x:v>
      </x:c>
      <x:c r="E7" s="31" t="n">
        <x:v>1200.8095592625</x:v>
      </x:c>
      <x:c r="F7" s="32" t="n">
        <x:v>0</x:v>
      </x:c>
      <x:c r="G7" s="34" t="n">
        <x:v>1</x:v>
      </x:c>
      <x:c r="H7" s="32" t="n">
        <x:f>IF(E7=0,"",I7/E7)</x:f>
        <x:v>3126.243378978044</x:v>
      </x:c>
      <x:c r="I7" s="31" t="n">
        <x:f>IF(C7=0,"",SUMIF('Species'!$H$2:$H$43,A7,'Species'!$U$2:$U$43))</x:f>
        <x:v>3754022.9340579337</x:v>
      </x:c>
      <x:c r="J7" s="32" t="n">
        <x:v>4.494936371929181</x:v>
      </x:c>
      <x:c r="K7" s="32" t="n">
        <x:f>IF(J7="","",(1/'Metadata'!$B$5)^(J7-1))</x:f>
        <x:v>3125.6214017627462</x:v>
      </x:c>
      <x:c r="L7" s="31" t="n">
        <x:f>IF(E7=0,"",E7*K7)</x:f>
        <x:v>3753276.057872161</x:v>
      </x:c>
      <x:c r="M7" s="31" t="n">
        <x:f>IF(E7=0,"",I7-L7)</x:f>
        <x:v>746.8761857729405</x:v>
      </x:c>
      <x:c r="N7" s="32" t="n">
        <x:f>IF(L7=0,"",I7/L7)</x:f>
        <x:v>1.0001989931393953</x:v>
      </x:c>
      <x:c r="O7" s="34" t="n">
        <x:f>IF(L7=0,"",M7/L7)</x:f>
        <x:v>0.00019899313939523167</x:v>
      </x:c>
    </x:row>
  </x:sheetData>
  <x:conditionalFormatting sqref="G2:G7">
    <x:cfRule type="cellIs" dxfId="1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cab20dbc700497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</x:v>
      </x:c>
      <x:c r="C2" s="33" t="n">
        <x:v>1</x:v>
      </x:c>
      <x:c r="D2" s="31" t="n">
        <x:v>90</x:v>
      </x:c>
      <x:c r="E2" s="31" t="n">
        <x:v>90</x:v>
      </x:c>
      <x:c r="F2" s="32" t="n">
        <x:v>0</x:v>
      </x:c>
      <x:c r="G2" s="34" t="n">
        <x:v>1</x:v>
      </x:c>
      <x:c r="H2" s="32" t="n">
        <x:f>IF(E2=0,"",I2/E2)</x:f>
        <x:v>630.957344480193</x:v>
      </x:c>
      <x:c r="I2" s="31" t="n">
        <x:f>IF(C2=0,"",SUMIF('Species'!$G$2:$G$43,A2,'Species'!$U$2:$U$43))</x:f>
        <x:v>56786.16100321737</x:v>
      </x:c>
      <x:c r="J2" s="32" t="n">
        <x:v>3.8</x:v>
      </x:c>
      <x:c r="K2" s="32" t="n">
        <x:f>IF(J2="","",(1/'Metadata'!$B$5)^(J2-1))</x:f>
        <x:v>630.957344480193</x:v>
      </x:c>
      <x:c r="L2" s="31" t="n">
        <x:f>IF(E2=0,"",E2*K2)</x:f>
        <x:v>56786.16100321737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benthopelagics (&gt;=90 cm)</x:v>
      </x:c>
      <x:c r="B3" s="33" t="n">
        <x:v>1</x:v>
      </x:c>
      <x:c r="C3" s="33" t="n">
        <x:v>1</x:v>
      </x:c>
      <x:c r="D3" s="31" t="n">
        <x:v>30.03</x:v>
      </x:c>
      <x:c r="E3" s="31" t="n">
        <x:v>30.03</x:v>
      </x:c>
      <x:c r="F3" s="32" t="n">
        <x:v>0</x:v>
      </x:c>
      <x:c r="G3" s="34" t="n">
        <x:v>1</x:v>
      </x:c>
      <x:c r="H3" s="32" t="n">
        <x:f>IF(E3=0,"",I3/E3)</x:f>
        <x:v>10.71519305237606</x:v>
      </x:c>
      <x:c r="I3" s="31" t="n">
        <x:f>IF(C3=0,"",SUMIF('Species'!$G$2:$G$43,A3,'Species'!$U$2:$U$43))</x:f>
        <x:v>321.7772473628531</x:v>
      </x:c>
      <x:c r="J3" s="32" t="n">
        <x:v>2.03</x:v>
      </x:c>
      <x:c r="K3" s="32" t="n">
        <x:f>IF(J3="","",(1/'Metadata'!$B$5)^(J3-1))</x:f>
        <x:v>10.71519305237606</x:v>
      </x:c>
      <x:c r="L3" s="31" t="n">
        <x:f>IF(E3=0,"",E3*K3)</x:f>
        <x:v>321.7772473628531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pelagics (&gt;=90 cm)</x:v>
      </x:c>
      <x:c r="B4" s="33" t="n">
        <x:v>6</x:v>
      </x:c>
      <x:c r="C4" s="33" t="n">
        <x:v>6</x:v>
      </x:c>
      <x:c r="D4" s="31" t="n">
        <x:v>15959.314014437598</x:v>
      </x:c>
      <x:c r="E4" s="31" t="n">
        <x:v>15959.314014437598</x:v>
      </x:c>
      <x:c r="F4" s="32" t="n">
        <x:v>0</x:v>
      </x:c>
      <x:c r="G4" s="34" t="n">
        <x:v>1</x:v>
      </x:c>
      <x:c r="H4" s="32" t="n">
        <x:f>IF(E4=0,"",I4/E4)</x:f>
        <x:v>3150.522041842938</x:v>
      </x:c>
      <x:c r="I4" s="31" t="n">
        <x:f>IF(C4=0,"",SUMIF('Species'!$G$2:$G$43,A4,'Species'!$U$2:$U$43))</x:f>
        <x:v>50280170.575178556</x:v>
      </x:c>
      <x:c r="J4" s="32" t="n">
        <x:v>4.497448621152824</x:v>
      </x:c>
      <x:c r="K4" s="32" t="n">
        <x:f>IF(J4="","",(1/'Metadata'!$B$5)^(J4-1))</x:f>
        <x:v>3143.7544790013417</x:v>
      </x:c>
      <x:c r="L4" s="31" t="n">
        <x:f>IF(E4=0,"",E4*K4)</x:f>
        <x:v>50172164.91467708</x:v>
      </x:c>
      <x:c r="M4" s="31" t="n">
        <x:f>IF(E4=0,"",I4-L4)</x:f>
        <x:v>108005.66050147265</x:v>
      </x:c>
      <x:c r="N4" s="32" t="n">
        <x:f>IF(L4=0,"",I4/L4)</x:f>
        <x:v>1.002152700818973</x:v>
      </x:c>
      <x:c r="O4" s="34" t="n">
        <x:f>IF(L4=0,"",M4/L4)</x:f>
        <x:v>0.0021527008189729776</x:v>
      </x:c>
    </x:row>
    <x:row r="5" ht="18" customHeight="1">
      <x:c r="A5" s="24" t="str">
        <x:v>Large reef assoc. fish (&gt;=90 cm)</x:v>
      </x:c>
      <x:c r="B5" s="33" t="n">
        <x:v>2</x:v>
      </x:c>
      <x:c r="C5" s="33" t="n">
        <x:v>2</x:v>
      </x:c>
      <x:c r="D5" s="31" t="n">
        <x:v>5814.0000000002</x:v>
      </x:c>
      <x:c r="E5" s="31" t="n">
        <x:v>5814.0000000002</x:v>
      </x:c>
      <x:c r="F5" s="32" t="n">
        <x:v>0</x:v>
      </x:c>
      <x:c r="G5" s="34" t="n">
        <x:v>1</x:v>
      </x:c>
      <x:c r="H5" s="32" t="n">
        <x:f>IF(E5=0,"",I5/E5)</x:f>
        <x:v>946.5713138435326</x:v>
      </x:c>
      <x:c r="I5" s="31" t="n">
        <x:f>IF(C5=0,"",SUMIF('Species'!$G$2:$G$43,A5,'Species'!$U$2:$U$43))</x:f>
        <x:v>5503365.618686488</x:v>
      </x:c>
      <x:c r="J5" s="32" t="n">
        <x:v>3.972260061919506</x:v>
      </x:c>
      <x:c r="K5" s="32" t="n">
        <x:f>IF(J5="","",(1/'Metadata'!$B$5)^(J5-1))</x:f>
        <x:v>938.1236009655559</x:v>
      </x:c>
      <x:c r="L5" s="31" t="n">
        <x:f>IF(E5=0,"",E5*K5)</x:f>
        <x:v>5454250.616013929</x:v>
      </x:c>
      <x:c r="M5" s="31" t="n">
        <x:f>IF(E5=0,"",I5-L5)</x:f>
        <x:v>49115.00267255865</x:v>
      </x:c>
      <x:c r="N5" s="32" t="n">
        <x:f>IF(L5=0,"",I5/L5)</x:f>
        <x:v>1.009004903905287</x:v>
      </x:c>
      <x:c r="O5" s="34" t="n">
        <x:f>IF(L5=0,"",M5/L5)</x:f>
        <x:v>0.009004903905287145</x:v>
      </x:c>
    </x:row>
    <x:row r="6" ht="18" customHeight="1">
      <x:c r="A6" s="24" t="str">
        <x:v>Large sharks (&gt;=90 cm)</x:v>
      </x:c>
      <x:c r="B6" s="33" t="n">
        <x:v>1</x:v>
      </x:c>
      <x:c r="C6" s="33" t="n">
        <x:v>1</x:v>
      </x:c>
      <x:c r="D6" s="31" t="n">
        <x:v>240.00000000000003</x:v>
      </x:c>
      <x:c r="E6" s="31" t="n">
        <x:v>240.00000000000003</x:v>
      </x:c>
      <x:c r="F6" s="32" t="n">
        <x:v>0</x:v>
      </x:c>
      <x:c r="G6" s="34" t="n">
        <x:v>1</x:v>
      </x:c>
      <x:c r="H6" s="32" t="n">
        <x:f>IF(E6=0,"",I6/E6)</x:f>
        <x:v>1122.018454301963</x:v>
      </x:c>
      <x:c r="I6" s="31" t="n">
        <x:f>IF(C6=0,"",SUMIF('Species'!$G$2:$G$43,A6,'Species'!$U$2:$U$43))</x:f>
        <x:v>269284.42903247115</x:v>
      </x:c>
      <x:c r="J6" s="32" t="n">
        <x:v>4.05</x:v>
      </x:c>
      <x:c r="K6" s="32" t="n">
        <x:f>IF(J6="","",(1/'Metadata'!$B$5)^(J6-1))</x:f>
        <x:v>1122.018454301963</x:v>
      </x:c>
      <x:c r="L6" s="31" t="n">
        <x:f>IF(E6=0,"",E6*K6)</x:f>
        <x:v>269284.42903247115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Lobsters, crabs</x:v>
      </x:c>
      <x:c r="B7" s="33" t="n">
        <x:v>1</x:v>
      </x:c>
      <x:c r="C7" s="33" t="n">
        <x:v>1</x:v>
      </x:c>
      <x:c r="D7" s="31" t="n">
        <x:v>180</x:v>
      </x:c>
      <x:c r="E7" s="31" t="n">
        <x:v>180</x:v>
      </x:c>
      <x:c r="F7" s="32" t="n">
        <x:v>0</x:v>
      </x:c>
      <x:c r="G7" s="34" t="n">
        <x:v>1</x:v>
      </x:c>
      <x:c r="H7" s="32" t="n">
        <x:f>IF(E7=0,"",I7/E7)</x:f>
        <x:v>269.1534803926917</x:v>
      </x:c>
      <x:c r="I7" s="31" t="n">
        <x:f>IF(C7=0,"",SUMIF('Species'!$G$2:$G$43,A7,'Species'!$U$2:$U$43))</x:f>
        <x:v>48447.6264706845</x:v>
      </x:c>
      <x:c r="J7" s="32" t="n">
        <x:v>3.4299999999999997</x:v>
      </x:c>
      <x:c r="K7" s="32" t="n">
        <x:f>IF(J7="","",(1/'Metadata'!$B$5)^(J7-1))</x:f>
        <x:v>269.1534803926914</x:v>
      </x:c>
      <x:c r="L7" s="31" t="n">
        <x:f>IF(E7=0,"",E7*K7)</x:f>
        <x:v>48447.62647068445</x:v>
      </x:c>
      <x:c r="M7" s="31" t="n">
        <x:f>IF(E7=0,"",I7-L7)</x:f>
        <x:v>5.093170329928398e-11</x:v>
      </x:c>
      <x:c r="N7" s="32" t="n">
        <x:f>IF(L7=0,"",I7/L7)</x:f>
        <x:v>1.000000000000001</x:v>
      </x:c>
      <x:c r="O7" s="34" t="n">
        <x:f>IF(L7=0,"",M7/L7)</x:f>
        <x:v>1.0512734474227058e-15</x:v>
      </x:c>
    </x:row>
    <x:row r="8" ht="18" customHeight="1">
      <x:c r="A8" s="24" t="str">
        <x:v>Medium benthopelagics (30 - 89 cm)</x:v>
      </x:c>
      <x:c r="B8" s="33" t="n">
        <x:v>1</x:v>
      </x:c>
      <x:c r="C8" s="33" t="n">
        <x:v>1</x:v>
      </x:c>
      <x:c r="D8" s="31" t="n">
        <x:v>347.99999999970004</x:v>
      </x:c>
      <x:c r="E8" s="31" t="n">
        <x:v>347.99999999970004</x:v>
      </x:c>
      <x:c r="F8" s="32" t="n">
        <x:v>0</x:v>
      </x:c>
      <x:c r="G8" s="34" t="n">
        <x:v>1</x:v>
      </x:c>
      <x:c r="H8" s="32" t="n">
        <x:f>IF(E8=0,"",I8/E8)</x:f>
        <x:v>204.17379446695296</x:v>
      </x:c>
      <x:c r="I8" s="31" t="n">
        <x:f>IF(C8=0,"",SUMIF('Species'!$G$2:$G$43,A8,'Species'!$U$2:$U$43))</x:f>
        <x:v>71052.48047443839</x:v>
      </x:c>
      <x:c r="J8" s="32" t="n">
        <x:v>3.31</x:v>
      </x:c>
      <x:c r="K8" s="32" t="n">
        <x:f>IF(J8="","",(1/'Metadata'!$B$5)^(J8-1))</x:f>
        <x:v>204.17379446695296</x:v>
      </x:c>
      <x:c r="L8" s="31" t="n">
        <x:f>IF(E8=0,"",E8*K8)</x:f>
        <x:v>71052.48047443839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Medium demersals (30 - 89 cm)</x:v>
      </x:c>
      <x:c r="B9" s="33" t="n">
        <x:v>6</x:v>
      </x:c>
      <x:c r="C9" s="33" t="n">
        <x:v>6</x:v>
      </x:c>
      <x:c r="D9" s="31" t="n">
        <x:v>11286.379755124</x:v>
      </x:c>
      <x:c r="E9" s="31" t="n">
        <x:v>11286.379755124</x:v>
      </x:c>
      <x:c r="F9" s="32" t="n">
        <x:v>0</x:v>
      </x:c>
      <x:c r="G9" s="34" t="n">
        <x:v>1</x:v>
      </x:c>
      <x:c r="H9" s="32" t="n">
        <x:f>IF(E9=0,"",I9/E9)</x:f>
        <x:v>692.9359473548961</x:v>
      </x:c>
      <x:c r="I9" s="31" t="n">
        <x:f>IF(C9=0,"",SUMIF('Species'!$G$2:$G$43,A9,'Species'!$U$2:$U$43))</x:f>
        <x:v>7820738.24782397</x:v>
      </x:c>
      <x:c r="J9" s="32" t="n">
        <x:v>3.6729479688105062</x:v>
      </x:c>
      <x:c r="K9" s="32" t="n">
        <x:f>IF(J9="","",(1/'Metadata'!$B$5)^(J9-1))</x:f>
        <x:v>470.92090375370003</x:v>
      </x:c>
      <x:c r="L9" s="31" t="n">
        <x:f>IF(E9=0,"",E9*K9)</x:f>
        <x:v>5314992.154390458</x:v>
      </x:c>
      <x:c r="M9" s="31" t="n">
        <x:f>IF(E9=0,"",I9-L9)</x:f>
        <x:v>2505746.0934335124</x:v>
      </x:c>
      <x:c r="N9" s="32" t="n">
        <x:f>IF(L9=0,"",I9/L9)</x:f>
        <x:v>1.4714486909192588</x:v>
      </x:c>
      <x:c r="O9" s="34" t="n">
        <x:f>IF(L9=0,"",M9/L9)</x:f>
        <x:v>0.4714486909192588</x:v>
      </x:c>
    </x:row>
    <x:row r="10" ht="18" customHeight="1">
      <x:c r="A10" s="24" t="str">
        <x:v>Medium pelagics (30 - 89 cm)</x:v>
      </x:c>
      <x:c r="B10" s="33" t="n">
        <x:v>4</x:v>
      </x:c>
      <x:c r="C10" s="33" t="n">
        <x:v>4</x:v>
      </x:c>
      <x:c r="D10" s="31" t="n">
        <x:v>3934.7568743813</x:v>
      </x:c>
      <x:c r="E10" s="31" t="n">
        <x:v>3934.7568743813</x:v>
      </x:c>
      <x:c r="F10" s="32" t="n">
        <x:v>0</x:v>
      </x:c>
      <x:c r="G10" s="34" t="n">
        <x:v>1</x:v>
      </x:c>
      <x:c r="H10" s="32" t="n">
        <x:f>IF(E10=0,"",I10/E10)</x:f>
        <x:v>1215.6311260145378</x:v>
      </x:c>
      <x:c r="I10" s="31" t="n">
        <x:f>IF(C10=0,"",SUMIF('Species'!$G$2:$G$43,A10,'Species'!$U$2:$U$43))</x:f>
        <x:v>4783212.929797583</x:v>
      </x:c>
      <x:c r="J10" s="32" t="n">
        <x:v>4.042747237684306</x:v>
      </x:c>
      <x:c r="K10" s="32" t="n">
        <x:f>IF(J10="","",(1/'Metadata'!$B$5)^(J10-1))</x:f>
        <x:v>1103.4362256606164</x:v>
      </x:c>
      <x:c r="L10" s="31" t="n">
        <x:f>IF(E10=0,"",E10*K10)</x:f>
        <x:v>4341753.274359466</x:v>
      </x:c>
      <x:c r="M10" s="31" t="n">
        <x:f>IF(E10=0,"",I10-L10)</x:f>
        <x:v>441459.6554381177</x:v>
      </x:c>
      <x:c r="N10" s="32" t="n">
        <x:f>IF(L10=0,"",I10/L10)</x:f>
        <x:v>1.1016777388169865</x:v>
      </x:c>
      <x:c r="O10" s="34" t="n">
        <x:f>IF(L10=0,"",M10/L10)</x:f>
        <x:v>0.10167773881698651</x:v>
      </x:c>
    </x:row>
    <x:row r="11" ht="18" customHeight="1">
      <x:c r="A11" s="24" t="str">
        <x:v>Medium reef assoc. fish (30 - 89 cm)</x:v>
      </x:c>
      <x:c r="B11" s="33" t="n">
        <x:v>14</x:v>
      </x:c>
      <x:c r="C11" s="33" t="n">
        <x:v>14</x:v>
      </x:c>
      <x:c r="D11" s="31" t="n">
        <x:v>10700.7557726553</x:v>
      </x:c>
      <x:c r="E11" s="31" t="n">
        <x:v>10700.7557726553</x:v>
      </x:c>
      <x:c r="F11" s="32" t="n">
        <x:v>0</x:v>
      </x:c>
      <x:c r="G11" s="34" t="n">
        <x:v>1</x:v>
      </x:c>
      <x:c r="H11" s="32" t="n">
        <x:f>IF(E11=0,"",I11/E11)</x:f>
        <x:v>851.8743812412669</x:v>
      </x:c>
      <x:c r="I11" s="31" t="n">
        <x:f>IF(C11=0,"",SUMIF('Species'!$G$2:$G$43,A11,'Species'!$U$2:$U$43))</x:f>
        <x:v>9115699.702644648</x:v>
      </x:c>
      <x:c r="J11" s="32" t="n">
        <x:v>3.6465618847173134</x:v>
      </x:c>
      <x:c r="K11" s="32" t="n">
        <x:f>IF(J11="","",(1/'Metadata'!$B$5)^(J11-1))</x:f>
        <x:v>443.16135819168767</x:v>
      </x:c>
      <x:c r="L11" s="31" t="n">
        <x:f>IF(E11=0,"",E11*K11)</x:f>
        <x:v>4742161.461887465</x:v>
      </x:c>
      <x:c r="M11" s="31" t="n">
        <x:f>IF(E11=0,"",I11-L11)</x:f>
        <x:v>4373538.240757183</x:v>
      </x:c>
      <x:c r="N11" s="32" t="n">
        <x:f>IF(L11=0,"",I11/L11)</x:f>
        <x:v>1.9222668346295482</x:v>
      </x:c>
      <x:c r="O11" s="34" t="n">
        <x:f>IF(L11=0,"",M11/L11)</x:f>
        <x:v>0.9222668346295482</x:v>
      </x:c>
    </x:row>
    <x:row r="12" ht="18" customHeight="1">
      <x:c r="A12" s="24" t="str">
        <x:v>Small benthopelagics (&lt;30 cm)</x:v>
      </x:c>
      <x:c r="B12" s="33" t="n">
        <x:v>1</x:v>
      </x:c>
      <x:c r="C12" s="33" t="n">
        <x:v>1</x:v>
      </x:c>
      <x:c r="D12" s="31" t="n">
        <x:v>306.3059999999</x:v>
      </x:c>
      <x:c r="E12" s="31" t="n">
        <x:v>306.3059999999</x:v>
      </x:c>
      <x:c r="F12" s="32" t="n">
        <x:v>0</x:v>
      </x:c>
      <x:c r="G12" s="34" t="n">
        <x:v>1</x:v>
      </x:c>
      <x:c r="H12" s="32" t="n">
        <x:f>IF(E12=0,"",I12/E12)</x:f>
        <x:v>107.1519305237606</x:v>
      </x:c>
      <x:c r="I12" s="31" t="n">
        <x:f>IF(C12=0,"",SUMIF('Species'!$G$2:$G$43,A12,'Species'!$U$2:$U$43))</x:f>
        <x:v>32821.2792310003</x:v>
      </x:c>
      <x:c r="J12" s="32" t="n">
        <x:v>3.03</x:v>
      </x:c>
      <x:c r="K12" s="32" t="n">
        <x:f>IF(J12="","",(1/'Metadata'!$B$5)^(J12-1))</x:f>
        <x:v>107.1519305237606</x:v>
      </x:c>
      <x:c r="L12" s="31" t="n">
        <x:f>IF(E12=0,"",E12*K12)</x:f>
        <x:v>32821.2792310003</x:v>
      </x:c>
      <x:c r="M12" s="31" t="n">
        <x:f>IF(E12=0,"",I12-L12)</x:f>
        <x:v>0</x:v>
      </x:c>
      <x:c r="N12" s="32" t="n">
        <x:f>IF(L12=0,"",I12/L12)</x:f>
        <x:v>1</x:v>
      </x:c>
      <x:c r="O12" s="34" t="n">
        <x:f>IF(L12=0,"",M12/L12)</x:f>
        <x:v>0</x:v>
      </x:c>
    </x:row>
    <x:row r="13" ht="18" customHeight="1">
      <x:c r="A13" s="24" t="str">
        <x:v>Small demersals (&lt;30 cm)</x:v>
      </x:c>
      <x:c r="B13" s="33" t="n">
        <x:v>1</x:v>
      </x:c>
      <x:c r="C13" s="33" t="n">
        <x:v>1</x:v>
      </x:c>
      <x:c r="D13" s="31" t="n">
        <x:v>447.1605143008</x:v>
      </x:c>
      <x:c r="E13" s="31" t="n">
        <x:v>447.1605143008</x:v>
      </x:c>
      <x:c r="F13" s="32" t="n">
        <x:v>0</x:v>
      </x:c>
      <x:c r="G13" s="34" t="n">
        <x:v>1</x:v>
      </x:c>
      <x:c r="H13" s="32" t="n">
        <x:f>IF(E13=0,"",I13/E13)</x:f>
        <x:v>323.593656929628</x:v>
      </x:c>
      <x:c r="I13" s="31" t="n">
        <x:f>IF(C13=0,"",SUMIF('Species'!$G$2:$G$43,A13,'Species'!$U$2:$U$43))</x:f>
        <x:v>144698.3060571291</x:v>
      </x:c>
      <x:c r="J13" s="32" t="n">
        <x:v>3.51</x:v>
      </x:c>
      <x:c r="K13" s="32" t="n">
        <x:f>IF(J13="","",(1/'Metadata'!$B$5)^(J13-1))</x:f>
        <x:v>323.5936569296281</x:v>
      </x:c>
      <x:c r="L13" s="31" t="n">
        <x:f>IF(E13=0,"",E13*K13)</x:f>
        <x:v>144698.3060571291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  <x:row r="14" ht="18" customHeight="1">
      <x:c r="A14" s="24" t="str">
        <x:v>Small pelagics (&lt;30 cm)</x:v>
      </x:c>
      <x:c r="B14" s="33" t="n">
        <x:v>2</x:v>
      </x:c>
      <x:c r="C14" s="33" t="n">
        <x:v>2</x:v>
      </x:c>
      <x:c r="D14" s="31" t="n">
        <x:v>564</x:v>
      </x:c>
      <x:c r="E14" s="31" t="n">
        <x:v>564</x:v>
      </x:c>
      <x:c r="F14" s="32" t="n">
        <x:v>0</x:v>
      </x:c>
      <x:c r="G14" s="34" t="n">
        <x:v>1</x:v>
      </x:c>
      <x:c r="H14" s="32" t="n">
        <x:f>IF(E14=0,"",I14/E14)</x:f>
        <x:v>140.38353184285353</x:v>
      </x:c>
      <x:c r="I14" s="31" t="n">
        <x:f>IF(C14=0,"",SUMIF('Species'!$G$2:$G$43,A14,'Species'!$U$2:$U$43))</x:f>
        <x:v>79176.31195936938</x:v>
      </x:c>
      <x:c r="J14" s="32" t="n">
        <x:v>3.139148936170213</x:v>
      </x:c>
      <x:c r="K14" s="32" t="n">
        <x:f>IF(J14="","",(1/'Metadata'!$B$5)^(J14-1))</x:f>
        <x:v>137.7681847631315</x:v>
      </x:c>
      <x:c r="L14" s="31" t="n">
        <x:f>IF(E14=0,"",E14*K14)</x:f>
        <x:v>77701.25620640616</x:v>
      </x:c>
      <x:c r="M14" s="31" t="n">
        <x:f>IF(E14=0,"",I14-L14)</x:f>
        <x:v>1475.0557529632206</x:v>
      </x:c>
      <x:c r="N14" s="32" t="n">
        <x:f>IF(L14=0,"",I14/L14)</x:f>
        <x:v>1.0189836796080216</x:v>
      </x:c>
      <x:c r="O14" s="34" t="n">
        <x:f>IF(L14=0,"",M14/L14)</x:f>
        <x:v>0.018983679608021678</x:v>
      </x:c>
    </x:row>
    <x:row r="15" ht="18" customHeight="1">
      <x:c r="A15" s="24" t="str">
        <x:v>Small reef assoc. fish (&lt;30 cm)</x:v>
      </x:c>
      <x:c r="B15" s="33" t="n">
        <x:v>1</x:v>
      </x:c>
      <x:c r="C15" s="33" t="n">
        <x:v>1</x:v>
      </x:c>
      <x:c r="D15" s="31" t="n">
        <x:v>24.630417905599998</x:v>
      </x:c>
      <x:c r="E15" s="31" t="n">
        <x:v>24.630417905599998</x:v>
      </x:c>
      <x:c r="F15" s="32" t="n">
        <x:v>0</x:v>
      </x:c>
      <x:c r="G15" s="34" t="n">
        <x:v>1</x:v>
      </x:c>
      <x:c r="H15" s="32" t="n">
        <x:f>IF(E15=0,"",I15/E15)</x:f>
        <x:v>323.5936569296281</x:v>
      </x:c>
      <x:c r="I15" s="31" t="n">
        <x:f>IF(C15=0,"",SUMIF('Species'!$G$2:$G$43,A15,'Species'!$U$2:$U$43))</x:f>
        <x:v>7970.247001778094</x:v>
      </x:c>
      <x:c r="J15" s="32" t="n">
        <x:v>3.51</x:v>
      </x:c>
      <x:c r="K15" s="32" t="n">
        <x:f>IF(J15="","",(1/'Metadata'!$B$5)^(J15-1))</x:f>
        <x:v>323.5936569296281</x:v>
      </x:c>
      <x:c r="L15" s="31" t="n">
        <x:f>IF(E15=0,"",E15*K15)</x:f>
        <x:v>7970.247001778094</x:v>
      </x:c>
      <x:c r="M15" s="31" t="n">
        <x:f>IF(E15=0,"",I15-L15)</x:f>
        <x:v>0</x:v>
      </x:c>
      <x:c r="N15" s="32" t="n">
        <x:f>IF(L15=0,"",I15/L15)</x:f>
        <x:v>1</x:v>
      </x:c>
      <x:c r="O15" s="34" t="n">
        <x:f>IF(L15=0,"",M15/L15)</x:f>
        <x:v>0</x:v>
      </x:c>
    </x:row>
  </x:sheetData>
  <x:conditionalFormatting sqref="G2:G15">
    <x:cfRule type="cellIs" dxfId="2" priority="1" operator="lessThan">
      <x:formula>0.9</x:formula>
    </x:cfRule>
  </x:conditionalFormatting>
  <x:conditionalFormatting sqref="O2:O1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98942a8636c476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EEZ_784</x:v>
      </x:c>
      <x:c r="B2" s="24" t="str">
        <x:v>raw_filtered_tonnes</x:v>
      </x:c>
      <x:c r="C2" s="24" t="n">
        <x:v>49925.3333488044</x:v>
      </x:c>
      <x:c r="D2" s="24" t="str">
        <x:v>tonnes</x:v>
      </x:c>
    </x:row>
    <x:row r="3" ht="18" customHeight="1">
      <x:c r="A3" s="24" t="str">
        <x:v>EEZ_784</x:v>
      </x:c>
      <x:c r="B3" s="24" t="str">
        <x:v>species_catch_tonnes</x:v>
      </x:c>
      <x:c r="C3" s="24" t="n">
        <x:v>49925.3333488044</x:v>
      </x:c>
      <x:c r="D3" s="24" t="str">
        <x:v>tonnes</x:v>
      </x:c>
    </x:row>
    <x:row r="4" ht="18" customHeight="1">
      <x:c r="A4" s="24" t="str">
        <x:v>EEZ_784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EEZ_784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EEZ_784</x:v>
      </x:c>
      <x:c r="B6" s="24" t="str">
        <x:v>matched_catch_tonnes</x:v>
      </x:c>
      <x:c r="C6" s="24" t="n">
        <x:v>49925.3333488044</x:v>
      </x:c>
      <x:c r="D6" s="24" t="str">
        <x:v>tonnes</x:v>
      </x:c>
    </x:row>
    <x:row r="7" ht="18" customHeight="1">
      <x:c r="A7" s="24" t="str">
        <x:v>EEZ_784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EEZ_784</x:v>
      </x:c>
      <x:c r="B8" s="24" t="str">
        <x:v>taxa_count</x:v>
      </x:c>
      <x:c r="C8" s="24" t="n">
        <x:v>42</x:v>
      </x:c>
      <x:c r="D8" s="24" t="str">
        <x:v>count</x:v>
      </x:c>
    </x:row>
    <x:row r="9" ht="18" customHeight="1">
      <x:c r="A9" s="24" t="str">
        <x:v>EEZ_784</x:v>
      </x:c>
      <x:c r="B9" s="24" t="str">
        <x:v>matched_taxa_count</x:v>
      </x:c>
      <x:c r="C9" s="24" t="n">
        <x:v>42</x:v>
      </x:c>
      <x:c r="D9" s="24" t="str">
        <x:v>count</x:v>
      </x:c>
    </x:row>
    <x:row r="10" ht="18" customHeight="1">
      <x:c r="A10" s="24" t="str">
        <x:v>EEZ_784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EEZ_784</x:v>
      </x:c>
      <x:c r="B11" s="24" t="str">
        <x:v>species_ppr</x:v>
      </x:c>
      <x:c r="C11" s="24" t="n">
        <x:v>78213745.6926087</x:v>
      </x:c>
      <x:c r="D11" s="24" t="str">
        <x:v>tonnes_primary_production_equivalent</x:v>
      </x:c>
    </x:row>
    <x:row r="12" ht="18" customHeight="1">
      <x:c r="A12" s="24" t="str">
        <x:v>EEZ_784</x:v>
      </x:c>
      <x:c r="B12" s="24" t="str">
        <x:v>commercial_ppr</x:v>
      </x:c>
      <x:c r="C12" s="24" t="n">
        <x:v>78213745.69260868</x:v>
      </x:c>
      <x:c r="D12" s="24" t="str">
        <x:v>tonnes_primary_production_equivalent</x:v>
      </x:c>
    </x:row>
    <x:row r="13" ht="18" customHeight="1">
      <x:c r="A13" s="24" t="str">
        <x:v>EEZ_784</x:v>
      </x:c>
      <x:c r="B13" s="24" t="str">
        <x:v>functional_ppr</x:v>
      </x:c>
      <x:c r="C13" s="24" t="n">
        <x:v>78213745.6926087</x:v>
      </x:c>
      <x:c r="D13" s="24" t="str">
        <x:v>tonnes_primary_production_equivalent</x:v>
      </x:c>
    </x:row>
    <x:row r="14" ht="18" customHeight="1">
      <x:c r="A14" s="24" t="str">
        <x:v>EEZ_784</x:v>
      </x:c>
      <x:c r="B14" s="24" t="str">
        <x:v>commercial_ppr_difference</x:v>
      </x:c>
      <x:c r="C14" s="24" t="n">
        <x:v>-1.4901161193847656e-8</x:v>
      </x:c>
      <x:c r="D14" s="24" t="str">
        <x:v>tonnes_primary_production_equivalent</x:v>
      </x:c>
    </x:row>
    <x:row r="15" ht="18" customHeight="1">
      <x:c r="A15" s="24" t="str">
        <x:v>EEZ_784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EEZ_784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EEZ_784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EEZ_784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EEZ_784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f2f15086179c4c7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EEZ_784 - United Arab Emirates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EEZ_784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raw_data/SAU_downloads/EEZ_784-catch.zip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