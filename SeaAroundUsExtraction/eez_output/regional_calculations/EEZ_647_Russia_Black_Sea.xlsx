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8404faef1649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df187496c454603"/>
    <x:sheet xmlns:r="http://schemas.openxmlformats.org/officeDocument/2006/relationships" name="Commercial" sheetId="2" r:id="R2db2aa7cac5748f0"/>
    <x:sheet xmlns:r="http://schemas.openxmlformats.org/officeDocument/2006/relationships" name="Functional" sheetId="3" r:id="R26757ad98bb24e06"/>
    <x:sheet xmlns:r="http://schemas.openxmlformats.org/officeDocument/2006/relationships" name="Missing TL" sheetId="4" r:id="Ra310ffd4dc2b43f3"/>
    <x:sheet xmlns:r="http://schemas.openxmlformats.org/officeDocument/2006/relationships" name="Validation" sheetId="5" r:id="R5d2521263e974e95"/>
    <x:sheet xmlns:r="http://schemas.openxmlformats.org/officeDocument/2006/relationships" name="Metadata" sheetId="6" r:id="Rd673261b9bc14f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f395e94a0d4959" /><Relationship Type="http://schemas.openxmlformats.org/officeDocument/2006/relationships/theme" Target="/xl/theme/theme1.xml" Id="R05b756212bc84047" /><Relationship Type="http://schemas.microsoft.com/office/2022/11/relationships/FeaturePropertyBag" Target="/xl/featurePropertyBag/featurePropertyBag.xml" Id="R978c611e9ba24478" /><Relationship Type="http://schemas.openxmlformats.org/officeDocument/2006/relationships/sharedStrings" Target="/xl/sharedStrings.xml" Id="Rd2243df2a2834775" /><Relationship Type="http://schemas.openxmlformats.org/officeDocument/2006/relationships/worksheet" Target="/xl/worksheets/sheet1.xml" Id="Rbdf187496c454603" /><Relationship Type="http://schemas.openxmlformats.org/officeDocument/2006/relationships/worksheet" Target="/xl/worksheets/sheet2.xml" Id="R2db2aa7cac5748f0" /><Relationship Type="http://schemas.openxmlformats.org/officeDocument/2006/relationships/worksheet" Target="/xl/worksheets/sheet3.xml" Id="R26757ad98bb24e06" /><Relationship Type="http://schemas.openxmlformats.org/officeDocument/2006/relationships/worksheet" Target="/xl/worksheets/sheet4.xml" Id="Ra310ffd4dc2b43f3" /><Relationship Type="http://schemas.openxmlformats.org/officeDocument/2006/relationships/worksheet" Target="/xl/worksheets/sheet5.xml" Id="R5d2521263e974e95" /><Relationship Type="http://schemas.openxmlformats.org/officeDocument/2006/relationships/worksheet" Target="/xl/worksheets/sheet6.xml" Id="Rd673261b9bc14f9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647SpeciesTable" displayName="EEZ647SpeciesTable" ref="A1:U41" headerRowCount="1" totalsRowCount="0" totalsRowShown="0">
  <x:autoFilter ref="A1:U4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647CommercialTable" displayName="EEZ647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647FunctionalTable" displayName="EEZ647FunctionalTable" ref="A1:O19" headerRowCount="1" totalsRowCount="0" totalsRowShown="0">
  <x:autoFilter ref="A1:O19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647ValidationTable" displayName="EEZ647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fd5d2d8fc14e8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13d672f7d7340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231cbac0ad54d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5a04ef1f5024c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EEZ_647</x:v>
      </x:c>
      <x:c r="B2" s="24" t="str">
        <x:v>Russia (Black Sea)</x:v>
      </x:c>
      <x:c r="C2" s="24" t="str">
        <x:v>EEZ</x:v>
      </x:c>
      <x:c r="D2" s="30" t="n">
        <x:v>2019</x:v>
      </x:c>
      <x:c r="E2" s="24" t="str">
        <x:v>Engraulis encrasicolus</x:v>
      </x:c>
      <x:c r="F2" s="24" t="str">
        <x:v>European anchovy</x:v>
      </x:c>
      <x:c r="G2" s="24" t="str">
        <x:v>Small pelagics (&lt;30 cm)</x:v>
      </x:c>
      <x:c r="H2" s="24" t="str">
        <x:v>Anchovies</x:v>
      </x:c>
      <x:c r="I2" s="31" t="n">
        <x:v>70165.79548236</x:v>
      </x:c>
      <x:c r="J2" s="31" t="n">
        <x:v>70165.79548236</x:v>
      </x:c>
      <x:c r="K2" s="31" t="n">
        <x:v>0</x:v>
      </x:c>
      <x:c r="L2" s="31" t="n">
        <x:v>32359</x:v>
      </x:c>
      <x:c r="M2" s="31" t="n">
        <x:v>37806.79548236</x:v>
      </x:c>
      <x:c r="N2" s="24" t="str">
        <x:v>engraulis encrasicolus</x:v>
      </x:c>
      <x:c r="O2" s="32" t="n">
        <x:v>3.11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Engraulis encrasicolus</x:v>
      </x:c>
      <x:c r="T2" s="32" t="n">
        <x:f>IF(O2="","",(1/'Metadata'!$B$5)^(O2-1))</x:f>
        <x:v>128.82495516931337</x:v>
      </x:c>
      <x:c r="U2" s="31" t="n">
        <x:f>IF(T2="","",I2*T2)</x:f>
        <x:v>9039105.457434237</x:v>
      </x:c>
    </x:row>
    <x:row r="3" ht="18" customHeight="1">
      <x:c r="A3" s="24" t="str">
        <x:v>EEZ_647</x:v>
      </x:c>
      <x:c r="B3" s="24" t="str">
        <x:v>Russia (Black Sea)</x:v>
      </x:c>
      <x:c r="C3" s="24" t="str">
        <x:v>EEZ</x:v>
      </x:c>
      <x:c r="D3" s="30" t="n">
        <x:v>2019</x:v>
      </x:c>
      <x:c r="E3" s="24" t="str">
        <x:v>Sprattus sprattus</x:v>
      </x:c>
      <x:c r="F3" s="24" t="str">
        <x:v>European sprat</x:v>
      </x:c>
      <x:c r="G3" s="24" t="str">
        <x:v>Small pelagics (&lt;30 cm)</x:v>
      </x:c>
      <x:c r="H3" s="24" t="str">
        <x:v>Herring-likes</x:v>
      </x:c>
      <x:c r="I3" s="31" t="n">
        <x:v>29762.577222054002</x:v>
      </x:c>
      <x:c r="J3" s="31" t="n">
        <x:v>27302.858489180002</x:v>
      </x:c>
      <x:c r="K3" s="31" t="n">
        <x:v>2459.718732874</x:v>
      </x:c>
      <x:c r="L3" s="31" t="n">
        <x:v>17948</x:v>
      </x:c>
      <x:c r="M3" s="31" t="n">
        <x:v>11814.577222054</x:v>
      </x:c>
      <x:c r="N3" s="24" t="str">
        <x:v>sprattus sprattus</x:v>
      </x:c>
      <x:c r="O3" s="32" t="n">
        <x:v>3.01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Sprattus sprattus</x:v>
      </x:c>
      <x:c r="T3" s="32" t="n">
        <x:f>IF(O3="","",(1/'Metadata'!$B$5)^(O3-1))</x:f>
        <x:v>102.32929922807536</x:v>
      </x:c>
      <x:c r="U3" s="31" t="n">
        <x:f>IF(T3="","",I3*T3)</x:f>
        <x:v>3045583.670354264</x:v>
      </x:c>
    </x:row>
    <x:row r="4" ht="18" customHeight="1">
      <x:c r="A4" s="24" t="str">
        <x:v>EEZ_647</x:v>
      </x:c>
      <x:c r="B4" s="24" t="str">
        <x:v>Russia (Black Sea)</x:v>
      </x:c>
      <x:c r="C4" s="24" t="str">
        <x:v>EEZ</x:v>
      </x:c>
      <x:c r="D4" s="30" t="n">
        <x:v>2019</x:v>
      </x:c>
      <x:c r="E4" s="24" t="str">
        <x:v>Gobiidae</x:v>
      </x:c>
      <x:c r="F4" s="24" t="str">
        <x:v>Gobies</x:v>
      </x:c>
      <x:c r="G4" s="24" t="str">
        <x:v>Small reef assoc. fish (&lt;30 cm)</x:v>
      </x:c>
      <x:c r="H4" s="24" t="str">
        <x:v>Perch-likes</x:v>
      </x:c>
      <x:c r="I4" s="31" t="n">
        <x:v>13701.946006921</x:v>
      </x:c>
      <x:c r="J4" s="31" t="n">
        <x:v>13701.946006921</x:v>
      </x:c>
      <x:c r="K4" s="31" t="n">
        <x:v>0</x:v>
      </x:c>
      <x:c r="L4" s="31" t="n">
        <x:v>5416</x:v>
      </x:c>
      <x:c r="M4" s="31" t="n">
        <x:v>8285.946006921</x:v>
      </x:c>
      <x:c r="N4" s="24" t="str">
        <x:v>gobiidae</x:v>
      </x:c>
      <x:c r="O4" s="32" t="n">
        <x:v>3.11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Gobiidae</x:v>
      </x:c>
      <x:c r="T4" s="32" t="n">
        <x:f>IF(O4="","",(1/'Metadata'!$B$5)^(O4-1))</x:f>
        <x:v>128.82495516931337</x:v>
      </x:c>
      <x:c r="U4" s="31" t="n">
        <x:f>IF(T4="","",I4*T4)</x:f>
        <x:v>1765152.58007395</x:v>
      </x:c>
    </x:row>
    <x:row r="5" ht="18" customHeight="1">
      <x:c r="A5" s="24" t="str">
        <x:v>EEZ_647</x:v>
      </x:c>
      <x:c r="B5" s="24" t="str">
        <x:v>Russia (Black Sea)</x:v>
      </x:c>
      <x:c r="C5" s="24" t="str">
        <x:v>EEZ</x:v>
      </x:c>
      <x:c r="D5" s="30" t="n">
        <x:v>2019</x:v>
      </x:c>
      <x:c r="E5" s="24" t="str">
        <x:v>Marine fishes not identified</x:v>
      </x:c>
      <x:c r="F5" s="24" t="str">
        <x:v>Marine fishes nei</x:v>
      </x:c>
      <x:c r="G5" s="24" t="str">
        <x:v>Medium demersals (30 - 89 cm)</x:v>
      </x:c>
      <x:c r="H5" s="24" t="str">
        <x:v>Other fishes &amp; inverts</x:v>
      </x:c>
      <x:c r="I5" s="31" t="n">
        <x:v>11898.053098635</x:v>
      </x:c>
      <x:c r="J5" s="31" t="n">
        <x:v>10911.49719667</x:v>
      </x:c>
      <x:c r="K5" s="31" t="n">
        <x:v>986.555901965</x:v>
      </x:c>
      <x:c r="L5" s="31" t="n">
        <x:v>4699</x:v>
      </x:c>
      <x:c r="M5" s="31" t="n">
        <x:v>7199.0530986349995</x:v>
      </x:c>
      <x:c r="N5" s="24" t="str">
        <x:v>marine fishes not identified</x:v>
      </x:c>
      <x:c r="O5" s="32" t="n">
        <x:v>3.28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Marine fishes not identified</x:v>
      </x:c>
      <x:c r="T5" s="32" t="n">
        <x:f>IF(O5="","",(1/'Metadata'!$B$5)^(O5-1))</x:f>
        <x:v>190.54607179632464</x:v>
      </x:c>
      <x:c r="U5" s="31" t="n">
        <x:f>IF(T5="","",I5*T5)</x:f>
        <x:v>2267127.2799689877</x:v>
      </x:c>
    </x:row>
    <x:row r="6" ht="18" customHeight="1">
      <x:c r="A6" s="24" t="str">
        <x:v>EEZ_647</x:v>
      </x:c>
      <x:c r="B6" s="24" t="str">
        <x:v>Russia (Black Sea)</x:v>
      </x:c>
      <x:c r="C6" s="24" t="str">
        <x:v>EEZ</x:v>
      </x:c>
      <x:c r="D6" s="30" t="n">
        <x:v>2019</x:v>
      </x:c>
      <x:c r="E6" s="24" t="str">
        <x:v>Trachurus</x:v>
      </x:c>
      <x:c r="F6" s="24" t="str">
        <x:v>Jacks, horse mackerels</x:v>
      </x:c>
      <x:c r="G6" s="24" t="str">
        <x:v>Medium pelagics (30 - 89 cm)</x:v>
      </x:c>
      <x:c r="H6" s="24" t="str">
        <x:v>Perch-likes</x:v>
      </x:c>
      <x:c r="I6" s="31" t="n">
        <x:v>4827.5127615811</x:v>
      </x:c>
      <x:c r="J6" s="31" t="n">
        <x:v>4154.9893634461005</x:v>
      </x:c>
      <x:c r="K6" s="31" t="n">
        <x:v>672.523398135</x:v>
      </x:c>
      <x:c r="L6" s="31" t="n">
        <x:v>3078.0000006299</x:v>
      </x:c>
      <x:c r="M6" s="31" t="n">
        <x:v>1749.5127609512</x:v>
      </x:c>
      <x:c r="N6" s="24" t="str">
        <x:v>trachurus</x:v>
      </x:c>
      <x:c r="O6" s="32" t="n">
        <x:v>3.69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Trachurus</x:v>
      </x:c>
      <x:c r="T6" s="32" t="n">
        <x:f>IF(O6="","",(1/'Metadata'!$B$5)^(O6-1))</x:f>
        <x:v>489.77881936844614</x:v>
      </x:c>
      <x:c r="U6" s="31" t="n">
        <x:f>IF(T6="","",I6*T6)</x:f>
        <x:v>2364413.500853298</x:v>
      </x:c>
    </x:row>
    <x:row r="7" ht="18" customHeight="1">
      <x:c r="A7" s="24" t="str">
        <x:v>EEZ_647</x:v>
      </x:c>
      <x:c r="B7" s="24" t="str">
        <x:v>Russia (Black Sea)</x:v>
      </x:c>
      <x:c r="C7" s="24" t="str">
        <x:v>EEZ</x:v>
      </x:c>
      <x:c r="D7" s="30" t="n">
        <x:v>2019</x:v>
      </x:c>
      <x:c r="E7" s="24" t="str">
        <x:v>Clupeonella cultriventris</x:v>
      </x:c>
      <x:c r="F7" s="24" t="str">
        <x:v>Black and Caspian Sea sprat</x:v>
      </x:c>
      <x:c r="G7" s="24" t="str">
        <x:v>Small pelagics (&lt;30 cm)</x:v>
      </x:c>
      <x:c r="H7" s="24" t="str">
        <x:v>Herring-likes</x:v>
      </x:c>
      <x:c r="I7" s="31" t="n">
        <x:v>4801.623516113101</x:v>
      </x:c>
      <x:c r="J7" s="31" t="n">
        <x:v>4220.6926275101005</x:v>
      </x:c>
      <x:c r="K7" s="31" t="n">
        <x:v>580.930888603</x:v>
      </x:c>
      <x:c r="L7" s="31" t="n">
        <x:v>4214</x:v>
      </x:c>
      <x:c r="M7" s="31" t="n">
        <x:v>587.6235161131</x:v>
      </x:c>
      <x:c r="N7" s="24" t="str">
        <x:v>clupeonella cultriventris</x:v>
      </x:c>
      <x:c r="O7" s="32" t="n">
        <x:v>3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Clupeonella cultriventris</x:v>
      </x:c>
      <x:c r="T7" s="32" t="n">
        <x:f>IF(O7="","",(1/'Metadata'!$B$5)^(O7-1))</x:f>
        <x:v>100</x:v>
      </x:c>
      <x:c r="U7" s="31" t="n">
        <x:f>IF(T7="","",I7*T7)</x:f>
        <x:v>480162.3516113101</x:v>
      </x:c>
    </x:row>
    <x:row r="8" ht="18" customHeight="1">
      <x:c r="A8" s="24" t="str">
        <x:v>EEZ_647</x:v>
      </x:c>
      <x:c r="B8" s="24" t="str">
        <x:v>Russia (Black Sea)</x:v>
      </x:c>
      <x:c r="C8" s="24" t="str">
        <x:v>EEZ</x:v>
      </x:c>
      <x:c r="D8" s="30" t="n">
        <x:v>2019</x:v>
      </x:c>
      <x:c r="E8" s="24" t="str">
        <x:v>Diplodus</x:v>
      </x:c>
      <x:c r="F8" s="24" t="str">
        <x:v>Two-toothed seabreams</x:v>
      </x:c>
      <x:c r="G8" s="24" t="str">
        <x:v>Medium benthopelagics (30 - 89 cm)</x:v>
      </x:c>
      <x:c r="H8" s="24" t="str">
        <x:v>Perch-likes</x:v>
      </x:c>
      <x:c r="I8" s="31" t="n">
        <x:v>1953.5601892</x:v>
      </x:c>
      <x:c r="J8" s="31" t="n">
        <x:v>1953.5601892</x:v>
      </x:c>
      <x:c r="K8" s="31" t="n">
        <x:v>0</x:v>
      </x:c>
      <x:c r="L8" s="31" t="n">
        <x:v>629</x:v>
      </x:c>
      <x:c r="M8" s="31" t="n">
        <x:v>1324.5601892</x:v>
      </x:c>
      <x:c r="N8" s="24" t="str">
        <x:v>diplodus</x:v>
      </x:c>
      <x:c r="O8" s="32" t="n">
        <x:v>2.97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Diplodus</x:v>
      </x:c>
      <x:c r="T8" s="32" t="n">
        <x:f>IF(O8="","",(1/'Metadata'!$B$5)^(O8-1))</x:f>
        <x:v>93.32543007969915</x:v>
      </x:c>
      <x:c r="U8" s="31" t="n">
        <x:f>IF(T8="","",I8*T8)</x:f>
        <x:v>182316.84484366843</x:v>
      </x:c>
    </x:row>
    <x:row r="9" ht="18" customHeight="1">
      <x:c r="A9" s="24" t="str">
        <x:v>EEZ_647</x:v>
      </x:c>
      <x:c r="B9" s="24" t="str">
        <x:v>Russia (Black Sea)</x:v>
      </x:c>
      <x:c r="C9" s="24" t="str">
        <x:v>EEZ</x:v>
      </x:c>
      <x:c r="D9" s="30" t="n">
        <x:v>2019</x:v>
      </x:c>
      <x:c r="E9" s="24" t="str">
        <x:v>Merlangius merlangus</x:v>
      </x:c>
      <x:c r="F9" s="24" t="str">
        <x:v>Whiting</x:v>
      </x:c>
      <x:c r="G9" s="24" t="str">
        <x:v>Medium benthopelagics (30 - 89 cm)</x:v>
      </x:c>
      <x:c r="H9" s="24" t="str">
        <x:v>Cod-likes</x:v>
      </x:c>
      <x:c r="I9" s="31" t="n">
        <x:v>1939.647538725</x:v>
      </x:c>
      <x:c r="J9" s="31" t="n">
        <x:v>297.200164682</x:v>
      </x:c>
      <x:c r="K9" s="31" t="n">
        <x:v>1642.447374043</x:v>
      </x:c>
      <x:c r="L9" s="31" t="n">
        <x:v>84.0000000062</x:v>
      </x:c>
      <x:c r="M9" s="31" t="n">
        <x:v>1855.6475387188</x:v>
      </x:c>
      <x:c r="N9" s="24" t="str">
        <x:v>merlangius merlangus</x:v>
      </x:c>
      <x:c r="O9" s="32" t="n">
        <x:v>4.36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Merlangius merlangus</x:v>
      </x:c>
      <x:c r="T9" s="32" t="n">
        <x:f>IF(O9="","",(1/'Metadata'!$B$5)^(O9-1))</x:f>
        <x:v>2290.867652767775</x:v>
      </x:c>
      <x:c r="U9" s="31" t="n">
        <x:f>IF(T9="","",I9*T9)</x:f>
        <x:v>4443475.804235732</x:v>
      </x:c>
    </x:row>
    <x:row r="10" ht="18" customHeight="1">
      <x:c r="A10" s="24" t="str">
        <x:v>EEZ_647</x:v>
      </x:c>
      <x:c r="B10" s="24" t="str">
        <x:v>Russia (Black Sea)</x:v>
      </x:c>
      <x:c r="C10" s="24" t="str">
        <x:v>EEZ</x:v>
      </x:c>
      <x:c r="D10" s="30" t="n">
        <x:v>2019</x:v>
      </x:c>
      <x:c r="E10" s="24" t="str">
        <x:v>Atherina boyeri</x:v>
      </x:c>
      <x:c r="F10" s="24" t="str">
        <x:v>Big-scale sand smelt</x:v>
      </x:c>
      <x:c r="G10" s="24" t="str">
        <x:v>Small demersals (&lt;30 cm)</x:v>
      </x:c>
      <x:c r="H10" s="24" t="str">
        <x:v>Other fishes &amp; inverts</x:v>
      </x:c>
      <x:c r="I10" s="31" t="n">
        <x:v>1885.5018985001</x:v>
      </x:c>
      <x:c r="J10" s="31" t="n">
        <x:v>1885.5018985001</x:v>
      </x:c>
      <x:c r="K10" s="31" t="n">
        <x:v>0</x:v>
      </x:c>
      <x:c r="L10" s="31" t="n">
        <x:v>150</x:v>
      </x:c>
      <x:c r="M10" s="31" t="n">
        <x:v>1735.5018985001</x:v>
      </x:c>
      <x:c r="N10" s="24" t="str">
        <x:v>atherina boyeri</x:v>
      </x:c>
      <x:c r="O10" s="32" t="n">
        <x:v>3.22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Atherina boyeri</x:v>
      </x:c>
      <x:c r="T10" s="32" t="n">
        <x:f>IF(O10="","",(1/'Metadata'!$B$5)^(O10-1))</x:f>
        <x:v>165.95869074375614</x:v>
      </x:c>
      <x:c r="U10" s="31" t="n">
        <x:f>IF(T10="","",I10*T10)</x:f>
        <x:v>312915.42646994314</x:v>
      </x:c>
    </x:row>
    <x:row r="11" ht="18" customHeight="1">
      <x:c r="A11" s="24" t="str">
        <x:v>EEZ_647</x:v>
      </x:c>
      <x:c r="B11" s="24" t="str">
        <x:v>Russia (Black Sea)</x:v>
      </x:c>
      <x:c r="C11" s="24" t="str">
        <x:v>EEZ</x:v>
      </x:c>
      <x:c r="D11" s="30" t="n">
        <x:v>2019</x:v>
      </x:c>
      <x:c r="E11" s="24" t="str">
        <x:v>Mullus</x:v>
      </x:c>
      <x:c r="F11" s="24" t="str">
        <x:v>Atlantic goatfishes</x:v>
      </x:c>
      <x:c r="G11" s="24" t="str">
        <x:v>Medium demersals (30 - 89 cm)</x:v>
      </x:c>
      <x:c r="H11" s="24" t="str">
        <x:v>Perch-likes</x:v>
      </x:c>
      <x:c r="I11" s="31" t="n">
        <x:v>1631.4583094909</x:v>
      </x:c>
      <x:c r="J11" s="31" t="n">
        <x:v>1631.4583094909</x:v>
      </x:c>
      <x:c r="K11" s="31" t="n">
        <x:v>0</x:v>
      </x:c>
      <x:c r="L11" s="31" t="n">
        <x:v>1124.9999998170001</x:v>
      </x:c>
      <x:c r="M11" s="31" t="n">
        <x:v>506.45830967390003</x:v>
      </x:c>
      <x:c r="N11" s="24" t="str">
        <x:v>mullus</x:v>
      </x:c>
      <x:c r="O11" s="32" t="n">
        <x:v>3.29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Mullus</x:v>
      </x:c>
      <x:c r="T11" s="32" t="n">
        <x:f>IF(O11="","",(1/'Metadata'!$B$5)^(O11-1))</x:f>
        <x:v>194.98445997580455</x:v>
      </x:c>
      <x:c r="U11" s="31" t="n">
        <x:f>IF(T11="","",I11*T11)</x:f>
        <x:v>318109.01744912216</x:v>
      </x:c>
    </x:row>
    <x:row r="12" ht="18" customHeight="1">
      <x:c r="A12" s="24" t="str">
        <x:v>EEZ_647</x:v>
      </x:c>
      <x:c r="B12" s="24" t="str">
        <x:v>Russia (Black Sea)</x:v>
      </x:c>
      <x:c r="C12" s="24" t="str">
        <x:v>EEZ</x:v>
      </x:c>
      <x:c r="D12" s="30" t="n">
        <x:v>2019</x:v>
      </x:c>
      <x:c r="E12" s="24" t="str">
        <x:v>Miscellaneous marine crustaceans</x:v>
      </x:c>
      <x:c r="F12" s="24" t="str">
        <x:v>Marine crabs, shrimps, lobsters nei</x:v>
      </x:c>
      <x:c r="G12" s="24" t="str">
        <x:v>Shrimps</x:v>
      </x:c>
      <x:c r="H12" s="24" t="str">
        <x:v>Crustaceans</x:v>
      </x:c>
      <x:c r="I12" s="31" t="n">
        <x:v>1281.128042239</x:v>
      </x:c>
      <x:c r="J12" s="31" t="n">
        <x:v>146</x:v>
      </x:c>
      <x:c r="K12" s="31" t="n">
        <x:v>1135.128042239</x:v>
      </x:c>
      <x:c r="L12" s="31" t="n">
        <x:v>146</x:v>
      </x:c>
      <x:c r="M12" s="31" t="n">
        <x:v>1135.128042239</x:v>
      </x:c>
      <x:c r="N12" s="24" t="str">
        <x:v>miscellaneous marine crustaceans</x:v>
      </x:c>
      <x:c r="O12" s="32" t="n">
        <x:v>2.7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Miscellaneous marine crustaceans</x:v>
      </x:c>
      <x:c r="T12" s="32" t="n">
        <x:f>IF(O12="","",(1/'Metadata'!$B$5)^(O12-1))</x:f>
        <x:v>50.11872336272725</x:v>
      </x:c>
      <x:c r="U12" s="31" t="n">
        <x:f>IF(T12="","",I12*T12)</x:f>
        <x:v>64208.50194120879</x:v>
      </x:c>
    </x:row>
    <x:row r="13" ht="18" customHeight="1">
      <x:c r="A13" s="24" t="str">
        <x:v>EEZ_647</x:v>
      </x:c>
      <x:c r="B13" s="24" t="str">
        <x:v>Russia (Black Sea)</x:v>
      </x:c>
      <x:c r="C13" s="24" t="str">
        <x:v>EEZ</x:v>
      </x:c>
      <x:c r="D13" s="30" t="n">
        <x:v>2019</x:v>
      </x:c>
      <x:c r="E13" s="24" t="str">
        <x:v>Cyprinidae</x:v>
      </x:c>
      <x:c r="F13" s="24" t="str">
        <x:v>Carps, barbels, other cyprinids</x:v>
      </x:c>
      <x:c r="G13" s="24" t="str">
        <x:v>Medium demersals (30 - 89 cm)</x:v>
      </x:c>
      <x:c r="H13" s="24" t="str">
        <x:v>Other fishes &amp; inverts</x:v>
      </x:c>
      <x:c r="I13" s="31" t="n">
        <x:v>1130.5788990881</x:v>
      </x:c>
      <x:c r="J13" s="31" t="n">
        <x:v>1130.5788990881</x:v>
      </x:c>
      <x:c r="K13" s="31" t="n">
        <x:v>0</x:v>
      </x:c>
      <x:c r="L13" s="31" t="n">
        <x:v>53</x:v>
      </x:c>
      <x:c r="M13" s="31" t="n">
        <x:v>1077.5788990881</x:v>
      </x:c>
      <x:c r="N13" s="24" t="str">
        <x:v>cyprinidae</x:v>
      </x:c>
      <x:c r="O13" s="32" t="n">
        <x:v>2.8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Cyprinidae</x:v>
      </x:c>
      <x:c r="T13" s="32" t="n">
        <x:f>IF(O13="","",(1/'Metadata'!$B$5)^(O13-1))</x:f>
        <x:v>63.0957344480193</x:v>
      </x:c>
      <x:c r="U13" s="31" t="n">
        <x:f>IF(T13="","",I13*T13)</x:f>
        <x:v>71334.70598939677</x:v>
      </x:c>
    </x:row>
    <x:row r="14" ht="18" customHeight="1">
      <x:c r="A14" s="24" t="str">
        <x:v>EEZ_647</x:v>
      </x:c>
      <x:c r="B14" s="24" t="str">
        <x:v>Russia (Black Sea)</x:v>
      </x:c>
      <x:c r="C14" s="24" t="str">
        <x:v>EEZ</x:v>
      </x:c>
      <x:c r="D14" s="30" t="n">
        <x:v>2019</x:v>
      </x:c>
      <x:c r="E14" s="24" t="str">
        <x:v>Dasyatidae</x:v>
      </x:c>
      <x:c r="F14" s="24" t="str">
        <x:v>Whiptail stingrays</x:v>
      </x:c>
      <x:c r="G14" s="24" t="str">
        <x:v>Large rays (&gt;=90 cm)</x:v>
      </x:c>
      <x:c r="H14" s="24" t="str">
        <x:v>Sharks &amp; rays</x:v>
      </x:c>
      <x:c r="I14" s="31" t="n">
        <x:v>884.021886655</x:v>
      </x:c>
      <x:c r="J14" s="31" t="n">
        <x:v>211.49848852</x:v>
      </x:c>
      <x:c r="K14" s="31" t="n">
        <x:v>672.523398135</x:v>
      </x:c>
      <x:c r="L14" s="31" t="n">
        <x:v>0</x:v>
      </x:c>
      <x:c r="M14" s="31" t="n">
        <x:v>884.021886655</x:v>
      </x:c>
      <x:c r="N14" s="24" t="str">
        <x:v>dasyatidae</x:v>
      </x:c>
      <x:c r="O14" s="32" t="n">
        <x:v>3.38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Dasyatidae</x:v>
      </x:c>
      <x:c r="T14" s="32" t="n">
        <x:f>IF(O14="","",(1/'Metadata'!$B$5)^(O14-1))</x:f>
        <x:v>239.88329190194898</x:v>
      </x:c>
      <x:c r="U14" s="31" t="n">
        <x:f>IF(T14="","",I14*T14)</x:f>
        <x:v>212062.08028417302</x:v>
      </x:c>
    </x:row>
    <x:row r="15" ht="18" customHeight="1">
      <x:c r="A15" s="24" t="str">
        <x:v>EEZ_647</x:v>
      </x:c>
      <x:c r="B15" s="24" t="str">
        <x:v>Russia (Black Sea)</x:v>
      </x:c>
      <x:c r="C15" s="24" t="str">
        <x:v>EEZ</x:v>
      </x:c>
      <x:c r="D15" s="30" t="n">
        <x:v>2019</x:v>
      </x:c>
      <x:c r="E15" s="24" t="str">
        <x:v>Miscellaneous aquatic invertebrates</x:v>
      </x:c>
      <x:c r="F15" s="24" t="str">
        <x:v>Aquatic invertebrates</x:v>
      </x:c>
      <x:c r="G15" s="24" t="str">
        <x:v>Other demersal invertebrates</x:v>
      </x:c>
      <x:c r="H15" s="24" t="str">
        <x:v>Other fishes &amp; inverts</x:v>
      </x:c>
      <x:c r="I15" s="31" t="n">
        <x:v>690.0000000002</x:v>
      </x:c>
      <x:c r="J15" s="31" t="n">
        <x:v>690.0000000002</x:v>
      </x:c>
      <x:c r="K15" s="31" t="n">
        <x:v>0</x:v>
      </x:c>
      <x:c r="L15" s="31" t="n">
        <x:v>690.0000000002</x:v>
      </x:c>
      <x:c r="M15" s="31" t="n">
        <x:v>0</x:v>
      </x:c>
      <x:c r="N15" s="24" t="str">
        <x:v>miscellaneous aquatic invertebrates</x:v>
      </x:c>
      <x:c r="O15" s="32" t="n">
        <x:v>2.43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Miscellaneous aquatic invertebrates</x:v>
      </x:c>
      <x:c r="T15" s="32" t="n">
        <x:f>IF(O15="","",(1/'Metadata'!$B$5)^(O15-1))</x:f>
        <x:v>26.915348039269166</x:v>
      </x:c>
      <x:c r="U15" s="31" t="n">
        <x:f>IF(T15="","",I15*T15)</x:f>
        <x:v>18571.590147101106</x:v>
      </x:c>
    </x:row>
    <x:row r="16" ht="18" customHeight="1">
      <x:c r="A16" s="24" t="str">
        <x:v>EEZ_647</x:v>
      </x:c>
      <x:c r="B16" s="24" t="str">
        <x:v>Russia (Black Sea)</x:v>
      </x:c>
      <x:c r="C16" s="24" t="str">
        <x:v>EEZ</x:v>
      </x:c>
      <x:c r="D16" s="30" t="n">
        <x:v>2019</x:v>
      </x:c>
      <x:c r="E16" s="24" t="str">
        <x:v>Mugil cephalus</x:v>
      </x:c>
      <x:c r="F16" s="24" t="str">
        <x:v>Flathead grey mullet</x:v>
      </x:c>
      <x:c r="G16" s="24" t="str">
        <x:v>Large benthopelagics (&gt;=90 cm)</x:v>
      </x:c>
      <x:c r="H16" s="24" t="str">
        <x:v>Perch-likes</x:v>
      </x:c>
      <x:c r="I16" s="31" t="n">
        <x:v>594</x:v>
      </x:c>
      <x:c r="J16" s="31" t="n">
        <x:v>594</x:v>
      </x:c>
      <x:c r="K16" s="31" t="n">
        <x:v>0</x:v>
      </x:c>
      <x:c r="L16" s="31" t="n">
        <x:v>594</x:v>
      </x:c>
      <x:c r="M16" s="31" t="n">
        <x:v>0</x:v>
      </x:c>
      <x:c r="N16" s="24" t="str">
        <x:v>mugil cephalus</x:v>
      </x:c>
      <x:c r="O16" s="32" t="n">
        <x:v>2.14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Mugil cephalus</x:v>
      </x:c>
      <x:c r="T16" s="32" t="n">
        <x:f>IF(O16="","",(1/'Metadata'!$B$5)^(O16-1))</x:f>
        <x:v>13.803842646028853</x:v>
      </x:c>
      <x:c r="U16" s="31" t="n">
        <x:f>IF(T16="","",I16*T16)</x:f>
        <x:v>8199.482531741138</x:v>
      </x:c>
    </x:row>
    <x:row r="17" ht="18" customHeight="1">
      <x:c r="A17" s="24" t="str">
        <x:v>EEZ_647</x:v>
      </x:c>
      <x:c r="B17" s="24" t="str">
        <x:v>Russia (Black Sea)</x:v>
      </x:c>
      <x:c r="C17" s="24" t="str">
        <x:v>EEZ</x:v>
      </x:c>
      <x:c r="D17" s="30" t="n">
        <x:v>2019</x:v>
      </x:c>
      <x:c r="E17" s="24" t="str">
        <x:v>Squalus acanthias</x:v>
      </x:c>
      <x:c r="F17" s="24" t="str">
        <x:v>Picked dogfish</x:v>
      </x:c>
      <x:c r="G17" s="24" t="str">
        <x:v>Large sharks (&gt;=90 cm)</x:v>
      </x:c>
      <x:c r="H17" s="24" t="str">
        <x:v>Sharks &amp; rays</x:v>
      </x:c>
      <x:c r="I17" s="31" t="n">
        <x:v>545.3790285091</x:v>
      </x:c>
      <x:c r="J17" s="31" t="n">
        <x:v>176.5610569741</x:v>
      </x:c>
      <x:c r="K17" s="31" t="n">
        <x:v>368.81797153499997</x:v>
      </x:c>
      <x:c r="L17" s="31" t="n">
        <x:v>0</x:v>
      </x:c>
      <x:c r="M17" s="31" t="n">
        <x:v>545.3790285091</x:v>
      </x:c>
      <x:c r="N17" s="24" t="str">
        <x:v>squalus acanthias</x:v>
      </x:c>
      <x:c r="O17" s="32" t="n">
        <x:v>4.37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Squalus acanthias</x:v>
      </x:c>
      <x:c r="T17" s="32" t="n">
        <x:f>IF(O17="","",(1/'Metadata'!$B$5)^(O17-1))</x:f>
        <x:v>2344.228815319923</x:v>
      </x:c>
      <x:c r="U17" s="31" t="n">
        <x:f>IF(T17="","",I17*T17)</x:f>
        <x:v>1278493.2339022178</x:v>
      </x:c>
    </x:row>
    <x:row r="18" ht="18" customHeight="1">
      <x:c r="A18" s="24" t="str">
        <x:v>EEZ_647</x:v>
      </x:c>
      <x:c r="B18" s="24" t="str">
        <x:v>Russia (Black Sea)</x:v>
      </x:c>
      <x:c r="C18" s="24" t="str">
        <x:v>EEZ</x:v>
      </x:c>
      <x:c r="D18" s="30" t="n">
        <x:v>2019</x:v>
      </x:c>
      <x:c r="E18" s="24" t="str">
        <x:v>Pleuronectiformes</x:v>
      </x:c>
      <x:c r="F18" s="24" t="str">
        <x:v>Flatfishes</x:v>
      </x:c>
      <x:c r="G18" s="24" t="str">
        <x:v>Small to medium flatfishes (&lt;90 cm)</x:v>
      </x:c>
      <x:c r="H18" s="24" t="str">
        <x:v>Flatfishes</x:v>
      </x:c>
      <x:c r="I18" s="31" t="n">
        <x:v>531.797077123</x:v>
      </x:c>
      <x:c r="J18" s="31" t="n">
        <x:v>531.797077123</x:v>
      </x:c>
      <x:c r="K18" s="31" t="n">
        <x:v>0</x:v>
      </x:c>
      <x:c r="L18" s="31" t="n">
        <x:v>425.99999997000003</x:v>
      </x:c>
      <x:c r="M18" s="31" t="n">
        <x:v>105.797077153</x:v>
      </x:c>
      <x:c r="N18" s="24" t="str">
        <x:v>pleuronectiformes</x:v>
      </x:c>
      <x:c r="O18" s="32" t="n">
        <x:v>3.57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Pleuronectiformes</x:v>
      </x:c>
      <x:c r="T18" s="32" t="n">
        <x:f>IF(O18="","",(1/'Metadata'!$B$5)^(O18-1))</x:f>
        <x:v>371.5352290971724</x:v>
      </x:c>
      <x:c r="U18" s="31" t="n">
        <x:f>IF(T18="","",I18*T18)</x:f>
        <x:v>197581.3488821005</x:v>
      </x:c>
    </x:row>
    <x:row r="19" ht="18" customHeight="1">
      <x:c r="A19" s="24" t="str">
        <x:v>EEZ_647</x:v>
      </x:c>
      <x:c r="B19" s="24" t="str">
        <x:v>Russia (Black Sea)</x:v>
      </x:c>
      <x:c r="C19" s="24" t="str">
        <x:v>EEZ</x:v>
      </x:c>
      <x:c r="D19" s="30" t="n">
        <x:v>2019</x:v>
      </x:c>
      <x:c r="E19" s="24" t="str">
        <x:v>Scorpaena</x:v>
      </x:c>
      <x:c r="F19" s="24" t="str">
        <x:v>Scorpionfishes</x:v>
      </x:c>
      <x:c r="G19" s="24" t="str">
        <x:v>Large reef assoc. fish (&gt;=90 cm)</x:v>
      </x:c>
      <x:c r="H19" s="24" t="str">
        <x:v>Scorpionfishes</x:v>
      </x:c>
      <x:c r="I19" s="31" t="n">
        <x:v>525.7486380321</x:v>
      </x:c>
      <x:c r="J19" s="31" t="n">
        <x:v>506.1045429001</x:v>
      </x:c>
      <x:c r="K19" s="31" t="n">
        <x:v>19.644095132</x:v>
      </x:c>
      <x:c r="L19" s="31" t="n">
        <x:v>0</x:v>
      </x:c>
      <x:c r="M19" s="31" t="n">
        <x:v>525.7486380321</x:v>
      </x:c>
      <x:c r="N19" s="24" t="str">
        <x:v>scorpaena</x:v>
      </x:c>
      <x:c r="O19" s="32" t="n">
        <x:v>3.87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Scorpaena</x:v>
      </x:c>
      <x:c r="T19" s="32" t="n">
        <x:f>IF(O19="","",(1/'Metadata'!$B$5)^(O19-1))</x:f>
        <x:v>741.3102413009177</x:v>
      </x:c>
      <x:c r="U19" s="31" t="n">
        <x:f>IF(T19="","",I19*T19)</x:f>
        <x:v>389742.84972320485</x:v>
      </x:c>
    </x:row>
    <x:row r="20" ht="18" customHeight="1">
      <x:c r="A20" s="24" t="str">
        <x:v>EEZ_647</x:v>
      </x:c>
      <x:c r="B20" s="24" t="str">
        <x:v>Russia (Black Sea)</x:v>
      </x:c>
      <x:c r="C20" s="24" t="str">
        <x:v>EEZ</x:v>
      </x:c>
      <x:c r="D20" s="30" t="n">
        <x:v>2019</x:v>
      </x:c>
      <x:c r="E20" s="24" t="str">
        <x:v>Pomatomus saltatrix</x:v>
      </x:c>
      <x:c r="F20" s="24" t="str">
        <x:v>Bluefish</x:v>
      </x:c>
      <x:c r="G20" s="24" t="str">
        <x:v>Large pelagics (&gt;=90 cm)</x:v>
      </x:c>
      <x:c r="H20" s="24" t="str">
        <x:v>Perch-likes</x:v>
      </x:c>
      <x:c r="I20" s="31" t="n">
        <x:v>437.1987907883</x:v>
      </x:c>
      <x:c r="J20" s="31" t="n">
        <x:v>437.1987907883</x:v>
      </x:c>
      <x:c r="K20" s="31" t="n">
        <x:v>0</x:v>
      </x:c>
      <x:c r="L20" s="31" t="n">
        <x:v>268.0000000083</x:v>
      </x:c>
      <x:c r="M20" s="31" t="n">
        <x:v>169.19879078</x:v>
      </x:c>
      <x:c r="N20" s="24" t="str">
        <x:v>pomatomus saltatrix</x:v>
      </x:c>
      <x:c r="O20" s="32" t="n">
        <x:v>4.53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Pomatomus saltatrix</x:v>
      </x:c>
      <x:c r="T20" s="32" t="n">
        <x:f>IF(O20="","",(1/'Metadata'!$B$5)^(O20-1))</x:f>
        <x:v>3388.4415613920273</x:v>
      </x:c>
      <x:c r="U20" s="31" t="n">
        <x:f>IF(T20="","",I20*T20)</x:f>
        <x:v>1481422.5532974135</x:v>
      </x:c>
    </x:row>
    <x:row r="21" ht="18" customHeight="1">
      <x:c r="A21" s="24" t="str">
        <x:v>EEZ_647</x:v>
      </x:c>
      <x:c r="B21" s="24" t="str">
        <x:v>Russia (Black Sea)</x:v>
      </x:c>
      <x:c r="C21" s="24" t="str">
        <x:v>EEZ</x:v>
      </x:c>
      <x:c r="D21" s="30" t="n">
        <x:v>2019</x:v>
      </x:c>
      <x:c r="E21" s="24" t="str">
        <x:v>Mytilus galloprovincialis</x:v>
      </x:c>
      <x:c r="F21" s="24" t="str">
        <x:v>Mediterranean mussel</x:v>
      </x:c>
      <x:c r="G21" s="24" t="str">
        <x:v>Other demersal invertebrates</x:v>
      </x:c>
      <x:c r="H21" s="24" t="str">
        <x:v>Molluscs</x:v>
      </x:c>
      <x:c r="I21" s="31" t="n">
        <x:v>366.3050517662</x:v>
      </x:c>
      <x:c r="J21" s="31" t="n">
        <x:v>366.3050517662</x:v>
      </x:c>
      <x:c r="K21" s="31" t="n">
        <x:v>0</x:v>
      </x:c>
      <x:c r="L21" s="31" t="n">
        <x:v>118.0000000302</x:v>
      </x:c>
      <x:c r="M21" s="31" t="n">
        <x:v>248.305051736</x:v>
      </x:c>
      <x:c r="N21" s="24" t="str">
        <x:v>mytilus galloprovincialis</x:v>
      </x:c>
      <x:c r="O21" s="32" t="n">
        <x:v>2.69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Mytilus galloprovincialis</x:v>
      </x:c>
      <x:c r="T21" s="32" t="n">
        <x:f>IF(O21="","",(1/'Metadata'!$B$5)^(O21-1))</x:f>
        <x:v>48.97788193684461</x:v>
      </x:c>
      <x:c r="U21" s="31" t="n">
        <x:f>IF(T21="","",I21*T21)</x:f>
        <x:v>17940.845578274697</x:v>
      </x:c>
    </x:row>
    <x:row r="22" ht="18" customHeight="1">
      <x:c r="A22" s="24" t="str">
        <x:v>EEZ_647</x:v>
      </x:c>
      <x:c r="B22" s="24" t="str">
        <x:v>Russia (Black Sea)</x:v>
      </x:c>
      <x:c r="C22" s="24" t="str">
        <x:v>EEZ</x:v>
      </x:c>
      <x:c r="D22" s="30" t="n">
        <x:v>2019</x:v>
      </x:c>
      <x:c r="E22" s="24" t="str">
        <x:v>Scophthalmus maximus</x:v>
      </x:c>
      <x:c r="F22" s="24" t="str">
        <x:v>Turbot</x:v>
      </x:c>
      <x:c r="G22" s="24" t="str">
        <x:v>Large flatfishes (&gt;=90 cm)</x:v>
      </x:c>
      <x:c r="H22" s="24" t="str">
        <x:v>Flatfishes</x:v>
      </x:c>
      <x:c r="I22" s="31" t="n">
        <x:v>353.18416118389996</x:v>
      </x:c>
      <x:c r="J22" s="31" t="n">
        <x:v>353.18416118389996</x:v>
      </x:c>
      <x:c r="K22" s="31" t="n">
        <x:v>0</x:v>
      </x:c>
      <x:c r="L22" s="31" t="n">
        <x:v>0</x:v>
      </x:c>
      <x:c r="M22" s="31" t="n">
        <x:v>353.18416118389996</x:v>
      </x:c>
      <x:c r="N22" s="24" t="str">
        <x:v>scophthalmus maximus</x:v>
      </x:c>
      <x:c r="O22" s="32" t="n">
        <x:v>4.36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Scophthalmus maximus</x:v>
      </x:c>
      <x:c r="T22" s="32" t="n">
        <x:f>IF(O22="","",(1/'Metadata'!$B$5)^(O22-1))</x:f>
        <x:v>2290.867652767775</x:v>
      </x:c>
      <x:c r="U22" s="31" t="n">
        <x:f>IF(T22="","",I22*T22)</x:f>
        <x:v>809098.1703261164</x:v>
      </x:c>
    </x:row>
    <x:row r="23" ht="18" customHeight="1">
      <x:c r="A23" s="24" t="str">
        <x:v>EEZ_647</x:v>
      </x:c>
      <x:c r="B23" s="24" t="str">
        <x:v>Russia (Black Sea)</x:v>
      </x:c>
      <x:c r="C23" s="24" t="str">
        <x:v>EEZ</x:v>
      </x:c>
      <x:c r="D23" s="30" t="n">
        <x:v>2019</x:v>
      </x:c>
      <x:c r="E23" s="24" t="str">
        <x:v>Alosa immaculata</x:v>
      </x:c>
      <x:c r="F23" s="24" t="str">
        <x:v>Pontic shad</x:v>
      </x:c>
      <x:c r="G23" s="24" t="str">
        <x:v>Medium pelagics (30 - 89 cm)</x:v>
      </x:c>
      <x:c r="H23" s="24" t="str">
        <x:v>Herring-likes</x:v>
      </x:c>
      <x:c r="I23" s="31" t="n">
        <x:v>319.2477846921</x:v>
      </x:c>
      <x:c r="J23" s="31" t="n">
        <x:v>319.2477846921</x:v>
      </x:c>
      <x:c r="K23" s="31" t="n">
        <x:v>0</x:v>
      </x:c>
      <x:c r="L23" s="31" t="n">
        <x:v>229.000000005</x:v>
      </x:c>
      <x:c r="M23" s="31" t="n">
        <x:v>90.2477846871</x:v>
      </x:c>
      <x:c r="N23" s="24" t="str">
        <x:v>alosa immaculata</x:v>
      </x:c>
      <x:c r="O23" s="32" t="n">
        <x:v>3.98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Alosa immaculata</x:v>
      </x:c>
      <x:c r="T23" s="32" t="n">
        <x:f>IF(O23="","",(1/'Metadata'!$B$5)^(O23-1))</x:f>
        <x:v>954.992586021436</x:v>
      </x:c>
      <x:c r="U23" s="31" t="n">
        <x:f>IF(T23="","",I23*T23)</x:f>
        <x:v>304879.2674847232</x:v>
      </x:c>
    </x:row>
    <x:row r="24" ht="18" customHeight="1">
      <x:c r="A24" s="24" t="str">
        <x:v>EEZ_647</x:v>
      </x:c>
      <x:c r="B24" s="24" t="str">
        <x:v>Russia (Black Sea)</x:v>
      </x:c>
      <x:c r="C24" s="24" t="str">
        <x:v>EEZ</x:v>
      </x:c>
      <x:c r="D24" s="30" t="n">
        <x:v>2019</x:v>
      </x:c>
      <x:c r="E24" s="24" t="str">
        <x:v>Decapoda</x:v>
      </x:c>
      <x:c r="F24" s="24" t="str">
        <x:v>Crabs, lobsters, shrimps</x:v>
      </x:c>
      <x:c r="G24" s="24" t="str">
        <x:v>Lobsters, crabs</x:v>
      </x:c>
      <x:c r="H24" s="24" t="str">
        <x:v>Crustaceans</x:v>
      </x:c>
      <x:c r="I24" s="31" t="n">
        <x:v>272.0000000002</x:v>
      </x:c>
      <x:c r="J24" s="31" t="n">
        <x:v>272.0000000002</x:v>
      </x:c>
      <x:c r="K24" s="31" t="n">
        <x:v>0</x:v>
      </x:c>
      <x:c r="L24" s="31" t="n">
        <x:v>272.0000000002</x:v>
      </x:c>
      <x:c r="M24" s="31" t="n">
        <x:v>0</x:v>
      </x:c>
      <x:c r="N24" s="24" t="str">
        <x:v>decapoda</x:v>
      </x:c>
      <x:c r="O24" s="32" t="n">
        <x:v>3.43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Decapoda</x:v>
      </x:c>
      <x:c r="T24" s="32" t="n">
        <x:f>IF(O24="","",(1/'Metadata'!$B$5)^(O24-1))</x:f>
        <x:v>269.1534803926917</x:v>
      </x:c>
      <x:c r="U24" s="31" t="n">
        <x:f>IF(T24="","",I24*T24)</x:f>
        <x:v>73209.74666686596</x:v>
      </x:c>
    </x:row>
    <x:row r="25" ht="18" customHeight="1">
      <x:c r="A25" s="24" t="str">
        <x:v>EEZ_647</x:v>
      </x:c>
      <x:c r="B25" s="24" t="str">
        <x:v>Russia (Black Sea)</x:v>
      </x:c>
      <x:c r="C25" s="24" t="str">
        <x:v>EEZ</x:v>
      </x:c>
      <x:c r="D25" s="30" t="n">
        <x:v>2019</x:v>
      </x:c>
      <x:c r="E25" s="24" t="str">
        <x:v>Rajidae</x:v>
      </x:c>
      <x:c r="F25" s="24" t="str">
        <x:v>Stingrays</x:v>
      </x:c>
      <x:c r="G25" s="24" t="str">
        <x:v>Large rays (&gt;=90 cm)</x:v>
      </x:c>
      <x:c r="H25" s="24" t="str">
        <x:v>Sharks &amp; rays</x:v>
      </x:c>
      <x:c r="I25" s="31" t="n">
        <x:v>211.49848852</x:v>
      </x:c>
      <x:c r="J25" s="31" t="n">
        <x:v>211.49848852</x:v>
      </x:c>
      <x:c r="K25" s="31" t="n">
        <x:v>0</x:v>
      </x:c>
      <x:c r="L25" s="31" t="n">
        <x:v>0</x:v>
      </x:c>
      <x:c r="M25" s="31" t="n">
        <x:v>211.49848852</x:v>
      </x:c>
      <x:c r="N25" s="24" t="str">
        <x:v>rajidae</x:v>
      </x:c>
      <x:c r="O25" s="32" t="n">
        <x:v>3.82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Rajidae</x:v>
      </x:c>
      <x:c r="T25" s="32" t="n">
        <x:f>IF(O25="","",(1/'Metadata'!$B$5)^(O25-1))</x:f>
        <x:v>660.6934480075957</x:v>
      </x:c>
      <x:c r="U25" s="31" t="n">
        <x:f>IF(T25="","",I25*T25)</x:f>
        <x:v>139735.6656286737</x:v>
      </x:c>
    </x:row>
    <x:row r="26" ht="18" customHeight="1">
      <x:c r="A26" s="24" t="str">
        <x:v>EEZ_647</x:v>
      </x:c>
      <x:c r="B26" s="24" t="str">
        <x:v>Russia (Black Sea)</x:v>
      </x:c>
      <x:c r="C26" s="24" t="str">
        <x:v>EEZ</x:v>
      </x:c>
      <x:c r="D26" s="30" t="n">
        <x:v>2019</x:v>
      </x:c>
      <x:c r="E26" s="24" t="str">
        <x:v>Trachurus mediterraneus</x:v>
      </x:c>
      <x:c r="F26" s="24" t="str">
        <x:v>Mediterranean horse mackerel</x:v>
      </x:c>
      <x:c r="G26" s="24" t="str">
        <x:v>Medium pelagics (30 - 89 cm)</x:v>
      </x:c>
      <x:c r="H26" s="24" t="str">
        <x:v>Perch-likes</x:v>
      </x:c>
      <x:c r="I26" s="31" t="n">
        <x:v>211.49848852</x:v>
      </x:c>
      <x:c r="J26" s="31" t="n">
        <x:v>211.49848852</x:v>
      </x:c>
      <x:c r="K26" s="31" t="n">
        <x:v>0</x:v>
      </x:c>
      <x:c r="L26" s="31" t="n">
        <x:v>0</x:v>
      </x:c>
      <x:c r="M26" s="31" t="n">
        <x:v>211.49848852</x:v>
      </x:c>
      <x:c r="N26" s="24" t="str">
        <x:v>trachurus mediterraneus</x:v>
      </x:c>
      <x:c r="O26" s="32" t="n">
        <x:v>3.77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Trachurus mediterraneus</x:v>
      </x:c>
      <x:c r="T26" s="32" t="n">
        <x:f>IF(O26="","",(1/'Metadata'!$B$5)^(O26-1))</x:f>
        <x:v>588.843655355589</x:v>
      </x:c>
      <x:c r="U26" s="31" t="n">
        <x:f>IF(T26="","",I26*T26)</x:f>
        <x:v>124539.54308229887</x:v>
      </x:c>
    </x:row>
    <x:row r="27" ht="18" customHeight="1">
      <x:c r="A27" s="24" t="str">
        <x:v>EEZ_647</x:v>
      </x:c>
      <x:c r="B27" s="24" t="str">
        <x:v>Russia (Black Sea)</x:v>
      </x:c>
      <x:c r="C27" s="24" t="str">
        <x:v>EEZ</x:v>
      </x:c>
      <x:c r="D27" s="30" t="n">
        <x:v>2019</x:v>
      </x:c>
      <x:c r="E27" s="24" t="str">
        <x:v>Sarda sarda</x:v>
      </x:c>
      <x:c r="F27" s="24" t="str">
        <x:v>Atlantic bonito</x:v>
      </x:c>
      <x:c r="G27" s="24" t="str">
        <x:v>Medium pelagics (30 - 89 cm)</x:v>
      </x:c>
      <x:c r="H27" s="24" t="str">
        <x:v>Tuna &amp; billfishes</x:v>
      </x:c>
      <x:c r="I27" s="31" t="n">
        <x:v>170.2418964819</x:v>
      </x:c>
      <x:c r="J27" s="31" t="n">
        <x:v>170.2418964819</x:v>
      </x:c>
      <x:c r="K27" s="31" t="n">
        <x:v>0</x:v>
      </x:c>
      <x:c r="L27" s="31" t="n">
        <x:v>0</x:v>
      </x:c>
      <x:c r="M27" s="31" t="n">
        <x:v>170.2418964819</x:v>
      </x:c>
      <x:c r="N27" s="24" t="str">
        <x:v>sarda sarda</x:v>
      </x:c>
      <x:c r="O27" s="32" t="n">
        <x:v>4.5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Sarda sarda</x:v>
      </x:c>
      <x:c r="T27" s="32" t="n">
        <x:f>IF(O27="","",(1/'Metadata'!$B$5)^(O27-1))</x:f>
        <x:v>3162.2776601683795</x:v>
      </x:c>
      <x:c r="U27" s="31" t="n">
        <x:f>IF(T27="","",I27*T27)</x:f>
        <x:v>538352.1460694103</x:v>
      </x:c>
    </x:row>
    <x:row r="28" ht="18" customHeight="1">
      <x:c r="A28" s="24" t="str">
        <x:v>EEZ_647</x:v>
      </x:c>
      <x:c r="B28" s="24" t="str">
        <x:v>Russia (Black Sea)</x:v>
      </x:c>
      <x:c r="C28" s="24" t="str">
        <x:v>EEZ</x:v>
      </x:c>
      <x:c r="D28" s="30" t="n">
        <x:v>2019</x:v>
      </x:c>
      <x:c r="E28" s="24" t="str">
        <x:v>Rajiformes</x:v>
      </x:c>
      <x:c r="F28" s="24" t="str">
        <x:v>Skates and rays</x:v>
      </x:c>
      <x:c r="G28" s="24" t="str">
        <x:v>Large rays (&gt;=90 cm)</x:v>
      </x:c>
      <x:c r="H28" s="24" t="str">
        <x:v>Sharks &amp; rays</x:v>
      </x:c>
      <x:c r="I28" s="31" t="n">
        <x:v>144.4708733378</x:v>
      </x:c>
      <x:c r="J28" s="31" t="n">
        <x:v>144.4708733378</x:v>
      </x:c>
      <x:c r="K28" s="31" t="n">
        <x:v>0</x:v>
      </x:c>
      <x:c r="L28" s="31" t="n">
        <x:v>137.000000001</x:v>
      </x:c>
      <x:c r="M28" s="31" t="n">
        <x:v>7.4708733367999995</x:v>
      </x:c>
      <x:c r="N28" s="24" t="str">
        <x:v>rajiformes</x:v>
      </x:c>
      <x:c r="O28" s="32" t="n">
        <x:v>3.61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Rajiformes</x:v>
      </x:c>
      <x:c r="T28" s="32" t="n">
        <x:f>IF(O28="","",(1/'Metadata'!$B$5)^(O28-1))</x:f>
        <x:v>407.3802778041126</x:v>
      </x:c>
      <x:c r="U28" s="31" t="n">
        <x:f>IF(T28="","",I28*T28)</x:f>
        <x:v>58854.58451495572</x:v>
      </x:c>
    </x:row>
    <x:row r="29" ht="18" customHeight="1">
      <x:c r="A29" s="24" t="str">
        <x:v>EEZ_647</x:v>
      </x:c>
      <x:c r="B29" s="24" t="str">
        <x:v>Russia (Black Sea)</x:v>
      </x:c>
      <x:c r="C29" s="24" t="str">
        <x:v>EEZ</x:v>
      </x:c>
      <x:c r="D29" s="30" t="n">
        <x:v>2019</x:v>
      </x:c>
      <x:c r="E29" s="24" t="str">
        <x:v>Spicara maena</x:v>
      </x:c>
      <x:c r="F29" s="24" t="str">
        <x:v>Blotched picarel</x:v>
      </x:c>
      <x:c r="G29" s="24" t="str">
        <x:v>Small demersals (&lt;30 cm)</x:v>
      </x:c>
      <x:c r="H29" s="24" t="str">
        <x:v>Perch-likes</x:v>
      </x:c>
      <x:c r="I29" s="31" t="n">
        <x:v>122.9590457791</x:v>
      </x:c>
      <x:c r="J29" s="31" t="n">
        <x:v>122.9590457791</x:v>
      </x:c>
      <x:c r="K29" s="31" t="n">
        <x:v>0</x:v>
      </x:c>
      <x:c r="L29" s="31" t="n">
        <x:v>94</x:v>
      </x:c>
      <x:c r="M29" s="31" t="n">
        <x:v>28.9590457791</x:v>
      </x:c>
      <x:c r="N29" s="24" t="str">
        <x:v>spicara maena</x:v>
      </x:c>
      <x:c r="O29" s="32" t="n">
        <x:v>4.15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Spicara maena</x:v>
      </x:c>
      <x:c r="T29" s="32" t="n">
        <x:f>IF(O29="","",(1/'Metadata'!$B$5)^(O29-1))</x:f>
        <x:v>1412.5375446227554</x:v>
      </x:c>
      <x:c r="U29" s="31" t="n">
        <x:f>IF(T29="","",I29*T29)</x:f>
        <x:v>173684.26861396688</x:v>
      </x:c>
    </x:row>
    <x:row r="30" ht="18" customHeight="1">
      <x:c r="A30" s="24" t="str">
        <x:v>EEZ_647</x:v>
      </x:c>
      <x:c r="B30" s="24" t="str">
        <x:v>Russia (Black Sea)</x:v>
      </x:c>
      <x:c r="C30" s="24" t="str">
        <x:v>EEZ</x:v>
      </x:c>
      <x:c r="D30" s="30" t="n">
        <x:v>2019</x:v>
      </x:c>
      <x:c r="E30" s="24" t="str">
        <x:v>Elasmobranchii</x:v>
      </x:c>
      <x:c r="F30" s="24" t="str">
        <x:v>Sharks, rays, skates</x:v>
      </x:c>
      <x:c r="G30" s="24" t="str">
        <x:v>Large sharks (&gt;=90 cm)</x:v>
      </x:c>
      <x:c r="H30" s="24" t="str">
        <x:v>Sharks &amp; rays</x:v>
      </x:c>
      <x:c r="I30" s="31" t="n">
        <x:v>118.7054171821</x:v>
      </x:c>
      <x:c r="J30" s="31" t="n">
        <x:v>118.7054171821</x:v>
      </x:c>
      <x:c r="K30" s="31" t="n">
        <x:v>0</x:v>
      </x:c>
      <x:c r="L30" s="31" t="n">
        <x:v>96</x:v>
      </x:c>
      <x:c r="M30" s="31" t="n">
        <x:v>22.7054171821</x:v>
      </x:c>
      <x:c r="N30" s="24" t="str">
        <x:v>elasmobranchii</x:v>
      </x:c>
      <x:c r="O30" s="32" t="n">
        <x:v>4.05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Elasmobranchii</x:v>
      </x:c>
      <x:c r="T30" s="32" t="n">
        <x:f>IF(O30="","",(1/'Metadata'!$B$5)^(O30-1))</x:f>
        <x:v>1122.018454301963</x:v>
      </x:c>
      <x:c r="U30" s="31" t="n">
        <x:f>IF(T30="","",I30*T30)</x:f>
        <x:v>133189.66870392952</x:v>
      </x:c>
    </x:row>
    <x:row r="31" ht="18" customHeight="1">
      <x:c r="A31" s="24" t="str">
        <x:v>EEZ_647</x:v>
      </x:c>
      <x:c r="B31" s="24" t="str">
        <x:v>Russia (Black Sea)</x:v>
      </x:c>
      <x:c r="C31" s="24" t="str">
        <x:v>EEZ</x:v>
      </x:c>
      <x:c r="D31" s="30" t="n">
        <x:v>2019</x:v>
      </x:c>
      <x:c r="E31" s="24" t="str">
        <x:v>Crangon crangon</x:v>
      </x:c>
      <x:c r="F31" s="24" t="str">
        <x:v>Common shrimp</x:v>
      </x:c>
      <x:c r="G31" s="24" t="str">
        <x:v>Shrimps</x:v>
      </x:c>
      <x:c r="H31" s="24" t="str">
        <x:v>Crustaceans</x:v>
      </x:c>
      <x:c r="I31" s="31" t="n">
        <x:v>84.59939539999999</x:v>
      </x:c>
      <x:c r="J31" s="31" t="n">
        <x:v>84.59939539999999</x:v>
      </x:c>
      <x:c r="K31" s="31" t="n">
        <x:v>0</x:v>
      </x:c>
      <x:c r="L31" s="31" t="n">
        <x:v>0</x:v>
      </x:c>
      <x:c r="M31" s="31" t="n">
        <x:v>84.59939539999999</x:v>
      </x:c>
      <x:c r="N31" s="24" t="str">
        <x:v>crangon crangon</x:v>
      </x:c>
      <x:c r="O31" s="32" t="n">
        <x:v>3.19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Crangon crangon</x:v>
      </x:c>
      <x:c r="T31" s="32" t="n">
        <x:f>IF(O31="","",(1/'Metadata'!$B$5)^(O31-1))</x:f>
        <x:v>154.88166189124811</x:v>
      </x:c>
      <x:c r="U31" s="31" t="n">
        <x:f>IF(T31="","",I31*T31)</x:f>
        <x:v>13102.89495454681</x:v>
      </x:c>
    </x:row>
    <x:row r="32" ht="18" customHeight="1">
      <x:c r="A32" s="24" t="str">
        <x:v>EEZ_647</x:v>
      </x:c>
      <x:c r="B32" s="24" t="str">
        <x:v>Russia (Black Sea)</x:v>
      </x:c>
      <x:c r="C32" s="24" t="str">
        <x:v>EEZ</x:v>
      </x:c>
      <x:c r="D32" s="30" t="n">
        <x:v>2019</x:v>
      </x:c>
      <x:c r="E32" s="24" t="str">
        <x:v>Mugil</x:v>
      </x:c>
      <x:c r="F32" s="24" t="str">
        <x:v>Grey mullets</x:v>
      </x:c>
      <x:c r="G32" s="24" t="str">
        <x:v>Medium demersals (30 - 89 cm)</x:v>
      </x:c>
      <x:c r="H32" s="24" t="str">
        <x:v>Perch-likes</x:v>
      </x:c>
      <x:c r="I32" s="31" t="n">
        <x:v>84.59939539999999</x:v>
      </x:c>
      <x:c r="J32" s="31" t="n">
        <x:v>84.59939539999999</x:v>
      </x:c>
      <x:c r="K32" s="31" t="n">
        <x:v>0</x:v>
      </x:c>
      <x:c r="L32" s="31" t="n">
        <x:v>0</x:v>
      </x:c>
      <x:c r="M32" s="31" t="n">
        <x:v>84.59939539999999</x:v>
      </x:c>
      <x:c r="N32" s="24" t="str">
        <x:v>mugil</x:v>
      </x:c>
      <x:c r="O32" s="32" t="n">
        <x:v>2.26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Mugil</x:v>
      </x:c>
      <x:c r="T32" s="32" t="n">
        <x:f>IF(O32="","",(1/'Metadata'!$B$5)^(O32-1))</x:f>
        <x:v>18.197008586099827</x:v>
      </x:c>
      <x:c r="U32" s="31" t="n">
        <x:f>IF(T32="","",I32*T32)</x:f>
        <x:v>1539.455924472654</x:v>
      </x:c>
    </x:row>
    <x:row r="33" ht="18" customHeight="1">
      <x:c r="A33" s="24" t="str">
        <x:v>EEZ_647</x:v>
      </x:c>
      <x:c r="B33" s="24" t="str">
        <x:v>Russia (Black Sea)</x:v>
      </x:c>
      <x:c r="C33" s="24" t="str">
        <x:v>EEZ</x:v>
      </x:c>
      <x:c r="D33" s="30" t="n">
        <x:v>2019</x:v>
      </x:c>
      <x:c r="E33" s="24" t="str">
        <x:v>Belone belone</x:v>
      </x:c>
      <x:c r="F33" s="24" t="str">
        <x:v>Garfish</x:v>
      </x:c>
      <x:c r="G33" s="24" t="str">
        <x:v>Medium pelagics (30 - 89 cm)</x:v>
      </x:c>
      <x:c r="H33" s="24" t="str">
        <x:v>Other fishes &amp; inverts</x:v>
      </x:c>
      <x:c r="I33" s="31" t="n">
        <x:v>51.851726032</x:v>
      </x:c>
      <x:c r="J33" s="31" t="n">
        <x:v>51.851726032</x:v>
      </x:c>
      <x:c r="K33" s="31" t="n">
        <x:v>0</x:v>
      </x:c>
      <x:c r="L33" s="31" t="n">
        <x:v>43</x:v>
      </x:c>
      <x:c r="M33" s="31" t="n">
        <x:v>8.851726032</x:v>
      </x:c>
      <x:c r="N33" s="24" t="str">
        <x:v>belone belone</x:v>
      </x:c>
      <x:c r="O33" s="32" t="n">
        <x:v>4.16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Belone belone</x:v>
      </x:c>
      <x:c r="T33" s="32" t="n">
        <x:f>IF(O33="","",(1/'Metadata'!$B$5)^(O33-1))</x:f>
        <x:v>1445.439770745928</x:v>
      </x:c>
      <x:c r="U33" s="31" t="n">
        <x:f>IF(T33="","",I33*T33)</x:f>
        <x:v>74948.54698847474</x:v>
      </x:c>
    </x:row>
    <x:row r="34" ht="18" customHeight="1">
      <x:c r="A34" s="24" t="str">
        <x:v>EEZ_647</x:v>
      </x:c>
      <x:c r="B34" s="24" t="str">
        <x:v>Russia (Black Sea)</x:v>
      </x:c>
      <x:c r="C34" s="24" t="str">
        <x:v>EEZ</x:v>
      </x:c>
      <x:c r="D34" s="30" t="n">
        <x:v>2019</x:v>
      </x:c>
      <x:c r="E34" s="24" t="str">
        <x:v>Esox lucius</x:v>
      </x:c>
      <x:c r="F34" s="24" t="str">
        <x:v>Northern pike</x:v>
      </x:c>
      <x:c r="G34" s="24" t="str">
        <x:v>Large demersals (&gt;=90 cm)</x:v>
      </x:c>
      <x:c r="H34" s="24" t="str">
        <x:v>Salmon, smelts, etc</x:v>
      </x:c>
      <x:c r="I34" s="31" t="n">
        <x:v>48.8472323301</x:v>
      </x:c>
      <x:c r="J34" s="31" t="n">
        <x:v>48.8472323301</x:v>
      </x:c>
      <x:c r="K34" s="31" t="n">
        <x:v>0</x:v>
      </x:c>
      <x:c r="L34" s="31" t="n">
        <x:v>0</x:v>
      </x:c>
      <x:c r="M34" s="31" t="n">
        <x:v>48.8472323301</x:v>
      </x:c>
      <x:c r="N34" s="24" t="str">
        <x:v>esox lucius</x:v>
      </x:c>
      <x:c r="O34" s="32" t="n">
        <x:v>4.07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Esox lucius</x:v>
      </x:c>
      <x:c r="T34" s="32" t="n">
        <x:f>IF(O34="","",(1/'Metadata'!$B$5)^(O34-1))</x:f>
        <x:v>1174.8975549395302</x:v>
      </x:c>
      <x:c r="U34" s="31" t="n">
        <x:f>IF(T34="","",I34*T34)</x:f>
        <x:v>57390.49383019766</x:v>
      </x:c>
    </x:row>
    <x:row r="35" ht="18" customHeight="1">
      <x:c r="A35" s="24" t="str">
        <x:v>EEZ_647</x:v>
      </x:c>
      <x:c r="B35" s="24" t="str">
        <x:v>Russia (Black Sea)</x:v>
      </x:c>
      <x:c r="C35" s="24" t="str">
        <x:v>EEZ</x:v>
      </x:c>
      <x:c r="D35" s="30" t="n">
        <x:v>2019</x:v>
      </x:c>
      <x:c r="E35" s="24" t="str">
        <x:v>Acipenseridae</x:v>
      </x:c>
      <x:c r="F35" s="24" t="str">
        <x:v>Sturgeons</x:v>
      </x:c>
      <x:c r="G35" s="24" t="str">
        <x:v>Large demersals (&gt;=90 cm)</x:v>
      </x:c>
      <x:c r="H35" s="24" t="str">
        <x:v>Other fishes &amp; inverts</x:v>
      </x:c>
      <x:c r="I35" s="31" t="n">
        <x:v>12.3849162541</x:v>
      </x:c>
      <x:c r="J35" s="31" t="n">
        <x:v>12.3849162541</x:v>
      </x:c>
      <x:c r="K35" s="31" t="n">
        <x:v>0</x:v>
      </x:c>
      <x:c r="L35" s="31" t="n">
        <x:v>0</x:v>
      </x:c>
      <x:c r="M35" s="31" t="n">
        <x:v>12.3849162541</x:v>
      </x:c>
      <x:c r="N35" s="24" t="str">
        <x:v>acipenseridae</x:v>
      </x:c>
      <x:c r="O35" s="32" t="n">
        <x:v>3.6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Acipenseridae</x:v>
      </x:c>
      <x:c r="T35" s="32" t="n">
        <x:f>IF(O35="","",(1/'Metadata'!$B$5)^(O35-1))</x:f>
        <x:v>398.1071705534973</x:v>
      </x:c>
      <x:c r="U35" s="31" t="n">
        <x:f>IF(T35="","",I35*T35)</x:f>
        <x:v>4930.52396746177</x:v>
      </x:c>
    </x:row>
    <x:row r="36" ht="18" customHeight="1">
      <x:c r="A36" s="24" t="str">
        <x:v>EEZ_647</x:v>
      </x:c>
      <x:c r="B36" s="24" t="str">
        <x:v>Russia (Black Sea)</x:v>
      </x:c>
      <x:c r="C36" s="24" t="str">
        <x:v>EEZ</x:v>
      </x:c>
      <x:c r="D36" s="30" t="n">
        <x:v>2019</x:v>
      </x:c>
      <x:c r="E36" s="24" t="str">
        <x:v>Scorpaenidae</x:v>
      </x:c>
      <x:c r="F36" s="24" t="str">
        <x:v>Scorpionfishes, rockfishes</x:v>
      </x:c>
      <x:c r="G36" s="24" t="str">
        <x:v>Large reef assoc. fish (&gt;=90 cm)</x:v>
      </x:c>
      <x:c r="H36" s="24" t="str">
        <x:v>Scorpionfishes</x:v>
      </x:c>
      <x:c r="I36" s="31" t="n">
        <x:v>4</x:v>
      </x:c>
      <x:c r="J36" s="31" t="n">
        <x:v>4</x:v>
      </x:c>
      <x:c r="K36" s="31" t="n">
        <x:v>0</x:v>
      </x:c>
      <x:c r="L36" s="31" t="n">
        <x:v>4</x:v>
      </x:c>
      <x:c r="M36" s="31" t="n">
        <x:v>0</x:v>
      </x:c>
      <x:c r="N36" s="24" t="str">
        <x:v>scorpaenidae</x:v>
      </x:c>
      <x:c r="O36" s="32" t="n">
        <x:v>3.92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Scorpaenidae</x:v>
      </x:c>
      <x:c r="T36" s="32" t="n">
        <x:f>IF(O36="","",(1/'Metadata'!$B$5)^(O36-1))</x:f>
        <x:v>831.7637711026708</x:v>
      </x:c>
      <x:c r="U36" s="31" t="n">
        <x:f>IF(T36="","",I36*T36)</x:f>
        <x:v>3327.0550844106833</x:v>
      </x:c>
    </x:row>
    <x:row r="37" ht="18" customHeight="1">
      <x:c r="A37" s="24" t="str">
        <x:v>EEZ_647</x:v>
      </x:c>
      <x:c r="B37" s="24" t="str">
        <x:v>Russia (Black Sea)</x:v>
      </x:c>
      <x:c r="C37" s="24" t="str">
        <x:v>EEZ</x:v>
      </x:c>
      <x:c r="D37" s="30" t="n">
        <x:v>2019</x:v>
      </x:c>
      <x:c r="E37" s="24" t="str">
        <x:v>Cyprinus carpio</x:v>
      </x:c>
      <x:c r="F37" s="24" t="str">
        <x:v>Common carp</x:v>
      </x:c>
      <x:c r="G37" s="24" t="str">
        <x:v>Large benthopelagics (&gt;=90 cm)</x:v>
      </x:c>
      <x:c r="H37" s="24" t="str">
        <x:v>Other fishes &amp; inverts</x:v>
      </x:c>
      <x:c r="I37" s="31" t="n">
        <x:v>3</x:v>
      </x:c>
      <x:c r="J37" s="31" t="n">
        <x:v>3</x:v>
      </x:c>
      <x:c r="K37" s="31" t="n">
        <x:v>0</x:v>
      </x:c>
      <x:c r="L37" s="31" t="n">
        <x:v>3</x:v>
      </x:c>
      <x:c r="M37" s="31" t="n">
        <x:v>0</x:v>
      </x:c>
      <x:c r="N37" s="24" t="str">
        <x:v>cyprinus carpio</x:v>
      </x:c>
      <x:c r="O37" s="32" t="n">
        <x:v>3.06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Cyprinus carpio</x:v>
      </x:c>
      <x:c r="T37" s="32" t="n">
        <x:f>IF(O37="","",(1/'Metadata'!$B$5)^(O37-1))</x:f>
        <x:v>114.81536214968828</x:v>
      </x:c>
      <x:c r="U37" s="31" t="n">
        <x:f>IF(T37="","",I37*T37)</x:f>
        <x:v>344.44608644906486</x:v>
      </x:c>
    </x:row>
    <x:row r="38" ht="18" customHeight="1">
      <x:c r="A38" s="24" t="str">
        <x:v>EEZ_647</x:v>
      </x:c>
      <x:c r="B38" s="24" t="str">
        <x:v>Russia (Black Sea)</x:v>
      </x:c>
      <x:c r="C38" s="24" t="str">
        <x:v>EEZ</x:v>
      </x:c>
      <x:c r="D38" s="30" t="n">
        <x:v>2019</x:v>
      </x:c>
      <x:c r="E38" s="24" t="str">
        <x:v>Sardina pilchardus</x:v>
      </x:c>
      <x:c r="F38" s="24" t="str">
        <x:v>European pilchard</x:v>
      </x:c>
      <x:c r="G38" s="24" t="str">
        <x:v>Small pelagics (&lt;30 cm)</x:v>
      </x:c>
      <x:c r="H38" s="24" t="str">
        <x:v>Herring-likes</x:v>
      </x:c>
      <x:c r="I38" s="31" t="n">
        <x:v>2.3109796469</x:v>
      </x:c>
      <x:c r="J38" s="31" t="n">
        <x:v>2.3109796469</x:v>
      </x:c>
      <x:c r="K38" s="31" t="n">
        <x:v>0</x:v>
      </x:c>
      <x:c r="L38" s="31" t="n">
        <x:v>0</x:v>
      </x:c>
      <x:c r="M38" s="31" t="n">
        <x:v>2.3109796469</x:v>
      </x:c>
      <x:c r="N38" s="24" t="str">
        <x:v>sardina pilchardus</x:v>
      </x:c>
      <x:c r="O38" s="32" t="n">
        <x:v>3.06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Sardina pilchardus</x:v>
      </x:c>
      <x:c r="T38" s="32" t="n">
        <x:f>IF(O38="","",(1/'Metadata'!$B$5)^(O38-1))</x:f>
        <x:v>114.81536214968828</x:v>
      </x:c>
      <x:c r="U38" s="31" t="n">
        <x:f>IF(T38="","",I38*T38)</x:f>
        <x:v>265.3359650793822</x:v>
      </x:c>
    </x:row>
    <x:row r="39" ht="18" customHeight="1">
      <x:c r="A39" s="24" t="str">
        <x:v>EEZ_647</x:v>
      </x:c>
      <x:c r="B39" s="24" t="str">
        <x:v>Russia (Black Sea)</x:v>
      </x:c>
      <x:c r="C39" s="24" t="str">
        <x:v>EEZ</x:v>
      </x:c>
      <x:c r="D39" s="30" t="n">
        <x:v>2019</x:v>
      </x:c>
      <x:c r="E39" s="24" t="str">
        <x:v>Alosa</x:v>
      </x:c>
      <x:c r="F39" s="24" t="str">
        <x:v>Shads</x:v>
      </x:c>
      <x:c r="G39" s="24" t="str">
        <x:v>Medium pelagics (30 - 89 cm)</x:v>
      </x:c>
      <x:c r="H39" s="24" t="str">
        <x:v>Herring-likes</x:v>
      </x:c>
      <x:c r="I39" s="31" t="n">
        <x:v>2</x:v>
      </x:c>
      <x:c r="J39" s="31" t="n">
        <x:v>2</x:v>
      </x:c>
      <x:c r="K39" s="31" t="n">
        <x:v>0</x:v>
      </x:c>
      <x:c r="L39" s="31" t="n">
        <x:v>2</x:v>
      </x:c>
      <x:c r="M39" s="31" t="n">
        <x:v>0</x:v>
      </x:c>
      <x:c r="N39" s="24" t="str">
        <x:v>alosa</x:v>
      </x:c>
      <x:c r="O39" s="32" t="n">
        <x:v>3.89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Alosa</x:v>
      </x:c>
      <x:c r="T39" s="32" t="n">
        <x:f>IF(O39="","",(1/'Metadata'!$B$5)^(O39-1))</x:f>
        <x:v>776.247116628692</x:v>
      </x:c>
      <x:c r="U39" s="31" t="n">
        <x:f>IF(T39="","",I39*T39)</x:f>
        <x:v>1552.494233257384</x:v>
      </x:c>
    </x:row>
    <x:row r="40" ht="18" customHeight="1">
      <x:c r="A40" s="24" t="str">
        <x:v>EEZ_647</x:v>
      </x:c>
      <x:c r="B40" s="24" t="str">
        <x:v>Russia (Black Sea)</x:v>
      </x:c>
      <x:c r="C40" s="24" t="str">
        <x:v>EEZ</x:v>
      </x:c>
      <x:c r="D40" s="30" t="n">
        <x:v>2019</x:v>
      </x:c>
      <x:c r="E40" s="24" t="str">
        <x:v>Mugilidae</x:v>
      </x:c>
      <x:c r="F40" s="24" t="str">
        <x:v>Mullets, grey mullets</x:v>
      </x:c>
      <x:c r="G40" s="24" t="str">
        <x:v>Medium reef assoc. fish (30 - 89 cm)</x:v>
      </x:c>
      <x:c r="H40" s="24" t="str">
        <x:v>Perch-likes</x:v>
      </x:c>
      <x:c r="I40" s="31" t="n">
        <x:v>0.21250806009999998</x:v>
      </x:c>
      <x:c r="J40" s="31" t="n">
        <x:v>0.21250806009999998</x:v>
      </x:c>
      <x:c r="K40" s="31" t="n">
        <x:v>0</x:v>
      </x:c>
      <x:c r="L40" s="31" t="n">
        <x:v>0</x:v>
      </x:c>
      <x:c r="M40" s="31" t="n">
        <x:v>0.21250806009999998</x:v>
      </x:c>
      <x:c r="N40" s="24" t="str">
        <x:v>mugilidae</x:v>
      </x:c>
      <x:c r="O40" s="32" t="n">
        <x:v>2.53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Mugilidae</x:v>
      </x:c>
      <x:c r="T40" s="32" t="n">
        <x:f>IF(O40="","",(1/'Metadata'!$B$5)^(O40-1))</x:f>
        <x:v>33.88441561392024</x:v>
      </x:c>
      <x:c r="U40" s="31" t="n">
        <x:f>IF(T40="","",I40*T40)</x:f>
        <x:v>7.20071142973634</x:v>
      </x:c>
    </x:row>
    <x:row r="41" ht="18" customHeight="1">
      <x:c r="A41" s="24" t="str">
        <x:v>EEZ_647</x:v>
      </x:c>
      <x:c r="B41" s="24" t="str">
        <x:v>Russia (Black Sea)</x:v>
      </x:c>
      <x:c r="C41" s="24" t="str">
        <x:v>EEZ</x:v>
      </x:c>
      <x:c r="D41" s="30" t="n">
        <x:v>2019</x:v>
      </x:c>
      <x:c r="E41" s="24" t="str">
        <x:v>Chondrichthyes</x:v>
      </x:c>
      <x:c r="F41" s="24" t="str">
        <x:v>Sharks, rays, chimaeras</x:v>
      </x:c>
      <x:c r="G41" s="24" t="str">
        <x:v>Large sharks (&gt;=90 cm)</x:v>
      </x:c>
      <x:c r="H41" s="24" t="str">
        <x:v>Sharks &amp; rays</x:v>
      </x:c>
      <x:c r="I41" s="31" t="n">
        <x:v>0.009604722100000001</x:v>
      </x:c>
      <x:c r="J41" s="31" t="n">
        <x:v>0.009604722100000001</x:v>
      </x:c>
      <x:c r="K41" s="31" t="n">
        <x:v>0</x:v>
      </x:c>
      <x:c r="L41" s="31" t="n">
        <x:v>0</x:v>
      </x:c>
      <x:c r="M41" s="31" t="n">
        <x:v>0.009604722100000001</x:v>
      </x:c>
      <x:c r="N41" s="24" t="str">
        <x:v>chondrichthyes</x:v>
      </x:c>
      <x:c r="O41" s="32" t="n">
        <x:v>4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Chondrichthyes</x:v>
      </x:c>
      <x:c r="T41" s="32" t="n">
        <x:f>IF(O41="","",(1/'Metadata'!$B$5)^(O41-1))</x:f>
        <x:v>1000</x:v>
      </x:c>
      <x:c r="U41" s="31" t="n">
        <x:f>IF(T41="","",I41*T41)</x:f>
        <x:v>9.6047221</x:v>
      </x:c>
    </x:row>
  </x:sheetData>
  <x:conditionalFormatting sqref="R2:R4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38fd5d2d8fc14e8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70165.79548236</x:v>
      </x:c>
      <x:c r="E2" s="31" t="n">
        <x:v>70165.79548236</x:v>
      </x:c>
      <x:c r="F2" s="32" t="n">
        <x:v>0</x:v>
      </x:c>
      <x:c r="G2" s="34" t="n">
        <x:v>1</x:v>
      </x:c>
      <x:c r="H2" s="32" t="n">
        <x:f>IF(E2=0,"",I2/E2)</x:f>
        <x:v>128.82495516931337</x:v>
      </x:c>
      <x:c r="I2" s="31" t="n">
        <x:f>IF(C2=0,"",SUMIF('Species'!$H$2:$H$41,A2,'Species'!$U$2:$U$41))</x:f>
        <x:v>9039105.457434237</x:v>
      </x:c>
      <x:c r="J2" s="32" t="n">
        <x:v>3.11</x:v>
      </x:c>
      <x:c r="K2" s="32" t="n">
        <x:f>IF(J2="","",(1/'Metadata'!$B$5)^(J2-1))</x:f>
        <x:v>128.82495516931337</x:v>
      </x:c>
      <x:c r="L2" s="31" t="n">
        <x:f>IF(E2=0,"",E2*K2)</x:f>
        <x:v>9039105.457434237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1</x:v>
      </x:c>
      <x:c r="C3" s="33" t="n">
        <x:v>1</x:v>
      </x:c>
      <x:c r="D3" s="31" t="n">
        <x:v>1939.647538725</x:v>
      </x:c>
      <x:c r="E3" s="31" t="n">
        <x:v>1939.647538725</x:v>
      </x:c>
      <x:c r="F3" s="32" t="n">
        <x:v>0</x:v>
      </x:c>
      <x:c r="G3" s="34" t="n">
        <x:v>1</x:v>
      </x:c>
      <x:c r="H3" s="32" t="n">
        <x:f>IF(E3=0,"",I3/E3)</x:f>
        <x:v>2290.867652767775</x:v>
      </x:c>
      <x:c r="I3" s="31" t="n">
        <x:f>IF(C3=0,"",SUMIF('Species'!$H$2:$H$41,A3,'Species'!$U$2:$U$41))</x:f>
        <x:v>4443475.804235732</x:v>
      </x:c>
      <x:c r="J3" s="32" t="n">
        <x:v>4.36</x:v>
      </x:c>
      <x:c r="K3" s="32" t="n">
        <x:f>IF(J3="","",(1/'Metadata'!$B$5)^(J3-1))</x:f>
        <x:v>2290.867652767775</x:v>
      </x:c>
      <x:c r="L3" s="31" t="n">
        <x:f>IF(E3=0,"",E3*K3)</x:f>
        <x:v>4443475.804235732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Crustaceans</x:v>
      </x:c>
      <x:c r="B4" s="33" t="n">
        <x:v>3</x:v>
      </x:c>
      <x:c r="C4" s="33" t="n">
        <x:v>3</x:v>
      </x:c>
      <x:c r="D4" s="31" t="n">
        <x:v>1637.7274376392002</x:v>
      </x:c>
      <x:c r="E4" s="31" t="n">
        <x:v>1637.7274376392002</x:v>
      </x:c>
      <x:c r="F4" s="32" t="n">
        <x:v>0</x:v>
      </x:c>
      <x:c r="G4" s="34" t="n">
        <x:v>1</x:v>
      </x:c>
      <x:c r="H4" s="32" t="n">
        <x:f>IF(E4=0,"",I4/E4)</x:f>
        <x:v>91.90854357279332</x:v>
      </x:c>
      <x:c r="I4" s="31" t="n">
        <x:f>IF(C4=0,"",SUMIF('Species'!$H$2:$H$41,A4,'Species'!$U$2:$U$41))</x:f>
        <x:v>150521.14356262158</x:v>
      </x:c>
      <x:c r="J4" s="32" t="n">
        <x:v>2.8465528989928437</x:v>
      </x:c>
      <x:c r="K4" s="32" t="n">
        <x:f>IF(J4="","",(1/'Metadata'!$B$5)^(J4-1))</x:f>
        <x:v>70.23488877334256</x:v>
      </x:c>
      <x:c r="L4" s="31" t="n">
        <x:f>IF(E4=0,"",E4*K4)</x:f>
        <x:v>115025.60442364054</x:v>
      </x:c>
      <x:c r="M4" s="31" t="n">
        <x:f>IF(E4=0,"",I4-L4)</x:f>
        <x:v>35495.53913898104</x:v>
      </x:c>
      <x:c r="N4" s="32" t="n">
        <x:f>IF(L4=0,"",I4/L4)</x:f>
        <x:v>1.3085881558009518</x:v>
      </x:c>
      <x:c r="O4" s="34" t="n">
        <x:f>IF(L4=0,"",M4/L4)</x:f>
        <x:v>0.3085881558009518</x:v>
      </x:c>
    </x:row>
    <x:row r="5" ht="18" customHeight="1">
      <x:c r="A5" s="24" t="str">
        <x:v>Flatfishes</x:v>
      </x:c>
      <x:c r="B5" s="33" t="n">
        <x:v>2</x:v>
      </x:c>
      <x:c r="C5" s="33" t="n">
        <x:v>2</x:v>
      </x:c>
      <x:c r="D5" s="31" t="n">
        <x:v>884.9812383069</x:v>
      </x:c>
      <x:c r="E5" s="31" t="n">
        <x:v>884.9812383069</x:v>
      </x:c>
      <x:c r="F5" s="32" t="n">
        <x:v>0</x:v>
      </x:c>
      <x:c r="G5" s="34" t="n">
        <x:v>1</x:v>
      </x:c>
      <x:c r="H5" s="32" t="n">
        <x:f>IF(E5=0,"",I5/E5)</x:f>
        <x:v>1137.5150970817683</x:v>
      </x:c>
      <x:c r="I5" s="31" t="n">
        <x:f>IF(C5=0,"",SUMIF('Species'!$H$2:$H$41,A5,'Species'!$U$2:$U$41))</x:f>
        <x:v>1006679.5192082168</x:v>
      </x:c>
      <x:c r="J5" s="32" t="n">
        <x:v>3.885278420895203</x:v>
      </x:c>
      <x:c r="K5" s="32" t="n">
        <x:f>IF(J5="","",(1/'Metadata'!$B$5)^(J5-1))</x:f>
        <x:v>767.8535931770657</x:v>
      </x:c>
      <x:c r="L5" s="31" t="n">
        <x:f>IF(E5=0,"",E5*K5)</x:f>
        <x:v>679536.0237282423</x:v>
      </x:c>
      <x:c r="M5" s="31" t="n">
        <x:f>IF(E5=0,"",I5-L5)</x:f>
        <x:v>327143.49547997455</x:v>
      </x:c>
      <x:c r="N5" s="32" t="n">
        <x:f>IF(L5=0,"",I5/L5)</x:f>
        <x:v>1.4814218585279957</x:v>
      </x:c>
      <x:c r="O5" s="34" t="n">
        <x:f>IF(L5=0,"",M5/L5)</x:f>
        <x:v>0.4814218585279957</x:v>
      </x:c>
    </x:row>
    <x:row r="6" ht="18" customHeight="1">
      <x:c r="A6" s="24" t="str">
        <x:v>Herring-likes</x:v>
      </x:c>
      <x:c r="B6" s="33" t="n">
        <x:v>5</x:v>
      </x:c>
      <x:c r="C6" s="33" t="n">
        <x:v>5</x:v>
      </x:c>
      <x:c r="D6" s="31" t="n">
        <x:v>34887.7595025061</x:v>
      </x:c>
      <x:c r="E6" s="31" t="n">
        <x:v>34887.7595025061</x:v>
      </x:c>
      <x:c r="F6" s="32" t="n">
        <x:v>0</x:v>
      </x:c>
      <x:c r="G6" s="34" t="n">
        <x:v>1</x:v>
      </x:c>
      <x:c r="H6" s="32" t="n">
        <x:f>IF(E6=0,"",I6/E6)</x:f>
        <x:v>109.8506517557637</x:v>
      </x:c>
      <x:c r="I6" s="31" t="n">
        <x:f>IF(C6=0,"",SUMIF('Species'!$H$2:$H$41,A6,'Species'!$U$2:$U$41))</x:f>
        <x:v>3832443.119648634</x:v>
      </x:c>
      <x:c r="J6" s="32" t="n">
        <x:v>3.017553642559179</x:v>
      </x:c>
      <x:c r="K6" s="32" t="n">
        <x:f>IF(J6="","",(1/'Metadata'!$B$5)^(J6-1))</x:f>
        <x:v>104.1246710889697</x:v>
      </x:c>
      <x:c r="L6" s="31" t="n">
        <x:f>IF(E6=0,"",E6*K6)</x:f>
        <x:v>3632676.4832295254</x:v>
      </x:c>
      <x:c r="M6" s="31" t="n">
        <x:f>IF(E6=0,"",I6-L6)</x:f>
        <x:v>199766.6364191086</x:v>
      </x:c>
      <x:c r="N6" s="32" t="n">
        <x:f>IF(L6=0,"",I6/L6)</x:f>
        <x:v>1.054991584673544</x:v>
      </x:c>
      <x:c r="O6" s="34" t="n">
        <x:f>IF(L6=0,"",M6/L6)</x:f>
        <x:v>0.05499158467354403</x:v>
      </x:c>
    </x:row>
    <x:row r="7" ht="18" customHeight="1">
      <x:c r="A7" s="24" t="str">
        <x:v>Molluscs</x:v>
      </x:c>
      <x:c r="B7" s="33" t="n">
        <x:v>1</x:v>
      </x:c>
      <x:c r="C7" s="33" t="n">
        <x:v>1</x:v>
      </x:c>
      <x:c r="D7" s="31" t="n">
        <x:v>366.3050517662</x:v>
      </x:c>
      <x:c r="E7" s="31" t="n">
        <x:v>366.3050517662</x:v>
      </x:c>
      <x:c r="F7" s="32" t="n">
        <x:v>0</x:v>
      </x:c>
      <x:c r="G7" s="34" t="n">
        <x:v>1</x:v>
      </x:c>
      <x:c r="H7" s="32" t="n">
        <x:f>IF(E7=0,"",I7/E7)</x:f>
        <x:v>48.97788193684461</x:v>
      </x:c>
      <x:c r="I7" s="31" t="n">
        <x:f>IF(C7=0,"",SUMIF('Species'!$H$2:$H$41,A7,'Species'!$U$2:$U$41))</x:f>
        <x:v>17940.845578274697</x:v>
      </x:c>
      <x:c r="J7" s="32" t="n">
        <x:v>2.69</x:v>
      </x:c>
      <x:c r="K7" s="32" t="n">
        <x:f>IF(J7="","",(1/'Metadata'!$B$5)^(J7-1))</x:f>
        <x:v>48.97788193684461</x:v>
      </x:c>
      <x:c r="L7" s="31" t="n">
        <x:f>IF(E7=0,"",E7*K7)</x:f>
        <x:v>17940.845578274697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Other fishes &amp; inverts</x:v>
      </x:c>
      <x:c r="B8" s="33" t="n">
        <x:v>7</x:v>
      </x:c>
      <x:c r="C8" s="33" t="n">
        <x:v>7</x:v>
      </x:c>
      <x:c r="D8" s="31" t="n">
        <x:v>15671.3705385095</x:v>
      </x:c>
      <x:c r="E8" s="31" t="n">
        <x:v>15671.3705385095</x:v>
      </x:c>
      <x:c r="F8" s="32" t="n">
        <x:v>0</x:v>
      </x:c>
      <x:c r="G8" s="34" t="n">
        <x:v>1</x:v>
      </x:c>
      <x:c r="H8" s="32" t="n">
        <x:f>IF(E8=0,"",I8/E8)</x:f>
        <x:v>175.49023634274826</x:v>
      </x:c>
      <x:c r="I8" s="31" t="n">
        <x:f>IF(C8=0,"",SUMIF('Species'!$H$2:$H$41,A8,'Species'!$U$2:$U$41))</x:f>
        <x:v>2750172.519617814</x:v>
      </x:c>
      <x:c r="J8" s="32" t="n">
        <x:v>3.203849972762083</x:v>
      </x:c>
      <x:c r="K8" s="32" t="n">
        <x:f>IF(J8="","",(1/'Metadata'!$B$5)^(J8-1))</x:f>
        <x:v>159.90055559548503</x:v>
      </x:c>
      <x:c r="L8" s="31" t="n">
        <x:f>IF(E8=0,"",E8*K8)</x:f>
        <x:v>2505860.8560503847</x:v>
      </x:c>
      <x:c r="M8" s="31" t="n">
        <x:f>IF(E8=0,"",I8-L8)</x:f>
        <x:v>244311.6635674294</x:v>
      </x:c>
      <x:c r="N8" s="32" t="n">
        <x:f>IF(L8=0,"",I8/L8)</x:f>
        <x:v>1.097496101181173</x:v>
      </x:c>
      <x:c r="O8" s="34" t="n">
        <x:f>IF(L8=0,"",M8/L8)</x:f>
        <x:v>0.09749610118117312</x:v>
      </x:c>
    </x:row>
    <x:row r="9" ht="18" customHeight="1">
      <x:c r="A9" s="24" t="str">
        <x:v>Perch-likes</x:v>
      </x:c>
      <x:c r="B9" s="33" t="n">
        <x:v>10</x:v>
      </x:c>
      <x:c r="C9" s="33" t="n">
        <x:v>10</x:v>
      </x:c>
      <x:c r="D9" s="31" t="n">
        <x:v>23564.9454957405</x:v>
      </x:c>
      <x:c r="E9" s="31" t="n">
        <x:v>23564.9454957405</x:v>
      </x:c>
      <x:c r="F9" s="32" t="n">
        <x:v>0</x:v>
      </x:c>
      <x:c r="G9" s="34" t="n">
        <x:v>1</x:v>
      </x:c>
      <x:c r="H9" s="32" t="n">
        <x:f>IF(E9=0,"",I9/E9)</x:f>
        <x:v>272.4124462134531</x:v>
      </x:c>
      <x:c r="I9" s="31" t="n">
        <x:f>IF(C9=0,"",SUMIF('Species'!$H$2:$H$41,A9,'Species'!$U$2:$U$41))</x:f>
        <x:v>6419384.447381362</x:v>
      </x:c>
      <x:c r="J9" s="32" t="n">
        <x:v>3.2398622746094845</x:v>
      </x:c>
      <x:c r="K9" s="32" t="n">
        <x:f>IF(J9="","",(1/'Metadata'!$B$5)^(J9-1))</x:f>
        <x:v>173.72498170244026</x:v>
      </x:c>
      <x:c r="L9" s="31" t="n">
        <x:f>IF(E9=0,"",E9*K9)</x:f>
        <x:v>4093819.7250665203</x:v>
      </x:c>
      <x:c r="M9" s="31" t="n">
        <x:f>IF(E9=0,"",I9-L9)</x:f>
        <x:v>2325564.722314842</x:v>
      </x:c>
      <x:c r="N9" s="32" t="n">
        <x:f>IF(L9=0,"",I9/L9)</x:f>
        <x:v>1.568067203368867</x:v>
      </x:c>
      <x:c r="O9" s="34" t="n">
        <x:f>IF(L9=0,"",M9/L9)</x:f>
        <x:v>0.568067203368867</x:v>
      </x:c>
    </x:row>
    <x:row r="10" ht="18" customHeight="1">
      <x:c r="A10" s="24" t="str">
        <x:v>Salmon, smelts, etc</x:v>
      </x:c>
      <x:c r="B10" s="33" t="n">
        <x:v>1</x:v>
      </x:c>
      <x:c r="C10" s="33" t="n">
        <x:v>1</x:v>
      </x:c>
      <x:c r="D10" s="31" t="n">
        <x:v>48.8472323301</x:v>
      </x:c>
      <x:c r="E10" s="31" t="n">
        <x:v>48.8472323301</x:v>
      </x:c>
      <x:c r="F10" s="32" t="n">
        <x:v>0</x:v>
      </x:c>
      <x:c r="G10" s="34" t="n">
        <x:v>1</x:v>
      </x:c>
      <x:c r="H10" s="32" t="n">
        <x:f>IF(E10=0,"",I10/E10)</x:f>
        <x:v>1174.8975549395302</x:v>
      </x:c>
      <x:c r="I10" s="31" t="n">
        <x:f>IF(C10=0,"",SUMIF('Species'!$H$2:$H$41,A10,'Species'!$U$2:$U$41))</x:f>
        <x:v>57390.49383019766</x:v>
      </x:c>
      <x:c r="J10" s="32" t="n">
        <x:v>4.07</x:v>
      </x:c>
      <x:c r="K10" s="32" t="n">
        <x:f>IF(J10="","",(1/'Metadata'!$B$5)^(J10-1))</x:f>
        <x:v>1174.8975549395302</x:v>
      </x:c>
      <x:c r="L10" s="31" t="n">
        <x:f>IF(E10=0,"",E10*K10)</x:f>
        <x:v>57390.49383019766</x:v>
      </x:c>
      <x:c r="M10" s="31" t="n">
        <x:f>IF(E10=0,"",I10-L10)</x:f>
        <x:v>0</x:v>
      </x:c>
      <x:c r="N10" s="32" t="n">
        <x:f>IF(L10=0,"",I10/L10)</x:f>
        <x:v>1</x:v>
      </x:c>
      <x:c r="O10" s="34" t="n">
        <x:f>IF(L10=0,"",M10/L10)</x:f>
        <x:v>0</x:v>
      </x:c>
    </x:row>
    <x:row r="11" ht="18" customHeight="1">
      <x:c r="A11" s="24" t="str">
        <x:v>Scorpionfishes</x:v>
      </x:c>
      <x:c r="B11" s="33" t="n">
        <x:v>2</x:v>
      </x:c>
      <x:c r="C11" s="33" t="n">
        <x:v>2</x:v>
      </x:c>
      <x:c r="D11" s="31" t="n">
        <x:v>529.7486380321</x:v>
      </x:c>
      <x:c r="E11" s="31" t="n">
        <x:v>529.7486380321</x:v>
      </x:c>
      <x:c r="F11" s="32" t="n">
        <x:v>0</x:v>
      </x:c>
      <x:c r="G11" s="34" t="n">
        <x:v>1</x:v>
      </x:c>
      <x:c r="H11" s="32" t="n">
        <x:f>IF(E11=0,"",I11/E11)</x:f>
        <x:v>741.9932333715553</x:v>
      </x:c>
      <x:c r="I11" s="31" t="n">
        <x:f>IF(C11=0,"",SUMIF('Species'!$H$2:$H$41,A11,'Species'!$U$2:$U$41))</x:f>
        <x:v>393069.90480761556</x:v>
      </x:c>
      <x:c r="J11" s="32" t="n">
        <x:v>3.8703775375444907</x:v>
      </x:c>
      <x:c r="K11" s="32" t="n">
        <x:f>IF(J11="","",(1/'Metadata'!$B$5)^(J11-1))</x:f>
        <x:v>741.9549516148068</x:v>
      </x:c>
      <x:c r="L11" s="31" t="n">
        <x:f>IF(E11=0,"",E11*K11)</x:f>
        <x:v>393049.6250991165</x:v>
      </x:c>
      <x:c r="M11" s="31" t="n">
        <x:f>IF(E11=0,"",I11-L11)</x:f>
        <x:v>20.279708499030676</x:v>
      </x:c>
      <x:c r="N11" s="32" t="n">
        <x:f>IF(L11=0,"",I11/L11)</x:f>
        <x:v>1.0000515957965712</x:v>
      </x:c>
      <x:c r="O11" s="34" t="n">
        <x:f>IF(L11=0,"",M11/L11)</x:f>
        <x:v>0.00005159579657127692</x:v>
      </x:c>
    </x:row>
    <x:row r="12" ht="18" customHeight="1">
      <x:c r="A12" s="24" t="str">
        <x:v>Sharks &amp; rays</x:v>
      </x:c>
      <x:c r="B12" s="33" t="n">
        <x:v>6</x:v>
      </x:c>
      <x:c r="C12" s="33" t="n">
        <x:v>6</x:v>
      </x:c>
      <x:c r="D12" s="31" t="n">
        <x:v>1904.0852989260998</x:v>
      </x:c>
      <x:c r="E12" s="31" t="n">
        <x:v>1904.0852989260998</x:v>
      </x:c>
      <x:c r="F12" s="32" t="n">
        <x:v>0</x:v>
      </x:c>
      <x:c r="G12" s="34" t="n">
        <x:v>1</x:v>
      </x:c>
      <x:c r="H12" s="32" t="n">
        <x:f>IF(E12=0,"",I12/E12)</x:f>
        <x:v>957.0710087325651</x:v>
      </x:c>
      <x:c r="I12" s="31" t="n">
        <x:f>IF(C12=0,"",SUMIF('Species'!$H$2:$H$41,A12,'Species'!$U$2:$U$41))</x:f>
        <x:v>1822344.83775605</x:v>
      </x:c>
      <x:c r="J12" s="32" t="n">
        <x:v>3.7716586399258554</x:v>
      </x:c>
      <x:c r="K12" s="32" t="n">
        <x:f>IF(J12="","",(1/'Metadata'!$B$5)^(J12-1))</x:f>
        <x:v>591.0968431390443</x:v>
      </x:c>
      <x:c r="L12" s="31" t="n">
        <x:f>IF(E12=0,"",E12*K12)</x:f>
        <x:v>1125498.809262681</x:v>
      </x:c>
      <x:c r="M12" s="31" t="n">
        <x:f>IF(E12=0,"",I12-L12)</x:f>
        <x:v>696846.028493369</x:v>
      </x:c>
      <x:c r="N12" s="32" t="n">
        <x:f>IF(L12=0,"",I12/L12)</x:f>
        <x:v>1.619144172129223</x:v>
      </x:c>
      <x:c r="O12" s="34" t="n">
        <x:f>IF(L12=0,"",M12/L12)</x:f>
        <x:v>0.619144172129223</x:v>
      </x:c>
    </x:row>
    <x:row r="13" ht="18" customHeight="1">
      <x:c r="A13" s="24" t="str">
        <x:v>Tuna &amp; billfishes</x:v>
      </x:c>
      <x:c r="B13" s="33" t="n">
        <x:v>1</x:v>
      </x:c>
      <x:c r="C13" s="33" t="n">
        <x:v>1</x:v>
      </x:c>
      <x:c r="D13" s="31" t="n">
        <x:v>170.2418964819</x:v>
      </x:c>
      <x:c r="E13" s="31" t="n">
        <x:v>170.2418964819</x:v>
      </x:c>
      <x:c r="F13" s="32" t="n">
        <x:v>0</x:v>
      </x:c>
      <x:c r="G13" s="34" t="n">
        <x:v>1</x:v>
      </x:c>
      <x:c r="H13" s="32" t="n">
        <x:f>IF(E13=0,"",I13/E13)</x:f>
        <x:v>3162.27766016838</x:v>
      </x:c>
      <x:c r="I13" s="31" t="n">
        <x:f>IF(C13=0,"",SUMIF('Species'!$H$2:$H$41,A13,'Species'!$U$2:$U$41))</x:f>
        <x:v>538352.1460694103</x:v>
      </x:c>
      <x:c r="J13" s="32" t="n">
        <x:v>4.5</x:v>
      </x:c>
      <x:c r="K13" s="32" t="n">
        <x:f>IF(J13="","",(1/'Metadata'!$B$5)^(J13-1))</x:f>
        <x:v>3162.2776601683795</x:v>
      </x:c>
      <x:c r="L13" s="31" t="n">
        <x:f>IF(E13=0,"",E13*K13)</x:f>
        <x:v>538352.1460694103</x:v>
      </x:c>
      <x:c r="M13" s="31" t="n">
        <x:f>IF(E13=0,"",I13-L13)</x:f>
        <x:v>0</x:v>
      </x:c>
      <x:c r="N13" s="32" t="n">
        <x:f>IF(L13=0,"",I13/L13)</x:f>
        <x:v>1</x:v>
      </x:c>
      <x:c r="O13" s="34" t="n">
        <x:f>IF(L13=0,"",M13/L13)</x:f>
        <x:v>0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b13d672f7d7340f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benthopelagics (&gt;=90 cm)</x:v>
      </x:c>
      <x:c r="B2" s="33" t="n">
        <x:v>2</x:v>
      </x:c>
      <x:c r="C2" s="33" t="n">
        <x:v>2</x:v>
      </x:c>
      <x:c r="D2" s="31" t="n">
        <x:v>597</x:v>
      </x:c>
      <x:c r="E2" s="31" t="n">
        <x:v>597</x:v>
      </x:c>
      <x:c r="F2" s="32" t="n">
        <x:v>0</x:v>
      </x:c>
      <x:c r="G2" s="34" t="n">
        <x:v>1</x:v>
      </x:c>
      <x:c r="H2" s="32" t="n">
        <x:f>IF(E2=0,"",I2/E2)</x:f>
        <x:v>14.311438221424124</x:v>
      </x:c>
      <x:c r="I2" s="31" t="n">
        <x:f>IF(C2=0,"",SUMIF('Species'!$G$2:$G$41,A2,'Species'!$U$2:$U$41))</x:f>
        <x:v>8543.928618190203</x:v>
      </x:c>
      <x:c r="J2" s="32" t="n">
        <x:v>2.1446231155778896</x:v>
      </x:c>
      <x:c r="K2" s="32" t="n">
        <x:f>IF(J2="","",(1/'Metadata'!$B$5)^(J2-1))</x:f>
        <x:v>13.951571064344368</x:v>
      </x:c>
      <x:c r="L2" s="31" t="n">
        <x:f>IF(E2=0,"",E2*K2)</x:f>
        <x:v>8329.087925413587</x:v>
      </x:c>
      <x:c r="M2" s="31" t="n">
        <x:f>IF(E2=0,"",I2-L2)</x:f>
        <x:v>214.84069277661547</x:v>
      </x:c>
      <x:c r="N2" s="32" t="n">
        <x:f>IF(L2=0,"",I2/L2)</x:f>
        <x:v>1.025794023871581</x:v>
      </x:c>
      <x:c r="O2" s="34" t="n">
        <x:f>IF(L2=0,"",M2/L2)</x:f>
        <x:v>0.02579402387158104</x:v>
      </x:c>
    </x:row>
    <x:row r="3" ht="18" customHeight="1">
      <x:c r="A3" s="24" t="str">
        <x:v>Large demersals (&gt;=90 cm)</x:v>
      </x:c>
      <x:c r="B3" s="33" t="n">
        <x:v>2</x:v>
      </x:c>
      <x:c r="C3" s="33" t="n">
        <x:v>2</x:v>
      </x:c>
      <x:c r="D3" s="31" t="n">
        <x:v>61.2321485842</x:v>
      </x:c>
      <x:c r="E3" s="31" t="n">
        <x:v>61.2321485842</x:v>
      </x:c>
      <x:c r="F3" s="32" t="n">
        <x:v>0</x:v>
      </x:c>
      <x:c r="G3" s="34" t="n">
        <x:v>1</x:v>
      </x:c>
      <x:c r="H3" s="32" t="n">
        <x:f>IF(E3=0,"",I3/E3)</x:f>
        <x:v>1017.7826393264991</x:v>
      </x:c>
      <x:c r="I3" s="31" t="n">
        <x:f>IF(C3=0,"",SUMIF('Species'!$G$2:$G$41,A3,'Species'!$U$2:$U$41))</x:f>
        <x:v>62321.01779765943</x:v>
      </x:c>
      <x:c r="J3" s="32" t="n">
        <x:v>3.9749370179878194</x:v>
      </x:c>
      <x:c r="K3" s="32" t="n">
        <x:f>IF(J3="","",(1/'Metadata'!$B$5)^(J3-1))</x:f>
        <x:v>943.9239771428512</x:v>
      </x:c>
      <x:c r="L3" s="31" t="n">
        <x:f>IF(E3=0,"",E3*K3)</x:f>
        <x:v>57798.49322060007</x:v>
      </x:c>
      <x:c r="M3" s="31" t="n">
        <x:f>IF(E3=0,"",I3-L3)</x:f>
        <x:v>4522.524577059361</x:v>
      </x:c>
      <x:c r="N3" s="32" t="n">
        <x:f>IF(L3=0,"",I3/L3)</x:f>
        <x:v>1.0782464096390576</x:v>
      </x:c>
      <x:c r="O3" s="34" t="n">
        <x:f>IF(L3=0,"",M3/L3)</x:f>
        <x:v>0.0782464096390575</x:v>
      </x:c>
    </x:row>
    <x:row r="4" ht="18" customHeight="1">
      <x:c r="A4" s="24" t="str">
        <x:v>Large flatfishes (&gt;=90 cm)</x:v>
      </x:c>
      <x:c r="B4" s="33" t="n">
        <x:v>1</x:v>
      </x:c>
      <x:c r="C4" s="33" t="n">
        <x:v>1</x:v>
      </x:c>
      <x:c r="D4" s="31" t="n">
        <x:v>353.18416118389996</x:v>
      </x:c>
      <x:c r="E4" s="31" t="n">
        <x:v>353.18416118389996</x:v>
      </x:c>
      <x:c r="F4" s="32" t="n">
        <x:v>0</x:v>
      </x:c>
      <x:c r="G4" s="34" t="n">
        <x:v>1</x:v>
      </x:c>
      <x:c r="H4" s="32" t="n">
        <x:f>IF(E4=0,"",I4/E4)</x:f>
        <x:v>2290.867652767775</x:v>
      </x:c>
      <x:c r="I4" s="31" t="n">
        <x:f>IF(C4=0,"",SUMIF('Species'!$G$2:$G$41,A4,'Species'!$U$2:$U$41))</x:f>
        <x:v>809098.1703261164</x:v>
      </x:c>
      <x:c r="J4" s="32" t="n">
        <x:v>4.36</x:v>
      </x:c>
      <x:c r="K4" s="32" t="n">
        <x:f>IF(J4="","",(1/'Metadata'!$B$5)^(J4-1))</x:f>
        <x:v>2290.867652767775</x:v>
      </x:c>
      <x:c r="L4" s="31" t="n">
        <x:f>IF(E4=0,"",E4*K4)</x:f>
        <x:v>809098.1703261164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pelagics (&gt;=90 cm)</x:v>
      </x:c>
      <x:c r="B5" s="33" t="n">
        <x:v>1</x:v>
      </x:c>
      <x:c r="C5" s="33" t="n">
        <x:v>1</x:v>
      </x:c>
      <x:c r="D5" s="31" t="n">
        <x:v>437.1987907883</x:v>
      </x:c>
      <x:c r="E5" s="31" t="n">
        <x:v>437.1987907883</x:v>
      </x:c>
      <x:c r="F5" s="32" t="n">
        <x:v>0</x:v>
      </x:c>
      <x:c r="G5" s="34" t="n">
        <x:v>1</x:v>
      </x:c>
      <x:c r="H5" s="32" t="n">
        <x:f>IF(E5=0,"",I5/E5)</x:f>
        <x:v>3388.4415613920273</x:v>
      </x:c>
      <x:c r="I5" s="31" t="n">
        <x:f>IF(C5=0,"",SUMIF('Species'!$G$2:$G$41,A5,'Species'!$U$2:$U$41))</x:f>
        <x:v>1481422.5532974135</x:v>
      </x:c>
      <x:c r="J5" s="32" t="n">
        <x:v>4.53</x:v>
      </x:c>
      <x:c r="K5" s="32" t="n">
        <x:f>IF(J5="","",(1/'Metadata'!$B$5)^(J5-1))</x:f>
        <x:v>3388.4415613920273</x:v>
      </x:c>
      <x:c r="L5" s="31" t="n">
        <x:f>IF(E5=0,"",E5*K5)</x:f>
        <x:v>1481422.5532974135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Large rays (&gt;=90 cm)</x:v>
      </x:c>
      <x:c r="B6" s="33" t="n">
        <x:v>3</x:v>
      </x:c>
      <x:c r="C6" s="33" t="n">
        <x:v>3</x:v>
      </x:c>
      <x:c r="D6" s="31" t="n">
        <x:v>1239.9912485128</x:v>
      </x:c>
      <x:c r="E6" s="31" t="n">
        <x:v>1239.9912485128</x:v>
      </x:c>
      <x:c r="F6" s="32" t="n">
        <x:v>0</x:v>
      </x:c>
      <x:c r="G6" s="34" t="n">
        <x:v>1</x:v>
      </x:c>
      <x:c r="H6" s="32" t="n">
        <x:f>IF(E6=0,"",I6/E6)</x:f>
        <x:v>331.17357152344727</x:v>
      </x:c>
      <x:c r="I6" s="31" t="n">
        <x:f>IF(C6=0,"",SUMIF('Species'!$G$2:$G$41,A6,'Species'!$U$2:$U$41))</x:f>
        <x:v>410652.33042780246</x:v>
      </x:c>
      <x:c r="J6" s="32" t="n">
        <x:v>3.481845586384548</x:v>
      </x:c>
      <x:c r="K6" s="32" t="n">
        <x:f>IF(J6="","",(1/'Metadata'!$B$5)^(J6-1))</x:f>
        <x:v>303.28126744435644</x:v>
      </x:c>
      <x:c r="L6" s="31" t="n">
        <x:f>IF(E6=0,"",E6*K6)</x:f>
        <x:v>376066.11746887193</x:v>
      </x:c>
      <x:c r="M6" s="31" t="n">
        <x:f>IF(E6=0,"",I6-L6)</x:f>
        <x:v>34586.212958930526</x:v>
      </x:c>
      <x:c r="N6" s="32" t="n">
        <x:f>IF(L6=0,"",I6/L6)</x:f>
        <x:v>1.0919684368049811</x:v>
      </x:c>
      <x:c r="O6" s="34" t="n">
        <x:f>IF(L6=0,"",M6/L6)</x:f>
        <x:v>0.09196843680498104</x:v>
      </x:c>
    </x:row>
    <x:row r="7" ht="18" customHeight="1">
      <x:c r="A7" s="24" t="str">
        <x:v>Large reef assoc. fish (&gt;=90 cm)</x:v>
      </x:c>
      <x:c r="B7" s="33" t="n">
        <x:v>2</x:v>
      </x:c>
      <x:c r="C7" s="33" t="n">
        <x:v>2</x:v>
      </x:c>
      <x:c r="D7" s="31" t="n">
        <x:v>529.7486380321</x:v>
      </x:c>
      <x:c r="E7" s="31" t="n">
        <x:v>529.7486380321</x:v>
      </x:c>
      <x:c r="F7" s="32" t="n">
        <x:v>0</x:v>
      </x:c>
      <x:c r="G7" s="34" t="n">
        <x:v>1</x:v>
      </x:c>
      <x:c r="H7" s="32" t="n">
        <x:f>IF(E7=0,"",I7/E7)</x:f>
        <x:v>741.9932333715553</x:v>
      </x:c>
      <x:c r="I7" s="31" t="n">
        <x:f>IF(C7=0,"",SUMIF('Species'!$G$2:$G$41,A7,'Species'!$U$2:$U$41))</x:f>
        <x:v>393069.90480761556</x:v>
      </x:c>
      <x:c r="J7" s="32" t="n">
        <x:v>3.8703775375444907</x:v>
      </x:c>
      <x:c r="K7" s="32" t="n">
        <x:f>IF(J7="","",(1/'Metadata'!$B$5)^(J7-1))</x:f>
        <x:v>741.9549516148068</x:v>
      </x:c>
      <x:c r="L7" s="31" t="n">
        <x:f>IF(E7=0,"",E7*K7)</x:f>
        <x:v>393049.6250991165</x:v>
      </x:c>
      <x:c r="M7" s="31" t="n">
        <x:f>IF(E7=0,"",I7-L7)</x:f>
        <x:v>20.279708499030676</x:v>
      </x:c>
      <x:c r="N7" s="32" t="n">
        <x:f>IF(L7=0,"",I7/L7)</x:f>
        <x:v>1.0000515957965712</x:v>
      </x:c>
      <x:c r="O7" s="34" t="n">
        <x:f>IF(L7=0,"",M7/L7)</x:f>
        <x:v>0.00005159579657127692</x:v>
      </x:c>
    </x:row>
    <x:row r="8" ht="18" customHeight="1">
      <x:c r="A8" s="24" t="str">
        <x:v>Large sharks (&gt;=90 cm)</x:v>
      </x:c>
      <x:c r="B8" s="33" t="n">
        <x:v>3</x:v>
      </x:c>
      <x:c r="C8" s="33" t="n">
        <x:v>3</x:v>
      </x:c>
      <x:c r="D8" s="31" t="n">
        <x:v>664.0940504133</x:v>
      </x:c>
      <x:c r="E8" s="31" t="n">
        <x:v>664.0940504133</x:v>
      </x:c>
      <x:c r="F8" s="32" t="n">
        <x:v>0</x:v>
      </x:c>
      <x:c r="G8" s="34" t="n">
        <x:v>1</x:v>
      </x:c>
      <x:c r="H8" s="32" t="n">
        <x:f>IF(E8=0,"",I8/E8)</x:f>
        <x:v>2125.741837996709</x:v>
      </x:c>
      <x:c r="I8" s="31" t="n">
        <x:f>IF(C8=0,"",SUMIF('Species'!$G$2:$G$41,A8,'Species'!$U$2:$U$41))</x:f>
        <x:v>1411692.5073282474</x:v>
      </x:c>
      <x:c r="J8" s="32" t="n">
        <x:v>4.312795320599835</x:v>
      </x:c>
      <x:c r="K8" s="32" t="n">
        <x:f>IF(J8="","",(1/'Metadata'!$B$5)^(J8-1))</x:f>
        <x:v>2054.921900023958</x:v>
      </x:c>
      <x:c r="L8" s="31" t="n">
        <x:f>IF(E8=0,"",E8*K8)</x:f>
        <x:v>1364661.4078699048</x:v>
      </x:c>
      <x:c r="M8" s="31" t="n">
        <x:f>IF(E8=0,"",I8-L8)</x:f>
        <x:v>47031.09945834265</x:v>
      </x:c>
      <x:c r="N8" s="32" t="n">
        <x:f>IF(L8=0,"",I8/L8)</x:f>
        <x:v>1.0344635667038855</x:v>
      </x:c>
      <x:c r="O8" s="34" t="n">
        <x:f>IF(L8=0,"",M8/L8)</x:f>
        <x:v>0.03446356670388542</x:v>
      </x:c>
    </x:row>
    <x:row r="9" ht="18" customHeight="1">
      <x:c r="A9" s="24" t="str">
        <x:v>Lobsters, crabs</x:v>
      </x:c>
      <x:c r="B9" s="33" t="n">
        <x:v>1</x:v>
      </x:c>
      <x:c r="C9" s="33" t="n">
        <x:v>1</x:v>
      </x:c>
      <x:c r="D9" s="31" t="n">
        <x:v>272.0000000002</x:v>
      </x:c>
      <x:c r="E9" s="31" t="n">
        <x:v>272.0000000002</x:v>
      </x:c>
      <x:c r="F9" s="32" t="n">
        <x:v>0</x:v>
      </x:c>
      <x:c r="G9" s="34" t="n">
        <x:v>1</x:v>
      </x:c>
      <x:c r="H9" s="32" t="n">
        <x:f>IF(E9=0,"",I9/E9)</x:f>
        <x:v>269.1534803926917</x:v>
      </x:c>
      <x:c r="I9" s="31" t="n">
        <x:f>IF(C9=0,"",SUMIF('Species'!$G$2:$G$41,A9,'Species'!$U$2:$U$41))</x:f>
        <x:v>73209.74666686596</x:v>
      </x:c>
      <x:c r="J9" s="32" t="n">
        <x:v>3.43</x:v>
      </x:c>
      <x:c r="K9" s="32" t="n">
        <x:f>IF(J9="","",(1/'Metadata'!$B$5)^(J9-1))</x:f>
        <x:v>269.1534803926917</x:v>
      </x:c>
      <x:c r="L9" s="31" t="n">
        <x:f>IF(E9=0,"",E9*K9)</x:f>
        <x:v>73209.74666686596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Medium benthopelagics (30 - 89 cm)</x:v>
      </x:c>
      <x:c r="B10" s="33" t="n">
        <x:v>2</x:v>
      </x:c>
      <x:c r="C10" s="33" t="n">
        <x:v>2</x:v>
      </x:c>
      <x:c r="D10" s="31" t="n">
        <x:v>3893.2077279249997</x:v>
      </x:c>
      <x:c r="E10" s="31" t="n">
        <x:v>3893.2077279249997</x:v>
      </x:c>
      <x:c r="F10" s="32" t="n">
        <x:v>0</x:v>
      </x:c>
      <x:c r="G10" s="34" t="n">
        <x:v>1</x:v>
      </x:c>
      <x:c r="H10" s="32" t="n">
        <x:f>IF(E10=0,"",I10/E10)</x:f>
        <x:v>1188.1700059053499</x:v>
      </x:c>
      <x:c r="I10" s="31" t="n">
        <x:f>IF(C10=0,"",SUMIF('Species'!$G$2:$G$41,A10,'Species'!$U$2:$U$41))</x:f>
        <x:v>4625792.649079401</x:v>
      </x:c>
      <x:c r="J10" s="32" t="n">
        <x:v>3.6625163688259503</x:v>
      </x:c>
      <x:c r="K10" s="32" t="n">
        <x:f>IF(J10="","",(1/'Metadata'!$B$5)^(J10-1))</x:f>
        <x:v>459.74431625017286</x:v>
      </x:c>
      <x:c r="L10" s="31" t="n">
        <x:f>IF(E10=0,"",E10*K10)</x:f>
        <x:v>1789880.124894768</x:v>
      </x:c>
      <x:c r="M10" s="31" t="n">
        <x:f>IF(E10=0,"",I10-L10)</x:f>
        <x:v>2835912.524184633</x:v>
      </x:c>
      <x:c r="N10" s="32" t="n">
        <x:f>IF(L10=0,"",I10/L10)</x:f>
        <x:v>2.584414779929111</x:v>
      </x:c>
      <x:c r="O10" s="34" t="n">
        <x:f>IF(L10=0,"",M10/L10)</x:f>
        <x:v>1.5844147799291106</x:v>
      </x:c>
    </x:row>
    <x:row r="11" ht="18" customHeight="1">
      <x:c r="A11" s="24" t="str">
        <x:v>Medium demersals (30 - 89 cm)</x:v>
      </x:c>
      <x:c r="B11" s="33" t="n">
        <x:v>4</x:v>
      </x:c>
      <x:c r="C11" s="33" t="n">
        <x:v>4</x:v>
      </x:c>
      <x:c r="D11" s="31" t="n">
        <x:v>14744.689702614</x:v>
      </x:c>
      <x:c r="E11" s="31" t="n">
        <x:v>14744.689702614</x:v>
      </x:c>
      <x:c r="F11" s="32" t="n">
        <x:v>0</x:v>
      </x:c>
      <x:c r="G11" s="34" t="n">
        <x:v>1</x:v>
      </x:c>
      <x:c r="H11" s="32" t="n">
        <x:f>IF(E11=0,"",I11/E11)</x:f>
        <x:v>180.27578151480114</x:v>
      </x:c>
      <x:c r="I11" s="31" t="n">
        <x:f>IF(C11=0,"",SUMIF('Species'!$G$2:$G$41,A11,'Species'!$U$2:$U$41))</x:f>
        <x:v>2658110.4593319795</x:v>
      </x:c>
      <x:c r="J11" s="32" t="n">
        <x:v>3.2384491308985113</x:v>
      </x:c>
      <x:c r="K11" s="32" t="n">
        <x:f>IF(J11="","",(1/'Metadata'!$B$5)^(J11-1))</x:f>
        <x:v>173.16061950847302</x:v>
      </x:c>
      <x:c r="L11" s="31" t="n">
        <x:f>IF(E11=0,"",E11*K11)</x:f>
        <x:v>2553199.603364843</x:v>
      </x:c>
      <x:c r="M11" s="31" t="n">
        <x:f>IF(E11=0,"",I11-L11)</x:f>
        <x:v>104910.85596713657</x:v>
      </x:c>
      <x:c r="N11" s="32" t="n">
        <x:f>IF(L11=0,"",I11/L11)</x:f>
        <x:v>1.0410899546705534</x:v>
      </x:c>
      <x:c r="O11" s="34" t="n">
        <x:f>IF(L11=0,"",M11/L11)</x:f>
        <x:v>0.0410899546705535</x:v>
      </x:c>
    </x:row>
    <x:row r="12" ht="18" customHeight="1">
      <x:c r="A12" s="24" t="str">
        <x:v>Medium pelagics (30 - 89 cm)</x:v>
      </x:c>
      <x:c r="B12" s="33" t="n">
        <x:v>6</x:v>
      </x:c>
      <x:c r="C12" s="33" t="n">
        <x:v>6</x:v>
      </x:c>
      <x:c r="D12" s="31" t="n">
        <x:v>5582.3526573071</x:v>
      </x:c>
      <x:c r="E12" s="31" t="n">
        <x:v>5582.3526573071</x:v>
      </x:c>
      <x:c r="F12" s="32" t="n">
        <x:v>0</x:v>
      </x:c>
      <x:c r="G12" s="34" t="n">
        <x:v>1</x:v>
      </x:c>
      <x:c r="H12" s="32" t="n">
        <x:f>IF(E12=0,"",I12/E12)</x:f>
        <x:v>610.618086668103</x:v>
      </x:c>
      <x:c r="I12" s="31" t="n">
        <x:f>IF(C12=0,"",SUMIF('Species'!$G$2:$G$41,A12,'Species'!$U$2:$U$41))</x:f>
        <x:v>3408685.4987114626</x:v>
      </x:c>
      <x:c r="J12" s="32" t="n">
        <x:v>3.738755068111189</x:v>
      </x:c>
      <x:c r="K12" s="32" t="n">
        <x:f>IF(J12="","",(1/'Metadata'!$B$5)^(J12-1))</x:f>
        <x:v>547.9678367670915</x:v>
      </x:c>
      <x:c r="L12" s="31" t="n">
        <x:f>IF(E12=0,"",E12*K12)</x:f>
        <x:v>3058949.7096955967</x:v>
      </x:c>
      <x:c r="M12" s="31" t="n">
        <x:f>IF(E12=0,"",I12-L12)</x:f>
        <x:v>349735.7890158659</x:v>
      </x:c>
      <x:c r="N12" s="32" t="n">
        <x:f>IF(L12=0,"",I12/L12)</x:f>
        <x:v>1.1143319839183197</x:v>
      </x:c>
      <x:c r="O12" s="34" t="n">
        <x:f>IF(L12=0,"",M12/L12)</x:f>
        <x:v>0.11433198391831977</x:v>
      </x:c>
    </x:row>
    <x:row r="13" ht="18" customHeight="1">
      <x:c r="A13" s="24" t="str">
        <x:v>Medium reef assoc. fish (30 - 89 cm)</x:v>
      </x:c>
      <x:c r="B13" s="33" t="n">
        <x:v>1</x:v>
      </x:c>
      <x:c r="C13" s="33" t="n">
        <x:v>1</x:v>
      </x:c>
      <x:c r="D13" s="31" t="n">
        <x:v>0.21250806009999998</x:v>
      </x:c>
      <x:c r="E13" s="31" t="n">
        <x:v>0.21250806009999998</x:v>
      </x:c>
      <x:c r="F13" s="32" t="n">
        <x:v>0</x:v>
      </x:c>
      <x:c r="G13" s="34" t="n">
        <x:v>1</x:v>
      </x:c>
      <x:c r="H13" s="32" t="n">
        <x:f>IF(E13=0,"",I13/E13)</x:f>
        <x:v>33.88441561392024</x:v>
      </x:c>
      <x:c r="I13" s="31" t="n">
        <x:f>IF(C13=0,"",SUMIF('Species'!$G$2:$G$41,A13,'Species'!$U$2:$U$41))</x:f>
        <x:v>7.20071142973634</x:v>
      </x:c>
      <x:c r="J13" s="32" t="n">
        <x:v>2.53</x:v>
      </x:c>
      <x:c r="K13" s="32" t="n">
        <x:f>IF(J13="","",(1/'Metadata'!$B$5)^(J13-1))</x:f>
        <x:v>33.88441561392024</x:v>
      </x:c>
      <x:c r="L13" s="31" t="n">
        <x:f>IF(E13=0,"",E13*K13)</x:f>
        <x:v>7.20071142973634</x:v>
      </x:c>
      <x:c r="M13" s="31" t="n">
        <x:f>IF(E13=0,"",I13-L13)</x:f>
        <x:v>0</x:v>
      </x:c>
      <x:c r="N13" s="32" t="n">
        <x:f>IF(L13=0,"",I13/L13)</x:f>
        <x:v>1</x:v>
      </x:c>
      <x:c r="O13" s="34" t="n">
        <x:f>IF(L13=0,"",M13/L13)</x:f>
        <x:v>0</x:v>
      </x:c>
    </x:row>
    <x:row r="14" ht="18" customHeight="1">
      <x:c r="A14" s="24" t="str">
        <x:v>Other demersal invertebrates</x:v>
      </x:c>
      <x:c r="B14" s="33" t="n">
        <x:v>2</x:v>
      </x:c>
      <x:c r="C14" s="33" t="n">
        <x:v>2</x:v>
      </x:c>
      <x:c r="D14" s="31" t="n">
        <x:v>1056.3050517664</x:v>
      </x:c>
      <x:c r="E14" s="31" t="n">
        <x:v>1056.3050517664</x:v>
      </x:c>
      <x:c r="F14" s="32" t="n">
        <x:v>0</x:v>
      </x:c>
      <x:c r="G14" s="34" t="n">
        <x:v>1</x:v>
      </x:c>
      <x:c r="H14" s="32" t="n">
        <x:f>IF(E14=0,"",I14/E14)</x:f>
        <x:v>34.56618489546944</x:v>
      </x:c>
      <x:c r="I14" s="31" t="n">
        <x:f>IF(C14=0,"",SUMIF('Species'!$G$2:$G$41,A14,'Species'!$U$2:$U$41))</x:f>
        <x:v>36512.435725375806</x:v>
      </x:c>
      <x:c r="J14" s="32" t="n">
        <x:v>2.5201626980766103</x:v>
      </x:c>
      <x:c r="K14" s="32" t="n">
        <x:f>IF(J14="","",(1/'Metadata'!$B$5)^(J14-1))</x:f>
        <x:v>33.12551951041911</x:v>
      </x:c>
      <x:c r="L14" s="31" t="n">
        <x:f>IF(E14=0,"",E14*K14)</x:f>
        <x:v>34990.65360124216</x:v>
      </x:c>
      <x:c r="M14" s="31" t="n">
        <x:f>IF(E14=0,"",I14-L14)</x:f>
        <x:v>1521.7821241336496</x:v>
      </x:c>
      <x:c r="N14" s="32" t="n">
        <x:f>IF(L14=0,"",I14/L14)</x:f>
        <x:v>1.043491103123596</x:v>
      </x:c>
      <x:c r="O14" s="34" t="n">
        <x:f>IF(L14=0,"",M14/L14)</x:f>
        <x:v>0.04349110312359603</x:v>
      </x:c>
    </x:row>
    <x:row r="15" ht="18" customHeight="1">
      <x:c r="A15" s="24" t="str">
        <x:v>Shrimps</x:v>
      </x:c>
      <x:c r="B15" s="33" t="n">
        <x:v>2</x:v>
      </x:c>
      <x:c r="C15" s="33" t="n">
        <x:v>2</x:v>
      </x:c>
      <x:c r="D15" s="31" t="n">
        <x:v>1365.727437639</x:v>
      </x:c>
      <x:c r="E15" s="31" t="n">
        <x:v>1365.727437639</x:v>
      </x:c>
      <x:c r="F15" s="32" t="n">
        <x:v>0</x:v>
      </x:c>
      <x:c r="G15" s="34" t="n">
        <x:v>1</x:v>
      </x:c>
      <x:c r="H15" s="32" t="n">
        <x:f>IF(E15=0,"",I15/E15)</x:f>
        <x:v>56.608218276267195</x:v>
      </x:c>
      <x:c r="I15" s="31" t="n">
        <x:f>IF(C15=0,"",SUMIF('Species'!$G$2:$G$41,A15,'Species'!$U$2:$U$41))</x:f>
        <x:v>77311.3968957556</x:v>
      </x:c>
      <x:c r="J15" s="32" t="n">
        <x:v>2.7303528380579825</x:v>
      </x:c>
      <x:c r="K15" s="32" t="n">
        <x:f>IF(J15="","",(1/'Metadata'!$B$5)^(J15-1))</x:f>
        <x:v>53.74682795804299</x:v>
      </x:c>
      <x:c r="L15" s="31" t="n">
        <x:f>IF(E15=0,"",E15*K15)</x:f>
        <x:v>73403.51762836223</x:v>
      </x:c>
      <x:c r="M15" s="31" t="n">
        <x:f>IF(E15=0,"",I15-L15)</x:f>
        <x:v>3907.8792673933785</x:v>
      </x:c>
      <x:c r="N15" s="32" t="n">
        <x:f>IF(L15=0,"",I15/L15)</x:f>
        <x:v>1.0532383105558885</x:v>
      </x:c>
      <x:c r="O15" s="34" t="n">
        <x:f>IF(L15=0,"",M15/L15)</x:f>
        <x:v>0.05323831055588842</x:v>
      </x:c>
    </x:row>
    <x:row r="16" ht="18" customHeight="1">
      <x:c r="A16" s="24" t="str">
        <x:v>Small demersals (&lt;30 cm)</x:v>
      </x:c>
      <x:c r="B16" s="33" t="n">
        <x:v>2</x:v>
      </x:c>
      <x:c r="C16" s="33" t="n">
        <x:v>2</x:v>
      </x:c>
      <x:c r="D16" s="31" t="n">
        <x:v>2008.4609442792</x:v>
      </x:c>
      <x:c r="E16" s="31" t="n">
        <x:v>2008.4609442792</x:v>
      </x:c>
      <x:c r="F16" s="32" t="n">
        <x:v>0</x:v>
      </x:c>
      <x:c r="G16" s="34" t="n">
        <x:v>1</x:v>
      </x:c>
      <x:c r="H16" s="32" t="n">
        <x:f>IF(E16=0,"",I16/E16)</x:f>
        <x:v>242.274910283875</x:v>
      </x:c>
      <x:c r="I16" s="31" t="n">
        <x:f>IF(C16=0,"",SUMIF('Species'!$G$2:$G$41,A16,'Species'!$U$2:$U$41))</x:f>
        <x:v>486599.69508391</x:v>
      </x:c>
      <x:c r="J16" s="32" t="n">
        <x:v>3.2769350939585244</x:v>
      </x:c>
      <x:c r="K16" s="32" t="n">
        <x:f>IF(J16="","",(1/'Metadata'!$B$5)^(J16-1))</x:f>
        <x:v>189.20608258377766</x:v>
      </x:c>
      <x:c r="L16" s="31" t="n">
        <x:f>IF(E16=0,"",E16*K16)</x:f>
        <x:v>380013.02728958236</x:v>
      </x:c>
      <x:c r="M16" s="31" t="n">
        <x:f>IF(E16=0,"",I16-L16)</x:f>
        <x:v>106586.66779432766</x:v>
      </x:c>
      <x:c r="N16" s="32" t="n">
        <x:f>IF(L16=0,"",I16/L16)</x:f>
        <x:v>1.2804816154713168</x:v>
      </x:c>
      <x:c r="O16" s="34" t="n">
        <x:f>IF(L16=0,"",M16/L16)</x:f>
        <x:v>0.2804816154713168</x:v>
      </x:c>
    </x:row>
    <x:row r="17" ht="18" customHeight="1">
      <x:c r="A17" s="24" t="str">
        <x:v>Small pelagics (&lt;30 cm)</x:v>
      </x:c>
      <x:c r="B17" s="33" t="n">
        <x:v>4</x:v>
      </x:c>
      <x:c r="C17" s="33" t="n">
        <x:v>4</x:v>
      </x:c>
      <x:c r="D17" s="31" t="n">
        <x:v>104732.30720017402</x:v>
      </x:c>
      <x:c r="E17" s="31" t="n">
        <x:v>104732.30720017402</x:v>
      </x:c>
      <x:c r="F17" s="32" t="n">
        <x:v>0</x:v>
      </x:c>
      <x:c r="G17" s="34" t="n">
        <x:v>1</x:v>
      </x:c>
      <x:c r="H17" s="32" t="n">
        <x:f>IF(E17=0,"",I17/E17)</x:f>
        <x:v>119.97364663560103</x:v>
      </x:c>
      <x:c r="I17" s="31" t="n">
        <x:f>IF(C17=0,"",SUMIF('Species'!$G$2:$G$41,A17,'Species'!$U$2:$U$41))</x:f>
        <x:v>12565116.815364892</x:v>
      </x:c>
      <x:c r="J17" s="32" t="n">
        <x:v>3.0765380057820932</x:v>
      </x:c>
      <x:c r="K17" s="32" t="n">
        <x:f>IF(J17="","",(1/'Metadata'!$B$5)^(J17-1))</x:f>
        <x:v>119.2718637942368</x:v>
      </x:c>
      <x:c r="L17" s="31" t="n">
        <x:f>IF(E17=0,"",E17*K17)</x:f>
        <x:v>12491617.479235321</x:v>
      </x:c>
      <x:c r="M17" s="31" t="n">
        <x:f>IF(E17=0,"",I17-L17)</x:f>
        <x:v>73499.33612957038</x:v>
      </x:c>
      <x:c r="N17" s="32" t="n">
        <x:f>IF(L17=0,"",I17/L17)</x:f>
        <x:v>1.0058838926385432</x:v>
      </x:c>
      <x:c r="O17" s="34" t="n">
        <x:f>IF(L17=0,"",M17/L17)</x:f>
        <x:v>0.005883892638543209</x:v>
      </x:c>
    </x:row>
    <x:row r="18" ht="18" customHeight="1">
      <x:c r="A18" s="24" t="str">
        <x:v>Small reef assoc. fish (&lt;30 cm)</x:v>
      </x:c>
      <x:c r="B18" s="33" t="n">
        <x:v>1</x:v>
      </x:c>
      <x:c r="C18" s="33" t="n">
        <x:v>1</x:v>
      </x:c>
      <x:c r="D18" s="31" t="n">
        <x:v>13701.946006921</x:v>
      </x:c>
      <x:c r="E18" s="31" t="n">
        <x:v>13701.946006921</x:v>
      </x:c>
      <x:c r="F18" s="32" t="n">
        <x:v>0</x:v>
      </x:c>
      <x:c r="G18" s="34" t="n">
        <x:v>1</x:v>
      </x:c>
      <x:c r="H18" s="32" t="n">
        <x:f>IF(E18=0,"",I18/E18)</x:f>
        <x:v>128.82495516931337</x:v>
      </x:c>
      <x:c r="I18" s="31" t="n">
        <x:f>IF(C18=0,"",SUMIF('Species'!$G$2:$G$41,A18,'Species'!$U$2:$U$41))</x:f>
        <x:v>1765152.58007395</x:v>
      </x:c>
      <x:c r="J18" s="32" t="n">
        <x:v>3.11</x:v>
      </x:c>
      <x:c r="K18" s="32" t="n">
        <x:f>IF(J18="","",(1/'Metadata'!$B$5)^(J18-1))</x:f>
        <x:v>128.82495516931337</x:v>
      </x:c>
      <x:c r="L18" s="31" t="n">
        <x:f>IF(E18=0,"",E18*K18)</x:f>
        <x:v>1765152.58007395</x:v>
      </x:c>
      <x:c r="M18" s="31" t="n">
        <x:f>IF(E18=0,"",I18-L18)</x:f>
        <x:v>0</x:v>
      </x:c>
      <x:c r="N18" s="32" t="n">
        <x:f>IF(L18=0,"",I18/L18)</x:f>
        <x:v>1</x:v>
      </x:c>
      <x:c r="O18" s="34" t="n">
        <x:f>IF(L18=0,"",M18/L18)</x:f>
        <x:v>0</x:v>
      </x:c>
    </x:row>
    <x:row r="19" ht="18" customHeight="1">
      <x:c r="A19" s="24" t="str">
        <x:v>Small to medium flatfishes (&lt;90 cm)</x:v>
      </x:c>
      <x:c r="B19" s="33" t="n">
        <x:v>1</x:v>
      </x:c>
      <x:c r="C19" s="33" t="n">
        <x:v>1</x:v>
      </x:c>
      <x:c r="D19" s="31" t="n">
        <x:v>531.797077123</x:v>
      </x:c>
      <x:c r="E19" s="31" t="n">
        <x:v>531.797077123</x:v>
      </x:c>
      <x:c r="F19" s="32" t="n">
        <x:v>0</x:v>
      </x:c>
      <x:c r="G19" s="34" t="n">
        <x:v>1</x:v>
      </x:c>
      <x:c r="H19" s="32" t="n">
        <x:f>IF(E19=0,"",I19/E19)</x:f>
        <x:v>371.5352290971724</x:v>
      </x:c>
      <x:c r="I19" s="31" t="n">
        <x:f>IF(C19=0,"",SUMIF('Species'!$G$2:$G$41,A19,'Species'!$U$2:$U$41))</x:f>
        <x:v>197581.3488821005</x:v>
      </x:c>
      <x:c r="J19" s="32" t="n">
        <x:v>3.57</x:v>
      </x:c>
      <x:c r="K19" s="32" t="n">
        <x:f>IF(J19="","",(1/'Metadata'!$B$5)^(J19-1))</x:f>
        <x:v>371.5352290971724</x:v>
      </x:c>
      <x:c r="L19" s="31" t="n">
        <x:f>IF(E19=0,"",E19*K19)</x:f>
        <x:v>197581.3488821005</x:v>
      </x:c>
      <x:c r="M19" s="31" t="n">
        <x:f>IF(E19=0,"",I19-L19)</x:f>
        <x:v>0</x:v>
      </x:c>
      <x:c r="N19" s="32" t="n">
        <x:f>IF(L19=0,"",I19/L19)</x:f>
        <x:v>1</x:v>
      </x:c>
      <x:c r="O19" s="34" t="n">
        <x:f>IF(L19=0,"",M19/L19)</x:f>
        <x:v>0</x:v>
      </x:c>
    </x:row>
  </x:sheetData>
  <x:conditionalFormatting sqref="G2:G19">
    <x:cfRule type="cellIs" dxfId="2" priority="1" operator="lessThan">
      <x:formula>0.9</x:formula>
    </x:cfRule>
  </x:conditionalFormatting>
  <x:conditionalFormatting sqref="O2:O1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231cbac0ad54d1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EEZ_647</x:v>
      </x:c>
      <x:c r="B2" s="24" t="str">
        <x:v>raw_filtered_tonnes</x:v>
      </x:c>
      <x:c r="C2" s="24" t="n">
        <x:v>151771.4553513236</x:v>
      </x:c>
      <x:c r="D2" s="24" t="str">
        <x:v>tonnes</x:v>
      </x:c>
    </x:row>
    <x:row r="3" ht="18" customHeight="1">
      <x:c r="A3" s="24" t="str">
        <x:v>EEZ_647</x:v>
      </x:c>
      <x:c r="B3" s="24" t="str">
        <x:v>species_catch_tonnes</x:v>
      </x:c>
      <x:c r="C3" s="24" t="n">
        <x:v>151771.4553513236</x:v>
      </x:c>
      <x:c r="D3" s="24" t="str">
        <x:v>tonnes</x:v>
      </x:c>
    </x:row>
    <x:row r="4" ht="18" customHeight="1">
      <x:c r="A4" s="24" t="str">
        <x:v>EEZ_647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EEZ_647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EEZ_647</x:v>
      </x:c>
      <x:c r="B6" s="24" t="str">
        <x:v>matched_catch_tonnes</x:v>
      </x:c>
      <x:c r="C6" s="24" t="n">
        <x:v>151771.4553513236</x:v>
      </x:c>
      <x:c r="D6" s="24" t="str">
        <x:v>tonnes</x:v>
      </x:c>
    </x:row>
    <x:row r="7" ht="18" customHeight="1">
      <x:c r="A7" s="24" t="str">
        <x:v>EEZ_647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EEZ_647</x:v>
      </x:c>
      <x:c r="B8" s="24" t="str">
        <x:v>taxa_count</x:v>
      </x:c>
      <x:c r="C8" s="24" t="n">
        <x:v>40</x:v>
      </x:c>
      <x:c r="D8" s="24" t="str">
        <x:v>count</x:v>
      </x:c>
    </x:row>
    <x:row r="9" ht="18" customHeight="1">
      <x:c r="A9" s="24" t="str">
        <x:v>EEZ_647</x:v>
      </x:c>
      <x:c r="B9" s="24" t="str">
        <x:v>matched_taxa_count</x:v>
      </x:c>
      <x:c r="C9" s="24" t="n">
        <x:v>40</x:v>
      </x:c>
      <x:c r="D9" s="24" t="str">
        <x:v>count</x:v>
      </x:c>
    </x:row>
    <x:row r="10" ht="18" customHeight="1">
      <x:c r="A10" s="24" t="str">
        <x:v>EEZ_647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EEZ_647</x:v>
      </x:c>
      <x:c r="B11" s="24" t="str">
        <x:v>species_ppr</x:v>
      </x:c>
      <x:c r="C11" s="24" t="n">
        <x:v>30470880.239130165</x:v>
      </x:c>
      <x:c r="D11" s="24" t="str">
        <x:v>tonnes_primary_production_equivalent</x:v>
      </x:c>
    </x:row>
    <x:row r="12" ht="18" customHeight="1">
      <x:c r="A12" s="24" t="str">
        <x:v>EEZ_647</x:v>
      </x:c>
      <x:c r="B12" s="24" t="str">
        <x:v>commercial_ppr</x:v>
      </x:c>
      <x:c r="C12" s="24" t="n">
        <x:v>30470880.239130165</x:v>
      </x:c>
      <x:c r="D12" s="24" t="str">
        <x:v>tonnes_primary_production_equivalent</x:v>
      </x:c>
    </x:row>
    <x:row r="13" ht="18" customHeight="1">
      <x:c r="A13" s="24" t="str">
        <x:v>EEZ_647</x:v>
      </x:c>
      <x:c r="B13" s="24" t="str">
        <x:v>functional_ppr</x:v>
      </x:c>
      <x:c r="C13" s="24" t="n">
        <x:v>30470880.23913017</x:v>
      </x:c>
      <x:c r="D13" s="24" t="str">
        <x:v>tonnes_primary_production_equivalent</x:v>
      </x:c>
    </x:row>
    <x:row r="14" ht="18" customHeight="1">
      <x:c r="A14" s="24" t="str">
        <x:v>EEZ_647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EEZ_647</x:v>
      </x:c>
      <x:c r="B15" s="24" t="str">
        <x:v>functional_ppr_difference</x:v>
      </x:c>
      <x:c r="C15" s="24" t="n">
        <x:v>3.725290298461914e-9</x:v>
      </x:c>
      <x:c r="D15" s="24" t="str">
        <x:v>tonnes_primary_production_equivalent</x:v>
      </x:c>
    </x:row>
    <x:row r="16" ht="18" customHeight="1">
      <x:c r="A16" s="24" t="str">
        <x:v>EEZ_647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EEZ_647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EEZ_647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EEZ_647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e5a04ef1f5024ce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EEZ_647 - Russia (Black Sea)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EEZ_647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raw_data/SAU_downloads/EEZ_647-catch.zip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