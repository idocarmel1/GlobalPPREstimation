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7fd08b058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413916f6bea4033"/>
    <x:sheet xmlns:r="http://schemas.openxmlformats.org/officeDocument/2006/relationships" name="Commercial" sheetId="2" r:id="R9260a53b57a54fcc"/>
    <x:sheet xmlns:r="http://schemas.openxmlformats.org/officeDocument/2006/relationships" name="Functional" sheetId="3" r:id="Rc4375fc1fcba438d"/>
    <x:sheet xmlns:r="http://schemas.openxmlformats.org/officeDocument/2006/relationships" name="Missing TL" sheetId="4" r:id="R42354577f0c148af"/>
    <x:sheet xmlns:r="http://schemas.openxmlformats.org/officeDocument/2006/relationships" name="Validation" sheetId="5" r:id="R06a051dc78694897"/>
    <x:sheet xmlns:r="http://schemas.openxmlformats.org/officeDocument/2006/relationships" name="Metadata" sheetId="6" r:id="Rd95b22e7c213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60351c8dd404b" /><Relationship Type="http://schemas.openxmlformats.org/officeDocument/2006/relationships/theme" Target="/xl/theme/theme1.xml" Id="R65925584b3fd4555" /><Relationship Type="http://schemas.microsoft.com/office/2022/11/relationships/FeaturePropertyBag" Target="/xl/featurePropertyBag/featurePropertyBag.xml" Id="R5f0ee6b1ecbc4817" /><Relationship Type="http://schemas.openxmlformats.org/officeDocument/2006/relationships/sharedStrings" Target="/xl/sharedStrings.xml" Id="R1533b8be6acf4edb" /><Relationship Type="http://schemas.openxmlformats.org/officeDocument/2006/relationships/worksheet" Target="/xl/worksheets/sheet1.xml" Id="Re413916f6bea4033" /><Relationship Type="http://schemas.openxmlformats.org/officeDocument/2006/relationships/worksheet" Target="/xl/worksheets/sheet2.xml" Id="R9260a53b57a54fcc" /><Relationship Type="http://schemas.openxmlformats.org/officeDocument/2006/relationships/worksheet" Target="/xl/worksheets/sheet3.xml" Id="Rc4375fc1fcba438d" /><Relationship Type="http://schemas.openxmlformats.org/officeDocument/2006/relationships/worksheet" Target="/xl/worksheets/sheet4.xml" Id="R42354577f0c148af" /><Relationship Type="http://schemas.openxmlformats.org/officeDocument/2006/relationships/worksheet" Target="/xl/worksheets/sheet5.xml" Id="R06a051dc78694897" /><Relationship Type="http://schemas.openxmlformats.org/officeDocument/2006/relationships/worksheet" Target="/xl/worksheets/sheet6.xml" Id="Rd95b22e7c21341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08SpeciesTable" displayName="EEZ308SpeciesTable" ref="A1:U61" headerRowCount="1" totalsRowCount="0" totalsRowShown="0">
  <x:autoFilter ref="A1:U6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08CommercialTable" displayName="EEZ308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08FunctionalTable" displayName="EEZ308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08ValidationTable" displayName="EEZ30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e34fc479a140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20b76b94bd4a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3e9e3c326043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953c9e21764a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EEZ_308</x:v>
      </x:c>
      <x:c r="B2" s="24" t="str">
        <x:v>Grenada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1362.7404961829</x:v>
      </x:c>
      <x:c r="J2" s="31" t="n">
        <x:v>1362.7404961829</x:v>
      </x:c>
      <x:c r="K2" s="31" t="n">
        <x:v>0</x:v>
      </x:c>
      <x:c r="L2" s="31" t="n">
        <x:v>1163.5688279889</x:v>
      </x:c>
      <x:c r="M2" s="31" t="n">
        <x:v>199.171668194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3502782.4243968762</x:v>
      </x:c>
    </x:row>
    <x:row r="3" ht="18" customHeight="1">
      <x:c r="A3" s="24" t="str">
        <x:v>EEZ_308</x:v>
      </x:c>
      <x:c r="B3" s="24" t="str">
        <x:v>Grenada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272.6853570979</x:v>
      </x:c>
      <x:c r="J3" s="31" t="n">
        <x:v>54.4892899748</x:v>
      </x:c>
      <x:c r="K3" s="31" t="n">
        <x:v>218.1960671231</x:v>
      </x:c>
      <x:c r="L3" s="31" t="n">
        <x:v>49.4239758506</x:v>
      </x:c>
      <x:c r="M3" s="31" t="n">
        <x:v>223.2613812473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51959.12363138288</x:v>
      </x:c>
    </x:row>
    <x:row r="4" ht="18" customHeight="1">
      <x:c r="A4" s="24" t="str">
        <x:v>EEZ_308</x:v>
      </x:c>
      <x:c r="B4" s="24" t="str">
        <x:v>Grenada</x:v>
      </x:c>
      <x:c r="C4" s="24" t="str">
        <x:v>EEZ</x:v>
      </x:c>
      <x:c r="D4" s="30" t="n">
        <x:v>2019</x:v>
      </x:c>
      <x:c r="E4" s="24" t="str">
        <x:v>Epinephelus guttatus</x:v>
      </x:c>
      <x:c r="F4" s="24" t="str">
        <x:v>Red hind</x:v>
      </x:c>
      <x:c r="G4" s="24" t="str">
        <x:v>Medium reef assoc. fish (30 - 89 cm)</x:v>
      </x:c>
      <x:c r="H4" s="24" t="str">
        <x:v>Perch-likes</x:v>
      </x:c>
      <x:c r="I4" s="31" t="n">
        <x:v>201.1202070871</x:v>
      </x:c>
      <x:c r="J4" s="31" t="n">
        <x:v>201.1202070871</x:v>
      </x:c>
      <x:c r="K4" s="31" t="n">
        <x:v>0</x:v>
      </x:c>
      <x:c r="L4" s="31" t="n">
        <x:v>90.6536631296</x:v>
      </x:c>
      <x:c r="M4" s="31" t="n">
        <x:v>110.4665439575</x:v>
      </x:c>
      <x:c r="N4" s="24" t="str">
        <x:v>epinephelus guttatus</x:v>
      </x:c>
      <x:c r="O4" s="32" t="n">
        <x:v>3.84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Epinephelus guttatus</x:v>
      </x:c>
      <x:c r="T4" s="32" t="n">
        <x:f>IF(O4="","",(1/'Metadata'!$B$5)^(O4-1))</x:f>
        <x:v>691.8309709189363</x:v>
      </x:c>
      <x:c r="U4" s="31" t="n">
        <x:f>IF(T4="","",I4*T4)</x:f>
        <x:v>139141.18814048593</x:v>
      </x:c>
    </x:row>
    <x:row r="5" ht="18" customHeight="1">
      <x:c r="A5" s="24" t="str">
        <x:v>EEZ_308</x:v>
      </x:c>
      <x:c r="B5" s="24" t="str">
        <x:v>Grenada</x:v>
      </x:c>
      <x:c r="C5" s="24" t="str">
        <x:v>EEZ</x:v>
      </x:c>
      <x:c r="D5" s="30" t="n">
        <x:v>2019</x:v>
      </x:c>
      <x:c r="E5" s="24" t="str">
        <x:v>Decapterus punctatus</x:v>
      </x:c>
      <x:c r="F5" s="24" t="str">
        <x:v>Round scad</x:v>
      </x:c>
      <x:c r="G5" s="24" t="str">
        <x:v>Medium benthopelagics (30 - 89 cm)</x:v>
      </x:c>
      <x:c r="H5" s="24" t="str">
        <x:v>Perch-likes</x:v>
      </x:c>
      <x:c r="I5" s="31" t="n">
        <x:v>170.8281620717</x:v>
      </x:c>
      <x:c r="J5" s="31" t="n">
        <x:v>170.8281620717</x:v>
      </x:c>
      <x:c r="K5" s="31" t="n">
        <x:v>0</x:v>
      </x:c>
      <x:c r="L5" s="31" t="n">
        <x:v>64.25883938839999</x:v>
      </x:c>
      <x:c r="M5" s="31" t="n">
        <x:v>106.5693226833</x:v>
      </x:c>
      <x:c r="N5" s="24" t="str">
        <x:v>decapterus punctatus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Decapterus punctatus</x:v>
      </x:c>
      <x:c r="T5" s="32" t="n">
        <x:f>IF(O5="","",(1/'Metadata'!$B$5)^(O5-1))</x:f>
        <x:v>2691.534803926914</x:v>
      </x:c>
      <x:c r="U5" s="31" t="n">
        <x:f>IF(T5="","",I5*T5)</x:f>
        <x:v>459789.94370684813</x:v>
      </x:c>
    </x:row>
    <x:row r="6" ht="18" customHeight="1">
      <x:c r="A6" s="24" t="str">
        <x:v>EEZ_308</x:v>
      </x:c>
      <x:c r="B6" s="24" t="str">
        <x:v>Grenada</x:v>
      </x:c>
      <x:c r="C6" s="24" t="str">
        <x:v>EEZ</x:v>
      </x:c>
      <x:c r="D6" s="30" t="n">
        <x:v>2019</x:v>
      </x:c>
      <x:c r="E6" s="24" t="str">
        <x:v>Selar crumenophthalmus</x:v>
      </x:c>
      <x:c r="F6" s="24" t="str">
        <x:v>Bigeye scad</x:v>
      </x:c>
      <x:c r="G6" s="24" t="str">
        <x:v>Medium pelagics (30 - 89 cm)</x:v>
      </x:c>
      <x:c r="H6" s="24" t="str">
        <x:v>Perch-likes</x:v>
      </x:c>
      <x:c r="I6" s="31" t="n">
        <x:v>170.4591299841</x:v>
      </x:c>
      <x:c r="J6" s="31" t="n">
        <x:v>170.4591299841</x:v>
      </x:c>
      <x:c r="K6" s="31" t="n">
        <x:v>0</x:v>
      </x:c>
      <x:c r="L6" s="31" t="n">
        <x:v>60.0836365428</x:v>
      </x:c>
      <x:c r="M6" s="31" t="n">
        <x:v>110.3754934413</x:v>
      </x:c>
      <x:c r="N6" s="24" t="str">
        <x:v>selar crumenophthalmus</x:v>
      </x:c>
      <x:c r="O6" s="32" t="n">
        <x:v>3.81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Selar crumenophthalmus</x:v>
      </x:c>
      <x:c r="T6" s="32" t="n">
        <x:f>IF(O6="","",(1/'Metadata'!$B$5)^(O6-1))</x:f>
        <x:v>645.6542290346556</x:v>
      </x:c>
      <x:c r="U6" s="31" t="n">
        <x:f>IF(T6="","",I6*T6)</x:f>
        <x:v>110057.65815180223</x:v>
      </x:c>
    </x:row>
    <x:row r="7" ht="18" customHeight="1">
      <x:c r="A7" s="24" t="str">
        <x:v>EEZ_308</x:v>
      </x:c>
      <x:c r="B7" s="24" t="str">
        <x:v>Grenada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154.3159611697</x:v>
      </x:c>
      <x:c r="J7" s="31" t="n">
        <x:v>154.3159611697</x:v>
      </x:c>
      <x:c r="K7" s="31" t="n">
        <x:v>0</x:v>
      </x:c>
      <x:c r="L7" s="31" t="n">
        <x:v>125.0514522554</x:v>
      </x:c>
      <x:c r="M7" s="31" t="n">
        <x:v>29.264508914300002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361751.92283780104</x:v>
      </x:c>
    </x:row>
    <x:row r="8" ht="18" customHeight="1">
      <x:c r="A8" s="24" t="str">
        <x:v>EEZ_308</x:v>
      </x:c>
      <x:c r="B8" s="24" t="str">
        <x:v>Grenada</x:v>
      </x:c>
      <x:c r="C8" s="24" t="str">
        <x:v>EEZ</x:v>
      </x:c>
      <x:c r="D8" s="30" t="n">
        <x:v>2019</x:v>
      </x:c>
      <x:c r="E8" s="24" t="str">
        <x:v>Istiophorus albicans</x:v>
      </x:c>
      <x:c r="F8" s="24" t="str">
        <x:v>Atlantic sailfish</x:v>
      </x:c>
      <x:c r="G8" s="24" t="str">
        <x:v>Large pelagics (&gt;=90 cm)</x:v>
      </x:c>
      <x:c r="H8" s="24" t="str">
        <x:v>Tuna &amp; billfishes</x:v>
      </x:c>
      <x:c r="I8" s="31" t="n">
        <x:v>126.5462912135</x:v>
      </x:c>
      <x:c r="J8" s="31" t="n">
        <x:v>126.5462912135</x:v>
      </x:c>
      <x:c r="K8" s="31" t="n">
        <x:v>0</x:v>
      </x:c>
      <x:c r="L8" s="31" t="n">
        <x:v>79.81051417510001</x:v>
      </x:c>
      <x:c r="M8" s="31" t="n">
        <x:v>46.7357770384</x:v>
      </x:c>
      <x:c r="N8" s="24" t="str">
        <x:v>istiophorus albicans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Istiophorus albicans</x:v>
      </x:c>
      <x:c r="T8" s="32" t="n">
        <x:f>IF(O8="","",(1/'Metadata'!$B$5)^(O8-1))</x:f>
        <x:v>3162.2776601683795</x:v>
      </x:c>
      <x:c r="U8" s="31" t="n">
        <x:f>IF(T8="","",I8*T8)</x:f>
        <x:v>400174.5096816131</x:v>
      </x:c>
    </x:row>
    <x:row r="9" ht="18" customHeight="1">
      <x:c r="A9" s="24" t="str">
        <x:v>EEZ_308</x:v>
      </x:c>
      <x:c r="B9" s="24" t="str">
        <x:v>Grenada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112.0188333127</x:v>
      </x:c>
      <x:c r="J9" s="31" t="n">
        <x:v>112.0188333127</x:v>
      </x:c>
      <x:c r="K9" s="31" t="n">
        <x:v>0</x:v>
      </x:c>
      <x:c r="L9" s="31" t="n">
        <x:v>51.2511471464</x:v>
      </x:c>
      <x:c r="M9" s="31" t="n">
        <x:v>60.767686166299995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117298.11828108315</x:v>
      </x:c>
    </x:row>
    <x:row r="10" ht="18" customHeight="1">
      <x:c r="A10" s="24" t="str">
        <x:v>EEZ_308</x:v>
      </x:c>
      <x:c r="B10" s="24" t="str">
        <x:v>Grenada</x:v>
      </x:c>
      <x:c r="C10" s="24" t="str">
        <x:v>EEZ</x:v>
      </x:c>
      <x:c r="D10" s="30" t="n">
        <x:v>2019</x:v>
      </x:c>
      <x:c r="E10" s="24" t="str">
        <x:v>Thunnus atlanticus</x:v>
      </x:c>
      <x:c r="F10" s="24" t="str">
        <x:v>Blackfin tuna</x:v>
      </x:c>
      <x:c r="G10" s="24" t="str">
        <x:v>Large pelagics (&gt;=90 cm)</x:v>
      </x:c>
      <x:c r="H10" s="24" t="str">
        <x:v>Tuna &amp; billfishes</x:v>
      </x:c>
      <x:c r="I10" s="31" t="n">
        <x:v>105.93058172410001</x:v>
      </x:c>
      <x:c r="J10" s="31" t="n">
        <x:v>105.93058172410001</x:v>
      </x:c>
      <x:c r="K10" s="31" t="n">
        <x:v>0</x:v>
      </x:c>
      <x:c r="L10" s="31" t="n">
        <x:v>67.0692232017</x:v>
      </x:c>
      <x:c r="M10" s="31" t="n">
        <x:v>38.8613585224</x:v>
      </x:c>
      <x:c r="N10" s="24" t="str">
        <x:v>thunnus atlanticus</x:v>
      </x:c>
      <x:c r="O10" s="32" t="n">
        <x:v>4.35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atlanticus</x:v>
      </x:c>
      <x:c r="T10" s="32" t="n">
        <x:f>IF(O10="","",(1/'Metadata'!$B$5)^(O10-1))</x:f>
        <x:v>2238.7211385683377</x:v>
      </x:c>
      <x:c r="U10" s="31" t="n">
        <x:f>IF(T10="","",I10*T10)</x:f>
        <x:v>237149.0325265835</x:v>
      </x:c>
    </x:row>
    <x:row r="11" ht="18" customHeight="1">
      <x:c r="A11" s="24" t="str">
        <x:v>EEZ_308</x:v>
      </x:c>
      <x:c r="B11" s="24" t="str">
        <x:v>Grenada</x:v>
      </x:c>
      <x:c r="C11" s="24" t="str">
        <x:v>EEZ</x:v>
      </x:c>
      <x:c r="D11" s="30" t="n">
        <x:v>2019</x:v>
      </x:c>
      <x:c r="E11" s="24" t="str">
        <x:v>Makaira nigricans</x:v>
      </x:c>
      <x:c r="F11" s="24" t="str">
        <x:v>Blue marlin</x:v>
      </x:c>
      <x:c r="G11" s="24" t="str">
        <x:v>Large pelagics (&gt;=90 cm)</x:v>
      </x:c>
      <x:c r="H11" s="24" t="str">
        <x:v>Tuna &amp; billfishes</x:v>
      </x:c>
      <x:c r="I11" s="31" t="n">
        <x:v>99.2521639909</x:v>
      </x:c>
      <x:c r="J11" s="31" t="n">
        <x:v>99.2521639909</x:v>
      </x:c>
      <x:c r="K11" s="31" t="n">
        <x:v>0</x:v>
      </x:c>
      <x:c r="L11" s="31" t="n">
        <x:v>65.0957018722</x:v>
      </x:c>
      <x:c r="M11" s="31" t="n">
        <x:v>34.1564621187</x:v>
      </x:c>
      <x:c r="N11" s="24" t="str">
        <x:v>makaira nigricans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Makaira nigricans</x:v>
      </x:c>
      <x:c r="T11" s="32" t="n">
        <x:f>IF(O11="","",(1/'Metadata'!$B$5)^(O11-1))</x:f>
        <x:v>3090.295432513592</x:v>
      </x:c>
      <x:c r="U11" s="31" t="n">
        <x:f>IF(T11="","",I11*T11)</x:f>
        <x:v>306718.50904816826</x:v>
      </x:c>
    </x:row>
    <x:row r="12" ht="18" customHeight="1">
      <x:c r="A12" s="24" t="str">
        <x:v>EEZ_308</x:v>
      </x:c>
      <x:c r="B12" s="24" t="str">
        <x:v>Grenada</x:v>
      </x:c>
      <x:c r="C12" s="24" t="str">
        <x:v>EEZ</x:v>
      </x:c>
      <x:c r="D12" s="30" t="n">
        <x:v>2019</x:v>
      </x:c>
      <x:c r="E12" s="24" t="str">
        <x:v>Thunnus thynnus</x:v>
      </x:c>
      <x:c r="F12" s="24" t="str">
        <x:v>Atlantic bluefin tuna</x:v>
      </x:c>
      <x:c r="G12" s="24" t="str">
        <x:v>Large pelagics (&gt;=90 cm)</x:v>
      </x:c>
      <x:c r="H12" s="24" t="str">
        <x:v>Tuna &amp; billfishes</x:v>
      </x:c>
      <x:c r="I12" s="31" t="n">
        <x:v>99.16332700890001</x:v>
      </x:c>
      <x:c r="J12" s="31" t="n">
        <x:v>99.16332700890001</x:v>
      </x:c>
      <x:c r="K12" s="31" t="n">
        <x:v>0</x:v>
      </x:c>
      <x:c r="L12" s="31" t="n">
        <x:v>99.1565863473</x:v>
      </x:c>
      <x:c r="M12" s="31" t="n">
        <x:v>0.0067406616</x:v>
      </x:c>
      <x:c r="N12" s="24" t="str">
        <x:v>thunnus thynnus</x:v>
      </x:c>
      <x:c r="O12" s="32" t="n">
        <x:v>4.45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thynnus</x:v>
      </x:c>
      <x:c r="T12" s="32" t="n">
        <x:f>IF(O12="","",(1/'Metadata'!$B$5)^(O12-1))</x:f>
        <x:v>2818.382931264455</x:v>
      </x:c>
      <x:c r="U12" s="31" t="n">
        <x:f>IF(T12="","",I12*T12)</x:f>
        <x:v>279480.2282492793</x:v>
      </x:c>
    </x:row>
    <x:row r="13" ht="18" customHeight="1">
      <x:c r="A13" s="24" t="str">
        <x:v>EEZ_308</x:v>
      </x:c>
      <x:c r="B13" s="24" t="str">
        <x:v>Grenada</x:v>
      </x:c>
      <x:c r="C13" s="24" t="str">
        <x:v>EEZ</x:v>
      </x:c>
      <x:c r="D13" s="30" t="n">
        <x:v>2019</x:v>
      </x:c>
      <x:c r="E13" s="24" t="str">
        <x:v>Sparisoma aurofrenatum</x:v>
      </x:c>
      <x:c r="F13" s="24" t="str">
        <x:v>Redband parrotfish</x:v>
      </x:c>
      <x:c r="G13" s="24" t="str">
        <x:v>Small reef assoc. fish (&lt;30 cm)</x:v>
      </x:c>
      <x:c r="H13" s="24" t="str">
        <x:v>Perch-likes</x:v>
      </x:c>
      <x:c r="I13" s="31" t="n">
        <x:v>93.663086583</x:v>
      </x:c>
      <x:c r="J13" s="31" t="n">
        <x:v>93.663086583</x:v>
      </x:c>
      <x:c r="K13" s="31" t="n">
        <x:v>0</x:v>
      </x:c>
      <x:c r="L13" s="31" t="n">
        <x:v>43.4876303348</x:v>
      </x:c>
      <x:c r="M13" s="31" t="n">
        <x:v>50.1754562482</x:v>
      </x:c>
      <x:c r="N13" s="24" t="str">
        <x:v>sparisoma aurofrenatum</x:v>
      </x:c>
      <x:c r="O13" s="32" t="n">
        <x:v>2.02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Sparisoma aurofrenatum</x:v>
      </x:c>
      <x:c r="T13" s="32" t="n">
        <x:f>IF(O13="","",(1/'Metadata'!$B$5)^(O13-1))</x:f>
        <x:v>10.471285480508996</x:v>
      </x:c>
      <x:c r="U13" s="31" t="n">
        <x:f>IF(T13="","",I13*T13)</x:f>
        <x:v>980.7729185962248</x:v>
      </x:c>
    </x:row>
    <x:row r="14" ht="18" customHeight="1">
      <x:c r="A14" s="24" t="str">
        <x:v>EEZ_308</x:v>
      </x:c>
      <x:c r="B14" s="24" t="str">
        <x:v>Grenada</x:v>
      </x:c>
      <x:c r="C14" s="24" t="str">
        <x:v>EEZ</x:v>
      </x:c>
      <x:c r="D14" s="30" t="n">
        <x:v>2019</x:v>
      </x:c>
      <x:c r="E14" s="24" t="str">
        <x:v>Sphyraena barracuda</x:v>
      </x:c>
      <x:c r="F14" s="24" t="str">
        <x:v>Great barracuda</x:v>
      </x:c>
      <x:c r="G14" s="24" t="str">
        <x:v>Large pelagics (&gt;=90 cm)</x:v>
      </x:c>
      <x:c r="H14" s="24" t="str">
        <x:v>Perch-likes</x:v>
      </x:c>
      <x:c r="I14" s="31" t="n">
        <x:v>92.2792236308</x:v>
      </x:c>
      <x:c r="J14" s="31" t="n">
        <x:v>92.2792236308</x:v>
      </x:c>
      <x:c r="K14" s="31" t="n">
        <x:v>0</x:v>
      </x:c>
      <x:c r="L14" s="31" t="n">
        <x:v>70.1082257399</x:v>
      </x:c>
      <x:c r="M14" s="31" t="n">
        <x:v>22.1709978909</x:v>
      </x:c>
      <x:c r="N14" s="24" t="str">
        <x:v>sphyraena barracuda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Sphyraena barracuda</x:v>
      </x:c>
      <x:c r="T14" s="32" t="n">
        <x:f>IF(O14="","",(1/'Metadata'!$B$5)^(O14-1))</x:f>
        <x:v>3090.295432513592</x:v>
      </x:c>
      <x:c r="U14" s="31" t="n">
        <x:f>IF(T14="","",I14*T14)</x:f>
        <x:v>285170.0633021616</x:v>
      </x:c>
    </x:row>
    <x:row r="15" ht="18" customHeight="1">
      <x:c r="A15" s="24" t="str">
        <x:v>EEZ_308</x:v>
      </x:c>
      <x:c r="B15" s="24" t="str">
        <x:v>Grenada</x:v>
      </x:c>
      <x:c r="C15" s="24" t="str">
        <x:v>EEZ</x:v>
      </x:c>
      <x:c r="D15" s="30" t="n">
        <x:v>2019</x:v>
      </x:c>
      <x:c r="E15" s="24" t="str">
        <x:v>Thunnus alalunga</x:v>
      </x:c>
      <x:c r="F15" s="24" t="str">
        <x:v>Albacore</x:v>
      </x:c>
      <x:c r="G15" s="24" t="str">
        <x:v>Large pelagics (&gt;=90 cm)</x:v>
      </x:c>
      <x:c r="H15" s="24" t="str">
        <x:v>Tuna &amp; billfishes</x:v>
      </x:c>
      <x:c r="I15" s="31" t="n">
        <x:v>89.4855302179</x:v>
      </x:c>
      <x:c r="J15" s="31" t="n">
        <x:v>89.4855302179</x:v>
      </x:c>
      <x:c r="K15" s="31" t="n">
        <x:v>0</x:v>
      </x:c>
      <x:c r="L15" s="31" t="n">
        <x:v>71.2176200789</x:v>
      </x:c>
      <x:c r="M15" s="31" t="n">
        <x:v>18.267910139</x:v>
      </x:c>
      <x:c r="N15" s="24" t="str">
        <x:v>thunnus alalunga</x:v>
      </x:c>
      <x:c r="O15" s="32" t="n">
        <x:v>4.3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alalunga</x:v>
      </x:c>
      <x:c r="T15" s="32" t="n">
        <x:f>IF(O15="","",(1/'Metadata'!$B$5)^(O15-1))</x:f>
        <x:v>1995.2623149688789</x:v>
      </x:c>
      <x:c r="U15" s="31" t="n">
        <x:f>IF(T15="","",I15*T15)</x:f>
        <x:v>178547.10617878474</x:v>
      </x:c>
    </x:row>
    <x:row r="16" ht="18" customHeight="1">
      <x:c r="A16" s="24" t="str">
        <x:v>EEZ_308</x:v>
      </x:c>
      <x:c r="B16" s="24" t="str">
        <x:v>Grenada</x:v>
      </x:c>
      <x:c r="C16" s="24" t="str">
        <x:v>EEZ</x:v>
      </x:c>
      <x:c r="D16" s="30" t="n">
        <x:v>2019</x:v>
      </x:c>
      <x:c r="E16" s="24" t="str">
        <x:v>Panulirus argus</x:v>
      </x:c>
      <x:c r="F16" s="24" t="str">
        <x:v>Caribbean spiny lobster</x:v>
      </x:c>
      <x:c r="G16" s="24" t="str">
        <x:v>Lobsters, crabs</x:v>
      </x:c>
      <x:c r="H16" s="24" t="str">
        <x:v>Crustaceans</x:v>
      </x:c>
      <x:c r="I16" s="31" t="n">
        <x:v>79.637552166</x:v>
      </x:c>
      <x:c r="J16" s="31" t="n">
        <x:v>79.637552166</x:v>
      </x:c>
      <x:c r="K16" s="31" t="n">
        <x:v>0</x:v>
      </x:c>
      <x:c r="L16" s="31" t="n">
        <x:v>27.628940928</x:v>
      </x:c>
      <x:c r="M16" s="31" t="n">
        <x:v>52.008611238</x:v>
      </x:c>
      <x:c r="N16" s="24" t="str">
        <x:v>panulirus argus</x:v>
      </x:c>
      <x:c r="O16" s="32" t="n">
        <x:v>3.2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Panulirus argus</x:v>
      </x:c>
      <x:c r="T16" s="32" t="n">
        <x:f>IF(O16="","",(1/'Metadata'!$B$5)^(O16-1))</x:f>
        <x:v>158.48931924611142</x:v>
      </x:c>
      <x:c r="U16" s="31" t="n">
        <x:f>IF(T16="","",I16*T16)</x:f>
        <x:v>12621.701429216027</x:v>
      </x:c>
    </x:row>
    <x:row r="17" ht="18" customHeight="1">
      <x:c r="A17" s="24" t="str">
        <x:v>EEZ_308</x:v>
      </x:c>
      <x:c r="B17" s="24" t="str">
        <x:v>Grenada</x:v>
      </x:c>
      <x:c r="C17" s="24" t="str">
        <x:v>EEZ</x:v>
      </x:c>
      <x:c r="D17" s="30" t="n">
        <x:v>2019</x:v>
      </x:c>
      <x:c r="E17" s="24" t="str">
        <x:v>Xiphias gladius</x:v>
      </x:c>
      <x:c r="F17" s="24" t="str">
        <x:v>Swordfish</x:v>
      </x:c>
      <x:c r="G17" s="24" t="str">
        <x:v>Large pelagics (&gt;=90 cm)</x:v>
      </x:c>
      <x:c r="H17" s="24" t="str">
        <x:v>Tuna &amp; billfishes</x:v>
      </x:c>
      <x:c r="I17" s="31" t="n">
        <x:v>63.3442469289</x:v>
      </x:c>
      <x:c r="J17" s="31" t="n">
        <x:v>63.3442469289</x:v>
      </x:c>
      <x:c r="K17" s="31" t="n">
        <x:v>0</x:v>
      </x:c>
      <x:c r="L17" s="31" t="n">
        <x:v>42.4075651656</x:v>
      </x:c>
      <x:c r="M17" s="31" t="n">
        <x:v>20.9366817633</x:v>
      </x:c>
      <x:c r="N17" s="24" t="str">
        <x:v>xiphias gladius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Xiphias gladius</x:v>
      </x:c>
      <x:c r="T17" s="32" t="n">
        <x:f>IF(O17="","",(1/'Metadata'!$B$5)^(O17-1))</x:f>
        <x:v>3388.4415613920273</x:v>
      </x:c>
      <x:c r="U17" s="31" t="n">
        <x:f>IF(T17="","",I17*T17)</x:f>
        <x:v>214638.27896896403</x:v>
      </x:c>
    </x:row>
    <x:row r="18" ht="18" customHeight="1">
      <x:c r="A18" s="24" t="str">
        <x:v>EEZ_308</x:v>
      </x:c>
      <x:c r="B18" s="24" t="str">
        <x:v>Grenada</x:v>
      </x:c>
      <x:c r="C18" s="24" t="str">
        <x:v>EEZ</x:v>
      </x:c>
      <x:c r="D18" s="30" t="n">
        <x:v>2019</x:v>
      </x:c>
      <x:c r="E18" s="24" t="str">
        <x:v>Marine pelagic fishes not identified</x:v>
      </x:c>
      <x:c r="F18" s="24" t="str">
        <x:v>Pelagic fishes</x:v>
      </x:c>
      <x:c r="G18" s="24" t="str">
        <x:v>Medium pelagics (30 - 89 cm)</x:v>
      </x:c>
      <x:c r="H18" s="24" t="str">
        <x:v>Other fishes &amp; inverts</x:v>
      </x:c>
      <x:c r="I18" s="31" t="n">
        <x:v>60.1968825214</x:v>
      </x:c>
      <x:c r="J18" s="31" t="n">
        <x:v>60.1968825214</x:v>
      </x:c>
      <x:c r="K18" s="31" t="n">
        <x:v>0</x:v>
      </x:c>
      <x:c r="L18" s="31" t="n">
        <x:v>60.1968825214</x:v>
      </x:c>
      <x:c r="M18" s="31" t="n">
        <x:v>0</x:v>
      </x:c>
      <x:c r="N18" s="24" t="str">
        <x:v>marine pelagic fishes not identified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pelagic fishes not identified</x:v>
      </x:c>
      <x:c r="T18" s="32" t="n">
        <x:f>IF(O18="","",(1/'Metadata'!$B$5)^(O18-1))</x:f>
        <x:v>223.872113856834</x:v>
      </x:c>
      <x:c r="U18" s="31" t="n">
        <x:f>IF(T18="","",I18*T18)</x:f>
        <x:v>13476.40333765732</x:v>
      </x:c>
    </x:row>
    <x:row r="19" ht="18" customHeight="1">
      <x:c r="A19" s="24" t="str">
        <x:v>EEZ_308</x:v>
      </x:c>
      <x:c r="B19" s="24" t="str">
        <x:v>Grenada</x:v>
      </x:c>
      <x:c r="C19" s="24" t="str">
        <x:v>EEZ</x:v>
      </x:c>
      <x:c r="D19" s="30" t="n">
        <x:v>2019</x:v>
      </x:c>
      <x:c r="E19" s="24" t="str">
        <x:v>Katsuwonus pelamis</x:v>
      </x:c>
      <x:c r="F19" s="24" t="str">
        <x:v>Skipjack tuna</x:v>
      </x:c>
      <x:c r="G19" s="24" t="str">
        <x:v>Large pelagics (&gt;=90 cm)</x:v>
      </x:c>
      <x:c r="H19" s="24" t="str">
        <x:v>Tuna &amp; billfishes</x:v>
      </x:c>
      <x:c r="I19" s="31" t="n">
        <x:v>57.5462868402</x:v>
      </x:c>
      <x:c r="J19" s="31" t="n">
        <x:v>57.5462868402</x:v>
      </x:c>
      <x:c r="K19" s="31" t="n">
        <x:v>0</x:v>
      </x:c>
      <x:c r="L19" s="31" t="n">
        <x:v>47.5553863422</x:v>
      </x:c>
      <x:c r="M19" s="31" t="n">
        <x:v>9.990900498</x:v>
      </x:c>
      <x:c r="N19" s="24" t="str">
        <x:v>katsuwonus pelamis</x:v>
      </x:c>
      <x:c r="O19" s="32" t="n">
        <x:v>4.43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Katsuwonus pelamis</x:v>
      </x:c>
      <x:c r="T19" s="32" t="n">
        <x:f>IF(O19="","",(1/'Metadata'!$B$5)^(O19-1))</x:f>
        <x:v>2691.534803926914</x:v>
      </x:c>
      <x:c r="U19" s="31" t="n">
        <x:f>IF(T19="","",I19*T19)</x:f>
        <x:v>154887.83386715964</x:v>
      </x:c>
    </x:row>
    <x:row r="20" ht="18" customHeight="1">
      <x:c r="A20" s="24" t="str">
        <x:v>EEZ_308</x:v>
      </x:c>
      <x:c r="B20" s="24" t="str">
        <x:v>Grenada</x:v>
      </x:c>
      <x:c r="C20" s="24" t="str">
        <x:v>EEZ</x:v>
      </x:c>
      <x:c r="D20" s="30" t="n">
        <x:v>2019</x:v>
      </x:c>
      <x:c r="E20" s="24" t="str">
        <x:v>Caranx latus</x:v>
      </x:c>
      <x:c r="F20" s="24" t="str">
        <x:v>Horse-eye jack</x:v>
      </x:c>
      <x:c r="G20" s="24" t="str">
        <x:v>Large reef assoc. fish (&gt;=90 cm)</x:v>
      </x:c>
      <x:c r="H20" s="24" t="str">
        <x:v>Perch-likes</x:v>
      </x:c>
      <x:c r="I20" s="31" t="n">
        <x:v>57.207503181999996</x:v>
      </x:c>
      <x:c r="J20" s="31" t="n">
        <x:v>57.207503181999996</x:v>
      </x:c>
      <x:c r="K20" s="31" t="n">
        <x:v>0</x:v>
      </x:c>
      <x:c r="L20" s="31" t="n">
        <x:v>29</x:v>
      </x:c>
      <x:c r="M20" s="31" t="n">
        <x:v>28.207503182</x:v>
      </x:c>
      <x:c r="N20" s="24" t="str">
        <x:v>caranx latus</x:v>
      </x:c>
      <x:c r="O20" s="32" t="n">
        <x:v>4.16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Caranx latus</x:v>
      </x:c>
      <x:c r="T20" s="32" t="n">
        <x:f>IF(O20="","",(1/'Metadata'!$B$5)^(O20-1))</x:f>
        <x:v>1445.439770745928</x:v>
      </x:c>
      <x:c r="U20" s="31" t="n">
        <x:f>IF(T20="","",I20*T20)</x:f>
        <x:v>82690.00028433702</x:v>
      </x:c>
    </x:row>
    <x:row r="21" ht="18" customHeight="1">
      <x:c r="A21" s="24" t="str">
        <x:v>EEZ_308</x:v>
      </x:c>
      <x:c r="B21" s="24" t="str">
        <x:v>Grenada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54.6102450225</x:v>
      </x:c>
      <x:c r="J21" s="31" t="n">
        <x:v>54.6102450225</x:v>
      </x:c>
      <x:c r="K21" s="31" t="n">
        <x:v>0</x:v>
      </x:c>
      <x:c r="L21" s="31" t="n">
        <x:v>46.7884158183</x:v>
      </x:c>
      <x:c r="M21" s="31" t="n">
        <x:v>7.8218292042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99374.30975634478</x:v>
      </x:c>
    </x:row>
    <x:row r="22" ht="18" customHeight="1">
      <x:c r="A22" s="24" t="str">
        <x:v>EEZ_308</x:v>
      </x:c>
      <x:c r="B22" s="24" t="str">
        <x:v>Grenada</x:v>
      </x:c>
      <x:c r="C22" s="24" t="str">
        <x:v>EEZ</x:v>
      </x:c>
      <x:c r="D22" s="30" t="n">
        <x:v>2019</x:v>
      </x:c>
      <x:c r="E22" s="24" t="str">
        <x:v>Aliger gigas</x:v>
      </x:c>
      <x:c r="F22" s="24" t="str">
        <x:v>Pink conch</x:v>
      </x:c>
      <x:c r="G22" s="24" t="str">
        <x:v>Other demersal invertebrates</x:v>
      </x:c>
      <x:c r="H22" s="24" t="str">
        <x:v>Molluscs</x:v>
      </x:c>
      <x:c r="I22" s="31" t="n">
        <x:v>30.8212644196</x:v>
      </x:c>
      <x:c r="J22" s="31" t="n">
        <x:v>30.8212644196</x:v>
      </x:c>
      <x:c r="K22" s="31" t="n">
        <x:v>0</x:v>
      </x:c>
      <x:c r="L22" s="31" t="n">
        <x:v>17.5027310968</x:v>
      </x:c>
      <x:c r="M22" s="31" t="n">
        <x:v>13.3185333228</x:v>
      </x:c>
      <x:c r="N22" s="24" t="str">
        <x:v>aliger gigas</x:v>
      </x:c>
      <x:c r="O22" s="32" t="n">
        <x:v>2.19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Aliger gigas</x:v>
      </x:c>
      <x:c r="T22" s="32" t="n">
        <x:f>IF(O22="","",(1/'Metadata'!$B$5)^(O22-1))</x:f>
        <x:v>15.488166189124811</x:v>
      </x:c>
      <x:c r="U22" s="31" t="n">
        <x:f>IF(T22="","",I22*T22)</x:f>
        <x:v>477.36486548972425</x:v>
      </x:c>
    </x:row>
    <x:row r="23" ht="18" customHeight="1">
      <x:c r="A23" s="24" t="str">
        <x:v>EEZ_308</x:v>
      </x:c>
      <x:c r="B23" s="24" t="str">
        <x:v>Grenada</x:v>
      </x:c>
      <x:c r="C23" s="24" t="str">
        <x:v>EEZ</x:v>
      </x:c>
      <x:c r="D23" s="30" t="n">
        <x:v>2019</x:v>
      </x:c>
      <x:c r="E23" s="24" t="str">
        <x:v>Elagatis bipinnulata</x:v>
      </x:c>
      <x:c r="F23" s="24" t="str">
        <x:v>Rainbow runner</x:v>
      </x:c>
      <x:c r="G23" s="24" t="str">
        <x:v>Large pelagics (&gt;=90 cm)</x:v>
      </x:c>
      <x:c r="H23" s="24" t="str">
        <x:v>Perch-likes</x:v>
      </x:c>
      <x:c r="I23" s="31" t="n">
        <x:v>28.9559309652</x:v>
      </x:c>
      <x:c r="J23" s="31" t="n">
        <x:v>28.9559309652</x:v>
      </x:c>
      <x:c r="K23" s="31" t="n">
        <x:v>0</x:v>
      </x:c>
      <x:c r="L23" s="31" t="n">
        <x:v>7.1457685356</x:v>
      </x:c>
      <x:c r="M23" s="31" t="n">
        <x:v>21.810162429600002</x:v>
      </x:c>
      <x:c r="N23" s="24" t="str">
        <x:v>elagatis bipinnulata</x:v>
      </x:c>
      <x:c r="O23" s="32" t="n">
        <x:v>4.27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Elagatis bipinnulata</x:v>
      </x:c>
      <x:c r="T23" s="32" t="n">
        <x:f>IF(O23="","",(1/'Metadata'!$B$5)^(O23-1))</x:f>
        <x:v>1862.0871366628655</x:v>
      </x:c>
      <x:c r="U23" s="31" t="n">
        <x:f>IF(T23="","",I23*T23)</x:f>
        <x:v>53918.466580396875</x:v>
      </x:c>
    </x:row>
    <x:row r="24" ht="18" customHeight="1">
      <x:c r="A24" s="24" t="str">
        <x:v>EEZ_308</x:v>
      </x:c>
      <x:c r="B24" s="24" t="str">
        <x:v>Grenada</x:v>
      </x:c>
      <x:c r="C24" s="24" t="str">
        <x:v>EEZ</x:v>
      </x:c>
      <x:c r="D24" s="30" t="n">
        <x:v>2019</x:v>
      </x:c>
      <x:c r="E24" s="24" t="str">
        <x:v>Thunnus obesus</x:v>
      </x:c>
      <x:c r="F24" s="24" t="str">
        <x:v>Bigeye tuna</x:v>
      </x:c>
      <x:c r="G24" s="24" t="str">
        <x:v>Large pelagics (&gt;=90 cm)</x:v>
      </x:c>
      <x:c r="H24" s="24" t="str">
        <x:v>Tuna &amp; billfishes</x:v>
      </x:c>
      <x:c r="I24" s="31" t="n">
        <x:v>26.6335084392</x:v>
      </x:c>
      <x:c r="J24" s="31" t="n">
        <x:v>26.6335084392</x:v>
      </x:c>
      <x:c r="K24" s="31" t="n">
        <x:v>0</x:v>
      </x:c>
      <x:c r="L24" s="31" t="n">
        <x:v>24.9282217566</x:v>
      </x:c>
      <x:c r="M24" s="31" t="n">
        <x:v>1.7052866826</x:v>
      </x:c>
      <x:c r="N24" s="24" t="str">
        <x:v>thunnus obesus</x:v>
      </x:c>
      <x:c r="O24" s="32" t="n">
        <x:v>4.49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obesus</x:v>
      </x:c>
      <x:c r="T24" s="32" t="n">
        <x:f>IF(O24="","",(1/'Metadata'!$B$5)^(O24-1))</x:f>
        <x:v>3090.295432513592</x:v>
      </x:c>
      <x:c r="U24" s="31" t="n">
        <x:f>IF(T24="","",I24*T24)</x:f>
        <x:v>82305.40948147197</x:v>
      </x:c>
    </x:row>
    <x:row r="25" ht="18" customHeight="1">
      <x:c r="A25" s="24" t="str">
        <x:v>EEZ_308</x:v>
      </x:c>
      <x:c r="B25" s="24" t="str">
        <x:v>Grenada</x:v>
      </x:c>
      <x:c r="C25" s="24" t="str">
        <x:v>EEZ</x:v>
      </x:c>
      <x:c r="D25" s="30" t="n">
        <x:v>2019</x:v>
      </x:c>
      <x:c r="E25" s="24" t="str">
        <x:v>Carcharhinidae</x:v>
      </x:c>
      <x:c r="F25" s="24" t="str">
        <x:v>Requiem sharks</x:v>
      </x:c>
      <x:c r="G25" s="24" t="str">
        <x:v>Large sharks (&gt;=90 cm)</x:v>
      </x:c>
      <x:c r="H25" s="24" t="str">
        <x:v>Sharks &amp; rays</x:v>
      </x:c>
      <x:c r="I25" s="31" t="n">
        <x:v>16.56308281</x:v>
      </x:c>
      <x:c r="J25" s="31" t="n">
        <x:v>16.56308281</x:v>
      </x:c>
      <x:c r="K25" s="31" t="n">
        <x:v>0</x:v>
      </x:c>
      <x:c r="L25" s="31" t="n">
        <x:v>14.3904067819</x:v>
      </x:c>
      <x:c r="M25" s="31" t="n">
        <x:v>2.1726760281</x:v>
      </x:c>
      <x:c r="N25" s="24" t="str">
        <x:v>carcharhinidae</x:v>
      </x:c>
      <x:c r="O25" s="32" t="n">
        <x:v>4.24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Carcharhinidae</x:v>
      </x:c>
      <x:c r="T25" s="32" t="n">
        <x:f>IF(O25="","",(1/'Metadata'!$B$5)^(O25-1))</x:f>
        <x:v>1737.8008287493763</x:v>
      </x:c>
      <x:c r="U25" s="31" t="n">
        <x:f>IF(T25="","",I25*T25)</x:f>
        <x:v>28783.33903386255</x:v>
      </x:c>
    </x:row>
    <x:row r="26" ht="18" customHeight="1">
      <x:c r="A26" s="24" t="str">
        <x:v>EEZ_308</x:v>
      </x:c>
      <x:c r="B26" s="24" t="str">
        <x:v>Grenada</x:v>
      </x:c>
      <x:c r="C26" s="24" t="str">
        <x:v>EEZ</x:v>
      </x:c>
      <x:c r="D26" s="30" t="n">
        <x:v>2019</x:v>
      </x:c>
      <x:c r="E26" s="24" t="str">
        <x:v>Malacanthidae</x:v>
      </x:c>
      <x:c r="F26" s="24" t="str">
        <x:v>Tilefishes</x:v>
      </x:c>
      <x:c r="G26" s="24" t="str">
        <x:v>Medium demersals (30 - 89 cm)</x:v>
      </x:c>
      <x:c r="H26" s="24" t="str">
        <x:v>Perch-likes</x:v>
      </x:c>
      <x:c r="I26" s="31" t="n">
        <x:v>13.5206323383</x:v>
      </x:c>
      <x:c r="J26" s="31" t="n">
        <x:v>13.5206323383</x:v>
      </x:c>
      <x:c r="K26" s="31" t="n">
        <x:v>0</x:v>
      </x:c>
      <x:c r="L26" s="31" t="n">
        <x:v>6.610982805999999</x:v>
      </x:c>
      <x:c r="M26" s="31" t="n">
        <x:v>6.9096495323</x:v>
      </x:c>
      <x:c r="N26" s="24" t="str">
        <x:v>malacanthidae</x:v>
      </x:c>
      <x:c r="O26" s="32" t="n">
        <x:v>3.62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Malacanthidae</x:v>
      </x:c>
      <x:c r="T26" s="32" t="n">
        <x:f>IF(O26="","",(1/'Metadata'!$B$5)^(O26-1))</x:f>
        <x:v>416.8693834703355</x:v>
      </x:c>
      <x:c r="U26" s="31" t="n">
        <x:f>IF(T26="","",I26*T26)</x:f>
        <x:v>5636.337666996202</x:v>
      </x:c>
    </x:row>
    <x:row r="27" ht="18" customHeight="1">
      <x:c r="A27" s="24" t="str">
        <x:v>EEZ_308</x:v>
      </x:c>
      <x:c r="B27" s="24" t="str">
        <x:v>Grenada</x:v>
      </x:c>
      <x:c r="C27" s="24" t="str">
        <x:v>EEZ</x:v>
      </x:c>
      <x:c r="D27" s="30" t="n">
        <x:v>2019</x:v>
      </x:c>
      <x:c r="E27" s="24" t="str">
        <x:v>Scomberomorus cavalla</x:v>
      </x:c>
      <x:c r="F27" s="24" t="str">
        <x:v>King mackerel</x:v>
      </x:c>
      <x:c r="G27" s="24" t="str">
        <x:v>Large pelagics (&gt;=90 cm)</x:v>
      </x:c>
      <x:c r="H27" s="24" t="str">
        <x:v>Perch-likes</x:v>
      </x:c>
      <x:c r="I27" s="31" t="n">
        <x:v>13.2251661966</x:v>
      </x:c>
      <x:c r="J27" s="31" t="n">
        <x:v>13.2251661966</x:v>
      </x:c>
      <x:c r="K27" s="31" t="n">
        <x:v>0</x:v>
      </x:c>
      <x:c r="L27" s="31" t="n">
        <x:v>11.7020411713</x:v>
      </x:c>
      <x:c r="M27" s="31" t="n">
        <x:v>1.5231250253</x:v>
      </x:c>
      <x:c r="N27" s="24" t="str">
        <x:v>scomberomorus cavalla</x:v>
      </x:c>
      <x:c r="O27" s="32" t="n">
        <x:v>4.42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Scomberomorus cavalla</x:v>
      </x:c>
      <x:c r="T27" s="32" t="n">
        <x:f>IF(O27="","",(1/'Metadata'!$B$5)^(O27-1))</x:f>
        <x:v>2630.2679918953813</x:v>
      </x:c>
      <x:c r="U27" s="31" t="n">
        <x:f>IF(T27="","",I27*T27)</x:f>
        <x:v>34785.73133441376</x:v>
      </x:c>
    </x:row>
    <x:row r="28" ht="18" customHeight="1">
      <x:c r="A28" s="24" t="str">
        <x:v>EEZ_308</x:v>
      </x:c>
      <x:c r="B28" s="24" t="str">
        <x:v>Grenada</x:v>
      </x:c>
      <x:c r="C28" s="24" t="str">
        <x:v>EEZ</x:v>
      </x:c>
      <x:c r="D28" s="30" t="n">
        <x:v>2019</x:v>
      </x:c>
      <x:c r="E28" s="24" t="str">
        <x:v>Cephalopholis fulva</x:v>
      </x:c>
      <x:c r="F28" s="24" t="str">
        <x:v>Coney</x:v>
      </x:c>
      <x:c r="G28" s="24" t="str">
        <x:v>Medium reef assoc. fish (30 - 89 cm)</x:v>
      </x:c>
      <x:c r="H28" s="24" t="str">
        <x:v>Perch-likes</x:v>
      </x:c>
      <x:c r="I28" s="31" t="n">
        <x:v>12.7577691534</x:v>
      </x:c>
      <x:c r="J28" s="31" t="n">
        <x:v>12.7577691534</x:v>
      </x:c>
      <x:c r="K28" s="31" t="n">
        <x:v>0</x:v>
      </x:c>
      <x:c r="L28" s="31" t="n">
        <x:v>7.4725743722</x:v>
      </x:c>
      <x:c r="M28" s="31" t="n">
        <x:v>5.2851947811999995</x:v>
      </x:c>
      <x:c r="N28" s="24" t="str">
        <x:v>cephalopholis fulva</x:v>
      </x:c>
      <x:c r="O28" s="32" t="n">
        <x:v>4.05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Cephalopholis fulva</x:v>
      </x:c>
      <x:c r="T28" s="32" t="n">
        <x:f>IF(O28="","",(1/'Metadata'!$B$5)^(O28-1))</x:f>
        <x:v>1122.018454301963</x:v>
      </x:c>
      <x:c r="U28" s="31" t="n">
        <x:f>IF(T28="","",I28*T28)</x:f>
        <x:v>14314.45242583913</x:v>
      </x:c>
    </x:row>
    <x:row r="29" ht="18" customHeight="1">
      <x:c r="A29" s="24" t="str">
        <x:v>EEZ_308</x:v>
      </x:c>
      <x:c r="B29" s="24" t="str">
        <x:v>Grenada</x:v>
      </x:c>
      <x:c r="C29" s="24" t="str">
        <x:v>EEZ</x:v>
      </x:c>
      <x:c r="D29" s="30" t="n">
        <x:v>2019</x:v>
      </x:c>
      <x:c r="E29" s="24" t="str">
        <x:v>Kajikia albida</x:v>
      </x:c>
      <x:c r="F29" s="24" t="str">
        <x:v>Atlantic white marlin</x:v>
      </x:c>
      <x:c r="G29" s="24" t="str">
        <x:v>Large pelagics (&gt;=90 cm)</x:v>
      </x:c>
      <x:c r="H29" s="24" t="str">
        <x:v>Tuna &amp; billfishes</x:v>
      </x:c>
      <x:c r="I29" s="31" t="n">
        <x:v>11.3134606284</x:v>
      </x:c>
      <x:c r="J29" s="31" t="n">
        <x:v>11.3134606284</x:v>
      </x:c>
      <x:c r="K29" s="31" t="n">
        <x:v>0</x:v>
      </x:c>
      <x:c r="L29" s="31" t="n">
        <x:v>7.3611920814</x:v>
      </x:c>
      <x:c r="M29" s="31" t="n">
        <x:v>3.952268547</x:v>
      </x:c>
      <x:c r="N29" s="24" t="str">
        <x:v>kajikia albida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Kajikia albida</x:v>
      </x:c>
      <x:c r="T29" s="32" t="n">
        <x:f>IF(O29="","",(1/'Metadata'!$B$5)^(O29-1))</x:f>
        <x:v>3090.295432513592</x:v>
      </x:c>
      <x:c r="U29" s="31" t="n">
        <x:f>IF(T29="","",I29*T29)</x:f>
        <x:v>34961.93570586687</x:v>
      </x:c>
    </x:row>
    <x:row r="30" ht="18" customHeight="1">
      <x:c r="A30" s="24" t="str">
        <x:v>EEZ_308</x:v>
      </x:c>
      <x:c r="B30" s="24" t="str">
        <x:v>Grenada</x:v>
      </x:c>
      <x:c r="C30" s="24" t="str">
        <x:v>EEZ</x:v>
      </x:c>
      <x:c r="D30" s="30" t="n">
        <x:v>2019</x:v>
      </x:c>
      <x:c r="E30" s="24" t="str">
        <x:v>Sarda sarda</x:v>
      </x:c>
      <x:c r="F30" s="24" t="str">
        <x:v>Atlantic bonito</x:v>
      </x:c>
      <x:c r="G30" s="24" t="str">
        <x:v>Medium pelagics (30 - 89 cm)</x:v>
      </x:c>
      <x:c r="H30" s="24" t="str">
        <x:v>Tuna &amp; billfishes</x:v>
      </x:c>
      <x:c r="I30" s="31" t="n">
        <x:v>6.414342476</x:v>
      </x:c>
      <x:c r="J30" s="31" t="n">
        <x:v>6.414342476</x:v>
      </x:c>
      <x:c r="K30" s="31" t="n">
        <x:v>0</x:v>
      </x:c>
      <x:c r="L30" s="31" t="n">
        <x:v>5.48913092</x:v>
      </x:c>
      <x:c r="M30" s="31" t="n">
        <x:v>0.925211556</x:v>
      </x:c>
      <x:c r="N30" s="24" t="str">
        <x:v>sarda sarda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Sarda sarda</x:v>
      </x:c>
      <x:c r="T30" s="32" t="n">
        <x:f>IF(O30="","",(1/'Metadata'!$B$5)^(O30-1))</x:f>
        <x:v>3162.2776601683795</x:v>
      </x:c>
      <x:c r="U30" s="31" t="n">
        <x:f>IF(T30="","",I30*T30)</x:f>
        <x:v>20283.93191652393</x:v>
      </x:c>
    </x:row>
    <x:row r="31" ht="18" customHeight="1">
      <x:c r="A31" s="24" t="str">
        <x:v>EEZ_308</x:v>
      </x:c>
      <x:c r="B31" s="24" t="str">
        <x:v>Grenada</x:v>
      </x:c>
      <x:c r="C31" s="24" t="str">
        <x:v>EEZ</x:v>
      </x:c>
      <x:c r="D31" s="30" t="n">
        <x:v>2019</x:v>
      </x:c>
      <x:c r="E31" s="24" t="str">
        <x:v>Carangidae</x:v>
      </x:c>
      <x:c r="F31" s="24" t="str">
        <x:v>Jacks, pompanos</x:v>
      </x:c>
      <x:c r="G31" s="24" t="str">
        <x:v>Medium pelagics (30 - 89 cm)</x:v>
      </x:c>
      <x:c r="H31" s="24" t="str">
        <x:v>Perch-likes</x:v>
      </x:c>
      <x:c r="I31" s="31" t="n">
        <x:v>5.9017594686</x:v>
      </x:c>
      <x:c r="J31" s="31" t="n">
        <x:v>5.9017594686</x:v>
      </x:c>
      <x:c r="K31" s="31" t="n">
        <x:v>0</x:v>
      </x:c>
      <x:c r="L31" s="31" t="n">
        <x:v>0</x:v>
      </x:c>
      <x:c r="M31" s="31" t="n">
        <x:v>5.9017594686</x:v>
      </x:c>
      <x:c r="N31" s="24" t="str">
        <x:v>carangidae</x:v>
      </x:c>
      <x:c r="O31" s="32" t="n">
        <x:v>4.05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Carangidae</x:v>
      </x:c>
      <x:c r="T31" s="32" t="n">
        <x:f>IF(O31="","",(1/'Metadata'!$B$5)^(O31-1))</x:f>
        <x:v>1122.018454301963</x:v>
      </x:c>
      <x:c r="U31" s="31" t="n">
        <x:f>IF(T31="","",I31*T31)</x:f>
        <x:v>6621.883036620546</x:v>
      </x:c>
    </x:row>
    <x:row r="32" ht="18" customHeight="1">
      <x:c r="A32" s="24" t="str">
        <x:v>EEZ_308</x:v>
      </x:c>
      <x:c r="B32" s="24" t="str">
        <x:v>Grenada</x:v>
      </x:c>
      <x:c r="C32" s="24" t="str">
        <x:v>EEZ</x:v>
      </x:c>
      <x:c r="D32" s="30" t="n">
        <x:v>2019</x:v>
      </x:c>
      <x:c r="E32" s="24" t="str">
        <x:v>Scombridae</x:v>
      </x:c>
      <x:c r="F32" s="24" t="str">
        <x:v>Mackerels, tunas, bonitos</x:v>
      </x:c>
      <x:c r="G32" s="24" t="str">
        <x:v>Medium pelagics (30 - 89 cm)</x:v>
      </x:c>
      <x:c r="H32" s="24" t="str">
        <x:v>Perch-likes</x:v>
      </x:c>
      <x:c r="I32" s="31" t="n">
        <x:v>4.360113633</x:v>
      </x:c>
      <x:c r="J32" s="31" t="n">
        <x:v>4.360113633</x:v>
      </x:c>
      <x:c r="K32" s="31" t="n">
        <x:v>0</x:v>
      </x:c>
      <x:c r="L32" s="31" t="n">
        <x:v>4.3595568429</x:v>
      </x:c>
      <x:c r="M32" s="31" t="n">
        <x:v>0.0005567901000000001</x:v>
      </x:c>
      <x:c r="N32" s="24" t="str">
        <x:v>scombridae</x:v>
      </x:c>
      <x:c r="O32" s="32" t="n">
        <x:v>4.26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Scombridae</x:v>
      </x:c>
      <x:c r="T32" s="32" t="n">
        <x:f>IF(O32="","",(1/'Metadata'!$B$5)^(O32-1))</x:f>
        <x:v>1819.7008586099826</x:v>
      </x:c>
      <x:c r="U32" s="31" t="n">
        <x:f>IF(T32="","",I32*T32)</x:f>
        <x:v>7934.10252160719</x:v>
      </x:c>
    </x:row>
    <x:row r="33" ht="18" customHeight="1">
      <x:c r="A33" s="24" t="str">
        <x:v>EEZ_308</x:v>
      </x:c>
      <x:c r="B33" s="24" t="str">
        <x:v>Grenada</x:v>
      </x:c>
      <x:c r="C33" s="24" t="str">
        <x:v>EEZ</x:v>
      </x:c>
      <x:c r="D33" s="30" t="n">
        <x:v>2019</x:v>
      </x:c>
      <x:c r="E33" s="24" t="str">
        <x:v>Holocentridae</x:v>
      </x:c>
      <x:c r="F33" s="24" t="str">
        <x:v>Squirrel-, soldierfishes</x:v>
      </x:c>
      <x:c r="G33" s="24" t="str">
        <x:v>Small reef assoc. fish (&lt;30 cm)</x:v>
      </x:c>
      <x:c r="H33" s="24" t="str">
        <x:v>Other fishes &amp; inverts</x:v>
      </x:c>
      <x:c r="I33" s="31" t="n">
        <x:v>4.3425104231</x:v>
      </x:c>
      <x:c r="J33" s="31" t="n">
        <x:v>4.3425104231</x:v>
      </x:c>
      <x:c r="K33" s="31" t="n">
        <x:v>0</x:v>
      </x:c>
      <x:c r="L33" s="31" t="n">
        <x:v>1.4728888203</x:v>
      </x:c>
      <x:c r="M33" s="31" t="n">
        <x:v>2.8696216028</x:v>
      </x:c>
      <x:c r="N33" s="24" t="str">
        <x:v>holocentridae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Holocentridae</x:v>
      </x:c>
      <x:c r="T33" s="32" t="n">
        <x:f>IF(O33="","",(1/'Metadata'!$B$5)^(O33-1))</x:f>
        <x:v>309.0295432513592</x:v>
      </x:c>
      <x:c r="U33" s="31" t="n">
        <x:f>IF(T33="","",I33*T33)</x:f>
        <x:v>1341.9640126148597</x:v>
      </x:c>
    </x:row>
    <x:row r="34" ht="18" customHeight="1">
      <x:c r="A34" s="24" t="str">
        <x:v>EEZ_308</x:v>
      </x:c>
      <x:c r="B34" s="24" t="str">
        <x:v>Grenada</x:v>
      </x:c>
      <x:c r="C34" s="24" t="str">
        <x:v>EEZ</x:v>
      </x:c>
      <x:c r="D34" s="30" t="n">
        <x:v>2019</x:v>
      </x:c>
      <x:c r="E34" s="24" t="str">
        <x:v>Acanthurus</x:v>
      </x:c>
      <x:c r="F34" s="24" t="str">
        <x:v>Surgeonfishes</x:v>
      </x:c>
      <x:c r="G34" s="24" t="str">
        <x:v>Small reef assoc. fish (&lt;30 cm)</x:v>
      </x:c>
      <x:c r="H34" s="24" t="str">
        <x:v>Perch-likes</x:v>
      </x:c>
      <x:c r="I34" s="31" t="n">
        <x:v>4.2029241591</x:v>
      </x:c>
      <x:c r="J34" s="31" t="n">
        <x:v>4.2029241591</x:v>
      </x:c>
      <x:c r="K34" s="31" t="n">
        <x:v>0</x:v>
      </x:c>
      <x:c r="L34" s="31" t="n">
        <x:v>2.0236851077</x:v>
      </x:c>
      <x:c r="M34" s="31" t="n">
        <x:v>2.1792390513999997</x:v>
      </x:c>
      <x:c r="N34" s="24" t="str">
        <x:v>acanthurus</x:v>
      </x:c>
      <x:c r="O34" s="32" t="n">
        <x:v>2.03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Acanthurus</x:v>
      </x:c>
      <x:c r="T34" s="32" t="n">
        <x:f>IF(O34="","",(1/'Metadata'!$B$5)^(O34-1))</x:f>
        <x:v>10.71519305237606</x:v>
      </x:c>
      <x:c r="U34" s="31" t="n">
        <x:f>IF(T34="","",I34*T34)</x:f>
        <x:v>45.035143749251816</x:v>
      </x:c>
    </x:row>
    <x:row r="35" ht="18" customHeight="1">
      <x:c r="A35" s="24" t="str">
        <x:v>EEZ_308</x:v>
      </x:c>
      <x:c r="B35" s="24" t="str">
        <x:v>Grenada</x:v>
      </x:c>
      <x:c r="C35" s="24" t="str">
        <x:v>EEZ</x:v>
      </x:c>
      <x:c r="D35" s="30" t="n">
        <x:v>2019</x:v>
      </x:c>
      <x:c r="E35" s="24" t="str">
        <x:v>Haemulidae</x:v>
      </x:c>
      <x:c r="F35" s="24" t="str">
        <x:v>Grunts, sweetlips, bonnetmouths</x:v>
      </x:c>
      <x:c r="G35" s="24" t="str">
        <x:v>Medium demersals (30 - 89 cm)</x:v>
      </x:c>
      <x:c r="H35" s="24" t="str">
        <x:v>Perch-likes</x:v>
      </x:c>
      <x:c r="I35" s="31" t="n">
        <x:v>3.1791518967</x:v>
      </x:c>
      <x:c r="J35" s="31" t="n">
        <x:v>3.1791518967</x:v>
      </x:c>
      <x:c r="K35" s="31" t="n">
        <x:v>0</x:v>
      </x:c>
      <x:c r="L35" s="31" t="n">
        <x:v>1.189927269</x:v>
      </x:c>
      <x:c r="M35" s="31" t="n">
        <x:v>1.9892246276999999</x:v>
      </x:c>
      <x:c r="N35" s="24" t="str">
        <x:v>haemulidae</x:v>
      </x:c>
      <x:c r="O35" s="32" t="n">
        <x:v>3.36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Haemulidae</x:v>
      </x:c>
      <x:c r="T35" s="32" t="n">
        <x:f>IF(O35="","",(1/'Metadata'!$B$5)^(O35-1))</x:f>
        <x:v>229.08676527677724</x:v>
      </x:c>
      <x:c r="U35" s="31" t="n">
        <x:f>IF(T35="","",I35*T35)</x:f>
        <x:v>728.3016243385341</x:v>
      </x:c>
    </x:row>
    <x:row r="36" ht="18" customHeight="1">
      <x:c r="A36" s="24" t="str">
        <x:v>EEZ_308</x:v>
      </x:c>
      <x:c r="B36" s="24" t="str">
        <x:v>Grenada</x:v>
      </x:c>
      <x:c r="C36" s="24" t="str">
        <x:v>EEZ</x:v>
      </x:c>
      <x:c r="D36" s="30" t="n">
        <x:v>2019</x:v>
      </x:c>
      <x:c r="E36" s="24" t="str">
        <x:v>Anchoa hepsetus</x:v>
      </x:c>
      <x:c r="F36" s="24" t="str">
        <x:v>Broad-striped anchovy</x:v>
      </x:c>
      <x:c r="G36" s="24" t="str">
        <x:v>Small pelagics (&lt;30 cm)</x:v>
      </x:c>
      <x:c r="H36" s="24" t="str">
        <x:v>Anchovies</x:v>
      </x:c>
      <x:c r="I36" s="31" t="n">
        <x:v>2.8623575269</x:v>
      </x:c>
      <x:c r="J36" s="31" t="n">
        <x:v>2.8623575269</x:v>
      </x:c>
      <x:c r="K36" s="31" t="n">
        <x:v>0</x:v>
      </x:c>
      <x:c r="L36" s="31" t="n">
        <x:v>0</x:v>
      </x:c>
      <x:c r="M36" s="31" t="n">
        <x:v>2.8623575269</x:v>
      </x:c>
      <x:c r="N36" s="24" t="str">
        <x:v>anchoa hepsetus</x:v>
      </x:c>
      <x:c r="O36" s="32" t="n">
        <x:v>3.34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Anchoa hepsetus</x:v>
      </x:c>
      <x:c r="T36" s="32" t="n">
        <x:f>IF(O36="","",(1/'Metadata'!$B$5)^(O36-1))</x:f>
        <x:v>218.77616239495518</x:v>
      </x:c>
      <x:c r="U36" s="31" t="n">
        <x:f>IF(T36="","",I36*T36)</x:f>
        <x:v>626.2155951374966</x:v>
      </x:c>
    </x:row>
    <x:row r="37" ht="18" customHeight="1">
      <x:c r="A37" s="24" t="str">
        <x:v>EEZ_308</x:v>
      </x:c>
      <x:c r="B37" s="24" t="str">
        <x:v>Grenada</x:v>
      </x:c>
      <x:c r="C37" s="24" t="str">
        <x:v>EEZ</x:v>
      </x:c>
      <x:c r="D37" s="30" t="n">
        <x:v>2019</x:v>
      </x:c>
      <x:c r="E37" s="24" t="str">
        <x:v>Serranidae</x:v>
      </x:c>
      <x:c r="F37" s="24" t="str">
        <x:v>Basses, groupers, hinds</x:v>
      </x:c>
      <x:c r="G37" s="24" t="str">
        <x:v>Medium reef assoc. fish (30 - 89 cm)</x:v>
      </x:c>
      <x:c r="H37" s="24" t="str">
        <x:v>Perch-likes</x:v>
      </x:c>
      <x:c r="I37" s="31" t="n">
        <x:v>2.1503239683</x:v>
      </x:c>
      <x:c r="J37" s="31" t="n">
        <x:v>2.1503239683</x:v>
      </x:c>
      <x:c r="K37" s="31" t="n">
        <x:v>0</x:v>
      </x:c>
      <x:c r="L37" s="31" t="n">
        <x:v>0.4409101146</x:v>
      </x:c>
      <x:c r="M37" s="31" t="n">
        <x:v>1.7094138536999999</x:v>
      </x:c>
      <x:c r="N37" s="24" t="str">
        <x:v>serranidae</x:v>
      </x:c>
      <x:c r="O37" s="32" t="n">
        <x:v>3.98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Serranidae</x:v>
      </x:c>
      <x:c r="T37" s="32" t="n">
        <x:f>IF(O37="","",(1/'Metadata'!$B$5)^(O37-1))</x:f>
        <x:v>954.992586021436</x:v>
      </x:c>
      <x:c r="U37" s="31" t="n">
        <x:f>IF(T37="","",I37*T37)</x:f>
        <x:v>2053.5434472706934</x:v>
      </x:c>
    </x:row>
    <x:row r="38" ht="18" customHeight="1">
      <x:c r="A38" s="24" t="str">
        <x:v>EEZ_308</x:v>
      </x:c>
      <x:c r="B38" s="24" t="str">
        <x:v>Grenada</x:v>
      </x:c>
      <x:c r="C38" s="24" t="str">
        <x:v>EEZ</x:v>
      </x:c>
      <x:c r="D38" s="30" t="n">
        <x:v>2019</x:v>
      </x:c>
      <x:c r="E38" s="24" t="str">
        <x:v>Loliginidae</x:v>
      </x:c>
      <x:c r="F38" s="24" t="str">
        <x:v>Common pencil squids</x:v>
      </x:c>
      <x:c r="G38" s="24" t="str">
        <x:v>Cephalopods</x:v>
      </x:c>
      <x:c r="H38" s="24" t="str">
        <x:v>Other fishes &amp; inverts</x:v>
      </x:c>
      <x:c r="I38" s="31" t="n">
        <x:v>1.6372104382</x:v>
      </x:c>
      <x:c r="J38" s="31" t="n">
        <x:v>1.6372104382</x:v>
      </x:c>
      <x:c r="K38" s="31" t="n">
        <x:v>0</x:v>
      </x:c>
      <x:c r="L38" s="31" t="n">
        <x:v>0</x:v>
      </x:c>
      <x:c r="M38" s="31" t="n">
        <x:v>1.6372104382</x:v>
      </x:c>
      <x:c r="N38" s="24" t="str">
        <x:v>loliginidae</x:v>
      </x:c>
      <x:c r="O38" s="32" t="n">
        <x:v>3.9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Loliginidae</x:v>
      </x:c>
      <x:c r="T38" s="32" t="n">
        <x:f>IF(O38="","",(1/'Metadata'!$B$5)^(O38-1))</x:f>
        <x:v>794.3282347242813</x:v>
      </x:c>
      <x:c r="U38" s="31" t="n">
        <x:f>IF(T38="","",I38*T38)</x:f>
        <x:v>1300.482477247573</x:v>
      </x:c>
    </x:row>
    <x:row r="39" ht="18" customHeight="1">
      <x:c r="A39" s="24" t="str">
        <x:v>EEZ_308</x:v>
      </x:c>
      <x:c r="B39" s="24" t="str">
        <x:v>Grenada</x:v>
      </x:c>
      <x:c r="C39" s="24" t="str">
        <x:v>EEZ</x:v>
      </x:c>
      <x:c r="D39" s="30" t="n">
        <x:v>2019</x:v>
      </x:c>
      <x:c r="E39" s="24" t="str">
        <x:v>Hemiramphidae</x:v>
      </x:c>
      <x:c r="F39" s="24" t="str">
        <x:v>Halfbeaks, garfishes</x:v>
      </x:c>
      <x:c r="G39" s="24" t="str">
        <x:v>Medium pelagics (30 - 89 cm)</x:v>
      </x:c>
      <x:c r="H39" s="24" t="str">
        <x:v>Other fishes &amp; inverts</x:v>
      </x:c>
      <x:c r="I39" s="31" t="n">
        <x:v>1.4033854514</x:v>
      </x:c>
      <x:c r="J39" s="31" t="n">
        <x:v>1.4033854514</x:v>
      </x:c>
      <x:c r="K39" s="31" t="n">
        <x:v>0</x:v>
      </x:c>
      <x:c r="L39" s="31" t="n">
        <x:v>0.5624766547</x:v>
      </x:c>
      <x:c r="M39" s="31" t="n">
        <x:v>0.8409087967</x:v>
      </x:c>
      <x:c r="N39" s="24" t="str">
        <x:v>hemiramphidae</x:v>
      </x:c>
      <x:c r="O39" s="32" t="n">
        <x:v>2.82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Hemiramphidae</x:v>
      </x:c>
      <x:c r="T39" s="32" t="n">
        <x:f>IF(O39="","",(1/'Metadata'!$B$5)^(O39-1))</x:f>
        <x:v>66.06934480075958</x:v>
      </x:c>
      <x:c r="U39" s="31" t="n">
        <x:f>IF(T39="","",I39*T39)</x:f>
        <x:v>92.72075727691622</x:v>
      </x:c>
    </x:row>
    <x:row r="40" ht="18" customHeight="1">
      <x:c r="A40" s="24" t="str">
        <x:v>EEZ_308</x:v>
      </x:c>
      <x:c r="B40" s="24" t="str">
        <x:v>Grenada</x:v>
      </x:c>
      <x:c r="C40" s="24" t="str">
        <x:v>EEZ</x:v>
      </x:c>
      <x:c r="D40" s="30" t="n">
        <x:v>2019</x:v>
      </x:c>
      <x:c r="E40" s="24" t="str">
        <x:v>Coryphaena</x:v>
      </x:c>
      <x:c r="F40" s="24" t="str">
        <x:v>Dolphinfishes</x:v>
      </x:c>
      <x:c r="G40" s="24" t="str">
        <x:v>Large pelagics (&gt;=90 cm)</x:v>
      </x:c>
      <x:c r="H40" s="24" t="str">
        <x:v>Perch-likes</x:v>
      </x:c>
      <x:c r="I40" s="31" t="n">
        <x:v>0.8888215041</x:v>
      </x:c>
      <x:c r="J40" s="31" t="n">
        <x:v>0.8888215041</x:v>
      </x:c>
      <x:c r="K40" s="31" t="n">
        <x:v>0</x:v>
      </x:c>
      <x:c r="L40" s="31" t="n">
        <x:v>0</x:v>
      </x:c>
      <x:c r="M40" s="31" t="n">
        <x:v>0.8888215041</x:v>
      </x:c>
      <x:c r="N40" s="24" t="str">
        <x:v>coryphaena</x:v>
      </x:c>
      <x:c r="O40" s="32" t="n">
        <x:v>4.49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Coryphaena</x:v>
      </x:c>
      <x:c r="T40" s="32" t="n">
        <x:f>IF(O40="","",(1/'Metadata'!$B$5)^(O40-1))</x:f>
        <x:v>3090.295432513592</x:v>
      </x:c>
      <x:c r="U40" s="31" t="n">
        <x:f>IF(T40="","",I40*T40)</x:f>
        <x:v>2746.721034440091</x:v>
      </x:c>
    </x:row>
    <x:row r="41" ht="18" customHeight="1">
      <x:c r="A41" s="24" t="str">
        <x:v>EEZ_308</x:v>
      </x:c>
      <x:c r="B41" s="24" t="str">
        <x:v>Grenada</x:v>
      </x:c>
      <x:c r="C41" s="24" t="str">
        <x:v>EEZ</x:v>
      </x:c>
      <x:c r="D41" s="30" t="n">
        <x:v>2019</x:v>
      </x:c>
      <x:c r="E41" s="24" t="str">
        <x:v>Carcharhinus falciformis</x:v>
      </x:c>
      <x:c r="F41" s="24" t="str">
        <x:v>Silky shark</x:v>
      </x:c>
      <x:c r="G41" s="24" t="str">
        <x:v>Large sharks (&gt;=90 cm)</x:v>
      </x:c>
      <x:c r="H41" s="24" t="str">
        <x:v>Sharks &amp; rays</x:v>
      </x:c>
      <x:c r="I41" s="31" t="n">
        <x:v>0.6910798583</x:v>
      </x:c>
      <x:c r="J41" s="31" t="n">
        <x:v>0.6910798583</x:v>
      </x:c>
      <x:c r="K41" s="31" t="n">
        <x:v>0</x:v>
      </x:c>
      <x:c r="L41" s="31" t="n">
        <x:v>0.6910798583</x:v>
      </x:c>
      <x:c r="M41" s="31" t="n">
        <x:v>0</x:v>
      </x:c>
      <x:c r="N41" s="24" t="str">
        <x:v>carcharhinus falciformis</x:v>
      </x:c>
      <x:c r="O41" s="32" t="n">
        <x:v>4.51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Carcharhinus falciformis</x:v>
      </x:c>
      <x:c r="T41" s="32" t="n">
        <x:f>IF(O41="","",(1/'Metadata'!$B$5)^(O41-1))</x:f>
        <x:v>3235.936569296281</x:v>
      </x:c>
      <x:c r="U41" s="31" t="n">
        <x:f>IF(T41="","",I41*T41)</x:f>
        <x:v>2236.290585777062</x:v>
      </x:c>
    </x:row>
    <x:row r="42" ht="18" customHeight="1">
      <x:c r="A42" s="24" t="str">
        <x:v>EEZ_308</x:v>
      </x:c>
      <x:c r="B42" s="24" t="str">
        <x:v>Grenada</x:v>
      </x:c>
      <x:c r="C42" s="24" t="str">
        <x:v>EEZ</x:v>
      </x:c>
      <x:c r="D42" s="30" t="n">
        <x:v>2019</x:v>
      </x:c>
      <x:c r="E42" s="24" t="str">
        <x:v>Centropomus undecimalis</x:v>
      </x:c>
      <x:c r="F42" s="24" t="str">
        <x:v>Common snook</x:v>
      </x:c>
      <x:c r="G42" s="24" t="str">
        <x:v>Large benthopelagics (&gt;=90 cm)</x:v>
      </x:c>
      <x:c r="H42" s="24" t="str">
        <x:v>Perch-likes</x:v>
      </x:c>
      <x:c r="I42" s="31" t="n">
        <x:v>0.5996411321</x:v>
      </x:c>
      <x:c r="J42" s="31" t="n">
        <x:v>0.5996411321</x:v>
      </x:c>
      <x:c r="K42" s="31" t="n">
        <x:v>0</x:v>
      </x:c>
      <x:c r="L42" s="31" t="n">
        <x:v>0</x:v>
      </x:c>
      <x:c r="M42" s="31" t="n">
        <x:v>0.5996411321</x:v>
      </x:c>
      <x:c r="N42" s="24" t="str">
        <x:v>centropomus undecimalis</x:v>
      </x:c>
      <x:c r="O42" s="32" t="n">
        <x:v>4.17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Centropomus undecimalis</x:v>
      </x:c>
      <x:c r="T42" s="32" t="n">
        <x:f>IF(O42="","",(1/'Metadata'!$B$5)^(O42-1))</x:f>
        <x:v>1479.1083881682073</x:v>
      </x:c>
      <x:c r="U42" s="31" t="n">
        <x:f>IF(T42="","",I42*T42)</x:f>
        <x:v>886.93422837979</x:v>
      </x:c>
    </x:row>
    <x:row r="43" ht="18" customHeight="1">
      <x:c r="A43" s="24" t="str">
        <x:v>EEZ_308</x:v>
      </x:c>
      <x:c r="B43" s="24" t="str">
        <x:v>Grenada</x:v>
      </x:c>
      <x:c r="C43" s="24" t="str">
        <x:v>EEZ</x:v>
      </x:c>
      <x:c r="D43" s="30" t="n">
        <x:v>2019</x:v>
      </x:c>
      <x:c r="E43" s="24" t="str">
        <x:v>Isurus oxyrinchus</x:v>
      </x:c>
      <x:c r="F43" s="24" t="str">
        <x:v>Shortfin mako</x:v>
      </x:c>
      <x:c r="G43" s="24" t="str">
        <x:v>Large sharks (&gt;=90 cm)</x:v>
      </x:c>
      <x:c r="H43" s="24" t="str">
        <x:v>Sharks &amp; rays</x:v>
      </x:c>
      <x:c r="I43" s="31" t="n">
        <x:v>0.3044829611</x:v>
      </x:c>
      <x:c r="J43" s="31" t="n">
        <x:v>0.3044829611</x:v>
      </x:c>
      <x:c r="K43" s="31" t="n">
        <x:v>0</x:v>
      </x:c>
      <x:c r="L43" s="31" t="n">
        <x:v>0.3044829611</x:v>
      </x:c>
      <x:c r="M43" s="31" t="n">
        <x:v>0</x:v>
      </x:c>
      <x:c r="N43" s="24" t="str">
        <x:v>isurus oxyrinchus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Isurus oxyrinchus</x:v>
      </x:c>
      <x:c r="T43" s="32" t="n">
        <x:f>IF(O43="","",(1/'Metadata'!$B$5)^(O43-1))</x:f>
        <x:v>3162.2776601683795</x:v>
      </x:c>
      <x:c r="U43" s="31" t="n">
        <x:f>IF(T43="","",I43*T43)</x:f>
        <x:v>962.8596657884477</x:v>
      </x:c>
    </x:row>
    <x:row r="44" ht="18" customHeight="1">
      <x:c r="A44" s="24" t="str">
        <x:v>EEZ_308</x:v>
      </x:c>
      <x:c r="B44" s="24" t="str">
        <x:v>Grenada</x:v>
      </x:c>
      <x:c r="C44" s="24" t="str">
        <x:v>EEZ</x:v>
      </x:c>
      <x:c r="D44" s="30" t="n">
        <x:v>2019</x:v>
      </x:c>
      <x:c r="E44" s="24" t="str">
        <x:v>Scomberomorus brasiliensis</x:v>
      </x:c>
      <x:c r="F44" s="24" t="str">
        <x:v>Serra Spanish mackerel</x:v>
      </x:c>
      <x:c r="G44" s="24" t="str">
        <x:v>Large pelagics (&gt;=90 cm)</x:v>
      </x:c>
      <x:c r="H44" s="24" t="str">
        <x:v>Perch-likes</x:v>
      </x:c>
      <x:c r="I44" s="31" t="n">
        <x:v>0.30221870549999996</x:v>
      </x:c>
      <x:c r="J44" s="31" t="n">
        <x:v>0.30221870549999996</x:v>
      </x:c>
      <x:c r="K44" s="31" t="n">
        <x:v>0</x:v>
      </x:c>
      <x:c r="L44" s="31" t="n">
        <x:v>0.0056763048</x:v>
      </x:c>
      <x:c r="M44" s="31" t="n">
        <x:v>0.2965424007</x:v>
      </x:c>
      <x:c r="N44" s="24" t="str">
        <x:v>scomberomorus brasiliensis</x:v>
      </x:c>
      <x:c r="O44" s="32" t="n">
        <x:v>3.31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brasiliensis</x:v>
      </x:c>
      <x:c r="T44" s="32" t="n">
        <x:f>IF(O44="","",(1/'Metadata'!$B$5)^(O44-1))</x:f>
        <x:v>204.17379446695296</x:v>
      </x:c>
      <x:c r="U44" s="31" t="n">
        <x:f>IF(T44="","",I44*T44)</x:f>
        <x:v>61.705139860825575</x:v>
      </x:c>
    </x:row>
    <x:row r="45" ht="18" customHeight="1">
      <x:c r="A45" s="24" t="str">
        <x:v>EEZ_308</x:v>
      </x:c>
      <x:c r="B45" s="24" t="str">
        <x:v>Grenada</x:v>
      </x:c>
      <x:c r="C45" s="24" t="str">
        <x:v>EEZ</x:v>
      </x:c>
      <x:c r="D45" s="30" t="n">
        <x:v>2019</x:v>
      </x:c>
      <x:c r="E45" s="24" t="str">
        <x:v>Mullidae</x:v>
      </x:c>
      <x:c r="F45" s="24" t="str">
        <x:v>Goatfishes</x:v>
      </x:c>
      <x:c r="G45" s="24" t="str">
        <x:v>Medium reef assoc. fish (30 - 89 cm)</x:v>
      </x:c>
      <x:c r="H45" s="24" t="str">
        <x:v>Perch-likes</x:v>
      </x:c>
      <x:c r="I45" s="31" t="n">
        <x:v>0.1824357102</x:v>
      </x:c>
      <x:c r="J45" s="31" t="n">
        <x:v>0.1824357102</x:v>
      </x:c>
      <x:c r="K45" s="31" t="n">
        <x:v>0</x:v>
      </x:c>
      <x:c r="L45" s="31" t="n">
        <x:v>0</x:v>
      </x:c>
      <x:c r="M45" s="31" t="n">
        <x:v>0.1824357102</x:v>
      </x:c>
      <x:c r="N45" s="24" t="str">
        <x:v>mullidae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Mullidae</x:v>
      </x:c>
      <x:c r="T45" s="32" t="n">
        <x:f>IF(O45="","",(1/'Metadata'!$B$5)^(O45-1))</x:f>
        <x:v>288.40315031266056</x:v>
      </x:c>
      <x:c r="U45" s="31" t="n">
        <x:f>IF(T45="","",I45*T45)</x:f>
        <x:v>52.61503355120758</x:v>
      </x:c>
    </x:row>
    <x:row r="46" ht="18" customHeight="1">
      <x:c r="A46" s="24" t="str">
        <x:v>EEZ_308</x:v>
      </x:c>
      <x:c r="B46" s="24" t="str">
        <x:v>Grenada</x:v>
      </x:c>
      <x:c r="C46" s="24" t="str">
        <x:v>EEZ</x:v>
      </x:c>
      <x:c r="D46" s="30" t="n">
        <x:v>2019</x:v>
      </x:c>
      <x:c r="E46" s="24" t="str">
        <x:v>Balistidae</x:v>
      </x:c>
      <x:c r="F46" s="24" t="str">
        <x:v>Triggerfishes</x:v>
      </x:c>
      <x:c r="G46" s="24" t="str">
        <x:v>Medium reef assoc. fish (30 - 89 cm)</x:v>
      </x:c>
      <x:c r="H46" s="24" t="str">
        <x:v>Other fishes &amp; inverts</x:v>
      </x:c>
      <x:c r="I46" s="31" t="n">
        <x:v>0.175174773</x:v>
      </x:c>
      <x:c r="J46" s="31" t="n">
        <x:v>0.175174773</x:v>
      </x:c>
      <x:c r="K46" s="31" t="n">
        <x:v>0</x:v>
      </x:c>
      <x:c r="L46" s="31" t="n">
        <x:v>0.0939425311</x:v>
      </x:c>
      <x:c r="M46" s="31" t="n">
        <x:v>0.0812322419</x:v>
      </x:c>
      <x:c r="N46" s="24" t="str">
        <x:v>balistidae</x:v>
      </x:c>
      <x:c r="O46" s="32" t="n">
        <x:v>3.25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Balistidae</x:v>
      </x:c>
      <x:c r="T46" s="32" t="n">
        <x:f>IF(O46="","",(1/'Metadata'!$B$5)^(O46-1))</x:f>
        <x:v>177.82794100389228</x:v>
      </x:c>
      <x:c r="U46" s="31" t="n">
        <x:f>IF(T46="","",I46*T46)</x:f>
        <x:v>31.150969198414224</x:v>
      </x:c>
    </x:row>
    <x:row r="47" ht="18" customHeight="1">
      <x:c r="A47" s="24" t="str">
        <x:v>EEZ_308</x:v>
      </x:c>
      <x:c r="B47" s="24" t="str">
        <x:v>Grenada</x:v>
      </x:c>
      <x:c r="C47" s="24" t="str">
        <x:v>EEZ</x:v>
      </x:c>
      <x:c r="D47" s="30" t="n">
        <x:v>2019</x:v>
      </x:c>
      <x:c r="E47" s="24" t="str">
        <x:v>Epinephelus</x:v>
      </x:c>
      <x:c r="F47" s="24" t="str">
        <x:v>Seabasses, hinds</x:v>
      </x:c>
      <x:c r="G47" s="24" t="str">
        <x:v>Medium reef assoc. fish (30 - 89 cm)</x:v>
      </x:c>
      <x:c r="H47" s="24" t="str">
        <x:v>Perch-likes</x:v>
      </x:c>
      <x:c r="I47" s="31" t="n">
        <x:v>0.1126172992</x:v>
      </x:c>
      <x:c r="J47" s="31" t="n">
        <x:v>0.1126172992</x:v>
      </x:c>
      <x:c r="K47" s="31" t="n">
        <x:v>0</x:v>
      </x:c>
      <x:c r="L47" s="31" t="n">
        <x:v>0</x:v>
      </x:c>
      <x:c r="M47" s="31" t="n">
        <x:v>0.1126172992</x:v>
      </x:c>
      <x:c r="N47" s="24" t="str">
        <x:v>epinephelus</x:v>
      </x:c>
      <x:c r="O47" s="32" t="n">
        <x:v>3.84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Epinephelus</x:v>
      </x:c>
      <x:c r="T47" s="32" t="n">
        <x:f>IF(O47="","",(1/'Metadata'!$B$5)^(O47-1))</x:f>
        <x:v>691.8309709189363</x:v>
      </x:c>
      <x:c r="U47" s="31" t="n">
        <x:f>IF(T47="","",I47*T47)</x:f>
        <x:v>77.91213544780435</x:v>
      </x:c>
    </x:row>
    <x:row r="48" ht="18" customHeight="1">
      <x:c r="A48" s="24" t="str">
        <x:v>EEZ_308</x:v>
      </x:c>
      <x:c r="B48" s="24" t="str">
        <x:v>Grenada</x:v>
      </x:c>
      <x:c r="C48" s="24" t="str">
        <x:v>EEZ</x:v>
      </x:c>
      <x:c r="D48" s="30" t="n">
        <x:v>2019</x:v>
      </x:c>
      <x:c r="E48" s="24" t="str">
        <x:v>Opisthonema oglinum</x:v>
      </x:c>
      <x:c r="F48" s="24" t="str">
        <x:v>Atlantic thread herring</x:v>
      </x:c>
      <x:c r="G48" s="24" t="str">
        <x:v>Small pelagics (&lt;30 cm)</x:v>
      </x:c>
      <x:c r="H48" s="24" t="str">
        <x:v>Herring-likes</x:v>
      </x:c>
      <x:c r="I48" s="31" t="n">
        <x:v>0.09421410890000001</x:v>
      </x:c>
      <x:c r="J48" s="31" t="n">
        <x:v>0.09421410890000001</x:v>
      </x:c>
      <x:c r="K48" s="31" t="n">
        <x:v>0</x:v>
      </x:c>
      <x:c r="L48" s="31" t="n">
        <x:v>0</x:v>
      </x:c>
      <x:c r="M48" s="31" t="n">
        <x:v>0.09421410890000001</x:v>
      </x:c>
      <x:c r="N48" s="24" t="str">
        <x:v>opisthonema oglinum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Opisthonema oglinum</x:v>
      </x:c>
      <x:c r="T48" s="32" t="n">
        <x:f>IF(O48="","",(1/'Metadata'!$B$5)^(O48-1))</x:f>
        <x:v>3162.2776601683795</x:v>
      </x:c>
      <x:c r="U48" s="31" t="n">
        <x:f>IF(T48="","",I48*T48)</x:f>
        <x:v>297.93117184714094</x:v>
      </x:c>
    </x:row>
    <x:row r="49" ht="18" customHeight="1">
      <x:c r="A49" s="24" t="str">
        <x:v>EEZ_308</x:v>
      </x:c>
      <x:c r="B49" s="24" t="str">
        <x:v>Grenada</x:v>
      </x:c>
      <x:c r="C49" s="24" t="str">
        <x:v>EEZ</x:v>
      </x:c>
      <x:c r="D49" s="30" t="n">
        <x:v>2019</x:v>
      </x:c>
      <x:c r="E49" s="24" t="str">
        <x:v>Euthynnus alletteratus</x:v>
      </x:c>
      <x:c r="F49" s="24" t="str">
        <x:v>Little tunny </x:v>
      </x:c>
      <x:c r="G49" s="24" t="str">
        <x:v>Large pelagics (&gt;=90 cm)</x:v>
      </x:c>
      <x:c r="H49" s="24" t="str">
        <x:v>Tuna &amp; billfishes</x:v>
      </x:c>
      <x:c r="I49" s="31" t="n">
        <x:v>0.0932036232</x:v>
      </x:c>
      <x:c r="J49" s="31" t="n">
        <x:v>0.0932036232</x:v>
      </x:c>
      <x:c r="K49" s="31" t="n">
        <x:v>0</x:v>
      </x:c>
      <x:c r="L49" s="31" t="n">
        <x:v>0</x:v>
      </x:c>
      <x:c r="M49" s="31" t="n">
        <x:v>0.0932036232</x:v>
      </x:c>
      <x:c r="N49" s="24" t="str">
        <x:v>euthynnus alletteratus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Euthynnus alletteratus</x:v>
      </x:c>
      <x:c r="T49" s="32" t="n">
        <x:f>IF(O49="","",(1/'Metadata'!$B$5)^(O49-1))</x:f>
        <x:v>3090.295432513592</x:v>
      </x:c>
      <x:c r="U49" s="31" t="n">
        <x:f>IF(T49="","",I49*T49)</x:f>
        <x:v>288.02673106867786</x:v>
      </x:c>
    </x:row>
    <x:row r="50" ht="18" customHeight="1">
      <x:c r="A50" s="24" t="str">
        <x:v>EEZ_308</x:v>
      </x:c>
      <x:c r="B50" s="24" t="str">
        <x:v>Grenada</x:v>
      </x:c>
      <x:c r="C50" s="24" t="str">
        <x:v>EEZ</x:v>
      </x:c>
      <x:c r="D50" s="30" t="n">
        <x:v>2019</x:v>
      </x:c>
      <x:c r="E50" s="24" t="str">
        <x:v>Prionace glauca</x:v>
      </x:c>
      <x:c r="F50" s="24" t="str">
        <x:v>Blue shark</x:v>
      </x:c>
      <x:c r="G50" s="24" t="str">
        <x:v>Large sharks (&gt;=90 cm)</x:v>
      </x:c>
      <x:c r="H50" s="24" t="str">
        <x:v>Sharks &amp; rays</x:v>
      </x:c>
      <x:c r="I50" s="31" t="n">
        <x:v>0.0836783095</x:v>
      </x:c>
      <x:c r="J50" s="31" t="n">
        <x:v>0.0836783095</x:v>
      </x:c>
      <x:c r="K50" s="31" t="n">
        <x:v>0</x:v>
      </x:c>
      <x:c r="L50" s="31" t="n">
        <x:v>0.0836783095</x:v>
      </x:c>
      <x:c r="M50" s="31" t="n">
        <x:v>0</x:v>
      </x:c>
      <x:c r="N50" s="24" t="str">
        <x:v>prionace glauca</x:v>
      </x:c>
      <x:c r="O50" s="32" t="n">
        <x:v>4.35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Prionace glauca</x:v>
      </x:c>
      <x:c r="T50" s="32" t="n">
        <x:f>IF(O50="","",(1/'Metadata'!$B$5)^(O50-1))</x:f>
        <x:v>2238.7211385683377</x:v>
      </x:c>
      <x:c r="U50" s="31" t="n">
        <x:f>IF(T50="","",I50*T50)</x:f>
        <x:v>187.33240031731376</x:v>
      </x:c>
    </x:row>
    <x:row r="51" ht="18" customHeight="1">
      <x:c r="A51" s="24" t="str">
        <x:v>EEZ_308</x:v>
      </x:c>
      <x:c r="B51" s="24" t="str">
        <x:v>Grenada</x:v>
      </x:c>
      <x:c r="C51" s="24" t="str">
        <x:v>EEZ</x:v>
      </x:c>
      <x:c r="D51" s="30" t="n">
        <x:v>2019</x:v>
      </x:c>
      <x:c r="E51" s="24" t="str">
        <x:v>Auxis thazard</x:v>
      </x:c>
      <x:c r="F51" s="24" t="str">
        <x:v>Frigate tuna</x:v>
      </x:c>
      <x:c r="G51" s="24" t="str">
        <x:v>Medium pelagics (30 - 89 cm)</x:v>
      </x:c>
      <x:c r="H51" s="24" t="str">
        <x:v>Tuna &amp; billfishes</x:v>
      </x:c>
      <x:c r="I51" s="31" t="n">
        <x:v>0.0785555548</x:v>
      </x:c>
      <x:c r="J51" s="31" t="n">
        <x:v>0.0785555548</x:v>
      </x:c>
      <x:c r="K51" s="31" t="n">
        <x:v>0</x:v>
      </x:c>
      <x:c r="L51" s="31" t="n">
        <x:v>0</x:v>
      </x:c>
      <x:c r="M51" s="31" t="n">
        <x:v>0.0785555548</x:v>
      </x:c>
      <x:c r="N51" s="24" t="str">
        <x:v>auxis thazard</x:v>
      </x:c>
      <x:c r="O51" s="32" t="n">
        <x:v>4.37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Auxis thazard</x:v>
      </x:c>
      <x:c r="T51" s="32" t="n">
        <x:f>IF(O51="","",(1/'Metadata'!$B$5)^(O51-1))</x:f>
        <x:v>2344.228815319923</x:v>
      </x:c>
      <x:c r="U51" s="31" t="n">
        <x:f>IF(T51="","",I51*T51)</x:f>
        <x:v>184.15219516560327</x:v>
      </x:c>
    </x:row>
    <x:row r="52" ht="18" customHeight="1">
      <x:c r="A52" s="24" t="str">
        <x:v>EEZ_308</x:v>
      </x:c>
      <x:c r="B52" s="24" t="str">
        <x:v>Grenada</x:v>
      </x:c>
      <x:c r="C52" s="24" t="str">
        <x:v>EEZ</x:v>
      </x:c>
      <x:c r="D52" s="30" t="n">
        <x:v>2019</x:v>
      </x:c>
      <x:c r="E52" s="24" t="str">
        <x:v>Carcharhinus</x:v>
      </x:c>
      <x:c r="F52" s="24" t="str">
        <x:v>Sharp-nosed sharks</x:v>
      </x:c>
      <x:c r="G52" s="24" t="str">
        <x:v>Large sharks (&gt;=90 cm)</x:v>
      </x:c>
      <x:c r="H52" s="24" t="str">
        <x:v>Sharks &amp; rays</x:v>
      </x:c>
      <x:c r="I52" s="31" t="n">
        <x:v>0.050052133</x:v>
      </x:c>
      <x:c r="J52" s="31" t="n">
        <x:v>0.050052133</x:v>
      </x:c>
      <x:c r="K52" s="31" t="n">
        <x:v>0</x:v>
      </x:c>
      <x:c r="L52" s="31" t="n">
        <x:v>0</x:v>
      </x:c>
      <x:c r="M52" s="31" t="n">
        <x:v>0.050052133</x:v>
      </x:c>
      <x:c r="N52" s="24" t="str">
        <x:v>carcharhinus</x:v>
      </x:c>
      <x:c r="O52" s="32" t="n">
        <x:v>4.26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Carcharhinus</x:v>
      </x:c>
      <x:c r="T52" s="32" t="n">
        <x:f>IF(O52="","",(1/'Metadata'!$B$5)^(O52-1))</x:f>
        <x:v>1819.7008586099826</x:v>
      </x:c>
      <x:c r="U52" s="31" t="n">
        <x:f>IF(T52="","",I52*T52)</x:f>
        <x:v>91.07990939536104</x:v>
      </x:c>
    </x:row>
    <x:row r="53" ht="18" customHeight="1">
      <x:c r="A53" s="24" t="str">
        <x:v>EEZ_308</x:v>
      </x:c>
      <x:c r="B53" s="24" t="str">
        <x:v>Grenada</x:v>
      </x:c>
      <x:c r="C53" s="24" t="str">
        <x:v>EEZ</x:v>
      </x:c>
      <x:c r="D53" s="30" t="n">
        <x:v>2019</x:v>
      </x:c>
      <x:c r="E53" s="24" t="str">
        <x:v>Sciaenidae</x:v>
      </x:c>
      <x:c r="F53" s="24" t="str">
        <x:v>Drums, croakers</x:v>
      </x:c>
      <x:c r="G53" s="24" t="str">
        <x:v>Medium demersals (30 - 89 cm)</x:v>
      </x:c>
      <x:c r="H53" s="24" t="str">
        <x:v>Perch-likes</x:v>
      </x:c>
      <x:c r="I53" s="31" t="n">
        <x:v>0.0375390997</x:v>
      </x:c>
      <x:c r="J53" s="31" t="n">
        <x:v>0.0375390997</x:v>
      </x:c>
      <x:c r="K53" s="31" t="n">
        <x:v>0</x:v>
      </x:c>
      <x:c r="L53" s="31" t="n">
        <x:v>0</x:v>
      </x:c>
      <x:c r="M53" s="31" t="n">
        <x:v>0.0375390997</x:v>
      </x:c>
      <x:c r="N53" s="24" t="str">
        <x:v>sciaenidae</x:v>
      </x:c>
      <x:c r="O53" s="32" t="n">
        <x:v>3.76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Sciaenidae</x:v>
      </x:c>
      <x:c r="T53" s="32" t="n">
        <x:f>IF(O53="","",(1/'Metadata'!$B$5)^(O53-1))</x:f>
        <x:v>575.4399373371566</x:v>
      </x:c>
      <x:c r="U53" s="31" t="n">
        <x:f>IF(T53="","",I53*T53)</x:f>
        <x:v>21.601497179061276</x:v>
      </x:c>
    </x:row>
    <x:row r="54" ht="18" customHeight="1">
      <x:c r="A54" s="24" t="str">
        <x:v>EEZ_308</x:v>
      </x:c>
      <x:c r="B54" s="24" t="str">
        <x:v>Grenada</x:v>
      </x:c>
      <x:c r="C54" s="24" t="str">
        <x:v>EEZ</x:v>
      </x:c>
      <x:c r="D54" s="30" t="n">
        <x:v>2019</x:v>
      </x:c>
      <x:c r="E54" s="24" t="str">
        <x:v>Istiophoridae</x:v>
      </x:c>
      <x:c r="F54" s="24" t="str">
        <x:v>Billfishes</x:v>
      </x:c>
      <x:c r="G54" s="24" t="str">
        <x:v>Large pelagics (&gt;=90 cm)</x:v>
      </x:c>
      <x:c r="H54" s="24" t="str">
        <x:v>Tuna &amp; billfishes</x:v>
      </x:c>
      <x:c r="I54" s="31" t="n">
        <x:v>0.0263761621</x:v>
      </x:c>
      <x:c r="J54" s="31" t="n">
        <x:v>0.0263761621</x:v>
      </x:c>
      <x:c r="K54" s="31" t="n">
        <x:v>0</x:v>
      </x:c>
      <x:c r="L54" s="31" t="n">
        <x:v>0.0013500956</x:v>
      </x:c>
      <x:c r="M54" s="31" t="n">
        <x:v>0.0250260665</x:v>
      </x:c>
      <x:c r="N54" s="24" t="str">
        <x:v>istiophoridae</x:v>
      </x:c>
      <x:c r="O54" s="32" t="n">
        <x:v>4.48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Istiophoridae</x:v>
      </x:c>
      <x:c r="T54" s="32" t="n">
        <x:f>IF(O54="","",(1/'Metadata'!$B$5)^(O54-1))</x:f>
        <x:v>3019.951720402019</x:v>
      </x:c>
      <x:c r="U54" s="31" t="n">
        <x:f>IF(T54="","",I54*T54)</x:f>
        <x:v>79.65473611149753</x:v>
      </x:c>
    </x:row>
    <x:row r="55" ht="18" customHeight="1">
      <x:c r="A55" s="24" t="str">
        <x:v>EEZ_308</x:v>
      </x:c>
      <x:c r="B55" s="24" t="str">
        <x:v>Grenada</x:v>
      </x:c>
      <x:c r="C55" s="24" t="str">
        <x:v>EEZ</x:v>
      </x:c>
      <x:c r="D55" s="30" t="n">
        <x:v>2019</x:v>
      </x:c>
      <x:c r="E55" s="24" t="str">
        <x:v>Palinuridae</x:v>
      </x:c>
      <x:c r="F55" s="24" t="str">
        <x:v>Spiny lobsters</x:v>
      </x:c>
      <x:c r="G55" s="24" t="str">
        <x:v>Lobsters, crabs</x:v>
      </x:c>
      <x:c r="H55" s="24" t="str">
        <x:v>Crustaceans</x:v>
      </x:c>
      <x:c r="I55" s="31" t="n">
        <x:v>0.0250260665</x:v>
      </x:c>
      <x:c r="J55" s="31" t="n">
        <x:v>0.0250260665</x:v>
      </x:c>
      <x:c r="K55" s="31" t="n">
        <x:v>0</x:v>
      </x:c>
      <x:c r="L55" s="31" t="n">
        <x:v>0</x:v>
      </x:c>
      <x:c r="M55" s="31" t="n">
        <x:v>0.0250260665</x:v>
      </x:c>
      <x:c r="N55" s="24" t="str">
        <x:v>palinuridae</x:v>
      </x:c>
      <x:c r="O55" s="32" t="n">
        <x:v>3.14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Palinuridae</x:v>
      </x:c>
      <x:c r="T55" s="32" t="n">
        <x:f>IF(O55="","",(1/'Metadata'!$B$5)^(O55-1))</x:f>
        <x:v>138.03842646028852</x:v>
      </x:c>
      <x:c r="U55" s="31" t="n">
        <x:f>IF(T55="","",I55*T55)</x:f>
        <x:v>3.45455884015054</x:v>
      </x:c>
    </x:row>
    <x:row r="56" ht="18" customHeight="1">
      <x:c r="A56" s="24" t="str">
        <x:v>EEZ_308</x:v>
      </x:c>
      <x:c r="B56" s="24" t="str">
        <x:v>Grenada</x:v>
      </x:c>
      <x:c r="C56" s="24" t="str">
        <x:v>EEZ</x:v>
      </x:c>
      <x:c r="D56" s="30" t="n">
        <x:v>2019</x:v>
      </x:c>
      <x:c r="E56" s="24" t="str">
        <x:v>Sphyraenidae</x:v>
      </x:c>
      <x:c r="F56" s="24" t="str">
        <x:v>Barracudas</x:v>
      </x:c>
      <x:c r="G56" s="24" t="str">
        <x:v>Medium reef assoc. fish (30 - 89 cm)</x:v>
      </x:c>
      <x:c r="H56" s="24" t="str">
        <x:v>Perch-likes</x:v>
      </x:c>
      <x:c r="I56" s="31" t="n">
        <x:v>0.0250260665</x:v>
      </x:c>
      <x:c r="J56" s="31" t="n">
        <x:v>0.0250260665</x:v>
      </x:c>
      <x:c r="K56" s="31" t="n">
        <x:v>0</x:v>
      </x:c>
      <x:c r="L56" s="31" t="n">
        <x:v>0</x:v>
      </x:c>
      <x:c r="M56" s="31" t="n">
        <x:v>0.0250260665</x:v>
      </x:c>
      <x:c r="N56" s="24" t="str">
        <x:v>sphyraenidae</x:v>
      </x:c>
      <x:c r="O56" s="32" t="n">
        <x:v>4.4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Sphyraenidae</x:v>
      </x:c>
      <x:c r="T56" s="32" t="n">
        <x:f>IF(O56="","",(1/'Metadata'!$B$5)^(O56-1))</x:f>
        <x:v>2511.886431509582</x:v>
      </x:c>
      <x:c r="U56" s="31" t="n">
        <x:f>IF(T56="","",I56*T56)</x:f>
        <x:v>62.862636875406494</x:v>
      </x:c>
    </x:row>
    <x:row r="57" ht="18" customHeight="1">
      <x:c r="A57" s="24" t="str">
        <x:v>EEZ_308</x:v>
      </x:c>
      <x:c r="B57" s="24" t="str">
        <x:v>Grenada</x:v>
      </x:c>
      <x:c r="C57" s="24" t="str">
        <x:v>EEZ</x:v>
      </x:c>
      <x:c r="D57" s="30" t="n">
        <x:v>2019</x:v>
      </x:c>
      <x:c r="E57" s="24" t="str">
        <x:v>Thunnus</x:v>
      </x:c>
      <x:c r="F57" s="24" t="str">
        <x:v>Tunas</x:v>
      </x:c>
      <x:c r="G57" s="24" t="str">
        <x:v>Large pelagics (&gt;=90 cm)</x:v>
      </x:c>
      <x:c r="H57" s="24" t="str">
        <x:v>Tuna &amp; billfishes</x:v>
      </x:c>
      <x:c r="I57" s="31" t="n">
        <x:v>0.0188775641</x:v>
      </x:c>
      <x:c r="J57" s="31" t="n">
        <x:v>0.0188775641</x:v>
      </x:c>
      <x:c r="K57" s="31" t="n">
        <x:v>0</x:v>
      </x:c>
      <x:c r="L57" s="31" t="n">
        <x:v>0.0001080142</x:v>
      </x:c>
      <x:c r="M57" s="31" t="n">
        <x:v>0.0187695499</x:v>
      </x:c>
      <x:c r="N57" s="24" t="str">
        <x:v>thunnus</x:v>
      </x:c>
      <x:c r="O57" s="32" t="n">
        <x:v>4.34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Thunnus</x:v>
      </x:c>
      <x:c r="T57" s="32" t="n">
        <x:f>IF(O57="","",(1/'Metadata'!$B$5)^(O57-1))</x:f>
        <x:v>2187.761623949552</x:v>
      </x:c>
      <x:c r="U57" s="31" t="n">
        <x:f>IF(T57="","",I57*T57)</x:f>
        <x:v>41.299610291627765</x:v>
      </x:c>
    </x:row>
    <x:row r="58" ht="18" customHeight="1">
      <x:c r="A58" s="24" t="str">
        <x:v>EEZ_308</x:v>
      </x:c>
      <x:c r="B58" s="24" t="str">
        <x:v>Grenada</x:v>
      </x:c>
      <x:c r="C58" s="24" t="str">
        <x:v>EEZ</x:v>
      </x:c>
      <x:c r="D58" s="30" t="n">
        <x:v>2019</x:v>
      </x:c>
      <x:c r="E58" s="24" t="str">
        <x:v>Auxis</x:v>
      </x:c>
      <x:c r="F58" s="24" t="str">
        <x:v>Bullet and frigate tunas</x:v>
      </x:c>
      <x:c r="G58" s="24" t="str">
        <x:v>Medium pelagics (30 - 89 cm)</x:v>
      </x:c>
      <x:c r="H58" s="24" t="str">
        <x:v>Tuna &amp; billfishes</x:v>
      </x:c>
      <x:c r="I58" s="31" t="n">
        <x:v>0.0187695499</x:v>
      </x:c>
      <x:c r="J58" s="31" t="n">
        <x:v>0.0187695499</x:v>
      </x:c>
      <x:c r="K58" s="31" t="n">
        <x:v>0</x:v>
      </x:c>
      <x:c r="L58" s="31" t="n">
        <x:v>0</x:v>
      </x:c>
      <x:c r="M58" s="31" t="n">
        <x:v>0.0187695499</x:v>
      </x:c>
      <x:c r="N58" s="24" t="str">
        <x:v>auxis</x:v>
      </x:c>
      <x:c r="O58" s="32" t="n">
        <x:v>4.24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Auxis</x:v>
      </x:c>
      <x:c r="T58" s="32" t="n">
        <x:f>IF(O58="","",(1/'Metadata'!$B$5)^(O58-1))</x:f>
        <x:v>1737.8008287493763</x:v>
      </x:c>
      <x:c r="U58" s="31" t="n">
        <x:f>IF(T58="","",I58*T58)</x:f>
        <x:v>32.61773937147277</x:v>
      </x:c>
    </x:row>
    <x:row r="59" ht="18" customHeight="1">
      <x:c r="A59" s="24" t="str">
        <x:v>EEZ_308</x:v>
      </x:c>
      <x:c r="B59" s="24" t="str">
        <x:v>Grenada</x:v>
      </x:c>
      <x:c r="C59" s="24" t="str">
        <x:v>EEZ</x:v>
      </x:c>
      <x:c r="D59" s="30" t="n">
        <x:v>2019</x:v>
      </x:c>
      <x:c r="E59" s="24" t="str">
        <x:v>Ruvettus pretiosus</x:v>
      </x:c>
      <x:c r="F59" s="24" t="str">
        <x:v>Oilfish</x:v>
      </x:c>
      <x:c r="G59" s="24" t="str">
        <x:v>Large benthopelagics (&gt;=90 cm)</x:v>
      </x:c>
      <x:c r="H59" s="24" t="str">
        <x:v>Perch-likes</x:v>
      </x:c>
      <x:c r="I59" s="31" t="n">
        <x:v>0.0162936845</x:v>
      </x:c>
      <x:c r="J59" s="31" t="n">
        <x:v>0.0162936845</x:v>
      </x:c>
      <x:c r="K59" s="31" t="n">
        <x:v>0</x:v>
      </x:c>
      <x:c r="L59" s="31" t="n">
        <x:v>0.0162936845</x:v>
      </x:c>
      <x:c r="M59" s="31" t="n">
        <x:v>0</x:v>
      </x:c>
      <x:c r="N59" s="24" t="str">
        <x:v>ruvettus pretiosus</x:v>
      </x:c>
      <x:c r="O59" s="32" t="n">
        <x:v>4.18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Ruvettus pretiosus</x:v>
      </x:c>
      <x:c r="T59" s="32" t="n">
        <x:f>IF(O59="","",(1/'Metadata'!$B$5)^(O59-1))</x:f>
        <x:v>1513.5612484362073</x:v>
      </x:c>
      <x:c r="U59" s="31" t="n">
        <x:f>IF(T59="","",I59*T59)</x:f>
        <x:v>24.66148945344568</x:v>
      </x:c>
    </x:row>
    <x:row r="60" ht="18" customHeight="1">
      <x:c r="A60" s="24" t="str">
        <x:v>EEZ_308</x:v>
      </x:c>
      <x:c r="B60" s="24" t="str">
        <x:v>Grenada</x:v>
      </x:c>
      <x:c r="C60" s="24" t="str">
        <x:v>EEZ</x:v>
      </x:c>
      <x:c r="D60" s="30" t="n">
        <x:v>2019</x:v>
      </x:c>
      <x:c r="E60" s="24" t="str">
        <x:v>Sphyraena picudilla</x:v>
      </x:c>
      <x:c r="F60" s="24" t="str">
        <x:v>Southern sennet</x:v>
      </x:c>
      <x:c r="G60" s="24" t="str">
        <x:v>Medium reef assoc. fish (30 - 89 cm)</x:v>
      </x:c>
      <x:c r="H60" s="24" t="str">
        <x:v>Perch-likes</x:v>
      </x:c>
      <x:c r="I60" s="31" t="n">
        <x:v>0.002749151</x:v>
      </x:c>
      <x:c r="J60" s="31" t="n">
        <x:v>0.002749151</x:v>
      </x:c>
      <x:c r="K60" s="31" t="n">
        <x:v>0</x:v>
      </x:c>
      <x:c r="L60" s="31" t="n">
        <x:v>0</x:v>
      </x:c>
      <x:c r="M60" s="31" t="n">
        <x:v>0.002749151</x:v>
      </x:c>
      <x:c r="N60" s="24" t="str">
        <x:v>sphyraena picudilla</x:v>
      </x:c>
      <x:c r="O60" s="32" t="n">
        <x:v>4.18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Sphyraena picudilla</x:v>
      </x:c>
      <x:c r="T60" s="32" t="n">
        <x:f>IF(O60="","",(1/'Metadata'!$B$5)^(O60-1))</x:f>
        <x:v>1513.5612484362073</x:v>
      </x:c>
      <x:c r="U60" s="31" t="n">
        <x:f>IF(T60="","",I60*T60)</x:f>
        <x:v>4.161008419699647</x:v>
      </x:c>
    </x:row>
    <x:row r="61" ht="18" customHeight="1">
      <x:c r="A61" s="24" t="str">
        <x:v>EEZ_308</x:v>
      </x:c>
      <x:c r="B61" s="24" t="str">
        <x:v>Grenada</x:v>
      </x:c>
      <x:c r="C61" s="24" t="str">
        <x:v>EEZ</x:v>
      </x:c>
      <x:c r="D61" s="30" t="n">
        <x:v>2019</x:v>
      </x:c>
      <x:c r="E61" s="24" t="str">
        <x:v>Caranx hippos</x:v>
      </x:c>
      <x:c r="F61" s="24" t="str">
        <x:v>Crevalle jack</x:v>
      </x:c>
      <x:c r="G61" s="24" t="str">
        <x:v>Large reef assoc. fish (&gt;=90 cm)</x:v>
      </x:c>
      <x:c r="H61" s="24" t="str">
        <x:v>Perch-likes</x:v>
      </x:c>
      <x:c r="I61" s="31" t="n">
        <x:v>0.0015101412</x:v>
      </x:c>
      <x:c r="J61" s="31" t="n">
        <x:v>0.0015101412</x:v>
      </x:c>
      <x:c r="K61" s="31" t="n">
        <x:v>0</x:v>
      </x:c>
      <x:c r="L61" s="31" t="n">
        <x:v>0.0015101412</x:v>
      </x:c>
      <x:c r="M61" s="31" t="n">
        <x:v>0</x:v>
      </x:c>
      <x:c r="N61" s="24" t="str">
        <x:v>caranx hippos</x:v>
      </x:c>
      <x:c r="O61" s="32" t="n">
        <x:v>3.56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Caranx hippos</x:v>
      </x:c>
      <x:c r="T61" s="32" t="n">
        <x:f>IF(O61="","",(1/'Metadata'!$B$5)^(O61-1))</x:f>
        <x:v>363.0780547701014</x:v>
      </x:c>
      <x:c r="U61" s="31" t="n">
        <x:f>IF(T61="","",I61*T61)</x:f>
        <x:v>0.5482991293241867</x:v>
      </x:c>
    </x:row>
  </x:sheetData>
  <x:conditionalFormatting sqref="R2:R6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ae34fc479a140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2.8623575269</x:v>
      </x:c>
      <x:c r="E2" s="31" t="n">
        <x:v>2.8623575269</x:v>
      </x:c>
      <x:c r="F2" s="32" t="n">
        <x:v>0</x:v>
      </x:c>
      <x:c r="G2" s="34" t="n">
        <x:v>1</x:v>
      </x:c>
      <x:c r="H2" s="32" t="n">
        <x:f>IF(E2=0,"",I2/E2)</x:f>
        <x:v>218.77616239495515</x:v>
      </x:c>
      <x:c r="I2" s="31" t="n">
        <x:f>IF(C2=0,"",SUMIF('Species'!$H$2:$H$61,A2,'Species'!$U$2:$U$61))</x:f>
        <x:v>626.2155951374966</x:v>
      </x:c>
      <x:c r="J2" s="32" t="n">
        <x:v>3.34</x:v>
      </x:c>
      <x:c r="K2" s="32" t="n">
        <x:f>IF(J2="","",(1/'Metadata'!$B$5)^(J2-1))</x:f>
        <x:v>218.77616239495518</x:v>
      </x:c>
      <x:c r="L2" s="31" t="n">
        <x:f>IF(E2=0,"",E2*K2)</x:f>
        <x:v>626.2155951374966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79.66257823250001</x:v>
      </x:c>
      <x:c r="E3" s="31" t="n">
        <x:v>79.66257823250001</x:v>
      </x:c>
      <x:c r="F3" s="32" t="n">
        <x:v>0</x:v>
      </x:c>
      <x:c r="G3" s="34" t="n">
        <x:v>1</x:v>
      </x:c>
      <x:c r="H3" s="32" t="n">
        <x:f>IF(E3=0,"",I3/E3)</x:f>
        <x:v>158.48289458080183</x:v>
      </x:c>
      <x:c r="I3" s="31" t="n">
        <x:f>IF(C3=0,"",SUMIF('Species'!$H$2:$H$61,A3,'Species'!$U$2:$U$61))</x:f>
        <x:v>12625.155988056178</x:v>
      </x:c>
      <x:c r="J3" s="32" t="n">
        <x:v>3.199981150949124</x:v>
      </x:c>
      <x:c r="K3" s="32" t="n">
        <x:f>IF(J3="","",(1/'Metadata'!$B$5)^(J3-1))</x:f>
        <x:v>158.48244071428817</x:v>
      </x:c>
      <x:c r="L3" s="31" t="n">
        <x:f>IF(E3=0,"",E3*K3)</x:f>
        <x:v>12625.119831879527</x:v>
      </x:c>
      <x:c r="M3" s="31" t="n">
        <x:f>IF(E3=0,"",I3-L3)</x:f>
        <x:v>0.03615617665127502</x:v>
      </x:c>
      <x:c r="N3" s="32" t="n">
        <x:f>IF(L3=0,"",I3/L3)</x:f>
        <x:v>1.000002863828394</x:v>
      </x:c>
      <x:c r="O3" s="34" t="n">
        <x:f>IF(L3=0,"",M3/L3)</x:f>
        <x:v>0.0000028638283939275985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0.09421410890000001</x:v>
      </x:c>
      <x:c r="E4" s="31" t="n">
        <x:v>0.09421410890000001</x:v>
      </x:c>
      <x:c r="F4" s="32" t="n">
        <x:v>0</x:v>
      </x:c>
      <x:c r="G4" s="34" t="n">
        <x:v>1</x:v>
      </x:c>
      <x:c r="H4" s="32" t="n">
        <x:f>IF(E4=0,"",I4/E4)</x:f>
        <x:v>3162.2776601683795</x:v>
      </x:c>
      <x:c r="I4" s="31" t="n">
        <x:f>IF(C4=0,"",SUMIF('Species'!$H$2:$H$61,A4,'Species'!$U$2:$U$61))</x:f>
        <x:v>297.93117184714094</x:v>
      </x:c>
      <x:c r="J4" s="32" t="n">
        <x:v>4.5</x:v>
      </x:c>
      <x:c r="K4" s="32" t="n">
        <x:f>IF(J4="","",(1/'Metadata'!$B$5)^(J4-1))</x:f>
        <x:v>3162.2776601683795</x:v>
      </x:c>
      <x:c r="L4" s="31" t="n">
        <x:f>IF(E4=0,"",E4*K4)</x:f>
        <x:v>297.93117184714094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30.8212644196</x:v>
      </x:c>
      <x:c r="E5" s="31" t="n">
        <x:v>30.8212644196</x:v>
      </x:c>
      <x:c r="F5" s="32" t="n">
        <x:v>0</x:v>
      </x:c>
      <x:c r="G5" s="34" t="n">
        <x:v>1</x:v>
      </x:c>
      <x:c r="H5" s="32" t="n">
        <x:f>IF(E5=0,"",I5/E5)</x:f>
        <x:v>15.488166189124811</x:v>
      </x:c>
      <x:c r="I5" s="31" t="n">
        <x:f>IF(C5=0,"",SUMIF('Species'!$H$2:$H$61,A5,'Species'!$U$2:$U$61))</x:f>
        <x:v>477.36486548972425</x:v>
      </x:c>
      <x:c r="J5" s="32" t="n">
        <x:v>2.19</x:v>
      </x:c>
      <x:c r="K5" s="32" t="n">
        <x:f>IF(J5="","",(1/'Metadata'!$B$5)^(J5-1))</x:f>
        <x:v>15.488166189124811</x:v>
      </x:c>
      <x:c r="L5" s="31" t="n">
        <x:f>IF(E5=0,"",E5*K5)</x:f>
        <x:v>477.36486548972425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6</x:v>
      </x:c>
      <x:c r="C6" s="33" t="n">
        <x:v>6</x:v>
      </x:c>
      <x:c r="D6" s="31" t="n">
        <x:v>340.440520705</x:v>
      </x:c>
      <x:c r="E6" s="31" t="n">
        <x:v>340.440520705</x:v>
      </x:c>
      <x:c r="F6" s="32" t="n">
        <x:v>0</x:v>
      </x:c>
      <x:c r="G6" s="34" t="n">
        <x:v>1</x:v>
      </x:c>
      <x:c r="H6" s="32" t="n">
        <x:f>IF(E6=0,"",I6/E6)</x:f>
        <x:v>200.3340996075979</x:v>
      </x:c>
      <x:c r="I6" s="31" t="n">
        <x:f>IF(C6=0,"",SUMIF('Species'!$H$2:$H$61,A6,'Species'!$U$2:$U$61))</x:f>
        <x:v>68201.84518537796</x:v>
      </x:c>
      <x:c r="J6" s="32" t="n">
        <x:v>3.2961260677043676</x:v>
      </x:c>
      <x:c r="K6" s="32" t="n">
        <x:f>IF(J6="","",(1/'Metadata'!$B$5)^(J6-1))</x:f>
        <x:v>197.75436013564953</x:v>
      </x:c>
      <x:c r="L6" s="31" t="n">
        <x:f>IF(E6=0,"",E6*K6)</x:f>
        <x:v>67323.59733626462</x:v>
      </x:c>
      <x:c r="M6" s="31" t="n">
        <x:f>IF(E6=0,"",I6-L6)</x:f>
        <x:v>878.247849113337</x:v>
      </x:c>
      <x:c r="N6" s="32" t="n">
        <x:f>IF(L6=0,"",I6/L6)</x:f>
        <x:v>1.013045171141505</x:v>
      </x:c>
      <x:c r="O6" s="34" t="n">
        <x:f>IF(L6=0,"",M6/L6)</x:f>
        <x:v>0.013045171141504924</x:v>
      </x:c>
    </x:row>
    <x:row r="7" ht="18" customHeight="1">
      <x:c r="A7" s="24" t="str">
        <x:v>Perch-likes</x:v>
      </x:c>
      <x:c r="B7" s="33" t="n">
        <x:v>28</x:v>
      </x:c>
      <x:c r="C7" s="33" t="n">
        <x:v>28</x:v>
      </x:c>
      <x:c r="D7" s="31" t="n">
        <x:v>1196.9249763167998</x:v>
      </x:c>
      <x:c r="E7" s="31" t="n">
        <x:v>1196.9249763167998</x:v>
      </x:c>
      <x:c r="F7" s="32" t="n">
        <x:v>0</x:v>
      </x:c>
      <x:c r="G7" s="34" t="n">
        <x:v>1</x:v>
      </x:c>
      <x:c r="H7" s="32" t="n">
        <x:f>IF(E7=0,"",I7/E7)</x:f>
        <x:v>1492.350472257714</x:v>
      </x:c>
      <x:c r="I7" s="31" t="n">
        <x:f>IF(C7=0,"",SUMIF('Species'!$H$2:$H$61,A7,'Species'!$U$2:$U$61))</x:f>
        <x:v>1786231.5536634293</x:v>
      </x:c>
      <x:c r="J7" s="32" t="n">
        <x:v>3.9594818965139247</x:v>
      </x:c>
      <x:c r="K7" s="32" t="n">
        <x:f>IF(J7="","",(1/'Metadata'!$B$5)^(J7-1))</x:f>
        <x:v>910.9234797957719</x:v>
      </x:c>
      <x:c r="L7" s="31" t="n">
        <x:f>IF(E7=0,"",E7*K7)</x:f>
        <x:v>1090307.064480971</x:v>
      </x:c>
      <x:c r="M7" s="31" t="n">
        <x:f>IF(E7=0,"",I7-L7)</x:f>
        <x:v>695924.4891824583</x:v>
      </x:c>
      <x:c r="N7" s="32" t="n">
        <x:f>IF(L7=0,"",I7/L7)</x:f>
        <x:v>1.638283023061715</x:v>
      </x:c>
      <x:c r="O7" s="34" t="n">
        <x:f>IF(L7=0,"",M7/L7)</x:f>
        <x:v>0.6382830230617148</x:v>
      </x:c>
    </x:row>
    <x:row r="8" ht="18" customHeight="1">
      <x:c r="A8" s="24" t="str">
        <x:v>Sharks &amp; rays</x:v>
      </x:c>
      <x:c r="B8" s="33" t="n">
        <x:v>5</x:v>
      </x:c>
      <x:c r="C8" s="33" t="n">
        <x:v>5</x:v>
      </x:c>
      <x:c r="D8" s="31" t="n">
        <x:v>17.692376071900004</x:v>
      </x:c>
      <x:c r="E8" s="31" t="n">
        <x:v>17.692376071900004</x:v>
      </x:c>
      <x:c r="F8" s="32" t="n">
        <x:v>0</x:v>
      </x:c>
      <x:c r="G8" s="34" t="n">
        <x:v>1</x:v>
      </x:c>
      <x:c r="H8" s="32" t="n">
        <x:f>IF(E8=0,"",I8/E8)</x:f>
        <x:v>1823.4352166173576</x:v>
      </x:c>
      <x:c r="I8" s="31" t="n">
        <x:f>IF(C8=0,"",SUMIF('Species'!$H$2:$H$61,A8,'Species'!$U$2:$U$61))</x:f>
        <x:v>32260.90159514074</x:v>
      </x:c>
      <x:c r="J8" s="32" t="n">
        <x:v>4.255597836447208</x:v>
      </x:c>
      <x:c r="K8" s="32" t="n">
        <x:f>IF(J8="","",(1/'Metadata'!$B$5)^(J8-1))</x:f>
        <x:v>1801.3488907510005</x:v>
      </x:c>
      <x:c r="L8" s="31" t="n">
        <x:f>IF(E8=0,"",E8*K8)</x:f>
        <x:v>31870.142011866614</x:v>
      </x:c>
      <x:c r="M8" s="31" t="n">
        <x:f>IF(E8=0,"",I8-L8)</x:f>
        <x:v>390.75958327412445</x:v>
      </x:c>
      <x:c r="N8" s="32" t="n">
        <x:f>IF(L8=0,"",I8/L8)</x:f>
        <x:v>1.012260992848059</x:v>
      </x:c>
      <x:c r="O8" s="34" t="n">
        <x:f>IF(L8=0,"",M8/L8)</x:f>
        <x:v>0.012260992848059102</x:v>
      </x:c>
    </x:row>
    <x:row r="9" ht="18" customHeight="1">
      <x:c r="A9" s="24" t="str">
        <x:v>Tuna &amp; billfishes</x:v>
      </x:c>
      <x:c r="B9" s="33" t="n">
        <x:v>16</x:v>
      </x:c>
      <x:c r="C9" s="33" t="n">
        <x:v>16</x:v>
      </x:c>
      <x:c r="D9" s="31" t="n">
        <x:v>2048.606018105</x:v>
      </x:c>
      <x:c r="E9" s="31" t="n">
        <x:v>2048.606018105</x:v>
      </x:c>
      <x:c r="F9" s="32" t="n">
        <x:v>0</x:v>
      </x:c>
      <x:c r="G9" s="34" t="n">
        <x:v>1</x:v>
      </x:c>
      <x:c r="H9" s="32" t="n">
        <x:f>IF(E9=0,"",I9/E9)</x:f>
        <x:v>2642.067290244523</x:v>
      </x:c>
      <x:c r="I9" s="31" t="n">
        <x:f>IF(C9=0,"",SUMIF('Species'!$H$2:$H$61,A9,'Species'!$U$2:$U$61))</x:f>
        <x:v>5412554.9510333</x:v>
      </x:c>
      <x:c r="J9" s="32" t="n">
        <x:v>4.419500880536313</x:v>
      </x:c>
      <x:c r="K9" s="32" t="n">
        <x:f>IF(J9="","",(1/'Metadata'!$B$5)^(J9-1))</x:f>
        <x:v>2627.2468532321723</x:v>
      </x:c>
      <x:c r="L9" s="31" t="n">
        <x:f>IF(E9=0,"",E9*K9)</x:f>
        <x:v>5382193.714578852</x:v>
      </x:c>
      <x:c r="M9" s="31" t="n">
        <x:f>IF(E9=0,"",I9-L9)</x:f>
        <x:v>30361.23645444773</x:v>
      </x:c>
      <x:c r="N9" s="32" t="n">
        <x:f>IF(L9=0,"",I9/L9)</x:f>
        <x:v>1.0056410523412058</x:v>
      </x:c>
      <x:c r="O9" s="34" t="n">
        <x:f>IF(L9=0,"",M9/L9)</x:f>
        <x:v>0.005641052341205718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220b76b94bd4a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1.6372104382</x:v>
      </x:c>
      <x:c r="E2" s="31" t="n">
        <x:v>1.6372104382</x:v>
      </x:c>
      <x:c r="F2" s="32" t="n">
        <x:v>0</x:v>
      </x:c>
      <x:c r="G2" s="34" t="n">
        <x:v>1</x:v>
      </x:c>
      <x:c r="H2" s="32" t="n">
        <x:f>IF(E2=0,"",I2/E2)</x:f>
        <x:v>794.3282347242813</x:v>
      </x:c>
      <x:c r="I2" s="31" t="n">
        <x:f>IF(C2=0,"",SUMIF('Species'!$G$2:$G$61,A2,'Species'!$U$2:$U$61))</x:f>
        <x:v>1300.482477247573</x:v>
      </x:c>
      <x:c r="J2" s="32" t="n">
        <x:v>3.9</x:v>
      </x:c>
      <x:c r="K2" s="32" t="n">
        <x:f>IF(J2="","",(1/'Metadata'!$B$5)^(J2-1))</x:f>
        <x:v>794.3282347242813</x:v>
      </x:c>
      <x:c r="L2" s="31" t="n">
        <x:f>IF(E2=0,"",E2*K2)</x:f>
        <x:v>1300.482477247573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0.6159348166</x:v>
      </x:c>
      <x:c r="E3" s="31" t="n">
        <x:v>0.6159348166</x:v>
      </x:c>
      <x:c r="F3" s="32" t="n">
        <x:v>0</x:v>
      </x:c>
      <x:c r="G3" s="34" t="n">
        <x:v>1</x:v>
      </x:c>
      <x:c r="H3" s="32" t="n">
        <x:f>IF(E3=0,"",I3/E3)</x:f>
        <x:v>1480.0197898623478</x:v>
      </x:c>
      <x:c r="I3" s="31" t="n">
        <x:f>IF(C3=0,"",SUMIF('Species'!$G$2:$G$61,A3,'Species'!$U$2:$U$61))</x:f>
        <x:v>911.5957178332358</x:v>
      </x:c>
      <x:c r="J3" s="32" t="n">
        <x:v>4.170264535857705</x:v>
      </x:c>
      <x:c r="K3" s="32" t="n">
        <x:f>IF(J3="","",(1/'Metadata'!$B$5)^(J3-1))</x:f>
        <x:v>1480.0096116773193</x:v>
      </x:c>
      <x:c r="L3" s="31" t="n">
        <x:f>IF(E3=0,"",E3*K3)</x:f>
        <x:v>911.5894487347069</x:v>
      </x:c>
      <x:c r="M3" s="31" t="n">
        <x:f>IF(E3=0,"",I3-L3)</x:f>
        <x:v>0.006269098528832728</x:v>
      </x:c>
      <x:c r="N3" s="32" t="n">
        <x:f>IF(L3=0,"",I3/L3)</x:f>
        <x:v>1.0000068771073838</x:v>
      </x:c>
      <x:c r="O3" s="34" t="n">
        <x:f>IF(L3=0,"",M3/L3)</x:f>
        <x:v>0.00000687710738373978</x:v>
      </x:c>
    </x:row>
    <x:row r="4" ht="18" customHeight="1">
      <x:c r="A4" s="24" t="str">
        <x:v>Large pelagics (&gt;=90 cm)</x:v>
      </x:c>
      <x:c r="B4" s="33" t="n">
        <x:v>20</x:v>
      </x:c>
      <x:c r="C4" s="33" t="n">
        <x:v>20</x:v>
      </x:c>
      <x:c r="D4" s="31" t="n">
        <x:v>2386.6719177187</x:v>
      </x:c>
      <x:c r="E4" s="31" t="n">
        <x:v>2386.6719177187</x:v>
      </x:c>
      <x:c r="F4" s="32" t="n">
        <x:v>0</x:v>
      </x:c>
      <x:c r="G4" s="34" t="n">
        <x:v>1</x:v>
      </x:c>
      <x:c r="H4" s="32" t="n">
        <x:f>IF(E4=0,"",I4/E4)</x:f>
        <x:v>2610.272121156255</x:v>
      </x:c>
      <x:c r="I4" s="31" t="n">
        <x:f>IF(C4=0,"",SUMIF('Species'!$G$2:$G$61,A4,'Species'!$U$2:$U$61))</x:f>
        <x:v>6229863.169167657</x:v>
      </x:c>
      <x:c r="J4" s="32" t="n">
        <x:v>4.413237919871126</x:v>
      </x:c>
      <x:c r="K4" s="32" t="n">
        <x:f>IF(J4="","",(1/'Metadata'!$B$5)^(J4-1))</x:f>
        <x:v>2589.631206228146</x:v>
      </x:c>
      <x:c r="L4" s="31" t="n">
        <x:f>IF(E4=0,"",E4*K4)</x:f>
        <x:v>6180600.07715272</x:v>
      </x:c>
      <x:c r="M4" s="31" t="n">
        <x:f>IF(E4=0,"",I4-L4)</x:f>
        <x:v>49263.09201493766</x:v>
      </x:c>
      <x:c r="N4" s="32" t="n">
        <x:f>IF(L4=0,"",I4/L4)</x:f>
        <x:v>1.0079706001682658</x:v>
      </x:c>
      <x:c r="O4" s="34" t="n">
        <x:f>IF(L4=0,"",M4/L4)</x:f>
        <x:v>0.007970600168265894</x:v>
      </x:c>
    </x:row>
    <x:row r="5" ht="18" customHeight="1">
      <x:c r="A5" s="24" t="str">
        <x:v>Large reef assoc. fish (&gt;=90 cm)</x:v>
      </x:c>
      <x:c r="B5" s="33" t="n">
        <x:v>2</x:v>
      </x:c>
      <x:c r="C5" s="33" t="n">
        <x:v>2</x:v>
      </x:c>
      <x:c r="D5" s="31" t="n">
        <x:v>57.2090133232</x:v>
      </x:c>
      <x:c r="E5" s="31" t="n">
        <x:v>57.2090133232</x:v>
      </x:c>
      <x:c r="F5" s="32" t="n">
        <x:v>0</x:v>
      </x:c>
      <x:c r="G5" s="34" t="n">
        <x:v>1</x:v>
      </x:c>
      <x:c r="H5" s="32" t="n">
        <x:f>IF(E5=0,"",I5/E5)</x:f>
        <x:v>1445.4111997406676</x:v>
      </x:c>
      <x:c r="I5" s="31" t="n">
        <x:f>IF(C5=0,"",SUMIF('Species'!$G$2:$G$61,A5,'Species'!$U$2:$U$61))</x:f>
        <x:v>82690.54858346634</x:v>
      </x:c>
      <x:c r="J5" s="32" t="n">
        <x:v>4.159984161853747</x:v>
      </x:c>
      <x:c r="K5" s="32" t="n">
        <x:f>IF(J5="","",(1/'Metadata'!$B$5)^(J5-1))</x:f>
        <x:v>1445.3870584274255</x:v>
      </x:c>
      <x:c r="L5" s="31" t="n">
        <x:f>IF(E5=0,"",E5*K5)</x:f>
        <x:v>82689.16748275544</x:v>
      </x:c>
      <x:c r="M5" s="31" t="n">
        <x:f>IF(E5=0,"",I5-L5)</x:f>
        <x:v>1.3811007109034108</x:v>
      </x:c>
      <x:c r="N5" s="32" t="n">
        <x:f>IF(L5=0,"",I5/L5)</x:f>
        <x:v>1.00001670231728</x:v>
      </x:c>
      <x:c r="O5" s="34" t="n">
        <x:f>IF(L5=0,"",M5/L5)</x:f>
        <x:v>0.000016702317279847266</x:v>
      </x:c>
    </x:row>
    <x:row r="6" ht="18" customHeight="1">
      <x:c r="A6" s="24" t="str">
        <x:v>Large sharks (&gt;=90 cm)</x:v>
      </x:c>
      <x:c r="B6" s="33" t="n">
        <x:v>5</x:v>
      </x:c>
      <x:c r="C6" s="33" t="n">
        <x:v>5</x:v>
      </x:c>
      <x:c r="D6" s="31" t="n">
        <x:v>17.692376071900004</x:v>
      </x:c>
      <x:c r="E6" s="31" t="n">
        <x:v>17.692376071900004</x:v>
      </x:c>
      <x:c r="F6" s="32" t="n">
        <x:v>0</x:v>
      </x:c>
      <x:c r="G6" s="34" t="n">
        <x:v>1</x:v>
      </x:c>
      <x:c r="H6" s="32" t="n">
        <x:f>IF(E6=0,"",I6/E6)</x:f>
        <x:v>1823.4352166173576</x:v>
      </x:c>
      <x:c r="I6" s="31" t="n">
        <x:f>IF(C6=0,"",SUMIF('Species'!$G$2:$G$61,A6,'Species'!$U$2:$U$61))</x:f>
        <x:v>32260.90159514074</x:v>
      </x:c>
      <x:c r="J6" s="32" t="n">
        <x:v>4.255597836447208</x:v>
      </x:c>
      <x:c r="K6" s="32" t="n">
        <x:f>IF(J6="","",(1/'Metadata'!$B$5)^(J6-1))</x:f>
        <x:v>1801.3488907510005</x:v>
      </x:c>
      <x:c r="L6" s="31" t="n">
        <x:f>IF(E6=0,"",E6*K6)</x:f>
        <x:v>31870.142011866614</x:v>
      </x:c>
      <x:c r="M6" s="31" t="n">
        <x:f>IF(E6=0,"",I6-L6)</x:f>
        <x:v>390.75958327412445</x:v>
      </x:c>
      <x:c r="N6" s="32" t="n">
        <x:f>IF(L6=0,"",I6/L6)</x:f>
        <x:v>1.012260992848059</x:v>
      </x:c>
      <x:c r="O6" s="34" t="n">
        <x:f>IF(L6=0,"",M6/L6)</x:f>
        <x:v>0.012260992848059102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79.66257823250001</x:v>
      </x:c>
      <x:c r="E7" s="31" t="n">
        <x:v>79.66257823250001</x:v>
      </x:c>
      <x:c r="F7" s="32" t="n">
        <x:v>0</x:v>
      </x:c>
      <x:c r="G7" s="34" t="n">
        <x:v>1</x:v>
      </x:c>
      <x:c r="H7" s="32" t="n">
        <x:f>IF(E7=0,"",I7/E7)</x:f>
        <x:v>158.48289458080183</x:v>
      </x:c>
      <x:c r="I7" s="31" t="n">
        <x:f>IF(C7=0,"",SUMIF('Species'!$G$2:$G$61,A7,'Species'!$U$2:$U$61))</x:f>
        <x:v>12625.155988056178</x:v>
      </x:c>
      <x:c r="J7" s="32" t="n">
        <x:v>3.199981150949124</x:v>
      </x:c>
      <x:c r="K7" s="32" t="n">
        <x:f>IF(J7="","",(1/'Metadata'!$B$5)^(J7-1))</x:f>
        <x:v>158.48244071428817</x:v>
      </x:c>
      <x:c r="L7" s="31" t="n">
        <x:f>IF(E7=0,"",E7*K7)</x:f>
        <x:v>12625.119831879527</x:v>
      </x:c>
      <x:c r="M7" s="31" t="n">
        <x:f>IF(E7=0,"",I7-L7)</x:f>
        <x:v>0.03615617665127502</x:v>
      </x:c>
      <x:c r="N7" s="32" t="n">
        <x:f>IF(L7=0,"",I7/L7)</x:f>
        <x:v>1.000002863828394</x:v>
      </x:c>
      <x:c r="O7" s="34" t="n">
        <x:f>IF(L7=0,"",M7/L7)</x:f>
        <x:v>0.0000028638283939275985</x:v>
      </x:c>
    </x:row>
    <x:row r="8" ht="18" customHeight="1">
      <x:c r="A8" s="24" t="str">
        <x:v>Medium benthopelagics (30 - 89 cm)</x:v>
      </x:c>
      <x:c r="B8" s="33" t="n">
        <x:v>1</x:v>
      </x:c>
      <x:c r="C8" s="33" t="n">
        <x:v>1</x:v>
      </x:c>
      <x:c r="D8" s="31" t="n">
        <x:v>170.8281620717</x:v>
      </x:c>
      <x:c r="E8" s="31" t="n">
        <x:v>170.8281620717</x:v>
      </x:c>
      <x:c r="F8" s="32" t="n">
        <x:v>0</x:v>
      </x:c>
      <x:c r="G8" s="34" t="n">
        <x:v>1</x:v>
      </x:c>
      <x:c r="H8" s="32" t="n">
        <x:f>IF(E8=0,"",I8/E8)</x:f>
        <x:v>2691.534803926914</x:v>
      </x:c>
      <x:c r="I8" s="31" t="n">
        <x:f>IF(C8=0,"",SUMIF('Species'!$G$2:$G$61,A8,'Species'!$U$2:$U$61))</x:f>
        <x:v>459789.94370684813</x:v>
      </x:c>
      <x:c r="J8" s="32" t="n">
        <x:v>4.43</x:v>
      </x:c>
      <x:c r="K8" s="32" t="n">
        <x:f>IF(J8="","",(1/'Metadata'!$B$5)^(J8-1))</x:f>
        <x:v>2691.534803926914</x:v>
      </x:c>
      <x:c r="L8" s="31" t="n">
        <x:f>IF(E8=0,"",E8*K8)</x:f>
        <x:v>459789.94370684813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demersals (30 - 89 cm)</x:v>
      </x:c>
      <x:c r="B9" s="33" t="n">
        <x:v>4</x:v>
      </x:c>
      <x:c r="C9" s="33" t="n">
        <x:v>4</x:v>
      </x:c>
      <x:c r="D9" s="31" t="n">
        <x:v>289.4226804326</x:v>
      </x:c>
      <x:c r="E9" s="31" t="n">
        <x:v>289.4226804326</x:v>
      </x:c>
      <x:c r="F9" s="32" t="n">
        <x:v>0</x:v>
      </x:c>
      <x:c r="G9" s="34" t="n">
        <x:v>1</x:v>
      </x:c>
      <x:c r="H9" s="32" t="n">
        <x:f>IF(E9=0,"",I9/E9)</x:f>
        <x:v>201.59223296767166</x:v>
      </x:c>
      <x:c r="I9" s="31" t="n">
        <x:f>IF(C9=0,"",SUMIF('Species'!$G$2:$G$61,A9,'Species'!$U$2:$U$61))</x:f>
        <x:v>58345.36441989668</x:v>
      </x:c>
      <x:c r="J9" s="32" t="n">
        <x:v>3.2968244102616135</x:v>
      </x:c>
      <x:c r="K9" s="32" t="n">
        <x:f>IF(J9="","",(1/'Metadata'!$B$5)^(J9-1))</x:f>
        <x:v>198.07260359260604</x:v>
      </x:c>
      <x:c r="L9" s="31" t="n">
        <x:f>IF(E9=0,"",E9*K9)</x:f>
        <x:v>57326.70385203587</x:v>
      </x:c>
      <x:c r="M9" s="31" t="n">
        <x:f>IF(E9=0,"",I9-L9)</x:f>
        <x:v>1018.6605678608103</x:v>
      </x:c>
      <x:c r="N9" s="32" t="n">
        <x:f>IF(L9=0,"",I9/L9)</x:f>
        <x:v>1.0177693901691967</x:v>
      </x:c>
      <x:c r="O9" s="34" t="n">
        <x:f>IF(L9=0,"",M9/L9)</x:f>
        <x:v>0.017769390169196587</x:v>
      </x:c>
    </x:row>
    <x:row r="10" ht="18" customHeight="1">
      <x:c r="A10" s="24" t="str">
        <x:v>Medium pelagics (30 - 89 cm)</x:v>
      </x:c>
      <x:c r="B10" s="33" t="n">
        <x:v>8</x:v>
      </x:c>
      <x:c r="C10" s="33" t="n">
        <x:v>8</x:v>
      </x:c>
      <x:c r="D10" s="31" t="n">
        <x:v>248.8329386392</x:v>
      </x:c>
      <x:c r="E10" s="31" t="n">
        <x:v>248.8329386392</x:v>
      </x:c>
      <x:c r="F10" s="32" t="n">
        <x:v>0</x:v>
      </x:c>
      <x:c r="G10" s="34" t="n">
        <x:v>1</x:v>
      </x:c>
      <x:c r="H10" s="32" t="n">
        <x:f>IF(E10=0,"",I10/E10)</x:f>
        <x:v>637.7108694846517</x:v>
      </x:c>
      <x:c r="I10" s="31" t="n">
        <x:f>IF(C10=0,"",SUMIF('Species'!$G$2:$G$61,A10,'Species'!$U$2:$U$61))</x:f>
        <x:v>158683.4696560252</x:v>
      </x:c>
      <x:c r="J10" s="32" t="n">
        <x:v>3.72470789221115</x:v>
      </x:c>
      <x:c r="K10" s="32" t="n">
        <x:f>IF(J10="","",(1/'Metadata'!$B$5)^(J10-1))</x:f>
        <x:v>530.5274897976038</x:v>
      </x:c>
      <x:c r="L10" s="31" t="n">
        <x:f>IF(E10=0,"",E10*K10)</x:f>
        <x:v>132012.71431521597</x:v>
      </x:c>
      <x:c r="M10" s="31" t="n">
        <x:f>IF(E10=0,"",I10-L10)</x:f>
        <x:v>26670.755340809235</x:v>
      </x:c>
      <x:c r="N10" s="32" t="n">
        <x:f>IF(L10=0,"",I10/L10)</x:f>
        <x:v>1.2020317170142083</x:v>
      </x:c>
      <x:c r="O10" s="34" t="n">
        <x:f>IF(L10=0,"",M10/L10)</x:f>
        <x:v>0.20203171701420827</x:v>
      </x:c>
    </x:row>
    <x:row r="11" ht="18" customHeight="1">
      <x:c r="A11" s="24" t="str">
        <x:v>Medium reef assoc. fish (30 - 89 cm)</x:v>
      </x:c>
      <x:c r="B11" s="33" t="n">
        <x:v>9</x:v>
      </x:c>
      <x:c r="C11" s="33" t="n">
        <x:v>9</x:v>
      </x:c>
      <x:c r="D11" s="31" t="n">
        <x:v>328.5451365214</x:v>
      </x:c>
      <x:c r="E11" s="31" t="n">
        <x:v>328.5451365214</x:v>
      </x:c>
      <x:c r="F11" s="32" t="n">
        <x:v>0</x:v>
      </x:c>
      <x:c r="G11" s="34" t="n">
        <x:v>1</x:v>
      </x:c>
      <x:c r="H11" s="32" t="n">
        <x:f>IF(E11=0,"",I11/E11)</x:f>
        <x:v>831.0456425228109</x:v>
      </x:c>
      <x:c r="I11" s="31" t="n">
        <x:f>IF(C11=0,"",SUMIF('Species'!$G$2:$G$61,A11,'Species'!$U$2:$U$61))</x:f>
        <x:v>273036.0040781715</x:v>
      </x:c>
      <x:c r="J11" s="32" t="n">
        <x:v>3.9099624950777456</x:v>
      </x:c>
      <x:c r="K11" s="32" t="n">
        <x:f>IF(J11="","",(1/'Metadata'!$B$5)^(J11-1))</x:f>
        <x:v>812.7603245537966</x:v>
      </x:c>
      <x:c r="L11" s="31" t="n">
        <x:f>IF(E11=0,"",E11*K11)</x:f>
        <x:v>267028.4517897045</x:v>
      </x:c>
      <x:c r="M11" s="31" t="n">
        <x:f>IF(E11=0,"",I11-L11)</x:f>
        <x:v>6007.552288467006</x:v>
      </x:c>
      <x:c r="N11" s="32" t="n">
        <x:f>IF(L11=0,"",I11/L11)</x:f>
        <x:v>1.0224977984488266</x:v>
      </x:c>
      <x:c r="O11" s="34" t="n">
        <x:f>IF(L11=0,"",M11/L11)</x:f>
        <x:v>0.02249779844882669</x:v>
      </x:c>
    </x:row>
    <x:row r="12" ht="18" customHeight="1">
      <x:c r="A12" s="24" t="str">
        <x:v>Other demersal invertebrates</x:v>
      </x:c>
      <x:c r="B12" s="33" t="n">
        <x:v>1</x:v>
      </x:c>
      <x:c r="C12" s="33" t="n">
        <x:v>1</x:v>
      </x:c>
      <x:c r="D12" s="31" t="n">
        <x:v>30.8212644196</x:v>
      </x:c>
      <x:c r="E12" s="31" t="n">
        <x:v>30.8212644196</x:v>
      </x:c>
      <x:c r="F12" s="32" t="n">
        <x:v>0</x:v>
      </x:c>
      <x:c r="G12" s="34" t="n">
        <x:v>1</x:v>
      </x:c>
      <x:c r="H12" s="32" t="n">
        <x:f>IF(E12=0,"",I12/E12)</x:f>
        <x:v>15.488166189124811</x:v>
      </x:c>
      <x:c r="I12" s="31" t="n">
        <x:f>IF(C12=0,"",SUMIF('Species'!$G$2:$G$61,A12,'Species'!$U$2:$U$61))</x:f>
        <x:v>477.36486548972425</x:v>
      </x:c>
      <x:c r="J12" s="32" t="n">
        <x:v>2.19</x:v>
      </x:c>
      <x:c r="K12" s="32" t="n">
        <x:f>IF(J12="","",(1/'Metadata'!$B$5)^(J12-1))</x:f>
        <x:v>15.488166189124811</x:v>
      </x:c>
      <x:c r="L12" s="31" t="n">
        <x:f>IF(E12=0,"",E12*K12)</x:f>
        <x:v>477.36486548972425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pelagics (&lt;30 cm)</x:v>
      </x:c>
      <x:c r="B13" s="33" t="n">
        <x:v>2</x:v>
      </x:c>
      <x:c r="C13" s="33" t="n">
        <x:v>2</x:v>
      </x:c>
      <x:c r="D13" s="31" t="n">
        <x:v>2.9565716358</x:v>
      </x:c>
      <x:c r="E13" s="31" t="n">
        <x:v>2.9565716358</x:v>
      </x:c>
      <x:c r="F13" s="32" t="n">
        <x:v>0</x:v>
      </x:c>
      <x:c r="G13" s="34" t="n">
        <x:v>1</x:v>
      </x:c>
      <x:c r="H13" s="32" t="n">
        <x:f>IF(E13=0,"",I13/E13)</x:f>
        <x:v>312.5737782891834</x:v>
      </x:c>
      <x:c r="I13" s="31" t="n">
        <x:f>IF(C13=0,"",SUMIF('Species'!$G$2:$G$61,A13,'Species'!$U$2:$U$61))</x:f>
        <x:v>924.1467669846376</x:v>
      </x:c>
      <x:c r="J13" s="32" t="n">
        <x:v>3.3769645588832238</x:v>
      </x:c>
      <x:c r="K13" s="32" t="n">
        <x:f>IF(J13="","",(1/'Metadata'!$B$5)^(J13-1))</x:f>
        <x:v>238.21250652825753</x:v>
      </x:c>
      <x:c r="L13" s="31" t="n">
        <x:f>IF(E13=0,"",E13*K13)</x:f>
        <x:v>704.2923400942685</x:v>
      </x:c>
      <x:c r="M13" s="31" t="n">
        <x:f>IF(E13=0,"",I13-L13)</x:f>
        <x:v>219.85442689036904</x:v>
      </x:c>
      <x:c r="N13" s="32" t="n">
        <x:f>IF(L13=0,"",I13/L13)</x:f>
        <x:v>1.312163592267583</x:v>
      </x:c>
      <x:c r="O13" s="34" t="n">
        <x:f>IF(L13=0,"",M13/L13)</x:f>
        <x:v>0.31216359226758283</x:v>
      </x:c>
    </x:row>
    <x:row r="14" ht="18" customHeight="1">
      <x:c r="A14" s="24" t="str">
        <x:v>Small reef assoc. fish (&lt;30 cm)</x:v>
      </x:c>
      <x:c r="B14" s="33" t="n">
        <x:v>3</x:v>
      </x:c>
      <x:c r="C14" s="33" t="n">
        <x:v>3</x:v>
      </x:c>
      <x:c r="D14" s="31" t="n">
        <x:v>102.20852116519998</x:v>
      </x:c>
      <x:c r="E14" s="31" t="n">
        <x:v>102.20852116519998</x:v>
      </x:c>
      <x:c r="F14" s="32" t="n">
        <x:v>0</x:v>
      </x:c>
      <x:c r="G14" s="34" t="n">
        <x:v>1</x:v>
      </x:c>
      <x:c r="H14" s="32" t="n">
        <x:f>IF(E14=0,"",I14/E14)</x:f>
        <x:v>23.166092689407943</x:v>
      </x:c>
      <x:c r="I14" s="31" t="n">
        <x:f>IF(C14=0,"",SUMIF('Species'!$G$2:$G$61,A14,'Species'!$U$2:$U$61))</x:f>
        <x:v>2367.7720749603363</x:v>
      </x:c>
      <x:c r="J14" s="32" t="n">
        <x:v>2.0828667697203294</x:v>
      </x:c>
      <x:c r="K14" s="32" t="n">
        <x:f>IF(J14="","",(1/'Metadata'!$B$5)^(J14-1))</x:f>
        <x:v>12.102268104100471</x:v>
      </x:c>
      <x:c r="L14" s="31" t="n">
        <x:f>IF(E14=0,"",E14*K14)</x:f>
        <x:v>1236.9549256648777</x:v>
      </x:c>
      <x:c r="M14" s="31" t="n">
        <x:f>IF(E14=0,"",I14-L14)</x:f>
        <x:v>1130.8171492954586</x:v>
      </x:c>
      <x:c r="N14" s="32" t="n">
        <x:f>IF(L14=0,"",I14/L14)</x:f>
        <x:v>1.9141943055747412</x:v>
      </x:c>
      <x:c r="O14" s="34" t="n">
        <x:f>IF(L14=0,"",M14/L14)</x:f>
        <x:v>0.9141943055747414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13e9e3c326043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EEZ_308</x:v>
      </x:c>
      <x:c r="B2" s="24" t="str">
        <x:v>raw_filtered_tonnes</x:v>
      </x:c>
      <x:c r="C2" s="24" t="n">
        <x:v>3717.1043054866004</x:v>
      </x:c>
      <x:c r="D2" s="24" t="str">
        <x:v>tonnes</x:v>
      </x:c>
    </x:row>
    <x:row r="3" ht="18" customHeight="1">
      <x:c r="A3" s="24" t="str">
        <x:v>EEZ_308</x:v>
      </x:c>
      <x:c r="B3" s="24" t="str">
        <x:v>species_catch_tonnes</x:v>
      </x:c>
      <x:c r="C3" s="24" t="n">
        <x:v>3717.1043054865995</x:v>
      </x:c>
      <x:c r="D3" s="24" t="str">
        <x:v>tonnes</x:v>
      </x:c>
    </x:row>
    <x:row r="4" ht="18" customHeight="1">
      <x:c r="A4" s="24" t="str">
        <x:v>EEZ_308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EEZ_308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EEZ_308</x:v>
      </x:c>
      <x:c r="B6" s="24" t="str">
        <x:v>matched_catch_tonnes</x:v>
      </x:c>
      <x:c r="C6" s="24" t="n">
        <x:v>3717.1043054865995</x:v>
      </x:c>
      <x:c r="D6" s="24" t="str">
        <x:v>tonnes</x:v>
      </x:c>
    </x:row>
    <x:row r="7" ht="18" customHeight="1">
      <x:c r="A7" s="24" t="str">
        <x:v>EEZ_308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EEZ_308</x:v>
      </x:c>
      <x:c r="B8" s="24" t="str">
        <x:v>taxa_count</x:v>
      </x:c>
      <x:c r="C8" s="24" t="n">
        <x:v>60</x:v>
      </x:c>
      <x:c r="D8" s="24" t="str">
        <x:v>count</x:v>
      </x:c>
    </x:row>
    <x:row r="9" ht="18" customHeight="1">
      <x:c r="A9" s="24" t="str">
        <x:v>EEZ_308</x:v>
      </x:c>
      <x:c r="B9" s="24" t="str">
        <x:v>matched_taxa_count</x:v>
      </x:c>
      <x:c r="C9" s="24" t="n">
        <x:v>60</x:v>
      </x:c>
      <x:c r="D9" s="24" t="str">
        <x:v>count</x:v>
      </x:c>
    </x:row>
    <x:row r="10" ht="18" customHeight="1">
      <x:c r="A10" s="24" t="str">
        <x:v>EEZ_308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EEZ_308</x:v>
      </x:c>
      <x:c r="B11" s="24" t="str">
        <x:v>species_ppr</x:v>
      </x:c>
      <x:c r="C11" s="24" t="n">
        <x:v>7313275.919097777</x:v>
      </x:c>
      <x:c r="D11" s="24" t="str">
        <x:v>tonnes_primary_production_equivalent</x:v>
      </x:c>
    </x:row>
    <x:row r="12" ht="18" customHeight="1">
      <x:c r="A12" s="24" t="str">
        <x:v>EEZ_308</x:v>
      </x:c>
      <x:c r="B12" s="24" t="str">
        <x:v>commercial_ppr</x:v>
      </x:c>
      <x:c r="C12" s="24" t="n">
        <x:v>7313275.919097778</x:v>
      </x:c>
      <x:c r="D12" s="24" t="str">
        <x:v>tonnes_primary_production_equivalent</x:v>
      </x:c>
    </x:row>
    <x:row r="13" ht="18" customHeight="1">
      <x:c r="A13" s="24" t="str">
        <x:v>EEZ_308</x:v>
      </x:c>
      <x:c r="B13" s="24" t="str">
        <x:v>functional_ppr</x:v>
      </x:c>
      <x:c r="C13" s="24" t="n">
        <x:v>7313275.919097778</x:v>
      </x:c>
      <x:c r="D13" s="24" t="str">
        <x:v>tonnes_primary_production_equivalent</x:v>
      </x:c>
    </x:row>
    <x:row r="14" ht="18" customHeight="1">
      <x:c r="A14" s="24" t="str">
        <x:v>EEZ_308</x:v>
      </x:c>
      <x:c r="B14" s="24" t="str">
        <x:v>commercial_ppr_difference</x:v>
      </x:c>
      <x:c r="C14" s="24" t="n">
        <x:v>9.313225746154785e-10</x:v>
      </x:c>
      <x:c r="D14" s="24" t="str">
        <x:v>tonnes_primary_production_equivalent</x:v>
      </x:c>
    </x:row>
    <x:row r="15" ht="18" customHeight="1">
      <x:c r="A15" s="24" t="str">
        <x:v>EEZ_308</x:v>
      </x:c>
      <x:c r="B15" s="24" t="str">
        <x:v>functional_ppr_difference</x:v>
      </x:c>
      <x:c r="C15" s="24" t="n">
        <x:v>9.313225746154785e-10</x:v>
      </x:c>
      <x:c r="D15" s="24" t="str">
        <x:v>tonnes_primary_production_equivalent</x:v>
      </x:c>
    </x:row>
    <x:row r="16" ht="18" customHeight="1">
      <x:c r="A16" s="24" t="str">
        <x:v>EEZ_308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EEZ_308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EEZ_308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EEZ_308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0953c9e21764a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EEZ_308 - Grenada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EEZ_308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