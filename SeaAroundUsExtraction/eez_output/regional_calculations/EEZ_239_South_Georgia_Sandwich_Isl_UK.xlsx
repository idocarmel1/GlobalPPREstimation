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656ad04b4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7d03aa8c20c4ca7"/>
    <x:sheet xmlns:r="http://schemas.openxmlformats.org/officeDocument/2006/relationships" name="Commercial" sheetId="2" r:id="Rf7dc9411108c4500"/>
    <x:sheet xmlns:r="http://schemas.openxmlformats.org/officeDocument/2006/relationships" name="Functional" sheetId="3" r:id="R54800f83c99f4723"/>
    <x:sheet xmlns:r="http://schemas.openxmlformats.org/officeDocument/2006/relationships" name="Missing TL" sheetId="4" r:id="R955220e7332d4679"/>
    <x:sheet xmlns:r="http://schemas.openxmlformats.org/officeDocument/2006/relationships" name="Validation" sheetId="5" r:id="Ra54c3494d7df424a"/>
    <x:sheet xmlns:r="http://schemas.openxmlformats.org/officeDocument/2006/relationships" name="Metadata" sheetId="6" r:id="R889e67d63f3a4a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bee0e577a4561" /><Relationship Type="http://schemas.openxmlformats.org/officeDocument/2006/relationships/theme" Target="/xl/theme/theme1.xml" Id="R3c15a78dbd8b4c20" /><Relationship Type="http://schemas.microsoft.com/office/2022/11/relationships/FeaturePropertyBag" Target="/xl/featurePropertyBag/featurePropertyBag.xml" Id="R4b65f7fdd77f4ace" /><Relationship Type="http://schemas.openxmlformats.org/officeDocument/2006/relationships/sharedStrings" Target="/xl/sharedStrings.xml" Id="R77360f541cfd4aad" /><Relationship Type="http://schemas.openxmlformats.org/officeDocument/2006/relationships/worksheet" Target="/xl/worksheets/sheet1.xml" Id="R77d03aa8c20c4ca7" /><Relationship Type="http://schemas.openxmlformats.org/officeDocument/2006/relationships/worksheet" Target="/xl/worksheets/sheet2.xml" Id="Rf7dc9411108c4500" /><Relationship Type="http://schemas.openxmlformats.org/officeDocument/2006/relationships/worksheet" Target="/xl/worksheets/sheet3.xml" Id="R54800f83c99f4723" /><Relationship Type="http://schemas.openxmlformats.org/officeDocument/2006/relationships/worksheet" Target="/xl/worksheets/sheet4.xml" Id="R955220e7332d4679" /><Relationship Type="http://schemas.openxmlformats.org/officeDocument/2006/relationships/worksheet" Target="/xl/worksheets/sheet5.xml" Id="Ra54c3494d7df424a" /><Relationship Type="http://schemas.openxmlformats.org/officeDocument/2006/relationships/worksheet" Target="/xl/worksheets/sheet6.xml" Id="R889e67d63f3a4a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39SpeciesTable" displayName="EEZ239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39CommercialTable" displayName="EEZ239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39FunctionalTable" displayName="EEZ239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39ValidationTable" displayName="EEZ23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7f47f2181a46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9fa8a2cccc4f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46deedfd4141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6d96e9653647b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EEZ_239</x:v>
      </x:c>
      <x:c r="B2" s="24" t="str">
        <x:v>South Georgia &amp; Sandwich Isl. (UK)</x:v>
      </x:c>
      <x:c r="C2" s="24" t="str">
        <x:v>EEZ</x:v>
      </x:c>
      <x:c r="D2" s="30" t="n">
        <x:v>2019</x:v>
      </x:c>
      <x:c r="E2" s="24" t="str">
        <x:v>Euphausia superba</x:v>
      </x:c>
      <x:c r="F2" s="24" t="str">
        <x:v>Antarctic krill</x:v>
      </x:c>
      <x:c r="G2" s="24" t="str">
        <x:v>Krill</x:v>
      </x:c>
      <x:c r="H2" s="24" t="str">
        <x:v>Crustaceans</x:v>
      </x:c>
      <x:c r="I2" s="31" t="n">
        <x:v>140433.5275889943</x:v>
      </x:c>
      <x:c r="J2" s="31" t="n">
        <x:v>140433.5275889943</x:v>
      </x:c>
      <x:c r="K2" s="31" t="n">
        <x:v>0</x:v>
      </x:c>
      <x:c r="L2" s="31" t="n">
        <x:v>140433.5275889943</x:v>
      </x:c>
      <x:c r="M2" s="31" t="n">
        <x:v>0</x:v>
      </x:c>
      <x:c r="N2" s="24" t="str">
        <x:v>euphausia superba</x:v>
      </x:c>
      <x:c r="O2" s="32" t="n">
        <x:v>2.25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Euphausia superba</x:v>
      </x:c>
      <x:c r="T2" s="32" t="n">
        <x:f>IF(O2="","",(1/'Metadata'!$B$5)^(O2-1))</x:f>
        <x:v>17.78279410038923</x:v>
      </x:c>
      <x:c r="U2" s="31" t="n">
        <x:f>IF(T2="","",I2*T2)</x:f>
        <x:v>2497300.5059064156</x:v>
      </x:c>
    </x:row>
    <x:row r="3" ht="18" customHeight="1">
      <x:c r="A3" s="24" t="str">
        <x:v>EEZ_239</x:v>
      </x:c>
      <x:c r="B3" s="24" t="str">
        <x:v>South Georgia &amp; Sandwich Isl. (UK)</x:v>
      </x:c>
      <x:c r="C3" s="24" t="str">
        <x:v>EEZ</x:v>
      </x:c>
      <x:c r="D3" s="30" t="n">
        <x:v>2019</x:v>
      </x:c>
      <x:c r="E3" s="24" t="str">
        <x:v>Dissostichus eleginoides</x:v>
      </x:c>
      <x:c r="F3" s="24" t="str">
        <x:v>Patagonian toothfish</x:v>
      </x:c>
      <x:c r="G3" s="24" t="str">
        <x:v>Large bathydemersals (&gt;=90 cm)</x:v>
      </x:c>
      <x:c r="H3" s="24" t="str">
        <x:v>Perch-likes</x:v>
      </x:c>
      <x:c r="I3" s="31" t="n">
        <x:v>2142.0201309999998</x:v>
      </x:c>
      <x:c r="J3" s="31" t="n">
        <x:v>2142.0201309999998</x:v>
      </x:c>
      <x:c r="K3" s="31" t="n">
        <x:v>0</x:v>
      </x:c>
      <x:c r="L3" s="31" t="n">
        <x:v>2142.0201309999998</x:v>
      </x:c>
      <x:c r="M3" s="31" t="n">
        <x:v>0</x:v>
      </x:c>
      <x:c r="N3" s="24" t="str">
        <x:v>dissostichus eleginoides</x:v>
      </x:c>
      <x:c r="O3" s="32" t="n">
        <x:v>3.96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Dissostichus eleginoides</x:v>
      </x:c>
      <x:c r="T3" s="32" t="n">
        <x:f>IF(O3="","",(1/'Metadata'!$B$5)^(O3-1))</x:f>
        <x:v>912.0108393559096</x:v>
      </x:c>
      <x:c r="U3" s="31" t="n">
        <x:f>IF(T3="","",I3*T3)</x:f>
        <x:v>1953545.5775905652</x:v>
      </x:c>
    </x:row>
    <x:row r="4" ht="18" customHeight="1">
      <x:c r="A4" s="24" t="str">
        <x:v>EEZ_239</x:v>
      </x:c>
      <x:c r="B4" s="24" t="str">
        <x:v>South Georgia &amp; Sandwich Isl. (UK)</x:v>
      </x:c>
      <x:c r="C4" s="24" t="str">
        <x:v>EEZ</x:v>
      </x:c>
      <x:c r="D4" s="30" t="n">
        <x:v>2019</x:v>
      </x:c>
      <x:c r="E4" s="24" t="str">
        <x:v>Macrourus</x:v>
      </x:c>
      <x:c r="F4" s="24" t="str">
        <x:v>Rattails</x:v>
      </x:c>
      <x:c r="G4" s="24" t="str">
        <x:v>Medium benthopelagics (30 - 89 cm)</x:v>
      </x:c>
      <x:c r="H4" s="24" t="str">
        <x:v>Cod-likes</x:v>
      </x:c>
      <x:c r="I4" s="31" t="n">
        <x:v>112.299956</x:v>
      </x:c>
      <x:c r="J4" s="31" t="n">
        <x:v>112.299956</x:v>
      </x:c>
      <x:c r="K4" s="31" t="n">
        <x:v>0</x:v>
      </x:c>
      <x:c r="L4" s="31" t="n">
        <x:v>112.299956</x:v>
      </x:c>
      <x:c r="M4" s="31" t="n">
        <x:v>0</x:v>
      </x:c>
      <x:c r="N4" s="24" t="str">
        <x:v>macrourus</x:v>
      </x:c>
      <x:c r="O4" s="32" t="n">
        <x:v>3.58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Macrourus</x:v>
      </x:c>
      <x:c r="T4" s="32" t="n">
        <x:f>IF(O4="","",(1/'Metadata'!$B$5)^(O4-1))</x:f>
        <x:v>380.1893963205613</x:v>
      </x:c>
      <x:c r="U4" s="31" t="n">
        <x:f>IF(T4="","",I4*T4)</x:f>
        <x:v>42695.25247846559</x:v>
      </x:c>
    </x:row>
    <x:row r="5" ht="18" customHeight="1">
      <x:c r="A5" s="24" t="str">
        <x:v>EEZ_239</x:v>
      </x:c>
      <x:c r="B5" s="24" t="str">
        <x:v>South Georgia &amp; Sandwich Isl. (UK)</x:v>
      </x:c>
      <x:c r="C5" s="24" t="str">
        <x:v>EEZ</x:v>
      </x:c>
      <x:c r="D5" s="30" t="n">
        <x:v>2019</x:v>
      </x:c>
      <x:c r="E5" s="24" t="str">
        <x:v>Dissostichus mawsoni</x:v>
      </x:c>
      <x:c r="F5" s="24" t="str">
        <x:v>Antarctic toothfish</x:v>
      </x:c>
      <x:c r="G5" s="24" t="str">
        <x:v>Large benthopelagics (&gt;=90 cm)</x:v>
      </x:c>
      <x:c r="H5" s="24" t="str">
        <x:v>Perch-likes</x:v>
      </x:c>
      <x:c r="I5" s="31" t="n">
        <x:v>65.30474</x:v>
      </x:c>
      <x:c r="J5" s="31" t="n">
        <x:v>65.30474</x:v>
      </x:c>
      <x:c r="K5" s="31" t="n">
        <x:v>0</x:v>
      </x:c>
      <x:c r="L5" s="31" t="n">
        <x:v>65.30474</x:v>
      </x:c>
      <x:c r="M5" s="31" t="n">
        <x:v>0</x:v>
      </x:c>
      <x:c r="N5" s="24" t="str">
        <x:v>dissostichus mawsoni</x:v>
      </x:c>
      <x:c r="O5" s="32" t="n">
        <x:v>4.21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Dissostichus mawsoni</x:v>
      </x:c>
      <x:c r="T5" s="32" t="n">
        <x:f>IF(O5="","",(1/'Metadata'!$B$5)^(O5-1))</x:f>
        <x:v>1621.8100973589299</x:v>
      </x:c>
      <x:c r="U5" s="31" t="n">
        <x:f>IF(T5="","",I5*T5)</x:f>
        <x:v>105911.88673739959</x:v>
      </x:c>
    </x:row>
    <x:row r="6" ht="18" customHeight="1">
      <x:c r="A6" s="24" t="str">
        <x:v>EEZ_239</x:v>
      </x:c>
      <x:c r="B6" s="24" t="str">
        <x:v>South Georgia &amp; Sandwich Isl. (UK)</x:v>
      </x:c>
      <x:c r="C6" s="24" t="str">
        <x:v>EEZ</x:v>
      </x:c>
      <x:c r="D6" s="30" t="n">
        <x:v>2019</x:v>
      </x:c>
      <x:c r="E6" s="24" t="str">
        <x:v>Antimora rostrata</x:v>
      </x:c>
      <x:c r="F6" s="24" t="str">
        <x:v>Blue antimora</x:v>
      </x:c>
      <x:c r="G6" s="24" t="str">
        <x:v>Medium bathypelagics (30 - 89 cm)</x:v>
      </x:c>
      <x:c r="H6" s="24" t="str">
        <x:v>Cod-likes</x:v>
      </x:c>
      <x:c r="I6" s="31" t="n">
        <x:v>41.40867</x:v>
      </x:c>
      <x:c r="J6" s="31" t="n">
        <x:v>41.40867</x:v>
      </x:c>
      <x:c r="K6" s="31" t="n">
        <x:v>0</x:v>
      </x:c>
      <x:c r="L6" s="31" t="n">
        <x:v>41.40867</x:v>
      </x:c>
      <x:c r="M6" s="31" t="n">
        <x:v>0</x:v>
      </x:c>
      <x:c r="N6" s="24" t="str">
        <x:v>antimora rostrata</x:v>
      </x:c>
      <x:c r="O6" s="32" t="n">
        <x:v>3.58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Antimora rostrata</x:v>
      </x:c>
      <x:c r="T6" s="32" t="n">
        <x:f>IF(O6="","",(1/'Metadata'!$B$5)^(O6-1))</x:f>
        <x:v>380.1893963205613</x:v>
      </x:c>
      <x:c r="U6" s="31" t="n">
        <x:f>IF(T6="","",I6*T6)</x:f>
        <x:v>15743.137249737338</x:v>
      </x:c>
    </x:row>
    <x:row r="7" ht="18" customHeight="1">
      <x:c r="A7" s="24" t="str">
        <x:v>EEZ_239</x:v>
      </x:c>
      <x:c r="B7" s="24" t="str">
        <x:v>South Georgia &amp; Sandwich Isl. (UK)</x:v>
      </x:c>
      <x:c r="C7" s="24" t="str">
        <x:v>EEZ</x:v>
      </x:c>
      <x:c r="D7" s="30" t="n">
        <x:v>2019</x:v>
      </x:c>
      <x:c r="E7" s="24" t="str">
        <x:v>Patagonotothen guntheri</x:v>
      </x:c>
      <x:c r="F7" s="24" t="str">
        <x:v>Yellowfin notothen</x:v>
      </x:c>
      <x:c r="G7" s="24" t="str">
        <x:v>Small benthopelagics (&lt;30 cm)</x:v>
      </x:c>
      <x:c r="H7" s="24" t="str">
        <x:v>Perch-likes</x:v>
      </x:c>
      <x:c r="I7" s="31" t="n">
        <x:v>7.421723</x:v>
      </x:c>
      <x:c r="J7" s="31" t="n">
        <x:v>7.421723</x:v>
      </x:c>
      <x:c r="K7" s="31" t="n">
        <x:v>0</x:v>
      </x:c>
      <x:c r="L7" s="31" t="n">
        <x:v>7.421723</x:v>
      </x:c>
      <x:c r="M7" s="31" t="n">
        <x:v>0</x:v>
      </x:c>
      <x:c r="N7" s="24" t="str">
        <x:v>patagonotothen guntheri</x:v>
      </x:c>
      <x:c r="O7" s="32" t="n">
        <x:v>3.62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Patagonotothen guntheri</x:v>
      </x:c>
      <x:c r="T7" s="32" t="n">
        <x:f>IF(O7="","",(1/'Metadata'!$B$5)^(O7-1))</x:f>
        <x:v>416.8693834703355</x:v>
      </x:c>
      <x:c r="U7" s="31" t="n">
        <x:f>IF(T7="","",I7*T7)</x:f>
        <x:v>3093.889091297609</x:v>
      </x:c>
    </x:row>
    <x:row r="8" ht="18" customHeight="1">
      <x:c r="A8" s="24" t="str">
        <x:v>EEZ_239</x:v>
      </x:c>
      <x:c r="B8" s="24" t="str">
        <x:v>South Georgia &amp; Sandwich Isl. (UK)</x:v>
      </x:c>
      <x:c r="C8" s="24" t="str">
        <x:v>EEZ</x:v>
      </x:c>
      <x:c r="D8" s="30" t="n">
        <x:v>2019</x:v>
      </x:c>
      <x:c r="E8" s="24" t="str">
        <x:v>Notothenia rossii</x:v>
      </x:c>
      <x:c r="F8" s="24" t="str">
        <x:v>Marbled rockcod</x:v>
      </x:c>
      <x:c r="G8" s="24" t="str">
        <x:v>Medium demersals (30 - 89 cm)</x:v>
      </x:c>
      <x:c r="H8" s="24" t="str">
        <x:v>Perch-likes</x:v>
      </x:c>
      <x:c r="I8" s="31" t="n">
        <x:v>6.702966</x:v>
      </x:c>
      <x:c r="J8" s="31" t="n">
        <x:v>6.702966</x:v>
      </x:c>
      <x:c r="K8" s="31" t="n">
        <x:v>0</x:v>
      </x:c>
      <x:c r="L8" s="31" t="n">
        <x:v>6.702966</x:v>
      </x:c>
      <x:c r="M8" s="31" t="n">
        <x:v>0</x:v>
      </x:c>
      <x:c r="N8" s="24" t="str">
        <x:v>notothenia rossii</x:v>
      </x:c>
      <x:c r="O8" s="32" t="n">
        <x:v>3.55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Notothenia rossii</x:v>
      </x:c>
      <x:c r="T8" s="32" t="n">
        <x:f>IF(O8="","",(1/'Metadata'!$B$5)^(O8-1))</x:f>
        <x:v>354.8133892335753</x:v>
      </x:c>
      <x:c r="U8" s="31" t="n">
        <x:f>IF(T8="","",I8*T8)</x:f>
        <x:v>2378.3020843774216</x:v>
      </x:c>
    </x:row>
    <x:row r="9" ht="18" customHeight="1">
      <x:c r="A9" s="24" t="str">
        <x:v>EEZ_239</x:v>
      </x:c>
      <x:c r="B9" s="24" t="str">
        <x:v>South Georgia &amp; Sandwich Isl. (UK)</x:v>
      </x:c>
      <x:c r="C9" s="24" t="str">
        <x:v>EEZ</x:v>
      </x:c>
      <x:c r="D9" s="30" t="n">
        <x:v>2019</x:v>
      </x:c>
      <x:c r="E9" s="24" t="str">
        <x:v>Champsocephalus gunnari</x:v>
      </x:c>
      <x:c r="F9" s="24" t="str">
        <x:v>Mackerel icefish</x:v>
      </x:c>
      <x:c r="G9" s="24" t="str">
        <x:v>Medium pelagics (30 - 89 cm)</x:v>
      </x:c>
      <x:c r="H9" s="24" t="str">
        <x:v>Perch-likes</x:v>
      </x:c>
      <x:c r="I9" s="31" t="n">
        <x:v>6.320873</x:v>
      </x:c>
      <x:c r="J9" s="31" t="n">
        <x:v>6.320873</x:v>
      </x:c>
      <x:c r="K9" s="31" t="n">
        <x:v>0</x:v>
      </x:c>
      <x:c r="L9" s="31" t="n">
        <x:v>6.320873</x:v>
      </x:c>
      <x:c r="M9" s="31" t="n">
        <x:v>0</x:v>
      </x:c>
      <x:c r="N9" s="24" t="str">
        <x:v>champsocephalus gunnari</x:v>
      </x:c>
      <x:c r="O9" s="32" t="n">
        <x:v>3.23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Champsocephalus gunnari</x:v>
      </x:c>
      <x:c r="T9" s="32" t="n">
        <x:f>IF(O9="","",(1/'Metadata'!$B$5)^(O9-1))</x:f>
        <x:v>169.82436524617444</x:v>
      </x:c>
      <x:c r="U9" s="31" t="n">
        <x:f>IF(T9="","",I9*T9)</x:f>
        <x:v>1073.4382450266824</x:v>
      </x:c>
    </x:row>
    <x:row r="10" ht="18" customHeight="1">
      <x:c r="A10" s="24" t="str">
        <x:v>EEZ_239</x:v>
      </x:c>
      <x:c r="B10" s="24" t="str">
        <x:v>South Georgia &amp; Sandwich Isl. (UK)</x:v>
      </x:c>
      <x:c r="C10" s="24" t="str">
        <x:v>EEZ</x:v>
      </x:c>
      <x:c r="D10" s="30" t="n">
        <x:v>2019</x:v>
      </x:c>
      <x:c r="E10" s="24" t="str">
        <x:v>Rajiformes</x:v>
      </x:c>
      <x:c r="F10" s="24" t="str">
        <x:v>Skates and rays</x:v>
      </x:c>
      <x:c r="G10" s="24" t="str">
        <x:v>Large rays (&gt;=90 cm)</x:v>
      </x:c>
      <x:c r="H10" s="24" t="str">
        <x:v>Sharks &amp; rays</x:v>
      </x:c>
      <x:c r="I10" s="31" t="n">
        <x:v>4.0106201935</x:v>
      </x:c>
      <x:c r="J10" s="31" t="n">
        <x:v>4.0106200213</x:v>
      </x:c>
      <x:c r="K10" s="31" t="n">
        <x:v>1.722e-7</x:v>
      </x:c>
      <x:c r="L10" s="31" t="n">
        <x:v>4.0106201935</x:v>
      </x:c>
      <x:c r="M10" s="31" t="n">
        <x:v>0</x:v>
      </x:c>
      <x:c r="N10" s="24" t="str">
        <x:v>rajiformes</x:v>
      </x:c>
      <x:c r="O10" s="32" t="n">
        <x:v>3.61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Rajiformes</x:v>
      </x:c>
      <x:c r="T10" s="32" t="n">
        <x:f>IF(O10="","",(1/'Metadata'!$B$5)^(O10-1))</x:f>
        <x:v>407.3802778041126</x:v>
      </x:c>
      <x:c r="U10" s="31" t="n">
        <x:f>IF(T10="","",I10*T10)</x:f>
        <x:v>1633.847568594814</x:v>
      </x:c>
    </x:row>
    <x:row r="11" ht="18" customHeight="1">
      <x:c r="A11" s="24" t="str">
        <x:v>EEZ_239</x:v>
      </x:c>
      <x:c r="B11" s="24" t="str">
        <x:v>South Georgia &amp; Sandwich Isl. (UK)</x:v>
      </x:c>
      <x:c r="C11" s="24" t="str">
        <x:v>EEZ</x:v>
      </x:c>
      <x:c r="D11" s="30" t="n">
        <x:v>2019</x:v>
      </x:c>
      <x:c r="E11" s="24" t="str">
        <x:v>Gobionotothen gibberifrons</x:v>
      </x:c>
      <x:c r="F11" s="24" t="str">
        <x:v>Humped rockcod</x:v>
      </x:c>
      <x:c r="G11" s="24" t="str">
        <x:v>Medium demersals (30 - 89 cm)</x:v>
      </x:c>
      <x:c r="H11" s="24" t="str">
        <x:v>Perch-likes</x:v>
      </x:c>
      <x:c r="I11" s="31" t="n">
        <x:v>1.2093390000000002</x:v>
      </x:c>
      <x:c r="J11" s="31" t="n">
        <x:v>1.2093390000000002</x:v>
      </x:c>
      <x:c r="K11" s="31" t="n">
        <x:v>0</x:v>
      </x:c>
      <x:c r="L11" s="31" t="n">
        <x:v>1.2093390000000002</x:v>
      </x:c>
      <x:c r="M11" s="31" t="n">
        <x:v>0</x:v>
      </x:c>
      <x:c r="N11" s="24" t="str">
        <x:v>gobionotothen gibberifrons</x:v>
      </x:c>
      <x:c r="O11" s="32" t="n">
        <x:v>3.26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Gobionotothen gibberifrons</x:v>
      </x:c>
      <x:c r="T11" s="32" t="n">
        <x:f>IF(O11="","",(1/'Metadata'!$B$5)^(O11-1))</x:f>
        <x:v>181.97008586099827</x:v>
      </x:c>
      <x:c r="U11" s="31" t="n">
        <x:f>IF(T11="","",I11*T11)</x:f>
        <x:v>220.06352166505383</x:v>
      </x:c>
    </x:row>
    <x:row r="12" ht="18" customHeight="1">
      <x:c r="A12" s="24" t="str">
        <x:v>EEZ_239</x:v>
      </x:c>
      <x:c r="B12" s="24" t="str">
        <x:v>South Georgia &amp; Sandwich Isl. (UK)</x:v>
      </x:c>
      <x:c r="C12" s="24" t="str">
        <x:v>EEZ</x:v>
      </x:c>
      <x:c r="D12" s="30" t="n">
        <x:v>2019</x:v>
      </x:c>
      <x:c r="E12" s="24" t="str">
        <x:v>Chaenocephalus aceratus</x:v>
      </x:c>
      <x:c r="F12" s="24" t="str">
        <x:v>Blackfin icefish</x:v>
      </x:c>
      <x:c r="G12" s="24" t="str">
        <x:v>Medium demersals (30 - 89 cm)</x:v>
      </x:c>
      <x:c r="H12" s="24" t="str">
        <x:v>Perch-likes</x:v>
      </x:c>
      <x:c r="I12" s="31" t="n">
        <x:v>0.931929</x:v>
      </x:c>
      <x:c r="J12" s="31" t="n">
        <x:v>0.931929</x:v>
      </x:c>
      <x:c r="K12" s="31" t="n">
        <x:v>0</x:v>
      </x:c>
      <x:c r="L12" s="31" t="n">
        <x:v>0.931929</x:v>
      </x:c>
      <x:c r="M12" s="31" t="n">
        <x:v>0</x:v>
      </x:c>
      <x:c r="N12" s="24" t="str">
        <x:v>chaenocephalus aceratus</x:v>
      </x:c>
      <x:c r="O12" s="32" t="n">
        <x:v>3.4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Chaenocephalus aceratus</x:v>
      </x:c>
      <x:c r="T12" s="32" t="n">
        <x:f>IF(O12="","",(1/'Metadata'!$B$5)^(O12-1))</x:f>
        <x:v>251.18864315095797</x:v>
      </x:c>
      <x:c r="U12" s="31" t="n">
        <x:f>IF(T12="","",I12*T12)</x:f>
        <x:v>234.0899810230291</x:v>
      </x:c>
    </x:row>
    <x:row r="13" ht="18" customHeight="1">
      <x:c r="A13" s="24" t="str">
        <x:v>EEZ_239</x:v>
      </x:c>
      <x:c r="B13" s="24" t="str">
        <x:v>South Georgia &amp; Sandwich Isl. (UK)</x:v>
      </x:c>
      <x:c r="C13" s="24" t="str">
        <x:v>EEZ</x:v>
      </x:c>
      <x:c r="D13" s="30" t="n">
        <x:v>2019</x:v>
      </x:c>
      <x:c r="E13" s="24" t="str">
        <x:v>Lepidonotothen squamifrons</x:v>
      </x:c>
      <x:c r="F13" s="24" t="str">
        <x:v>Grey rockcod</x:v>
      </x:c>
      <x:c r="G13" s="24" t="str">
        <x:v>Medium benthopelagics (30 - 89 cm)</x:v>
      </x:c>
      <x:c r="H13" s="24" t="str">
        <x:v>Perch-likes</x:v>
      </x:c>
      <x:c r="I13" s="31" t="n">
        <x:v>0.8534959999999999</x:v>
      </x:c>
      <x:c r="J13" s="31" t="n">
        <x:v>0.8534959999999999</x:v>
      </x:c>
      <x:c r="K13" s="31" t="n">
        <x:v>0</x:v>
      </x:c>
      <x:c r="L13" s="31" t="n">
        <x:v>0.8534959999999999</x:v>
      </x:c>
      <x:c r="M13" s="31" t="n">
        <x:v>0</x:v>
      </x:c>
      <x:c r="N13" s="24" t="str">
        <x:v>lepidonotothen squamifrons</x:v>
      </x:c>
      <x:c r="O13" s="32" t="n">
        <x:v>3.09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Lepidonotothen squamifrons</x:v>
      </x:c>
      <x:c r="T13" s="32" t="n">
        <x:f>IF(O13="","",(1/'Metadata'!$B$5)^(O13-1))</x:f>
        <x:v>123.02687708123811</x:v>
      </x:c>
      <x:c r="U13" s="31" t="n">
        <x:f>IF(T13="","",I13*T13)</x:f>
        <x:v>105.00294748132839</x:v>
      </x:c>
    </x:row>
    <x:row r="14" ht="18" customHeight="1">
      <x:c r="A14" s="24" t="str">
        <x:v>EEZ_239</x:v>
      </x:c>
      <x:c r="B14" s="24" t="str">
        <x:v>South Georgia &amp; Sandwich Isl. (UK)</x:v>
      </x:c>
      <x:c r="C14" s="24" t="str">
        <x:v>EEZ</x:v>
      </x:c>
      <x:c r="D14" s="30" t="n">
        <x:v>2019</x:v>
      </x:c>
      <x:c r="E14" s="24" t="str">
        <x:v>Pseudochaenichthys georgianus</x:v>
      </x:c>
      <x:c r="F14" s="24" t="str">
        <x:v>South Georgia icefish</x:v>
      </x:c>
      <x:c r="G14" s="24" t="str">
        <x:v>Medium demersals (30 - 89 cm)</x:v>
      </x:c>
      <x:c r="H14" s="24" t="str">
        <x:v>Perch-likes</x:v>
      </x:c>
      <x:c r="I14" s="31" t="n">
        <x:v>0.821684</x:v>
      </x:c>
      <x:c r="J14" s="31" t="n">
        <x:v>0.821684</x:v>
      </x:c>
      <x:c r="K14" s="31" t="n">
        <x:v>0</x:v>
      </x:c>
      <x:c r="L14" s="31" t="n">
        <x:v>0.821684</x:v>
      </x:c>
      <x:c r="M14" s="31" t="n">
        <x:v>0</x:v>
      </x:c>
      <x:c r="N14" s="24" t="str">
        <x:v>pseudochaenichthys georgianus</x:v>
      </x:c>
      <x:c r="O14" s="32" t="n">
        <x:v>3.41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Pseudochaenichthys georgianus</x:v>
      </x:c>
      <x:c r="T14" s="32" t="n">
        <x:f>IF(O14="","",(1/'Metadata'!$B$5)^(O14-1))</x:f>
        <x:v>257.03957827688646</x:v>
      </x:c>
      <x:c r="U14" s="31" t="n">
        <x:f>IF(T14="","",I14*T14)</x:f>
        <x:v>211.20530883686516</x:v>
      </x:c>
    </x:row>
    <x:row r="15" ht="18" customHeight="1">
      <x:c r="A15" s="24" t="str">
        <x:v>EEZ_239</x:v>
      </x:c>
      <x:c r="B15" s="24" t="str">
        <x:v>South Georgia &amp; Sandwich Isl. (UK)</x:v>
      </x:c>
      <x:c r="C15" s="24" t="str">
        <x:v>EEZ</x:v>
      </x:c>
      <x:c r="D15" s="30" t="n">
        <x:v>2019</x:v>
      </x:c>
      <x:c r="E15" s="24" t="str">
        <x:v>Nototheniops larseni</x:v>
      </x:c>
      <x:c r="F15" s="24" t="str">
        <x:v>Painted notie</x:v>
      </x:c>
      <x:c r="G15" s="24" t="str">
        <x:v>Small benthopelagics (&lt;30 cm)</x:v>
      </x:c>
      <x:c r="H15" s="24" t="str">
        <x:v>Perch-likes</x:v>
      </x:c>
      <x:c r="I15" s="31" t="n">
        <x:v>0.49072099999999996</x:v>
      </x:c>
      <x:c r="J15" s="31" t="n">
        <x:v>0.49072099999999996</x:v>
      </x:c>
      <x:c r="K15" s="31" t="n">
        <x:v>0</x:v>
      </x:c>
      <x:c r="L15" s="31" t="n">
        <x:v>0.49072099999999996</x:v>
      </x:c>
      <x:c r="M15" s="31" t="n">
        <x:v>0</x:v>
      </x:c>
      <x:c r="N15" s="24" t="str">
        <x:v>nototheniops larseni</x:v>
      </x:c>
      <x:c r="O15" s="32" t="n">
        <x:v>3.33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Nototheniops larseni</x:v>
      </x:c>
      <x:c r="T15" s="32" t="n">
        <x:f>IF(O15="","",(1/'Metadata'!$B$5)^(O15-1))</x:f>
        <x:v>213.79620895022325</x:v>
      </x:c>
      <x:c r="U15" s="31" t="n">
        <x:f>IF(T15="","",I15*T15)</x:f>
        <x:v>104.9142894522625</x:v>
      </x:c>
    </x:row>
    <x:row r="16" ht="18" customHeight="1">
      <x:c r="A16" s="24" t="str">
        <x:v>EEZ_239</x:v>
      </x:c>
      <x:c r="B16" s="24" t="str">
        <x:v>South Georgia &amp; Sandwich Isl. (UK)</x:v>
      </x:c>
      <x:c r="C16" s="24" t="str">
        <x:v>EEZ</x:v>
      </x:c>
      <x:c r="D16" s="30" t="n">
        <x:v>2019</x:v>
      </x:c>
      <x:c r="E16" s="24" t="str">
        <x:v>Marine fishes not identified</x:v>
      </x:c>
      <x:c r="F16" s="24" t="str">
        <x:v>Marine fishes nei</x:v>
      </x:c>
      <x:c r="G16" s="24" t="str">
        <x:v>Medium demersals (30 - 89 cm)</x:v>
      </x:c>
      <x:c r="H16" s="24" t="str">
        <x:v>Other fishes &amp; inverts</x:v>
      </x:c>
      <x:c r="I16" s="31" t="n">
        <x:v>0.24812</x:v>
      </x:c>
      <x:c r="J16" s="31" t="n">
        <x:v>0.24812</x:v>
      </x:c>
      <x:c r="K16" s="31" t="n">
        <x:v>0</x:v>
      </x:c>
      <x:c r="L16" s="31" t="n">
        <x:v>0.24812</x:v>
      </x:c>
      <x:c r="M16" s="31" t="n">
        <x:v>0</x:v>
      </x:c>
      <x:c r="N16" s="24" t="str">
        <x:v>marine fishes not identified</x:v>
      </x:c>
      <x:c r="O16" s="32" t="n">
        <x:v>3.28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fishes not identified</x:v>
      </x:c>
      <x:c r="T16" s="32" t="n">
        <x:f>IF(O16="","",(1/'Metadata'!$B$5)^(O16-1))</x:f>
        <x:v>190.54607179632464</x:v>
      </x:c>
      <x:c r="U16" s="31" t="n">
        <x:f>IF(T16="","",I16*T16)</x:f>
        <x:v>47.27829133410407</x:v>
      </x:c>
    </x:row>
    <x:row r="17" ht="18" customHeight="1">
      <x:c r="A17" s="24" t="str">
        <x:v>EEZ_239</x:v>
      </x:c>
      <x:c r="B17" s="24" t="str">
        <x:v>South Georgia &amp; Sandwich Isl. (UK)</x:v>
      </x:c>
      <x:c r="C17" s="24" t="str">
        <x:v>EEZ</x:v>
      </x:c>
      <x:c r="D17" s="30" t="n">
        <x:v>2019</x:v>
      </x:c>
      <x:c r="E17" s="24" t="str">
        <x:v>Muraenolepis</x:v>
      </x:c>
      <x:c r="F17" s="24" t="str">
        <x:v>Moray cods</x:v>
      </x:c>
      <x:c r="G17" s="24" t="str">
        <x:v>Medium benthopelagics (30 - 89 cm)</x:v>
      </x:c>
      <x:c r="H17" s="24" t="str">
        <x:v>Cod-likes</x:v>
      </x:c>
      <x:c r="I17" s="31" t="n">
        <x:v>0.19365500000000002</x:v>
      </x:c>
      <x:c r="J17" s="31" t="n">
        <x:v>0.19365500000000002</x:v>
      </x:c>
      <x:c r="K17" s="31" t="n">
        <x:v>0</x:v>
      </x:c>
      <x:c r="L17" s="31" t="n">
        <x:v>0.19365500000000002</x:v>
      </x:c>
      <x:c r="M17" s="31" t="n">
        <x:v>0</x:v>
      </x:c>
      <x:c r="N17" s="24" t="str">
        <x:v>muraenolepis</x:v>
      </x:c>
      <x:c r="O17" s="32" t="n">
        <x:v>3.4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Muraenolepis</x:v>
      </x:c>
      <x:c r="T17" s="32" t="n">
        <x:f>IF(O17="","",(1/'Metadata'!$B$5)^(O17-1))</x:f>
        <x:v>251.18864315095797</x:v>
      </x:c>
      <x:c r="U17" s="31" t="n">
        <x:f>IF(T17="","",I17*T17)</x:f>
        <x:v>48.64393668939877</x:v>
      </x:c>
    </x:row>
    <x:row r="18" ht="18" customHeight="1">
      <x:c r="A18" s="24" t="str">
        <x:v>EEZ_239</x:v>
      </x:c>
      <x:c r="B18" s="24" t="str">
        <x:v>South Georgia &amp; Sandwich Isl. (UK)</x:v>
      </x:c>
      <x:c r="C18" s="24" t="str">
        <x:v>EEZ</x:v>
      </x:c>
      <x:c r="D18" s="30" t="n">
        <x:v>2019</x:v>
      </x:c>
      <x:c r="E18" s="24" t="str">
        <x:v>Myctophidae</x:v>
      </x:c>
      <x:c r="F18" s="24" t="str">
        <x:v>Lanternfishes</x:v>
      </x:c>
      <x:c r="G18" s="24" t="str">
        <x:v>Small pelagics (&lt;30 cm)</x:v>
      </x:c>
      <x:c r="H18" s="24" t="str">
        <x:v>Other fishes &amp; inverts</x:v>
      </x:c>
      <x:c r="I18" s="31" t="n">
        <x:v>0.07880000000000001</x:v>
      </x:c>
      <x:c r="J18" s="31" t="n">
        <x:v>0.07880000000000001</x:v>
      </x:c>
      <x:c r="K18" s="31" t="n">
        <x:v>0</x:v>
      </x:c>
      <x:c r="L18" s="31" t="n">
        <x:v>0.07880000000000001</x:v>
      </x:c>
      <x:c r="M18" s="31" t="n">
        <x:v>0</x:v>
      </x:c>
      <x:c r="N18" s="24" t="str">
        <x:v>myctophidae</x:v>
      </x:c>
      <x:c r="O18" s="32" t="n">
        <x:v>3.3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Myctophidae</x:v>
      </x:c>
      <x:c r="T18" s="32" t="n">
        <x:f>IF(O18="","",(1/'Metadata'!$B$5)^(O18-1))</x:f>
        <x:v>199.52623149688787</x:v>
      </x:c>
      <x:c r="U18" s="31" t="n">
        <x:f>IF(T18="","",I18*T18)</x:f>
        <x:v>15.722667041954766</x:v>
      </x:c>
    </x:row>
    <x:row r="19" ht="18" customHeight="1">
      <x:c r="A19" s="24" t="str">
        <x:v>EEZ_239</x:v>
      </x:c>
      <x:c r="B19" s="24" t="str">
        <x:v>South Georgia &amp; Sandwich Isl. (UK)</x:v>
      </x:c>
      <x:c r="C19" s="24" t="str">
        <x:v>EEZ</x:v>
      </x:c>
      <x:c r="D19" s="30" t="n">
        <x:v>2019</x:v>
      </x:c>
      <x:c r="E19" s="24" t="str">
        <x:v>Trematomus hansoni</x:v>
      </x:c>
      <x:c r="F19" s="24" t="str">
        <x:v>Striped rockcod</x:v>
      </x:c>
      <x:c r="G19" s="24" t="str">
        <x:v>Medium demersals (30 - 89 cm)</x:v>
      </x:c>
      <x:c r="H19" s="24" t="str">
        <x:v>Perch-likes</x:v>
      </x:c>
      <x:c r="I19" s="31" t="n">
        <x:v>0.022969</x:v>
      </x:c>
      <x:c r="J19" s="31" t="n">
        <x:v>0.022969</x:v>
      </x:c>
      <x:c r="K19" s="31" t="n">
        <x:v>0</x:v>
      </x:c>
      <x:c r="L19" s="31" t="n">
        <x:v>0.022969</x:v>
      </x:c>
      <x:c r="M19" s="31" t="n">
        <x:v>0</x:v>
      </x:c>
      <x:c r="N19" s="24" t="str">
        <x:v>trematomus hansoni</x:v>
      </x:c>
      <x:c r="O19" s="32" t="n">
        <x:v>3.8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Trematomus hansoni</x:v>
      </x:c>
      <x:c r="T19" s="32" t="n">
        <x:f>IF(O19="","",(1/'Metadata'!$B$5)^(O19-1))</x:f>
        <x:v>630.957344480193</x:v>
      </x:c>
      <x:c r="U19" s="31" t="n">
        <x:f>IF(T19="","",I19*T19)</x:f>
        <x:v>14.492459245365552</x:v>
      </x:c>
    </x:row>
    <x:row r="20" ht="18" customHeight="1">
      <x:c r="A20" s="24" t="str">
        <x:v>EEZ_239</x:v>
      </x:c>
      <x:c r="B20" s="24" t="str">
        <x:v>South Georgia &amp; Sandwich Isl. (UK)</x:v>
      </x:c>
      <x:c r="C20" s="24" t="str">
        <x:v>EEZ</x:v>
      </x:c>
      <x:c r="D20" s="30" t="n">
        <x:v>2019</x:v>
      </x:c>
      <x:c r="E20" s="24" t="str">
        <x:v>Paralomis spinosissima</x:v>
      </x:c>
      <x:c r="F20" s="24" t="str">
        <x:v>Antarctic stone crab</x:v>
      </x:c>
      <x:c r="G20" s="24" t="str">
        <x:v>Lobsters, crabs</x:v>
      </x:c>
      <x:c r="H20" s="24" t="str">
        <x:v>Crustaceans</x:v>
      </x:c>
      <x:c r="I20" s="31" t="n">
        <x:v>0.018522999999999998</x:v>
      </x:c>
      <x:c r="J20" s="31" t="n">
        <x:v>0.018522999999999998</x:v>
      </x:c>
      <x:c r="K20" s="31" t="n">
        <x:v>0</x:v>
      </x:c>
      <x:c r="L20" s="31" t="n">
        <x:v>0.018522999999999998</x:v>
      </x:c>
      <x:c r="M20" s="31" t="n">
        <x:v>0</x:v>
      </x:c>
      <x:c r="N20" s="24" t="str">
        <x:v>paralomis spinosissima</x:v>
      </x:c>
      <x:c r="O20" s="32" t="n">
        <x:v>2.3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Paralomis spinosissima</x:v>
      </x:c>
      <x:c r="T20" s="32" t="n">
        <x:f>IF(O20="","",(1/'Metadata'!$B$5)^(O20-1))</x:f>
        <x:v>19.952623149688787</x:v>
      </x:c>
      <x:c r="U20" s="31" t="n">
        <x:f>IF(T20="","",I20*T20)</x:f>
        <x:v>0.3695824386016853</x:v>
      </x:c>
    </x:row>
    <x:row r="21" ht="18" customHeight="1">
      <x:c r="A21" s="24" t="str">
        <x:v>EEZ_239</x:v>
      </x:c>
      <x:c r="B21" s="24" t="str">
        <x:v>South Georgia &amp; Sandwich Isl. (UK)</x:v>
      </x:c>
      <x:c r="C21" s="24" t="str">
        <x:v>EEZ</x:v>
      </x:c>
      <x:c r="D21" s="30" t="n">
        <x:v>2019</x:v>
      </x:c>
      <x:c r="E21" s="24" t="str">
        <x:v>Muraenolepis microps</x:v>
      </x:c>
      <x:c r="F21" s="24" t="str">
        <x:v>Smalleye moray cod</x:v>
      </x:c>
      <x:c r="G21" s="24" t="str">
        <x:v>Medium pelagics (30 - 89 cm)</x:v>
      </x:c>
      <x:c r="H21" s="24" t="str">
        <x:v>Cod-likes</x:v>
      </x:c>
      <x:c r="I21" s="31" t="n">
        <x:v>0.0182789999</x:v>
      </x:c>
      <x:c r="J21" s="31" t="n">
        <x:v>0.0182789999</x:v>
      </x:c>
      <x:c r="K21" s="31" t="n">
        <x:v>0</x:v>
      </x:c>
      <x:c r="L21" s="31" t="n">
        <x:v>0.0182789999</x:v>
      </x:c>
      <x:c r="M21" s="31" t="n">
        <x:v>0</x:v>
      </x:c>
      <x:c r="N21" s="24" t="str">
        <x:v>muraenolepis microps</x:v>
      </x:c>
      <x:c r="O21" s="32" t="n">
        <x:v>3.4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Muraenolepis microps</x:v>
      </x:c>
      <x:c r="T21" s="32" t="n">
        <x:f>IF(O21="","",(1/'Metadata'!$B$5)^(O21-1))</x:f>
        <x:v>251.18864315095797</x:v>
      </x:c>
      <x:c r="U21" s="31" t="n">
        <x:f>IF(T21="","",I21*T21)</x:f>
        <x:v>4.5914771830374965</x:v>
      </x:c>
    </x:row>
    <x:row r="22" ht="18" customHeight="1">
      <x:c r="A22" s="24" t="str">
        <x:v>EEZ_239</x:v>
      </x:c>
      <x:c r="B22" s="24" t="str">
        <x:v>South Georgia &amp; Sandwich Isl. (UK)</x:v>
      </x:c>
      <x:c r="C22" s="24" t="str">
        <x:v>EEZ</x:v>
      </x:c>
      <x:c r="D22" s="30" t="n">
        <x:v>2019</x:v>
      </x:c>
      <x:c r="E22" s="24" t="str">
        <x:v>Malacostraca</x:v>
      </x:c>
      <x:c r="F22" s="24" t="str">
        <x:v>Lobsters, crabs, shrimps, krill</x:v>
      </x:c>
      <x:c r="G22" s="24" t="str">
        <x:v>Shrimps</x:v>
      </x:c>
      <x:c r="H22" s="24" t="str">
        <x:v>Crustaceans</x:v>
      </x:c>
      <x:c r="I22" s="31" t="n">
        <x:v>0.01604</x:v>
      </x:c>
      <x:c r="J22" s="31" t="n">
        <x:v>0.01604</x:v>
      </x:c>
      <x:c r="K22" s="31" t="n">
        <x:v>0</x:v>
      </x:c>
      <x:c r="L22" s="31" t="n">
        <x:v>0.01604</x:v>
      </x:c>
      <x:c r="M22" s="31" t="n">
        <x:v>0</x:v>
      </x:c>
      <x:c r="N22" s="24" t="str">
        <x:v>malacostraca</x:v>
      </x:c>
      <x:c r="O22" s="32" t="n">
        <x:v>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Malacostraca</x:v>
      </x:c>
      <x:c r="T22" s="32" t="n">
        <x:f>IF(O22="","",(1/'Metadata'!$B$5)^(O22-1))</x:f>
        <x:v>100</x:v>
      </x:c>
      <x:c r="U22" s="31" t="n">
        <x:f>IF(T22="","",I22*T22)</x:f>
        <x:v>1.6039999999999999</x:v>
      </x:c>
    </x:row>
    <x:row r="23" ht="18" customHeight="1">
      <x:c r="A23" s="24" t="str">
        <x:v>EEZ_239</x:v>
      </x:c>
      <x:c r="B23" s="24" t="str">
        <x:v>South Georgia &amp; Sandwich Isl. (UK)</x:v>
      </x:c>
      <x:c r="C23" s="24" t="str">
        <x:v>EEZ</x:v>
      </x:c>
      <x:c r="D23" s="30" t="n">
        <x:v>2019</x:v>
      </x:c>
      <x:c r="E23" s="24" t="str">
        <x:v>Protomyctophum choriodon</x:v>
      </x:c>
      <x:c r="F23" s="24" t="str">
        <x:v>Gaptooth lanternfish</x:v>
      </x:c>
      <x:c r="G23" s="24" t="str">
        <x:v>Large reef assoc. fish (&gt;=90 cm)</x:v>
      </x:c>
      <x:c r="H23" s="24" t="str">
        <x:v>Other fishes &amp; inverts</x:v>
      </x:c>
      <x:c r="I23" s="31" t="n">
        <x:v>0.01085</x:v>
      </x:c>
      <x:c r="J23" s="31" t="n">
        <x:v>0.01085</x:v>
      </x:c>
      <x:c r="K23" s="31" t="n">
        <x:v>0</x:v>
      </x:c>
      <x:c r="L23" s="31" t="n">
        <x:v>0.01085</x:v>
      </x:c>
      <x:c r="M23" s="31" t="n">
        <x:v>0</x:v>
      </x:c>
      <x:c r="N23" s="24" t="str">
        <x:v>protomyctophum choriodon</x:v>
      </x:c>
      <x:c r="O23" s="32" t="n">
        <x:v>4.2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Protomyctophum choriodon</x:v>
      </x:c>
      <x:c r="T23" s="32" t="n">
        <x:f>IF(O23="","",(1/'Metadata'!$B$5)^(O23-1))</x:f>
        <x:v>1584.893192461114</x:v>
      </x:c>
      <x:c r="U23" s="31" t="n">
        <x:f>IF(T23="","",I23*T23)</x:f>
        <x:v>17.196091138203087</x:v>
      </x:c>
    </x:row>
    <x:row r="24" ht="18" customHeight="1">
      <x:c r="A24" s="24" t="str">
        <x:v>EEZ_239</x:v>
      </x:c>
      <x:c r="B24" s="24" t="str">
        <x:v>South Georgia &amp; Sandwich Isl. (UK)</x:v>
      </x:c>
      <x:c r="C24" s="24" t="str">
        <x:v>EEZ</x:v>
      </x:c>
      <x:c r="D24" s="30" t="n">
        <x:v>2019</x:v>
      </x:c>
      <x:c r="E24" s="24" t="str">
        <x:v>Channichthyidae</x:v>
      </x:c>
      <x:c r="F24" s="24" t="str">
        <x:v>Crocodile icefishes</x:v>
      </x:c>
      <x:c r="G24" s="24" t="str">
        <x:v>Medium demersals (30 - 89 cm)</x:v>
      </x:c>
      <x:c r="H24" s="24" t="str">
        <x:v>Perch-likes</x:v>
      </x:c>
      <x:c r="I24" s="31" t="n">
        <x:v>0.009671</x:v>
      </x:c>
      <x:c r="J24" s="31" t="n">
        <x:v>0.009671</x:v>
      </x:c>
      <x:c r="K24" s="31" t="n">
        <x:v>0</x:v>
      </x:c>
      <x:c r="L24" s="31" t="n">
        <x:v>0.009671</x:v>
      </x:c>
      <x:c r="M24" s="31" t="n">
        <x:v>0</x:v>
      </x:c>
      <x:c r="N24" s="24" t="str">
        <x:v>channichthyidae</x:v>
      </x:c>
      <x:c r="O24" s="32" t="n">
        <x:v>3.34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Channichthyidae</x:v>
      </x:c>
      <x:c r="T24" s="32" t="n">
        <x:f>IF(O24="","",(1/'Metadata'!$B$5)^(O24-1))</x:f>
        <x:v>218.77616239495518</x:v>
      </x:c>
      <x:c r="U24" s="31" t="n">
        <x:f>IF(T24="","",I24*T24)</x:f>
        <x:v>2.1157842665216116</x:v>
      </x:c>
    </x:row>
    <x:row r="25" ht="18" customHeight="1">
      <x:c r="A25" s="24" t="str">
        <x:v>EEZ_239</x:v>
      </x:c>
      <x:c r="B25" s="24" t="str">
        <x:v>South Georgia &amp; Sandwich Isl. (UK)</x:v>
      </x:c>
      <x:c r="C25" s="24" t="str">
        <x:v>EEZ</x:v>
      </x:c>
      <x:c r="D25" s="30" t="n">
        <x:v>2019</x:v>
      </x:c>
      <x:c r="E25" s="24" t="str">
        <x:v>Bathydraconidae</x:v>
      </x:c>
      <x:c r="F25" s="24" t="str">
        <x:v>Antarctic dragonfishes</x:v>
      </x:c>
      <x:c r="G25" s="24" t="str">
        <x:v>Medium demersals (30 - 89 cm)</x:v>
      </x:c>
      <x:c r="H25" s="24" t="str">
        <x:v>Perch-likes</x:v>
      </x:c>
      <x:c r="I25" s="31" t="n">
        <x:v>0.0071990000000000005</x:v>
      </x:c>
      <x:c r="J25" s="31" t="n">
        <x:v>0.0071990000000000005</x:v>
      </x:c>
      <x:c r="K25" s="31" t="n">
        <x:v>0</x:v>
      </x:c>
      <x:c r="L25" s="31" t="n">
        <x:v>0.0071990000000000005</x:v>
      </x:c>
      <x:c r="M25" s="31" t="n">
        <x:v>0</x:v>
      </x:c>
      <x:c r="N25" s="24" t="str">
        <x:v>bathydraconidae</x:v>
      </x:c>
      <x:c r="O25" s="32" t="n">
        <x:v>3.63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Bathydraconidae</x:v>
      </x:c>
      <x:c r="T25" s="32" t="n">
        <x:f>IF(O25="","",(1/'Metadata'!$B$5)^(O25-1))</x:f>
        <x:v>426.57951880159254</x:v>
      </x:c>
      <x:c r="U25" s="31" t="n">
        <x:f>IF(T25="","",I25*T25)</x:f>
        <x:v>3.070945955852665</x:v>
      </x:c>
    </x:row>
    <x:row r="26" ht="18" customHeight="1">
      <x:c r="A26" s="24" t="str">
        <x:v>EEZ_239</x:v>
      </x:c>
      <x:c r="B26" s="24" t="str">
        <x:v>South Georgia &amp; Sandwich Isl. (UK)</x:v>
      </x:c>
      <x:c r="C26" s="24" t="str">
        <x:v>EEZ</x:v>
      </x:c>
      <x:c r="D26" s="30" t="n">
        <x:v>2019</x:v>
      </x:c>
      <x:c r="E26" s="24" t="str">
        <x:v>Mancopsetta maculata</x:v>
      </x:c>
      <x:c r="F26" s="24" t="str">
        <x:v>Antarctic armless flounder</x:v>
      </x:c>
      <x:c r="G26" s="24" t="str">
        <x:v>Small to medium flatfishes (&lt;90 cm)</x:v>
      </x:c>
      <x:c r="H26" s="24" t="str">
        <x:v>Flatfishes</x:v>
      </x:c>
      <x:c r="I26" s="31" t="n">
        <x:v>0.006339999999999999</x:v>
      </x:c>
      <x:c r="J26" s="31" t="n">
        <x:v>0.006339999999999999</x:v>
      </x:c>
      <x:c r="K26" s="31" t="n">
        <x:v>0</x:v>
      </x:c>
      <x:c r="L26" s="31" t="n">
        <x:v>0.006339999999999999</x:v>
      </x:c>
      <x:c r="M26" s="31" t="n">
        <x:v>0</x:v>
      </x:c>
      <x:c r="N26" s="24" t="str">
        <x:v>mancopsetta maculata</x:v>
      </x:c>
      <x:c r="O26" s="32" t="n">
        <x:v>3.66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Mancopsetta maculata</x:v>
      </x:c>
      <x:c r="T26" s="32" t="n">
        <x:f>IF(O26="","",(1/'Metadata'!$B$5)^(O26-1))</x:f>
        <x:v>457.0881896148752</x:v>
      </x:c>
      <x:c r="U26" s="31" t="n">
        <x:f>IF(T26="","",I26*T26)</x:f>
        <x:v>2.8979391221583084</x:v>
      </x:c>
    </x:row>
    <x:row r="27" ht="18" customHeight="1">
      <x:c r="A27" s="24" t="str">
        <x:v>EEZ_239</x:v>
      </x:c>
      <x:c r="B27" s="24" t="str">
        <x:v>South Georgia &amp; Sandwich Isl. (UK)</x:v>
      </x:c>
      <x:c r="C27" s="24" t="str">
        <x:v>EEZ</x:v>
      </x:c>
      <x:c r="D27" s="30" t="n">
        <x:v>2019</x:v>
      </x:c>
      <x:c r="E27" s="24" t="str">
        <x:v>Moridae</x:v>
      </x:c>
      <x:c r="F27" s="24" t="str">
        <x:v>Codlings, moras</x:v>
      </x:c>
      <x:c r="G27" s="24" t="str">
        <x:v>Medium benthopelagics (30 - 89 cm)</x:v>
      </x:c>
      <x:c r="H27" s="24" t="str">
        <x:v>Cod-likes</x:v>
      </x:c>
      <x:c r="I27" s="31" t="n">
        <x:v>0.0014</x:v>
      </x:c>
      <x:c r="J27" s="31" t="n">
        <x:v>0.0014</x:v>
      </x:c>
      <x:c r="K27" s="31" t="n">
        <x:v>0</x:v>
      </x:c>
      <x:c r="L27" s="31" t="n">
        <x:v>0.0014</x:v>
      </x:c>
      <x:c r="M27" s="31" t="n">
        <x:v>0</x:v>
      </x:c>
      <x:c r="N27" s="24" t="str">
        <x:v>moridae</x:v>
      </x:c>
      <x:c r="O27" s="32" t="n">
        <x:v>3.87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Moridae</x:v>
      </x:c>
      <x:c r="T27" s="32" t="n">
        <x:f>IF(O27="","",(1/'Metadata'!$B$5)^(O27-1))</x:f>
        <x:v>741.3102413009177</x:v>
      </x:c>
      <x:c r="U27" s="31" t="n">
        <x:f>IF(T27="","",I27*T27)</x:f>
        <x:v>1.0378343378212849</x:v>
      </x:c>
    </x:row>
    <x:row r="28" ht="18" customHeight="1">
      <x:c r="A28" s="24" t="str">
        <x:v>EEZ_239</x:v>
      </x:c>
      <x:c r="B28" s="24" t="str">
        <x:v>South Georgia &amp; Sandwich Isl. (UK)</x:v>
      </x:c>
      <x:c r="C28" s="24" t="str">
        <x:v>EEZ</x:v>
      </x:c>
      <x:c r="D28" s="30" t="n">
        <x:v>2019</x:v>
      </x:c>
      <x:c r="E28" s="24" t="str">
        <x:v>Gymnoscopelus bolini</x:v>
      </x:c>
      <x:c r="F28" s="24" t="str">
        <x:v>Grand lanternfish</x:v>
      </x:c>
      <x:c r="G28" s="24" t="str">
        <x:v>Small bathypelagics (&lt;30 cm)</x:v>
      </x:c>
      <x:c r="H28" s="24" t="str">
        <x:v>Other fishes &amp; inverts</x:v>
      </x:c>
      <x:c r="I28" s="31" t="n">
        <x:v>0.000984</x:v>
      </x:c>
      <x:c r="J28" s="31" t="n">
        <x:v>0.000984</x:v>
      </x:c>
      <x:c r="K28" s="31" t="n">
        <x:v>0</x:v>
      </x:c>
      <x:c r="L28" s="31" t="n">
        <x:v>0.000984</x:v>
      </x:c>
      <x:c r="M28" s="31" t="n">
        <x:v>0</x:v>
      </x:c>
      <x:c r="N28" s="24" t="str">
        <x:v>gymnoscopelus bolini</x:v>
      </x:c>
      <x:c r="O28" s="32" t="n">
        <x:v>3.29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Gymnoscopelus bolini</x:v>
      </x:c>
      <x:c r="T28" s="32" t="n">
        <x:f>IF(O28="","",(1/'Metadata'!$B$5)^(O28-1))</x:f>
        <x:v>194.98445997580455</x:v>
      </x:c>
      <x:c r="U28" s="31" t="n">
        <x:f>IF(T28="","",I28*T28)</x:f>
        <x:v>0.1918647086161917</x:v>
      </x:c>
    </x:row>
    <x:row r="29" ht="18" customHeight="1">
      <x:c r="A29" s="24" t="str">
        <x:v>EEZ_239</x:v>
      </x:c>
      <x:c r="B29" s="24" t="str">
        <x:v>South Georgia &amp; Sandwich Isl. (UK)</x:v>
      </x:c>
      <x:c r="C29" s="24" t="str">
        <x:v>EEZ</x:v>
      </x:c>
      <x:c r="D29" s="30" t="n">
        <x:v>2019</x:v>
      </x:c>
      <x:c r="E29" s="24" t="str">
        <x:v>Perciformes</x:v>
      </x:c>
      <x:c r="F29" s="24" t="str">
        <x:v>Perch-likes</x:v>
      </x:c>
      <x:c r="G29" s="24" t="str">
        <x:v>Medium demersals (30 - 89 cm)</x:v>
      </x:c>
      <x:c r="H29" s="24" t="str">
        <x:v>Perch-likes</x:v>
      </x:c>
      <x:c r="I29" s="31" t="n">
        <x:v>0.00052</x:v>
      </x:c>
      <x:c r="J29" s="31" t="n">
        <x:v>0.00052</x:v>
      </x:c>
      <x:c r="K29" s="31" t="n">
        <x:v>0</x:v>
      </x:c>
      <x:c r="L29" s="31" t="n">
        <x:v>0.00052</x:v>
      </x:c>
      <x:c r="M29" s="31" t="n">
        <x:v>0</x:v>
      </x:c>
      <x:c r="N29" s="24" t="str">
        <x:v>perciformes</x:v>
      </x:c>
      <x:c r="O29" s="32" t="n">
        <x:v>3.53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Perciformes</x:v>
      </x:c>
      <x:c r="T29" s="32" t="n">
        <x:f>IF(O29="","",(1/'Metadata'!$B$5)^(O29-1))</x:f>
        <x:v>338.84415613920237</x:v>
      </x:c>
      <x:c r="U29" s="31" t="n">
        <x:f>IF(T29="","",I29*T29)</x:f>
        <x:v>0.1761989611923852</x:v>
      </x:c>
    </x:row>
    <x:row r="30" ht="18" customHeight="1">
      <x:c r="A30" s="24" t="str">
        <x:v>EEZ_239</x:v>
      </x:c>
      <x:c r="B30" s="24" t="str">
        <x:v>South Georgia &amp; Sandwich Isl. (UK)</x:v>
      </x:c>
      <x:c r="C30" s="24" t="str">
        <x:v>EEZ</x:v>
      </x:c>
      <x:c r="D30" s="30" t="n">
        <x:v>2019</x:v>
      </x:c>
      <x:c r="E30" s="24" t="str">
        <x:v>Nototheniidae</x:v>
      </x:c>
      <x:c r="F30" s="24" t="str">
        <x:v>Cod icefishes</x:v>
      </x:c>
      <x:c r="G30" s="24" t="str">
        <x:v>Large bathydemersals (&gt;=90 cm)</x:v>
      </x:c>
      <x:c r="H30" s="24" t="str">
        <x:v>Perch-likes</x:v>
      </x:c>
      <x:c r="I30" s="31" t="n">
        <x:v>0.0002</x:v>
      </x:c>
      <x:c r="J30" s="31" t="n">
        <x:v>0.0002</x:v>
      </x:c>
      <x:c r="K30" s="31" t="n">
        <x:v>0</x:v>
      </x:c>
      <x:c r="L30" s="31" t="n">
        <x:v>0.0002</x:v>
      </x:c>
      <x:c r="M30" s="31" t="n">
        <x:v>0</x:v>
      </x:c>
      <x:c r="N30" s="24" t="str">
        <x:v>nototheniidae</x:v>
      </x:c>
      <x:c r="O30" s="32" t="n">
        <x:v>3.43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Nototheniidae</x:v>
      </x:c>
      <x:c r="T30" s="32" t="n">
        <x:f>IF(O30="","",(1/'Metadata'!$B$5)^(O30-1))</x:f>
        <x:v>269.1534803926917</x:v>
      </x:c>
      <x:c r="U30" s="31" t="n">
        <x:f>IF(T30="","",I30*T30)</x:f>
        <x:v>0.05383069607853834</x:v>
      </x:c>
    </x:row>
    <x:row r="31" ht="18" customHeight="1">
      <x:c r="A31" s="24" t="str">
        <x:v>EEZ_239</x:v>
      </x:c>
      <x:c r="B31" s="24" t="str">
        <x:v>South Georgia &amp; Sandwich Isl. (UK)</x:v>
      </x:c>
      <x:c r="C31" s="24" t="str">
        <x:v>EEZ</x:v>
      </x:c>
      <x:c r="D31" s="30" t="n">
        <x:v>2019</x:v>
      </x:c>
      <x:c r="E31" s="24" t="str">
        <x:v>Cephalopoda</x:v>
      </x:c>
      <x:c r="F31" s="24" t="str">
        <x:v>Squids, cuttlefishes, octopuses</x:v>
      </x:c>
      <x:c r="G31" s="24" t="str">
        <x:v>Cephalopods</x:v>
      </x:c>
      <x:c r="H31" s="24" t="str">
        <x:v>Other fishes &amp; inverts</x:v>
      </x:c>
      <x:c r="I31" s="31" t="n">
        <x:v>0.00018800000000000002</x:v>
      </x:c>
      <x:c r="J31" s="31" t="n">
        <x:v>0.00018800000000000002</x:v>
      </x:c>
      <x:c r="K31" s="31" t="n">
        <x:v>0</x:v>
      </x:c>
      <x:c r="L31" s="31" t="n">
        <x:v>0.00018800000000000002</x:v>
      </x:c>
      <x:c r="M31" s="31" t="n">
        <x:v>0</x:v>
      </x:c>
      <x:c r="N31" s="24" t="str">
        <x:v>cephalopoda</x:v>
      </x:c>
      <x:c r="O31" s="32" t="n">
        <x:v>3.81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Cephalopoda</x:v>
      </x:c>
      <x:c r="T31" s="32" t="n">
        <x:f>IF(O31="","",(1/'Metadata'!$B$5)^(O31-1))</x:f>
        <x:v>645.6542290346556</x:v>
      </x:c>
      <x:c r="U31" s="31" t="n">
        <x:f>IF(T31="","",I31*T31)</x:f>
        <x:v>0.12138299505851527</x:v>
      </x:c>
    </x:row>
    <x:row r="32" ht="18" customHeight="1">
      <x:c r="A32" s="24" t="str">
        <x:v>EEZ_239</x:v>
      </x:c>
      <x:c r="B32" s="24" t="str">
        <x:v>South Georgia &amp; Sandwich Isl. (UK)</x:v>
      </x:c>
      <x:c r="C32" s="24" t="str">
        <x:v>EEZ</x:v>
      </x:c>
      <x:c r="D32" s="30" t="n">
        <x:v>2019</x:v>
      </x:c>
      <x:c r="E32" s="24" t="str">
        <x:v>Miscellaneous aquatic invertebrates</x:v>
      </x:c>
      <x:c r="F32" s="24" t="str">
        <x:v>Aquatic invertebrates</x:v>
      </x:c>
      <x:c r="G32" s="24" t="str">
        <x:v>Other demersal invertebrates</x:v>
      </x:c>
      <x:c r="H32" s="24" t="str">
        <x:v>Other fishes &amp; inverts</x:v>
      </x:c>
      <x:c r="I32" s="31" t="n">
        <x:v>0.00015000000000000001</x:v>
      </x:c>
      <x:c r="J32" s="31" t="n">
        <x:v>0.00015000000000000001</x:v>
      </x:c>
      <x:c r="K32" s="31" t="n">
        <x:v>0</x:v>
      </x:c>
      <x:c r="L32" s="31" t="n">
        <x:v>0.00015000000000000001</x:v>
      </x:c>
      <x:c r="M32" s="31" t="n">
        <x:v>0</x:v>
      </x:c>
      <x:c r="N32" s="24" t="str">
        <x:v>miscellaneous aquatic invertebrates</x:v>
      </x:c>
      <x:c r="O32" s="32" t="n">
        <x:v>2.43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Miscellaneous aquatic invertebrates</x:v>
      </x:c>
      <x:c r="T32" s="32" t="n">
        <x:f>IF(O32="","",(1/'Metadata'!$B$5)^(O32-1))</x:f>
        <x:v>26.915348039269166</x:v>
      </x:c>
      <x:c r="U32" s="31" t="n">
        <x:f>IF(T32="","",I32*T32)</x:f>
        <x:v>0.0040373022058903755</x:v>
      </x:c>
    </x:row>
    <x:row r="33" ht="18" customHeight="1">
      <x:c r="A33" s="24" t="str">
        <x:v>EEZ_239</x:v>
      </x:c>
      <x:c r="B33" s="24" t="str">
        <x:v>South Georgia &amp; Sandwich Isl. (UK)</x:v>
      </x:c>
      <x:c r="C33" s="24" t="str">
        <x:v>EEZ</x:v>
      </x:c>
      <x:c r="D33" s="30" t="n">
        <x:v>2019</x:v>
      </x:c>
      <x:c r="E33" s="24" t="str">
        <x:v>Notolepis</x:v>
      </x:c>
      <x:c r="F33" s="24" t="str">
        <x:v>Barracudinas</x:v>
      </x:c>
      <x:c r="G33" s="24" t="str">
        <x:v>Large reef assoc. fish (&gt;=90 cm)</x:v>
      </x:c>
      <x:c r="H33" s="24" t="str">
        <x:v>Other fishes &amp; inverts</x:v>
      </x:c>
      <x:c r="I33" s="31" t="n">
        <x:v>0.000054999999999999995</x:v>
      </x:c>
      <x:c r="J33" s="31" t="n">
        <x:v>0.000054999999999999995</x:v>
      </x:c>
      <x:c r="K33" s="31" t="n">
        <x:v>0</x:v>
      </x:c>
      <x:c r="L33" s="31" t="n">
        <x:v>0.000054999999999999995</x:v>
      </x:c>
      <x:c r="M33" s="31" t="n">
        <x:v>0</x:v>
      </x:c>
      <x:c r="N33" s="24" t="str">
        <x:v>notolepis</x:v>
      </x:c>
      <x:c r="O33" s="32" t="n">
        <x:v>3.52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Notolepis</x:v>
      </x:c>
      <x:c r="T33" s="32" t="n">
        <x:f>IF(O33="","",(1/'Metadata'!$B$5)^(O33-1))</x:f>
        <x:v>331.1311214825911</x:v>
      </x:c>
      <x:c r="U33" s="31" t="n">
        <x:f>IF(T33="","",I33*T33)</x:f>
        <x:v>0.01821221168154251</x:v>
      </x:c>
    </x:row>
    <x:row r="34" ht="18" customHeight="1">
      <x:c r="A34" s="24" t="str">
        <x:v>EEZ_239</x:v>
      </x:c>
      <x:c r="B34" s="24" t="str">
        <x:v>South Georgia &amp; Sandwich Isl. (UK)</x:v>
      </x:c>
      <x:c r="C34" s="24" t="str">
        <x:v>EEZ</x:v>
      </x:c>
      <x:c r="D34" s="30" t="n">
        <x:v>2019</x:v>
      </x:c>
      <x:c r="E34" s="24" t="str">
        <x:v>Electrona carlsbergi</x:v>
      </x:c>
      <x:c r="F34" s="24" t="str">
        <x:v>Electron subantarctic</x:v>
      </x:c>
      <x:c r="G34" s="24" t="str">
        <x:v>Small bathypelagics (&lt;30 cm)</x:v>
      </x:c>
      <x:c r="H34" s="24" t="str">
        <x:v>Other fishes &amp; inverts</x:v>
      </x:c>
      <x:c r="I34" s="31" t="n">
        <x:v>0.000026</x:v>
      </x:c>
      <x:c r="J34" s="31" t="n">
        <x:v>0.000026</x:v>
      </x:c>
      <x:c r="K34" s="31" t="n">
        <x:v>0</x:v>
      </x:c>
      <x:c r="L34" s="31" t="n">
        <x:v>0.000026</x:v>
      </x:c>
      <x:c r="M34" s="31" t="n">
        <x:v>0</x:v>
      </x:c>
      <x:c r="N34" s="24" t="str">
        <x:v>electrona carlsbergi</x:v>
      </x:c>
      <x:c r="O34" s="32" t="n">
        <x:v>3.24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Electrona carlsbergi</x:v>
      </x:c>
      <x:c r="T34" s="32" t="n">
        <x:f>IF(O34="","",(1/'Metadata'!$B$5)^(O34-1))</x:f>
        <x:v>173.78008287493762</x:v>
      </x:c>
      <x:c r="U34" s="31" t="n">
        <x:f>IF(T34="","",I34*T34)</x:f>
        <x:v>0.0045182821547483775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57f47f2181a46c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153.92195999989997</x:v>
      </x:c>
      <x:c r="C2" s="32" t="n">
        <x:v>3.5797547970414225</x:v>
      </x:c>
      <x:c r="D2" s="32" t="n">
        <x:f>IF(C2="","",(1/'Metadata'!$B$5)^(C2-1))</x:f>
        <x:v>379.9748017157727</x:v>
      </x:c>
      <x:c r="E2" s="31" t="n">
        <x:f>IF(B2=0,"",B2*D2)</x:f>
        <x:v>58486.466230665086</x:v>
      </x:c>
    </x:row>
    <x:row r="3" ht="18" customHeight="1">
      <x:c r="A3" s="24" t="str">
        <x:v>Crustaceans</x:v>
      </x:c>
      <x:c r="B3" s="31" t="n">
        <x:v>140433.5621519943</x:v>
      </x:c>
      <x:c r="C3" s="32" t="n">
        <x:v>2.2500000922582166</x:v>
      </x:c>
      <x:c r="D3" s="32" t="n">
        <x:f>IF(C3="","",(1/'Metadata'!$B$5)^(C3-1))</x:f>
        <x:v>17.782797878031158</x:v>
      </x:c>
      <x:c r="E3" s="31" t="n">
        <x:f>IF(B3=0,"",B3*D3)</x:f>
        <x:v>2497301.651040841</x:v>
      </x:c>
    </x:row>
    <x:row r="4" ht="18" customHeight="1">
      <x:c r="A4" s="24" t="str">
        <x:v>Flatfishes</x:v>
      </x:c>
      <x:c r="B4" s="31" t="n">
        <x:v>0.006339999999999999</x:v>
      </x:c>
      <x:c r="C4" s="32" t="n">
        <x:v>3.6599999999999997</x:v>
      </x:c>
      <x:c r="D4" s="32" t="n">
        <x:f>IF(C4="","",(1/'Metadata'!$B$5)^(C4-1))</x:f>
        <x:v>457.0881896148747</x:v>
      </x:c>
      <x:c r="E4" s="31" t="n">
        <x:f>IF(B4=0,"",B4*D4)</x:f>
        <x:v>2.8979391221583053</x:v>
      </x:c>
    </x:row>
    <x:row r="5" ht="18" customHeight="1">
      <x:c r="A5" s="24" t="str">
        <x:v>Other fishes &amp; inverts</x:v>
      </x:c>
      <x:c r="B5" s="31" t="n">
        <x:v>0.339173</x:v>
      </x:c>
      <x:c r="C5" s="32" t="n">
        <x:v>3.314059727631622</x:v>
      </x:c>
      <x:c r="D5" s="32" t="n">
        <x:f>IF(C5="","",(1/'Metadata'!$B$5)^(C5-1))</x:f>
        <x:v>206.0913326974568</x:v>
      </x:c>
      <x:c r="E5" s="31" t="n">
        <x:f>IF(B5=0,"",B5*D5)</x:f>
        <x:v>69.90061558499451</x:v>
      </x:c>
    </x:row>
    <x:row r="6" ht="18" customHeight="1">
      <x:c r="A6" s="24" t="str">
        <x:v>Perch-likes</x:v>
      </x:c>
      <x:c r="B6" s="31" t="n">
        <x:v>2232.1181610000003</x:v>
      </x:c>
      <x:c r="C6" s="32" t="n">
        <x:v>3.9615930742700485</x:v>
      </x:c>
      <x:c r="D6" s="32" t="n">
        <x:f>IF(C6="","",(1/'Metadata'!$B$5)^(C6-1))</x:f>
        <x:v>915.3624108860344</x:v>
      </x:c>
      <x:c r="E6" s="31" t="n">
        <x:f>IF(B6=0,"",B6*D6)</x:f>
        <x:v>2043197.0612354616</x:v>
      </x:c>
    </x:row>
    <x:row r="7" ht="18" customHeight="1">
      <x:c r="A7" s="24" t="str">
        <x:v>Sharks &amp; rays</x:v>
      </x:c>
      <x:c r="B7" s="31" t="n">
        <x:v>4.0106201935</x:v>
      </x:c>
      <x:c r="C7" s="32" t="n">
        <x:v>3.61</x:v>
      </x:c>
      <x:c r="D7" s="32" t="n">
        <x:f>IF(C7="","",(1/'Metadata'!$B$5)^(C7-1))</x:f>
        <x:v>407.3802778041126</x:v>
      </x:c>
      <x:c r="E7" s="31" t="n">
        <x:f>IF(B7=0,"",B7*D7)</x:f>
        <x:v>1633.847568594814</x:v>
      </x:c>
    </x:row>
  </x:sheetData>
  <x:pageMargins left="0.7" right="0.7" top="0.75" bottom="0.75" header="0.3" footer="0.3"/>
  <x:tableParts count="1">
    <x:tablePart xmlns:r="http://schemas.openxmlformats.org/officeDocument/2006/relationships" r:id="R009fa8a2cccc4f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0.00018800000000000002</x:v>
      </x:c>
      <x:c r="C2" s="32" t="n">
        <x:v>3.8099999999999996</x:v>
      </x:c>
      <x:c r="D2" s="32" t="n">
        <x:f>IF(C2="","",(1/'Metadata'!$B$5)^(C2-1))</x:f>
        <x:v>645.6542290346549</x:v>
      </x:c>
      <x:c r="E2" s="31" t="n">
        <x:f>IF(B2=0,"",B2*D2)</x:f>
        <x:v>0.12138299505851513</x:v>
      </x:c>
    </x:row>
    <x:row r="3" ht="18" customHeight="1">
      <x:c r="A3" s="24" t="str">
        <x:v>Krill</x:v>
      </x:c>
      <x:c r="B3" s="31" t="n">
        <x:v>140433.5275889943</x:v>
      </x:c>
      <x:c r="C3" s="32" t="n">
        <x:v>2.25</x:v>
      </x:c>
      <x:c r="D3" s="32" t="n">
        <x:f>IF(C3="","",(1/'Metadata'!$B$5)^(C3-1))</x:f>
        <x:v>17.78279410038923</x:v>
      </x:c>
      <x:c r="E3" s="31" t="n">
        <x:f>IF(B3=0,"",B3*D3)</x:f>
        <x:v>2497300.5059064156</x:v>
      </x:c>
    </x:row>
    <x:row r="4" ht="18" customHeight="1">
      <x:c r="A4" s="24" t="str">
        <x:v>Large bathydemersals (&gt;=90 cm)</x:v>
      </x:c>
      <x:c r="B4" s="31" t="n">
        <x:v>2142.0203309999997</x:v>
      </x:c>
      <x:c r="C4" s="32" t="n">
        <x:v>3.9599999505140087</x:v>
      </x:c>
      <x:c r="D4" s="32" t="n">
        <x:f>IF(C4="","",(1/'Metadata'!$B$5)^(C4-1))</x:f>
        <x:v>912.0107354361967</x:v>
      </x:c>
      <x:c r="E4" s="31" t="n">
        <x:f>IF(B4=0,"",B4*D4)</x:f>
        <x:v>1953545.537394595</x:v>
      </x:c>
    </x:row>
    <x:row r="5" ht="18" customHeight="1">
      <x:c r="A5" s="24" t="str">
        <x:v>Large benthopelagics (&gt;=90 cm)</x:v>
      </x:c>
      <x:c r="B5" s="31" t="n">
        <x:v>65.30474</x:v>
      </x:c>
      <x:c r="C5" s="32" t="n">
        <x:v>4.21</x:v>
      </x:c>
      <x:c r="D5" s="32" t="n">
        <x:f>IF(C5="","",(1/'Metadata'!$B$5)^(C5-1))</x:f>
        <x:v>1621.8100973589299</x:v>
      </x:c>
      <x:c r="E5" s="31" t="n">
        <x:f>IF(B5=0,"",B5*D5)</x:f>
        <x:v>105911.88673739959</x:v>
      </x:c>
    </x:row>
    <x:row r="6" ht="18" customHeight="1">
      <x:c r="A6" s="24" t="str">
        <x:v>Large rays (&gt;=90 cm)</x:v>
      </x:c>
      <x:c r="B6" s="31" t="n">
        <x:v>4.0106201935</x:v>
      </x:c>
      <x:c r="C6" s="32" t="n">
        <x:v>3.61</x:v>
      </x:c>
      <x:c r="D6" s="32" t="n">
        <x:f>IF(C6="","",(1/'Metadata'!$B$5)^(C6-1))</x:f>
        <x:v>407.3802778041126</x:v>
      </x:c>
      <x:c r="E6" s="31" t="n">
        <x:f>IF(B6=0,"",B6*D6)</x:f>
        <x:v>1633.847568594814</x:v>
      </x:c>
    </x:row>
    <x:row r="7" ht="18" customHeight="1">
      <x:c r="A7" s="24" t="str">
        <x:v>Large reef assoc. fish (&gt;=90 cm)</x:v>
      </x:c>
      <x:c r="B7" s="31" t="n">
        <x:v>0.010905</x:v>
      </x:c>
      <x:c r="C7" s="32" t="n">
        <x:v>4.196570380559377</x:v>
      </x:c>
      <x:c r="D7" s="32" t="n">
        <x:f>IF(C7="","",(1/'Metadata'!$B$5)^(C7-1))</x:f>
        <x:v>1572.4265949095022</x:v>
      </x:c>
      <x:c r="E7" s="31" t="n">
        <x:f>IF(B7=0,"",B7*D7)</x:f>
        <x:v>17.147312017488122</x:v>
      </x:c>
    </x:row>
    <x:row r="8" ht="18" customHeight="1">
      <x:c r="A8" s="24" t="str">
        <x:v>Lobsters, crabs</x:v>
      </x:c>
      <x:c r="B8" s="31" t="n">
        <x:v>0.018522999999999998</x:v>
      </x:c>
      <x:c r="C8" s="32" t="n">
        <x:v>2.3</x:v>
      </x:c>
      <x:c r="D8" s="32" t="n">
        <x:f>IF(C8="","",(1/'Metadata'!$B$5)^(C8-1))</x:f>
        <x:v>19.952623149688787</x:v>
      </x:c>
      <x:c r="E8" s="31" t="n">
        <x:f>IF(B8=0,"",B8*D8)</x:f>
        <x:v>0.3695824386016853</x:v>
      </x:c>
    </x:row>
    <x:row r="9" ht="18" customHeight="1">
      <x:c r="A9" s="24" t="str">
        <x:v>Medium bathypelagics (30 - 89 cm)</x:v>
      </x:c>
      <x:c r="B9" s="31" t="n">
        <x:v>41.40867</x:v>
      </x:c>
      <x:c r="C9" s="32" t="n">
        <x:v>3.58</x:v>
      </x:c>
      <x:c r="D9" s="32" t="n">
        <x:f>IF(C9="","",(1/'Metadata'!$B$5)^(C9-1))</x:f>
        <x:v>380.1893963205613</x:v>
      </x:c>
      <x:c r="E9" s="31" t="n">
        <x:f>IF(B9=0,"",B9*D9)</x:f>
        <x:v>15743.137249737338</x:v>
      </x:c>
    </x:row>
    <x:row r="10" ht="18" customHeight="1">
      <x:c r="A10" s="24" t="str">
        <x:v>Medium benthopelagics (30 - 89 cm)</x:v>
      </x:c>
      <x:c r="B10" s="31" t="n">
        <x:v>113.34850700000001</x:v>
      </x:c>
      <x:c r="C10" s="32" t="n">
        <x:v>3.5760064322682252</x:v>
      </x:c>
      <x:c r="D10" s="32" t="n">
        <x:f>IF(C10="","",(1/'Metadata'!$B$5)^(C10-1))</x:f>
        <x:v>376.70937832677726</x:v>
      </x:c>
      <x:c r="E10" s="31" t="n">
        <x:f>IF(B10=0,"",B10*D10)</x:f>
        <x:v>42699.44560623836</x:v>
      </x:c>
    </x:row>
    <x:row r="11" ht="18" customHeight="1">
      <x:c r="A11" s="24" t="str">
        <x:v>Medium demersals (30 - 89 cm)</x:v>
      </x:c>
      <x:c r="B11" s="31" t="n">
        <x:v>9.954397</x:v>
      </x:c>
      <x:c r="C11" s="32" t="n">
        <x:v>3.4828689663472328</x:v>
      </x:c>
      <x:c r="D11" s="32" t="n">
        <x:f>IF(C11="","",(1/'Metadata'!$B$5)^(C11-1))</x:f>
        <x:v>303.99676799936594</x:v>
      </x:c>
      <x:c r="E11" s="31" t="n">
        <x:f>IF(B11=0,"",B11*D11)</x:f>
        <x:v>3026.1045153825844</x:v>
      </x:c>
    </x:row>
    <x:row r="12" ht="18" customHeight="1">
      <x:c r="A12" s="24" t="str">
        <x:v>Medium pelagics (30 - 89 cm)</x:v>
      </x:c>
      <x:c r="B12" s="31" t="n">
        <x:v>6.3391519998999994</x:v>
      </x:c>
      <x:c r="C12" s="32" t="n">
        <x:v>3.2304901964778647</x:v>
      </x:c>
      <x:c r="D12" s="32" t="n">
        <x:f>IF(C12="","",(1/'Metadata'!$B$5)^(C12-1))</x:f>
        <x:v>170.01615747072128</x:v>
      </x:c>
      <x:c r="E12" s="31" t="n">
        <x:f>IF(B12=0,"",B12*D12)</x:f>
        <x:v>1077.758264645836</x:v>
      </x:c>
    </x:row>
    <x:row r="13" ht="18" customHeight="1">
      <x:c r="A13" s="24" t="str">
        <x:v>Other demersal invertebrates</x:v>
      </x:c>
      <x:c r="B13" s="31" t="n">
        <x:v>0.00015000000000000001</x:v>
      </x:c>
      <x:c r="C13" s="32" t="n">
        <x:v>2.43</x:v>
      </x:c>
      <x:c r="D13" s="32" t="n">
        <x:f>IF(C13="","",(1/'Metadata'!$B$5)^(C13-1))</x:f>
        <x:v>26.915348039269166</x:v>
      </x:c>
      <x:c r="E13" s="31" t="n">
        <x:f>IF(B13=0,"",B13*D13)</x:f>
        <x:v>0.0040373022058903755</x:v>
      </x:c>
    </x:row>
    <x:row r="14" ht="18" customHeight="1">
      <x:c r="A14" s="24" t="str">
        <x:v>Shrimps</x:v>
      </x:c>
      <x:c r="B14" s="31" t="n">
        <x:v>0.01604</x:v>
      </x:c>
      <x:c r="C14" s="32" t="n">
        <x:v>3</x:v>
      </x:c>
      <x:c r="D14" s="32" t="n">
        <x:f>IF(C14="","",(1/'Metadata'!$B$5)^(C14-1))</x:f>
        <x:v>100</x:v>
      </x:c>
      <x:c r="E14" s="31" t="n">
        <x:f>IF(B14=0,"",B14*D14)</x:f>
        <x:v>1.6039999999999999</x:v>
      </x:c>
    </x:row>
    <x:row r="15" ht="18" customHeight="1">
      <x:c r="A15" s="24" t="str">
        <x:v>Small bathypelagics (&lt;30 cm)</x:v>
      </x:c>
      <x:c r="B15" s="31" t="n">
        <x:v>0.00101</x:v>
      </x:c>
      <x:c r="C15" s="32" t="n">
        <x:v>3.288712871287129</x:v>
      </x:c>
      <x:c r="D15" s="32" t="n">
        <x:f>IF(C15="","",(1/'Metadata'!$B$5)^(C15-1))</x:f>
        <x:v>194.4074354645533</x:v>
      </x:c>
      <x:c r="E15" s="31" t="n">
        <x:f>IF(B15=0,"",B15*D15)</x:f>
        <x:v>0.19635150981919883</x:v>
      </x:c>
    </x:row>
    <x:row r="16" ht="18" customHeight="1">
      <x:c r="A16" s="24" t="str">
        <x:v>Small benthopelagics (&lt;30 cm)</x:v>
      </x:c>
      <x:c r="B16" s="31" t="n">
        <x:v>7.912444</x:v>
      </x:c>
      <x:c r="C16" s="32" t="n">
        <x:v>3.602014521682555</x:v>
      </x:c>
      <x:c r="D16" s="32" t="n">
        <x:f>IF(C16="","",(1/'Metadata'!$B$5)^(C16-1))</x:f>
        <x:v>399.9581231011668</x:v>
      </x:c>
      <x:c r="E16" s="31" t="n">
        <x:f>IF(B16=0,"",B16*D16)</x:f>
        <x:v>3164.6462513830884</x:v>
      </x:c>
    </x:row>
    <x:row r="17" ht="18" customHeight="1">
      <x:c r="A17" s="24" t="str">
        <x:v>Small pelagics (&lt;30 cm)</x:v>
      </x:c>
      <x:c r="B17" s="31" t="n">
        <x:v>0.07880000000000001</x:v>
      </x:c>
      <x:c r="C17" s="32" t="n">
        <x:v>3.2999999999999994</x:v>
      </x:c>
      <x:c r="D17" s="32" t="n">
        <x:f>IF(C17="","",(1/'Metadata'!$B$5)^(C17-1))</x:f>
        <x:v>199.52623149688768</x:v>
      </x:c>
      <x:c r="E17" s="31" t="n">
        <x:f>IF(B17=0,"",B17*D17)</x:f>
        <x:v>15.72266704195475</x:v>
      </x:c>
    </x:row>
    <x:row r="18" ht="18" customHeight="1">
      <x:c r="A18" s="24" t="str">
        <x:v>Small to medium flatfishes (&lt;90 cm)</x:v>
      </x:c>
      <x:c r="B18" s="31" t="n">
        <x:v>0.006339999999999999</x:v>
      </x:c>
      <x:c r="C18" s="32" t="n">
        <x:v>3.6599999999999997</x:v>
      </x:c>
      <x:c r="D18" s="32" t="n">
        <x:f>IF(C18="","",(1/'Metadata'!$B$5)^(C18-1))</x:f>
        <x:v>457.0881896148747</x:v>
      </x:c>
      <x:c r="E18" s="31" t="n">
        <x:f>IF(B18=0,"",B18*D18)</x:f>
        <x:v>2.8979391221583053</x:v>
      </x:c>
    </x:row>
  </x:sheetData>
  <x:pageMargins left="0.7" right="0.7" top="0.75" bottom="0.75" header="0.3" footer="0.3"/>
  <x:tableParts count="1">
    <x:tablePart xmlns:r="http://schemas.openxmlformats.org/officeDocument/2006/relationships" r:id="R5d46deedfd41418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EEZ_239</x:v>
      </x:c>
      <x:c r="B2" s="24" t="str">
        <x:v>raw_filtered_tonnes</x:v>
      </x:c>
      <x:c r="C2" s="24" t="n">
        <x:v>142823.9584061877</x:v>
      </x:c>
      <x:c r="D2" s="24" t="str">
        <x:v>tonnes</x:v>
      </x:c>
    </x:row>
    <x:row r="3" ht="18" customHeight="1">
      <x:c r="A3" s="24" t="str">
        <x:v>EEZ_239</x:v>
      </x:c>
      <x:c r="B3" s="24" t="str">
        <x:v>species_catch_tonnes</x:v>
      </x:c>
      <x:c r="C3" s="24" t="n">
        <x:v>142823.95840618768</x:v>
      </x:c>
      <x:c r="D3" s="24" t="str">
        <x:v>tonnes</x:v>
      </x:c>
    </x:row>
    <x:row r="4" ht="18" customHeight="1">
      <x:c r="A4" s="24" t="str">
        <x:v>EEZ_239</x:v>
      </x:c>
      <x:c r="B4" s="24" t="str">
        <x:v>catch_difference_tonnes</x:v>
      </x:c>
      <x:c r="C4" s="24" t="n">
        <x:v>-2.9103830456733704e-11</x:v>
      </x:c>
      <x:c r="D4" s="24" t="str">
        <x:v>tonnes</x:v>
      </x:c>
    </x:row>
    <x:row r="5" ht="18" customHeight="1">
      <x:c r="A5" s="24" t="str">
        <x:v>EEZ_239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EEZ_239</x:v>
      </x:c>
      <x:c r="B6" s="24" t="str">
        <x:v>matched_catch_tonnes</x:v>
      </x:c>
      <x:c r="C6" s="24" t="n">
        <x:v>142823.95840618768</x:v>
      </x:c>
      <x:c r="D6" s="24" t="str">
        <x:v>tonnes</x:v>
      </x:c>
    </x:row>
    <x:row r="7" ht="18" customHeight="1">
      <x:c r="A7" s="24" t="str">
        <x:v>EEZ_239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EEZ_239</x:v>
      </x:c>
      <x:c r="B8" s="24" t="str">
        <x:v>taxa_count</x:v>
      </x:c>
      <x:c r="C8" s="24" t="n">
        <x:v>33</x:v>
      </x:c>
      <x:c r="D8" s="24" t="str">
        <x:v>count</x:v>
      </x:c>
    </x:row>
    <x:row r="9" ht="18" customHeight="1">
      <x:c r="A9" s="24" t="str">
        <x:v>EEZ_239</x:v>
      </x:c>
      <x:c r="B9" s="24" t="str">
        <x:v>matched_taxa_count</x:v>
      </x:c>
      <x:c r="C9" s="24" t="n">
        <x:v>33</x:v>
      </x:c>
      <x:c r="D9" s="24" t="str">
        <x:v>count</x:v>
      </x:c>
    </x:row>
    <x:row r="10" ht="18" customHeight="1">
      <x:c r="A10" s="24" t="str">
        <x:v>EEZ_239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EEZ_239</x:v>
      </x:c>
      <x:c r="B11" s="24" t="str">
        <x:v>species_ppr</x:v>
      </x:c>
      <x:c r="C11" s="24" t="n">
        <x:v>4624410.7040542485</x:v>
      </x:c>
      <x:c r="D11" s="24" t="str">
        <x:v>tonnes_primary_production_equivalent</x:v>
      </x:c>
    </x:row>
    <x:row r="12" ht="18" customHeight="1">
      <x:c r="A12" s="24" t="str">
        <x:v>EEZ_239</x:v>
      </x:c>
      <x:c r="B12" s="24" t="str">
        <x:v>commercial_ppr</x:v>
      </x:c>
      <x:c r="C12" s="24" t="n">
        <x:v>4600691.82463027</x:v>
      </x:c>
      <x:c r="D12" s="24" t="str">
        <x:v>tonnes_primary_production_equivalent</x:v>
      </x:c>
    </x:row>
    <x:row r="13" ht="18" customHeight="1">
      <x:c r="A13" s="24" t="str">
        <x:v>EEZ_239</x:v>
      </x:c>
      <x:c r="B13" s="24" t="str">
        <x:v>functional_ppr</x:v>
      </x:c>
      <x:c r="C13" s="24" t="n">
        <x:v>4624140.932766819</x:v>
      </x:c>
      <x:c r="D13" s="24" t="str">
        <x:v>tonnes_primary_production_equivalent</x:v>
      </x:c>
    </x:row>
    <x:row r="14" ht="18" customHeight="1">
      <x:c r="A14" s="24" t="str">
        <x:v>EEZ_239</x:v>
      </x:c>
      <x:c r="B14" s="24" t="str">
        <x:v>commercial_ppr_difference</x:v>
      </x:c>
      <x:c r="C14" s="24" t="n">
        <x:v>-23718.87942397874</x:v>
      </x:c>
      <x:c r="D14" s="24" t="str">
        <x:v>tonnes_primary_production_equivalent</x:v>
      </x:c>
    </x:row>
    <x:row r="15" ht="18" customHeight="1">
      <x:c r="A15" s="24" t="str">
        <x:v>EEZ_239</x:v>
      </x:c>
      <x:c r="B15" s="24" t="str">
        <x:v>functional_ppr_difference</x:v>
      </x:c>
      <x:c r="C15" s="24" t="n">
        <x:v>-269.77128742914647</x:v>
      </x:c>
      <x:c r="D15" s="24" t="str">
        <x:v>tonnes_primary_production_equivalent</x:v>
      </x:c>
    </x:row>
    <x:row r="16" ht="18" customHeight="1">
      <x:c r="A16" s="24" t="str">
        <x:v>EEZ_239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EEZ_239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06d96e9653647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EEZ_239 - South Georgia &amp; Sandwich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EEZ_239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raw_data/SAU_downloads/EEZ_239-catch.zip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