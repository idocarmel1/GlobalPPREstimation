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e9465b68a49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0aa31cf1f3c47ab"/>
    <x:sheet xmlns:r="http://schemas.openxmlformats.org/officeDocument/2006/relationships" name="Commercial" sheetId="2" r:id="R262089fccea74ebc"/>
    <x:sheet xmlns:r="http://schemas.openxmlformats.org/officeDocument/2006/relationships" name="Functional" sheetId="3" r:id="Rab52c626840a4ed9"/>
    <x:sheet xmlns:r="http://schemas.openxmlformats.org/officeDocument/2006/relationships" name="Missing TL" sheetId="4" r:id="Radaccd0f3ace4df3"/>
    <x:sheet xmlns:r="http://schemas.openxmlformats.org/officeDocument/2006/relationships" name="Validation" sheetId="5" r:id="R64347c650a754cba"/>
    <x:sheet xmlns:r="http://schemas.openxmlformats.org/officeDocument/2006/relationships" name="Metadata" sheetId="6" r:id="R4c35204008c045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28575ac374414d" /><Relationship Type="http://schemas.openxmlformats.org/officeDocument/2006/relationships/theme" Target="/xl/theme/theme1.xml" Id="R564f9b56554f41f2" /><Relationship Type="http://schemas.microsoft.com/office/2022/11/relationships/FeaturePropertyBag" Target="/xl/featurePropertyBag/featurePropertyBag.xml" Id="R846ee96e972b43b0" /><Relationship Type="http://schemas.openxmlformats.org/officeDocument/2006/relationships/sharedStrings" Target="/xl/sharedStrings.xml" Id="R6446da367ff04556" /><Relationship Type="http://schemas.openxmlformats.org/officeDocument/2006/relationships/worksheet" Target="/xl/worksheets/sheet1.xml" Id="R00aa31cf1f3c47ab" /><Relationship Type="http://schemas.openxmlformats.org/officeDocument/2006/relationships/worksheet" Target="/xl/worksheets/sheet2.xml" Id="R262089fccea74ebc" /><Relationship Type="http://schemas.openxmlformats.org/officeDocument/2006/relationships/worksheet" Target="/xl/worksheets/sheet3.xml" Id="Rab52c626840a4ed9" /><Relationship Type="http://schemas.openxmlformats.org/officeDocument/2006/relationships/worksheet" Target="/xl/worksheets/sheet4.xml" Id="Radaccd0f3ace4df3" /><Relationship Type="http://schemas.openxmlformats.org/officeDocument/2006/relationships/worksheet" Target="/xl/worksheets/sheet5.xml" Id="R64347c650a754cba" /><Relationship Type="http://schemas.openxmlformats.org/officeDocument/2006/relationships/worksheet" Target="/xl/worksheets/sheet6.xml" Id="R4c35204008c045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239SpeciesTable" displayName="EEZ239SpeciesTable" ref="A1:U34" headerRowCount="1" totalsRowCount="0" totalsRowShown="0">
  <x:autoFilter ref="A1:U3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239CommercialTable" displayName="EEZ239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239FunctionalTable" displayName="EEZ239FunctionalTable" ref="A1:O18" headerRowCount="1" totalsRowCount="0" totalsRowShown="0">
  <x:autoFilter ref="A1:O18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239ValidationTable" displayName="EEZ239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3034ac85374b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04d2191f24843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f5b3663e9943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5a253e1e0e44e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EEZ_239</x:v>
      </x:c>
      <x:c r="B2" s="24" t="str">
        <x:v>South Georgia &amp; Sandwich Isl. (UK)</x:v>
      </x:c>
      <x:c r="C2" s="24" t="str">
        <x:v>EEZ</x:v>
      </x:c>
      <x:c r="D2" s="30" t="n">
        <x:v>2019</x:v>
      </x:c>
      <x:c r="E2" s="24" t="str">
        <x:v>Euphausia superba</x:v>
      </x:c>
      <x:c r="F2" s="24" t="str">
        <x:v>Antarctic krill</x:v>
      </x:c>
      <x:c r="G2" s="24" t="str">
        <x:v>Krill</x:v>
      </x:c>
      <x:c r="H2" s="24" t="str">
        <x:v>Crustaceans</x:v>
      </x:c>
      <x:c r="I2" s="31" t="n">
        <x:v>140433.5275889943</x:v>
      </x:c>
      <x:c r="J2" s="31" t="n">
        <x:v>140433.5275889943</x:v>
      </x:c>
      <x:c r="K2" s="31" t="n">
        <x:v>0</x:v>
      </x:c>
      <x:c r="L2" s="31" t="n">
        <x:v>140433.5275889943</x:v>
      </x:c>
      <x:c r="M2" s="31" t="n">
        <x:v>0</x:v>
      </x:c>
      <x:c r="N2" s="24" t="str">
        <x:v>euphausia superba</x:v>
      </x:c>
      <x:c r="O2" s="32" t="n">
        <x:v>2.25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Euphausia superba</x:v>
      </x:c>
      <x:c r="T2" s="32" t="n">
        <x:f>IF(O2="","",(1/'Metadata'!$B$5)^(O2-1))</x:f>
        <x:v>17.78279410038923</x:v>
      </x:c>
      <x:c r="U2" s="31" t="n">
        <x:f>IF(T2="","",I2*T2)</x:f>
        <x:v>2497300.5059064156</x:v>
      </x:c>
    </x:row>
    <x:row r="3" ht="18" customHeight="1">
      <x:c r="A3" s="24" t="str">
        <x:v>EEZ_239</x:v>
      </x:c>
      <x:c r="B3" s="24" t="str">
        <x:v>South Georgia &amp; Sandwich Isl. (UK)</x:v>
      </x:c>
      <x:c r="C3" s="24" t="str">
        <x:v>EEZ</x:v>
      </x:c>
      <x:c r="D3" s="30" t="n">
        <x:v>2019</x:v>
      </x:c>
      <x:c r="E3" s="24" t="str">
        <x:v>Dissostichus eleginoides</x:v>
      </x:c>
      <x:c r="F3" s="24" t="str">
        <x:v>Patagonian toothfish</x:v>
      </x:c>
      <x:c r="G3" s="24" t="str">
        <x:v>Large bathydemersals (&gt;=90 cm)</x:v>
      </x:c>
      <x:c r="H3" s="24" t="str">
        <x:v>Perch-likes</x:v>
      </x:c>
      <x:c r="I3" s="31" t="n">
        <x:v>2142.0201309999998</x:v>
      </x:c>
      <x:c r="J3" s="31" t="n">
        <x:v>2142.0201309999998</x:v>
      </x:c>
      <x:c r="K3" s="31" t="n">
        <x:v>0</x:v>
      </x:c>
      <x:c r="L3" s="31" t="n">
        <x:v>2142.0201309999998</x:v>
      </x:c>
      <x:c r="M3" s="31" t="n">
        <x:v>0</x:v>
      </x:c>
      <x:c r="N3" s="24" t="str">
        <x:v>dissostichus eleginoides</x:v>
      </x:c>
      <x:c r="O3" s="32" t="n">
        <x:v>3.96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Dissostichus eleginoides</x:v>
      </x:c>
      <x:c r="T3" s="32" t="n">
        <x:f>IF(O3="","",(1/'Metadata'!$B$5)^(O3-1))</x:f>
        <x:v>912.0108393559096</x:v>
      </x:c>
      <x:c r="U3" s="31" t="n">
        <x:f>IF(T3="","",I3*T3)</x:f>
        <x:v>1953545.5775905652</x:v>
      </x:c>
    </x:row>
    <x:row r="4" ht="18" customHeight="1">
      <x:c r="A4" s="24" t="str">
        <x:v>EEZ_239</x:v>
      </x:c>
      <x:c r="B4" s="24" t="str">
        <x:v>South Georgia &amp; Sandwich Isl. (UK)</x:v>
      </x:c>
      <x:c r="C4" s="24" t="str">
        <x:v>EEZ</x:v>
      </x:c>
      <x:c r="D4" s="30" t="n">
        <x:v>2019</x:v>
      </x:c>
      <x:c r="E4" s="24" t="str">
        <x:v>Macrourus</x:v>
      </x:c>
      <x:c r="F4" s="24" t="str">
        <x:v>Rattails</x:v>
      </x:c>
      <x:c r="G4" s="24" t="str">
        <x:v>Medium benthopelagics (30 - 89 cm)</x:v>
      </x:c>
      <x:c r="H4" s="24" t="str">
        <x:v>Cod-likes</x:v>
      </x:c>
      <x:c r="I4" s="31" t="n">
        <x:v>112.299956</x:v>
      </x:c>
      <x:c r="J4" s="31" t="n">
        <x:v>112.299956</x:v>
      </x:c>
      <x:c r="K4" s="31" t="n">
        <x:v>0</x:v>
      </x:c>
      <x:c r="L4" s="31" t="n">
        <x:v>112.299956</x:v>
      </x:c>
      <x:c r="M4" s="31" t="n">
        <x:v>0</x:v>
      </x:c>
      <x:c r="N4" s="24" t="str">
        <x:v>macrourus</x:v>
      </x:c>
      <x:c r="O4" s="32" t="n">
        <x:v>3.58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Macrourus</x:v>
      </x:c>
      <x:c r="T4" s="32" t="n">
        <x:f>IF(O4="","",(1/'Metadata'!$B$5)^(O4-1))</x:f>
        <x:v>380.1893963205613</x:v>
      </x:c>
      <x:c r="U4" s="31" t="n">
        <x:f>IF(T4="","",I4*T4)</x:f>
        <x:v>42695.25247846559</x:v>
      </x:c>
    </x:row>
    <x:row r="5" ht="18" customHeight="1">
      <x:c r="A5" s="24" t="str">
        <x:v>EEZ_239</x:v>
      </x:c>
      <x:c r="B5" s="24" t="str">
        <x:v>South Georgia &amp; Sandwich Isl. (UK)</x:v>
      </x:c>
      <x:c r="C5" s="24" t="str">
        <x:v>EEZ</x:v>
      </x:c>
      <x:c r="D5" s="30" t="n">
        <x:v>2019</x:v>
      </x:c>
      <x:c r="E5" s="24" t="str">
        <x:v>Dissostichus mawsoni</x:v>
      </x:c>
      <x:c r="F5" s="24" t="str">
        <x:v>Antarctic toothfish</x:v>
      </x:c>
      <x:c r="G5" s="24" t="str">
        <x:v>Large benthopelagics (&gt;=90 cm)</x:v>
      </x:c>
      <x:c r="H5" s="24" t="str">
        <x:v>Perch-likes</x:v>
      </x:c>
      <x:c r="I5" s="31" t="n">
        <x:v>65.30474</x:v>
      </x:c>
      <x:c r="J5" s="31" t="n">
        <x:v>65.30474</x:v>
      </x:c>
      <x:c r="K5" s="31" t="n">
        <x:v>0</x:v>
      </x:c>
      <x:c r="L5" s="31" t="n">
        <x:v>65.30474</x:v>
      </x:c>
      <x:c r="M5" s="31" t="n">
        <x:v>0</x:v>
      </x:c>
      <x:c r="N5" s="24" t="str">
        <x:v>dissostichus mawsoni</x:v>
      </x:c>
      <x:c r="O5" s="32" t="n">
        <x:v>4.21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Dissostichus mawsoni</x:v>
      </x:c>
      <x:c r="T5" s="32" t="n">
        <x:f>IF(O5="","",(1/'Metadata'!$B$5)^(O5-1))</x:f>
        <x:v>1621.8100973589299</x:v>
      </x:c>
      <x:c r="U5" s="31" t="n">
        <x:f>IF(T5="","",I5*T5)</x:f>
        <x:v>105911.88673739959</x:v>
      </x:c>
    </x:row>
    <x:row r="6" ht="18" customHeight="1">
      <x:c r="A6" s="24" t="str">
        <x:v>EEZ_239</x:v>
      </x:c>
      <x:c r="B6" s="24" t="str">
        <x:v>South Georgia &amp; Sandwich Isl. (UK)</x:v>
      </x:c>
      <x:c r="C6" s="24" t="str">
        <x:v>EEZ</x:v>
      </x:c>
      <x:c r="D6" s="30" t="n">
        <x:v>2019</x:v>
      </x:c>
      <x:c r="E6" s="24" t="str">
        <x:v>Antimora rostrata</x:v>
      </x:c>
      <x:c r="F6" s="24" t="str">
        <x:v>Blue antimora</x:v>
      </x:c>
      <x:c r="G6" s="24" t="str">
        <x:v>Medium bathypelagics (30 - 89 cm)</x:v>
      </x:c>
      <x:c r="H6" s="24" t="str">
        <x:v>Cod-likes</x:v>
      </x:c>
      <x:c r="I6" s="31" t="n">
        <x:v>41.40867</x:v>
      </x:c>
      <x:c r="J6" s="31" t="n">
        <x:v>41.40867</x:v>
      </x:c>
      <x:c r="K6" s="31" t="n">
        <x:v>0</x:v>
      </x:c>
      <x:c r="L6" s="31" t="n">
        <x:v>41.40867</x:v>
      </x:c>
      <x:c r="M6" s="31" t="n">
        <x:v>0</x:v>
      </x:c>
      <x:c r="N6" s="24" t="str">
        <x:v>antimora rostrata</x:v>
      </x:c>
      <x:c r="O6" s="32" t="n">
        <x:v>3.58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Antimora rostrata</x:v>
      </x:c>
      <x:c r="T6" s="32" t="n">
        <x:f>IF(O6="","",(1/'Metadata'!$B$5)^(O6-1))</x:f>
        <x:v>380.1893963205613</x:v>
      </x:c>
      <x:c r="U6" s="31" t="n">
        <x:f>IF(T6="","",I6*T6)</x:f>
        <x:v>15743.137249737338</x:v>
      </x:c>
    </x:row>
    <x:row r="7" ht="18" customHeight="1">
      <x:c r="A7" s="24" t="str">
        <x:v>EEZ_239</x:v>
      </x:c>
      <x:c r="B7" s="24" t="str">
        <x:v>South Georgia &amp; Sandwich Isl. (UK)</x:v>
      </x:c>
      <x:c r="C7" s="24" t="str">
        <x:v>EEZ</x:v>
      </x:c>
      <x:c r="D7" s="30" t="n">
        <x:v>2019</x:v>
      </x:c>
      <x:c r="E7" s="24" t="str">
        <x:v>Patagonotothen guntheri</x:v>
      </x:c>
      <x:c r="F7" s="24" t="str">
        <x:v>Yellowfin notothen</x:v>
      </x:c>
      <x:c r="G7" s="24" t="str">
        <x:v>Small benthopelagics (&lt;30 cm)</x:v>
      </x:c>
      <x:c r="H7" s="24" t="str">
        <x:v>Perch-likes</x:v>
      </x:c>
      <x:c r="I7" s="31" t="n">
        <x:v>7.421723</x:v>
      </x:c>
      <x:c r="J7" s="31" t="n">
        <x:v>7.421723</x:v>
      </x:c>
      <x:c r="K7" s="31" t="n">
        <x:v>0</x:v>
      </x:c>
      <x:c r="L7" s="31" t="n">
        <x:v>7.421723</x:v>
      </x:c>
      <x:c r="M7" s="31" t="n">
        <x:v>0</x:v>
      </x:c>
      <x:c r="N7" s="24" t="str">
        <x:v>patagonotothen guntheri</x:v>
      </x:c>
      <x:c r="O7" s="32" t="n">
        <x:v>3.62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Patagonotothen guntheri</x:v>
      </x:c>
      <x:c r="T7" s="32" t="n">
        <x:f>IF(O7="","",(1/'Metadata'!$B$5)^(O7-1))</x:f>
        <x:v>416.8693834703355</x:v>
      </x:c>
      <x:c r="U7" s="31" t="n">
        <x:f>IF(T7="","",I7*T7)</x:f>
        <x:v>3093.889091297609</x:v>
      </x:c>
    </x:row>
    <x:row r="8" ht="18" customHeight="1">
      <x:c r="A8" s="24" t="str">
        <x:v>EEZ_239</x:v>
      </x:c>
      <x:c r="B8" s="24" t="str">
        <x:v>South Georgia &amp; Sandwich Isl. (UK)</x:v>
      </x:c>
      <x:c r="C8" s="24" t="str">
        <x:v>EEZ</x:v>
      </x:c>
      <x:c r="D8" s="30" t="n">
        <x:v>2019</x:v>
      </x:c>
      <x:c r="E8" s="24" t="str">
        <x:v>Notothenia rossii</x:v>
      </x:c>
      <x:c r="F8" s="24" t="str">
        <x:v>Marbled rockcod</x:v>
      </x:c>
      <x:c r="G8" s="24" t="str">
        <x:v>Medium demersals (30 - 89 cm)</x:v>
      </x:c>
      <x:c r="H8" s="24" t="str">
        <x:v>Perch-likes</x:v>
      </x:c>
      <x:c r="I8" s="31" t="n">
        <x:v>6.702966</x:v>
      </x:c>
      <x:c r="J8" s="31" t="n">
        <x:v>6.702966</x:v>
      </x:c>
      <x:c r="K8" s="31" t="n">
        <x:v>0</x:v>
      </x:c>
      <x:c r="L8" s="31" t="n">
        <x:v>6.702966</x:v>
      </x:c>
      <x:c r="M8" s="31" t="n">
        <x:v>0</x:v>
      </x:c>
      <x:c r="N8" s="24" t="str">
        <x:v>notothenia rossii</x:v>
      </x:c>
      <x:c r="O8" s="32" t="n">
        <x:v>3.55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Notothenia rossii</x:v>
      </x:c>
      <x:c r="T8" s="32" t="n">
        <x:f>IF(O8="","",(1/'Metadata'!$B$5)^(O8-1))</x:f>
        <x:v>354.8133892335753</x:v>
      </x:c>
      <x:c r="U8" s="31" t="n">
        <x:f>IF(T8="","",I8*T8)</x:f>
        <x:v>2378.3020843774216</x:v>
      </x:c>
    </x:row>
    <x:row r="9" ht="18" customHeight="1">
      <x:c r="A9" s="24" t="str">
        <x:v>EEZ_239</x:v>
      </x:c>
      <x:c r="B9" s="24" t="str">
        <x:v>South Georgia &amp; Sandwich Isl. (UK)</x:v>
      </x:c>
      <x:c r="C9" s="24" t="str">
        <x:v>EEZ</x:v>
      </x:c>
      <x:c r="D9" s="30" t="n">
        <x:v>2019</x:v>
      </x:c>
      <x:c r="E9" s="24" t="str">
        <x:v>Champsocephalus gunnari</x:v>
      </x:c>
      <x:c r="F9" s="24" t="str">
        <x:v>Mackerel icefish</x:v>
      </x:c>
      <x:c r="G9" s="24" t="str">
        <x:v>Medium pelagics (30 - 89 cm)</x:v>
      </x:c>
      <x:c r="H9" s="24" t="str">
        <x:v>Perch-likes</x:v>
      </x:c>
      <x:c r="I9" s="31" t="n">
        <x:v>6.320873</x:v>
      </x:c>
      <x:c r="J9" s="31" t="n">
        <x:v>6.320873</x:v>
      </x:c>
      <x:c r="K9" s="31" t="n">
        <x:v>0</x:v>
      </x:c>
      <x:c r="L9" s="31" t="n">
        <x:v>6.320873</x:v>
      </x:c>
      <x:c r="M9" s="31" t="n">
        <x:v>0</x:v>
      </x:c>
      <x:c r="N9" s="24" t="str">
        <x:v>champsocephalus gunnari</x:v>
      </x:c>
      <x:c r="O9" s="32" t="n">
        <x:v>3.23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Champsocephalus gunnari</x:v>
      </x:c>
      <x:c r="T9" s="32" t="n">
        <x:f>IF(O9="","",(1/'Metadata'!$B$5)^(O9-1))</x:f>
        <x:v>169.82436524617444</x:v>
      </x:c>
      <x:c r="U9" s="31" t="n">
        <x:f>IF(T9="","",I9*T9)</x:f>
        <x:v>1073.4382450266824</x:v>
      </x:c>
    </x:row>
    <x:row r="10" ht="18" customHeight="1">
      <x:c r="A10" s="24" t="str">
        <x:v>EEZ_239</x:v>
      </x:c>
      <x:c r="B10" s="24" t="str">
        <x:v>South Georgia &amp; Sandwich Isl. (UK)</x:v>
      </x:c>
      <x:c r="C10" s="24" t="str">
        <x:v>EEZ</x:v>
      </x:c>
      <x:c r="D10" s="30" t="n">
        <x:v>2019</x:v>
      </x:c>
      <x:c r="E10" s="24" t="str">
        <x:v>Rajiformes</x:v>
      </x:c>
      <x:c r="F10" s="24" t="str">
        <x:v>Skates and rays</x:v>
      </x:c>
      <x:c r="G10" s="24" t="str">
        <x:v>Large rays (&gt;=90 cm)</x:v>
      </x:c>
      <x:c r="H10" s="24" t="str">
        <x:v>Sharks &amp; rays</x:v>
      </x:c>
      <x:c r="I10" s="31" t="n">
        <x:v>4.0106201935</x:v>
      </x:c>
      <x:c r="J10" s="31" t="n">
        <x:v>4.0106200213</x:v>
      </x:c>
      <x:c r="K10" s="31" t="n">
        <x:v>1.722e-7</x:v>
      </x:c>
      <x:c r="L10" s="31" t="n">
        <x:v>4.0106201935</x:v>
      </x:c>
      <x:c r="M10" s="31" t="n">
        <x:v>0</x:v>
      </x:c>
      <x:c r="N10" s="24" t="str">
        <x:v>rajiformes</x:v>
      </x:c>
      <x:c r="O10" s="32" t="n">
        <x:v>3.61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Rajiformes</x:v>
      </x:c>
      <x:c r="T10" s="32" t="n">
        <x:f>IF(O10="","",(1/'Metadata'!$B$5)^(O10-1))</x:f>
        <x:v>407.3802778041126</x:v>
      </x:c>
      <x:c r="U10" s="31" t="n">
        <x:f>IF(T10="","",I10*T10)</x:f>
        <x:v>1633.847568594814</x:v>
      </x:c>
    </x:row>
    <x:row r="11" ht="18" customHeight="1">
      <x:c r="A11" s="24" t="str">
        <x:v>EEZ_239</x:v>
      </x:c>
      <x:c r="B11" s="24" t="str">
        <x:v>South Georgia &amp; Sandwich Isl. (UK)</x:v>
      </x:c>
      <x:c r="C11" s="24" t="str">
        <x:v>EEZ</x:v>
      </x:c>
      <x:c r="D11" s="30" t="n">
        <x:v>2019</x:v>
      </x:c>
      <x:c r="E11" s="24" t="str">
        <x:v>Gobionotothen gibberifrons</x:v>
      </x:c>
      <x:c r="F11" s="24" t="str">
        <x:v>Humped rockcod</x:v>
      </x:c>
      <x:c r="G11" s="24" t="str">
        <x:v>Medium demersals (30 - 89 cm)</x:v>
      </x:c>
      <x:c r="H11" s="24" t="str">
        <x:v>Perch-likes</x:v>
      </x:c>
      <x:c r="I11" s="31" t="n">
        <x:v>1.2093390000000002</x:v>
      </x:c>
      <x:c r="J11" s="31" t="n">
        <x:v>1.2093390000000002</x:v>
      </x:c>
      <x:c r="K11" s="31" t="n">
        <x:v>0</x:v>
      </x:c>
      <x:c r="L11" s="31" t="n">
        <x:v>1.2093390000000002</x:v>
      </x:c>
      <x:c r="M11" s="31" t="n">
        <x:v>0</x:v>
      </x:c>
      <x:c r="N11" s="24" t="str">
        <x:v>gobionotothen gibberifrons</x:v>
      </x:c>
      <x:c r="O11" s="32" t="n">
        <x:v>3.26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Gobionotothen gibberifrons</x:v>
      </x:c>
      <x:c r="T11" s="32" t="n">
        <x:f>IF(O11="","",(1/'Metadata'!$B$5)^(O11-1))</x:f>
        <x:v>181.97008586099827</x:v>
      </x:c>
      <x:c r="U11" s="31" t="n">
        <x:f>IF(T11="","",I11*T11)</x:f>
        <x:v>220.06352166505383</x:v>
      </x:c>
    </x:row>
    <x:row r="12" ht="18" customHeight="1">
      <x:c r="A12" s="24" t="str">
        <x:v>EEZ_239</x:v>
      </x:c>
      <x:c r="B12" s="24" t="str">
        <x:v>South Georgia &amp; Sandwich Isl. (UK)</x:v>
      </x:c>
      <x:c r="C12" s="24" t="str">
        <x:v>EEZ</x:v>
      </x:c>
      <x:c r="D12" s="30" t="n">
        <x:v>2019</x:v>
      </x:c>
      <x:c r="E12" s="24" t="str">
        <x:v>Chaenocephalus aceratus</x:v>
      </x:c>
      <x:c r="F12" s="24" t="str">
        <x:v>Blackfin icefish</x:v>
      </x:c>
      <x:c r="G12" s="24" t="str">
        <x:v>Medium demersals (30 - 89 cm)</x:v>
      </x:c>
      <x:c r="H12" s="24" t="str">
        <x:v>Perch-likes</x:v>
      </x:c>
      <x:c r="I12" s="31" t="n">
        <x:v>0.931929</x:v>
      </x:c>
      <x:c r="J12" s="31" t="n">
        <x:v>0.931929</x:v>
      </x:c>
      <x:c r="K12" s="31" t="n">
        <x:v>0</x:v>
      </x:c>
      <x:c r="L12" s="31" t="n">
        <x:v>0.931929</x:v>
      </x:c>
      <x:c r="M12" s="31" t="n">
        <x:v>0</x:v>
      </x:c>
      <x:c r="N12" s="24" t="str">
        <x:v>chaenocephalus aceratus</x:v>
      </x:c>
      <x:c r="O12" s="32" t="n">
        <x:v>3.4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Chaenocephalus aceratus</x:v>
      </x:c>
      <x:c r="T12" s="32" t="n">
        <x:f>IF(O12="","",(1/'Metadata'!$B$5)^(O12-1))</x:f>
        <x:v>251.18864315095797</x:v>
      </x:c>
      <x:c r="U12" s="31" t="n">
        <x:f>IF(T12="","",I12*T12)</x:f>
        <x:v>234.0899810230291</x:v>
      </x:c>
    </x:row>
    <x:row r="13" ht="18" customHeight="1">
      <x:c r="A13" s="24" t="str">
        <x:v>EEZ_239</x:v>
      </x:c>
      <x:c r="B13" s="24" t="str">
        <x:v>South Georgia &amp; Sandwich Isl. (UK)</x:v>
      </x:c>
      <x:c r="C13" s="24" t="str">
        <x:v>EEZ</x:v>
      </x:c>
      <x:c r="D13" s="30" t="n">
        <x:v>2019</x:v>
      </x:c>
      <x:c r="E13" s="24" t="str">
        <x:v>Lepidonotothen squamifrons</x:v>
      </x:c>
      <x:c r="F13" s="24" t="str">
        <x:v>Grey rockcod</x:v>
      </x:c>
      <x:c r="G13" s="24" t="str">
        <x:v>Medium benthopelagics (30 - 89 cm)</x:v>
      </x:c>
      <x:c r="H13" s="24" t="str">
        <x:v>Perch-likes</x:v>
      </x:c>
      <x:c r="I13" s="31" t="n">
        <x:v>0.8534959999999999</x:v>
      </x:c>
      <x:c r="J13" s="31" t="n">
        <x:v>0.8534959999999999</x:v>
      </x:c>
      <x:c r="K13" s="31" t="n">
        <x:v>0</x:v>
      </x:c>
      <x:c r="L13" s="31" t="n">
        <x:v>0.8534959999999999</x:v>
      </x:c>
      <x:c r="M13" s="31" t="n">
        <x:v>0</x:v>
      </x:c>
      <x:c r="N13" s="24" t="str">
        <x:v>lepidonotothen squamifrons</x:v>
      </x:c>
      <x:c r="O13" s="32" t="n">
        <x:v>3.09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Lepidonotothen squamifrons</x:v>
      </x:c>
      <x:c r="T13" s="32" t="n">
        <x:f>IF(O13="","",(1/'Metadata'!$B$5)^(O13-1))</x:f>
        <x:v>123.02687708123811</x:v>
      </x:c>
      <x:c r="U13" s="31" t="n">
        <x:f>IF(T13="","",I13*T13)</x:f>
        <x:v>105.00294748132839</x:v>
      </x:c>
    </x:row>
    <x:row r="14" ht="18" customHeight="1">
      <x:c r="A14" s="24" t="str">
        <x:v>EEZ_239</x:v>
      </x:c>
      <x:c r="B14" s="24" t="str">
        <x:v>South Georgia &amp; Sandwich Isl. (UK)</x:v>
      </x:c>
      <x:c r="C14" s="24" t="str">
        <x:v>EEZ</x:v>
      </x:c>
      <x:c r="D14" s="30" t="n">
        <x:v>2019</x:v>
      </x:c>
      <x:c r="E14" s="24" t="str">
        <x:v>Pseudochaenichthys georgianus</x:v>
      </x:c>
      <x:c r="F14" s="24" t="str">
        <x:v>South Georgia icefish</x:v>
      </x:c>
      <x:c r="G14" s="24" t="str">
        <x:v>Medium demersals (30 - 89 cm)</x:v>
      </x:c>
      <x:c r="H14" s="24" t="str">
        <x:v>Perch-likes</x:v>
      </x:c>
      <x:c r="I14" s="31" t="n">
        <x:v>0.821684</x:v>
      </x:c>
      <x:c r="J14" s="31" t="n">
        <x:v>0.821684</x:v>
      </x:c>
      <x:c r="K14" s="31" t="n">
        <x:v>0</x:v>
      </x:c>
      <x:c r="L14" s="31" t="n">
        <x:v>0.821684</x:v>
      </x:c>
      <x:c r="M14" s="31" t="n">
        <x:v>0</x:v>
      </x:c>
      <x:c r="N14" s="24" t="str">
        <x:v>pseudochaenichthys georgianus</x:v>
      </x:c>
      <x:c r="O14" s="32" t="n">
        <x:v>3.41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Pseudochaenichthys georgianus</x:v>
      </x:c>
      <x:c r="T14" s="32" t="n">
        <x:f>IF(O14="","",(1/'Metadata'!$B$5)^(O14-1))</x:f>
        <x:v>257.03957827688646</x:v>
      </x:c>
      <x:c r="U14" s="31" t="n">
        <x:f>IF(T14="","",I14*T14)</x:f>
        <x:v>211.20530883686516</x:v>
      </x:c>
    </x:row>
    <x:row r="15" ht="18" customHeight="1">
      <x:c r="A15" s="24" t="str">
        <x:v>EEZ_239</x:v>
      </x:c>
      <x:c r="B15" s="24" t="str">
        <x:v>South Georgia &amp; Sandwich Isl. (UK)</x:v>
      </x:c>
      <x:c r="C15" s="24" t="str">
        <x:v>EEZ</x:v>
      </x:c>
      <x:c r="D15" s="30" t="n">
        <x:v>2019</x:v>
      </x:c>
      <x:c r="E15" s="24" t="str">
        <x:v>Nototheniops larseni</x:v>
      </x:c>
      <x:c r="F15" s="24" t="str">
        <x:v>Painted notie</x:v>
      </x:c>
      <x:c r="G15" s="24" t="str">
        <x:v>Small benthopelagics (&lt;30 cm)</x:v>
      </x:c>
      <x:c r="H15" s="24" t="str">
        <x:v>Perch-likes</x:v>
      </x:c>
      <x:c r="I15" s="31" t="n">
        <x:v>0.49072099999999996</x:v>
      </x:c>
      <x:c r="J15" s="31" t="n">
        <x:v>0.49072099999999996</x:v>
      </x:c>
      <x:c r="K15" s="31" t="n">
        <x:v>0</x:v>
      </x:c>
      <x:c r="L15" s="31" t="n">
        <x:v>0.49072099999999996</x:v>
      </x:c>
      <x:c r="M15" s="31" t="n">
        <x:v>0</x:v>
      </x:c>
      <x:c r="N15" s="24" t="str">
        <x:v>nototheniops larseni</x:v>
      </x:c>
      <x:c r="O15" s="32" t="n">
        <x:v>3.33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Nototheniops larseni</x:v>
      </x:c>
      <x:c r="T15" s="32" t="n">
        <x:f>IF(O15="","",(1/'Metadata'!$B$5)^(O15-1))</x:f>
        <x:v>213.79620895022325</x:v>
      </x:c>
      <x:c r="U15" s="31" t="n">
        <x:f>IF(T15="","",I15*T15)</x:f>
        <x:v>104.9142894522625</x:v>
      </x:c>
    </x:row>
    <x:row r="16" ht="18" customHeight="1">
      <x:c r="A16" s="24" t="str">
        <x:v>EEZ_239</x:v>
      </x:c>
      <x:c r="B16" s="24" t="str">
        <x:v>South Georgia &amp; Sandwich Isl. (UK)</x:v>
      </x:c>
      <x:c r="C16" s="24" t="str">
        <x:v>EEZ</x:v>
      </x:c>
      <x:c r="D16" s="30" t="n">
        <x:v>2019</x:v>
      </x:c>
      <x:c r="E16" s="24" t="str">
        <x:v>Marine fishes not identified</x:v>
      </x:c>
      <x:c r="F16" s="24" t="str">
        <x:v>Marine fishes nei</x:v>
      </x:c>
      <x:c r="G16" s="24" t="str">
        <x:v>Medium demersals (30 - 89 cm)</x:v>
      </x:c>
      <x:c r="H16" s="24" t="str">
        <x:v>Other fishes &amp; inverts</x:v>
      </x:c>
      <x:c r="I16" s="31" t="n">
        <x:v>0.24812</x:v>
      </x:c>
      <x:c r="J16" s="31" t="n">
        <x:v>0.24812</x:v>
      </x:c>
      <x:c r="K16" s="31" t="n">
        <x:v>0</x:v>
      </x:c>
      <x:c r="L16" s="31" t="n">
        <x:v>0.24812</x:v>
      </x:c>
      <x:c r="M16" s="31" t="n">
        <x:v>0</x:v>
      </x:c>
      <x:c r="N16" s="24" t="str">
        <x:v>marine fishes not identified</x:v>
      </x:c>
      <x:c r="O16" s="32" t="n">
        <x:v>3.28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Marine fishes not identified</x:v>
      </x:c>
      <x:c r="T16" s="32" t="n">
        <x:f>IF(O16="","",(1/'Metadata'!$B$5)^(O16-1))</x:f>
        <x:v>190.54607179632464</x:v>
      </x:c>
      <x:c r="U16" s="31" t="n">
        <x:f>IF(T16="","",I16*T16)</x:f>
        <x:v>47.27829133410407</x:v>
      </x:c>
    </x:row>
    <x:row r="17" ht="18" customHeight="1">
      <x:c r="A17" s="24" t="str">
        <x:v>EEZ_239</x:v>
      </x:c>
      <x:c r="B17" s="24" t="str">
        <x:v>South Georgia &amp; Sandwich Isl. (UK)</x:v>
      </x:c>
      <x:c r="C17" s="24" t="str">
        <x:v>EEZ</x:v>
      </x:c>
      <x:c r="D17" s="30" t="n">
        <x:v>2019</x:v>
      </x:c>
      <x:c r="E17" s="24" t="str">
        <x:v>Muraenolepis</x:v>
      </x:c>
      <x:c r="F17" s="24" t="str">
        <x:v>Moray cods</x:v>
      </x:c>
      <x:c r="G17" s="24" t="str">
        <x:v>Medium benthopelagics (30 - 89 cm)</x:v>
      </x:c>
      <x:c r="H17" s="24" t="str">
        <x:v>Cod-likes</x:v>
      </x:c>
      <x:c r="I17" s="31" t="n">
        <x:v>0.19365500000000002</x:v>
      </x:c>
      <x:c r="J17" s="31" t="n">
        <x:v>0.19365500000000002</x:v>
      </x:c>
      <x:c r="K17" s="31" t="n">
        <x:v>0</x:v>
      </x:c>
      <x:c r="L17" s="31" t="n">
        <x:v>0.19365500000000002</x:v>
      </x:c>
      <x:c r="M17" s="31" t="n">
        <x:v>0</x:v>
      </x:c>
      <x:c r="N17" s="24" t="str">
        <x:v>muraenolepis</x:v>
      </x:c>
      <x:c r="O17" s="32" t="n">
        <x:v>3.4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Muraenolepis</x:v>
      </x:c>
      <x:c r="T17" s="32" t="n">
        <x:f>IF(O17="","",(1/'Metadata'!$B$5)^(O17-1))</x:f>
        <x:v>251.18864315095797</x:v>
      </x:c>
      <x:c r="U17" s="31" t="n">
        <x:f>IF(T17="","",I17*T17)</x:f>
        <x:v>48.64393668939877</x:v>
      </x:c>
    </x:row>
    <x:row r="18" ht="18" customHeight="1">
      <x:c r="A18" s="24" t="str">
        <x:v>EEZ_239</x:v>
      </x:c>
      <x:c r="B18" s="24" t="str">
        <x:v>South Georgia &amp; Sandwich Isl. (UK)</x:v>
      </x:c>
      <x:c r="C18" s="24" t="str">
        <x:v>EEZ</x:v>
      </x:c>
      <x:c r="D18" s="30" t="n">
        <x:v>2019</x:v>
      </x:c>
      <x:c r="E18" s="24" t="str">
        <x:v>Myctophidae</x:v>
      </x:c>
      <x:c r="F18" s="24" t="str">
        <x:v>Lanternfishes</x:v>
      </x:c>
      <x:c r="G18" s="24" t="str">
        <x:v>Small pelagics (&lt;30 cm)</x:v>
      </x:c>
      <x:c r="H18" s="24" t="str">
        <x:v>Other fishes &amp; inverts</x:v>
      </x:c>
      <x:c r="I18" s="31" t="n">
        <x:v>0.07880000000000001</x:v>
      </x:c>
      <x:c r="J18" s="31" t="n">
        <x:v>0.07880000000000001</x:v>
      </x:c>
      <x:c r="K18" s="31" t="n">
        <x:v>0</x:v>
      </x:c>
      <x:c r="L18" s="31" t="n">
        <x:v>0.07880000000000001</x:v>
      </x:c>
      <x:c r="M18" s="31" t="n">
        <x:v>0</x:v>
      </x:c>
      <x:c r="N18" s="24" t="str">
        <x:v>myctophidae</x:v>
      </x:c>
      <x:c r="O18" s="32" t="n">
        <x:v>3.3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Myctophidae</x:v>
      </x:c>
      <x:c r="T18" s="32" t="n">
        <x:f>IF(O18="","",(1/'Metadata'!$B$5)^(O18-1))</x:f>
        <x:v>199.52623149688787</x:v>
      </x:c>
      <x:c r="U18" s="31" t="n">
        <x:f>IF(T18="","",I18*T18)</x:f>
        <x:v>15.722667041954766</x:v>
      </x:c>
    </x:row>
    <x:row r="19" ht="18" customHeight="1">
      <x:c r="A19" s="24" t="str">
        <x:v>EEZ_239</x:v>
      </x:c>
      <x:c r="B19" s="24" t="str">
        <x:v>South Georgia &amp; Sandwich Isl. (UK)</x:v>
      </x:c>
      <x:c r="C19" s="24" t="str">
        <x:v>EEZ</x:v>
      </x:c>
      <x:c r="D19" s="30" t="n">
        <x:v>2019</x:v>
      </x:c>
      <x:c r="E19" s="24" t="str">
        <x:v>Trematomus hansoni</x:v>
      </x:c>
      <x:c r="F19" s="24" t="str">
        <x:v>Striped rockcod</x:v>
      </x:c>
      <x:c r="G19" s="24" t="str">
        <x:v>Medium demersals (30 - 89 cm)</x:v>
      </x:c>
      <x:c r="H19" s="24" t="str">
        <x:v>Perch-likes</x:v>
      </x:c>
      <x:c r="I19" s="31" t="n">
        <x:v>0.022969</x:v>
      </x:c>
      <x:c r="J19" s="31" t="n">
        <x:v>0.022969</x:v>
      </x:c>
      <x:c r="K19" s="31" t="n">
        <x:v>0</x:v>
      </x:c>
      <x:c r="L19" s="31" t="n">
        <x:v>0.022969</x:v>
      </x:c>
      <x:c r="M19" s="31" t="n">
        <x:v>0</x:v>
      </x:c>
      <x:c r="N19" s="24" t="str">
        <x:v>trematomus hansoni</x:v>
      </x:c>
      <x:c r="O19" s="32" t="n">
        <x:v>3.8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Trematomus hansoni</x:v>
      </x:c>
      <x:c r="T19" s="32" t="n">
        <x:f>IF(O19="","",(1/'Metadata'!$B$5)^(O19-1))</x:f>
        <x:v>630.957344480193</x:v>
      </x:c>
      <x:c r="U19" s="31" t="n">
        <x:f>IF(T19="","",I19*T19)</x:f>
        <x:v>14.492459245365552</x:v>
      </x:c>
    </x:row>
    <x:row r="20" ht="18" customHeight="1">
      <x:c r="A20" s="24" t="str">
        <x:v>EEZ_239</x:v>
      </x:c>
      <x:c r="B20" s="24" t="str">
        <x:v>South Georgia &amp; Sandwich Isl. (UK)</x:v>
      </x:c>
      <x:c r="C20" s="24" t="str">
        <x:v>EEZ</x:v>
      </x:c>
      <x:c r="D20" s="30" t="n">
        <x:v>2019</x:v>
      </x:c>
      <x:c r="E20" s="24" t="str">
        <x:v>Paralomis spinosissima</x:v>
      </x:c>
      <x:c r="F20" s="24" t="str">
        <x:v>Antarctic stone crab</x:v>
      </x:c>
      <x:c r="G20" s="24" t="str">
        <x:v>Lobsters, crabs</x:v>
      </x:c>
      <x:c r="H20" s="24" t="str">
        <x:v>Crustaceans</x:v>
      </x:c>
      <x:c r="I20" s="31" t="n">
        <x:v>0.018522999999999998</x:v>
      </x:c>
      <x:c r="J20" s="31" t="n">
        <x:v>0.018522999999999998</x:v>
      </x:c>
      <x:c r="K20" s="31" t="n">
        <x:v>0</x:v>
      </x:c>
      <x:c r="L20" s="31" t="n">
        <x:v>0.018522999999999998</x:v>
      </x:c>
      <x:c r="M20" s="31" t="n">
        <x:v>0</x:v>
      </x:c>
      <x:c r="N20" s="24" t="str">
        <x:v>paralomis spinosissima</x:v>
      </x:c>
      <x:c r="O20" s="32" t="n">
        <x:v>2.3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Paralomis spinosissima</x:v>
      </x:c>
      <x:c r="T20" s="32" t="n">
        <x:f>IF(O20="","",(1/'Metadata'!$B$5)^(O20-1))</x:f>
        <x:v>19.952623149688787</x:v>
      </x:c>
      <x:c r="U20" s="31" t="n">
        <x:f>IF(T20="","",I20*T20)</x:f>
        <x:v>0.3695824386016853</x:v>
      </x:c>
    </x:row>
    <x:row r="21" ht="18" customHeight="1">
      <x:c r="A21" s="24" t="str">
        <x:v>EEZ_239</x:v>
      </x:c>
      <x:c r="B21" s="24" t="str">
        <x:v>South Georgia &amp; Sandwich Isl. (UK)</x:v>
      </x:c>
      <x:c r="C21" s="24" t="str">
        <x:v>EEZ</x:v>
      </x:c>
      <x:c r="D21" s="30" t="n">
        <x:v>2019</x:v>
      </x:c>
      <x:c r="E21" s="24" t="str">
        <x:v>Muraenolepis microps</x:v>
      </x:c>
      <x:c r="F21" s="24" t="str">
        <x:v>Smalleye moray cod</x:v>
      </x:c>
      <x:c r="G21" s="24" t="str">
        <x:v>Medium pelagics (30 - 89 cm)</x:v>
      </x:c>
      <x:c r="H21" s="24" t="str">
        <x:v>Cod-likes</x:v>
      </x:c>
      <x:c r="I21" s="31" t="n">
        <x:v>0.0182789999</x:v>
      </x:c>
      <x:c r="J21" s="31" t="n">
        <x:v>0.0182789999</x:v>
      </x:c>
      <x:c r="K21" s="31" t="n">
        <x:v>0</x:v>
      </x:c>
      <x:c r="L21" s="31" t="n">
        <x:v>0.0182789999</x:v>
      </x:c>
      <x:c r="M21" s="31" t="n">
        <x:v>0</x:v>
      </x:c>
      <x:c r="N21" s="24" t="str">
        <x:v>muraenolepis microps</x:v>
      </x:c>
      <x:c r="O21" s="32" t="n">
        <x:v>3.4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Muraenolepis microps</x:v>
      </x:c>
      <x:c r="T21" s="32" t="n">
        <x:f>IF(O21="","",(1/'Metadata'!$B$5)^(O21-1))</x:f>
        <x:v>251.18864315095797</x:v>
      </x:c>
      <x:c r="U21" s="31" t="n">
        <x:f>IF(T21="","",I21*T21)</x:f>
        <x:v>4.5914771830374965</x:v>
      </x:c>
    </x:row>
    <x:row r="22" ht="18" customHeight="1">
      <x:c r="A22" s="24" t="str">
        <x:v>EEZ_239</x:v>
      </x:c>
      <x:c r="B22" s="24" t="str">
        <x:v>South Georgia &amp; Sandwich Isl. (UK)</x:v>
      </x:c>
      <x:c r="C22" s="24" t="str">
        <x:v>EEZ</x:v>
      </x:c>
      <x:c r="D22" s="30" t="n">
        <x:v>2019</x:v>
      </x:c>
      <x:c r="E22" s="24" t="str">
        <x:v>Malacostraca</x:v>
      </x:c>
      <x:c r="F22" s="24" t="str">
        <x:v>Lobsters, crabs, shrimps, krill</x:v>
      </x:c>
      <x:c r="G22" s="24" t="str">
        <x:v>Shrimps</x:v>
      </x:c>
      <x:c r="H22" s="24" t="str">
        <x:v>Crustaceans</x:v>
      </x:c>
      <x:c r="I22" s="31" t="n">
        <x:v>0.01604</x:v>
      </x:c>
      <x:c r="J22" s="31" t="n">
        <x:v>0.01604</x:v>
      </x:c>
      <x:c r="K22" s="31" t="n">
        <x:v>0</x:v>
      </x:c>
      <x:c r="L22" s="31" t="n">
        <x:v>0.01604</x:v>
      </x:c>
      <x:c r="M22" s="31" t="n">
        <x:v>0</x:v>
      </x:c>
      <x:c r="N22" s="24" t="str">
        <x:v>malacostraca</x:v>
      </x:c>
      <x:c r="O22" s="32" t="n">
        <x:v>3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Malacostraca</x:v>
      </x:c>
      <x:c r="T22" s="32" t="n">
        <x:f>IF(O22="","",(1/'Metadata'!$B$5)^(O22-1))</x:f>
        <x:v>100</x:v>
      </x:c>
      <x:c r="U22" s="31" t="n">
        <x:f>IF(T22="","",I22*T22)</x:f>
        <x:v>1.6039999999999999</x:v>
      </x:c>
    </x:row>
    <x:row r="23" ht="18" customHeight="1">
      <x:c r="A23" s="24" t="str">
        <x:v>EEZ_239</x:v>
      </x:c>
      <x:c r="B23" s="24" t="str">
        <x:v>South Georgia &amp; Sandwich Isl. (UK)</x:v>
      </x:c>
      <x:c r="C23" s="24" t="str">
        <x:v>EEZ</x:v>
      </x:c>
      <x:c r="D23" s="30" t="n">
        <x:v>2019</x:v>
      </x:c>
      <x:c r="E23" s="24" t="str">
        <x:v>Protomyctophum choriodon</x:v>
      </x:c>
      <x:c r="F23" s="24" t="str">
        <x:v>Gaptooth lanternfish</x:v>
      </x:c>
      <x:c r="G23" s="24" t="str">
        <x:v>Large reef assoc. fish (&gt;=90 cm)</x:v>
      </x:c>
      <x:c r="H23" s="24" t="str">
        <x:v>Other fishes &amp; inverts</x:v>
      </x:c>
      <x:c r="I23" s="31" t="n">
        <x:v>0.01085</x:v>
      </x:c>
      <x:c r="J23" s="31" t="n">
        <x:v>0.01085</x:v>
      </x:c>
      <x:c r="K23" s="31" t="n">
        <x:v>0</x:v>
      </x:c>
      <x:c r="L23" s="31" t="n">
        <x:v>0.01085</x:v>
      </x:c>
      <x:c r="M23" s="31" t="n">
        <x:v>0</x:v>
      </x:c>
      <x:c r="N23" s="24" t="str">
        <x:v>protomyctophum choriodon</x:v>
      </x:c>
      <x:c r="O23" s="32" t="n">
        <x:v>4.2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Protomyctophum choriodon</x:v>
      </x:c>
      <x:c r="T23" s="32" t="n">
        <x:f>IF(O23="","",(1/'Metadata'!$B$5)^(O23-1))</x:f>
        <x:v>1584.893192461114</x:v>
      </x:c>
      <x:c r="U23" s="31" t="n">
        <x:f>IF(T23="","",I23*T23)</x:f>
        <x:v>17.196091138203087</x:v>
      </x:c>
    </x:row>
    <x:row r="24" ht="18" customHeight="1">
      <x:c r="A24" s="24" t="str">
        <x:v>EEZ_239</x:v>
      </x:c>
      <x:c r="B24" s="24" t="str">
        <x:v>South Georgia &amp; Sandwich Isl. (UK)</x:v>
      </x:c>
      <x:c r="C24" s="24" t="str">
        <x:v>EEZ</x:v>
      </x:c>
      <x:c r="D24" s="30" t="n">
        <x:v>2019</x:v>
      </x:c>
      <x:c r="E24" s="24" t="str">
        <x:v>Channichthyidae</x:v>
      </x:c>
      <x:c r="F24" s="24" t="str">
        <x:v>Crocodile icefishes</x:v>
      </x:c>
      <x:c r="G24" s="24" t="str">
        <x:v>Medium demersals (30 - 89 cm)</x:v>
      </x:c>
      <x:c r="H24" s="24" t="str">
        <x:v>Perch-likes</x:v>
      </x:c>
      <x:c r="I24" s="31" t="n">
        <x:v>0.009671</x:v>
      </x:c>
      <x:c r="J24" s="31" t="n">
        <x:v>0.009671</x:v>
      </x:c>
      <x:c r="K24" s="31" t="n">
        <x:v>0</x:v>
      </x:c>
      <x:c r="L24" s="31" t="n">
        <x:v>0.009671</x:v>
      </x:c>
      <x:c r="M24" s="31" t="n">
        <x:v>0</x:v>
      </x:c>
      <x:c r="N24" s="24" t="str">
        <x:v>channichthyidae</x:v>
      </x:c>
      <x:c r="O24" s="32" t="n">
        <x:v>3.34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Channichthyidae</x:v>
      </x:c>
      <x:c r="T24" s="32" t="n">
        <x:f>IF(O24="","",(1/'Metadata'!$B$5)^(O24-1))</x:f>
        <x:v>218.77616239495518</x:v>
      </x:c>
      <x:c r="U24" s="31" t="n">
        <x:f>IF(T24="","",I24*T24)</x:f>
        <x:v>2.1157842665216116</x:v>
      </x:c>
    </x:row>
    <x:row r="25" ht="18" customHeight="1">
      <x:c r="A25" s="24" t="str">
        <x:v>EEZ_239</x:v>
      </x:c>
      <x:c r="B25" s="24" t="str">
        <x:v>South Georgia &amp; Sandwich Isl. (UK)</x:v>
      </x:c>
      <x:c r="C25" s="24" t="str">
        <x:v>EEZ</x:v>
      </x:c>
      <x:c r="D25" s="30" t="n">
        <x:v>2019</x:v>
      </x:c>
      <x:c r="E25" s="24" t="str">
        <x:v>Bathydraconidae</x:v>
      </x:c>
      <x:c r="F25" s="24" t="str">
        <x:v>Antarctic dragonfishes</x:v>
      </x:c>
      <x:c r="G25" s="24" t="str">
        <x:v>Medium demersals (30 - 89 cm)</x:v>
      </x:c>
      <x:c r="H25" s="24" t="str">
        <x:v>Perch-likes</x:v>
      </x:c>
      <x:c r="I25" s="31" t="n">
        <x:v>0.0071990000000000005</x:v>
      </x:c>
      <x:c r="J25" s="31" t="n">
        <x:v>0.0071990000000000005</x:v>
      </x:c>
      <x:c r="K25" s="31" t="n">
        <x:v>0</x:v>
      </x:c>
      <x:c r="L25" s="31" t="n">
        <x:v>0.0071990000000000005</x:v>
      </x:c>
      <x:c r="M25" s="31" t="n">
        <x:v>0</x:v>
      </x:c>
      <x:c r="N25" s="24" t="str">
        <x:v>bathydraconidae</x:v>
      </x:c>
      <x:c r="O25" s="32" t="n">
        <x:v>3.63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Bathydraconidae</x:v>
      </x:c>
      <x:c r="T25" s="32" t="n">
        <x:f>IF(O25="","",(1/'Metadata'!$B$5)^(O25-1))</x:f>
        <x:v>426.57951880159254</x:v>
      </x:c>
      <x:c r="U25" s="31" t="n">
        <x:f>IF(T25="","",I25*T25)</x:f>
        <x:v>3.070945955852665</x:v>
      </x:c>
    </x:row>
    <x:row r="26" ht="18" customHeight="1">
      <x:c r="A26" s="24" t="str">
        <x:v>EEZ_239</x:v>
      </x:c>
      <x:c r="B26" s="24" t="str">
        <x:v>South Georgia &amp; Sandwich Isl. (UK)</x:v>
      </x:c>
      <x:c r="C26" s="24" t="str">
        <x:v>EEZ</x:v>
      </x:c>
      <x:c r="D26" s="30" t="n">
        <x:v>2019</x:v>
      </x:c>
      <x:c r="E26" s="24" t="str">
        <x:v>Mancopsetta maculata</x:v>
      </x:c>
      <x:c r="F26" s="24" t="str">
        <x:v>Antarctic armless flounder</x:v>
      </x:c>
      <x:c r="G26" s="24" t="str">
        <x:v>Small to medium flatfishes (&lt;90 cm)</x:v>
      </x:c>
      <x:c r="H26" s="24" t="str">
        <x:v>Flatfishes</x:v>
      </x:c>
      <x:c r="I26" s="31" t="n">
        <x:v>0.006339999999999999</x:v>
      </x:c>
      <x:c r="J26" s="31" t="n">
        <x:v>0.006339999999999999</x:v>
      </x:c>
      <x:c r="K26" s="31" t="n">
        <x:v>0</x:v>
      </x:c>
      <x:c r="L26" s="31" t="n">
        <x:v>0.006339999999999999</x:v>
      </x:c>
      <x:c r="M26" s="31" t="n">
        <x:v>0</x:v>
      </x:c>
      <x:c r="N26" s="24" t="str">
        <x:v>mancopsetta maculata</x:v>
      </x:c>
      <x:c r="O26" s="32" t="n">
        <x:v>3.66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Mancopsetta maculata</x:v>
      </x:c>
      <x:c r="T26" s="32" t="n">
        <x:f>IF(O26="","",(1/'Metadata'!$B$5)^(O26-1))</x:f>
        <x:v>457.0881896148752</x:v>
      </x:c>
      <x:c r="U26" s="31" t="n">
        <x:f>IF(T26="","",I26*T26)</x:f>
        <x:v>2.8979391221583084</x:v>
      </x:c>
    </x:row>
    <x:row r="27" ht="18" customHeight="1">
      <x:c r="A27" s="24" t="str">
        <x:v>EEZ_239</x:v>
      </x:c>
      <x:c r="B27" s="24" t="str">
        <x:v>South Georgia &amp; Sandwich Isl. (UK)</x:v>
      </x:c>
      <x:c r="C27" s="24" t="str">
        <x:v>EEZ</x:v>
      </x:c>
      <x:c r="D27" s="30" t="n">
        <x:v>2019</x:v>
      </x:c>
      <x:c r="E27" s="24" t="str">
        <x:v>Moridae</x:v>
      </x:c>
      <x:c r="F27" s="24" t="str">
        <x:v>Codlings, moras</x:v>
      </x:c>
      <x:c r="G27" s="24" t="str">
        <x:v>Medium benthopelagics (30 - 89 cm)</x:v>
      </x:c>
      <x:c r="H27" s="24" t="str">
        <x:v>Cod-likes</x:v>
      </x:c>
      <x:c r="I27" s="31" t="n">
        <x:v>0.0014</x:v>
      </x:c>
      <x:c r="J27" s="31" t="n">
        <x:v>0.0014</x:v>
      </x:c>
      <x:c r="K27" s="31" t="n">
        <x:v>0</x:v>
      </x:c>
      <x:c r="L27" s="31" t="n">
        <x:v>0.0014</x:v>
      </x:c>
      <x:c r="M27" s="31" t="n">
        <x:v>0</x:v>
      </x:c>
      <x:c r="N27" s="24" t="str">
        <x:v>moridae</x:v>
      </x:c>
      <x:c r="O27" s="32" t="n">
        <x:v>3.87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Moridae</x:v>
      </x:c>
      <x:c r="T27" s="32" t="n">
        <x:f>IF(O27="","",(1/'Metadata'!$B$5)^(O27-1))</x:f>
        <x:v>741.3102413009177</x:v>
      </x:c>
      <x:c r="U27" s="31" t="n">
        <x:f>IF(T27="","",I27*T27)</x:f>
        <x:v>1.0378343378212849</x:v>
      </x:c>
    </x:row>
    <x:row r="28" ht="18" customHeight="1">
      <x:c r="A28" s="24" t="str">
        <x:v>EEZ_239</x:v>
      </x:c>
      <x:c r="B28" s="24" t="str">
        <x:v>South Georgia &amp; Sandwich Isl. (UK)</x:v>
      </x:c>
      <x:c r="C28" s="24" t="str">
        <x:v>EEZ</x:v>
      </x:c>
      <x:c r="D28" s="30" t="n">
        <x:v>2019</x:v>
      </x:c>
      <x:c r="E28" s="24" t="str">
        <x:v>Gymnoscopelus bolini</x:v>
      </x:c>
      <x:c r="F28" s="24" t="str">
        <x:v>Grand lanternfish</x:v>
      </x:c>
      <x:c r="G28" s="24" t="str">
        <x:v>Small bathypelagics (&lt;30 cm)</x:v>
      </x:c>
      <x:c r="H28" s="24" t="str">
        <x:v>Other fishes &amp; inverts</x:v>
      </x:c>
      <x:c r="I28" s="31" t="n">
        <x:v>0.000984</x:v>
      </x:c>
      <x:c r="J28" s="31" t="n">
        <x:v>0.000984</x:v>
      </x:c>
      <x:c r="K28" s="31" t="n">
        <x:v>0</x:v>
      </x:c>
      <x:c r="L28" s="31" t="n">
        <x:v>0.000984</x:v>
      </x:c>
      <x:c r="M28" s="31" t="n">
        <x:v>0</x:v>
      </x:c>
      <x:c r="N28" s="24" t="str">
        <x:v>gymnoscopelus bolini</x:v>
      </x:c>
      <x:c r="O28" s="32" t="n">
        <x:v>3.29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Gymnoscopelus bolini</x:v>
      </x:c>
      <x:c r="T28" s="32" t="n">
        <x:f>IF(O28="","",(1/'Metadata'!$B$5)^(O28-1))</x:f>
        <x:v>194.98445997580455</x:v>
      </x:c>
      <x:c r="U28" s="31" t="n">
        <x:f>IF(T28="","",I28*T28)</x:f>
        <x:v>0.1918647086161917</x:v>
      </x:c>
    </x:row>
    <x:row r="29" ht="18" customHeight="1">
      <x:c r="A29" s="24" t="str">
        <x:v>EEZ_239</x:v>
      </x:c>
      <x:c r="B29" s="24" t="str">
        <x:v>South Georgia &amp; Sandwich Isl. (UK)</x:v>
      </x:c>
      <x:c r="C29" s="24" t="str">
        <x:v>EEZ</x:v>
      </x:c>
      <x:c r="D29" s="30" t="n">
        <x:v>2019</x:v>
      </x:c>
      <x:c r="E29" s="24" t="str">
        <x:v>Perciformes</x:v>
      </x:c>
      <x:c r="F29" s="24" t="str">
        <x:v>Perch-likes</x:v>
      </x:c>
      <x:c r="G29" s="24" t="str">
        <x:v>Medium demersals (30 - 89 cm)</x:v>
      </x:c>
      <x:c r="H29" s="24" t="str">
        <x:v>Perch-likes</x:v>
      </x:c>
      <x:c r="I29" s="31" t="n">
        <x:v>0.00052</x:v>
      </x:c>
      <x:c r="J29" s="31" t="n">
        <x:v>0.00052</x:v>
      </x:c>
      <x:c r="K29" s="31" t="n">
        <x:v>0</x:v>
      </x:c>
      <x:c r="L29" s="31" t="n">
        <x:v>0.00052</x:v>
      </x:c>
      <x:c r="M29" s="31" t="n">
        <x:v>0</x:v>
      </x:c>
      <x:c r="N29" s="24" t="str">
        <x:v>perciformes</x:v>
      </x:c>
      <x:c r="O29" s="32" t="n">
        <x:v>3.53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Perciformes</x:v>
      </x:c>
      <x:c r="T29" s="32" t="n">
        <x:f>IF(O29="","",(1/'Metadata'!$B$5)^(O29-1))</x:f>
        <x:v>338.84415613920237</x:v>
      </x:c>
      <x:c r="U29" s="31" t="n">
        <x:f>IF(T29="","",I29*T29)</x:f>
        <x:v>0.1761989611923852</x:v>
      </x:c>
    </x:row>
    <x:row r="30" ht="18" customHeight="1">
      <x:c r="A30" s="24" t="str">
        <x:v>EEZ_239</x:v>
      </x:c>
      <x:c r="B30" s="24" t="str">
        <x:v>South Georgia &amp; Sandwich Isl. (UK)</x:v>
      </x:c>
      <x:c r="C30" s="24" t="str">
        <x:v>EEZ</x:v>
      </x:c>
      <x:c r="D30" s="30" t="n">
        <x:v>2019</x:v>
      </x:c>
      <x:c r="E30" s="24" t="str">
        <x:v>Nototheniidae</x:v>
      </x:c>
      <x:c r="F30" s="24" t="str">
        <x:v>Cod icefishes</x:v>
      </x:c>
      <x:c r="G30" s="24" t="str">
        <x:v>Large bathydemersals (&gt;=90 cm)</x:v>
      </x:c>
      <x:c r="H30" s="24" t="str">
        <x:v>Perch-likes</x:v>
      </x:c>
      <x:c r="I30" s="31" t="n">
        <x:v>0.0002</x:v>
      </x:c>
      <x:c r="J30" s="31" t="n">
        <x:v>0.0002</x:v>
      </x:c>
      <x:c r="K30" s="31" t="n">
        <x:v>0</x:v>
      </x:c>
      <x:c r="L30" s="31" t="n">
        <x:v>0.0002</x:v>
      </x:c>
      <x:c r="M30" s="31" t="n">
        <x:v>0</x:v>
      </x:c>
      <x:c r="N30" s="24" t="str">
        <x:v>nototheniidae</x:v>
      </x:c>
      <x:c r="O30" s="32" t="n">
        <x:v>3.43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Nototheniidae</x:v>
      </x:c>
      <x:c r="T30" s="32" t="n">
        <x:f>IF(O30="","",(1/'Metadata'!$B$5)^(O30-1))</x:f>
        <x:v>269.1534803926917</x:v>
      </x:c>
      <x:c r="U30" s="31" t="n">
        <x:f>IF(T30="","",I30*T30)</x:f>
        <x:v>0.05383069607853834</x:v>
      </x:c>
    </x:row>
    <x:row r="31" ht="18" customHeight="1">
      <x:c r="A31" s="24" t="str">
        <x:v>EEZ_239</x:v>
      </x:c>
      <x:c r="B31" s="24" t="str">
        <x:v>South Georgia &amp; Sandwich Isl. (UK)</x:v>
      </x:c>
      <x:c r="C31" s="24" t="str">
        <x:v>EEZ</x:v>
      </x:c>
      <x:c r="D31" s="30" t="n">
        <x:v>2019</x:v>
      </x:c>
      <x:c r="E31" s="24" t="str">
        <x:v>Cephalopoda</x:v>
      </x:c>
      <x:c r="F31" s="24" t="str">
        <x:v>Squids, cuttlefishes, octopuses</x:v>
      </x:c>
      <x:c r="G31" s="24" t="str">
        <x:v>Cephalopods</x:v>
      </x:c>
      <x:c r="H31" s="24" t="str">
        <x:v>Other fishes &amp; inverts</x:v>
      </x:c>
      <x:c r="I31" s="31" t="n">
        <x:v>0.00018800000000000002</x:v>
      </x:c>
      <x:c r="J31" s="31" t="n">
        <x:v>0.00018800000000000002</x:v>
      </x:c>
      <x:c r="K31" s="31" t="n">
        <x:v>0</x:v>
      </x:c>
      <x:c r="L31" s="31" t="n">
        <x:v>0.00018800000000000002</x:v>
      </x:c>
      <x:c r="M31" s="31" t="n">
        <x:v>0</x:v>
      </x:c>
      <x:c r="N31" s="24" t="str">
        <x:v>cephalopoda</x:v>
      </x:c>
      <x:c r="O31" s="32" t="n">
        <x:v>3.81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Cephalopoda</x:v>
      </x:c>
      <x:c r="T31" s="32" t="n">
        <x:f>IF(O31="","",(1/'Metadata'!$B$5)^(O31-1))</x:f>
        <x:v>645.6542290346556</x:v>
      </x:c>
      <x:c r="U31" s="31" t="n">
        <x:f>IF(T31="","",I31*T31)</x:f>
        <x:v>0.12138299505851527</x:v>
      </x:c>
    </x:row>
    <x:row r="32" ht="18" customHeight="1">
      <x:c r="A32" s="24" t="str">
        <x:v>EEZ_239</x:v>
      </x:c>
      <x:c r="B32" s="24" t="str">
        <x:v>South Georgia &amp; Sandwich Isl. (UK)</x:v>
      </x:c>
      <x:c r="C32" s="24" t="str">
        <x:v>EEZ</x:v>
      </x:c>
      <x:c r="D32" s="30" t="n">
        <x:v>2019</x:v>
      </x:c>
      <x:c r="E32" s="24" t="str">
        <x:v>Miscellaneous aquatic invertebrates</x:v>
      </x:c>
      <x:c r="F32" s="24" t="str">
        <x:v>Aquatic invertebrates</x:v>
      </x:c>
      <x:c r="G32" s="24" t="str">
        <x:v>Other demersal invertebrates</x:v>
      </x:c>
      <x:c r="H32" s="24" t="str">
        <x:v>Other fishes &amp; inverts</x:v>
      </x:c>
      <x:c r="I32" s="31" t="n">
        <x:v>0.00015000000000000001</x:v>
      </x:c>
      <x:c r="J32" s="31" t="n">
        <x:v>0.00015000000000000001</x:v>
      </x:c>
      <x:c r="K32" s="31" t="n">
        <x:v>0</x:v>
      </x:c>
      <x:c r="L32" s="31" t="n">
        <x:v>0.00015000000000000001</x:v>
      </x:c>
      <x:c r="M32" s="31" t="n">
        <x:v>0</x:v>
      </x:c>
      <x:c r="N32" s="24" t="str">
        <x:v>miscellaneous aquatic invertebrates</x:v>
      </x:c>
      <x:c r="O32" s="32" t="n">
        <x:v>2.43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Miscellaneous aquatic invertebrates</x:v>
      </x:c>
      <x:c r="T32" s="32" t="n">
        <x:f>IF(O32="","",(1/'Metadata'!$B$5)^(O32-1))</x:f>
        <x:v>26.915348039269166</x:v>
      </x:c>
      <x:c r="U32" s="31" t="n">
        <x:f>IF(T32="","",I32*T32)</x:f>
        <x:v>0.0040373022058903755</x:v>
      </x:c>
    </x:row>
    <x:row r="33" ht="18" customHeight="1">
      <x:c r="A33" s="24" t="str">
        <x:v>EEZ_239</x:v>
      </x:c>
      <x:c r="B33" s="24" t="str">
        <x:v>South Georgia &amp; Sandwich Isl. (UK)</x:v>
      </x:c>
      <x:c r="C33" s="24" t="str">
        <x:v>EEZ</x:v>
      </x:c>
      <x:c r="D33" s="30" t="n">
        <x:v>2019</x:v>
      </x:c>
      <x:c r="E33" s="24" t="str">
        <x:v>Notolepis</x:v>
      </x:c>
      <x:c r="F33" s="24" t="str">
        <x:v>Barracudinas</x:v>
      </x:c>
      <x:c r="G33" s="24" t="str">
        <x:v>Large reef assoc. fish (&gt;=90 cm)</x:v>
      </x:c>
      <x:c r="H33" s="24" t="str">
        <x:v>Other fishes &amp; inverts</x:v>
      </x:c>
      <x:c r="I33" s="31" t="n">
        <x:v>0.000054999999999999995</x:v>
      </x:c>
      <x:c r="J33" s="31" t="n">
        <x:v>0.000054999999999999995</x:v>
      </x:c>
      <x:c r="K33" s="31" t="n">
        <x:v>0</x:v>
      </x:c>
      <x:c r="L33" s="31" t="n">
        <x:v>0.000054999999999999995</x:v>
      </x:c>
      <x:c r="M33" s="31" t="n">
        <x:v>0</x:v>
      </x:c>
      <x:c r="N33" s="24" t="str">
        <x:v>notolepis</x:v>
      </x:c>
      <x:c r="O33" s="32" t="n">
        <x:v>3.52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Notolepis</x:v>
      </x:c>
      <x:c r="T33" s="32" t="n">
        <x:f>IF(O33="","",(1/'Metadata'!$B$5)^(O33-1))</x:f>
        <x:v>331.1311214825911</x:v>
      </x:c>
      <x:c r="U33" s="31" t="n">
        <x:f>IF(T33="","",I33*T33)</x:f>
        <x:v>0.01821221168154251</x:v>
      </x:c>
    </x:row>
    <x:row r="34" ht="18" customHeight="1">
      <x:c r="A34" s="24" t="str">
        <x:v>EEZ_239</x:v>
      </x:c>
      <x:c r="B34" s="24" t="str">
        <x:v>South Georgia &amp; Sandwich Isl. (UK)</x:v>
      </x:c>
      <x:c r="C34" s="24" t="str">
        <x:v>EEZ</x:v>
      </x:c>
      <x:c r="D34" s="30" t="n">
        <x:v>2019</x:v>
      </x:c>
      <x:c r="E34" s="24" t="str">
        <x:v>Electrona carlsbergi</x:v>
      </x:c>
      <x:c r="F34" s="24" t="str">
        <x:v>Electron subantarctic</x:v>
      </x:c>
      <x:c r="G34" s="24" t="str">
        <x:v>Small bathypelagics (&lt;30 cm)</x:v>
      </x:c>
      <x:c r="H34" s="24" t="str">
        <x:v>Other fishes &amp; inverts</x:v>
      </x:c>
      <x:c r="I34" s="31" t="n">
        <x:v>0.000026</x:v>
      </x:c>
      <x:c r="J34" s="31" t="n">
        <x:v>0.000026</x:v>
      </x:c>
      <x:c r="K34" s="31" t="n">
        <x:v>0</x:v>
      </x:c>
      <x:c r="L34" s="31" t="n">
        <x:v>0.000026</x:v>
      </x:c>
      <x:c r="M34" s="31" t="n">
        <x:v>0</x:v>
      </x:c>
      <x:c r="N34" s="24" t="str">
        <x:v>electrona carlsbergi</x:v>
      </x:c>
      <x:c r="O34" s="32" t="n">
        <x:v>3.24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Electrona carlsbergi</x:v>
      </x:c>
      <x:c r="T34" s="32" t="n">
        <x:f>IF(O34="","",(1/'Metadata'!$B$5)^(O34-1))</x:f>
        <x:v>173.78008287493762</x:v>
      </x:c>
      <x:c r="U34" s="31" t="n">
        <x:f>IF(T34="","",I34*T34)</x:f>
        <x:v>0.0045182821547483775</x:v>
      </x:c>
    </x:row>
  </x:sheetData>
  <x:conditionalFormatting sqref="R2:R3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c3034ac85374bd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5</x:v>
      </x:c>
      <x:c r="C2" s="33" t="n">
        <x:v>5</x:v>
      </x:c>
      <x:c r="D2" s="31" t="n">
        <x:v>153.92195999989997</x:v>
      </x:c>
      <x:c r="E2" s="31" t="n">
        <x:v>153.92195999989997</x:v>
      </x:c>
      <x:c r="F2" s="32" t="n">
        <x:v>0</x:v>
      </x:c>
      <x:c r="G2" s="34" t="n">
        <x:v>1</x:v>
      </x:c>
      <x:c r="H2" s="32" t="n">
        <x:f>IF(E2=0,"",I2/E2)</x:f>
        <x:v>380.01506072591064</x:v>
      </x:c>
      <x:c r="I2" s="31" t="n">
        <x:f>IF(C2=0,"",SUMIF('Species'!$H$2:$H$34,A2,'Species'!$U$2:$U$34))</x:f>
        <x:v>58492.66297641318</x:v>
      </x:c>
      <x:c r="J2" s="32" t="n">
        <x:v>3.5797547970414225</x:v>
      </x:c>
      <x:c r="K2" s="32" t="n">
        <x:f>IF(J2="","",(1/'Metadata'!$B$5)^(J2-1))</x:f>
        <x:v>379.9748017157727</x:v>
      </x:c>
      <x:c r="L2" s="31" t="n">
        <x:f>IF(E2=0,"",E2*K2)</x:f>
        <x:v>58486.466230665086</x:v>
      </x:c>
      <x:c r="M2" s="31" t="n">
        <x:f>IF(E2=0,"",I2-L2)</x:f>
        <x:v>6.196745748093235</x:v>
      </x:c>
      <x:c r="N2" s="32" t="n">
        <x:f>IF(L2=0,"",I2/L2)</x:f>
        <x:v>1.0001059517893192</x:v>
      </x:c>
      <x:c r="O2" s="34" t="n">
        <x:f>IF(L2=0,"",M2/L2)</x:f>
        <x:v>0.00010595178931915388</x:v>
      </x:c>
    </x:row>
    <x:row r="3" ht="18" customHeight="1">
      <x:c r="A3" s="24" t="str">
        <x:v>Crustaceans</x:v>
      </x:c>
      <x:c r="B3" s="33" t="n">
        <x:v>3</x:v>
      </x:c>
      <x:c r="C3" s="33" t="n">
        <x:v>3</x:v>
      </x:c>
      <x:c r="D3" s="31" t="n">
        <x:v>140433.5621519943</x:v>
      </x:c>
      <x:c r="E3" s="31" t="n">
        <x:v>140433.5621519943</x:v>
      </x:c>
      <x:c r="F3" s="32" t="n">
        <x:v>0</x:v>
      </x:c>
      <x:c r="G3" s="34" t="n">
        <x:v>1</x:v>
      </x:c>
      <x:c r="H3" s="32" t="n">
        <x:f>IF(E3=0,"",I3/E3)</x:f>
        <x:v>17.782803777247842</x:v>
      </x:c>
      <x:c r="I3" s="31" t="n">
        <x:f>IF(C3=0,"",SUMIF('Species'!$H$2:$H$34,A3,'Species'!$U$2:$U$34))</x:f>
        <x:v>2497302.479488854</x:v>
      </x:c>
      <x:c r="J3" s="32" t="n">
        <x:v>2.2500000922582166</x:v>
      </x:c>
      <x:c r="K3" s="32" t="n">
        <x:f>IF(J3="","",(1/'Metadata'!$B$5)^(J3-1))</x:f>
        <x:v>17.782797878031158</x:v>
      </x:c>
      <x:c r="L3" s="31" t="n">
        <x:f>IF(E3=0,"",E3*K3)</x:f>
        <x:v>2497301.651040841</x:v>
      </x:c>
      <x:c r="M3" s="31" t="n">
        <x:f>IF(E3=0,"",I3-L3)</x:f>
        <x:v>0.8284480129368603</x:v>
      </x:c>
      <x:c r="N3" s="32" t="n">
        <x:f>IF(L3=0,"",I3/L3)</x:f>
        <x:v>1.0000003317372623</x:v>
      </x:c>
      <x:c r="O3" s="34" t="n">
        <x:f>IF(L3=0,"",M3/L3)</x:f>
        <x:v>3.3173726233335675e-7</x:v>
      </x:c>
    </x:row>
    <x:row r="4" ht="18" customHeight="1">
      <x:c r="A4" s="24" t="str">
        <x:v>Flatfishes</x:v>
      </x:c>
      <x:c r="B4" s="33" t="n">
        <x:v>1</x:v>
      </x:c>
      <x:c r="C4" s="33" t="n">
        <x:v>1</x:v>
      </x:c>
      <x:c r="D4" s="31" t="n">
        <x:v>0.006339999999999999</x:v>
      </x:c>
      <x:c r="E4" s="31" t="n">
        <x:v>0.006339999999999999</x:v>
      </x:c>
      <x:c r="F4" s="32" t="n">
        <x:v>0</x:v>
      </x:c>
      <x:c r="G4" s="34" t="n">
        <x:v>1</x:v>
      </x:c>
      <x:c r="H4" s="32" t="n">
        <x:f>IF(E4=0,"",I4/E4)</x:f>
        <x:v>457.0881896148752</x:v>
      </x:c>
      <x:c r="I4" s="31" t="n">
        <x:f>IF(C4=0,"",SUMIF('Species'!$H$2:$H$34,A4,'Species'!$U$2:$U$34))</x:f>
        <x:v>2.8979391221583084</x:v>
      </x:c>
      <x:c r="J4" s="32" t="n">
        <x:v>3.6599999999999997</x:v>
      </x:c>
      <x:c r="K4" s="32" t="n">
        <x:f>IF(J4="","",(1/'Metadata'!$B$5)^(J4-1))</x:f>
        <x:v>457.0881896148747</x:v>
      </x:c>
      <x:c r="L4" s="31" t="n">
        <x:f>IF(E4=0,"",E4*K4)</x:f>
        <x:v>2.8979391221583053</x:v>
      </x:c>
      <x:c r="M4" s="31" t="n">
        <x:f>IF(E4=0,"",I4-L4)</x:f>
        <x:v>3.1086244689504383e-15</x:v>
      </x:c>
      <x:c r="N4" s="32" t="n">
        <x:f>IF(L4=0,"",I4/L4)</x:f>
        <x:v>1.000000000000001</x:v>
      </x:c>
      <x:c r="O4" s="34" t="n">
        <x:f>IF(L4=0,"",M4/L4)</x:f>
        <x:v>1.0727017849274971e-15</x:v>
      </x:c>
    </x:row>
    <x:row r="5" ht="18" customHeight="1">
      <x:c r="A5" s="24" t="str">
        <x:v>Other fishes &amp; inverts</x:v>
      </x:c>
      <x:c r="B5" s="33" t="n">
        <x:v>8</x:v>
      </x:c>
      <x:c r="C5" s="33" t="n">
        <x:v>8</x:v>
      </x:c>
      <x:c r="D5" s="31" t="n">
        <x:v>0.339173</x:v>
      </x:c>
      <x:c r="E5" s="31" t="n">
        <x:v>0.339173</x:v>
      </x:c>
      <x:c r="F5" s="32" t="n">
        <x:v>0</x:v>
      </x:c>
      <x:c r="G5" s="34" t="n">
        <x:v>1</x:v>
      </x:c>
      <x:c r="H5" s="32" t="n">
        <x:f>IF(E5=0,"",I5/E5)</x:f>
        <x:v>237.45128596314802</x:v>
      </x:c>
      <x:c r="I5" s="31" t="n">
        <x:f>IF(C5=0,"",SUMIF('Species'!$H$2:$H$34,A5,'Species'!$U$2:$U$34))</x:f>
        <x:v>80.5370650139788</x:v>
      </x:c>
      <x:c r="J5" s="32" t="n">
        <x:v>3.314059727631622</x:v>
      </x:c>
      <x:c r="K5" s="32" t="n">
        <x:f>IF(J5="","",(1/'Metadata'!$B$5)^(J5-1))</x:f>
        <x:v>206.0913326974568</x:v>
      </x:c>
      <x:c r="L5" s="31" t="n">
        <x:f>IF(E5=0,"",E5*K5)</x:f>
        <x:v>69.90061558499451</x:v>
      </x:c>
      <x:c r="M5" s="31" t="n">
        <x:f>IF(E5=0,"",I5-L5)</x:f>
        <x:v>10.636449428984292</x:v>
      </x:c>
      <x:c r="N5" s="32" t="n">
        <x:f>IF(L5=0,"",I5/L5)</x:f>
        <x:v>1.1521653184305805</x:v>
      </x:c>
      <x:c r="O5" s="34" t="n">
        <x:f>IF(L5=0,"",M5/L5)</x:f>
        <x:v>0.15216531843058057</x:v>
      </x:c>
    </x:row>
    <x:row r="6" ht="18" customHeight="1">
      <x:c r="A6" s="24" t="str">
        <x:v>Perch-likes</x:v>
      </x:c>
      <x:c r="B6" s="33" t="n">
        <x:v>15</x:v>
      </x:c>
      <x:c r="C6" s="33" t="n">
        <x:v>15</x:v>
      </x:c>
      <x:c r="D6" s="31" t="n">
        <x:v>2232.1181610000003</x:v>
      </x:c>
      <x:c r="E6" s="31" t="n">
        <x:v>2232.1181610000003</x:v>
      </x:c>
      <x:c r="F6" s="32" t="n">
        <x:v>0</x:v>
      </x:c>
      <x:c r="G6" s="34" t="n">
        <x:v>1</x:v>
      </x:c>
      <x:c r="H6" s="32" t="n">
        <x:f>IF(E6=0,"",I6/E6)</x:f>
        <x:v>925.9806739309306</x:v>
      </x:c>
      <x:c r="I6" s="31" t="n">
        <x:f>IF(C6=0,"",SUMIF('Species'!$H$2:$H$34,A6,'Species'!$U$2:$U$34))</x:f>
        <x:v>2066898.2790162498</x:v>
      </x:c>
      <x:c r="J6" s="32" t="n">
        <x:v>3.9615930742700485</x:v>
      </x:c>
      <x:c r="K6" s="32" t="n">
        <x:f>IF(J6="","",(1/'Metadata'!$B$5)^(J6-1))</x:f>
        <x:v>915.3624108860344</x:v>
      </x:c>
      <x:c r="L6" s="31" t="n">
        <x:f>IF(E6=0,"",E6*K6)</x:f>
        <x:v>2043197.0612354616</x:v>
      </x:c>
      <x:c r="M6" s="31" t="n">
        <x:f>IF(E6=0,"",I6-L6)</x:f>
        <x:v>23701.217780788196</x:v>
      </x:c>
      <x:c r="N6" s="32" t="n">
        <x:f>IF(L6=0,"",I6/L6)</x:f>
        <x:v>1.0116000645412326</x:v>
      </x:c>
      <x:c r="O6" s="34" t="n">
        <x:f>IF(L6=0,"",M6/L6)</x:f>
        <x:v>0.011600064541232632</x:v>
      </x:c>
    </x:row>
    <x:row r="7" ht="18" customHeight="1">
      <x:c r="A7" s="24" t="str">
        <x:v>Sharks &amp; rays</x:v>
      </x:c>
      <x:c r="B7" s="33" t="n">
        <x:v>1</x:v>
      </x:c>
      <x:c r="C7" s="33" t="n">
        <x:v>1</x:v>
      </x:c>
      <x:c r="D7" s="31" t="n">
        <x:v>4.0106201935</x:v>
      </x:c>
      <x:c r="E7" s="31" t="n">
        <x:v>4.0106201935</x:v>
      </x:c>
      <x:c r="F7" s="32" t="n">
        <x:v>0</x:v>
      </x:c>
      <x:c r="G7" s="34" t="n">
        <x:v>1</x:v>
      </x:c>
      <x:c r="H7" s="32" t="n">
        <x:f>IF(E7=0,"",I7/E7)</x:f>
        <x:v>407.3802778041126</x:v>
      </x:c>
      <x:c r="I7" s="31" t="n">
        <x:f>IF(C7=0,"",SUMIF('Species'!$H$2:$H$34,A7,'Species'!$U$2:$U$34))</x:f>
        <x:v>1633.847568594814</x:v>
      </x:c>
      <x:c r="J7" s="32" t="n">
        <x:v>3.61</x:v>
      </x:c>
      <x:c r="K7" s="32" t="n">
        <x:f>IF(J7="","",(1/'Metadata'!$B$5)^(J7-1))</x:f>
        <x:v>407.3802778041126</x:v>
      </x:c>
      <x:c r="L7" s="31" t="n">
        <x:f>IF(E7=0,"",E7*K7)</x:f>
        <x:v>1633.847568594814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04d2191f24843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0.00018800000000000002</x:v>
      </x:c>
      <x:c r="E2" s="31" t="n">
        <x:v>0.00018800000000000002</x:v>
      </x:c>
      <x:c r="F2" s="32" t="n">
        <x:v>0</x:v>
      </x:c>
      <x:c r="G2" s="34" t="n">
        <x:v>1</x:v>
      </x:c>
      <x:c r="H2" s="32" t="n">
        <x:f>IF(E2=0,"",I2/E2)</x:f>
        <x:v>645.6542290346556</x:v>
      </x:c>
      <x:c r="I2" s="31" t="n">
        <x:f>IF(C2=0,"",SUMIF('Species'!$G$2:$G$34,A2,'Species'!$U$2:$U$34))</x:f>
        <x:v>0.12138299505851527</x:v>
      </x:c>
      <x:c r="J2" s="32" t="n">
        <x:v>3.8099999999999996</x:v>
      </x:c>
      <x:c r="K2" s="32" t="n">
        <x:f>IF(J2="","",(1/'Metadata'!$B$5)^(J2-1))</x:f>
        <x:v>645.6542290346549</x:v>
      </x:c>
      <x:c r="L2" s="31" t="n">
        <x:f>IF(E2=0,"",E2*K2)</x:f>
        <x:v>0.12138299505851513</x:v>
      </x:c>
      <x:c r="M2" s="31" t="n">
        <x:f>IF(E2=0,"",I2-L2)</x:f>
        <x:v>1.3877787807814457e-16</x:v>
      </x:c>
      <x:c r="N2" s="32" t="n">
        <x:f>IF(L2=0,"",I2/L2)</x:f>
        <x:v>1.000000000000001</x:v>
      </x:c>
      <x:c r="O2" s="34" t="n">
        <x:f>IF(L2=0,"",M2/L2)</x:f>
        <x:v>1.14330576545128e-15</x:v>
      </x:c>
    </x:row>
    <x:row r="3" ht="18" customHeight="1">
      <x:c r="A3" s="24" t="str">
        <x:v>Krill</x:v>
      </x:c>
      <x:c r="B3" s="33" t="n">
        <x:v>1</x:v>
      </x:c>
      <x:c r="C3" s="33" t="n">
        <x:v>1</x:v>
      </x:c>
      <x:c r="D3" s="31" t="n">
        <x:v>140433.5275889943</x:v>
      </x:c>
      <x:c r="E3" s="31" t="n">
        <x:v>140433.5275889943</x:v>
      </x:c>
      <x:c r="F3" s="32" t="n">
        <x:v>0</x:v>
      </x:c>
      <x:c r="G3" s="34" t="n">
        <x:v>1</x:v>
      </x:c>
      <x:c r="H3" s="32" t="n">
        <x:f>IF(E3=0,"",I3/E3)</x:f>
        <x:v>17.78279410038923</x:v>
      </x:c>
      <x:c r="I3" s="31" t="n">
        <x:f>IF(C3=0,"",SUMIF('Species'!$G$2:$G$34,A3,'Species'!$U$2:$U$34))</x:f>
        <x:v>2497300.5059064156</x:v>
      </x:c>
      <x:c r="J3" s="32" t="n">
        <x:v>2.25</x:v>
      </x:c>
      <x:c r="K3" s="32" t="n">
        <x:f>IF(J3="","",(1/'Metadata'!$B$5)^(J3-1))</x:f>
        <x:v>17.78279410038923</x:v>
      </x:c>
      <x:c r="L3" s="31" t="n">
        <x:f>IF(E3=0,"",E3*K3)</x:f>
        <x:v>2497300.5059064156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bathydemersals (&gt;=90 cm)</x:v>
      </x:c>
      <x:c r="B4" s="33" t="n">
        <x:v>2</x:v>
      </x:c>
      <x:c r="C4" s="33" t="n">
        <x:v>2</x:v>
      </x:c>
      <x:c r="D4" s="31" t="n">
        <x:v>2142.0203309999997</x:v>
      </x:c>
      <x:c r="E4" s="31" t="n">
        <x:v>2142.0203309999997</x:v>
      </x:c>
      <x:c r="F4" s="32" t="n">
        <x:v>0</x:v>
      </x:c>
      <x:c r="G4" s="34" t="n">
        <x:v>1</x:v>
      </x:c>
      <x:c r="H4" s="32" t="n">
        <x:f>IF(E4=0,"",I4/E4)</x:f>
        <x:v>912.0107793324495</x:v>
      </x:c>
      <x:c r="I4" s="31" t="n">
        <x:f>IF(C4=0,"",SUMIF('Species'!$G$2:$G$34,A4,'Species'!$U$2:$U$34))</x:f>
        <x:v>1953545.6314212612</x:v>
      </x:c>
      <x:c r="J4" s="32" t="n">
        <x:v>3.9599999505140087</x:v>
      </x:c>
      <x:c r="K4" s="32" t="n">
        <x:f>IF(J4="","",(1/'Metadata'!$B$5)^(J4-1))</x:f>
        <x:v>912.0107354361967</x:v>
      </x:c>
      <x:c r="L4" s="31" t="n">
        <x:f>IF(E4=0,"",E4*K4)</x:f>
        <x:v>1953545.537394595</x:v>
      </x:c>
      <x:c r="M4" s="31" t="n">
        <x:f>IF(E4=0,"",I4-L4)</x:f>
        <x:v>0.09402666613459587</x:v>
      </x:c>
      <x:c r="N4" s="32" t="n">
        <x:f>IF(L4=0,"",I4/L4)</x:f>
        <x:v>1.0000000481312896</x:v>
      </x:c>
      <x:c r="O4" s="34" t="n">
        <x:f>IF(L4=0,"",M4/L4)</x:f>
        <x:v>4.8131289665250074e-8</x:v>
      </x:c>
    </x:row>
    <x:row r="5" ht="18" customHeight="1">
      <x:c r="A5" s="24" t="str">
        <x:v>Large benthopelagics (&gt;=90 cm)</x:v>
      </x:c>
      <x:c r="B5" s="33" t="n">
        <x:v>1</x:v>
      </x:c>
      <x:c r="C5" s="33" t="n">
        <x:v>1</x:v>
      </x:c>
      <x:c r="D5" s="31" t="n">
        <x:v>65.30474</x:v>
      </x:c>
      <x:c r="E5" s="31" t="n">
        <x:v>65.30474</x:v>
      </x:c>
      <x:c r="F5" s="32" t="n">
        <x:v>0</x:v>
      </x:c>
      <x:c r="G5" s="34" t="n">
        <x:v>1</x:v>
      </x:c>
      <x:c r="H5" s="32" t="n">
        <x:f>IF(E5=0,"",I5/E5)</x:f>
        <x:v>1621.8100973589299</x:v>
      </x:c>
      <x:c r="I5" s="31" t="n">
        <x:f>IF(C5=0,"",SUMIF('Species'!$G$2:$G$34,A5,'Species'!$U$2:$U$34))</x:f>
        <x:v>105911.88673739959</x:v>
      </x:c>
      <x:c r="J5" s="32" t="n">
        <x:v>4.21</x:v>
      </x:c>
      <x:c r="K5" s="32" t="n">
        <x:f>IF(J5="","",(1/'Metadata'!$B$5)^(J5-1))</x:f>
        <x:v>1621.8100973589299</x:v>
      </x:c>
      <x:c r="L5" s="31" t="n">
        <x:f>IF(E5=0,"",E5*K5)</x:f>
        <x:v>105911.88673739959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rays (&gt;=90 cm)</x:v>
      </x:c>
      <x:c r="B6" s="33" t="n">
        <x:v>1</x:v>
      </x:c>
      <x:c r="C6" s="33" t="n">
        <x:v>1</x:v>
      </x:c>
      <x:c r="D6" s="31" t="n">
        <x:v>4.0106201935</x:v>
      </x:c>
      <x:c r="E6" s="31" t="n">
        <x:v>4.0106201935</x:v>
      </x:c>
      <x:c r="F6" s="32" t="n">
        <x:v>0</x:v>
      </x:c>
      <x:c r="G6" s="34" t="n">
        <x:v>1</x:v>
      </x:c>
      <x:c r="H6" s="32" t="n">
        <x:f>IF(E6=0,"",I6/E6)</x:f>
        <x:v>407.3802778041126</x:v>
      </x:c>
      <x:c r="I6" s="31" t="n">
        <x:f>IF(C6=0,"",SUMIF('Species'!$G$2:$G$34,A6,'Species'!$U$2:$U$34))</x:f>
        <x:v>1633.847568594814</x:v>
      </x:c>
      <x:c r="J6" s="32" t="n">
        <x:v>3.61</x:v>
      </x:c>
      <x:c r="K6" s="32" t="n">
        <x:f>IF(J6="","",(1/'Metadata'!$B$5)^(J6-1))</x:f>
        <x:v>407.3802778041126</x:v>
      </x:c>
      <x:c r="L6" s="31" t="n">
        <x:f>IF(E6=0,"",E6*K6)</x:f>
        <x:v>1633.847568594814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reef assoc. fish (&gt;=90 cm)</x:v>
      </x:c>
      <x:c r="B7" s="33" t="n">
        <x:v>2</x:v>
      </x:c>
      <x:c r="C7" s="33" t="n">
        <x:v>2</x:v>
      </x:c>
      <x:c r="D7" s="31" t="n">
        <x:v>0.010905</x:v>
      </x:c>
      <x:c r="E7" s="31" t="n">
        <x:v>0.010905</x:v>
      </x:c>
      <x:c r="F7" s="32" t="n">
        <x:v>0</x:v>
      </x:c>
      <x:c r="G7" s="34" t="n">
        <x:v>1</x:v>
      </x:c>
      <x:c r="H7" s="32" t="n">
        <x:f>IF(E7=0,"",I7/E7)</x:f>
        <x:v>1578.5697707367842</x:v>
      </x:c>
      <x:c r="I7" s="31" t="n">
        <x:f>IF(C7=0,"",SUMIF('Species'!$G$2:$G$34,A7,'Species'!$U$2:$U$34))</x:f>
        <x:v>17.21430334988463</x:v>
      </x:c>
      <x:c r="J7" s="32" t="n">
        <x:v>4.196570380559377</x:v>
      </x:c>
      <x:c r="K7" s="32" t="n">
        <x:f>IF(J7="","",(1/'Metadata'!$B$5)^(J7-1))</x:f>
        <x:v>1572.4265949095022</x:v>
      </x:c>
      <x:c r="L7" s="31" t="n">
        <x:f>IF(E7=0,"",E7*K7)</x:f>
        <x:v>17.147312017488122</x:v>
      </x:c>
      <x:c r="M7" s="31" t="n">
        <x:f>IF(E7=0,"",I7-L7)</x:f>
        <x:v>0.06699133239650834</x:v>
      </x:c>
      <x:c r="N7" s="32" t="n">
        <x:f>IF(L7=0,"",I7/L7)</x:f>
        <x:v>1.0039068124688106</x:v>
      </x:c>
      <x:c r="O7" s="34" t="n">
        <x:f>IF(L7=0,"",M7/L7)</x:f>
        <x:v>0.0039068124688105945</x:v>
      </x:c>
    </x:row>
    <x:row r="8" ht="18" customHeight="1">
      <x:c r="A8" s="24" t="str">
        <x:v>Lobsters, crabs</x:v>
      </x:c>
      <x:c r="B8" s="33" t="n">
        <x:v>1</x:v>
      </x:c>
      <x:c r="C8" s="33" t="n">
        <x:v>1</x:v>
      </x:c>
      <x:c r="D8" s="31" t="n">
        <x:v>0.018522999999999998</x:v>
      </x:c>
      <x:c r="E8" s="31" t="n">
        <x:v>0.018522999999999998</x:v>
      </x:c>
      <x:c r="F8" s="32" t="n">
        <x:v>0</x:v>
      </x:c>
      <x:c r="G8" s="34" t="n">
        <x:v>1</x:v>
      </x:c>
      <x:c r="H8" s="32" t="n">
        <x:f>IF(E8=0,"",I8/E8)</x:f>
        <x:v>19.952623149688787</x:v>
      </x:c>
      <x:c r="I8" s="31" t="n">
        <x:f>IF(C8=0,"",SUMIF('Species'!$G$2:$G$34,A8,'Species'!$U$2:$U$34))</x:f>
        <x:v>0.3695824386016853</x:v>
      </x:c>
      <x:c r="J8" s="32" t="n">
        <x:v>2.3</x:v>
      </x:c>
      <x:c r="K8" s="32" t="n">
        <x:f>IF(J8="","",(1/'Metadata'!$B$5)^(J8-1))</x:f>
        <x:v>19.952623149688787</x:v>
      </x:c>
      <x:c r="L8" s="31" t="n">
        <x:f>IF(E8=0,"",E8*K8)</x:f>
        <x:v>0.3695824386016853</x:v>
      </x:c>
      <x:c r="M8" s="31" t="n">
        <x:f>IF(E8=0,"",I8-L8)</x:f>
        <x:v>0</x:v>
      </x:c>
      <x:c r="N8" s="32" t="n">
        <x:f>IF(L8=0,"",I8/L8)</x:f>
        <x:v>1</x:v>
      </x:c>
      <x:c r="O8" s="34" t="n">
        <x:f>IF(L8=0,"",M8/L8)</x:f>
        <x:v>0</x:v>
      </x:c>
    </x:row>
    <x:row r="9" ht="18" customHeight="1">
      <x:c r="A9" s="24" t="str">
        <x:v>Medium bathypelagics (30 - 89 cm)</x:v>
      </x:c>
      <x:c r="B9" s="33" t="n">
        <x:v>1</x:v>
      </x:c>
      <x:c r="C9" s="33" t="n">
        <x:v>1</x:v>
      </x:c>
      <x:c r="D9" s="31" t="n">
        <x:v>41.40867</x:v>
      </x:c>
      <x:c r="E9" s="31" t="n">
        <x:v>41.40867</x:v>
      </x:c>
      <x:c r="F9" s="32" t="n">
        <x:v>0</x:v>
      </x:c>
      <x:c r="G9" s="34" t="n">
        <x:v>1</x:v>
      </x:c>
      <x:c r="H9" s="32" t="n">
        <x:f>IF(E9=0,"",I9/E9)</x:f>
        <x:v>380.1893963205613</x:v>
      </x:c>
      <x:c r="I9" s="31" t="n">
        <x:f>IF(C9=0,"",SUMIF('Species'!$G$2:$G$34,A9,'Species'!$U$2:$U$34))</x:f>
        <x:v>15743.137249737338</x:v>
      </x:c>
      <x:c r="J9" s="32" t="n">
        <x:v>3.58</x:v>
      </x:c>
      <x:c r="K9" s="32" t="n">
        <x:f>IF(J9="","",(1/'Metadata'!$B$5)^(J9-1))</x:f>
        <x:v>380.1893963205613</x:v>
      </x:c>
      <x:c r="L9" s="31" t="n">
        <x:f>IF(E9=0,"",E9*K9)</x:f>
        <x:v>15743.137249737338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  <x:row r="10" ht="18" customHeight="1">
      <x:c r="A10" s="24" t="str">
        <x:v>Medium benthopelagics (30 - 89 cm)</x:v>
      </x:c>
      <x:c r="B10" s="33" t="n">
        <x:v>4</x:v>
      </x:c>
      <x:c r="C10" s="33" t="n">
        <x:v>4</x:v>
      </x:c>
      <x:c r="D10" s="31" t="n">
        <x:v>113.34850700000001</x:v>
      </x:c>
      <x:c r="E10" s="31" t="n">
        <x:v>113.34850700000001</x:v>
      </x:c>
      <x:c r="F10" s="32" t="n">
        <x:v>0</x:v>
      </x:c>
      <x:c r="G10" s="34" t="n">
        <x:v>1</x:v>
      </x:c>
      <x:c r="H10" s="32" t="n">
        <x:f>IF(E10=0,"",I10/E10)</x:f>
        <x:v>378.037067545796</x:v>
      </x:c>
      <x:c r="I10" s="31" t="n">
        <x:f>IF(C10=0,"",SUMIF('Species'!$G$2:$G$34,A10,'Species'!$U$2:$U$34))</x:f>
        <x:v>42849.93719697413</x:v>
      </x:c>
      <x:c r="J10" s="32" t="n">
        <x:v>3.5760064322682252</x:v>
      </x:c>
      <x:c r="K10" s="32" t="n">
        <x:f>IF(J10="","",(1/'Metadata'!$B$5)^(J10-1))</x:f>
        <x:v>376.70937832677726</x:v>
      </x:c>
      <x:c r="L10" s="31" t="n">
        <x:f>IF(E10=0,"",E10*K10)</x:f>
        <x:v>42699.44560623836</x:v>
      </x:c>
      <x:c r="M10" s="31" t="n">
        <x:f>IF(E10=0,"",I10-L10)</x:f>
        <x:v>150.49159073577175</x:v>
      </x:c>
      <x:c r="N10" s="32" t="n">
        <x:f>IF(L10=0,"",I10/L10)</x:f>
        <x:v>1.0035244389850764</x:v>
      </x:c>
      <x:c r="O10" s="34" t="n">
        <x:f>IF(L10=0,"",M10/L10)</x:f>
        <x:v>0.0035244389850763082</x:v>
      </x:c>
    </x:row>
    <x:row r="11" ht="18" customHeight="1">
      <x:c r="A11" s="24" t="str">
        <x:v>Medium demersals (30 - 89 cm)</x:v>
      </x:c>
      <x:c r="B11" s="33" t="n">
        <x:v>9</x:v>
      </x:c>
      <x:c r="C11" s="33" t="n">
        <x:v>9</x:v>
      </x:c>
      <x:c r="D11" s="31" t="n">
        <x:v>9.954397</x:v>
      </x:c>
      <x:c r="E11" s="31" t="n">
        <x:v>9.954397</x:v>
      </x:c>
      <x:c r="F11" s="32" t="n">
        <x:v>0</x:v>
      </x:c>
      <x:c r="G11" s="34" t="n">
        <x:v>1</x:v>
      </x:c>
      <x:c r="H11" s="32" t="n">
        <x:f>IF(E11=0,"",I11/E11)</x:f>
        <x:v>312.5045721669937</x:v>
      </x:c>
      <x:c r="I11" s="31" t="n">
        <x:f>IF(C11=0,"",SUMIF('Species'!$G$2:$G$34,A11,'Species'!$U$2:$U$34))</x:f>
        <x:v>3110.7945756654053</x:v>
      </x:c>
      <x:c r="J11" s="32" t="n">
        <x:v>3.4828689663472328</x:v>
      </x:c>
      <x:c r="K11" s="32" t="n">
        <x:f>IF(J11="","",(1/'Metadata'!$B$5)^(J11-1))</x:f>
        <x:v>303.99676799936594</x:v>
      </x:c>
      <x:c r="L11" s="31" t="n">
        <x:f>IF(E11=0,"",E11*K11)</x:f>
        <x:v>3026.1045153825844</x:v>
      </x:c>
      <x:c r="M11" s="31" t="n">
        <x:f>IF(E11=0,"",I11-L11)</x:f>
        <x:v>84.69006028282092</x:v>
      </x:c>
      <x:c r="N11" s="32" t="n">
        <x:f>IF(L11=0,"",I11/L11)</x:f>
        <x:v>1.0279864954605225</x:v>
      </x:c>
      <x:c r="O11" s="34" t="n">
        <x:f>IF(L11=0,"",M11/L11)</x:f>
        <x:v>0.027986495460522363</x:v>
      </x:c>
    </x:row>
    <x:row r="12" ht="18" customHeight="1">
      <x:c r="A12" s="24" t="str">
        <x:v>Medium pelagics (30 - 89 cm)</x:v>
      </x:c>
      <x:c r="B12" s="33" t="n">
        <x:v>2</x:v>
      </x:c>
      <x:c r="C12" s="33" t="n">
        <x:v>2</x:v>
      </x:c>
      <x:c r="D12" s="31" t="n">
        <x:v>6.3391519998999994</x:v>
      </x:c>
      <x:c r="E12" s="31" t="n">
        <x:v>6.3391519998999994</x:v>
      </x:c>
      <x:c r="F12" s="32" t="n">
        <x:v>0</x:v>
      </x:c>
      <x:c r="G12" s="34" t="n">
        <x:v>1</x:v>
      </x:c>
      <x:c r="H12" s="32" t="n">
        <x:f>IF(E12=0,"",I12/E12)</x:f>
        <x:v>170.05897984883876</x:v>
      </x:c>
      <x:c r="I12" s="31" t="n">
        <x:f>IF(C12=0,"",SUMIF('Species'!$G$2:$G$34,A12,'Species'!$U$2:$U$34))</x:f>
        <x:v>1078.02972220972</x:v>
      </x:c>
      <x:c r="J12" s="32" t="n">
        <x:v>3.2304901964778647</x:v>
      </x:c>
      <x:c r="K12" s="32" t="n">
        <x:f>IF(J12="","",(1/'Metadata'!$B$5)^(J12-1))</x:f>
        <x:v>170.01615747072128</x:v>
      </x:c>
      <x:c r="L12" s="31" t="n">
        <x:f>IF(E12=0,"",E12*K12)</x:f>
        <x:v>1077.758264645836</x:v>
      </x:c>
      <x:c r="M12" s="31" t="n">
        <x:f>IF(E12=0,"",I12-L12)</x:f>
        <x:v>0.27145756388381415</x:v>
      </x:c>
      <x:c r="N12" s="32" t="n">
        <x:f>IF(L12=0,"",I12/L12)</x:f>
        <x:v>1.0002518724029206</x:v>
      </x:c>
      <x:c r="O12" s="34" t="n">
        <x:f>IF(L12=0,"",M12/L12)</x:f>
        <x:v>0.0002518724029205364</x:v>
      </x:c>
    </x:row>
    <x:row r="13" ht="18" customHeight="1">
      <x:c r="A13" s="24" t="str">
        <x:v>Other demersal invertebrates</x:v>
      </x:c>
      <x:c r="B13" s="33" t="n">
        <x:v>1</x:v>
      </x:c>
      <x:c r="C13" s="33" t="n">
        <x:v>1</x:v>
      </x:c>
      <x:c r="D13" s="31" t="n">
        <x:v>0.00015000000000000001</x:v>
      </x:c>
      <x:c r="E13" s="31" t="n">
        <x:v>0.00015000000000000001</x:v>
      </x:c>
      <x:c r="F13" s="32" t="n">
        <x:v>0</x:v>
      </x:c>
      <x:c r="G13" s="34" t="n">
        <x:v>1</x:v>
      </x:c>
      <x:c r="H13" s="32" t="n">
        <x:f>IF(E13=0,"",I13/E13)</x:f>
        <x:v>26.91534803926917</x:v>
      </x:c>
      <x:c r="I13" s="31" t="n">
        <x:f>IF(C13=0,"",SUMIF('Species'!$G$2:$G$34,A13,'Species'!$U$2:$U$34))</x:f>
        <x:v>0.0040373022058903755</x:v>
      </x:c>
      <x:c r="J13" s="32" t="n">
        <x:v>2.43</x:v>
      </x:c>
      <x:c r="K13" s="32" t="n">
        <x:f>IF(J13="","",(1/'Metadata'!$B$5)^(J13-1))</x:f>
        <x:v>26.915348039269166</x:v>
      </x:c>
      <x:c r="L13" s="31" t="n">
        <x:f>IF(E13=0,"",E13*K13)</x:f>
        <x:v>0.0040373022058903755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Shrimps</x:v>
      </x:c>
      <x:c r="B14" s="33" t="n">
        <x:v>1</x:v>
      </x:c>
      <x:c r="C14" s="33" t="n">
        <x:v>1</x:v>
      </x:c>
      <x:c r="D14" s="31" t="n">
        <x:v>0.01604</x:v>
      </x:c>
      <x:c r="E14" s="31" t="n">
        <x:v>0.01604</x:v>
      </x:c>
      <x:c r="F14" s="32" t="n">
        <x:v>0</x:v>
      </x:c>
      <x:c r="G14" s="34" t="n">
        <x:v>1</x:v>
      </x:c>
      <x:c r="H14" s="32" t="n">
        <x:f>IF(E14=0,"",I14/E14)</x:f>
        <x:v>100</x:v>
      </x:c>
      <x:c r="I14" s="31" t="n">
        <x:f>IF(C14=0,"",SUMIF('Species'!$G$2:$G$34,A14,'Species'!$U$2:$U$34))</x:f>
        <x:v>1.6039999999999999</x:v>
      </x:c>
      <x:c r="J14" s="32" t="n">
        <x:v>3</x:v>
      </x:c>
      <x:c r="K14" s="32" t="n">
        <x:f>IF(J14="","",(1/'Metadata'!$B$5)^(J14-1))</x:f>
        <x:v>100</x:v>
      </x:c>
      <x:c r="L14" s="31" t="n">
        <x:f>IF(E14=0,"",E14*K14)</x:f>
        <x:v>1.6039999999999999</x:v>
      </x:c>
      <x:c r="M14" s="31" t="n">
        <x:f>IF(E14=0,"",I14-L14)</x:f>
        <x:v>0</x:v>
      </x:c>
      <x:c r="N14" s="32" t="n">
        <x:f>IF(L14=0,"",I14/L14)</x:f>
        <x:v>1</x:v>
      </x:c>
      <x:c r="O14" s="34" t="n">
        <x:f>IF(L14=0,"",M14/L14)</x:f>
        <x:v>0</x:v>
      </x:c>
    </x:row>
    <x:row r="15" ht="18" customHeight="1">
      <x:c r="A15" s="24" t="str">
        <x:v>Small bathypelagics (&lt;30 cm)</x:v>
      </x:c>
      <x:c r="B15" s="33" t="n">
        <x:v>2</x:v>
      </x:c>
      <x:c r="C15" s="33" t="n">
        <x:v>2</x:v>
      </x:c>
      <x:c r="D15" s="31" t="n">
        <x:v>0.00101</x:v>
      </x:c>
      <x:c r="E15" s="31" t="n">
        <x:v>0.00101</x:v>
      </x:c>
      <x:c r="F15" s="32" t="n">
        <x:v>0</x:v>
      </x:c>
      <x:c r="G15" s="34" t="n">
        <x:v>1</x:v>
      </x:c>
      <x:c r="H15" s="32" t="n">
        <x:f>IF(E15=0,"",I15/E15)</x:f>
        <x:v>194.43860472370304</x:v>
      </x:c>
      <x:c r="I15" s="31" t="n">
        <x:f>IF(C15=0,"",SUMIF('Species'!$G$2:$G$34,A15,'Species'!$U$2:$U$34))</x:f>
        <x:v>0.19638299077094007</x:v>
      </x:c>
      <x:c r="J15" s="32" t="n">
        <x:v>3.288712871287129</x:v>
      </x:c>
      <x:c r="K15" s="32" t="n">
        <x:f>IF(J15="","",(1/'Metadata'!$B$5)^(J15-1))</x:f>
        <x:v>194.4074354645533</x:v>
      </x:c>
      <x:c r="L15" s="31" t="n">
        <x:f>IF(E15=0,"",E15*K15)</x:f>
        <x:v>0.19635150981919883</x:v>
      </x:c>
      <x:c r="M15" s="31" t="n">
        <x:f>IF(E15=0,"",I15-L15)</x:f>
        <x:v>0.00003148095174124177</x:v>
      </x:c>
      <x:c r="N15" s="32" t="n">
        <x:f>IF(L15=0,"",I15/L15)</x:f>
        <x:v>1.0001603295628856</x:v>
      </x:c>
      <x:c r="O15" s="34" t="n">
        <x:f>IF(L15=0,"",M15/L15)</x:f>
        <x:v>0.00016032956288561032</x:v>
      </x:c>
    </x:row>
    <x:row r="16" ht="18" customHeight="1">
      <x:c r="A16" s="24" t="str">
        <x:v>Small benthopelagics (&lt;30 cm)</x:v>
      </x:c>
      <x:c r="B16" s="33" t="n">
        <x:v>2</x:v>
      </x:c>
      <x:c r="C16" s="33" t="n">
        <x:v>2</x:v>
      </x:c>
      <x:c r="D16" s="31" t="n">
        <x:v>7.912444</x:v>
      </x:c>
      <x:c r="E16" s="31" t="n">
        <x:v>7.912444</x:v>
      </x:c>
      <x:c r="F16" s="32" t="n">
        <x:v>0</x:v>
      </x:c>
      <x:c r="G16" s="34" t="n">
        <x:v>1</x:v>
      </x:c>
      <x:c r="H16" s="32" t="n">
        <x:f>IF(E16=0,"",I16/E16)</x:f>
        <x:v>404.2750104455553</x:v>
      </x:c>
      <x:c r="I16" s="31" t="n">
        <x:f>IF(C16=0,"",SUMIF('Species'!$G$2:$G$34,A16,'Species'!$U$2:$U$34))</x:f>
        <x:v>3198.8033807498714</x:v>
      </x:c>
      <x:c r="J16" s="32" t="n">
        <x:v>3.602014521682555</x:v>
      </x:c>
      <x:c r="K16" s="32" t="n">
        <x:f>IF(J16="","",(1/'Metadata'!$B$5)^(J16-1))</x:f>
        <x:v>399.9581231011668</x:v>
      </x:c>
      <x:c r="L16" s="31" t="n">
        <x:f>IF(E16=0,"",E16*K16)</x:f>
        <x:v>3164.6462513830884</x:v>
      </x:c>
      <x:c r="M16" s="31" t="n">
        <x:f>IF(E16=0,"",I16-L16)</x:f>
        <x:v>34.15712936678301</x:v>
      </x:c>
      <x:c r="N16" s="32" t="n">
        <x:f>IF(L16=0,"",I16/L16)</x:f>
        <x:v>1.0107933483408627</x:v>
      </x:c>
      <x:c r="O16" s="34" t="n">
        <x:f>IF(L16=0,"",M16/L16)</x:f>
        <x:v>0.010793348340862697</x:v>
      </x:c>
    </x:row>
    <x:row r="17" ht="18" customHeight="1">
      <x:c r="A17" s="24" t="str">
        <x:v>Small pelagics (&lt;30 cm)</x:v>
      </x:c>
      <x:c r="B17" s="33" t="n">
        <x:v>1</x:v>
      </x:c>
      <x:c r="C17" s="33" t="n">
        <x:v>1</x:v>
      </x:c>
      <x:c r="D17" s="31" t="n">
        <x:v>0.07880000000000001</x:v>
      </x:c>
      <x:c r="E17" s="31" t="n">
        <x:v>0.07880000000000001</x:v>
      </x:c>
      <x:c r="F17" s="32" t="n">
        <x:v>0</x:v>
      </x:c>
      <x:c r="G17" s="34" t="n">
        <x:v>1</x:v>
      </x:c>
      <x:c r="H17" s="32" t="n">
        <x:f>IF(E17=0,"",I17/E17)</x:f>
        <x:v>199.52623149688787</x:v>
      </x:c>
      <x:c r="I17" s="31" t="n">
        <x:f>IF(C17=0,"",SUMIF('Species'!$G$2:$G$34,A17,'Species'!$U$2:$U$34))</x:f>
        <x:v>15.722667041954766</x:v>
      </x:c>
      <x:c r="J17" s="32" t="n">
        <x:v>3.2999999999999994</x:v>
      </x:c>
      <x:c r="K17" s="32" t="n">
        <x:f>IF(J17="","",(1/'Metadata'!$B$5)^(J17-1))</x:f>
        <x:v>199.52623149688768</x:v>
      </x:c>
      <x:c r="L17" s="31" t="n">
        <x:f>IF(E17=0,"",E17*K17)</x:f>
        <x:v>15.72266704195475</x:v>
      </x:c>
      <x:c r="M17" s="31" t="n">
        <x:f>IF(E17=0,"",I17-L17)</x:f>
        <x:v>1.5987211554602254e-14</x:v>
      </x:c>
      <x:c r="N17" s="32" t="n">
        <x:f>IF(L17=0,"",I17/L17)</x:f>
        <x:v>1.000000000000001</x:v>
      </x:c>
      <x:c r="O17" s="34" t="n">
        <x:f>IF(L17=0,"",M17/L17)</x:f>
        <x:v>1.0168256767087662e-15</x:v>
      </x:c>
    </x:row>
    <x:row r="18" ht="18" customHeight="1">
      <x:c r="A18" s="24" t="str">
        <x:v>Small to medium flatfishes (&lt;90 cm)</x:v>
      </x:c>
      <x:c r="B18" s="33" t="n">
        <x:v>1</x:v>
      </x:c>
      <x:c r="C18" s="33" t="n">
        <x:v>1</x:v>
      </x:c>
      <x:c r="D18" s="31" t="n">
        <x:v>0.006339999999999999</x:v>
      </x:c>
      <x:c r="E18" s="31" t="n">
        <x:v>0.006339999999999999</x:v>
      </x:c>
      <x:c r="F18" s="32" t="n">
        <x:v>0</x:v>
      </x:c>
      <x:c r="G18" s="34" t="n">
        <x:v>1</x:v>
      </x:c>
      <x:c r="H18" s="32" t="n">
        <x:f>IF(E18=0,"",I18/E18)</x:f>
        <x:v>457.0881896148752</x:v>
      </x:c>
      <x:c r="I18" s="31" t="n">
        <x:f>IF(C18=0,"",SUMIF('Species'!$G$2:$G$34,A18,'Species'!$U$2:$U$34))</x:f>
        <x:v>2.8979391221583084</x:v>
      </x:c>
      <x:c r="J18" s="32" t="n">
        <x:v>3.6599999999999997</x:v>
      </x:c>
      <x:c r="K18" s="32" t="n">
        <x:f>IF(J18="","",(1/'Metadata'!$B$5)^(J18-1))</x:f>
        <x:v>457.0881896148747</x:v>
      </x:c>
      <x:c r="L18" s="31" t="n">
        <x:f>IF(E18=0,"",E18*K18)</x:f>
        <x:v>2.8979391221583053</x:v>
      </x:c>
      <x:c r="M18" s="31" t="n">
        <x:f>IF(E18=0,"",I18-L18)</x:f>
        <x:v>3.1086244689504383e-15</x:v>
      </x:c>
      <x:c r="N18" s="32" t="n">
        <x:f>IF(L18=0,"",I18/L18)</x:f>
        <x:v>1.000000000000001</x:v>
      </x:c>
      <x:c r="O18" s="34" t="n">
        <x:f>IF(L18=0,"",M18/L18)</x:f>
        <x:v>1.0727017849274971e-15</x:v>
      </x:c>
    </x:row>
  </x:sheetData>
  <x:conditionalFormatting sqref="G2:G18">
    <x:cfRule type="cellIs" dxfId="2" priority="1" operator="lessThan">
      <x:formula>0.9</x:formula>
    </x:cfRule>
  </x:conditionalFormatting>
  <x:conditionalFormatting sqref="O2:O1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0f5b3663e9943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EEZ_239</x:v>
      </x:c>
      <x:c r="B2" s="24" t="str">
        <x:v>raw_filtered_tonnes</x:v>
      </x:c>
      <x:c r="C2" s="24" t="n">
        <x:v>142823.9584061877</x:v>
      </x:c>
      <x:c r="D2" s="24" t="str">
        <x:v>tonnes</x:v>
      </x:c>
    </x:row>
    <x:row r="3" ht="18" customHeight="1">
      <x:c r="A3" s="24" t="str">
        <x:v>EEZ_239</x:v>
      </x:c>
      <x:c r="B3" s="24" t="str">
        <x:v>species_catch_tonnes</x:v>
      </x:c>
      <x:c r="C3" s="24" t="n">
        <x:v>142823.95840618768</x:v>
      </x:c>
      <x:c r="D3" s="24" t="str">
        <x:v>tonnes</x:v>
      </x:c>
    </x:row>
    <x:row r="4" ht="18" customHeight="1">
      <x:c r="A4" s="24" t="str">
        <x:v>EEZ_239</x:v>
      </x:c>
      <x:c r="B4" s="24" t="str">
        <x:v>catch_difference_tonnes</x:v>
      </x:c>
      <x:c r="C4" s="24" t="n">
        <x:v>-2.9103830456733704e-11</x:v>
      </x:c>
      <x:c r="D4" s="24" t="str">
        <x:v>tonnes</x:v>
      </x:c>
    </x:row>
    <x:row r="5" ht="18" customHeight="1">
      <x:c r="A5" s="24" t="str">
        <x:v>EEZ_239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EEZ_239</x:v>
      </x:c>
      <x:c r="B6" s="24" t="str">
        <x:v>matched_catch_tonnes</x:v>
      </x:c>
      <x:c r="C6" s="24" t="n">
        <x:v>142823.95840618768</x:v>
      </x:c>
      <x:c r="D6" s="24" t="str">
        <x:v>tonnes</x:v>
      </x:c>
    </x:row>
    <x:row r="7" ht="18" customHeight="1">
      <x:c r="A7" s="24" t="str">
        <x:v>EEZ_239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EEZ_239</x:v>
      </x:c>
      <x:c r="B8" s="24" t="str">
        <x:v>taxa_count</x:v>
      </x:c>
      <x:c r="C8" s="24" t="n">
        <x:v>33</x:v>
      </x:c>
      <x:c r="D8" s="24" t="str">
        <x:v>count</x:v>
      </x:c>
    </x:row>
    <x:row r="9" ht="18" customHeight="1">
      <x:c r="A9" s="24" t="str">
        <x:v>EEZ_239</x:v>
      </x:c>
      <x:c r="B9" s="24" t="str">
        <x:v>matched_taxa_count</x:v>
      </x:c>
      <x:c r="C9" s="24" t="n">
        <x:v>33</x:v>
      </x:c>
      <x:c r="D9" s="24" t="str">
        <x:v>count</x:v>
      </x:c>
    </x:row>
    <x:row r="10" ht="18" customHeight="1">
      <x:c r="A10" s="24" t="str">
        <x:v>EEZ_239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EEZ_239</x:v>
      </x:c>
      <x:c r="B11" s="24" t="str">
        <x:v>species_ppr</x:v>
      </x:c>
      <x:c r="C11" s="24" t="n">
        <x:v>4624410.7040542485</x:v>
      </x:c>
      <x:c r="D11" s="24" t="str">
        <x:v>tonnes_primary_production_equivalent</x:v>
      </x:c>
    </x:row>
    <x:row r="12" ht="18" customHeight="1">
      <x:c r="A12" s="24" t="str">
        <x:v>EEZ_239</x:v>
      </x:c>
      <x:c r="B12" s="24" t="str">
        <x:v>commercial_ppr</x:v>
      </x:c>
      <x:c r="C12" s="24" t="n">
        <x:v>4624410.704054248</x:v>
      </x:c>
      <x:c r="D12" s="24" t="str">
        <x:v>tonnes_primary_production_equivalent</x:v>
      </x:c>
    </x:row>
    <x:row r="13" ht="18" customHeight="1">
      <x:c r="A13" s="24" t="str">
        <x:v>EEZ_239</x:v>
      </x:c>
      <x:c r="B13" s="24" t="str">
        <x:v>functional_ppr</x:v>
      </x:c>
      <x:c r="C13" s="24" t="n">
        <x:v>4624410.7040542485</x:v>
      </x:c>
      <x:c r="D13" s="24" t="str">
        <x:v>tonnes_primary_production_equivalent</x:v>
      </x:c>
    </x:row>
    <x:row r="14" ht="18" customHeight="1">
      <x:c r="A14" s="24" t="str">
        <x:v>EEZ_239</x:v>
      </x:c>
      <x:c r="B14" s="24" t="str">
        <x:v>commercial_ppr_difference</x:v>
      </x:c>
      <x:c r="C14" s="24" t="n">
        <x:v>-9.313225746154785e-10</x:v>
      </x:c>
      <x:c r="D14" s="24" t="str">
        <x:v>tonnes_primary_production_equivalent</x:v>
      </x:c>
    </x:row>
    <x:row r="15" ht="18" customHeight="1">
      <x:c r="A15" s="24" t="str">
        <x:v>EEZ_239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EEZ_239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EEZ_239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EEZ_239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EEZ_239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15a253e1e0e44e9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EEZ_239 - South Georgia &amp; Sandwich Isl.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EEZ_239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raw_data/SAU_downloads/EEZ_239-catch.zip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