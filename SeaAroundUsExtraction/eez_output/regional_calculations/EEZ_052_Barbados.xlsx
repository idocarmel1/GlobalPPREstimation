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f4445e2bd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3ec72998fe4459c"/>
    <x:sheet xmlns:r="http://schemas.openxmlformats.org/officeDocument/2006/relationships" name="Commercial" sheetId="2" r:id="R7f390449ad8e4d86"/>
    <x:sheet xmlns:r="http://schemas.openxmlformats.org/officeDocument/2006/relationships" name="Functional" sheetId="3" r:id="R71f7eea519db4914"/>
    <x:sheet xmlns:r="http://schemas.openxmlformats.org/officeDocument/2006/relationships" name="Missing TL" sheetId="4" r:id="R00f1402c525c4bf9"/>
    <x:sheet xmlns:r="http://schemas.openxmlformats.org/officeDocument/2006/relationships" name="Validation" sheetId="5" r:id="R379ff5dfe33c4505"/>
    <x:sheet xmlns:r="http://schemas.openxmlformats.org/officeDocument/2006/relationships" name="Metadata" sheetId="6" r:id="R79e73b6418d9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4c7ed89404ad1" /><Relationship Type="http://schemas.openxmlformats.org/officeDocument/2006/relationships/theme" Target="/xl/theme/theme1.xml" Id="R312d7d9603aa4da6" /><Relationship Type="http://schemas.microsoft.com/office/2022/11/relationships/FeaturePropertyBag" Target="/xl/featurePropertyBag/featurePropertyBag.xml" Id="Rbbbe5f5c4f7b4b77" /><Relationship Type="http://schemas.openxmlformats.org/officeDocument/2006/relationships/sharedStrings" Target="/xl/sharedStrings.xml" Id="Rbe2959ccf7114f72" /><Relationship Type="http://schemas.openxmlformats.org/officeDocument/2006/relationships/worksheet" Target="/xl/worksheets/sheet1.xml" Id="R13ec72998fe4459c" /><Relationship Type="http://schemas.openxmlformats.org/officeDocument/2006/relationships/worksheet" Target="/xl/worksheets/sheet2.xml" Id="R7f390449ad8e4d86" /><Relationship Type="http://schemas.openxmlformats.org/officeDocument/2006/relationships/worksheet" Target="/xl/worksheets/sheet3.xml" Id="R71f7eea519db4914" /><Relationship Type="http://schemas.openxmlformats.org/officeDocument/2006/relationships/worksheet" Target="/xl/worksheets/sheet4.xml" Id="R00f1402c525c4bf9" /><Relationship Type="http://schemas.openxmlformats.org/officeDocument/2006/relationships/worksheet" Target="/xl/worksheets/sheet5.xml" Id="R379ff5dfe33c4505" /><Relationship Type="http://schemas.openxmlformats.org/officeDocument/2006/relationships/worksheet" Target="/xl/worksheets/sheet6.xml" Id="R79e73b6418d944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52SpeciesTable" displayName="EEZ052SpeciesTable" ref="A1:U48" headerRowCount="1" totalsRowCount="0" totalsRowShown="0">
  <x:autoFilter ref="A1:U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52CommercialTable" displayName="EEZ052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52FunctionalTable" displayName="EEZ052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52ValidationTable" displayName="EEZ05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04142dfc7440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5c2ee4cd7144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4efe7f58be4f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3dca6d0b8142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EEZ_052</x:v>
      </x:c>
      <x:c r="B2" s="24" t="str">
        <x:v>Barbados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1676.4378774005</x:v>
      </x:c>
      <x:c r="J2" s="31" t="n">
        <x:v>1636.443030081</x:v>
      </x:c>
      <x:c r="K2" s="31" t="n">
        <x:v>39.9948473195</x:v>
      </x:c>
      <x:c r="L2" s="31" t="n">
        <x:v>907.1477617850001</x:v>
      </x:c>
      <x:c r="M2" s="31" t="n">
        <x:v>769.2901156155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319438.65214923373</x:v>
      </x:c>
    </x:row>
    <x:row r="3" ht="18" customHeight="1">
      <x:c r="A3" s="24" t="str">
        <x:v>EEZ_052</x:v>
      </x:c>
      <x:c r="B3" s="24" t="str">
        <x:v>Barbados</x:v>
      </x:c>
      <x:c r="C3" s="24" t="str">
        <x:v>EEZ</x:v>
      </x:c>
      <x:c r="D3" s="30" t="n">
        <x:v>2019</x:v>
      </x:c>
      <x:c r="E3" s="24" t="str">
        <x:v>Coryphaena</x:v>
      </x:c>
      <x:c r="F3" s="24" t="str">
        <x:v>Dolphinfishes</x:v>
      </x:c>
      <x:c r="G3" s="24" t="str">
        <x:v>Large pelagics (&gt;=90 cm)</x:v>
      </x:c>
      <x:c r="H3" s="24" t="str">
        <x:v>Perch-likes</x:v>
      </x:c>
      <x:c r="I3" s="31" t="n">
        <x:v>330.749103918</x:v>
      </x:c>
      <x:c r="J3" s="31" t="n">
        <x:v>330.749103918</x:v>
      </x:c>
      <x:c r="K3" s="31" t="n">
        <x:v>0</x:v>
      </x:c>
      <x:c r="L3" s="31" t="n">
        <x:v>246.96080641</x:v>
      </x:c>
      <x:c r="M3" s="31" t="n">
        <x:v>83.788297508</x:v>
      </x:c>
      <x:c r="N3" s="24" t="str">
        <x:v>coryphaena</x:v>
      </x:c>
      <x:c r="O3" s="32" t="n">
        <x:v>4.49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Coryphaena</x:v>
      </x:c>
      <x:c r="T3" s="32" t="n">
        <x:f>IF(O3="","",(1/'Metadata'!$B$5)^(O3-1))</x:f>
        <x:v>3090.295432513592</x:v>
      </x:c>
      <x:c r="U3" s="31" t="n">
        <x:f>IF(T3="","",I3*T3)</x:f>
        <x:v>1022112.4451457588</x:v>
      </x:c>
    </x:row>
    <x:row r="4" ht="18" customHeight="1">
      <x:c r="A4" s="24" t="str">
        <x:v>EEZ_052</x:v>
      </x:c>
      <x:c r="B4" s="24" t="str">
        <x:v>Barbados</x:v>
      </x:c>
      <x:c r="C4" s="24" t="str">
        <x:v>EEZ</x:v>
      </x:c>
      <x:c r="D4" s="30" t="n">
        <x:v>2019</x:v>
      </x:c>
      <x:c r="E4" s="24" t="str">
        <x:v>Acanthurus</x:v>
      </x:c>
      <x:c r="F4" s="24" t="str">
        <x:v>Surgeonfishes</x:v>
      </x:c>
      <x:c r="G4" s="24" t="str">
        <x:v>Small reef assoc. fish (&lt;30 cm)</x:v>
      </x:c>
      <x:c r="H4" s="24" t="str">
        <x:v>Perch-likes</x:v>
      </x:c>
      <x:c r="I4" s="31" t="n">
        <x:v>165.382110264</x:v>
      </x:c>
      <x:c r="J4" s="31" t="n">
        <x:v>165.382110264</x:v>
      </x:c>
      <x:c r="K4" s="31" t="n">
        <x:v>0</x:v>
      </x:c>
      <x:c r="L4" s="31" t="n">
        <x:v>11.554177585</x:v>
      </x:c>
      <x:c r="M4" s="31" t="n">
        <x:v>153.827932679</x:v>
      </x:c>
      <x:c r="N4" s="24" t="str">
        <x:v>acanthurus</x:v>
      </x:c>
      <x:c r="O4" s="32" t="n">
        <x:v>2.03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Acanthurus</x:v>
      </x:c>
      <x:c r="T4" s="32" t="n">
        <x:f>IF(O4="","",(1/'Metadata'!$B$5)^(O4-1))</x:f>
        <x:v>10.71519305237606</x:v>
      </x:c>
      <x:c r="U4" s="31" t="n">
        <x:f>IF(T4="","",I4*T4)</x:f>
        <x:v>1772.1012388881043</x:v>
      </x:c>
    </x:row>
    <x:row r="5" ht="18" customHeight="1">
      <x:c r="A5" s="24" t="str">
        <x:v>EEZ_052</x:v>
      </x:c>
      <x:c r="B5" s="24" t="str">
        <x:v>Barbados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140.424421721</x:v>
      </x:c>
      <x:c r="J5" s="31" t="n">
        <x:v>140.424421721</x:v>
      </x:c>
      <x:c r="K5" s="31" t="n">
        <x:v>0</x:v>
      </x:c>
      <x:c r="L5" s="31" t="n">
        <x:v>9.80074068</x:v>
      </x:c>
      <x:c r="M5" s="31" t="n">
        <x:v>130.623681041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157558.7926056434</x:v>
      </x:c>
    </x:row>
    <x:row r="6" ht="18" customHeight="1">
      <x:c r="A6" s="24" t="str">
        <x:v>EEZ_052</x:v>
      </x:c>
      <x:c r="B6" s="24" t="str">
        <x:v>Barbados</x:v>
      </x:c>
      <x:c r="C6" s="24" t="str">
        <x:v>EEZ</x:v>
      </x:c>
      <x:c r="D6" s="30" t="n">
        <x:v>2019</x:v>
      </x:c>
      <x:c r="E6" s="24" t="str">
        <x:v>Balistidae</x:v>
      </x:c>
      <x:c r="F6" s="24" t="str">
        <x:v>Triggerfishes</x:v>
      </x:c>
      <x:c r="G6" s="24" t="str">
        <x:v>Medium reef assoc. fish (30 - 89 cm)</x:v>
      </x:c>
      <x:c r="H6" s="24" t="str">
        <x:v>Other fishes &amp; inverts</x:v>
      </x:c>
      <x:c r="I6" s="31" t="n">
        <x:v>124.045750054</x:v>
      </x:c>
      <x:c r="J6" s="31" t="n">
        <x:v>124.045750054</x:v>
      </x:c>
      <x:c r="K6" s="31" t="n">
        <x:v>0</x:v>
      </x:c>
      <x:c r="L6" s="31" t="n">
        <x:v>8.666273654</x:v>
      </x:c>
      <x:c r="M6" s="31" t="n">
        <x:v>115.3794764</x:v>
      </x:c>
      <x:c r="N6" s="24" t="str">
        <x:v>balistidae</x:v>
      </x:c>
      <x:c r="O6" s="32" t="n">
        <x:v>3.25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Balistidae</x:v>
      </x:c>
      <x:c r="T6" s="32" t="n">
        <x:f>IF(O6="","",(1/'Metadata'!$B$5)^(O6-1))</x:f>
        <x:v>177.82794100389228</x:v>
      </x:c>
      <x:c r="U6" s="31" t="n">
        <x:f>IF(T6="","",I6*T6)</x:f>
        <x:v>22058.80032238628</x:v>
      </x:c>
    </x:row>
    <x:row r="7" ht="18" customHeight="1">
      <x:c r="A7" s="24" t="str">
        <x:v>EEZ_052</x:v>
      </x:c>
      <x:c r="B7" s="24" t="str">
        <x:v>Barbados</x:v>
      </x:c>
      <x:c r="C7" s="24" t="str">
        <x:v>EEZ</x:v>
      </x:c>
      <x:c r="D7" s="30" t="n">
        <x:v>2019</x:v>
      </x:c>
      <x:c r="E7" s="24" t="str">
        <x:v>Carcharhinidae</x:v>
      </x:c>
      <x:c r="F7" s="24" t="str">
        <x:v>Requiem sharks</x:v>
      </x:c>
      <x:c r="G7" s="24" t="str">
        <x:v>Large sharks (&gt;=90 cm)</x:v>
      </x:c>
      <x:c r="H7" s="24" t="str">
        <x:v>Sharks &amp; rays</x:v>
      </x:c>
      <x:c r="I7" s="31" t="n">
        <x:v>100.04795186499999</x:v>
      </x:c>
      <x:c r="J7" s="31" t="n">
        <x:v>100.04795186499999</x:v>
      </x:c>
      <x:c r="K7" s="31" t="n">
        <x:v>0</x:v>
      </x:c>
      <x:c r="L7" s="31" t="n">
        <x:v>20.041658605</x:v>
      </x:c>
      <x:c r="M7" s="31" t="n">
        <x:v>80.00629325999999</x:v>
      </x:c>
      <x:c r="N7" s="24" t="str">
        <x:v>carcharhinidae</x:v>
      </x:c>
      <x:c r="O7" s="32" t="n">
        <x:v>4.24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Carcharhinidae</x:v>
      </x:c>
      <x:c r="T7" s="32" t="n">
        <x:f>IF(O7="","",(1/'Metadata'!$B$5)^(O7-1))</x:f>
        <x:v>1737.8008287493763</x:v>
      </x:c>
      <x:c r="U7" s="31" t="n">
        <x:f>IF(T7="","",I7*T7)</x:f>
        <x:v>173863.41366567469</x:v>
      </x:c>
    </x:row>
    <x:row r="8" ht="18" customHeight="1">
      <x:c r="A8" s="24" t="str">
        <x:v>EEZ_052</x:v>
      </x:c>
      <x:c r="B8" s="24" t="str">
        <x:v>Barbados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85.62764393139999</x:v>
      </x:c>
      <x:c r="J8" s="31" t="n">
        <x:v>85.62764393139999</x:v>
      </x:c>
      <x:c r="K8" s="31" t="n">
        <x:v>0</x:v>
      </x:c>
      <x:c r="L8" s="31" t="n">
        <x:v>85.51968897639999</x:v>
      </x:c>
      <x:c r="M8" s="31" t="n">
        <x:v>0.107954955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200730.790291942</x:v>
      </x:c>
    </x:row>
    <x:row r="9" ht="18" customHeight="1">
      <x:c r="A9" s="24" t="str">
        <x:v>EEZ_052</x:v>
      </x:c>
      <x:c r="B9" s="24" t="str">
        <x:v>Barbados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79.3691962808</x:v>
      </x:c>
      <x:c r="J9" s="31" t="n">
        <x:v>79.3691962808</x:v>
      </x:c>
      <x:c r="K9" s="31" t="n">
        <x:v>0</x:v>
      </x:c>
      <x:c r="L9" s="31" t="n">
        <x:v>79.3646285458</x:v>
      </x:c>
      <x:c r="M9" s="31" t="n">
        <x:v>0.004567735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204010.24740192256</x:v>
      </x:c>
    </x:row>
    <x:row r="10" ht="18" customHeight="1">
      <x:c r="A10" s="24" t="str">
        <x:v>EEZ_052</x:v>
      </x:c>
      <x:c r="B10" s="24" t="str">
        <x:v>Barbados</x:v>
      </x:c>
      <x:c r="C10" s="24" t="str">
        <x:v>EEZ</x:v>
      </x:c>
      <x:c r="D10" s="30" t="n">
        <x:v>2019</x:v>
      </x:c>
      <x:c r="E10" s="24" t="str">
        <x:v>Etelis oculatus</x:v>
      </x:c>
      <x:c r="F10" s="24" t="str">
        <x:v>Queen snapper</x:v>
      </x:c>
      <x:c r="G10" s="24" t="str">
        <x:v>Medium bathydemersals (30 - 89 cm)</x:v>
      </x:c>
      <x:c r="H10" s="24" t="str">
        <x:v>Perch-likes</x:v>
      </x:c>
      <x:c r="I10" s="31" t="n">
        <x:v>55.259636648</x:v>
      </x:c>
      <x:c r="J10" s="31" t="n">
        <x:v>55.259636648</x:v>
      </x:c>
      <x:c r="K10" s="31" t="n">
        <x:v>0</x:v>
      </x:c>
      <x:c r="L10" s="31" t="n">
        <x:v>3.860633136</x:v>
      </x:c>
      <x:c r="M10" s="31" t="n">
        <x:v>51.399003512</x:v>
      </x:c>
      <x:c r="N10" s="24" t="str">
        <x:v>etelis oculatus</x:v>
      </x:c>
      <x:c r="O10" s="32" t="n">
        <x:v>4.18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Etelis oculatus</x:v>
      </x:c>
      <x:c r="T10" s="32" t="n">
        <x:f>IF(O10="","",(1/'Metadata'!$B$5)^(O10-1))</x:f>
        <x:v>1513.5612484362073</x:v>
      </x:c>
      <x:c r="U10" s="31" t="n">
        <x:f>IF(T10="","",I10*T10)</x:f>
        <x:v>83638.84463307807</x:v>
      </x:c>
    </x:row>
    <x:row r="11" ht="18" customHeight="1">
      <x:c r="A11" s="24" t="str">
        <x:v>EEZ_052</x:v>
      </x:c>
      <x:c r="B11" s="24" t="str">
        <x:v>Barbados</x:v>
      </x:c>
      <x:c r="C11" s="24" t="str">
        <x:v>EEZ</x:v>
      </x:c>
      <x:c r="D11" s="30" t="n">
        <x:v>2019</x:v>
      </x:c>
      <x:c r="E11" s="24" t="str">
        <x:v>Rhomboplites aurorubens</x:v>
      </x:c>
      <x:c r="F11" s="24" t="str">
        <x:v>Vermilion snapper</x:v>
      </x:c>
      <x:c r="G11" s="24" t="str">
        <x:v>Medium demersals (30 - 89 cm)</x:v>
      </x:c>
      <x:c r="H11" s="24" t="str">
        <x:v>Perch-likes</x:v>
      </x:c>
      <x:c r="I11" s="31" t="n">
        <x:v>52.763504269</x:v>
      </x:c>
      <x:c r="J11" s="31" t="n">
        <x:v>52.763504269</x:v>
      </x:c>
      <x:c r="K11" s="31" t="n">
        <x:v>0</x:v>
      </x:c>
      <x:c r="L11" s="31" t="n">
        <x:v>3.686244524</x:v>
      </x:c>
      <x:c r="M11" s="31" t="n">
        <x:v>49.077259745</x:v>
      </x:c>
      <x:c r="N11" s="24" t="str">
        <x:v>rhomboplites aurorubens</x:v>
      </x:c>
      <x:c r="O11" s="32" t="n">
        <x:v>4.36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Rhomboplites aurorubens</x:v>
      </x:c>
      <x:c r="T11" s="32" t="n">
        <x:f>IF(O11="","",(1/'Metadata'!$B$5)^(O11-1))</x:f>
        <x:v>2290.867652767775</x:v>
      </x:c>
      <x:c r="U11" s="31" t="n">
        <x:f>IF(T11="","",I11*T11)</x:f>
        <x:v>120874.2051765265</x:v>
      </x:c>
    </x:row>
    <x:row r="12" ht="18" customHeight="1">
      <x:c r="A12" s="24" t="str">
        <x:v>EEZ_052</x:v>
      </x:c>
      <x:c r="B12" s="24" t="str">
        <x:v>Barbados</x:v>
      </x:c>
      <x:c r="C12" s="24" t="str">
        <x:v>EEZ</x:v>
      </x:c>
      <x:c r="D12" s="30" t="n">
        <x:v>2019</x:v>
      </x:c>
      <x:c r="E12" s="24" t="str">
        <x:v>Auxis</x:v>
      </x:c>
      <x:c r="F12" s="24" t="str">
        <x:v>Bullet and frigate tunas</x:v>
      </x:c>
      <x:c r="G12" s="24" t="str">
        <x:v>Medium pelagics (30 - 89 cm)</x:v>
      </x:c>
      <x:c r="H12" s="24" t="str">
        <x:v>Tuna &amp; billfishes</x:v>
      </x:c>
      <x:c r="I12" s="31" t="n">
        <x:v>45.800486517</x:v>
      </x:c>
      <x:c r="J12" s="31" t="n">
        <x:v>45.800486517</x:v>
      </x:c>
      <x:c r="K12" s="31" t="n">
        <x:v>0</x:v>
      </x:c>
      <x:c r="L12" s="31" t="n">
        <x:v>34.515766122</x:v>
      </x:c>
      <x:c r="M12" s="31" t="n">
        <x:v>11.284720395</x:v>
      </x:c>
      <x:c r="N12" s="24" t="str">
        <x:v>auxis</x:v>
      </x:c>
      <x:c r="O12" s="32" t="n">
        <x:v>4.24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Auxis</x:v>
      </x:c>
      <x:c r="T12" s="32" t="n">
        <x:f>IF(O12="","",(1/'Metadata'!$B$5)^(O12-1))</x:f>
        <x:v>1737.8008287493763</x:v>
      </x:c>
      <x:c r="U12" s="31" t="n">
        <x:f>IF(T12="","",I12*T12)</x:f>
        <x:v>79592.12342636724</x:v>
      </x:c>
    </x:row>
    <x:row r="13" ht="18" customHeight="1">
      <x:c r="A13" s="24" t="str">
        <x:v>EEZ_052</x:v>
      </x:c>
      <x:c r="B13" s="24" t="str">
        <x:v>Barbados</x:v>
      </x:c>
      <x:c r="C13" s="24" t="str">
        <x:v>EEZ</x:v>
      </x:c>
      <x:c r="D13" s="30" t="n">
        <x:v>2019</x:v>
      </x:c>
      <x:c r="E13" s="24" t="str">
        <x:v>Scomber</x:v>
      </x:c>
      <x:c r="F13" s="24" t="str">
        <x:v>Chub mackerels</x:v>
      </x:c>
      <x:c r="G13" s="24" t="str">
        <x:v>Medium pelagics (30 - 89 cm)</x:v>
      </x:c>
      <x:c r="H13" s="24" t="str">
        <x:v>Perch-likes</x:v>
      </x:c>
      <x:c r="I13" s="31" t="n">
        <x:v>36.863533886</x:v>
      </x:c>
      <x:c r="J13" s="31" t="n">
        <x:v>36.863533886</x:v>
      </x:c>
      <x:c r="K13" s="31" t="n">
        <x:v>0</x:v>
      </x:c>
      <x:c r="L13" s="31" t="n">
        <x:v>27.790602912</x:v>
      </x:c>
      <x:c r="M13" s="31" t="n">
        <x:v>9.072930974</x:v>
      </x:c>
      <x:c r="N13" s="24" t="str">
        <x:v>scomber</x:v>
      </x:c>
      <x:c r="O13" s="32" t="n">
        <x:v>3.65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Scomber</x:v>
      </x:c>
      <x:c r="T13" s="32" t="n">
        <x:f>IF(O13="","",(1/'Metadata'!$B$5)^(O13-1))</x:f>
        <x:v>446.683592150963</x:v>
      </x:c>
      <x:c r="U13" s="31" t="n">
        <x:f>IF(T13="","",I13*T13)</x:f>
        <x:v>16466.335735577228</x:v>
      </x:c>
    </x:row>
    <x:row r="14" ht="18" customHeight="1">
      <x:c r="A14" s="24" t="str">
        <x:v>EEZ_052</x:v>
      </x:c>
      <x:c r="B14" s="24" t="str">
        <x:v>Barbados</x:v>
      </x:c>
      <x:c r="C14" s="24" t="str">
        <x:v>EEZ</x:v>
      </x:c>
      <x:c r="D14" s="30" t="n">
        <x:v>2019</x:v>
      </x:c>
      <x:c r="E14" s="24" t="str">
        <x:v>Sarda sarda</x:v>
      </x:c>
      <x:c r="F14" s="24" t="str">
        <x:v>Atlantic bonito</x:v>
      </x:c>
      <x:c r="G14" s="24" t="str">
        <x:v>Medium pelagics (30 - 89 cm)</x:v>
      </x:c>
      <x:c r="H14" s="24" t="str">
        <x:v>Tuna &amp; billfishes</x:v>
      </x:c>
      <x:c r="I14" s="31" t="n">
        <x:v>36.39352092</x:v>
      </x:c>
      <x:c r="J14" s="31" t="n">
        <x:v>36.39352092</x:v>
      </x:c>
      <x:c r="K14" s="31" t="n">
        <x:v>0</x:v>
      </x:c>
      <x:c r="L14" s="31" t="n">
        <x:v>2.542579744</x:v>
      </x:c>
      <x:c r="M14" s="31" t="n">
        <x:v>33.850941176</x:v>
      </x:c>
      <x:c r="N14" s="24" t="str">
        <x:v>sarda sarda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Sarda sarda</x:v>
      </x:c>
      <x:c r="T14" s="32" t="n">
        <x:f>IF(O14="","",(1/'Metadata'!$B$5)^(O14-1))</x:f>
        <x:v>3162.2776601683795</x:v>
      </x:c>
      <x:c r="U14" s="31" t="n">
        <x:f>IF(T14="","",I14*T14)</x:f>
        <x:v>115086.41818018658</x:v>
      </x:c>
    </x:row>
    <x:row r="15" ht="18" customHeight="1">
      <x:c r="A15" s="24" t="str">
        <x:v>EEZ_052</x:v>
      </x:c>
      <x:c r="B15" s="24" t="str">
        <x:v>Barbados</x:v>
      </x:c>
      <x:c r="C15" s="24" t="str">
        <x:v>EEZ</x:v>
      </x:c>
      <x:c r="D15" s="30" t="n">
        <x:v>2019</x:v>
      </x:c>
      <x:c r="E15" s="24" t="str">
        <x:v>Caranx ruber</x:v>
      </x:c>
      <x:c r="F15" s="24" t="str">
        <x:v>Bar jack</x:v>
      </x:c>
      <x:c r="G15" s="24" t="str">
        <x:v>Medium reef assoc. fish (30 - 89 cm)</x:v>
      </x:c>
      <x:c r="H15" s="24" t="str">
        <x:v>Perch-likes</x:v>
      </x:c>
      <x:c r="I15" s="31" t="n">
        <x:v>25.693988106000003</x:v>
      </x:c>
      <x:c r="J15" s="31" t="n">
        <x:v>25.693988106000003</x:v>
      </x:c>
      <x:c r="K15" s="31" t="n">
        <x:v>0</x:v>
      </x:c>
      <x:c r="L15" s="31" t="n">
        <x:v>1.795072641</x:v>
      </x:c>
      <x:c r="M15" s="31" t="n">
        <x:v>23.898915465</x:v>
      </x:c>
      <x:c r="N15" s="24" t="str">
        <x:v>caranx ruber</x:v>
      </x:c>
      <x:c r="O15" s="32" t="n">
        <x:v>4.28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ruber</x:v>
      </x:c>
      <x:c r="T15" s="32" t="n">
        <x:f>IF(O15="","",(1/'Metadata'!$B$5)^(O15-1))</x:f>
        <x:v>1905.4607179632483</x:v>
      </x:c>
      <x:c r="U15" s="31" t="n">
        <x:f>IF(T15="","",I15*T15)</x:f>
        <x:v>48958.88502379793</x:v>
      </x:c>
    </x:row>
    <x:row r="16" ht="18" customHeight="1">
      <x:c r="A16" s="24" t="str">
        <x:v>EEZ_052</x:v>
      </x:c>
      <x:c r="B16" s="24" t="str">
        <x:v>Barbados</x:v>
      </x:c>
      <x:c r="C16" s="24" t="str">
        <x:v>EEZ</x:v>
      </x:c>
      <x:c r="D16" s="30" t="n">
        <x:v>2019</x:v>
      </x:c>
      <x:c r="E16" s="24" t="str">
        <x:v>Makaira nigricans</x:v>
      </x:c>
      <x:c r="F16" s="24" t="str">
        <x:v>Blue marlin</x:v>
      </x:c>
      <x:c r="G16" s="24" t="str">
        <x:v>Large pelagics (&gt;=90 cm)</x:v>
      </x:c>
      <x:c r="H16" s="24" t="str">
        <x:v>Tuna &amp; billfishes</x:v>
      </x:c>
      <x:c r="I16" s="31" t="n">
        <x:v>20.0150515339</x:v>
      </x:c>
      <x:c r="J16" s="31" t="n">
        <x:v>20.0150515339</x:v>
      </x:c>
      <x:c r="K16" s="31" t="n">
        <x:v>0</x:v>
      </x:c>
      <x:c r="L16" s="31" t="n">
        <x:v>11.717007929900001</x:v>
      </x:c>
      <x:c r="M16" s="31" t="n">
        <x:v>8.298043604</x:v>
      </x:c>
      <x:c r="N16" s="24" t="str">
        <x:v>makaira nigricans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Makaira nigricans</x:v>
      </x:c>
      <x:c r="T16" s="32" t="n">
        <x:f>IF(O16="","",(1/'Metadata'!$B$5)^(O16-1))</x:f>
        <x:v>3090.295432513592</x:v>
      </x:c>
      <x:c r="U16" s="31" t="n">
        <x:f>IF(T16="","",I16*T16)</x:f>
        <x:v>61852.42233673533</x:v>
      </x:c>
    </x:row>
    <x:row r="17" ht="18" customHeight="1">
      <x:c r="A17" s="24" t="str">
        <x:v>EEZ_052</x:v>
      </x:c>
      <x:c r="B17" s="24" t="str">
        <x:v>Barbados</x:v>
      </x:c>
      <x:c r="C17" s="24" t="str">
        <x:v>EEZ</x:v>
      </x:c>
      <x:c r="D17" s="30" t="n">
        <x:v>2019</x:v>
      </x:c>
      <x:c r="E17" s="24" t="str">
        <x:v>Scomberomorus cavalla</x:v>
      </x:c>
      <x:c r="F17" s="24" t="str">
        <x:v>King mackerel</x:v>
      </x:c>
      <x:c r="G17" s="24" t="str">
        <x:v>Large pelagics (&gt;=90 cm)</x:v>
      </x:c>
      <x:c r="H17" s="24" t="str">
        <x:v>Perch-likes</x:v>
      </x:c>
      <x:c r="I17" s="31" t="n">
        <x:v>18.757911383</x:v>
      </x:c>
      <x:c r="J17" s="31" t="n">
        <x:v>18.757911383</x:v>
      </x:c>
      <x:c r="K17" s="31" t="n">
        <x:v>0</x:v>
      </x:c>
      <x:c r="L17" s="31" t="n">
        <x:v>13.994681802</x:v>
      </x:c>
      <x:c r="M17" s="31" t="n">
        <x:v>4.763229581</x:v>
      </x:c>
      <x:c r="N17" s="24" t="str">
        <x:v>scomberomorus cavalla</x:v>
      </x:c>
      <x:c r="O17" s="32" t="n">
        <x:v>4.42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cavalla</x:v>
      </x:c>
      <x:c r="T17" s="32" t="n">
        <x:f>IF(O17="","",(1/'Metadata'!$B$5)^(O17-1))</x:f>
        <x:v>2630.2679918953813</x:v>
      </x:c>
      <x:c r="U17" s="31" t="n">
        <x:f>IF(T17="","",I17*T17)</x:f>
        <x:v>49338.333905514926</x:v>
      </x:c>
    </x:row>
    <x:row r="18" ht="18" customHeight="1">
      <x:c r="A18" s="24" t="str">
        <x:v>EEZ_052</x:v>
      </x:c>
      <x:c r="B18" s="24" t="str">
        <x:v>Barbados</x:v>
      </x:c>
      <x:c r="C18" s="24" t="str">
        <x:v>EEZ</x:v>
      </x:c>
      <x:c r="D18" s="30" t="n">
        <x:v>2019</x:v>
      </x:c>
      <x:c r="E18" s="24" t="str">
        <x:v>Cantherhines</x:v>
      </x:c>
      <x:c r="F18" s="24" t="str">
        <x:v>Mideye spined filefishes</x:v>
      </x:c>
      <x:c r="G18" s="24" t="str">
        <x:v>Medium reef assoc. fish (30 - 89 cm)</x:v>
      </x:c>
      <x:c r="H18" s="24" t="str">
        <x:v>Other fishes &amp; inverts</x:v>
      </x:c>
      <x:c r="I18" s="31" t="n">
        <x:v>15.130663265</x:v>
      </x:c>
      <x:c r="J18" s="31" t="n">
        <x:v>15.130663265</x:v>
      </x:c>
      <x:c r="K18" s="31" t="n">
        <x:v>0</x:v>
      </x:c>
      <x:c r="L18" s="31" t="n">
        <x:v>1.057081508</x:v>
      </x:c>
      <x:c r="M18" s="31" t="n">
        <x:v>14.073581757</x:v>
      </x:c>
      <x:c r="N18" s="24" t="str">
        <x:v>cantherhines</x:v>
      </x:c>
      <x:c r="O18" s="32" t="n">
        <x:v>3.5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Cantherhines</x:v>
      </x:c>
      <x:c r="T18" s="32" t="n">
        <x:f>IF(O18="","",(1/'Metadata'!$B$5)^(O18-1))</x:f>
        <x:v>316.22776601683796</x:v>
      </x:c>
      <x:c r="U18" s="31" t="n">
        <x:f>IF(T18="","",I18*T18)</x:f>
        <x:v>4784.735842643986</x:v>
      </x:c>
    </x:row>
    <x:row r="19" ht="18" customHeight="1">
      <x:c r="A19" s="24" t="str">
        <x:v>EEZ_052</x:v>
      </x:c>
      <x:c r="B19" s="24" t="str">
        <x:v>Barbados</x:v>
      </x:c>
      <x:c r="C19" s="24" t="str">
        <x:v>EEZ</x:v>
      </x:c>
      <x:c r="D19" s="30" t="n">
        <x:v>2019</x:v>
      </x:c>
      <x:c r="E19" s="24" t="str">
        <x:v>Istiophorus</x:v>
      </x:c>
      <x:c r="F19" s="24" t="str">
        <x:v>Sailfishes</x:v>
      </x:c>
      <x:c r="G19" s="24" t="str">
        <x:v>Large pelagics (&gt;=90 cm)</x:v>
      </x:c>
      <x:c r="H19" s="24" t="str">
        <x:v>Tuna &amp; billfishes</x:v>
      </x:c>
      <x:c r="I19" s="31" t="n">
        <x:v>13.781224717</x:v>
      </x:c>
      <x:c r="J19" s="31" t="n">
        <x:v>13.781224717</x:v>
      </x:c>
      <x:c r="K19" s="31" t="n">
        <x:v>0</x:v>
      </x:c>
      <x:c r="L19" s="31" t="n">
        <x:v>3.176368091</x:v>
      </x:c>
      <x:c r="M19" s="31" t="n">
        <x:v>10.604856626</x:v>
      </x:c>
      <x:c r="N19" s="24" t="str">
        <x:v>istiophorus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Istiophorus</x:v>
      </x:c>
      <x:c r="T19" s="32" t="n">
        <x:f>IF(O19="","",(1/'Metadata'!$B$5)^(O19-1))</x:f>
        <x:v>3162.2776601683795</x:v>
      </x:c>
      <x:c r="U19" s="31" t="n">
        <x:f>IF(T19="","",I19*T19)</x:f>
        <x:v>43580.0590523294</x:v>
      </x:c>
    </x:row>
    <x:row r="20" ht="18" customHeight="1">
      <x:c r="A20" s="24" t="str">
        <x:v>EEZ_052</x:v>
      </x:c>
      <x:c r="B20" s="24" t="str">
        <x:v>Barbados</x:v>
      </x:c>
      <x:c r="C20" s="24" t="str">
        <x:v>EEZ</x:v>
      </x:c>
      <x:c r="D20" s="30" t="n">
        <x:v>2019</x:v>
      </x:c>
      <x:c r="E20" s="24" t="str">
        <x:v>Istiophorus albicans</x:v>
      </x:c>
      <x:c r="F20" s="24" t="str">
        <x:v>Atlantic sailfish</x:v>
      </x:c>
      <x:c r="G20" s="24" t="str">
        <x:v>Large pelagics (&gt;=90 cm)</x:v>
      </x:c>
      <x:c r="H20" s="24" t="str">
        <x:v>Tuna &amp; billfishes</x:v>
      </x:c>
      <x:c r="I20" s="31" t="n">
        <x:v>11.6945073244</x:v>
      </x:c>
      <x:c r="J20" s="31" t="n">
        <x:v>11.6945073244</x:v>
      </x:c>
      <x:c r="K20" s="31" t="n">
        <x:v>0</x:v>
      </x:c>
      <x:c r="L20" s="31" t="n">
        <x:v>11.6945073244</x:v>
      </x:c>
      <x:c r="M20" s="31" t="n">
        <x:v>0</x:v>
      </x:c>
      <x:c r="N20" s="24" t="str">
        <x:v>istiophorus albicans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Istiophorus albicans</x:v>
      </x:c>
      <x:c r="T20" s="32" t="n">
        <x:f>IF(O20="","",(1/'Metadata'!$B$5)^(O20-1))</x:f>
        <x:v>3162.2776601683795</x:v>
      </x:c>
      <x:c r="U20" s="31" t="n">
        <x:f>IF(T20="","",I20*T20)</x:f>
        <x:v>36981.27925862561</x:v>
      </x:c>
    </x:row>
    <x:row r="21" ht="18" customHeight="1">
      <x:c r="A21" s="24" t="str">
        <x:v>EEZ_052</x:v>
      </x:c>
      <x:c r="B21" s="24" t="str">
        <x:v>Barbados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11.5336505649</x:v>
      </x:c>
      <x:c r="J21" s="31" t="n">
        <x:v>11.5336505649</x:v>
      </x:c>
      <x:c r="K21" s="31" t="n">
        <x:v>0</x:v>
      </x:c>
      <x:c r="L21" s="31" t="n">
        <x:v>6.9215579209</x:v>
      </x:c>
      <x:c r="M21" s="31" t="n">
        <x:v>4.6120926440000005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20987.793835856042</x:v>
      </x:c>
    </x:row>
    <x:row r="22" ht="18" customHeight="1">
      <x:c r="A22" s="24" t="str">
        <x:v>EEZ_052</x:v>
      </x:c>
      <x:c r="B22" s="24" t="str">
        <x:v>Barbados</x:v>
      </x:c>
      <x:c r="C22" s="24" t="str">
        <x:v>EEZ</x:v>
      </x:c>
      <x:c r="D22" s="30" t="n">
        <x:v>2019</x:v>
      </x:c>
      <x:c r="E22" s="24" t="str">
        <x:v>Thunnus obesus</x:v>
      </x:c>
      <x:c r="F22" s="24" t="str">
        <x:v>Bigeye tuna</x:v>
      </x:c>
      <x:c r="G22" s="24" t="str">
        <x:v>Large pelagics (&gt;=90 cm)</x:v>
      </x:c>
      <x:c r="H22" s="24" t="str">
        <x:v>Tuna &amp; billfishes</x:v>
      </x:c>
      <x:c r="I22" s="31" t="n">
        <x:v>9.3006360581</x:v>
      </x:c>
      <x:c r="J22" s="31" t="n">
        <x:v>9.3006360581</x:v>
      </x:c>
      <x:c r="K22" s="31" t="n">
        <x:v>0</x:v>
      </x:c>
      <x:c r="L22" s="31" t="n">
        <x:v>9.3006360581</x:v>
      </x:c>
      <x:c r="M22" s="31" t="n">
        <x:v>0</x:v>
      </x:c>
      <x:c r="N22" s="24" t="str">
        <x:v>thunnus obesus</x:v>
      </x:c>
      <x:c r="O22" s="32" t="n">
        <x:v>4.49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obesus</x:v>
      </x:c>
      <x:c r="T22" s="32" t="n">
        <x:f>IF(O22="","",(1/'Metadata'!$B$5)^(O22-1))</x:f>
        <x:v>3090.295432513592</x:v>
      </x:c>
      <x:c r="U22" s="31" t="n">
        <x:f>IF(T22="","",I22*T22)</x:f>
        <x:v>28741.71312981765</x:v>
      </x:c>
    </x:row>
    <x:row r="23" ht="18" customHeight="1">
      <x:c r="A23" s="24" t="str">
        <x:v>EEZ_052</x:v>
      </x:c>
      <x:c r="B23" s="24" t="str">
        <x:v>Barbados</x:v>
      </x:c>
      <x:c r="C23" s="24" t="str">
        <x:v>EEZ</x:v>
      </x:c>
      <x:c r="D23" s="30" t="n">
        <x:v>2019</x:v>
      </x:c>
      <x:c r="E23" s="24" t="str">
        <x:v>Kajikia albida</x:v>
      </x:c>
      <x:c r="F23" s="24" t="str">
        <x:v>Atlantic white marlin</x:v>
      </x:c>
      <x:c r="G23" s="24" t="str">
        <x:v>Large pelagics (&gt;=90 cm)</x:v>
      </x:c>
      <x:c r="H23" s="24" t="str">
        <x:v>Tuna &amp; billfishes</x:v>
      </x:c>
      <x:c r="I23" s="31" t="n">
        <x:v>7.8974307127</x:v>
      </x:c>
      <x:c r="J23" s="31" t="n">
        <x:v>7.8974307127</x:v>
      </x:c>
      <x:c r="K23" s="31" t="n">
        <x:v>0</x:v>
      </x:c>
      <x:c r="L23" s="31" t="n">
        <x:v>7.5466397037</x:v>
      </x:c>
      <x:c r="M23" s="31" t="n">
        <x:v>0.350791009</x:v>
      </x:c>
      <x:c r="N23" s="24" t="str">
        <x:v>kajikia albida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Kajikia albida</x:v>
      </x:c>
      <x:c r="T23" s="32" t="n">
        <x:f>IF(O23="","",(1/'Metadata'!$B$5)^(O23-1))</x:f>
        <x:v>3090.295432513592</x:v>
      </x:c>
      <x:c r="U23" s="31" t="n">
        <x:f>IF(T23="","",I23*T23)</x:f>
        <x:v>24405.394060049373</x:v>
      </x:c>
    </x:row>
    <x:row r="24" ht="18" customHeight="1">
      <x:c r="A24" s="24" t="str">
        <x:v>EEZ_052</x:v>
      </x:c>
      <x:c r="B24" s="24" t="str">
        <x:v>Barbados</x:v>
      </x:c>
      <x:c r="C24" s="24" t="str">
        <x:v>EEZ</x:v>
      </x:c>
      <x:c r="D24" s="30" t="n">
        <x:v>2019</x:v>
      </x:c>
      <x:c r="E24" s="24" t="str">
        <x:v>Haemulidae</x:v>
      </x:c>
      <x:c r="F24" s="24" t="str">
        <x:v>Grunts, sweetlips, bonnetmouths</x:v>
      </x:c>
      <x:c r="G24" s="24" t="str">
        <x:v>Medium demersals (30 - 89 cm)</x:v>
      </x:c>
      <x:c r="H24" s="24" t="str">
        <x:v>Perch-likes</x:v>
      </x:c>
      <x:c r="I24" s="31" t="n">
        <x:v>7.684453202</x:v>
      </x:c>
      <x:c r="J24" s="31" t="n">
        <x:v>7.684453202</x:v>
      </x:c>
      <x:c r="K24" s="31" t="n">
        <x:v>0</x:v>
      </x:c>
      <x:c r="L24" s="31" t="n">
        <x:v>0.534600372</x:v>
      </x:c>
      <x:c r="M24" s="31" t="n">
        <x:v>7.14985283</x:v>
      </x:c>
      <x:c r="N24" s="24" t="str">
        <x:v>haemulidae</x:v>
      </x:c>
      <x:c r="O24" s="32" t="n">
        <x:v>3.36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Haemulidae</x:v>
      </x:c>
      <x:c r="T24" s="32" t="n">
        <x:f>IF(O24="","",(1/'Metadata'!$B$5)^(O24-1))</x:f>
        <x:v>229.08676527677724</x:v>
      </x:c>
      <x:c r="U24" s="31" t="n">
        <x:f>IF(T24="","",I24*T24)</x:f>
        <x:v>1760.4065269669534</x:v>
      </x:c>
    </x:row>
    <x:row r="25" ht="18" customHeight="1">
      <x:c r="A25" s="24" t="str">
        <x:v>EEZ_052</x:v>
      </x:c>
      <x:c r="B25" s="24" t="str">
        <x:v>Barbados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6.4602441452</x:v>
      </x:c>
      <x:c r="J25" s="31" t="n">
        <x:v>6.4602441452</x:v>
      </x:c>
      <x:c r="K25" s="31" t="n">
        <x:v>0</x:v>
      </x:c>
      <x:c r="L25" s="31" t="n">
        <x:v>6.4602441452</x:v>
      </x:c>
      <x:c r="M25" s="31" t="n">
        <x:v>0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21890.15975833519</x:v>
      </x:c>
    </x:row>
    <x:row r="26" ht="18" customHeight="1">
      <x:c r="A26" s="24" t="str">
        <x:v>EEZ_052</x:v>
      </x:c>
      <x:c r="B26" s="24" t="str">
        <x:v>Barbados</x:v>
      </x:c>
      <x:c r="C26" s="24" t="str">
        <x:v>EEZ</x:v>
      </x:c>
      <x:c r="D26" s="30" t="n">
        <x:v>2019</x:v>
      </x:c>
      <x:c r="E26" s="24" t="str">
        <x:v>Epinephelus guttatus</x:v>
      </x:c>
      <x:c r="F26" s="24" t="str">
        <x:v>Red hind</x:v>
      </x:c>
      <x:c r="G26" s="24" t="str">
        <x:v>Medium reef assoc. fish (30 - 89 cm)</x:v>
      </x:c>
      <x:c r="H26" s="24" t="str">
        <x:v>Perch-likes</x:v>
      </x:c>
      <x:c r="I26" s="31" t="n">
        <x:v>5.596855257</x:v>
      </x:c>
      <x:c r="J26" s="31" t="n">
        <x:v>5.596855257</x:v>
      </x:c>
      <x:c r="K26" s="31" t="n">
        <x:v>0</x:v>
      </x:c>
      <x:c r="L26" s="31" t="n">
        <x:v>0.39101605</x:v>
      </x:c>
      <x:c r="M26" s="31" t="n">
        <x:v>5.205839207</x:v>
      </x:c>
      <x:c r="N26" s="24" t="str">
        <x:v>epinephelus guttatus</x:v>
      </x:c>
      <x:c r="O26" s="32" t="n">
        <x:v>3.84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guttatus</x:v>
      </x:c>
      <x:c r="T26" s="32" t="n">
        <x:f>IF(O26="","",(1/'Metadata'!$B$5)^(O26-1))</x:f>
        <x:v>691.8309709189363</x:v>
      </x:c>
      <x:c r="U26" s="31" t="n">
        <x:f>IF(T26="","",I26*T26)</x:f>
        <x:v>3872.0778065430623</x:v>
      </x:c>
    </x:row>
    <x:row r="27" ht="18" customHeight="1">
      <x:c r="A27" s="24" t="str">
        <x:v>EEZ_052</x:v>
      </x:c>
      <x:c r="B27" s="24" t="str">
        <x:v>Barbados</x:v>
      </x:c>
      <x:c r="C27" s="24" t="str">
        <x:v>EEZ</x:v>
      </x:c>
      <x:c r="D27" s="30" t="n">
        <x:v>2019</x:v>
      </x:c>
      <x:c r="E27" s="24" t="str">
        <x:v>Epinephelus adscensionis</x:v>
      </x:c>
      <x:c r="F27" s="24" t="str">
        <x:v>Rock hind</x:v>
      </x:c>
      <x:c r="G27" s="24" t="str">
        <x:v>Medium reef assoc. fish (30 - 89 cm)</x:v>
      </x:c>
      <x:c r="H27" s="24" t="str">
        <x:v>Perch-likes</x:v>
      </x:c>
      <x:c r="I27" s="31" t="n">
        <x:v>5.596855257</x:v>
      </x:c>
      <x:c r="J27" s="31" t="n">
        <x:v>5.596855257</x:v>
      </x:c>
      <x:c r="K27" s="31" t="n">
        <x:v>0</x:v>
      </x:c>
      <x:c r="L27" s="31" t="n">
        <x:v>0.39101605</x:v>
      </x:c>
      <x:c r="M27" s="31" t="n">
        <x:v>5.205839207</x:v>
      </x:c>
      <x:c r="N27" s="24" t="str">
        <x:v>epinephelus adscensionis</x:v>
      </x:c>
      <x:c r="O27" s="32" t="n">
        <x:v>3.53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Epinephelus adscensionis</x:v>
      </x:c>
      <x:c r="T27" s="32" t="n">
        <x:f>IF(O27="","",(1/'Metadata'!$B$5)^(O27-1))</x:f>
        <x:v>338.84415613920237</x:v>
      </x:c>
      <x:c r="U27" s="31" t="n">
        <x:f>IF(T27="","",I27*T27)</x:f>
        <x:v>1896.4616965914236</x:v>
      </x:c>
    </x:row>
    <x:row r="28" ht="18" customHeight="1">
      <x:c r="A28" s="24" t="str">
        <x:v>EEZ_052</x:v>
      </x:c>
      <x:c r="B28" s="24" t="str">
        <x:v>Barbados</x:v>
      </x:c>
      <x:c r="C28" s="24" t="str">
        <x:v>EEZ</x:v>
      </x:c>
      <x:c r="D28" s="30" t="n">
        <x:v>2019</x:v>
      </x:c>
      <x:c r="E28" s="24" t="str">
        <x:v>Thunnus alalunga</x:v>
      </x:c>
      <x:c r="F28" s="24" t="str">
        <x:v>Albacore</x:v>
      </x:c>
      <x:c r="G28" s="24" t="str">
        <x:v>Large pelagics (&gt;=90 cm)</x:v>
      </x:c>
      <x:c r="H28" s="24" t="str">
        <x:v>Tuna &amp; billfishes</x:v>
      </x:c>
      <x:c r="I28" s="31" t="n">
        <x:v>4.756119603</x:v>
      </x:c>
      <x:c r="J28" s="31" t="n">
        <x:v>4.756119603</x:v>
      </x:c>
      <x:c r="K28" s="31" t="n">
        <x:v>0</x:v>
      </x:c>
      <x:c r="L28" s="31" t="n">
        <x:v>4.654703313000001</x:v>
      </x:c>
      <x:c r="M28" s="31" t="n">
        <x:v>0.10141629</x:v>
      </x:c>
      <x:c r="N28" s="24" t="str">
        <x:v>thunnus alalunga</x:v>
      </x:c>
      <x:c r="O28" s="32" t="n">
        <x:v>4.3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Thunnus alalunga</x:v>
      </x:c>
      <x:c r="T28" s="32" t="n">
        <x:f>IF(O28="","",(1/'Metadata'!$B$5)^(O28-1))</x:f>
        <x:v>1995.2623149688789</x:v>
      </x:c>
      <x:c r="U28" s="31" t="n">
        <x:f>IF(T28="","",I28*T28)</x:f>
        <x:v>9489.706209350645</x:v>
      </x:c>
    </x:row>
    <x:row r="29" ht="18" customHeight="1">
      <x:c r="A29" s="24" t="str">
        <x:v>EEZ_052</x:v>
      </x:c>
      <x:c r="B29" s="24" t="str">
        <x:v>Barbados</x:v>
      </x:c>
      <x:c r="C29" s="24" t="str">
        <x:v>EEZ</x:v>
      </x:c>
      <x:c r="D29" s="30" t="n">
        <x:v>2019</x:v>
      </x:c>
      <x:c r="E29" s="24" t="str">
        <x:v>Chaetodontidae</x:v>
      </x:c>
      <x:c r="F29" s="24" t="str">
        <x:v>Butterflyfishes</x:v>
      </x:c>
      <x:c r="G29" s="24" t="str">
        <x:v>Small reef assoc. fish (&lt;30 cm)</x:v>
      </x:c>
      <x:c r="H29" s="24" t="str">
        <x:v>Perch-likes</x:v>
      </x:c>
      <x:c r="I29" s="31" t="n">
        <x:v>4.182310095</x:v>
      </x:c>
      <x:c r="J29" s="31" t="n">
        <x:v>4.182310095</x:v>
      </x:c>
      <x:c r="K29" s="31" t="n">
        <x:v>0</x:v>
      </x:c>
      <x:c r="L29" s="31" t="n">
        <x:v>0.292190935</x:v>
      </x:c>
      <x:c r="M29" s="31" t="n">
        <x:v>3.89011916</x:v>
      </x:c>
      <x:c r="N29" s="24" t="str">
        <x:v>chaetodontidae</x:v>
      </x:c>
      <x:c r="O29" s="32" t="n">
        <x:v>3.24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Chaetodontidae</x:v>
      </x:c>
      <x:c r="T29" s="32" t="n">
        <x:f>IF(O29="","",(1/'Metadata'!$B$5)^(O29-1))</x:f>
        <x:v>173.78008287493762</x:v>
      </x:c>
      <x:c r="U29" s="31" t="n">
        <x:f>IF(T29="","",I29*T29)</x:f>
        <x:v>726.8021949177883</x:v>
      </x:c>
    </x:row>
    <x:row r="30" ht="18" customHeight="1">
      <x:c r="A30" s="24" t="str">
        <x:v>EEZ_052</x:v>
      </x:c>
      <x:c r="B30" s="24" t="str">
        <x:v>Barbados</x:v>
      </x:c>
      <x:c r="C30" s="24" t="str">
        <x:v>EEZ</x:v>
      </x:c>
      <x:c r="D30" s="30" t="n">
        <x:v>2019</x:v>
      </x:c>
      <x:c r="E30" s="24" t="str">
        <x:v>Sphyraenidae</x:v>
      </x:c>
      <x:c r="F30" s="24" t="str">
        <x:v>Barracudas</x:v>
      </x:c>
      <x:c r="G30" s="24" t="str">
        <x:v>Medium reef assoc. fish (30 - 89 cm)</x:v>
      </x:c>
      <x:c r="H30" s="24" t="str">
        <x:v>Perch-likes</x:v>
      </x:c>
      <x:c r="I30" s="31" t="n">
        <x:v>4.067283571</x:v>
      </x:c>
      <x:c r="J30" s="31" t="n">
        <x:v>4.067283571</x:v>
      </x:c>
      <x:c r="K30" s="31" t="n">
        <x:v>0</x:v>
      </x:c>
      <x:c r="L30" s="31" t="n">
        <x:v>3.04995816</x:v>
      </x:c>
      <x:c r="M30" s="31" t="n">
        <x:v>1.017325411</x:v>
      </x:c>
      <x:c r="N30" s="24" t="str">
        <x:v>sphyraenidae</x:v>
      </x:c>
      <x:c r="O30" s="32" t="n">
        <x:v>4.4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Sphyraenidae</x:v>
      </x:c>
      <x:c r="T30" s="32" t="n">
        <x:f>IF(O30="","",(1/'Metadata'!$B$5)^(O30-1))</x:f>
        <x:v>2511.886431509582</x:v>
      </x:c>
      <x:c r="U30" s="31" t="n">
        <x:f>IF(T30="","",I30*T30)</x:f>
        <x:v>10216.55441509674</x:v>
      </x:c>
    </x:row>
    <x:row r="31" ht="18" customHeight="1">
      <x:c r="A31" s="24" t="str">
        <x:v>EEZ_052</x:v>
      </x:c>
      <x:c r="B31" s="24" t="str">
        <x:v>Barbados</x:v>
      </x:c>
      <x:c r="C31" s="24" t="str">
        <x:v>EEZ</x:v>
      </x:c>
      <x:c r="D31" s="30" t="n">
        <x:v>2019</x:v>
      </x:c>
      <x:c r="E31" s="24" t="str">
        <x:v>Holocentrus adscensionis</x:v>
      </x:c>
      <x:c r="F31" s="24" t="str">
        <x:v>Squirrelfish</x:v>
      </x:c>
      <x:c r="G31" s="24" t="str">
        <x:v>Medium reef assoc. fish (30 - 89 cm)</x:v>
      </x:c>
      <x:c r="H31" s="24" t="str">
        <x:v>Other fishes &amp; inverts</x:v>
      </x:c>
      <x:c r="I31" s="31" t="n">
        <x:v>2.036579875</x:v>
      </x:c>
      <x:c r="J31" s="31" t="n">
        <x:v>2.036579875</x:v>
      </x:c>
      <x:c r="K31" s="31" t="n">
        <x:v>0</x:v>
      </x:c>
      <x:c r="L31" s="31" t="n">
        <x:v>0.142282654</x:v>
      </x:c>
      <x:c r="M31" s="31" t="n">
        <x:v>1.894297221</x:v>
      </x:c>
      <x:c r="N31" s="24" t="str">
        <x:v>holocentrus adscensionis</x:v>
      </x:c>
      <x:c r="O31" s="32" t="n">
        <x:v>3.11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Holocentrus adscensionis</x:v>
      </x:c>
      <x:c r="T31" s="32" t="n">
        <x:f>IF(O31="","",(1/'Metadata'!$B$5)^(O31-1))</x:f>
        <x:v>128.82495516931337</x:v>
      </x:c>
      <x:c r="U31" s="31" t="n">
        <x:f>IF(T31="","",I31*T31)</x:f>
        <x:v>262.36231109560083</x:v>
      </x:c>
    </x:row>
    <x:row r="32" ht="18" customHeight="1">
      <x:c r="A32" s="24" t="str">
        <x:v>EEZ_052</x:v>
      </x:c>
      <x:c r="B32" s="24" t="str">
        <x:v>Barbados</x:v>
      </x:c>
      <x:c r="C32" s="24" t="str">
        <x:v>EEZ</x:v>
      </x:c>
      <x:c r="D32" s="30" t="n">
        <x:v>2019</x:v>
      </x:c>
      <x:c r="E32" s="24" t="str">
        <x:v>Prionace glauca</x:v>
      </x:c>
      <x:c r="F32" s="24" t="str">
        <x:v>Blue shark</x:v>
      </x:c>
      <x:c r="G32" s="24" t="str">
        <x:v>Large sharks (&gt;=90 cm)</x:v>
      </x:c>
      <x:c r="H32" s="24" t="str">
        <x:v>Sharks &amp; rays</x:v>
      </x:c>
      <x:c r="I32" s="31" t="n">
        <x:v>1.5040100180000002</x:v>
      </x:c>
      <x:c r="J32" s="31" t="n">
        <x:v>1.5040100180000002</x:v>
      </x:c>
      <x:c r="K32" s="31" t="n">
        <x:v>0</x:v>
      </x:c>
      <x:c r="L32" s="31" t="n">
        <x:v>1.5040100180000002</x:v>
      </x:c>
      <x:c r="M32" s="31" t="n">
        <x:v>0</x:v>
      </x:c>
      <x:c r="N32" s="24" t="str">
        <x:v>prionace glauca</x:v>
      </x:c>
      <x:c r="O32" s="32" t="n">
        <x:v>4.35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Prionace glauca</x:v>
      </x:c>
      <x:c r="T32" s="32" t="n">
        <x:f>IF(O32="","",(1/'Metadata'!$B$5)^(O32-1))</x:f>
        <x:v>2238.7211385683377</x:v>
      </x:c>
      <x:c r="U32" s="31" t="n">
        <x:f>IF(T32="","",I32*T32)</x:f>
        <x:v>3367.0590199151466</x:v>
      </x:c>
    </x:row>
    <x:row r="33" ht="18" customHeight="1">
      <x:c r="A33" s="24" t="str">
        <x:v>EEZ_052</x:v>
      </x:c>
      <x:c r="B33" s="24" t="str">
        <x:v>Barbados</x:v>
      </x:c>
      <x:c r="C33" s="24" t="str">
        <x:v>EEZ</x:v>
      </x:c>
      <x:c r="D33" s="30" t="n">
        <x:v>2019</x:v>
      </x:c>
      <x:c r="E33" s="24" t="str">
        <x:v>Scombridae</x:v>
      </x:c>
      <x:c r="F33" s="24" t="str">
        <x:v>Mackerels, tunas, bonitos</x:v>
      </x:c>
      <x:c r="G33" s="24" t="str">
        <x:v>Medium pelagics (30 - 89 cm)</x:v>
      </x:c>
      <x:c r="H33" s="24" t="str">
        <x:v>Perch-likes</x:v>
      </x:c>
      <x:c r="I33" s="31" t="n">
        <x:v>1.4915079976</x:v>
      </x:c>
      <x:c r="J33" s="31" t="n">
        <x:v>1.4915079976</x:v>
      </x:c>
      <x:c r="K33" s="31" t="n">
        <x:v>0</x:v>
      </x:c>
      <x:c r="L33" s="31" t="n">
        <x:v>1.4915079976</x:v>
      </x:c>
      <x:c r="M33" s="31" t="n">
        <x:v>0</x:v>
      </x:c>
      <x:c r="N33" s="24" t="str">
        <x:v>scombridae</x:v>
      </x:c>
      <x:c r="O33" s="32" t="n">
        <x:v>4.26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Scombridae</x:v>
      </x:c>
      <x:c r="T33" s="32" t="n">
        <x:f>IF(O33="","",(1/'Metadata'!$B$5)^(O33-1))</x:f>
        <x:v>1819.7008586099826</x:v>
      </x:c>
      <x:c r="U33" s="31" t="n">
        <x:f>IF(T33="","",I33*T33)</x:f>
        <x:v>2714.098383856376</x:v>
      </x:c>
    </x:row>
    <x:row r="34" ht="18" customHeight="1">
      <x:c r="A34" s="24" t="str">
        <x:v>EEZ_052</x:v>
      </x:c>
      <x:c r="B34" s="24" t="str">
        <x:v>Barbados</x:v>
      </x:c>
      <x:c r="C34" s="24" t="str">
        <x:v>EEZ</x:v>
      </x:c>
      <x:c r="D34" s="30" t="n">
        <x:v>2019</x:v>
      </x:c>
      <x:c r="E34" s="24" t="str">
        <x:v>Xiphiidae</x:v>
      </x:c>
      <x:c r="F34" s="24" t="str">
        <x:v>Swordfishes</x:v>
      </x:c>
      <x:c r="G34" s="24" t="str">
        <x:v>Large pelagics (&gt;=90 cm)</x:v>
      </x:c>
      <x:c r="H34" s="24" t="str">
        <x:v>Tuna &amp; billfishes</x:v>
      </x:c>
      <x:c r="I34" s="31" t="n">
        <x:v>0.951038214</x:v>
      </x:c>
      <x:c r="J34" s="31" t="n">
        <x:v>0.951038214</x:v>
      </x:c>
      <x:c r="K34" s="31" t="n">
        <x:v>0</x:v>
      </x:c>
      <x:c r="L34" s="31" t="n">
        <x:v>0.219200216</x:v>
      </x:c>
      <x:c r="M34" s="31" t="n">
        <x:v>0.731837998</x:v>
      </x:c>
      <x:c r="N34" s="24" t="str">
        <x:v>xiphiidae</x:v>
      </x:c>
      <x:c r="O34" s="32" t="n">
        <x:v>4.5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Xiphiidae</x:v>
      </x:c>
      <x:c r="T34" s="32" t="n">
        <x:f>IF(O34="","",(1/'Metadata'!$B$5)^(O34-1))</x:f>
        <x:v>3162.2776601683795</x:v>
      </x:c>
      <x:c r="U34" s="31" t="n">
        <x:f>IF(T34="","",I34*T34)</x:f>
        <x:v>3007.4468980986344</x:v>
      </x:c>
    </x:row>
    <x:row r="35" ht="18" customHeight="1">
      <x:c r="A35" s="24" t="str">
        <x:v>EEZ_052</x:v>
      </x:c>
      <x:c r="B35" s="24" t="str">
        <x:v>Barbados</x:v>
      </x:c>
      <x:c r="C35" s="24" t="str">
        <x:v>EEZ</x:v>
      </x:c>
      <x:c r="D35" s="30" t="n">
        <x:v>2019</x:v>
      </x:c>
      <x:c r="E35" s="24" t="str">
        <x:v>Miscellaneous marine crustaceans</x:v>
      </x:c>
      <x:c r="F35" s="24" t="str">
        <x:v>Marine crabs, shrimps, lobsters nei</x:v>
      </x:c>
      <x:c r="G35" s="24" t="str">
        <x:v>Shrimps</x:v>
      </x:c>
      <x:c r="H35" s="24" t="str">
        <x:v>Crustaceans</x:v>
      </x:c>
      <x:c r="I35" s="31" t="n">
        <x:v>0.669917704</x:v>
      </x:c>
      <x:c r="J35" s="31" t="n">
        <x:v>0.669917704</x:v>
      </x:c>
      <x:c r="K35" s="31" t="n">
        <x:v>0</x:v>
      </x:c>
      <x:c r="L35" s="31" t="n">
        <x:v>0.046802814</x:v>
      </x:c>
      <x:c r="M35" s="31" t="n">
        <x:v>0.62311489</x:v>
      </x:c>
      <x:c r="N35" s="24" t="str">
        <x:v>miscellaneous marine crustaceans</x:v>
      </x:c>
      <x:c r="O35" s="32" t="n">
        <x:v>2.7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Miscellaneous marine crustaceans</x:v>
      </x:c>
      <x:c r="T35" s="32" t="n">
        <x:f>IF(O35="","",(1/'Metadata'!$B$5)^(O35-1))</x:f>
        <x:v>50.11872336272725</x:v>
      </x:c>
      <x:c r="U35" s="31" t="n">
        <x:f>IF(T35="","",I35*T35)</x:f>
        <x:v>33.575420082569394</x:v>
      </x:c>
    </x:row>
    <x:row r="36" ht="18" customHeight="1">
      <x:c r="A36" s="24" t="str">
        <x:v>EEZ_052</x:v>
      </x:c>
      <x:c r="B36" s="24" t="str">
        <x:v>Barbados</x:v>
      </x:c>
      <x:c r="C36" s="24" t="str">
        <x:v>EEZ</x:v>
      </x:c>
      <x:c r="D36" s="30" t="n">
        <x:v>2019</x:v>
      </x:c>
      <x:c r="E36" s="24" t="str">
        <x:v>Mollusca</x:v>
      </x:c>
      <x:c r="F36" s="24" t="str">
        <x:v>Clams, seasnails, squids, octopuses</x:v>
      </x:c>
      <x:c r="G36" s="24" t="str">
        <x:v>Other demersal invertebrates</x:v>
      </x:c>
      <x:c r="H36" s="24" t="str">
        <x:v>Molluscs</x:v>
      </x:c>
      <x:c r="I36" s="31" t="n">
        <x:v>0.669917704</x:v>
      </x:c>
      <x:c r="J36" s="31" t="n">
        <x:v>0.669917704</x:v>
      </x:c>
      <x:c r="K36" s="31" t="n">
        <x:v>0</x:v>
      </x:c>
      <x:c r="L36" s="31" t="n">
        <x:v>0.046802814</x:v>
      </x:c>
      <x:c r="M36" s="31" t="n">
        <x:v>0.62311489</x:v>
      </x:c>
      <x:c r="N36" s="24" t="str">
        <x:v>mollusca</x:v>
      </x:c>
      <x:c r="O36" s="32" t="n">
        <x:v>2.1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Mollusca</x:v>
      </x:c>
      <x:c r="T36" s="32" t="n">
        <x:f>IF(O36="","",(1/'Metadata'!$B$5)^(O36-1))</x:f>
        <x:v>12.589254117941675</x:v>
      </x:c>
      <x:c r="U36" s="31" t="n">
        <x:f>IF(T36="","",I36*T36)</x:f>
        <x:v>8.43376421376403</x:v>
      </x:c>
    </x:row>
    <x:row r="37" ht="18" customHeight="1">
      <x:c r="A37" s="24" t="str">
        <x:v>EEZ_052</x:v>
      </x:c>
      <x:c r="B37" s="24" t="str">
        <x:v>Barbados</x:v>
      </x:c>
      <x:c r="C37" s="24" t="str">
        <x:v>EEZ</x:v>
      </x:c>
      <x:c r="D37" s="30" t="n">
        <x:v>2019</x:v>
      </x:c>
      <x:c r="E37" s="24" t="str">
        <x:v>Katsuwonus pelamis</x:v>
      </x:c>
      <x:c r="F37" s="24" t="str">
        <x:v>Skipjack tuna</x:v>
      </x:c>
      <x:c r="G37" s="24" t="str">
        <x:v>Large pelagics (&gt;=90 cm)</x:v>
      </x:c>
      <x:c r="H37" s="24" t="str">
        <x:v>Tuna &amp; billfishes</x:v>
      </x:c>
      <x:c r="I37" s="31" t="n">
        <x:v>0.417562817</x:v>
      </x:c>
      <x:c r="J37" s="31" t="n">
        <x:v>0.417562817</x:v>
      </x:c>
      <x:c r="K37" s="31" t="n">
        <x:v>0</x:v>
      </x:c>
      <x:c r="L37" s="31" t="n">
        <x:v>0.417562817</x:v>
      </x:c>
      <x:c r="M37" s="31" t="n">
        <x:v>0</x:v>
      </x:c>
      <x:c r="N37" s="24" t="str">
        <x:v>katsuwonus pelamis</x:v>
      </x:c>
      <x:c r="O37" s="32" t="n">
        <x:v>4.43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Katsuwonus pelamis</x:v>
      </x:c>
      <x:c r="T37" s="32" t="n">
        <x:f>IF(O37="","",(1/'Metadata'!$B$5)^(O37-1))</x:f>
        <x:v>2691.534803926914</x:v>
      </x:c>
      <x:c r="U37" s="31" t="n">
        <x:f>IF(T37="","",I37*T37)</x:f>
        <x:v>1123.8848547812647</x:v>
      </x:c>
    </x:row>
    <x:row r="38" ht="18" customHeight="1">
      <x:c r="A38" s="24" t="str">
        <x:v>EEZ_052</x:v>
      </x:c>
      <x:c r="B38" s="24" t="str">
        <x:v>Barbados</x:v>
      </x:c>
      <x:c r="C38" s="24" t="str">
        <x:v>EEZ</x:v>
      </x:c>
      <x:c r="D38" s="30" t="n">
        <x:v>2019</x:v>
      </x:c>
      <x:c r="E38" s="24" t="str">
        <x:v>Carcharhinus falciformis</x:v>
      </x:c>
      <x:c r="F38" s="24" t="str">
        <x:v>Silky shark</x:v>
      </x:c>
      <x:c r="G38" s="24" t="str">
        <x:v>Large sharks (&gt;=90 cm)</x:v>
      </x:c>
      <x:c r="H38" s="24" t="str">
        <x:v>Sharks &amp; rays</x:v>
      </x:c>
      <x:c r="I38" s="31" t="n">
        <x:v>0.338</x:v>
      </x:c>
      <x:c r="J38" s="31" t="n">
        <x:v>0.338</x:v>
      </x:c>
      <x:c r="K38" s="31" t="n">
        <x:v>0</x:v>
      </x:c>
      <x:c r="L38" s="31" t="n">
        <x:v>0.338</x:v>
      </x:c>
      <x:c r="M38" s="31" t="n">
        <x:v>0</x:v>
      </x:c>
      <x:c r="N38" s="24" t="str">
        <x:v>carcharhinus falciformis</x:v>
      </x:c>
      <x:c r="O38" s="32" t="n">
        <x:v>4.51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Carcharhinus falciformis</x:v>
      </x:c>
      <x:c r="T38" s="32" t="n">
        <x:f>IF(O38="","",(1/'Metadata'!$B$5)^(O38-1))</x:f>
        <x:v>3235.936569296281</x:v>
      </x:c>
      <x:c r="U38" s="31" t="n">
        <x:f>IF(T38="","",I38*T38)</x:f>
        <x:v>1093.7465604221431</x:v>
      </x:c>
    </x:row>
    <x:row r="39" ht="18" customHeight="1">
      <x:c r="A39" s="24" t="str">
        <x:v>EEZ_052</x:v>
      </x:c>
      <x:c r="B39" s="24" t="str">
        <x:v>Barbados</x:v>
      </x:c>
      <x:c r="C39" s="24" t="str">
        <x:v>EEZ</x:v>
      </x:c>
      <x:c r="D39" s="30" t="n">
        <x:v>2019</x:v>
      </x:c>
      <x:c r="E39" s="24" t="str">
        <x:v>Lutjanidae</x:v>
      </x:c>
      <x:c r="F39" s="24" t="str">
        <x:v>Snappers</x:v>
      </x:c>
      <x:c r="G39" s="24" t="str">
        <x:v>Medium reef assoc. fish (30 - 89 cm)</x:v>
      </x:c>
      <x:c r="H39" s="24" t="str">
        <x:v>Perch-likes</x:v>
      </x:c>
      <x:c r="I39" s="31" t="n">
        <x:v>0.151136937</x:v>
      </x:c>
      <x:c r="J39" s="31" t="n">
        <x:v>0.151136937</x:v>
      </x:c>
      <x:c r="K39" s="31" t="n">
        <x:v>0</x:v>
      </x:c>
      <x:c r="L39" s="31" t="n">
        <x:v>0</x:v>
      </x:c>
      <x:c r="M39" s="31" t="n">
        <x:v>0.151136937</x:v>
      </x:c>
      <x:c r="N39" s="24" t="str">
        <x:v>lutjanidae</x:v>
      </x:c>
      <x:c r="O39" s="32" t="n">
        <x:v>4.02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Lutjanidae</x:v>
      </x:c>
      <x:c r="T39" s="32" t="n">
        <x:f>IF(O39="","",(1/'Metadata'!$B$5)^(O39-1))</x:f>
        <x:v>1047.1285480508984</x:v>
      </x:c>
      <x:c r="U39" s="31" t="n">
        <x:f>IF(T39="","",I39*T39)</x:f>
        <x:v>158.25980139767012</x:v>
      </x:c>
    </x:row>
    <x:row r="40" ht="18" customHeight="1">
      <x:c r="A40" s="24" t="str">
        <x:v>EEZ_052</x:v>
      </x:c>
      <x:c r="B40" s="24" t="str">
        <x:v>Barbados</x:v>
      </x:c>
      <x:c r="C40" s="24" t="str">
        <x:v>EEZ</x:v>
      </x:c>
      <x:c r="D40" s="30" t="n">
        <x:v>2019</x:v>
      </x:c>
      <x:c r="E40" s="24" t="str">
        <x:v>Marine pelagic fishes not identified</x:v>
      </x:c>
      <x:c r="F40" s="24" t="str">
        <x:v>Pelagic fishes</x:v>
      </x:c>
      <x:c r="G40" s="24" t="str">
        <x:v>Medium pelagics (30 - 89 cm)</x:v>
      </x:c>
      <x:c r="H40" s="24" t="str">
        <x:v>Other fishes &amp; inverts</x:v>
      </x:c>
      <x:c r="I40" s="31" t="n">
        <x:v>0.1071307656</x:v>
      </x:c>
      <x:c r="J40" s="31" t="n">
        <x:v>0.1071307656</x:v>
      </x:c>
      <x:c r="K40" s="31" t="n">
        <x:v>0</x:v>
      </x:c>
      <x:c r="L40" s="31" t="n">
        <x:v>0.1071307656</x:v>
      </x:c>
      <x:c r="M40" s="31" t="n">
        <x:v>0</x:v>
      </x:c>
      <x:c r="N40" s="24" t="str">
        <x:v>marine pelagic fishes not identified</x:v>
      </x:c>
      <x:c r="O40" s="32" t="n">
        <x:v>3.35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Marine pelagic fishes not identified</x:v>
      </x:c>
      <x:c r="T40" s="32" t="n">
        <x:f>IF(O40="","",(1/'Metadata'!$B$5)^(O40-1))</x:f>
        <x:v>223.872113856834</x:v>
      </x:c>
      <x:c r="U40" s="31" t="n">
        <x:f>IF(T40="","",I40*T40)</x:f>
        <x:v>23.983590953972996</x:v>
      </x:c>
    </x:row>
    <x:row r="41" ht="18" customHeight="1">
      <x:c r="A41" s="24" t="str">
        <x:v>EEZ_052</x:v>
      </x:c>
      <x:c r="B41" s="24" t="str">
        <x:v>Barbados</x:v>
      </x:c>
      <x:c r="C41" s="24" t="str">
        <x:v>EEZ</x:v>
      </x:c>
      <x:c r="D41" s="30" t="n">
        <x:v>2019</x:v>
      </x:c>
      <x:c r="E41" s="24" t="str">
        <x:v>Epinephelus</x:v>
      </x:c>
      <x:c r="F41" s="24" t="str">
        <x:v>Seabasses, hinds</x:v>
      </x:c>
      <x:c r="G41" s="24" t="str">
        <x:v>Medium reef assoc. fish (30 - 89 cm)</x:v>
      </x:c>
      <x:c r="H41" s="24" t="str">
        <x:v>Perch-likes</x:v>
      </x:c>
      <x:c r="I41" s="31" t="n">
        <x:v>0.097159459</x:v>
      </x:c>
      <x:c r="J41" s="31" t="n">
        <x:v>0.097159459</x:v>
      </x:c>
      <x:c r="K41" s="31" t="n">
        <x:v>0</x:v>
      </x:c>
      <x:c r="L41" s="31" t="n">
        <x:v>0</x:v>
      </x:c>
      <x:c r="M41" s="31" t="n">
        <x:v>0.097159459</x:v>
      </x:c>
      <x:c r="N41" s="24" t="str">
        <x:v>epinephelus</x:v>
      </x:c>
      <x:c r="O41" s="32" t="n">
        <x:v>3.84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Epinephelus</x:v>
      </x:c>
      <x:c r="T41" s="32" t="n">
        <x:f>IF(O41="","",(1/'Metadata'!$B$5)^(O41-1))</x:f>
        <x:v>691.8309709189363</x:v>
      </x:c>
      <x:c r="U41" s="31" t="n">
        <x:f>IF(T41="","",I41*T41)</x:f>
        <x:v>67.21792285392858</x:v>
      </x:c>
    </x:row>
    <x:row r="42" ht="18" customHeight="1">
      <x:c r="A42" s="24" t="str">
        <x:v>EEZ_052</x:v>
      </x:c>
      <x:c r="B42" s="24" t="str">
        <x:v>Barbados</x:v>
      </x:c>
      <x:c r="C42" s="24" t="str">
        <x:v>EEZ</x:v>
      </x:c>
      <x:c r="D42" s="30" t="n">
        <x:v>2019</x:v>
      </x:c>
      <x:c r="E42" s="24" t="str">
        <x:v>Carcharhinus</x:v>
      </x:c>
      <x:c r="F42" s="24" t="str">
        <x:v>Sharp-nosed sharks</x:v>
      </x:c>
      <x:c r="G42" s="24" t="str">
        <x:v>Large sharks (&gt;=90 cm)</x:v>
      </x:c>
      <x:c r="H42" s="24" t="str">
        <x:v>Sharks &amp; rays</x:v>
      </x:c>
      <x:c r="I42" s="31" t="n">
        <x:v>0.043181982</x:v>
      </x:c>
      <x:c r="J42" s="31" t="n">
        <x:v>0.043181982</x:v>
      </x:c>
      <x:c r="K42" s="31" t="n">
        <x:v>0</x:v>
      </x:c>
      <x:c r="L42" s="31" t="n">
        <x:v>0</x:v>
      </x:c>
      <x:c r="M42" s="31" t="n">
        <x:v>0.043181982</x:v>
      </x:c>
      <x:c r="N42" s="24" t="str">
        <x:v>carcharhinus</x:v>
      </x:c>
      <x:c r="O42" s="32" t="n">
        <x:v>4.26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Carcharhinus</x:v>
      </x:c>
      <x:c r="T42" s="32" t="n">
        <x:f>IF(O42="","",(1/'Metadata'!$B$5)^(O42-1))</x:f>
        <x:v>1819.7008586099826</x:v>
      </x:c>
      <x:c r="U42" s="31" t="n">
        <x:f>IF(T42="","",I42*T42)</x:f>
        <x:v>78.57828972188081</x:v>
      </x:c>
    </x:row>
    <x:row r="43" ht="18" customHeight="1">
      <x:c r="A43" s="24" t="str">
        <x:v>EEZ_052</x:v>
      </x:c>
      <x:c r="B43" s="24" t="str">
        <x:v>Barbados</x:v>
      </x:c>
      <x:c r="C43" s="24" t="str">
        <x:v>EEZ</x:v>
      </x:c>
      <x:c r="D43" s="30" t="n">
        <x:v>2019</x:v>
      </x:c>
      <x:c r="E43" s="24" t="str">
        <x:v>Sciaenidae</x:v>
      </x:c>
      <x:c r="F43" s="24" t="str">
        <x:v>Drums, croakers</x:v>
      </x:c>
      <x:c r="G43" s="24" t="str">
        <x:v>Medium demersals (30 - 89 cm)</x:v>
      </x:c>
      <x:c r="H43" s="24" t="str">
        <x:v>Perch-likes</x:v>
      </x:c>
      <x:c r="I43" s="31" t="n">
        <x:v>0.032386486</x:v>
      </x:c>
      <x:c r="J43" s="31" t="n">
        <x:v>0.032386486</x:v>
      </x:c>
      <x:c r="K43" s="31" t="n">
        <x:v>0</x:v>
      </x:c>
      <x:c r="L43" s="31" t="n">
        <x:v>0</x:v>
      </x:c>
      <x:c r="M43" s="31" t="n">
        <x:v>0.032386486</x:v>
      </x:c>
      <x:c r="N43" s="24" t="str">
        <x:v>sciaenidae</x:v>
      </x:c>
      <x:c r="O43" s="32" t="n">
        <x:v>3.76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Sciaenidae</x:v>
      </x:c>
      <x:c r="T43" s="32" t="n">
        <x:f>IF(O43="","",(1/'Metadata'!$B$5)^(O43-1))</x:f>
        <x:v>575.4399373371566</x:v>
      </x:c>
      <x:c r="U43" s="31" t="n">
        <x:f>IF(T43="","",I43*T43)</x:f>
        <x:v>18.6364774744107</x:v>
      </x:c>
    </x:row>
    <x:row r="44" ht="18" customHeight="1">
      <x:c r="A44" s="24" t="str">
        <x:v>EEZ_052</x:v>
      </x:c>
      <x:c r="B44" s="24" t="str">
        <x:v>Barbados</x:v>
      </x:c>
      <x:c r="C44" s="24" t="str">
        <x:v>EEZ</x:v>
      </x:c>
      <x:c r="D44" s="30" t="n">
        <x:v>2019</x:v>
      </x:c>
      <x:c r="E44" s="24" t="str">
        <x:v>Istiophoridae</x:v>
      </x:c>
      <x:c r="F44" s="24" t="str">
        <x:v>Billfishes</x:v>
      </x:c>
      <x:c r="G44" s="24" t="str">
        <x:v>Large pelagics (&gt;=90 cm)</x:v>
      </x:c>
      <x:c r="H44" s="24" t="str">
        <x:v>Tuna &amp; billfishes</x:v>
      </x:c>
      <x:c r="I44" s="31" t="n">
        <x:v>0.0217036908</x:v>
      </x:c>
      <x:c r="J44" s="31" t="n">
        <x:v>0.0217036908</x:v>
      </x:c>
      <x:c r="K44" s="31" t="n">
        <x:v>0</x:v>
      </x:c>
      <x:c r="L44" s="31" t="n">
        <x:v>0.0001126998</x:v>
      </x:c>
      <x:c r="M44" s="31" t="n">
        <x:v>0.021590991</x:v>
      </x:c>
      <x:c r="N44" s="24" t="str">
        <x:v>istiophoridae</x:v>
      </x:c>
      <x:c r="O44" s="32" t="n">
        <x:v>4.48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Istiophoridae</x:v>
      </x:c>
      <x:c r="T44" s="32" t="n">
        <x:f>IF(O44="","",(1/'Metadata'!$B$5)^(O44-1))</x:f>
        <x:v>3019.951720402019</x:v>
      </x:c>
      <x:c r="U44" s="31" t="n">
        <x:f>IF(T44="","",I44*T44)</x:f>
        <x:v>65.54409837053348</x:v>
      </x:c>
    </x:row>
    <x:row r="45" ht="18" customHeight="1">
      <x:c r="A45" s="24" t="str">
        <x:v>EEZ_052</x:v>
      </x:c>
      <x:c r="B45" s="24" t="str">
        <x:v>Barbados</x:v>
      </x:c>
      <x:c r="C45" s="24" t="str">
        <x:v>EEZ</x:v>
      </x:c>
      <x:c r="D45" s="30" t="n">
        <x:v>2019</x:v>
      </x:c>
      <x:c r="E45" s="24" t="str">
        <x:v>Palinuridae</x:v>
      </x:c>
      <x:c r="F45" s="24" t="str">
        <x:v>Spiny lobsters</x:v>
      </x:c>
      <x:c r="G45" s="24" t="str">
        <x:v>Lobsters, crabs</x:v>
      </x:c>
      <x:c r="H45" s="24" t="str">
        <x:v>Crustaceans</x:v>
      </x:c>
      <x:c r="I45" s="31" t="n">
        <x:v>0.021590991</x:v>
      </x:c>
      <x:c r="J45" s="31" t="n">
        <x:v>0.021590991</x:v>
      </x:c>
      <x:c r="K45" s="31" t="n">
        <x:v>0</x:v>
      </x:c>
      <x:c r="L45" s="31" t="n">
        <x:v>0</x:v>
      </x:c>
      <x:c r="M45" s="31" t="n">
        <x:v>0.021590991</x:v>
      </x:c>
      <x:c r="N45" s="24" t="str">
        <x:v>palinuridae</x:v>
      </x:c>
      <x:c r="O45" s="32" t="n">
        <x:v>3.14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Palinuridae</x:v>
      </x:c>
      <x:c r="T45" s="32" t="n">
        <x:f>IF(O45="","",(1/'Metadata'!$B$5)^(O45-1))</x:f>
        <x:v>138.03842646028852</x:v>
      </x:c>
      <x:c r="U45" s="31" t="n">
        <x:f>IF(T45="","",I45*T45)</x:f>
        <x:v>2.9803864233582513</x:v>
      </x:c>
    </x:row>
    <x:row r="46" ht="18" customHeight="1">
      <x:c r="A46" s="24" t="str">
        <x:v>EEZ_052</x:v>
      </x:c>
      <x:c r="B46" s="24" t="str">
        <x:v>Barbados</x:v>
      </x:c>
      <x:c r="C46" s="24" t="str">
        <x:v>EEZ</x:v>
      </x:c>
      <x:c r="D46" s="30" t="n">
        <x:v>2019</x:v>
      </x:c>
      <x:c r="E46" s="24" t="str">
        <x:v>Thunnus</x:v>
      </x:c>
      <x:c r="F46" s="24" t="str">
        <x:v>Tunas</x:v>
      </x:c>
      <x:c r="G46" s="24" t="str">
        <x:v>Large pelagics (&gt;=90 cm)</x:v>
      </x:c>
      <x:c r="H46" s="24" t="str">
        <x:v>Tuna &amp; billfishes</x:v>
      </x:c>
      <x:c r="I46" s="31" t="n">
        <x:v>0.0162163632</x:v>
      </x:c>
      <x:c r="J46" s="31" t="n">
        <x:v>0.0162163632</x:v>
      </x:c>
      <x:c r="K46" s="31" t="n">
        <x:v>0</x:v>
      </x:c>
      <x:c r="L46" s="31" t="n">
        <x:v>0.0000231202</x:v>
      </x:c>
      <x:c r="M46" s="31" t="n">
        <x:v>0.016193243</x:v>
      </x:c>
      <x:c r="N46" s="24" t="str">
        <x:v>thunnus</x:v>
      </x:c>
      <x:c r="O46" s="32" t="n">
        <x:v>4.34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Thunnus</x:v>
      </x:c>
      <x:c r="T46" s="32" t="n">
        <x:f>IF(O46="","",(1/'Metadata'!$B$5)^(O46-1))</x:f>
        <x:v>2187.761623949552</x:v>
      </x:c>
      <x:c r="U46" s="31" t="n">
        <x:f>IF(T46="","",I46*T46)</x:f>
        <x:v>35.47753708898775</x:v>
      </x:c>
    </x:row>
    <x:row r="47" ht="18" customHeight="1">
      <x:c r="A47" s="24" t="str">
        <x:v>EEZ_052</x:v>
      </x:c>
      <x:c r="B47" s="24" t="str">
        <x:v>Barbados</x:v>
      </x:c>
      <x:c r="C47" s="24" t="str">
        <x:v>EEZ</x:v>
      </x:c>
      <x:c r="D47" s="30" t="n">
        <x:v>2019</x:v>
      </x:c>
      <x:c r="E47" s="24" t="str">
        <x:v>Caranx hippos</x:v>
      </x:c>
      <x:c r="F47" s="24" t="str">
        <x:v>Crevalle jack</x:v>
      </x:c>
      <x:c r="G47" s="24" t="str">
        <x:v>Large reef assoc. fish (&gt;=90 cm)</x:v>
      </x:c>
      <x:c r="H47" s="24" t="str">
        <x:v>Perch-likes</x:v>
      </x:c>
      <x:c r="I47" s="31" t="n">
        <x:v>0.0004361877</x:v>
      </x:c>
      <x:c r="J47" s="31" t="n">
        <x:v>0.0004361877</x:v>
      </x:c>
      <x:c r="K47" s="31" t="n">
        <x:v>0</x:v>
      </x:c>
      <x:c r="L47" s="31" t="n">
        <x:v>0.0004361877</x:v>
      </x:c>
      <x:c r="M47" s="31" t="n">
        <x:v>0</x:v>
      </x:c>
      <x:c r="N47" s="24" t="str">
        <x:v>caranx hippos</x:v>
      </x:c>
      <x:c r="O47" s="32" t="n">
        <x:v>3.56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Caranx hippos</x:v>
      </x:c>
      <x:c r="T47" s="32" t="n">
        <x:f>IF(O47="","",(1/'Metadata'!$B$5)^(O47-1))</x:f>
        <x:v>363.0780547701014</x:v>
      </x:c>
      <x:c r="U47" s="31" t="n">
        <x:f>IF(T47="","",I47*T47)</x:f>
        <x:v>0.15837018163064456</x:v>
      </x:c>
    </x:row>
    <x:row r="48" ht="18" customHeight="1">
      <x:c r="A48" s="24" t="str">
        <x:v>EEZ_052</x:v>
      </x:c>
      <x:c r="B48" s="24" t="str">
        <x:v>Barbados</x:v>
      </x:c>
      <x:c r="C48" s="24" t="str">
        <x:v>EEZ</x:v>
      </x:c>
      <x:c r="D48" s="30" t="n">
        <x:v>2019</x:v>
      </x:c>
      <x:c r="E48" s="24" t="str">
        <x:v>Sphyraena barracuda</x:v>
      </x:c>
      <x:c r="F48" s="24" t="str">
        <x:v>Great barracuda</x:v>
      </x:c>
      <x:c r="G48" s="24" t="str">
        <x:v>Large pelagics (&gt;=90 cm)</x:v>
      </x:c>
      <x:c r="H48" s="24" t="str">
        <x:v>Perch-likes</x:v>
      </x:c>
      <x:c r="I48" s="31" t="n">
        <x:v>0.0001022887</x:v>
      </x:c>
      <x:c r="J48" s="31" t="n">
        <x:v>0.0001022887</x:v>
      </x:c>
      <x:c r="K48" s="31" t="n">
        <x:v>0</x:v>
      </x:c>
      <x:c r="L48" s="31" t="n">
        <x:v>0.0001022887</x:v>
      </x:c>
      <x:c r="M48" s="31" t="n">
        <x:v>0</x:v>
      </x:c>
      <x:c r="N48" s="24" t="str">
        <x:v>sphyraena barracuda</x:v>
      </x:c>
      <x:c r="O48" s="32" t="n">
        <x:v>4.49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Sphyraena barracuda</x:v>
      </x:c>
      <x:c r="T48" s="32" t="n">
        <x:f>IF(O48="","",(1/'Metadata'!$B$5)^(O48-1))</x:f>
        <x:v>3090.295432513592</x:v>
      </x:c>
      <x:c r="U48" s="31" t="n">
        <x:f>IF(T48="","",I48*T48)</x:f>
        <x:v>0.31610230240775306</x:v>
      </x:c>
    </x:row>
  </x:sheetData>
  <x:conditionalFormatting sqref="R2:R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d04142dfc74406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0.6915086949999999</x:v>
      </x:c>
      <x:c r="C2" s="32" t="n">
        <x:v>2.7137381295545393</x:v>
      </x:c>
      <x:c r="D2" s="32" t="n">
        <x:f>IF(C2="","",(1/'Metadata'!$B$5)^(C2-1))</x:f>
        <x:v>51.72948199867017</x:v>
      </x:c>
      <x:c r="E2" s="31" t="n">
        <x:f>IF(B2=0,"",B2*D2)</x:f>
        <x:v>35.771386589926394</x:v>
      </x:c>
    </x:row>
    <x:row r="3" ht="18" customHeight="1">
      <x:c r="A3" s="24" t="str">
        <x:v>Molluscs</x:v>
      </x:c>
      <x:c r="B3" s="31" t="n">
        <x:v>0.669917704</x:v>
      </x:c>
      <x:c r="C3" s="32" t="n">
        <x:v>2.1</x:v>
      </x:c>
      <x:c r="D3" s="32" t="n">
        <x:f>IF(C3="","",(1/'Metadata'!$B$5)^(C3-1))</x:f>
        <x:v>12.589254117941675</x:v>
      </x:c>
      <x:c r="E3" s="31" t="n">
        <x:f>IF(B3=0,"",B3*D3)</x:f>
        <x:v>8.43376421376403</x:v>
      </x:c>
    </x:row>
    <x:row r="4" ht="18" customHeight="1">
      <x:c r="A4" s="24" t="str">
        <x:v>Other fishes &amp; inverts</x:v>
      </x:c>
      <x:c r="B4" s="31" t="n">
        <x:v>1817.7580013601</x:v>
      </x:c>
      <x:c r="C4" s="32" t="n">
        <x:v>3.2795976659115618</x:v>
      </x:c>
      <x:c r="D4" s="32" t="n">
        <x:f>IF(C4="","",(1/'Metadata'!$B$5)^(C4-1))</x:f>
        <x:v>190.36963004182843</x:v>
      </x:c>
      <x:c r="E4" s="31" t="n">
        <x:f>IF(B4=0,"",B4*D4)</x:f>
        <x:v>346045.9182244957</x:v>
      </x:c>
    </x:row>
    <x:row r="5" ht="18" customHeight="1">
      <x:c r="A5" s="24" t="str">
        <x:v>Perch-likes</x:v>
      </x:c>
      <x:c r="B5" s="31" t="n">
        <x:v>951.9559914292998</x:v>
      </x:c>
      <x:c r="C5" s="32" t="n">
        <x:v>3.8943755211877935</x:v>
      </x:c>
      <x:c r="D5" s="32" t="n">
        <x:f>IF(C5="","",(1/'Metadata'!$B$5)^(C5-1))</x:f>
        <x:v>784.1073434264995</x:v>
      </x:c>
      <x:c r="E5" s="31" t="n">
        <x:f>IF(B5=0,"",B5*D5)</x:f>
        <x:v>746435.6834985678</x:v>
      </x:c>
    </x:row>
    <x:row r="6" ht="18" customHeight="1">
      <x:c r="A6" s="24" t="str">
        <x:v>Sharks &amp; rays</x:v>
      </x:c>
      <x:c r="B6" s="31" t="n">
        <x:v>101.93314386499998</x:v>
      </x:c>
      <x:c r="C6" s="32" t="n">
        <x:v>4.242526800723042</x:v>
      </x:c>
      <x:c r="D6" s="32" t="n">
        <x:f>IF(C6="","",(1/'Metadata'!$B$5)^(C6-1))</x:f>
        <x:v>1747.9411261893251</x:v>
      </x:c>
      <x:c r="E6" s="31" t="n">
        <x:f>IF(B6=0,"",B6*D6)</x:f>
        <x:v>178173.13428340654</x:v>
      </x:c>
    </x:row>
    <x:row r="7" ht="18" customHeight="1">
      <x:c r="A7" s="24" t="str">
        <x:v>Tuna &amp; billfishes</x:v>
      </x:c>
      <x:c r="B7" s="31" t="n">
        <x:v>236.87493889709998</x:v>
      </x:c>
      <x:c r="C7" s="32" t="n">
        <x:v>4.414667376286347</x:v>
      </x:c>
      <x:c r="D7" s="32" t="n">
        <x:f>IF(C7="","",(1/'Metadata'!$B$5)^(C7-1))</x:f>
        <x:v>2598.168877929339</x:v>
      </x:c>
      <x:c r="E7" s="31" t="n">
        <x:f>IF(B7=0,"",B7*D7)</x:f>
        <x:v>615441.094203859</x:v>
      </x:c>
    </x:row>
  </x:sheetData>
  <x:pageMargins left="0.7" right="0.7" top="0.75" bottom="0.75" header="0.3" footer="0.3"/>
  <x:tableParts count="1">
    <x:tablePart xmlns:r="http://schemas.openxmlformats.org/officeDocument/2006/relationships" r:id="R485c2ee4cd7144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601.3493435460999</x:v>
      </x:c>
      <x:c r="C2" s="32" t="n">
        <x:v>4.45507964107227</x:v>
      </x:c>
      <x:c r="D2" s="32" t="n">
        <x:f>IF(C2="","",(1/'Metadata'!$B$5)^(C2-1))</x:f>
        <x:v>2851.541136160138</x:v>
      </x:c>
      <x:c r="E2" s="31" t="n">
        <x:f>IF(B2=0,"",B2*D2)</x:f>
        <x:v>1714772.390324599</x:v>
      </x:c>
    </x:row>
    <x:row r="3" ht="18" customHeight="1">
      <x:c r="A3" s="24" t="str">
        <x:v>Large reef assoc. fish (&gt;=90 cm)</x:v>
      </x:c>
      <x:c r="B3" s="31" t="n">
        <x:v>0.0004361877</x:v>
      </x:c>
      <x:c r="C3" s="32" t="n">
        <x:v>3.56</x:v>
      </x:c>
      <x:c r="D3" s="32" t="n">
        <x:f>IF(C3="","",(1/'Metadata'!$B$5)^(C3-1))</x:f>
        <x:v>363.0780547701014</x:v>
      </x:c>
      <x:c r="E3" s="31" t="n">
        <x:f>IF(B3=0,"",B3*D3)</x:f>
        <x:v>0.15837018163064456</x:v>
      </x:c>
    </x:row>
    <x:row r="4" ht="18" customHeight="1">
      <x:c r="A4" s="24" t="str">
        <x:v>Large sharks (&gt;=90 cm)</x:v>
      </x:c>
      <x:c r="B4" s="31" t="n">
        <x:v>101.93314386499998</x:v>
      </x:c>
      <x:c r="C4" s="32" t="n">
        <x:v>4.242526800723042</x:v>
      </x:c>
      <x:c r="D4" s="32" t="n">
        <x:f>IF(C4="","",(1/'Metadata'!$B$5)^(C4-1))</x:f>
        <x:v>1747.9411261893251</x:v>
      </x:c>
      <x:c r="E4" s="31" t="n">
        <x:f>IF(B4=0,"",B4*D4)</x:f>
        <x:v>178173.13428340654</x:v>
      </x:c>
    </x:row>
    <x:row r="5" ht="18" customHeight="1">
      <x:c r="A5" s="24" t="str">
        <x:v>Lobsters, crabs</x:v>
      </x:c>
      <x:c r="B5" s="31" t="n">
        <x:v>0.021590991</x:v>
      </x:c>
      <x:c r="C5" s="32" t="n">
        <x:v>3.14</x:v>
      </x:c>
      <x:c r="D5" s="32" t="n">
        <x:f>IF(C5="","",(1/'Metadata'!$B$5)^(C5-1))</x:f>
        <x:v>138.03842646028852</x:v>
      </x:c>
      <x:c r="E5" s="31" t="n">
        <x:f>IF(B5=0,"",B5*D5)</x:f>
        <x:v>2.9803864233582513</x:v>
      </x:c>
    </x:row>
    <x:row r="6" ht="18" customHeight="1">
      <x:c r="A6" s="24" t="str">
        <x:v>Medium bathydemersals (30 - 89 cm)</x:v>
      </x:c>
      <x:c r="B6" s="31" t="n">
        <x:v>55.259636648</x:v>
      </x:c>
      <x:c r="C6" s="32" t="n">
        <x:v>4.18</x:v>
      </x:c>
      <x:c r="D6" s="32" t="n">
        <x:f>IF(C6="","",(1/'Metadata'!$B$5)^(C6-1))</x:f>
        <x:v>1513.5612484362073</x:v>
      </x:c>
      <x:c r="E6" s="31" t="n">
        <x:f>IF(B6=0,"",B6*D6)</x:f>
        <x:v>83638.84463307807</x:v>
      </x:c>
    </x:row>
    <x:row r="7" ht="18" customHeight="1">
      <x:c r="A7" s="24" t="str">
        <x:v>Medium demersals (30 - 89 cm)</x:v>
      </x:c>
      <x:c r="B7" s="31" t="n">
        <x:v>1736.9182213574998</x:v>
      </x:c>
      <x:c r="C7" s="32" t="n">
        <x:v>3.3131707536207036</x:v>
      </x:c>
      <x:c r="D7" s="32" t="n">
        <x:f>IF(C7="","",(1/'Metadata'!$B$5)^(C7-1))</x:f>
        <x:v>205.66990791651574</x:v>
      </x:c>
      <x:c r="E7" s="31" t="n">
        <x:f>IF(B7=0,"",B7*D7)</x:f>
        <x:v>357231.81064511527</x:v>
      </x:c>
    </x:row>
    <x:row r="8" ht="18" customHeight="1">
      <x:c r="A8" s="24" t="str">
        <x:v>Medium pelagics (30 - 89 cm)</x:v>
      </x:c>
      <x:c r="B8" s="31" t="n">
        <x:v>261.0806018072</x:v>
      </x:c>
      <x:c r="C8" s="32" t="n">
        <x:v>4.090493197764317</x:v>
      </x:c>
      <x:c r="D8" s="32" t="n">
        <x:f>IF(C8="","",(1/'Metadata'!$B$5)^(C8-1))</x:f>
        <x:v>1231.666694326727</x:v>
      </x:c>
      <x:c r="E8" s="31" t="n">
        <x:f>IF(B8=0,"",B8*D8)</x:f>
        <x:v>321564.2817807066</x:v>
      </x:c>
    </x:row>
    <x:row r="9" ht="18" customHeight="1">
      <x:c r="A9" s="24" t="str">
        <x:v>Medium reef assoc. fish (30 - 89 cm)</x:v>
      </x:c>
      <x:c r="B9" s="31" t="n">
        <x:v>182.416271781</x:v>
      </x:c>
      <x:c r="C9" s="32" t="n">
        <x:v>3.4675392123631985</x:v>
      </x:c>
      <x:c r="D9" s="32" t="n">
        <x:f>IF(C9="","",(1/'Metadata'!$B$5)^(C9-1))</x:f>
        <x:v>293.45344505321253</x:v>
      </x:c>
      <x:c r="E9" s="31" t="n">
        <x:f>IF(B9=0,"",B9*D9)</x:f>
        <x:v>53530.68338789757</x:v>
      </x:c>
    </x:row>
    <x:row r="10" ht="18" customHeight="1">
      <x:c r="A10" s="24" t="str">
        <x:v>Other demersal invertebrates</x:v>
      </x:c>
      <x:c r="B10" s="31" t="n">
        <x:v>0.669917704</x:v>
      </x:c>
      <x:c r="C10" s="32" t="n">
        <x:v>2.1</x:v>
      </x:c>
      <x:c r="D10" s="32" t="n">
        <x:f>IF(C10="","",(1/'Metadata'!$B$5)^(C10-1))</x:f>
        <x:v>12.589254117941675</x:v>
      </x:c>
      <x:c r="E10" s="31" t="n">
        <x:f>IF(B10=0,"",B10*D10)</x:f>
        <x:v>8.43376421376403</x:v>
      </x:c>
    </x:row>
    <x:row r="11" ht="18" customHeight="1">
      <x:c r="A11" s="24" t="str">
        <x:v>Shrimps</x:v>
      </x:c>
      <x:c r="B11" s="31" t="n">
        <x:v>0.669917704</x:v>
      </x:c>
      <x:c r="C11" s="32" t="n">
        <x:v>2.7</x:v>
      </x:c>
      <x:c r="D11" s="32" t="n">
        <x:f>IF(C11="","",(1/'Metadata'!$B$5)^(C11-1))</x:f>
        <x:v>50.11872336272725</x:v>
      </x:c>
      <x:c r="E11" s="31" t="n">
        <x:f>IF(B11=0,"",B11*D11)</x:f>
        <x:v>33.575420082569394</x:v>
      </x:c>
    </x:row>
    <x:row r="12" ht="18" customHeight="1">
      <x:c r="A12" s="24" t="str">
        <x:v>Small reef assoc. fish (&lt;30 cm)</x:v>
      </x:c>
      <x:c r="B12" s="31" t="n">
        <x:v>169.564420359</x:v>
      </x:c>
      <x:c r="C12" s="32" t="n">
        <x:v>2.0598446761663545</x:v>
      </x:c>
      <x:c r="D12" s="32" t="n">
        <x:f>IF(C12="","",(1/'Metadata'!$B$5)^(C12-1))</x:f>
        <x:v>11.477430619738067</x:v>
      </x:c>
      <x:c r="E12" s="31" t="n">
        <x:f>IF(B12=0,"",B12*D12)</x:f>
        <x:v>1946.1638702465234</x:v>
      </x:c>
    </x:row>
  </x:sheetData>
  <x:pageMargins left="0.7" right="0.7" top="0.75" bottom="0.75" header="0.3" footer="0.3"/>
  <x:tableParts count="1">
    <x:tablePart xmlns:r="http://schemas.openxmlformats.org/officeDocument/2006/relationships" r:id="Rf14efe7f58be4f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EEZ_052</x:v>
      </x:c>
      <x:c r="B2" s="24" t="str">
        <x:v>raw_filtered_tonnes</x:v>
      </x:c>
      <x:c r="C2" s="24" t="n">
        <x:v>3109.8835019504995</x:v>
      </x:c>
      <x:c r="D2" s="24" t="str">
        <x:v>tonnes</x:v>
      </x:c>
    </x:row>
    <x:row r="3" ht="18" customHeight="1">
      <x:c r="A3" s="24" t="str">
        <x:v>EEZ_052</x:v>
      </x:c>
      <x:c r="B3" s="24" t="str">
        <x:v>species_catch_tonnes</x:v>
      </x:c>
      <x:c r="C3" s="24" t="n">
        <x:v>3109.8835019505</x:v>
      </x:c>
      <x:c r="D3" s="24" t="str">
        <x:v>tonnes</x:v>
      </x:c>
    </x:row>
    <x:row r="4" ht="18" customHeight="1">
      <x:c r="A4" s="24" t="str">
        <x:v>EEZ_052</x:v>
      </x:c>
      <x:c r="B4" s="24" t="str">
        <x:v>catch_difference_tonnes</x:v>
      </x:c>
      <x:c r="C4" s="24" t="n">
        <x:v>4.547473508864641e-13</x:v>
      </x:c>
      <x:c r="D4" s="24" t="str">
        <x:v>tonnes</x:v>
      </x:c>
    </x:row>
    <x:row r="5" ht="18" customHeight="1">
      <x:c r="A5" s="24" t="str">
        <x:v>EEZ_052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EEZ_052</x:v>
      </x:c>
      <x:c r="B6" s="24" t="str">
        <x:v>matched_catch_tonnes</x:v>
      </x:c>
      <x:c r="C6" s="24" t="n">
        <x:v>3109.8835019505</x:v>
      </x:c>
      <x:c r="D6" s="24" t="str">
        <x:v>tonnes</x:v>
      </x:c>
    </x:row>
    <x:row r="7" ht="18" customHeight="1">
      <x:c r="A7" s="24" t="str">
        <x:v>EEZ_052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EEZ_052</x:v>
      </x:c>
      <x:c r="B8" s="24" t="str">
        <x:v>taxa_count</x:v>
      </x:c>
      <x:c r="C8" s="24" t="n">
        <x:v>47</x:v>
      </x:c>
      <x:c r="D8" s="24" t="str">
        <x:v>count</x:v>
      </x:c>
    </x:row>
    <x:row r="9" ht="18" customHeight="1">
      <x:c r="A9" s="24" t="str">
        <x:v>EEZ_052</x:v>
      </x:c>
      <x:c r="B9" s="24" t="str">
        <x:v>matched_taxa_count</x:v>
      </x:c>
      <x:c r="C9" s="24" t="n">
        <x:v>47</x:v>
      </x:c>
      <x:c r="D9" s="24" t="str">
        <x:v>count</x:v>
      </x:c>
    </x:row>
    <x:row r="10" ht="18" customHeight="1">
      <x:c r="A10" s="24" t="str">
        <x:v>EEZ_052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EEZ_052</x:v>
      </x:c>
      <x:c r="B11" s="24" t="str">
        <x:v>species_ppr</x:v>
      </x:c>
      <x:c r="C11" s="24" t="n">
        <x:v>2898747.7148155924</x:v>
      </x:c>
      <x:c r="D11" s="24" t="str">
        <x:v>tonnes_primary_production_equivalent</x:v>
      </x:c>
    </x:row>
    <x:row r="12" ht="18" customHeight="1">
      <x:c r="A12" s="24" t="str">
        <x:v>EEZ_052</x:v>
      </x:c>
      <x:c r="B12" s="24" t="str">
        <x:v>commercial_ppr</x:v>
      </x:c>
      <x:c r="C12" s="24" t="n">
        <x:v>1886140.035361133</x:v>
      </x:c>
      <x:c r="D12" s="24" t="str">
        <x:v>tonnes_primary_production_equivalent</x:v>
      </x:c>
    </x:row>
    <x:row r="13" ht="18" customHeight="1">
      <x:c r="A13" s="24" t="str">
        <x:v>EEZ_052</x:v>
      </x:c>
      <x:c r="B13" s="24" t="str">
        <x:v>functional_ppr</x:v>
      </x:c>
      <x:c r="C13" s="24" t="n">
        <x:v>2710902.456865951</x:v>
      </x:c>
      <x:c r="D13" s="24" t="str">
        <x:v>tonnes_primary_production_equivalent</x:v>
      </x:c>
    </x:row>
    <x:row r="14" ht="18" customHeight="1">
      <x:c r="A14" s="24" t="str">
        <x:v>EEZ_052</x:v>
      </x:c>
      <x:c r="B14" s="24" t="str">
        <x:v>commercial_ppr_difference</x:v>
      </x:c>
      <x:c r="C14" s="24" t="n">
        <x:v>-1012607.6794544593</x:v>
      </x:c>
      <x:c r="D14" s="24" t="str">
        <x:v>tonnes_primary_production_equivalent</x:v>
      </x:c>
    </x:row>
    <x:row r="15" ht="18" customHeight="1">
      <x:c r="A15" s="24" t="str">
        <x:v>EEZ_052</x:v>
      </x:c>
      <x:c r="B15" s="24" t="str">
        <x:v>functional_ppr_difference</x:v>
      </x:c>
      <x:c r="C15" s="24" t="n">
        <x:v>-187845.25794964144</x:v>
      </x:c>
      <x:c r="D15" s="24" t="str">
        <x:v>tonnes_primary_production_equivalent</x:v>
      </x:c>
    </x:row>
    <x:row r="16" ht="18" customHeight="1">
      <x:c r="A16" s="24" t="str">
        <x:v>EEZ_052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EEZ_052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b3dca6d0b8142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EEZ_052 - Barbados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EEZ_052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