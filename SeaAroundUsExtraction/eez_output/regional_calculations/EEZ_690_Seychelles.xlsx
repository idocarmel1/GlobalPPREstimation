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a79c9b7b2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5e8a51082554e54"/>
    <x:sheet xmlns:r="http://schemas.openxmlformats.org/officeDocument/2006/relationships" name="Commercial" sheetId="2" r:id="Rb759a90f8c304b9a"/>
    <x:sheet xmlns:r="http://schemas.openxmlformats.org/officeDocument/2006/relationships" name="Functional" sheetId="3" r:id="Ra4778e944d5847ed"/>
    <x:sheet xmlns:r="http://schemas.openxmlformats.org/officeDocument/2006/relationships" name="Missing TL" sheetId="4" r:id="R6f7ba6713a494012"/>
    <x:sheet xmlns:r="http://schemas.openxmlformats.org/officeDocument/2006/relationships" name="Validation" sheetId="5" r:id="R3d5f6882f2244c57"/>
    <x:sheet xmlns:r="http://schemas.openxmlformats.org/officeDocument/2006/relationships" name="Metadata" sheetId="6" r:id="R5839f53dd15a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24da7359d4d2c" /><Relationship Type="http://schemas.openxmlformats.org/officeDocument/2006/relationships/theme" Target="/xl/theme/theme1.xml" Id="R444f26470dbd4633" /><Relationship Type="http://schemas.microsoft.com/office/2022/11/relationships/FeaturePropertyBag" Target="/xl/featurePropertyBag/featurePropertyBag.xml" Id="R135aba15f6e0404b" /><Relationship Type="http://schemas.openxmlformats.org/officeDocument/2006/relationships/sharedStrings" Target="/xl/sharedStrings.xml" Id="Rb631200e97834380" /><Relationship Type="http://schemas.openxmlformats.org/officeDocument/2006/relationships/worksheet" Target="/xl/worksheets/sheet1.xml" Id="R85e8a51082554e54" /><Relationship Type="http://schemas.openxmlformats.org/officeDocument/2006/relationships/worksheet" Target="/xl/worksheets/sheet2.xml" Id="Rb759a90f8c304b9a" /><Relationship Type="http://schemas.openxmlformats.org/officeDocument/2006/relationships/worksheet" Target="/xl/worksheets/sheet3.xml" Id="Ra4778e944d5847ed" /><Relationship Type="http://schemas.openxmlformats.org/officeDocument/2006/relationships/worksheet" Target="/xl/worksheets/sheet4.xml" Id="R6f7ba6713a494012" /><Relationship Type="http://schemas.openxmlformats.org/officeDocument/2006/relationships/worksheet" Target="/xl/worksheets/sheet5.xml" Id="R3d5f6882f2244c57" /><Relationship Type="http://schemas.openxmlformats.org/officeDocument/2006/relationships/worksheet" Target="/xl/worksheets/sheet6.xml" Id="R5839f53dd15a44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90SpeciesTable" displayName="EEZ690SpeciesTable" ref="A1:U119" headerRowCount="1" totalsRowCount="0" totalsRowShown="0">
  <x:autoFilter ref="A1:U1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90CommercialTable" displayName="EEZ690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90FunctionalTable" displayName="EEZ690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90ValidationTable" displayName="EEZ69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4902e2ddd046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91a30907e0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778592c384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d716d56b6f42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EEZ_690</x:v>
      </x:c>
      <x:c r="B2" s="24" t="str">
        <x:v>Seychelles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4909.2637993307</x:v>
      </x:c>
      <x:c r="J2" s="31" t="n">
        <x:v>4909.2637993307</x:v>
      </x:c>
      <x:c r="K2" s="31" t="n">
        <x:v>0</x:v>
      </x:c>
      <x:c r="L2" s="31" t="n">
        <x:v>4909.2637993307</x:v>
      </x:c>
      <x:c r="M2" s="31" t="n">
        <x:v>0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10990472.642369948</x:v>
      </x:c>
    </x:row>
    <x:row r="3" ht="18" customHeight="1">
      <x:c r="A3" s="24" t="str">
        <x:v>EEZ_690</x:v>
      </x:c>
      <x:c r="B3" s="24" t="str">
        <x:v>Seychelles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1818.9039207351</x:v>
      </x:c>
      <x:c r="J3" s="31" t="n">
        <x:v>1484.3656685276</x:v>
      </x:c>
      <x:c r="K3" s="31" t="n">
        <x:v>334.5382522075</x:v>
      </x:c>
      <x:c r="L3" s="31" t="n">
        <x:v>1052.9033319706</x:v>
      </x:c>
      <x:c r="M3" s="31" t="n">
        <x:v>766.0005887645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346584.99707100674</x:v>
      </x:c>
    </x:row>
    <x:row r="4" ht="18" customHeight="1">
      <x:c r="A4" s="24" t="str">
        <x:v>EEZ_690</x:v>
      </x:c>
      <x:c r="B4" s="24" t="str">
        <x:v>Seychelles</x:v>
      </x:c>
      <x:c r="C4" s="24" t="str">
        <x:v>EEZ</x:v>
      </x:c>
      <x:c r="D4" s="30" t="n">
        <x:v>2019</x:v>
      </x:c>
      <x:c r="E4" s="24" t="str">
        <x:v>Rastrelliger kanagurta</x:v>
      </x:c>
      <x:c r="F4" s="24" t="str">
        <x:v>Indian mackerel</x:v>
      </x:c>
      <x:c r="G4" s="24" t="str">
        <x:v>Medium pelagics (30 - 89 cm)</x:v>
      </x:c>
      <x:c r="H4" s="24" t="str">
        <x:v>Perch-likes</x:v>
      </x:c>
      <x:c r="I4" s="31" t="n">
        <x:v>1718.5099676052</x:v>
      </x:c>
      <x:c r="J4" s="31" t="n">
        <x:v>1717.157832658</x:v>
      </x:c>
      <x:c r="K4" s="31" t="n">
        <x:v>1.3521349472</x:v>
      </x:c>
      <x:c r="L4" s="31" t="n">
        <x:v>214.99999999800002</x:v>
      </x:c>
      <x:c r="M4" s="31" t="n">
        <x:v>1503.5099676072</x:v>
      </x:c>
      <x:c r="N4" s="24" t="str">
        <x:v>rastrelliger kanagurta</x:v>
      </x:c>
      <x:c r="O4" s="32" t="n">
        <x:v>3.19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kanagurta</x:v>
      </x:c>
      <x:c r="T4" s="32" t="n">
        <x:f>IF(O4="","",(1/'Metadata'!$B$5)^(O4-1))</x:f>
        <x:v>154.88166189124811</x:v>
      </x:c>
      <x:c r="U4" s="31" t="n">
        <x:f>IF(T4="","",I4*T4)</x:f>
        <x:v>266165.67975936836</x:v>
      </x:c>
    </x:row>
    <x:row r="5" ht="18" customHeight="1">
      <x:c r="A5" s="24" t="str">
        <x:v>EEZ_690</x:v>
      </x:c>
      <x:c r="B5" s="24" t="str">
        <x:v>Seychelles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1052.1915648349</x:v>
      </x:c>
      <x:c r="J5" s="31" t="n">
        <x:v>1052.1915648349</x:v>
      </x:c>
      <x:c r="K5" s="31" t="n">
        <x:v>0</x:v>
      </x:c>
      <x:c r="L5" s="31" t="n">
        <x:v>1052.1915648349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3251582.7869386203</x:v>
      </x:c>
    </x:row>
    <x:row r="6" ht="18" customHeight="1">
      <x:c r="A6" s="24" t="str">
        <x:v>EEZ_690</x:v>
      </x:c>
      <x:c r="B6" s="24" t="str">
        <x:v>Seychelles</x:v>
      </x:c>
      <x:c r="C6" s="24" t="str">
        <x:v>EEZ</x:v>
      </x:c>
      <x:c r="D6" s="30" t="n">
        <x:v>2019</x:v>
      </x:c>
      <x:c r="E6" s="24" t="str">
        <x:v>Caranx sexfasciatus</x:v>
      </x:c>
      <x:c r="F6" s="24" t="str">
        <x:v>Bigeye trevally</x:v>
      </x:c>
      <x:c r="G6" s="24" t="str">
        <x:v>Large reef assoc. fish (&gt;=90 cm)</x:v>
      </x:c>
      <x:c r="H6" s="24" t="str">
        <x:v>Perch-likes</x:v>
      </x:c>
      <x:c r="I6" s="31" t="n">
        <x:v>838.87439948</x:v>
      </x:c>
      <x:c r="J6" s="31" t="n">
        <x:v>838.87439948</x:v>
      </x:c>
      <x:c r="K6" s="31" t="n">
        <x:v>0</x:v>
      </x:c>
      <x:c r="L6" s="31" t="n">
        <x:v>838.87439948</x:v>
      </x:c>
      <x:c r="M6" s="31" t="n">
        <x:v>0</x:v>
      </x:c>
      <x:c r="N6" s="24" t="str">
        <x:v>caranx sexfasciatus</x:v>
      </x:c>
      <x:c r="O6" s="32" t="n">
        <x:v>4.5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Caranx sexfasciatus</x:v>
      </x:c>
      <x:c r="T6" s="32" t="n">
        <x:f>IF(O6="","",(1/'Metadata'!$B$5)^(O6-1))</x:f>
        <x:v>3162.2776601683795</x:v>
      </x:c>
      <x:c r="U6" s="31" t="n">
        <x:f>IF(T6="","",I6*T6)</x:f>
        <x:v>2652753.7731627687</x:v>
      </x:c>
    </x:row>
    <x:row r="7" ht="18" customHeight="1">
      <x:c r="A7" s="24" t="str">
        <x:v>EEZ_690</x:v>
      </x:c>
      <x:c r="B7" s="24" t="str">
        <x:v>Seychelles</x:v>
      </x:c>
      <x:c r="C7" s="24" t="str">
        <x:v>EEZ</x:v>
      </x:c>
      <x:c r="D7" s="30" t="n">
        <x:v>2019</x:v>
      </x:c>
      <x:c r="E7" s="24" t="str">
        <x:v>Siganus sutor</x:v>
      </x:c>
      <x:c r="F7" s="24" t="str">
        <x:v>Shoemaker spinefoot</x:v>
      </x:c>
      <x:c r="G7" s="24" t="str">
        <x:v>Medium reef assoc. fish (30 - 89 cm)</x:v>
      </x:c>
      <x:c r="H7" s="24" t="str">
        <x:v>Perch-likes</x:v>
      </x:c>
      <x:c r="I7" s="31" t="n">
        <x:v>793.240320509</x:v>
      </x:c>
      <x:c r="J7" s="31" t="n">
        <x:v>793.240320509</x:v>
      </x:c>
      <x:c r="K7" s="31" t="n">
        <x:v>0</x:v>
      </x:c>
      <x:c r="L7" s="31" t="n">
        <x:v>199.999999999</x:v>
      </x:c>
      <x:c r="M7" s="31" t="n">
        <x:v>593.24032051</x:v>
      </x:c>
      <x:c r="N7" s="24" t="str">
        <x:v>siganus sutor</x:v>
      </x:c>
      <x:c r="O7" s="32" t="n">
        <x:v>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Siganus sutor</x:v>
      </x:c>
      <x:c r="T7" s="32" t="n">
        <x:f>IF(O7="","",(1/'Metadata'!$B$5)^(O7-1))</x:f>
        <x:v>10</x:v>
      </x:c>
      <x:c r="U7" s="31" t="n">
        <x:f>IF(T7="","",I7*T7)</x:f>
        <x:v>7932.40320509</x:v>
      </x:c>
    </x:row>
    <x:row r="8" ht="18" customHeight="1">
      <x:c r="A8" s="24" t="str">
        <x:v>EEZ_690</x:v>
      </x:c>
      <x:c r="B8" s="24" t="str">
        <x:v>Seychelles</x:v>
      </x:c>
      <x:c r="C8" s="24" t="str">
        <x:v>EEZ</x:v>
      </x:c>
      <x:c r="D8" s="30" t="n">
        <x:v>2019</x:v>
      </x:c>
      <x:c r="E8" s="24" t="str">
        <x:v>Isurus oxyrinchus</x:v>
      </x:c>
      <x:c r="F8" s="24" t="str">
        <x:v>Shortfin mako</x:v>
      </x:c>
      <x:c r="G8" s="24" t="str">
        <x:v>Large sharks (&gt;=90 cm)</x:v>
      </x:c>
      <x:c r="H8" s="24" t="str">
        <x:v>Sharks &amp; rays</x:v>
      </x:c>
      <x:c r="I8" s="31" t="n">
        <x:v>783.6068467164</x:v>
      </x:c>
      <x:c r="J8" s="31" t="n">
        <x:v>783.6068467164</x:v>
      </x:c>
      <x:c r="K8" s="31" t="n">
        <x:v>0</x:v>
      </x:c>
      <x:c r="L8" s="31" t="n">
        <x:v>783.6068467164</x:v>
      </x:c>
      <x:c r="M8" s="31" t="n">
        <x:v>0</x:v>
      </x:c>
      <x:c r="N8" s="24" t="str">
        <x:v>isurus oxyrinchus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Isurus oxyrinchus</x:v>
      </x:c>
      <x:c r="T8" s="32" t="n">
        <x:f>IF(O8="","",(1/'Metadata'!$B$5)^(O8-1))</x:f>
        <x:v>3162.2776601683795</x:v>
      </x:c>
      <x:c r="U8" s="31" t="n">
        <x:f>IF(T8="","",I8*T8)</x:f>
        <x:v>2477982.4257262596</x:v>
      </x:c>
    </x:row>
    <x:row r="9" ht="18" customHeight="1">
      <x:c r="A9" s="24" t="str">
        <x:v>EEZ_690</x:v>
      </x:c>
      <x:c r="B9" s="24" t="str">
        <x:v>Seychelles</x:v>
      </x:c>
      <x:c r="C9" s="24" t="str">
        <x:v>EEZ</x:v>
      </x:c>
      <x:c r="D9" s="30" t="n">
        <x:v>2019</x:v>
      </x:c>
      <x:c r="E9" s="24" t="str">
        <x:v>Auxis thazard</x:v>
      </x:c>
      <x:c r="F9" s="24" t="str">
        <x:v>Frigate tuna</x:v>
      </x:c>
      <x:c r="G9" s="24" t="str">
        <x:v>Medium pelagics (30 - 89 cm)</x:v>
      </x:c>
      <x:c r="H9" s="24" t="str">
        <x:v>Tuna &amp; billfishes</x:v>
      </x:c>
      <x:c r="I9" s="31" t="n">
        <x:v>724.6877753877999</x:v>
      </x:c>
      <x:c r="J9" s="31" t="n">
        <x:v>724.6877753877999</x:v>
      </x:c>
      <x:c r="K9" s="31" t="n">
        <x:v>0</x:v>
      </x:c>
      <x:c r="L9" s="31" t="n">
        <x:v>724.6877753877999</x:v>
      </x:c>
      <x:c r="M9" s="31" t="n">
        <x:v>0</x:v>
      </x:c>
      <x:c r="N9" s="24" t="str">
        <x:v>auxis thazard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Auxis thazard</x:v>
      </x:c>
      <x:c r="T9" s="32" t="n">
        <x:f>IF(O9="","",(1/'Metadata'!$B$5)^(O9-1))</x:f>
        <x:v>2344.228815319923</x:v>
      </x:c>
      <x:c r="U9" s="31" t="n">
        <x:f>IF(T9="","",I9*T9)</x:f>
        <x:v>1698833.9651741725</x:v>
      </x:c>
    </x:row>
    <x:row r="10" ht="18" customHeight="1">
      <x:c r="A10" s="24" t="str">
        <x:v>EEZ_690</x:v>
      </x:c>
      <x:c r="B10" s="24" t="str">
        <x:v>Seychelles</x:v>
      </x:c>
      <x:c r="C10" s="24" t="str">
        <x:v>EEZ</x:v>
      </x:c>
      <x:c r="D10" s="30" t="n">
        <x:v>2019</x:v>
      </x:c>
      <x:c r="E10" s="24" t="str">
        <x:v>Carangoides</x:v>
      </x:c>
      <x:c r="F10" s="24" t="str">
        <x:v>Trevallies</x:v>
      </x:c>
      <x:c r="G10" s="24" t="str">
        <x:v>Medium reef assoc. fish (30 - 89 cm)</x:v>
      </x:c>
      <x:c r="H10" s="24" t="str">
        <x:v>Perch-likes</x:v>
      </x:c>
      <x:c r="I10" s="31" t="n">
        <x:v>633.634727418</x:v>
      </x:c>
      <x:c r="J10" s="31" t="n">
        <x:v>633.634727418</x:v>
      </x:c>
      <x:c r="K10" s="31" t="n">
        <x:v>0</x:v>
      </x:c>
      <x:c r="L10" s="31" t="n">
        <x:v>251.52128604799998</x:v>
      </x:c>
      <x:c r="M10" s="31" t="n">
        <x:v>382.11344137000003</x:v>
      </x:c>
      <x:c r="N10" s="24" t="str">
        <x:v>carangoides</x:v>
      </x:c>
      <x:c r="O10" s="32" t="n">
        <x:v>4.34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Carangoides</x:v>
      </x:c>
      <x:c r="T10" s="32" t="n">
        <x:f>IF(O10="","",(1/'Metadata'!$B$5)^(O10-1))</x:f>
        <x:v>2187.761623949552</x:v>
      </x:c>
      <x:c r="U10" s="31" t="n">
        <x:f>IF(T10="","",I10*T10)</x:f>
        <x:v>1386241.7402468354</x:v>
      </x:c>
    </x:row>
    <x:row r="11" ht="18" customHeight="1">
      <x:c r="A11" s="24" t="str">
        <x:v>EEZ_690</x:v>
      </x:c>
      <x:c r="B11" s="24" t="str">
        <x:v>Seychelles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589.8039119435</x:v>
      </x:c>
      <x:c r="J11" s="31" t="n">
        <x:v>589.8039119435</x:v>
      </x:c>
      <x:c r="K11" s="31" t="n">
        <x:v>0</x:v>
      </x:c>
      <x:c r="L11" s="31" t="n">
        <x:v>547.8791998685</x:v>
      </x:c>
      <x:c r="M11" s="31" t="n">
        <x:v>41.924712074999995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1516029.487920151</x:v>
      </x:c>
    </x:row>
    <x:row r="12" ht="18" customHeight="1">
      <x:c r="A12" s="24" t="str">
        <x:v>EEZ_690</x:v>
      </x:c>
      <x:c r="B12" s="24" t="str">
        <x:v>Seychelles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434.3459223396</x:v>
      </x:c>
      <x:c r="J12" s="31" t="n">
        <x:v>434.3459223396</x:v>
      </x:c>
      <x:c r="K12" s="31" t="n">
        <x:v>0</x:v>
      </x:c>
      <x:c r="L12" s="31" t="n">
        <x:v>433.31696525760003</x:v>
      </x:c>
      <x:c r="M12" s="31" t="n">
        <x:v>1.028957082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1169057.1669207697</x:v>
      </x:c>
    </x:row>
    <x:row r="13" ht="18" customHeight="1">
      <x:c r="A13" s="24" t="str">
        <x:v>EEZ_690</x:v>
      </x:c>
      <x:c r="B13" s="24" t="str">
        <x:v>Seychelles</x:v>
      </x:c>
      <x:c r="C13" s="24" t="str">
        <x:v>EEZ</x:v>
      </x:c>
      <x:c r="D13" s="30" t="n">
        <x:v>2019</x:v>
      </x:c>
      <x:c r="E13" s="24" t="str">
        <x:v>Sphyraena jello</x:v>
      </x:c>
      <x:c r="F13" s="24" t="str">
        <x:v>Pickhandle barracuda</x:v>
      </x:c>
      <x:c r="G13" s="24" t="str">
        <x:v>Large reef assoc. fish (&gt;=90 cm)</x:v>
      </x:c>
      <x:c r="H13" s="24" t="str">
        <x:v>Perch-likes</x:v>
      </x:c>
      <x:c r="I13" s="31" t="n">
        <x:v>347.70105003</x:v>
      </x:c>
      <x:c r="J13" s="31" t="n">
        <x:v>347.70105003</x:v>
      </x:c>
      <x:c r="K13" s="31" t="n">
        <x:v>0</x:v>
      </x:c>
      <x:c r="L13" s="31" t="n">
        <x:v>153.57242331999998</x:v>
      </x:c>
      <x:c r="M13" s="31" t="n">
        <x:v>194.12862671</x:v>
      </x:c>
      <x:c r="N13" s="24" t="str">
        <x:v>sphyraena jello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Sphyraena jello</x:v>
      </x:c>
      <x:c r="T13" s="32" t="n">
        <x:f>IF(O13="","",(1/'Metadata'!$B$5)^(O13-1))</x:f>
        <x:v>3162.2776601683795</x:v>
      </x:c>
      <x:c r="U13" s="31" t="n">
        <x:f>IF(T13="","",I13*T13)</x:f>
        <x:v>1099527.2629269569</x:v>
      </x:c>
    </x:row>
    <x:row r="14" ht="18" customHeight="1">
      <x:c r="A14" s="24" t="str">
        <x:v>EEZ_690</x:v>
      </x:c>
      <x:c r="B14" s="24" t="str">
        <x:v>Seychelles</x:v>
      </x:c>
      <x:c r="C14" s="24" t="str">
        <x:v>EEZ</x:v>
      </x:c>
      <x:c r="D14" s="30" t="n">
        <x:v>2019</x:v>
      </x:c>
      <x:c r="E14" s="24" t="str">
        <x:v>Aprion virescens</x:v>
      </x:c>
      <x:c r="F14" s="24" t="str">
        <x:v>Green jobfish</x:v>
      </x:c>
      <x:c r="G14" s="24" t="str">
        <x:v>Large reef assoc. fish (&gt;=90 cm)</x:v>
      </x:c>
      <x:c r="H14" s="24" t="str">
        <x:v>Perch-likes</x:v>
      </x:c>
      <x:c r="I14" s="31" t="n">
        <x:v>300.553555241</x:v>
      </x:c>
      <x:c r="J14" s="31" t="n">
        <x:v>300.553555241</x:v>
      </x:c>
      <x:c r="K14" s="31" t="n">
        <x:v>0</x:v>
      </x:c>
      <x:c r="L14" s="31" t="n">
        <x:v>287.65312504999997</x:v>
      </x:c>
      <x:c r="M14" s="31" t="n">
        <x:v>12.900430191</x:v>
      </x:c>
      <x:c r="N14" s="24" t="str">
        <x:v>aprion virescens</x:v>
      </x:c>
      <x:c r="O14" s="32" t="n">
        <x:v>4.28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Aprion virescens</x:v>
      </x:c>
      <x:c r="T14" s="32" t="n">
        <x:f>IF(O14="","",(1/'Metadata'!$B$5)^(O14-1))</x:f>
        <x:v>1905.4607179632483</x:v>
      </x:c>
      <x:c r="U14" s="31" t="n">
        <x:f>IF(T14="","",I14*T14)</x:f>
        <x:v>572692.9931559227</x:v>
      </x:c>
    </x:row>
    <x:row r="15" ht="18" customHeight="1">
      <x:c r="A15" s="24" t="str">
        <x:v>EEZ_690</x:v>
      </x:c>
      <x:c r="B15" s="24" t="str">
        <x:v>Seychelles</x:v>
      </x:c>
      <x:c r="C15" s="24" t="str">
        <x:v>EEZ</x:v>
      </x:c>
      <x:c r="D15" s="30" t="n">
        <x:v>2019</x:v>
      </x:c>
      <x:c r="E15" s="24" t="str">
        <x:v>Lutjanus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286.020223049</x:v>
      </x:c>
      <x:c r="J15" s="31" t="n">
        <x:v>286.020223049</x:v>
      </x:c>
      <x:c r="K15" s="31" t="n">
        <x:v>0</x:v>
      </x:c>
      <x:c r="L15" s="31" t="n">
        <x:v>232.935139655</x:v>
      </x:c>
      <x:c r="M15" s="31" t="n">
        <x:v>53.085083393999994</x:v>
      </x:c>
      <x:c r="N15" s="24" t="str">
        <x:v>lutjanus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Lutjanus</x:v>
      </x:c>
      <x:c r="T15" s="32" t="n">
        <x:f>IF(O15="","",(1/'Metadata'!$B$5)^(O15-1))</x:f>
        <x:v>1047.1285480508984</x:v>
      </x:c>
      <x:c r="U15" s="31" t="n">
        <x:f>IF(T15="","",I15*T15)</x:f>
        <x:v>299499.94087449345</x:v>
      </x:c>
    </x:row>
    <x:row r="16" ht="18" customHeight="1">
      <x:c r="A16" s="24" t="str">
        <x:v>EEZ_690</x:v>
      </x:c>
      <x:c r="B16" s="24" t="str">
        <x:v>Seychelles</x:v>
      </x:c>
      <x:c r="C16" s="24" t="str">
        <x:v>EEZ</x:v>
      </x:c>
      <x:c r="D16" s="30" t="n">
        <x:v>2019</x:v>
      </x:c>
      <x:c r="E16" s="24" t="str">
        <x:v>Lethrinidae</x:v>
      </x:c>
      <x:c r="F16" s="24" t="str">
        <x:v>Emperors, scavengers</x:v>
      </x:c>
      <x:c r="G16" s="24" t="str">
        <x:v>Medium reef assoc. fish (30 - 89 cm)</x:v>
      </x:c>
      <x:c r="H16" s="24" t="str">
        <x:v>Perch-likes</x:v>
      </x:c>
      <x:c r="I16" s="31" t="n">
        <x:v>277.99852281</x:v>
      </x:c>
      <x:c r="J16" s="31" t="n">
        <x:v>277.99852281</x:v>
      </x:c>
      <x:c r="K16" s="31" t="n">
        <x:v>0</x:v>
      </x:c>
      <x:c r="L16" s="31" t="n">
        <x:v>116.714484441</x:v>
      </x:c>
      <x:c r="M16" s="31" t="n">
        <x:v>161.284038369</x:v>
      </x:c>
      <x:c r="N16" s="24" t="str">
        <x:v>lethrinidae</x:v>
      </x:c>
      <x:c r="O16" s="32" t="n">
        <x:v>3.59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Lethrinidae</x:v>
      </x:c>
      <x:c r="T16" s="32" t="n">
        <x:f>IF(O16="","",(1/'Metadata'!$B$5)^(O16-1))</x:f>
        <x:v>389.04514499428046</x:v>
      </x:c>
      <x:c r="U16" s="31" t="n">
        <x:f>IF(T16="","",I16*T16)</x:f>
        <x:v>108153.97561481224</x:v>
      </x:c>
    </x:row>
    <x:row r="17" ht="18" customHeight="1">
      <x:c r="A17" s="24" t="str">
        <x:v>EEZ_690</x:v>
      </x:c>
      <x:c r="B17" s="24" t="str">
        <x:v>Seychelles</x:v>
      </x:c>
      <x:c r="C17" s="24" t="str">
        <x:v>EEZ</x:v>
      </x:c>
      <x:c r="D17" s="30" t="n">
        <x:v>2019</x:v>
      </x:c>
      <x:c r="E17" s="24" t="str">
        <x:v>Lutjanus bohar</x:v>
      </x:c>
      <x:c r="F17" s="24" t="str">
        <x:v>Two-spot red snapper</x:v>
      </x:c>
      <x:c r="G17" s="24" t="str">
        <x:v>Medium reef assoc. fish (30 - 89 cm)</x:v>
      </x:c>
      <x:c r="H17" s="24" t="str">
        <x:v>Perch-likes</x:v>
      </x:c>
      <x:c r="I17" s="31" t="n">
        <x:v>264.032257027</x:v>
      </x:c>
      <x:c r="J17" s="31" t="n">
        <x:v>264.032257027</x:v>
      </x:c>
      <x:c r="K17" s="31" t="n">
        <x:v>0</x:v>
      </x:c>
      <x:c r="L17" s="31" t="n">
        <x:v>263.27462234</x:v>
      </x:c>
      <x:c r="M17" s="31" t="n">
        <x:v>0.757634687</x:v>
      </x:c>
      <x:c r="N17" s="24" t="str">
        <x:v>lutjanus bohar</x:v>
      </x:c>
      <x:c r="O17" s="32" t="n">
        <x:v>4.27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bohar</x:v>
      </x:c>
      <x:c r="T17" s="32" t="n">
        <x:f>IF(O17="","",(1/'Metadata'!$B$5)^(O17-1))</x:f>
        <x:v>1862.0871366628655</x:v>
      </x:c>
      <x:c r="U17" s="31" t="n">
        <x:f>IF(T17="","",I17*T17)</x:f>
        <x:v>491651.06947404024</x:v>
      </x:c>
    </x:row>
    <x:row r="18" ht="18" customHeight="1">
      <x:c r="A18" s="24" t="str">
        <x:v>EEZ_690</x:v>
      </x:c>
      <x:c r="B18" s="24" t="str">
        <x:v>Seychelles</x:v>
      </x:c>
      <x:c r="C18" s="24" t="str">
        <x:v>EEZ</x:v>
      </x:c>
      <x:c r="D18" s="30" t="n">
        <x:v>2019</x:v>
      </x:c>
      <x:c r="E18" s="24" t="str">
        <x:v>Xiphias gladius</x:v>
      </x:c>
      <x:c r="F18" s="24" t="str">
        <x:v>Swordfish</x:v>
      </x:c>
      <x:c r="G18" s="24" t="str">
        <x:v>Large pelagics (&gt;=90 cm)</x:v>
      </x:c>
      <x:c r="H18" s="24" t="str">
        <x:v>Tuna &amp; billfishes</x:v>
      </x:c>
      <x:c r="I18" s="31" t="n">
        <x:v>254.8972327516</x:v>
      </x:c>
      <x:c r="J18" s="31" t="n">
        <x:v>254.8972327516</x:v>
      </x:c>
      <x:c r="K18" s="31" t="n">
        <x:v>0</x:v>
      </x:c>
      <x:c r="L18" s="31" t="n">
        <x:v>254.20899568459998</x:v>
      </x:c>
      <x:c r="M18" s="31" t="n">
        <x:v>0.688237067</x:v>
      </x:c>
      <x:c r="N18" s="24" t="str">
        <x:v>xiphias gladius</x:v>
      </x:c>
      <x:c r="O18" s="32" t="n">
        <x:v>4.53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Xiphias gladius</x:v>
      </x:c>
      <x:c r="T18" s="32" t="n">
        <x:f>IF(O18="","",(1/'Metadata'!$B$5)^(O18-1))</x:f>
        <x:v>3388.4415613920273</x:v>
      </x:c>
      <x:c r="U18" s="31" t="n">
        <x:f>IF(T18="","",I18*T18)</x:f>
        <x:v>863704.3773393385</x:v>
      </x:c>
    </x:row>
    <x:row r="19" ht="18" customHeight="1">
      <x:c r="A19" s="24" t="str">
        <x:v>EEZ_690</x:v>
      </x:c>
      <x:c r="B19" s="24" t="str">
        <x:v>Seychelles</x:v>
      </x:c>
      <x:c r="C19" s="24" t="str">
        <x:v>EEZ</x:v>
      </x:c>
      <x:c r="D19" s="30" t="n">
        <x:v>2019</x:v>
      </x:c>
      <x:c r="E19" s="24" t="str">
        <x:v>Euthynnus affinis</x:v>
      </x:c>
      <x:c r="F19" s="24" t="str">
        <x:v>Kawakawa</x:v>
      </x:c>
      <x:c r="G19" s="24" t="str">
        <x:v>Large pelagics (&gt;=90 cm)</x:v>
      </x:c>
      <x:c r="H19" s="24" t="str">
        <x:v>Tuna &amp; billfishes</x:v>
      </x:c>
      <x:c r="I19" s="31" t="n">
        <x:v>246.2522726522</x:v>
      </x:c>
      <x:c r="J19" s="31" t="n">
        <x:v>246.2522726522</x:v>
      </x:c>
      <x:c r="K19" s="31" t="n">
        <x:v>0</x:v>
      </x:c>
      <x:c r="L19" s="31" t="n">
        <x:v>0.9811331362</x:v>
      </x:c>
      <x:c r="M19" s="31" t="n">
        <x:v>245.271139516</x:v>
      </x:c>
      <x:c r="N19" s="24" t="str">
        <x:v>euthynnus affinis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Euthynnus affinis</x:v>
      </x:c>
      <x:c r="T19" s="32" t="n">
        <x:f>IF(O19="","",(1/'Metadata'!$B$5)^(O19-1))</x:f>
        <x:v>3162.2776601683795</x:v>
      </x:c>
      <x:c r="U19" s="31" t="n">
        <x:f>IF(T19="","",I19*T19)</x:f>
        <x:v>778718.0605737448</x:v>
      </x:c>
    </x:row>
    <x:row r="20" ht="18" customHeight="1">
      <x:c r="A20" s="24" t="str">
        <x:v>EEZ_690</x:v>
      </x:c>
      <x:c r="B20" s="24" t="str">
        <x:v>Seychelles</x:v>
      </x:c>
      <x:c r="C20" s="24" t="str">
        <x:v>EEZ</x:v>
      </x:c>
      <x:c r="D20" s="30" t="n">
        <x:v>2019</x:v>
      </x:c>
      <x:c r="E20" s="24" t="str">
        <x:v>Chondrichthyes</x:v>
      </x:c>
      <x:c r="F20" s="24" t="str">
        <x:v>Sharks, rays, chimaeras</x:v>
      </x:c>
      <x:c r="G20" s="24" t="str">
        <x:v>Large sharks (&gt;=90 cm)</x:v>
      </x:c>
      <x:c r="H20" s="24" t="str">
        <x:v>Sharks &amp; rays</x:v>
      </x:c>
      <x:c r="I20" s="31" t="n">
        <x:v>181.3742448687</x:v>
      </x:c>
      <x:c r="J20" s="31" t="n">
        <x:v>181.3742448687</x:v>
      </x:c>
      <x:c r="K20" s="31" t="n">
        <x:v>0</x:v>
      </x:c>
      <x:c r="L20" s="31" t="n">
        <x:v>181.3742448687</x:v>
      </x:c>
      <x:c r="M20" s="31" t="n">
        <x:v>0</x:v>
      </x:c>
      <x:c r="N20" s="24" t="str">
        <x:v>chondrichthyes</x:v>
      </x:c>
      <x:c r="O20" s="32" t="n">
        <x:v>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Chondrichthyes</x:v>
      </x:c>
      <x:c r="T20" s="32" t="n">
        <x:f>IF(O20="","",(1/'Metadata'!$B$5)^(O20-1))</x:f>
        <x:v>1000</x:v>
      </x:c>
      <x:c r="U20" s="31" t="n">
        <x:f>IF(T20="","",I20*T20)</x:f>
        <x:v>181374.2448687</x:v>
      </x:c>
    </x:row>
    <x:row r="21" ht="18" customHeight="1">
      <x:c r="A21" s="24" t="str">
        <x:v>EEZ_690</x:v>
      </x:c>
      <x:c r="B21" s="24" t="str">
        <x:v>Seychelles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177.736367265</x:v>
      </x:c>
      <x:c r="J21" s="31" t="n">
        <x:v>177.736367265</x:v>
      </x:c>
      <x:c r="K21" s="31" t="n">
        <x:v>0</x:v>
      </x:c>
      <x:c r="L21" s="31" t="n">
        <x:v>0</x:v>
      </x:c>
      <x:c r="M21" s="31" t="n">
        <x:v>177.736367265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234302.16383362276</x:v>
      </x:c>
    </x:row>
    <x:row r="22" ht="18" customHeight="1">
      <x:c r="A22" s="24" t="str">
        <x:v>EEZ_690</x:v>
      </x:c>
      <x:c r="B22" s="24" t="str">
        <x:v>Seychelles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143.196736326</x:v>
      </x:c>
      <x:c r="J22" s="31" t="n">
        <x:v>143.196736326</x:v>
      </x:c>
      <x:c r="K22" s="31" t="n">
        <x:v>0</x:v>
      </x:c>
      <x:c r="L22" s="31" t="n">
        <x:v>133.35431446</x:v>
      </x:c>
      <x:c r="M22" s="31" t="n">
        <x:v>9.842421865999999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160669.38075358426</x:v>
      </x:c>
    </x:row>
    <x:row r="23" ht="18" customHeight="1">
      <x:c r="A23" s="24" t="str">
        <x:v>EEZ_690</x:v>
      </x:c>
      <x:c r="B23" s="24" t="str">
        <x:v>Seychelles</x:v>
      </x:c>
      <x:c r="C23" s="24" t="str">
        <x:v>EEZ</x:v>
      </x:c>
      <x:c r="D23" s="30" t="n">
        <x:v>2019</x:v>
      </x:c>
      <x:c r="E23" s="24" t="str">
        <x:v>Siganus</x:v>
      </x:c>
      <x:c r="F23" s="24" t="str">
        <x:v>Spinefoots</x:v>
      </x:c>
      <x:c r="G23" s="24" t="str">
        <x:v>Medium reef assoc. fish (30 - 89 cm)</x:v>
      </x:c>
      <x:c r="H23" s="24" t="str">
        <x:v>Perch-likes</x:v>
      </x:c>
      <x:c r="I23" s="31" t="n">
        <x:v>95.02682264</x:v>
      </x:c>
      <x:c r="J23" s="31" t="n">
        <x:v>95.02682264</x:v>
      </x:c>
      <x:c r="K23" s="31" t="n">
        <x:v>0</x:v>
      </x:c>
      <x:c r="L23" s="31" t="n">
        <x:v>50.000000003</x:v>
      </x:c>
      <x:c r="M23" s="31" t="n">
        <x:v>45.026822637</x:v>
      </x:c>
      <x:c r="N23" s="24" t="str">
        <x:v>siganus</x:v>
      </x:c>
      <x:c r="O23" s="32" t="n">
        <x:v>2.11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Siganus</x:v>
      </x:c>
      <x:c r="T23" s="32" t="n">
        <x:f>IF(O23="","",(1/'Metadata'!$B$5)^(O23-1))</x:f>
        <x:v>12.882495516931336</x:v>
      </x:c>
      <x:c r="U23" s="31" t="n">
        <x:f>IF(T23="","",I23*T23)</x:f>
        <x:v>1224.1826166480291</x:v>
      </x:c>
    </x:row>
    <x:row r="24" ht="18" customHeight="1">
      <x:c r="A24" s="24" t="str">
        <x:v>EEZ_690</x:v>
      </x:c>
      <x:c r="B24" s="24" t="str">
        <x:v>Seychelles</x:v>
      </x:c>
      <x:c r="C24" s="24" t="str">
        <x:v>EEZ</x:v>
      </x:c>
      <x:c r="D24" s="30" t="n">
        <x:v>2019</x:v>
      </x:c>
      <x:c r="E24" s="24" t="str">
        <x:v>Cephalopholis</x:v>
      </x:c>
      <x:c r="F24" s="24" t="str">
        <x:v>Hinds</x:v>
      </x:c>
      <x:c r="G24" s="24" t="str">
        <x:v>Medium reef assoc. fish (30 - 89 cm)</x:v>
      </x:c>
      <x:c r="H24" s="24" t="str">
        <x:v>Perch-likes</x:v>
      </x:c>
      <x:c r="I24" s="31" t="n">
        <x:v>92.93179904499999</x:v>
      </x:c>
      <x:c r="J24" s="31" t="n">
        <x:v>92.93179904499999</x:v>
      </x:c>
      <x:c r="K24" s="31" t="n">
        <x:v>0</x:v>
      </x:c>
      <x:c r="L24" s="31" t="n">
        <x:v>58.54552619</x:v>
      </x:c>
      <x:c r="M24" s="31" t="n">
        <x:v>34.386272854999994</x:v>
      </x:c>
      <x:c r="N24" s="24" t="str">
        <x:v>cephalopholis</x:v>
      </x:c>
      <x:c r="O24" s="32" t="n">
        <x:v>4.13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Cephalopholis</x:v>
      </x:c>
      <x:c r="T24" s="32" t="n">
        <x:f>IF(O24="","",(1/'Metadata'!$B$5)^(O24-1))</x:f>
        <x:v>1348.9628825916532</x:v>
      </x:c>
      <x:c r="U24" s="31" t="n">
        <x:f>IF(T24="","",I24*T24)</x:f>
        <x:v>125361.54752417143</x:v>
      </x:c>
    </x:row>
    <x:row r="25" ht="18" customHeight="1">
      <x:c r="A25" s="24" t="str">
        <x:v>EEZ_690</x:v>
      </x:c>
      <x:c r="B25" s="24" t="str">
        <x:v>Seychelles</x:v>
      </x:c>
      <x:c r="C25" s="24" t="str">
        <x:v>EEZ</x:v>
      </x:c>
      <x:c r="D25" s="30" t="n">
        <x:v>2019</x:v>
      </x:c>
      <x:c r="E25" s="24" t="str">
        <x:v>Ranina ranina</x:v>
      </x:c>
      <x:c r="F25" s="24" t="str">
        <x:v>Kona crab </x:v>
      </x:c>
      <x:c r="G25" s="24" t="str">
        <x:v>Lobsters, crabs</x:v>
      </x:c>
      <x:c r="H25" s="24" t="str">
        <x:v>Crustaceans</x:v>
      </x:c>
      <x:c r="I25" s="31" t="n">
        <x:v>90.25</x:v>
      </x:c>
      <x:c r="J25" s="31" t="n">
        <x:v>90.25</x:v>
      </x:c>
      <x:c r="K25" s="31" t="n">
        <x:v>0</x:v>
      </x:c>
      <x:c r="L25" s="31" t="n">
        <x:v>90.25</x:v>
      </x:c>
      <x:c r="M25" s="31" t="n">
        <x:v>0</x:v>
      </x:c>
      <x:c r="N25" s="24" t="str">
        <x:v>ranina ranina</x:v>
      </x:c>
      <x:c r="O25" s="32" t="n">
        <x:v>3.92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Ranina ranina</x:v>
      </x:c>
      <x:c r="T25" s="32" t="n">
        <x:f>IF(O25="","",(1/'Metadata'!$B$5)^(O25-1))</x:f>
        <x:v>831.7637711026708</x:v>
      </x:c>
      <x:c r="U25" s="31" t="n">
        <x:f>IF(T25="","",I25*T25)</x:f>
        <x:v>75066.68034201604</x:v>
      </x:c>
    </x:row>
    <x:row r="26" ht="18" customHeight="1">
      <x:c r="A26" s="24" t="str">
        <x:v>EEZ_690</x:v>
      </x:c>
      <x:c r="B26" s="24" t="str">
        <x:v>Seychelles</x:v>
      </x:c>
      <x:c r="C26" s="24" t="str">
        <x:v>EEZ</x:v>
      </x:c>
      <x:c r="D26" s="30" t="n">
        <x:v>2019</x:v>
      </x:c>
      <x:c r="E26" s="24" t="str">
        <x:v>Istiophorus platypterus</x:v>
      </x:c>
      <x:c r="F26" s="24" t="str">
        <x:v>Indo-Pacific sailfish</x:v>
      </x:c>
      <x:c r="G26" s="24" t="str">
        <x:v>Large pelagics (&gt;=90 cm)</x:v>
      </x:c>
      <x:c r="H26" s="24" t="str">
        <x:v>Tuna &amp; billfishes</x:v>
      </x:c>
      <x:c r="I26" s="31" t="n">
        <x:v>88.46103855690001</x:v>
      </x:c>
      <x:c r="J26" s="31" t="n">
        <x:v>88.46103855690001</x:v>
      </x:c>
      <x:c r="K26" s="31" t="n">
        <x:v>0</x:v>
      </x:c>
      <x:c r="L26" s="31" t="n">
        <x:v>5.2811452819</x:v>
      </x:c>
      <x:c r="M26" s="31" t="n">
        <x:v>83.17989327500001</x:v>
      </x:c>
      <x:c r="N26" s="24" t="str">
        <x:v>istiophorus platypterus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Istiophorus platypterus</x:v>
      </x:c>
      <x:c r="T26" s="32" t="n">
        <x:f>IF(O26="","",(1/'Metadata'!$B$5)^(O26-1))</x:f>
        <x:v>3162.2776601683795</x:v>
      </x:c>
      <x:c r="U26" s="31" t="n">
        <x:f>IF(T26="","",I26*T26)</x:f>
        <x:v>279738.36602377857</x:v>
      </x:c>
    </x:row>
    <x:row r="27" ht="18" customHeight="1">
      <x:c r="A27" s="24" t="str">
        <x:v>EEZ_690</x:v>
      </x:c>
      <x:c r="B27" s="24" t="str">
        <x:v>Seychelles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81.6580208614</x:v>
      </x:c>
      <x:c r="J27" s="31" t="n">
        <x:v>81.6580208614</x:v>
      </x:c>
      <x:c r="K27" s="31" t="n">
        <x:v>0</x:v>
      </x:c>
      <x:c r="L27" s="31" t="n">
        <x:v>81.6580208614</x:v>
      </x:c>
      <x:c r="M27" s="31" t="n">
        <x:v>0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264240.1758817629</x:v>
      </x:c>
    </x:row>
    <x:row r="28" ht="18" customHeight="1">
      <x:c r="A28" s="24" t="str">
        <x:v>EEZ_690</x:v>
      </x:c>
      <x:c r="B28" s="24" t="str">
        <x:v>Seychelles</x:v>
      </x:c>
      <x:c r="C28" s="24" t="str">
        <x:v>EEZ</x:v>
      </x:c>
      <x:c r="D28" s="30" t="n">
        <x:v>2019</x:v>
      </x:c>
      <x:c r="E28" s="24" t="str">
        <x:v>Gymnocranius grandoculis</x:v>
      </x:c>
      <x:c r="F28" s="24" t="str">
        <x:v>Blue-lined large-eye bream</x:v>
      </x:c>
      <x:c r="G28" s="24" t="str">
        <x:v>Medium reef assoc. fish (30 - 89 cm)</x:v>
      </x:c>
      <x:c r="H28" s="24" t="str">
        <x:v>Perch-likes</x:v>
      </x:c>
      <x:c r="I28" s="31" t="n">
        <x:v>80.439645719</x:v>
      </x:c>
      <x:c r="J28" s="31" t="n">
        <x:v>80.439645719</x:v>
      </x:c>
      <x:c r="K28" s="31" t="n">
        <x:v>0</x:v>
      </x:c>
      <x:c r="L28" s="31" t="n">
        <x:v>80.33277272</x:v>
      </x:c>
      <x:c r="M28" s="31" t="n">
        <x:v>0.106872999</x:v>
      </x:c>
      <x:c r="N28" s="24" t="str">
        <x:v>gymnocranius grandoculis</x:v>
      </x:c>
      <x:c r="O28" s="32" t="n">
        <x:v>3.76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Gymnocranius grandoculis</x:v>
      </x:c>
      <x:c r="T28" s="32" t="n">
        <x:f>IF(O28="","",(1/'Metadata'!$B$5)^(O28-1))</x:f>
        <x:v>575.4399373371566</x:v>
      </x:c>
      <x:c r="U28" s="31" t="n">
        <x:f>IF(T28="","",I28*T28)</x:f>
        <x:v>46288.18469196444</x:v>
      </x:c>
    </x:row>
    <x:row r="29" ht="18" customHeight="1">
      <x:c r="A29" s="24" t="str">
        <x:v>EEZ_690</x:v>
      </x:c>
      <x:c r="B29" s="24" t="str">
        <x:v>Seychelles</x:v>
      </x:c>
      <x:c r="C29" s="24" t="str">
        <x:v>EEZ</x:v>
      </x:c>
      <x:c r="D29" s="30" t="n">
        <x:v>2019</x:v>
      </x:c>
      <x:c r="E29" s="24" t="str">
        <x:v>Octopus vulgaris</x:v>
      </x:c>
      <x:c r="F29" s="24" t="str">
        <x:v>Common octopus</x:v>
      </x:c>
      <x:c r="G29" s="24" t="str">
        <x:v>Cephalopods</x:v>
      </x:c>
      <x:c r="H29" s="24" t="str">
        <x:v>Other fishes &amp; inverts</x:v>
      </x:c>
      <x:c r="I29" s="31" t="n">
        <x:v>79.05529536</x:v>
      </x:c>
      <x:c r="J29" s="31" t="n">
        <x:v>79.05529536</x:v>
      </x:c>
      <x:c r="K29" s="31" t="n">
        <x:v>0</x:v>
      </x:c>
      <x:c r="L29" s="31" t="n">
        <x:v>38.000000003000004</x:v>
      </x:c>
      <x:c r="M29" s="31" t="n">
        <x:v>41.055295357000006</x:v>
      </x:c>
      <x:c r="N29" s="24" t="str">
        <x:v>octopus vulgaris</x:v>
      </x:c>
      <x:c r="O29" s="32" t="n">
        <x:v>3.6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Octopus vulgaris</x:v>
      </x:c>
      <x:c r="T29" s="32" t="n">
        <x:f>IF(O29="","",(1/'Metadata'!$B$5)^(O29-1))</x:f>
        <x:v>398.1071705534973</x:v>
      </x:c>
      <x:c r="U29" s="31" t="n">
        <x:f>IF(T29="","",I29*T29)</x:f>
        <x:v>31472.479953040627</x:v>
      </x:c>
    </x:row>
    <x:row r="30" ht="18" customHeight="1">
      <x:c r="A30" s="24" t="str">
        <x:v>EEZ_690</x:v>
      </x:c>
      <x:c r="B30" s="24" t="str">
        <x:v>Seychelles</x:v>
      </x:c>
      <x:c r="C30" s="24" t="str">
        <x:v>EEZ</x:v>
      </x:c>
      <x:c r="D30" s="30" t="n">
        <x:v>2019</x:v>
      </x:c>
      <x:c r="E30" s="24" t="str">
        <x:v>Cnidaria</x:v>
      </x:c>
      <x:c r="F30" s="24" t="str">
        <x:v>Cnidarians, coelenterates</x:v>
      </x:c>
      <x:c r="G30" s="24" t="str">
        <x:v>Jellyfish</x:v>
      </x:c>
      <x:c r="H30" s="24" t="str">
        <x:v>Other fishes &amp; inverts</x:v>
      </x:c>
      <x:c r="I30" s="31" t="n">
        <x:v>74.2922279633</x:v>
      </x:c>
      <x:c r="J30" s="31" t="n">
        <x:v>74.2922279633</x:v>
      </x:c>
      <x:c r="K30" s="31" t="n">
        <x:v>0</x:v>
      </x:c>
      <x:c r="L30" s="31" t="n">
        <x:v>74.2922279633</x:v>
      </x:c>
      <x:c r="M30" s="31" t="n">
        <x:v>0</x:v>
      </x:c>
      <x:c r="N30" s="24" t="str">
        <x:v>cnidaria</x:v>
      </x:c>
      <x:c r="O30" s="32" t="n">
        <x:v>2.5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Cnidaria</x:v>
      </x:c>
      <x:c r="T30" s="32" t="n">
        <x:f>IF(O30="","",(1/'Metadata'!$B$5)^(O30-1))</x:f>
        <x:v>31.622776601683793</x:v>
      </x:c>
      <x:c r="U30" s="31" t="n">
        <x:f>IF(T30="","",I30*T30)</x:f>
        <x:v>2349.3265281248014</x:v>
      </x:c>
    </x:row>
    <x:row r="31" ht="18" customHeight="1">
      <x:c r="A31" s="24" t="str">
        <x:v>EEZ_690</x:v>
      </x:c>
      <x:c r="B31" s="24" t="str">
        <x:v>Seychelles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69.14777935800001</x:v>
      </x:c>
      <x:c r="J31" s="31" t="n">
        <x:v>69.14777935800001</x:v>
      </x:c>
      <x:c r="K31" s="31" t="n">
        <x:v>0</x:v>
      </x:c>
      <x:c r="L31" s="31" t="n">
        <x:v>41.250000003</x:v>
      </x:c>
      <x:c r="M31" s="31" t="n">
        <x:v>27.897779355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72406.61380008643</x:v>
      </x:c>
    </x:row>
    <x:row r="32" ht="18" customHeight="1">
      <x:c r="A32" s="24" t="str">
        <x:v>EEZ_690</x:v>
      </x:c>
      <x:c r="B32" s="24" t="str">
        <x:v>Seychelles</x:v>
      </x:c>
      <x:c r="C32" s="24" t="str">
        <x:v>EEZ</x:v>
      </x:c>
      <x:c r="D32" s="30" t="n">
        <x:v>2019</x:v>
      </x:c>
      <x:c r="E32" s="24" t="str">
        <x:v>Thunnus alalunga</x:v>
      </x:c>
      <x:c r="F32" s="24" t="str">
        <x:v>Albacore</x:v>
      </x:c>
      <x:c r="G32" s="24" t="str">
        <x:v>Large pelagics (&gt;=90 cm)</x:v>
      </x:c>
      <x:c r="H32" s="24" t="str">
        <x:v>Tuna &amp; billfishes</x:v>
      </x:c>
      <x:c r="I32" s="31" t="n">
        <x:v>61.7020738522</x:v>
      </x:c>
      <x:c r="J32" s="31" t="n">
        <x:v>61.7020738522</x:v>
      </x:c>
      <x:c r="K32" s="31" t="n">
        <x:v>0</x:v>
      </x:c>
      <x:c r="L32" s="31" t="n">
        <x:v>61.7020738522</x:v>
      </x:c>
      <x:c r="M32" s="31" t="n">
        <x:v>0</x:v>
      </x:c>
      <x:c r="N32" s="24" t="str">
        <x:v>thunnus alalunga</x:v>
      </x:c>
      <x:c r="O32" s="32" t="n">
        <x:v>4.3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alalunga</x:v>
      </x:c>
      <x:c r="T32" s="32" t="n">
        <x:f>IF(O32="","",(1/'Metadata'!$B$5)^(O32-1))</x:f>
        <x:v>1995.2623149688789</x:v>
      </x:c>
      <x:c r="U32" s="31" t="n">
        <x:f>IF(T32="","",I32*T32)</x:f>
        <x:v>123111.8227127213</x:v>
      </x:c>
    </x:row>
    <x:row r="33" ht="18" customHeight="1">
      <x:c r="A33" s="24" t="str">
        <x:v>EEZ_690</x:v>
      </x:c>
      <x:c r="B33" s="24" t="str">
        <x:v>Seychelles</x:v>
      </x:c>
      <x:c r="C33" s="24" t="str">
        <x:v>EEZ</x:v>
      </x:c>
      <x:c r="D33" s="30" t="n">
        <x:v>2019</x:v>
      </x:c>
      <x:c r="E33" s="24" t="str">
        <x:v>Epinephelus</x:v>
      </x:c>
      <x:c r="F33" s="24" t="str">
        <x:v>Seabasses, hinds</x:v>
      </x:c>
      <x:c r="G33" s="24" t="str">
        <x:v>Medium reef assoc. fish (30 - 89 cm)</x:v>
      </x:c>
      <x:c r="H33" s="24" t="str">
        <x:v>Perch-likes</x:v>
      </x:c>
      <x:c r="I33" s="31" t="n">
        <x:v>59.1486296094</x:v>
      </x:c>
      <x:c r="J33" s="31" t="n">
        <x:v>59.1486296094</x:v>
      </x:c>
      <x:c r="K33" s="31" t="n">
        <x:v>0</x:v>
      </x:c>
      <x:c r="L33" s="31" t="n">
        <x:v>40.5863856464</x:v>
      </x:c>
      <x:c r="M33" s="31" t="n">
        <x:v>18.562243963</x:v>
      </x:c>
      <x:c r="N33" s="24" t="str">
        <x:v>epinephelus</x:v>
      </x:c>
      <x:c r="O33" s="32" t="n">
        <x:v>3.84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Epinephelus</x:v>
      </x:c>
      <x:c r="T33" s="32" t="n">
        <x:f>IF(O33="","",(1/'Metadata'!$B$5)^(O33-1))</x:f>
        <x:v>691.8309709189363</x:v>
      </x:c>
      <x:c r="U33" s="31" t="n">
        <x:f>IF(T33="","",I33*T33)</x:f>
        <x:v>40920.853851195745</x:v>
      </x:c>
    </x:row>
    <x:row r="34" ht="18" customHeight="1">
      <x:c r="A34" s="24" t="str">
        <x:v>EEZ_690</x:v>
      </x:c>
      <x:c r="B34" s="24" t="str">
        <x:v>Seychelles</x:v>
      </x:c>
      <x:c r="C34" s="24" t="str">
        <x:v>EEZ</x:v>
      </x:c>
      <x:c r="D34" s="30" t="n">
        <x:v>2019</x:v>
      </x:c>
      <x:c r="E34" s="24" t="str">
        <x:v>Serranidae</x:v>
      </x:c>
      <x:c r="F34" s="24" t="str">
        <x:v>Basses, groupers, hinds</x:v>
      </x:c>
      <x:c r="G34" s="24" t="str">
        <x:v>Medium reef assoc. fish (30 - 89 cm)</x:v>
      </x:c>
      <x:c r="H34" s="24" t="str">
        <x:v>Perch-likes</x:v>
      </x:c>
      <x:c r="I34" s="31" t="n">
        <x:v>56.539557378000005</x:v>
      </x:c>
      <x:c r="J34" s="31" t="n">
        <x:v>56.539557378000005</x:v>
      </x:c>
      <x:c r="K34" s="31" t="n">
        <x:v>0</x:v>
      </x:c>
      <x:c r="L34" s="31" t="n">
        <x:v>41.842891542000004</x:v>
      </x:c>
      <x:c r="M34" s="31" t="n">
        <x:v>14.696665836000001</x:v>
      </x:c>
      <x:c r="N34" s="24" t="str">
        <x:v>serranidae</x:v>
      </x:c>
      <x:c r="O34" s="32" t="n">
        <x:v>3.98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Serranidae</x:v>
      </x:c>
      <x:c r="T34" s="32" t="n">
        <x:f>IF(O34="","",(1/'Metadata'!$B$5)^(O34-1))</x:f>
        <x:v>954.992586021436</x:v>
      </x:c>
      <x:c r="U34" s="31" t="n">
        <x:f>IF(T34="","",I34*T34)</x:f>
        <x:v>53994.85811292358</x:v>
      </x:c>
    </x:row>
    <x:row r="35" ht="18" customHeight="1">
      <x:c r="A35" s="24" t="str">
        <x:v>EEZ_690</x:v>
      </x:c>
      <x:c r="B35" s="24" t="str">
        <x:v>Seychelles</x:v>
      </x:c>
      <x:c r="C35" s="24" t="str">
        <x:v>EEZ</x:v>
      </x:c>
      <x:c r="D35" s="30" t="n">
        <x:v>2019</x:v>
      </x:c>
      <x:c r="E35" s="24" t="str">
        <x:v>Acanthocybium solandri</x:v>
      </x:c>
      <x:c r="F35" s="24" t="str">
        <x:v>Wahoo</x:v>
      </x:c>
      <x:c r="G35" s="24" t="str">
        <x:v>Large pelagics (&gt;=90 cm)</x:v>
      </x:c>
      <x:c r="H35" s="24" t="str">
        <x:v>Perch-likes</x:v>
      </x:c>
      <x:c r="I35" s="31" t="n">
        <x:v>53.1370281906</x:v>
      </x:c>
      <x:c r="J35" s="31" t="n">
        <x:v>53.1370281906</x:v>
      </x:c>
      <x:c r="K35" s="31" t="n">
        <x:v>0</x:v>
      </x:c>
      <x:c r="L35" s="31" t="n">
        <x:v>14.8573522056</x:v>
      </x:c>
      <x:c r="M35" s="31" t="n">
        <x:v>38.279675985</x:v>
      </x:c>
      <x:c r="N35" s="24" t="str">
        <x:v>acanthocybium solandri</x:v>
      </x:c>
      <x:c r="O35" s="32" t="n">
        <x:v>4.26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Acanthocybium solandri</x:v>
      </x:c>
      <x:c r="T35" s="32" t="n">
        <x:f>IF(O35="","",(1/'Metadata'!$B$5)^(O35-1))</x:f>
        <x:v>1819.7008586099826</x:v>
      </x:c>
      <x:c r="U35" s="31" t="n">
        <x:f>IF(T35="","",I35*T35)</x:f>
        <x:v>96693.49582241767</x:v>
      </x:c>
    </x:row>
    <x:row r="36" ht="18" customHeight="1">
      <x:c r="A36" s="24" t="str">
        <x:v>EEZ_690</x:v>
      </x:c>
      <x:c r="B36" s="24" t="str">
        <x:v>Seychelles</x:v>
      </x:c>
      <x:c r="C36" s="24" t="str">
        <x:v>EEZ</x:v>
      </x:c>
      <x:c r="D36" s="30" t="n">
        <x:v>2019</x:v>
      </x:c>
      <x:c r="E36" s="24" t="str">
        <x:v>Coryphaena hippurus</x:v>
      </x:c>
      <x:c r="F36" s="24" t="str">
        <x:v>Common dolphinfish</x:v>
      </x:c>
      <x:c r="G36" s="24" t="str">
        <x:v>Large pelagics (&gt;=90 cm)</x:v>
      </x:c>
      <x:c r="H36" s="24" t="str">
        <x:v>Perch-likes</x:v>
      </x:c>
      <x:c r="I36" s="31" t="n">
        <x:v>53.086443873</x:v>
      </x:c>
      <x:c r="J36" s="31" t="n">
        <x:v>53.086443873</x:v>
      </x:c>
      <x:c r="K36" s="31" t="n">
        <x:v>0</x:v>
      </x:c>
      <x:c r="L36" s="31" t="n">
        <x:v>33.999325958</x:v>
      </x:c>
      <x:c r="M36" s="31" t="n">
        <x:v>19.087117915</x:v>
      </x:c>
      <x:c r="N36" s="24" t="str">
        <x:v>coryphaena hippurus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Coryphaena hippurus</x:v>
      </x:c>
      <x:c r="T36" s="32" t="n">
        <x:f>IF(O36="","",(1/'Metadata'!$B$5)^(O36-1))</x:f>
        <x:v>2344.228815319923</x:v>
      </x:c>
      <x:c r="U36" s="31" t="n">
        <x:f>IF(T36="","",I36*T36)</x:f>
        <x:v>124446.77142995037</x:v>
      </x:c>
    </x:row>
    <x:row r="37" ht="18" customHeight="1">
      <x:c r="A37" s="24" t="str">
        <x:v>EEZ_690</x:v>
      </x:c>
      <x:c r="B37" s="24" t="str">
        <x:v>Seychelles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47.499999996</x:v>
      </x:c>
      <x:c r="J37" s="31" t="n">
        <x:v>47.499999996</x:v>
      </x:c>
      <x:c r="K37" s="31" t="n">
        <x:v>0</x:v>
      </x:c>
      <x:c r="L37" s="31" t="n">
        <x:v>47.499999996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9698.25523636357</x:v>
      </x:c>
    </x:row>
    <x:row r="38" ht="18" customHeight="1">
      <x:c r="A38" s="24" t="str">
        <x:v>EEZ_690</x:v>
      </x:c>
      <x:c r="B38" s="24" t="str">
        <x:v>Seychelles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43.5439497483</x:v>
      </x:c>
      <x:c r="J38" s="31" t="n">
        <x:v>43.5439497483</x:v>
      </x:c>
      <x:c r="K38" s="31" t="n">
        <x:v>0</x:v>
      </x:c>
      <x:c r="L38" s="31" t="n">
        <x:v>43.5439497483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9748.276075827676</x:v>
      </x:c>
    </x:row>
    <x:row r="39" ht="18" customHeight="1">
      <x:c r="A39" s="24" t="str">
        <x:v>EEZ_690</x:v>
      </x:c>
      <x:c r="B39" s="24" t="str">
        <x:v>Seychelles</x:v>
      </x:c>
      <x:c r="C39" s="24" t="str">
        <x:v>EEZ</x:v>
      </x:c>
      <x:c r="D39" s="30" t="n">
        <x:v>2019</x:v>
      </x:c>
      <x:c r="E39" s="24" t="str">
        <x:v>Lethrinus microdon</x:v>
      </x:c>
      <x:c r="F39" s="24" t="str">
        <x:v>Smalltooth emperor</x:v>
      </x:c>
      <x:c r="G39" s="24" t="str">
        <x:v>Medium reef assoc. fish (30 - 89 cm)</x:v>
      </x:c>
      <x:c r="H39" s="24" t="str">
        <x:v>Perch-likes</x:v>
      </x:c>
      <x:c r="I39" s="31" t="n">
        <x:v>40.016278709999995</x:v>
      </x:c>
      <x:c r="J39" s="31" t="n">
        <x:v>40.016278709999995</x:v>
      </x:c>
      <x:c r="K39" s="31" t="n">
        <x:v>0</x:v>
      </x:c>
      <x:c r="L39" s="31" t="n">
        <x:v>25.729163808</x:v>
      </x:c>
      <x:c r="M39" s="31" t="n">
        <x:v>14.287114901999999</x:v>
      </x:c>
      <x:c r="N39" s="24" t="str">
        <x:v>lethrinus microdon</x:v>
      </x:c>
      <x:c r="O39" s="32" t="n">
        <x:v>3.79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Lethrinus microdon</x:v>
      </x:c>
      <x:c r="T39" s="32" t="n">
        <x:f>IF(O39="","",(1/'Metadata'!$B$5)^(O39-1))</x:f>
        <x:v>616.5950018614822</x:v>
      </x:c>
      <x:c r="U39" s="31" t="n">
        <x:f>IF(T39="","",I39*T39)</x:f>
        <x:v>24673.837445682035</x:v>
      </x:c>
    </x:row>
    <x:row r="40" ht="18" customHeight="1">
      <x:c r="A40" s="24" t="str">
        <x:v>EEZ_690</x:v>
      </x:c>
      <x:c r="B40" s="24" t="str">
        <x:v>Seychelles</x:v>
      </x:c>
      <x:c r="C40" s="24" t="str">
        <x:v>EEZ</x:v>
      </x:c>
      <x:c r="D40" s="30" t="n">
        <x:v>2019</x:v>
      </x:c>
      <x:c r="E40" s="24" t="str">
        <x:v>Epinephelus chlorostigma</x:v>
      </x:c>
      <x:c r="F40" s="24" t="str">
        <x:v>Brownspotted grouper</x:v>
      </x:c>
      <x:c r="G40" s="24" t="str">
        <x:v>Medium reef assoc. fish (30 - 89 cm)</x:v>
      </x:c>
      <x:c r="H40" s="24" t="str">
        <x:v>Perch-likes</x:v>
      </x:c>
      <x:c r="I40" s="31" t="n">
        <x:v>39.531451027</x:v>
      </x:c>
      <x:c r="J40" s="31" t="n">
        <x:v>39.531451027</x:v>
      </x:c>
      <x:c r="K40" s="31" t="n">
        <x:v>0</x:v>
      </x:c>
      <x:c r="L40" s="31" t="n">
        <x:v>39.34731224</x:v>
      </x:c>
      <x:c r="M40" s="31" t="n">
        <x:v>0.184138787</x:v>
      </x:c>
      <x:c r="N40" s="24" t="str">
        <x:v>epinephelus chlorostigma</x:v>
      </x:c>
      <x:c r="O40" s="32" t="n">
        <x:v>3.99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chlorostigma</x:v>
      </x:c>
      <x:c r="T40" s="32" t="n">
        <x:f>IF(O40="","",(1/'Metadata'!$B$5)^(O40-1))</x:f>
        <x:v>977.2372209558112</x:v>
      </x:c>
      <x:c r="U40" s="31" t="n">
        <x:f>IF(T40="","",I40*T40)</x:f>
        <x:v>38631.60534197623</x:v>
      </x:c>
    </x:row>
    <x:row r="41" ht="18" customHeight="1">
      <x:c r="A41" s="24" t="str">
        <x:v>EEZ_690</x:v>
      </x:c>
      <x:c r="B41" s="24" t="str">
        <x:v>Seychelles</x:v>
      </x:c>
      <x:c r="C41" s="24" t="str">
        <x:v>EEZ</x:v>
      </x:c>
      <x:c r="D41" s="30" t="n">
        <x:v>2019</x:v>
      </x:c>
      <x:c r="E41" s="24" t="str">
        <x:v>Lethrinus nebulosus</x:v>
      </x:c>
      <x:c r="F41" s="24" t="str">
        <x:v>Spangled emperor</x:v>
      </x:c>
      <x:c r="G41" s="24" t="str">
        <x:v>Medium demersals (30 - 89 cm)</x:v>
      </x:c>
      <x:c r="H41" s="24" t="str">
        <x:v>Perch-likes</x:v>
      </x:c>
      <x:c r="I41" s="31" t="n">
        <x:v>31.006422475999997</x:v>
      </x:c>
      <x:c r="J41" s="31" t="n">
        <x:v>31.006422475999997</x:v>
      </x:c>
      <x:c r="K41" s="31" t="n">
        <x:v>0</x:v>
      </x:c>
      <x:c r="L41" s="31" t="n">
        <x:v>16.731278168</x:v>
      </x:c>
      <x:c r="M41" s="31" t="n">
        <x:v>14.275144308</x:v>
      </x:c>
      <x:c r="N41" s="24" t="str">
        <x:v>lethrinus nebulosus</x:v>
      </x:c>
      <x:c r="O41" s="32" t="n">
        <x:v>3.76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Lethrinus nebulosus</x:v>
      </x:c>
      <x:c r="T41" s="32" t="n">
        <x:f>IF(O41="","",(1/'Metadata'!$B$5)^(O41-1))</x:f>
        <x:v>575.4399373371566</x:v>
      </x:c>
      <x:c r="U41" s="31" t="n">
        <x:f>IF(T41="","",I41*T41)</x:f>
        <x:v>17842.333806638842</x:v>
      </x:c>
    </x:row>
    <x:row r="42" ht="18" customHeight="1">
      <x:c r="A42" s="24" t="str">
        <x:v>EEZ_690</x:v>
      </x:c>
      <x:c r="B42" s="24" t="str">
        <x:v>Seychelles</x:v>
      </x:c>
      <x:c r="C42" s="24" t="str">
        <x:v>EEZ</x:v>
      </x:c>
      <x:c r="D42" s="30" t="n">
        <x:v>2019</x:v>
      </x:c>
      <x:c r="E42" s="24" t="str">
        <x:v>Trichiurus lepturus</x:v>
      </x:c>
      <x:c r="F42" s="24" t="str">
        <x:v>Largehead hairtail</x:v>
      </x:c>
      <x:c r="G42" s="24" t="str">
        <x:v>Large benthopelagics (&gt;=90 cm)</x:v>
      </x:c>
      <x:c r="H42" s="24" t="str">
        <x:v>Perch-likes</x:v>
      </x:c>
      <x:c r="I42" s="31" t="n">
        <x:v>30.961573866299997</x:v>
      </x:c>
      <x:c r="J42" s="31" t="n">
        <x:v>30.961573866299997</x:v>
      </x:c>
      <x:c r="K42" s="31" t="n">
        <x:v>0</x:v>
      </x:c>
      <x:c r="L42" s="31" t="n">
        <x:v>30.961573866299997</x:v>
      </x:c>
      <x:c r="M42" s="31" t="n">
        <x:v>0</x:v>
      </x:c>
      <x:c r="N42" s="24" t="str">
        <x:v>trichiurus lepturus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Trichiurus lepturus</x:v>
      </x:c>
      <x:c r="T42" s="32" t="n">
        <x:f>IF(O42="","",(1/'Metadata'!$B$5)^(O42-1))</x:f>
        <x:v>2630.2679918953813</x:v>
      </x:c>
      <x:c r="U42" s="31" t="n">
        <x:f>IF(T42="","",I42*T42)</x:f>
        <x:v>81437.2367192334</x:v>
      </x:c>
    </x:row>
    <x:row r="43" ht="18" customHeight="1">
      <x:c r="A43" s="24" t="str">
        <x:v>EEZ_690</x:v>
      </x:c>
      <x:c r="B43" s="24" t="str">
        <x:v>Seychelles</x:v>
      </x:c>
      <x:c r="C43" s="24" t="str">
        <x:v>EEZ</x:v>
      </x:c>
      <x:c r="D43" s="30" t="n">
        <x:v>2019</x:v>
      </x:c>
      <x:c r="E43" s="24" t="str">
        <x:v>Carcharhinus plumbeus</x:v>
      </x:c>
      <x:c r="F43" s="24" t="str">
        <x:v>Sandbar shark</x:v>
      </x:c>
      <x:c r="G43" s="24" t="str">
        <x:v>Large sharks (&gt;=90 cm)</x:v>
      </x:c>
      <x:c r="H43" s="24" t="str">
        <x:v>Sharks &amp; rays</x:v>
      </x:c>
      <x:c r="I43" s="31" t="n">
        <x:v>29.269655599</x:v>
      </x:c>
      <x:c r="J43" s="31" t="n">
        <x:v>29.269655599</x:v>
      </x:c>
      <x:c r="K43" s="31" t="n">
        <x:v>0</x:v>
      </x:c>
      <x:c r="L43" s="31" t="n">
        <x:v>20</x:v>
      </x:c>
      <x:c r="M43" s="31" t="n">
        <x:v>9.269655599</x:v>
      </x:c>
      <x:c r="N43" s="24" t="str">
        <x:v>carcharhinus plumbeus</x:v>
      </x:c>
      <x:c r="O43" s="32" t="n">
        <x:v>4.49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Carcharhinus plumbeus</x:v>
      </x:c>
      <x:c r="T43" s="32" t="n">
        <x:f>IF(O43="","",(1/'Metadata'!$B$5)^(O43-1))</x:f>
        <x:v>3090.295432513592</x:v>
      </x:c>
      <x:c r="U43" s="31" t="n">
        <x:f>IF(T43="","",I43*T43)</x:f>
        <x:v>90451.88300883559</x:v>
      </x:c>
    </x:row>
    <x:row r="44" ht="18" customHeight="1">
      <x:c r="A44" s="24" t="str">
        <x:v>EEZ_690</x:v>
      </x:c>
      <x:c r="B44" s="24" t="str">
        <x:v>Seychelles</x:v>
      </x:c>
      <x:c r="C44" s="24" t="str">
        <x:v>EEZ</x:v>
      </x:c>
      <x:c r="D44" s="30" t="n">
        <x:v>2019</x:v>
      </x:c>
      <x:c r="E44" s="24" t="str">
        <x:v>Galeocerdo cuvier</x:v>
      </x:c>
      <x:c r="F44" s="24" t="str">
        <x:v>Tiger shark</x:v>
      </x:c>
      <x:c r="G44" s="24" t="str">
        <x:v>Large sharks (&gt;=90 cm)</x:v>
      </x:c>
      <x:c r="H44" s="24" t="str">
        <x:v>Sharks &amp; rays</x:v>
      </x:c>
      <x:c r="I44" s="31" t="n">
        <x:v>29.269655599</x:v>
      </x:c>
      <x:c r="J44" s="31" t="n">
        <x:v>29.269655599</x:v>
      </x:c>
      <x:c r="K44" s="31" t="n">
        <x:v>0</x:v>
      </x:c>
      <x:c r="L44" s="31" t="n">
        <x:v>20</x:v>
      </x:c>
      <x:c r="M44" s="31" t="n">
        <x:v>9.269655599</x:v>
      </x:c>
      <x:c r="N44" s="24" t="str">
        <x:v>galeocerdo cuvier</x:v>
      </x:c>
      <x:c r="O44" s="32" t="n">
        <x:v>4.54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Galeocerdo cuvier</x:v>
      </x:c>
      <x:c r="T44" s="32" t="n">
        <x:f>IF(O44="","",(1/'Metadata'!$B$5)^(O44-1))</x:f>
        <x:v>3467.368504525317</x:v>
      </x:c>
      <x:c r="U44" s="31" t="n">
        <x:f>IF(T44="","",I44*T44)</x:f>
        <x:v>101488.6819622757</x:v>
      </x:c>
    </x:row>
    <x:row r="45" ht="18" customHeight="1">
      <x:c r="A45" s="24" t="str">
        <x:v>EEZ_690</x:v>
      </x:c>
      <x:c r="B45" s="24" t="str">
        <x:v>Seychelles</x:v>
      </x:c>
      <x:c r="C45" s="24" t="str">
        <x:v>EEZ</x:v>
      </x:c>
      <x:c r="D45" s="30" t="n">
        <x:v>2019</x:v>
      </x:c>
      <x:c r="E45" s="24" t="str">
        <x:v>Pristipomoides filamentosus</x:v>
      </x:c>
      <x:c r="F45" s="24" t="str">
        <x:v>Crimson jobfish</x:v>
      </x:c>
      <x:c r="G45" s="24" t="str">
        <x:v>Medium demersals (30 - 89 cm)</x:v>
      </x:c>
      <x:c r="H45" s="24" t="str">
        <x:v>Perch-likes</x:v>
      </x:c>
      <x:c r="I45" s="31" t="n">
        <x:v>29.06063309</x:v>
      </x:c>
      <x:c r="J45" s="31" t="n">
        <x:v>29.06063309</x:v>
      </x:c>
      <x:c r="K45" s="31" t="n">
        <x:v>0</x:v>
      </x:c>
      <x:c r="L45" s="31" t="n">
        <x:v>17.084458447</x:v>
      </x:c>
      <x:c r="M45" s="31" t="n">
        <x:v>11.976174643</x:v>
      </x:c>
      <x:c r="N45" s="24" t="str">
        <x:v>pristipomoides filamentosus</x:v>
      </x:c>
      <x:c r="O45" s="32" t="n">
        <x:v>4.19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Pristipomoides filamentosus</x:v>
      </x:c>
      <x:c r="T45" s="32" t="n">
        <x:f>IF(O45="","",(1/'Metadata'!$B$5)^(O45-1))</x:f>
        <x:v>1548.8166189124827</x:v>
      </x:c>
      <x:c r="U45" s="31" t="n">
        <x:f>IF(T45="","",I45*T45)</x:f>
        <x:v>45009.591485910016</x:v>
      </x:c>
    </x:row>
    <x:row r="46" ht="18" customHeight="1">
      <x:c r="A46" s="24" t="str">
        <x:v>EEZ_690</x:v>
      </x:c>
      <x:c r="B46" s="24" t="str">
        <x:v>Seychelles</x:v>
      </x:c>
      <x:c r="C46" s="24" t="str">
        <x:v>EEZ</x:v>
      </x:c>
      <x:c r="D46" s="30" t="n">
        <x:v>2019</x:v>
      </x:c>
      <x:c r="E46" s="24" t="str">
        <x:v>Lethrinus obsoletus</x:v>
      </x:c>
      <x:c r="F46" s="24" t="str">
        <x:v>Orange-striped emperor</x:v>
      </x:c>
      <x:c r="G46" s="24" t="str">
        <x:v>Medium demersals (30 - 89 cm)</x:v>
      </x:c>
      <x:c r="H46" s="24" t="str">
        <x:v>Perch-likes</x:v>
      </x:c>
      <x:c r="I46" s="31" t="n">
        <x:v>28.072664629</x:v>
      </x:c>
      <x:c r="J46" s="31" t="n">
        <x:v>28.072664629</x:v>
      </x:c>
      <x:c r="K46" s="31" t="n">
        <x:v>0</x:v>
      </x:c>
      <x:c r="L46" s="31" t="n">
        <x:v>13.801418144</x:v>
      </x:c>
      <x:c r="M46" s="31" t="n">
        <x:v>14.271246485</x:v>
      </x:c>
      <x:c r="N46" s="24" t="str">
        <x:v>lethrinus obsoletus</x:v>
      </x:c>
      <x:c r="O46" s="32" t="n">
        <x:v>3.89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Lethrinus obsoletus</x:v>
      </x:c>
      <x:c r="T46" s="32" t="n">
        <x:f>IF(O46="","",(1/'Metadata'!$B$5)^(O46-1))</x:f>
        <x:v>776.247116628692</x:v>
      </x:c>
      <x:c r="U46" s="31" t="n">
        <x:f>IF(T46="","",I46*T46)</x:f>
        <x:v>21791.324974345516</x:v>
      </x:c>
    </x:row>
    <x:row r="47" ht="18" customHeight="1">
      <x:c r="A47" s="24" t="str">
        <x:v>EEZ_690</x:v>
      </x:c>
      <x:c r="B47" s="24" t="str">
        <x:v>Seychelles</x:v>
      </x:c>
      <x:c r="C47" s="24" t="str">
        <x:v>EEZ</x:v>
      </x:c>
      <x:c r="D47" s="30" t="n">
        <x:v>2019</x:v>
      </x:c>
      <x:c r="E47" s="24" t="str">
        <x:v>Perciformes</x:v>
      </x:c>
      <x:c r="F47" s="24" t="str">
        <x:v>Perch-likes</x:v>
      </x:c>
      <x:c r="G47" s="24" t="str">
        <x:v>Medium demersals (30 - 89 cm)</x:v>
      </x:c>
      <x:c r="H47" s="24" t="str">
        <x:v>Perch-likes</x:v>
      </x:c>
      <x:c r="I47" s="31" t="n">
        <x:v>24.606910131</x:v>
      </x:c>
      <x:c r="J47" s="31" t="n">
        <x:v>24.606910131</x:v>
      </x:c>
      <x:c r="K47" s="31" t="n">
        <x:v>0</x:v>
      </x:c>
      <x:c r="L47" s="31" t="n">
        <x:v>23.750000001</x:v>
      </x:c>
      <x:c r="M47" s="31" t="n">
        <x:v>0.85691013</x:v>
      </x:c>
      <x:c r="N47" s="24" t="str">
        <x:v>perciformes</x:v>
      </x:c>
      <x:c r="O47" s="32" t="n">
        <x:v>3.53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Perciformes</x:v>
      </x:c>
      <x:c r="T47" s="32" t="n">
        <x:f>IF(O47="","",(1/'Metadata'!$B$5)^(O47-1))</x:f>
        <x:v>338.84415613920237</x:v>
      </x:c>
      <x:c r="U47" s="31" t="n">
        <x:f>IF(T47="","",I47*T47)</x:f>
        <x:v>8337.907698531884</x:v>
      </x:c>
    </x:row>
    <x:row r="48" ht="18" customHeight="1">
      <x:c r="A48" s="24" t="str">
        <x:v>EEZ_690</x:v>
      </x:c>
      <x:c r="B48" s="24" t="str">
        <x:v>Seychelles</x:v>
      </x:c>
      <x:c r="C48" s="24" t="str">
        <x:v>EEZ</x:v>
      </x:c>
      <x:c r="D48" s="30" t="n">
        <x:v>2019</x:v>
      </x:c>
      <x:c r="E48" s="24" t="str">
        <x:v>Siganidae</x:v>
      </x:c>
      <x:c r="F48" s="24" t="str">
        <x:v>Rabbitfishes</x:v>
      </x:c>
      <x:c r="G48" s="24" t="str">
        <x:v>Medium reef assoc. fish (30 - 89 cm)</x:v>
      </x:c>
      <x:c r="H48" s="24" t="str">
        <x:v>Perch-likes</x:v>
      </x:c>
      <x:c r="I48" s="31" t="n">
        <x:v>23.750000001</x:v>
      </x:c>
      <x:c r="J48" s="31" t="n">
        <x:v>23.750000001</x:v>
      </x:c>
      <x:c r="K48" s="31" t="n">
        <x:v>0</x:v>
      </x:c>
      <x:c r="L48" s="31" t="n">
        <x:v>23.750000001</x:v>
      </x:c>
      <x:c r="M48" s="31" t="n">
        <x:v>0</x:v>
      </x:c>
      <x:c r="N48" s="24" t="str">
        <x:v>siganidae</x:v>
      </x:c>
      <x:c r="O48" s="32" t="n">
        <x:v>2.11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Siganidae</x:v>
      </x:c>
      <x:c r="T48" s="32" t="n">
        <x:f>IF(O48="","",(1/'Metadata'!$B$5)^(O48-1))</x:f>
        <x:v>12.882495516931336</x:v>
      </x:c>
      <x:c r="U48" s="31" t="n">
        <x:f>IF(T48="","",I48*T48)</x:f>
        <x:v>305.9592685400017</x:v>
      </x:c>
    </x:row>
    <x:row r="49" ht="18" customHeight="1">
      <x:c r="A49" s="24" t="str">
        <x:v>EEZ_690</x:v>
      </x:c>
      <x:c r="B49" s="24" t="str">
        <x:v>Seychelles</x:v>
      </x:c>
      <x:c r="C49" s="24" t="str">
        <x:v>EEZ</x:v>
      </x:c>
      <x:c r="D49" s="30" t="n">
        <x:v>2019</x:v>
      </x:c>
      <x:c r="E49" s="24" t="str">
        <x:v>Scombroidei</x:v>
      </x:c>
      <x:c r="F49" s="24" t="str">
        <x:v>Tunas, bonitos, billfishes</x:v>
      </x:c>
      <x:c r="G49" s="24" t="str">
        <x:v>Large pelagics (&gt;=90 cm)</x:v>
      </x:c>
      <x:c r="H49" s="24" t="str">
        <x:v>Tuna &amp; billfishes</x:v>
      </x:c>
      <x:c r="I49" s="31" t="n">
        <x:v>20.9988392423</x:v>
      </x:c>
      <x:c r="J49" s="31" t="n">
        <x:v>20.9988392423</x:v>
      </x:c>
      <x:c r="K49" s="31" t="n">
        <x:v>0</x:v>
      </x:c>
      <x:c r="L49" s="31" t="n">
        <x:v>20.9988392423</x:v>
      </x:c>
      <x:c r="M49" s="31" t="n">
        <x:v>0</x:v>
      </x:c>
      <x:c r="N49" s="24" t="str">
        <x:v>scombroidei</x:v>
      </x:c>
      <x:c r="O49" s="32" t="n">
        <x:v>4.2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Scombroidei</x:v>
      </x:c>
      <x:c r="T49" s="32" t="n">
        <x:f>IF(O49="","",(1/'Metadata'!$B$5)^(O49-1))</x:f>
        <x:v>1584.893192461114</x:v>
      </x:c>
      <x:c r="U49" s="31" t="n">
        <x:f>IF(T49="","",I49*T49)</x:f>
        <x:v>33280.91736470657</x:v>
      </x:c>
    </x:row>
    <x:row r="50" ht="18" customHeight="1">
      <x:c r="A50" s="24" t="str">
        <x:v>EEZ_690</x:v>
      </x:c>
      <x:c r="B50" s="24" t="str">
        <x:v>Seychelles</x:v>
      </x:c>
      <x:c r="C50" s="24" t="str">
        <x:v>EEZ</x:v>
      </x:c>
      <x:c r="D50" s="30" t="n">
        <x:v>2019</x:v>
      </x:c>
      <x:c r="E50" s="24" t="str">
        <x:v>Carcharhinidae</x:v>
      </x:c>
      <x:c r="F50" s="24" t="str">
        <x:v>Requiem sharks</x:v>
      </x:c>
      <x:c r="G50" s="24" t="str">
        <x:v>Large sharks (&gt;=90 cm)</x:v>
      </x:c>
      <x:c r="H50" s="24" t="str">
        <x:v>Sharks &amp; rays</x:v>
      </x:c>
      <x:c r="I50" s="31" t="n">
        <x:v>20.343892412</x:v>
      </x:c>
      <x:c r="J50" s="31" t="n">
        <x:v>20.343892412</x:v>
      </x:c>
      <x:c r="K50" s="31" t="n">
        <x:v>0</x:v>
      </x:c>
      <x:c r="L50" s="31" t="n">
        <x:v>14.164122012</x:v>
      </x:c>
      <x:c r="M50" s="31" t="n">
        <x:v>6.1797704</x:v>
      </x:c>
      <x:c r="N50" s="24" t="str">
        <x:v>carcharhinidae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Carcharhinidae</x:v>
      </x:c>
      <x:c r="T50" s="32" t="n">
        <x:f>IF(O50="","",(1/'Metadata'!$B$5)^(O50-1))</x:f>
        <x:v>1737.8008287493763</x:v>
      </x:c>
      <x:c r="U50" s="31" t="n">
        <x:f>IF(T50="","",I50*T50)</x:f>
        <x:v>35353.633093561744</x:v>
      </x:c>
    </x:row>
    <x:row r="51" ht="18" customHeight="1">
      <x:c r="A51" s="24" t="str">
        <x:v>EEZ_690</x:v>
      </x:c>
      <x:c r="B51" s="24" t="str">
        <x:v>Seychelles</x:v>
      </x:c>
      <x:c r="C51" s="24" t="str">
        <x:v>EEZ</x:v>
      </x:c>
      <x:c r="D51" s="30" t="n">
        <x:v>2019</x:v>
      </x:c>
      <x:c r="E51" s="24" t="str">
        <x:v>Auxis</x:v>
      </x:c>
      <x:c r="F51" s="24" t="str">
        <x:v>Bullet and frigate tunas</x:v>
      </x:c>
      <x:c r="G51" s="24" t="str">
        <x:v>Medium pelagics (30 - 89 cm)</x:v>
      </x:c>
      <x:c r="H51" s="24" t="str">
        <x:v>Tuna &amp; billfishes</x:v>
      </x:c>
      <x:c r="I51" s="31" t="n">
        <x:v>19.647553457999997</x:v>
      </x:c>
      <x:c r="J51" s="31" t="n">
        <x:v>19.647553457999997</x:v>
      </x:c>
      <x:c r="K51" s="31" t="n">
        <x:v>0</x:v>
      </x:c>
      <x:c r="L51" s="31" t="n">
        <x:v>19.647553457999997</x:v>
      </x:c>
      <x:c r="M51" s="31" t="n">
        <x:v>0</x:v>
      </x:c>
      <x:c r="N51" s="24" t="str">
        <x:v>auxis</x:v>
      </x:c>
      <x:c r="O51" s="32" t="n">
        <x:v>4.24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Auxis</x:v>
      </x:c>
      <x:c r="T51" s="32" t="n">
        <x:f>IF(O51="","",(1/'Metadata'!$B$5)^(O51-1))</x:f>
        <x:v>1737.8008287493763</x:v>
      </x:c>
      <x:c r="U51" s="31" t="n">
        <x:f>IF(T51="","",I51*T51)</x:f>
        <x:v>34143.53468221007</x:v>
      </x:c>
    </x:row>
    <x:row r="52" ht="18" customHeight="1">
      <x:c r="A52" s="24" t="str">
        <x:v>EEZ_690</x:v>
      </x:c>
      <x:c r="B52" s="24" t="str">
        <x:v>Seychelles</x:v>
      </x:c>
      <x:c r="C52" s="24" t="str">
        <x:v>EEZ</x:v>
      </x:c>
      <x:c r="D52" s="30" t="n">
        <x:v>2019</x:v>
      </x:c>
      <x:c r="E52" s="24" t="str">
        <x:v>Carcharhinus melanopterus</x:v>
      </x:c>
      <x:c r="F52" s="24" t="str">
        <x:v>Blacktip reef shark</x:v>
      </x:c>
      <x:c r="G52" s="24" t="str">
        <x:v>Large sharks (&gt;=90 cm)</x:v>
      </x:c>
      <x:c r="H52" s="24" t="str">
        <x:v>Sharks &amp; rays</x:v>
      </x:c>
      <x:c r="I52" s="31" t="n">
        <x:v>19.51310373</x:v>
      </x:c>
      <x:c r="J52" s="31" t="n">
        <x:v>19.51310373</x:v>
      </x:c>
      <x:c r="K52" s="31" t="n">
        <x:v>0</x:v>
      </x:c>
      <x:c r="L52" s="31" t="n">
        <x:v>13.33333333</x:v>
      </x:c>
      <x:c r="M52" s="31" t="n">
        <x:v>6.1797704</x:v>
      </x:c>
      <x:c r="N52" s="24" t="str">
        <x:v>carcharhinus melanopterus</x:v>
      </x:c>
      <x:c r="O52" s="32" t="n">
        <x:v>3.94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Carcharhinus melanopterus</x:v>
      </x:c>
      <x:c r="T52" s="32" t="n">
        <x:f>IF(O52="","",(1/'Metadata'!$B$5)^(O52-1))</x:f>
        <x:v>870.9635899560806</x:v>
      </x:c>
      <x:c r="U52" s="31" t="n">
        <x:f>IF(T52="","",I52*T52)</x:f>
        <x:v>16995.202875866187</x:v>
      </x:c>
    </x:row>
    <x:row r="53" ht="18" customHeight="1">
      <x:c r="A53" s="24" t="str">
        <x:v>EEZ_690</x:v>
      </x:c>
      <x:c r="B53" s="24" t="str">
        <x:v>Seychelles</x:v>
      </x:c>
      <x:c r="C53" s="24" t="str">
        <x:v>EEZ</x:v>
      </x:c>
      <x:c r="D53" s="30" t="n">
        <x:v>2019</x:v>
      </x:c>
      <x:c r="E53" s="24" t="str">
        <x:v>Rhynchobatus djiddensis</x:v>
      </x:c>
      <x:c r="F53" s="24" t="str">
        <x:v>Giant guitarfish</x:v>
      </x:c>
      <x:c r="G53" s="24" t="str">
        <x:v>Large rays (&gt;=90 cm)</x:v>
      </x:c>
      <x:c r="H53" s="24" t="str">
        <x:v>Sharks &amp; rays</x:v>
      </x:c>
      <x:c r="I53" s="31" t="n">
        <x:v>19.513103729</x:v>
      </x:c>
      <x:c r="J53" s="31" t="n">
        <x:v>19.513103729</x:v>
      </x:c>
      <x:c r="K53" s="31" t="n">
        <x:v>0</x:v>
      </x:c>
      <x:c r="L53" s="31" t="n">
        <x:v>13.33333333</x:v>
      </x:c>
      <x:c r="M53" s="31" t="n">
        <x:v>6.179770399</x:v>
      </x:c>
      <x:c r="N53" s="24" t="str">
        <x:v>rhynchobatus djiddensis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Rhynchobatus djiddensis</x:v>
      </x:c>
      <x:c r="T53" s="32" t="n">
        <x:f>IF(O53="","",(1/'Metadata'!$B$5)^(O53-1))</x:f>
        <x:v>398.1071705534973</x:v>
      </x:c>
      <x:c r="U53" s="31" t="n">
        <x:f>IF(T53="","",I53*T53)</x:f>
        <x:v>7768.306514269088</x:v>
      </x:c>
    </x:row>
    <x:row r="54" ht="18" customHeight="1">
      <x:c r="A54" s="24" t="str">
        <x:v>EEZ_690</x:v>
      </x:c>
      <x:c r="B54" s="24" t="str">
        <x:v>Seychelles</x:v>
      </x:c>
      <x:c r="C54" s="24" t="str">
        <x:v>EEZ</x:v>
      </x:c>
      <x:c r="D54" s="30" t="n">
        <x:v>2019</x:v>
      </x:c>
      <x:c r="E54" s="24" t="str">
        <x:v>Triaenodon obesus</x:v>
      </x:c>
      <x:c r="F54" s="24" t="str">
        <x:v>Whitetip reef shark</x:v>
      </x:c>
      <x:c r="G54" s="24" t="str">
        <x:v>Large sharks (&gt;=90 cm)</x:v>
      </x:c>
      <x:c r="H54" s="24" t="str">
        <x:v>Sharks &amp; rays</x:v>
      </x:c>
      <x:c r="I54" s="31" t="n">
        <x:v>19.513103729</x:v>
      </x:c>
      <x:c r="J54" s="31" t="n">
        <x:v>19.513103729</x:v>
      </x:c>
      <x:c r="K54" s="31" t="n">
        <x:v>0</x:v>
      </x:c>
      <x:c r="L54" s="31" t="n">
        <x:v>13.33333333</x:v>
      </x:c>
      <x:c r="M54" s="31" t="n">
        <x:v>6.179770399</x:v>
      </x:c>
      <x:c r="N54" s="24" t="str">
        <x:v>triaenodon obesus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Triaenodon obesus</x:v>
      </x:c>
      <x:c r="T54" s="32" t="n">
        <x:f>IF(O54="","",(1/'Metadata'!$B$5)^(O54-1))</x:f>
        <x:v>1548.8166189124827</x:v>
      </x:c>
      <x:c r="U54" s="31" t="n">
        <x:f>IF(T54="","",I54*T54)</x:f>
        <x:v>30222.219342038337</x:v>
      </x:c>
    </x:row>
    <x:row r="55" ht="18" customHeight="1">
      <x:c r="A55" s="24" t="str">
        <x:v>EEZ_690</x:v>
      </x:c>
      <x:c r="B55" s="24" t="str">
        <x:v>Seychelles</x:v>
      </x:c>
      <x:c r="C55" s="24" t="str">
        <x:v>EEZ</x:v>
      </x:c>
      <x:c r="D55" s="30" t="n">
        <x:v>2019</x:v>
      </x:c>
      <x:c r="E55" s="24" t="str">
        <x:v>Scarus ghobban</x:v>
      </x:c>
      <x:c r="F55" s="24" t="str">
        <x:v>Blue-barred parrotfish</x:v>
      </x:c>
      <x:c r="G55" s="24" t="str">
        <x:v>Medium reef assoc. fish (30 - 89 cm)</x:v>
      </x:c>
      <x:c r="H55" s="24" t="str">
        <x:v>Perch-likes</x:v>
      </x:c>
      <x:c r="I55" s="31" t="n">
        <x:v>19.003847169</x:v>
      </x:c>
      <x:c r="J55" s="31" t="n">
        <x:v>19.003847169</x:v>
      </x:c>
      <x:c r="K55" s="31" t="n">
        <x:v>0</x:v>
      </x:c>
      <x:c r="L55" s="31" t="n">
        <x:v>0</x:v>
      </x:c>
      <x:c r="M55" s="31" t="n">
        <x:v>19.003847169</x:v>
      </x:c>
      <x:c r="N55" s="24" t="str">
        <x:v>scarus ghobban</x:v>
      </x:c>
      <x:c r="O55" s="32" t="n">
        <x:v>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Scarus ghobban</x:v>
      </x:c>
      <x:c r="T55" s="32" t="n">
        <x:f>IF(O55="","",(1/'Metadata'!$B$5)^(O55-1))</x:f>
        <x:v>10</x:v>
      </x:c>
      <x:c r="U55" s="31" t="n">
        <x:f>IF(T55="","",I55*T55)</x:f>
        <x:v>190.03847169</x:v>
      </x:c>
    </x:row>
    <x:row r="56" ht="18" customHeight="1">
      <x:c r="A56" s="24" t="str">
        <x:v>EEZ_690</x:v>
      </x:c>
      <x:c r="B56" s="24" t="str">
        <x:v>Seychelles</x:v>
      </x:c>
      <x:c r="C56" s="24" t="str">
        <x:v>EEZ</x:v>
      </x:c>
      <x:c r="D56" s="30" t="n">
        <x:v>2019</x:v>
      </x:c>
      <x:c r="E56" s="24" t="str">
        <x:v>Scarus rubroviolaceus</x:v>
      </x:c>
      <x:c r="F56" s="24" t="str">
        <x:v>Ember parrotfish</x:v>
      </x:c>
      <x:c r="G56" s="24" t="str">
        <x:v>Medium reef assoc. fish (30 - 89 cm)</x:v>
      </x:c>
      <x:c r="H56" s="24" t="str">
        <x:v>Perch-likes</x:v>
      </x:c>
      <x:c r="I56" s="31" t="n">
        <x:v>19.003847169</x:v>
      </x:c>
      <x:c r="J56" s="31" t="n">
        <x:v>19.003847169</x:v>
      </x:c>
      <x:c r="K56" s="31" t="n">
        <x:v>0</x:v>
      </x:c>
      <x:c r="L56" s="31" t="n">
        <x:v>0</x:v>
      </x:c>
      <x:c r="M56" s="31" t="n">
        <x:v>19.003847169</x:v>
      </x:c>
      <x:c r="N56" s="24" t="str">
        <x:v>scarus rubroviolaceus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Scarus rubroviolaceus</x:v>
      </x:c>
      <x:c r="T56" s="32" t="n">
        <x:f>IF(O56="","",(1/'Metadata'!$B$5)^(O56-1))</x:f>
        <x:v>10</x:v>
      </x:c>
      <x:c r="U56" s="31" t="n">
        <x:f>IF(T56="","",I56*T56)</x:f>
        <x:v>190.03847169</x:v>
      </x:c>
    </x:row>
    <x:row r="57" ht="18" customHeight="1">
      <x:c r="A57" s="24" t="str">
        <x:v>EEZ_690</x:v>
      </x:c>
      <x:c r="B57" s="24" t="str">
        <x:v>Seychelles</x:v>
      </x:c>
      <x:c r="C57" s="24" t="str">
        <x:v>EEZ</x:v>
      </x:c>
      <x:c r="D57" s="30" t="n">
        <x:v>2019</x:v>
      </x:c>
      <x:c r="E57" s="24" t="str">
        <x:v>Scarus</x:v>
      </x:c>
      <x:c r="F57" s="24" t="str">
        <x:v>Parrots</x:v>
      </x:c>
      <x:c r="G57" s="24" t="str">
        <x:v>Medium reef assoc. fish (30 - 89 cm)</x:v>
      </x:c>
      <x:c r="H57" s="24" t="str">
        <x:v>Perch-likes</x:v>
      </x:c>
      <x:c r="I57" s="31" t="n">
        <x:v>19.003847169</x:v>
      </x:c>
      <x:c r="J57" s="31" t="n">
        <x:v>19.003847169</x:v>
      </x:c>
      <x:c r="K57" s="31" t="n">
        <x:v>0</x:v>
      </x:c>
      <x:c r="L57" s="31" t="n">
        <x:v>0</x:v>
      </x:c>
      <x:c r="M57" s="31" t="n">
        <x:v>19.003847169</x:v>
      </x:c>
      <x:c r="N57" s="24" t="str">
        <x:v>scarus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Scarus</x:v>
      </x:c>
      <x:c r="T57" s="32" t="n">
        <x:f>IF(O57="","",(1/'Metadata'!$B$5)^(O57-1))</x:f>
        <x:v>10</x:v>
      </x:c>
      <x:c r="U57" s="31" t="n">
        <x:f>IF(T57="","",I57*T57)</x:f>
        <x:v>190.03847169</x:v>
      </x:c>
    </x:row>
    <x:row r="58" ht="18" customHeight="1">
      <x:c r="A58" s="24" t="str">
        <x:v>EEZ_690</x:v>
      </x:c>
      <x:c r="B58" s="24" t="str">
        <x:v>Seychelles</x:v>
      </x:c>
      <x:c r="C58" s="24" t="str">
        <x:v>EEZ</x:v>
      </x:c>
      <x:c r="D58" s="30" t="n">
        <x:v>2019</x:v>
      </x:c>
      <x:c r="E58" s="24" t="str">
        <x:v>Elasmobranchii</x:v>
      </x:c>
      <x:c r="F58" s="24" t="str">
        <x:v>Sharks, rays, skates</x:v>
      </x:c>
      <x:c r="G58" s="24" t="str">
        <x:v>Large sharks (&gt;=90 cm)</x:v>
      </x:c>
      <x:c r="H58" s="24" t="str">
        <x:v>Sharks &amp; rays</x:v>
      </x:c>
      <x:c r="I58" s="31" t="n">
        <x:v>18.106804463499998</x:v>
      </x:c>
      <x:c r="J58" s="31" t="n">
        <x:v>18.106804463499998</x:v>
      </x:c>
      <x:c r="K58" s="31" t="n">
        <x:v>0</x:v>
      </x:c>
      <x:c r="L58" s="31" t="n">
        <x:v>13.9947592165</x:v>
      </x:c>
      <x:c r="M58" s="31" t="n">
        <x:v>4.112045246999999</x:v>
      </x:c>
      <x:c r="N58" s="24" t="str">
        <x:v>elasmobranchii</x:v>
      </x:c>
      <x:c r="O58" s="32" t="n">
        <x:v>4.05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Elasmobranchii</x:v>
      </x:c>
      <x:c r="T58" s="32" t="n">
        <x:f>IF(O58="","",(1/'Metadata'!$B$5)^(O58-1))</x:f>
        <x:v>1122.018454301963</x:v>
      </x:c>
      <x:c r="U58" s="31" t="n">
        <x:f>IF(T58="","",I58*T58)</x:f>
        <x:v>20316.168756484152</x:v>
      </x:c>
    </x:row>
    <x:row r="59" ht="18" customHeight="1">
      <x:c r="A59" s="24" t="str">
        <x:v>EEZ_690</x:v>
      </x:c>
      <x:c r="B59" s="24" t="str">
        <x:v>Seychelles</x:v>
      </x:c>
      <x:c r="C59" s="24" t="str">
        <x:v>EEZ</x:v>
      </x:c>
      <x:c r="D59" s="30" t="n">
        <x:v>2019</x:v>
      </x:c>
      <x:c r="E59" s="24" t="str">
        <x:v>Mullidae</x:v>
      </x:c>
      <x:c r="F59" s="24" t="str">
        <x:v>Goatfishes</x:v>
      </x:c>
      <x:c r="G59" s="24" t="str">
        <x:v>Medium reef assoc. fish (30 - 89 cm)</x:v>
      </x:c>
      <x:c r="H59" s="24" t="str">
        <x:v>Perch-likes</x:v>
      </x:c>
      <x:c r="I59" s="31" t="n">
        <x:v>17.105222257999998</x:v>
      </x:c>
      <x:c r="J59" s="31" t="n">
        <x:v>17.105222257999998</x:v>
      </x:c>
      <x:c r="K59" s="31" t="n">
        <x:v>0</x:v>
      </x:c>
      <x:c r="L59" s="31" t="n">
        <x:v>0</x:v>
      </x:c>
      <x:c r="M59" s="31" t="n">
        <x:v>17.105222257999998</x:v>
      </x:c>
      <x:c r="N59" s="24" t="str">
        <x:v>mullidae</x:v>
      </x:c>
      <x:c r="O59" s="32" t="n">
        <x:v>3.46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Mullidae</x:v>
      </x:c>
      <x:c r="T59" s="32" t="n">
        <x:f>IF(O59="","",(1/'Metadata'!$B$5)^(O59-1))</x:f>
        <x:v>288.40315031266056</x:v>
      </x:c>
      <x:c r="U59" s="31" t="n">
        <x:f>IF(T59="","",I59*T59)</x:f>
        <x:v>4933.19998600544</x:v>
      </x:c>
    </x:row>
    <x:row r="60" ht="18" customHeight="1">
      <x:c r="A60" s="24" t="str">
        <x:v>EEZ_690</x:v>
      </x:c>
      <x:c r="B60" s="24" t="str">
        <x:v>Seychelles</x:v>
      </x:c>
      <x:c r="C60" s="24" t="str">
        <x:v>EEZ</x:v>
      </x:c>
      <x:c r="D60" s="30" t="n">
        <x:v>2019</x:v>
      </x:c>
      <x:c r="E60" s="24" t="str">
        <x:v>Rajiformes</x:v>
      </x:c>
      <x:c r="F60" s="24" t="str">
        <x:v>Skates and rays</x:v>
      </x:c>
      <x:c r="G60" s="24" t="str">
        <x:v>Large rays (&gt;=90 cm)</x:v>
      </x:c>
      <x:c r="H60" s="24" t="str">
        <x:v>Sharks &amp; rays</x:v>
      </x:c>
      <x:c r="I60" s="31" t="n">
        <x:v>14.982722860099999</x:v>
      </x:c>
      <x:c r="J60" s="31" t="n">
        <x:v>14.982722860099999</x:v>
      </x:c>
      <x:c r="K60" s="31" t="n">
        <x:v>0</x:v>
      </x:c>
      <x:c r="L60" s="31" t="n">
        <x:v>14.982722860099999</x:v>
      </x:c>
      <x:c r="M60" s="31" t="n">
        <x:v>0</x:v>
      </x:c>
      <x:c r="N60" s="24" t="str">
        <x:v>rajiformes</x:v>
      </x:c>
      <x:c r="O60" s="32" t="n">
        <x:v>3.61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Rajiformes</x:v>
      </x:c>
      <x:c r="T60" s="32" t="n">
        <x:f>IF(O60="","",(1/'Metadata'!$B$5)^(O60-1))</x:f>
        <x:v>407.3802778041126</x:v>
      </x:c>
      <x:c r="U60" s="31" t="n">
        <x:f>IF(T60="","",I60*T60)</x:f>
        <x:v>6103.665801009566</x:v>
      </x:c>
    </x:row>
    <x:row r="61" ht="18" customHeight="1">
      <x:c r="A61" s="24" t="str">
        <x:v>EEZ_690</x:v>
      </x:c>
      <x:c r="B61" s="24" t="str">
        <x:v>Seychelles</x:v>
      </x:c>
      <x:c r="C61" s="24" t="str">
        <x:v>EEZ</x:v>
      </x:c>
      <x:c r="D61" s="30" t="n">
        <x:v>2019</x:v>
      </x:c>
      <x:c r="E61" s="24" t="str">
        <x:v>Lethrinus variegatus</x:v>
      </x:c>
      <x:c r="F61" s="24" t="str">
        <x:v>Slender emperor</x:v>
      </x:c>
      <x:c r="G61" s="24" t="str">
        <x:v>Small reef assoc. fish (&lt;30 cm)</x:v>
      </x:c>
      <x:c r="H61" s="24" t="str">
        <x:v>Perch-likes</x:v>
      </x:c>
      <x:c r="I61" s="31" t="n">
        <x:v>14.694354603</x:v>
      </x:c>
      <x:c r="J61" s="31" t="n">
        <x:v>14.694354603</x:v>
      </x:c>
      <x:c r="K61" s="31" t="n">
        <x:v>0</x:v>
      </x:c>
      <x:c r="L61" s="31" t="n">
        <x:v>0.440882688</x:v>
      </x:c>
      <x:c r="M61" s="31" t="n">
        <x:v>14.253471915</x:v>
      </x:c>
      <x:c r="N61" s="24" t="str">
        <x:v>lethrinus variegatus</x:v>
      </x:c>
      <x:c r="O61" s="32" t="n">
        <x:v>3.84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Lethrinus variegatus</x:v>
      </x:c>
      <x:c r="T61" s="32" t="n">
        <x:f>IF(O61="","",(1/'Metadata'!$B$5)^(O61-1))</x:f>
        <x:v>691.8309709189363</x:v>
      </x:c>
      <x:c r="U61" s="31" t="n">
        <x:f>IF(T61="","",I61*T61)</x:f>
        <x:v>10166.00961202063</x:v>
      </x:c>
    </x:row>
    <x:row r="62" ht="18" customHeight="1">
      <x:c r="A62" s="24" t="str">
        <x:v>EEZ_690</x:v>
      </x:c>
      <x:c r="B62" s="24" t="str">
        <x:v>Seychelles</x:v>
      </x:c>
      <x:c r="C62" s="24" t="str">
        <x:v>EEZ</x:v>
      </x:c>
      <x:c r="D62" s="30" t="n">
        <x:v>2019</x:v>
      </x:c>
      <x:c r="E62" s="24" t="str">
        <x:v>Siganus canaliculatus</x:v>
      </x:c>
      <x:c r="F62" s="24" t="str">
        <x:v>White-spotted spinefoot</x:v>
      </x:c>
      <x:c r="G62" s="24" t="str">
        <x:v>Small reef assoc. fish (&lt;30 cm)</x:v>
      </x:c>
      <x:c r="H62" s="24" t="str">
        <x:v>Perch-likes</x:v>
      </x:c>
      <x:c r="I62" s="31" t="n">
        <x:v>14.252885374</x:v>
      </x:c>
      <x:c r="J62" s="31" t="n">
        <x:v>14.252885374</x:v>
      </x:c>
      <x:c r="K62" s="31" t="n">
        <x:v>0</x:v>
      </x:c>
      <x:c r="L62" s="31" t="n">
        <x:v>0</x:v>
      </x:c>
      <x:c r="M62" s="31" t="n">
        <x:v>14.252885374</x:v>
      </x:c>
      <x:c r="N62" s="24" t="str">
        <x:v>siganus canaliculatus</x:v>
      </x:c>
      <x:c r="O62" s="32" t="n">
        <x:v>2.76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Siganus canaliculatus</x:v>
      </x:c>
      <x:c r="T62" s="32" t="n">
        <x:f>IF(O62="","",(1/'Metadata'!$B$5)^(O62-1))</x:f>
        <x:v>57.543993733715666</x:v>
      </x:c>
      <x:c r="U62" s="31" t="n">
        <x:f>IF(T62="","",I62*T62)</x:f>
        <x:v>820.1679466488237</x:v>
      </x:c>
    </x:row>
    <x:row r="63" ht="18" customHeight="1">
      <x:c r="A63" s="24" t="str">
        <x:v>EEZ_690</x:v>
      </x:c>
      <x:c r="B63" s="24" t="str">
        <x:v>Seychelles</x:v>
      </x:c>
      <x:c r="C63" s="24" t="str">
        <x:v>EEZ</x:v>
      </x:c>
      <x:c r="D63" s="30" t="n">
        <x:v>2019</x:v>
      </x:c>
      <x:c r="E63" s="24" t="str">
        <x:v>Balistidae</x:v>
      </x:c>
      <x:c r="F63" s="24" t="str">
        <x:v>Triggerfishes</x:v>
      </x:c>
      <x:c r="G63" s="24" t="str">
        <x:v>Medium reef assoc. fish (30 - 89 cm)</x:v>
      </x:c>
      <x:c r="H63" s="24" t="str">
        <x:v>Other fishes &amp; inverts</x:v>
      </x:c>
      <x:c r="I63" s="31" t="n">
        <x:v>13.985327082000001</x:v>
      </x:c>
      <x:c r="J63" s="31" t="n">
        <x:v>13.985327082000001</x:v>
      </x:c>
      <x:c r="K63" s="31" t="n">
        <x:v>0</x:v>
      </x:c>
      <x:c r="L63" s="31" t="n">
        <x:v>0</x:v>
      </x:c>
      <x:c r="M63" s="31" t="n">
        <x:v>13.985327082000001</x:v>
      </x:c>
      <x:c r="N63" s="24" t="str">
        <x:v>balistidae</x:v>
      </x:c>
      <x:c r="O63" s="32" t="n">
        <x:v>3.25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Balistidae</x:v>
      </x:c>
      <x:c r="T63" s="32" t="n">
        <x:f>IF(O63="","",(1/'Metadata'!$B$5)^(O63-1))</x:f>
        <x:v>177.82794100389228</x:v>
      </x:c>
      <x:c r="U63" s="31" t="n">
        <x:f>IF(T63="","",I63*T63)</x:f>
        <x:v>2486.981919258033</x:v>
      </x:c>
    </x:row>
    <x:row r="64" ht="18" customHeight="1">
      <x:c r="A64" s="24" t="str">
        <x:v>EEZ_690</x:v>
      </x:c>
      <x:c r="B64" s="24" t="str">
        <x:v>Seychelles</x:v>
      </x:c>
      <x:c r="C64" s="24" t="str">
        <x:v>EEZ</x:v>
      </x:c>
      <x:c r="D64" s="30" t="n">
        <x:v>2019</x:v>
      </x:c>
      <x:c r="E64" s="24" t="str">
        <x:v>Carcharhinus longimanus</x:v>
      </x:c>
      <x:c r="F64" s="24" t="str">
        <x:v>Oceanic whitetip shark</x:v>
      </x:c>
      <x:c r="G64" s="24" t="str">
        <x:v>Large sharks (&gt;=90 cm)</x:v>
      </x:c>
      <x:c r="H64" s="24" t="str">
        <x:v>Sharks &amp; rays</x:v>
      </x:c>
      <x:c r="I64" s="31" t="n">
        <x:v>12.2711486539</x:v>
      </x:c>
      <x:c r="J64" s="31" t="n">
        <x:v>12.2711486539</x:v>
      </x:c>
      <x:c r="K64" s="31" t="n">
        <x:v>0</x:v>
      </x:c>
      <x:c r="L64" s="31" t="n">
        <x:v>12.2711486539</x:v>
      </x:c>
      <x:c r="M64" s="31" t="n">
        <x:v>0</x:v>
      </x:c>
      <x:c r="N64" s="24" t="str">
        <x:v>carcharhinus longimanus</x:v>
      </x:c>
      <x:c r="O64" s="32" t="n">
        <x:v>4.16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Carcharhinus longimanus</x:v>
      </x:c>
      <x:c r="T64" s="32" t="n">
        <x:f>IF(O64="","",(1/'Metadata'!$B$5)^(O64-1))</x:f>
        <x:v>1445.439770745928</x:v>
      </x:c>
      <x:c r="U64" s="31" t="n">
        <x:f>IF(T64="","",I64*T64)</x:f>
        <x:v>17737.206297082415</x:v>
      </x:c>
    </x:row>
    <x:row r="65" ht="18" customHeight="1">
      <x:c r="A65" s="24" t="str">
        <x:v>EEZ_690</x:v>
      </x:c>
      <x:c r="B65" s="24" t="str">
        <x:v>Seychelles</x:v>
      </x:c>
      <x:c r="C65" s="24" t="str">
        <x:v>EEZ</x:v>
      </x:c>
      <x:c r="D65" s="30" t="n">
        <x:v>2019</x:v>
      </x:c>
      <x:c r="E65" s="24" t="str">
        <x:v>Aphareus rutilans</x:v>
      </x:c>
      <x:c r="F65" s="24" t="str">
        <x:v>Rusty jobfish</x:v>
      </x:c>
      <x:c r="G65" s="24" t="str">
        <x:v>Medium reef assoc. fish (30 - 89 cm)</x:v>
      </x:c>
      <x:c r="H65" s="24" t="str">
        <x:v>Perch-likes</x:v>
      </x:c>
      <x:c r="I65" s="31" t="n">
        <x:v>11.917814576</x:v>
      </x:c>
      <x:c r="J65" s="31" t="n">
        <x:v>11.917814576</x:v>
      </x:c>
      <x:c r="K65" s="31" t="n">
        <x:v>0</x:v>
      </x:c>
      <x:c r="L65" s="31" t="n">
        <x:v>0</x:v>
      </x:c>
      <x:c r="M65" s="31" t="n">
        <x:v>11.917814576</x:v>
      </x:c>
      <x:c r="N65" s="24" t="str">
        <x:v>aphareus rutilans</x:v>
      </x:c>
      <x:c r="O65" s="32" t="n">
        <x:v>4.11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Aphareus rutilans</x:v>
      </x:c>
      <x:c r="T65" s="32" t="n">
        <x:f>IF(O65="","",(1/'Metadata'!$B$5)^(O65-1))</x:f>
        <x:v>1288.249551693135</x:v>
      </x:c>
      <x:c r="U65" s="31" t="n">
        <x:f>IF(T65="","",I65*T65)</x:f>
        <x:v>15353.119284693908</x:v>
      </x:c>
    </x:row>
    <x:row r="66" ht="18" customHeight="1">
      <x:c r="A66" s="24" t="str">
        <x:v>EEZ_690</x:v>
      </x:c>
      <x:c r="B66" s="24" t="str">
        <x:v>Seychelles</x:v>
      </x:c>
      <x:c r="C66" s="24" t="str">
        <x:v>EEZ</x:v>
      </x:c>
      <x:c r="D66" s="30" t="n">
        <x:v>2019</x:v>
      </x:c>
      <x:c r="E66" s="24" t="str">
        <x:v>Otolithes ruber</x:v>
      </x:c>
      <x:c r="F66" s="24" t="str">
        <x:v>Tigertooth croaker</x:v>
      </x:c>
      <x:c r="G66" s="24" t="str">
        <x:v>Medium benthopelagics (30 - 89 cm)</x:v>
      </x:c>
      <x:c r="H66" s="24" t="str">
        <x:v>Perch-likes</x:v>
      </x:c>
      <x:c r="I66" s="31" t="n">
        <x:v>10.946862016</x:v>
      </x:c>
      <x:c r="J66" s="31" t="n">
        <x:v>0</x:v>
      </x:c>
      <x:c r="K66" s="31" t="n">
        <x:v>10.946862016</x:v>
      </x:c>
      <x:c r="L66" s="31" t="n">
        <x:v>0</x:v>
      </x:c>
      <x:c r="M66" s="31" t="n">
        <x:v>10.946862016</x:v>
      </x:c>
      <x:c r="N66" s="24" t="str">
        <x:v>otolithes ruber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Otolithes ruber</x:v>
      </x:c>
      <x:c r="T66" s="32" t="n">
        <x:f>IF(O66="","",(1/'Metadata'!$B$5)^(O66-1))</x:f>
        <x:v>398.1071705534973</x:v>
      </x:c>
      <x:c r="U66" s="31" t="n">
        <x:f>IF(T66="","",I66*T66)</x:f>
        <x:v>4358.024263629314</x:v>
      </x:c>
    </x:row>
    <x:row r="67" ht="18" customHeight="1">
      <x:c r="A67" s="24" t="str">
        <x:v>EEZ_690</x:v>
      </x:c>
      <x:c r="B67" s="24" t="str">
        <x:v>Seychelles</x:v>
      </x:c>
      <x:c r="C67" s="24" t="str">
        <x:v>EEZ</x:v>
      </x:c>
      <x:c r="D67" s="30" t="n">
        <x:v>2019</x:v>
      </x:c>
      <x:c r="E67" s="24" t="str">
        <x:v>Isurus</x:v>
      </x:c>
      <x:c r="F67" s="24" t="str">
        <x:v>Mako sharks</x:v>
      </x:c>
      <x:c r="G67" s="24" t="str">
        <x:v>Large sharks (&gt;=90 cm)</x:v>
      </x:c>
      <x:c r="H67" s="24" t="str">
        <x:v>Sharks &amp; rays</x:v>
      </x:c>
      <x:c r="I67" s="31" t="n">
        <x:v>10.521428129499999</x:v>
      </x:c>
      <x:c r="J67" s="31" t="n">
        <x:v>10.521428129499999</x:v>
      </x:c>
      <x:c r="K67" s="31" t="n">
        <x:v>0</x:v>
      </x:c>
      <x:c r="L67" s="31" t="n">
        <x:v>10.521428129499999</x:v>
      </x:c>
      <x:c r="M67" s="31" t="n">
        <x:v>0</x:v>
      </x:c>
      <x:c r="N67" s="24" t="str">
        <x:v>isurus</x:v>
      </x:c>
      <x:c r="O67" s="32" t="n">
        <x:v>4.5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Isurus</x:v>
      </x:c>
      <x:c r="T67" s="32" t="n">
        <x:f>IF(O67="","",(1/'Metadata'!$B$5)^(O67-1))</x:f>
        <x:v>3162.2776601683795</x:v>
      </x:c>
      <x:c r="U67" s="31" t="n">
        <x:f>IF(T67="","",I67*T67)</x:f>
        <x:v>33271.67712698502</x:v>
      </x:c>
    </x:row>
    <x:row r="68" ht="18" customHeight="1">
      <x:c r="A68" s="24" t="str">
        <x:v>EEZ_690</x:v>
      </x:c>
      <x:c r="B68" s="24" t="str">
        <x:v>Seychelles</x:v>
      </x:c>
      <x:c r="C68" s="24" t="str">
        <x:v>EEZ</x:v>
      </x:c>
      <x:c r="D68" s="30" t="n">
        <x:v>2019</x:v>
      </x:c>
      <x:c r="E68" s="24" t="str">
        <x:v>Istiompax indica</x:v>
      </x:c>
      <x:c r="F68" s="24" t="str">
        <x:v>Black marlin</x:v>
      </x:c>
      <x:c r="G68" s="24" t="str">
        <x:v>Large pelagics (&gt;=90 cm)</x:v>
      </x:c>
      <x:c r="H68" s="24" t="str">
        <x:v>Tuna &amp; billfishes</x:v>
      </x:c>
      <x:c r="I68" s="31" t="n">
        <x:v>9.8074053227</x:v>
      </x:c>
      <x:c r="J68" s="31" t="n">
        <x:v>9.8074053227</x:v>
      </x:c>
      <x:c r="K68" s="31" t="n">
        <x:v>0</x:v>
      </x:c>
      <x:c r="L68" s="31" t="n">
        <x:v>9.8074053227</x:v>
      </x:c>
      <x:c r="M68" s="31" t="n">
        <x:v>0</x:v>
      </x:c>
      <x:c r="N68" s="24" t="str">
        <x:v>istiompax indica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Istiompax indica</x:v>
      </x:c>
      <x:c r="T68" s="32" t="n">
        <x:f>IF(O68="","",(1/'Metadata'!$B$5)^(O68-1))</x:f>
        <x:v>3162.2776601683795</x:v>
      </x:c>
      <x:c r="U68" s="31" t="n">
        <x:f>IF(T68="","",I68*T68)</x:f>
        <x:v>31013.738756190665</x:v>
      </x:c>
    </x:row>
    <x:row r="69" ht="18" customHeight="1">
      <x:c r="A69" s="24" t="str">
        <x:v>EEZ_690</x:v>
      </x:c>
      <x:c r="B69" s="24" t="str">
        <x:v>Seychelles</x:v>
      </x:c>
      <x:c r="C69" s="24" t="str">
        <x:v>EEZ</x:v>
      </x:c>
      <x:c r="D69" s="30" t="n">
        <x:v>2019</x:v>
      </x:c>
      <x:c r="E69" s="24" t="str">
        <x:v>Sphyrna</x:v>
      </x:c>
      <x:c r="F69" s="24" t="str">
        <x:v>Hammerhead sharks</x:v>
      </x:c>
      <x:c r="G69" s="24" t="str">
        <x:v>Large sharks (&gt;=90 cm)</x:v>
      </x:c>
      <x:c r="H69" s="24" t="str">
        <x:v>Sharks &amp; rays</x:v>
      </x:c>
      <x:c r="I69" s="31" t="n">
        <x:v>9.786745614</x:v>
      </x:c>
      <x:c r="J69" s="31" t="n">
        <x:v>9.786745614</x:v>
      </x:c>
      <x:c r="K69" s="31" t="n">
        <x:v>0</x:v>
      </x:c>
      <x:c r="L69" s="31" t="n">
        <x:v>6.6968604140000005</x:v>
      </x:c>
      <x:c r="M69" s="31" t="n">
        <x:v>3.0898852</x:v>
      </x:c>
      <x:c r="N69" s="24" t="str">
        <x:v>sphyrna</x:v>
      </x:c>
      <x:c r="O69" s="32" t="n">
        <x:v>4.2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Sphyrna</x:v>
      </x:c>
      <x:c r="T69" s="32" t="n">
        <x:f>IF(O69="","",(1/'Metadata'!$B$5)^(O69-1))</x:f>
        <x:v>1584.893192461114</x:v>
      </x:c>
      <x:c r="U69" s="31" t="n">
        <x:f>IF(T69="","",I69*T69)</x:f>
        <x:v>15510.946499977266</x:v>
      </x:c>
    </x:row>
    <x:row r="70" ht="18" customHeight="1">
      <x:c r="A70" s="24" t="str">
        <x:v>EEZ_690</x:v>
      </x:c>
      <x:c r="B70" s="24" t="str">
        <x:v>Seychelles</x:v>
      </x:c>
      <x:c r="C70" s="24" t="str">
        <x:v>EEZ</x:v>
      </x:c>
      <x:c r="D70" s="30" t="n">
        <x:v>2019</x:v>
      </x:c>
      <x:c r="E70" s="24" t="str">
        <x:v>Carcharhinus amblyrhynchos</x:v>
      </x:c>
      <x:c r="F70" s="24" t="str">
        <x:v>Blacktail reef shark</x:v>
      </x:c>
      <x:c r="G70" s="24" t="str">
        <x:v>Large sharks (&gt;=90 cm)</x:v>
      </x:c>
      <x:c r="H70" s="24" t="str">
        <x:v>Sharks &amp; rays</x:v>
      </x:c>
      <x:c r="I70" s="31" t="n">
        <x:v>9.7567183209</x:v>
      </x:c>
      <x:c r="J70" s="31" t="n">
        <x:v>9.7567183209</x:v>
      </x:c>
      <x:c r="K70" s="31" t="n">
        <x:v>0</x:v>
      </x:c>
      <x:c r="L70" s="31" t="n">
        <x:v>6.666833120900001</x:v>
      </x:c>
      <x:c r="M70" s="31" t="n">
        <x:v>3.0898852</x:v>
      </x:c>
      <x:c r="N70" s="24" t="str">
        <x:v>carcharhinus amblyrhynchos</x:v>
      </x:c>
      <x:c r="O70" s="32" t="n">
        <x:v>4.11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amblyrhynchos</x:v>
      </x:c>
      <x:c r="T70" s="32" t="n">
        <x:f>IF(O70="","",(1/'Metadata'!$B$5)^(O70-1))</x:f>
        <x:v>1288.249551693135</x:v>
      </x:c>
      <x:c r="U70" s="31" t="n">
        <x:f>IF(T70="","",I70*T70)</x:f>
        <x:v>12569.08800289562</x:v>
      </x:c>
    </x:row>
    <x:row r="71" ht="18" customHeight="1">
      <x:c r="A71" s="24" t="str">
        <x:v>EEZ_690</x:v>
      </x:c>
      <x:c r="B71" s="24" t="str">
        <x:v>Seychelles</x:v>
      </x:c>
      <x:c r="C71" s="24" t="str">
        <x:v>EEZ</x:v>
      </x:c>
      <x:c r="D71" s="30" t="n">
        <x:v>2019</x:v>
      </x:c>
      <x:c r="E71" s="24" t="str">
        <x:v>Carcharhinus brevipinna</x:v>
      </x:c>
      <x:c r="F71" s="24" t="str">
        <x:v>Spinner shark</x:v>
      </x:c>
      <x:c r="G71" s="24" t="str">
        <x:v>Large sharks (&gt;=90 cm)</x:v>
      </x:c>
      <x:c r="H71" s="24" t="str">
        <x:v>Sharks &amp; rays</x:v>
      </x:c>
      <x:c r="I71" s="31" t="n">
        <x:v>9.756551867</x:v>
      </x:c>
      <x:c r="J71" s="31" t="n">
        <x:v>9.756551867</x:v>
      </x:c>
      <x:c r="K71" s="31" t="n">
        <x:v>0</x:v>
      </x:c>
      <x:c r="L71" s="31" t="n">
        <x:v>6.666666667</x:v>
      </x:c>
      <x:c r="M71" s="31" t="n">
        <x:v>3.0898852</x:v>
      </x:c>
      <x:c r="N71" s="24" t="str">
        <x:v>carcharhinus brevipinna</x:v>
      </x:c>
      <x:c r="O71" s="32" t="n">
        <x:v>4.2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Carcharhinus brevipinna</x:v>
      </x:c>
      <x:c r="T71" s="32" t="n">
        <x:f>IF(O71="","",(1/'Metadata'!$B$5)^(O71-1))</x:f>
        <x:v>1584.893192461114</x:v>
      </x:c>
      <x:c r="U71" s="31" t="n">
        <x:f>IF(T71="","",I71*T71)</x:f>
        <x:v>15463.092635902074</x:v>
      </x:c>
    </x:row>
    <x:row r="72" ht="18" customHeight="1">
      <x:c r="A72" s="24" t="str">
        <x:v>EEZ_690</x:v>
      </x:c>
      <x:c r="B72" s="24" t="str">
        <x:v>Seychelles</x:v>
      </x:c>
      <x:c r="C72" s="24" t="str">
        <x:v>EEZ</x:v>
      </x:c>
      <x:c r="D72" s="30" t="n">
        <x:v>2019</x:v>
      </x:c>
      <x:c r="E72" s="24" t="str">
        <x:v>Sphyraenidae</x:v>
      </x:c>
      <x:c r="F72" s="24" t="str">
        <x:v>Barracudas</x:v>
      </x:c>
      <x:c r="G72" s="24" t="str">
        <x:v>Medium reef assoc. fish (30 - 89 cm)</x:v>
      </x:c>
      <x:c r="H72" s="24" t="str">
        <x:v>Perch-likes</x:v>
      </x:c>
      <x:c r="I72" s="31" t="n">
        <x:v>9.111540747</x:v>
      </x:c>
      <x:c r="J72" s="31" t="n">
        <x:v>9.111540747</x:v>
      </x:c>
      <x:c r="K72" s="31" t="n">
        <x:v>0</x:v>
      </x:c>
      <x:c r="L72" s="31" t="n">
        <x:v>8.249999998</x:v>
      </x:c>
      <x:c r="M72" s="31" t="n">
        <x:v>0.861540749</x:v>
      </x:c>
      <x:c r="N72" s="24" t="str">
        <x:v>sphyraenidae</x:v>
      </x:c>
      <x:c r="O72" s="32" t="n">
        <x:v>4.4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Sphyraenidae</x:v>
      </x:c>
      <x:c r="T72" s="32" t="n">
        <x:f>IF(O72="","",(1/'Metadata'!$B$5)^(O72-1))</x:f>
        <x:v>2511.886431509582</x:v>
      </x:c>
      <x:c r="U72" s="31" t="n">
        <x:f>IF(T72="","",I72*T72)</x:f>
        <x:v>22887.15557253598</x:v>
      </x:c>
    </x:row>
    <x:row r="73" ht="18" customHeight="1">
      <x:c r="A73" s="24" t="str">
        <x:v>EEZ_690</x:v>
      </x:c>
      <x:c r="B73" s="24" t="str">
        <x:v>Seychelles</x:v>
      </x:c>
      <x:c r="C73" s="24" t="str">
        <x:v>EEZ</x:v>
      </x:c>
      <x:c r="D73" s="30" t="n">
        <x:v>2019</x:v>
      </x:c>
      <x:c r="E73" s="24" t="str">
        <x:v>Variola louti</x:v>
      </x:c>
      <x:c r="F73" s="24" t="str">
        <x:v>Yellow-edged lyretail</x:v>
      </x:c>
      <x:c r="G73" s="24" t="str">
        <x:v>Medium reef assoc. fish (30 - 89 cm)</x:v>
      </x:c>
      <x:c r="H73" s="24" t="str">
        <x:v>Perch-likes</x:v>
      </x:c>
      <x:c r="I73" s="31" t="n">
        <x:v>8.760957773</x:v>
      </x:c>
      <x:c r="J73" s="31" t="n">
        <x:v>8.760957773</x:v>
      </x:c>
      <x:c r="K73" s="31" t="n">
        <x:v>0</x:v>
      </x:c>
      <x:c r="L73" s="31" t="n">
        <x:v>8.720148946</x:v>
      </x:c>
      <x:c r="M73" s="31" t="n">
        <x:v>0.040808827</x:v>
      </x:c>
      <x:c r="N73" s="24" t="str">
        <x:v>variola louti</x:v>
      </x:c>
      <x:c r="O73" s="32" t="n">
        <x:v>4.33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Variola louti</x:v>
      </x:c>
      <x:c r="T73" s="32" t="n">
        <x:f>IF(O73="","",(1/'Metadata'!$B$5)^(O73-1))</x:f>
        <x:v>2137.9620895022326</x:v>
      </x:c>
      <x:c r="U73" s="31" t="n">
        <x:f>IF(T73="","",I73*T73)</x:f>
        <x:v>18730.595586403906</x:v>
      </x:c>
    </x:row>
    <x:row r="74" ht="18" customHeight="1">
      <x:c r="A74" s="24" t="str">
        <x:v>EEZ_690</x:v>
      </x:c>
      <x:c r="B74" s="24" t="str">
        <x:v>Seychelles</x:v>
      </x:c>
      <x:c r="C74" s="24" t="str">
        <x:v>EEZ</x:v>
      </x:c>
      <x:c r="D74" s="30" t="n">
        <x:v>2019</x:v>
      </x:c>
      <x:c r="E74" s="24" t="str">
        <x:v>Scaridae</x:v>
      </x:c>
      <x:c r="F74" s="24" t="str">
        <x:v>Parrotfishes</x:v>
      </x:c>
      <x:c r="G74" s="24" t="str">
        <x:v>Medium reef assoc. fish (30 - 89 cm)</x:v>
      </x:c>
      <x:c r="H74" s="24" t="str">
        <x:v>Perch-likes</x:v>
      </x:c>
      <x:c r="I74" s="31" t="n">
        <x:v>8.284172932</x:v>
      </x:c>
      <x:c r="J74" s="31" t="n">
        <x:v>8.284172932</x:v>
      </x:c>
      <x:c r="K74" s="31" t="n">
        <x:v>0</x:v>
      </x:c>
      <x:c r="L74" s="31" t="n">
        <x:v>0</x:v>
      </x:c>
      <x:c r="M74" s="31" t="n">
        <x:v>8.284172932</x:v>
      </x:c>
      <x:c r="N74" s="24" t="str">
        <x:v>scaridae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Scaridae</x:v>
      </x:c>
      <x:c r="T74" s="32" t="n">
        <x:f>IF(O74="","",(1/'Metadata'!$B$5)^(O74-1))</x:f>
        <x:v>10</x:v>
      </x:c>
      <x:c r="U74" s="31" t="n">
        <x:f>IF(T74="","",I74*T74)</x:f>
        <x:v>82.84172932000001</x:v>
      </x:c>
    </x:row>
    <x:row r="75" ht="18" customHeight="1">
      <x:c r="A75" s="24" t="str">
        <x:v>EEZ_690</x:v>
      </x:c>
      <x:c r="B75" s="24" t="str">
        <x:v>Seychelles</x:v>
      </x:c>
      <x:c r="C75" s="24" t="str">
        <x:v>EEZ</x:v>
      </x:c>
      <x:c r="D75" s="30" t="n">
        <x:v>2019</x:v>
      </x:c>
      <x:c r="E75" s="24" t="str">
        <x:v>Sphyraena</x:v>
      </x:c>
      <x:c r="F75" s="24" t="str">
        <x:v>Barracudas, sennets</x:v>
      </x:c>
      <x:c r="G75" s="24" t="str">
        <x:v>Large pelagics (&gt;=90 cm)</x:v>
      </x:c>
      <x:c r="H75" s="24" t="str">
        <x:v>Perch-likes</x:v>
      </x:c>
      <x:c r="I75" s="31" t="n">
        <x:v>8.284172932</x:v>
      </x:c>
      <x:c r="J75" s="31" t="n">
        <x:v>8.284172932</x:v>
      </x:c>
      <x:c r="K75" s="31" t="n">
        <x:v>0</x:v>
      </x:c>
      <x:c r="L75" s="31" t="n">
        <x:v>0</x:v>
      </x:c>
      <x:c r="M75" s="31" t="n">
        <x:v>8.284172932</x:v>
      </x:c>
      <x:c r="N75" s="24" t="str">
        <x:v>sphyraena</x:v>
      </x:c>
      <x:c r="O75" s="32" t="n">
        <x:v>4.4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Sphyraena</x:v>
      </x:c>
      <x:c r="T75" s="32" t="n">
        <x:f>IF(O75="","",(1/'Metadata'!$B$5)^(O75-1))</x:f>
        <x:v>2511.886431509582</x:v>
      </x:c>
      <x:c r="U75" s="31" t="n">
        <x:f>IF(T75="","",I75*T75)</x:f>
        <x:v>20808.901584169755</x:v>
      </x:c>
    </x:row>
    <x:row r="76" ht="18" customHeight="1">
      <x:c r="A76" s="24" t="str">
        <x:v>EEZ_690</x:v>
      </x:c>
      <x:c r="B76" s="24" t="str">
        <x:v>Seychelles</x:v>
      </x:c>
      <x:c r="C76" s="24" t="str">
        <x:v>EEZ</x:v>
      </x:c>
      <x:c r="D76" s="30" t="n">
        <x:v>2019</x:v>
      </x:c>
      <x:c r="E76" s="24" t="str">
        <x:v>Chanos chanos</x:v>
      </x:c>
      <x:c r="F76" s="24" t="str">
        <x:v>Milkfish</x:v>
      </x:c>
      <x:c r="G76" s="24" t="str">
        <x:v>Large benthopelagics (&gt;=90 cm)</x:v>
      </x:c>
      <x:c r="H76" s="24" t="str">
        <x:v>Other fishes &amp; inverts</x:v>
      </x:c>
      <x:c r="I76" s="31" t="n">
        <x:v>8.284172932</x:v>
      </x:c>
      <x:c r="J76" s="31" t="n">
        <x:v>8.284172932</x:v>
      </x:c>
      <x:c r="K76" s="31" t="n">
        <x:v>0</x:v>
      </x:c>
      <x:c r="L76" s="31" t="n">
        <x:v>0</x:v>
      </x:c>
      <x:c r="M76" s="31" t="n">
        <x:v>8.284172932</x:v>
      </x:c>
      <x:c r="N76" s="24" t="str">
        <x:v>chanos chanos</x:v>
      </x:c>
      <x:c r="O76" s="32" t="n">
        <x:v>2.03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Chanos chanos</x:v>
      </x:c>
      <x:c r="T76" s="32" t="n">
        <x:f>IF(O76="","",(1/'Metadata'!$B$5)^(O76-1))</x:f>
        <x:v>10.71519305237606</x:v>
      </x:c>
      <x:c r="U76" s="31" t="n">
        <x:f>IF(T76="","",I76*T76)</x:f>
        <x:v>88.76651224564822</x:v>
      </x:c>
    </x:row>
    <x:row r="77" ht="18" customHeight="1">
      <x:c r="A77" s="24" t="str">
        <x:v>EEZ_690</x:v>
      </x:c>
      <x:c r="B77" s="24" t="str">
        <x:v>Seychelles</x:v>
      </x:c>
      <x:c r="C77" s="24" t="str">
        <x:v>EEZ</x:v>
      </x:c>
      <x:c r="D77" s="30" t="n">
        <x:v>2019</x:v>
      </x:c>
      <x:c r="E77" s="24" t="str">
        <x:v>Caranx ignobilis</x:v>
      </x:c>
      <x:c r="F77" s="24" t="str">
        <x:v>Giant trevally</x:v>
      </x:c>
      <x:c r="G77" s="24" t="str">
        <x:v>Large reef assoc. fish (&gt;=90 cm)</x:v>
      </x:c>
      <x:c r="H77" s="24" t="str">
        <x:v>Perch-likes</x:v>
      </x:c>
      <x:c r="I77" s="31" t="n">
        <x:v>8.284172932</x:v>
      </x:c>
      <x:c r="J77" s="31" t="n">
        <x:v>8.284172932</x:v>
      </x:c>
      <x:c r="K77" s="31" t="n">
        <x:v>0</x:v>
      </x:c>
      <x:c r="L77" s="31" t="n">
        <x:v>0</x:v>
      </x:c>
      <x:c r="M77" s="31" t="n">
        <x:v>8.284172932</x:v>
      </x:c>
      <x:c r="N77" s="24" t="str">
        <x:v>caranx ignobilis</x:v>
      </x:c>
      <x:c r="O77" s="32" t="n">
        <x:v>4.22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Caranx ignobilis</x:v>
      </x:c>
      <x:c r="T77" s="32" t="n">
        <x:f>IF(O77="","",(1/'Metadata'!$B$5)^(O77-1))</x:f>
        <x:v>1659.5869074375596</x:v>
      </x:c>
      <x:c r="U77" s="31" t="n">
        <x:f>IF(T77="","",I77*T77)</x:f>
        <x:v>13748.304936895822</x:v>
      </x:c>
    </x:row>
    <x:row r="78" ht="18" customHeight="1">
      <x:c r="A78" s="24" t="str">
        <x:v>EEZ_690</x:v>
      </x:c>
      <x:c r="B78" s="24" t="str">
        <x:v>Seychelles</x:v>
      </x:c>
      <x:c r="C78" s="24" t="str">
        <x:v>EEZ</x:v>
      </x:c>
      <x:c r="D78" s="30" t="n">
        <x:v>2019</x:v>
      </x:c>
      <x:c r="E78" s="24" t="str">
        <x:v>Octopoda</x:v>
      </x:c>
      <x:c r="F78" s="24" t="str">
        <x:v>Octopuses, argonauts</x:v>
      </x:c>
      <x:c r="G78" s="24" t="str">
        <x:v>Cephalopods</x:v>
      </x:c>
      <x:c r="H78" s="24" t="str">
        <x:v>Other fishes &amp; inverts</x:v>
      </x:c>
      <x:c r="I78" s="31" t="n">
        <x:v>7.848355081</x:v>
      </x:c>
      <x:c r="J78" s="31" t="n">
        <x:v>7.848355081</x:v>
      </x:c>
      <x:c r="K78" s="31" t="n">
        <x:v>0</x:v>
      </x:c>
      <x:c r="L78" s="31" t="n">
        <x:v>2</x:v>
      </x:c>
      <x:c r="M78" s="31" t="n">
        <x:v>5.848355081</x:v>
      </x:c>
      <x:c r="N78" s="24" t="str">
        <x:v>octopoda</x:v>
      </x:c>
      <x:c r="O78" s="32" t="n">
        <x:v>3.58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Octopoda</x:v>
      </x:c>
      <x:c r="T78" s="32" t="n">
        <x:f>IF(O78="","",(1/'Metadata'!$B$5)^(O78-1))</x:f>
        <x:v>380.1893963205613</x:v>
      </x:c>
      <x:c r="U78" s="31" t="n">
        <x:f>IF(T78="","",I78*T78)</x:f>
        <x:v>2983.8613803548</x:v>
      </x:c>
    </x:row>
    <x:row r="79" ht="18" customHeight="1">
      <x:c r="A79" s="24" t="str">
        <x:v>EEZ_690</x:v>
      </x:c>
      <x:c r="B79" s="24" t="str">
        <x:v>Seychelles</x:v>
      </x:c>
      <x:c r="C79" s="24" t="str">
        <x:v>EEZ</x:v>
      </x:c>
      <x:c r="D79" s="30" t="n">
        <x:v>2019</x:v>
      </x:c>
      <x:c r="E79" s="24" t="str">
        <x:v>Centrophorus granulosus</x:v>
      </x:c>
      <x:c r="F79" s="24" t="str">
        <x:v>Gulper shark</x:v>
      </x:c>
      <x:c r="G79" s="24" t="str">
        <x:v>Large sharks (&gt;=90 cm)</x:v>
      </x:c>
      <x:c r="H79" s="24" t="str">
        <x:v>Sharks &amp; rays</x:v>
      </x:c>
      <x:c r="I79" s="31" t="n">
        <x:v>6.3040969689</x:v>
      </x:c>
      <x:c r="J79" s="31" t="n">
        <x:v>6.3040969689</x:v>
      </x:c>
      <x:c r="K79" s="31" t="n">
        <x:v>0</x:v>
      </x:c>
      <x:c r="L79" s="31" t="n">
        <x:v>6.3040969689</x:v>
      </x:c>
      <x:c r="M79" s="31" t="n">
        <x:v>0</x:v>
      </x:c>
      <x:c r="N79" s="24" t="str">
        <x:v>centrophorus granulosus</x:v>
      </x:c>
      <x:c r="O79" s="32" t="n">
        <x:v>4.11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Centrophorus granulosus</x:v>
      </x:c>
      <x:c r="T79" s="32" t="n">
        <x:f>IF(O79="","",(1/'Metadata'!$B$5)^(O79-1))</x:f>
        <x:v>1288.249551693135</x:v>
      </x:c>
      <x:c r="U79" s="31" t="n">
        <x:f>IF(T79="","",I79*T79)</x:f>
        <x:v>8121.250094015475</x:v>
      </x:c>
    </x:row>
    <x:row r="80" ht="18" customHeight="1">
      <x:c r="A80" s="24" t="str">
        <x:v>EEZ_690</x:v>
      </x:c>
      <x:c r="B80" s="24" t="str">
        <x:v>Seychelles</x:v>
      </x:c>
      <x:c r="C80" s="24" t="str">
        <x:v>EEZ</x:v>
      </x:c>
      <x:c r="D80" s="30" t="n">
        <x:v>2019</x:v>
      </x:c>
      <x:c r="E80" s="24" t="str">
        <x:v>Pomacanthidae</x:v>
      </x:c>
      <x:c r="F80" s="24" t="str">
        <x:v>Angelfishes</x:v>
      </x:c>
      <x:c r="G80" s="24" t="str">
        <x:v>Medium reef assoc. fish (30 - 89 cm)</x:v>
      </x:c>
      <x:c r="H80" s="24" t="str">
        <x:v>Perch-likes</x:v>
      </x:c>
      <x:c r="I80" s="31" t="n">
        <x:v>5.701154150000001</x:v>
      </x:c>
      <x:c r="J80" s="31" t="n">
        <x:v>5.701154150000001</x:v>
      </x:c>
      <x:c r="K80" s="31" t="n">
        <x:v>0</x:v>
      </x:c>
      <x:c r="L80" s="31" t="n">
        <x:v>0</x:v>
      </x:c>
      <x:c r="M80" s="31" t="n">
        <x:v>5.701154150000001</x:v>
      </x:c>
      <x:c r="N80" s="24" t="str">
        <x:v>pomacanthidae</x:v>
      </x:c>
      <x:c r="O80" s="32" t="n">
        <x:v>2.86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Pomacanthidae</x:v>
      </x:c>
      <x:c r="T80" s="32" t="n">
        <x:f>IF(O80="","",(1/'Metadata'!$B$5)^(O80-1))</x:f>
        <x:v>72.44359600749898</x:v>
      </x:c>
      <x:c r="U80" s="31" t="n">
        <x:f>IF(T80="","",I80*T80)</x:f>
        <x:v>413.0121080190763</x:v>
      </x:c>
    </x:row>
    <x:row r="81" ht="18" customHeight="1">
      <x:c r="A81" s="24" t="str">
        <x:v>EEZ_690</x:v>
      </x:c>
      <x:c r="B81" s="24" t="str">
        <x:v>Seychelles</x:v>
      </x:c>
      <x:c r="C81" s="24" t="str">
        <x:v>EEZ</x:v>
      </x:c>
      <x:c r="D81" s="30" t="n">
        <x:v>2019</x:v>
      </x:c>
      <x:c r="E81" s="24" t="str">
        <x:v>Labridae</x:v>
      </x:c>
      <x:c r="F81" s="24" t="str">
        <x:v>Wrasses, gropers, tuskfishes</x:v>
      </x:c>
      <x:c r="G81" s="24" t="str">
        <x:v>Medium reef assoc. fish (30 - 89 cm)</x:v>
      </x:c>
      <x:c r="H81" s="24" t="str">
        <x:v>Perch-likes</x:v>
      </x:c>
      <x:c r="I81" s="31" t="n">
        <x:v>5.701154150000001</x:v>
      </x:c>
      <x:c r="J81" s="31" t="n">
        <x:v>5.701154150000001</x:v>
      </x:c>
      <x:c r="K81" s="31" t="n">
        <x:v>0</x:v>
      </x:c>
      <x:c r="L81" s="31" t="n">
        <x:v>0</x:v>
      </x:c>
      <x:c r="M81" s="31" t="n">
        <x:v>5.701154150000001</x:v>
      </x:c>
      <x:c r="N81" s="24" t="str">
        <x:v>labridae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Labridae</x:v>
      </x:c>
      <x:c r="T81" s="32" t="n">
        <x:f>IF(O81="","",(1/'Metadata'!$B$5)^(O81-1))</x:f>
        <x:v>288.40315031266056</x:v>
      </x:c>
      <x:c r="U81" s="31" t="n">
        <x:f>IF(T81="","",I81*T81)</x:f>
        <x:v>1644.2308172780988</x:v>
      </x:c>
    </x:row>
    <x:row r="82" ht="18" customHeight="1">
      <x:c r="A82" s="24" t="str">
        <x:v>EEZ_690</x:v>
      </x:c>
      <x:c r="B82" s="24" t="str">
        <x:v>Seychelles</x:v>
      </x:c>
      <x:c r="C82" s="24" t="str">
        <x:v>EEZ</x:v>
      </x:c>
      <x:c r="D82" s="30" t="n">
        <x:v>2019</x:v>
      </x:c>
      <x:c r="E82" s="24" t="str">
        <x:v>Acanthuridae</x:v>
      </x:c>
      <x:c r="F82" s="24" t="str">
        <x:v>Surgeons, tangs, unicornfishes</x:v>
      </x:c>
      <x:c r="G82" s="24" t="str">
        <x:v>Small reef assoc. fish (&lt;30 cm)</x:v>
      </x:c>
      <x:c r="H82" s="24" t="str">
        <x:v>Perch-likes</x:v>
      </x:c>
      <x:c r="I82" s="31" t="n">
        <x:v>5.701154150000001</x:v>
      </x:c>
      <x:c r="J82" s="31" t="n">
        <x:v>5.701154150000001</x:v>
      </x:c>
      <x:c r="K82" s="31" t="n">
        <x:v>0</x:v>
      </x:c>
      <x:c r="L82" s="31" t="n">
        <x:v>0</x:v>
      </x:c>
      <x:c r="M82" s="31" t="n">
        <x:v>5.701154150000001</x:v>
      </x:c>
      <x:c r="N82" s="24" t="str">
        <x:v>acanthuridae</x:v>
      </x:c>
      <x:c r="O82" s="32" t="n">
        <x:v>2.28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Acanthuridae</x:v>
      </x:c>
      <x:c r="T82" s="32" t="n">
        <x:f>IF(O82="","",(1/'Metadata'!$B$5)^(O82-1))</x:f>
        <x:v>19.054607179632463</x:v>
      </x:c>
      <x:c r="U82" s="31" t="n">
        <x:f>IF(T82="","",I82*T82)</x:f>
        <x:v>108.63325279878143</x:v>
      </x:c>
    </x:row>
    <x:row r="83" ht="18" customHeight="1">
      <x:c r="A83" s="24" t="str">
        <x:v>EEZ_690</x:v>
      </x:c>
      <x:c r="B83" s="24" t="str">
        <x:v>Seychelles</x:v>
      </x:c>
      <x:c r="C83" s="24" t="str">
        <x:v>EEZ</x:v>
      </x:c>
      <x:c r="D83" s="30" t="n">
        <x:v>2019</x:v>
      </x:c>
      <x:c r="E83" s="24" t="str">
        <x:v>Haemulidae</x:v>
      </x:c>
      <x:c r="F83" s="24" t="str">
        <x:v>Grunts, sweetlips, bonnetmouths</x:v>
      </x:c>
      <x:c r="G83" s="24" t="str">
        <x:v>Medium demersals (30 - 89 cm)</x:v>
      </x:c>
      <x:c r="H83" s="24" t="str">
        <x:v>Perch-likes</x:v>
      </x:c>
      <x:c r="I83" s="31" t="n">
        <x:v>5.701154150000001</x:v>
      </x:c>
      <x:c r="J83" s="31" t="n">
        <x:v>5.701154150000001</x:v>
      </x:c>
      <x:c r="K83" s="31" t="n">
        <x:v>0</x:v>
      </x:c>
      <x:c r="L83" s="31" t="n">
        <x:v>0</x:v>
      </x:c>
      <x:c r="M83" s="31" t="n">
        <x:v>5.701154150000001</x:v>
      </x:c>
      <x:c r="N83" s="24" t="str">
        <x:v>haemulidae</x:v>
      </x:c>
      <x:c r="O83" s="32" t="n">
        <x:v>3.36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Haemulidae</x:v>
      </x:c>
      <x:c r="T83" s="32" t="n">
        <x:f>IF(O83="","",(1/'Metadata'!$B$5)^(O83-1))</x:f>
        <x:v>229.08676527677724</x:v>
      </x:c>
      <x:c r="U83" s="31" t="n">
        <x:f>IF(T83="","",I83*T83)</x:f>
        <x:v>1306.0589625677746</x:v>
      </x:c>
    </x:row>
    <x:row r="84" ht="18" customHeight="1">
      <x:c r="A84" s="24" t="str">
        <x:v>EEZ_690</x:v>
      </x:c>
      <x:c r="B84" s="24" t="str">
        <x:v>Seychelles</x:v>
      </x:c>
      <x:c r="C84" s="24" t="str">
        <x:v>EEZ</x:v>
      </x:c>
      <x:c r="D84" s="30" t="n">
        <x:v>2019</x:v>
      </x:c>
      <x:c r="E84" s="24" t="str">
        <x:v>Muraenidae</x:v>
      </x:c>
      <x:c r="F84" s="24" t="str">
        <x:v>Moray eels</x:v>
      </x:c>
      <x:c r="G84" s="24" t="str">
        <x:v>Large reef assoc. fish (&gt;=90 cm)</x:v>
      </x:c>
      <x:c r="H84" s="24" t="str">
        <x:v>Other fishes &amp; inverts</x:v>
      </x:c>
      <x:c r="I84" s="31" t="n">
        <x:v>5.701154150000001</x:v>
      </x:c>
      <x:c r="J84" s="31" t="n">
        <x:v>5.701154150000001</x:v>
      </x:c>
      <x:c r="K84" s="31" t="n">
        <x:v>0</x:v>
      </x:c>
      <x:c r="L84" s="31" t="n">
        <x:v>0</x:v>
      </x:c>
      <x:c r="M84" s="31" t="n">
        <x:v>5.701154150000001</x:v>
      </x:c>
      <x:c r="N84" s="24" t="str">
        <x:v>muraenidae</x:v>
      </x:c>
      <x:c r="O84" s="32" t="n">
        <x:v>4.07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Muraenidae</x:v>
      </x:c>
      <x:c r="T84" s="32" t="n">
        <x:f>IF(O84="","",(1/'Metadata'!$B$5)^(O84-1))</x:f>
        <x:v>1174.8975549395302</x:v>
      </x:c>
      <x:c r="U84" s="31" t="n">
        <x:f>IF(T84="","",I84*T84)</x:f>
        <x:v>6698.272071168357</x:v>
      </x:c>
    </x:row>
    <x:row r="85" ht="18" customHeight="1">
      <x:c r="A85" s="24" t="str">
        <x:v>EEZ_690</x:v>
      </x:c>
      <x:c r="B85" s="24" t="str">
        <x:v>Seychelles</x:v>
      </x:c>
      <x:c r="C85" s="24" t="str">
        <x:v>EEZ</x:v>
      </x:c>
      <x:c r="D85" s="30" t="n">
        <x:v>2019</x:v>
      </x:c>
      <x:c r="E85" s="24" t="str">
        <x:v>Lutjanus gibbus</x:v>
      </x:c>
      <x:c r="F85" s="24" t="str">
        <x:v>Humpback red snapper</x:v>
      </x:c>
      <x:c r="G85" s="24" t="str">
        <x:v>Medium reef assoc. fish (30 - 89 cm)</x:v>
      </x:c>
      <x:c r="H85" s="24" t="str">
        <x:v>Perch-likes</x:v>
      </x:c>
      <x:c r="I85" s="31" t="n">
        <x:v>5.592882594</x:v>
      </x:c>
      <x:c r="J85" s="31" t="n">
        <x:v>5.592882594</x:v>
      </x:c>
      <x:c r="K85" s="31" t="n">
        <x:v>0</x:v>
      </x:c>
      <x:c r="L85" s="31" t="n">
        <x:v>3.790237955</x:v>
      </x:c>
      <x:c r="M85" s="31" t="n">
        <x:v>1.802644639</x:v>
      </x:c>
      <x:c r="N85" s="24" t="str">
        <x:v>lutjanus gibbus</x:v>
      </x:c>
      <x:c r="O85" s="32" t="n">
        <x:v>4.12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Lutjanus gibbus</x:v>
      </x:c>
      <x:c r="T85" s="32" t="n">
        <x:f>IF(O85="","",(1/'Metadata'!$B$5)^(O85-1))</x:f>
        <x:v>1318.2567385564075</x:v>
      </x:c>
      <x:c r="U85" s="31" t="n">
        <x:f>IF(T85="","",I85*T85)</x:f>
        <x:v>7372.85516749534</x:v>
      </x:c>
    </x:row>
    <x:row r="86" ht="18" customHeight="1">
      <x:c r="A86" s="24" t="str">
        <x:v>EEZ_690</x:v>
      </x:c>
      <x:c r="B86" s="24" t="str">
        <x:v>Seychelles</x:v>
      </x:c>
      <x:c r="C86" s="24" t="str">
        <x:v>EEZ</x:v>
      </x:c>
      <x:c r="D86" s="30" t="n">
        <x:v>2019</x:v>
      </x:c>
      <x:c r="E86" s="24" t="str">
        <x:v>Sphyraena barracuda</x:v>
      </x:c>
      <x:c r="F86" s="24" t="str">
        <x:v>Great barracuda</x:v>
      </x:c>
      <x:c r="G86" s="24" t="str">
        <x:v>Large pelagics (&gt;=90 cm)</x:v>
      </x:c>
      <x:c r="H86" s="24" t="str">
        <x:v>Perch-likes</x:v>
      </x:c>
      <x:c r="I86" s="31" t="n">
        <x:v>4.1537348784</x:v>
      </x:c>
      <x:c r="J86" s="31" t="n">
        <x:v>4.0322374083999994</x:v>
      </x:c>
      <x:c r="K86" s="31" t="n">
        <x:v>0.12149747</x:v>
      </x:c>
      <x:c r="L86" s="31" t="n">
        <x:v>4.0153853184</x:v>
      </x:c>
      <x:c r="M86" s="31" t="n">
        <x:v>0.13834955999999998</x:v>
      </x:c>
      <x:c r="N86" s="24" t="str">
        <x:v>sphyraena barracuda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Sphyraena barracuda</x:v>
      </x:c>
      <x:c r="T86" s="32" t="n">
        <x:f>IF(O86="","",(1/'Metadata'!$B$5)^(O86-1))</x:f>
        <x:v>3090.295432513592</x:v>
      </x:c>
      <x:c r="U86" s="31" t="n">
        <x:f>IF(T86="","",I86*T86)</x:f>
        <x:v>12836.26792259192</x:v>
      </x:c>
    </x:row>
    <x:row r="87" ht="18" customHeight="1">
      <x:c r="A87" s="24" t="str">
        <x:v>EEZ_690</x:v>
      </x:c>
      <x:c r="B87" s="24" t="str">
        <x:v>Seychelles</x:v>
      </x:c>
      <x:c r="C87" s="24" t="str">
        <x:v>EEZ</x:v>
      </x:c>
      <x:c r="D87" s="30" t="n">
        <x:v>2019</x:v>
      </x:c>
      <x:c r="E87" s="24" t="str">
        <x:v>Kajikia audax</x:v>
      </x:c>
      <x:c r="F87" s="24" t="str">
        <x:v>Striped marlin</x:v>
      </x:c>
      <x:c r="G87" s="24" t="str">
        <x:v>Large pelagics (&gt;=90 cm)</x:v>
      </x:c>
      <x:c r="H87" s="24" t="str">
        <x:v>Tuna &amp; billfishes</x:v>
      </x:c>
      <x:c r="I87" s="31" t="n">
        <x:v>3.8334109106</x:v>
      </x:c>
      <x:c r="J87" s="31" t="n">
        <x:v>3.8334109106</x:v>
      </x:c>
      <x:c r="K87" s="31" t="n">
        <x:v>0</x:v>
      </x:c>
      <x:c r="L87" s="31" t="n">
        <x:v>3.8334109106</x:v>
      </x:c>
      <x:c r="M87" s="31" t="n">
        <x:v>0</x:v>
      </x:c>
      <x:c r="N87" s="24" t="str">
        <x:v>kajikia audax</x:v>
      </x:c>
      <x:c r="O87" s="32" t="n">
        <x:v>4.58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Kajikia audax</x:v>
      </x:c>
      <x:c r="T87" s="32" t="n">
        <x:f>IF(O87="","",(1/'Metadata'!$B$5)^(O87-1))</x:f>
        <x:v>3801.8939632056126</x:v>
      </x:c>
      <x:c r="U87" s="31" t="n">
        <x:f>IF(T87="","",I87*T87)</x:f>
        <x:v>14574.22179949667</x:v>
      </x:c>
    </x:row>
    <x:row r="88" ht="18" customHeight="1">
      <x:c r="A88" s="24" t="str">
        <x:v>EEZ_690</x:v>
      </x:c>
      <x:c r="B88" s="24" t="str">
        <x:v>Seychelles</x:v>
      </x:c>
      <x:c r="C88" s="24" t="str">
        <x:v>EEZ</x:v>
      </x:c>
      <x:c r="D88" s="30" t="n">
        <x:v>2019</x:v>
      </x:c>
      <x:c r="E88" s="24" t="str">
        <x:v>Leiognathidae</x:v>
      </x:c>
      <x:c r="F88" s="24" t="str">
        <x:v>Slipmouths, ponyfishes</x:v>
      </x:c>
      <x:c r="G88" s="24" t="str">
        <x:v>Small benthopelagics (&lt;30 cm)</x:v>
      </x:c>
      <x:c r="H88" s="24" t="str">
        <x:v>Perch-likes</x:v>
      </x:c>
      <x:c r="I88" s="31" t="n">
        <x:v>3.7670509591999997</x:v>
      </x:c>
      <x:c r="J88" s="31" t="n">
        <x:v>0</x:v>
      </x:c>
      <x:c r="K88" s="31" t="n">
        <x:v>3.7670509591999997</x:v>
      </x:c>
      <x:c r="L88" s="31" t="n">
        <x:v>0</x:v>
      </x:c>
      <x:c r="M88" s="31" t="n">
        <x:v>3.7670509591999997</x:v>
      </x:c>
      <x:c r="N88" s="24" t="str">
        <x:v>leiognathidae</x:v>
      </x:c>
      <x:c r="O88" s="32" t="n">
        <x:v>3.24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Leiognathidae</x:v>
      </x:c>
      <x:c r="T88" s="32" t="n">
        <x:f>IF(O88="","",(1/'Metadata'!$B$5)^(O88-1))</x:f>
        <x:v>173.78008287493762</x:v>
      </x:c>
      <x:c r="U88" s="31" t="n">
        <x:f>IF(T88="","",I88*T88)</x:f>
        <x:v>654.6384278838892</x:v>
      </x:c>
    </x:row>
    <x:row r="89" ht="18" customHeight="1">
      <x:c r="A89" s="24" t="str">
        <x:v>EEZ_690</x:v>
      </x:c>
      <x:c r="B89" s="24" t="str">
        <x:v>Seychelles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3.678188489</x:v>
      </x:c>
      <x:c r="J89" s="31" t="n">
        <x:v>3.678188489</x:v>
      </x:c>
      <x:c r="K89" s="31" t="n">
        <x:v>0</x:v>
      </x:c>
      <x:c r="L89" s="31" t="n">
        <x:v>0</x:v>
      </x:c>
      <x:c r="M89" s="31" t="n">
        <x:v>3.678188489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6693.202751562654</x:v>
      </x:c>
    </x:row>
    <x:row r="90" ht="18" customHeight="1">
      <x:c r="A90" s="24" t="str">
        <x:v>EEZ_690</x:v>
      </x:c>
      <x:c r="B90" s="24" t="str">
        <x:v>Seychelles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3.2016977374</x:v>
      </x:c>
      <x:c r="J90" s="31" t="n">
        <x:v>3.2016977374</x:v>
      </x:c>
      <x:c r="K90" s="31" t="n">
        <x:v>0</x:v>
      </x:c>
      <x:c r="L90" s="31" t="n">
        <x:v>3.2016977374</x:v>
      </x:c>
      <x:c r="M90" s="31" t="n">
        <x:v>0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1842.3847453819722</x:v>
      </x:c>
    </x:row>
    <x:row r="91" ht="18" customHeight="1">
      <x:c r="A91" s="24" t="str">
        <x:v>EEZ_690</x:v>
      </x:c>
      <x:c r="B91" s="24" t="str">
        <x:v>Seychelles</x:v>
      </x:c>
      <x:c r="C91" s="24" t="str">
        <x:v>EEZ</x:v>
      </x:c>
      <x:c r="D91" s="30" t="n">
        <x:v>2019</x:v>
      </x:c>
      <x:c r="E91" s="24" t="str">
        <x:v>Scomberoides lysan</x:v>
      </x:c>
      <x:c r="F91" s="24" t="str">
        <x:v>Doublespotted queenfish</x:v>
      </x:c>
      <x:c r="G91" s="24" t="str">
        <x:v>Medium reef assoc. fish (30 - 89 cm)</x:v>
      </x:c>
      <x:c r="H91" s="24" t="str">
        <x:v>Perch-likes</x:v>
      </x:c>
      <x:c r="I91" s="31" t="n">
        <x:v>3.0312076808999997</x:v>
      </x:c>
      <x:c r="J91" s="31" t="n">
        <x:v>0</x:v>
      </x:c>
      <x:c r="K91" s="31" t="n">
        <x:v>3.0312076808999997</x:v>
      </x:c>
      <x:c r="L91" s="31" t="n">
        <x:v>0</x:v>
      </x:c>
      <x:c r="M91" s="31" t="n">
        <x:v>3.0312076808999997</x:v>
      </x:c>
      <x:c r="N91" s="24" t="str">
        <x:v>scomberoides lysan</x:v>
      </x:c>
      <x:c r="O91" s="32" t="n">
        <x:v>4.38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Scomberoides lysan</x:v>
      </x:c>
      <x:c r="T91" s="32" t="n">
        <x:f>IF(O91="","",(1/'Metadata'!$B$5)^(O91-1))</x:f>
        <x:v>2398.83291901949</x:v>
      </x:c>
      <x:c r="U91" s="31" t="n">
        <x:f>IF(T91="","",I91*T91)</x:f>
        <x:v>7271.360769327645</x:v>
      </x:c>
    </x:row>
    <x:row r="92" ht="18" customHeight="1">
      <x:c r="A92" s="24" t="str">
        <x:v>EEZ_690</x:v>
      </x:c>
      <x:c r="B92" s="24" t="str">
        <x:v>Seychelles</x:v>
      </x:c>
      <x:c r="C92" s="24" t="str">
        <x:v>EEZ</x:v>
      </x:c>
      <x:c r="D92" s="30" t="n">
        <x:v>2019</x:v>
      </x:c>
      <x:c r="E92" s="24" t="str">
        <x:v>Scomberomorus commerson</x:v>
      </x:c>
      <x:c r="F92" s="24" t="str">
        <x:v>Narrow-barred Spanish mackerel</x:v>
      </x:c>
      <x:c r="G92" s="24" t="str">
        <x:v>Large pelagics (&gt;=90 cm)</x:v>
      </x:c>
      <x:c r="H92" s="24" t="str">
        <x:v>Perch-likes</x:v>
      </x:c>
      <x:c r="I92" s="31" t="n">
        <x:v>2.7834437648</x:v>
      </x:c>
      <x:c r="J92" s="31" t="n">
        <x:v>2.7834437648</x:v>
      </x:c>
      <x:c r="K92" s="31" t="n">
        <x:v>0</x:v>
      </x:c>
      <x:c r="L92" s="31" t="n">
        <x:v>2.7834437648</x:v>
      </x:c>
      <x:c r="M92" s="31" t="n">
        <x:v>0</x:v>
      </x:c>
      <x:c r="N92" s="24" t="str">
        <x:v>scomberomorus commerson</x:v>
      </x:c>
      <x:c r="O92" s="32" t="n">
        <x:v>4.5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Scomberomorus commerson</x:v>
      </x:c>
      <x:c r="T92" s="32" t="n">
        <x:f>IF(O92="","",(1/'Metadata'!$B$5)^(O92-1))</x:f>
        <x:v>3162.2776601683795</x:v>
      </x:c>
      <x:c r="U92" s="31" t="n">
        <x:f>IF(T92="","",I92*T92)</x:f>
        <x:v>8802.02203576201</x:v>
      </x:c>
    </x:row>
    <x:row r="93" ht="18" customHeight="1">
      <x:c r="A93" s="24" t="str">
        <x:v>EEZ_690</x:v>
      </x:c>
      <x:c r="B93" s="24" t="str">
        <x:v>Seychelles</x:v>
      </x:c>
      <x:c r="C93" s="24" t="str">
        <x:v>EEZ</x:v>
      </x:c>
      <x:c r="D93" s="30" t="n">
        <x:v>2019</x:v>
      </x:c>
      <x:c r="E93" s="24" t="str">
        <x:v>Platycaranx chrysophrys</x:v>
      </x:c>
      <x:c r="F93" s="24" t="str">
        <x:v>Longnose trevally</x:v>
      </x:c>
      <x:c r="G93" s="24" t="str">
        <x:v>Small pelagics (&lt;30 cm)</x:v>
      </x:c>
      <x:c r="H93" s="24" t="str">
        <x:v>Perch-likes</x:v>
      </x:c>
      <x:c r="I93" s="31" t="n">
        <x:v>2.7622690216</x:v>
      </x:c>
      <x:c r="J93" s="31" t="n">
        <x:v>0</x:v>
      </x:c>
      <x:c r="K93" s="31" t="n">
        <x:v>2.7622690216</x:v>
      </x:c>
      <x:c r="L93" s="31" t="n">
        <x:v>0</x:v>
      </x:c>
      <x:c r="M93" s="31" t="n">
        <x:v>2.7622690216</x:v>
      </x:c>
      <x:c r="N93" s="24" t="str">
        <x:v>platycaranx chrysophrys</x:v>
      </x:c>
      <x:c r="O93" s="32" t="n">
        <x:v>4.3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Platycaranx chrysophrys</x:v>
      </x:c>
      <x:c r="T93" s="32" t="n">
        <x:f>IF(O93="","",(1/'Metadata'!$B$5)^(O93-1))</x:f>
        <x:v>1995.2623149688789</x:v>
      </x:c>
      <x:c r="U93" s="31" t="n">
        <x:f>IF(T93="","",I93*T93)</x:f>
        <x:v>5511.451282604436</x:v>
      </x:c>
    </x:row>
    <x:row r="94" ht="18" customHeight="1">
      <x:c r="A94" s="24" t="str">
        <x:v>EEZ_690</x:v>
      </x:c>
      <x:c r="B94" s="24" t="str">
        <x:v>Seychelles</x:v>
      </x:c>
      <x:c r="C94" s="24" t="str">
        <x:v>EEZ</x:v>
      </x:c>
      <x:c r="D94" s="30" t="n">
        <x:v>2019</x:v>
      </x:c>
      <x:c r="E94" s="24" t="str">
        <x:v>Istiophoridae</x:v>
      </x:c>
      <x:c r="F94" s="24" t="str">
        <x:v>Billfishes</x:v>
      </x:c>
      <x:c r="G94" s="24" t="str">
        <x:v>Large pelagics (&gt;=90 cm)</x:v>
      </x:c>
      <x:c r="H94" s="24" t="str">
        <x:v>Tuna &amp; billfishes</x:v>
      </x:c>
      <x:c r="I94" s="31" t="n">
        <x:v>2.6050724357</x:v>
      </x:c>
      <x:c r="J94" s="31" t="n">
        <x:v>2.6050724357</x:v>
      </x:c>
      <x:c r="K94" s="31" t="n">
        <x:v>0</x:v>
      </x:c>
      <x:c r="L94" s="31" t="n">
        <x:v>0.5607523407</x:v>
      </x:c>
      <x:c r="M94" s="31" t="n">
        <x:v>2.044320095</x:v>
      </x:c>
      <x:c r="N94" s="24" t="str">
        <x:v>istiophoridae</x:v>
      </x:c>
      <x:c r="O94" s="32" t="n">
        <x:v>4.48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Istiophoridae</x:v>
      </x:c>
      <x:c r="T94" s="32" t="n">
        <x:f>IF(O94="","",(1/'Metadata'!$B$5)^(O94-1))</x:f>
        <x:v>3019.951720402019</x:v>
      </x:c>
      <x:c r="U94" s="31" t="n">
        <x:f>IF(T94="","",I94*T94)</x:f>
        <x:v>7867.1929839640925</x:v>
      </x:c>
    </x:row>
    <x:row r="95" ht="18" customHeight="1">
      <x:c r="A95" s="24" t="str">
        <x:v>EEZ_690</x:v>
      </x:c>
      <x:c r="B95" s="24" t="str">
        <x:v>Seychelles</x:v>
      </x:c>
      <x:c r="C95" s="24" t="str">
        <x:v>EEZ</x:v>
      </x:c>
      <x:c r="D95" s="30" t="n">
        <x:v>2019</x:v>
      </x:c>
      <x:c r="E95" s="24" t="str">
        <x:v>Mugil cephalus</x:v>
      </x:c>
      <x:c r="F95" s="24" t="str">
        <x:v>Flathead grey mullet</x:v>
      </x:c>
      <x:c r="G95" s="24" t="str">
        <x:v>Large benthopelagics (&gt;=90 cm)</x:v>
      </x:c>
      <x:c r="H95" s="24" t="str">
        <x:v>Perch-likes</x:v>
      </x:c>
      <x:c r="I95" s="31" t="n">
        <x:v>2.3922545029</x:v>
      </x:c>
      <x:c r="J95" s="31" t="n">
        <x:v>0</x:v>
      </x:c>
      <x:c r="K95" s="31" t="n">
        <x:v>2.3922545029</x:v>
      </x:c>
      <x:c r="L95" s="31" t="n">
        <x:v>0</x:v>
      </x:c>
      <x:c r="M95" s="31" t="n">
        <x:v>2.3922545029</x:v>
      </x:c>
      <x:c r="N95" s="24" t="str">
        <x:v>mugil cephalus</x:v>
      </x:c>
      <x:c r="O95" s="32" t="n">
        <x:v>2.14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Mugil cephalus</x:v>
      </x:c>
      <x:c r="T95" s="32" t="n">
        <x:f>IF(O95="","",(1/'Metadata'!$B$5)^(O95-1))</x:f>
        <x:v>13.803842646028853</x:v>
      </x:c>
      <x:c r="U95" s="31" t="n">
        <x:f>IF(T95="","",I95*T95)</x:f>
        <x:v>33.02230472728558</x:v>
      </x:c>
    </x:row>
    <x:row r="96" ht="18" customHeight="1">
      <x:c r="A96" s="24" t="str">
        <x:v>EEZ_690</x:v>
      </x:c>
      <x:c r="B96" s="24" t="str">
        <x:v>Seychelles</x:v>
      </x:c>
      <x:c r="C96" s="24" t="str">
        <x:v>EEZ</x:v>
      </x:c>
      <x:c r="D96" s="30" t="n">
        <x:v>2019</x:v>
      </x:c>
      <x:c r="E96" s="24" t="str">
        <x:v>Lactarius lactarius</x:v>
      </x:c>
      <x:c r="F96" s="24" t="str">
        <x:v>False trevally</x:v>
      </x:c>
      <x:c r="G96" s="24" t="str">
        <x:v>Medium pelagics (30 - 89 cm)</x:v>
      </x:c>
      <x:c r="H96" s="24" t="str">
        <x:v>Perch-likes</x:v>
      </x:c>
      <x:c r="I96" s="31" t="n">
        <x:v>2.3706633456</x:v>
      </x:c>
      <x:c r="J96" s="31" t="n">
        <x:v>0</x:v>
      </x:c>
      <x:c r="K96" s="31" t="n">
        <x:v>2.3706633456</x:v>
      </x:c>
      <x:c r="L96" s="31" t="n">
        <x:v>0</x:v>
      </x:c>
      <x:c r="M96" s="31" t="n">
        <x:v>2.3706633456</x:v>
      </x:c>
      <x:c r="N96" s="24" t="str">
        <x:v>lactarius lactarius</x:v>
      </x:c>
      <x:c r="O96" s="32" t="n">
        <x:v>3.97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Lactarius lactarius</x:v>
      </x:c>
      <x:c r="T96" s="32" t="n">
        <x:f>IF(O96="","",(1/'Metadata'!$B$5)^(O96-1))</x:f>
        <x:v>933.2543007969915</x:v>
      </x:c>
      <x:c r="U96" s="31" t="n">
        <x:f>IF(T96="","",I96*T96)</x:f>
        <x:v>2212.431763022985</x:v>
      </x:c>
    </x:row>
    <x:row r="97" ht="18" customHeight="1">
      <x:c r="A97" s="24" t="str">
        <x:v>EEZ_690</x:v>
      </x:c>
      <x:c r="B97" s="24" t="str">
        <x:v>Seychelles</x:v>
      </x:c>
      <x:c r="C97" s="24" t="str">
        <x:v>EEZ</x:v>
      </x:c>
      <x:c r="D97" s="30" t="n">
        <x:v>2019</x:v>
      </x:c>
      <x:c r="E97" s="24" t="str">
        <x:v>Lutjanus argentimaculatus</x:v>
      </x:c>
      <x:c r="F97" s="24" t="str">
        <x:v>Mangrove red snapper</x:v>
      </x:c>
      <x:c r="G97" s="24" t="str">
        <x:v>Large reef assoc. fish (&gt;=90 cm)</x:v>
      </x:c>
      <x:c r="H97" s="24" t="str">
        <x:v>Perch-likes</x:v>
      </x:c>
      <x:c r="I97" s="31" t="n">
        <x:v>1.7934564819999999</x:v>
      </x:c>
      <x:c r="J97" s="31" t="n">
        <x:v>1.7934564819999999</x:v>
      </x:c>
      <x:c r="K97" s="31" t="n">
        <x:v>0</x:v>
      </x:c>
      <x:c r="L97" s="31" t="n">
        <x:v>0</x:v>
      </x:c>
      <x:c r="M97" s="31" t="n">
        <x:v>1.7934564819999999</x:v>
      </x:c>
      <x:c r="N97" s="24" t="str">
        <x:v>lutjanus argentimaculatus</x:v>
      </x:c>
      <x:c r="O97" s="32" t="n">
        <x:v>3.58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argentimaculatus</x:v>
      </x:c>
      <x:c r="T97" s="32" t="n">
        <x:f>IF(O97="","",(1/'Metadata'!$B$5)^(O97-1))</x:f>
        <x:v>380.1893963205613</x:v>
      </x:c>
      <x:c r="U97" s="31" t="n">
        <x:f>IF(T97="","",I97*T97)</x:f>
        <x:v>681.8531372187775</x:v>
      </x:c>
    </x:row>
    <x:row r="98" ht="18" customHeight="1">
      <x:c r="A98" s="24" t="str">
        <x:v>EEZ_690</x:v>
      </x:c>
      <x:c r="B98" s="24" t="str">
        <x:v>Seychelles</x:v>
      </x:c>
      <x:c r="C98" s="24" t="str">
        <x:v>EEZ</x:v>
      </x:c>
      <x:c r="D98" s="30" t="n">
        <x:v>2019</x:v>
      </x:c>
      <x:c r="E98" s="24" t="str">
        <x:v>Nemipteridae</x:v>
      </x:c>
      <x:c r="F98" s="24" t="str">
        <x:v>Threadfins, whiptail breams</x:v>
      </x:c>
      <x:c r="G98" s="24" t="str">
        <x:v>Small demersals (&lt;30 cm)</x:v>
      </x:c>
      <x:c r="H98" s="24" t="str">
        <x:v>Perch-likes</x:v>
      </x:c>
      <x:c r="I98" s="31" t="n">
        <x:v>1.7440471087999998</x:v>
      </x:c>
      <x:c r="J98" s="31" t="n">
        <x:v>1.7440471087999998</x:v>
      </x:c>
      <x:c r="K98" s="31" t="n">
        <x:v>0</x:v>
      </x:c>
      <x:c r="L98" s="31" t="n">
        <x:v>1.7440471087999998</x:v>
      </x:c>
      <x:c r="M98" s="31" t="n">
        <x:v>0</x:v>
      </x:c>
      <x:c r="N98" s="24" t="str">
        <x:v>nemipteridae</x:v>
      </x:c>
      <x:c r="O98" s="32" t="n">
        <x:v>3.51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Nemipteridae</x:v>
      </x:c>
      <x:c r="T98" s="32" t="n">
        <x:f>IF(O98="","",(1/'Metadata'!$B$5)^(O98-1))</x:f>
        <x:v>323.5936569296281</x:v>
      </x:c>
      <x:c r="U98" s="31" t="n">
        <x:f>IF(T98="","",I98*T98)</x:f>
        <x:v>564.3625817941369</x:v>
      </x:c>
    </x:row>
    <x:row r="99" ht="18" customHeight="1">
      <x:c r="A99" s="24" t="str">
        <x:v>EEZ_690</x:v>
      </x:c>
      <x:c r="B99" s="24" t="str">
        <x:v>Seychelles</x:v>
      </x:c>
      <x:c r="C99" s="24" t="str">
        <x:v>EEZ</x:v>
      </x:c>
      <x:c r="D99" s="30" t="n">
        <x:v>2019</x:v>
      </x:c>
      <x:c r="E99" s="24" t="str">
        <x:v>Upeneus vittatus</x:v>
      </x:c>
      <x:c r="F99" s="24" t="str">
        <x:v>Yellowstriped goatfish</x:v>
      </x:c>
      <x:c r="G99" s="24" t="str">
        <x:v>Small reef assoc. fish (&lt;30 cm)</x:v>
      </x:c>
      <x:c r="H99" s="24" t="str">
        <x:v>Perch-likes</x:v>
      </x:c>
      <x:c r="I99" s="31" t="n">
        <x:v>1.6637664893</x:v>
      </x:c>
      <x:c r="J99" s="31" t="n">
        <x:v>0</x:v>
      </x:c>
      <x:c r="K99" s="31" t="n">
        <x:v>1.6637664893</x:v>
      </x:c>
      <x:c r="L99" s="31" t="n">
        <x:v>0</x:v>
      </x:c>
      <x:c r="M99" s="31" t="n">
        <x:v>1.6637664893</x:v>
      </x:c>
      <x:c r="N99" s="24" t="str">
        <x:v>upeneus vittatus</x:v>
      </x:c>
      <x:c r="O99" s="32" t="n">
        <x:v>3.62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Upeneus vittatus</x:v>
      </x:c>
      <x:c r="T99" s="32" t="n">
        <x:f>IF(O99="","",(1/'Metadata'!$B$5)^(O99-1))</x:f>
        <x:v>416.8693834703355</x:v>
      </x:c>
      <x:c r="U99" s="31" t="n">
        <x:f>IF(T99="","",I99*T99)</x:f>
        <x:v>693.5733106330955</x:v>
      </x:c>
    </x:row>
    <x:row r="100" ht="18" customHeight="1">
      <x:c r="A100" s="24" t="str">
        <x:v>EEZ_690</x:v>
      </x:c>
      <x:c r="B100" s="24" t="str">
        <x:v>Seychelles</x:v>
      </x:c>
      <x:c r="C100" s="24" t="str">
        <x:v>EEZ</x:v>
      </x:c>
      <x:c r="D100" s="30" t="n">
        <x:v>2019</x:v>
      </x:c>
      <x:c r="E100" s="24" t="str">
        <x:v>Glaucostegus granulatus</x:v>
      </x:c>
      <x:c r="F100" s="24" t="str">
        <x:v>Granulated guitarfish</x:v>
      </x:c>
      <x:c r="G100" s="24" t="str">
        <x:v>Large rays (&gt;=90 cm)</x:v>
      </x:c>
      <x:c r="H100" s="24" t="str">
        <x:v>Sharks &amp; rays</x:v>
      </x:c>
      <x:c r="I100" s="31" t="n">
        <x:v>1.5651433315</x:v>
      </x:c>
      <x:c r="J100" s="31" t="n">
        <x:v>0</x:v>
      </x:c>
      <x:c r="K100" s="31" t="n">
        <x:v>1.5651433315</x:v>
      </x:c>
      <x:c r="L100" s="31" t="n">
        <x:v>0</x:v>
      </x:c>
      <x:c r="M100" s="31" t="n">
        <x:v>1.5651433315</x:v>
      </x:c>
      <x:c r="N100" s="24" t="str">
        <x:v>glaucostegus granulatus</x:v>
      </x:c>
      <x:c r="O100" s="32" t="n">
        <x:v>3.5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Glaucostegus granulatus</x:v>
      </x:c>
      <x:c r="T100" s="32" t="n">
        <x:f>IF(O100="","",(1/'Metadata'!$B$5)^(O100-1))</x:f>
        <x:v>316.22776601683796</x:v>
      </x:c>
      <x:c r="U100" s="31" t="n">
        <x:f>IF(T100="","",I100*T100)</x:f>
        <x:v>494.9417792163963</x:v>
      </x:c>
    </x:row>
    <x:row r="101" ht="18" customHeight="1">
      <x:c r="A101" s="24" t="str">
        <x:v>EEZ_690</x:v>
      </x:c>
      <x:c r="B101" s="24" t="str">
        <x:v>Seychelles</x:v>
      </x:c>
      <x:c r="C101" s="24" t="str">
        <x:v>EEZ</x:v>
      </x:c>
      <x:c r="D101" s="30" t="n">
        <x:v>2019</x:v>
      </x:c>
      <x:c r="E101" s="24" t="str">
        <x:v>Mugilidae</x:v>
      </x:c>
      <x:c r="F101" s="24" t="str">
        <x:v>Mullets, grey mullets</x:v>
      </x:c>
      <x:c r="G101" s="24" t="str">
        <x:v>Medium reef assoc. fish (30 - 89 cm)</x:v>
      </x:c>
      <x:c r="H101" s="24" t="str">
        <x:v>Perch-likes</x:v>
      </x:c>
      <x:c r="I101" s="31" t="n">
        <x:v>1.3032105702</x:v>
      </x:c>
      <x:c r="J101" s="31" t="n">
        <x:v>0</x:v>
      </x:c>
      <x:c r="K101" s="31" t="n">
        <x:v>1.3032105702</x:v>
      </x:c>
      <x:c r="L101" s="31" t="n">
        <x:v>0</x:v>
      </x:c>
      <x:c r="M101" s="31" t="n">
        <x:v>1.3032105702</x:v>
      </x:c>
      <x:c r="N101" s="24" t="str">
        <x:v>mugilidae</x:v>
      </x:c>
      <x:c r="O101" s="32" t="n">
        <x:v>2.53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Mugilidae</x:v>
      </x:c>
      <x:c r="T101" s="32" t="n">
        <x:f>IF(O101="","",(1/'Metadata'!$B$5)^(O101-1))</x:f>
        <x:v>33.88441561392024</x:v>
      </x:c>
      <x:c r="U101" s="31" t="n">
        <x:f>IF(T101="","",I101*T101)</x:f>
        <x:v>44.15852859311078</x:v>
      </x:c>
    </x:row>
    <x:row r="102" ht="18" customHeight="1">
      <x:c r="A102" s="24" t="str">
        <x:v>EEZ_690</x:v>
      </x:c>
      <x:c r="B102" s="24" t="str">
        <x:v>Seychelles</x:v>
      </x:c>
      <x:c r="C102" s="24" t="str">
        <x:v>EEZ</x:v>
      </x:c>
      <x:c r="D102" s="30" t="n">
        <x:v>2019</x:v>
      </x:c>
      <x:c r="E102" s="24" t="str">
        <x:v>Terapon jarbua</x:v>
      </x:c>
      <x:c r="F102" s="24" t="str">
        <x:v>Jarbua terapon</x:v>
      </x:c>
      <x:c r="G102" s="24" t="str">
        <x:v>Medium demersals (30 - 89 cm)</x:v>
      </x:c>
      <x:c r="H102" s="24" t="str">
        <x:v>Perch-likes</x:v>
      </x:c>
      <x:c r="I102" s="31" t="n">
        <x:v>1.0328063267</x:v>
      </x:c>
      <x:c r="J102" s="31" t="n">
        <x:v>0</x:v>
      </x:c>
      <x:c r="K102" s="31" t="n">
        <x:v>1.0328063267</x:v>
      </x:c>
      <x:c r="L102" s="31" t="n">
        <x:v>0</x:v>
      </x:c>
      <x:c r="M102" s="31" t="n">
        <x:v>1.0328063267</x:v>
      </x:c>
      <x:c r="N102" s="24" t="str">
        <x:v>terapon jarbua</x:v>
      </x:c>
      <x:c r="O102" s="32" t="n">
        <x:v>3.93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Terapon jarbua</x:v>
      </x:c>
      <x:c r="T102" s="32" t="n">
        <x:f>IF(O102="","",(1/'Metadata'!$B$5)^(O102-1))</x:f>
        <x:v>851.1380382023768</x:v>
      </x:c>
      <x:c r="U102" s="31" t="n">
        <x:f>IF(T102="","",I102*T102)</x:f>
        <x:v>879.0607507504411</x:v>
      </x:c>
    </x:row>
    <x:row r="103" ht="18" customHeight="1">
      <x:c r="A103" s="24" t="str">
        <x:v>EEZ_690</x:v>
      </x:c>
      <x:c r="B103" s="24" t="str">
        <x:v>Seychelles</x:v>
      </x:c>
      <x:c r="C103" s="24" t="str">
        <x:v>EEZ</x:v>
      </x:c>
      <x:c r="D103" s="30" t="n">
        <x:v>2019</x:v>
      </x:c>
      <x:c r="E103" s="24" t="str">
        <x:v>Tetrapturus angustirostris</x:v>
      </x:c>
      <x:c r="F103" s="24" t="str">
        <x:v>Shortbill spearfish</x:v>
      </x:c>
      <x:c r="G103" s="24" t="str">
        <x:v>Large pelagics (&gt;=90 cm)</x:v>
      </x:c>
      <x:c r="H103" s="24" t="str">
        <x:v>Tuna &amp; billfishes</x:v>
      </x:c>
      <x:c r="I103" s="31" t="n">
        <x:v>0.7606880671</x:v>
      </x:c>
      <x:c r="J103" s="31" t="n">
        <x:v>0.7606880671</x:v>
      </x:c>
      <x:c r="K103" s="31" t="n">
        <x:v>0</x:v>
      </x:c>
      <x:c r="L103" s="31" t="n">
        <x:v>0.7606880671</x:v>
      </x:c>
      <x:c r="M103" s="31" t="n">
        <x:v>0</x:v>
      </x:c>
      <x:c r="N103" s="24" t="str">
        <x:v>tetrapturus angustirostris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Tetrapturus angustirostris</x:v>
      </x:c>
      <x:c r="T103" s="32" t="n">
        <x:f>IF(O103="","",(1/'Metadata'!$B$5)^(O103-1))</x:f>
        <x:v>3162.2776601683795</x:v>
      </x:c>
      <x:c r="U103" s="31" t="n">
        <x:f>IF(T103="","",I103*T103)</x:f>
        <x:v>2405.5068809469954</x:v>
      </x:c>
    </x:row>
    <x:row r="104" ht="18" customHeight="1">
      <x:c r="A104" s="24" t="str">
        <x:v>EEZ_690</x:v>
      </x:c>
      <x:c r="B104" s="24" t="str">
        <x:v>Seychelles</x:v>
      </x:c>
      <x:c r="C104" s="24" t="str">
        <x:v>EEZ</x:v>
      </x:c>
      <x:c r="D104" s="30" t="n">
        <x:v>2019</x:v>
      </x:c>
      <x:c r="E104" s="24" t="str">
        <x:v>Sillago sihama</x:v>
      </x:c>
      <x:c r="F104" s="24" t="str">
        <x:v>Silver sillago</x:v>
      </x:c>
      <x:c r="G104" s="24" t="str">
        <x:v>Medium demersals (30 - 89 cm)</x:v>
      </x:c>
      <x:c r="H104" s="24" t="str">
        <x:v>Perch-likes</x:v>
      </x:c>
      <x:c r="I104" s="31" t="n">
        <x:v>0.710418067</x:v>
      </x:c>
      <x:c r="J104" s="31" t="n">
        <x:v>0</x:v>
      </x:c>
      <x:c r="K104" s="31" t="n">
        <x:v>0.710418067</x:v>
      </x:c>
      <x:c r="L104" s="31" t="n">
        <x:v>0</x:v>
      </x:c>
      <x:c r="M104" s="31" t="n">
        <x:v>0.710418067</x:v>
      </x:c>
      <x:c r="N104" s="24" t="str">
        <x:v>sillago sihama</x:v>
      </x:c>
      <x:c r="O104" s="32" t="n">
        <x:v>3.33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Sillago sihama</x:v>
      </x:c>
      <x:c r="T104" s="32" t="n">
        <x:f>IF(O104="","",(1/'Metadata'!$B$5)^(O104-1))</x:f>
        <x:v>213.79620895022325</x:v>
      </x:c>
      <x:c r="U104" s="31" t="n">
        <x:f>IF(T104="","",I104*T104)</x:f>
        <x:v>151.8846894943457</x:v>
      </x:c>
    </x:row>
    <x:row r="105" ht="18" customHeight="1">
      <x:c r="A105" s="24" t="str">
        <x:v>EEZ_690</x:v>
      </x:c>
      <x:c r="B105" s="24" t="str">
        <x:v>Seychelles</x:v>
      </x:c>
      <x:c r="C105" s="24" t="str">
        <x:v>EEZ</x:v>
      </x:c>
      <x:c r="D105" s="30" t="n">
        <x:v>2019</x:v>
      </x:c>
      <x:c r="E105" s="24" t="str">
        <x:v>Himantura uarnak</x:v>
      </x:c>
      <x:c r="F105" s="24" t="str">
        <x:v>Honeycomb stingray</x:v>
      </x:c>
      <x:c r="G105" s="24" t="str">
        <x:v>Large rays (&gt;=90 cm)</x:v>
      </x:c>
      <x:c r="H105" s="24" t="str">
        <x:v>Sharks &amp; rays</x:v>
      </x:c>
      <x:c r="I105" s="31" t="n">
        <x:v>0.6514716088</x:v>
      </x:c>
      <x:c r="J105" s="31" t="n">
        <x:v>0</x:v>
      </x:c>
      <x:c r="K105" s="31" t="n">
        <x:v>0.6514716088</x:v>
      </x:c>
      <x:c r="L105" s="31" t="n">
        <x:v>0</x:v>
      </x:c>
      <x:c r="M105" s="31" t="n">
        <x:v>0.6514716088</x:v>
      </x:c>
      <x:c r="N105" s="24" t="str">
        <x:v>himantura uarnak</x:v>
      </x:c>
      <x:c r="O105" s="32" t="n">
        <x:v>3.6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Himantura uarnak</x:v>
      </x:c>
      <x:c r="T105" s="32" t="n">
        <x:f>IF(O105="","",(1/'Metadata'!$B$5)^(O105-1))</x:f>
        <x:v>398.1071705534973</x:v>
      </x:c>
      <x:c r="U105" s="31" t="n">
        <x:f>IF(T105="","",I105*T105)</x:f>
        <x:v>259.3555188753029</x:v>
      </x:c>
    </x:row>
    <x:row r="106" ht="18" customHeight="1">
      <x:c r="A106" s="24" t="str">
        <x:v>EEZ_690</x:v>
      </x:c>
      <x:c r="B106" s="24" t="str">
        <x:v>Seychelles</x:v>
      </x:c>
      <x:c r="C106" s="24" t="str">
        <x:v>EEZ</x:v>
      </x:c>
      <x:c r="D106" s="30" t="n">
        <x:v>2019</x:v>
      </x:c>
      <x:c r="E106" s="24" t="str">
        <x:v>Isurus paucus</x:v>
      </x:c>
      <x:c r="F106" s="24" t="str">
        <x:v>Longfin mako</x:v>
      </x:c>
      <x:c r="G106" s="24" t="str">
        <x:v>Large sharks (&gt;=90 cm)</x:v>
      </x:c>
      <x:c r="H106" s="24" t="str">
        <x:v>Sharks &amp; rays</x:v>
      </x:c>
      <x:c r="I106" s="31" t="n">
        <x:v>0.5826597502</x:v>
      </x:c>
      <x:c r="J106" s="31" t="n">
        <x:v>0.5826597502</x:v>
      </x:c>
      <x:c r="K106" s="31" t="n">
        <x:v>0</x:v>
      </x:c>
      <x:c r="L106" s="31" t="n">
        <x:v>0.5826597502</x:v>
      </x:c>
      <x:c r="M106" s="31" t="n">
        <x:v>0</x:v>
      </x:c>
      <x:c r="N106" s="24" t="str">
        <x:v>isurus paucus</x:v>
      </x:c>
      <x:c r="O106" s="32" t="n">
        <x:v>4.51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Isurus paucus</x:v>
      </x:c>
      <x:c r="T106" s="32" t="n">
        <x:f>IF(O106="","",(1/'Metadata'!$B$5)^(O106-1))</x:f>
        <x:v>3235.936569296281</x:v>
      </x:c>
      <x:c r="U106" s="31" t="n">
        <x:f>IF(T106="","",I106*T106)</x:f>
        <x:v>1885.4499931292162</x:v>
      </x:c>
    </x:row>
    <x:row r="107" ht="18" customHeight="1">
      <x:c r="A107" s="24" t="str">
        <x:v>EEZ_690</x:v>
      </x:c>
      <x:c r="B107" s="24" t="str">
        <x:v>Seychelles</x:v>
      </x:c>
      <x:c r="C107" s="24" t="str">
        <x:v>EEZ</x:v>
      </x:c>
      <x:c r="D107" s="30" t="n">
        <x:v>2019</x:v>
      </x:c>
      <x:c r="E107" s="24" t="str">
        <x:v>Soleidae</x:v>
      </x:c>
      <x:c r="F107" s="24" t="str">
        <x:v>Soles</x:v>
      </x:c>
      <x:c r="G107" s="24" t="str">
        <x:v>Small to medium flatfishes (&lt;90 cm)</x:v>
      </x:c>
      <x:c r="H107" s="24" t="str">
        <x:v>Flatfishes</x:v>
      </x:c>
      <x:c r="I107" s="31" t="n">
        <x:v>0.5490293397</x:v>
      </x:c>
      <x:c r="J107" s="31" t="n">
        <x:v>0</x:v>
      </x:c>
      <x:c r="K107" s="31" t="n">
        <x:v>0.5490293397</x:v>
      </x:c>
      <x:c r="L107" s="31" t="n">
        <x:v>0</x:v>
      </x:c>
      <x:c r="M107" s="31" t="n">
        <x:v>0.5490293397</x:v>
      </x:c>
      <x:c r="N107" s="24" t="str">
        <x:v>soleidae</x:v>
      </x:c>
      <x:c r="O107" s="32" t="n">
        <x:v>3.15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Soleidae</x:v>
      </x:c>
      <x:c r="T107" s="32" t="n">
        <x:f>IF(O107="","",(1/'Metadata'!$B$5)^(O107-1))</x:f>
        <x:v>141.2537544622754</x:v>
      </x:c>
      <x:c r="U107" s="31" t="n">
        <x:f>IF(T107="","",I107*T107)</x:f>
        <x:v>77.55245554256899</x:v>
      </x:c>
    </x:row>
    <x:row r="108" ht="18" customHeight="1">
      <x:c r="A108" s="24" t="str">
        <x:v>EEZ_690</x:v>
      </x:c>
      <x:c r="B108" s="24" t="str">
        <x:v>Seychelles</x:v>
      </x:c>
      <x:c r="C108" s="24" t="str">
        <x:v>EEZ</x:v>
      </x:c>
      <x:c r="D108" s="30" t="n">
        <x:v>2019</x:v>
      </x:c>
      <x:c r="E108" s="24" t="str">
        <x:v>Thryssa</x:v>
      </x:c>
      <x:c r="F108" s="24" t="str">
        <x:v>Thryssas</x:v>
      </x:c>
      <x:c r="G108" s="24" t="str">
        <x:v>Small pelagics (&lt;30 cm)</x:v>
      </x:c>
      <x:c r="H108" s="24" t="str">
        <x:v>Anchovies</x:v>
      </x:c>
      <x:c r="I108" s="31" t="n">
        <x:v>0.485832584</x:v>
      </x:c>
      <x:c r="J108" s="31" t="n">
        <x:v>0</x:v>
      </x:c>
      <x:c r="K108" s="31" t="n">
        <x:v>0.485832584</x:v>
      </x:c>
      <x:c r="L108" s="31" t="n">
        <x:v>0</x:v>
      </x:c>
      <x:c r="M108" s="31" t="n">
        <x:v>0.485832584</x:v>
      </x:c>
      <x:c r="N108" s="24" t="str">
        <x:v>thryssa</x:v>
      </x:c>
      <x:c r="O108" s="32" t="n">
        <x:v>3.34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Thryssa</x:v>
      </x:c>
      <x:c r="T108" s="32" t="n">
        <x:f>IF(O108="","",(1/'Metadata'!$B$5)^(O108-1))</x:f>
        <x:v>218.77616239495518</x:v>
      </x:c>
      <x:c r="U108" s="31" t="n">
        <x:f>IF(T108="","",I108*T108)</x:f>
        <x:v>106.28858829394471</x:v>
      </x:c>
    </x:row>
    <x:row r="109" ht="18" customHeight="1">
      <x:c r="A109" s="24" t="str">
        <x:v>EEZ_690</x:v>
      </x:c>
      <x:c r="B109" s="24" t="str">
        <x:v>Seychelles</x:v>
      </x:c>
      <x:c r="C109" s="24" t="str">
        <x:v>EEZ</x:v>
      </x:c>
      <x:c r="D109" s="30" t="n">
        <x:v>2019</x:v>
      </x:c>
      <x:c r="E109" s="24" t="str">
        <x:v>Pomadasys</x:v>
      </x:c>
      <x:c r="F109" s="24" t="str">
        <x:v>Grunters</x:v>
      </x:c>
      <x:c r="G109" s="24" t="str">
        <x:v>Medium demersals (30 - 89 cm)</x:v>
      </x:c>
      <x:c r="H109" s="24" t="str">
        <x:v>Perch-likes</x:v>
      </x:c>
      <x:c r="I109" s="31" t="n">
        <x:v>0.3116524865</x:v>
      </x:c>
      <x:c r="J109" s="31" t="n">
        <x:v>0.3116524865</x:v>
      </x:c>
      <x:c r="K109" s="31" t="n">
        <x:v>0</x:v>
      </x:c>
      <x:c r="L109" s="31" t="n">
        <x:v>0.3116524865</x:v>
      </x:c>
      <x:c r="M109" s="31" t="n">
        <x:v>0</x:v>
      </x:c>
      <x:c r="N109" s="24" t="str">
        <x:v>pomadasys</x:v>
      </x:c>
      <x:c r="O109" s="32" t="n">
        <x:v>3.59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Pomadasys</x:v>
      </x:c>
      <x:c r="T109" s="32" t="n">
        <x:f>IF(O109="","",(1/'Metadata'!$B$5)^(O109-1))</x:f>
        <x:v>389.04514499428046</x:v>
      </x:c>
      <x:c r="U109" s="31" t="n">
        <x:f>IF(T109="","",I109*T109)</x:f>
        <x:v>121.24688679822053</x:v>
      </x:c>
    </x:row>
    <x:row r="110" ht="18" customHeight="1">
      <x:c r="A110" s="24" t="str">
        <x:v>EEZ_690</x:v>
      </x:c>
      <x:c r="B110" s="24" t="str">
        <x:v>Seychelles</x:v>
      </x:c>
      <x:c r="C110" s="24" t="str">
        <x:v>EEZ</x:v>
      </x:c>
      <x:c r="D110" s="30" t="n">
        <x:v>2019</x:v>
      </x:c>
      <x:c r="E110" s="24" t="str">
        <x:v>Nemipterus japonicus</x:v>
      </x:c>
      <x:c r="F110" s="24" t="str">
        <x:v>Japanese threadfin bream</x:v>
      </x:c>
      <x:c r="G110" s="24" t="str">
        <x:v>Small demersals (&lt;30 cm)</x:v>
      </x:c>
      <x:c r="H110" s="24" t="str">
        <x:v>Perch-likes</x:v>
      </x:c>
      <x:c r="I110" s="31" t="n">
        <x:v>0.22180770509999997</x:v>
      </x:c>
      <x:c r="J110" s="31" t="n">
        <x:v>0</x:v>
      </x:c>
      <x:c r="K110" s="31" t="n">
        <x:v>0.22180770509999997</x:v>
      </x:c>
      <x:c r="L110" s="31" t="n">
        <x:v>0</x:v>
      </x:c>
      <x:c r="M110" s="31" t="n">
        <x:v>0.22180770509999997</x:v>
      </x:c>
      <x:c r="N110" s="24" t="str">
        <x:v>nemipterus japonicus</x:v>
      </x:c>
      <x:c r="O110" s="32" t="n">
        <x:v>3.77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Nemipterus japonicus</x:v>
      </x:c>
      <x:c r="T110" s="32" t="n">
        <x:f>IF(O110="","",(1/'Metadata'!$B$5)^(O110-1))</x:f>
        <x:v>588.843655355589</x:v>
      </x:c>
      <x:c r="U110" s="31" t="n">
        <x:f>IF(T110="","",I110*T110)</x:f>
        <x:v>130.6100598571185</x:v>
      </x:c>
    </x:row>
    <x:row r="111" ht="18" customHeight="1">
      <x:c r="A111" s="24" t="str">
        <x:v>EEZ_690</x:v>
      </x:c>
      <x:c r="B111" s="24" t="str">
        <x:v>Seychelles</x:v>
      </x:c>
      <x:c r="C111" s="24" t="str">
        <x:v>EEZ</x:v>
      </x:c>
      <x:c r="D111" s="30" t="n">
        <x:v>2019</x:v>
      </x:c>
      <x:c r="E111" s="24" t="str">
        <x:v>Muraenesocidae</x:v>
      </x:c>
      <x:c r="F111" s="24" t="str">
        <x:v>Pike congers</x:v>
      </x:c>
      <x:c r="G111" s="24" t="str">
        <x:v>Large demersals (&gt;=90 cm)</x:v>
      </x:c>
      <x:c r="H111" s="24" t="str">
        <x:v>Other fishes &amp; inverts</x:v>
      </x:c>
      <x:c r="I111" s="31" t="n">
        <x:v>0.16170295419999997</x:v>
      </x:c>
      <x:c r="J111" s="31" t="n">
        <x:v>0.16170295419999997</x:v>
      </x:c>
      <x:c r="K111" s="31" t="n">
        <x:v>0</x:v>
      </x:c>
      <x:c r="L111" s="31" t="n">
        <x:v>0.16170295419999997</x:v>
      </x:c>
      <x:c r="M111" s="31" t="n">
        <x:v>0</x:v>
      </x:c>
      <x:c r="N111" s="24" t="str">
        <x:v>muraenesocidae</x:v>
      </x:c>
      <x:c r="O111" s="32" t="n">
        <x:v>3.9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Muraenesocidae</x:v>
      </x:c>
      <x:c r="T111" s="32" t="n">
        <x:f>IF(O111="","",(1/'Metadata'!$B$5)^(O111-1))</x:f>
        <x:v>794.3282347242813</x:v>
      </x:c>
      <x:c r="U111" s="31" t="n">
        <x:f>IF(T111="","",I111*T111)</x:f>
        <x:v>128.44522215938727</x:v>
      </x:c>
    </x:row>
    <x:row r="112" ht="18" customHeight="1">
      <x:c r="A112" s="24" t="str">
        <x:v>EEZ_690</x:v>
      </x:c>
      <x:c r="B112" s="24" t="str">
        <x:v>Seychelles</x:v>
      </x:c>
      <x:c r="C112" s="24" t="str">
        <x:v>EEZ</x:v>
      </x:c>
      <x:c r="D112" s="30" t="n">
        <x:v>2019</x:v>
      </x:c>
      <x:c r="E112" s="24" t="str">
        <x:v>Saurida tumbil</x:v>
      </x:c>
      <x:c r="F112" s="24" t="str">
        <x:v>Greater lizardfish</x:v>
      </x:c>
      <x:c r="G112" s="24" t="str">
        <x:v>Medium demersals (30 - 89 cm)</x:v>
      </x:c>
      <x:c r="H112" s="24" t="str">
        <x:v>Other fishes &amp; inverts</x:v>
      </x:c>
      <x:c r="I112" s="31" t="n">
        <x:v>0.0574052394</x:v>
      </x:c>
      <x:c r="J112" s="31" t="n">
        <x:v>0</x:v>
      </x:c>
      <x:c r="K112" s="31" t="n">
        <x:v>0.0574052394</x:v>
      </x:c>
      <x:c r="L112" s="31" t="n">
        <x:v>0</x:v>
      </x:c>
      <x:c r="M112" s="31" t="n">
        <x:v>0.0574052394</x:v>
      </x:c>
      <x:c r="N112" s="24" t="str">
        <x:v>saurida tumbil</x:v>
      </x:c>
      <x:c r="O112" s="32" t="n">
        <x:v>4.4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Saurida tumbil</x:v>
      </x:c>
      <x:c r="T112" s="32" t="n">
        <x:f>IF(O112="","",(1/'Metadata'!$B$5)^(O112-1))</x:f>
        <x:v>2511.886431509582</x:v>
      </x:c>
      <x:c r="U112" s="31" t="n">
        <x:f>IF(T112="","",I112*T112)</x:f>
        <x:v>144.19544194641927</x:v>
      </x:c>
    </x:row>
    <x:row r="113" ht="18" customHeight="1">
      <x:c r="A113" s="24" t="str">
        <x:v>EEZ_690</x:v>
      </x:c>
      <x:c r="B113" s="24" t="str">
        <x:v>Seychelles</x:v>
      </x:c>
      <x:c r="C113" s="24" t="str">
        <x:v>EEZ</x:v>
      </x:c>
      <x:c r="D113" s="30" t="n">
        <x:v>2019</x:v>
      </x:c>
      <x:c r="E113" s="24" t="str">
        <x:v>Scomberoides</x:v>
      </x:c>
      <x:c r="F113" s="24" t="str">
        <x:v>Queenfishes</x:v>
      </x:c>
      <x:c r="G113" s="24" t="str">
        <x:v>Medium pelagics (30 - 89 cm)</x:v>
      </x:c>
      <x:c r="H113" s="24" t="str">
        <x:v>Perch-likes</x:v>
      </x:c>
      <x:c r="I113" s="31" t="n">
        <x:v>0.0461190122</x:v>
      </x:c>
      <x:c r="J113" s="31" t="n">
        <x:v>0.0461190122</x:v>
      </x:c>
      <x:c r="K113" s="31" t="n">
        <x:v>0</x:v>
      </x:c>
      <x:c r="L113" s="31" t="n">
        <x:v>0.0461190122</x:v>
      </x:c>
      <x:c r="M113" s="31" t="n">
        <x:v>0</x:v>
      </x:c>
      <x:c r="N113" s="24" t="str">
        <x:v>scomberoides</x:v>
      </x:c>
      <x:c r="O113" s="32" t="n">
        <x:v>4.47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Scomberoides</x:v>
      </x:c>
      <x:c r="T113" s="32" t="n">
        <x:f>IF(O113="","",(1/'Metadata'!$B$5)^(O113-1))</x:f>
        <x:v>2951.209226666384</x:v>
      </x:c>
      <x:c r="U113" s="31" t="n">
        <x:f>IF(T113="","",I113*T113)</x:f>
        <x:v>136.10685432937953</x:v>
      </x:c>
    </x:row>
    <x:row r="114" ht="18" customHeight="1">
      <x:c r="A114" s="24" t="str">
        <x:v>EEZ_690</x:v>
      </x:c>
      <x:c r="B114" s="24" t="str">
        <x:v>Seychelles</x:v>
      </x:c>
      <x:c r="C114" s="24" t="str">
        <x:v>EEZ</x:v>
      </x:c>
      <x:c r="D114" s="30" t="n">
        <x:v>2019</x:v>
      </x:c>
      <x:c r="E114" s="24" t="str">
        <x:v>Elagatis bipinnulata</x:v>
      </x:c>
      <x:c r="F114" s="24" t="str">
        <x:v>Rainbow runner</x:v>
      </x:c>
      <x:c r="G114" s="24" t="str">
        <x:v>Large pelagics (&gt;=90 cm)</x:v>
      </x:c>
      <x:c r="H114" s="24" t="str">
        <x:v>Perch-likes</x:v>
      </x:c>
      <x:c r="I114" s="31" t="n">
        <x:v>0.011536969000000001</x:v>
      </x:c>
      <x:c r="J114" s="31" t="n">
        <x:v>0.011536969000000001</x:v>
      </x:c>
      <x:c r="K114" s="31" t="n">
        <x:v>0</x:v>
      </x:c>
      <x:c r="L114" s="31" t="n">
        <x:v>0</x:v>
      </x:c>
      <x:c r="M114" s="31" t="n">
        <x:v>0.011536969000000001</x:v>
      </x:c>
      <x:c r="N114" s="24" t="str">
        <x:v>elagatis bipinnulata</x:v>
      </x:c>
      <x:c r="O114" s="32" t="n">
        <x:v>4.27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Elagatis bipinnulata</x:v>
      </x:c>
      <x:c r="T114" s="32" t="n">
        <x:f>IF(O114="","",(1/'Metadata'!$B$5)^(O114-1))</x:f>
        <x:v>1862.0871366628655</x:v>
      </x:c>
      <x:c r="U114" s="31" t="n">
        <x:f>IF(T114="","",I114*T114)</x:f>
        <x:v>21.482841570978245</x:v>
      </x:c>
    </x:row>
    <x:row r="115" ht="18" customHeight="1">
      <x:c r="A115" s="24" t="str">
        <x:v>EEZ_690</x:v>
      </x:c>
      <x:c r="B115" s="24" t="str">
        <x:v>Seychelles</x:v>
      </x:c>
      <x:c r="C115" s="24" t="str">
        <x:v>EEZ</x:v>
      </x:c>
      <x:c r="D115" s="30" t="n">
        <x:v>2019</x:v>
      </x:c>
      <x:c r="E115" s="24" t="str">
        <x:v>Turrum fulvoguttatum</x:v>
      </x:c>
      <x:c r="F115" s="24" t="str">
        <x:v>Yellowspotted trevally</x:v>
      </x:c>
      <x:c r="G115" s="24" t="str">
        <x:v>Large reef assoc. fish (&gt;=90 cm)</x:v>
      </x:c>
      <x:c r="H115" s="24" t="str">
        <x:v>Perch-likes</x:v>
      </x:c>
      <x:c r="I115" s="31" t="n">
        <x:v>0.011181464</x:v>
      </x:c>
      <x:c r="J115" s="31" t="n">
        <x:v>0.011181464</x:v>
      </x:c>
      <x:c r="K115" s="31" t="n">
        <x:v>0</x:v>
      </x:c>
      <x:c r="L115" s="31" t="n">
        <x:v>0</x:v>
      </x:c>
      <x:c r="M115" s="31" t="n">
        <x:v>0.011181464</x:v>
      </x:c>
      <x:c r="N115" s="24" t="str">
        <x:v>turrum fulvoguttatum</x:v>
      </x:c>
      <x:c r="O115" s="32" t="n">
        <x:v>4.43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Turrum fulvoguttatum</x:v>
      </x:c>
      <x:c r="T115" s="32" t="n">
        <x:f>IF(O115="","",(1/'Metadata'!$B$5)^(O115-1))</x:f>
        <x:v>2691.534803926914</x:v>
      </x:c>
      <x:c r="U115" s="31" t="n">
        <x:f>IF(T115="","",I115*T115)</x:f>
        <x:v>30.095299514855846</x:v>
      </x:c>
    </x:row>
    <x:row r="116" ht="18" customHeight="1">
      <x:c r="A116" s="24" t="str">
        <x:v>EEZ_690</x:v>
      </x:c>
      <x:c r="B116" s="24" t="str">
        <x:v>Seychelles</x:v>
      </x:c>
      <x:c r="C116" s="24" t="str">
        <x:v>EEZ</x:v>
      </x:c>
      <x:c r="D116" s="30" t="n">
        <x:v>2019</x:v>
      </x:c>
      <x:c r="E116" s="24" t="str">
        <x:v>Makaira</x:v>
      </x:c>
      <x:c r="F116" s="24" t="str">
        <x:v>Blue marlins</x:v>
      </x:c>
      <x:c r="G116" s="24" t="str">
        <x:v>Large pelagics (&gt;=90 cm)</x:v>
      </x:c>
      <x:c r="H116" s="24" t="str">
        <x:v>Tuna &amp; billfishes</x:v>
      </x:c>
      <x:c r="I116" s="31" t="n">
        <x:v>0.006797035</x:v>
      </x:c>
      <x:c r="J116" s="31" t="n">
        <x:v>0.006797035</x:v>
      </x:c>
      <x:c r="K116" s="31" t="n">
        <x:v>0</x:v>
      </x:c>
      <x:c r="L116" s="31" t="n">
        <x:v>0</x:v>
      </x:c>
      <x:c r="M116" s="31" t="n">
        <x:v>0.006797035</x:v>
      </x:c>
      <x:c r="N116" s="24" t="str">
        <x:v>makaira</x:v>
      </x:c>
      <x:c r="O116" s="32" t="n">
        <x:v>4.47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Makaira</x:v>
      </x:c>
      <x:c r="T116" s="32" t="n">
        <x:f>IF(O116="","",(1/'Metadata'!$B$5)^(O116-1))</x:f>
        <x:v>2951.209226666384</x:v>
      </x:c>
      <x:c r="U116" s="31" t="n">
        <x:f>IF(T116="","",I116*T116)</x:f>
        <x:v>20.059472405974343</x:v>
      </x:c>
    </x:row>
    <x:row r="117" ht="18" customHeight="1">
      <x:c r="A117" s="24" t="str">
        <x:v>EEZ_690</x:v>
      </x:c>
      <x:c r="B117" s="24" t="str">
        <x:v>Seychelles</x:v>
      </x:c>
      <x:c r="C117" s="24" t="str">
        <x:v>EEZ</x:v>
      </x:c>
      <x:c r="D117" s="30" t="n">
        <x:v>2019</x:v>
      </x:c>
      <x:c r="E117" s="24" t="str">
        <x:v>Thunnus tonggol</x:v>
      </x:c>
      <x:c r="F117" s="24" t="str">
        <x:v>Longtail tuna</x:v>
      </x:c>
      <x:c r="G117" s="24" t="str">
        <x:v>Large pelagics (&gt;=90 cm)</x:v>
      </x:c>
      <x:c r="H117" s="24" t="str">
        <x:v>Tuna &amp; billfishes</x:v>
      </x:c>
      <x:c r="I117" s="31" t="n">
        <x:v>0.001786498</x:v>
      </x:c>
      <x:c r="J117" s="31" t="n">
        <x:v>0.001786498</x:v>
      </x:c>
      <x:c r="K117" s="31" t="n">
        <x:v>0</x:v>
      </x:c>
      <x:c r="L117" s="31" t="n">
        <x:v>0.001786498</x:v>
      </x:c>
      <x:c r="M117" s="31" t="n">
        <x:v>0</x:v>
      </x:c>
      <x:c r="N117" s="24" t="str">
        <x:v>thunnus tonggol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Thunnus tonggol</x:v>
      </x:c>
      <x:c r="T117" s="32" t="n">
        <x:f>IF(O117="","",(1/'Metadata'!$B$5)^(O117-1))</x:f>
        <x:v>3162.2776601683795</x:v>
      </x:c>
      <x:c r="U117" s="31" t="n">
        <x:f>IF(T117="","",I117*T117)</x:f>
        <x:v>5.64940271533549</x:v>
      </x:c>
    </x:row>
    <x:row r="118" ht="18" customHeight="1">
      <x:c r="A118" s="24" t="str">
        <x:v>EEZ_690</x:v>
      </x:c>
      <x:c r="B118" s="24" t="str">
        <x:v>Seychelles</x:v>
      </x:c>
      <x:c r="C118" s="24" t="str">
        <x:v>EEZ</x:v>
      </x:c>
      <x:c r="D118" s="30" t="n">
        <x:v>2019</x:v>
      </x:c>
      <x:c r="E118" s="24" t="str">
        <x:v>Ruvettus pretiosus</x:v>
      </x:c>
      <x:c r="F118" s="24" t="str">
        <x:v>Oilfish</x:v>
      </x:c>
      <x:c r="G118" s="24" t="str">
        <x:v>Large benthopelagics (&gt;=90 cm)</x:v>
      </x:c>
      <x:c r="H118" s="24" t="str">
        <x:v>Perch-likes</x:v>
      </x:c>
      <x:c r="I118" s="31" t="n">
        <x:v>0.0006791318</x:v>
      </x:c>
      <x:c r="J118" s="31" t="n">
        <x:v>0.0006791318</x:v>
      </x:c>
      <x:c r="K118" s="31" t="n">
        <x:v>0</x:v>
      </x:c>
      <x:c r="L118" s="31" t="n">
        <x:v>0.0006791318</x:v>
      </x:c>
      <x:c r="M118" s="31" t="n">
        <x:v>0</x:v>
      </x:c>
      <x:c r="N118" s="24" t="str">
        <x:v>ruvettus pretiosus</x:v>
      </x:c>
      <x:c r="O118" s="32" t="n">
        <x:v>4.18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Ruvettus pretiosus</x:v>
      </x:c>
      <x:c r="T118" s="32" t="n">
        <x:f>IF(O118="","",(1/'Metadata'!$B$5)^(O118-1))</x:f>
        <x:v>1513.5612484362073</x:v>
      </x:c>
      <x:c r="U118" s="31" t="n">
        <x:f>IF(T118="","",I118*T118)</x:f>
        <x:v>1.0279075750607285</x:v>
      </x:c>
    </x:row>
    <x:row r="119" ht="18" customHeight="1">
      <x:c r="A119" s="24" t="str">
        <x:v>EEZ_690</x:v>
      </x:c>
      <x:c r="B119" s="24" t="str">
        <x:v>Seychelles</x:v>
      </x:c>
      <x:c r="C119" s="24" t="str">
        <x:v>EEZ</x:v>
      </x:c>
      <x:c r="D119" s="30" t="n">
        <x:v>2019</x:v>
      </x:c>
      <x:c r="E119" s="24" t="str">
        <x:v>Auxis rochei</x:v>
      </x:c>
      <x:c r="F119" s="24" t="str">
        <x:v>Bullet tuna</x:v>
      </x:c>
      <x:c r="G119" s="24" t="str">
        <x:v>Medium pelagics (30 - 89 cm)</x:v>
      </x:c>
      <x:c r="H119" s="24" t="str">
        <x:v>Tuna &amp; billfishes</x:v>
      </x:c>
      <x:c r="I119" s="31" t="n">
        <x:v>0.0004153471</x:v>
      </x:c>
      <x:c r="J119" s="31" t="n">
        <x:v>0.0004153471</x:v>
      </x:c>
      <x:c r="K119" s="31" t="n">
        <x:v>0</x:v>
      </x:c>
      <x:c r="L119" s="31" t="n">
        <x:v>0.0004153471</x:v>
      </x:c>
      <x:c r="M119" s="31" t="n">
        <x:v>0</x:v>
      </x:c>
      <x:c r="N119" s="24" t="str">
        <x:v>auxis rochei</x:v>
      </x:c>
      <x:c r="O119" s="32" t="n">
        <x:v>4.13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Auxis rochei</x:v>
      </x:c>
      <x:c r="T119" s="32" t="n">
        <x:f>IF(O119="","",(1/'Metadata'!$B$5)^(O119-1))</x:f>
        <x:v>1348.9628825916532</x:v>
      </x:c>
      <x:c r="U119" s="31" t="n">
        <x:f>IF(T119="","",I119*T119)</x:f>
        <x:v>0.5602878212920837</x:v>
      </x:c>
    </x:row>
  </x:sheetData>
  <x:conditionalFormatting sqref="R2:R1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34902e2ddd046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0.485832584</x:v>
      </x:c>
      <x:c r="E2" s="31" t="n">
        <x:v>0.485832584</x:v>
      </x:c>
      <x:c r="F2" s="32" t="n">
        <x:v>0</x:v>
      </x:c>
      <x:c r="G2" s="34" t="n">
        <x:v>1</x:v>
      </x:c>
      <x:c r="H2" s="32" t="n">
        <x:f>IF(E2=0,"",I2/E2)</x:f>
        <x:v>218.7761623949552</x:v>
      </x:c>
      <x:c r="I2" s="31" t="n">
        <x:f>IF(C2=0,"",SUMIF('Species'!$H$2:$H$119,A2,'Species'!$U$2:$U$119))</x:f>
        <x:v>106.28858829394471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106.28858829394471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90.25</x:v>
      </x:c>
      <x:c r="E3" s="31" t="n">
        <x:v>90.25</x:v>
      </x:c>
      <x:c r="F3" s="32" t="n">
        <x:v>0</x:v>
      </x:c>
      <x:c r="G3" s="34" t="n">
        <x:v>1</x:v>
      </x:c>
      <x:c r="H3" s="32" t="n">
        <x:f>IF(E3=0,"",I3/E3)</x:f>
        <x:v>831.7637711026708</x:v>
      </x:c>
      <x:c r="I3" s="31" t="n">
        <x:f>IF(C3=0,"",SUMIF('Species'!$H$2:$H$119,A3,'Species'!$U$2:$U$119))</x:f>
        <x:v>75066.68034201604</x:v>
      </x:c>
      <x:c r="J3" s="32" t="n">
        <x:v>3.9199999999999995</x:v>
      </x:c>
      <x:c r="K3" s="32" t="n">
        <x:f>IF(J3="","",(1/'Metadata'!$B$5)^(J3-1))</x:f>
        <x:v>831.76377110267</x:v>
      </x:c>
      <x:c r="L3" s="31" t="n">
        <x:f>IF(E3=0,"",E3*K3)</x:f>
        <x:v>75066.68034201597</x:v>
      </x:c>
      <x:c r="M3" s="31" t="n">
        <x:f>IF(E3=0,"",I3-L3)</x:f>
        <x:v>7.275957614183426e-11</x:v>
      </x:c>
      <x:c r="N3" s="32" t="n">
        <x:f>IF(L3=0,"",I3/L3)</x:f>
        <x:v>1.0000000000000009</x:v>
      </x:c>
      <x:c r="O3" s="34" t="n">
        <x:f>IF(L3=0,"",M3/L3)</x:f>
        <x:v>9.692659354367321e-16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0.5490293397</x:v>
      </x:c>
      <x:c r="E4" s="31" t="n">
        <x:v>0.5490293397</x:v>
      </x:c>
      <x:c r="F4" s="32" t="n">
        <x:v>0</x:v>
      </x:c>
      <x:c r="G4" s="34" t="n">
        <x:v>1</x:v>
      </x:c>
      <x:c r="H4" s="32" t="n">
        <x:f>IF(E4=0,"",I4/E4)</x:f>
        <x:v>141.2537544622754</x:v>
      </x:c>
      <x:c r="I4" s="31" t="n">
        <x:f>IF(C4=0,"",SUMIF('Species'!$H$2:$H$119,A4,'Species'!$U$2:$U$119))</x:f>
        <x:v>77.55245554256899</x:v>
      </x:c>
      <x:c r="J4" s="32" t="n">
        <x:v>3.15</x:v>
      </x:c>
      <x:c r="K4" s="32" t="n">
        <x:f>IF(J4="","",(1/'Metadata'!$B$5)^(J4-1))</x:f>
        <x:v>141.2537544622754</x:v>
      </x:c>
      <x:c r="L4" s="31" t="n">
        <x:f>IF(E4=0,"",E4*K4)</x:f>
        <x:v>77.55245554256899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10</x:v>
      </x:c>
      <x:c r="C5" s="33" t="n">
        <x:v>10</x:v>
      </x:c>
      <x:c r="D5" s="31" t="n">
        <x:v>2051.8335112452996</x:v>
      </x:c>
      <x:c r="E5" s="31" t="n">
        <x:v>2051.8335112452996</x:v>
      </x:c>
      <x:c r="F5" s="32" t="n">
        <x:v>0</x:v>
      </x:c>
      <x:c r="G5" s="34" t="n">
        <x:v>1</x:v>
      </x:c>
      <x:c r="H5" s="32" t="n">
        <x:f>IF(E5=0,"",I5/E5)</x:f>
        <x:v>196.2564701123018</x:v>
      </x:c>
      <x:c r="I5" s="31" t="n">
        <x:f>IF(C5=0,"",SUMIF('Species'!$H$2:$H$119,A5,'Species'!$U$2:$U$119))</x:f>
        <x:v>402685.60217513243</x:v>
      </x:c>
      <x:c r="J5" s="32" t="n">
        <x:v>3.2637443074177708</x:v>
      </x:c>
      <x:c r="K5" s="32" t="n">
        <x:f>IF(J5="","",(1/'Metadata'!$B$5)^(J5-1))</x:f>
        <x:v>183.5457392422631</x:v>
      </x:c>
      <x:c r="L5" s="31" t="n">
        <x:f>IF(E5=0,"",E5*K5)</x:f>
        <x:v>376605.29862356686</x:v>
      </x:c>
      <x:c r="M5" s="31" t="n">
        <x:f>IF(E5=0,"",I5-L5)</x:f>
        <x:v>26080.303551565565</x:v>
      </x:c>
      <x:c r="N5" s="32" t="n">
        <x:f>IF(L5=0,"",I5/L5)</x:f>
        <x:v>1.0692510265970367</x:v>
      </x:c>
      <x:c r="O5" s="34" t="n">
        <x:f>IF(L5=0,"",M5/L5)</x:f>
        <x:v>0.06925102659703666</x:v>
      </x:c>
    </x:row>
    <x:row r="6" ht="18" customHeight="1">
      <x:c r="A6" s="24" t="str">
        <x:v>Perch-likes</x:v>
      </x:c>
      <x:c r="B6" s="33" t="n">
        <x:v>67</x:v>
      </x:c>
      <x:c r="C6" s="33" t="n">
        <x:v>67</x:v>
      </x:c>
      <x:c r="D6" s="31" t="n">
        <x:v>6869.5041555359</x:v>
      </x:c>
      <x:c r="E6" s="31" t="n">
        <x:v>6869.5041555359</x:v>
      </x:c>
      <x:c r="F6" s="32" t="n">
        <x:v>0</x:v>
      </x:c>
      <x:c r="G6" s="34" t="n">
        <x:v>1</x:v>
      </x:c>
      <x:c r="H6" s="32" t="n">
        <x:f>IF(E6=0,"",I6/E6)</x:f>
        <x:v>1202.600686579853</x:v>
      </x:c>
      <x:c r="I6" s="31" t="n">
        <x:f>IF(C6=0,"",SUMIF('Species'!$H$2:$H$119,A6,'Species'!$U$2:$U$119))</x:f>
        <x:v>8261270.413910626</x:v>
      </x:c>
      <x:c r="J6" s="32" t="n">
        <x:v>3.632151240711314</x:v>
      </x:c>
      <x:c r="K6" s="32" t="n">
        <x:f>IF(J6="","",(1/'Metadata'!$B$5)^(J6-1))</x:f>
        <x:v>428.6977860976242</x:v>
      </x:c>
      <x:c r="L6" s="31" t="n">
        <x:f>IF(E6=0,"",E6*K6)</x:f>
        <x:v>2944941.22306667</x:v>
      </x:c>
      <x:c r="M6" s="31" t="n">
        <x:f>IF(E6=0,"",I6-L6)</x:f>
        <x:v>5316329.190843957</x:v>
      </x:c>
      <x:c r="N6" s="32" t="n">
        <x:f>IF(L6=0,"",I6/L6)</x:f>
        <x:v>2.805241187567023</x:v>
      </x:c>
      <x:c r="O6" s="34" t="n">
        <x:f>IF(L6=0,"",M6/L6)</x:f>
        <x:v>1.8052411875670231</x:v>
      </x:c>
    </x:row>
    <x:row r="7" ht="18" customHeight="1">
      <x:c r="A7" s="24" t="str">
        <x:v>Sharks &amp; rays</x:v>
      </x:c>
      <x:c r="B7" s="33" t="n">
        <x:v>21</x:v>
      </x:c>
      <x:c r="C7" s="33" t="n">
        <x:v>21</x:v>
      </x:c>
      <x:c r="D7" s="31" t="n">
        <x:v>6187.6109181434995</x:v>
      </x:c>
      <x:c r="E7" s="31" t="n">
        <x:v>6187.6109181434995</x:v>
      </x:c>
      <x:c r="F7" s="32" t="n">
        <x:v>0</x:v>
      </x:c>
      <x:c r="G7" s="34" t="n">
        <x:v>1</x:v>
      </x:c>
      <x:c r="H7" s="32" t="n">
        <x:f>IF(E7=0,"",I7/E7)</x:f>
        <x:v>2315.608147909859</x:v>
      </x:c>
      <x:c r="I7" s="31" t="n">
        <x:f>IF(C7=0,"",SUMIF('Species'!$H$2:$H$119,A7,'Species'!$U$2:$U$119))</x:f>
        <x:v>14328082.25814909</x:v>
      </x:c>
      <x:c r="J7" s="32" t="n">
        <x:v>4.353717878459852</x:v>
      </x:c>
      <x:c r="K7" s="32" t="n">
        <x:f>IF(J7="","",(1/'Metadata'!$B$5)^(J7-1))</x:f>
        <x:v>2257.9684973707203</x:v>
      </x:c>
      <x:c r="L7" s="31" t="n">
        <x:f>IF(E7=0,"",E7*K7)</x:f>
        <x:v>13971430.52715514</x:v>
      </x:c>
      <x:c r="M7" s="31" t="n">
        <x:f>IF(E7=0,"",I7-L7)</x:f>
        <x:v>356651.7309939489</x:v>
      </x:c>
      <x:c r="N7" s="32" t="n">
        <x:f>IF(L7=0,"",I7/L7)</x:f>
        <x:v>1.025527216436481</x:v>
      </x:c>
      <x:c r="O7" s="34" t="n">
        <x:f>IF(L7=0,"",M7/L7)</x:f>
        <x:v>0.025527216436481127</x:v>
      </x:c>
    </x:row>
    <x:row r="8" ht="18" customHeight="1">
      <x:c r="A8" s="24" t="str">
        <x:v>Tuna &amp; billfishes</x:v>
      </x:c>
      <x:c r="B8" s="33" t="n">
        <x:v>17</x:v>
      </x:c>
      <x:c r="C8" s="33" t="n">
        <x:v>17</x:v>
      </x:c>
      <x:c r="D8" s="31" t="n">
        <x:v>3510.0037606352</x:v>
      </x:c>
      <x:c r="E8" s="31" t="n">
        <x:v>3510.0037606352</x:v>
      </x:c>
      <x:c r="F8" s="32" t="n">
        <x:v>0</x:v>
      </x:c>
      <x:c r="G8" s="34" t="n">
        <x:v>1</x:v>
      </x:c>
      <x:c r="H8" s="32" t="n">
        <x:f>IF(E8=0,"",I8/E8)</x:f>
        <x:v>2793.1843051528604</x:v>
      </x:c>
      <x:c r="I8" s="31" t="n">
        <x:f>IF(C8=0,"",SUMIF('Species'!$H$2:$H$119,A8,'Species'!$U$2:$U$119))</x:f>
        <x:v>9804087.415233757</x:v>
      </x:c>
      <x:c r="J8" s="32" t="n">
        <x:v>4.441861830747577</x:v>
      </x:c>
      <x:c r="K8" s="32" t="n">
        <x:f>IF(J8="","",(1/'Metadata'!$B$5)^(J8-1))</x:f>
        <x:v>2766.0614927355505</x:v>
      </x:c>
      <x:c r="L8" s="31" t="n">
        <x:f>IF(E8=0,"",E8*K8)</x:f>
        <x:v>9708886.241649996</x:v>
      </x:c>
      <x:c r="M8" s="31" t="n">
        <x:f>IF(E8=0,"",I8-L8)</x:f>
        <x:v>95201.17358376086</x:v>
      </x:c>
      <x:c r="N8" s="32" t="n">
        <x:f>IF(L8=0,"",I8/L8)</x:f>
        <x:v>1.0098055710216645</x:v>
      </x:c>
      <x:c r="O8" s="34" t="n">
        <x:f>IF(L8=0,"",M8/L8)</x:f>
        <x:v>0.009805571021664551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91a30907e044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86.903650441</x:v>
      </x:c>
      <x:c r="E2" s="31" t="n">
        <x:v>86.903650441</x:v>
      </x:c>
      <x:c r="F2" s="32" t="n">
        <x:v>0</x:v>
      </x:c>
      <x:c r="G2" s="34" t="n">
        <x:v>1</x:v>
      </x:c>
      <x:c r="H2" s="32" t="n">
        <x:f>IF(E2=0,"",I2/E2)</x:f>
        <x:v>396.4889985465948</x:v>
      </x:c>
      <x:c r="I2" s="31" t="n">
        <x:f>IF(C2=0,"",SUMIF('Species'!$G$2:$G$119,A2,'Species'!$U$2:$U$119))</x:f>
        <x:v>34456.34133339543</x:v>
      </x:c>
      <x:c r="J2" s="32" t="n">
        <x:v>3.598193780113684</x:v>
      </x:c>
      <x:c r="K2" s="32" t="n">
        <x:f>IF(J2="","",(1/'Metadata'!$B$5)^(J2-1))</x:f>
        <x:v>396.45489106601656</x:v>
      </x:c>
      <x:c r="L2" s="31" t="n">
        <x:f>IF(E2=0,"",E2*K2)</x:f>
        <x:v>34453.37726882583</x:v>
      </x:c>
      <x:c r="M2" s="31" t="n">
        <x:f>IF(E2=0,"",I2-L2)</x:f>
        <x:v>2.964064569598122</x:v>
      </x:c>
      <x:c r="N2" s="32" t="n">
        <x:f>IF(L2=0,"",I2/L2)</x:f>
        <x:v>1.000086031176174</x:v>
      </x:c>
      <x:c r="O2" s="34" t="n">
        <x:f>IF(L2=0,"",M2/L2)</x:f>
        <x:v>0.00008603117617383978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74.2922279633</x:v>
      </x:c>
      <x:c r="E3" s="31" t="n">
        <x:v>74.2922279633</x:v>
      </x:c>
      <x:c r="F3" s="32" t="n">
        <x:v>0</x:v>
      </x:c>
      <x:c r="G3" s="34" t="n">
        <x:v>1</x:v>
      </x:c>
      <x:c r="H3" s="32" t="n">
        <x:f>IF(E3=0,"",I3/E3)</x:f>
        <x:v>31.622776601683793</x:v>
      </x:c>
      <x:c r="I3" s="31" t="n">
        <x:f>IF(C3=0,"",SUMIF('Species'!$G$2:$G$119,A3,'Species'!$U$2:$U$119))</x:f>
        <x:v>2349.3265281248014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2349.3265281248014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41.638680433</x:v>
      </x:c>
      <x:c r="E4" s="31" t="n">
        <x:v>41.638680433</x:v>
      </x:c>
      <x:c r="F4" s="32" t="n">
        <x:v>0</x:v>
      </x:c>
      <x:c r="G4" s="34" t="n">
        <x:v>1</x:v>
      </x:c>
      <x:c r="H4" s="32" t="n">
        <x:f>IF(E4=0,"",I4/E4)</x:f>
        <x:v>1958.756920143474</x:v>
      </x:c>
      <x:c r="I4" s="31" t="n">
        <x:f>IF(C4=0,"",SUMIF('Species'!$G$2:$G$119,A4,'Species'!$U$2:$U$119))</x:f>
        <x:v>81560.0534437814</x:v>
      </x:c>
      <x:c r="J4" s="32" t="n">
        <x:v>3.8135043977592127</x:v>
      </x:c>
      <x:c r="K4" s="32" t="n">
        <x:f>IF(J4="","",(1/'Metadata'!$B$5)^(J4-1))</x:f>
        <x:v>650.885201810406</x:v>
      </x:c>
      <x:c r="L4" s="31" t="n">
        <x:f>IF(E4=0,"",E4*K4)</x:f>
        <x:v>27102.000916752208</x:v>
      </x:c>
      <x:c r="M4" s="31" t="n">
        <x:f>IF(E4=0,"",I4-L4)</x:f>
        <x:v>54458.0525270292</x:v>
      </x:c>
      <x:c r="N4" s="32" t="n">
        <x:f>IF(L4=0,"",I4/L4)</x:f>
        <x:v>3.009373872220916</x:v>
      </x:c>
      <x:c r="O4" s="34" t="n">
        <x:f>IF(L4=0,"",M4/L4)</x:f>
        <x:v>2.009373872220916</x:v>
      </x:c>
    </x:row>
    <x:row r="5" ht="18" customHeight="1">
      <x:c r="A5" s="24" t="str">
        <x:v>Large demersals (&gt;=90 cm)</x:v>
      </x:c>
      <x:c r="B5" s="33" t="n">
        <x:v>1</x:v>
      </x:c>
      <x:c r="C5" s="33" t="n">
        <x:v>1</x:v>
      </x:c>
      <x:c r="D5" s="31" t="n">
        <x:v>0.16170295419999997</x:v>
      </x:c>
      <x:c r="E5" s="31" t="n">
        <x:v>0.16170295419999997</x:v>
      </x:c>
      <x:c r="F5" s="32" t="n">
        <x:v>0</x:v>
      </x:c>
      <x:c r="G5" s="34" t="n">
        <x:v>1</x:v>
      </x:c>
      <x:c r="H5" s="32" t="n">
        <x:f>IF(E5=0,"",I5/E5)</x:f>
        <x:v>794.3282347242812</x:v>
      </x:c>
      <x:c r="I5" s="31" t="n">
        <x:f>IF(C5=0,"",SUMIF('Species'!$G$2:$G$119,A5,'Species'!$U$2:$U$119))</x:f>
        <x:v>128.44522215938727</x:v>
      </x:c>
      <x:c r="J5" s="32" t="n">
        <x:v>3.9</x:v>
      </x:c>
      <x:c r="K5" s="32" t="n">
        <x:f>IF(J5="","",(1/'Metadata'!$B$5)^(J5-1))</x:f>
        <x:v>794.3282347242813</x:v>
      </x:c>
      <x:c r="L5" s="31" t="n">
        <x:f>IF(E5=0,"",E5*K5)</x:f>
        <x:v>128.44522215938727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20</x:v>
      </x:c>
      <x:c r="C6" s="33" t="n">
        <x:v>20</x:v>
      </x:c>
      <x:c r="D6" s="31" t="n">
        <x:v>2887.1243770501005</x:v>
      </x:c>
      <x:c r="E6" s="31" t="n">
        <x:v>2887.1243770501005</x:v>
      </x:c>
      <x:c r="F6" s="32" t="n">
        <x:v>0</x:v>
      </x:c>
      <x:c r="G6" s="34" t="n">
        <x:v>1</x:v>
      </x:c>
      <x:c r="H6" s="32" t="n">
        <x:f>IF(E6=0,"",I6/E6)</x:f>
        <x:v>2886.858066448095</x:v>
      </x:c>
      <x:c r="I6" s="31" t="n">
        <x:f>IF(C6=0,"",SUMIF('Species'!$G$2:$G$119,A6,'Species'!$U$2:$U$119))</x:f>
        <x:v>8334718.296726014</x:v>
      </x:c>
      <x:c r="J6" s="32" t="n">
        <x:v>4.4566094214906595</x:v>
      </x:c>
      <x:c r="K6" s="32" t="n">
        <x:f>IF(J6="","",(1/'Metadata'!$B$5)^(J6-1))</x:f>
        <x:v>2861.603257310646</x:v>
      </x:c>
      <x:c r="L6" s="31" t="n">
        <x:f>IF(E6=0,"",E6*K6)</x:f>
        <x:v>8261804.521627537</x:v>
      </x:c>
      <x:c r="M6" s="31" t="n">
        <x:f>IF(E6=0,"",I6-L6)</x:f>
        <x:v>72913.77509847749</x:v>
      </x:c>
      <x:c r="N6" s="32" t="n">
        <x:f>IF(L6=0,"",I6/L6)</x:f>
        <x:v>1.0088254055040404</x:v>
      </x:c>
      <x:c r="O6" s="34" t="n">
        <x:f>IF(L6=0,"",M6/L6)</x:f>
        <x:v>0.008825405504040396</x:v>
      </x:c>
    </x:row>
    <x:row r="7" ht="18" customHeight="1">
      <x:c r="A7" s="24" t="str">
        <x:v>Large rays (&gt;=90 cm)</x:v>
      </x:c>
      <x:c r="B7" s="33" t="n">
        <x:v>4</x:v>
      </x:c>
      <x:c r="C7" s="33" t="n">
        <x:v>4</x:v>
      </x:c>
      <x:c r="D7" s="31" t="n">
        <x:v>36.7124415294</x:v>
      </x:c>
      <x:c r="E7" s="31" t="n">
        <x:v>36.7124415294</x:v>
      </x:c>
      <x:c r="F7" s="32" t="n">
        <x:v>0</x:v>
      </x:c>
      <x:c r="G7" s="34" t="n">
        <x:v>1</x:v>
      </x:c>
      <x:c r="H7" s="32" t="n">
        <x:f>IF(E7=0,"",I7/E7)</x:f>
        <x:v>398.400896373437</x:v>
      </x:c>
      <x:c r="I7" s="31" t="n">
        <x:f>IF(C7=0,"",SUMIF('Species'!$G$2:$G$119,A7,'Species'!$U$2:$U$119))</x:f>
        <x:v>14626.269613370354</x:v>
      </x:c>
      <x:c r="J7" s="32" t="n">
        <x:v>3.599817851816157</x:v>
      </x:c>
      <x:c r="K7" s="32" t="n">
        <x:f>IF(J7="","",(1/'Metadata'!$B$5)^(J7-1))</x:f>
        <x:v>397.94023476102524</x:v>
      </x:c>
      <x:c r="L7" s="31" t="n">
        <x:f>IF(E7=0,"",E7*K7)</x:f>
        <x:v>14609.35760085985</x:v>
      </x:c>
      <x:c r="M7" s="31" t="n">
        <x:f>IF(E7=0,"",I7-L7)</x:f>
        <x:v>16.9120125105037</x:v>
      </x:c>
      <x:c r="N7" s="32" t="n">
        <x:f>IF(L7=0,"",I7/L7)</x:f>
        <x:v>1.0011576150692285</x:v>
      </x:c>
      <x:c r="O7" s="34" t="n">
        <x:f>IF(L7=0,"",M7/L7)</x:f>
        <x:v>0.0011576150692285282</x:v>
      </x:c>
    </x:row>
    <x:row r="8" ht="18" customHeight="1">
      <x:c r="A8" s="24" t="str">
        <x:v>Large reef assoc. fish (&gt;=90 cm)</x:v>
      </x:c>
      <x:c r="B8" s="33" t="n">
        <x:v>7</x:v>
      </x:c>
      <x:c r="C8" s="33" t="n">
        <x:v>7</x:v>
      </x:c>
      <x:c r="D8" s="31" t="n">
        <x:v>1502.9189697790002</x:v>
      </x:c>
      <x:c r="E8" s="31" t="n">
        <x:v>1502.9189697790002</x:v>
      </x:c>
      <x:c r="F8" s="32" t="n">
        <x:v>0</x:v>
      </x:c>
      <x:c r="G8" s="34" t="n">
        <x:v>1</x:v>
      </x:c>
      <x:c r="H8" s="32" t="n">
        <x:f>IF(E8=0,"",I8/E8)</x:f>
        <x:v>2891.794329623461</x:v>
      </x:c>
      <x:c r="I8" s="31" t="n">
        <x:f>IF(C8=0,"",SUMIF('Species'!$G$2:$G$119,A8,'Species'!$U$2:$U$119))</x:f>
        <x:v>4346132.554690447</x:v>
      </x:c>
      <x:c r="J8" s="32" t="n">
        <x:v>4.451731523133899</x:v>
      </x:c>
      <x:c r="K8" s="32" t="n">
        <x:f>IF(J8="","",(1/'Metadata'!$B$5)^(J8-1))</x:f>
        <x:v>2829.6421961430747</x:v>
      </x:c>
      <x:c r="L8" s="31" t="n">
        <x:f>IF(E8=0,"",E8*K8)</x:f>
        <x:v>4252722.934270537</x:v>
      </x:c>
      <x:c r="M8" s="31" t="n">
        <x:f>IF(E8=0,"",I8-L8)</x:f>
        <x:v>93409.62041990925</x:v>
      </x:c>
      <x:c r="N8" s="32" t="n">
        <x:f>IF(L8=0,"",I8/L8)</x:f>
        <x:v>1.0219646616682145</x:v>
      </x:c>
      <x:c r="O8" s="34" t="n">
        <x:f>IF(L8=0,"",M8/L8)</x:f>
        <x:v>0.021964661668214612</x:v>
      </x:c>
    </x:row>
    <x:row r="9" ht="18" customHeight="1">
      <x:c r="A9" s="24" t="str">
        <x:v>Large sharks (&gt;=90 cm)</x:v>
      </x:c>
      <x:c r="B9" s="33" t="n">
        <x:v>17</x:v>
      </x:c>
      <x:c r="C9" s="33" t="n">
        <x:v>17</x:v>
      </x:c>
      <x:c r="D9" s="31" t="n">
        <x:v>6150.8984766141</x:v>
      </x:c>
      <x:c r="E9" s="31" t="n">
        <x:v>6150.8984766141</x:v>
      </x:c>
      <x:c r="F9" s="32" t="n">
        <x:v>0</x:v>
      </x:c>
      <x:c r="G9" s="34" t="n">
        <x:v>1</x:v>
      </x:c>
      <x:c r="H9" s="32" t="n">
        <x:f>IF(E9=0,"",I9/E9)</x:f>
        <x:v>2327.0512499850074</x:v>
      </x:c>
      <x:c r="I9" s="31" t="n">
        <x:f>IF(C9=0,"",SUMIF('Species'!$G$2:$G$119,A9,'Species'!$U$2:$U$119))</x:f>
        <x:v>14313455.988535719</x:v>
      </x:c>
      <x:c r="J9" s="32" t="n">
        <x:v>4.358217629309651</x:v>
      </x:c>
      <x:c r="K9" s="32" t="n">
        <x:f>IF(J9="","",(1/'Metadata'!$B$5)^(J9-1))</x:f>
        <x:v>2281.485060583288</x:v>
      </x:c>
      <x:c r="L9" s="31" t="n">
        <x:f>IF(E9=0,"",E9*K9)</x:f>
        <x:v>14033182.983559575</x:v>
      </x:c>
      <x:c r="M9" s="31" t="n">
        <x:f>IF(E9=0,"",I9-L9)</x:f>
        <x:v>280273.00497614406</x:v>
      </x:c>
      <x:c r="N9" s="32" t="n">
        <x:f>IF(L9=0,"",I9/L9)</x:f>
        <x:v>1.0199721620750257</x:v>
      </x:c>
      <x:c r="O9" s="34" t="n">
        <x:f>IF(L9=0,"",M9/L9)</x:f>
        <x:v>0.019972162075025664</x:v>
      </x:c>
    </x:row>
    <x:row r="10" ht="18" customHeight="1">
      <x:c r="A10" s="24" t="str">
        <x:v>Lobsters, crabs</x:v>
      </x:c>
      <x:c r="B10" s="33" t="n">
        <x:v>1</x:v>
      </x:c>
      <x:c r="C10" s="33" t="n">
        <x:v>1</x:v>
      </x:c>
      <x:c r="D10" s="31" t="n">
        <x:v>90.25</x:v>
      </x:c>
      <x:c r="E10" s="31" t="n">
        <x:v>90.25</x:v>
      </x:c>
      <x:c r="F10" s="32" t="n">
        <x:v>0</x:v>
      </x:c>
      <x:c r="G10" s="34" t="n">
        <x:v>1</x:v>
      </x:c>
      <x:c r="H10" s="32" t="n">
        <x:f>IF(E10=0,"",I10/E10)</x:f>
        <x:v>831.7637711026708</x:v>
      </x:c>
      <x:c r="I10" s="31" t="n">
        <x:f>IF(C10=0,"",SUMIF('Species'!$G$2:$G$119,A10,'Species'!$U$2:$U$119))</x:f>
        <x:v>75066.68034201604</x:v>
      </x:c>
      <x:c r="J10" s="32" t="n">
        <x:v>3.9199999999999995</x:v>
      </x:c>
      <x:c r="K10" s="32" t="n">
        <x:f>IF(J10="","",(1/'Metadata'!$B$5)^(J10-1))</x:f>
        <x:v>831.76377110267</x:v>
      </x:c>
      <x:c r="L10" s="31" t="n">
        <x:f>IF(E10=0,"",E10*K10)</x:f>
        <x:v>75066.68034201597</x:v>
      </x:c>
      <x:c r="M10" s="31" t="n">
        <x:f>IF(E10=0,"",I10-L10)</x:f>
        <x:v>7.275957614183426e-11</x:v>
      </x:c>
      <x:c r="N10" s="32" t="n">
        <x:f>IF(L10=0,"",I10/L10)</x:f>
        <x:v>1.0000000000000009</x:v>
      </x:c>
      <x:c r="O10" s="34" t="n">
        <x:f>IF(L10=0,"",M10/L10)</x:f>
        <x:v>9.692659354367321e-16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58.446862012</x:v>
      </x:c>
      <x:c r="E11" s="31" t="n">
        <x:v>58.446862012</x:v>
      </x:c>
      <x:c r="F11" s="32" t="n">
        <x:v>0</x:v>
      </x:c>
      <x:c r="G11" s="34" t="n">
        <x:v>1</x:v>
      </x:c>
      <x:c r="H11" s="32" t="n">
        <x:f>IF(E11=0,"",I11/E11)</x:f>
        <x:v>240.4967352585486</x:v>
      </x:c>
      <x:c r="I11" s="31" t="n">
        <x:f>IF(C11=0,"",SUMIF('Species'!$G$2:$G$119,A11,'Species'!$U$2:$U$119))</x:f>
        <x:v>14056.279499992885</x:v>
      </x:c>
      <x:c r="J11" s="32" t="n">
        <x:v>3.3643158327984866</x:v>
      </x:c>
      <x:c r="K11" s="32" t="n">
        <x:f>IF(J11="","",(1/'Metadata'!$B$5)^(J11-1))</x:f>
        <x:v>231.37468089659754</x:v>
      </x:c>
      <x:c r="L11" s="31" t="n">
        <x:f>IF(E11=0,"",E11*K11)</x:f>
        <x:v>13523.124047433968</x:v>
      </x:c>
      <x:c r="M11" s="31" t="n">
        <x:f>IF(E11=0,"",I11-L11)</x:f>
        <x:v>533.1554525589163</x:v>
      </x:c>
      <x:c r="N11" s="32" t="n">
        <x:f>IF(L11=0,"",I11/L11)</x:f>
        <x:v>1.0394254649065415</x:v>
      </x:c>
      <x:c r="O11" s="34" t="n">
        <x:f>IF(L11=0,"",M11/L11)</x:f>
        <x:v>0.03942546490654157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1942.6656850681</x:v>
      </x:c>
      <x:c r="E12" s="31" t="n">
        <x:v>1942.6656850681</x:v>
      </x:c>
      <x:c r="F12" s="32" t="n">
        <x:v>0</x:v>
      </x:c>
      <x:c r="G12" s="34" t="n">
        <x:v>1</x:v>
      </x:c>
      <x:c r="H12" s="32" t="n">
        <x:f>IF(E12=0,"",I12/E12)</x:f>
        <x:v>228.55758966978786</x:v>
      </x:c>
      <x:c r="I12" s="31" t="n">
        <x:f>IF(C12=0,"",SUMIF('Species'!$G$2:$G$119,A12,'Species'!$U$2:$U$119))</x:f>
        <x:v>444010.9865133721</x:v>
      </x:c>
      <x:c r="J12" s="32" t="n">
        <x:v>3.314728039299801</x:v>
      </x:c>
      <x:c r="K12" s="32" t="n">
        <x:f>IF(J12="","",(1/'Metadata'!$B$5)^(J12-1))</x:f>
        <x:v>206.4087193498245</x:v>
      </x:c>
      <x:c r="L12" s="31" t="n">
        <x:f>IF(E12=0,"",E12*K12)</x:f>
        <x:v>400983.136179756</x:v>
      </x:c>
      <x:c r="M12" s="31" t="n">
        <x:f>IF(E12=0,"",I12-L12)</x:f>
        <x:v>43027.85033361608</x:v>
      </x:c>
      <x:c r="N12" s="32" t="n">
        <x:f>IF(L12=0,"",I12/L12)</x:f>
        <x:v>1.1073058850892104</x:v>
      </x:c>
      <x:c r="O12" s="34" t="n">
        <x:f>IF(L12=0,"",M12/L12)</x:f>
        <x:v>0.10730588508921034</x:v>
      </x:c>
    </x:row>
    <x:row r="13" ht="18" customHeight="1">
      <x:c r="A13" s="24" t="str">
        <x:v>Medium pelagics (30 - 89 cm)</x:v>
      </x:c>
      <x:c r="B13" s="33" t="n">
        <x:v>9</x:v>
      </x:c>
      <x:c r="C13" s="33" t="n">
        <x:v>9</x:v>
      </x:c>
      <x:c r="D13" s="31" t="n">
        <x:v>2655.6813687192</x:v>
      </x:c>
      <x:c r="E13" s="31" t="n">
        <x:v>2655.6813687192</x:v>
      </x:c>
      <x:c r="F13" s="32" t="n">
        <x:v>0</x:v>
      </x:c>
      <x:c r="G13" s="34" t="n">
        <x:v>1</x:v>
      </x:c>
      <x:c r="H13" s="32" t="n">
        <x:f>IF(E13=0,"",I13/E13)</x:f>
        <x:v>820.355620882565</x:v>
      </x:c>
      <x:c r="I13" s="31" t="n">
        <x:f>IF(C13=0,"",SUMIF('Species'!$G$2:$G$119,A13,'Species'!$U$2:$U$119))</x:f>
        <x:v>2178603.138101899</x:v>
      </x:c>
      <x:c r="J13" s="32" t="n">
        <x:v>3.5709651056260645</x:v>
      </x:c>
      <x:c r="K13" s="32" t="n">
        <x:f>IF(J13="","",(1/'Metadata'!$B$5)^(J13-1))</x:f>
        <x:v>372.3617868013572</x:v>
      </x:c>
      <x:c r="L13" s="31" t="n">
        <x:f>IF(E13=0,"",E13*K13)</x:f>
        <x:v>988874.2596313552</x:v>
      </x:c>
      <x:c r="M13" s="31" t="n">
        <x:f>IF(E13=0,"",I13-L13)</x:f>
        <x:v>1189728.8784705438</x:v>
      </x:c>
      <x:c r="N13" s="32" t="n">
        <x:f>IF(L13=0,"",I13/L13)</x:f>
        <x:v>2.203114417109073</x:v>
      </x:c>
      <x:c r="O13" s="34" t="n">
        <x:f>IF(L13=0,"",M13/L13)</x:f>
        <x:v>1.2031144171090729</x:v>
      </x:c>
    </x:row>
    <x:row r="14" ht="18" customHeight="1">
      <x:c r="A14" s="24" t="str">
        <x:v>Medium reef assoc. fish (30 - 89 cm)</x:v>
      </x:c>
      <x:c r="B14" s="33" t="n">
        <x:v>29</x:v>
      </x:c>
      <x:c r="C14" s="33" t="n">
        <x:v>29</x:v>
      </x:c>
      <x:c r="D14" s="31" t="n">
        <x:v>3136.7005675855003</x:v>
      </x:c>
      <x:c r="E14" s="31" t="n">
        <x:v>3136.7005675855003</x:v>
      </x:c>
      <x:c r="F14" s="32" t="n">
        <x:v>0</x:v>
      </x:c>
      <x:c r="G14" s="34" t="n">
        <x:v>1</x:v>
      </x:c>
      <x:c r="H14" s="32" t="n">
        <x:f>IF(E14=0,"",I14/E14)</x:f>
        <x:v>960.6841640946475</x:v>
      </x:c>
      <x:c r="I14" s="31" t="n">
        <x:f>IF(C14=0,"",SUMIF('Species'!$G$2:$G$119,A14,'Species'!$U$2:$U$119))</x:f>
        <x:v>3013378.5627860827</x:v>
      </x:c>
      <x:c r="J14" s="32" t="n">
        <x:v>3.4297986553935305</x:v>
      </x:c>
      <x:c r="K14" s="32" t="n">
        <x:f>IF(J14="","",(1/'Metadata'!$B$5)^(J14-1))</x:f>
        <x:v>269.0287262371851</x:v>
      </x:c>
      <x:c r="L14" s="31" t="n">
        <x:f>IF(E14=0,"",E14*K14)</x:f>
        <x:v>843862.5582849826</x:v>
      </x:c>
      <x:c r="M14" s="31" t="n">
        <x:f>IF(E14=0,"",I14-L14)</x:f>
        <x:v>2169516.0045011</x:v>
      </x:c>
      <x:c r="N14" s="32" t="n">
        <x:f>IF(L14=0,"",I14/L14)</x:f>
        <x:v>3.5709352585927014</x:v>
      </x:c>
      <x:c r="O14" s="34" t="n">
        <x:f>IF(L14=0,"",M14/L14)</x:f>
        <x:v>2.5709352585927014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3.7670509591999997</x:v>
      </x:c>
      <x:c r="E15" s="31" t="n">
        <x:v>3.7670509591999997</x:v>
      </x:c>
      <x:c r="F15" s="32" t="n">
        <x:v>0</x:v>
      </x:c>
      <x:c r="G15" s="34" t="n">
        <x:v>1</x:v>
      </x:c>
      <x:c r="H15" s="32" t="n">
        <x:f>IF(E15=0,"",I15/E15)</x:f>
        <x:v>173.78008287493762</x:v>
      </x:c>
      <x:c r="I15" s="31" t="n">
        <x:f>IF(C15=0,"",SUMIF('Species'!$G$2:$G$119,A15,'Species'!$U$2:$U$119))</x:f>
        <x:v>654.6384278838892</x:v>
      </x:c>
      <x:c r="J15" s="32" t="n">
        <x:v>3.24</x:v>
      </x:c>
      <x:c r="K15" s="32" t="n">
        <x:f>IF(J15="","",(1/'Metadata'!$B$5)^(J15-1))</x:f>
        <x:v>173.78008287493762</x:v>
      </x:c>
      <x:c r="L15" s="31" t="n">
        <x:f>IF(E15=0,"",E15*K15)</x:f>
        <x:v>654.6384278838892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1.9658548138999998</x:v>
      </x:c>
      <x:c r="E16" s="31" t="n">
        <x:v>1.9658548138999998</x:v>
      </x:c>
      <x:c r="F16" s="32" t="n">
        <x:v>0</x:v>
      </x:c>
      <x:c r="G16" s="34" t="n">
        <x:v>1</x:v>
      </x:c>
      <x:c r="H16" s="32" t="n">
        <x:f>IF(E16=0,"",I16/E16)</x:f>
        <x:v>353.5218556005772</x:v>
      </x:c>
      <x:c r="I16" s="31" t="n">
        <x:f>IF(C16=0,"",SUMIF('Species'!$G$2:$G$119,A16,'Species'!$U$2:$U$119))</x:f>
        <x:v>694.9726416512553</x:v>
      </x:c>
      <x:c r="J16" s="32" t="n">
        <x:v>3.5393358405301507</x:v>
      </x:c>
      <x:c r="K16" s="32" t="n">
        <x:f>IF(J16="","",(1/'Metadata'!$B$5)^(J16-1))</x:f>
        <x:v>346.2069966924241</x:v>
      </x:c>
      <x:c r="L16" s="31" t="n">
        <x:f>IF(E16=0,"",E16*K16)</x:f>
        <x:v>680.5926910536633</x:v>
      </x:c>
      <x:c r="M16" s="31" t="n">
        <x:f>IF(E16=0,"",I16-L16)</x:f>
        <x:v>14.379950597592028</x:v>
      </x:c>
      <x:c r="N16" s="32" t="n">
        <x:f>IF(L16=0,"",I16/L16)</x:f>
        <x:v>1.021128570416073</x:v>
      </x:c>
      <x:c r="O16" s="34" t="n">
        <x:f>IF(L16=0,"",M16/L16)</x:f>
        <x:v>0.021128570416073127</x:v>
      </x:c>
    </x:row>
    <x:row r="17" ht="18" customHeight="1">
      <x:c r="A17" s="24" t="str">
        <x:v>Small pelagics (&lt;30 cm)</x:v>
      </x:c>
      <x:c r="B17" s="33" t="n">
        <x:v>2</x:v>
      </x:c>
      <x:c r="C17" s="33" t="n">
        <x:v>2</x:v>
      </x:c>
      <x:c r="D17" s="31" t="n">
        <x:v>3.2481016056</x:v>
      </x:c>
      <x:c r="E17" s="31" t="n">
        <x:v>3.2481016056</x:v>
      </x:c>
      <x:c r="F17" s="32" t="n">
        <x:v>0</x:v>
      </x:c>
      <x:c r="G17" s="34" t="n">
        <x:v>1</x:v>
      </x:c>
      <x:c r="H17" s="32" t="n">
        <x:f>IF(E17=0,"",I17/E17)</x:f>
        <x:v>1729.5456094147191</x:v>
      </x:c>
      <x:c r="I17" s="31" t="n">
        <x:f>IF(C17=0,"",SUMIF('Species'!$G$2:$G$119,A17,'Species'!$U$2:$U$119))</x:f>
        <x:v>5617.73987089838</x:v>
      </x:c>
      <x:c r="J17" s="32" t="n">
        <x:v>4.156408654262573</x:v>
      </x:c>
      <x:c r="K17" s="32" t="n">
        <x:f>IF(J17="","",(1/'Metadata'!$B$5)^(J17-1))</x:f>
        <x:v>1433.5361667709876</x:v>
      </x:c>
      <x:c r="L17" s="31" t="n">
        <x:f>IF(E17=0,"",E17*K17)</x:f>
        <x:v>4656.271124974514</x:v>
      </x:c>
      <x:c r="M17" s="31" t="n">
        <x:f>IF(E17=0,"",I17-L17)</x:f>
        <x:v>961.4687459238658</x:v>
      </x:c>
      <x:c r="N17" s="32" t="n">
        <x:f>IF(L17=0,"",I17/L17)</x:f>
        <x:v>1.2064889951890696</x:v>
      </x:c>
      <x:c r="O17" s="34" t="n">
        <x:f>IF(L17=0,"",M17/L17)</x:f>
        <x:v>0.20648899518906952</x:v>
      </x:c>
    </x:row>
    <x:row r="18" ht="18" customHeight="1">
      <x:c r="A18" s="24" t="str">
        <x:v>Small reef assoc. fish (&lt;30 cm)</x:v>
      </x:c>
      <x:c r="B18" s="33" t="n">
        <x:v>4</x:v>
      </x:c>
      <x:c r="C18" s="33" t="n">
        <x:v>4</x:v>
      </x:c>
      <x:c r="D18" s="31" t="n">
        <x:v>36.312160616300005</x:v>
      </x:c>
      <x:c r="E18" s="31" t="n">
        <x:v>36.312160616300005</x:v>
      </x:c>
      <x:c r="F18" s="32" t="n">
        <x:v>0</x:v>
      </x:c>
      <x:c r="G18" s="34" t="n">
        <x:v>1</x:v>
      </x:c>
      <x:c r="H18" s="32" t="n">
        <x:f>IF(E18=0,"",I18/E18)</x:f>
        <x:v>324.6401184073221</x:v>
      </x:c>
      <x:c r="I18" s="31" t="n">
        <x:f>IF(C18=0,"",SUMIF('Species'!$G$2:$G$119,A18,'Species'!$U$2:$U$119))</x:f>
        <x:v>11788.384122101332</x:v>
      </x:c>
      <x:c r="J18" s="32" t="n">
        <x:v>3.161082940614124</x:v>
      </x:c>
      <x:c r="K18" s="32" t="n">
        <x:f>IF(J18="","",(1/'Metadata'!$B$5)^(J18-1))</x:f>
        <x:v>144.9048563259339</x:v>
      </x:c>
      <x:c r="L18" s="31" t="n">
        <x:f>IF(E18=0,"",E18*K18)</x:f>
        <x:v>5261.808416989188</x:v>
      </x:c>
      <x:c r="M18" s="31" t="n">
        <x:f>IF(E18=0,"",I18-L18)</x:f>
        <x:v>6526.575705112144</x:v>
      </x:c>
      <x:c r="N18" s="32" t="n">
        <x:f>IF(L18=0,"",I18/L18)</x:f>
        <x:v>2.2403674151341786</x:v>
      </x:c>
      <x:c r="O18" s="34" t="n">
        <x:f>IF(L18=0,"",M18/L18)</x:f>
        <x:v>1.2403674151341786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0.5490293397</x:v>
      </x:c>
      <x:c r="E19" s="31" t="n">
        <x:v>0.5490293397</x:v>
      </x:c>
      <x:c r="F19" s="32" t="n">
        <x:v>0</x:v>
      </x:c>
      <x:c r="G19" s="34" t="n">
        <x:v>1</x:v>
      </x:c>
      <x:c r="H19" s="32" t="n">
        <x:f>IF(E19=0,"",I19/E19)</x:f>
        <x:v>141.2537544622754</x:v>
      </x:c>
      <x:c r="I19" s="31" t="n">
        <x:f>IF(C19=0,"",SUMIF('Species'!$G$2:$G$119,A19,'Species'!$U$2:$U$119))</x:f>
        <x:v>77.55245554256899</x:v>
      </x:c>
      <x:c r="J19" s="32" t="n">
        <x:v>3.15</x:v>
      </x:c>
      <x:c r="K19" s="32" t="n">
        <x:f>IF(J19="","",(1/'Metadata'!$B$5)^(J19-1))</x:f>
        <x:v>141.2537544622754</x:v>
      </x:c>
      <x:c r="L19" s="31" t="n">
        <x:f>IF(E19=0,"",E19*K19)</x:f>
        <x:v>77.55245554256899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6778592c38443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EEZ_690</x:v>
      </x:c>
      <x:c r="B2" s="24" t="str">
        <x:v>raw_filtered_tonnes</x:v>
      </x:c>
      <x:c r="C2" s="24" t="n">
        <x:v>18710.237207483602</x:v>
      </x:c>
      <x:c r="D2" s="24" t="str">
        <x:v>tonnes</x:v>
      </x:c>
    </x:row>
    <x:row r="3" ht="18" customHeight="1">
      <x:c r="A3" s="24" t="str">
        <x:v>EEZ_690</x:v>
      </x:c>
      <x:c r="B3" s="24" t="str">
        <x:v>species_catch_tonnes</x:v>
      </x:c>
      <x:c r="C3" s="24" t="n">
        <x:v>18710.237207483602</x:v>
      </x:c>
      <x:c r="D3" s="24" t="str">
        <x:v>tonnes</x:v>
      </x:c>
    </x:row>
    <x:row r="4" ht="18" customHeight="1">
      <x:c r="A4" s="24" t="str">
        <x:v>EEZ_690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EEZ_690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EEZ_690</x:v>
      </x:c>
      <x:c r="B6" s="24" t="str">
        <x:v>matched_catch_tonnes</x:v>
      </x:c>
      <x:c r="C6" s="24" t="n">
        <x:v>18710.237207483602</x:v>
      </x:c>
      <x:c r="D6" s="24" t="str">
        <x:v>tonnes</x:v>
      </x:c>
    </x:row>
    <x:row r="7" ht="18" customHeight="1">
      <x:c r="A7" s="24" t="str">
        <x:v>EEZ_690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EEZ_690</x:v>
      </x:c>
      <x:c r="B8" s="24" t="str">
        <x:v>taxa_count</x:v>
      </x:c>
      <x:c r="C8" s="24" t="n">
        <x:v>118</x:v>
      </x:c>
      <x:c r="D8" s="24" t="str">
        <x:v>count</x:v>
      </x:c>
    </x:row>
    <x:row r="9" ht="18" customHeight="1">
      <x:c r="A9" s="24" t="str">
        <x:v>EEZ_690</x:v>
      </x:c>
      <x:c r="B9" s="24" t="str">
        <x:v>matched_taxa_count</x:v>
      </x:c>
      <x:c r="C9" s="24" t="n">
        <x:v>118</x:v>
      </x:c>
      <x:c r="D9" s="24" t="str">
        <x:v>count</x:v>
      </x:c>
    </x:row>
    <x:row r="10" ht="18" customHeight="1">
      <x:c r="A10" s="24" t="str">
        <x:v>EEZ_690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EEZ_690</x:v>
      </x:c>
      <x:c r="B11" s="24" t="str">
        <x:v>species_ppr</x:v>
      </x:c>
      <x:c r="C11" s="24" t="n">
        <x:v>32871376.210854456</x:v>
      </x:c>
      <x:c r="D11" s="24" t="str">
        <x:v>tonnes_primary_production_equivalent</x:v>
      </x:c>
    </x:row>
    <x:row r="12" ht="18" customHeight="1">
      <x:c r="A12" s="24" t="str">
        <x:v>EEZ_690</x:v>
      </x:c>
      <x:c r="B12" s="24" t="str">
        <x:v>commercial_ppr</x:v>
      </x:c>
      <x:c r="C12" s="24" t="n">
        <x:v>32871376.21085445</x:v>
      </x:c>
      <x:c r="D12" s="24" t="str">
        <x:v>tonnes_primary_production_equivalent</x:v>
      </x:c>
    </x:row>
    <x:row r="13" ht="18" customHeight="1">
      <x:c r="A13" s="24" t="str">
        <x:v>EEZ_690</x:v>
      </x:c>
      <x:c r="B13" s="24" t="str">
        <x:v>functional_ppr</x:v>
      </x:c>
      <x:c r="C13" s="24" t="n">
        <x:v>32871376.21085445</x:v>
      </x:c>
      <x:c r="D13" s="24" t="str">
        <x:v>tonnes_primary_production_equivalent</x:v>
      </x:c>
    </x:row>
    <x:row r="14" ht="18" customHeight="1">
      <x:c r="A14" s="24" t="str">
        <x:v>EEZ_690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EEZ_690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EEZ_690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EEZ_690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EEZ_690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EEZ_690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cd716d56b6f42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EEZ_690 - Seychelles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EEZ_690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raw_data/SAU_downloads/EEZ_690-catch.zip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