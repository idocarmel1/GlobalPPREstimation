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395d6ccb5a49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399fe90d182343cd"/>
    <x:sheet xmlns:r="http://schemas.openxmlformats.org/officeDocument/2006/relationships" name="Commercial" sheetId="2" r:id="R82201cc95f254d6c"/>
    <x:sheet xmlns:r="http://schemas.openxmlformats.org/officeDocument/2006/relationships" name="Functional" sheetId="3" r:id="R1baf7dc3e8c54e7a"/>
    <x:sheet xmlns:r="http://schemas.openxmlformats.org/officeDocument/2006/relationships" name="Missing TL" sheetId="4" r:id="R3058cee29d574399"/>
    <x:sheet xmlns:r="http://schemas.openxmlformats.org/officeDocument/2006/relationships" name="Validation" sheetId="5" r:id="R9fb962ceea1f4d0d"/>
    <x:sheet xmlns:r="http://schemas.openxmlformats.org/officeDocument/2006/relationships" name="Metadata" sheetId="6" r:id="R9a6e59003b864c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28f0b9f40847e1" /><Relationship Type="http://schemas.openxmlformats.org/officeDocument/2006/relationships/theme" Target="/xl/theme/theme1.xml" Id="R062708b0807b4c54" /><Relationship Type="http://schemas.microsoft.com/office/2022/11/relationships/FeaturePropertyBag" Target="/xl/featurePropertyBag/featurePropertyBag.xml" Id="R72e21106274b4e36" /><Relationship Type="http://schemas.openxmlformats.org/officeDocument/2006/relationships/sharedStrings" Target="/xl/sharedStrings.xml" Id="R3554ae5036d64d96" /><Relationship Type="http://schemas.openxmlformats.org/officeDocument/2006/relationships/worksheet" Target="/xl/worksheets/sheet1.xml" Id="R399fe90d182343cd" /><Relationship Type="http://schemas.openxmlformats.org/officeDocument/2006/relationships/worksheet" Target="/xl/worksheets/sheet2.xml" Id="R82201cc95f254d6c" /><Relationship Type="http://schemas.openxmlformats.org/officeDocument/2006/relationships/worksheet" Target="/xl/worksheets/sheet3.xml" Id="R1baf7dc3e8c54e7a" /><Relationship Type="http://schemas.openxmlformats.org/officeDocument/2006/relationships/worksheet" Target="/xl/worksheets/sheet4.xml" Id="R3058cee29d574399" /><Relationship Type="http://schemas.openxmlformats.org/officeDocument/2006/relationships/worksheet" Target="/xl/worksheets/sheet5.xml" Id="R9fb962ceea1f4d0d" /><Relationship Type="http://schemas.openxmlformats.org/officeDocument/2006/relationships/worksheet" Target="/xl/worksheets/sheet6.xml" Id="R9a6e59003b864c9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855SpeciesTable" displayName="EEZ855SpeciesTable" ref="A1:U11" headerRowCount="1" totalsRowCount="0" totalsRowShown="0">
  <x:autoFilter ref="A1:U1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855CommercialTable" displayName="EEZ855CommercialTable" ref="A1:O5" headerRowCount="1" totalsRowCount="0" totalsRowShown="0">
  <x:autoFilter ref="A1:O5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855FunctionalTable" displayName="EEZ855FunctionalTable" ref="A1:O9" headerRowCount="1" totalsRowCount="0" totalsRowShown="0">
  <x:autoFilter ref="A1:O9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855ValidationTable" displayName="EEZ855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a50d6145fe49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da6eb8df5f0415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13ac82ce47e4a9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35227793334463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EEZ_855</x:v>
      </x:c>
      <x:c r="B2" s="24" t="str">
        <x:v>Ascension Isl. (UK)</x:v>
      </x:c>
      <x:c r="C2" s="24" t="str">
        <x:v>EEZ</x:v>
      </x:c>
      <x:c r="D2" s="30" t="n">
        <x:v>2019</x:v>
      </x:c>
      <x:c r="E2" s="24" t="str">
        <x:v>Scombridae</x:v>
      </x:c>
      <x:c r="F2" s="24" t="str">
        <x:v>Mackerels, tunas, bonitos</x:v>
      </x:c>
      <x:c r="G2" s="24" t="str">
        <x:v>Medium pelagics (30 - 89 cm)</x:v>
      </x:c>
      <x:c r="H2" s="24" t="str">
        <x:v>Perch-likes</x:v>
      </x:c>
      <x:c r="I2" s="31" t="n">
        <x:v>20.2966937</x:v>
      </x:c>
      <x:c r="J2" s="31" t="n">
        <x:v>20.2966937</x:v>
      </x:c>
      <x:c r="K2" s="31" t="n">
        <x:v>0</x:v>
      </x:c>
      <x:c r="L2" s="31" t="n">
        <x:v>0</x:v>
      </x:c>
      <x:c r="M2" s="31" t="n">
        <x:v>20.2966937</x:v>
      </x:c>
      <x:c r="N2" s="24" t="str">
        <x:v>scombridae</x:v>
      </x:c>
      <x:c r="O2" s="32" t="n">
        <x:v>4.26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Scombridae</x:v>
      </x:c>
      <x:c r="T2" s="32" t="n">
        <x:f>IF(O2="","",(1/'Metadata'!$B$5)^(O2-1))</x:f>
        <x:v>1819.7008586099826</x:v>
      </x:c>
      <x:c r="U2" s="31" t="n">
        <x:f>IF(T2="","",I2*T2)</x:f>
        <x:v>36933.91095283382</x:v>
      </x:c>
    </x:row>
    <x:row r="3" ht="18" customHeight="1">
      <x:c r="A3" s="24" t="str">
        <x:v>EEZ_855</x:v>
      </x:c>
      <x:c r="B3" s="24" t="str">
        <x:v>Ascension Isl. (UK)</x:v>
      </x:c>
      <x:c r="C3" s="24" t="str">
        <x:v>EEZ</x:v>
      </x:c>
      <x:c r="D3" s="30" t="n">
        <x:v>2019</x:v>
      </x:c>
      <x:c r="E3" s="24" t="str">
        <x:v>Priacanthidae</x:v>
      </x:c>
      <x:c r="F3" s="24" t="str">
        <x:v>Bigeyes, catalufas</x:v>
      </x:c>
      <x:c r="G3" s="24" t="str">
        <x:v>Medium reef assoc. fish (30 - 89 cm)</x:v>
      </x:c>
      <x:c r="H3" s="24" t="str">
        <x:v>Perch-likes</x:v>
      </x:c>
      <x:c r="I3" s="31" t="n">
        <x:v>9.319757708</x:v>
      </x:c>
      <x:c r="J3" s="31" t="n">
        <x:v>9.319757708</x:v>
      </x:c>
      <x:c r="K3" s="31" t="n">
        <x:v>0</x:v>
      </x:c>
      <x:c r="L3" s="31" t="n">
        <x:v>0</x:v>
      </x:c>
      <x:c r="M3" s="31" t="n">
        <x:v>9.319757708</x:v>
      </x:c>
      <x:c r="N3" s="24" t="str">
        <x:v>priacanthidae</x:v>
      </x:c>
      <x:c r="O3" s="32" t="n">
        <x:v>3.79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Priacanthidae</x:v>
      </x:c>
      <x:c r="T3" s="32" t="n">
        <x:f>IF(O3="","",(1/'Metadata'!$B$5)^(O3-1))</x:f>
        <x:v>616.5950018614822</x:v>
      </x:c>
      <x:c r="U3" s="31" t="n">
        <x:f>IF(T3="","",I3*T3)</x:f>
        <x:v>5746.516021312822</x:v>
      </x:c>
    </x:row>
    <x:row r="4" ht="18" customHeight="1">
      <x:c r="A4" s="24" t="str">
        <x:v>EEZ_855</x:v>
      </x:c>
      <x:c r="B4" s="24" t="str">
        <x:v>Ascension Isl. (UK)</x:v>
      </x:c>
      <x:c r="C4" s="24" t="str">
        <x:v>EEZ</x:v>
      </x:c>
      <x:c r="D4" s="30" t="n">
        <x:v>2019</x:v>
      </x:c>
      <x:c r="E4" s="24" t="str">
        <x:v>Carcharhinidae</x:v>
      </x:c>
      <x:c r="F4" s="24" t="str">
        <x:v>Requiem sharks</x:v>
      </x:c>
      <x:c r="G4" s="24" t="str">
        <x:v>Large sharks (&gt;=90 cm)</x:v>
      </x:c>
      <x:c r="H4" s="24" t="str">
        <x:v>Sharks &amp; rays</x:v>
      </x:c>
      <x:c r="I4" s="31" t="n">
        <x:v>1.148683856</x:v>
      </x:c>
      <x:c r="J4" s="31" t="n">
        <x:v>1.148683856</x:v>
      </x:c>
      <x:c r="K4" s="31" t="n">
        <x:v>0</x:v>
      </x:c>
      <x:c r="L4" s="31" t="n">
        <x:v>0</x:v>
      </x:c>
      <x:c r="M4" s="31" t="n">
        <x:v>1.148683856</x:v>
      </x:c>
      <x:c r="N4" s="24" t="str">
        <x:v>carcharhinidae</x:v>
      </x:c>
      <x:c r="O4" s="32" t="n">
        <x:v>4.24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Carcharhinidae</x:v>
      </x:c>
      <x:c r="T4" s="32" t="n">
        <x:f>IF(O4="","",(1/'Metadata'!$B$5)^(O4-1))</x:f>
        <x:v>1737.8008287493763</x:v>
      </x:c>
      <x:c r="U4" s="31" t="n">
        <x:f>IF(T4="","",I4*T4)</x:f>
        <x:v>1996.1837569278289</x:v>
      </x:c>
    </x:row>
    <x:row r="5" ht="18" customHeight="1">
      <x:c r="A5" s="24" t="str">
        <x:v>EEZ_855</x:v>
      </x:c>
      <x:c r="B5" s="24" t="str">
        <x:v>Ascension Isl. (UK)</x:v>
      </x:c>
      <x:c r="C5" s="24" t="str">
        <x:v>EEZ</x:v>
      </x:c>
      <x:c r="D5" s="30" t="n">
        <x:v>2019</x:v>
      </x:c>
      <x:c r="E5" s="24" t="str">
        <x:v>Carangidae</x:v>
      </x:c>
      <x:c r="F5" s="24" t="str">
        <x:v>Jacks, pompanos</x:v>
      </x:c>
      <x:c r="G5" s="24" t="str">
        <x:v>Medium pelagics (30 - 89 cm)</x:v>
      </x:c>
      <x:c r="H5" s="24" t="str">
        <x:v>Perch-likes</x:v>
      </x:c>
      <x:c r="I5" s="31" t="n">
        <x:v>0.795463724</x:v>
      </x:c>
      <x:c r="J5" s="31" t="n">
        <x:v>0.795463724</x:v>
      </x:c>
      <x:c r="K5" s="31" t="n">
        <x:v>0</x:v>
      </x:c>
      <x:c r="L5" s="31" t="n">
        <x:v>0</x:v>
      </x:c>
      <x:c r="M5" s="31" t="n">
        <x:v>0.795463724</x:v>
      </x:c>
      <x:c r="N5" s="24" t="str">
        <x:v>carangidae</x:v>
      </x:c>
      <x:c r="O5" s="32" t="n">
        <x:v>4.05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Carangidae</x:v>
      </x:c>
      <x:c r="T5" s="32" t="n">
        <x:f>IF(O5="","",(1/'Metadata'!$B$5)^(O5-1))</x:f>
        <x:v>1122.018454301963</x:v>
      </x:c>
      <x:c r="U5" s="31" t="n">
        <x:f>IF(T5="","",I5*T5)</x:f>
        <x:v>892.5249780557632</x:v>
      </x:c>
    </x:row>
    <x:row r="6" ht="18" customHeight="1">
      <x:c r="A6" s="24" t="str">
        <x:v>EEZ_855</x:v>
      </x:c>
      <x:c r="B6" s="24" t="str">
        <x:v>Ascension Isl. (UK)</x:v>
      </x:c>
      <x:c r="C6" s="24" t="str">
        <x:v>EEZ</x:v>
      </x:c>
      <x:c r="D6" s="30" t="n">
        <x:v>2019</x:v>
      </x:c>
      <x:c r="E6" s="24" t="str">
        <x:v>Serranidae</x:v>
      </x:c>
      <x:c r="F6" s="24" t="str">
        <x:v>Basses, groupers, hinds</x:v>
      </x:c>
      <x:c r="G6" s="24" t="str">
        <x:v>Medium reef assoc. fish (30 - 89 cm)</x:v>
      </x:c>
      <x:c r="H6" s="24" t="str">
        <x:v>Perch-likes</x:v>
      </x:c>
      <x:c r="I6" s="31" t="n">
        <x:v>0.335329088</x:v>
      </x:c>
      <x:c r="J6" s="31" t="n">
        <x:v>0.335329088</x:v>
      </x:c>
      <x:c r="K6" s="31" t="n">
        <x:v>0</x:v>
      </x:c>
      <x:c r="L6" s="31" t="n">
        <x:v>0</x:v>
      </x:c>
      <x:c r="M6" s="31" t="n">
        <x:v>0.335329088</x:v>
      </x:c>
      <x:c r="N6" s="24" t="str">
        <x:v>serranidae</x:v>
      </x:c>
      <x:c r="O6" s="32" t="n">
        <x:v>3.98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Serranidae</x:v>
      </x:c>
      <x:c r="T6" s="32" t="n">
        <x:f>IF(O6="","",(1/'Metadata'!$B$5)^(O6-1))</x:f>
        <x:v>954.992586021436</x:v>
      </x:c>
      <x:c r="U6" s="31" t="n">
        <x:f>IF(T6="","",I6*T6)</x:f>
        <x:v>320.23679291732964</x:v>
      </x:c>
    </x:row>
    <x:row r="7" ht="18" customHeight="1">
      <x:c r="A7" s="24" t="str">
        <x:v>EEZ_855</x:v>
      </x:c>
      <x:c r="B7" s="24" t="str">
        <x:v>Ascension Isl. (UK)</x:v>
      </x:c>
      <x:c r="C7" s="24" t="str">
        <x:v>EEZ</x:v>
      </x:c>
      <x:c r="D7" s="30" t="n">
        <x:v>2019</x:v>
      </x:c>
      <x:c r="E7" s="24" t="str">
        <x:v>Sparidae</x:v>
      </x:c>
      <x:c r="F7" s="24" t="str">
        <x:v>Porgies, seabreams</x:v>
      </x:c>
      <x:c r="G7" s="24" t="str">
        <x:v>Medium benthopelagics (30 - 89 cm)</x:v>
      </x:c>
      <x:c r="H7" s="24" t="str">
        <x:v>Perch-likes</x:v>
      </x:c>
      <x:c r="I7" s="31" t="n">
        <x:v>0.280986128</x:v>
      </x:c>
      <x:c r="J7" s="31" t="n">
        <x:v>0.280986128</x:v>
      </x:c>
      <x:c r="K7" s="31" t="n">
        <x:v>0</x:v>
      </x:c>
      <x:c r="L7" s="31" t="n">
        <x:v>0</x:v>
      </x:c>
      <x:c r="M7" s="31" t="n">
        <x:v>0.280986128</x:v>
      </x:c>
      <x:c r="N7" s="24" t="str">
        <x:v>sparidae</x:v>
      </x:c>
      <x:c r="O7" s="32" t="n">
        <x:v>3.31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Sparidae</x:v>
      </x:c>
      <x:c r="T7" s="32" t="n">
        <x:f>IF(O7="","",(1/'Metadata'!$B$5)^(O7-1))</x:f>
        <x:v>204.17379446695296</x:v>
      </x:c>
      <x:c r="U7" s="31" t="n">
        <x:f>IF(T7="","",I7*T7)</x:f>
        <x:v>57.37000394633694</x:v>
      </x:c>
    </x:row>
    <x:row r="8" ht="18" customHeight="1">
      <x:c r="A8" s="24" t="str">
        <x:v>EEZ_855</x:v>
      </x:c>
      <x:c r="B8" s="24" t="str">
        <x:v>Ascension Isl. (UK)</x:v>
      </x:c>
      <x:c r="C8" s="24" t="str">
        <x:v>EEZ</x:v>
      </x:c>
      <x:c r="D8" s="30" t="n">
        <x:v>2019</x:v>
      </x:c>
      <x:c r="E8" s="24" t="str">
        <x:v>Xiphiidae</x:v>
      </x:c>
      <x:c r="F8" s="24" t="str">
        <x:v>Swordfishes</x:v>
      </x:c>
      <x:c r="G8" s="24" t="str">
        <x:v>Large pelagics (&gt;=90 cm)</x:v>
      </x:c>
      <x:c r="H8" s="24" t="str">
        <x:v>Tuna &amp; billfishes</x:v>
      </x:c>
      <x:c r="I8" s="31" t="n">
        <x:v>0.267277508</x:v>
      </x:c>
      <x:c r="J8" s="31" t="n">
        <x:v>0.267277508</x:v>
      </x:c>
      <x:c r="K8" s="31" t="n">
        <x:v>0</x:v>
      </x:c>
      <x:c r="L8" s="31" t="n">
        <x:v>0</x:v>
      </x:c>
      <x:c r="M8" s="31" t="n">
        <x:v>0.267277508</x:v>
      </x:c>
      <x:c r="N8" s="24" t="str">
        <x:v>xiphiidae</x:v>
      </x:c>
      <x:c r="O8" s="32" t="n">
        <x:v>4.5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Xiphiidae</x:v>
      </x:c>
      <x:c r="T8" s="32" t="n">
        <x:f>IF(O8="","",(1/'Metadata'!$B$5)^(O8-1))</x:f>
        <x:v>3162.2776601683795</x:v>
      </x:c>
      <x:c r="U8" s="31" t="n">
        <x:f>IF(T8="","",I8*T8)</x:f>
        <x:v>845.2056926138753</x:v>
      </x:c>
    </x:row>
    <x:row r="9" ht="18" customHeight="1">
      <x:c r="A9" s="24" t="str">
        <x:v>EEZ_855</x:v>
      </x:c>
      <x:c r="B9" s="24" t="str">
        <x:v>Ascension Isl. (UK)</x:v>
      </x:c>
      <x:c r="C9" s="24" t="str">
        <x:v>EEZ</x:v>
      </x:c>
      <x:c r="D9" s="30" t="n">
        <x:v>2019</x:v>
      </x:c>
      <x:c r="E9" s="24" t="str">
        <x:v>Marine fishes not identified</x:v>
      </x:c>
      <x:c r="F9" s="24" t="str">
        <x:v>Marine fishes nei</x:v>
      </x:c>
      <x:c r="G9" s="24" t="str">
        <x:v>Medium demersals (30 - 89 cm)</x:v>
      </x:c>
      <x:c r="H9" s="24" t="str">
        <x:v>Other fishes &amp; inverts</x:v>
      </x:c>
      <x:c r="I9" s="31" t="n">
        <x:v>0.16397989</x:v>
      </x:c>
      <x:c r="J9" s="31" t="n">
        <x:v>0.16397989</x:v>
      </x:c>
      <x:c r="K9" s="31" t="n">
        <x:v>0</x:v>
      </x:c>
      <x:c r="L9" s="31" t="n">
        <x:v>0</x:v>
      </x:c>
      <x:c r="M9" s="31" t="n">
        <x:v>0.16397989</x:v>
      </x:c>
      <x:c r="N9" s="24" t="str">
        <x:v>marine fishes not identified</x:v>
      </x:c>
      <x:c r="O9" s="32" t="n">
        <x:v>3.28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Marine fishes not identified</x:v>
      </x:c>
      <x:c r="T9" s="32" t="n">
        <x:f>IF(O9="","",(1/'Metadata'!$B$5)^(O9-1))</x:f>
        <x:v>190.54607179632464</x:v>
      </x:c>
      <x:c r="U9" s="31" t="n">
        <x:f>IF(T9="","",I9*T9)</x:f>
        <x:v>31.245723893093416</x:v>
      </x:c>
    </x:row>
    <x:row r="10" ht="18" customHeight="1">
      <x:c r="A10" s="24" t="str">
        <x:v>EEZ_855</x:v>
      </x:c>
      <x:c r="B10" s="24" t="str">
        <x:v>Ascension Isl. (UK)</x:v>
      </x:c>
      <x:c r="C10" s="24" t="str">
        <x:v>EEZ</x:v>
      </x:c>
      <x:c r="D10" s="30" t="n">
        <x:v>2019</x:v>
      </x:c>
      <x:c r="E10" s="24" t="str">
        <x:v>Muraenidae</x:v>
      </x:c>
      <x:c r="F10" s="24" t="str">
        <x:v>Moray eels</x:v>
      </x:c>
      <x:c r="G10" s="24" t="str">
        <x:v>Large reef assoc. fish (&gt;=90 cm)</x:v>
      </x:c>
      <x:c r="H10" s="24" t="str">
        <x:v>Other fishes &amp; inverts</x:v>
      </x:c>
      <x:c r="I10" s="31" t="n">
        <x:v>0.11709906</x:v>
      </x:c>
      <x:c r="J10" s="31" t="n">
        <x:v>0.11709906</x:v>
      </x:c>
      <x:c r="K10" s="31" t="n">
        <x:v>0</x:v>
      </x:c>
      <x:c r="L10" s="31" t="n">
        <x:v>0</x:v>
      </x:c>
      <x:c r="M10" s="31" t="n">
        <x:v>0.11709906</x:v>
      </x:c>
      <x:c r="N10" s="24" t="str">
        <x:v>muraenidae</x:v>
      </x:c>
      <x:c r="O10" s="32" t="n">
        <x:v>4.07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Muraenidae</x:v>
      </x:c>
      <x:c r="T10" s="32" t="n">
        <x:f>IF(O10="","",(1/'Metadata'!$B$5)^(O10-1))</x:f>
        <x:v>1174.8975549395302</x:v>
      </x:c>
      <x:c r="U10" s="31" t="n">
        <x:f>IF(T10="","",I10*T10)</x:f>
        <x:v>137.57939927971734</x:v>
      </x:c>
    </x:row>
    <x:row r="11" ht="18" customHeight="1">
      <x:c r="A11" s="24" t="str">
        <x:v>EEZ_855</x:v>
      </x:c>
      <x:c r="B11" s="24" t="str">
        <x:v>Ascension Isl. (UK)</x:v>
      </x:c>
      <x:c r="C11" s="24" t="str">
        <x:v>EEZ</x:v>
      </x:c>
      <x:c r="D11" s="30" t="n">
        <x:v>2019</x:v>
      </x:c>
      <x:c r="E11" s="24" t="str">
        <x:v>Holocentridae</x:v>
      </x:c>
      <x:c r="F11" s="24" t="str">
        <x:v>Squirrel-, soldierfishes</x:v>
      </x:c>
      <x:c r="G11" s="24" t="str">
        <x:v>Small reef assoc. fish (&lt;30 cm)</x:v>
      </x:c>
      <x:c r="H11" s="24" t="str">
        <x:v>Other fishes &amp; inverts</x:v>
      </x:c>
      <x:c r="I11" s="31" t="n">
        <x:v>0.038729342</x:v>
      </x:c>
      <x:c r="J11" s="31" t="n">
        <x:v>0.038729342</x:v>
      </x:c>
      <x:c r="K11" s="31" t="n">
        <x:v>0</x:v>
      </x:c>
      <x:c r="L11" s="31" t="n">
        <x:v>0</x:v>
      </x:c>
      <x:c r="M11" s="31" t="n">
        <x:v>0.038729342</x:v>
      </x:c>
      <x:c r="N11" s="24" t="str">
        <x:v>holocentridae</x:v>
      </x:c>
      <x:c r="O11" s="32" t="n">
        <x:v>3.49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Holocentridae</x:v>
      </x:c>
      <x:c r="T11" s="32" t="n">
        <x:f>IF(O11="","",(1/'Metadata'!$B$5)^(O11-1))</x:f>
        <x:v>309.0295432513592</x:v>
      </x:c>
      <x:c r="U11" s="31" t="n">
        <x:f>IF(T11="","",I11*T11)</x:f>
        <x:v>11.968510868685682</x:v>
      </x:c>
    </x:row>
  </x:sheetData>
  <x:conditionalFormatting sqref="R2:R1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48a50d6145fe494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Other fishes &amp; inverts</x:v>
      </x:c>
      <x:c r="B2" s="33" t="n">
        <x:v>3</x:v>
      </x:c>
      <x:c r="C2" s="33" t="n">
        <x:v>3</x:v>
      </x:c>
      <x:c r="D2" s="31" t="n">
        <x:v>0.319808292</x:v>
      </x:c>
      <x:c r="E2" s="31" t="n">
        <x:v>0.319808292</x:v>
      </x:c>
      <x:c r="F2" s="32" t="n">
        <x:v>0</x:v>
      </x:c>
      <x:c r="G2" s="34" t="n">
        <x:v>1</x:v>
      </x:c>
      <x:c r="H2" s="32" t="n">
        <x:f>IF(E2=0,"",I2/E2)</x:f>
        <x:v>565.3187817953652</x:v>
      </x:c>
      <x:c r="I2" s="31" t="n">
        <x:f>IF(C2=0,"",SUMIF('Species'!$H$2:$H$11,A2,'Species'!$U$2:$U$11))</x:f>
        <x:v>180.79363404149643</x:v>
      </x:c>
      <x:c r="J2" s="32" t="n">
        <x:v>3.594692963683381</x:v>
      </x:c>
      <x:c r="K2" s="32" t="n">
        <x:f>IF(J2="","",(1/'Metadata'!$B$5)^(J2-1))</x:f>
        <x:v>393.2719428357059</x:v>
      </x:c>
      <x:c r="L2" s="31" t="n">
        <x:f>IF(E2=0,"",E2*K2)</x:f>
        <x:v>125.77162832980873</x:v>
      </x:c>
      <x:c r="M2" s="31" t="n">
        <x:f>IF(E2=0,"",I2-L2)</x:f>
        <x:v>55.0220057116877</x:v>
      </x:c>
      <x:c r="N2" s="32" t="n">
        <x:f>IF(L2=0,"",I2/L2)</x:f>
        <x:v>1.437475497791954</x:v>
      </x:c>
      <x:c r="O2" s="34" t="n">
        <x:f>IF(L2=0,"",M2/L2)</x:f>
        <x:v>0.437475497791954</x:v>
      </x:c>
    </x:row>
    <x:row r="3" ht="18" customHeight="1">
      <x:c r="A3" s="24" t="str">
        <x:v>Perch-likes</x:v>
      </x:c>
      <x:c r="B3" s="33" t="n">
        <x:v>5</x:v>
      </x:c>
      <x:c r="C3" s="33" t="n">
        <x:v>5</x:v>
      </x:c>
      <x:c r="D3" s="31" t="n">
        <x:v>31.028230347999997</x:v>
      </x:c>
      <x:c r="E3" s="31" t="n">
        <x:v>31.028230347999997</x:v>
      </x:c>
      <x:c r="F3" s="32" t="n">
        <x:v>0</x:v>
      </x:c>
      <x:c r="G3" s="34" t="n">
        <x:v>1</x:v>
      </x:c>
      <x:c r="H3" s="32" t="n">
        <x:f>IF(E3=0,"",I3/E3)</x:f>
        <x:v>1416.4700421562718</x:v>
      </x:c>
      <x:c r="I3" s="31" t="n">
        <x:f>IF(C3=0,"",SUMIF('Species'!$H$2:$H$11,A3,'Species'!$U$2:$U$11))</x:f>
        <x:v>43950.55874906607</x:v>
      </x:c>
      <x:c r="J3" s="32" t="n">
        <x:v>4.101816229414567</x:v>
      </x:c>
      <x:c r="K3" s="32" t="n">
        <x:f>IF(J3="","",(1/'Metadata'!$B$5)^(J3-1))</x:f>
        <x:v>1264.2012907726032</x:v>
      </x:c>
      <x:c r="L3" s="31" t="n">
        <x:f>IF(E3=0,"",E3*K3)</x:f>
        <x:v>39225.92885633126</x:v>
      </x:c>
      <x:c r="M3" s="31" t="n">
        <x:f>IF(E3=0,"",I3-L3)</x:f>
        <x:v>4724.629892734811</x:v>
      </x:c>
      <x:c r="N3" s="32" t="n">
        <x:f>IF(L3=0,"",I3/L3)</x:f>
        <x:v>1.1204466033179028</x:v>
      </x:c>
      <x:c r="O3" s="34" t="n">
        <x:f>IF(L3=0,"",M3/L3)</x:f>
        <x:v>0.12044660331790287</x:v>
      </x:c>
    </x:row>
    <x:row r="4" ht="18" customHeight="1">
      <x:c r="A4" s="24" t="str">
        <x:v>Sharks &amp; rays</x:v>
      </x:c>
      <x:c r="B4" s="33" t="n">
        <x:v>1</x:v>
      </x:c>
      <x:c r="C4" s="33" t="n">
        <x:v>1</x:v>
      </x:c>
      <x:c r="D4" s="31" t="n">
        <x:v>1.148683856</x:v>
      </x:c>
      <x:c r="E4" s="31" t="n">
        <x:v>1.148683856</x:v>
      </x:c>
      <x:c r="F4" s="32" t="n">
        <x:v>0</x:v>
      </x:c>
      <x:c r="G4" s="34" t="n">
        <x:v>1</x:v>
      </x:c>
      <x:c r="H4" s="32" t="n">
        <x:f>IF(E4=0,"",I4/E4)</x:f>
        <x:v>1737.8008287493763</x:v>
      </x:c>
      <x:c r="I4" s="31" t="n">
        <x:f>IF(C4=0,"",SUMIF('Species'!$H$2:$H$11,A4,'Species'!$U$2:$U$11))</x:f>
        <x:v>1996.1837569278289</x:v>
      </x:c>
      <x:c r="J4" s="32" t="n">
        <x:v>4.24</x:v>
      </x:c>
      <x:c r="K4" s="32" t="n">
        <x:f>IF(J4="","",(1/'Metadata'!$B$5)^(J4-1))</x:f>
        <x:v>1737.8008287493763</x:v>
      </x:c>
      <x:c r="L4" s="31" t="n">
        <x:f>IF(E4=0,"",E4*K4)</x:f>
        <x:v>1996.1837569278289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Tuna &amp; billfishes</x:v>
      </x:c>
      <x:c r="B5" s="33" t="n">
        <x:v>1</x:v>
      </x:c>
      <x:c r="C5" s="33" t="n">
        <x:v>1</x:v>
      </x:c>
      <x:c r="D5" s="31" t="n">
        <x:v>0.267277508</x:v>
      </x:c>
      <x:c r="E5" s="31" t="n">
        <x:v>0.267277508</x:v>
      </x:c>
      <x:c r="F5" s="32" t="n">
        <x:v>0</x:v>
      </x:c>
      <x:c r="G5" s="34" t="n">
        <x:v>1</x:v>
      </x:c>
      <x:c r="H5" s="32" t="n">
        <x:f>IF(E5=0,"",I5/E5)</x:f>
        <x:v>3162.2776601683795</x:v>
      </x:c>
      <x:c r="I5" s="31" t="n">
        <x:f>IF(C5=0,"",SUMIF('Species'!$H$2:$H$11,A5,'Species'!$U$2:$U$11))</x:f>
        <x:v>845.2056926138753</x:v>
      </x:c>
      <x:c r="J5" s="32" t="n">
        <x:v>4.5</x:v>
      </x:c>
      <x:c r="K5" s="32" t="n">
        <x:f>IF(J5="","",(1/'Metadata'!$B$5)^(J5-1))</x:f>
        <x:v>3162.2776601683795</x:v>
      </x:c>
      <x:c r="L5" s="31" t="n">
        <x:f>IF(E5=0,"",E5*K5)</x:f>
        <x:v>845.2056926138753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</x:sheetData>
  <x:conditionalFormatting sqref="G2:G5">
    <x:cfRule type="cellIs" dxfId="1" priority="1" operator="lessThan">
      <x:formula>0.9</x:formula>
    </x:cfRule>
  </x:conditionalFormatting>
  <x:conditionalFormatting sqref="O2:O5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5da6eb8df5f0415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pelagics (&gt;=90 cm)</x:v>
      </x:c>
      <x:c r="B2" s="33" t="n">
        <x:v>1</x:v>
      </x:c>
      <x:c r="C2" s="33" t="n">
        <x:v>1</x:v>
      </x:c>
      <x:c r="D2" s="31" t="n">
        <x:v>0.267277508</x:v>
      </x:c>
      <x:c r="E2" s="31" t="n">
        <x:v>0.267277508</x:v>
      </x:c>
      <x:c r="F2" s="32" t="n">
        <x:v>0</x:v>
      </x:c>
      <x:c r="G2" s="34" t="n">
        <x:v>1</x:v>
      </x:c>
      <x:c r="H2" s="32" t="n">
        <x:f>IF(E2=0,"",I2/E2)</x:f>
        <x:v>3162.2776601683795</x:v>
      </x:c>
      <x:c r="I2" s="31" t="n">
        <x:f>IF(C2=0,"",SUMIF('Species'!$G$2:$G$11,A2,'Species'!$U$2:$U$11))</x:f>
        <x:v>845.2056926138753</x:v>
      </x:c>
      <x:c r="J2" s="32" t="n">
        <x:v>4.5</x:v>
      </x:c>
      <x:c r="K2" s="32" t="n">
        <x:f>IF(J2="","",(1/'Metadata'!$B$5)^(J2-1))</x:f>
        <x:v>3162.2776601683795</x:v>
      </x:c>
      <x:c r="L2" s="31" t="n">
        <x:f>IF(E2=0,"",E2*K2)</x:f>
        <x:v>845.2056926138753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Large reef assoc. fish (&gt;=90 cm)</x:v>
      </x:c>
      <x:c r="B3" s="33" t="n">
        <x:v>1</x:v>
      </x:c>
      <x:c r="C3" s="33" t="n">
        <x:v>1</x:v>
      </x:c>
      <x:c r="D3" s="31" t="n">
        <x:v>0.11709906</x:v>
      </x:c>
      <x:c r="E3" s="31" t="n">
        <x:v>0.11709906</x:v>
      </x:c>
      <x:c r="F3" s="32" t="n">
        <x:v>0</x:v>
      </x:c>
      <x:c r="G3" s="34" t="n">
        <x:v>1</x:v>
      </x:c>
      <x:c r="H3" s="32" t="n">
        <x:f>IF(E3=0,"",I3/E3)</x:f>
        <x:v>1174.89755493953</x:v>
      </x:c>
      <x:c r="I3" s="31" t="n">
        <x:f>IF(C3=0,"",SUMIF('Species'!$G$2:$G$11,A3,'Species'!$U$2:$U$11))</x:f>
        <x:v>137.57939927971734</x:v>
      </x:c>
      <x:c r="J3" s="32" t="n">
        <x:v>4.07</x:v>
      </x:c>
      <x:c r="K3" s="32" t="n">
        <x:f>IF(J3="","",(1/'Metadata'!$B$5)^(J3-1))</x:f>
        <x:v>1174.8975549395302</x:v>
      </x:c>
      <x:c r="L3" s="31" t="n">
        <x:f>IF(E3=0,"",E3*K3)</x:f>
        <x:v>137.57939927971734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Large sharks (&gt;=90 cm)</x:v>
      </x:c>
      <x:c r="B4" s="33" t="n">
        <x:v>1</x:v>
      </x:c>
      <x:c r="C4" s="33" t="n">
        <x:v>1</x:v>
      </x:c>
      <x:c r="D4" s="31" t="n">
        <x:v>1.148683856</x:v>
      </x:c>
      <x:c r="E4" s="31" t="n">
        <x:v>1.148683856</x:v>
      </x:c>
      <x:c r="F4" s="32" t="n">
        <x:v>0</x:v>
      </x:c>
      <x:c r="G4" s="34" t="n">
        <x:v>1</x:v>
      </x:c>
      <x:c r="H4" s="32" t="n">
        <x:f>IF(E4=0,"",I4/E4)</x:f>
        <x:v>1737.8008287493763</x:v>
      </x:c>
      <x:c r="I4" s="31" t="n">
        <x:f>IF(C4=0,"",SUMIF('Species'!$G$2:$G$11,A4,'Species'!$U$2:$U$11))</x:f>
        <x:v>1996.1837569278289</x:v>
      </x:c>
      <x:c r="J4" s="32" t="n">
        <x:v>4.24</x:v>
      </x:c>
      <x:c r="K4" s="32" t="n">
        <x:f>IF(J4="","",(1/'Metadata'!$B$5)^(J4-1))</x:f>
        <x:v>1737.8008287493763</x:v>
      </x:c>
      <x:c r="L4" s="31" t="n">
        <x:f>IF(E4=0,"",E4*K4)</x:f>
        <x:v>1996.1837569278289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Medium benthopelagics (30 - 89 cm)</x:v>
      </x:c>
      <x:c r="B5" s="33" t="n">
        <x:v>1</x:v>
      </x:c>
      <x:c r="C5" s="33" t="n">
        <x:v>1</x:v>
      </x:c>
      <x:c r="D5" s="31" t="n">
        <x:v>0.280986128</x:v>
      </x:c>
      <x:c r="E5" s="31" t="n">
        <x:v>0.280986128</x:v>
      </x:c>
      <x:c r="F5" s="32" t="n">
        <x:v>0</x:v>
      </x:c>
      <x:c r="G5" s="34" t="n">
        <x:v>1</x:v>
      </x:c>
      <x:c r="H5" s="32" t="n">
        <x:f>IF(E5=0,"",I5/E5)</x:f>
        <x:v>204.17379446695296</x:v>
      </x:c>
      <x:c r="I5" s="31" t="n">
        <x:f>IF(C5=0,"",SUMIF('Species'!$G$2:$G$11,A5,'Species'!$U$2:$U$11))</x:f>
        <x:v>57.37000394633694</x:v>
      </x:c>
      <x:c r="J5" s="32" t="n">
        <x:v>3.31</x:v>
      </x:c>
      <x:c r="K5" s="32" t="n">
        <x:f>IF(J5="","",(1/'Metadata'!$B$5)^(J5-1))</x:f>
        <x:v>204.17379446695296</x:v>
      </x:c>
      <x:c r="L5" s="31" t="n">
        <x:f>IF(E5=0,"",E5*K5)</x:f>
        <x:v>57.37000394633694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Medium demersals (30 - 89 cm)</x:v>
      </x:c>
      <x:c r="B6" s="33" t="n">
        <x:v>1</x:v>
      </x:c>
      <x:c r="C6" s="33" t="n">
        <x:v>1</x:v>
      </x:c>
      <x:c r="D6" s="31" t="n">
        <x:v>0.16397989</x:v>
      </x:c>
      <x:c r="E6" s="31" t="n">
        <x:v>0.16397989</x:v>
      </x:c>
      <x:c r="F6" s="32" t="n">
        <x:v>0</x:v>
      </x:c>
      <x:c r="G6" s="34" t="n">
        <x:v>1</x:v>
      </x:c>
      <x:c r="H6" s="32" t="n">
        <x:f>IF(E6=0,"",I6/E6)</x:f>
        <x:v>190.54607179632464</x:v>
      </x:c>
      <x:c r="I6" s="31" t="n">
        <x:f>IF(C6=0,"",SUMIF('Species'!$G$2:$G$11,A6,'Species'!$U$2:$U$11))</x:f>
        <x:v>31.245723893093416</x:v>
      </x:c>
      <x:c r="J6" s="32" t="n">
        <x:v>3.28</x:v>
      </x:c>
      <x:c r="K6" s="32" t="n">
        <x:f>IF(J6="","",(1/'Metadata'!$B$5)^(J6-1))</x:f>
        <x:v>190.54607179632464</x:v>
      </x:c>
      <x:c r="L6" s="31" t="n">
        <x:f>IF(E6=0,"",E6*K6)</x:f>
        <x:v>31.245723893093416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Medium pelagics (30 - 89 cm)</x:v>
      </x:c>
      <x:c r="B7" s="33" t="n">
        <x:v>2</x:v>
      </x:c>
      <x:c r="C7" s="33" t="n">
        <x:v>2</x:v>
      </x:c>
      <x:c r="D7" s="31" t="n">
        <x:v>21.092157424</x:v>
      </x:c>
      <x:c r="E7" s="31" t="n">
        <x:v>21.092157424</x:v>
      </x:c>
      <x:c r="F7" s="32" t="n">
        <x:v>0</x:v>
      </x:c>
      <x:c r="G7" s="34" t="n">
        <x:v>1</x:v>
      </x:c>
      <x:c r="H7" s="32" t="n">
        <x:f>IF(E7=0,"",I7/E7)</x:f>
        <x:v>1793.38865960901</x:v>
      </x:c>
      <x:c r="I7" s="31" t="n">
        <x:f>IF(C7=0,"",SUMIF('Species'!$G$2:$G$11,A7,'Species'!$U$2:$U$11))</x:f>
        <x:v>37826.43593088959</x:v>
      </x:c>
      <x:c r="J7" s="32" t="n">
        <x:v>4.252080118753052</x:v>
      </x:c>
      <x:c r="K7" s="32" t="n">
        <x:f>IF(J7="","",(1/'Metadata'!$B$5)^(J7-1))</x:f>
        <x:v>1786.817176921735</x:v>
      </x:c>
      <x:c r="L7" s="31" t="n">
        <x:f>IF(E7=0,"",E7*K7)</x:f>
        <x:v>37687.82918354049</x:v>
      </x:c>
      <x:c r="M7" s="31" t="n">
        <x:f>IF(E7=0,"",I7-L7)</x:f>
        <x:v>138.60674734909844</x:v>
      </x:c>
      <x:c r="N7" s="32" t="n">
        <x:f>IF(L7=0,"",I7/L7)</x:f>
        <x:v>1.0036777588508503</x:v>
      </x:c>
      <x:c r="O7" s="34" t="n">
        <x:f>IF(L7=0,"",M7/L7)</x:f>
        <x:v>0.0036777588508502515</x:v>
      </x:c>
    </x:row>
    <x:row r="8" ht="18" customHeight="1">
      <x:c r="A8" s="24" t="str">
        <x:v>Medium reef assoc. fish (30 - 89 cm)</x:v>
      </x:c>
      <x:c r="B8" s="33" t="n">
        <x:v>2</x:v>
      </x:c>
      <x:c r="C8" s="33" t="n">
        <x:v>2</x:v>
      </x:c>
      <x:c r="D8" s="31" t="n">
        <x:v>9.655086795999999</x:v>
      </x:c>
      <x:c r="E8" s="31" t="n">
        <x:v>9.655086795999999</x:v>
      </x:c>
      <x:c r="F8" s="32" t="n">
        <x:v>0</x:v>
      </x:c>
      <x:c r="G8" s="34" t="n">
        <x:v>1</x:v>
      </x:c>
      <x:c r="H8" s="32" t="n">
        <x:f>IF(E8=0,"",I8/E8)</x:f>
        <x:v>628.3478276698189</x:v>
      </x:c>
      <x:c r="I8" s="31" t="n">
        <x:f>IF(C8=0,"",SUMIF('Species'!$G$2:$G$11,A8,'Species'!$U$2:$U$11))</x:f>
        <x:v>6066.752814230152</x:v>
      </x:c>
      <x:c r="J8" s="32" t="n">
        <x:v>3.7965988559260175</x:v>
      </x:c>
      <x:c r="K8" s="32" t="n">
        <x:f>IF(J8="","",(1/'Metadata'!$B$5)^(J8-1))</x:f>
        <x:v>626.0353484882127</x:v>
      </x:c>
      <x:c r="L8" s="31" t="n">
        <x:f>IF(E8=0,"",E8*K8)</x:f>
        <x:v>6044.4256270178</x:v>
      </x:c>
      <x:c r="M8" s="31" t="n">
        <x:f>IF(E8=0,"",I8-L8)</x:f>
        <x:v>22.32718721235142</x:v>
      </x:c>
      <x:c r="N8" s="32" t="n">
        <x:f>IF(L8=0,"",I8/L8)</x:f>
        <x:v>1.0036938476192927</x:v>
      </x:c>
      <x:c r="O8" s="34" t="n">
        <x:f>IF(L8=0,"",M8/L8)</x:f>
        <x:v>0.003693847619292689</x:v>
      </x:c>
    </x:row>
    <x:row r="9" ht="18" customHeight="1">
      <x:c r="A9" s="24" t="str">
        <x:v>Small reef assoc. fish (&lt;30 cm)</x:v>
      </x:c>
      <x:c r="B9" s="33" t="n">
        <x:v>1</x:v>
      </x:c>
      <x:c r="C9" s="33" t="n">
        <x:v>1</x:v>
      </x:c>
      <x:c r="D9" s="31" t="n">
        <x:v>0.038729342</x:v>
      </x:c>
      <x:c r="E9" s="31" t="n">
        <x:v>0.038729342</x:v>
      </x:c>
      <x:c r="F9" s="32" t="n">
        <x:v>0</x:v>
      </x:c>
      <x:c r="G9" s="34" t="n">
        <x:v>1</x:v>
      </x:c>
      <x:c r="H9" s="32" t="n">
        <x:f>IF(E9=0,"",I9/E9)</x:f>
        <x:v>309.0295432513592</x:v>
      </x:c>
      <x:c r="I9" s="31" t="n">
        <x:f>IF(C9=0,"",SUMIF('Species'!$G$2:$G$11,A9,'Species'!$U$2:$U$11))</x:f>
        <x:v>11.968510868685682</x:v>
      </x:c>
      <x:c r="J9" s="32" t="n">
        <x:v>3.49</x:v>
      </x:c>
      <x:c r="K9" s="32" t="n">
        <x:f>IF(J9="","",(1/'Metadata'!$B$5)^(J9-1))</x:f>
        <x:v>309.0295432513592</x:v>
      </x:c>
      <x:c r="L9" s="31" t="n">
        <x:f>IF(E9=0,"",E9*K9)</x:f>
        <x:v>11.968510868685682</x:v>
      </x:c>
      <x:c r="M9" s="31" t="n">
        <x:f>IF(E9=0,"",I9-L9)</x:f>
        <x:v>0</x:v>
      </x:c>
      <x:c r="N9" s="32" t="n">
        <x:f>IF(L9=0,"",I9/L9)</x:f>
        <x:v>1</x:v>
      </x:c>
      <x:c r="O9" s="34" t="n">
        <x:f>IF(L9=0,"",M9/L9)</x:f>
        <x:v>0</x:v>
      </x:c>
    </x:row>
  </x:sheetData>
  <x:conditionalFormatting sqref="G2:G9">
    <x:cfRule type="cellIs" dxfId="2" priority="1" operator="lessThan">
      <x:formula>0.9</x:formula>
    </x:cfRule>
  </x:conditionalFormatting>
  <x:conditionalFormatting sqref="O2:O9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113ac82ce47e4a9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EEZ_855</x:v>
      </x:c>
      <x:c r="B2" s="24" t="str">
        <x:v>raw_filtered_tonnes</x:v>
      </x:c>
      <x:c r="C2" s="24" t="n">
        <x:v>32.764000003999996</x:v>
      </x:c>
      <x:c r="D2" s="24" t="str">
        <x:v>tonnes</x:v>
      </x:c>
    </x:row>
    <x:row r="3" ht="18" customHeight="1">
      <x:c r="A3" s="24" t="str">
        <x:v>EEZ_855</x:v>
      </x:c>
      <x:c r="B3" s="24" t="str">
        <x:v>species_catch_tonnes</x:v>
      </x:c>
      <x:c r="C3" s="24" t="n">
        <x:v>32.764000004</x:v>
      </x:c>
      <x:c r="D3" s="24" t="str">
        <x:v>tonnes</x:v>
      </x:c>
    </x:row>
    <x:row r="4" ht="18" customHeight="1">
      <x:c r="A4" s="24" t="str">
        <x:v>EEZ_855</x:v>
      </x:c>
      <x:c r="B4" s="24" t="str">
        <x:v>catch_difference_tonnes</x:v>
      </x:c>
      <x:c r="C4" s="24" t="n">
        <x:v>7.105427357601002e-15</x:v>
      </x:c>
      <x:c r="D4" s="24" t="str">
        <x:v>tonnes</x:v>
      </x:c>
    </x:row>
    <x:row r="5" ht="18" customHeight="1">
      <x:c r="A5" s="24" t="str">
        <x:v>EEZ_855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EEZ_855</x:v>
      </x:c>
      <x:c r="B6" s="24" t="str">
        <x:v>matched_catch_tonnes</x:v>
      </x:c>
      <x:c r="C6" s="24" t="n">
        <x:v>32.764000004</x:v>
      </x:c>
      <x:c r="D6" s="24" t="str">
        <x:v>tonnes</x:v>
      </x:c>
    </x:row>
    <x:row r="7" ht="18" customHeight="1">
      <x:c r="A7" s="24" t="str">
        <x:v>EEZ_855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EEZ_855</x:v>
      </x:c>
      <x:c r="B8" s="24" t="str">
        <x:v>taxa_count</x:v>
      </x:c>
      <x:c r="C8" s="24" t="n">
        <x:v>10</x:v>
      </x:c>
      <x:c r="D8" s="24" t="str">
        <x:v>count</x:v>
      </x:c>
    </x:row>
    <x:row r="9" ht="18" customHeight="1">
      <x:c r="A9" s="24" t="str">
        <x:v>EEZ_855</x:v>
      </x:c>
      <x:c r="B9" s="24" t="str">
        <x:v>matched_taxa_count</x:v>
      </x:c>
      <x:c r="C9" s="24" t="n">
        <x:v>10</x:v>
      </x:c>
      <x:c r="D9" s="24" t="str">
        <x:v>count</x:v>
      </x:c>
    </x:row>
    <x:row r="10" ht="18" customHeight="1">
      <x:c r="A10" s="24" t="str">
        <x:v>EEZ_855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EEZ_855</x:v>
      </x:c>
      <x:c r="B11" s="24" t="str">
        <x:v>species_ppr</x:v>
      </x:c>
      <x:c r="C11" s="24" t="n">
        <x:v>46972.74183264927</x:v>
      </x:c>
      <x:c r="D11" s="24" t="str">
        <x:v>tonnes_primary_production_equivalent</x:v>
      </x:c>
    </x:row>
    <x:row r="12" ht="18" customHeight="1">
      <x:c r="A12" s="24" t="str">
        <x:v>EEZ_855</x:v>
      </x:c>
      <x:c r="B12" s="24" t="str">
        <x:v>commercial_ppr</x:v>
      </x:c>
      <x:c r="C12" s="24" t="n">
        <x:v>46972.74183264927</x:v>
      </x:c>
      <x:c r="D12" s="24" t="str">
        <x:v>tonnes_primary_production_equivalent</x:v>
      </x:c>
    </x:row>
    <x:row r="13" ht="18" customHeight="1">
      <x:c r="A13" s="24" t="str">
        <x:v>EEZ_855</x:v>
      </x:c>
      <x:c r="B13" s="24" t="str">
        <x:v>functional_ppr</x:v>
      </x:c>
      <x:c r="C13" s="24" t="n">
        <x:v>46972.74183264928</x:v>
      </x:c>
      <x:c r="D13" s="24" t="str">
        <x:v>tonnes_primary_production_equivalent</x:v>
      </x:c>
    </x:row>
    <x:row r="14" ht="18" customHeight="1">
      <x:c r="A14" s="24" t="str">
        <x:v>EEZ_855</x:v>
      </x:c>
      <x:c r="B14" s="24" t="str">
        <x:v>commercial_ppr_difference</x:v>
      </x:c>
      <x:c r="C14" s="24" t="n">
        <x:v>0</x:v>
      </x:c>
      <x:c r="D14" s="24" t="str">
        <x:v>tonnes_primary_production_equivalent</x:v>
      </x:c>
    </x:row>
    <x:row r="15" ht="18" customHeight="1">
      <x:c r="A15" s="24" t="str">
        <x:v>EEZ_855</x:v>
      </x:c>
      <x:c r="B15" s="24" t="str">
        <x:v>functional_ppr_difference</x:v>
      </x:c>
      <x:c r="C15" s="24" t="n">
        <x:v>7.275957614183426e-12</x:v>
      </x:c>
      <x:c r="D15" s="24" t="str">
        <x:v>tonnes_primary_production_equivalent</x:v>
      </x:c>
    </x:row>
    <x:row r="16" ht="18" customHeight="1">
      <x:c r="A16" s="24" t="str">
        <x:v>EEZ_855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EEZ_855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EEZ_855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EEZ_855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035227793334463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EEZ_855 - Ascension Isl. (UK)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EEZ_855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raw_data/SAU_downloads/EEZ_855-catch.zip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