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bdf5e29dc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23d1487d8d84d76"/>
    <x:sheet xmlns:r="http://schemas.openxmlformats.org/officeDocument/2006/relationships" name="Commercial" sheetId="2" r:id="R535248d2d42742d4"/>
    <x:sheet xmlns:r="http://schemas.openxmlformats.org/officeDocument/2006/relationships" name="Functional" sheetId="3" r:id="Rc2d22cbc92ae4a46"/>
    <x:sheet xmlns:r="http://schemas.openxmlformats.org/officeDocument/2006/relationships" name="Missing TL" sheetId="4" r:id="R638a9fdf00424f8d"/>
    <x:sheet xmlns:r="http://schemas.openxmlformats.org/officeDocument/2006/relationships" name="Validation" sheetId="5" r:id="Rf9b6cdcf409c4dc8"/>
    <x:sheet xmlns:r="http://schemas.openxmlformats.org/officeDocument/2006/relationships" name="Metadata" sheetId="6" r:id="R793828e31f82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dfbaff7de42c5" /><Relationship Type="http://schemas.openxmlformats.org/officeDocument/2006/relationships/theme" Target="/xl/theme/theme1.xml" Id="Ra3fa445faaaf4618" /><Relationship Type="http://schemas.microsoft.com/office/2022/11/relationships/FeaturePropertyBag" Target="/xl/featurePropertyBag/featurePropertyBag.xml" Id="Rb01d9b6802744d52" /><Relationship Type="http://schemas.openxmlformats.org/officeDocument/2006/relationships/sharedStrings" Target="/xl/sharedStrings.xml" Id="Rf94aecd530514ad5" /><Relationship Type="http://schemas.openxmlformats.org/officeDocument/2006/relationships/worksheet" Target="/xl/worksheets/sheet1.xml" Id="R723d1487d8d84d76" /><Relationship Type="http://schemas.openxmlformats.org/officeDocument/2006/relationships/worksheet" Target="/xl/worksheets/sheet2.xml" Id="R535248d2d42742d4" /><Relationship Type="http://schemas.openxmlformats.org/officeDocument/2006/relationships/worksheet" Target="/xl/worksheets/sheet3.xml" Id="Rc2d22cbc92ae4a46" /><Relationship Type="http://schemas.openxmlformats.org/officeDocument/2006/relationships/worksheet" Target="/xl/worksheets/sheet4.xml" Id="R638a9fdf00424f8d" /><Relationship Type="http://schemas.openxmlformats.org/officeDocument/2006/relationships/worksheet" Target="/xl/worksheets/sheet5.xml" Id="Rf9b6cdcf409c4dc8" /><Relationship Type="http://schemas.openxmlformats.org/officeDocument/2006/relationships/worksheet" Target="/xl/worksheets/sheet6.xml" Id="R793828e31f8246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5SpeciesTable" displayName="EEZ855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5CommercialTable" displayName="EEZ855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5FunctionalTable" displayName="EEZ855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5ValidationTable" displayName="EEZ85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af9798abd44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e6331875d243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e85994350b4c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663f4651ed4b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EEZ_855</x:v>
      </x:c>
      <x:c r="B2" s="24" t="str">
        <x:v>Ascension Isl. (UK)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20.2966937</x:v>
      </x:c>
      <x:c r="J2" s="31" t="n">
        <x:v>20.2966937</x:v>
      </x:c>
      <x:c r="K2" s="31" t="n">
        <x:v>0</x:v>
      </x:c>
      <x:c r="L2" s="31" t="n">
        <x:v>0</x:v>
      </x:c>
      <x:c r="M2" s="31" t="n">
        <x:v>20.2966937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36933.91095283382</x:v>
      </x:c>
    </x:row>
    <x:row r="3" ht="18" customHeight="1">
      <x:c r="A3" s="24" t="str">
        <x:v>EEZ_855</x:v>
      </x:c>
      <x:c r="B3" s="24" t="str">
        <x:v>Ascension Isl. (UK)</x:v>
      </x:c>
      <x:c r="C3" s="24" t="str">
        <x:v>EEZ</x:v>
      </x:c>
      <x:c r="D3" s="30" t="n">
        <x:v>2019</x:v>
      </x:c>
      <x:c r="E3" s="24" t="str">
        <x:v>Priacanthidae</x:v>
      </x:c>
      <x:c r="F3" s="24" t="str">
        <x:v>Bigeyes, catalufas</x:v>
      </x:c>
      <x:c r="G3" s="24" t="str">
        <x:v>Medium reef assoc. fish (30 - 89 cm)</x:v>
      </x:c>
      <x:c r="H3" s="24" t="str">
        <x:v>Perch-likes</x:v>
      </x:c>
      <x:c r="I3" s="31" t="n">
        <x:v>9.319757708</x:v>
      </x:c>
      <x:c r="J3" s="31" t="n">
        <x:v>9.319757708</x:v>
      </x:c>
      <x:c r="K3" s="31" t="n">
        <x:v>0</x:v>
      </x:c>
      <x:c r="L3" s="31" t="n">
        <x:v>0</x:v>
      </x:c>
      <x:c r="M3" s="31" t="n">
        <x:v>9.319757708</x:v>
      </x:c>
      <x:c r="N3" s="24" t="str">
        <x:v>priacanthidae</x:v>
      </x:c>
      <x:c r="O3" s="32" t="n">
        <x:v>3.79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Priacanthidae</x:v>
      </x:c>
      <x:c r="T3" s="32" t="n">
        <x:f>IF(O3="","",(1/'Metadata'!$B$5)^(O3-1))</x:f>
        <x:v>616.5950018614822</x:v>
      </x:c>
      <x:c r="U3" s="31" t="n">
        <x:f>IF(T3="","",I3*T3)</x:f>
        <x:v>5746.516021312822</x:v>
      </x:c>
    </x:row>
    <x:row r="4" ht="18" customHeight="1">
      <x:c r="A4" s="24" t="str">
        <x:v>EEZ_855</x:v>
      </x:c>
      <x:c r="B4" s="24" t="str">
        <x:v>Ascension Isl. (UK)</x:v>
      </x:c>
      <x:c r="C4" s="24" t="str">
        <x:v>EEZ</x:v>
      </x:c>
      <x:c r="D4" s="30" t="n">
        <x:v>2019</x:v>
      </x:c>
      <x:c r="E4" s="24" t="str">
        <x:v>Carcharhinidae</x:v>
      </x:c>
      <x:c r="F4" s="24" t="str">
        <x:v>Requiem sharks</x:v>
      </x:c>
      <x:c r="G4" s="24" t="str">
        <x:v>Large sharks (&gt;=90 cm)</x:v>
      </x:c>
      <x:c r="H4" s="24" t="str">
        <x:v>Sharks &amp; rays</x:v>
      </x:c>
      <x:c r="I4" s="31" t="n">
        <x:v>1.148683856</x:v>
      </x:c>
      <x:c r="J4" s="31" t="n">
        <x:v>1.148683856</x:v>
      </x:c>
      <x:c r="K4" s="31" t="n">
        <x:v>0</x:v>
      </x:c>
      <x:c r="L4" s="31" t="n">
        <x:v>0</x:v>
      </x:c>
      <x:c r="M4" s="31" t="n">
        <x:v>1.148683856</x:v>
      </x:c>
      <x:c r="N4" s="24" t="str">
        <x:v>carcharhinidae</x:v>
      </x:c>
      <x:c r="O4" s="32" t="n">
        <x:v>4.24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Carcharhinidae</x:v>
      </x:c>
      <x:c r="T4" s="32" t="n">
        <x:f>IF(O4="","",(1/'Metadata'!$B$5)^(O4-1))</x:f>
        <x:v>1737.8008287493763</x:v>
      </x:c>
      <x:c r="U4" s="31" t="n">
        <x:f>IF(T4="","",I4*T4)</x:f>
        <x:v>1996.1837569278289</x:v>
      </x:c>
    </x:row>
    <x:row r="5" ht="18" customHeight="1">
      <x:c r="A5" s="24" t="str">
        <x:v>EEZ_855</x:v>
      </x:c>
      <x:c r="B5" s="24" t="str">
        <x:v>Ascension Isl. (UK)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0.795463724</x:v>
      </x:c>
      <x:c r="J5" s="31" t="n">
        <x:v>0.795463724</x:v>
      </x:c>
      <x:c r="K5" s="31" t="n">
        <x:v>0</x:v>
      </x:c>
      <x:c r="L5" s="31" t="n">
        <x:v>0</x:v>
      </x:c>
      <x:c r="M5" s="31" t="n">
        <x:v>0.795463724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892.5249780557632</x:v>
      </x:c>
    </x:row>
    <x:row r="6" ht="18" customHeight="1">
      <x:c r="A6" s="24" t="str">
        <x:v>EEZ_855</x:v>
      </x:c>
      <x:c r="B6" s="24" t="str">
        <x:v>Ascension Isl. (UK)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0.335329088</x:v>
      </x:c>
      <x:c r="J6" s="31" t="n">
        <x:v>0.335329088</x:v>
      </x:c>
      <x:c r="K6" s="31" t="n">
        <x:v>0</x:v>
      </x:c>
      <x:c r="L6" s="31" t="n">
        <x:v>0</x:v>
      </x:c>
      <x:c r="M6" s="31" t="n">
        <x:v>0.335329088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320.23679291732964</x:v>
      </x:c>
    </x:row>
    <x:row r="7" ht="18" customHeight="1">
      <x:c r="A7" s="24" t="str">
        <x:v>EEZ_855</x:v>
      </x:c>
      <x:c r="B7" s="24" t="str">
        <x:v>Ascension Isl. (UK)</x:v>
      </x:c>
      <x:c r="C7" s="24" t="str">
        <x:v>EEZ</x:v>
      </x:c>
      <x:c r="D7" s="30" t="n">
        <x:v>2019</x:v>
      </x:c>
      <x:c r="E7" s="24" t="str">
        <x:v>Sparidae</x:v>
      </x:c>
      <x:c r="F7" s="24" t="str">
        <x:v>Porgies, seabreams</x:v>
      </x:c>
      <x:c r="G7" s="24" t="str">
        <x:v>Medium benthopelagics (30 - 89 cm)</x:v>
      </x:c>
      <x:c r="H7" s="24" t="str">
        <x:v>Perch-likes</x:v>
      </x:c>
      <x:c r="I7" s="31" t="n">
        <x:v>0.280986128</x:v>
      </x:c>
      <x:c r="J7" s="31" t="n">
        <x:v>0.280986128</x:v>
      </x:c>
      <x:c r="K7" s="31" t="n">
        <x:v>0</x:v>
      </x:c>
      <x:c r="L7" s="31" t="n">
        <x:v>0</x:v>
      </x:c>
      <x:c r="M7" s="31" t="n">
        <x:v>0.280986128</x:v>
      </x:c>
      <x:c r="N7" s="24" t="str">
        <x:v>sparidae</x:v>
      </x:c>
      <x:c r="O7" s="32" t="n">
        <x:v>3.31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Sparidae</x:v>
      </x:c>
      <x:c r="T7" s="32" t="n">
        <x:f>IF(O7="","",(1/'Metadata'!$B$5)^(O7-1))</x:f>
        <x:v>204.17379446695296</x:v>
      </x:c>
      <x:c r="U7" s="31" t="n">
        <x:f>IF(T7="","",I7*T7)</x:f>
        <x:v>57.37000394633694</x:v>
      </x:c>
    </x:row>
    <x:row r="8" ht="18" customHeight="1">
      <x:c r="A8" s="24" t="str">
        <x:v>EEZ_855</x:v>
      </x:c>
      <x:c r="B8" s="24" t="str">
        <x:v>Ascension Isl. (UK)</x:v>
      </x:c>
      <x:c r="C8" s="24" t="str">
        <x:v>EEZ</x:v>
      </x:c>
      <x:c r="D8" s="30" t="n">
        <x:v>2019</x:v>
      </x:c>
      <x:c r="E8" s="24" t="str">
        <x:v>Xiphiidae</x:v>
      </x:c>
      <x:c r="F8" s="24" t="str">
        <x:v>Swordfishes</x:v>
      </x:c>
      <x:c r="G8" s="24" t="str">
        <x:v>Large pelagics (&gt;=90 cm)</x:v>
      </x:c>
      <x:c r="H8" s="24" t="str">
        <x:v>Tuna &amp; billfishes</x:v>
      </x:c>
      <x:c r="I8" s="31" t="n">
        <x:v>0.267277508</x:v>
      </x:c>
      <x:c r="J8" s="31" t="n">
        <x:v>0.267277508</x:v>
      </x:c>
      <x:c r="K8" s="31" t="n">
        <x:v>0</x:v>
      </x:c>
      <x:c r="L8" s="31" t="n">
        <x:v>0</x:v>
      </x:c>
      <x:c r="M8" s="31" t="n">
        <x:v>0.267277508</x:v>
      </x:c>
      <x:c r="N8" s="24" t="str">
        <x:v>xiphiidae</x:v>
      </x:c>
      <x:c r="O8" s="32" t="n">
        <x:v>4.5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Xiphiidae</x:v>
      </x:c>
      <x:c r="T8" s="32" t="n">
        <x:f>IF(O8="","",(1/'Metadata'!$B$5)^(O8-1))</x:f>
        <x:v>3162.2776601683795</x:v>
      </x:c>
      <x:c r="U8" s="31" t="n">
        <x:f>IF(T8="","",I8*T8)</x:f>
        <x:v>845.2056926138753</x:v>
      </x:c>
    </x:row>
    <x:row r="9" ht="18" customHeight="1">
      <x:c r="A9" s="24" t="str">
        <x:v>EEZ_855</x:v>
      </x:c>
      <x:c r="B9" s="24" t="str">
        <x:v>Ascension Isl. (UK)</x:v>
      </x:c>
      <x:c r="C9" s="24" t="str">
        <x:v>EEZ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0.16397989</x:v>
      </x:c>
      <x:c r="J9" s="31" t="n">
        <x:v>0.16397989</x:v>
      </x:c>
      <x:c r="K9" s="31" t="n">
        <x:v>0</x:v>
      </x:c>
      <x:c r="L9" s="31" t="n">
        <x:v>0</x:v>
      </x:c>
      <x:c r="M9" s="31" t="n">
        <x:v>0.16397989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31.245723893093416</x:v>
      </x:c>
    </x:row>
    <x:row r="10" ht="18" customHeight="1">
      <x:c r="A10" s="24" t="str">
        <x:v>EEZ_855</x:v>
      </x:c>
      <x:c r="B10" s="24" t="str">
        <x:v>Ascension Isl. (UK)</x:v>
      </x:c>
      <x:c r="C10" s="24" t="str">
        <x:v>EEZ</x:v>
      </x:c>
      <x:c r="D10" s="30" t="n">
        <x:v>2019</x:v>
      </x:c>
      <x:c r="E10" s="24" t="str">
        <x:v>Muraenidae</x:v>
      </x:c>
      <x:c r="F10" s="24" t="str">
        <x:v>Moray eels</x:v>
      </x:c>
      <x:c r="G10" s="24" t="str">
        <x:v>Large reef assoc. fish (&gt;=90 cm)</x:v>
      </x:c>
      <x:c r="H10" s="24" t="str">
        <x:v>Other fishes &amp; inverts</x:v>
      </x:c>
      <x:c r="I10" s="31" t="n">
        <x:v>0.11709906</x:v>
      </x:c>
      <x:c r="J10" s="31" t="n">
        <x:v>0.11709906</x:v>
      </x:c>
      <x:c r="K10" s="31" t="n">
        <x:v>0</x:v>
      </x:c>
      <x:c r="L10" s="31" t="n">
        <x:v>0</x:v>
      </x:c>
      <x:c r="M10" s="31" t="n">
        <x:v>0.11709906</x:v>
      </x:c>
      <x:c r="N10" s="24" t="str">
        <x:v>muraenidae</x:v>
      </x:c>
      <x:c r="O10" s="32" t="n">
        <x:v>4.07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Muraenidae</x:v>
      </x:c>
      <x:c r="T10" s="32" t="n">
        <x:f>IF(O10="","",(1/'Metadata'!$B$5)^(O10-1))</x:f>
        <x:v>1174.8975549395302</x:v>
      </x:c>
      <x:c r="U10" s="31" t="n">
        <x:f>IF(T10="","",I10*T10)</x:f>
        <x:v>137.57939927971734</x:v>
      </x:c>
    </x:row>
    <x:row r="11" ht="18" customHeight="1">
      <x:c r="A11" s="24" t="str">
        <x:v>EEZ_855</x:v>
      </x:c>
      <x:c r="B11" s="24" t="str">
        <x:v>Ascension Isl. (UK)</x:v>
      </x:c>
      <x:c r="C11" s="24" t="str">
        <x:v>EEZ</x:v>
      </x:c>
      <x:c r="D11" s="30" t="n">
        <x:v>2019</x:v>
      </x:c>
      <x:c r="E11" s="24" t="str">
        <x:v>Holocentridae</x:v>
      </x:c>
      <x:c r="F11" s="24" t="str">
        <x:v>Squirrel-, soldierfishes</x:v>
      </x:c>
      <x:c r="G11" s="24" t="str">
        <x:v>Small reef assoc. fish (&lt;30 cm)</x:v>
      </x:c>
      <x:c r="H11" s="24" t="str">
        <x:v>Other fishes &amp; inverts</x:v>
      </x:c>
      <x:c r="I11" s="31" t="n">
        <x:v>0.038729342</x:v>
      </x:c>
      <x:c r="J11" s="31" t="n">
        <x:v>0.038729342</x:v>
      </x:c>
      <x:c r="K11" s="31" t="n">
        <x:v>0</x:v>
      </x:c>
      <x:c r="L11" s="31" t="n">
        <x:v>0</x:v>
      </x:c>
      <x:c r="M11" s="31" t="n">
        <x:v>0.038729342</x:v>
      </x:c>
      <x:c r="N11" s="24" t="str">
        <x:v>holocentridae</x:v>
      </x:c>
      <x:c r="O11" s="32" t="n">
        <x:v>3.49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Holocentridae</x:v>
      </x:c>
      <x:c r="T11" s="32" t="n">
        <x:f>IF(O11="","",(1/'Metadata'!$B$5)^(O11-1))</x:f>
        <x:v>309.0295432513592</x:v>
      </x:c>
      <x:c r="U11" s="31" t="n">
        <x:f>IF(T11="","",I11*T11)</x:f>
        <x:v>11.968510868685682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a7af9798abd44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0.319808292</x:v>
      </x:c>
      <x:c r="C2" s="32" t="n">
        <x:v>3.594692963683381</x:v>
      </x:c>
      <x:c r="D2" s="32" t="n">
        <x:f>IF(C2="","",(1/'Metadata'!$B$5)^(C2-1))</x:f>
        <x:v>393.2719428357059</x:v>
      </x:c>
      <x:c r="E2" s="31" t="n">
        <x:f>IF(B2=0,"",B2*D2)</x:f>
        <x:v>125.77162832980873</x:v>
      </x:c>
    </x:row>
    <x:row r="3" ht="18" customHeight="1">
      <x:c r="A3" s="24" t="str">
        <x:v>Perch-likes</x:v>
      </x:c>
      <x:c r="B3" s="31" t="n">
        <x:v>31.028230347999997</x:v>
      </x:c>
      <x:c r="C3" s="32" t="n">
        <x:v>4.101816229414567</x:v>
      </x:c>
      <x:c r="D3" s="32" t="n">
        <x:f>IF(C3="","",(1/'Metadata'!$B$5)^(C3-1))</x:f>
        <x:v>1264.2012907726032</x:v>
      </x:c>
      <x:c r="E3" s="31" t="n">
        <x:f>IF(B3=0,"",B3*D3)</x:f>
        <x:v>39225.92885633126</x:v>
      </x:c>
    </x:row>
    <x:row r="4" ht="18" customHeight="1">
      <x:c r="A4" s="24" t="str">
        <x:v>Sharks &amp; rays</x:v>
      </x:c>
      <x:c r="B4" s="31" t="n">
        <x:v>1.148683856</x:v>
      </x:c>
      <x:c r="C4" s="32" t="n">
        <x:v>4.24</x:v>
      </x:c>
      <x:c r="D4" s="32" t="n">
        <x:f>IF(C4="","",(1/'Metadata'!$B$5)^(C4-1))</x:f>
        <x:v>1737.8008287493763</x:v>
      </x:c>
      <x:c r="E4" s="31" t="n">
        <x:f>IF(B4=0,"",B4*D4)</x:f>
        <x:v>1996.1837569278289</x:v>
      </x:c>
    </x:row>
    <x:row r="5" ht="18" customHeight="1">
      <x:c r="A5" s="24" t="str">
        <x:v>Tuna &amp; billfishes</x:v>
      </x:c>
      <x:c r="B5" s="31" t="n">
        <x:v>0.267277508</x:v>
      </x:c>
      <x:c r="C5" s="32" t="n">
        <x:v>4.5</x:v>
      </x:c>
      <x:c r="D5" s="32" t="n">
        <x:f>IF(C5="","",(1/'Metadata'!$B$5)^(C5-1))</x:f>
        <x:v>3162.2776601683795</x:v>
      </x:c>
      <x:c r="E5" s="31" t="n">
        <x:f>IF(B5=0,"",B5*D5)</x:f>
        <x:v>845.2056926138753</x:v>
      </x:c>
    </x:row>
  </x:sheetData>
  <x:pageMargins left="0.7" right="0.7" top="0.75" bottom="0.75" header="0.3" footer="0.3"/>
  <x:tableParts count="1">
    <x:tablePart xmlns:r="http://schemas.openxmlformats.org/officeDocument/2006/relationships" r:id="Rade6331875d243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0.267277508</x:v>
      </x:c>
      <x:c r="C2" s="32" t="n">
        <x:v>4.5</x:v>
      </x:c>
      <x:c r="D2" s="32" t="n">
        <x:f>IF(C2="","",(1/'Metadata'!$B$5)^(C2-1))</x:f>
        <x:v>3162.2776601683795</x:v>
      </x:c>
      <x:c r="E2" s="31" t="n">
        <x:f>IF(B2=0,"",B2*D2)</x:f>
        <x:v>845.2056926138753</x:v>
      </x:c>
    </x:row>
    <x:row r="3" ht="18" customHeight="1">
      <x:c r="A3" s="24" t="str">
        <x:v>Large reef assoc. fish (&gt;=90 cm)</x:v>
      </x:c>
      <x:c r="B3" s="31" t="n">
        <x:v>0.11709906</x:v>
      </x:c>
      <x:c r="C3" s="32" t="n">
        <x:v>4.07</x:v>
      </x:c>
      <x:c r="D3" s="32" t="n">
        <x:f>IF(C3="","",(1/'Metadata'!$B$5)^(C3-1))</x:f>
        <x:v>1174.8975549395302</x:v>
      </x:c>
      <x:c r="E3" s="31" t="n">
        <x:f>IF(B3=0,"",B3*D3)</x:f>
        <x:v>137.57939927971734</x:v>
      </x:c>
    </x:row>
    <x:row r="4" ht="18" customHeight="1">
      <x:c r="A4" s="24" t="str">
        <x:v>Large sharks (&gt;=90 cm)</x:v>
      </x:c>
      <x:c r="B4" s="31" t="n">
        <x:v>1.148683856</x:v>
      </x:c>
      <x:c r="C4" s="32" t="n">
        <x:v>4.24</x:v>
      </x:c>
      <x:c r="D4" s="32" t="n">
        <x:f>IF(C4="","",(1/'Metadata'!$B$5)^(C4-1))</x:f>
        <x:v>1737.8008287493763</x:v>
      </x:c>
      <x:c r="E4" s="31" t="n">
        <x:f>IF(B4=0,"",B4*D4)</x:f>
        <x:v>1996.1837569278289</x:v>
      </x:c>
    </x:row>
    <x:row r="5" ht="18" customHeight="1">
      <x:c r="A5" s="24" t="str">
        <x:v>Medium benthopelagics (30 - 89 cm)</x:v>
      </x:c>
      <x:c r="B5" s="31" t="n">
        <x:v>0.280986128</x:v>
      </x:c>
      <x:c r="C5" s="32" t="n">
        <x:v>3.31</x:v>
      </x:c>
      <x:c r="D5" s="32" t="n">
        <x:f>IF(C5="","",(1/'Metadata'!$B$5)^(C5-1))</x:f>
        <x:v>204.17379446695296</x:v>
      </x:c>
      <x:c r="E5" s="31" t="n">
        <x:f>IF(B5=0,"",B5*D5)</x:f>
        <x:v>57.37000394633694</x:v>
      </x:c>
    </x:row>
    <x:row r="6" ht="18" customHeight="1">
      <x:c r="A6" s="24" t="str">
        <x:v>Medium demersals (30 - 89 cm)</x:v>
      </x:c>
      <x:c r="B6" s="31" t="n">
        <x:v>0.16397989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31.245723893093416</x:v>
      </x:c>
    </x:row>
    <x:row r="7" ht="18" customHeight="1">
      <x:c r="A7" s="24" t="str">
        <x:v>Medium pelagics (30 - 89 cm)</x:v>
      </x:c>
      <x:c r="B7" s="31" t="n">
        <x:v>21.092157424</x:v>
      </x:c>
      <x:c r="C7" s="32" t="n">
        <x:v>4.252080118753052</x:v>
      </x:c>
      <x:c r="D7" s="32" t="n">
        <x:f>IF(C7="","",(1/'Metadata'!$B$5)^(C7-1))</x:f>
        <x:v>1786.817176921735</x:v>
      </x:c>
      <x:c r="E7" s="31" t="n">
        <x:f>IF(B7=0,"",B7*D7)</x:f>
        <x:v>37687.82918354049</x:v>
      </x:c>
    </x:row>
    <x:row r="8" ht="18" customHeight="1">
      <x:c r="A8" s="24" t="str">
        <x:v>Medium reef assoc. fish (30 - 89 cm)</x:v>
      </x:c>
      <x:c r="B8" s="31" t="n">
        <x:v>9.655086795999999</x:v>
      </x:c>
      <x:c r="C8" s="32" t="n">
        <x:v>3.7965988559260175</x:v>
      </x:c>
      <x:c r="D8" s="32" t="n">
        <x:f>IF(C8="","",(1/'Metadata'!$B$5)^(C8-1))</x:f>
        <x:v>626.0353484882127</x:v>
      </x:c>
      <x:c r="E8" s="31" t="n">
        <x:f>IF(B8=0,"",B8*D8)</x:f>
        <x:v>6044.4256270178</x:v>
      </x:c>
    </x:row>
    <x:row r="9" ht="18" customHeight="1">
      <x:c r="A9" s="24" t="str">
        <x:v>Small reef assoc. fish (&lt;30 cm)</x:v>
      </x:c>
      <x:c r="B9" s="31" t="n">
        <x:v>0.038729342</x:v>
      </x:c>
      <x:c r="C9" s="32" t="n">
        <x:v>3.49</x:v>
      </x:c>
      <x:c r="D9" s="32" t="n">
        <x:f>IF(C9="","",(1/'Metadata'!$B$5)^(C9-1))</x:f>
        <x:v>309.0295432513592</x:v>
      </x:c>
      <x:c r="E9" s="31" t="n">
        <x:f>IF(B9=0,"",B9*D9)</x:f>
        <x:v>11.968510868685682</x:v>
      </x:c>
    </x:row>
  </x:sheetData>
  <x:pageMargins left="0.7" right="0.7" top="0.75" bottom="0.75" header="0.3" footer="0.3"/>
  <x:tableParts count="1">
    <x:tablePart xmlns:r="http://schemas.openxmlformats.org/officeDocument/2006/relationships" r:id="Rcae85994350b4c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EEZ_855</x:v>
      </x:c>
      <x:c r="B2" s="24" t="str">
        <x:v>raw_filtered_tonnes</x:v>
      </x:c>
      <x:c r="C2" s="24" t="n">
        <x:v>32.764000003999996</x:v>
      </x:c>
      <x:c r="D2" s="24" t="str">
        <x:v>tonnes</x:v>
      </x:c>
    </x:row>
    <x:row r="3" ht="18" customHeight="1">
      <x:c r="A3" s="24" t="str">
        <x:v>EEZ_855</x:v>
      </x:c>
      <x:c r="B3" s="24" t="str">
        <x:v>species_catch_tonnes</x:v>
      </x:c>
      <x:c r="C3" s="24" t="n">
        <x:v>32.764000004</x:v>
      </x:c>
      <x:c r="D3" s="24" t="str">
        <x:v>tonnes</x:v>
      </x:c>
    </x:row>
    <x:row r="4" ht="18" customHeight="1">
      <x:c r="A4" s="24" t="str">
        <x:v>EEZ_855</x:v>
      </x:c>
      <x:c r="B4" s="24" t="str">
        <x:v>catch_difference_tonnes</x:v>
      </x:c>
      <x:c r="C4" s="24" t="n">
        <x:v>7.105427357601002e-15</x:v>
      </x:c>
      <x:c r="D4" s="24" t="str">
        <x:v>tonnes</x:v>
      </x:c>
    </x:row>
    <x:row r="5" ht="18" customHeight="1">
      <x:c r="A5" s="24" t="str">
        <x:v>EEZ_855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EEZ_855</x:v>
      </x:c>
      <x:c r="B6" s="24" t="str">
        <x:v>matched_catch_tonnes</x:v>
      </x:c>
      <x:c r="C6" s="24" t="n">
        <x:v>32.764000004</x:v>
      </x:c>
      <x:c r="D6" s="24" t="str">
        <x:v>tonnes</x:v>
      </x:c>
    </x:row>
    <x:row r="7" ht="18" customHeight="1">
      <x:c r="A7" s="24" t="str">
        <x:v>EEZ_855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EEZ_855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EEZ_855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EEZ_855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EEZ_855</x:v>
      </x:c>
      <x:c r="B11" s="24" t="str">
        <x:v>species_ppr</x:v>
      </x:c>
      <x:c r="C11" s="24" t="n">
        <x:v>46972.74183264927</x:v>
      </x:c>
      <x:c r="D11" s="24" t="str">
        <x:v>tonnes_primary_production_equivalent</x:v>
      </x:c>
    </x:row>
    <x:row r="12" ht="18" customHeight="1">
      <x:c r="A12" s="24" t="str">
        <x:v>EEZ_855</x:v>
      </x:c>
      <x:c r="B12" s="24" t="str">
        <x:v>commercial_ppr</x:v>
      </x:c>
      <x:c r="C12" s="24" t="n">
        <x:v>42193.08993420277</x:v>
      </x:c>
      <x:c r="D12" s="24" t="str">
        <x:v>tonnes_primary_production_equivalent</x:v>
      </x:c>
    </x:row>
    <x:row r="13" ht="18" customHeight="1">
      <x:c r="A13" s="24" t="str">
        <x:v>EEZ_855</x:v>
      </x:c>
      <x:c r="B13" s="24" t="str">
        <x:v>functional_ppr</x:v>
      </x:c>
      <x:c r="C13" s="24" t="n">
        <x:v>46811.80789808783</x:v>
      </x:c>
      <x:c r="D13" s="24" t="str">
        <x:v>tonnes_primary_production_equivalent</x:v>
      </x:c>
    </x:row>
    <x:row r="14" ht="18" customHeight="1">
      <x:c r="A14" s="24" t="str">
        <x:v>EEZ_855</x:v>
      </x:c>
      <x:c r="B14" s="24" t="str">
        <x:v>commercial_ppr_difference</x:v>
      </x:c>
      <x:c r="C14" s="24" t="n">
        <x:v>-4779.6518984465</x:v>
      </x:c>
      <x:c r="D14" s="24" t="str">
        <x:v>tonnes_primary_production_equivalent</x:v>
      </x:c>
    </x:row>
    <x:row r="15" ht="18" customHeight="1">
      <x:c r="A15" s="24" t="str">
        <x:v>EEZ_855</x:v>
      </x:c>
      <x:c r="B15" s="24" t="str">
        <x:v>functional_ppr_difference</x:v>
      </x:c>
      <x:c r="C15" s="24" t="n">
        <x:v>-160.93393456144258</x:v>
      </x:c>
      <x:c r="D15" s="24" t="str">
        <x:v>tonnes_primary_production_equivalent</x:v>
      </x:c>
    </x:row>
    <x:row r="16" ht="18" customHeight="1">
      <x:c r="A16" s="24" t="str">
        <x:v>EEZ_855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EEZ_855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b663f4651ed4b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EEZ_855 - Ascension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