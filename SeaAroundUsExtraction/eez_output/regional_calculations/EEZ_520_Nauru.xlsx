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0f416493c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9b75b16216445b3"/>
    <x:sheet xmlns:r="http://schemas.openxmlformats.org/officeDocument/2006/relationships" name="Commercial" sheetId="2" r:id="Rfe62739ecd924dbd"/>
    <x:sheet xmlns:r="http://schemas.openxmlformats.org/officeDocument/2006/relationships" name="Functional" sheetId="3" r:id="Reee3d527b386419a"/>
    <x:sheet xmlns:r="http://schemas.openxmlformats.org/officeDocument/2006/relationships" name="Missing TL" sheetId="4" r:id="R8c859bc58df94a43"/>
    <x:sheet xmlns:r="http://schemas.openxmlformats.org/officeDocument/2006/relationships" name="Validation" sheetId="5" r:id="R0e2f310b93d94773"/>
    <x:sheet xmlns:r="http://schemas.openxmlformats.org/officeDocument/2006/relationships" name="Metadata" sheetId="6" r:id="R6437bd7213e446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7058247224419" /><Relationship Type="http://schemas.openxmlformats.org/officeDocument/2006/relationships/theme" Target="/xl/theme/theme1.xml" Id="R219c0824d7fd49d0" /><Relationship Type="http://schemas.microsoft.com/office/2022/11/relationships/FeaturePropertyBag" Target="/xl/featurePropertyBag/featurePropertyBag.xml" Id="R54b4ec42122946bb" /><Relationship Type="http://schemas.openxmlformats.org/officeDocument/2006/relationships/sharedStrings" Target="/xl/sharedStrings.xml" Id="R83eb55f5cc7d445d" /><Relationship Type="http://schemas.openxmlformats.org/officeDocument/2006/relationships/worksheet" Target="/xl/worksheets/sheet1.xml" Id="R39b75b16216445b3" /><Relationship Type="http://schemas.openxmlformats.org/officeDocument/2006/relationships/worksheet" Target="/xl/worksheets/sheet2.xml" Id="Rfe62739ecd924dbd" /><Relationship Type="http://schemas.openxmlformats.org/officeDocument/2006/relationships/worksheet" Target="/xl/worksheets/sheet3.xml" Id="Reee3d527b386419a" /><Relationship Type="http://schemas.openxmlformats.org/officeDocument/2006/relationships/worksheet" Target="/xl/worksheets/sheet4.xml" Id="R8c859bc58df94a43" /><Relationship Type="http://schemas.openxmlformats.org/officeDocument/2006/relationships/worksheet" Target="/xl/worksheets/sheet5.xml" Id="R0e2f310b93d94773" /><Relationship Type="http://schemas.openxmlformats.org/officeDocument/2006/relationships/worksheet" Target="/xl/worksheets/sheet6.xml" Id="R6437bd7213e446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20SpeciesTable" displayName="EEZ520SpeciesTable" ref="A1:U29" headerRowCount="1" totalsRowCount="0" totalsRowShown="0">
  <x:autoFilter ref="A1:U2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20CommercialTable" displayName="EEZ520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20FunctionalTable" displayName="EEZ520FunctionalTable" ref="A1:O7" headerRowCount="1" totalsRowCount="0" totalsRowShown="0">
  <x:autoFilter ref="A1:O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20ValidationTable" displayName="EEZ52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6d0682bd724e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06a50023cb4d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a0a0dabed542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8c78e8a93845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EEZ_520</x:v>
      </x:c>
      <x:c r="B2" s="24" t="str">
        <x:v>Nauru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60083.4735415272</x:v>
      </x:c>
      <x:c r="J2" s="31" t="n">
        <x:v>59870.9139810907</x:v>
      </x:c>
      <x:c r="K2" s="31" t="n">
        <x:v>212.5595604365</x:v>
      </x:c>
      <x:c r="L2" s="31" t="n">
        <x:v>59810.7332545307</x:v>
      </x:c>
      <x:c r="M2" s="31" t="n">
        <x:v>272.7402869965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161716760.17784232</x:v>
      </x:c>
    </x:row>
    <x:row r="3" ht="18" customHeight="1">
      <x:c r="A3" s="24" t="str">
        <x:v>EEZ_520</x:v>
      </x:c>
      <x:c r="B3" s="24" t="str">
        <x:v>Nauru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13356.5068796538</x:v>
      </x:c>
      <x:c r="J3" s="31" t="n">
        <x:v>13332.9665746082</x:v>
      </x:c>
      <x:c r="K3" s="31" t="n">
        <x:v>23.5403050456</x:v>
      </x:c>
      <x:c r="L3" s="31" t="n">
        <x:v>13325.4439837882</x:v>
      </x:c>
      <x:c r="M3" s="31" t="n">
        <x:v>31.0628958656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34331508.95598546</x:v>
      </x:c>
    </x:row>
    <x:row r="4" ht="18" customHeight="1">
      <x:c r="A4" s="24" t="str">
        <x:v>EEZ_520</x:v>
      </x:c>
      <x:c r="B4" s="24" t="str">
        <x:v>Nauru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2343.4335656245003</x:v>
      </x:c>
      <x:c r="J4" s="31" t="n">
        <x:v>2296.207055006</x:v>
      </x:c>
      <x:c r="K4" s="31" t="n">
        <x:v>47.2265106185</x:v>
      </x:c>
      <x:c r="L4" s="31" t="n">
        <x:v>2296.207055006</x:v>
      </x:c>
      <x:c r="M4" s="31" t="n">
        <x:v>47.2265106185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7241902.044248434</x:v>
      </x:c>
    </x:row>
    <x:row r="5" ht="18" customHeight="1">
      <x:c r="A5" s="24" t="str">
        <x:v>EEZ_520</x:v>
      </x:c>
      <x:c r="B5" s="24" t="str">
        <x:v>Nauru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1420.1208017619</x:v>
      </x:c>
      <x:c r="J5" s="31" t="n">
        <x:v>68.1209887187</x:v>
      </x:c>
      <x:c r="K5" s="31" t="n">
        <x:v>1351.9998130432</x:v>
      </x:c>
      <x:c r="L5" s="31" t="n">
        <x:v>58.7177501947</x:v>
      </x:c>
      <x:c r="M5" s="31" t="n">
        <x:v>1361.4030515672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270598.4402519771</x:v>
      </x:c>
    </x:row>
    <x:row r="6" ht="18" customHeight="1">
      <x:c r="A6" s="24" t="str">
        <x:v>EEZ_520</x:v>
      </x:c>
      <x:c r="B6" s="24" t="str">
        <x:v>Nauru</x:v>
      </x:c>
      <x:c r="C6" s="24" t="str">
        <x:v>EEZ</x:v>
      </x:c>
      <x:c r="D6" s="30" t="n">
        <x:v>2019</x:v>
      </x:c>
      <x:c r="E6" s="24" t="str">
        <x:v>Prionace glauca</x:v>
      </x:c>
      <x:c r="F6" s="24" t="str">
        <x:v>Blue shark</x:v>
      </x:c>
      <x:c r="G6" s="24" t="str">
        <x:v>Large sharks (&gt;=90 cm)</x:v>
      </x:c>
      <x:c r="H6" s="24" t="str">
        <x:v>Sharks &amp; rays</x:v>
      </x:c>
      <x:c r="I6" s="31" t="n">
        <x:v>813.7386514765</x:v>
      </x:c>
      <x:c r="J6" s="31" t="n">
        <x:v>402.9273781081</x:v>
      </x:c>
      <x:c r="K6" s="31" t="n">
        <x:v>410.8112733684</x:v>
      </x:c>
      <x:c r="L6" s="31" t="n">
        <x:v>402.9273781081</x:v>
      </x:c>
      <x:c r="M6" s="31" t="n">
        <x:v>410.8112733684</x:v>
      </x:c>
      <x:c r="N6" s="24" t="str">
        <x:v>prionace glauca</x:v>
      </x:c>
      <x:c r="O6" s="32" t="n">
        <x:v>4.35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Prionace glauca</x:v>
      </x:c>
      <x:c r="T6" s="32" t="n">
        <x:f>IF(O6="","",(1/'Metadata'!$B$5)^(O6-1))</x:f>
        <x:v>2238.7211385683377</x:v>
      </x:c>
      <x:c r="U6" s="31" t="n">
        <x:f>IF(T6="","",I6*T6)</x:f>
        <x:v>1821733.9203305338</x:v>
      </x:c>
    </x:row>
    <x:row r="7" ht="18" customHeight="1">
      <x:c r="A7" s="24" t="str">
        <x:v>EEZ_520</x:v>
      </x:c>
      <x:c r="B7" s="24" t="str">
        <x:v>Nauru</x:v>
      </x:c>
      <x:c r="C7" s="24" t="str">
        <x:v>EEZ</x:v>
      </x:c>
      <x:c r="D7" s="30" t="n">
        <x:v>2019</x:v>
      </x:c>
      <x:c r="E7" s="24" t="str">
        <x:v>Coryphaena hippurus</x:v>
      </x:c>
      <x:c r="F7" s="24" t="str">
        <x:v>Common dolphinfish</x:v>
      </x:c>
      <x:c r="G7" s="24" t="str">
        <x:v>Large pelagics (&gt;=90 cm)</x:v>
      </x:c>
      <x:c r="H7" s="24" t="str">
        <x:v>Perch-likes</x:v>
      </x:c>
      <x:c r="I7" s="31" t="n">
        <x:v>783.0085283855999</x:v>
      </x:c>
      <x:c r="J7" s="31" t="n">
        <x:v>0</x:v>
      </x:c>
      <x:c r="K7" s="31" t="n">
        <x:v>783.0085283855999</x:v>
      </x:c>
      <x:c r="L7" s="31" t="n">
        <x:v>0</x:v>
      </x:c>
      <x:c r="M7" s="31" t="n">
        <x:v>783.0085283855999</x:v>
      </x:c>
      <x:c r="N7" s="24" t="str">
        <x:v>coryphaena hippurus</x:v>
      </x:c>
      <x:c r="O7" s="32" t="n">
        <x:v>4.37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Coryphaena hippurus</x:v>
      </x:c>
      <x:c r="T7" s="32" t="n">
        <x:f>IF(O7="","",(1/'Metadata'!$B$5)^(O7-1))</x:f>
        <x:v>2344.228815319923</x:v>
      </x:c>
      <x:c r="U7" s="31" t="n">
        <x:f>IF(T7="","",I7*T7)</x:f>
        <x:v>1835551.154882771</x:v>
      </x:c>
    </x:row>
    <x:row r="8" ht="18" customHeight="1">
      <x:c r="A8" s="24" t="str">
        <x:v>EEZ_520</x:v>
      </x:c>
      <x:c r="B8" s="24" t="str">
        <x:v>Nauru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768.3501620635001</x:v>
      </x:c>
      <x:c r="J8" s="31" t="n">
        <x:v>12.9392206839</x:v>
      </x:c>
      <x:c r="K8" s="31" t="n">
        <x:v>755.4109413796001</x:v>
      </x:c>
      <x:c r="L8" s="31" t="n">
        <x:v>5.4166298639</x:v>
      </x:c>
      <x:c r="M8" s="31" t="n">
        <x:v>762.9335321996001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1398167.4496200704</x:v>
      </x:c>
    </x:row>
    <x:row r="9" ht="18" customHeight="1">
      <x:c r="A9" s="24" t="str">
        <x:v>EEZ_520</x:v>
      </x:c>
      <x:c r="B9" s="24" t="str">
        <x:v>Nauru</x:v>
      </x:c>
      <x:c r="C9" s="24" t="str">
        <x:v>EEZ</x:v>
      </x:c>
      <x:c r="D9" s="30" t="n">
        <x:v>2019</x:v>
      </x:c>
      <x:c r="E9" s="24" t="str">
        <x:v>Elasmobranchii</x:v>
      </x:c>
      <x:c r="F9" s="24" t="str">
        <x:v>Sharks, rays, skates</x:v>
      </x:c>
      <x:c r="G9" s="24" t="str">
        <x:v>Large sharks (&gt;=90 cm)</x:v>
      </x:c>
      <x:c r="H9" s="24" t="str">
        <x:v>Sharks &amp; rays</x:v>
      </x:c>
      <x:c r="I9" s="31" t="n">
        <x:v>642.8538732891</x:v>
      </x:c>
      <x:c r="J9" s="31" t="n">
        <x:v>23.1414719771</x:v>
      </x:c>
      <x:c r="K9" s="31" t="n">
        <x:v>619.712401312</x:v>
      </x:c>
      <x:c r="L9" s="31" t="n">
        <x:v>23.1414719771</x:v>
      </x:c>
      <x:c r="M9" s="31" t="n">
        <x:v>619.712401312</x:v>
      </x:c>
      <x:c r="N9" s="24" t="str">
        <x:v>elasmobranchii</x:v>
      </x:c>
      <x:c r="O9" s="32" t="n">
        <x:v>4.05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Elasmobranchii</x:v>
      </x:c>
      <x:c r="T9" s="32" t="n">
        <x:f>IF(O9="","",(1/'Metadata'!$B$5)^(O9-1))</x:f>
        <x:v>1122.018454301963</x:v>
      </x:c>
      <x:c r="U9" s="31" t="n">
        <x:f>IF(T9="","",I9*T9)</x:f>
        <x:v>721293.9092498659</x:v>
      </x:c>
    </x:row>
    <x:row r="10" ht="18" customHeight="1">
      <x:c r="A10" s="24" t="str">
        <x:v>EEZ_520</x:v>
      </x:c>
      <x:c r="B10" s="24" t="str">
        <x:v>Nauru</x:v>
      </x:c>
      <x:c r="C10" s="24" t="str">
        <x:v>EEZ</x:v>
      </x:c>
      <x:c r="D10" s="30" t="n">
        <x:v>2019</x:v>
      </x:c>
      <x:c r="E10" s="24" t="str">
        <x:v>Thunnus orientalis</x:v>
      </x:c>
      <x:c r="F10" s="24" t="str">
        <x:v>Pacific bluefin tuna</x:v>
      </x:c>
      <x:c r="G10" s="24" t="str">
        <x:v>Large pelagics (&gt;=90 cm)</x:v>
      </x:c>
      <x:c r="H10" s="24" t="str">
        <x:v>Tuna &amp; billfishes</x:v>
      </x:c>
      <x:c r="I10" s="31" t="n">
        <x:v>340.5097635464</x:v>
      </x:c>
      <x:c r="J10" s="31" t="n">
        <x:v>340.1300237831</x:v>
      </x:c>
      <x:c r="K10" s="31" t="n">
        <x:v>0.37973976330000003</x:v>
      </x:c>
      <x:c r="L10" s="31" t="n">
        <x:v>340.1300237831</x:v>
      </x:c>
      <x:c r="M10" s="31" t="n">
        <x:v>0.37973976330000003</x:v>
      </x:c>
      <x:c r="N10" s="24" t="str">
        <x:v>thunnus orientalis</x:v>
      </x:c>
      <x:c r="O10" s="32" t="n">
        <x:v>4.05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orientalis</x:v>
      </x:c>
      <x:c r="T10" s="32" t="n">
        <x:f>IF(O10="","",(1/'Metadata'!$B$5)^(O10-1))</x:f>
        <x:v>1122.018454301963</x:v>
      </x:c>
      <x:c r="U10" s="31" t="n">
        <x:f>IF(T10="","",I10*T10)</x:f>
        <x:v>382058.2385690586</x:v>
      </x:c>
    </x:row>
    <x:row r="11" ht="18" customHeight="1">
      <x:c r="A11" s="24" t="str">
        <x:v>EEZ_520</x:v>
      </x:c>
      <x:c r="B11" s="24" t="str">
        <x:v>Nauru</x:v>
      </x:c>
      <x:c r="C11" s="24" t="str">
        <x:v>EEZ</x:v>
      </x:c>
      <x:c r="D11" s="30" t="n">
        <x:v>2019</x:v>
      </x:c>
      <x:c r="E11" s="24" t="str">
        <x:v>Carangidae</x:v>
      </x:c>
      <x:c r="F11" s="24" t="str">
        <x:v>Jacks, pompanos</x:v>
      </x:c>
      <x:c r="G11" s="24" t="str">
        <x:v>Medium pelagics (30 - 89 cm)</x:v>
      </x:c>
      <x:c r="H11" s="24" t="str">
        <x:v>Perch-likes</x:v>
      </x:c>
      <x:c r="I11" s="31" t="n">
        <x:v>274.3013172038</x:v>
      </x:c>
      <x:c r="J11" s="31" t="n">
        <x:v>14.650500335</x:v>
      </x:c>
      <x:c r="K11" s="31" t="n">
        <x:v>259.6508168688</x:v>
      </x:c>
      <x:c r="L11" s="31" t="n">
        <x:v>6.321917642</x:v>
      </x:c>
      <x:c r="M11" s="31" t="n">
        <x:v>267.9793995618</x:v>
      </x:c>
      <x:c r="N11" s="24" t="str">
        <x:v>carangidae</x:v>
      </x:c>
      <x:c r="O11" s="32" t="n">
        <x:v>4.05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Carangidae</x:v>
      </x:c>
      <x:c r="T11" s="32" t="n">
        <x:f>IF(O11="","",(1/'Metadata'!$B$5)^(O11-1))</x:f>
        <x:v>1122.018454301963</x:v>
      </x:c>
      <x:c r="U11" s="31" t="n">
        <x:f>IF(T11="","",I11*T11)</x:f>
        <x:v>307771.1399420001</x:v>
      </x:c>
    </x:row>
    <x:row r="12" ht="18" customHeight="1">
      <x:c r="A12" s="24" t="str">
        <x:v>EEZ_520</x:v>
      </x:c>
      <x:c r="B12" s="24" t="str">
        <x:v>Nauru</x:v>
      </x:c>
      <x:c r="C12" s="24" t="str">
        <x:v>EEZ</x:v>
      </x:c>
      <x:c r="D12" s="30" t="n">
        <x:v>2019</x:v>
      </x:c>
      <x:c r="E12" s="24" t="str">
        <x:v>Marine pelagic fishes not identified</x:v>
      </x:c>
      <x:c r="F12" s="24" t="str">
        <x:v>Pelagic fishes</x:v>
      </x:c>
      <x:c r="G12" s="24" t="str">
        <x:v>Medium pelagics (30 - 89 cm)</x:v>
      </x:c>
      <x:c r="H12" s="24" t="str">
        <x:v>Other fishes &amp; inverts</x:v>
      </x:c>
      <x:c r="I12" s="31" t="n">
        <x:v>201.9374654227</x:v>
      </x:c>
      <x:c r="J12" s="31" t="n">
        <x:v>183.2442538926</x:v>
      </x:c>
      <x:c r="K12" s="31" t="n">
        <x:v>18.6932115301</x:v>
      </x:c>
      <x:c r="L12" s="31" t="n">
        <x:v>183.2442538926</x:v>
      </x:c>
      <x:c r="M12" s="31" t="n">
        <x:v>18.6932115301</x:v>
      </x:c>
      <x:c r="N12" s="24" t="str">
        <x:v>marine pelagic fishes not identified</x:v>
      </x:c>
      <x:c r="O12" s="32" t="n">
        <x:v>3.35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Marine pelagic fishes not identified</x:v>
      </x:c>
      <x:c r="T12" s="32" t="n">
        <x:f>IF(O12="","",(1/'Metadata'!$B$5)^(O12-1))</x:f>
        <x:v>223.872113856834</x:v>
      </x:c>
      <x:c r="U12" s="31" t="n">
        <x:f>IF(T12="","",I12*T12)</x:f>
        <x:v>45208.16725107117</x:v>
      </x:c>
    </x:row>
    <x:row r="13" ht="18" customHeight="1">
      <x:c r="A13" s="24" t="str">
        <x:v>EEZ_520</x:v>
      </x:c>
      <x:c r="B13" s="24" t="str">
        <x:v>Nauru</x:v>
      </x:c>
      <x:c r="C13" s="24" t="str">
        <x:v>EEZ</x:v>
      </x:c>
      <x:c r="D13" s="30" t="n">
        <x:v>2019</x:v>
      </x:c>
      <x:c r="E13" s="24" t="str">
        <x:v>Istiophoridae</x:v>
      </x:c>
      <x:c r="F13" s="24" t="str">
        <x:v>Billfishes</x:v>
      </x:c>
      <x:c r="G13" s="24" t="str">
        <x:v>Large pelagics (&gt;=90 cm)</x:v>
      </x:c>
      <x:c r="H13" s="24" t="str">
        <x:v>Tuna &amp; billfishes</x:v>
      </x:c>
      <x:c r="I13" s="31" t="n">
        <x:v>177.2320193538</x:v>
      </x:c>
      <x:c r="J13" s="31" t="n">
        <x:v>4</x:v>
      </x:c>
      <x:c r="K13" s="31" t="n">
        <x:v>173.2320193538</x:v>
      </x:c>
      <x:c r="L13" s="31" t="n">
        <x:v>4</x:v>
      </x:c>
      <x:c r="M13" s="31" t="n">
        <x:v>173.2320193538</x:v>
      </x:c>
      <x:c r="N13" s="24" t="str">
        <x:v>istiophoridae</x:v>
      </x:c>
      <x:c r="O13" s="32" t="n">
        <x:v>4.48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Istiophoridae</x:v>
      </x:c>
      <x:c r="T13" s="32" t="n">
        <x:f>IF(O13="","",(1/'Metadata'!$B$5)^(O13-1))</x:f>
        <x:v>3019.951720402019</x:v>
      </x:c>
      <x:c r="U13" s="31" t="n">
        <x:f>IF(T13="","",I13*T13)</x:f>
        <x:v>535232.1417578323</x:v>
      </x:c>
    </x:row>
    <x:row r="14" ht="18" customHeight="1">
      <x:c r="A14" s="24" t="str">
        <x:v>EEZ_520</x:v>
      </x:c>
      <x:c r="B14" s="24" t="str">
        <x:v>Nauru</x:v>
      </x:c>
      <x:c r="C14" s="24" t="str">
        <x:v>EEZ</x:v>
      </x:c>
      <x:c r="D14" s="30" t="n">
        <x:v>2019</x:v>
      </x:c>
      <x:c r="E14" s="24" t="str">
        <x:v>Thunnus alalunga</x:v>
      </x:c>
      <x:c r="F14" s="24" t="str">
        <x:v>Albacore</x:v>
      </x:c>
      <x:c r="G14" s="24" t="str">
        <x:v>Large pelagics (&gt;=90 cm)</x:v>
      </x:c>
      <x:c r="H14" s="24" t="str">
        <x:v>Tuna &amp; billfishes</x:v>
      </x:c>
      <x:c r="I14" s="31" t="n">
        <x:v>143.7237815113</x:v>
      </x:c>
      <x:c r="J14" s="31" t="n">
        <x:v>143.713453783</x:v>
      </x:c>
      <x:c r="K14" s="31" t="n">
        <x:v>0.0103277283</x:v>
      </x:c>
      <x:c r="L14" s="31" t="n">
        <x:v>143.713453783</x:v>
      </x:c>
      <x:c r="M14" s="31" t="n">
        <x:v>0.0103277283</x:v>
      </x:c>
      <x:c r="N14" s="24" t="str">
        <x:v>thunnus alalunga</x:v>
      </x:c>
      <x:c r="O14" s="32" t="n">
        <x:v>4.3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alalunga</x:v>
      </x:c>
      <x:c r="T14" s="32" t="n">
        <x:f>IF(O14="","",(1/'Metadata'!$B$5)^(O14-1))</x:f>
        <x:v>1995.2623149688789</x:v>
      </x:c>
      <x:c r="U14" s="31" t="n">
        <x:f>IF(T14="","",I14*T14)</x:f>
        <x:v>286766.64501431776</x:v>
      </x:c>
    </x:row>
    <x:row r="15" ht="18" customHeight="1">
      <x:c r="A15" s="24" t="str">
        <x:v>EEZ_520</x:v>
      </x:c>
      <x:c r="B15" s="24" t="str">
        <x:v>Nauru</x:v>
      </x:c>
      <x:c r="C15" s="24" t="str">
        <x:v>EEZ</x:v>
      </x:c>
      <x:c r="D15" s="30" t="n">
        <x:v>2019</x:v>
      </x:c>
      <x:c r="E15" s="24" t="str">
        <x:v>Elagatis bipinnulata</x:v>
      </x:c>
      <x:c r="F15" s="24" t="str">
        <x:v>Rainbow runner</x:v>
      </x:c>
      <x:c r="G15" s="24" t="str">
        <x:v>Large pelagics (&gt;=90 cm)</x:v>
      </x:c>
      <x:c r="H15" s="24" t="str">
        <x:v>Perch-likes</x:v>
      </x:c>
      <x:c r="I15" s="31" t="n">
        <x:v>99.60200133800001</x:v>
      </x:c>
      <x:c r="J15" s="31" t="n">
        <x:v>99.60200133800001</x:v>
      </x:c>
      <x:c r="K15" s="31" t="n">
        <x:v>0</x:v>
      </x:c>
      <x:c r="L15" s="31" t="n">
        <x:v>66.287670568</x:v>
      </x:c>
      <x:c r="M15" s="31" t="n">
        <x:v>33.31433077</x:v>
      </x:c>
      <x:c r="N15" s="24" t="str">
        <x:v>elagatis bipinnulata</x:v>
      </x:c>
      <x:c r="O15" s="32" t="n">
        <x:v>4.27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Elagatis bipinnulata</x:v>
      </x:c>
      <x:c r="T15" s="32" t="n">
        <x:f>IF(O15="","",(1/'Metadata'!$B$5)^(O15-1))</x:f>
        <x:v>1862.0871366628655</x:v>
      </x:c>
      <x:c r="U15" s="31" t="n">
        <x:f>IF(T15="","",I15*T15)</x:f>
        <x:v>185467.60547736732</x:v>
      </x:c>
    </x:row>
    <x:row r="16" ht="18" customHeight="1">
      <x:c r="A16" s="24" t="str">
        <x:v>EEZ_520</x:v>
      </x:c>
      <x:c r="B16" s="24" t="str">
        <x:v>Nauru</x:v>
      </x:c>
      <x:c r="C16" s="24" t="str">
        <x:v>EEZ</x:v>
      </x:c>
      <x:c r="D16" s="30" t="n">
        <x:v>2019</x:v>
      </x:c>
      <x:c r="E16" s="24" t="str">
        <x:v>Xiphias gladius</x:v>
      </x:c>
      <x:c r="F16" s="24" t="str">
        <x:v>Swordfish</x:v>
      </x:c>
      <x:c r="G16" s="24" t="str">
        <x:v>Large pelagics (&gt;=90 cm)</x:v>
      </x:c>
      <x:c r="H16" s="24" t="str">
        <x:v>Tuna &amp; billfishes</x:v>
      </x:c>
      <x:c r="I16" s="31" t="n">
        <x:v>68.0029157134</x:v>
      </x:c>
      <x:c r="J16" s="31" t="n">
        <x:v>14.372872368000001</x:v>
      </x:c>
      <x:c r="K16" s="31" t="n">
        <x:v>53.6300433454</x:v>
      </x:c>
      <x:c r="L16" s="31" t="n">
        <x:v>14.372872368000001</x:v>
      </x:c>
      <x:c r="M16" s="31" t="n">
        <x:v>53.6300433454</x:v>
      </x:c>
      <x:c r="N16" s="24" t="str">
        <x:v>xiphias gladius</x:v>
      </x:c>
      <x:c r="O16" s="32" t="n">
        <x:v>4.53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Xiphias gladius</x:v>
      </x:c>
      <x:c r="T16" s="32" t="n">
        <x:f>IF(O16="","",(1/'Metadata'!$B$5)^(O16-1))</x:f>
        <x:v>3388.4415613920273</x:v>
      </x:c>
      <x:c r="U16" s="31" t="n">
        <x:f>IF(T16="","",I16*T16)</x:f>
        <x:v>230423.90589912352</x:v>
      </x:c>
    </x:row>
    <x:row r="17" ht="18" customHeight="1">
      <x:c r="A17" s="24" t="str">
        <x:v>EEZ_520</x:v>
      </x:c>
      <x:c r="B17" s="24" t="str">
        <x:v>Nauru</x:v>
      </x:c>
      <x:c r="C17" s="24" t="str">
        <x:v>EEZ</x:v>
      </x:c>
      <x:c r="D17" s="30" t="n">
        <x:v>2019</x:v>
      </x:c>
      <x:c r="E17" s="24" t="str">
        <x:v>Isurus</x:v>
      </x:c>
      <x:c r="F17" s="24" t="str">
        <x:v>Mako sharks</x:v>
      </x:c>
      <x:c r="G17" s="24" t="str">
        <x:v>Large sharks (&gt;=90 cm)</x:v>
      </x:c>
      <x:c r="H17" s="24" t="str">
        <x:v>Sharks &amp; rays</x:v>
      </x:c>
      <x:c r="I17" s="31" t="n">
        <x:v>58.2720091482</x:v>
      </x:c>
      <x:c r="J17" s="31" t="n">
        <x:v>17.358787128899998</x:v>
      </x:c>
      <x:c r="K17" s="31" t="n">
        <x:v>40.9132220193</x:v>
      </x:c>
      <x:c r="L17" s="31" t="n">
        <x:v>17.358787128899998</x:v>
      </x:c>
      <x:c r="M17" s="31" t="n">
        <x:v>40.9132220193</x:v>
      </x:c>
      <x:c r="N17" s="24" t="str">
        <x:v>isurus</x:v>
      </x:c>
      <x:c r="O17" s="32" t="n">
        <x:v>4.5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Isurus</x:v>
      </x:c>
      <x:c r="T17" s="32" t="n">
        <x:f>IF(O17="","",(1/'Metadata'!$B$5)^(O17-1))</x:f>
        <x:v>3162.2776601683795</x:v>
      </x:c>
      <x:c r="U17" s="31" t="n">
        <x:f>IF(T17="","",I17*T17)</x:f>
        <x:v>184272.2727424803</x:v>
      </x:c>
    </x:row>
    <x:row r="18" ht="18" customHeight="1">
      <x:c r="A18" s="24" t="str">
        <x:v>EEZ_520</x:v>
      </x:c>
      <x:c r="B18" s="24" t="str">
        <x:v>Nauru</x:v>
      </x:c>
      <x:c r="C18" s="24" t="str">
        <x:v>EEZ</x:v>
      </x:c>
      <x:c r="D18" s="30" t="n">
        <x:v>2019</x:v>
      </x:c>
      <x:c r="E18" s="24" t="str">
        <x:v>Alopias</x:v>
      </x:c>
      <x:c r="F18" s="24" t="str">
        <x:v>Thresher sharks</x:v>
      </x:c>
      <x:c r="G18" s="24" t="str">
        <x:v>Large sharks (&gt;=90 cm)</x:v>
      </x:c>
      <x:c r="H18" s="24" t="str">
        <x:v>Sharks &amp; rays</x:v>
      </x:c>
      <x:c r="I18" s="31" t="n">
        <x:v>55.472050493299996</x:v>
      </x:c>
      <x:c r="J18" s="31" t="n">
        <x:v>52.010710793899996</x:v>
      </x:c>
      <x:c r="K18" s="31" t="n">
        <x:v>3.4613396994</x:v>
      </x:c>
      <x:c r="L18" s="31" t="n">
        <x:v>52.010710793899996</x:v>
      </x:c>
      <x:c r="M18" s="31" t="n">
        <x:v>3.4613396994</x:v>
      </x:c>
      <x:c r="N18" s="24" t="str">
        <x:v>alopias</x:v>
      </x:c>
      <x:c r="O18" s="32" t="n">
        <x:v>4.5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Alopias</x:v>
      </x:c>
      <x:c r="T18" s="32" t="n">
        <x:f>IF(O18="","",(1/'Metadata'!$B$5)^(O18-1))</x:f>
        <x:v>3162.2776601683795</x:v>
      </x:c>
      <x:c r="U18" s="31" t="n">
        <x:f>IF(T18="","",I18*T18)</x:f>
        <x:v>175418.02603869492</x:v>
      </x:c>
    </x:row>
    <x:row r="19" ht="18" customHeight="1">
      <x:c r="A19" s="24" t="str">
        <x:v>EEZ_520</x:v>
      </x:c>
      <x:c r="B19" s="24" t="str">
        <x:v>Nauru</x:v>
      </x:c>
      <x:c r="C19" s="24" t="str">
        <x:v>EEZ</x:v>
      </x:c>
      <x:c r="D19" s="30" t="n">
        <x:v>2019</x:v>
      </x:c>
      <x:c r="E19" s="24" t="str">
        <x:v>Miscellaneous marine crustaceans</x:v>
      </x:c>
      <x:c r="F19" s="24" t="str">
        <x:v>Marine crabs, shrimps, lobsters nei</x:v>
      </x:c>
      <x:c r="G19" s="24" t="str">
        <x:v>Shrimps</x:v>
      </x:c>
      <x:c r="H19" s="24" t="str">
        <x:v>Crustaceans</x:v>
      </x:c>
      <x:c r="I19" s="31" t="n">
        <x:v>26.583059408</x:v>
      </x:c>
      <x:c r="J19" s="31" t="n">
        <x:v>26.583059408</x:v>
      </x:c>
      <x:c r="K19" s="31" t="n">
        <x:v>0</x:v>
      </x:c>
      <x:c r="L19" s="31" t="n">
        <x:v>6.388991208</x:v>
      </x:c>
      <x:c r="M19" s="31" t="n">
        <x:v>20.1940682</x:v>
      </x:c>
      <x:c r="N19" s="24" t="str">
        <x:v>miscellaneous marine crustaceans</x:v>
      </x:c>
      <x:c r="O19" s="32" t="n">
        <x:v>2.7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Miscellaneous marine crustaceans</x:v>
      </x:c>
      <x:c r="T19" s="32" t="n">
        <x:f>IF(O19="","",(1/'Metadata'!$B$5)^(O19-1))</x:f>
        <x:v>50.11872336272725</x:v>
      </x:c>
      <x:c r="U19" s="31" t="n">
        <x:f>IF(T19="","",I19*T19)</x:f>
        <x:v>1332.309000604496</x:v>
      </x:c>
    </x:row>
    <x:row r="20" ht="18" customHeight="1">
      <x:c r="A20" s="24" t="str">
        <x:v>EEZ_520</x:v>
      </x:c>
      <x:c r="B20" s="24" t="str">
        <x:v>Nauru</x:v>
      </x:c>
      <x:c r="C20" s="24" t="str">
        <x:v>EEZ</x:v>
      </x:c>
      <x:c r="D20" s="30" t="n">
        <x:v>2019</x:v>
      </x:c>
      <x:c r="E20" s="24" t="str">
        <x:v>Istiompax indica</x:v>
      </x:c>
      <x:c r="F20" s="24" t="str">
        <x:v>Black marlin</x:v>
      </x:c>
      <x:c r="G20" s="24" t="str">
        <x:v>Large pelagics (&gt;=90 cm)</x:v>
      </x:c>
      <x:c r="H20" s="24" t="str">
        <x:v>Tuna &amp; billfishes</x:v>
      </x:c>
      <x:c r="I20" s="31" t="n">
        <x:v>17.1206794406</x:v>
      </x:c>
      <x:c r="J20" s="31" t="n">
        <x:v>17.1206794406</x:v>
      </x:c>
      <x:c r="K20" s="31" t="n">
        <x:v>0</x:v>
      </x:c>
      <x:c r="L20" s="31" t="n">
        <x:v>17.1206794406</x:v>
      </x:c>
      <x:c r="M20" s="31" t="n">
        <x:v>0</x:v>
      </x:c>
      <x:c r="N20" s="24" t="str">
        <x:v>istiompax indica</x:v>
      </x:c>
      <x:c r="O20" s="32" t="n">
        <x:v>4.5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Istiompax indica</x:v>
      </x:c>
      <x:c r="T20" s="32" t="n">
        <x:f>IF(O20="","",(1/'Metadata'!$B$5)^(O20-1))</x:f>
        <x:v>3162.2776601683795</x:v>
      </x:c>
      <x:c r="U20" s="31" t="n">
        <x:f>IF(T20="","",I20*T20)</x:f>
        <x:v>54140.34212191345</x:v>
      </x:c>
    </x:row>
    <x:row r="21" ht="18" customHeight="1">
      <x:c r="A21" s="24" t="str">
        <x:v>EEZ_520</x:v>
      </x:c>
      <x:c r="B21" s="24" t="str">
        <x:v>Nauru</x:v>
      </x:c>
      <x:c r="C21" s="24" t="str">
        <x:v>EEZ</x:v>
      </x:c>
      <x:c r="D21" s="30" t="n">
        <x:v>2019</x:v>
      </x:c>
      <x:c r="E21" s="24" t="str">
        <x:v>Carcharhinus longimanus</x:v>
      </x:c>
      <x:c r="F21" s="24" t="str">
        <x:v>Oceanic whitetip shark</x:v>
      </x:c>
      <x:c r="G21" s="24" t="str">
        <x:v>Large sharks (&gt;=90 cm)</x:v>
      </x:c>
      <x:c r="H21" s="24" t="str">
        <x:v>Sharks &amp; rays</x:v>
      </x:c>
      <x:c r="I21" s="31" t="n">
        <x:v>17.0649015894</x:v>
      </x:c>
      <x:c r="J21" s="31" t="n">
        <x:v>1.8680165931000001</x:v>
      </x:c>
      <x:c r="K21" s="31" t="n">
        <x:v>15.1968849963</x:v>
      </x:c>
      <x:c r="L21" s="31" t="n">
        <x:v>1.8680165931000001</x:v>
      </x:c>
      <x:c r="M21" s="31" t="n">
        <x:v>15.1968849963</x:v>
      </x:c>
      <x:c r="N21" s="24" t="str">
        <x:v>carcharhinus longimanus</x:v>
      </x:c>
      <x:c r="O21" s="32" t="n">
        <x:v>4.16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Carcharhinus longimanus</x:v>
      </x:c>
      <x:c r="T21" s="32" t="n">
        <x:f>IF(O21="","",(1/'Metadata'!$B$5)^(O21-1))</x:f>
        <x:v>1445.439770745928</x:v>
      </x:c>
      <x:c r="U21" s="31" t="n">
        <x:f>IF(T21="","",I21*T21)</x:f>
        <x:v>24666.28744118416</x:v>
      </x:c>
    </x:row>
    <x:row r="22" ht="18" customHeight="1">
      <x:c r="A22" s="24" t="str">
        <x:v>EEZ_520</x:v>
      </x:c>
      <x:c r="B22" s="24" t="str">
        <x:v>Nauru</x:v>
      </x:c>
      <x:c r="C22" s="24" t="str">
        <x:v>EEZ</x:v>
      </x:c>
      <x:c r="D22" s="30" t="n">
        <x:v>2019</x:v>
      </x:c>
      <x:c r="E22" s="24" t="str">
        <x:v>Lutjanus kasmira</x:v>
      </x:c>
      <x:c r="F22" s="24" t="str">
        <x:v>Common bluestripe snapper</x:v>
      </x:c>
      <x:c r="G22" s="24" t="str">
        <x:v>Medium reef assoc. fish (30 - 89 cm)</x:v>
      </x:c>
      <x:c r="H22" s="24" t="str">
        <x:v>Perch-likes</x:v>
      </x:c>
      <x:c r="I22" s="31" t="n">
        <x:v>13.156834275000001</x:v>
      </x:c>
      <x:c r="J22" s="31" t="n">
        <x:v>13.156834275000001</x:v>
      </x:c>
      <x:c r="K22" s="31" t="n">
        <x:v>0</x:v>
      </x:c>
      <x:c r="L22" s="31" t="n">
        <x:v>6.7088992869999995</x:v>
      </x:c>
      <x:c r="M22" s="31" t="n">
        <x:v>6.447934988</x:v>
      </x:c>
      <x:c r="N22" s="24" t="str">
        <x:v>lutjanus kasmira</x:v>
      </x:c>
      <x:c r="O22" s="32" t="n">
        <x:v>3.87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Lutjanus kasmira</x:v>
      </x:c>
      <x:c r="T22" s="32" t="n">
        <x:f>IF(O22="","",(1/'Metadata'!$B$5)^(O22-1))</x:f>
        <x:v>741.3102413009177</x:v>
      </x:c>
      <x:c r="U22" s="31" t="n">
        <x:f>IF(T22="","",I22*T22)</x:f>
        <x:v>9753.295991156436</x:v>
      </x:c>
    </x:row>
    <x:row r="23" ht="18" customHeight="1">
      <x:c r="A23" s="24" t="str">
        <x:v>EEZ_520</x:v>
      </x:c>
      <x:c r="B23" s="24" t="str">
        <x:v>Nauru</x:v>
      </x:c>
      <x:c r="C23" s="24" t="str">
        <x:v>EEZ</x:v>
      </x:c>
      <x:c r="D23" s="30" t="n">
        <x:v>2019</x:v>
      </x:c>
      <x:c r="E23" s="24" t="str">
        <x:v>Carcharhinus falciformis</x:v>
      </x:c>
      <x:c r="F23" s="24" t="str">
        <x:v>Silky shark</x:v>
      </x:c>
      <x:c r="G23" s="24" t="str">
        <x:v>Large sharks (&gt;=90 cm)</x:v>
      </x:c>
      <x:c r="H23" s="24" t="str">
        <x:v>Sharks &amp; rays</x:v>
      </x:c>
      <x:c r="I23" s="31" t="n">
        <x:v>8.9497599446</x:v>
      </x:c>
      <x:c r="J23" s="31" t="n">
        <x:v>0.1788122817</x:v>
      </x:c>
      <x:c r="K23" s="31" t="n">
        <x:v>8.7709476629</x:v>
      </x:c>
      <x:c r="L23" s="31" t="n">
        <x:v>0.1788122817</x:v>
      </x:c>
      <x:c r="M23" s="31" t="n">
        <x:v>8.7709476629</x:v>
      </x:c>
      <x:c r="N23" s="24" t="str">
        <x:v>carcharhinus falciformis</x:v>
      </x:c>
      <x:c r="O23" s="32" t="n">
        <x:v>4.51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Carcharhinus falciformis</x:v>
      </x:c>
      <x:c r="T23" s="32" t="n">
        <x:f>IF(O23="","",(1/'Metadata'!$B$5)^(O23-1))</x:f>
        <x:v>3235.936569296281</x:v>
      </x:c>
      <x:c r="U23" s="31" t="n">
        <x:f>IF(T23="","",I23*T23)</x:f>
        <x:v>28960.855491154198</x:v>
      </x:c>
    </x:row>
    <x:row r="24" ht="18" customHeight="1">
      <x:c r="A24" s="24" t="str">
        <x:v>EEZ_520</x:v>
      </x:c>
      <x:c r="B24" s="24" t="str">
        <x:v>Nauru</x:v>
      </x:c>
      <x:c r="C24" s="24" t="str">
        <x:v>EEZ</x:v>
      </x:c>
      <x:c r="D24" s="30" t="n">
        <x:v>2019</x:v>
      </x:c>
      <x:c r="E24" s="24" t="str">
        <x:v>Acanthocybium solandri</x:v>
      </x:c>
      <x:c r="F24" s="24" t="str">
        <x:v>Wahoo</x:v>
      </x:c>
      <x:c r="G24" s="24" t="str">
        <x:v>Large pelagics (&gt;=90 cm)</x:v>
      </x:c>
      <x:c r="H24" s="24" t="str">
        <x:v>Perch-likes</x:v>
      </x:c>
      <x:c r="I24" s="31" t="n">
        <x:v>8.7947637742</x:v>
      </x:c>
      <x:c r="J24" s="31" t="n">
        <x:v>0</x:v>
      </x:c>
      <x:c r="K24" s="31" t="n">
        <x:v>8.7947637742</x:v>
      </x:c>
      <x:c r="L24" s="31" t="n">
        <x:v>0</x:v>
      </x:c>
      <x:c r="M24" s="31" t="n">
        <x:v>8.7947637742</x:v>
      </x:c>
      <x:c r="N24" s="24" t="str">
        <x:v>acanthocybium solandri</x:v>
      </x:c>
      <x:c r="O24" s="32" t="n">
        <x:v>4.26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Acanthocybium solandri</x:v>
      </x:c>
      <x:c r="T24" s="32" t="n">
        <x:f>IF(O24="","",(1/'Metadata'!$B$5)^(O24-1))</x:f>
        <x:v>1819.7008586099826</x:v>
      </x:c>
      <x:c r="U24" s="31" t="n">
        <x:f>IF(T24="","",I24*T24)</x:f>
        <x:v>16003.83919118371</x:v>
      </x:c>
    </x:row>
    <x:row r="25" ht="18" customHeight="1">
      <x:c r="A25" s="24" t="str">
        <x:v>EEZ_520</x:v>
      </x:c>
      <x:c r="B25" s="24" t="str">
        <x:v>Nauru</x:v>
      </x:c>
      <x:c r="C25" s="24" t="str">
        <x:v>EEZ</x:v>
      </x:c>
      <x:c r="D25" s="30" t="n">
        <x:v>2019</x:v>
      </x:c>
      <x:c r="E25" s="24" t="str">
        <x:v>Lutjanidae</x:v>
      </x:c>
      <x:c r="F25" s="24" t="str">
        <x:v>Snappers</x:v>
      </x:c>
      <x:c r="G25" s="24" t="str">
        <x:v>Medium reef assoc. fish (30 - 89 cm)</x:v>
      </x:c>
      <x:c r="H25" s="24" t="str">
        <x:v>Perch-likes</x:v>
      </x:c>
      <x:c r="I25" s="31" t="n">
        <x:v>3.2892085680000003</x:v>
      </x:c>
      <x:c r="J25" s="31" t="n">
        <x:v>3.2892085680000003</x:v>
      </x:c>
      <x:c r="K25" s="31" t="n">
        <x:v>0</x:v>
      </x:c>
      <x:c r="L25" s="31" t="n">
        <x:v>1.677224821</x:v>
      </x:c>
      <x:c r="M25" s="31" t="n">
        <x:v>1.611983747</x:v>
      </x:c>
      <x:c r="N25" s="24" t="str">
        <x:v>lutjanidae</x:v>
      </x:c>
      <x:c r="O25" s="32" t="n">
        <x:v>4.02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Lutjanidae</x:v>
      </x:c>
      <x:c r="T25" s="32" t="n">
        <x:f>IF(O25="","",(1/'Metadata'!$B$5)^(O25-1))</x:f>
        <x:v>1047.1285480508984</x:v>
      </x:c>
      <x:c r="U25" s="31" t="n">
        <x:f>IF(T25="","",I25*T25)</x:f>
        <x:v>3444.2241920464153</x:v>
      </x:c>
    </x:row>
    <x:row r="26" ht="18" customHeight="1">
      <x:c r="A26" s="24" t="str">
        <x:v>EEZ_520</x:v>
      </x:c>
      <x:c r="B26" s="24" t="str">
        <x:v>Nauru</x:v>
      </x:c>
      <x:c r="C26" s="24" t="str">
        <x:v>EEZ</x:v>
      </x:c>
      <x:c r="D26" s="30" t="n">
        <x:v>2019</x:v>
      </x:c>
      <x:c r="E26" s="24" t="str">
        <x:v>Sphyrna</x:v>
      </x:c>
      <x:c r="F26" s="24" t="str">
        <x:v>Hammerhead sharks</x:v>
      </x:c>
      <x:c r="G26" s="24" t="str">
        <x:v>Large sharks (&gt;=90 cm)</x:v>
      </x:c>
      <x:c r="H26" s="24" t="str">
        <x:v>Sharks &amp; rays</x:v>
      </x:c>
      <x:c r="I26" s="31" t="n">
        <x:v>2.1296288438</x:v>
      </x:c>
      <x:c r="J26" s="31" t="n">
        <x:v>2.1296288438</x:v>
      </x:c>
      <x:c r="K26" s="31" t="n">
        <x:v>0</x:v>
      </x:c>
      <x:c r="L26" s="31" t="n">
        <x:v>2.1296288438</x:v>
      </x:c>
      <x:c r="M26" s="31" t="n">
        <x:v>0</x:v>
      </x:c>
      <x:c r="N26" s="24" t="str">
        <x:v>sphyrna</x:v>
      </x:c>
      <x:c r="O26" s="32" t="n">
        <x:v>4.2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Sphyrna</x:v>
      </x:c>
      <x:c r="T26" s="32" t="n">
        <x:f>IF(O26="","",(1/'Metadata'!$B$5)^(O26-1))</x:f>
        <x:v>1584.893192461114</x:v>
      </x:c>
      <x:c r="U26" s="31" t="n">
        <x:f>IF(T26="","",I26*T26)</x:f>
        <x:v>3375.234257007453</x:v>
      </x:c>
    </x:row>
    <x:row r="27" ht="18" customHeight="1">
      <x:c r="A27" s="24" t="str">
        <x:v>EEZ_520</x:v>
      </x:c>
      <x:c r="B27" s="24" t="str">
        <x:v>Nauru</x:v>
      </x:c>
      <x:c r="C27" s="24" t="str">
        <x:v>EEZ</x:v>
      </x:c>
      <x:c r="D27" s="30" t="n">
        <x:v>2019</x:v>
      </x:c>
      <x:c r="E27" s="24" t="str">
        <x:v>Kajikia audax</x:v>
      </x:c>
      <x:c r="F27" s="24" t="str">
        <x:v>Striped marlin</x:v>
      </x:c>
      <x:c r="G27" s="24" t="str">
        <x:v>Large pelagics (&gt;=90 cm)</x:v>
      </x:c>
      <x:c r="H27" s="24" t="str">
        <x:v>Tuna &amp; billfishes</x:v>
      </x:c>
      <x:c r="I27" s="31" t="n">
        <x:v>1.6096865727999998</x:v>
      </x:c>
      <x:c r="J27" s="31" t="n">
        <x:v>1.6096865727999998</x:v>
      </x:c>
      <x:c r="K27" s="31" t="n">
        <x:v>0</x:v>
      </x:c>
      <x:c r="L27" s="31" t="n">
        <x:v>1.6096865727999998</x:v>
      </x:c>
      <x:c r="M27" s="31" t="n">
        <x:v>0</x:v>
      </x:c>
      <x:c r="N27" s="24" t="str">
        <x:v>kajikia audax</x:v>
      </x:c>
      <x:c r="O27" s="32" t="n">
        <x:v>4.58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Kajikia audax</x:v>
      </x:c>
      <x:c r="T27" s="32" t="n">
        <x:f>IF(O27="","",(1/'Metadata'!$B$5)^(O27-1))</x:f>
        <x:v>3801.8939632056126</x:v>
      </x:c>
      <x:c r="U27" s="31" t="n">
        <x:f>IF(T27="","",I27*T27)</x:f>
        <x:v>6119.857663781451</x:v>
      </x:c>
    </x:row>
    <x:row r="28" ht="18" customHeight="1">
      <x:c r="A28" s="24" t="str">
        <x:v>EEZ_520</x:v>
      </x:c>
      <x:c r="B28" s="24" t="str">
        <x:v>Nauru</x:v>
      </x:c>
      <x:c r="C28" s="24" t="str">
        <x:v>EEZ</x:v>
      </x:c>
      <x:c r="D28" s="30" t="n">
        <x:v>2019</x:v>
      </x:c>
      <x:c r="E28" s="24" t="str">
        <x:v>Isurus oxyrinchus</x:v>
      </x:c>
      <x:c r="F28" s="24" t="str">
        <x:v>Shortfin mako</x:v>
      </x:c>
      <x:c r="G28" s="24" t="str">
        <x:v>Large sharks (&gt;=90 cm)</x:v>
      </x:c>
      <x:c r="H28" s="24" t="str">
        <x:v>Sharks &amp; rays</x:v>
      </x:c>
      <x:c r="I28" s="31" t="n">
        <x:v>0.10212505059999999</x:v>
      </x:c>
      <x:c r="J28" s="31" t="n">
        <x:v>0.10212505059999999</x:v>
      </x:c>
      <x:c r="K28" s="31" t="n">
        <x:v>0</x:v>
      </x:c>
      <x:c r="L28" s="31" t="n">
        <x:v>0.10212505059999999</x:v>
      </x:c>
      <x:c r="M28" s="31" t="n">
        <x:v>0</x:v>
      </x:c>
      <x:c r="N28" s="24" t="str">
        <x:v>isurus oxyrinchus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Isurus oxyrinchus</x:v>
      </x:c>
      <x:c r="T28" s="32" t="n">
        <x:f>IF(O28="","",(1/'Metadata'!$B$5)^(O28-1))</x:f>
        <x:v>3162.2776601683795</x:v>
      </x:c>
      <x:c r="U28" s="31" t="n">
        <x:f>IF(T28="","",I28*T28)</x:f>
        <x:v>322.94776605594535</x:v>
      </x:c>
    </x:row>
    <x:row r="29" ht="18" customHeight="1">
      <x:c r="A29" s="24" t="str">
        <x:v>EEZ_520</x:v>
      </x:c>
      <x:c r="B29" s="24" t="str">
        <x:v>Nauru</x:v>
      </x:c>
      <x:c r="C29" s="24" t="str">
        <x:v>EEZ</x:v>
      </x:c>
      <x:c r="D29" s="30" t="n">
        <x:v>2019</x:v>
      </x:c>
      <x:c r="E29" s="24" t="str">
        <x:v>Scomberomorus</x:v>
      </x:c>
      <x:c r="F29" s="24" t="str">
        <x:v>Spanish mackerels</x:v>
      </x:c>
      <x:c r="G29" s="24" t="str">
        <x:v>Large pelagics (&gt;=90 cm)</x:v>
      </x:c>
      <x:c r="H29" s="24" t="str">
        <x:v>Perch-likes</x:v>
      </x:c>
      <x:c r="I29" s="31" t="n">
        <x:v>0.0084729604</x:v>
      </x:c>
      <x:c r="J29" s="31" t="n">
        <x:v>0.0084729604</x:v>
      </x:c>
      <x:c r="K29" s="31" t="n">
        <x:v>0</x:v>
      </x:c>
      <x:c r="L29" s="31" t="n">
        <x:v>0.0084729604</x:v>
      </x:c>
      <x:c r="M29" s="31" t="n">
        <x:v>0</x:v>
      </x:c>
      <x:c r="N29" s="24" t="str">
        <x:v>scomberomorus</x:v>
      </x:c>
      <x:c r="O29" s="32" t="n">
        <x:v>4.35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Scomberomorus</x:v>
      </x:c>
      <x:c r="T29" s="32" t="n">
        <x:f>IF(O29="","",(1/'Metadata'!$B$5)^(O29-1))</x:f>
        <x:v>2238.7211385683377</x:v>
      </x:c>
      <x:c r="U29" s="31" t="n">
        <x:f>IF(T29="","",I29*T29)</x:f>
        <x:v>18.968595553732438</x:v>
      </x:c>
    </x:row>
  </x:sheetData>
  <x:conditionalFormatting sqref="R2:R2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76d0682bd724eb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26.583059408</x:v>
      </x:c>
      <x:c r="E2" s="31" t="n">
        <x:v>26.583059408</x:v>
      </x:c>
      <x:c r="F2" s="32" t="n">
        <x:v>0</x:v>
      </x:c>
      <x:c r="G2" s="34" t="n">
        <x:v>1</x:v>
      </x:c>
      <x:c r="H2" s="32" t="n">
        <x:f>IF(E2=0,"",I2/E2)</x:f>
        <x:v>50.11872336272725</x:v>
      </x:c>
      <x:c r="I2" s="31" t="n">
        <x:f>IF(C2=0,"",SUMIF('Species'!$H$2:$H$29,A2,'Species'!$U$2:$U$29))</x:f>
        <x:v>1332.309000604496</x:v>
      </x:c>
      <x:c r="J2" s="32" t="n">
        <x:v>2.7</x:v>
      </x:c>
      <x:c r="K2" s="32" t="n">
        <x:f>IF(J2="","",(1/'Metadata'!$B$5)^(J2-1))</x:f>
        <x:v>50.11872336272725</x:v>
      </x:c>
      <x:c r="L2" s="31" t="n">
        <x:f>IF(E2=0,"",E2*K2)</x:f>
        <x:v>1332.309000604496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Other fishes &amp; inverts</x:v>
      </x:c>
      <x:c r="B3" s="33" t="n">
        <x:v>2</x:v>
      </x:c>
      <x:c r="C3" s="33" t="n">
        <x:v>2</x:v>
      </x:c>
      <x:c r="D3" s="31" t="n">
        <x:v>1622.0582671846</x:v>
      </x:c>
      <x:c r="E3" s="31" t="n">
        <x:v>1622.0582671846</x:v>
      </x:c>
      <x:c r="F3" s="32" t="n">
        <x:v>0</x:v>
      </x:c>
      <x:c r="G3" s="34" t="n">
        <x:v>1</x:v>
      </x:c>
      <x:c r="H3" s="32" t="n">
        <x:f>IF(E3=0,"",I3/E3)</x:f>
        <x:v>194.6949834614712</x:v>
      </x:c>
      <x:c r="I3" s="31" t="n">
        <x:f>IF(C3=0,"",SUMIF('Species'!$H$2:$H$29,A3,'Species'!$U$2:$U$29))</x:f>
        <x:v>315806.6075030483</x:v>
      </x:c>
      <x:c r="J3" s="32" t="n">
        <x:v>3.2887146207171236</x:v>
      </x:c>
      <x:c r="K3" s="32" t="n">
        <x:f>IF(J3="","",(1/'Metadata'!$B$5)^(J3-1))</x:f>
        <x:v>194.4082185803836</x:v>
      </x:c>
      <x:c r="L3" s="31" t="n">
        <x:f>IF(E3=0,"",E3*K3)</x:f>
        <x:v>315341.458156942</x:v>
      </x:c>
      <x:c r="M3" s="31" t="n">
        <x:f>IF(E3=0,"",I3-L3)</x:f>
        <x:v>465.14934610633645</x:v>
      </x:c>
      <x:c r="N3" s="32" t="n">
        <x:f>IF(L3=0,"",I3/L3)</x:f>
        <x:v>1.0014750656283034</x:v>
      </x:c>
      <x:c r="O3" s="34" t="n">
        <x:f>IF(L3=0,"",M3/L3)</x:f>
        <x:v>0.001475065628303262</x:v>
      </x:c>
    </x:row>
    <x:row r="4" ht="18" customHeight="1">
      <x:c r="A4" s="24" t="str">
        <x:v>Perch-likes</x:v>
      </x:c>
      <x:c r="B4" s="33" t="n">
        <x:v>8</x:v>
      </x:c>
      <x:c r="C4" s="33" t="n">
        <x:v>8</x:v>
      </x:c>
      <x:c r="D4" s="31" t="n">
        <x:v>1950.5112885684998</x:v>
      </x:c>
      <x:c r="E4" s="31" t="n">
        <x:v>1950.5112885684998</x:v>
      </x:c>
      <x:c r="F4" s="32" t="n">
        <x:v>0</x:v>
      </x:c>
      <x:c r="G4" s="34" t="n">
        <x:v>1</x:v>
      </x:c>
      <x:c r="H4" s="32" t="n">
        <x:f>IF(E4=0,"",I4/E4)</x:f>
        <x:v>1925.7400353980247</x:v>
      </x:c>
      <x:c r="I4" s="31" t="n">
        <x:f>IF(C4=0,"",SUMIF('Species'!$H$2:$H$29,A4,'Species'!$U$2:$U$29))</x:f>
        <x:v>3756177.6778921494</x:v>
      </x:c>
      <x:c r="J4" s="32" t="n">
        <x:v>4.272101375062119</x:v>
      </x:c>
      <x:c r="K4" s="32" t="n">
        <x:f>IF(J4="","",(1/'Metadata'!$B$5)^(J4-1))</x:f>
        <x:v>1871.1188547639833</x:v>
      </x:c>
      <x:c r="L4" s="31" t="n">
        <x:f>IF(E4=0,"",E4*K4)</x:f>
        <x:v>3649638.448470513</x:v>
      </x:c>
      <x:c r="M4" s="31" t="n">
        <x:f>IF(E4=0,"",I4-L4)</x:f>
        <x:v>106539.22942163656</x:v>
      </x:c>
      <x:c r="N4" s="32" t="n">
        <x:f>IF(L4=0,"",I4/L4)</x:f>
        <x:v>1.029191721570745</x:v>
      </x:c>
      <x:c r="O4" s="34" t="n">
        <x:f>IF(L4=0,"",M4/L4)</x:f>
        <x:v>0.029191721570744882</x:v>
      </x:c>
    </x:row>
    <x:row r="5" ht="18" customHeight="1">
      <x:c r="A5" s="24" t="str">
        <x:v>Sharks &amp; rays</x:v>
      </x:c>
      <x:c r="B5" s="33" t="n">
        <x:v>8</x:v>
      </x:c>
      <x:c r="C5" s="33" t="n">
        <x:v>8</x:v>
      </x:c>
      <x:c r="D5" s="31" t="n">
        <x:v>1598.5829998355</x:v>
      </x:c>
      <x:c r="E5" s="31" t="n">
        <x:v>1598.5829998355</x:v>
      </x:c>
      <x:c r="F5" s="32" t="n">
        <x:v>0</x:v>
      </x:c>
      <x:c r="G5" s="34" t="n">
        <x:v>1</x:v>
      </x:c>
      <x:c r="H5" s="32" t="n">
        <x:f>IF(E5=0,"",I5/E5)</x:f>
        <x:v>1851.667041136792</x:v>
      </x:c>
      <x:c r="I5" s="31" t="n">
        <x:f>IF(C5=0,"",SUMIF('Species'!$H$2:$H$29,A5,'Species'!$U$2:$U$29))</x:f>
        <x:v>2960043.4533169772</x:v>
      </x:c>
      <x:c r="J5" s="32" t="n">
        <x:v>4.238708282060648</x:v>
      </x:c>
      <x:c r="K5" s="32" t="n">
        <x:f>IF(J5="","",(1/'Metadata'!$B$5)^(J5-1))</x:f>
        <x:v>1732.6397833318795</x:v>
      </x:c>
      <x:c r="L5" s="31" t="n">
        <x:f>IF(E5=0,"",E5*K5)</x:f>
        <x:v>2769768.5024730065</x:v>
      </x:c>
      <x:c r="M5" s="31" t="n">
        <x:f>IF(E5=0,"",I5-L5)</x:f>
        <x:v>190274.95084397076</x:v>
      </x:c>
      <x:c r="N5" s="32" t="n">
        <x:f>IF(L5=0,"",I5/L5)</x:f>
        <x:v>1.0686970592214051</x:v>
      </x:c>
      <x:c r="O5" s="34" t="n">
        <x:f>IF(L5=0,"",M5/L5)</x:f>
        <x:v>0.06869705922140514</x:v>
      </x:c>
    </x:row>
    <x:row r="6" ht="18" customHeight="1">
      <x:c r="A6" s="24" t="str">
        <x:v>Tuna &amp; billfishes</x:v>
      </x:c>
      <x:c r="B6" s="33" t="n">
        <x:v>9</x:v>
      </x:c>
      <x:c r="C6" s="33" t="n">
        <x:v>9</x:v>
      </x:c>
      <x:c r="D6" s="31" t="n">
        <x:v>76531.61283294379</x:v>
      </x:c>
      <x:c r="E6" s="31" t="n">
        <x:v>76531.61283294379</x:v>
      </x:c>
      <x:c r="F6" s="32" t="n">
        <x:v>0</x:v>
      </x:c>
      <x:c r="G6" s="34" t="n">
        <x:v>1</x:v>
      </x:c>
      <x:c r="H6" s="32" t="n">
        <x:f>IF(E6=0,"",I6/E6)</x:f>
        <x:v>2675.821202881413</x:v>
      </x:c>
      <x:c r="I6" s="31" t="n">
        <x:f>IF(C6=0,"",SUMIF('Species'!$H$2:$H$29,A6,'Species'!$U$2:$U$29))</x:f>
        <x:v>204784912.30910224</x:v>
      </x:c>
      <x:c r="J6" s="32" t="n">
        <x:v>4.426635375594711</x:v>
      </x:c>
      <x:c r="K6" s="32" t="n">
        <x:f>IF(J6="","",(1/'Metadata'!$B$5)^(J6-1))</x:f>
        <x:v>2670.7631511911354</x:v>
      </x:c>
      <x:c r="L6" s="31" t="n">
        <x:f>IF(E6=0,"",E6*K6)</x:f>
        <x:v>204397811.4554529</x:v>
      </x:c>
      <x:c r="M6" s="31" t="n">
        <x:f>IF(E6=0,"",I6-L6)</x:f>
        <x:v>387100.853649348</x:v>
      </x:c>
      <x:c r="N6" s="32" t="n">
        <x:f>IF(L6=0,"",I6/L6)</x:f>
        <x:v>1.0018938600706775</x:v>
      </x:c>
      <x:c r="O6" s="34" t="n">
        <x:f>IF(L6=0,"",M6/L6)</x:f>
        <x:v>0.0018938600706774886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a06a50023cb4d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13</x:v>
      </x:c>
      <x:c r="C2" s="33" t="n">
        <x:v>13</x:v>
      </x:c>
      <x:c r="D2" s="31" t="n">
        <x:v>77423.026599402</x:v>
      </x:c>
      <x:c r="E2" s="31" t="n">
        <x:v>77423.026599402</x:v>
      </x:c>
      <x:c r="F2" s="32" t="n">
        <x:v>0</x:v>
      </x:c>
      <x:c r="G2" s="34" t="n">
        <x:v>1</x:v>
      </x:c>
      <x:c r="H2" s="32" t="n">
        <x:f>IF(E2=0,"",I2/E2)</x:f>
        <x:v>2671.323544962612</x:v>
      </x:c>
      <x:c r="I2" s="31" t="n">
        <x:f>IF(C2=0,"",SUMIF('Species'!$G$2:$G$29,A2,'Species'!$U$2:$U$29))</x:f>
        <x:v>206821953.87724912</x:v>
      </x:c>
      <x:c r="J2" s="32" t="n">
        <x:v>4.425842157481453</x:v>
      </x:c>
      <x:c r="K2" s="32" t="n">
        <x:f>IF(J2="","",(1/'Metadata'!$B$5)^(J2-1))</x:f>
        <x:v>2665.889581975174</x:v>
      </x:c>
      <x:c r="L2" s="31" t="n">
        <x:f>IF(E2=0,"",E2*K2)</x:f>
        <x:v>206401240.0163326</x:v>
      </x:c>
      <x:c r="M2" s="31" t="n">
        <x:f>IF(E2=0,"",I2-L2)</x:f>
        <x:v>420713.8609165251</x:v>
      </x:c>
      <x:c r="N2" s="32" t="n">
        <x:f>IF(L2=0,"",I2/L2)</x:f>
        <x:v>1.0020383301034588</x:v>
      </x:c>
      <x:c r="O2" s="34" t="n">
        <x:f>IF(L2=0,"",M2/L2)</x:f>
        <x:v>0.002038330103458845</x:v>
      </x:c>
    </x:row>
    <x:row r="3" ht="18" customHeight="1">
      <x:c r="A3" s="24" t="str">
        <x:v>Large sharks (&gt;=90 cm)</x:v>
      </x:c>
      <x:c r="B3" s="33" t="n">
        <x:v>8</x:v>
      </x:c>
      <x:c r="C3" s="33" t="n">
        <x:v>8</x:v>
      </x:c>
      <x:c r="D3" s="31" t="n">
        <x:v>1598.5829998355</x:v>
      </x:c>
      <x:c r="E3" s="31" t="n">
        <x:v>1598.5829998355</x:v>
      </x:c>
      <x:c r="F3" s="32" t="n">
        <x:v>0</x:v>
      </x:c>
      <x:c r="G3" s="34" t="n">
        <x:v>1</x:v>
      </x:c>
      <x:c r="H3" s="32" t="n">
        <x:f>IF(E3=0,"",I3/E3)</x:f>
        <x:v>1851.667041136792</x:v>
      </x:c>
      <x:c r="I3" s="31" t="n">
        <x:f>IF(C3=0,"",SUMIF('Species'!$G$2:$G$29,A3,'Species'!$U$2:$U$29))</x:f>
        <x:v>2960043.4533169772</x:v>
      </x:c>
      <x:c r="J3" s="32" t="n">
        <x:v>4.238708282060648</x:v>
      </x:c>
      <x:c r="K3" s="32" t="n">
        <x:f>IF(J3="","",(1/'Metadata'!$B$5)^(J3-1))</x:f>
        <x:v>1732.6397833318795</x:v>
      </x:c>
      <x:c r="L3" s="31" t="n">
        <x:f>IF(E3=0,"",E3*K3)</x:f>
        <x:v>2769768.5024730065</x:v>
      </x:c>
      <x:c r="M3" s="31" t="n">
        <x:f>IF(E3=0,"",I3-L3)</x:f>
        <x:v>190274.95084397076</x:v>
      </x:c>
      <x:c r="N3" s="32" t="n">
        <x:f>IF(L3=0,"",I3/L3)</x:f>
        <x:v>1.0686970592214051</x:v>
      </x:c>
      <x:c r="O3" s="34" t="n">
        <x:f>IF(L3=0,"",M3/L3)</x:f>
        <x:v>0.06869705922140514</x:v>
      </x:c>
    </x:row>
    <x:row r="4" ht="18" customHeight="1">
      <x:c r="A4" s="24" t="str">
        <x:v>Medium demersals (30 - 89 cm)</x:v>
      </x:c>
      <x:c r="B4" s="33" t="n">
        <x:v>1</x:v>
      </x:c>
      <x:c r="C4" s="33" t="n">
        <x:v>1</x:v>
      </x:c>
      <x:c r="D4" s="31" t="n">
        <x:v>1420.1208017619</x:v>
      </x:c>
      <x:c r="E4" s="31" t="n">
        <x:v>1420.1208017619</x:v>
      </x:c>
      <x:c r="F4" s="32" t="n">
        <x:v>0</x:v>
      </x:c>
      <x:c r="G4" s="34" t="n">
        <x:v>1</x:v>
      </x:c>
      <x:c r="H4" s="32" t="n">
        <x:f>IF(E4=0,"",I4/E4)</x:f>
        <x:v>190.54607179632464</x:v>
      </x:c>
      <x:c r="I4" s="31" t="n">
        <x:f>IF(C4=0,"",SUMIF('Species'!$G$2:$G$29,A4,'Species'!$U$2:$U$29))</x:f>
        <x:v>270598.4402519771</x:v>
      </x:c>
      <x:c r="J4" s="32" t="n">
        <x:v>3.2799999999999994</x:v>
      </x:c>
      <x:c r="K4" s="32" t="n">
        <x:f>IF(J4="","",(1/'Metadata'!$B$5)^(J4-1))</x:f>
        <x:v>190.54607179632444</x:v>
      </x:c>
      <x:c r="L4" s="31" t="n">
        <x:f>IF(E4=0,"",E4*K4)</x:f>
        <x:v>270598.44025197683</x:v>
      </x:c>
      <x:c r="M4" s="31" t="n">
        <x:f>IF(E4=0,"",I4-L4)</x:f>
        <x:v>2.9103830456733704e-10</x:v>
      </x:c>
      <x:c r="N4" s="32" t="n">
        <x:f>IF(L4=0,"",I4/L4)</x:f>
        <x:v>1.000000000000001</x:v>
      </x:c>
      <x:c r="O4" s="34" t="n">
        <x:f>IF(L4=0,"",M4/L4)</x:f>
        <x:v>1.075535780237044e-15</x:v>
      </x:c>
    </x:row>
    <x:row r="5" ht="18" customHeight="1">
      <x:c r="A5" s="24" t="str">
        <x:v>Medium pelagics (30 - 89 cm)</x:v>
      </x:c>
      <x:c r="B5" s="33" t="n">
        <x:v>3</x:v>
      </x:c>
      <x:c r="C5" s="33" t="n">
        <x:v>3</x:v>
      </x:c>
      <x:c r="D5" s="31" t="n">
        <x:v>1244.58894469</x:v>
      </x:c>
      <x:c r="E5" s="31" t="n">
        <x:v>1244.58894469</x:v>
      </x:c>
      <x:c r="F5" s="32" t="n">
        <x:v>0</x:v>
      </x:c>
      <x:c r="G5" s="34" t="n">
        <x:v>1</x:v>
      </x:c>
      <x:c r="H5" s="32" t="n">
        <x:f>IF(E5=0,"",I5/E5)</x:f>
        <x:v>1407.0081244770452</x:v>
      </x:c>
      <x:c r="I5" s="31" t="n">
        <x:f>IF(C5=0,"",SUMIF('Species'!$G$2:$G$29,A5,'Species'!$U$2:$U$29))</x:f>
        <x:v>1751146.7568131418</x:v>
      </x:c>
      <x:c r="J5" s="32" t="n">
        <x:v>4.066067399861426</x:v>
      </x:c>
      <x:c r="K5" s="32" t="n">
        <x:f>IF(J5="","",(1/'Metadata'!$B$5)^(J5-1))</x:f>
        <x:v>1164.306708707735</x:v>
      </x:c>
      <x:c r="L5" s="31" t="n">
        <x:f>IF(E5=0,"",E5*K5)</x:f>
        <x:v>1449083.2578860472</x:v>
      </x:c>
      <x:c r="M5" s="31" t="n">
        <x:f>IF(E5=0,"",I5-L5)</x:f>
        <x:v>302063.4989270945</x:v>
      </x:c>
      <x:c r="N5" s="32" t="n">
        <x:f>IF(L5=0,"",I5/L5)</x:f>
        <x:v>1.2084514449278443</x:v>
      </x:c>
      <x:c r="O5" s="34" t="n">
        <x:f>IF(L5=0,"",M5/L5)</x:f>
        <x:v>0.20845144492784426</x:v>
      </x:c>
    </x:row>
    <x:row r="6" ht="18" customHeight="1">
      <x:c r="A6" s="24" t="str">
        <x:v>Medium reef assoc. fish (30 - 89 cm)</x:v>
      </x:c>
      <x:c r="B6" s="33" t="n">
        <x:v>2</x:v>
      </x:c>
      <x:c r="C6" s="33" t="n">
        <x:v>2</x:v>
      </x:c>
      <x:c r="D6" s="31" t="n">
        <x:v>16.446042843</x:v>
      </x:c>
      <x:c r="E6" s="31" t="n">
        <x:v>16.446042843</x:v>
      </x:c>
      <x:c r="F6" s="32" t="n">
        <x:v>0</x:v>
      </x:c>
      <x:c r="G6" s="34" t="n">
        <x:v>1</x:v>
      </x:c>
      <x:c r="H6" s="32" t="n">
        <x:f>IF(E6=0,"",I6/E6)</x:f>
        <x:v>802.4739026397567</x:v>
      </x:c>
      <x:c r="I6" s="31" t="n">
        <x:f>IF(C6=0,"",SUMIF('Species'!$G$2:$G$29,A6,'Species'!$U$2:$U$29))</x:f>
        <x:v>13197.52018320285</x:v>
      </x:c>
      <x:c r="J6" s="32" t="n">
        <x:v>3.899999999994528</x:v>
      </x:c>
      <x:c r="K6" s="32" t="n">
        <x:f>IF(J6="","",(1/'Metadata'!$B$5)^(J6-1))</x:f>
        <x:v>794.3282347142729</x:v>
      </x:c>
      <x:c r="L6" s="31" t="n">
        <x:f>IF(E6=0,"",E6*K6)</x:f>
        <x:v>13063.556179515492</x:v>
      </x:c>
      <x:c r="M6" s="31" t="n">
        <x:f>IF(E6=0,"",I6-L6)</x:f>
        <x:v>133.96400368735885</x:v>
      </x:c>
      <x:c r="N6" s="32" t="n">
        <x:f>IF(L6=0,"",I6/L6)</x:f>
        <x:v>1.0102547883475574</x:v>
      </x:c>
      <x:c r="O6" s="34" t="n">
        <x:f>IF(L6=0,"",M6/L6)</x:f>
        <x:v>0.010254788347557548</x:v>
      </x:c>
    </x:row>
    <x:row r="7" ht="18" customHeight="1">
      <x:c r="A7" s="24" t="str">
        <x:v>Shrimps</x:v>
      </x:c>
      <x:c r="B7" s="33" t="n">
        <x:v>1</x:v>
      </x:c>
      <x:c r="C7" s="33" t="n">
        <x:v>1</x:v>
      </x:c>
      <x:c r="D7" s="31" t="n">
        <x:v>26.583059408</x:v>
      </x:c>
      <x:c r="E7" s="31" t="n">
        <x:v>26.583059408</x:v>
      </x:c>
      <x:c r="F7" s="32" t="n">
        <x:v>0</x:v>
      </x:c>
      <x:c r="G7" s="34" t="n">
        <x:v>1</x:v>
      </x:c>
      <x:c r="H7" s="32" t="n">
        <x:f>IF(E7=0,"",I7/E7)</x:f>
        <x:v>50.11872336272725</x:v>
      </x:c>
      <x:c r="I7" s="31" t="n">
        <x:f>IF(C7=0,"",SUMIF('Species'!$G$2:$G$29,A7,'Species'!$U$2:$U$29))</x:f>
        <x:v>1332.309000604496</x:v>
      </x:c>
      <x:c r="J7" s="32" t="n">
        <x:v>2.7</x:v>
      </x:c>
      <x:c r="K7" s="32" t="n">
        <x:f>IF(J7="","",(1/'Metadata'!$B$5)^(J7-1))</x:f>
        <x:v>50.11872336272725</x:v>
      </x:c>
      <x:c r="L7" s="31" t="n">
        <x:f>IF(E7=0,"",E7*K7)</x:f>
        <x:v>1332.309000604496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</x:sheetData>
  <x:conditionalFormatting sqref="G2:G7">
    <x:cfRule type="cellIs" dxfId="2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ca0a0dabed542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EEZ_520</x:v>
      </x:c>
      <x:c r="B2" s="24" t="str">
        <x:v>raw_filtered_tonnes</x:v>
      </x:c>
      <x:c r="C2" s="24" t="n">
        <x:v>81729.3484479404</x:v>
      </x:c>
      <x:c r="D2" s="24" t="str">
        <x:v>tonnes</x:v>
      </x:c>
    </x:row>
    <x:row r="3" ht="18" customHeight="1">
      <x:c r="A3" s="24" t="str">
        <x:v>EEZ_520</x:v>
      </x:c>
      <x:c r="B3" s="24" t="str">
        <x:v>species_catch_tonnes</x:v>
      </x:c>
      <x:c r="C3" s="24" t="n">
        <x:v>81729.3484479404</x:v>
      </x:c>
      <x:c r="D3" s="24" t="str">
        <x:v>tonnes</x:v>
      </x:c>
    </x:row>
    <x:row r="4" ht="18" customHeight="1">
      <x:c r="A4" s="24" t="str">
        <x:v>EEZ_520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EEZ_520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EEZ_520</x:v>
      </x:c>
      <x:c r="B6" s="24" t="str">
        <x:v>matched_catch_tonnes</x:v>
      </x:c>
      <x:c r="C6" s="24" t="n">
        <x:v>81729.3484479404</x:v>
      </x:c>
      <x:c r="D6" s="24" t="str">
        <x:v>tonnes</x:v>
      </x:c>
    </x:row>
    <x:row r="7" ht="18" customHeight="1">
      <x:c r="A7" s="24" t="str">
        <x:v>EEZ_520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EEZ_520</x:v>
      </x:c>
      <x:c r="B8" s="24" t="str">
        <x:v>taxa_count</x:v>
      </x:c>
      <x:c r="C8" s="24" t="n">
        <x:v>28</x:v>
      </x:c>
      <x:c r="D8" s="24" t="str">
        <x:v>count</x:v>
      </x:c>
    </x:row>
    <x:row r="9" ht="18" customHeight="1">
      <x:c r="A9" s="24" t="str">
        <x:v>EEZ_520</x:v>
      </x:c>
      <x:c r="B9" s="24" t="str">
        <x:v>matched_taxa_count</x:v>
      </x:c>
      <x:c r="C9" s="24" t="n">
        <x:v>28</x:v>
      </x:c>
      <x:c r="D9" s="24" t="str">
        <x:v>count</x:v>
      </x:c>
    </x:row>
    <x:row r="10" ht="18" customHeight="1">
      <x:c r="A10" s="24" t="str">
        <x:v>EEZ_520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EEZ_520</x:v>
      </x:c>
      <x:c r="B11" s="24" t="str">
        <x:v>species_ppr</x:v>
      </x:c>
      <x:c r="C11" s="24" t="n">
        <x:v>211818272.35681504</x:v>
      </x:c>
      <x:c r="D11" s="24" t="str">
        <x:v>tonnes_primary_production_equivalent</x:v>
      </x:c>
    </x:row>
    <x:row r="12" ht="18" customHeight="1">
      <x:c r="A12" s="24" t="str">
        <x:v>EEZ_520</x:v>
      </x:c>
      <x:c r="B12" s="24" t="str">
        <x:v>commercial_ppr</x:v>
      </x:c>
      <x:c r="C12" s="24" t="n">
        <x:v>211818272.356815</x:v>
      </x:c>
      <x:c r="D12" s="24" t="str">
        <x:v>tonnes_primary_production_equivalent</x:v>
      </x:c>
    </x:row>
    <x:row r="13" ht="18" customHeight="1">
      <x:c r="A13" s="24" t="str">
        <x:v>EEZ_520</x:v>
      </x:c>
      <x:c r="B13" s="24" t="str">
        <x:v>functional_ppr</x:v>
      </x:c>
      <x:c r="C13" s="24" t="n">
        <x:v>211818272.35681507</x:v>
      </x:c>
      <x:c r="D13" s="24" t="str">
        <x:v>tonnes_primary_production_equivalent</x:v>
      </x:c>
    </x:row>
    <x:row r="14" ht="18" customHeight="1">
      <x:c r="A14" s="24" t="str">
        <x:v>EEZ_520</x:v>
      </x:c>
      <x:c r="B14" s="24" t="str">
        <x:v>commercial_ppr_difference</x:v>
      </x:c>
      <x:c r="C14" s="24" t="n">
        <x:v>-2.9802322387695312e-8</x:v>
      </x:c>
      <x:c r="D14" s="24" t="str">
        <x:v>tonnes_primary_production_equivalent</x:v>
      </x:c>
    </x:row>
    <x:row r="15" ht="18" customHeight="1">
      <x:c r="A15" s="24" t="str">
        <x:v>EEZ_520</x:v>
      </x:c>
      <x:c r="B15" s="24" t="str">
        <x:v>functional_ppr_difference</x:v>
      </x:c>
      <x:c r="C15" s="24" t="n">
        <x:v>2.9802322387695312e-8</x:v>
      </x:c>
      <x:c r="D15" s="24" t="str">
        <x:v>tonnes_primary_production_equivalent</x:v>
      </x:c>
    </x:row>
    <x:row r="16" ht="18" customHeight="1">
      <x:c r="A16" s="24" t="str">
        <x:v>EEZ_520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EEZ_520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EEZ_520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EEZ_520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f8c78e8a93845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EEZ_520 - Nauru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EEZ_520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raw_data/SAU_downloads/EEZ_520-catch.zip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