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11473dc14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e0636fc1e6043b9"/>
    <x:sheet xmlns:r="http://schemas.openxmlformats.org/officeDocument/2006/relationships" name="Commercial" sheetId="2" r:id="Re546bed3ae4940e5"/>
    <x:sheet xmlns:r="http://schemas.openxmlformats.org/officeDocument/2006/relationships" name="Functional" sheetId="3" r:id="R0b4bed6de5194006"/>
    <x:sheet xmlns:r="http://schemas.openxmlformats.org/officeDocument/2006/relationships" name="Missing TL" sheetId="4" r:id="R7042bf46a0104a5f"/>
    <x:sheet xmlns:r="http://schemas.openxmlformats.org/officeDocument/2006/relationships" name="Validation" sheetId="5" r:id="R74e9e56043d144aa"/>
    <x:sheet xmlns:r="http://schemas.openxmlformats.org/officeDocument/2006/relationships" name="Metadata" sheetId="6" r:id="R3cb5cb8ffb78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fe86db1774e44" /><Relationship Type="http://schemas.openxmlformats.org/officeDocument/2006/relationships/theme" Target="/xl/theme/theme1.xml" Id="R93e62cfc4668470d" /><Relationship Type="http://schemas.microsoft.com/office/2022/11/relationships/FeaturePropertyBag" Target="/xl/featurePropertyBag/featurePropertyBag.xml" Id="Rf6dbbcc425004014" /><Relationship Type="http://schemas.openxmlformats.org/officeDocument/2006/relationships/sharedStrings" Target="/xl/sharedStrings.xml" Id="Rf9b5870fb80c436b" /><Relationship Type="http://schemas.openxmlformats.org/officeDocument/2006/relationships/worksheet" Target="/xl/worksheets/sheet1.xml" Id="Ree0636fc1e6043b9" /><Relationship Type="http://schemas.openxmlformats.org/officeDocument/2006/relationships/worksheet" Target="/xl/worksheets/sheet2.xml" Id="Re546bed3ae4940e5" /><Relationship Type="http://schemas.openxmlformats.org/officeDocument/2006/relationships/worksheet" Target="/xl/worksheets/sheet3.xml" Id="R0b4bed6de5194006" /><Relationship Type="http://schemas.openxmlformats.org/officeDocument/2006/relationships/worksheet" Target="/xl/worksheets/sheet4.xml" Id="R7042bf46a0104a5f" /><Relationship Type="http://schemas.openxmlformats.org/officeDocument/2006/relationships/worksheet" Target="/xl/worksheets/sheet5.xml" Id="R74e9e56043d144aa" /><Relationship Type="http://schemas.openxmlformats.org/officeDocument/2006/relationships/worksheet" Target="/xl/worksheets/sheet6.xml" Id="R3cb5cb8ffb784b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5SpeciesTable" displayName="EEZ915SpeciesTable" ref="A1:U118" headerRowCount="1" totalsRowCount="0" totalsRowShown="0">
  <x:autoFilter ref="A1:U1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5CommercialTable" displayName="EEZ91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5FunctionalTable" displayName="EEZ915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5ValidationTable" displayName="EEZ91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42f9b334fc47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6e3e4b137b4d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24a3018c594c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7a2602cbb5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EEZ_915</x:v>
      </x:c>
      <x:c r="B2" s="24" t="str">
        <x:v>Sweden (West Coast)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3495.7856433783</x:v>
      </x:c>
      <x:c r="J2" s="31" t="n">
        <x:v>3460.8197229937</x:v>
      </x:c>
      <x:c r="K2" s="31" t="n">
        <x:v>34.9659203846</x:v>
      </x:c>
      <x:c r="L2" s="31" t="n">
        <x:v>3301.3210803805</x:v>
      </x:c>
      <x:c r="M2" s="31" t="n">
        <x:v>194.4645629978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838580.5679171593</x:v>
      </x:c>
    </x:row>
    <x:row r="3" ht="18" customHeight="1">
      <x:c r="A3" s="24" t="str">
        <x:v>EEZ_915</x:v>
      </x:c>
      <x:c r="B3" s="24" t="str">
        <x:v>Sweden (West Coast)</x:v>
      </x:c>
      <x:c r="C3" s="24" t="str">
        <x:v>EEZ</x:v>
      </x:c>
      <x:c r="D3" s="30" t="n">
        <x:v>2019</x:v>
      </x:c>
      <x:c r="E3" s="24" t="str">
        <x:v>Gadus morhua</x:v>
      </x:c>
      <x:c r="F3" s="24" t="str">
        <x:v>Atlantic cod</x:v>
      </x:c>
      <x:c r="G3" s="24" t="str">
        <x:v>Large benthopelagics (&gt;=90 cm)</x:v>
      </x:c>
      <x:c r="H3" s="24" t="str">
        <x:v>Cod-likes</x:v>
      </x:c>
      <x:c r="I3" s="31" t="n">
        <x:v>2637.7480396127</x:v>
      </x:c>
      <x:c r="J3" s="31" t="n">
        <x:v>2443.0779470141</x:v>
      </x:c>
      <x:c r="K3" s="31" t="n">
        <x:v>194.6700925986</x:v>
      </x:c>
      <x:c r="L3" s="31" t="n">
        <x:v>666.1373085319001</x:v>
      </x:c>
      <x:c r="M3" s="31" t="n">
        <x:v>1971.6107310808</x:v>
      </x:c>
      <x:c r="N3" s="24" t="str">
        <x:v>gadus morhua</x:v>
      </x:c>
      <x:c r="O3" s="32" t="n">
        <x:v>4.09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morhua</x:v>
      </x:c>
      <x:c r="T3" s="32" t="n">
        <x:f>IF(O3="","",(1/'Metadata'!$B$5)^(O3-1))</x:f>
        <x:v>1230.268770812381</x:v>
      </x:c>
      <x:c r="U3" s="31" t="n">
        <x:f>IF(T3="","",I3*T3)</x:f>
        <x:v>3245139.038407084</x:v>
      </x:c>
    </x:row>
    <x:row r="4" ht="18" customHeight="1">
      <x:c r="A4" s="24" t="str">
        <x:v>EEZ_915</x:v>
      </x:c>
      <x:c r="B4" s="24" t="str">
        <x:v>Sweden (West Coast)</x:v>
      </x:c>
      <x:c r="C4" s="24" t="str">
        <x:v>EEZ</x:v>
      </x:c>
      <x:c r="D4" s="30" t="n">
        <x:v>2019</x:v>
      </x:c>
      <x:c r="E4" s="24" t="str">
        <x:v>Pleuronectes platessa</x:v>
      </x:c>
      <x:c r="F4" s="24" t="str">
        <x:v>European plaice</x:v>
      </x:c>
      <x:c r="G4" s="24" t="str">
        <x:v>Large flatfishes (&gt;=90 cm)</x:v>
      </x:c>
      <x:c r="H4" s="24" t="str">
        <x:v>Flatfishes</x:v>
      </x:c>
      <x:c r="I4" s="31" t="n">
        <x:v>2034.5089341634</x:v>
      </x:c>
      <x:c r="J4" s="31" t="n">
        <x:v>2012.9165027149</x:v>
      </x:c>
      <x:c r="K4" s="31" t="n">
        <x:v>21.5924314485</x:v>
      </x:c>
      <x:c r="L4" s="31" t="n">
        <x:v>1998.5519276217</x:v>
      </x:c>
      <x:c r="M4" s="31" t="n">
        <x:v>35.9570065417</x:v>
      </x:c>
      <x:c r="N4" s="24" t="str">
        <x:v>pleuronectes platessa</x:v>
      </x:c>
      <x:c r="O4" s="32" t="n">
        <x:v>3.26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Pleuronectes platessa</x:v>
      </x:c>
      <x:c r="T4" s="32" t="n">
        <x:f>IF(O4="","",(1/'Metadata'!$B$5)^(O4-1))</x:f>
        <x:v>181.97008586099827</x:v>
      </x:c>
      <x:c r="U4" s="31" t="n">
        <x:f>IF(T4="","",I4*T4)</x:f>
        <x:v>370219.76543468196</x:v>
      </x:c>
    </x:row>
    <x:row r="5" ht="18" customHeight="1">
      <x:c r="A5" s="24" t="str">
        <x:v>EEZ_915</x:v>
      </x:c>
      <x:c r="B5" s="24" t="str">
        <x:v>Sweden (West Coast)</x:v>
      </x:c>
      <x:c r="C5" s="24" t="str">
        <x:v>EEZ</x:v>
      </x:c>
      <x:c r="D5" s="30" t="n">
        <x:v>2019</x:v>
      </x:c>
      <x:c r="E5" s="24" t="str">
        <x:v>Sprattus sprattus</x:v>
      </x:c>
      <x:c r="F5" s="24" t="str">
        <x:v>European sprat</x:v>
      </x:c>
      <x:c r="G5" s="24" t="str">
        <x:v>Small pelagics (&lt;30 cm)</x:v>
      </x:c>
      <x:c r="H5" s="24" t="str">
        <x:v>Herring-likes</x:v>
      </x:c>
      <x:c r="I5" s="31" t="n">
        <x:v>1438.4409027424</x:v>
      </x:c>
      <x:c r="J5" s="31" t="n">
        <x:v>1438.4409027424</x:v>
      </x:c>
      <x:c r="K5" s="31" t="n">
        <x:v>0</x:v>
      </x:c>
      <x:c r="L5" s="31" t="n">
        <x:v>1438.4405923097</x:v>
      </x:c>
      <x:c r="M5" s="31" t="n">
        <x:v>0.00031043270000000005</x:v>
      </x:c>
      <x:c r="N5" s="24" t="str">
        <x:v>sprattus sprattus</x:v>
      </x:c>
      <x:c r="O5" s="32" t="n">
        <x:v>3.01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Sprattus sprattus</x:v>
      </x:c>
      <x:c r="T5" s="32" t="n">
        <x:f>IF(O5="","",(1/'Metadata'!$B$5)^(O5-1))</x:f>
        <x:v>102.32929922807536</x:v>
      </x:c>
      <x:c r="U5" s="31" t="n">
        <x:f>IF(T5="","",I5*T5)</x:f>
        <x:v>147194.6495586299</x:v>
      </x:c>
    </x:row>
    <x:row r="6" ht="18" customHeight="1">
      <x:c r="A6" s="24" t="str">
        <x:v>EEZ_915</x:v>
      </x:c>
      <x:c r="B6" s="24" t="str">
        <x:v>Sweden (West Coast)</x:v>
      </x:c>
      <x:c r="C6" s="24" t="str">
        <x:v>EEZ</x:v>
      </x:c>
      <x:c r="D6" s="30" t="n">
        <x:v>2019</x:v>
      </x:c>
      <x:c r="E6" s="24" t="str">
        <x:v>Nephrops norvegicus</x:v>
      </x:c>
      <x:c r="F6" s="24" t="str">
        <x:v>Norway lobster</x:v>
      </x:c>
      <x:c r="G6" s="24" t="str">
        <x:v>Lobsters, crabs</x:v>
      </x:c>
      <x:c r="H6" s="24" t="str">
        <x:v>Crustaceans</x:v>
      </x:c>
      <x:c r="I6" s="31" t="n">
        <x:v>1425.7893131903</x:v>
      </x:c>
      <x:c r="J6" s="31" t="n">
        <x:v>1418.5785652351</x:v>
      </x:c>
      <x:c r="K6" s="31" t="n">
        <x:v>7.2107479552000004</x:v>
      </x:c>
      <x:c r="L6" s="31" t="n">
        <x:v>1407.6028697628</x:v>
      </x:c>
      <x:c r="M6" s="31" t="n">
        <x:v>18.1864434275</x:v>
      </x:c>
      <x:c r="N6" s="24" t="str">
        <x:v>nephrops norvegicus</x:v>
      </x:c>
      <x:c r="O6" s="32" t="n">
        <x:v>2.87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Nephrops norvegicus</x:v>
      </x:c>
      <x:c r="T6" s="32" t="n">
        <x:f>IF(O6="","",(1/'Metadata'!$B$5)^(O6-1))</x:f>
        <x:v>74.13102413009177</x:v>
      </x:c>
      <x:c r="U6" s="31" t="n">
        <x:f>IF(T6="","",I6*T6)</x:f>
        <x:v>105695.2219805371</x:v>
      </x:c>
    </x:row>
    <x:row r="7" ht="18" customHeight="1">
      <x:c r="A7" s="24" t="str">
        <x:v>EEZ_915</x:v>
      </x:c>
      <x:c r="B7" s="24" t="str">
        <x:v>Sweden (West Coast)</x:v>
      </x:c>
      <x:c r="C7" s="24" t="str">
        <x:v>EEZ</x:v>
      </x:c>
      <x:c r="D7" s="30" t="n">
        <x:v>2019</x:v>
      </x:c>
      <x:c r="E7" s="24" t="str">
        <x:v>Pandalus borealis</x:v>
      </x:c>
      <x:c r="F7" s="24" t="str">
        <x:v>Northern prawn</x:v>
      </x:c>
      <x:c r="G7" s="24" t="str">
        <x:v>Shrimps</x:v>
      </x:c>
      <x:c r="H7" s="24" t="str">
        <x:v>Crustaceans</x:v>
      </x:c>
      <x:c r="I7" s="31" t="n">
        <x:v>485.7280434972</x:v>
      </x:c>
      <x:c r="J7" s="31" t="n">
        <x:v>474.5202271623</x:v>
      </x:c>
      <x:c r="K7" s="31" t="n">
        <x:v>11.2078163349</x:v>
      </x:c>
      <x:c r="L7" s="31" t="n">
        <x:v>421.9026654498</x:v>
      </x:c>
      <x:c r="M7" s="31" t="n">
        <x:v>63.8253780474</x:v>
      </x:c>
      <x:c r="N7" s="24" t="str">
        <x:v>pandalus borealis</x:v>
      </x:c>
      <x:c r="O7" s="32" t="n">
        <x:v>3.07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Pandalus borealis</x:v>
      </x:c>
      <x:c r="T7" s="32" t="n">
        <x:f>IF(O7="","",(1/'Metadata'!$B$5)^(O7-1))</x:f>
        <x:v>117.48975549395291</x:v>
      </x:c>
      <x:c r="U7" s="31" t="n">
        <x:f>IF(T7="","",I7*T7)</x:f>
        <x:v>57068.06906704215</x:v>
      </x:c>
    </x:row>
    <x:row r="8" ht="18" customHeight="1">
      <x:c r="A8" s="24" t="str">
        <x:v>EEZ_915</x:v>
      </x:c>
      <x:c r="B8" s="24" t="str">
        <x:v>Sweden (West Coast)</x:v>
      </x:c>
      <x:c r="C8" s="24" t="str">
        <x:v>EEZ</x:v>
      </x:c>
      <x:c r="D8" s="30" t="n">
        <x:v>2019</x:v>
      </x:c>
      <x:c r="E8" s="24" t="str">
        <x:v>Mytilus edulis</x:v>
      </x:c>
      <x:c r="F8" s="24" t="str">
        <x:v>Blue mussel</x:v>
      </x:c>
      <x:c r="G8" s="24" t="str">
        <x:v>Other demersal invertebrates</x:v>
      </x:c>
      <x:c r="H8" s="24" t="str">
        <x:v>Molluscs</x:v>
      </x:c>
      <x:c r="I8" s="31" t="n">
        <x:v>376.1651201758</x:v>
      </x:c>
      <x:c r="J8" s="31" t="n">
        <x:v>375.9259246383</x:v>
      </x:c>
      <x:c r="K8" s="31" t="n">
        <x:v>0.2391955375</x:v>
      </x:c>
      <x:c r="L8" s="31" t="n">
        <x:v>375.5846301364</x:v>
      </x:c>
      <x:c r="M8" s="31" t="n">
        <x:v>0.5804900394</x:v>
      </x:c>
      <x:c r="N8" s="24" t="str">
        <x:v>mytilus edulis</x:v>
      </x:c>
      <x:c r="O8" s="32" t="n">
        <x:v>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Mytilus edulis</x:v>
      </x:c>
      <x:c r="T8" s="32" t="n">
        <x:f>IF(O8="","",(1/'Metadata'!$B$5)^(O8-1))</x:f>
        <x:v>10</x:v>
      </x:c>
      <x:c r="U8" s="31" t="n">
        <x:f>IF(T8="","",I8*T8)</x:f>
        <x:v>3761.651201758</x:v>
      </x:c>
    </x:row>
    <x:row r="9" ht="18" customHeight="1">
      <x:c r="A9" s="24" t="str">
        <x:v>EEZ_915</x:v>
      </x:c>
      <x:c r="B9" s="24" t="str">
        <x:v>Sweden (West Coast)</x:v>
      </x:c>
      <x:c r="C9" s="24" t="str">
        <x:v>EEZ</x:v>
      </x:c>
      <x:c r="D9" s="30" t="n">
        <x:v>2019</x:v>
      </x:c>
      <x:c r="E9" s="24" t="str">
        <x:v>Pollachius virens</x:v>
      </x:c>
      <x:c r="F9" s="24" t="str">
        <x:v>Saithe</x:v>
      </x:c>
      <x:c r="G9" s="24" t="str">
        <x:v>Large demersals (&gt;=90 cm)</x:v>
      </x:c>
      <x:c r="H9" s="24" t="str">
        <x:v>Cod-likes</x:v>
      </x:c>
      <x:c r="I9" s="31" t="n">
        <x:v>306.9420882503</x:v>
      </x:c>
      <x:c r="J9" s="31" t="n">
        <x:v>301.05753363400004</x:v>
      </x:c>
      <x:c r="K9" s="31" t="n">
        <x:v>5.8845546163</x:v>
      </x:c>
      <x:c r="L9" s="31" t="n">
        <x:v>298.4346833537</x:v>
      </x:c>
      <x:c r="M9" s="31" t="n">
        <x:v>8.5074048966</x:v>
      </x:c>
      <x:c r="N9" s="24" t="str">
        <x:v>pollachius virens</x:v>
      </x:c>
      <x:c r="O9" s="32" t="n">
        <x:v>4.31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Pollachius virens</x:v>
      </x:c>
      <x:c r="T9" s="32" t="n">
        <x:f>IF(O9="","",(1/'Metadata'!$B$5)^(O9-1))</x:f>
        <x:v>2041.7379446695275</x:v>
      </x:c>
      <x:c r="U9" s="31" t="n">
        <x:f>IF(T9="","",I9*T9)</x:f>
        <x:v>626695.3083967402</x:v>
      </x:c>
    </x:row>
    <x:row r="10" ht="18" customHeight="1">
      <x:c r="A10" s="24" t="str">
        <x:v>EEZ_915</x:v>
      </x:c>
      <x:c r="B10" s="24" t="str">
        <x:v>Sweden (West Coast)</x:v>
      </x:c>
      <x:c r="C10" s="24" t="str">
        <x:v>EEZ</x:v>
      </x:c>
      <x:c r="D10" s="30" t="n">
        <x:v>2019</x:v>
      </x:c>
      <x:c r="E10" s="24" t="str">
        <x:v>Limanda limanda</x:v>
      </x:c>
      <x:c r="F10" s="24" t="str">
        <x:v>Common dab</x:v>
      </x:c>
      <x:c r="G10" s="24" t="str">
        <x:v>Small to medium flatfishes (&lt;90 cm)</x:v>
      </x:c>
      <x:c r="H10" s="24" t="str">
        <x:v>Flatfishes</x:v>
      </x:c>
      <x:c r="I10" s="31" t="n">
        <x:v>249.19906326219999</x:v>
      </x:c>
      <x:c r="J10" s="31" t="n">
        <x:v>244.4216001598</x:v>
      </x:c>
      <x:c r="K10" s="31" t="n">
        <x:v>4.7774631024000005</x:v>
      </x:c>
      <x:c r="L10" s="31" t="n">
        <x:v>236.6431861549</x:v>
      </x:c>
      <x:c r="M10" s="31" t="n">
        <x:v>12.555877107299999</x:v>
      </x:c>
      <x:c r="N10" s="24" t="str">
        <x:v>limanda limanda</x:v>
      </x:c>
      <x:c r="O10" s="32" t="n">
        <x:v>3.29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Limanda limanda</x:v>
      </x:c>
      <x:c r="T10" s="32" t="n">
        <x:f>IF(O10="","",(1/'Metadata'!$B$5)^(O10-1))</x:f>
        <x:v>194.98445997580455</x:v>
      </x:c>
      <x:c r="U10" s="31" t="n">
        <x:f>IF(T10="","",I10*T10)</x:f>
        <x:v>48589.94477665642</x:v>
      </x:c>
    </x:row>
    <x:row r="11" ht="18" customHeight="1">
      <x:c r="A11" s="24" t="str">
        <x:v>EEZ_915</x:v>
      </x:c>
      <x:c r="B11" s="24" t="str">
        <x:v>Sweden (West Coast)</x:v>
      </x:c>
      <x:c r="C11" s="24" t="str">
        <x:v>EEZ</x:v>
      </x:c>
      <x:c r="D11" s="30" t="n">
        <x:v>2019</x:v>
      </x:c>
      <x:c r="E11" s="24" t="str">
        <x:v>Trisopterus esmarkii</x:v>
      </x:c>
      <x:c r="F11" s="24" t="str">
        <x:v>Norway pout</x:v>
      </x:c>
      <x:c r="G11" s="24" t="str">
        <x:v>Medium benthopelagics (30 - 89 cm)</x:v>
      </x:c>
      <x:c r="H11" s="24" t="str">
        <x:v>Cod-likes</x:v>
      </x:c>
      <x:c r="I11" s="31" t="n">
        <x:v>248.40928029260002</x:v>
      </x:c>
      <x:c r="J11" s="31" t="n">
        <x:v>248.4026153884</x:v>
      </x:c>
      <x:c r="K11" s="31" t="n">
        <x:v>0.0066649042</x:v>
      </x:c>
      <x:c r="L11" s="31" t="n">
        <x:v>248.2772409289</x:v>
      </x:c>
      <x:c r="M11" s="31" t="n">
        <x:v>0.1320393637</x:v>
      </x:c>
      <x:c r="N11" s="24" t="str">
        <x:v>trisopterus esmarkii</x:v>
      </x:c>
      <x:c r="O11" s="32" t="n">
        <x:v>3.24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Trisopterus esmarkii</x:v>
      </x:c>
      <x:c r="T11" s="32" t="n">
        <x:f>IF(O11="","",(1/'Metadata'!$B$5)^(O11-1))</x:f>
        <x:v>173.78008287493762</x:v>
      </x:c>
      <x:c r="U11" s="31" t="n">
        <x:f>IF(T11="","",I11*T11)</x:f>
        <x:v>43168.58531615164</x:v>
      </x:c>
    </x:row>
    <x:row r="12" ht="18" customHeight="1">
      <x:c r="A12" s="24" t="str">
        <x:v>EEZ_915</x:v>
      </x:c>
      <x:c r="B12" s="24" t="str">
        <x:v>Sweden (West Coast)</x:v>
      </x:c>
      <x:c r="C12" s="24" t="str">
        <x:v>EEZ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212.5393276481</x:v>
      </x:c>
      <x:c r="J12" s="31" t="n">
        <x:v>211.6010192923</x:v>
      </x:c>
      <x:c r="K12" s="31" t="n">
        <x:v>0.9383083558</x:v>
      </x:c>
      <x:c r="L12" s="31" t="n">
        <x:v>203.1825503492</x:v>
      </x:c>
      <x:c r="M12" s="31" t="n">
        <x:v>9.356777298899999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40498.53398557743</x:v>
      </x:c>
    </x:row>
    <x:row r="13" ht="18" customHeight="1">
      <x:c r="A13" s="24" t="str">
        <x:v>EEZ_915</x:v>
      </x:c>
      <x:c r="B13" s="24" t="str">
        <x:v>Sweden (West Coast)</x:v>
      </x:c>
      <x:c r="C13" s="24" t="str">
        <x:v>EEZ</x:v>
      </x:c>
      <x:c r="D13" s="30" t="n">
        <x:v>2019</x:v>
      </x:c>
      <x:c r="E13" s="24" t="str">
        <x:v>Trachurus trachurus</x:v>
      </x:c>
      <x:c r="F13" s="24" t="str">
        <x:v>Atlantic horse mackerel</x:v>
      </x:c>
      <x:c r="G13" s="24" t="str">
        <x:v>Medium pelagics (30 - 89 cm)</x:v>
      </x:c>
      <x:c r="H13" s="24" t="str">
        <x:v>Perch-likes</x:v>
      </x:c>
      <x:c r="I13" s="31" t="n">
        <x:v>127.9970655809</x:v>
      </x:c>
      <x:c r="J13" s="31" t="n">
        <x:v>127.98578628419999</x:v>
      </x:c>
      <x:c r="K13" s="31" t="n">
        <x:v>0.0112792967</x:v>
      </x:c>
      <x:c r="L13" s="31" t="n">
        <x:v>126.70703842879999</x:v>
      </x:c>
      <x:c r="M13" s="31" t="n">
        <x:v>1.2900271520999997</x:v>
      </x:c>
      <x:c r="N13" s="24" t="str">
        <x:v>trachurus trachurus</x:v>
      </x:c>
      <x:c r="O13" s="32" t="n">
        <x:v>3.71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Trachurus trachurus</x:v>
      </x:c>
      <x:c r="T13" s="32" t="n">
        <x:f>IF(O13="","",(1/'Metadata'!$B$5)^(O13-1))</x:f>
        <x:v>512.8613839913648</x:v>
      </x:c>
      <x:c r="U13" s="31" t="n">
        <x:f>IF(T13="","",I13*T13)</x:f>
        <x:v>65644.75220065386</x:v>
      </x:c>
    </x:row>
    <x:row r="14" ht="18" customHeight="1">
      <x:c r="A14" s="24" t="str">
        <x:v>EEZ_915</x:v>
      </x:c>
      <x:c r="B14" s="24" t="str">
        <x:v>Sweden (West Coast)</x:v>
      </x:c>
      <x:c r="C14" s="24" t="str">
        <x:v>EEZ</x:v>
      </x:c>
      <x:c r="D14" s="30" t="n">
        <x:v>2019</x:v>
      </x:c>
      <x:c r="E14" s="24" t="str">
        <x:v>Glyptocephalus cynoglossus</x:v>
      </x:c>
      <x:c r="F14" s="24" t="str">
        <x:v>Witch flounder</x:v>
      </x:c>
      <x:c r="G14" s="24" t="str">
        <x:v>Small to medium flatfishes (&lt;90 cm)</x:v>
      </x:c>
      <x:c r="H14" s="24" t="str">
        <x:v>Flatfishes</x:v>
      </x:c>
      <x:c r="I14" s="31" t="n">
        <x:v>115.2870710777</x:v>
      </x:c>
      <x:c r="J14" s="31" t="n">
        <x:v>111.7761771648</x:v>
      </x:c>
      <x:c r="K14" s="31" t="n">
        <x:v>3.5108939129</x:v>
      </x:c>
      <x:c r="L14" s="31" t="n">
        <x:v>110.653466656</x:v>
      </x:c>
      <x:c r="M14" s="31" t="n">
        <x:v>4.6336044217</x:v>
      </x:c>
      <x:c r="N14" s="24" t="str">
        <x:v>glyptocephalus cynoglossus</x:v>
      </x:c>
      <x:c r="O14" s="32" t="n">
        <x:v>3.17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Glyptocephalus cynoglossus</x:v>
      </x:c>
      <x:c r="T14" s="32" t="n">
        <x:f>IF(O14="","",(1/'Metadata'!$B$5)^(O14-1))</x:f>
        <x:v>147.91083881682073</x:v>
      </x:c>
      <x:c r="U14" s="31" t="n">
        <x:f>IF(T14="","",I14*T14)</x:f>
        <x:v>17052.20738783704</x:v>
      </x:c>
    </x:row>
    <x:row r="15" ht="18" customHeight="1">
      <x:c r="A15" s="24" t="str">
        <x:v>EEZ_915</x:v>
      </x:c>
      <x:c r="B15" s="24" t="str">
        <x:v>Sweden (West Coast)</x:v>
      </x:c>
      <x:c r="C15" s="24" t="str">
        <x:v>EEZ</x:v>
      </x:c>
      <x:c r="D15" s="30" t="n">
        <x:v>2019</x:v>
      </x:c>
      <x:c r="E15" s="24" t="str">
        <x:v>Lophius piscatorius</x:v>
      </x:c>
      <x:c r="F15" s="24" t="str">
        <x:v>Angler</x:v>
      </x:c>
      <x:c r="G15" s="24" t="str">
        <x:v>Large bathydemersals (&gt;=90 cm)</x:v>
      </x:c>
      <x:c r="H15" s="24" t="str">
        <x:v>Other fishes &amp; inverts</x:v>
      </x:c>
      <x:c r="I15" s="31" t="n">
        <x:v>112.9866294708</x:v>
      </x:c>
      <x:c r="J15" s="31" t="n">
        <x:v>112.9657515864</x:v>
      </x:c>
      <x:c r="K15" s="31" t="n">
        <x:v>0.0208778844</x:v>
      </x:c>
      <x:c r="L15" s="31" t="n">
        <x:v>111.6743500971</x:v>
      </x:c>
      <x:c r="M15" s="31" t="n">
        <x:v>1.3122793737</x:v>
      </x:c>
      <x:c r="N15" s="24" t="str">
        <x:v>lophius piscatorius</x:v>
      </x:c>
      <x:c r="O15" s="32" t="n">
        <x:v>4.45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Lophius piscatorius</x:v>
      </x:c>
      <x:c r="T15" s="32" t="n">
        <x:f>IF(O15="","",(1/'Metadata'!$B$5)^(O15-1))</x:f>
        <x:v>2818.382931264455</x:v>
      </x:c>
      <x:c r="U15" s="31" t="n">
        <x:f>IF(T15="","",I15*T15)</x:f>
        <x:v>318439.5879616041</x:v>
      </x:c>
    </x:row>
    <x:row r="16" ht="18" customHeight="1">
      <x:c r="A16" s="24" t="str">
        <x:v>EEZ_915</x:v>
      </x:c>
      <x:c r="B16" s="24" t="str">
        <x:v>Sweden (West Coast)</x:v>
      </x:c>
      <x:c r="C16" s="24" t="str">
        <x:v>EEZ</x:v>
      </x:c>
      <x:c r="D16" s="30" t="n">
        <x:v>2019</x:v>
      </x:c>
      <x:c r="E16" s="24" t="str">
        <x:v>Scomber scombrus</x:v>
      </x:c>
      <x:c r="F16" s="24" t="str">
        <x:v>Atlantic mackerel</x:v>
      </x:c>
      <x:c r="G16" s="24" t="str">
        <x:v>Medium pelagics (30 - 89 cm)</x:v>
      </x:c>
      <x:c r="H16" s="24" t="str">
        <x:v>Perch-likes</x:v>
      </x:c>
      <x:c r="I16" s="31" t="n">
        <x:v>107.7452173527</x:v>
      </x:c>
      <x:c r="J16" s="31" t="n">
        <x:v>105.6607504247</x:v>
      </x:c>
      <x:c r="K16" s="31" t="n">
        <x:v>2.084466928</x:v>
      </x:c>
      <x:c r="L16" s="31" t="n">
        <x:v>104.05284638559999</x:v>
      </x:c>
      <x:c r="M16" s="31" t="n">
        <x:v>3.6923709671</x:v>
      </x:c>
      <x:c r="N16" s="24" t="str">
        <x:v>scomber scombrus</x:v>
      </x:c>
      <x:c r="O16" s="32" t="n">
        <x:v>3.63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Scomber scombrus</x:v>
      </x:c>
      <x:c r="T16" s="32" t="n">
        <x:f>IF(O16="","",(1/'Metadata'!$B$5)^(O16-1))</x:f>
        <x:v>426.57951880159254</x:v>
      </x:c>
      <x:c r="U16" s="31" t="n">
        <x:f>IF(T16="","",I16*T16)</x:f>
        <x:v>45961.90297148776</x:v>
      </x:c>
    </x:row>
    <x:row r="17" ht="18" customHeight="1">
      <x:c r="A17" s="24" t="str">
        <x:v>EEZ_915</x:v>
      </x:c>
      <x:c r="B17" s="24" t="str">
        <x:v>Sweden (West Coast)</x:v>
      </x:c>
      <x:c r="C17" s="24" t="str">
        <x:v>EEZ</x:v>
      </x:c>
      <x:c r="D17" s="30" t="n">
        <x:v>2019</x:v>
      </x:c>
      <x:c r="E17" s="24" t="str">
        <x:v>Micromesistius poutassou</x:v>
      </x:c>
      <x:c r="F17" s="24" t="str">
        <x:v>Blue whiting</x:v>
      </x:c>
      <x:c r="G17" s="24" t="str">
        <x:v>Medium benthopelagics (30 - 89 cm)</x:v>
      </x:c>
      <x:c r="H17" s="24" t="str">
        <x:v>Cod-likes</x:v>
      </x:c>
      <x:c r="I17" s="31" t="n">
        <x:v>107.46107667829999</x:v>
      </x:c>
      <x:c r="J17" s="31" t="n">
        <x:v>107.3629055329</x:v>
      </x:c>
      <x:c r="K17" s="31" t="n">
        <x:v>0.09817114539999999</x:v>
      </x:c>
      <x:c r="L17" s="31" t="n">
        <x:v>99.83541450999999</x:v>
      </x:c>
      <x:c r="M17" s="31" t="n">
        <x:v>7.6256621683</x:v>
      </x:c>
      <x:c r="N17" s="24" t="str">
        <x:v>micromesistius poutassou</x:v>
      </x:c>
      <x:c r="O17" s="32" t="n">
        <x:v>4.13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Micromesistius poutassou</x:v>
      </x:c>
      <x:c r="T17" s="32" t="n">
        <x:f>IF(O17="","",(1/'Metadata'!$B$5)^(O17-1))</x:f>
        <x:v>1348.9628825916532</x:v>
      </x:c>
      <x:c r="U17" s="31" t="n">
        <x:f>IF(T17="","",I17*T17)</x:f>
        <x:v>144961.00376236223</x:v>
      </x:c>
    </x:row>
    <x:row r="18" ht="18" customHeight="1">
      <x:c r="A18" s="24" t="str">
        <x:v>EEZ_915</x:v>
      </x:c>
      <x:c r="B18" s="24" t="str">
        <x:v>Sweden (West Coast)</x:v>
      </x:c>
      <x:c r="C18" s="24" t="str">
        <x:v>EEZ</x:v>
      </x:c>
      <x:c r="D18" s="30" t="n">
        <x:v>2019</x:v>
      </x:c>
      <x:c r="E18" s="24" t="str">
        <x:v>Cancer pagurus</x:v>
      </x:c>
      <x:c r="F18" s="24" t="str">
        <x:v>Edible crab</x:v>
      </x:c>
      <x:c r="G18" s="24" t="str">
        <x:v>Lobsters, crabs</x:v>
      </x:c>
      <x:c r="H18" s="24" t="str">
        <x:v>Crustaceans</x:v>
      </x:c>
      <x:c r="I18" s="31" t="n">
        <x:v>104.8077596416</x:v>
      </x:c>
      <x:c r="J18" s="31" t="n">
        <x:v>104.34649176650001</x:v>
      </x:c>
      <x:c r="K18" s="31" t="n">
        <x:v>0.4612678751</x:v>
      </x:c>
      <x:c r="L18" s="31" t="n">
        <x:v>103.10396351760001</x:v>
      </x:c>
      <x:c r="M18" s="31" t="n">
        <x:v>1.7037961240000001</x:v>
      </x:c>
      <x:c r="N18" s="24" t="str">
        <x:v>cancer pagurus</x:v>
      </x:c>
      <x:c r="O18" s="32" t="n">
        <x:v>3.1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Cancer pagurus</x:v>
      </x:c>
      <x:c r="T18" s="32" t="n">
        <x:f>IF(O18="","",(1/'Metadata'!$B$5)^(O18-1))</x:f>
        <x:v>125.89254117941675</x:v>
      </x:c>
      <x:c r="U18" s="31" t="n">
        <x:f>IF(T18="","",I18*T18)</x:f>
        <x:v>13194.51519660254</x:v>
      </x:c>
    </x:row>
    <x:row r="19" ht="18" customHeight="1">
      <x:c r="A19" s="24" t="str">
        <x:v>EEZ_915</x:v>
      </x:c>
      <x:c r="B19" s="24" t="str">
        <x:v>Sweden (West Coast)</x:v>
      </x:c>
      <x:c r="C19" s="24" t="str">
        <x:v>EEZ</x:v>
      </x:c>
      <x:c r="D19" s="30" t="n">
        <x:v>2019</x:v>
      </x:c>
      <x:c r="E19" s="24" t="str">
        <x:v>Merluccius merluccius</x:v>
      </x:c>
      <x:c r="F19" s="24" t="str">
        <x:v>European hake</x:v>
      </x:c>
      <x:c r="G19" s="24" t="str">
        <x:v>Large demersals (&gt;=90 cm)</x:v>
      </x:c>
      <x:c r="H19" s="24" t="str">
        <x:v>Cod-likes</x:v>
      </x:c>
      <x:c r="I19" s="31" t="n">
        <x:v>104.4479509171</x:v>
      </x:c>
      <x:c r="J19" s="31" t="n">
        <x:v>104.3890943695</x:v>
      </x:c>
      <x:c r="K19" s="31" t="n">
        <x:v>0.0588565476</x:v>
      </x:c>
      <x:c r="L19" s="31" t="n">
        <x:v>103.5881786752</x:v>
      </x:c>
      <x:c r="M19" s="31" t="n">
        <x:v>0.8597722419</x:v>
      </x:c>
      <x:c r="N19" s="24" t="str">
        <x:v>merluccius merluccius</x:v>
      </x:c>
      <x:c r="O19" s="32" t="n">
        <x:v>4.42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Merluccius merluccius</x:v>
      </x:c>
      <x:c r="T19" s="32" t="n">
        <x:f>IF(O19="","",(1/'Metadata'!$B$5)^(O19-1))</x:f>
        <x:v>2630.2679918953813</x:v>
      </x:c>
      <x:c r="U19" s="31" t="n">
        <x:f>IF(T19="","",I19*T19)</x:f>
        <x:v>274726.102116308</x:v>
      </x:c>
    </x:row>
    <x:row r="20" ht="18" customHeight="1">
      <x:c r="A20" s="24" t="str">
        <x:v>EEZ_915</x:v>
      </x:c>
      <x:c r="B20" s="24" t="str">
        <x:v>Sweden (West Coast)</x:v>
      </x:c>
      <x:c r="C20" s="24" t="str">
        <x:v>EEZ</x:v>
      </x:c>
      <x:c r="D20" s="30" t="n">
        <x:v>2019</x:v>
      </x:c>
      <x:c r="E20" s="24" t="str">
        <x:v>Pleuronectiformes</x:v>
      </x:c>
      <x:c r="F20" s="24" t="str">
        <x:v>Flatfishes</x:v>
      </x:c>
      <x:c r="G20" s="24" t="str">
        <x:v>Small to medium flatfishes (&lt;90 cm)</x:v>
      </x:c>
      <x:c r="H20" s="24" t="str">
        <x:v>Flatfishes</x:v>
      </x:c>
      <x:c r="I20" s="31" t="n">
        <x:v>95.7404421902</x:v>
      </x:c>
      <x:c r="J20" s="31" t="n">
        <x:v>95.7404421902</x:v>
      </x:c>
      <x:c r="K20" s="31" t="n">
        <x:v>0</x:v>
      </x:c>
      <x:c r="L20" s="31" t="n">
        <x:v>0</x:v>
      </x:c>
      <x:c r="M20" s="31" t="n">
        <x:v>95.7404421902</x:v>
      </x:c>
      <x:c r="N20" s="24" t="str">
        <x:v>pleuronectiformes</x:v>
      </x:c>
      <x:c r="O20" s="32" t="n">
        <x:v>3.57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Pleuronectiformes</x:v>
      </x:c>
      <x:c r="T20" s="32" t="n">
        <x:f>IF(O20="","",(1/'Metadata'!$B$5)^(O20-1))</x:f>
        <x:v>371.5352290971724</x:v>
      </x:c>
      <x:c r="U20" s="31" t="n">
        <x:f>IF(T20="","",I20*T20)</x:f>
        <x:v>35570.94712300055</x:v>
      </x:c>
    </x:row>
    <x:row r="21" ht="18" customHeight="1">
      <x:c r="A21" s="24" t="str">
        <x:v>EEZ_915</x:v>
      </x:c>
      <x:c r="B21" s="24" t="str">
        <x:v>Sweden (West Coast)</x:v>
      </x:c>
      <x:c r="C21" s="24" t="str">
        <x:v>EEZ</x:v>
      </x:c>
      <x:c r="D21" s="30" t="n">
        <x:v>2019</x:v>
      </x:c>
      <x:c r="E21" s="24" t="str">
        <x:v>Trachinus draco</x:v>
      </x:c>
      <x:c r="F21" s="24" t="str">
        <x:v>Greater weever</x:v>
      </x:c>
      <x:c r="G21" s="24" t="str">
        <x:v>Medium demersals (30 - 89 cm)</x:v>
      </x:c>
      <x:c r="H21" s="24" t="str">
        <x:v>Perch-likes</x:v>
      </x:c>
      <x:c r="I21" s="31" t="n">
        <x:v>86.84848879729999</x:v>
      </x:c>
      <x:c r="J21" s="31" t="n">
        <x:v>81.9598368421</x:v>
      </x:c>
      <x:c r="K21" s="31" t="n">
        <x:v>4.8886519552</x:v>
      </x:c>
      <x:c r="L21" s="31" t="n">
        <x:v>81.437573938</x:v>
      </x:c>
      <x:c r="M21" s="31" t="n">
        <x:v>5.4109148593</x:v>
      </x:c>
      <x:c r="N21" s="24" t="str">
        <x:v>trachinus draco</x:v>
      </x:c>
      <x:c r="O21" s="32" t="n">
        <x:v>4.18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Trachinus draco</x:v>
      </x:c>
      <x:c r="T21" s="32" t="n">
        <x:f>IF(O21="","",(1/'Metadata'!$B$5)^(O21-1))</x:f>
        <x:v>1513.5612484362073</x:v>
      </x:c>
      <x:c r="U21" s="31" t="n">
        <x:f>IF(T21="","",I21*T21)</x:f>
        <x:v>131450.50712883935</x:v>
      </x:c>
    </x:row>
    <x:row r="22" ht="18" customHeight="1">
      <x:c r="A22" s="24" t="str">
        <x:v>EEZ_915</x:v>
      </x:c>
      <x:c r="B22" s="24" t="str">
        <x:v>Sweden (West Coast)</x:v>
      </x:c>
      <x:c r="C22" s="24" t="str">
        <x:v>EEZ</x:v>
      </x:c>
      <x:c r="D22" s="30" t="n">
        <x:v>2019</x:v>
      </x:c>
      <x:c r="E22" s="24" t="str">
        <x:v>Melanogrammus aeglefinus</x:v>
      </x:c>
      <x:c r="F22" s="24" t="str">
        <x:v>Haddock</x:v>
      </x:c>
      <x:c r="G22" s="24" t="str">
        <x:v>Medium demersals (30 - 89 cm)</x:v>
      </x:c>
      <x:c r="H22" s="24" t="str">
        <x:v>Cod-likes</x:v>
      </x:c>
      <x:c r="I22" s="31" t="n">
        <x:v>78.6116488035</x:v>
      </x:c>
      <x:c r="J22" s="31" t="n">
        <x:v>77.5628715792</x:v>
      </x:c>
      <x:c r="K22" s="31" t="n">
        <x:v>1.0487772243</x:v>
      </x:c>
      <x:c r="L22" s="31" t="n">
        <x:v>77.4418759983</x:v>
      </x:c>
      <x:c r="M22" s="31" t="n">
        <x:v>1.1697728052</x:v>
      </x:c>
      <x:c r="N22" s="24" t="str">
        <x:v>melanogrammus aeglefinus</x:v>
      </x:c>
      <x:c r="O22" s="32" t="n">
        <x:v>4.03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Melanogrammus aeglefinus</x:v>
      </x:c>
      <x:c r="T22" s="32" t="n">
        <x:f>IF(O22="","",(1/'Metadata'!$B$5)^(O22-1))</x:f>
        <x:v>1071.519305237607</x:v>
      </x:c>
      <x:c r="U22" s="31" t="n">
        <x:f>IF(T22="","",I22*T22)</x:f>
        <x:v>84233.8993095091</x:v>
      </x:c>
    </x:row>
    <x:row r="23" ht="18" customHeight="1">
      <x:c r="A23" s="24" t="str">
        <x:v>EEZ_915</x:v>
      </x:c>
      <x:c r="B23" s="24" t="str">
        <x:v>Sweden (West Coast)</x:v>
      </x:c>
      <x:c r="C23" s="24" t="str">
        <x:v>EEZ</x:v>
      </x:c>
      <x:c r="D23" s="30" t="n">
        <x:v>2019</x:v>
      </x:c>
      <x:c r="E23" s="24" t="str">
        <x:v>Solea solea</x:v>
      </x:c>
      <x:c r="F23" s="24" t="str">
        <x:v>Common sole</x:v>
      </x:c>
      <x:c r="G23" s="24" t="str">
        <x:v>Small to medium flatfishes (&lt;90 cm)</x:v>
      </x:c>
      <x:c r="H23" s="24" t="str">
        <x:v>Flatfishes</x:v>
      </x:c>
      <x:c r="I23" s="31" t="n">
        <x:v>69.554155243</x:v>
      </x:c>
      <x:c r="J23" s="31" t="n">
        <x:v>62.1915702515</x:v>
      </x:c>
      <x:c r="K23" s="31" t="n">
        <x:v>7.3625849914999995</x:v>
      </x:c>
      <x:c r="L23" s="31" t="n">
        <x:v>59.2363834894</x:v>
      </x:c>
      <x:c r="M23" s="31" t="n">
        <x:v>10.3177717536</x:v>
      </x:c>
      <x:c r="N23" s="24" t="str">
        <x:v>solea solea</x:v>
      </x:c>
      <x:c r="O23" s="32" t="n">
        <x:v>3.21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Solea solea</x:v>
      </x:c>
      <x:c r="T23" s="32" t="n">
        <x:f>IF(O23="","",(1/'Metadata'!$B$5)^(O23-1))</x:f>
        <x:v>162.18100973589299</x:v>
      </x:c>
      <x:c r="U23" s="31" t="n">
        <x:f>IF(T23="","",I23*T23)</x:f>
        <x:v>11280.363128636794</x:v>
      </x:c>
    </x:row>
    <x:row r="24" ht="18" customHeight="1">
      <x:c r="A24" s="24" t="str">
        <x:v>EEZ_915</x:v>
      </x:c>
      <x:c r="B24" s="24" t="str">
        <x:v>Sweden (West Coast)</x:v>
      </x:c>
      <x:c r="C24" s="24" t="str">
        <x:v>EEZ</x:v>
      </x:c>
      <x:c r="D24" s="30" t="n">
        <x:v>2019</x:v>
      </x:c>
      <x:c r="E24" s="24" t="str">
        <x:v>Platichthys flesus</x:v>
      </x:c>
      <x:c r="F24" s="24" t="str">
        <x:v>European flounder</x:v>
      </x:c>
      <x:c r="G24" s="24" t="str">
        <x:v>Small to medium flatfishes (&lt;90 cm)</x:v>
      </x:c>
      <x:c r="H24" s="24" t="str">
        <x:v>Flatfishes</x:v>
      </x:c>
      <x:c r="I24" s="31" t="n">
        <x:v>61.0769252121</x:v>
      </x:c>
      <x:c r="J24" s="31" t="n">
        <x:v>48.1955555409</x:v>
      </x:c>
      <x:c r="K24" s="31" t="n">
        <x:v>12.8813696712</x:v>
      </x:c>
      <x:c r="L24" s="31" t="n">
        <x:v>45.36617722</x:v>
      </x:c>
      <x:c r="M24" s="31" t="n">
        <x:v>15.7107479921</x:v>
      </x:c>
      <x:c r="N24" s="24" t="str">
        <x:v>platichthys flesus</x:v>
      </x:c>
      <x:c r="O24" s="32" t="n">
        <x:v>3.32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Platichthys flesus</x:v>
      </x:c>
      <x:c r="T24" s="32" t="n">
        <x:f>IF(O24="","",(1/'Metadata'!$B$5)^(O24-1))</x:f>
        <x:v>208.92961308540387</x:v>
      </x:c>
      <x:c r="U24" s="31" t="n">
        <x:f>IF(T24="","",I24*T24)</x:f>
        <x:v>12760.778353010202</x:v>
      </x:c>
    </x:row>
    <x:row r="25" ht="18" customHeight="1">
      <x:c r="A25" s="24" t="str">
        <x:v>EEZ_915</x:v>
      </x:c>
      <x:c r="B25" s="24" t="str">
        <x:v>Sweden (West Coast)</x:v>
      </x:c>
      <x:c r="C25" s="24" t="str">
        <x:v>EEZ</x:v>
      </x:c>
      <x:c r="D25" s="30" t="n">
        <x:v>2019</x:v>
      </x:c>
      <x:c r="E25" s="24" t="str">
        <x:v>Microstomus kitt</x:v>
      </x:c>
      <x:c r="F25" s="24" t="str">
        <x:v>Lemon sole</x:v>
      </x:c>
      <x:c r="G25" s="24" t="str">
        <x:v>Small to medium flatfishes (&lt;90 cm)</x:v>
      </x:c>
      <x:c r="H25" s="24" t="str">
        <x:v>Flatfishes</x:v>
      </x:c>
      <x:c r="I25" s="31" t="n">
        <x:v>53.291347304700004</x:v>
      </x:c>
      <x:c r="J25" s="31" t="n">
        <x:v>53.1200741122</x:v>
      </x:c>
      <x:c r="K25" s="31" t="n">
        <x:v>0.1712731925</x:v>
      </x:c>
      <x:c r="L25" s="31" t="n">
        <x:v>53.1019764466</x:v>
      </x:c>
      <x:c r="M25" s="31" t="n">
        <x:v>0.18937085809999998</x:v>
      </x:c>
      <x:c r="N25" s="24" t="str">
        <x:v>microstomus kitt</x:v>
      </x:c>
      <x:c r="O25" s="32" t="n">
        <x:v>3.22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Microstomus kitt</x:v>
      </x:c>
      <x:c r="T25" s="32" t="n">
        <x:f>IF(O25="","",(1/'Metadata'!$B$5)^(O25-1))</x:f>
        <x:v>165.95869074375614</x:v>
      </x:c>
      <x:c r="U25" s="31" t="n">
        <x:f>IF(T25="","",I25*T25)</x:f>
        <x:v>8844.16222665881</x:v>
      </x:c>
    </x:row>
    <x:row r="26" ht="18" customHeight="1">
      <x:c r="A26" s="24" t="str">
        <x:v>EEZ_915</x:v>
      </x:c>
      <x:c r="B26" s="24" t="str">
        <x:v>Sweden (West Coast)</x:v>
      </x:c>
      <x:c r="C26" s="24" t="str">
        <x:v>EEZ</x:v>
      </x:c>
      <x:c r="D26" s="30" t="n">
        <x:v>2019</x:v>
      </x:c>
      <x:c r="E26" s="24" t="str">
        <x:v>Molva molva</x:v>
      </x:c>
      <x:c r="F26" s="24" t="str">
        <x:v>Ling</x:v>
      </x:c>
      <x:c r="G26" s="24" t="str">
        <x:v>Large demersals (&gt;=90 cm)</x:v>
      </x:c>
      <x:c r="H26" s="24" t="str">
        <x:v>Cod-likes</x:v>
      </x:c>
      <x:c r="I26" s="31" t="n">
        <x:v>46.7233720364</x:v>
      </x:c>
      <x:c r="J26" s="31" t="n">
        <x:v>46.537692206</x:v>
      </x:c>
      <x:c r="K26" s="31" t="n">
        <x:v>0.1856798304</x:v>
      </x:c>
      <x:c r="L26" s="31" t="n">
        <x:v>46.2423508958</x:v>
      </x:c>
      <x:c r="M26" s="31" t="n">
        <x:v>0.4810211406</x:v>
      </x:c>
      <x:c r="N26" s="24" t="str">
        <x:v>molva molva</x:v>
      </x:c>
      <x:c r="O26" s="32" t="n">
        <x:v>4.4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Molva molva</x:v>
      </x:c>
      <x:c r="T26" s="32" t="n">
        <x:f>IF(O26="","",(1/'Metadata'!$B$5)^(O26-1))</x:f>
        <x:v>2511.886431509582</x:v>
      </x:c>
      <x:c r="U26" s="31" t="n">
        <x:f>IF(T26="","",I26*T26)</x:f>
        <x:v>117363.8042526074</x:v>
      </x:c>
    </x:row>
    <x:row r="27" ht="18" customHeight="1">
      <x:c r="A27" s="24" t="str">
        <x:v>EEZ_915</x:v>
      </x:c>
      <x:c r="B27" s="24" t="str">
        <x:v>Sweden (West Coast)</x:v>
      </x:c>
      <x:c r="C27" s="24" t="str">
        <x:v>EEZ</x:v>
      </x:c>
      <x:c r="D27" s="30" t="n">
        <x:v>2019</x:v>
      </x:c>
      <x:c r="E27" s="24" t="str">
        <x:v>Scophthalmus maximus</x:v>
      </x:c>
      <x:c r="F27" s="24" t="str">
        <x:v>Turbot</x:v>
      </x:c>
      <x:c r="G27" s="24" t="str">
        <x:v>Large flatfishes (&gt;=90 cm)</x:v>
      </x:c>
      <x:c r="H27" s="24" t="str">
        <x:v>Flatfishes</x:v>
      </x:c>
      <x:c r="I27" s="31" t="n">
        <x:v>46.2728992015</x:v>
      </x:c>
      <x:c r="J27" s="31" t="n">
        <x:v>45.4520148435</x:v>
      </x:c>
      <x:c r="K27" s="31" t="n">
        <x:v>0.820884358</x:v>
      </x:c>
      <x:c r="L27" s="31" t="n">
        <x:v>45.2418837177</x:v>
      </x:c>
      <x:c r="M27" s="31" t="n">
        <x:v>1.0310154838</x:v>
      </x:c>
      <x:c r="N27" s="24" t="str">
        <x:v>scophthalmus maximus</x:v>
      </x:c>
      <x:c r="O27" s="32" t="n">
        <x:v>4.36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Scophthalmus maximus</x:v>
      </x:c>
      <x:c r="T27" s="32" t="n">
        <x:f>IF(O27="","",(1/'Metadata'!$B$5)^(O27-1))</x:f>
        <x:v>2290.867652767775</x:v>
      </x:c>
      <x:c r="U27" s="31" t="n">
        <x:f>IF(T27="","",I27*T27)</x:f>
        <x:v>106005.08798050016</x:v>
      </x:c>
    </x:row>
    <x:row r="28" ht="18" customHeight="1">
      <x:c r="A28" s="24" t="str">
        <x:v>EEZ_915</x:v>
      </x:c>
      <x:c r="B28" s="24" t="str">
        <x:v>Sweden (West Coast)</x:v>
      </x:c>
      <x:c r="C28" s="24" t="str">
        <x:v>EEZ</x:v>
      </x:c>
      <x:c r="D28" s="30" t="n">
        <x:v>2019</x:v>
      </x:c>
      <x:c r="E28" s="24" t="str">
        <x:v>Pollachius pollachius</x:v>
      </x:c>
      <x:c r="F28" s="24" t="str">
        <x:v>Pollack</x:v>
      </x:c>
      <x:c r="G28" s="24" t="str">
        <x:v>Large benthopelagics (&gt;=90 cm)</x:v>
      </x:c>
      <x:c r="H28" s="24" t="str">
        <x:v>Cod-likes</x:v>
      </x:c>
      <x:c r="I28" s="31" t="n">
        <x:v>36.312377393</x:v>
      </x:c>
      <x:c r="J28" s="31" t="n">
        <x:v>36.3034540149</x:v>
      </x:c>
      <x:c r="K28" s="31" t="n">
        <x:v>0.0089233781</x:v>
      </x:c>
      <x:c r="L28" s="31" t="n">
        <x:v>35.8806597018</x:v>
      </x:c>
      <x:c r="M28" s="31" t="n">
        <x:v>0.4317176912</x:v>
      </x:c>
      <x:c r="N28" s="24" t="str">
        <x:v>pollachius pollachius</x:v>
      </x:c>
      <x:c r="O28" s="32" t="n">
        <x:v>4.32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Pollachius pollachius</x:v>
      </x:c>
      <x:c r="T28" s="32" t="n">
        <x:f>IF(O28="","",(1/'Metadata'!$B$5)^(O28-1))</x:f>
        <x:v>2089.2961308540407</x:v>
      </x:c>
      <x:c r="U28" s="31" t="n">
        <x:f>IF(T28="","",I28*T28)</x:f>
        <x:v>75867.30958930663</x:v>
      </x:c>
    </x:row>
    <x:row r="29" ht="18" customHeight="1">
      <x:c r="A29" s="24" t="str">
        <x:v>EEZ_915</x:v>
      </x:c>
      <x:c r="B29" s="24" t="str">
        <x:v>Sweden (West Coast)</x:v>
      </x:c>
      <x:c r="C29" s="24" t="str">
        <x:v>EEZ</x:v>
      </x:c>
      <x:c r="D29" s="30" t="n">
        <x:v>2019</x:v>
      </x:c>
      <x:c r="E29" s="24" t="str">
        <x:v>Scophthalmus rhombus</x:v>
      </x:c>
      <x:c r="F29" s="24" t="str">
        <x:v>Brill</x:v>
      </x:c>
      <x:c r="G29" s="24" t="str">
        <x:v>Small to medium flatfishes (&lt;90 cm)</x:v>
      </x:c>
      <x:c r="H29" s="24" t="str">
        <x:v>Flatfishes</x:v>
      </x:c>
      <x:c r="I29" s="31" t="n">
        <x:v>32.7863218295</x:v>
      </x:c>
      <x:c r="J29" s="31" t="n">
        <x:v>31.448483016</x:v>
      </x:c>
      <x:c r="K29" s="31" t="n">
        <x:v>1.3378388135000001</x:v>
      </x:c>
      <x:c r="L29" s="31" t="n">
        <x:v>30.6361820182</x:v>
      </x:c>
      <x:c r="M29" s="31" t="n">
        <x:v>2.1501398113</x:v>
      </x:c>
      <x:c r="N29" s="24" t="str">
        <x:v>scophthalmus rhombus</x:v>
      </x:c>
      <x:c r="O29" s="32" t="n">
        <x:v>4.42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Scophthalmus rhombus</x:v>
      </x:c>
      <x:c r="T29" s="32" t="n">
        <x:f>IF(O29="","",(1/'Metadata'!$B$5)^(O29-1))</x:f>
        <x:v>2630.2679918953813</x:v>
      </x:c>
      <x:c r="U29" s="31" t="n">
        <x:f>IF(T29="","",I29*T29)</x:f>
        <x:v>86236.81288011467</x:v>
      </x:c>
    </x:row>
    <x:row r="30" ht="18" customHeight="1">
      <x:c r="A30" s="24" t="str">
        <x:v>EEZ_915</x:v>
      </x:c>
      <x:c r="B30" s="24" t="str">
        <x:v>Sweden (West Coast)</x:v>
      </x:c>
      <x:c r="C30" s="24" t="str">
        <x:v>EEZ</x:v>
      </x:c>
      <x:c r="D30" s="30" t="n">
        <x:v>2019</x:v>
      </x:c>
      <x:c r="E30" s="24" t="str">
        <x:v>Merlangius merlangus</x:v>
      </x:c>
      <x:c r="F30" s="24" t="str">
        <x:v>Whiting</x:v>
      </x:c>
      <x:c r="G30" s="24" t="str">
        <x:v>Medium benthopelagics (30 - 89 cm)</x:v>
      </x:c>
      <x:c r="H30" s="24" t="str">
        <x:v>Cod-likes</x:v>
      </x:c>
      <x:c r="I30" s="31" t="n">
        <x:v>32.703053340100006</x:v>
      </x:c>
      <x:c r="J30" s="31" t="n">
        <x:v>31.872630577400002</x:v>
      </x:c>
      <x:c r="K30" s="31" t="n">
        <x:v>0.8304227627</x:v>
      </x:c>
      <x:c r="L30" s="31" t="n">
        <x:v>27.303075487599997</x:v>
      </x:c>
      <x:c r="M30" s="31" t="n">
        <x:v>5.3999778525</x:v>
      </x:c>
      <x:c r="N30" s="24" t="str">
        <x:v>merlangius merlangus</x:v>
      </x:c>
      <x:c r="O30" s="32" t="n">
        <x:v>4.36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Merlangius merlangus</x:v>
      </x:c>
      <x:c r="T30" s="32" t="n">
        <x:f>IF(O30="","",(1/'Metadata'!$B$5)^(O30-1))</x:f>
        <x:v>2290.867652767775</x:v>
      </x:c>
      <x:c r="U30" s="31" t="n">
        <x:f>IF(T30="","",I30*T30)</x:f>
        <x:v>74918.36704357424</x:v>
      </x:c>
    </x:row>
    <x:row r="31" ht="18" customHeight="1">
      <x:c r="A31" s="24" t="str">
        <x:v>EEZ_915</x:v>
      </x:c>
      <x:c r="B31" s="24" t="str">
        <x:v>Sweden (West Coast)</x:v>
      </x:c>
      <x:c r="C31" s="24" t="str">
        <x:v>EEZ</x:v>
      </x:c>
      <x:c r="D31" s="30" t="n">
        <x:v>2019</x:v>
      </x:c>
      <x:c r="E31" s="24" t="str">
        <x:v>Cyclopterus lumpus</x:v>
      </x:c>
      <x:c r="F31" s="24" t="str">
        <x:v>Lumpfish</x:v>
      </x:c>
      <x:c r="G31" s="24" t="str">
        <x:v>Medium benthopelagics (30 - 89 cm)</x:v>
      </x:c>
      <x:c r="H31" s="24" t="str">
        <x:v>Scorpionfishes</x:v>
      </x:c>
      <x:c r="I31" s="31" t="n">
        <x:v>23.8446245008</x:v>
      </x:c>
      <x:c r="J31" s="31" t="n">
        <x:v>22.1333633562</x:v>
      </x:c>
      <x:c r="K31" s="31" t="n">
        <x:v>1.7112611446</x:v>
      </x:c>
      <x:c r="L31" s="31" t="n">
        <x:v>21.3543996592</x:v>
      </x:c>
      <x:c r="M31" s="31" t="n">
        <x:v>2.4902248416</x:v>
      </x:c>
      <x:c r="N31" s="24" t="str">
        <x:v>cyclopterus lumpus</x:v>
      </x:c>
      <x:c r="O31" s="32" t="n">
        <x:v>3.89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Cyclopterus lumpus</x:v>
      </x:c>
      <x:c r="T31" s="32" t="n">
        <x:f>IF(O31="","",(1/'Metadata'!$B$5)^(O31-1))</x:f>
        <x:v>776.247116628692</x:v>
      </x:c>
      <x:c r="U31" s="31" t="n">
        <x:f>IF(T31="","",I31*T31)</x:f>
        <x:v>18509.32101583986</x:v>
      </x:c>
    </x:row>
    <x:row r="32" ht="18" customHeight="1">
      <x:c r="A32" s="24" t="str">
        <x:v>EEZ_915</x:v>
      </x:c>
      <x:c r="B32" s="24" t="str">
        <x:v>Sweden (West Coast)</x:v>
      </x:c>
      <x:c r="C32" s="24" t="str">
        <x:v>EEZ</x:v>
      </x:c>
      <x:c r="D32" s="30" t="n">
        <x:v>2019</x:v>
      </x:c>
      <x:c r="E32" s="24" t="str">
        <x:v>Anguilla anguilla</x:v>
      </x:c>
      <x:c r="F32" s="24" t="str">
        <x:v>European eel</x:v>
      </x:c>
      <x:c r="G32" s="24" t="str">
        <x:v>Large demersals (&gt;=90 cm)</x:v>
      </x:c>
      <x:c r="H32" s="24" t="str">
        <x:v>Other fishes &amp; inverts</x:v>
      </x:c>
      <x:c r="I32" s="31" t="n">
        <x:v>23.0538320675</x:v>
      </x:c>
      <x:c r="J32" s="31" t="n">
        <x:v>20.8270100545</x:v>
      </x:c>
      <x:c r="K32" s="31" t="n">
        <x:v>2.226822013</x:v>
      </x:c>
      <x:c r="L32" s="31" t="n">
        <x:v>17.2747662321</x:v>
      </x:c>
      <x:c r="M32" s="31" t="n">
        <x:v>5.7790658354</x:v>
      </x:c>
      <x:c r="N32" s="24" t="str">
        <x:v>anguilla anguilla</x:v>
      </x:c>
      <x:c r="O32" s="32" t="n">
        <x:v>3.55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Anguilla anguilla</x:v>
      </x:c>
      <x:c r="T32" s="32" t="n">
        <x:f>IF(O32="","",(1/'Metadata'!$B$5)^(O32-1))</x:f>
        <x:v>354.8133892335753</x:v>
      </x:c>
      <x:c r="U32" s="31" t="n">
        <x:f>IF(T32="","",I32*T32)</x:f>
        <x:v>8179.808290691358</x:v>
      </x:c>
    </x:row>
    <x:row r="33" ht="18" customHeight="1">
      <x:c r="A33" s="24" t="str">
        <x:v>EEZ_915</x:v>
      </x:c>
      <x:c r="B33" s="24" t="str">
        <x:v>Sweden (West Coast)</x:v>
      </x:c>
      <x:c r="C33" s="24" t="str">
        <x:v>EEZ</x:v>
      </x:c>
      <x:c r="D33" s="30" t="n">
        <x:v>2019</x:v>
      </x:c>
      <x:c r="E33" s="24" t="str">
        <x:v>Brosme brosme</x:v>
      </x:c>
      <x:c r="F33" s="24" t="str">
        <x:v>Tusk</x:v>
      </x:c>
      <x:c r="G33" s="24" t="str">
        <x:v>Large demersals (&gt;=90 cm)</x:v>
      </x:c>
      <x:c r="H33" s="24" t="str">
        <x:v>Cod-likes</x:v>
      </x:c>
      <x:c r="I33" s="31" t="n">
        <x:v>14.708225161</x:v>
      </x:c>
      <x:c r="J33" s="31" t="n">
        <x:v>14.7025682515</x:v>
      </x:c>
      <x:c r="K33" s="31" t="n">
        <x:v>0.0056569095</x:v>
      </x:c>
      <x:c r="L33" s="31" t="n">
        <x:v>14.6956854441</x:v>
      </x:c>
      <x:c r="M33" s="31" t="n">
        <x:v>0.0125397169</x:v>
      </x:c>
      <x:c r="N33" s="24" t="str">
        <x:v>brosme brosme</x:v>
      </x:c>
      <x:c r="O33" s="32" t="n">
        <x:v>3.9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Brosme brosme</x:v>
      </x:c>
      <x:c r="T33" s="32" t="n">
        <x:f>IF(O33="","",(1/'Metadata'!$B$5)^(O33-1))</x:f>
        <x:v>794.3282347242813</x:v>
      </x:c>
      <x:c r="U33" s="31" t="n">
        <x:f>IF(T33="","",I33*T33)</x:f>
        <x:v>11683.158528064389</x:v>
      </x:c>
    </x:row>
    <x:row r="34" ht="18" customHeight="1">
      <x:c r="A34" s="24" t="str">
        <x:v>EEZ_915</x:v>
      </x:c>
      <x:c r="B34" s="24" t="str">
        <x:v>Sweden (West Coast)</x:v>
      </x:c>
      <x:c r="C34" s="24" t="str">
        <x:v>EEZ</x:v>
      </x:c>
      <x:c r="D34" s="30" t="n">
        <x:v>2019</x:v>
      </x:c>
      <x:c r="E34" s="24" t="str">
        <x:v>Cephalopoda</x:v>
      </x:c>
      <x:c r="F34" s="24" t="str">
        <x:v>Squids, cuttlefishes, octopuses</x:v>
      </x:c>
      <x:c r="G34" s="24" t="str">
        <x:v>Cephalopods</x:v>
      </x:c>
      <x:c r="H34" s="24" t="str">
        <x:v>Other fishes &amp; inverts</x:v>
      </x:c>
      <x:c r="I34" s="31" t="n">
        <x:v>10.1322244789</x:v>
      </x:c>
      <x:c r="J34" s="31" t="n">
        <x:v>10.1322244789</x:v>
      </x:c>
      <x:c r="K34" s="31" t="n">
        <x:v>0</x:v>
      </x:c>
      <x:c r="L34" s="31" t="n">
        <x:v>10.1322244789</x:v>
      </x:c>
      <x:c r="M34" s="31" t="n">
        <x:v>0</x:v>
      </x:c>
      <x:c r="N34" s="24" t="str">
        <x:v>cephalopoda</x:v>
      </x:c>
      <x:c r="O34" s="32" t="n">
        <x:v>3.81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Cephalopoda</x:v>
      </x:c>
      <x:c r="T34" s="32" t="n">
        <x:f>IF(O34="","",(1/'Metadata'!$B$5)^(O34-1))</x:f>
        <x:v>645.6542290346556</x:v>
      </x:c>
      <x:c r="U34" s="31" t="n">
        <x:f>IF(T34="","",I34*T34)</x:f>
        <x:v>6541.913584330245</x:v>
      </x:c>
    </x:row>
    <x:row r="35" ht="18" customHeight="1">
      <x:c r="A35" s="24" t="str">
        <x:v>EEZ_915</x:v>
      </x:c>
      <x:c r="B35" s="24" t="str">
        <x:v>Sweden (West Coast)</x:v>
      </x:c>
      <x:c r="C35" s="24" t="str">
        <x:v>EEZ</x:v>
      </x:c>
      <x:c r="D35" s="30" t="n">
        <x:v>2019</x:v>
      </x:c>
      <x:c r="E35" s="24" t="str">
        <x:v>Belone belone</x:v>
      </x:c>
      <x:c r="F35" s="24" t="str">
        <x:v>Garfish</x:v>
      </x:c>
      <x:c r="G35" s="24" t="str">
        <x:v>Medium pelagics (30 - 89 cm)</x:v>
      </x:c>
      <x:c r="H35" s="24" t="str">
        <x:v>Other fishes &amp; inverts</x:v>
      </x:c>
      <x:c r="I35" s="31" t="n">
        <x:v>9.4816670109</x:v>
      </x:c>
      <x:c r="J35" s="31" t="n">
        <x:v>9.2555306274</x:v>
      </x:c>
      <x:c r="K35" s="31" t="n">
        <x:v>0.2261363835</x:v>
      </x:c>
      <x:c r="L35" s="31" t="n">
        <x:v>8.890561031</x:v>
      </x:c>
      <x:c r="M35" s="31" t="n">
        <x:v>0.5911059799</x:v>
      </x:c>
      <x:c r="N35" s="24" t="str">
        <x:v>belone belone</x:v>
      </x:c>
      <x:c r="O35" s="32" t="n">
        <x:v>4.16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Belone belone</x:v>
      </x:c>
      <x:c r="T35" s="32" t="n">
        <x:f>IF(O35="","",(1/'Metadata'!$B$5)^(O35-1))</x:f>
        <x:v>1445.439770745928</x:v>
      </x:c>
      <x:c r="U35" s="31" t="n">
        <x:f>IF(T35="","",I35*T35)</x:f>
        <x:v>13705.178590524525</x:v>
      </x:c>
    </x:row>
    <x:row r="36" ht="18" customHeight="1">
      <x:c r="A36" s="24" t="str">
        <x:v>EEZ_915</x:v>
      </x:c>
      <x:c r="B36" s="24" t="str">
        <x:v>Sweden (West Coast)</x:v>
      </x:c>
      <x:c r="C36" s="24" t="str">
        <x:v>EEZ</x:v>
      </x:c>
      <x:c r="D36" s="30" t="n">
        <x:v>2019</x:v>
      </x:c>
      <x:c r="E36" s="24" t="str">
        <x:v>Raja</x:v>
      </x:c>
      <x:c r="F36" s="24" t="str">
        <x:v>Stingrays, skates</x:v>
      </x:c>
      <x:c r="G36" s="24" t="str">
        <x:v>Small to medium rays (&lt;90 cm)</x:v>
      </x:c>
      <x:c r="H36" s="24" t="str">
        <x:v>Sharks &amp; rays</x:v>
      </x:c>
      <x:c r="I36" s="31" t="n">
        <x:v>8.5248714215</x:v>
      </x:c>
      <x:c r="J36" s="31" t="n">
        <x:v>8.5248179626</x:v>
      </x:c>
      <x:c r="K36" s="31" t="n">
        <x:v>0.0000534589</x:v>
      </x:c>
      <x:c r="L36" s="31" t="n">
        <x:v>8.5244600907</x:v>
      </x:c>
      <x:c r="M36" s="31" t="n">
        <x:v>0.0004113308</x:v>
      </x:c>
      <x:c r="N36" s="24" t="str">
        <x:v>raja</x:v>
      </x:c>
      <x:c r="O36" s="32" t="n">
        <x:v>3.8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Raja</x:v>
      </x:c>
      <x:c r="T36" s="32" t="n">
        <x:f>IF(O36="","",(1/'Metadata'!$B$5)^(O36-1))</x:f>
        <x:v>630.957344480193</x:v>
      </x:c>
      <x:c r="U36" s="31" t="n">
        <x:f>IF(T36="","",I36*T36)</x:f>
        <x:v>5378.830234144728</x:v>
      </x:c>
    </x:row>
    <x:row r="37" ht="18" customHeight="1">
      <x:c r="A37" s="24" t="str">
        <x:v>EEZ_915</x:v>
      </x:c>
      <x:c r="B37" s="24" t="str">
        <x:v>Sweden (West Coast)</x:v>
      </x:c>
      <x:c r="C37" s="24" t="str">
        <x:v>EEZ</x:v>
      </x:c>
      <x:c r="D37" s="30" t="n">
        <x:v>2019</x:v>
      </x:c>
      <x:c r="E37" s="24" t="str">
        <x:v>Anarhichas</x:v>
      </x:c>
      <x:c r="F37" s="24" t="str">
        <x:v>Wolffishes</x:v>
      </x:c>
      <x:c r="G37" s="24" t="str">
        <x:v>Large demersals (&gt;=90 cm)</x:v>
      </x:c>
      <x:c r="H37" s="24" t="str">
        <x:v>Perch-likes</x:v>
      </x:c>
      <x:c r="I37" s="31" t="n">
        <x:v>7.3140284203</x:v>
      </x:c>
      <x:c r="J37" s="31" t="n">
        <x:v>7.2753139624</x:v>
      </x:c>
      <x:c r="K37" s="31" t="n">
        <x:v>0.0387144579</x:v>
      </x:c>
      <x:c r="L37" s="31" t="n">
        <x:v>7.002031199399999</x:v>
      </x:c>
      <x:c r="M37" s="31" t="n">
        <x:v>0.31199722090000004</x:v>
      </x:c>
      <x:c r="N37" s="24" t="str">
        <x:v>anarhichas</x:v>
      </x:c>
      <x:c r="O37" s="32" t="n">
        <x:v>3.35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Anarhichas</x:v>
      </x:c>
      <x:c r="T37" s="32" t="n">
        <x:f>IF(O37="","",(1/'Metadata'!$B$5)^(O37-1))</x:f>
        <x:v>223.872113856834</x:v>
      </x:c>
      <x:c r="U37" s="31" t="n">
        <x:f>IF(T37="","",I37*T37)</x:f>
        <x:v>1637.4070032615214</x:v>
      </x:c>
    </x:row>
    <x:row r="38" ht="18" customHeight="1">
      <x:c r="A38" s="24" t="str">
        <x:v>EEZ_915</x:v>
      </x:c>
      <x:c r="B38" s="24" t="str">
        <x:v>Sweden (West Coast)</x:v>
      </x:c>
      <x:c r="C38" s="24" t="str">
        <x:v>EEZ</x:v>
      </x:c>
      <x:c r="D38" s="30" t="n">
        <x:v>2019</x:v>
      </x:c>
      <x:c r="E38" s="24" t="str">
        <x:v>Hippoglossus hippoglossus</x:v>
      </x:c>
      <x:c r="F38" s="24" t="str">
        <x:v>Atlantic halibut</x:v>
      </x:c>
      <x:c r="G38" s="24" t="str">
        <x:v>Large flatfishes (&gt;=90 cm)</x:v>
      </x:c>
      <x:c r="H38" s="24" t="str">
        <x:v>Flatfishes</x:v>
      </x:c>
      <x:c r="I38" s="31" t="n">
        <x:v>7.2092139223</x:v>
      </x:c>
      <x:c r="J38" s="31" t="n">
        <x:v>7.200406110199999</x:v>
      </x:c>
      <x:c r="K38" s="31" t="n">
        <x:v>0.0088078121</x:v>
      </x:c>
      <x:c r="L38" s="31" t="n">
        <x:v>7.193328226499999</x:v>
      </x:c>
      <x:c r="M38" s="31" t="n">
        <x:v>0.0158856958</x:v>
      </x:c>
      <x:c r="N38" s="24" t="str">
        <x:v>hippoglossus hippoglossus</x:v>
      </x:c>
      <x:c r="O38" s="32" t="n">
        <x:v>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Hippoglossus hippoglossus</x:v>
      </x:c>
      <x:c r="T38" s="32" t="n">
        <x:f>IF(O38="","",(1/'Metadata'!$B$5)^(O38-1))</x:f>
        <x:v>1000</x:v>
      </x:c>
      <x:c r="U38" s="31" t="n">
        <x:f>IF(T38="","",I38*T38)</x:f>
        <x:v>7209.2139223</x:v>
      </x:c>
    </x:row>
    <x:row r="39" ht="18" customHeight="1">
      <x:c r="A39" s="24" t="str">
        <x:v>EEZ_915</x:v>
      </x:c>
      <x:c r="B39" s="24" t="str">
        <x:v>Sweden (West Coast)</x:v>
      </x:c>
      <x:c r="C39" s="24" t="str">
        <x:v>EEZ</x:v>
      </x:c>
      <x:c r="D39" s="30" t="n">
        <x:v>2019</x:v>
      </x:c>
      <x:c r="E39" s="24" t="str">
        <x:v>Leucoraja naevus</x:v>
      </x:c>
      <x:c r="F39" s="24" t="str">
        <x:v>Cuckoo ray</x:v>
      </x:c>
      <x:c r="G39" s="24" t="str">
        <x:v>Small to medium rays (&lt;90 cm)</x:v>
      </x:c>
      <x:c r="H39" s="24" t="str">
        <x:v>Sharks &amp; rays</x:v>
      </x:c>
      <x:c r="I39" s="31" t="n">
        <x:v>6.9000561235</x:v>
      </x:c>
      <x:c r="J39" s="31" t="n">
        <x:v>6.9000561235</x:v>
      </x:c>
      <x:c r="K39" s="31" t="n">
        <x:v>0</x:v>
      </x:c>
      <x:c r="L39" s="31" t="n">
        <x:v>6.9000561235</x:v>
      </x:c>
      <x:c r="M39" s="31" t="n">
        <x:v>0</x:v>
      </x:c>
      <x:c r="N39" s="24" t="str">
        <x:v>leucoraja naevus</x:v>
      </x:c>
      <x:c r="O39" s="32" t="n">
        <x:v>4.21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Leucoraja naevus</x:v>
      </x:c>
      <x:c r="T39" s="32" t="n">
        <x:f>IF(O39="","",(1/'Metadata'!$B$5)^(O39-1))</x:f>
        <x:v>1621.8100973589299</x:v>
      </x:c>
      <x:c r="U39" s="31" t="n">
        <x:f>IF(T39="","",I39*T39)</x:f>
        <x:v>11190.580693435615</x:v>
      </x:c>
    </x:row>
    <x:row r="40" ht="18" customHeight="1">
      <x:c r="A40" s="24" t="str">
        <x:v>EEZ_915</x:v>
      </x:c>
      <x:c r="B40" s="24" t="str">
        <x:v>Sweden (West Coast)</x:v>
      </x:c>
      <x:c r="C40" s="24" t="str">
        <x:v>EEZ</x:v>
      </x:c>
      <x:c r="D40" s="30" t="n">
        <x:v>2019</x:v>
      </x:c>
      <x:c r="E40" s="24" t="str">
        <x:v>Ostrea edulis</x:v>
      </x:c>
      <x:c r="F40" s="24" t="str">
        <x:v>European flat oyster</x:v>
      </x:c>
      <x:c r="G40" s="24" t="str">
        <x:v>Other demersal invertebrates</x:v>
      </x:c>
      <x:c r="H40" s="24" t="str">
        <x:v>Molluscs</x:v>
      </x:c>
      <x:c r="I40" s="31" t="n">
        <x:v>5.5681079434</x:v>
      </x:c>
      <x:c r="J40" s="31" t="n">
        <x:v>5.5119779096</x:v>
      </x:c>
      <x:c r="K40" s="31" t="n">
        <x:v>0.0561300338</x:v>
      </x:c>
      <x:c r="L40" s="31" t="n">
        <x:v>5.1617942834</x:v>
      </x:c>
      <x:c r="M40" s="31" t="n">
        <x:v>0.40631366</x:v>
      </x:c>
      <x:c r="N40" s="24" t="str">
        <x:v>ostrea edulis</x:v>
      </x:c>
      <x:c r="O40" s="32" t="n">
        <x:v>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Ostrea edulis</x:v>
      </x:c>
      <x:c r="T40" s="32" t="n">
        <x:f>IF(O40="","",(1/'Metadata'!$B$5)^(O40-1))</x:f>
        <x:v>10</x:v>
      </x:c>
      <x:c r="U40" s="31" t="n">
        <x:f>IF(T40="","",I40*T40)</x:f>
        <x:v>55.681079434000004</x:v>
      </x:c>
    </x:row>
    <x:row r="41" ht="18" customHeight="1">
      <x:c r="A41" s="24" t="str">
        <x:v>EEZ_915</x:v>
      </x:c>
      <x:c r="B41" s="24" t="str">
        <x:v>Sweden (West Coast)</x:v>
      </x:c>
      <x:c r="C41" s="24" t="str">
        <x:v>EEZ</x:v>
      </x:c>
      <x:c r="D41" s="30" t="n">
        <x:v>2019</x:v>
      </x:c>
      <x:c r="E41" s="24" t="str">
        <x:v>Eutrigla gurnardus</x:v>
      </x:c>
      <x:c r="F41" s="24" t="str">
        <x:v>Grey gurnard</x:v>
      </x:c>
      <x:c r="G41" s="24" t="str">
        <x:v>Medium demersals (30 - 89 cm)</x:v>
      </x:c>
      <x:c r="H41" s="24" t="str">
        <x:v>Scorpionfishes</x:v>
      </x:c>
      <x:c r="I41" s="31" t="n">
        <x:v>5.3149641437</x:v>
      </x:c>
      <x:c r="J41" s="31" t="n">
        <x:v>5.3041729939</x:v>
      </x:c>
      <x:c r="K41" s="31" t="n">
        <x:v>0.0107911498</x:v>
      </x:c>
      <x:c r="L41" s="31" t="n">
        <x:v>5.1717306902999995</x:v>
      </x:c>
      <x:c r="M41" s="31" t="n">
        <x:v>0.1432334534</x:v>
      </x:c>
      <x:c r="N41" s="24" t="str">
        <x:v>eutrigla gurnardus</x:v>
      </x:c>
      <x:c r="O41" s="32" t="n">
        <x:v>3.87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Eutrigla gurnardus</x:v>
      </x:c>
      <x:c r="T41" s="32" t="n">
        <x:f>IF(O41="","",(1/'Metadata'!$B$5)^(O41-1))</x:f>
        <x:v>741.3102413009177</x:v>
      </x:c>
      <x:c r="U41" s="31" t="n">
        <x:f>IF(T41="","",I41*T41)</x:f>
        <x:v>3940.0373518719725</x:v>
      </x:c>
    </x:row>
    <x:row r="42" ht="18" customHeight="1">
      <x:c r="A42" s="24" t="str">
        <x:v>EEZ_915</x:v>
      </x:c>
      <x:c r="B42" s="24" t="str">
        <x:v>Sweden (West Coast)</x:v>
      </x:c>
      <x:c r="C42" s="24" t="str">
        <x:v>EEZ</x:v>
      </x:c>
      <x:c r="D42" s="30" t="n">
        <x:v>2019</x:v>
      </x:c>
      <x:c r="E42" s="24" t="str">
        <x:v>Labrus bergylta</x:v>
      </x:c>
      <x:c r="F42" s="24" t="str">
        <x:v>Ballan wrasse</x:v>
      </x:c>
      <x:c r="G42" s="24" t="str">
        <x:v>Medium reef assoc. fish (30 - 89 cm)</x:v>
      </x:c>
      <x:c r="H42" s="24" t="str">
        <x:v>Perch-likes</x:v>
      </x:c>
      <x:c r="I42" s="31" t="n">
        <x:v>4.3780201737999995</x:v>
      </x:c>
      <x:c r="J42" s="31" t="n">
        <x:v>4.3780201737999995</x:v>
      </x:c>
      <x:c r="K42" s="31" t="n">
        <x:v>0</x:v>
      </x:c>
      <x:c r="L42" s="31" t="n">
        <x:v>4.3780201737999995</x:v>
      </x:c>
      <x:c r="M42" s="31" t="n">
        <x:v>0</x:v>
      </x:c>
      <x:c r="N42" s="24" t="str">
        <x:v>labrus bergylta</x:v>
      </x:c>
      <x:c r="O42" s="32" t="n">
        <x:v>3.2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Labrus bergylta</x:v>
      </x:c>
      <x:c r="T42" s="32" t="n">
        <x:f>IF(O42="","",(1/'Metadata'!$B$5)^(O42-1))</x:f>
        <x:v>158.48931924611142</x:v>
      </x:c>
      <x:c r="U42" s="31" t="n">
        <x:f>IF(T42="","",I42*T42)</x:f>
        <x:v>693.8694369913044</x:v>
      </x:c>
    </x:row>
    <x:row r="43" ht="18" customHeight="1">
      <x:c r="A43" s="24" t="str">
        <x:v>EEZ_915</x:v>
      </x:c>
      <x:c r="B43" s="24" t="str">
        <x:v>Sweden (West Coast)</x:v>
      </x:c>
      <x:c r="C43" s="24" t="str">
        <x:v>EEZ</x:v>
      </x:c>
      <x:c r="D43" s="30" t="n">
        <x:v>2019</x:v>
      </x:c>
      <x:c r="E43" s="24" t="str">
        <x:v>Chelidonichthys lucerna</x:v>
      </x:c>
      <x:c r="F43" s="24" t="str">
        <x:v>Tub gurnard</x:v>
      </x:c>
      <x:c r="G43" s="24" t="str">
        <x:v>Medium demersals (30 - 89 cm)</x:v>
      </x:c>
      <x:c r="H43" s="24" t="str">
        <x:v>Scorpionfishes</x:v>
      </x:c>
      <x:c r="I43" s="31" t="n">
        <x:v>3.5361747044</x:v>
      </x:c>
      <x:c r="J43" s="31" t="n">
        <x:v>3.5361747044</x:v>
      </x:c>
      <x:c r="K43" s="31" t="n">
        <x:v>0</x:v>
      </x:c>
      <x:c r="L43" s="31" t="n">
        <x:v>3.5361747044</x:v>
      </x:c>
      <x:c r="M43" s="31" t="n">
        <x:v>0</x:v>
      </x:c>
      <x:c r="N43" s="24" t="str">
        <x:v>chelidonichthys lucerna</x:v>
      </x:c>
      <x:c r="O43" s="32" t="n">
        <x:v>3.98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Chelidonichthys lucerna</x:v>
      </x:c>
      <x:c r="T43" s="32" t="n">
        <x:f>IF(O43="","",(1/'Metadata'!$B$5)^(O43-1))</x:f>
        <x:v>954.992586021436</x:v>
      </x:c>
      <x:c r="U43" s="31" t="n">
        <x:f>IF(T43="","",I43*T43)</x:f>
        <x:v>3377.020625578543</x:v>
      </x:c>
    </x:row>
    <x:row r="44" ht="18" customHeight="1">
      <x:c r="A44" s="24" t="str">
        <x:v>EEZ_915</x:v>
      </x:c>
      <x:c r="B44" s="24" t="str">
        <x:v>Sweden (West Coast)</x:v>
      </x:c>
      <x:c r="C44" s="24" t="str">
        <x:v>EEZ</x:v>
      </x:c>
      <x:c r="D44" s="30" t="n">
        <x:v>2019</x:v>
      </x:c>
      <x:c r="E44" s="24" t="str">
        <x:v>Gastropoda</x:v>
      </x:c>
      <x:c r="F44" s="24" t="str">
        <x:v>Sea snails</x:v>
      </x:c>
      <x:c r="G44" s="24" t="str">
        <x:v>Other demersal invertebrates</x:v>
      </x:c>
      <x:c r="H44" s="24" t="str">
        <x:v>Molluscs</x:v>
      </x:c>
      <x:c r="I44" s="31" t="n">
        <x:v>2.3073541613</x:v>
      </x:c>
      <x:c r="J44" s="31" t="n">
        <x:v>2.3060192358</x:v>
      </x:c>
      <x:c r="K44" s="31" t="n">
        <x:v>0.0013349255</x:v>
      </x:c>
      <x:c r="L44" s="31" t="n">
        <x:v>2.3038647518</x:v>
      </x:c>
      <x:c r="M44" s="31" t="n">
        <x:v>0.0034894095</x:v>
      </x:c>
      <x:c r="N44" s="24" t="str">
        <x:v>gastropoda</x:v>
      </x:c>
      <x:c r="O44" s="32" t="n">
        <x:v>3.06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Gastropoda</x:v>
      </x:c>
      <x:c r="T44" s="32" t="n">
        <x:f>IF(O44="","",(1/'Metadata'!$B$5)^(O44-1))</x:f>
        <x:v>114.81536214968828</x:v>
      </x:c>
      <x:c r="U44" s="31" t="n">
        <x:f>IF(T44="","",I44*T44)</x:f>
        <x:v>264.91970363724977</x:v>
      </x:c>
    </x:row>
    <x:row r="45" ht="18" customHeight="1">
      <x:c r="A45" s="24" t="str">
        <x:v>EEZ_915</x:v>
      </x:c>
      <x:c r="B45" s="24" t="str">
        <x:v>Sweden (West Coast)</x:v>
      </x:c>
      <x:c r="C45" s="24" t="str">
        <x:v>EEZ</x:v>
      </x:c>
      <x:c r="D45" s="30" t="n">
        <x:v>2019</x:v>
      </x:c>
      <x:c r="E45" s="24" t="str">
        <x:v>Brachyura</x:v>
      </x:c>
      <x:c r="F45" s="24" t="str">
        <x:v>Marine crabs</x:v>
      </x:c>
      <x:c r="G45" s="24" t="str">
        <x:v>Lobsters, crabs</x:v>
      </x:c>
      <x:c r="H45" s="24" t="str">
        <x:v>Crustaceans</x:v>
      </x:c>
      <x:c r="I45" s="31" t="n">
        <x:v>2.2975161441000003</x:v>
      </x:c>
      <x:c r="J45" s="31" t="n">
        <x:v>2.2403813318</x:v>
      </x:c>
      <x:c r="K45" s="31" t="n">
        <x:v>0.0571348123</x:v>
      </x:c>
      <x:c r="L45" s="31" t="n">
        <x:v>2.1481694148</x:v>
      </x:c>
      <x:c r="M45" s="31" t="n">
        <x:v>0.1493467293</x:v>
      </x:c>
      <x:c r="N45" s="24" t="str">
        <x:v>brachyura</x:v>
      </x:c>
      <x:c r="O45" s="32" t="n">
        <x:v>2.6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Brachyura</x:v>
      </x:c>
      <x:c r="T45" s="32" t="n">
        <x:f>IF(O45="","",(1/'Metadata'!$B$5)^(O45-1))</x:f>
        <x:v>39.810717055349734</x:v>
      </x:c>
      <x:c r="U45" s="31" t="n">
        <x:f>IF(T45="","",I45*T45)</x:f>
        <x:v>91.46576514286323</x:v>
      </x:c>
    </x:row>
    <x:row r="46" ht="18" customHeight="1">
      <x:c r="A46" s="24" t="str">
        <x:v>EEZ_915</x:v>
      </x:c>
      <x:c r="B46" s="24" t="str">
        <x:v>Sweden (West Coast)</x:v>
      </x:c>
      <x:c r="C46" s="24" t="str">
        <x:v>EEZ</x:v>
      </x:c>
      <x:c r="D46" s="30" t="n">
        <x:v>2019</x:v>
      </x:c>
      <x:c r="E46" s="24" t="str">
        <x:v>Ctenolabrus rupestris</x:v>
      </x:c>
      <x:c r="F46" s="24" t="str">
        <x:v>Goldsinny-wrasse</x:v>
      </x:c>
      <x:c r="G46" s="24" t="str">
        <x:v>Small reef assoc. fish (&lt;30 cm)</x:v>
      </x:c>
      <x:c r="H46" s="24" t="str">
        <x:v>Perch-likes</x:v>
      </x:c>
      <x:c r="I46" s="31" t="n">
        <x:v>2.0417879769000002</x:v>
      </x:c>
      <x:c r="J46" s="31" t="n">
        <x:v>2.0328622366</x:v>
      </x:c>
      <x:c r="K46" s="31" t="n">
        <x:v>0.0089257403</x:v>
      </x:c>
      <x:c r="L46" s="31" t="n">
        <x:v>1.7729515321</x:v>
      </x:c>
      <x:c r="M46" s="31" t="n">
        <x:v>0.26883644479999996</x:v>
      </x:c>
      <x:c r="N46" s="24" t="str">
        <x:v>ctenolabrus rupestris</x:v>
      </x:c>
      <x:c r="O46" s="32" t="n">
        <x:v>3.58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Ctenolabrus rupestris</x:v>
      </x:c>
      <x:c r="T46" s="32" t="n">
        <x:f>IF(O46="","",(1/'Metadata'!$B$5)^(O46-1))</x:f>
        <x:v>380.1893963205613</x:v>
      </x:c>
      <x:c r="U46" s="31" t="n">
        <x:f>IF(T46="","",I46*T46)</x:f>
        <x:v>776.2661383521912</x:v>
      </x:c>
    </x:row>
    <x:row r="47" ht="18" customHeight="1">
      <x:c r="A47" s="24" t="str">
        <x:v>EEZ_915</x:v>
      </x:c>
      <x:c r="B47" s="24" t="str">
        <x:v>Sweden (West Coast)</x:v>
      </x:c>
      <x:c r="C47" s="24" t="str">
        <x:v>EEZ</x:v>
      </x:c>
      <x:c r="D47" s="30" t="n">
        <x:v>2019</x:v>
      </x:c>
      <x:c r="E47" s="24" t="str">
        <x:v>Symphodus melops</x:v>
      </x:c>
      <x:c r="F47" s="24" t="str">
        <x:v>Corkwing wrasse</x:v>
      </x:c>
      <x:c r="G47" s="24" t="str">
        <x:v>Small reef assoc. fish (&lt;30 cm)</x:v>
      </x:c>
      <x:c r="H47" s="24" t="str">
        <x:v>Perch-likes</x:v>
      </x:c>
      <x:c r="I47" s="31" t="n">
        <x:v>1.7920157475000003</x:v>
      </x:c>
      <x:c r="J47" s="31" t="n">
        <x:v>1.7492588257000001</x:v>
      </x:c>
      <x:c r="K47" s="31" t="n">
        <x:v>0.0427569218</x:v>
      </x:c>
      <x:c r="L47" s="31" t="n">
        <x:v>1.1690358569000001</x:v>
      </x:c>
      <x:c r="M47" s="31" t="n">
        <x:v>0.6229798906</x:v>
      </x:c>
      <x:c r="N47" s="24" t="str">
        <x:v>symphodus melops</x:v>
      </x:c>
      <x:c r="O47" s="32" t="n">
        <x:v>3.38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Symphodus melops</x:v>
      </x:c>
      <x:c r="T47" s="32" t="n">
        <x:f>IF(O47="","",(1/'Metadata'!$B$5)^(O47-1))</x:f>
        <x:v>239.88329190194898</x:v>
      </x:c>
      <x:c r="U47" s="31" t="n">
        <x:f>IF(T47="","",I47*T47)</x:f>
        <x:v>429.87463665043185</x:v>
      </x:c>
    </x:row>
    <x:row r="48" ht="18" customHeight="1">
      <x:c r="A48" s="24" t="str">
        <x:v>EEZ_915</x:v>
      </x:c>
      <x:c r="B48" s="24" t="str">
        <x:v>Sweden (West Coast)</x:v>
      </x:c>
      <x:c r="C48" s="24" t="str">
        <x:v>EEZ</x:v>
      </x:c>
      <x:c r="D48" s="30" t="n">
        <x:v>2019</x:v>
      </x:c>
      <x:c r="E48" s="24" t="str">
        <x:v>Lophiidae</x:v>
      </x:c>
      <x:c r="F48" s="24" t="str">
        <x:v>Goosefishes</x:v>
      </x:c>
      <x:c r="G48" s="24" t="str">
        <x:v>Medium bathydemersals (30 - 89 cm)</x:v>
      </x:c>
      <x:c r="H48" s="24" t="str">
        <x:v>Other fishes &amp; inverts</x:v>
      </x:c>
      <x:c r="I48" s="31" t="n">
        <x:v>1.1790844025</x:v>
      </x:c>
      <x:c r="J48" s="31" t="n">
        <x:v>1.0364830085</x:v>
      </x:c>
      <x:c r="K48" s="31" t="n">
        <x:v>0.142601394</x:v>
      </x:c>
      <x:c r="L48" s="31" t="n">
        <x:v>0.081859059</x:v>
      </x:c>
      <x:c r="M48" s="31" t="n">
        <x:v>1.0972253435</x:v>
      </x:c>
      <x:c r="N48" s="24" t="str">
        <x:v>lophiidae</x:v>
      </x:c>
      <x:c r="O48" s="32" t="n">
        <x:v>4.46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Lophiidae</x:v>
      </x:c>
      <x:c r="T48" s="32" t="n">
        <x:f>IF(O48="","",(1/'Metadata'!$B$5)^(O48-1))</x:f>
        <x:v>2884.031503126606</x:v>
      </x:c>
      <x:c r="U48" s="31" t="n">
        <x:f>IF(T48="","",I48*T48)</x:f>
        <x:v>3400.5165616552113</x:v>
      </x:c>
    </x:row>
    <x:row r="49" ht="18" customHeight="1">
      <x:c r="A49" s="24" t="str">
        <x:v>EEZ_915</x:v>
      </x:c>
      <x:c r="B49" s="24" t="str">
        <x:v>Sweden (West Coast)</x:v>
      </x:c>
      <x:c r="C49" s="24" t="str">
        <x:v>EEZ</x:v>
      </x:c>
      <x:c r="D49" s="30" t="n">
        <x:v>2019</x:v>
      </x:c>
      <x:c r="E49" s="24" t="str">
        <x:v>Loliginidae</x:v>
      </x:c>
      <x:c r="F49" s="24" t="str">
        <x:v>Common pencil squids</x:v>
      </x:c>
      <x:c r="G49" s="24" t="str">
        <x:v>Cephalopods</x:v>
      </x:c>
      <x:c r="H49" s="24" t="str">
        <x:v>Other fishes &amp; inverts</x:v>
      </x:c>
      <x:c r="I49" s="31" t="n">
        <x:v>1.0396657571</x:v>
      </x:c>
      <x:c r="J49" s="31" t="n">
        <x:v>1.0334378050000002</x:v>
      </x:c>
      <x:c r="K49" s="31" t="n">
        <x:v>0.006227952100000001</x:v>
      </x:c>
      <x:c r="L49" s="31" t="n">
        <x:v>0.9917457001000001</x:v>
      </x:c>
      <x:c r="M49" s="31" t="n">
        <x:v>0.047920057</x:v>
      </x:c>
      <x:c r="N49" s="24" t="str">
        <x:v>loliginidae</x:v>
      </x:c>
      <x:c r="O49" s="32" t="n">
        <x:v>3.9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Loliginidae</x:v>
      </x:c>
      <x:c r="T49" s="32" t="n">
        <x:f>IF(O49="","",(1/'Metadata'!$B$5)^(O49-1))</x:f>
        <x:v>794.3282347242813</x:v>
      </x:c>
      <x:c r="U49" s="31" t="n">
        <x:f>IF(T49="","",I49*T49)</x:f>
        <x:v>825.8358655405265</x:v>
      </x:c>
    </x:row>
    <x:row r="50" ht="18" customHeight="1">
      <x:c r="A50" s="24" t="str">
        <x:v>EEZ_915</x:v>
      </x:c>
      <x:c r="B50" s="24" t="str">
        <x:v>Sweden (West Coast)</x:v>
      </x:c>
      <x:c r="C50" s="24" t="str">
        <x:v>EEZ</x:v>
      </x:c>
      <x:c r="D50" s="30" t="n">
        <x:v>2019</x:v>
      </x:c>
      <x:c r="E50" s="24" t="str">
        <x:v>Octopodidae</x:v>
      </x:c>
      <x:c r="F50" s="24" t="str">
        <x:v>Octopuses</x:v>
      </x:c>
      <x:c r="G50" s="24" t="str">
        <x:v>Cephalopods</x:v>
      </x:c>
      <x:c r="H50" s="24" t="str">
        <x:v>Other fishes &amp; inverts</x:v>
      </x:c>
      <x:c r="I50" s="31" t="n">
        <x:v>1.0088786267</x:v>
      </x:c>
      <x:c r="J50" s="31" t="n">
        <x:v>0.9799097099</x:v>
      </x:c>
      <x:c r="K50" s="31" t="n">
        <x:v>0.0289689168</x:v>
      </x:c>
      <x:c r="L50" s="31" t="n">
        <x:v>0.772087767</x:v>
      </x:c>
      <x:c r="M50" s="31" t="n">
        <x:v>0.2367908597</x:v>
      </x:c>
      <x:c r="N50" s="24" t="str">
        <x:v>octopodidae</x:v>
      </x:c>
      <x:c r="O50" s="32" t="n">
        <x:v>3.59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Octopodidae</x:v>
      </x:c>
      <x:c r="T50" s="32" t="n">
        <x:f>IF(O50="","",(1/'Metadata'!$B$5)^(O50-1))</x:f>
        <x:v>389.04514499428046</x:v>
      </x:c>
      <x:c r="U50" s="31" t="n">
        <x:f>IF(T50="","",I50*T50)</x:f>
        <x:v>392.4993316061321</x:v>
      </x:c>
    </x:row>
    <x:row r="51" ht="18" customHeight="1">
      <x:c r="A51" s="24" t="str">
        <x:v>EEZ_915</x:v>
      </x:c>
      <x:c r="B51" s="24" t="str">
        <x:v>Sweden (West Coast)</x:v>
      </x:c>
      <x:c r="C51" s="24" t="str">
        <x:v>EEZ</x:v>
      </x:c>
      <x:c r="D51" s="30" t="n">
        <x:v>2019</x:v>
      </x:c>
      <x:c r="E51" s="24" t="str">
        <x:v>Squalus acanthias</x:v>
      </x:c>
      <x:c r="F51" s="24" t="str">
        <x:v>Picked dogfish</x:v>
      </x:c>
      <x:c r="G51" s="24" t="str">
        <x:v>Large sharks (&gt;=90 cm)</x:v>
      </x:c>
      <x:c r="H51" s="24" t="str">
        <x:v>Sharks &amp; rays</x:v>
      </x:c>
      <x:c r="I51" s="31" t="n">
        <x:v>0.988376168</x:v>
      </x:c>
      <x:c r="J51" s="31" t="n">
        <x:v>0.9781186087</x:v>
      </x:c>
      <x:c r="K51" s="31" t="n">
        <x:v>0.0102575593</x:v>
      </x:c>
      <x:c r="L51" s="31" t="n">
        <x:v>0.8381856049</x:v>
      </x:c>
      <x:c r="M51" s="31" t="n">
        <x:v>0.1501905631</x:v>
      </x:c>
      <x:c r="N51" s="24" t="str">
        <x:v>squalus acanthias</x:v>
      </x:c>
      <x:c r="O51" s="32" t="n">
        <x:v>4.37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Squalus acanthias</x:v>
      </x:c>
      <x:c r="T51" s="32" t="n">
        <x:f>IF(O51="","",(1/'Metadata'!$B$5)^(O51-1))</x:f>
        <x:v>2344.228815319923</x:v>
      </x:c>
      <x:c r="U51" s="31" t="n">
        <x:f>IF(T51="","",I51*T51)</x:f>
        <x:v>2316.979893401085</x:v>
      </x:c>
    </x:row>
    <x:row r="52" ht="18" customHeight="1">
      <x:c r="A52" s="24" t="str">
        <x:v>EEZ_915</x:v>
      </x:c>
      <x:c r="B52" s="24" t="str">
        <x:v>Sweden (West Coast)</x:v>
      </x:c>
      <x:c r="C52" s="24" t="str">
        <x:v>EEZ</x:v>
      </x:c>
      <x:c r="D52" s="30" t="n">
        <x:v>2019</x:v>
      </x:c>
      <x:c r="E52" s="24" t="str">
        <x:v>Dipturus batis</x:v>
      </x:c>
      <x:c r="F52" s="24" t="str">
        <x:v>Blue skate</x:v>
      </x:c>
      <x:c r="G52" s="24" t="str">
        <x:v>Large rays (&gt;=90 cm)</x:v>
      </x:c>
      <x:c r="H52" s="24" t="str">
        <x:v>Sharks &amp; rays</x:v>
      </x:c>
      <x:c r="I52" s="31" t="n">
        <x:v>0.9087225378</x:v>
      </x:c>
      <x:c r="J52" s="31" t="n">
        <x:v>0.9087225378</x:v>
      </x:c>
      <x:c r="K52" s="31" t="n">
        <x:v>0</x:v>
      </x:c>
      <x:c r="L52" s="31" t="n">
        <x:v>0.9087225378</x:v>
      </x:c>
      <x:c r="M52" s="31" t="n">
        <x:v>0</x:v>
      </x:c>
      <x:c r="N52" s="24" t="str">
        <x:v>dipturus batis</x:v>
      </x:c>
      <x:c r="O52" s="32" t="n">
        <x:v>3.52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Dipturus batis</x:v>
      </x:c>
      <x:c r="T52" s="32" t="n">
        <x:f>IF(O52="","",(1/'Metadata'!$B$5)^(O52-1))</x:f>
        <x:v>331.1311214825911</x:v>
      </x:c>
      <x:c r="U52" s="31" t="n">
        <x:f>IF(T52="","",I52*T52)</x:f>
        <x:v>300.9063130582203</x:v>
      </x:c>
    </x:row>
    <x:row r="53" ht="18" customHeight="1">
      <x:c r="A53" s="24" t="str">
        <x:v>EEZ_915</x:v>
      </x:c>
      <x:c r="B53" s="24" t="str">
        <x:v>Sweden (West Coast)</x:v>
      </x:c>
      <x:c r="C53" s="24" t="str">
        <x:v>EEZ</x:v>
      </x:c>
      <x:c r="D53" s="30" t="n">
        <x:v>2019</x:v>
      </x:c>
      <x:c r="E53" s="24" t="str">
        <x:v>Buccinum undatum</x:v>
      </x:c>
      <x:c r="F53" s="24" t="str">
        <x:v>Whelk</x:v>
      </x:c>
      <x:c r="G53" s="24" t="str">
        <x:v>Other demersal invertebrates</x:v>
      </x:c>
      <x:c r="H53" s="24" t="str">
        <x:v>Molluscs</x:v>
      </x:c>
      <x:c r="I53" s="31" t="n">
        <x:v>0.9049560116</x:v>
      </x:c>
      <x:c r="J53" s="31" t="n">
        <x:v>0.8723048165000001</x:v>
      </x:c>
      <x:c r="K53" s="31" t="n">
        <x:v>0.0326511951</x:v>
      </x:c>
      <x:c r="L53" s="31" t="n">
        <x:v>0.8185625279000001</x:v>
      </x:c>
      <x:c r="M53" s="31" t="n">
        <x:v>0.0863934837</x:v>
      </x:c>
      <x:c r="N53" s="24" t="str">
        <x:v>buccinum undatum</x:v>
      </x:c>
      <x:c r="O53" s="32" t="n">
        <x:v>3.75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Buccinum undatum</x:v>
      </x:c>
      <x:c r="T53" s="32" t="n">
        <x:f>IF(O53="","",(1/'Metadata'!$B$5)^(O53-1))</x:f>
        <x:v>562.341325190349</x:v>
      </x:c>
      <x:c r="U53" s="31" t="n">
        <x:f>IF(T53="","",I53*T53)</x:f>
        <x:v>508.8941628021169</x:v>
      </x:c>
    </x:row>
    <x:row r="54" ht="18" customHeight="1">
      <x:c r="A54" s="24" t="str">
        <x:v>EEZ_915</x:v>
      </x:c>
      <x:c r="B54" s="24" t="str">
        <x:v>Sweden (West Coast)</x:v>
      </x:c>
      <x:c r="C54" s="24" t="str">
        <x:v>EEZ</x:v>
      </x:c>
      <x:c r="D54" s="30" t="n">
        <x:v>2019</x:v>
      </x:c>
      <x:c r="E54" s="24" t="str">
        <x:v>Pandalus</x:v>
      </x:c>
      <x:c r="F54" s="24" t="str">
        <x:v>Seabed shrimps</x:v>
      </x:c>
      <x:c r="G54" s="24" t="str">
        <x:v>Shrimps</x:v>
      </x:c>
      <x:c r="H54" s="24" t="str">
        <x:v>Crustaceans</x:v>
      </x:c>
      <x:c r="I54" s="31" t="n">
        <x:v>0.8908574364</x:v>
      </x:c>
      <x:c r="J54" s="31" t="n">
        <x:v>0.7847194110000001</x:v>
      </x:c>
      <x:c r="K54" s="31" t="n">
        <x:v>0.1061380254</x:v>
      </x:c>
      <x:c r="L54" s="31" t="n">
        <x:v>0</x:v>
      </x:c>
      <x:c r="M54" s="31" t="n">
        <x:v>0.8908574364</x:v>
      </x:c>
      <x:c r="N54" s="24" t="str">
        <x:v>pandalus</x:v>
      </x:c>
      <x:c r="O54" s="32" t="n">
        <x:v>2.6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Pandalus</x:v>
      </x:c>
      <x:c r="T54" s="32" t="n">
        <x:f>IF(O54="","",(1/'Metadata'!$B$5)^(O54-1))</x:f>
        <x:v>39.810717055349734</x:v>
      </x:c>
      <x:c r="U54" s="31" t="n">
        <x:f>IF(T54="","",I54*T54)</x:f>
        <x:v>35.46567333717462</x:v>
      </x:c>
    </x:row>
    <x:row r="55" ht="18" customHeight="1">
      <x:c r="A55" s="24" t="str">
        <x:v>EEZ_915</x:v>
      </x:c>
      <x:c r="B55" s="24" t="str">
        <x:v>Sweden (West Coast)</x:v>
      </x:c>
      <x:c r="C55" s="24" t="str">
        <x:v>EEZ</x:v>
      </x:c>
      <x:c r="D55" s="30" t="n">
        <x:v>2019</x:v>
      </x:c>
      <x:c r="E55" s="24" t="str">
        <x:v>Decapoda</x:v>
      </x:c>
      <x:c r="F55" s="24" t="str">
        <x:v>Crabs, lobsters, shrimps</x:v>
      </x:c>
      <x:c r="G55" s="24" t="str">
        <x:v>Lobsters, crabs</x:v>
      </x:c>
      <x:c r="H55" s="24" t="str">
        <x:v>Crustaceans</x:v>
      </x:c>
      <x:c r="I55" s="31" t="n">
        <x:v>0.7680158641</x:v>
      </x:c>
      <x:c r="J55" s="31" t="n">
        <x:v>0.7680158641</x:v>
      </x:c>
      <x:c r="K55" s="31" t="n">
        <x:v>0</x:v>
      </x:c>
      <x:c r="L55" s="31" t="n">
        <x:v>0.7680158641</x:v>
      </x:c>
      <x:c r="M55" s="31" t="n">
        <x:v>0</x:v>
      </x:c>
      <x:c r="N55" s="24" t="str">
        <x:v>decapoda</x:v>
      </x:c>
      <x:c r="O55" s="32" t="n">
        <x:v>3.43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Decapoda</x:v>
      </x:c>
      <x:c r="T55" s="32" t="n">
        <x:f>IF(O55="","",(1/'Metadata'!$B$5)^(O55-1))</x:f>
        <x:v>269.1534803926917</x:v>
      </x:c>
      <x:c r="U55" s="31" t="n">
        <x:f>IF(T55="","",I55*T55)</x:f>
        <x:v>206.7141428193155</x:v>
      </x:c>
    </x:row>
    <x:row r="56" ht="18" customHeight="1">
      <x:c r="A56" s="24" t="str">
        <x:v>EEZ_915</x:v>
      </x:c>
      <x:c r="B56" s="24" t="str">
        <x:v>Sweden (West Coast)</x:v>
      </x:c>
      <x:c r="C56" s="24" t="str">
        <x:v>EEZ</x:v>
      </x:c>
      <x:c r="D56" s="30" t="n">
        <x:v>2019</x:v>
      </x:c>
      <x:c r="E56" s="24" t="str">
        <x:v>Rajella lintea</x:v>
      </x:c>
      <x:c r="F56" s="24" t="str">
        <x:v>Sailray</x:v>
      </x:c>
      <x:c r="G56" s="24" t="str">
        <x:v>Large rays (&gt;=90 cm)</x:v>
      </x:c>
      <x:c r="H56" s="24" t="str">
        <x:v>Sharks &amp; rays</x:v>
      </x:c>
      <x:c r="I56" s="31" t="n">
        <x:v>0.6525004341999999</x:v>
      </x:c>
      <x:c r="J56" s="31" t="n">
        <x:v>0.6525004341999999</x:v>
      </x:c>
      <x:c r="K56" s="31" t="n">
        <x:v>0</x:v>
      </x:c>
      <x:c r="L56" s="31" t="n">
        <x:v>0.6525004341999999</x:v>
      </x:c>
      <x:c r="M56" s="31" t="n">
        <x:v>0</x:v>
      </x:c>
      <x:c r="N56" s="24" t="str">
        <x:v>rajella lintea</x:v>
      </x:c>
      <x:c r="O56" s="32" t="n">
        <x:v>3.62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Rajella lintea</x:v>
      </x:c>
      <x:c r="T56" s="32" t="n">
        <x:f>IF(O56="","",(1/'Metadata'!$B$5)^(O56-1))</x:f>
        <x:v>416.8693834703355</x:v>
      </x:c>
      <x:c r="U56" s="31" t="n">
        <x:f>IF(T56="","",I56*T56)</x:f>
        <x:v>272.00745371908016</x:v>
      </x:c>
    </x:row>
    <x:row r="57" ht="18" customHeight="1">
      <x:c r="A57" s="24" t="str">
        <x:v>EEZ_915</x:v>
      </x:c>
      <x:c r="B57" s="24" t="str">
        <x:v>Sweden (West Coast)</x:v>
      </x:c>
      <x:c r="C57" s="24" t="str">
        <x:v>EEZ</x:v>
      </x:c>
      <x:c r="D57" s="30" t="n">
        <x:v>2019</x:v>
      </x:c>
      <x:c r="E57" s="24" t="str">
        <x:v>Osteichthyes</x:v>
      </x:c>
      <x:c r="F57" s="24" t="str">
        <x:v>Bony fishes</x:v>
      </x:c>
      <x:c r="G57" s="24" t="str">
        <x:v>Medium demersals (30 - 89 cm)</x:v>
      </x:c>
      <x:c r="H57" s="24" t="str">
        <x:v>Other fishes &amp; inverts</x:v>
      </x:c>
      <x:c r="I57" s="31" t="n">
        <x:v>0.5931243053999999</x:v>
      </x:c>
      <x:c r="J57" s="31" t="n">
        <x:v>0.5931243053999999</x:v>
      </x:c>
      <x:c r="K57" s="31" t="n">
        <x:v>0</x:v>
      </x:c>
      <x:c r="L57" s="31" t="n">
        <x:v>0.5931243053999999</x:v>
      </x:c>
      <x:c r="M57" s="31" t="n">
        <x:v>0</x:v>
      </x:c>
      <x:c r="N57" s="24" t="str">
        <x:v>osteichthyes</x:v>
      </x:c>
      <x:c r="O57" s="32" t="n">
        <x:v>3.79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Osteichthyes</x:v>
      </x:c>
      <x:c r="T57" s="32" t="n">
        <x:f>IF(O57="","",(1/'Metadata'!$B$5)^(O57-1))</x:f>
        <x:v>616.5950018614822</x:v>
      </x:c>
      <x:c r="U57" s="31" t="n">
        <x:f>IF(T57="","",I57*T57)</x:f>
        <x:v>365.71748219220325</x:v>
      </x:c>
    </x:row>
    <x:row r="58" ht="18" customHeight="1">
      <x:c r="A58" s="24" t="str">
        <x:v>EEZ_915</x:v>
      </x:c>
      <x:c r="B58" s="24" t="str">
        <x:v>Sweden (West Coast)</x:v>
      </x:c>
      <x:c r="C58" s="24" t="str">
        <x:v>EEZ</x:v>
      </x:c>
      <x:c r="D58" s="30" t="n">
        <x:v>2019</x:v>
      </x:c>
      <x:c r="E58" s="24" t="str">
        <x:v>Salmo trutta</x:v>
      </x:c>
      <x:c r="F58" s="24" t="str">
        <x:v>Sea trout</x:v>
      </x:c>
      <x:c r="G58" s="24" t="str">
        <x:v>Large pelagics (&gt;=90 cm)</x:v>
      </x:c>
      <x:c r="H58" s="24" t="str">
        <x:v>Salmon, smelts, etc</x:v>
      </x:c>
      <x:c r="I58" s="31" t="n">
        <x:v>0.5150983987000001</x:v>
      </x:c>
      <x:c r="J58" s="31" t="n">
        <x:v>0.4671006139</x:v>
      </x:c>
      <x:c r="K58" s="31" t="n">
        <x:v>0.0479977848</x:v>
      </x:c>
      <x:c r="L58" s="31" t="n">
        <x:v>0.38668969470000003</x:v>
      </x:c>
      <x:c r="M58" s="31" t="n">
        <x:v>0.128408704</x:v>
      </x:c>
      <x:c r="N58" s="24" t="str">
        <x:v>salmo trutta</x:v>
      </x:c>
      <x:c r="O58" s="32" t="n">
        <x:v>3.36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Salmo trutta</x:v>
      </x:c>
      <x:c r="T58" s="32" t="n">
        <x:f>IF(O58="","",(1/'Metadata'!$B$5)^(O58-1))</x:f>
        <x:v>229.08676527677724</x:v>
      </x:c>
      <x:c r="U58" s="31" t="n">
        <x:f>IF(T58="","",I58*T58)</x:f>
        <x:v>118.00222595743074</x:v>
      </x:c>
    </x:row>
    <x:row r="59" ht="18" customHeight="1">
      <x:c r="A59" s="24" t="str">
        <x:v>EEZ_915</x:v>
      </x:c>
      <x:c r="B59" s="24" t="str">
        <x:v>Sweden (West Coast)</x:v>
      </x:c>
      <x:c r="C59" s="24" t="str">
        <x:v>EEZ</x:v>
      </x:c>
      <x:c r="D59" s="30" t="n">
        <x:v>2019</x:v>
      </x:c>
      <x:c r="E59" s="24" t="str">
        <x:v>Salmo salar</x:v>
      </x:c>
      <x:c r="F59" s="24" t="str">
        <x:v>Atlantic salmon</x:v>
      </x:c>
      <x:c r="G59" s="24" t="str">
        <x:v>Large benthopelagics (&gt;=90 cm)</x:v>
      </x:c>
      <x:c r="H59" s="24" t="str">
        <x:v>Salmon, smelts, etc</x:v>
      </x:c>
      <x:c r="I59" s="31" t="n">
        <x:v>0.4275910187</x:v>
      </x:c>
      <x:c r="J59" s="31" t="n">
        <x:v>0.0007917414</x:v>
      </x:c>
      <x:c r="K59" s="31" t="n">
        <x:v>0.4267992773</x:v>
      </x:c>
      <x:c r="L59" s="31" t="n">
        <x:v>0</x:v>
      </x:c>
      <x:c r="M59" s="31" t="n">
        <x:v>0.4275910187</x:v>
      </x:c>
      <x:c r="N59" s="24" t="str">
        <x:v>salmo salar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Salmo salar</x:v>
      </x:c>
      <x:c r="T59" s="32" t="n">
        <x:f>IF(O59="","",(1/'Metadata'!$B$5)^(O59-1))</x:f>
        <x:v>3162.2776601683795</x:v>
      </x:c>
      <x:c r="U59" s="31" t="n">
        <x:f>IF(T59="","",I59*T59)</x:f>
        <x:v>1352.1615261236498</x:v>
      </x:c>
    </x:row>
    <x:row r="60" ht="18" customHeight="1">
      <x:c r="A60" s="24" t="str">
        <x:v>EEZ_915</x:v>
      </x:c>
      <x:c r="B60" s="24" t="str">
        <x:v>Sweden (West Coast)</x:v>
      </x:c>
      <x:c r="C60" s="24" t="str">
        <x:v>EEZ</x:v>
      </x:c>
      <x:c r="D60" s="30" t="n">
        <x:v>2019</x:v>
      </x:c>
      <x:c r="E60" s="24" t="str">
        <x:v>Anarhichas lupus</x:v>
      </x:c>
      <x:c r="F60" s="24" t="str">
        <x:v>Atlantic wolffish</x:v>
      </x:c>
      <x:c r="G60" s="24" t="str">
        <x:v>Large demersals (&gt;=90 cm)</x:v>
      </x:c>
      <x:c r="H60" s="24" t="str">
        <x:v>Perch-likes</x:v>
      </x:c>
      <x:c r="I60" s="31" t="n">
        <x:v>0.3676308689000001</x:v>
      </x:c>
      <x:c r="J60" s="31" t="n">
        <x:v>0.36279990430000003</x:v>
      </x:c>
      <x:c r="K60" s="31" t="n">
        <x:v>0.0048309646</x:v>
      </x:c>
      <x:c r="L60" s="31" t="n">
        <x:v>0.26032121900000005</x:v>
      </x:c>
      <x:c r="M60" s="31" t="n">
        <x:v>0.1073096499</x:v>
      </x:c>
      <x:c r="N60" s="24" t="str">
        <x:v>anarhichas lupus</x:v>
      </x:c>
      <x:c r="O60" s="32" t="n">
        <x:v>3.55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Anarhichas lupus</x:v>
      </x:c>
      <x:c r="T60" s="32" t="n">
        <x:f>IF(O60="","",(1/'Metadata'!$B$5)^(O60-1))</x:f>
        <x:v>354.8133892335753</x:v>
      </x:c>
      <x:c r="U60" s="31" t="n">
        <x:f>IF(T60="","",I60*T60)</x:f>
        <x:v>130.44035458129324</x:v>
      </x:c>
    </x:row>
    <x:row r="61" ht="18" customHeight="1">
      <x:c r="A61" s="24" t="str">
        <x:v>EEZ_915</x:v>
      </x:c>
      <x:c r="B61" s="24" t="str">
        <x:v>Sweden (West Coast)</x:v>
      </x:c>
      <x:c r="C61" s="24" t="str">
        <x:v>EEZ</x:v>
      </x:c>
      <x:c r="D61" s="30" t="n">
        <x:v>2019</x:v>
      </x:c>
      <x:c r="E61" s="24" t="str">
        <x:v>Trachinus</x:v>
      </x:c>
      <x:c r="F61" s="24" t="str">
        <x:v>Weevers</x:v>
      </x:c>
      <x:c r="G61" s="24" t="str">
        <x:v>Medium demersals (30 - 89 cm)</x:v>
      </x:c>
      <x:c r="H61" s="24" t="str">
        <x:v>Perch-likes</x:v>
      </x:c>
      <x:c r="I61" s="31" t="n">
        <x:v>0.28806628360000003</x:v>
      </x:c>
      <x:c r="J61" s="31" t="n">
        <x:v>0.28806628360000003</x:v>
      </x:c>
      <x:c r="K61" s="31" t="n">
        <x:v>0</x:v>
      </x:c>
      <x:c r="L61" s="31" t="n">
        <x:v>0.28806628360000003</x:v>
      </x:c>
      <x:c r="M61" s="31" t="n">
        <x:v>0</x:v>
      </x:c>
      <x:c r="N61" s="24" t="str">
        <x:v>trachinus</x:v>
      </x:c>
      <x:c r="O61" s="32" t="n">
        <x:v>3.95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Trachinus</x:v>
      </x:c>
      <x:c r="T61" s="32" t="n">
        <x:f>IF(O61="","",(1/'Metadata'!$B$5)^(O61-1))</x:f>
        <x:v>891.2509381337459</x:v>
      </x:c>
      <x:c r="U61" s="31" t="n">
        <x:f>IF(T61="","",I61*T61)</x:f>
        <x:v>256.7393455032017</x:v>
      </x:c>
    </x:row>
    <x:row r="62" ht="18" customHeight="1">
      <x:c r="A62" s="24" t="str">
        <x:v>EEZ_915</x:v>
      </x:c>
      <x:c r="B62" s="24" t="str">
        <x:v>Sweden (West Coast)</x:v>
      </x:c>
      <x:c r="C62" s="24" t="str">
        <x:v>EEZ</x:v>
      </x:c>
      <x:c r="D62" s="30" t="n">
        <x:v>2019</x:v>
      </x:c>
      <x:c r="E62" s="24" t="str">
        <x:v>Engraulis encrasicolus</x:v>
      </x:c>
      <x:c r="F62" s="24" t="str">
        <x:v>European anchovy</x:v>
      </x:c>
      <x:c r="G62" s="24" t="str">
        <x:v>Small pelagics (&lt;30 cm)</x:v>
      </x:c>
      <x:c r="H62" s="24" t="str">
        <x:v>Anchovies</x:v>
      </x:c>
      <x:c r="I62" s="31" t="n">
        <x:v>0.2464960979</x:v>
      </x:c>
      <x:c r="J62" s="31" t="n">
        <x:v>0.2458613209</x:v>
      </x:c>
      <x:c r="K62" s="31" t="n">
        <x:v>0.000634777</x:v>
      </x:c>
      <x:c r="L62" s="31" t="n">
        <x:v>0.2413074535</x:v>
      </x:c>
      <x:c r="M62" s="31" t="n">
        <x:v>0.0051886444</x:v>
      </x:c>
      <x:c r="N62" s="24" t="str">
        <x:v>engraulis encrasicolus</x:v>
      </x:c>
      <x:c r="O62" s="32" t="n">
        <x:v>3.11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Engraulis encrasicolus</x:v>
      </x:c>
      <x:c r="T62" s="32" t="n">
        <x:f>IF(O62="","",(1/'Metadata'!$B$5)^(O62-1))</x:f>
        <x:v>128.82495516931337</x:v>
      </x:c>
      <x:c r="U62" s="31" t="n">
        <x:f>IF(T62="","",I62*T62)</x:f>
        <x:v>31.754848761378177</x:v>
      </x:c>
    </x:row>
    <x:row r="63" ht="18" customHeight="1">
      <x:c r="A63" s="24" t="str">
        <x:v>EEZ_915</x:v>
      </x:c>
      <x:c r="B63" s="24" t="str">
        <x:v>Sweden (West Coast)</x:v>
      </x:c>
      <x:c r="C63" s="24" t="str">
        <x:v>EEZ</x:v>
      </x:c>
      <x:c r="D63" s="30" t="n">
        <x:v>2019</x:v>
      </x:c>
      <x:c r="E63" s="24" t="str">
        <x:v>Sepia officinalis</x:v>
      </x:c>
      <x:c r="F63" s="24" t="str">
        <x:v>Common cuttlefish</x:v>
      </x:c>
      <x:c r="G63" s="24" t="str">
        <x:v>Cephalopods</x:v>
      </x:c>
      <x:c r="H63" s="24" t="str">
        <x:v>Other fishes &amp; inverts</x:v>
      </x:c>
      <x:c r="I63" s="31" t="n">
        <x:v>0.1521135727</x:v>
      </x:c>
      <x:c r="J63" s="31" t="n">
        <x:v>0.15205586570000001</x:v>
      </x:c>
      <x:c r="K63" s="31" t="n">
        <x:v>0.000057707</x:v>
      </x:c>
      <x:c r="L63" s="31" t="n">
        <x:v>0.1516418777</x:v>
      </x:c>
      <x:c r="M63" s="31" t="n">
        <x:v>0.00047169500000000006</x:v>
      </x:c>
      <x:c r="N63" s="24" t="str">
        <x:v>sepia officinalis</x:v>
      </x:c>
      <x:c r="O63" s="32" t="n">
        <x:v>4.27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Sepia officinalis</x:v>
      </x:c>
      <x:c r="T63" s="32" t="n">
        <x:f>IF(O63="","",(1/'Metadata'!$B$5)^(O63-1))</x:f>
        <x:v>1862.0871366628655</x:v>
      </x:c>
      <x:c r="U63" s="31" t="n">
        <x:f>IF(T63="","",I63*T63)</x:f>
        <x:v>283.24872703650163</x:v>
      </x:c>
    </x:row>
    <x:row r="64" ht="18" customHeight="1">
      <x:c r="A64" s="24" t="str">
        <x:v>EEZ_915</x:v>
      </x:c>
      <x:c r="B64" s="24" t="str">
        <x:v>Sweden (West Coast)</x:v>
      </x:c>
      <x:c r="C64" s="24" t="str">
        <x:v>EEZ</x:v>
      </x:c>
      <x:c r="D64" s="30" t="n">
        <x:v>2019</x:v>
      </x:c>
      <x:c r="E64" s="24" t="str">
        <x:v>Coryphaenoides rupestris</x:v>
      </x:c>
      <x:c r="F64" s="24" t="str">
        <x:v>Roundnose grenadier</x:v>
      </x:c>
      <x:c r="G64" s="24" t="str">
        <x:v>Large bathypelagics (&gt;=90 cm)</x:v>
      </x:c>
      <x:c r="H64" s="24" t="str">
        <x:v>Cod-likes</x:v>
      </x:c>
      <x:c r="I64" s="31" t="n">
        <x:v>0.1334432268</x:v>
      </x:c>
      <x:c r="J64" s="31" t="n">
        <x:v>0.133389768</x:v>
      </x:c>
      <x:c r="K64" s="31" t="n">
        <x:v>0.000053458800000000004</x:v>
      </x:c>
      <x:c r="L64" s="31" t="n">
        <x:v>0.1330318958</x:v>
      </x:c>
      <x:c r="M64" s="31" t="n">
        <x:v>0.000411331</x:v>
      </x:c>
      <x:c r="N64" s="24" t="str">
        <x:v>coryphaenoides rupestris</x:v>
      </x:c>
      <x:c r="O64" s="32" t="n">
        <x:v>3.54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Coryphaenoides rupestris</x:v>
      </x:c>
      <x:c r="T64" s="32" t="n">
        <x:f>IF(O64="","",(1/'Metadata'!$B$5)^(O64-1))</x:f>
        <x:v>346.73685045253166</x:v>
      </x:c>
      <x:c r="U64" s="31" t="n">
        <x:f>IF(T64="","",I64*T64)</x:f>
        <x:v>46.269684174854866</x:v>
      </x:c>
    </x:row>
    <x:row r="65" ht="18" customHeight="1">
      <x:c r="A65" s="24" t="str">
        <x:v>EEZ_915</x:v>
      </x:c>
      <x:c r="B65" s="24" t="str">
        <x:v>Sweden (West Coast)</x:v>
      </x:c>
      <x:c r="C65" s="24" t="str">
        <x:v>EEZ</x:v>
      </x:c>
      <x:c r="D65" s="30" t="n">
        <x:v>2019</x:v>
      </x:c>
      <x:c r="E65" s="24" t="str">
        <x:v>Loligo</x:v>
      </x:c>
      <x:c r="F65" s="24" t="str">
        <x:v>Common squids</x:v>
      </x:c>
      <x:c r="G65" s="24" t="str">
        <x:v>Cephalopods</x:v>
      </x:c>
      <x:c r="H65" s="24" t="str">
        <x:v>Other fishes &amp; inverts</x:v>
      </x:c>
      <x:c r="I65" s="31" t="n">
        <x:v>0.0917188472</x:v>
      </x:c>
      <x:c r="J65" s="31" t="n">
        <x:v>0.0900278237</x:v>
      </x:c>
      <x:c r="K65" s="31" t="n">
        <x:v>0.0016910235</x:v>
      </x:c>
      <x:c r="L65" s="31" t="n">
        <x:v>0</x:v>
      </x:c>
      <x:c r="M65" s="31" t="n">
        <x:v>0.0917188472</x:v>
      </x:c>
      <x:c r="N65" s="24" t="str">
        <x:v>loligo</x:v>
      </x:c>
      <x:c r="O65" s="32" t="n">
        <x:v>3.99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Loligo</x:v>
      </x:c>
      <x:c r="T65" s="32" t="n">
        <x:f>IF(O65="","",(1/'Metadata'!$B$5)^(O65-1))</x:f>
        <x:v>977.2372209558112</x:v>
      </x:c>
      <x:c r="U65" s="31" t="n">
        <x:f>IF(T65="","",I65*T65)</x:f>
        <x:v>89.63107134699868</x:v>
      </x:c>
    </x:row>
    <x:row r="66" ht="18" customHeight="1">
      <x:c r="A66" s="24" t="str">
        <x:v>EEZ_915</x:v>
      </x:c>
      <x:c r="B66" s="24" t="str">
        <x:v>Sweden (West Coast)</x:v>
      </x:c>
      <x:c r="C66" s="24" t="str">
        <x:v>EEZ</x:v>
      </x:c>
      <x:c r="D66" s="30" t="n">
        <x:v>2019</x:v>
      </x:c>
      <x:c r="E66" s="24" t="str">
        <x:v>Gasterosteus aculeatus</x:v>
      </x:c>
      <x:c r="F66" s="24" t="str">
        <x:v>Three-spined stickleback</x:v>
      </x:c>
      <x:c r="G66" s="24" t="str">
        <x:v>Small benthopelagics (&lt;30 cm)</x:v>
      </x:c>
      <x:c r="H66" s="24" t="str">
        <x:v>Other fishes &amp; inverts</x:v>
      </x:c>
      <x:c r="I66" s="31" t="n">
        <x:v>0.0839616992</x:v>
      </x:c>
      <x:c r="J66" s="31" t="n">
        <x:v>0.0736898522</x:v>
      </x:c>
      <x:c r="K66" s="31" t="n">
        <x:v>0.010271847</x:v>
      </x:c>
      <x:c r="L66" s="31" t="n">
        <x:v>0</x:v>
      </x:c>
      <x:c r="M66" s="31" t="n">
        <x:v>0.0839616992</x:v>
      </x:c>
      <x:c r="N66" s="24" t="str">
        <x:v>gasterosteus aculeatus</x:v>
      </x:c>
      <x:c r="O66" s="32" t="n">
        <x:v>3.31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Gasterosteus aculeatus</x:v>
      </x:c>
      <x:c r="T66" s="32" t="n">
        <x:f>IF(O66="","",(1/'Metadata'!$B$5)^(O66-1))</x:f>
        <x:v>204.17379446695296</x:v>
      </x:c>
      <x:c r="U66" s="31" t="n">
        <x:f>IF(T66="","",I66*T66)</x:f>
        <x:v>17.14277871555693</x:v>
      </x:c>
    </x:row>
    <x:row r="67" ht="18" customHeight="1">
      <x:c r="A67" s="24" t="str">
        <x:v>EEZ_915</x:v>
      </x:c>
      <x:c r="B67" s="24" t="str">
        <x:v>Sweden (West Coast)</x:v>
      </x:c>
      <x:c r="C67" s="24" t="str">
        <x:v>EEZ</x:v>
      </x:c>
      <x:c r="D67" s="30" t="n">
        <x:v>2019</x:v>
      </x:c>
      <x:c r="E67" s="24" t="str">
        <x:v>Spisula</x:v>
      </x:c>
      <x:c r="F67" s="24" t="str">
        <x:v>Surf clams</x:v>
      </x:c>
      <x:c r="G67" s="24" t="str">
        <x:v>Other demersal invertebrates</x:v>
      </x:c>
      <x:c r="H67" s="24" t="str">
        <x:v>Molluscs</x:v>
      </x:c>
      <x:c r="I67" s="31" t="n">
        <x:v>0.0576340961</x:v>
      </x:c>
      <x:c r="J67" s="31" t="n">
        <x:v>0.0556124749</x:v>
      </x:c>
      <x:c r="K67" s="31" t="n">
        <x:v>0.0020216212</x:v>
      </x:c>
      <x:c r="L67" s="31" t="n">
        <x:v>0</x:v>
      </x:c>
      <x:c r="M67" s="31" t="n">
        <x:v>0.0576340961</x:v>
      </x:c>
      <x:c r="N67" s="24" t="str">
        <x:v>spisula</x:v>
      </x:c>
      <x:c r="O67" s="32" t="n">
        <x:v>2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Spisula</x:v>
      </x:c>
      <x:c r="T67" s="32" t="n">
        <x:f>IF(O67="","",(1/'Metadata'!$B$5)^(O67-1))</x:f>
        <x:v>10</x:v>
      </x:c>
      <x:c r="U67" s="31" t="n">
        <x:f>IF(T67="","",I67*T67)</x:f>
        <x:v>0.576340961</x:v>
      </x:c>
    </x:row>
    <x:row r="68" ht="18" customHeight="1">
      <x:c r="A68" s="24" t="str">
        <x:v>EEZ_915</x:v>
      </x:c>
      <x:c r="B68" s="24" t="str">
        <x:v>Sweden (West Coast)</x:v>
      </x:c>
      <x:c r="C68" s="24" t="str">
        <x:v>EEZ</x:v>
      </x:c>
      <x:c r="D68" s="30" t="n">
        <x:v>2019</x:v>
      </x:c>
      <x:c r="E68" s="24" t="str">
        <x:v>Raja clavata</x:v>
      </x:c>
      <x:c r="F68" s="24" t="str">
        <x:v>Thornback ray</x:v>
      </x:c>
      <x:c r="G68" s="24" t="str">
        <x:v>Large rays (&gt;=90 cm)</x:v>
      </x:c>
      <x:c r="H68" s="24" t="str">
        <x:v>Sharks &amp; rays</x:v>
      </x:c>
      <x:c r="I68" s="31" t="n">
        <x:v>0.0516772285</x:v>
      </x:c>
      <x:c r="J68" s="31" t="n">
        <x:v>0.051566674099999994</x:v>
      </x:c>
      <x:c r="K68" s="31" t="n">
        <x:v>0.0001105544</x:v>
      </x:c>
      <x:c r="L68" s="31" t="n">
        <x:v>0.0500664208</x:v>
      </x:c>
      <x:c r="M68" s="31" t="n">
        <x:v>0.0016108077</x:v>
      </x:c>
      <x:c r="N68" s="24" t="str">
        <x:v>raja clavata</x:v>
      </x:c>
      <x:c r="O68" s="32" t="n">
        <x:v>3.84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Raja clavata</x:v>
      </x:c>
      <x:c r="T68" s="32" t="n">
        <x:f>IF(O68="","",(1/'Metadata'!$B$5)^(O68-1))</x:f>
        <x:v>691.8309709189363</x:v>
      </x:c>
      <x:c r="U68" s="31" t="n">
        <x:f>IF(T68="","",I68*T68)</x:f>
        <x:v>35.75190716755472</x:v>
      </x:c>
    </x:row>
    <x:row r="69" ht="18" customHeight="1">
      <x:c r="A69" s="24" t="str">
        <x:v>EEZ_915</x:v>
      </x:c>
      <x:c r="B69" s="24" t="str">
        <x:v>Sweden (West Coast)</x:v>
      </x:c>
      <x:c r="C69" s="24" t="str">
        <x:v>EEZ</x:v>
      </x:c>
      <x:c r="D69" s="30" t="n">
        <x:v>2019</x:v>
      </x:c>
      <x:c r="E69" s="24" t="str">
        <x:v>Scyliorhinus canicula</x:v>
      </x:c>
      <x:c r="F69" s="24" t="str">
        <x:v>Small-spotted catshark</x:v>
      </x:c>
      <x:c r="G69" s="24" t="str">
        <x:v>Small to medium sharks (&lt;90 cm)</x:v>
      </x:c>
      <x:c r="H69" s="24" t="str">
        <x:v>Sharks &amp; rays</x:v>
      </x:c>
      <x:c r="I69" s="31" t="n">
        <x:v>0.0442216854</x:v>
      </x:c>
      <x:c r="J69" s="31" t="n">
        <x:v>0.0442216854</x:v>
      </x:c>
      <x:c r="K69" s="31" t="n">
        <x:v>0</x:v>
      </x:c>
      <x:c r="L69" s="31" t="n">
        <x:v>0.0442216854</x:v>
      </x:c>
      <x:c r="M69" s="31" t="n">
        <x:v>0</x:v>
      </x:c>
      <x:c r="N69" s="24" t="str">
        <x:v>scyliorhinus canicula</x:v>
      </x:c>
      <x:c r="O69" s="32" t="n">
        <x:v>3.82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Scyliorhinus canicula</x:v>
      </x:c>
      <x:c r="T69" s="32" t="n">
        <x:f>IF(O69="","",(1/'Metadata'!$B$5)^(O69-1))</x:f>
        <x:v>660.6934480075957</x:v>
      </x:c>
      <x:c r="U69" s="31" t="n">
        <x:f>IF(T69="","",I69*T69)</x:f>
        <x:v>29.216977803633156</x:v>
      </x:c>
    </x:row>
    <x:row r="70" ht="18" customHeight="1">
      <x:c r="A70" s="24" t="str">
        <x:v>EEZ_915</x:v>
      </x:c>
      <x:c r="B70" s="24" t="str">
        <x:v>Sweden (West Coast)</x:v>
      </x:c>
      <x:c r="C70" s="24" t="str">
        <x:v>EEZ</x:v>
      </x:c>
      <x:c r="D70" s="30" t="n">
        <x:v>2019</x:v>
      </x:c>
      <x:c r="E70" s="24" t="str">
        <x:v>Reinhardtius hippoglossoides</x:v>
      </x:c>
      <x:c r="F70" s="24" t="str">
        <x:v>Greenland halibut</x:v>
      </x:c>
      <x:c r="G70" s="24" t="str">
        <x:v>Small to medium flatfishes (&lt;90 cm)</x:v>
      </x:c>
      <x:c r="H70" s="24" t="str">
        <x:v>Flatfishes</x:v>
      </x:c>
      <x:c r="I70" s="31" t="n">
        <x:v>0.034810890000000004</x:v>
      </x:c>
      <x:c r="J70" s="31" t="n">
        <x:v>0.034810890000000004</x:v>
      </x:c>
      <x:c r="K70" s="31" t="n">
        <x:v>0</x:v>
      </x:c>
      <x:c r="L70" s="31" t="n">
        <x:v>0.034810890000000004</x:v>
      </x:c>
      <x:c r="M70" s="31" t="n">
        <x:v>0</x:v>
      </x:c>
      <x:c r="N70" s="24" t="str">
        <x:v>reinhardtius hippoglossoides</x:v>
      </x:c>
      <x:c r="O70" s="32" t="n">
        <x:v>4.38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Reinhardtius hippoglossoides</x:v>
      </x:c>
      <x:c r="T70" s="32" t="n">
        <x:f>IF(O70="","",(1/'Metadata'!$B$5)^(O70-1))</x:f>
        <x:v>2398.83291901949</x:v>
      </x:c>
      <x:c r="U70" s="31" t="n">
        <x:f>IF(T70="","",I70*T70)</x:f>
        <x:v>83.50550887236638</x:v>
      </x:c>
    </x:row>
    <x:row r="71" ht="18" customHeight="1">
      <x:c r="A71" s="24" t="str">
        <x:v>EEZ_915</x:v>
      </x:c>
      <x:c r="B71" s="24" t="str">
        <x:v>Sweden (West Coast)</x:v>
      </x:c>
      <x:c r="C71" s="24" t="str">
        <x:v>EEZ</x:v>
      </x:c>
      <x:c r="D71" s="30" t="n">
        <x:v>2019</x:v>
      </x:c>
      <x:c r="E71" s="24" t="str">
        <x:v>Hippoglossoides platessoides</x:v>
      </x:c>
      <x:c r="F71" s="24" t="str">
        <x:v>American plaice</x:v>
      </x:c>
      <x:c r="G71" s="24" t="str">
        <x:v>Small to medium flatfishes (&lt;90 cm)</x:v>
      </x:c>
      <x:c r="H71" s="24" t="str">
        <x:v>Flatfishes</x:v>
      </x:c>
      <x:c r="I71" s="31" t="n">
        <x:v>0.0342414729</x:v>
      </x:c>
      <x:c r="J71" s="31" t="n">
        <x:v>0.034112122700000004</x:v>
      </x:c>
      <x:c r="K71" s="31" t="n">
        <x:v>0.0001293502</x:v>
      </x:c>
      <x:c r="L71" s="31" t="n">
        <x:v>0.032525261900000005</x:v>
      </x:c>
      <x:c r="M71" s="31" t="n">
        <x:v>0.001716211</x:v>
      </x:c>
      <x:c r="N71" s="24" t="str">
        <x:v>hippoglossoides platessoides</x:v>
      </x:c>
      <x:c r="O71" s="32" t="n">
        <x:v>4.08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Hippoglossoides platessoides</x:v>
      </x:c>
      <x:c r="T71" s="32" t="n">
        <x:f>IF(O71="","",(1/'Metadata'!$B$5)^(O71-1))</x:f>
        <x:v>1202.2644346174131</x:v>
      </x:c>
      <x:c r="U71" s="31" t="n">
        <x:f>IF(T71="","",I71*T71)</x:f>
        <x:v>41.167305056585974</x:v>
      </x:c>
    </x:row>
    <x:row r="72" ht="18" customHeight="1">
      <x:c r="A72" s="24" t="str">
        <x:v>EEZ_915</x:v>
      </x:c>
      <x:c r="B72" s="24" t="str">
        <x:v>Sweden (West Coast)</x:v>
      </x:c>
      <x:c r="C72" s="24" t="str">
        <x:v>EEZ</x:v>
      </x:c>
      <x:c r="D72" s="30" t="n">
        <x:v>2019</x:v>
      </x:c>
      <x:c r="E72" s="24" t="str">
        <x:v>Argentina</x:v>
      </x:c>
      <x:c r="F72" s="24" t="str">
        <x:v>Argentines</x:v>
      </x:c>
      <x:c r="G72" s="24" t="str">
        <x:v>Medium bathydemersals (30 - 89 cm)</x:v>
      </x:c>
      <x:c r="H72" s="24" t="str">
        <x:v>Salmon, smelts, etc</x:v>
      </x:c>
      <x:c r="I72" s="31" t="n">
        <x:v>0.021389210000000002</x:v>
      </x:c>
      <x:c r="J72" s="31" t="n">
        <x:v>0.0186093515</x:v>
      </x:c>
      <x:c r="K72" s="31" t="n">
        <x:v>0.0027798585000000002</x:v>
      </x:c>
      <x:c r="L72" s="31" t="n">
        <x:v>0</x:v>
      </x:c>
      <x:c r="M72" s="31" t="n">
        <x:v>0.021389210000000002</x:v>
      </x:c>
      <x:c r="N72" s="24" t="str">
        <x:v>argentina</x:v>
      </x:c>
      <x:c r="O72" s="32" t="n">
        <x:v>3.35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Argentina</x:v>
      </x:c>
      <x:c r="T72" s="32" t="n">
        <x:f>IF(O72="","",(1/'Metadata'!$B$5)^(O72-1))</x:f>
        <x:v>223.872113856834</x:v>
      </x:c>
      <x:c r="U72" s="31" t="n">
        <x:f>IF(T72="","",I72*T72)</x:f>
        <x:v>4.788447656427733</x:v>
      </x:c>
    </x:row>
    <x:row r="73" ht="18" customHeight="1">
      <x:c r="A73" s="24" t="str">
        <x:v>EEZ_915</x:v>
      </x:c>
      <x:c r="B73" s="24" t="str">
        <x:v>Sweden (West Coast)</x:v>
      </x:c>
      <x:c r="C73" s="24" t="str">
        <x:v>EEZ</x:v>
      </x:c>
      <x:c r="D73" s="30" t="n">
        <x:v>2019</x:v>
      </x:c>
      <x:c r="E73" s="24" t="str">
        <x:v>Lepidorhombus</x:v>
      </x:c>
      <x:c r="F73" s="24" t="str">
        <x:v>Megrims</x:v>
      </x:c>
      <x:c r="G73" s="24" t="str">
        <x:v>Small to medium flatfishes (&lt;90 cm)</x:v>
      </x:c>
      <x:c r="H73" s="24" t="str">
        <x:v>Flatfishes</x:v>
      </x:c>
      <x:c r="I73" s="31" t="n">
        <x:v>0.0200637705</x:v>
      </x:c>
      <x:c r="J73" s="31" t="n">
        <x:v>0.0200637705</x:v>
      </x:c>
      <x:c r="K73" s="31" t="n">
        <x:v>0</x:v>
      </x:c>
      <x:c r="L73" s="31" t="n">
        <x:v>0.0200637705</x:v>
      </x:c>
      <x:c r="M73" s="31" t="n">
        <x:v>0</x:v>
      </x:c>
      <x:c r="N73" s="24" t="str">
        <x:v>lepidorhombus</x:v>
      </x:c>
      <x:c r="O73" s="32" t="n">
        <x:v>3.96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Lepidorhombus</x:v>
      </x:c>
      <x:c r="T73" s="32" t="n">
        <x:f>IF(O73="","",(1/'Metadata'!$B$5)^(O73-1))</x:f>
        <x:v>912.0108393559096</x:v>
      </x:c>
      <x:c r="U73" s="31" t="n">
        <x:f>IF(T73="","",I73*T73)</x:f>
        <x:v>18.29837617434934</x:v>
      </x:c>
    </x:row>
    <x:row r="74" ht="18" customHeight="1">
      <x:c r="A74" s="24" t="str">
        <x:v>EEZ_915</x:v>
      </x:c>
      <x:c r="B74" s="24" t="str">
        <x:v>Sweden (West Coast)</x:v>
      </x:c>
      <x:c r="C74" s="24" t="str">
        <x:v>EEZ</x:v>
      </x:c>
      <x:c r="D74" s="30" t="n">
        <x:v>2019</x:v>
      </x:c>
      <x:c r="E74" s="24" t="str">
        <x:v>Pecten maximus</x:v>
      </x:c>
      <x:c r="F74" s="24" t="str">
        <x:v>Great Atlantic scallop</x:v>
      </x:c>
      <x:c r="G74" s="24" t="str">
        <x:v>Other demersal invertebrates</x:v>
      </x:c>
      <x:c r="H74" s="24" t="str">
        <x:v>Molluscs</x:v>
      </x:c>
      <x:c r="I74" s="31" t="n">
        <x:v>0.0199480849</x:v>
      </x:c>
      <x:c r="J74" s="31" t="n">
        <x:v>0.0199355367</x:v>
      </x:c>
      <x:c r="K74" s="31" t="n">
        <x:v>0.0000125482</x:v>
      </x:c>
      <x:c r="L74" s="31" t="n">
        <x:v>0.0192697947</x:v>
      </x:c>
      <x:c r="M74" s="31" t="n">
        <x:v>0.0006782902</x:v>
      </x:c>
      <x:c r="N74" s="24" t="str">
        <x:v>pecten maximus</x:v>
      </x:c>
      <x:c r="O74" s="32" t="n">
        <x:v>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Pecten maximus</x:v>
      </x:c>
      <x:c r="T74" s="32" t="n">
        <x:f>IF(O74="","",(1/'Metadata'!$B$5)^(O74-1))</x:f>
        <x:v>10</x:v>
      </x:c>
      <x:c r="U74" s="31" t="n">
        <x:f>IF(T74="","",I74*T74)</x:f>
        <x:v>0.199480849</x:v>
      </x:c>
    </x:row>
    <x:row r="75" ht="18" customHeight="1">
      <x:c r="A75" s="24" t="str">
        <x:v>EEZ_915</x:v>
      </x:c>
      <x:c r="B75" s="24" t="str">
        <x:v>Sweden (West Coast)</x:v>
      </x:c>
      <x:c r="C75" s="24" t="str">
        <x:v>EEZ</x:v>
      </x:c>
      <x:c r="D75" s="30" t="n">
        <x:v>2019</x:v>
      </x:c>
      <x:c r="E75" s="24" t="str">
        <x:v>Raja montagui</x:v>
      </x:c>
      <x:c r="F75" s="24" t="str">
        <x:v>Spotted ray</x:v>
      </x:c>
      <x:c r="G75" s="24" t="str">
        <x:v>Small to medium rays (&lt;90 cm)</x:v>
      </x:c>
      <x:c r="H75" s="24" t="str">
        <x:v>Sharks &amp; rays</x:v>
      </x:c>
      <x:c r="I75" s="31" t="n">
        <x:v>0.014685753400000001</x:v>
      </x:c>
      <x:c r="J75" s="31" t="n">
        <x:v>0.014685753400000001</x:v>
      </x:c>
      <x:c r="K75" s="31" t="n">
        <x:v>0</x:v>
      </x:c>
      <x:c r="L75" s="31" t="n">
        <x:v>0.014685753400000001</x:v>
      </x:c>
      <x:c r="M75" s="31" t="n">
        <x:v>0</x:v>
      </x:c>
      <x:c r="N75" s="24" t="str">
        <x:v>raja montagui</x:v>
      </x:c>
      <x:c r="O75" s="32" t="n">
        <x:v>3.88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Raja montagui</x:v>
      </x:c>
      <x:c r="T75" s="32" t="n">
        <x:f>IF(O75="","",(1/'Metadata'!$B$5)^(O75-1))</x:f>
        <x:v>758.5775750291835</x:v>
      </x:c>
      <x:c r="U75" s="31" t="n">
        <x:f>IF(T75="","",I75*T75)</x:f>
        <x:v>11.140283201648588</x:v>
      </x:c>
    </x:row>
    <x:row r="76" ht="18" customHeight="1">
      <x:c r="A76" s="24" t="str">
        <x:v>EEZ_915</x:v>
      </x:c>
      <x:c r="B76" s="24" t="str">
        <x:v>Sweden (West Coast)</x:v>
      </x:c>
      <x:c r="C76" s="24" t="str">
        <x:v>EEZ</x:v>
      </x:c>
      <x:c r="D76" s="30" t="n">
        <x:v>2019</x:v>
      </x:c>
      <x:c r="E76" s="24" t="str">
        <x:v>Scombridae</x:v>
      </x:c>
      <x:c r="F76" s="24" t="str">
        <x:v>Mackerels, tunas, bonitos</x:v>
      </x:c>
      <x:c r="G76" s="24" t="str">
        <x:v>Medium pelagics (30 - 89 cm)</x:v>
      </x:c>
      <x:c r="H76" s="24" t="str">
        <x:v>Perch-likes</x:v>
      </x:c>
      <x:c r="I76" s="31" t="n">
        <x:v>0.014626020200000001</x:v>
      </x:c>
      <x:c r="J76" s="31" t="n">
        <x:v>0</x:v>
      </x:c>
      <x:c r="K76" s="31" t="n">
        <x:v>0.014626020200000001</x:v>
      </x:c>
      <x:c r="L76" s="31" t="n">
        <x:v>0</x:v>
      </x:c>
      <x:c r="M76" s="31" t="n">
        <x:v>0.014626020200000001</x:v>
      </x:c>
      <x:c r="N76" s="24" t="str">
        <x:v>scombridae</x:v>
      </x:c>
      <x:c r="O76" s="32" t="n">
        <x:v>4.26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Scombridae</x:v>
      </x:c>
      <x:c r="T76" s="32" t="n">
        <x:f>IF(O76="","",(1/'Metadata'!$B$5)^(O76-1))</x:f>
        <x:v>1819.7008586099826</x:v>
      </x:c>
      <x:c r="U76" s="31" t="n">
        <x:f>IF(T76="","",I76*T76)</x:f>
        <x:v>26.61498151598695</x:v>
      </x:c>
    </x:row>
    <x:row r="77" ht="18" customHeight="1">
      <x:c r="A77" s="24" t="str">
        <x:v>EEZ_915</x:v>
      </x:c>
      <x:c r="B77" s="24" t="str">
        <x:v>Sweden (West Coast)</x:v>
      </x:c>
      <x:c r="C77" s="24" t="str">
        <x:v>EEZ</x:v>
      </x:c>
      <x:c r="D77" s="30" t="n">
        <x:v>2019</x:v>
      </x:c>
      <x:c r="E77" s="24" t="str">
        <x:v>Gadidae</x:v>
      </x:c>
      <x:c r="F77" s="24" t="str">
        <x:v>Cods, haddocks</x:v>
      </x:c>
      <x:c r="G77" s="24" t="str">
        <x:v>Medium demersals (30 - 89 cm)</x:v>
      </x:c>
      <x:c r="H77" s="24" t="str">
        <x:v>Cod-likes</x:v>
      </x:c>
      <x:c r="I77" s="31" t="n">
        <x:v>0.0137224772</x:v>
      </x:c>
      <x:c r="J77" s="31" t="n">
        <x:v>0</x:v>
      </x:c>
      <x:c r="K77" s="31" t="n">
        <x:v>0.0137224772</x:v>
      </x:c>
      <x:c r="L77" s="31" t="n">
        <x:v>0</x:v>
      </x:c>
      <x:c r="M77" s="31" t="n">
        <x:v>0.0137224772</x:v>
      </x:c>
      <x:c r="N77" s="24" t="str">
        <x:v>gadidae</x:v>
      </x:c>
      <x:c r="O77" s="32" t="n">
        <x:v>3.84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Gadidae</x:v>
      </x:c>
      <x:c r="T77" s="32" t="n">
        <x:f>IF(O77="","",(1/'Metadata'!$B$5)^(O77-1))</x:f>
        <x:v>691.8309709189363</x:v>
      </x:c>
      <x:c r="U77" s="31" t="n">
        <x:f>IF(T77="","",I77*T77)</x:f>
        <x:v>9.493634724688965</x:v>
      </x:c>
    </x:row>
    <x:row r="78" ht="18" customHeight="1">
      <x:c r="A78" s="24" t="str">
        <x:v>EEZ_915</x:v>
      </x:c>
      <x:c r="B78" s="24" t="str">
        <x:v>Sweden (West Coast)</x:v>
      </x:c>
      <x:c r="C78" s="24" t="str">
        <x:v>EEZ</x:v>
      </x:c>
      <x:c r="D78" s="30" t="n">
        <x:v>2019</x:v>
      </x:c>
      <x:c r="E78" s="24" t="str">
        <x:v>Epigonus telescopus</x:v>
      </x:c>
      <x:c r="F78" s="24" t="str">
        <x:v>Black cardinal fish</x:v>
      </x:c>
      <x:c r="G78" s="24" t="str">
        <x:v>Medium bathydemersals (30 - 89 cm)</x:v>
      </x:c>
      <x:c r="H78" s="24" t="str">
        <x:v>Perch-likes</x:v>
      </x:c>
      <x:c r="I78" s="31" t="n">
        <x:v>0.0135894744</x:v>
      </x:c>
      <x:c r="J78" s="31" t="n">
        <x:v>0.0135894744</x:v>
      </x:c>
      <x:c r="K78" s="31" t="n">
        <x:v>0</x:v>
      </x:c>
      <x:c r="L78" s="31" t="n">
        <x:v>0.0135894744</x:v>
      </x:c>
      <x:c r="M78" s="31" t="n">
        <x:v>0</x:v>
      </x:c>
      <x:c r="N78" s="24" t="str">
        <x:v>epigonus telescopus</x:v>
      </x:c>
      <x:c r="O78" s="32" t="n">
        <x:v>3.59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Epigonus telescopus</x:v>
      </x:c>
      <x:c r="T78" s="32" t="n">
        <x:f>IF(O78="","",(1/'Metadata'!$B$5)^(O78-1))</x:f>
        <x:v>389.04514499428046</x:v>
      </x:c>
      <x:c r="U78" s="31" t="n">
        <x:f>IF(T78="","",I78*T78)</x:f>
        <x:v>5.286919038344063</x:v>
      </x:c>
    </x:row>
    <x:row r="79" ht="18" customHeight="1">
      <x:c r="A79" s="24" t="str">
        <x:v>EEZ_915</x:v>
      </x:c>
      <x:c r="B79" s="24" t="str">
        <x:v>Sweden (West Coast)</x:v>
      </x:c>
      <x:c r="C79" s="24" t="str">
        <x:v>EEZ</x:v>
      </x:c>
      <x:c r="D79" s="30" t="n">
        <x:v>2019</x:v>
      </x:c>
      <x:c r="E79" s="24" t="str">
        <x:v>Molva dypterygia</x:v>
      </x:c>
      <x:c r="F79" s="24" t="str">
        <x:v>Blue ling</x:v>
      </x:c>
      <x:c r="G79" s="24" t="str">
        <x:v>Large demersals (&gt;=90 cm)</x:v>
      </x:c>
      <x:c r="H79" s="24" t="str">
        <x:v>Cod-likes</x:v>
      </x:c>
      <x:c r="I79" s="31" t="n">
        <x:v>0.011716088900000001</x:v>
      </x:c>
      <x:c r="J79" s="31" t="n">
        <x:v>0.011716088900000001</x:v>
      </x:c>
      <x:c r="K79" s="31" t="n">
        <x:v>0</x:v>
      </x:c>
      <x:c r="L79" s="31" t="n">
        <x:v>0.011716088900000001</x:v>
      </x:c>
      <x:c r="M79" s="31" t="n">
        <x:v>0</x:v>
      </x:c>
      <x:c r="N79" s="24" t="str">
        <x:v>molva dypterygia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Molva dypterygia</x:v>
      </x:c>
      <x:c r="T79" s="32" t="n">
        <x:f>IF(O79="","",(1/'Metadata'!$B$5)^(O79-1))</x:f>
        <x:v>3090.295432513592</x:v>
      </x:c>
      <x:c r="U79" s="31" t="n">
        <x:f>IF(T79="","",I79*T79)</x:f>
        <x:v>36.2061760145932</x:v>
      </x:c>
    </x:row>
    <x:row r="80" ht="18" customHeight="1">
      <x:c r="A80" s="24" t="str">
        <x:v>EEZ_915</x:v>
      </x:c>
      <x:c r="B80" s="24" t="str">
        <x:v>Sweden (West Coast)</x:v>
      </x:c>
      <x:c r="C80" s="24" t="str">
        <x:v>EEZ</x:v>
      </x:c>
      <x:c r="D80" s="30" t="n">
        <x:v>2019</x:v>
      </x:c>
      <x:c r="E80" s="24" t="str">
        <x:v>Squalidae</x:v>
      </x:c>
      <x:c r="F80" s="24" t="str">
        <x:v>Dogfish sharks</x:v>
      </x:c>
      <x:c r="G80" s="24" t="str">
        <x:v>Large sharks (&gt;=90 cm)</x:v>
      </x:c>
      <x:c r="H80" s="24" t="str">
        <x:v>Sharks &amp; rays</x:v>
      </x:c>
      <x:c r="I80" s="31" t="n">
        <x:v>0.0113963097</x:v>
      </x:c>
      <x:c r="J80" s="31" t="n">
        <x:v>0</x:v>
      </x:c>
      <x:c r="K80" s="31" t="n">
        <x:v>0.0113963097</x:v>
      </x:c>
      <x:c r="L80" s="31" t="n">
        <x:v>0</x:v>
      </x:c>
      <x:c r="M80" s="31" t="n">
        <x:v>0.0113963097</x:v>
      </x:c>
      <x:c r="N80" s="24" t="str">
        <x:v>squalidae</x:v>
      </x:c>
      <x:c r="O80" s="32" t="n">
        <x:v>4.23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Squalidae</x:v>
      </x:c>
      <x:c r="T80" s="32" t="n">
        <x:f>IF(O80="","",(1/'Metadata'!$B$5)^(O80-1))</x:f>
        <x:v>1698.243652461746</x:v>
      </x:c>
      <x:c r="U80" s="31" t="n">
        <x:f>IF(T80="","",I80*T80)</x:f>
        <x:v>19.353710609513225</x:v>
      </x:c>
    </x:row>
    <x:row r="81" ht="18" customHeight="1">
      <x:c r="A81" s="24" t="str">
        <x:v>EEZ_915</x:v>
      </x:c>
      <x:c r="B81" s="24" t="str">
        <x:v>Sweden (West Coast)</x:v>
      </x:c>
      <x:c r="C81" s="24" t="str">
        <x:v>EEZ</x:v>
      </x:c>
      <x:c r="D81" s="30" t="n">
        <x:v>2019</x:v>
      </x:c>
      <x:c r="E81" s="24" t="str">
        <x:v>Sebastes</x:v>
      </x:c>
      <x:c r="F81" s="24" t="str">
        <x:v>Redfishes</x:v>
      </x:c>
      <x:c r="G81" s="24" t="str">
        <x:v>Large reef assoc. fish (&gt;=90 cm)</x:v>
      </x:c>
      <x:c r="H81" s="24" t="str">
        <x:v>Scorpionfishes</x:v>
      </x:c>
      <x:c r="I81" s="31" t="n">
        <x:v>0.0088200624</x:v>
      </x:c>
      <x:c r="J81" s="31" t="n">
        <x:v>0.0088040615</x:v>
      </x:c>
      <x:c r="K81" s="31" t="n">
        <x:v>0.0000160009</x:v>
      </x:c>
      <x:c r="L81" s="31" t="n">
        <x:v>0.008468559</x:v>
      </x:c>
      <x:c r="M81" s="31" t="n">
        <x:v>0.0003515034</x:v>
      </x:c>
      <x:c r="N81" s="24" t="str">
        <x:v>sebastes</x:v>
      </x:c>
      <x:c r="O81" s="32" t="n">
        <x:v>3.79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Sebastes</x:v>
      </x:c>
      <x:c r="T81" s="32" t="n">
        <x:f>IF(O81="","",(1/'Metadata'!$B$5)^(O81-1))</x:f>
        <x:v>616.5950018614822</x:v>
      </x:c>
      <x:c r="U81" s="31" t="n">
        <x:f>IF(T81="","",I81*T81)</x:f>
        <x:v>5.438406391946389</x:v>
      </x:c>
    </x:row>
    <x:row r="82" ht="18" customHeight="1">
      <x:c r="A82" s="24" t="str">
        <x:v>EEZ_915</x:v>
      </x:c>
      <x:c r="B82" s="24" t="str">
        <x:v>Sweden (West Coast)</x:v>
      </x:c>
      <x:c r="C82" s="24" t="str">
        <x:v>EEZ</x:v>
      </x:c>
      <x:c r="D82" s="30" t="n">
        <x:v>2019</x:v>
      </x:c>
      <x:c r="E82" s="24" t="str">
        <x:v>Miscellaneous marine crustaceans</x:v>
      </x:c>
      <x:c r="F82" s="24" t="str">
        <x:v>Marine crabs, shrimps, lobsters nei</x:v>
      </x:c>
      <x:c r="G82" s="24" t="str">
        <x:v>Shrimps</x:v>
      </x:c>
      <x:c r="H82" s="24" t="str">
        <x:v>Crustaceans</x:v>
      </x:c>
      <x:c r="I82" s="31" t="n">
        <x:v>0.0087149772</x:v>
      </x:c>
      <x:c r="J82" s="31" t="n">
        <x:v>0</x:v>
      </x:c>
      <x:c r="K82" s="31" t="n">
        <x:v>0.0087149772</x:v>
      </x:c>
      <x:c r="L82" s="31" t="n">
        <x:v>0</x:v>
      </x:c>
      <x:c r="M82" s="31" t="n">
        <x:v>0.0087149772</x:v>
      </x:c>
      <x:c r="N82" s="24" t="str">
        <x:v>miscellaneous marine crustaceans</x:v>
      </x:c>
      <x:c r="O82" s="32" t="n">
        <x:v>2.7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Miscellaneous marine crustaceans</x:v>
      </x:c>
      <x:c r="T82" s="32" t="n">
        <x:f>IF(O82="","",(1/'Metadata'!$B$5)^(O82-1))</x:f>
        <x:v>50.11872336272725</x:v>
      </x:c>
      <x:c r="U82" s="31" t="n">
        <x:f>IF(T82="","",I82*T82)</x:f>
        <x:v>0.43678353139927534</x:v>
      </x:c>
    </x:row>
    <x:row r="83" ht="18" customHeight="1">
      <x:c r="A83" s="24" t="str">
        <x:v>EEZ_915</x:v>
      </x:c>
      <x:c r="B83" s="24" t="str">
        <x:v>Sweden (West Coast)</x:v>
      </x:c>
      <x:c r="C83" s="24" t="str">
        <x:v>EEZ</x:v>
      </x:c>
      <x:c r="D83" s="30" t="n">
        <x:v>2019</x:v>
      </x:c>
      <x:c r="E83" s="24" t="str">
        <x:v>Squaliformes</x:v>
      </x:c>
      <x:c r="F83" s="24" t="str">
        <x:v>Bramble, sleeper, dogfish sharks</x:v>
      </x:c>
      <x:c r="G83" s="24" t="str">
        <x:v>Large sharks (&gt;=90 cm)</x:v>
      </x:c>
      <x:c r="H83" s="24" t="str">
        <x:v>Sharks &amp; rays</x:v>
      </x:c>
      <x:c r="I83" s="31" t="n">
        <x:v>0.0079176963</x:v>
      </x:c>
      <x:c r="J83" s="31" t="n">
        <x:v>0</x:v>
      </x:c>
      <x:c r="K83" s="31" t="n">
        <x:v>0.0079176963</x:v>
      </x:c>
      <x:c r="L83" s="31" t="n">
        <x:v>0</x:v>
      </x:c>
      <x:c r="M83" s="31" t="n">
        <x:v>0.0079176963</x:v>
      </x:c>
      <x:c r="N83" s="24" t="str">
        <x:v>squaliformes</x:v>
      </x:c>
      <x:c r="O83" s="32" t="n">
        <x:v>4.19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Squaliformes</x:v>
      </x:c>
      <x:c r="T83" s="32" t="n">
        <x:f>IF(O83="","",(1/'Metadata'!$B$5)^(O83-1))</x:f>
        <x:v>1548.8166189124827</x:v>
      </x:c>
      <x:c r="U83" s="31" t="n">
        <x:f>IF(T83="","",I83*T83)</x:f>
        <x:v>12.263059612941875</x:v>
      </x:c>
    </x:row>
    <x:row r="84" ht="18" customHeight="1">
      <x:c r="A84" s="24" t="str">
        <x:v>EEZ_915</x:v>
      </x:c>
      <x:c r="B84" s="24" t="str">
        <x:v>Sweden (West Coast)</x:v>
      </x:c>
      <x:c r="C84" s="24" t="str">
        <x:v>EEZ</x:v>
      </x:c>
      <x:c r="D84" s="30" t="n">
        <x:v>2019</x:v>
      </x:c>
      <x:c r="E84" s="24" t="str">
        <x:v>Pleuronectidae</x:v>
      </x:c>
      <x:c r="F84" s="24" t="str">
        <x:v>Righteye flounders</x:v>
      </x:c>
      <x:c r="G84" s="24" t="str">
        <x:v>Small to medium flatfishes (&lt;90 cm)</x:v>
      </x:c>
      <x:c r="H84" s="24" t="str">
        <x:v>Flatfishes</x:v>
      </x:c>
      <x:c r="I84" s="31" t="n">
        <x:v>0.0078136451</x:v>
      </x:c>
      <x:c r="J84" s="31" t="n">
        <x:v>0</x:v>
      </x:c>
      <x:c r="K84" s="31" t="n">
        <x:v>0.0078136451</x:v>
      </x:c>
      <x:c r="L84" s="31" t="n">
        <x:v>0</x:v>
      </x:c>
      <x:c r="M84" s="31" t="n">
        <x:v>0.0078136451</x:v>
      </x:c>
      <x:c r="N84" s="24" t="str">
        <x:v>pleuronectidae</x:v>
      </x:c>
      <x:c r="O84" s="32" t="n">
        <x:v>3.49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Pleuronectidae</x:v>
      </x:c>
      <x:c r="T84" s="32" t="n">
        <x:f>IF(O84="","",(1/'Metadata'!$B$5)^(O84-1))</x:f>
        <x:v>309.0295432513592</x:v>
      </x:c>
      <x:c r="U84" s="31" t="n">
        <x:f>IF(T84="","",I84*T84)</x:f>
        <x:v>2.414647176381221</x:v>
      </x:c>
    </x:row>
    <x:row r="85" ht="18" customHeight="1">
      <x:c r="A85" s="24" t="str">
        <x:v>EEZ_915</x:v>
      </x:c>
      <x:c r="B85" s="24" t="str">
        <x:v>Sweden (West Coast)</x:v>
      </x:c>
      <x:c r="C85" s="24" t="str">
        <x:v>EEZ</x:v>
      </x:c>
      <x:c r="D85" s="30" t="n">
        <x:v>2019</x:v>
      </x:c>
      <x:c r="E85" s="24" t="str">
        <x:v>Clupeidae</x:v>
      </x:c>
      <x:c r="F85" s="24" t="str">
        <x:v>Herrings, sardines, menhadens</x:v>
      </x:c>
      <x:c r="G85" s="24" t="str">
        <x:v>Small pelagics (&lt;30 cm)</x:v>
      </x:c>
      <x:c r="H85" s="24" t="str">
        <x:v>Herring-likes</x:v>
      </x:c>
      <x:c r="I85" s="31" t="n">
        <x:v>0.007631782</x:v>
      </x:c>
      <x:c r="J85" s="31" t="n">
        <x:v>0</x:v>
      </x:c>
      <x:c r="K85" s="31" t="n">
        <x:v>0.007631782</x:v>
      </x:c>
      <x:c r="L85" s="31" t="n">
        <x:v>0</x:v>
      </x:c>
      <x:c r="M85" s="31" t="n">
        <x:v>0.007631782</x:v>
      </x:c>
      <x:c r="N85" s="24" t="str">
        <x:v>clupeidae</x:v>
      </x:c>
      <x:c r="O85" s="32" t="n">
        <x:v>3.16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Clupeidae</x:v>
      </x:c>
      <x:c r="T85" s="32" t="n">
        <x:f>IF(O85="","",(1/'Metadata'!$B$5)^(O85-1))</x:f>
        <x:v>144.5439770745928</x:v>
      </x:c>
      <x:c r="U85" s="31" t="n">
        <x:f>IF(T85="","",I85*T85)</x:f>
        <x:v>1.1031281224462899</x:v>
      </x:c>
    </x:row>
    <x:row r="86" ht="18" customHeight="1">
      <x:c r="A86" s="24" t="str">
        <x:v>EEZ_915</x:v>
      </x:c>
      <x:c r="B86" s="24" t="str">
        <x:v>Sweden (West Coast)</x:v>
      </x:c>
      <x:c r="C86" s="24" t="str">
        <x:v>EEZ</x:v>
      </x:c>
      <x:c r="D86" s="30" t="n">
        <x:v>2019</x:v>
      </x:c>
      <x:c r="E86" s="24" t="str">
        <x:v>Conger conger</x:v>
      </x:c>
      <x:c r="F86" s="24" t="str">
        <x:v>European conger</x:v>
      </x:c>
      <x:c r="G86" s="24" t="str">
        <x:v>Large demersals (&gt;=90 cm)</x:v>
      </x:c>
      <x:c r="H86" s="24" t="str">
        <x:v>Other fishes &amp; inverts</x:v>
      </x:c>
      <x:c r="I86" s="31" t="n">
        <x:v>0.0075190443</x:v>
      </x:c>
      <x:c r="J86" s="31" t="n">
        <x:v>0.007482239599999999</x:v>
      </x:c>
      <x:c r="K86" s="31" t="n">
        <x:v>0.0000368047</x:v>
      </x:c>
      <x:c r="L86" s="31" t="n">
        <x:v>0.006919737099999999</x:v>
      </x:c>
      <x:c r="M86" s="31" t="n">
        <x:v>0.0005993072</x:v>
      </x:c>
      <x:c r="N86" s="24" t="str">
        <x:v>conger conger</x:v>
      </x:c>
      <x:c r="O86" s="32" t="n">
        <x:v>4.31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Conger conger</x:v>
      </x:c>
      <x:c r="T86" s="32" t="n">
        <x:f>IF(O86="","",(1/'Metadata'!$B$5)^(O86-1))</x:f>
        <x:v>2041.7379446695275</x:v>
      </x:c>
      <x:c r="U86" s="31" t="n">
        <x:f>IF(T86="","",I86*T86)</x:f>
        <x:v>15.351918054961125</x:v>
      </x:c>
    </x:row>
    <x:row r="87" ht="18" customHeight="1">
      <x:c r="A87" s="24" t="str">
        <x:v>EEZ_915</x:v>
      </x:c>
      <x:c r="B87" s="24" t="str">
        <x:v>Sweden (West Coast)</x:v>
      </x:c>
      <x:c r="C87" s="24" t="str">
        <x:v>EEZ</x:v>
      </x:c>
      <x:c r="D87" s="30" t="n">
        <x:v>2019</x:v>
      </x:c>
      <x:c r="E87" s="24" t="str">
        <x:v>Congridae</x:v>
      </x:c>
      <x:c r="F87" s="24" t="str">
        <x:v>Conger, garden eels</x:v>
      </x:c>
      <x:c r="G87" s="24" t="str">
        <x:v>Large demersals (&gt;=90 cm)</x:v>
      </x:c>
      <x:c r="H87" s="24" t="str">
        <x:v>Other fishes &amp; inverts</x:v>
      </x:c>
      <x:c r="I87" s="31" t="n">
        <x:v>0.0070085396000000005</x:v>
      </x:c>
      <x:c r="J87" s="31" t="n">
        <x:v>0</x:v>
      </x:c>
      <x:c r="K87" s="31" t="n">
        <x:v>0.0070085396000000005</x:v>
      </x:c>
      <x:c r="L87" s="31" t="n">
        <x:v>0</x:v>
      </x:c>
      <x:c r="M87" s="31" t="n">
        <x:v>0.0070085396000000005</x:v>
      </x:c>
      <x:c r="N87" s="24" t="str">
        <x:v>congridae</x:v>
      </x:c>
      <x:c r="O87" s="32" t="n">
        <x:v>4.18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Congridae</x:v>
      </x:c>
      <x:c r="T87" s="32" t="n">
        <x:f>IF(O87="","",(1/'Metadata'!$B$5)^(O87-1))</x:f>
        <x:v>1513.5612484362073</x:v>
      </x:c>
      <x:c r="U87" s="31" t="n">
        <x:f>IF(T87="","",I87*T87)</x:f>
        <x:v>10.607853946690598</x:v>
      </x:c>
    </x:row>
    <x:row r="88" ht="18" customHeight="1">
      <x:c r="A88" s="24" t="str">
        <x:v>EEZ_915</x:v>
      </x:c>
      <x:c r="B88" s="24" t="str">
        <x:v>Sweden (West Coast)</x:v>
      </x:c>
      <x:c r="C88" s="24" t="str">
        <x:v>EEZ</x:v>
      </x:c>
      <x:c r="D88" s="30" t="n">
        <x:v>2019</x:v>
      </x:c>
      <x:c r="E88" s="24" t="str">
        <x:v>Soleidae</x:v>
      </x:c>
      <x:c r="F88" s="24" t="str">
        <x:v>Soles</x:v>
      </x:c>
      <x:c r="G88" s="24" t="str">
        <x:v>Small to medium flatfishes (&lt;90 cm)</x:v>
      </x:c>
      <x:c r="H88" s="24" t="str">
        <x:v>Flatfishes</x:v>
      </x:c>
      <x:c r="I88" s="31" t="n">
        <x:v>0.0068241089000000005</x:v>
      </x:c>
      <x:c r="J88" s="31" t="n">
        <x:v>0</x:v>
      </x:c>
      <x:c r="K88" s="31" t="n">
        <x:v>0.0068241089000000005</x:v>
      </x:c>
      <x:c r="L88" s="31" t="n">
        <x:v>0</x:v>
      </x:c>
      <x:c r="M88" s="31" t="n">
        <x:v>0.0068241089000000005</x:v>
      </x:c>
      <x:c r="N88" s="24" t="str">
        <x:v>soleidae</x:v>
      </x:c>
      <x:c r="O88" s="32" t="n">
        <x:v>3.15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Soleidae</x:v>
      </x:c>
      <x:c r="T88" s="32" t="n">
        <x:f>IF(O88="","",(1/'Metadata'!$B$5)^(O88-1))</x:f>
        <x:v>141.2537544622754</x:v>
      </x:c>
      <x:c r="U88" s="31" t="n">
        <x:f>IF(T88="","",I88*T88)</x:f>
        <x:v>0.9639310029844284</x:v>
      </x:c>
    </x:row>
    <x:row r="89" ht="18" customHeight="1">
      <x:c r="A89" s="24" t="str">
        <x:v>EEZ_915</x:v>
      </x:c>
      <x:c r="B89" s="24" t="str">
        <x:v>Sweden (West Coast)</x:v>
      </x:c>
      <x:c r="C89" s="24" t="str">
        <x:v>EEZ</x:v>
      </x:c>
      <x:c r="D89" s="30" t="n">
        <x:v>2019</x:v>
      </x:c>
      <x:c r="E89" s="24" t="str">
        <x:v>Eledone</x:v>
      </x:c>
      <x:c r="F89" s="24" t="str">
        <x:v>Horned, musky octopuses</x:v>
      </x:c>
      <x:c r="G89" s="24" t="str">
        <x:v>Cephalopods</x:v>
      </x:c>
      <x:c r="H89" s="24" t="str">
        <x:v>Other fishes &amp; inverts</x:v>
      </x:c>
      <x:c r="I89" s="31" t="n">
        <x:v>0.0067384811</x:v>
      </x:c>
      <x:c r="J89" s="31" t="n">
        <x:v>0.0067384811</x:v>
      </x:c>
      <x:c r="K89" s="31" t="n">
        <x:v>0</x:v>
      </x:c>
      <x:c r="L89" s="31" t="n">
        <x:v>0.0067384811</x:v>
      </x:c>
      <x:c r="M89" s="31" t="n">
        <x:v>0</x:v>
      </x:c>
      <x:c r="N89" s="24" t="str">
        <x:v>eledone</x:v>
      </x:c>
      <x:c r="O89" s="32" t="n">
        <x:v>3.67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Eledone</x:v>
      </x:c>
      <x:c r="T89" s="32" t="n">
        <x:f>IF(O89="","",(1/'Metadata'!$B$5)^(O89-1))</x:f>
        <x:v>467.73514128719813</x:v>
      </x:c>
      <x:c r="U89" s="31" t="n">
        <x:f>IF(T89="","",I89*T89)</x:f>
        <x:v>3.151824409369614</x:v>
      </x:c>
    </x:row>
    <x:row r="90" ht="18" customHeight="1">
      <x:c r="A90" s="24" t="str">
        <x:v>EEZ_915</x:v>
      </x:c>
      <x:c r="B90" s="24" t="str">
        <x:v>Sweden (West Coast)</x:v>
      </x:c>
      <x:c r="C90" s="24" t="str">
        <x:v>EEZ</x:v>
      </x:c>
      <x:c r="D90" s="30" t="n">
        <x:v>2019</x:v>
      </x:c>
      <x:c r="E90" s="24" t="str">
        <x:v>Amblyraja radiata</x:v>
      </x:c>
      <x:c r="F90" s="24" t="str">
        <x:v>Starry ray</x:v>
      </x:c>
      <x:c r="G90" s="24" t="str">
        <x:v>Large rays (&gt;=90 cm)</x:v>
      </x:c>
      <x:c r="H90" s="24" t="str">
        <x:v>Sharks &amp; rays</x:v>
      </x:c>
      <x:c r="I90" s="31" t="n">
        <x:v>0.005942823200000001</x:v>
      </x:c>
      <x:c r="J90" s="31" t="n">
        <x:v>0.005942823200000001</x:v>
      </x:c>
      <x:c r="K90" s="31" t="n">
        <x:v>0</x:v>
      </x:c>
      <x:c r="L90" s="31" t="n">
        <x:v>0.005942823200000001</x:v>
      </x:c>
      <x:c r="M90" s="31" t="n">
        <x:v>0</x:v>
      </x:c>
      <x:c r="N90" s="24" t="str">
        <x:v>amblyraja radiata</x:v>
      </x:c>
      <x:c r="O90" s="32" t="n">
        <x:v>4.2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Amblyraja radiata</x:v>
      </x:c>
      <x:c r="T90" s="32" t="n">
        <x:f>IF(O90="","",(1/'Metadata'!$B$5)^(O90-1))</x:f>
        <x:v>1584.893192461114</x:v>
      </x:c>
      <x:c r="U90" s="31" t="n">
        <x:f>IF(T90="","",I90*T90)</x:f>
        <x:v>9.418740033679974</x:v>
      </x:c>
    </x:row>
    <x:row r="91" ht="18" customHeight="1">
      <x:c r="A91" s="24" t="str">
        <x:v>EEZ_915</x:v>
      </x:c>
      <x:c r="B91" s="24" t="str">
        <x:v>Sweden (West Coast)</x:v>
      </x:c>
      <x:c r="C91" s="24" t="str">
        <x:v>EEZ</x:v>
      </x:c>
      <x:c r="D91" s="30" t="n">
        <x:v>2019</x:v>
      </x:c>
      <x:c r="E91" s="24" t="str">
        <x:v>Sciaenidae</x:v>
      </x:c>
      <x:c r="F91" s="24" t="str">
        <x:v>Drums, croakers</x:v>
      </x:c>
      <x:c r="G91" s="24" t="str">
        <x:v>Medium demersals (30 - 89 cm)</x:v>
      </x:c>
      <x:c r="H91" s="24" t="str">
        <x:v>Perch-likes</x:v>
      </x:c>
      <x:c r="I91" s="31" t="n">
        <x:v>0.0054593776</x:v>
      </x:c>
      <x:c r="J91" s="31" t="n">
        <x:v>0</x:v>
      </x:c>
      <x:c r="K91" s="31" t="n">
        <x:v>0.0054593776</x:v>
      </x:c>
      <x:c r="L91" s="31" t="n">
        <x:v>0</x:v>
      </x:c>
      <x:c r="M91" s="31" t="n">
        <x:v>0.0054593776</x:v>
      </x:c>
      <x:c r="N91" s="24" t="str">
        <x:v>sciaenidae</x:v>
      </x:c>
      <x:c r="O91" s="32" t="n">
        <x:v>3.76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Sciaenidae</x:v>
      </x:c>
      <x:c r="T91" s="32" t="n">
        <x:f>IF(O91="","",(1/'Metadata'!$B$5)^(O91-1))</x:f>
        <x:v>575.4399373371566</x:v>
      </x:c>
      <x:c r="U91" s="31" t="n">
        <x:f>IF(T91="","",I91*T91)</x:f>
        <x:v>3.141543904043876</x:v>
      </x:c>
    </x:row>
    <x:row r="92" ht="18" customHeight="1">
      <x:c r="A92" s="24" t="str">
        <x:v>EEZ_915</x:v>
      </x:c>
      <x:c r="B92" s="24" t="str">
        <x:v>Sweden (West Coast)</x:v>
      </x:c>
      <x:c r="C92" s="24" t="str">
        <x:v>EEZ</x:v>
      </x:c>
      <x:c r="D92" s="30" t="n">
        <x:v>2019</x:v>
      </x:c>
      <x:c r="E92" s="24" t="str">
        <x:v>Elasmobranchii</x:v>
      </x:c>
      <x:c r="F92" s="24" t="str">
        <x:v>Sharks, rays, skates</x:v>
      </x:c>
      <x:c r="G92" s="24" t="str">
        <x:v>Large sharks (&gt;=90 cm)</x:v>
      </x:c>
      <x:c r="H92" s="24" t="str">
        <x:v>Sharks &amp; rays</x:v>
      </x:c>
      <x:c r="I92" s="31" t="n">
        <x:v>0.005270249899999999</x:v>
      </x:c>
      <x:c r="J92" s="31" t="n">
        <x:v>0</x:v>
      </x:c>
      <x:c r="K92" s="31" t="n">
        <x:v>0.005270249899999999</x:v>
      </x:c>
      <x:c r="L92" s="31" t="n">
        <x:v>0</x:v>
      </x:c>
      <x:c r="M92" s="31" t="n">
        <x:v>0.005270249899999999</x:v>
      </x:c>
      <x:c r="N92" s="24" t="str">
        <x:v>elasmobranchii</x:v>
      </x:c>
      <x:c r="O92" s="32" t="n">
        <x:v>4.05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Elasmobranchii</x:v>
      </x:c>
      <x:c r="T92" s="32" t="n">
        <x:f>IF(O92="","",(1/'Metadata'!$B$5)^(O92-1))</x:f>
        <x:v>1122.018454301963</x:v>
      </x:c>
      <x:c r="U92" s="31" t="n">
        <x:f>IF(T92="","",I92*T92)</x:f>
        <x:v>5.913317646583074</x:v>
      </x:c>
    </x:row>
    <x:row r="93" ht="18" customHeight="1">
      <x:c r="A93" s="24" t="str">
        <x:v>EEZ_915</x:v>
      </x:c>
      <x:c r="B93" s="24" t="str">
        <x:v>Sweden (West Coast)</x:v>
      </x:c>
      <x:c r="C93" s="24" t="str">
        <x:v>EEZ</x:v>
      </x:c>
      <x:c r="D93" s="30" t="n">
        <x:v>2019</x:v>
      </x:c>
      <x:c r="E93" s="24" t="str">
        <x:v>Perca fluviatilis</x:v>
      </x:c>
      <x:c r="F93" s="24" t="str">
        <x:v>European perch</x:v>
      </x:c>
      <x:c r="G93" s="24" t="str">
        <x:v>Medium demersals (30 - 89 cm)</x:v>
      </x:c>
      <x:c r="H93" s="24" t="str">
        <x:v>Perch-likes</x:v>
      </x:c>
      <x:c r="I93" s="31" t="n">
        <x:v>0.0041872915</x:v>
      </x:c>
      <x:c r="J93" s="31" t="n">
        <x:v>0.0025853809</x:v>
      </x:c>
      <x:c r="K93" s="31" t="n">
        <x:v>0.0016019106</x:v>
      </x:c>
      <x:c r="L93" s="31" t="n">
        <x:v>0</x:v>
      </x:c>
      <x:c r="M93" s="31" t="n">
        <x:v>0.0041872915</x:v>
      </x:c>
      <x:c r="N93" s="24" t="str">
        <x:v>perca fluviatilis</x:v>
      </x:c>
      <x:c r="O93" s="32" t="n">
        <x:v>4.35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Perca fluviatilis</x:v>
      </x:c>
      <x:c r="T93" s="32" t="n">
        <x:f>IF(O93="","",(1/'Metadata'!$B$5)^(O93-1))</x:f>
        <x:v>2238.7211385683377</x:v>
      </x:c>
      <x:c r="U93" s="31" t="n">
        <x:f>IF(T93="","",I93*T93)</x:f>
        <x:v>9.374177994397522</x:v>
      </x:c>
    </x:row>
    <x:row r="94" ht="18" customHeight="1">
      <x:c r="A94" s="24" t="str">
        <x:v>EEZ_915</x:v>
      </x:c>
      <x:c r="B94" s="24" t="str">
        <x:v>Sweden (West Coast)</x:v>
      </x:c>
      <x:c r="C94" s="24" t="str">
        <x:v>EEZ</x:v>
      </x:c>
      <x:c r="D94" s="30" t="n">
        <x:v>2019</x:v>
      </x:c>
      <x:c r="E94" s="24" t="str">
        <x:v>Sebastes norvegicus</x:v>
      </x:c>
      <x:c r="F94" s="24" t="str">
        <x:v>Golden redfish</x:v>
      </x:c>
      <x:c r="G94" s="24" t="str">
        <x:v>Medium benthopelagics (30 - 89 cm)</x:v>
      </x:c>
      <x:c r="H94" s="24" t="str">
        <x:v>Scorpionfishes</x:v>
      </x:c>
      <x:c r="I94" s="31" t="n">
        <x:v>0.0034070498</x:v>
      </x:c>
      <x:c r="J94" s="31" t="n">
        <x:v>0.0034070498</x:v>
      </x:c>
      <x:c r="K94" s="31" t="n">
        <x:v>0</x:v>
      </x:c>
      <x:c r="L94" s="31" t="n">
        <x:v>0.0034070498</x:v>
      </x:c>
      <x:c r="M94" s="31" t="n">
        <x:v>0</x:v>
      </x:c>
      <x:c r="N94" s="24" t="str">
        <x:v>sebastes norvegicus</x:v>
      </x:c>
      <x:c r="O94" s="32" t="n">
        <x:v>4.04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Sebastes norvegicus</x:v>
      </x:c>
      <x:c r="T94" s="32" t="n">
        <x:f>IF(O94="","",(1/'Metadata'!$B$5)^(O94-1))</x:f>
        <x:v>1096.4781961431852</x:v>
      </x:c>
      <x:c r="U94" s="31" t="n">
        <x:f>IF(T94="","",I94*T94)</x:f>
        <x:v>3.735755818874</x:v>
      </x:c>
    </x:row>
    <x:row r="95" ht="18" customHeight="1">
      <x:c r="A95" s="24" t="str">
        <x:v>EEZ_915</x:v>
      </x:c>
      <x:c r="B95" s="24" t="str">
        <x:v>Sweden (West Coast)</x:v>
      </x:c>
      <x:c r="C95" s="24" t="str">
        <x:v>EEZ</x:v>
      </x:c>
      <x:c r="D95" s="30" t="n">
        <x:v>2019</x:v>
      </x:c>
      <x:c r="E95" s="24" t="str">
        <x:v>Mugilidae</x:v>
      </x:c>
      <x:c r="F95" s="24" t="str">
        <x:v>Mullets, grey mullets</x:v>
      </x:c>
      <x:c r="G95" s="24" t="str">
        <x:v>Medium reef assoc. fish (30 - 89 cm)</x:v>
      </x:c>
      <x:c r="H95" s="24" t="str">
        <x:v>Perch-likes</x:v>
      </x:c>
      <x:c r="I95" s="31" t="n">
        <x:v>0.002710642</x:v>
      </x:c>
      <x:c r="J95" s="31" t="n">
        <x:v>0.0018294984999999999</x:v>
      </x:c>
      <x:c r="K95" s="31" t="n">
        <x:v>0.0008811435</x:v>
      </x:c>
      <x:c r="L95" s="31" t="n">
        <x:v>0</x:v>
      </x:c>
      <x:c r="M95" s="31" t="n">
        <x:v>0.002710642</x:v>
      </x:c>
      <x:c r="N95" s="24" t="str">
        <x:v>mugilidae</x:v>
      </x:c>
      <x:c r="O95" s="32" t="n">
        <x:v>2.53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Mugilidae</x:v>
      </x:c>
      <x:c r="T95" s="32" t="n">
        <x:f>IF(O95="","",(1/'Metadata'!$B$5)^(O95-1))</x:f>
        <x:v>33.88441561392024</x:v>
      </x:c>
      <x:c r="U95" s="31" t="n">
        <x:f>IF(T95="","",I95*T95)</x:f>
        <x:v>0.09184852010854799</x:v>
      </x:c>
    </x:row>
    <x:row r="96" ht="18" customHeight="1">
      <x:c r="A96" s="24" t="str">
        <x:v>EEZ_915</x:v>
      </x:c>
      <x:c r="B96" s="24" t="str">
        <x:v>Sweden (West Coast)</x:v>
      </x:c>
      <x:c r="C96" s="24" t="str">
        <x:v>EEZ</x:v>
      </x:c>
      <x:c r="D96" s="30" t="n">
        <x:v>2019</x:v>
      </x:c>
      <x:c r="E96" s="24" t="str">
        <x:v>Chimaera monstrosa</x:v>
      </x:c>
      <x:c r="F96" s="24" t="str">
        <x:v>Rabbit fish</x:v>
      </x:c>
      <x:c r="G96" s="24" t="str">
        <x:v>Large rays (&gt;=90 cm)</x:v>
      </x:c>
      <x:c r="H96" s="24" t="str">
        <x:v>Sharks &amp; rays</x:v>
      </x:c>
      <x:c r="I96" s="31" t="n">
        <x:v>0.0024422498000000003</x:v>
      </x:c>
      <x:c r="J96" s="31" t="n">
        <x:v>0.0023268358</x:v>
      </x:c>
      <x:c r="K96" s="31" t="n">
        <x:v>0.00011541399999999999</x:v>
      </x:c>
      <x:c r="L96" s="31" t="n">
        <x:v>0.0014988599</x:v>
      </x:c>
      <x:c r="M96" s="31" t="n">
        <x:v>0.0009433899</x:v>
      </x:c>
      <x:c r="N96" s="24" t="str">
        <x:v>chimaera monstrosa</x:v>
      </x:c>
      <x:c r="O96" s="32" t="n">
        <x:v>3.52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Chimaera monstrosa</x:v>
      </x:c>
      <x:c r="T96" s="32" t="n">
        <x:f>IF(O96="","",(1/'Metadata'!$B$5)^(O96-1))</x:f>
        <x:v>331.1311214825911</x:v>
      </x:c>
      <x:c r="U96" s="31" t="n">
        <x:f>IF(T96="","",I96*T96)</x:f>
        <x:v>0.808704915214634</x:v>
      </x:c>
    </x:row>
    <x:row r="97" ht="18" customHeight="1">
      <x:c r="A97" s="24" t="str">
        <x:v>EEZ_915</x:v>
      </x:c>
      <x:c r="B97" s="24" t="str">
        <x:v>Sweden (West Coast)</x:v>
      </x:c>
      <x:c r="C97" s="24" t="str">
        <x:v>EEZ</x:v>
      </x:c>
      <x:c r="D97" s="30" t="n">
        <x:v>2019</x:v>
      </x:c>
      <x:c r="E97" s="24" t="str">
        <x:v>Trachurus</x:v>
      </x:c>
      <x:c r="F97" s="24" t="str">
        <x:v>Jacks, horse mackerels</x:v>
      </x:c>
      <x:c r="G97" s="24" t="str">
        <x:v>Medium pelagics (30 - 89 cm)</x:v>
      </x:c>
      <x:c r="H97" s="24" t="str">
        <x:v>Perch-likes</x:v>
      </x:c>
      <x:c r="I97" s="31" t="n">
        <x:v>0.0023584748</x:v>
      </x:c>
      <x:c r="J97" s="31" t="n">
        <x:v>0.0020699398</x:v>
      </x:c>
      <x:c r="K97" s="31" t="n">
        <x:v>0.00028853500000000003</x:v>
      </x:c>
      <x:c r="L97" s="31" t="n">
        <x:v>0</x:v>
      </x:c>
      <x:c r="M97" s="31" t="n">
        <x:v>0.0023584748</x:v>
      </x:c>
      <x:c r="N97" s="24" t="str">
        <x:v>trachurus</x:v>
      </x:c>
      <x:c r="O97" s="32" t="n">
        <x:v>3.69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Trachurus</x:v>
      </x:c>
      <x:c r="T97" s="32" t="n">
        <x:f>IF(O97="","",(1/'Metadata'!$B$5)^(O97-1))</x:f>
        <x:v>489.77881936844614</x:v>
      </x:c>
      <x:c r="U97" s="31" t="n">
        <x:f>IF(T97="","",I97*T97)</x:f>
        <x:v>1.155131003054232</x:v>
      </x:c>
    </x:row>
    <x:row r="98" ht="18" customHeight="1">
      <x:c r="A98" s="24" t="str">
        <x:v>EEZ_915</x:v>
      </x:c>
      <x:c r="B98" s="24" t="str">
        <x:v>Sweden (West Coast)</x:v>
      </x:c>
      <x:c r="C98" s="24" t="str">
        <x:v>EEZ</x:v>
      </x:c>
      <x:c r="D98" s="30" t="n">
        <x:v>2019</x:v>
      </x:c>
      <x:c r="E98" s="24" t="str">
        <x:v>Chelon labrosus</x:v>
      </x:c>
      <x:c r="F98" s="24" t="str">
        <x:v>Thicklip grey mullet</x:v>
      </x:c>
      <x:c r="G98" s="24" t="str">
        <x:v>Medium demersals (30 - 89 cm)</x:v>
      </x:c>
      <x:c r="H98" s="24" t="str">
        <x:v>Perch-likes</x:v>
      </x:c>
      <x:c r="I98" s="31" t="n">
        <x:v>0.0018867798000000002</x:v>
      </x:c>
      <x:c r="J98" s="31" t="n">
        <x:v>0.0016559518000000002</x:v>
      </x:c>
      <x:c r="K98" s="31" t="n">
        <x:v>0.00023082799999999998</x:v>
      </x:c>
      <x:c r="L98" s="31" t="n">
        <x:v>0</x:v>
      </x:c>
      <x:c r="M98" s="31" t="n">
        <x:v>0.0018867798000000002</x:v>
      </x:c>
      <x:c r="N98" s="24" t="str">
        <x:v>chelon labrosus</x:v>
      </x:c>
      <x:c r="O98" s="32" t="n">
        <x:v>2.59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Chelon labrosus</x:v>
      </x:c>
      <x:c r="T98" s="32" t="n">
        <x:f>IF(O98="","",(1/'Metadata'!$B$5)^(O98-1))</x:f>
        <x:v>38.904514499428046</x:v>
      </x:c>
      <x:c r="U98" s="31" t="n">
        <x:f>IF(T98="","",I98*T98)</x:f>
        <x:v>0.07340425208632796</x:v>
      </x:c>
    </x:row>
    <x:row r="99" ht="18" customHeight="1">
      <x:c r="A99" s="24" t="str">
        <x:v>EEZ_915</x:v>
      </x:c>
      <x:c r="B99" s="24" t="str">
        <x:v>Sweden (West Coast)</x:v>
      </x:c>
      <x:c r="C99" s="24" t="str">
        <x:v>EEZ</x:v>
      </x:c>
      <x:c r="D99" s="30" t="n">
        <x:v>2019</x:v>
      </x:c>
      <x:c r="E99" s="24" t="str">
        <x:v>Carangidae</x:v>
      </x:c>
      <x:c r="F99" s="24" t="str">
        <x:v>Jacks, pompanos</x:v>
      </x:c>
      <x:c r="G99" s="24" t="str">
        <x:v>Medium pelagics (30 - 89 cm)</x:v>
      </x:c>
      <x:c r="H99" s="24" t="str">
        <x:v>Perch-likes</x:v>
      </x:c>
      <x:c r="I99" s="31" t="n">
        <x:v>0.0018274787</x:v>
      </x:c>
      <x:c r="J99" s="31" t="n">
        <x:v>0</x:v>
      </x:c>
      <x:c r="K99" s="31" t="n">
        <x:v>0.0018274787</x:v>
      </x:c>
      <x:c r="L99" s="31" t="n">
        <x:v>0</x:v>
      </x:c>
      <x:c r="M99" s="31" t="n">
        <x:v>0.0018274787</x:v>
      </x:c>
      <x:c r="N99" s="24" t="str">
        <x:v>carangidae</x:v>
      </x:c>
      <x:c r="O99" s="32" t="n">
        <x:v>4.05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Carangidae</x:v>
      </x:c>
      <x:c r="T99" s="32" t="n">
        <x:f>IF(O99="","",(1/'Metadata'!$B$5)^(O99-1))</x:f>
        <x:v>1122.018454301963</x:v>
      </x:c>
      <x:c r="U99" s="31" t="n">
        <x:f>IF(T99="","",I99*T99)</x:f>
        <x:v>2.050464826243761</x:v>
      </x:c>
    </x:row>
    <x:row r="100" ht="18" customHeight="1">
      <x:c r="A100" s="24" t="str">
        <x:v>EEZ_915</x:v>
      </x:c>
      <x:c r="B100" s="24" t="str">
        <x:v>Sweden (West Coast)</x:v>
      </x:c>
      <x:c r="C100" s="24" t="str">
        <x:v>EEZ</x:v>
      </x:c>
      <x:c r="D100" s="30" t="n">
        <x:v>2019</x:v>
      </x:c>
      <x:c r="E100" s="24" t="str">
        <x:v>Triglidae</x:v>
      </x:c>
      <x:c r="F100" s="24" t="str">
        <x:v>Searobins, gurnards</x:v>
      </x:c>
      <x:c r="G100" s="24" t="str">
        <x:v>Medium demersals (30 - 89 cm)</x:v>
      </x:c>
      <x:c r="H100" s="24" t="str">
        <x:v>Scorpionfishes</x:v>
      </x:c>
      <x:c r="I100" s="31" t="n">
        <x:v>0.0018210704</x:v>
      </x:c>
      <x:c r="J100" s="31" t="n">
        <x:v>0</x:v>
      </x:c>
      <x:c r="K100" s="31" t="n">
        <x:v>0.0018210704</x:v>
      </x:c>
      <x:c r="L100" s="31" t="n">
        <x:v>0</x:v>
      </x:c>
      <x:c r="M100" s="31" t="n">
        <x:v>0.0018210704</x:v>
      </x:c>
      <x:c r="N100" s="24" t="str">
        <x:v>triglidae</x:v>
      </x:c>
      <x:c r="O100" s="32" t="n">
        <x:v>3.74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Triglidae</x:v>
      </x:c>
      <x:c r="T100" s="32" t="n">
        <x:f>IF(O100="","",(1/'Metadata'!$B$5)^(O100-1))</x:f>
        <x:v>549.5408738576248</x:v>
      </x:c>
      <x:c r="U100" s="31" t="n">
        <x:f>IF(T100="","",I100*T100)</x:f>
        <x:v>1.0007526189722544</x:v>
      </x:c>
    </x:row>
    <x:row r="101" ht="18" customHeight="1">
      <x:c r="A101" s="24" t="str">
        <x:v>EEZ_915</x:v>
      </x:c>
      <x:c r="B101" s="24" t="str">
        <x:v>Sweden (West Coast)</x:v>
      </x:c>
      <x:c r="C101" s="24" t="str">
        <x:v>EEZ</x:v>
      </x:c>
      <x:c r="D101" s="30" t="n">
        <x:v>2019</x:v>
      </x:c>
      <x:c r="E101" s="24" t="str">
        <x:v>Crangonidae</x:v>
      </x:c>
      <x:c r="F101" s="24" t="str">
        <x:v>Brown shrimps</x:v>
      </x:c>
      <x:c r="G101" s="24" t="str">
        <x:v>Shrimps</x:v>
      </x:c>
      <x:c r="H101" s="24" t="str">
        <x:v>Crustaceans</x:v>
      </x:c>
      <x:c r="I101" s="31" t="n">
        <x:v>0.001807711</x:v>
      </x:c>
      <x:c r="J101" s="31" t="n">
        <x:v>0</x:v>
      </x:c>
      <x:c r="K101" s="31" t="n">
        <x:v>0.001807711</x:v>
      </x:c>
      <x:c r="L101" s="31" t="n">
        <x:v>0</x:v>
      </x:c>
      <x:c r="M101" s="31" t="n">
        <x:v>0.001807711</x:v>
      </x:c>
      <x:c r="N101" s="24" t="str">
        <x:v>crangonidae</x:v>
      </x:c>
      <x:c r="O101" s="32" t="n">
        <x:v>3.19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Crangonidae</x:v>
      </x:c>
      <x:c r="T101" s="32" t="n">
        <x:f>IF(O101="","",(1/'Metadata'!$B$5)^(O101-1))</x:f>
        <x:v>154.88166189124811</x:v>
      </x:c>
      <x:c r="U101" s="31" t="n">
        <x:f>IF(T101="","",I101*T101)</x:f>
        <x:v>0.27998128389909005</x:v>
      </x:c>
    </x:row>
    <x:row r="102" ht="18" customHeight="1">
      <x:c r="A102" s="24" t="str">
        <x:v>EEZ_915</x:v>
      </x:c>
      <x:c r="B102" s="24" t="str">
        <x:v>Sweden (West Coast)</x:v>
      </x:c>
      <x:c r="C102" s="24" t="str">
        <x:v>EEZ</x:v>
      </x:c>
      <x:c r="D102" s="30" t="n">
        <x:v>2019</x:v>
      </x:c>
      <x:c r="E102" s="24" t="str">
        <x:v>Marine finfishes not identified</x:v>
      </x:c>
      <x:c r="F102" s="24" t="str">
        <x:v>Finfishes</x:v>
      </x:c>
      <x:c r="G102" s="24" t="str">
        <x:v>Medium demersals (30 - 89 cm)</x:v>
      </x:c>
      <x:c r="H102" s="24" t="str">
        <x:v>Other fishes &amp; inverts</x:v>
      </x:c>
      <x:c r="I102" s="31" t="n">
        <x:v>0.001795121</x:v>
      </x:c>
      <x:c r="J102" s="31" t="n">
        <x:v>0</x:v>
      </x:c>
      <x:c r="K102" s="31" t="n">
        <x:v>0.001795121</x:v>
      </x:c>
      <x:c r="L102" s="31" t="n">
        <x:v>0</x:v>
      </x:c>
      <x:c r="M102" s="31" t="n">
        <x:v>0.001795121</x:v>
      </x:c>
      <x:c r="N102" s="24" t="str">
        <x:v>marine finfishes not identified</x:v>
      </x:c>
      <x:c r="O102" s="32" t="n">
        <x:v>3.23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Marine finfishes not identified</x:v>
      </x:c>
      <x:c r="T102" s="32" t="n">
        <x:f>IF(O102="","",(1/'Metadata'!$B$5)^(O102-1))</x:f>
        <x:v>169.82436524617444</x:v>
      </x:c>
      <x:c r="U102" s="31" t="n">
        <x:f>IF(T102="","",I102*T102)</x:f>
        <x:v>0.3048552843650779</x:v>
      </x:c>
    </x:row>
    <x:row r="103" ht="18" customHeight="1">
      <x:c r="A103" s="24" t="str">
        <x:v>EEZ_915</x:v>
      </x:c>
      <x:c r="B103" s="24" t="str">
        <x:v>Sweden (West Coast)</x:v>
      </x:c>
      <x:c r="C103" s="24" t="str">
        <x:v>EEZ</x:v>
      </x:c>
      <x:c r="D103" s="30" t="n">
        <x:v>2019</x:v>
      </x:c>
      <x:c r="E103" s="24" t="str">
        <x:v>Bivalvia</x:v>
      </x:c>
      <x:c r="F103" s="24" t="str">
        <x:v>Clams</x:v>
      </x:c>
      <x:c r="G103" s="24" t="str">
        <x:v>Other demersal invertebrates</x:v>
      </x:c>
      <x:c r="H103" s="24" t="str">
        <x:v>Molluscs</x:v>
      </x:c>
      <x:c r="I103" s="31" t="n">
        <x:v>0.0017823516</x:v>
      </x:c>
      <x:c r="J103" s="31" t="n">
        <x:v>0</x:v>
      </x:c>
      <x:c r="K103" s="31" t="n">
        <x:v>0.0017823516</x:v>
      </x:c>
      <x:c r="L103" s="31" t="n">
        <x:v>0</x:v>
      </x:c>
      <x:c r="M103" s="31" t="n">
        <x:v>0.0017823516</x:v>
      </x:c>
      <x:c r="N103" s="24" t="str">
        <x:v>bivalvia</x:v>
      </x:c>
      <x:c r="O103" s="32" t="n">
        <x:v>2.23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Bivalvia</x:v>
      </x:c>
      <x:c r="T103" s="32" t="n">
        <x:f>IF(O103="","",(1/'Metadata'!$B$5)^(O103-1))</x:f>
        <x:v>16.982436524617444</x:v>
      </x:c>
      <x:c r="U103" s="31" t="n">
        <x:f>IF(T103="","",I103*T103)</x:f>
        <x:v>0.030268672911550342</x:v>
      </x:c>
    </x:row>
    <x:row r="104" ht="18" customHeight="1">
      <x:c r="A104" s="24" t="str">
        <x:v>EEZ_915</x:v>
      </x:c>
      <x:c r="B104" s="24" t="str">
        <x:v>Sweden (West Coast)</x:v>
      </x:c>
      <x:c r="C104" s="24" t="str">
        <x:v>EEZ</x:v>
      </x:c>
      <x:c r="D104" s="30" t="n">
        <x:v>2019</x:v>
      </x:c>
      <x:c r="E104" s="24" t="str">
        <x:v>Scophthalmidae</x:v>
      </x:c>
      <x:c r="F104" s="24" t="str">
        <x:v>Turbots</x:v>
      </x:c>
      <x:c r="G104" s="24" t="str">
        <x:v>Small to medium flatfishes (&lt;90 cm)</x:v>
      </x:c>
      <x:c r="H104" s="24" t="str">
        <x:v>Flatfishes</x:v>
      </x:c>
      <x:c r="I104" s="31" t="n">
        <x:v>0.0014069387</x:v>
      </x:c>
      <x:c r="J104" s="31" t="n">
        <x:v>0</x:v>
      </x:c>
      <x:c r="K104" s="31" t="n">
        <x:v>0.0014069387</x:v>
      </x:c>
      <x:c r="L104" s="31" t="n">
        <x:v>0</x:v>
      </x:c>
      <x:c r="M104" s="31" t="n">
        <x:v>0.0014069387</x:v>
      </x:c>
      <x:c r="N104" s="24" t="str">
        <x:v>scophthalmidae</x:v>
      </x:c>
      <x:c r="O104" s="32" t="n">
        <x:v>3.71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Scophthalmidae</x:v>
      </x:c>
      <x:c r="T104" s="32" t="n">
        <x:f>IF(O104="","",(1/'Metadata'!$B$5)^(O104-1))</x:f>
        <x:v>512.8613839913648</x:v>
      </x:c>
      <x:c r="U104" s="31" t="n">
        <x:f>IF(T104="","",I104*T104)</x:f>
        <x:v>0.7215645288730117</x:v>
      </x:c>
    </x:row>
    <x:row r="105" ht="18" customHeight="1">
      <x:c r="A105" s="24" t="str">
        <x:v>EEZ_915</x:v>
      </x:c>
      <x:c r="B105" s="24" t="str">
        <x:v>Sweden (West Coast)</x:v>
      </x:c>
      <x:c r="C105" s="24" t="str">
        <x:v>EEZ</x:v>
      </x:c>
      <x:c r="D105" s="30" t="n">
        <x:v>2019</x:v>
      </x:c>
      <x:c r="E105" s="24" t="str">
        <x:v>Mullidae</x:v>
      </x:c>
      <x:c r="F105" s="24" t="str">
        <x:v>Goatfishes</x:v>
      </x:c>
      <x:c r="G105" s="24" t="str">
        <x:v>Medium reef assoc. fish (30 - 89 cm)</x:v>
      </x:c>
      <x:c r="H105" s="24" t="str">
        <x:v>Perch-likes</x:v>
      </x:c>
      <x:c r="I105" s="31" t="n">
        <x:v>0.0012746593</x:v>
      </x:c>
      <x:c r="J105" s="31" t="n">
        <x:v>0</x:v>
      </x:c>
      <x:c r="K105" s="31" t="n">
        <x:v>0.0012746593</x:v>
      </x:c>
      <x:c r="L105" s="31" t="n">
        <x:v>0</x:v>
      </x:c>
      <x:c r="M105" s="31" t="n">
        <x:v>0.0012746593</x:v>
      </x:c>
      <x:c r="N105" s="24" t="str">
        <x:v>mullidae</x:v>
      </x:c>
      <x:c r="O105" s="32" t="n">
        <x:v>3.46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Mullidae</x:v>
      </x:c>
      <x:c r="T105" s="32" t="n">
        <x:f>IF(O105="","",(1/'Metadata'!$B$5)^(O105-1))</x:f>
        <x:v>288.40315031266056</x:v>
      </x:c>
      <x:c r="U105" s="31" t="n">
        <x:f>IF(T105="","",I105*T105)</x:f>
        <x:v>0.36761575769533067</x:v>
      </x:c>
    </x:row>
    <x:row r="106" ht="18" customHeight="1">
      <x:c r="A106" s="24" t="str">
        <x:v>EEZ_915</x:v>
      </x:c>
      <x:c r="B106" s="24" t="str">
        <x:v>Sweden (West Coast)</x:v>
      </x:c>
      <x:c r="C106" s="24" t="str">
        <x:v>EEZ</x:v>
      </x:c>
      <x:c r="D106" s="30" t="n">
        <x:v>2019</x:v>
      </x:c>
      <x:c r="E106" s="24" t="str">
        <x:v>Octopus vulgaris</x:v>
      </x:c>
      <x:c r="F106" s="24" t="str">
        <x:v>Common octopus</x:v>
      </x:c>
      <x:c r="G106" s="24" t="str">
        <x:v>Cephalopods</x:v>
      </x:c>
      <x:c r="H106" s="24" t="str">
        <x:v>Other fishes &amp; inverts</x:v>
      </x:c>
      <x:c r="I106" s="31" t="n">
        <x:v>0.0012679161</x:v>
      </x:c>
      <x:c r="J106" s="31" t="n">
        <x:v>0.0012679161</x:v>
      </x:c>
      <x:c r="K106" s="31" t="n">
        <x:v>0</x:v>
      </x:c>
      <x:c r="L106" s="31" t="n">
        <x:v>0.0012679161</x:v>
      </x:c>
      <x:c r="M106" s="31" t="n">
        <x:v>0</x:v>
      </x:c>
      <x:c r="N106" s="24" t="str">
        <x:v>octopus vulgaris</x:v>
      </x:c>
      <x:c r="O106" s="32" t="n">
        <x:v>3.6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Octopus vulgaris</x:v>
      </x:c>
      <x:c r="T106" s="32" t="n">
        <x:f>IF(O106="","",(1/'Metadata'!$B$5)^(O106-1))</x:f>
        <x:v>398.1071705534973</x:v>
      </x:c>
      <x:c r="U106" s="31" t="n">
        <x:f>IF(T106="","",I106*T106)</x:f>
        <x:v>0.5047664910702252</x:v>
      </x:c>
    </x:row>
    <x:row r="107" ht="18" customHeight="1">
      <x:c r="A107" s="24" t="str">
        <x:v>EEZ_915</x:v>
      </x:c>
      <x:c r="B107" s="24" t="str">
        <x:v>Sweden (West Coast)</x:v>
      </x:c>
      <x:c r="C107" s="24" t="str">
        <x:v>EEZ</x:v>
      </x:c>
      <x:c r="D107" s="30" t="n">
        <x:v>2019</x:v>
      </x:c>
      <x:c r="E107" s="24" t="str">
        <x:v>Labridae</x:v>
      </x:c>
      <x:c r="F107" s="24" t="str">
        <x:v>Wrasses, gropers, tuskfishes</x:v>
      </x:c>
      <x:c r="G107" s="24" t="str">
        <x:v>Medium reef assoc. fish (30 - 89 cm)</x:v>
      </x:c>
      <x:c r="H107" s="24" t="str">
        <x:v>Perch-likes</x:v>
      </x:c>
      <x:c r="I107" s="31" t="n">
        <x:v>0.0012490498</x:v>
      </x:c>
      <x:c r="J107" s="31" t="n">
        <x:v>0.0012490498</x:v>
      </x:c>
      <x:c r="K107" s="31" t="n">
        <x:v>0</x:v>
      </x:c>
      <x:c r="L107" s="31" t="n">
        <x:v>0.0012490498</x:v>
      </x:c>
      <x:c r="M107" s="31" t="n">
        <x:v>0</x:v>
      </x:c>
      <x:c r="N107" s="24" t="str">
        <x:v>labridae</x:v>
      </x:c>
      <x:c r="O107" s="32" t="n">
        <x:v>3.46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Labridae</x:v>
      </x:c>
      <x:c r="T107" s="32" t="n">
        <x:f>IF(O107="","",(1/'Metadata'!$B$5)^(O107-1))</x:f>
        <x:v>288.40315031266056</x:v>
      </x:c>
      <x:c r="U107" s="31" t="n">
        <x:f>IF(T107="","",I107*T107)</x:f>
        <x:v>0.3602298972173986</x:v>
      </x:c>
    </x:row>
    <x:row r="108" ht="18" customHeight="1">
      <x:c r="A108" s="24" t="str">
        <x:v>EEZ_915</x:v>
      </x:c>
      <x:c r="B108" s="24" t="str">
        <x:v>Sweden (West Coast)</x:v>
      </x:c>
      <x:c r="C108" s="24" t="str">
        <x:v>EEZ</x:v>
      </x:c>
      <x:c r="D108" s="30" t="n">
        <x:v>2019</x:v>
      </x:c>
      <x:c r="E108" s="24" t="str">
        <x:v>Zeus faber</x:v>
      </x:c>
      <x:c r="F108" s="24" t="str">
        <x:v>John dory</x:v>
      </x:c>
      <x:c r="G108" s="24" t="str">
        <x:v>Medium benthopelagics (30 - 89 cm)</x:v>
      </x:c>
      <x:c r="H108" s="24" t="str">
        <x:v>Other fishes &amp; inverts</x:v>
      </x:c>
      <x:c r="I108" s="31" t="n">
        <x:v>0.0012136882</x:v>
      </x:c>
      <x:c r="J108" s="31" t="n">
        <x:v>0.0012136882</x:v>
      </x:c>
      <x:c r="K108" s="31" t="n">
        <x:v>0</x:v>
      </x:c>
      <x:c r="L108" s="31" t="n">
        <x:v>0.0012136882</x:v>
      </x:c>
      <x:c r="M108" s="31" t="n">
        <x:v>0</x:v>
      </x:c>
      <x:c r="N108" s="24" t="str">
        <x:v>zeus faber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Zeus faber</x:v>
      </x:c>
      <x:c r="T108" s="32" t="n">
        <x:f>IF(O108="","",(1/'Metadata'!$B$5)^(O108-1))</x:f>
        <x:v>3162.2776601683795</x:v>
      </x:c>
      <x:c r="U108" s="31" t="n">
        <x:f>IF(T108="","",I108*T108)</x:f>
        <x:v>3.838019081269972</x:v>
      </x:c>
    </x:row>
    <x:row r="109" ht="18" customHeight="1">
      <x:c r="A109" s="24" t="str">
        <x:v>EEZ_915</x:v>
      </x:c>
      <x:c r="B109" s="24" t="str">
        <x:v>Sweden (West Coast)</x:v>
      </x:c>
      <x:c r="C109" s="24" t="str">
        <x:v>EEZ</x:v>
      </x:c>
      <x:c r="D109" s="30" t="n">
        <x:v>2019</x:v>
      </x:c>
      <x:c r="E109" s="24" t="str">
        <x:v>Gadiformes</x:v>
      </x:c>
      <x:c r="F109" s="24" t="str">
        <x:v>Cods</x:v>
      </x:c>
      <x:c r="G109" s="24" t="str">
        <x:v>Medium benthopelagics (30 - 89 cm)</x:v>
      </x:c>
      <x:c r="H109" s="24" t="str">
        <x:v>Cod-likes</x:v>
      </x:c>
      <x:c r="I109" s="31" t="n">
        <x:v>0.0011114998</x:v>
      </x:c>
      <x:c r="J109" s="31" t="n">
        <x:v>0</x:v>
      </x:c>
      <x:c r="K109" s="31" t="n">
        <x:v>0.0011114998</x:v>
      </x:c>
      <x:c r="L109" s="31" t="n">
        <x:v>0</x:v>
      </x:c>
      <x:c r="M109" s="31" t="n">
        <x:v>0.0011114998</x:v>
      </x:c>
      <x:c r="N109" s="24" t="str">
        <x:v>gadiformes</x:v>
      </x:c>
      <x:c r="O109" s="32" t="n">
        <x:v>3.91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Gadiformes</x:v>
      </x:c>
      <x:c r="T109" s="32" t="n">
        <x:f>IF(O109="","",(1/'Metadata'!$B$5)^(O109-1))</x:f>
        <x:v>812.8305161640995</x:v>
      </x:c>
      <x:c r="U109" s="31" t="n">
        <x:f>IF(T109="","",I109*T109)</x:f>
        <x:v>0.9034609561502934</x:v>
      </x:c>
    </x:row>
    <x:row r="110" ht="18" customHeight="1">
      <x:c r="A110" s="24" t="str">
        <x:v>EEZ_915</x:v>
      </x:c>
      <x:c r="B110" s="24" t="str">
        <x:v>Sweden (West Coast)</x:v>
      </x:c>
      <x:c r="C110" s="24" t="str">
        <x:v>EEZ</x:v>
      </x:c>
      <x:c r="D110" s="30" t="n">
        <x:v>2019</x:v>
      </x:c>
      <x:c r="E110" s="24" t="str">
        <x:v>Merlucciidae</x:v>
      </x:c>
      <x:c r="F110" s="24" t="str">
        <x:v>Merluccid hakes</x:v>
      </x:c>
      <x:c r="G110" s="24" t="str">
        <x:v>Large bathydemersals (&gt;=90 cm)</x:v>
      </x:c>
      <x:c r="H110" s="24" t="str">
        <x:v>Cod-likes</x:v>
      </x:c>
      <x:c r="I110" s="31" t="n">
        <x:v>0.0010140274</x:v>
      </x:c>
      <x:c r="J110" s="31" t="n">
        <x:v>0</x:v>
      </x:c>
      <x:c r="K110" s="31" t="n">
        <x:v>0.0010140274</x:v>
      </x:c>
      <x:c r="L110" s="31" t="n">
        <x:v>0</x:v>
      </x:c>
      <x:c r="M110" s="31" t="n">
        <x:v>0.0010140274</x:v>
      </x:c>
      <x:c r="N110" s="24" t="str">
        <x:v>merlucciidae</x:v>
      </x:c>
      <x:c r="O110" s="32" t="n">
        <x:v>4.35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Merlucciidae</x:v>
      </x:c>
      <x:c r="T110" s="32" t="n">
        <x:f>IF(O110="","",(1/'Metadata'!$B$5)^(O110-1))</x:f>
        <x:v>2238.7211385683377</x:v>
      </x:c>
      <x:c r="U110" s="31" t="n">
        <x:f>IF(T110="","",I110*T110)</x:f>
        <x:v>2.270124575467491</x:v>
      </x:c>
    </x:row>
    <x:row r="111" ht="18" customHeight="1">
      <x:c r="A111" s="24" t="str">
        <x:v>EEZ_915</x:v>
      </x:c>
      <x:c r="B111" s="24" t="str">
        <x:v>Sweden (West Coast)</x:v>
      </x:c>
      <x:c r="C111" s="24" t="str">
        <x:v>EEZ</x:v>
      </x:c>
      <x:c r="D111" s="30" t="n">
        <x:v>2019</x:v>
      </x:c>
      <x:c r="E111" s="24" t="str">
        <x:v>Dicentrarchus labrax</x:v>
      </x:c>
      <x:c r="F111" s="24" t="str">
        <x:v>European seabass</x:v>
      </x:c>
      <x:c r="G111" s="24" t="str">
        <x:v>Large demersals (&gt;=90 cm)</x:v>
      </x:c>
      <x:c r="H111" s="24" t="str">
        <x:v>Perch-likes</x:v>
      </x:c>
      <x:c r="I111" s="31" t="n">
        <x:v>0.0008755881</x:v>
      </x:c>
      <x:c r="J111" s="31" t="n">
        <x:v>0.0008755881</x:v>
      </x:c>
      <x:c r="K111" s="31" t="n">
        <x:v>0</x:v>
      </x:c>
      <x:c r="L111" s="31" t="n">
        <x:v>0.0008755881</x:v>
      </x:c>
      <x:c r="M111" s="31" t="n">
        <x:v>0</x:v>
      </x:c>
      <x:c r="N111" s="24" t="str">
        <x:v>dicentrarchus labrax</x:v>
      </x:c>
      <x:c r="O111" s="32" t="n">
        <x:v>3.79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Dicentrarchus labrax</x:v>
      </x:c>
      <x:c r="T111" s="32" t="n">
        <x:f>IF(O111="","",(1/'Metadata'!$B$5)^(O111-1))</x:f>
        <x:v>616.5950018614822</x:v>
      </x:c>
      <x:c r="U111" s="31" t="n">
        <x:f>IF(T111="","",I111*T111)</x:f>
        <x:v>0.5398832461493916</x:v>
      </x:c>
    </x:row>
    <x:row r="112" ht="18" customHeight="1">
      <x:c r="A112" s="24" t="str">
        <x:v>EEZ_915</x:v>
      </x:c>
      <x:c r="B112" s="24" t="str">
        <x:v>Sweden (West Coast)</x:v>
      </x:c>
      <x:c r="C112" s="24" t="str">
        <x:v>EEZ</x:v>
      </x:c>
      <x:c r="D112" s="30" t="n">
        <x:v>2019</x:v>
      </x:c>
      <x:c r="E112" s="24" t="str">
        <x:v>Lepidorhombus whiffiagonis</x:v>
      </x:c>
      <x:c r="F112" s="24" t="str">
        <x:v>Megrim</x:v>
      </x:c>
      <x:c r="G112" s="24" t="str">
        <x:v>Small to medium flatfishes (&lt;90 cm)</x:v>
      </x:c>
      <x:c r="H112" s="24" t="str">
        <x:v>Flatfishes</x:v>
      </x:c>
      <x:c r="I112" s="31" t="n">
        <x:v>0.0007321764</x:v>
      </x:c>
      <x:c r="J112" s="31" t="n">
        <x:v>0.0007321764</x:v>
      </x:c>
      <x:c r="K112" s="31" t="n">
        <x:v>0</x:v>
      </x:c>
      <x:c r="L112" s="31" t="n">
        <x:v>0.0007321764</x:v>
      </x:c>
      <x:c r="M112" s="31" t="n">
        <x:v>0</x:v>
      </x:c>
      <x:c r="N112" s="24" t="str">
        <x:v>lepidorhombus whiffiagonis</x:v>
      </x:c>
      <x:c r="O112" s="32" t="n">
        <x:v>4.34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Lepidorhombus whiffiagonis</x:v>
      </x:c>
      <x:c r="T112" s="32" t="n">
        <x:f>IF(O112="","",(1/'Metadata'!$B$5)^(O112-1))</x:f>
        <x:v>2187.761623949552</x:v>
      </x:c>
      <x:c r="U112" s="31" t="n">
        <x:f>IF(T112="","",I112*T112)</x:f>
        <x:v>1.6018274298815367</x:v>
      </x:c>
    </x:row>
    <x:row r="113" ht="18" customHeight="1">
      <x:c r="A113" s="24" t="str">
        <x:v>EEZ_915</x:v>
      </x:c>
      <x:c r="B113" s="24" t="str">
        <x:v>Sweden (West Coast)</x:v>
      </x:c>
      <x:c r="C113" s="24" t="str">
        <x:v>EEZ</x:v>
      </x:c>
      <x:c r="D113" s="30" t="n">
        <x:v>2019</x:v>
      </x:c>
      <x:c r="E113" s="24" t="str">
        <x:v>Crangon crangon</x:v>
      </x:c>
      <x:c r="F113" s="24" t="str">
        <x:v>Common shrimp</x:v>
      </x:c>
      <x:c r="G113" s="24" t="str">
        <x:v>Shrimps</x:v>
      </x:c>
      <x:c r="H113" s="24" t="str">
        <x:v>Crustaceans</x:v>
      </x:c>
      <x:c r="I113" s="31" t="n">
        <x:v>0.0004996196000000001</x:v>
      </x:c>
      <x:c r="J113" s="31" t="n">
        <x:v>0.0004996196000000001</x:v>
      </x:c>
      <x:c r="K113" s="31" t="n">
        <x:v>0</x:v>
      </x:c>
      <x:c r="L113" s="31" t="n">
        <x:v>0.0004996196000000001</x:v>
      </x:c>
      <x:c r="M113" s="31" t="n">
        <x:v>0</x:v>
      </x:c>
      <x:c r="N113" s="24" t="str">
        <x:v>crangon crangon</x:v>
      </x:c>
      <x:c r="O113" s="32" t="n">
        <x:v>3.19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Crangon crangon</x:v>
      </x:c>
      <x:c r="T113" s="32" t="n">
        <x:f>IF(O113="","",(1/'Metadata'!$B$5)^(O113-1))</x:f>
        <x:v>154.88166189124811</x:v>
      </x:c>
      <x:c r="U113" s="31" t="n">
        <x:f>IF(T113="","",I113*T113)</x:f>
        <x:v>0.07738191396144063</x:v>
      </x:c>
    </x:row>
    <x:row r="114" ht="18" customHeight="1">
      <x:c r="A114" s="24" t="str">
        <x:v>EEZ_915</x:v>
      </x:c>
      <x:c r="B114" s="24" t="str">
        <x:v>Sweden (West Coast)</x:v>
      </x:c>
      <x:c r="C114" s="24" t="str">
        <x:v>EEZ</x:v>
      </x:c>
      <x:c r="D114" s="30" t="n">
        <x:v>2019</x:v>
      </x:c>
      <x:c r="E114" s="24" t="str">
        <x:v>Bramidae</x:v>
      </x:c>
      <x:c r="F114" s="24" t="str">
        <x:v>Pomfrets</x:v>
      </x:c>
      <x:c r="G114" s="24" t="str">
        <x:v>Medium pelagics (30 - 89 cm)</x:v>
      </x:c>
      <x:c r="H114" s="24" t="str">
        <x:v>Perch-likes</x:v>
      </x:c>
      <x:c r="I114" s="31" t="n">
        <x:v>0.00047169500000000006</x:v>
      </x:c>
      <x:c r="J114" s="31" t="n">
        <x:v>0.000413988</x:v>
      </x:c>
      <x:c r="K114" s="31" t="n">
        <x:v>0.000057707</x:v>
      </x:c>
      <x:c r="L114" s="31" t="n">
        <x:v>0</x:v>
      </x:c>
      <x:c r="M114" s="31" t="n">
        <x:v>0.00047169500000000006</x:v>
      </x:c>
      <x:c r="N114" s="24" t="str">
        <x:v>bramidae</x:v>
      </x:c>
      <x:c r="O114" s="32" t="n">
        <x:v>4.14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Bramidae</x:v>
      </x:c>
      <x:c r="T114" s="32" t="n">
        <x:f>IF(O114="","",(1/'Metadata'!$B$5)^(O114-1))</x:f>
        <x:v>1380.3842646028838</x:v>
      </x:c>
      <x:c r="U114" s="31" t="n">
        <x:f>IF(T114="","",I114*T114)</x:f>
        <x:v>0.6511203556918573</x:v>
      </x:c>
    </x:row>
    <x:row r="115" ht="18" customHeight="1">
      <x:c r="A115" s="24" t="str">
        <x:v>EEZ_915</x:v>
      </x:c>
      <x:c r="B115" s="24" t="str">
        <x:v>Sweden (West Coast)</x:v>
      </x:c>
      <x:c r="C115" s="24" t="str">
        <x:v>EEZ</x:v>
      </x:c>
      <x:c r="D115" s="30" t="n">
        <x:v>2019</x:v>
      </x:c>
      <x:c r="E115" s="24" t="str">
        <x:v>Trachipterus</x:v>
      </x:c>
      <x:c r="F115" s="24" t="str">
        <x:v>Ribbonfishes</x:v>
      </x:c>
      <x:c r="G115" s="24" t="str">
        <x:v>Large bathypelagics (&gt;=90 cm)</x:v>
      </x:c>
      <x:c r="H115" s="24" t="str">
        <x:v>Other fishes &amp; inverts</x:v>
      </x:c>
      <x:c r="I115" s="31" t="n">
        <x:v>0.00047169500000000006</x:v>
      </x:c>
      <x:c r="J115" s="31" t="n">
        <x:v>0.000413988</x:v>
      </x:c>
      <x:c r="K115" s="31" t="n">
        <x:v>0.000057707</x:v>
      </x:c>
      <x:c r="L115" s="31" t="n">
        <x:v>0</x:v>
      </x:c>
      <x:c r="M115" s="31" t="n">
        <x:v>0.00047169500000000006</x:v>
      </x:c>
      <x:c r="N115" s="24" t="str">
        <x:v>trachipterus</x:v>
      </x:c>
      <x:c r="O115" s="32" t="n">
        <x:v>4.5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Trachipterus</x:v>
      </x:c>
      <x:c r="T115" s="32" t="n">
        <x:f>IF(O115="","",(1/'Metadata'!$B$5)^(O115-1))</x:f>
        <x:v>3162.2776601683795</x:v>
      </x:c>
      <x:c r="U115" s="31" t="n">
        <x:f>IF(T115="","",I115*T115)</x:f>
        <x:v>1.491630560913124</x:v>
      </x:c>
    </x:row>
    <x:row r="116" ht="18" customHeight="1">
      <x:c r="A116" s="24" t="str">
        <x:v>EEZ_915</x:v>
      </x:c>
      <x:c r="B116" s="24" t="str">
        <x:v>Sweden (West Coast)</x:v>
      </x:c>
      <x:c r="C116" s="24" t="str">
        <x:v>EEZ</x:v>
      </x:c>
      <x:c r="D116" s="30" t="n">
        <x:v>2019</x:v>
      </x:c>
      <x:c r="E116" s="24" t="str">
        <x:v>Phycis blennoides</x:v>
      </x:c>
      <x:c r="F116" s="24" t="str">
        <x:v>Greater forkbeard</x:v>
      </x:c>
      <x:c r="G116" s="24" t="str">
        <x:v>Large benthopelagics (&gt;=90 cm)</x:v>
      </x:c>
      <x:c r="H116" s="24" t="str">
        <x:v>Cod-likes</x:v>
      </x:c>
      <x:c r="I116" s="31" t="n">
        <x:v>0.000402702</x:v>
      </x:c>
      <x:c r="J116" s="31" t="n">
        <x:v>0.00037506340000000005</x:v>
      </x:c>
      <x:c r="K116" s="31" t="n">
        <x:v>0.0000276386</x:v>
      </x:c>
      <x:c r="L116" s="31" t="n">
        <x:v>0</x:v>
      </x:c>
      <x:c r="M116" s="31" t="n">
        <x:v>0.000402702</x:v>
      </x:c>
      <x:c r="N116" s="24" t="str">
        <x:v>phycis blennoides</x:v>
      </x:c>
      <x:c r="O116" s="32" t="n">
        <x:v>3.87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Phycis blennoides</x:v>
      </x:c>
      <x:c r="T116" s="32" t="n">
        <x:f>IF(O116="","",(1/'Metadata'!$B$5)^(O116-1))</x:f>
        <x:v>741.3102413009177</x:v>
      </x:c>
      <x:c r="U116" s="31" t="n">
        <x:f>IF(T116="","",I116*T116)</x:f>
        <x:v>0.29852711679236216</x:v>
      </x:c>
    </x:row>
    <x:row r="117" ht="18" customHeight="1">
      <x:c r="A117" s="24" t="str">
        <x:v>EEZ_915</x:v>
      </x:c>
      <x:c r="B117" s="24" t="str">
        <x:v>Sweden (West Coast)</x:v>
      </x:c>
      <x:c r="C117" s="24" t="str">
        <x:v>EEZ</x:v>
      </x:c>
      <x:c r="D117" s="30" t="n">
        <x:v>2019</x:v>
      </x:c>
      <x:c r="E117" s="24" t="str">
        <x:v>Balistidae</x:v>
      </x:c>
      <x:c r="F117" s="24" t="str">
        <x:v>Triggerfishes</x:v>
      </x:c>
      <x:c r="G117" s="24" t="str">
        <x:v>Medium reef assoc. fish (30 - 89 cm)</x:v>
      </x:c>
      <x:c r="H117" s="24" t="str">
        <x:v>Other fishes &amp; inverts</x:v>
      </x:c>
      <x:c r="I117" s="31" t="n">
        <x:v>0.0000421244</x:v>
      </x:c>
      <x:c r="J117" s="31" t="n">
        <x:v>0</x:v>
      </x:c>
      <x:c r="K117" s="31" t="n">
        <x:v>0.0000421244</x:v>
      </x:c>
      <x:c r="L117" s="31" t="n">
        <x:v>0</x:v>
      </x:c>
      <x:c r="M117" s="31" t="n">
        <x:v>0.0000421244</x:v>
      </x:c>
      <x:c r="N117" s="24" t="str">
        <x:v>balistidae</x:v>
      </x:c>
      <x:c r="O117" s="32" t="n">
        <x:v>3.25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Balistidae</x:v>
      </x:c>
      <x:c r="T117" s="32" t="n">
        <x:f>IF(O117="","",(1/'Metadata'!$B$5)^(O117-1))</x:f>
        <x:v>177.82794100389228</x:v>
      </x:c>
      <x:c r="U117" s="31" t="n">
        <x:f>IF(T117="","",I117*T117)</x:f>
        <x:v>0.0074908953180243595</x:v>
      </x:c>
    </x:row>
    <x:row r="118" ht="18" customHeight="1">
      <x:c r="A118" s="24" t="str">
        <x:v>EEZ_915</x:v>
      </x:c>
      <x:c r="B118" s="24" t="str">
        <x:v>Sweden (West Coast)</x:v>
      </x:c>
      <x:c r="C118" s="24" t="str">
        <x:v>EEZ</x:v>
      </x:c>
      <x:c r="D118" s="30" t="n">
        <x:v>2019</x:v>
      </x:c>
      <x:c r="E118" s="24" t="str">
        <x:v>Zoarces viviparus</x:v>
      </x:c>
      <x:c r="F118" s="24" t="str">
        <x:v>Eelpout</x:v>
      </x:c>
      <x:c r="G118" s="24" t="str">
        <x:v>Medium demersals (30 - 89 cm)</x:v>
      </x:c>
      <x:c r="H118" s="24" t="str">
        <x:v>Perch-likes</x:v>
      </x:c>
      <x:c r="I118" s="31" t="n">
        <x:v>0.0000010697</x:v>
      </x:c>
      <x:c r="J118" s="31" t="n">
        <x:v>0</x:v>
      </x:c>
      <x:c r="K118" s="31" t="n">
        <x:v>0.0000010697</x:v>
      </x:c>
      <x:c r="L118" s="31" t="n">
        <x:v>0</x:v>
      </x:c>
      <x:c r="M118" s="31" t="n">
        <x:v>0.0000010697</x:v>
      </x:c>
      <x:c r="N118" s="24" t="str">
        <x:v>zoarces viviparus</x:v>
      </x:c>
      <x:c r="O118" s="32" t="n">
        <x:v>3.47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Zoarces viviparus</x:v>
      </x:c>
      <x:c r="T118" s="32" t="n">
        <x:f>IF(O118="","",(1/'Metadata'!$B$5)^(O118-1))</x:f>
        <x:v>295.1209226666387</x:v>
      </x:c>
      <x:c r="U118" s="31" t="n">
        <x:f>IF(T118="","",I118*T118)</x:f>
        <x:v>0.0003156908509765034</x:v>
      </x:c>
    </x:row>
  </x:sheetData>
  <x:conditionalFormatting sqref="R2:R1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842f9b334fc47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0.2464960979</x:v>
      </x:c>
      <x:c r="E2" s="31" t="n">
        <x:v>0.2464960979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IF(C2=0,"",SUMIF('Species'!$H$2:$H$118,A2,'Species'!$U$2:$U$118))</x:f>
        <x:v>31.754848761378177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31.754848761378177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16</x:v>
      </x:c>
      <x:c r="C3" s="33" t="n">
        <x:v>16</x:v>
      </x:c>
      <x:c r="D3" s="31" t="n">
        <x:v>3614.2285225071</x:v>
      </x:c>
      <x:c r="E3" s="31" t="n">
        <x:v>3614.2285225071</x:v>
      </x:c>
      <x:c r="F3" s="32" t="n">
        <x:v>0</x:v>
      </x:c>
      <x:c r="G3" s="34" t="n">
        <x:v>1</x:v>
      </x:c>
      <x:c r="H3" s="32" t="n">
        <x:f>IF(E3=0,"",I3/E3)</x:f>
        <x:v>1300.0982060397764</x:v>
      </x:c>
      <x:c r="I3" s="31" t="n">
        <x:f>IF(C3=0,"",SUMIF('Species'!$H$2:$H$118,A3,'Species'!$U$2:$U$118))</x:f>
        <x:v>4698852.018329272</x:v>
      </x:c>
      <x:c r="J3" s="32" t="n">
        <x:v>4.067651698111524</x:v>
      </x:c>
      <x:c r="K3" s="32" t="n">
        <x:f>IF(J3="","",(1/'Metadata'!$B$5)^(J3-1))</x:f>
        <x:v>1168.5618346720862</x:v>
      </x:c>
      <x:c r="L3" s="31" t="n">
        <x:f>IF(E3=0,"",E3*K3)</x:f>
        <x:v>4223449.51318508</x:v>
      </x:c>
      <x:c r="M3" s="31" t="n">
        <x:f>IF(E3=0,"",I3-L3)</x:f>
        <x:v>475402.5051441919</x:v>
      </x:c>
      <x:c r="N3" s="32" t="n">
        <x:f>IF(L3=0,"",I3/L3)</x:f>
        <x:v>1.1125626111215594</x:v>
      </x:c>
      <x:c r="O3" s="34" t="n">
        <x:f>IF(L3=0,"",M3/L3)</x:f>
        <x:v>0.11256261112155949</x:v>
      </x:c>
    </x:row>
    <x:row r="4" ht="18" customHeight="1">
      <x:c r="A4" s="24" t="str">
        <x:v>Crustaceans</x:v>
      </x:c>
      <x:c r="B4" s="33" t="n">
        <x:v>9</x:v>
      </x:c>
      <x:c r="C4" s="33" t="n">
        <x:v>9</x:v>
      </x:c>
      <x:c r="D4" s="31" t="n">
        <x:v>2020.2925280815002</x:v>
      </x:c>
      <x:c r="E4" s="31" t="n">
        <x:v>2020.2925280815002</x:v>
      </x:c>
      <x:c r="F4" s="32" t="n">
        <x:v>0</x:v>
      </x:c>
      <x:c r="G4" s="34" t="n">
        <x:v>1</x:v>
      </x:c>
      <x:c r="H4" s="32" t="n">
        <x:f>IF(E4=0,"",I4/E4)</x:f>
        <x:v>87.26075235234381</x:v>
      </x:c>
      <x:c r="I4" s="31" t="n">
        <x:f>IF(C4=0,"",SUMIF('Species'!$H$2:$H$118,A4,'Species'!$U$2:$U$118))</x:f>
        <x:v>176292.2459722104</x:v>
      </x:c>
      <x:c r="J4" s="32" t="n">
        <x:v>2.9298031604604153</x:v>
      </x:c>
      <x:c r="K4" s="32" t="n">
        <x:f>IF(J4="","",(1/'Metadata'!$B$5)^(J4-1))</x:f>
        <x:v>85.0752355986921</x:v>
      </x:c>
      <x:c r="L4" s="31" t="n">
        <x:f>IF(E4=0,"",E4*K4)</x:f>
        <x:v>171876.86280481092</x:v>
      </x:c>
      <x:c r="M4" s="31" t="n">
        <x:f>IF(E4=0,"",I4-L4)</x:f>
        <x:v>4415.383167399472</x:v>
      </x:c>
      <x:c r="N4" s="32" t="n">
        <x:f>IF(L4=0,"",I4/L4)</x:f>
        <x:v>1.0256892236415422</x:v>
      </x:c>
      <x:c r="O4" s="34" t="n">
        <x:f>IF(L4=0,"",M4/L4)</x:f>
        <x:v>0.025689223641542303</x:v>
      </x:c>
    </x:row>
    <x:row r="5" ht="18" customHeight="1">
      <x:c r="A5" s="24" t="str">
        <x:v>Flatfishes</x:v>
      </x:c>
      <x:c r="B5" s="33" t="n">
        <x:v>17</x:v>
      </x:c>
      <x:c r="C5" s="33" t="n">
        <x:v>17</x:v>
      </x:c>
      <x:c r="D5" s="31" t="n">
        <x:v>2765.0322664091</x:v>
      </x:c>
      <x:c r="E5" s="31" t="n">
        <x:v>2765.0322664091</x:v>
      </x:c>
      <x:c r="F5" s="32" t="n">
        <x:v>0</x:v>
      </x:c>
      <x:c r="G5" s="34" t="n">
        <x:v>1</x:v>
      </x:c>
      <x:c r="H5" s="32" t="n">
        <x:f>IF(E5=0,"",I5/E5)</x:f>
        <x:v>254.5785685487874</x:v>
      </x:c>
      <x:c r="I5" s="31" t="n">
        <x:f>IF(C5=0,"",SUMIF('Species'!$H$2:$H$118,A5,'Species'!$U$2:$U$118))</x:f>
        <x:v>703917.956373638</x:v>
      </x:c>
      <x:c r="J5" s="32" t="n">
        <x:v>3.3031046139445706</x:v>
      </x:c>
      <x:c r="K5" s="32" t="n">
        <x:f>IF(J5="","",(1/'Metadata'!$B$5)^(J5-1))</x:f>
        <x:v>200.95768262196867</x:v>
      </x:c>
      <x:c r="L5" s="31" t="n">
        <x:f>IF(E5=0,"",E5*K5)</x:f>
        <x:v>555654.4766325427</x:v>
      </x:c>
      <x:c r="M5" s="31" t="n">
        <x:f>IF(E5=0,"",I5-L5)</x:f>
        <x:v>148263.47974109533</x:v>
      </x:c>
      <x:c r="N5" s="32" t="n">
        <x:f>IF(L5=0,"",I5/L5)</x:f>
        <x:v>1.2668267529123909</x:v>
      </x:c>
      <x:c r="O5" s="34" t="n">
        <x:f>IF(L5=0,"",M5/L5)</x:f>
        <x:v>0.2668267529123909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4934.2341779027</x:v>
      </x:c>
      <x:c r="E6" s="31" t="n">
        <x:v>4934.2341779027</x:v>
      </x:c>
      <x:c r="F6" s="32" t="n">
        <x:v>0</x:v>
      </x:c>
      <x:c r="G6" s="34" t="n">
        <x:v>1</x:v>
      </x:c>
      <x:c r="H6" s="32" t="n">
        <x:f>IF(E6=0,"",I6/E6)</x:f>
        <x:v>199.78304333802748</x:v>
      </x:c>
      <x:c r="I6" s="31" t="n">
        <x:f>IF(C6=0,"",SUMIF('Species'!$H$2:$H$118,A6,'Species'!$U$2:$U$118))</x:f>
        <x:v>985776.3206039115</x:v>
      </x:c>
      <x:c r="J6" s="32" t="n">
        <x:v>3.272136288263288</x:v>
      </x:c>
      <x:c r="K6" s="32" t="n">
        <x:f>IF(J6="","",(1/'Metadata'!$B$5)^(J6-1))</x:f>
        <x:v>187.1269281208731</x:v>
      </x:c>
      <x:c r="L6" s="31" t="n">
        <x:f>IF(E6=0,"",E6*K6)</x:f>
        <x:v>923328.0843399538</x:v>
      </x:c>
      <x:c r="M6" s="31" t="n">
        <x:f>IF(E6=0,"",I6-L6)</x:f>
        <x:v>62448.23626395769</x:v>
      </x:c>
      <x:c r="N6" s="32" t="n">
        <x:f>IF(L6=0,"",I6/L6)</x:f>
        <x:v>1.0676338533649166</x:v>
      </x:c>
      <x:c r="O6" s="34" t="n">
        <x:f>IF(L6=0,"",M6/L6)</x:f>
        <x:v>0.0676338533649165</x:v>
      </x:c>
    </x:row>
    <x:row r="7" ht="18" customHeight="1">
      <x:c r="A7" s="24" t="str">
        <x:v>Molluscs</x:v>
      </x:c>
      <x:c r="B7" s="33" t="n">
        <x:v>7</x:v>
      </x:c>
      <x:c r="C7" s="33" t="n">
        <x:v>7</x:v>
      </x:c>
      <x:c r="D7" s="31" t="n">
        <x:v>385.0249028247</x:v>
      </x:c>
      <x:c r="E7" s="31" t="n">
        <x:v>385.0249028247</x:v>
      </x:c>
      <x:c r="F7" s="32" t="n">
        <x:v>0</x:v>
      </x:c>
      <x:c r="G7" s="34" t="n">
        <x:v>1</x:v>
      </x:c>
      <x:c r="H7" s="32" t="n">
        <x:f>IF(E7=0,"",I7/E7)</x:f>
        <x:v>11.926377240604022</x:v>
      </x:c>
      <x:c r="I7" s="31" t="n">
        <x:f>IF(C7=0,"",SUMIF('Species'!$H$2:$H$118,A7,'Species'!$U$2:$U$118))</x:f>
        <x:v>4591.952238114278</x:v>
      </x:c>
      <x:c r="J7" s="32" t="n">
        <x:v>2.010466539547393</x:v>
      </x:c>
      <x:c r="K7" s="32" t="n">
        <x:f>IF(J7="","",(1/'Metadata'!$B$5)^(J7-1))</x:f>
        <x:v>10.243928523700522</x:v>
      </x:c>
      <x:c r="L7" s="31" t="n">
        <x:f>IF(E7=0,"",E7*K7)</x:f>
        <x:v>3944.1675843809658</x:v>
      </x:c>
      <x:c r="M7" s="31" t="n">
        <x:f>IF(E7=0,"",I7-L7)</x:f>
        <x:v>647.7846537333121</x:v>
      </x:c>
      <x:c r="N7" s="32" t="n">
        <x:f>IF(L7=0,"",I7/L7)</x:f>
        <x:v>1.1642386232011441</x:v>
      </x:c>
      <x:c r="O7" s="34" t="n">
        <x:f>IF(L7=0,"",M7/L7)</x:f>
        <x:v>0.16423862320114407</x:v>
      </x:c>
    </x:row>
    <x:row r="8" ht="18" customHeight="1">
      <x:c r="A8" s="24" t="str">
        <x:v>Other fishes &amp; inverts</x:v>
      </x:c>
      <x:c r="B8" s="33" t="n">
        <x:v>20</x:v>
      </x:c>
      <x:c r="C8" s="33" t="n">
        <x:v>20</x:v>
      </x:c>
      <x:c r="D8" s="31" t="n">
        <x:v>372.3682844967</x:v>
      </x:c>
      <x:c r="E8" s="31" t="n">
        <x:v>372.3682844967</x:v>
      </x:c>
      <x:c r="F8" s="32" t="n">
        <x:v>0</x:v>
      </x:c>
      <x:c r="G8" s="34" t="n">
        <x:v>1</x:v>
      </x:c>
      <x:c r="H8" s="32" t="n">
        <x:f>IF(E8=0,"",I8/E8)</x:f>
        <x:v>1054.8021647988273</x:v>
      </x:c>
      <x:c r="I8" s="31" t="n">
        <x:f>IF(C8=0,"",SUMIF('Species'!$H$2:$H$118,A8,'Species'!$U$2:$U$118))</x:f>
        <x:v>392774.8725895448</x:v>
      </x:c>
      <x:c r="J8" s="32" t="n">
        <x:v>3.6963117121685474</x:v>
      </x:c>
      <x:c r="K8" s="32" t="n">
        <x:f>IF(J8="","",(1/'Metadata'!$B$5)^(J8-1))</x:f>
        <x:v>496.94887544841356</x:v>
      </x:c>
      <x:c r="L8" s="31" t="n">
        <x:f>IF(E8=0,"",E8*K8)</x:f>
        <x:v>185048.00023329002</x:v>
      </x:c>
      <x:c r="M8" s="31" t="n">
        <x:f>IF(E8=0,"",I8-L8)</x:f>
        <x:v>207726.87235625478</x:v>
      </x:c>
      <x:c r="N8" s="32" t="n">
        <x:f>IF(L8=0,"",I8/L8)</x:f>
        <x:v>2.122556699312468</x:v>
      </x:c>
      <x:c r="O8" s="34" t="n">
        <x:f>IF(L8=0,"",M8/L8)</x:f>
        <x:v>1.1225566993124676</x:v>
      </x:c>
    </x:row>
    <x:row r="9" ht="18" customHeight="1">
      <x:c r="A9" s="24" t="str">
        <x:v>Perch-likes</x:v>
      </x:c>
      <x:c r="B9" s="33" t="n">
        <x:v>22</x:v>
      </x:c>
      <x:c r="C9" s="33" t="n">
        <x:v>22</x:v>
      </x:c>
      <x:c r="D9" s="31" t="n">
        <x:v>338.8228388027999</x:v>
      </x:c>
      <x:c r="E9" s="31" t="n">
        <x:v>338.8228388027999</x:v>
      </x:c>
      <x:c r="F9" s="32" t="n">
        <x:v>0</x:v>
      </x:c>
      <x:c r="G9" s="34" t="n">
        <x:v>1</x:v>
      </x:c>
      <x:c r="H9" s="32" t="n">
        <x:f>IF(E9=0,"",I9/E9)</x:f>
        <x:v>729.0874125403894</x:v>
      </x:c>
      <x:c r="I9" s="31" t="n">
        <x:f>IF(C9=0,"",SUMIF('Species'!$H$2:$H$118,A9,'Species'!$U$2:$U$118))</x:f>
        <x:v>247031.46685232283</x:v>
      </x:c>
      <x:c r="J9" s="32" t="n">
        <x:v>3.788185755657395</x:v>
      </x:c>
      <x:c r="K9" s="32" t="n">
        <x:f>IF(J9="","",(1/'Metadata'!$B$5)^(J9-1))</x:f>
        <x:v>614.024578499266</x:v>
      </x:c>
      <x:c r="L9" s="31" t="n">
        <x:f>IF(E9=0,"",E9*K9)</x:f>
        <x:v>208045.55078181394</x:v>
      </x:c>
      <x:c r="M9" s="31" t="n">
        <x:f>IF(E9=0,"",I9-L9)</x:f>
        <x:v>38985.91607050889</x:v>
      </x:c>
      <x:c r="N9" s="32" t="n">
        <x:f>IF(L9=0,"",I9/L9)</x:f>
        <x:v>1.1873912512139952</x:v>
      </x:c>
      <x:c r="O9" s="34" t="n">
        <x:f>IF(L9=0,"",M9/L9)</x:f>
        <x:v>0.18739125121399516</x:v>
      </x:c>
    </x:row>
    <x:row r="10" ht="18" customHeight="1">
      <x:c r="A10" s="24" t="str">
        <x:v>Salmon, smelts, etc</x:v>
      </x:c>
      <x:c r="B10" s="33" t="n">
        <x:v>3</x:v>
      </x:c>
      <x:c r="C10" s="33" t="n">
        <x:v>3</x:v>
      </x:c>
      <x:c r="D10" s="31" t="n">
        <x:v>0.9640786274</x:v>
      </x:c>
      <x:c r="E10" s="31" t="n">
        <x:v>0.9640786274</x:v>
      </x:c>
      <x:c r="F10" s="32" t="n">
        <x:v>0</x:v>
      </x:c>
      <x:c r="G10" s="34" t="n">
        <x:v>1</x:v>
      </x:c>
      <x:c r="H10" s="32" t="n">
        <x:f>IF(E10=0,"",I10/E10)</x:f>
        <x:v>1529.9086172206416</x:v>
      </x:c>
      <x:c r="I10" s="31" t="n">
        <x:f>IF(C10=0,"",SUMIF('Species'!$H$2:$H$118,A10,'Species'!$U$2:$U$118))</x:f>
        <x:v>1474.9521997375082</x:v>
      </x:c>
      <x:c r="J10" s="32" t="n">
        <x:v>3.865394327153611</x:v>
      </x:c>
      <x:c r="K10" s="32" t="n">
        <x:f>IF(J10="","",(1/'Metadata'!$B$5)^(J10-1))</x:f>
        <x:v>733.4902193345741</x:v>
      </x:c>
      <x:c r="L10" s="31" t="n">
        <x:f>IF(E10=0,"",E10*K10)</x:f>
        <x:v>707.1422438674012</x:v>
      </x:c>
      <x:c r="M10" s="31" t="n">
        <x:f>IF(E10=0,"",I10-L10)</x:f>
        <x:v>767.8099558701069</x:v>
      </x:c>
      <x:c r="N10" s="32" t="n">
        <x:f>IF(L10=0,"",I10/L10)</x:f>
        <x:v>2.08579279844874</x:v>
      </x:c>
      <x:c r="O10" s="34" t="n">
        <x:f>IF(L10=0,"",M10/L10)</x:f>
        <x:v>1.0857927984487399</x:v>
      </x:c>
    </x:row>
    <x:row r="11" ht="18" customHeight="1">
      <x:c r="A11" s="24" t="str">
        <x:v>Scorpionfishes</x:v>
      </x:c>
      <x:c r="B11" s="33" t="n">
        <x:v>6</x:v>
      </x:c>
      <x:c r="C11" s="33" t="n">
        <x:v>6</x:v>
      </x:c>
      <x:c r="D11" s="31" t="n">
        <x:v>32.709811531499994</x:v>
      </x:c>
      <x:c r="E11" s="31" t="n">
        <x:v>32.709811531499994</x:v>
      </x:c>
      <x:c r="F11" s="32" t="n">
        <x:v>0</x:v>
      </x:c>
      <x:c r="G11" s="34" t="n">
        <x:v>1</x:v>
      </x:c>
      <x:c r="H11" s="32" t="n">
        <x:f>IF(E11=0,"",I11/E11)</x:f>
        <x:v>789.8716837068662</x:v>
      </x:c>
      <x:c r="I11" s="31" t="n">
        <x:f>IF(C11=0,"",SUMIF('Species'!$H$2:$H$118,A11,'Species'!$U$2:$U$118))</x:f>
        <x:v>25836.553908120168</x:v>
      </x:c>
      <x:c r="J11" s="32" t="n">
        <x:v>3.896460212434686</x:v>
      </x:c>
      <x:c r="K11" s="32" t="n">
        <x:f>IF(J11="","",(1/'Metadata'!$B$5)^(J11-1))</x:f>
        <x:v>787.8802470831313</x:v>
      </x:c>
      <x:c r="L11" s="31" t="n">
        <x:f>IF(E11=0,"",E11*K11)</x:f>
        <x:v>25771.414391480874</x:v>
      </x:c>
      <x:c r="M11" s="31" t="n">
        <x:f>IF(E11=0,"",I11-L11)</x:f>
        <x:v>65.13951663929402</x:v>
      </x:c>
      <x:c r="N11" s="32" t="n">
        <x:f>IF(L11=0,"",I11/L11)</x:f>
        <x:v>1.002527587956555</x:v>
      </x:c>
      <x:c r="O11" s="34" t="n">
        <x:f>IF(L11=0,"",M11/L11)</x:f>
        <x:v>0.0025275879565549515</x:v>
      </x:c>
    </x:row>
    <x:row r="12" ht="18" customHeight="1">
      <x:c r="A12" s="24" t="str">
        <x:v>Sharks &amp; rays</x:v>
      </x:c>
      <x:c r="B12" s="33" t="n">
        <x:v>13</x:v>
      </x:c>
      <x:c r="C12" s="33" t="n">
        <x:v>13</x:v>
      </x:c>
      <x:c r="D12" s="31" t="n">
        <x:v>18.118080681200006</x:v>
      </x:c>
      <x:c r="E12" s="31" t="n">
        <x:v>18.118080681200006</x:v>
      </x:c>
      <x:c r="F12" s="32" t="n">
        <x:v>0</x:v>
      </x:c>
      <x:c r="G12" s="34" t="n">
        <x:v>1</x:v>
      </x:c>
      <x:c r="H12" s="32" t="n">
        <x:f>IF(E12=0,"",I12/E12)</x:f>
        <x:v>1080.863455314543</x:v>
      </x:c>
      <x:c r="I12" s="31" t="n">
        <x:f>IF(C12=0,"",SUMIF('Species'!$H$2:$H$118,A12,'Species'!$U$2:$U$118))</x:f>
        <x:v>19583.171288749505</x:v>
      </x:c>
      <x:c r="J12" s="32" t="n">
        <x:v>3.9675470294413606</x:v>
      </x:c>
      <x:c r="K12" s="32" t="n">
        <x:f>IF(J12="","",(1/'Metadata'!$B$5)^(J12-1))</x:f>
        <x:v>927.9979769290188</x:v>
      </x:c>
      <x:c r="L12" s="31" t="n">
        <x:f>IF(E12=0,"",E12*K12)</x:f>
        <x:v>16813.542217990343</x:v>
      </x:c>
      <x:c r="M12" s="31" t="n">
        <x:f>IF(E12=0,"",I12-L12)</x:f>
        <x:v>2769.6290707591616</x:v>
      </x:c>
      <x:c r="N12" s="32" t="n">
        <x:f>IF(L12=0,"",I12/L12)</x:f>
        <x:v>1.1647260901272596</x:v>
      </x:c>
      <x:c r="O12" s="34" t="n">
        <x:f>IF(L12=0,"",M12/L12)</x:f>
        <x:v>0.16472609012725958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76e3e4b137b4d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7</x:v>
      </x:c>
      <x:c r="C2" s="33" t="n">
        <x:v>7</x:v>
      </x:c>
      <x:c r="D2" s="31" t="n">
        <x:v>12.432607679799997</x:v>
      </x:c>
      <x:c r="E2" s="31" t="n">
        <x:v>12.432607679799997</x:v>
      </x:c>
      <x:c r="F2" s="32" t="n">
        <x:v>0</x:v>
      </x:c>
      <x:c r="G2" s="34" t="n">
        <x:v>1</x:v>
      </x:c>
      <x:c r="H2" s="32" t="n">
        <x:f>IF(E2=0,"",I2/E2)</x:f>
        <x:v>654.4713209265957</x:v>
      </x:c>
      <x:c r="I2" s="31" t="n">
        <x:f>IF(C2=0,"",SUMIF('Species'!$G$2:$G$118,A2,'Species'!$U$2:$U$118))</x:f>
        <x:v>8136.785170760842</x:v>
      </x:c>
      <x:c r="J2" s="32" t="n">
        <x:v>3.806532393312625</x:v>
      </x:c>
      <x:c r="K2" s="32" t="n">
        <x:f>IF(J2="","",(1/'Metadata'!$B$5)^(J2-1))</x:f>
        <x:v>640.5195550900153</x:v>
      </x:c>
      <x:c r="L2" s="31" t="n">
        <x:f>IF(E2=0,"",E2*K2)</x:f>
        <x:v>7963.328339674201</x:v>
      </x:c>
      <x:c r="M2" s="31" t="n">
        <x:f>IF(E2=0,"",I2-L2)</x:f>
        <x:v>173.4568310866416</x:v>
      </x:c>
      <x:c r="N2" s="32" t="n">
        <x:f>IF(L2=0,"",I2/L2)</x:f>
        <x:v>1.0217819514263227</x:v>
      </x:c>
      <x:c r="O2" s="34" t="n">
        <x:f>IF(L2=0,"",M2/L2)</x:f>
        <x:v>0.021781951426322596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112.9876434982</x:v>
      </x:c>
      <x:c r="E3" s="31" t="n">
        <x:v>112.9876434982</x:v>
      </x:c>
      <x:c r="F3" s="32" t="n">
        <x:v>0</x:v>
      </x:c>
      <x:c r="G3" s="34" t="n">
        <x:v>1</x:v>
      </x:c>
      <x:c r="H3" s="32" t="n">
        <x:f>IF(E3=0,"",I3/E3)</x:f>
        <x:v>2818.3777289881496</x:v>
      </x:c>
      <x:c r="I3" s="31" t="n">
        <x:f>IF(C3=0,"",SUMIF('Species'!$G$2:$G$118,A3,'Species'!$U$2:$U$118))</x:f>
        <x:v>318441.8580861796</x:v>
      </x:c>
      <x:c r="J3" s="32" t="n">
        <x:v>4.449999102532482</x:v>
      </x:c>
      <x:c r="K3" s="32" t="n">
        <x:f>IF(J3="","",(1/'Metadata'!$B$5)^(J3-1))</x:f>
        <x:v>2818.377107095311</x:v>
      </x:c>
      <x:c r="L3" s="31" t="n">
        <x:f>IF(E3=0,"",E3*K3)</x:f>
        <x:v>318441.78781997325</x:v>
      </x:c>
      <x:c r="M3" s="31" t="n">
        <x:f>IF(E3=0,"",I3-L3)</x:f>
        <x:v>0.07026620634132996</x:v>
      </x:c>
      <x:c r="N3" s="32" t="n">
        <x:f>IF(L3=0,"",I3/L3)</x:f>
        <x:v>1.0000002206563618</x:v>
      </x:c>
      <x:c r="O3" s="34" t="n">
        <x:f>IF(L3=0,"",M3/L3)</x:f>
        <x:v>2.2065636178708432e-7</x:v>
      </x:c>
    </x:row>
    <x:row r="4" ht="18" customHeight="1">
      <x:c r="A4" s="24" t="str">
        <x:v>Large bathypelagics (&gt;=90 cm)</x:v>
      </x:c>
      <x:c r="B4" s="33" t="n">
        <x:v>2</x:v>
      </x:c>
      <x:c r="C4" s="33" t="n">
        <x:v>2</x:v>
      </x:c>
      <x:c r="D4" s="31" t="n">
        <x:v>0.1339149218</x:v>
      </x:c>
      <x:c r="E4" s="31" t="n">
        <x:v>0.1339149218</x:v>
      </x:c>
      <x:c r="F4" s="32" t="n">
        <x:v>0</x:v>
      </x:c>
      <x:c r="G4" s="34" t="n">
        <x:v>1</x:v>
      </x:c>
      <x:c r="H4" s="32" t="n">
        <x:f>IF(E4=0,"",I4/E4)</x:f>
        <x:v>356.65416589720166</x:v>
      </x:c>
      <x:c r="I4" s="31" t="n">
        <x:f>IF(C4=0,"",SUMIF('Species'!$G$2:$G$118,A4,'Species'!$U$2:$U$118))</x:f>
        <x:v>47.76131473576799</x:v>
      </x:c>
      <x:c r="J4" s="32" t="n">
        <x:v>3.543381454388453</x:v>
      </x:c>
      <x:c r="K4" s="32" t="n">
        <x:f>IF(J4="","",(1/'Metadata'!$B$5)^(J4-1))</x:f>
        <x:v>349.44711102116025</x:v>
      </x:c>
      <x:c r="L4" s="31" t="n">
        <x:f>IF(E4=0,"",E4*K4)</x:f>
        <x:v>46.79618254563459</x:v>
      </x:c>
      <x:c r="M4" s="31" t="n">
        <x:f>IF(E4=0,"",I4-L4)</x:f>
        <x:v>0.9651321901333958</x:v>
      </x:c>
      <x:c r="N4" s="32" t="n">
        <x:f>IF(L4=0,"",I4/L4)</x:f>
        <x:v>1.0206241649987629</x:v>
      </x:c>
      <x:c r="O4" s="34" t="n">
        <x:f>IF(L4=0,"",M4/L4)</x:f>
        <x:v>0.02062416499876289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2674.4884107263997</x:v>
      </x:c>
      <x:c r="E5" s="31" t="n">
        <x:v>2674.4884107263997</x:v>
      </x:c>
      <x:c r="F5" s="32" t="n">
        <x:v>0</x:v>
      </x:c>
      <x:c r="G5" s="34" t="n">
        <x:v>1</x:v>
      </x:c>
      <x:c r="H5" s="32" t="n">
        <x:f>IF(E5=0,"",I5/E5)</x:f>
        <x:v>1242.2408692162805</x:v>
      </x:c>
      <x:c r="I5" s="31" t="n">
        <x:f>IF(C5=0,"",SUMIF('Species'!$G$2:$G$118,A5,'Species'!$U$2:$U$118))</x:f>
        <x:v>3322358.8080496313</x:v>
      </x:c>
      <x:c r="J5" s="32" t="n">
        <x:v>4.093188299672349</x:v>
      </x:c>
      <x:c r="K5" s="32" t="n">
        <x:f>IF(J5="","",(1/'Metadata'!$B$5)^(J5-1))</x:f>
        <x:v>1239.333815478548</x:v>
      </x:c>
      <x:c r="L5" s="31" t="n">
        <x:f>IF(E5=0,"",E5*K5)</x:f>
        <x:v>3314583.926518707</x:v>
      </x:c>
      <x:c r="M5" s="31" t="n">
        <x:f>IF(E5=0,"",I5-L5)</x:f>
        <x:v>7774.8815309242345</x:v>
      </x:c>
      <x:c r="N5" s="32" t="n">
        <x:f>IF(L5=0,"",I5/L5)</x:f>
        <x:v>1.0023456583701864</x:v>
      </x:c>
      <x:c r="O5" s="34" t="n">
        <x:f>IF(L5=0,"",M5/L5)</x:f>
        <x:v>0.0023456583701864982</x:v>
      </x:c>
    </x:row>
    <x:row r="6" ht="18" customHeight="1">
      <x:c r="A6" s="24" t="str">
        <x:v>Large demersals (&gt;=90 cm)</x:v>
      </x:c>
      <x:c r="B6" s="33" t="n">
        <x:v>11</x:v>
      </x:c>
      <x:c r="C6" s="33" t="n">
        <x:v>11</x:v>
      </x:c>
      <x:c r="D6" s="31" t="n">
        <x:v>503.5842469824</x:v>
      </x:c>
      <x:c r="E6" s="31" t="n">
        <x:v>503.5842469824</x:v>
      </x:c>
      <x:c r="F6" s="32" t="n">
        <x:v>0</x:v>
      </x:c>
      <x:c r="G6" s="34" t="n">
        <x:v>1</x:v>
      </x:c>
      <x:c r="H6" s="32" t="n">
        <x:f>IF(E6=0,"",I6/E6)</x:f>
        <x:v>2066.1463121777933</x:v>
      </x:c>
      <x:c r="I6" s="31" t="n">
        <x:f>IF(C6=0,"",SUMIF('Species'!$G$2:$G$118,A6,'Species'!$U$2:$U$118))</x:f>
        <x:v>1040478.7347735168</x:v>
      </x:c>
      <x:c r="J6" s="32" t="n">
        <x:v>4.2799016977640045</x:v>
      </x:c>
      <x:c r="K6" s="32" t="n">
        <x:f>IF(J6="","",(1/'Metadata'!$B$5)^(J6-1))</x:f>
        <x:v>1905.0294671421525</x:v>
      </x:c>
      <x:c r="L6" s="31" t="n">
        <x:f>IF(E6=0,"",E6*K6)</x:f>
        <x:v>959342.8296900635</x:v>
      </x:c>
      <x:c r="M6" s="31" t="n">
        <x:f>IF(E6=0,"",I6-L6)</x:f>
        <x:v>81135.90508345328</x:v>
      </x:c>
      <x:c r="N6" s="32" t="n">
        <x:f>IF(L6=0,"",I6/L6)</x:f>
        <x:v>1.0845744634477186</x:v>
      </x:c>
      <x:c r="O6" s="34" t="n">
        <x:f>IF(L6=0,"",M6/L6)</x:f>
        <x:v>0.08457446344771868</x:v>
      </x:c>
    </x:row>
    <x:row r="7" ht="18" customHeight="1">
      <x:c r="A7" s="24" t="str">
        <x:v>Large flatfishes (&gt;=90 cm)</x:v>
      </x:c>
      <x:c r="B7" s="33" t="n">
        <x:v>3</x:v>
      </x:c>
      <x:c r="C7" s="33" t="n">
        <x:v>3</x:v>
      </x:c>
      <x:c r="D7" s="31" t="n">
        <x:v>2087.9910472872</x:v>
      </x:c>
      <x:c r="E7" s="31" t="n">
        <x:v>2087.9910472872</x:v>
      </x:c>
      <x:c r="F7" s="32" t="n">
        <x:v>0</x:v>
      </x:c>
      <x:c r="G7" s="34" t="n">
        <x:v>1</x:v>
      </x:c>
      <x:c r="H7" s="32" t="n">
        <x:f>IF(E7=0,"",I7/E7)</x:f>
        <x:v>231.53071847007132</x:v>
      </x:c>
      <x:c r="I7" s="31" t="n">
        <x:f>IF(C7=0,"",SUMIF('Species'!$G$2:$G$118,A7,'Species'!$U$2:$U$118))</x:f>
        <x:v>483434.0673374821</x:v>
      </x:c>
      <x:c r="J7" s="32" t="n">
        <x:v>3.286932590298801</x:v>
      </x:c>
      <x:c r="K7" s="32" t="n">
        <x:f>IF(J7="","",(1/'Metadata'!$B$5)^(J7-1))</x:f>
        <x:v>193.61214224903915</x:v>
      </x:c>
      <x:c r="L7" s="31" t="n">
        <x:f>IF(E7=0,"",E7*K7)</x:f>
        <x:v>404260.41966208967</x:v>
      </x:c>
      <x:c r="M7" s="31" t="n">
        <x:f>IF(E7=0,"",I7-L7)</x:f>
        <x:v>79173.64767539245</x:v>
      </x:c>
      <x:c r="N7" s="32" t="n">
        <x:f>IF(L7=0,"",I7/L7)</x:f>
        <x:v>1.1958481311169953</x:v>
      </x:c>
      <x:c r="O7" s="34" t="n">
        <x:f>IF(L7=0,"",M7/L7)</x:f>
        <x:v>0.19584813111699523</x:v>
      </x:c>
    </x:row>
    <x:row r="8" ht="18" customHeight="1">
      <x:c r="A8" s="24" t="str">
        <x:v>Large pelagics (&gt;=90 cm)</x:v>
      </x:c>
      <x:c r="B8" s="33" t="n">
        <x:v>1</x:v>
      </x:c>
      <x:c r="C8" s="33" t="n">
        <x:v>1</x:v>
      </x:c>
      <x:c r="D8" s="31" t="n">
        <x:v>0.5150983987000001</x:v>
      </x:c>
      <x:c r="E8" s="31" t="n">
        <x:v>0.5150983987000001</x:v>
      </x:c>
      <x:c r="F8" s="32" t="n">
        <x:v>0</x:v>
      </x:c>
      <x:c r="G8" s="34" t="n">
        <x:v>1</x:v>
      </x:c>
      <x:c r="H8" s="32" t="n">
        <x:f>IF(E8=0,"",I8/E8)</x:f>
        <x:v>229.08676527677724</x:v>
      </x:c>
      <x:c r="I8" s="31" t="n">
        <x:f>IF(C8=0,"",SUMIF('Species'!$G$2:$G$118,A8,'Species'!$U$2:$U$118))</x:f>
        <x:v>118.00222595743074</x:v>
      </x:c>
      <x:c r="J8" s="32" t="n">
        <x:v>3.36</x:v>
      </x:c>
      <x:c r="K8" s="32" t="n">
        <x:f>IF(J8="","",(1/'Metadata'!$B$5)^(J8-1))</x:f>
        <x:v>229.08676527677724</x:v>
      </x:c>
      <x:c r="L8" s="31" t="n">
        <x:f>IF(E8=0,"",E8*K8)</x:f>
        <x:v>118.00222595743074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rays (&gt;=90 cm)</x:v>
      </x:c>
      <x:c r="B9" s="33" t="n">
        <x:v>5</x:v>
      </x:c>
      <x:c r="C9" s="33" t="n">
        <x:v>5</x:v>
      </x:c>
      <x:c r="D9" s="31" t="n">
        <x:v>1.6212852735</x:v>
      </x:c>
      <x:c r="E9" s="31" t="n">
        <x:v>1.6212852735</x:v>
      </x:c>
      <x:c r="F9" s="32" t="n">
        <x:v>0</x:v>
      </x:c>
      <x:c r="G9" s="34" t="n">
        <x:v>1</x:v>
      </x:c>
      <x:c r="H9" s="32" t="n">
        <x:f>IF(E9=0,"",I9/E9)</x:f>
        <x:v>381.7299330411452</x:v>
      </x:c>
      <x:c r="I9" s="31" t="n">
        <x:f>IF(C9=0,"",SUMIF('Species'!$G$2:$G$118,A9,'Species'!$U$2:$U$118))</x:f>
        <x:v>618.8931188937498</x:v>
      </x:c>
      <x:c r="J9" s="32" t="n">
        <x:v>3.5729381705483054</x:v>
      </x:c>
      <x:c r="K9" s="32" t="n">
        <x:f>IF(J9="","",(1/'Metadata'!$B$5)^(J9-1))</x:f>
        <x:v>374.05733084643083</x:v>
      </x:c>
      <x:c r="L9" s="31" t="n">
        <x:f>IF(E9=0,"",E9*K9)</x:f>
        <x:v>606.4536419460356</x:v>
      </x:c>
      <x:c r="M9" s="31" t="n">
        <x:f>IF(E9=0,"",I9-L9)</x:f>
        <x:v>12.439476947714184</x:v>
      </x:c>
      <x:c r="N9" s="32" t="n">
        <x:f>IF(L9=0,"",I9/L9)</x:f>
        <x:v>1.0205118348498945</x:v>
      </x:c>
      <x:c r="O9" s="34" t="n">
        <x:f>IF(L9=0,"",M9/L9)</x:f>
        <x:v>0.02051183484989458</x:v>
      </x:c>
    </x:row>
    <x:row r="10" ht="18" customHeight="1">
      <x:c r="A10" s="24" t="str">
        <x:v>Large reef assoc. fish (&gt;=90 cm)</x:v>
      </x:c>
      <x:c r="B10" s="33" t="n">
        <x:v>1</x:v>
      </x:c>
      <x:c r="C10" s="33" t="n">
        <x:v>1</x:v>
      </x:c>
      <x:c r="D10" s="31" t="n">
        <x:v>0.0088200624</x:v>
      </x:c>
      <x:c r="E10" s="31" t="n">
        <x:v>0.0088200624</x:v>
      </x:c>
      <x:c r="F10" s="32" t="n">
        <x:v>0</x:v>
      </x:c>
      <x:c r="G10" s="34" t="n">
        <x:v>1</x:v>
      </x:c>
      <x:c r="H10" s="32" t="n">
        <x:f>IF(E10=0,"",I10/E10)</x:f>
        <x:v>616.5950018614822</x:v>
      </x:c>
      <x:c r="I10" s="31" t="n">
        <x:f>IF(C10=0,"",SUMIF('Species'!$G$2:$G$118,A10,'Species'!$U$2:$U$118))</x:f>
        <x:v>5.438406391946389</x:v>
      </x:c>
      <x:c r="J10" s="32" t="n">
        <x:v>3.79</x:v>
      </x:c>
      <x:c r="K10" s="32" t="n">
        <x:f>IF(J10="","",(1/'Metadata'!$B$5)^(J10-1))</x:f>
        <x:v>616.5950018614822</x:v>
      </x:c>
      <x:c r="L10" s="31" t="n">
        <x:f>IF(E10=0,"",E10*K10)</x:f>
        <x:v>5.438406391946389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Large sharks (&gt;=90 cm)</x:v>
      </x:c>
      <x:c r="B11" s="33" t="n">
        <x:v>4</x:v>
      </x:c>
      <x:c r="C11" s="33" t="n">
        <x:v>4</x:v>
      </x:c>
      <x:c r="D11" s="31" t="n">
        <x:v>1.0129604239</x:v>
      </x:c>
      <x:c r="E11" s="31" t="n">
        <x:v>1.0129604239</x:v>
      </x:c>
      <x:c r="F11" s="32" t="n">
        <x:v>0</x:v>
      </x:c>
      <x:c r="G11" s="34" t="n">
        <x:v>1</x:v>
      </x:c>
      <x:c r="H11" s="32" t="n">
        <x:f>IF(E11=0,"",I11/E11)</x:f>
        <x:v>2324.3849667936893</x:v>
      </x:c>
      <x:c r="I11" s="31" t="n">
        <x:f>IF(C11=0,"",SUMIF('Species'!$G$2:$G$118,A11,'Species'!$U$2:$U$118))</x:f>
        <x:v>2354.5099812701233</x:v>
      </x:c>
      <x:c r="J11" s="32" t="n">
        <x:v>4.365353077426385</x:v>
      </x:c>
      <x:c r="K11" s="32" t="n">
        <x:f>IF(J11="","",(1/'Metadata'!$B$5)^(J11-1))</x:f>
        <x:v>2319.2794365954296</x:v>
      </x:c>
      <x:c r="L11" s="31" t="n">
        <x:f>IF(E11=0,"",E11*K11)</x:f>
        <x:v>2349.3382812362597</x:v>
      </x:c>
      <x:c r="M11" s="31" t="n">
        <x:f>IF(E11=0,"",I11-L11)</x:f>
        <x:v>5.171700033863544</x:v>
      </x:c>
      <x:c r="N11" s="32" t="n">
        <x:f>IF(L11=0,"",I11/L11)</x:f>
        <x:v>1.0022013432783048</x:v>
      </x:c>
      <x:c r="O11" s="34" t="n">
        <x:f>IF(L11=0,"",M11/L11)</x:f>
        <x:v>0.0022013432783047795</x:v>
      </x:c>
    </x:row>
    <x:row r="12" ht="18" customHeight="1">
      <x:c r="A12" s="24" t="str">
        <x:v>Lobsters, crabs</x:v>
      </x:c>
      <x:c r="B12" s="33" t="n">
        <x:v>4</x:v>
      </x:c>
      <x:c r="C12" s="33" t="n">
        <x:v>4</x:v>
      </x:c>
      <x:c r="D12" s="31" t="n">
        <x:v>1533.6626048401</x:v>
      </x:c>
      <x:c r="E12" s="31" t="n">
        <x:v>1533.6626048401</x:v>
      </x:c>
      <x:c r="F12" s="32" t="n">
        <x:v>0</x:v>
      </x:c>
      <x:c r="G12" s="34" t="n">
        <x:v>1</x:v>
      </x:c>
      <x:c r="H12" s="32" t="n">
        <x:f>IF(E12=0,"",I12/E12)</x:f>
        <x:v>77.71456167018455</x:v>
      </x:c>
      <x:c r="I12" s="31" t="n">
        <x:f>IF(C12=0,"",SUMIF('Species'!$G$2:$G$118,A12,'Species'!$U$2:$U$118))</x:f>
        <x:v>119187.91708510181</x:v>
      </x:c>
      <x:c r="J12" s="32" t="n">
        <x:v>2.8855937454346754</x:v>
      </x:c>
      <x:c r="K12" s="32" t="n">
        <x:f>IF(J12="","",(1/'Metadata'!$B$5)^(J12-1))</x:f>
        <x:v>76.84113046151663</x:v>
      </x:c>
      <x:c r="L12" s="31" t="n">
        <x:f>IF(E12=0,"",E12*K12)</x:f>
        <x:v>117848.36830246754</x:v>
      </x:c>
      <x:c r="M12" s="31" t="n">
        <x:f>IF(E12=0,"",I12-L12)</x:f>
        <x:v>1339.5487826342724</x:v>
      </x:c>
      <x:c r="N12" s="32" t="n">
        <x:f>IF(L12=0,"",I12/L12)</x:f>
        <x:v>1.0113667147193435</x:v>
      </x:c>
      <x:c r="O12" s="34" t="n">
        <x:f>IF(L12=0,"",M12/L12)</x:f>
        <x:v>0.011366714719343505</x:v>
      </x:c>
    </x:row>
    <x:row r="13" ht="18" customHeight="1">
      <x:c r="A13" s="24" t="str">
        <x:v>Medium bathydemersals (30 - 89 cm)</x:v>
      </x:c>
      <x:c r="B13" s="33" t="n">
        <x:v>3</x:v>
      </x:c>
      <x:c r="C13" s="33" t="n">
        <x:v>3</x:v>
      </x:c>
      <x:c r="D13" s="31" t="n">
        <x:v>1.2140630869</x:v>
      </x:c>
      <x:c r="E13" s="31" t="n">
        <x:v>1.2140630869</x:v>
      </x:c>
      <x:c r="F13" s="32" t="n">
        <x:v>0</x:v>
      </x:c>
      <x:c r="G13" s="34" t="n">
        <x:v>1</x:v>
      </x:c>
      <x:c r="H13" s="32" t="n">
        <x:f>IF(E13=0,"",I13/E13)</x:f>
        <x:v>2809.237810745585</x:v>
      </x:c>
      <x:c r="I13" s="31" t="n">
        <x:f>IF(C13=0,"",SUMIF('Species'!$G$2:$G$118,A13,'Species'!$U$2:$U$118))</x:f>
        <x:v>3410.591928349983</x:v>
      </x:c>
      <x:c r="J13" s="32" t="n">
        <x:v>4.430705916181991</x:v>
      </x:c>
      <x:c r="K13" s="32" t="n">
        <x:f>IF(J13="","",(1/'Metadata'!$B$5)^(J13-1))</x:f>
        <x:v>2695.9132684193937</x:v>
      </x:c>
      <x:c r="L13" s="31" t="n">
        <x:f>IF(E13=0,"",E13*K13)</x:f>
        <x:v>3273.0087846719175</x:v>
      </x:c>
      <x:c r="M13" s="31" t="n">
        <x:f>IF(E13=0,"",I13-L13)</x:f>
        <x:v>137.58314367806543</x:v>
      </x:c>
      <x:c r="N13" s="32" t="n">
        <x:f>IF(L13=0,"",I13/L13)</x:f>
        <x:v>1.0420356780960662</x:v>
      </x:c>
      <x:c r="O13" s="34" t="n">
        <x:f>IF(L13=0,"",M13/L13)</x:f>
        <x:v>0.042035678096066155</x:v>
      </x:c>
    </x:row>
    <x:row r="14" ht="18" customHeight="1">
      <x:c r="A14" s="24" t="str">
        <x:v>Medium benthopelagics (30 - 89 cm)</x:v>
      </x:c>
      <x:c r="B14" s="33" t="n">
        <x:v>7</x:v>
      </x:c>
      <x:c r="C14" s="33" t="n">
        <x:v>7</x:v>
      </x:c>
      <x:c r="D14" s="31" t="n">
        <x:v>412.4237670496</x:v>
      </x:c>
      <x:c r="E14" s="31" t="n">
        <x:v>412.4237670496</x:v>
      </x:c>
      <x:c r="F14" s="32" t="n">
        <x:v>0</x:v>
      </x:c>
      <x:c r="G14" s="34" t="n">
        <x:v>1</x:v>
      </x:c>
      <x:c r="H14" s="32" t="n">
        <x:f>IF(E14=0,"",I14/E14)</x:f>
        <x:v>682.7098166239338</x:v>
      </x:c>
      <x:c r="I14" s="31" t="n">
        <x:f>IF(C14=0,"",SUMIF('Species'!$G$2:$G$118,A14,'Species'!$U$2:$U$118))</x:f>
        <x:v>281565.75437378435</x:v>
      </x:c>
      <x:c r="J14" s="32" t="n">
        <x:v>3.598300843229981</x:v>
      </x:c>
      <x:c r="K14" s="32" t="n">
        <x:f>IF(J14="","",(1/'Metadata'!$B$5)^(J14-1))</x:f>
        <x:v>396.55263794101757</x:v>
      </x:c>
      <x:c r="L14" s="31" t="n">
        <x:f>IF(E14=0,"",E14*K14)</x:f>
        <x:v>163547.7327730906</x:v>
      </x:c>
      <x:c r="M14" s="31" t="n">
        <x:f>IF(E14=0,"",I14-L14)</x:f>
        <x:v>118018.02160069376</x:v>
      </x:c>
      <x:c r="N14" s="32" t="n">
        <x:f>IF(L14=0,"",I14/L14)</x:f>
        <x:v>1.7216120920761055</x:v>
      </x:c>
      <x:c r="O14" s="34" t="n">
        <x:f>IF(L14=0,"",M14/L14)</x:f>
        <x:v>0.7216120920761055</x:v>
      </x:c>
    </x:row>
    <x:row r="15" ht="18" customHeight="1">
      <x:c r="A15" s="24" t="str">
        <x:v>Medium demersals (30 - 89 cm)</x:v>
      </x:c>
      <x:c r="B15" s="33" t="n">
        <x:v>14</x:v>
      </x:c>
      <x:c r="C15" s="33" t="n">
        <x:v>14</x:v>
      </x:c>
      <x:c r="D15" s="31" t="n">
        <x:v>387.76066787319996</x:v>
      </x:c>
      <x:c r="E15" s="31" t="n">
        <x:v>387.76066787319996</x:v>
      </x:c>
      <x:c r="F15" s="32" t="n">
        <x:v>0</x:v>
      </x:c>
      <x:c r="G15" s="34" t="n">
        <x:v>1</x:v>
      </x:c>
      <x:c r="H15" s="32" t="n">
        <x:f>IF(E15=0,"",I15/E15)</x:f>
        <x:v>681.2084509817237</x:v>
      </x:c>
      <x:c r="I15" s="31" t="n">
        <x:f>IF(C15=0,"",SUMIF('Species'!$G$2:$G$118,A15,'Species'!$U$2:$U$118))</x:f>
        <x:v>264145.8439135412</x:v>
      </x:c>
      <x:c r="J15" s="32" t="n">
        <x:v>3.649411518711757</x:v>
      </x:c>
      <x:c r="K15" s="32" t="n">
        <x:f>IF(J15="","",(1/'Metadata'!$B$5)^(J15-1))</x:f>
        <x:v>446.0787331614984</x:v>
      </x:c>
      <x:c r="L15" s="31" t="n">
        <x:f>IF(E15=0,"",E15*K15)</x:f>
        <x:v>172971.78749473358</x:v>
      </x:c>
      <x:c r="M15" s="31" t="n">
        <x:f>IF(E15=0,"",I15-L15)</x:f>
        <x:v>91174.0564188076</x:v>
      </x:c>
      <x:c r="N15" s="32" t="n">
        <x:f>IF(L15=0,"",I15/L15)</x:f>
        <x:v>1.527103626200218</x:v>
      </x:c>
      <x:c r="O15" s="34" t="n">
        <x:f>IF(L15=0,"",M15/L15)</x:f>
        <x:v>0.527103626200218</x:v>
      </x:c>
    </x:row>
    <x:row r="16" ht="18" customHeight="1">
      <x:c r="A16" s="24" t="str">
        <x:v>Medium pelagics (30 - 89 cm)</x:v>
      </x:c>
      <x:c r="B16" s="33" t="n">
        <x:v>8</x:v>
      </x:c>
      <x:c r="C16" s="33" t="n">
        <x:v>8</x:v>
      </x:c>
      <x:c r="D16" s="31" t="n">
        <x:v>3741.0288769915005</x:v>
      </x:c>
      <x:c r="E16" s="31" t="n">
        <x:v>3741.0288769915005</x:v>
      </x:c>
      <x:c r="F16" s="32" t="n">
        <x:v>0</x:v>
      </x:c>
      <x:c r="G16" s="34" t="n">
        <x:v>1</x:v>
      </x:c>
      <x:c r="H16" s="32" t="n">
        <x:f>IF(E16=0,"",I16/E16)</x:f>
        <x:v>257.6625054422739</x:v>
      </x:c>
      <x:c r="I16" s="31" t="n">
        <x:f>IF(C16=0,"",SUMIF('Species'!$G$2:$G$118,A16,'Species'!$U$2:$U$118))</x:f>
        <x:v>963922.8733775264</x:v>
      </x:c>
      <x:c r="J16" s="32" t="n">
        <x:v>3.4004719673893176</x:v>
      </x:c>
      <x:c r="K16" s="32" t="n">
        <x:f>IF(J16="","",(1/'Metadata'!$B$5)^(J16-1))</x:f>
        <x:v>251.46176955431008</x:v>
      </x:c>
      <x:c r="L16" s="31" t="n">
        <x:f>IF(E16=0,"",E16*K16)</x:f>
        <x:v>940725.7413620561</x:v>
      </x:c>
      <x:c r="M16" s="31" t="n">
        <x:f>IF(E16=0,"",I16-L16)</x:f>
        <x:v>23197.1320154703</x:v>
      </x:c>
      <x:c r="N16" s="32" t="n">
        <x:f>IF(L16=0,"",I16/L16)</x:f>
        <x:v>1.0246587618426213</x:v>
      </x:c>
      <x:c r="O16" s="34" t="n">
        <x:f>IF(L16=0,"",M16/L16)</x:f>
        <x:v>0.024658761842621297</x:v>
      </x:c>
    </x:row>
    <x:row r="17" ht="18" customHeight="1">
      <x:c r="A17" s="24" t="str">
        <x:v>Medium reef assoc. fish (30 - 89 cm)</x:v>
      </x:c>
      <x:c r="B17" s="33" t="n">
        <x:v>5</x:v>
      </x:c>
      <x:c r="C17" s="33" t="n">
        <x:v>5</x:v>
      </x:c>
      <x:c r="D17" s="31" t="n">
        <x:v>4.3832966493</x:v>
      </x:c>
      <x:c r="E17" s="31" t="n">
        <x:v>4.3832966493</x:v>
      </x:c>
      <x:c r="F17" s="32" t="n">
        <x:v>0</x:v>
      </x:c>
      <x:c r="G17" s="34" t="n">
        <x:v>1</x:v>
      </x:c>
      <x:c r="H17" s="32" t="n">
        <x:f>IF(E17=0,"",I17/E17)</x:f>
        <x:v>158.48724775964794</x:v>
      </x:c>
      <x:c r="I17" s="31" t="n">
        <x:f>IF(C17=0,"",SUMIF('Species'!$G$2:$G$118,A17,'Species'!$U$2:$U$118))</x:f>
        <x:v>694.6966220616438</x:v>
      </x:c>
      <x:c r="J17" s="32" t="n">
        <x:v>3.1997358473207176</x:v>
      </x:c>
      <x:c r="K17" s="32" t="n">
        <x:f>IF(J17="","",(1/'Metadata'!$B$5)^(J17-1))</x:f>
        <x:v>158.39294996059724</x:v>
      </x:c>
      <x:c r="L17" s="31" t="n">
        <x:f>IF(E17=0,"",E17*K17)</x:f>
        <x:v>694.2832868350284</x:v>
      </x:c>
      <x:c r="M17" s="31" t="n">
        <x:f>IF(E17=0,"",I17-L17)</x:f>
        <x:v>0.41333522661534516</x:v>
      </x:c>
      <x:c r="N17" s="32" t="n">
        <x:f>IF(L17=0,"",I17/L17)</x:f>
        <x:v>1.0005953408852741</x:v>
      </x:c>
      <x:c r="O17" s="34" t="n">
        <x:f>IF(L17=0,"",M17/L17)</x:f>
        <x:v>0.0005953408852740531</x:v>
      </x:c>
    </x:row>
    <x:row r="18" ht="18" customHeight="1">
      <x:c r="A18" s="24" t="str">
        <x:v>Other demersal invertebrates</x:v>
      </x:c>
      <x:c r="B18" s="33" t="n">
        <x:v>7</x:v>
      </x:c>
      <x:c r="C18" s="33" t="n">
        <x:v>7</x:v>
      </x:c>
      <x:c r="D18" s="31" t="n">
        <x:v>385.0249028247</x:v>
      </x:c>
      <x:c r="E18" s="31" t="n">
        <x:v>385.0249028247</x:v>
      </x:c>
      <x:c r="F18" s="32" t="n">
        <x:v>0</x:v>
      </x:c>
      <x:c r="G18" s="34" t="n">
        <x:v>1</x:v>
      </x:c>
      <x:c r="H18" s="32" t="n">
        <x:f>IF(E18=0,"",I18/E18)</x:f>
        <x:v>11.926377240604022</x:v>
      </x:c>
      <x:c r="I18" s="31" t="n">
        <x:f>IF(C18=0,"",SUMIF('Species'!$G$2:$G$118,A18,'Species'!$U$2:$U$118))</x:f>
        <x:v>4591.952238114278</x:v>
      </x:c>
      <x:c r="J18" s="32" t="n">
        <x:v>2.010466539547393</x:v>
      </x:c>
      <x:c r="K18" s="32" t="n">
        <x:f>IF(J18="","",(1/'Metadata'!$B$5)^(J18-1))</x:f>
        <x:v>10.243928523700522</x:v>
      </x:c>
      <x:c r="L18" s="31" t="n">
        <x:f>IF(E18=0,"",E18*K18)</x:f>
        <x:v>3944.1675843809658</x:v>
      </x:c>
      <x:c r="M18" s="31" t="n">
        <x:f>IF(E18=0,"",I18-L18)</x:f>
        <x:v>647.7846537333121</x:v>
      </x:c>
      <x:c r="N18" s="32" t="n">
        <x:f>IF(L18=0,"",I18/L18)</x:f>
        <x:v>1.1642386232011441</x:v>
      </x:c>
      <x:c r="O18" s="34" t="n">
        <x:f>IF(L18=0,"",M18/L18)</x:f>
        <x:v>0.16423862320114407</x:v>
      </x:c>
    </x:row>
    <x:row r="19" ht="18" customHeight="1">
      <x:c r="A19" s="24" t="str">
        <x:v>Shrimps</x:v>
      </x:c>
      <x:c r="B19" s="33" t="n">
        <x:v>5</x:v>
      </x:c>
      <x:c r="C19" s="33" t="n">
        <x:v>5</x:v>
      </x:c>
      <x:c r="D19" s="31" t="n">
        <x:v>486.62992324140004</x:v>
      </x:c>
      <x:c r="E19" s="31" t="n">
        <x:v>486.62992324140004</x:v>
      </x:c>
      <x:c r="F19" s="32" t="n">
        <x:v>0</x:v>
      </x:c>
      <x:c r="G19" s="34" t="n">
        <x:v>1</x:v>
      </x:c>
      <x:c r="H19" s="32" t="n">
        <x:f>IF(E19=0,"",I19/E19)</x:f>
        <x:v>117.3465217813602</x:v>
      </x:c>
      <x:c r="I19" s="31" t="n">
        <x:f>IF(C19=0,"",SUMIF('Species'!$G$2:$G$118,A19,'Species'!$U$2:$U$118))</x:f>
        <x:v>57104.32888710859</x:v>
      </x:c>
      <x:c r="J19" s="32" t="n">
        <x:v>3.0691335291216957</x:v>
      </x:c>
      <x:c r="K19" s="32" t="n">
        <x:f>IF(J19="","",(1/'Metadata'!$B$5)^(J19-1))</x:f>
        <x:v>117.25558266843797</x:v>
      </x:c>
      <x:c r="L19" s="31" t="n">
        <x:f>IF(E19=0,"",E19*K19)</x:f>
        <x:v>57060.0751935676</x:v>
      </x:c>
      <x:c r="M19" s="31" t="n">
        <x:f>IF(E19=0,"",I19-L19)</x:f>
        <x:v>44.253693540988024</x:v>
      </x:c>
      <x:c r="N19" s="32" t="n">
        <x:f>IF(L19=0,"",I19/L19)</x:f>
        <x:v>1.0007755631830288</x:v>
      </x:c>
      <x:c r="O19" s="34" t="n">
        <x:f>IF(L19=0,"",M19/L19)</x:f>
        <x:v>0.0007755631830288362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0.0839616992</x:v>
      </x:c>
      <x:c r="E20" s="31" t="n">
        <x:v>0.0839616992</x:v>
      </x:c>
      <x:c r="F20" s="32" t="n">
        <x:v>0</x:v>
      </x:c>
      <x:c r="G20" s="34" t="n">
        <x:v>1</x:v>
      </x:c>
      <x:c r="H20" s="32" t="n">
        <x:f>IF(E20=0,"",I20/E20)</x:f>
        <x:v>204.17379446695296</x:v>
      </x:c>
      <x:c r="I20" s="31" t="n">
        <x:f>IF(C20=0,"",SUMIF('Species'!$G$2:$G$118,A20,'Species'!$U$2:$U$118))</x:f>
        <x:v>17.14277871555693</x:v>
      </x:c>
      <x:c r="J20" s="32" t="n">
        <x:v>3.31</x:v>
      </x:c>
      <x:c r="K20" s="32" t="n">
        <x:f>IF(J20="","",(1/'Metadata'!$B$5)^(J20-1))</x:f>
        <x:v>204.17379446695296</x:v>
      </x:c>
      <x:c r="L20" s="31" t="n">
        <x:f>IF(E20=0,"",E20*K20)</x:f>
        <x:v>17.14277871555693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pelagics (&lt;30 cm)</x:v>
      </x:c>
      <x:c r="B21" s="33" t="n">
        <x:v>3</x:v>
      </x:c>
      <x:c r="C21" s="33" t="n">
        <x:v>3</x:v>
      </x:c>
      <x:c r="D21" s="31" t="n">
        <x:v>1438.6950306223002</x:v>
      </x:c>
      <x:c r="E21" s="31" t="n">
        <x:v>1438.6950306223002</x:v>
      </x:c>
      <x:c r="F21" s="32" t="n">
        <x:v>0</x:v>
      </x:c>
      <x:c r="G21" s="34" t="n">
        <x:v>1</x:v>
      </x:c>
      <x:c r="H21" s="32" t="n">
        <x:f>IF(E21=0,"",I21/E21)</x:f>
        <x:v>102.33406274561969</x:v>
      </x:c>
      <x:c r="I21" s="31" t="n">
        <x:f>IF(C21=0,"",SUMIF('Species'!$G$2:$G$118,A21,'Species'!$U$2:$U$118))</x:f>
        <x:v>147227.50753551372</x:v>
      </x:c>
      <x:c r="J21" s="32" t="n">
        <x:v>3.0100179290096514</x:v>
      </x:c>
      <x:c r="K21" s="32" t="n">
        <x:f>IF(J21="","",(1/'Metadata'!$B$5)^(J21-1))</x:f>
        <x:v>102.33352378293556</x:v>
      </x:c>
      <x:c r="L21" s="31" t="n">
        <x:f>IF(E21=0,"",E21*K21)</x:f>
        <x:v>147226.73213257836</x:v>
      </x:c>
      <x:c r="M21" s="31" t="n">
        <x:f>IF(E21=0,"",I21-L21)</x:f>
        <x:v>0.7754029353673104</x:v>
      </x:c>
      <x:c r="N21" s="32" t="n">
        <x:f>IF(L21=0,"",I21/L21)</x:f>
        <x:v>1.0000052667265253</x:v>
      </x:c>
      <x:c r="O21" s="34" t="n">
        <x:f>IF(L21=0,"",M21/L21)</x:f>
        <x:v>0.000005266726525377582</x:v>
      </x:c>
    </x:row>
    <x:row r="22" ht="18" customHeight="1">
      <x:c r="A22" s="24" t="str">
        <x:v>Small reef assoc. fish (&lt;30 cm)</x:v>
      </x:c>
      <x:c r="B22" s="33" t="n">
        <x:v>2</x:v>
      </x:c>
      <x:c r="C22" s="33" t="n">
        <x:v>2</x:v>
      </x:c>
      <x:c r="D22" s="31" t="n">
        <x:v>3.8338037244000005</x:v>
      </x:c>
      <x:c r="E22" s="31" t="n">
        <x:v>3.8338037244000005</x:v>
      </x:c>
      <x:c r="F22" s="32" t="n">
        <x:v>0</x:v>
      </x:c>
      <x:c r="G22" s="34" t="n">
        <x:v>1</x:v>
      </x:c>
      <x:c r="H22" s="32" t="n">
        <x:f>IF(E22=0,"",I22/E22)</x:f>
        <x:v>314.6068139394348</x:v>
      </x:c>
      <x:c r="I22" s="31" t="n">
        <x:f>IF(C22=0,"",SUMIF('Species'!$G$2:$G$118,A22,'Species'!$U$2:$U$118))</x:f>
        <x:v>1206.140775002623</x:v>
      </x:c>
      <x:c r="J22" s="32" t="n">
        <x:v>3.4865149978286665</x:v>
      </x:c>
      <x:c r="K22" s="32" t="n">
        <x:f>IF(J22="","",(1/'Metadata'!$B$5)^(J22-1))</x:f>
        <x:v>306.55965442243775</x:v>
      </x:c>
      <x:c r="L22" s="31" t="n">
        <x:f>IF(E22=0,"",E22*K22)</x:f>
        <x:v>1175.289544875519</x:v>
      </x:c>
      <x:c r="M22" s="31" t="n">
        <x:f>IF(E22=0,"",I22-L22)</x:f>
        <x:v>30.851230127104145</x:v>
      </x:c>
      <x:c r="N22" s="32" t="n">
        <x:f>IF(L22=0,"",I22/L22)</x:f>
        <x:v>1.0262498975351404</x:v>
      </x:c>
      <x:c r="O22" s="34" t="n">
        <x:f>IF(L22=0,"",M22/L22)</x:f>
        <x:v>0.02624989753514038</x:v>
      </x:c>
    </x:row>
    <x:row r="23" ht="18" customHeight="1">
      <x:c r="A23" s="24" t="str">
        <x:v>Small to medium flatfishes (&lt;90 cm)</x:v>
      </x:c>
      <x:c r="B23" s="33" t="n">
        <x:v>14</x:v>
      </x:c>
      <x:c r="C23" s="33" t="n">
        <x:v>14</x:v>
      </x:c>
      <x:c r="D23" s="31" t="n">
        <x:v>677.0412191219</x:v>
      </x:c>
      <x:c r="E23" s="31" t="n">
        <x:v>677.0412191219</x:v>
      </x:c>
      <x:c r="F23" s="32" t="n">
        <x:v>0</x:v>
      </x:c>
      <x:c r="G23" s="34" t="n">
        <x:v>1</x:v>
      </x:c>
      <x:c r="H23" s="32" t="n">
        <x:f>IF(E23=0,"",I23/E23)</x:f>
        <x:v>325.6579995559445</x:v>
      </x:c>
      <x:c r="I23" s="31" t="n">
        <x:f>IF(C23=0,"",SUMIF('Species'!$G$2:$G$118,A23,'Species'!$U$2:$U$118))</x:f>
        <x:v>220483.88903615583</x:v>
      </x:c>
      <x:c r="J23" s="32" t="n">
        <x:v>3.3529790375914437</x:v>
      </x:c>
      <x:c r="K23" s="32" t="n">
        <x:f>IF(J23="","",(1/'Metadata'!$B$5)^(J23-1))</x:f>
        <x:v>225.41304077699016</x:v>
      </x:c>
      <x:c r="L23" s="31" t="n">
        <x:f>IF(E23=0,"",E23*K23)</x:f>
        <x:v>152613.91993362797</x:v>
      </x:c>
      <x:c r="M23" s="31" t="n">
        <x:f>IF(E23=0,"",I23-L23)</x:f>
        <x:v>67869.96910252786</x:v>
      </x:c>
      <x:c r="N23" s="32" t="n">
        <x:f>IF(L23=0,"",I23/L23)</x:f>
        <x:v>1.4447167671995098</x:v>
      </x:c>
      <x:c r="O23" s="34" t="n">
        <x:f>IF(L23=0,"",M23/L23)</x:f>
        <x:v>0.4447167671995098</x:v>
      </x:c>
    </x:row>
    <x:row r="24" ht="18" customHeight="1">
      <x:c r="A24" s="24" t="str">
        <x:v>Small to medium rays (&lt;90 cm)</x:v>
      </x:c>
      <x:c r="B24" s="33" t="n">
        <x:v>3</x:v>
      </x:c>
      <x:c r="C24" s="33" t="n">
        <x:v>3</x:v>
      </x:c>
      <x:c r="D24" s="31" t="n">
        <x:v>15.4396132984</x:v>
      </x:c>
      <x:c r="E24" s="31" t="n">
        <x:v>15.4396132984</x:v>
      </x:c>
      <x:c r="F24" s="32" t="n">
        <x:v>0</x:v>
      </x:c>
      <x:c r="G24" s="34" t="n">
        <x:v>1</x:v>
      </x:c>
      <x:c r="H24" s="32" t="n">
        <x:f>IF(E24=0,"",I24/E24)</x:f>
        <x:v>1073.8967932895202</x:v>
      </x:c>
      <x:c r="I24" s="31" t="n">
        <x:f>IF(C24=0,"",SUMIF('Species'!$G$2:$G$118,A24,'Species'!$U$2:$U$118))</x:f>
        <x:v>16580.551210781992</x:v>
      </x:c>
      <x:c r="J24" s="32" t="n">
        <x:v>3.983307561932286</x:v>
      </x:c>
      <x:c r="K24" s="32" t="n">
        <x:f>IF(J24="","",(1/'Metadata'!$B$5)^(J24-1))</x:f>
        <x:v>962.2935213941587</x:v>
      </x:c>
      <x:c r="L24" s="31" t="n">
        <x:f>IF(E24=0,"",E24*K24)</x:f>
        <x:v>14857.439849881417</x:v>
      </x:c>
      <x:c r="M24" s="31" t="n">
        <x:f>IF(E24=0,"",I24-L24)</x:f>
        <x:v>1723.1113609005752</x:v>
      </x:c>
      <x:c r="N24" s="32" t="n">
        <x:f>IF(L24=0,"",I24/L24)</x:f>
        <x:v>1.1159763309366066</x:v>
      </x:c>
      <x:c r="O24" s="34" t="n">
        <x:f>IF(L24=0,"",M24/L24)</x:f>
        <x:v>0.11597633093660668</x:v>
      </x:c>
    </x:row>
    <x:row r="25" ht="18" customHeight="1">
      <x:c r="A25" s="24" t="str">
        <x:v>Small to medium sharks (&lt;90 cm)</x:v>
      </x:c>
      <x:c r="B25" s="33" t="n">
        <x:v>1</x:v>
      </x:c>
      <x:c r="C25" s="33" t="n">
        <x:v>1</x:v>
      </x:c>
      <x:c r="D25" s="31" t="n">
        <x:v>0.0442216854</x:v>
      </x:c>
      <x:c r="E25" s="31" t="n">
        <x:v>0.0442216854</x:v>
      </x:c>
      <x:c r="F25" s="32" t="n">
        <x:v>0</x:v>
      </x:c>
      <x:c r="G25" s="34" t="n">
        <x:v>1</x:v>
      </x:c>
      <x:c r="H25" s="32" t="n">
        <x:f>IF(E25=0,"",I25/E25)</x:f>
        <x:v>660.6934480075957</x:v>
      </x:c>
      <x:c r="I25" s="31" t="n">
        <x:f>IF(C25=0,"",SUMIF('Species'!$G$2:$G$118,A25,'Species'!$U$2:$U$118))</x:f>
        <x:v>29.216977803633156</x:v>
      </x:c>
      <x:c r="J25" s="32" t="n">
        <x:v>3.82</x:v>
      </x:c>
      <x:c r="K25" s="32" t="n">
        <x:f>IF(J25="","",(1/'Metadata'!$B$5)^(J25-1))</x:f>
        <x:v>660.6934480075957</x:v>
      </x:c>
      <x:c r="L25" s="31" t="n">
        <x:f>IF(E25=0,"",E25*K25)</x:f>
        <x:v>29.216977803633156</x:v>
      </x:c>
      <x:c r="M25" s="31" t="n">
        <x:f>IF(E25=0,"",I25-L25)</x:f>
        <x:v>0</x:v>
      </x:c>
      <x:c r="N25" s="32" t="n">
        <x:f>IF(L25=0,"",I25/L25)</x:f>
        <x:v>1</x:v>
      </x:c>
      <x:c r="O25" s="34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224a3018c594c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EEZ_915</x:v>
      </x:c>
      <x:c r="B2" s="24" t="str">
        <x:v>raw_filtered_tonnes</x:v>
      </x:c>
      <x:c r="C2" s="24" t="n">
        <x:v>14482.0419879626</x:v>
      </x:c>
      <x:c r="D2" s="24" t="str">
        <x:v>tonnes</x:v>
      </x:c>
    </x:row>
    <x:row r="3" ht="18" customHeight="1">
      <x:c r="A3" s="24" t="str">
        <x:v>EEZ_915</x:v>
      </x:c>
      <x:c r="B3" s="24" t="str">
        <x:v>species_catch_tonnes</x:v>
      </x:c>
      <x:c r="C3" s="24" t="n">
        <x:v>14482.041987962604</x:v>
      </x:c>
      <x:c r="D3" s="24" t="str">
        <x:v>tonnes</x:v>
      </x:c>
    </x:row>
    <x:row r="4" ht="18" customHeight="1">
      <x:c r="A4" s="24" t="str">
        <x:v>EEZ_915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EEZ_915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EEZ_915</x:v>
      </x:c>
      <x:c r="B6" s="24" t="str">
        <x:v>matched_catch_tonnes</x:v>
      </x:c>
      <x:c r="C6" s="24" t="n">
        <x:v>14482.041987962604</x:v>
      </x:c>
      <x:c r="D6" s="24" t="str">
        <x:v>tonnes</x:v>
      </x:c>
    </x:row>
    <x:row r="7" ht="18" customHeight="1">
      <x:c r="A7" s="24" t="str">
        <x:v>EEZ_915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EEZ_915</x:v>
      </x:c>
      <x:c r="B8" s="24" t="str">
        <x:v>taxa_count</x:v>
      </x:c>
      <x:c r="C8" s="24" t="n">
        <x:v>117</x:v>
      </x:c>
      <x:c r="D8" s="24" t="str">
        <x:v>count</x:v>
      </x:c>
    </x:row>
    <x:row r="9" ht="18" customHeight="1">
      <x:c r="A9" s="24" t="str">
        <x:v>EEZ_915</x:v>
      </x:c>
      <x:c r="B9" s="24" t="str">
        <x:v>matched_taxa_count</x:v>
      </x:c>
      <x:c r="C9" s="24" t="n">
        <x:v>117</x:v>
      </x:c>
      <x:c r="D9" s="24" t="str">
        <x:v>count</x:v>
      </x:c>
    </x:row>
    <x:row r="10" ht="18" customHeight="1">
      <x:c r="A10" s="24" t="str">
        <x:v>EEZ_915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EEZ_915</x:v>
      </x:c>
      <x:c r="B11" s="24" t="str">
        <x:v>species_ppr</x:v>
      </x:c>
      <x:c r="C11" s="24" t="n">
        <x:v>7256163.265204381</x:v>
      </x:c>
      <x:c r="D11" s="24" t="str">
        <x:v>tonnes_primary_production_equivalent</x:v>
      </x:c>
    </x:row>
    <x:row r="12" ht="18" customHeight="1">
      <x:c r="A12" s="24" t="str">
        <x:v>EEZ_915</x:v>
      </x:c>
      <x:c r="B12" s="24" t="str">
        <x:v>commercial_ppr</x:v>
      </x:c>
      <x:c r="C12" s="24" t="n">
        <x:v>7256163.265204381</x:v>
      </x:c>
      <x:c r="D12" s="24" t="str">
        <x:v>tonnes_primary_production_equivalent</x:v>
      </x:c>
    </x:row>
    <x:row r="13" ht="18" customHeight="1">
      <x:c r="A13" s="24" t="str">
        <x:v>EEZ_915</x:v>
      </x:c>
      <x:c r="B13" s="24" t="str">
        <x:v>functional_ppr</x:v>
      </x:c>
      <x:c r="C13" s="24" t="n">
        <x:v>7256163.265204381</x:v>
      </x:c>
      <x:c r="D13" s="24" t="str">
        <x:v>tonnes_primary_production_equivalent</x:v>
      </x:c>
    </x:row>
    <x:row r="14" ht="18" customHeight="1">
      <x:c r="A14" s="24" t="str">
        <x:v>EEZ_915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EEZ_915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EEZ_915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77a2602cbb54e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EEZ_915 - Sweden (West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