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759dfa97c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aa9e5bb784e4ec1"/>
    <x:sheet xmlns:r="http://schemas.openxmlformats.org/officeDocument/2006/relationships" name="Commercial" sheetId="2" r:id="R1b3b12f4b36546d1"/>
    <x:sheet xmlns:r="http://schemas.openxmlformats.org/officeDocument/2006/relationships" name="Functional" sheetId="3" r:id="R0acca8c35a61496f"/>
    <x:sheet xmlns:r="http://schemas.openxmlformats.org/officeDocument/2006/relationships" name="Missing TL" sheetId="4" r:id="R78c5d2a4b8a34287"/>
    <x:sheet xmlns:r="http://schemas.openxmlformats.org/officeDocument/2006/relationships" name="Validation" sheetId="5" r:id="R1267b57c4fa746f9"/>
    <x:sheet xmlns:r="http://schemas.openxmlformats.org/officeDocument/2006/relationships" name="Metadata" sheetId="6" r:id="R7f28bffb76e0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f1eafed704d72" /><Relationship Type="http://schemas.openxmlformats.org/officeDocument/2006/relationships/theme" Target="/xl/theme/theme1.xml" Id="R2da1ea37cdd74571" /><Relationship Type="http://schemas.microsoft.com/office/2022/11/relationships/FeaturePropertyBag" Target="/xl/featurePropertyBag/featurePropertyBag.xml" Id="Rd870b05c23454b0f" /><Relationship Type="http://schemas.openxmlformats.org/officeDocument/2006/relationships/sharedStrings" Target="/xl/sharedStrings.xml" Id="Reb7e5c9f0a2a4fa2" /><Relationship Type="http://schemas.openxmlformats.org/officeDocument/2006/relationships/worksheet" Target="/xl/worksheets/sheet1.xml" Id="R0aa9e5bb784e4ec1" /><Relationship Type="http://schemas.openxmlformats.org/officeDocument/2006/relationships/worksheet" Target="/xl/worksheets/sheet2.xml" Id="R1b3b12f4b36546d1" /><Relationship Type="http://schemas.openxmlformats.org/officeDocument/2006/relationships/worksheet" Target="/xl/worksheets/sheet3.xml" Id="R0acca8c35a61496f" /><Relationship Type="http://schemas.openxmlformats.org/officeDocument/2006/relationships/worksheet" Target="/xl/worksheets/sheet4.xml" Id="R78c5d2a4b8a34287" /><Relationship Type="http://schemas.openxmlformats.org/officeDocument/2006/relationships/worksheet" Target="/xl/worksheets/sheet5.xml" Id="R1267b57c4fa746f9" /><Relationship Type="http://schemas.openxmlformats.org/officeDocument/2006/relationships/worksheet" Target="/xl/worksheets/sheet6.xml" Id="R7f28bffb76e049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4SpeciesTable" displayName="EEZ154SpeciesTable" ref="A1:U13" headerRowCount="1" totalsRowCount="0" totalsRowShown="0">
  <x:autoFilter ref="A1:U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4CommercialTable" displayName="EEZ154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4FunctionalTable" displayName="EEZ154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4ValidationTable" displayName="EEZ15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e176239db348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14081f70954b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3890ec240146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a8743c089a4e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EEZ_154</x:v>
      </x:c>
      <x:c r="B2" s="24" t="str">
        <x:v>Desventuradas Isl. (Chile)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21.05</x:v>
      </x:c>
      <x:c r="J2" s="31" t="n">
        <x:v>21.05</x:v>
      </x:c>
      <x:c r="K2" s="31" t="n">
        <x:v>0</x:v>
      </x:c>
      <x:c r="L2" s="31" t="n">
        <x:v>18.945</x:v>
      </x:c>
      <x:c r="M2" s="31" t="n">
        <x:v>2.105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4010.994811312634</x:v>
      </x:c>
    </x:row>
    <x:row r="3" ht="18" customHeight="1">
      <x:c r="A3" s="24" t="str">
        <x:v>EEZ_154</x:v>
      </x:c>
      <x:c r="B3" s="24" t="str">
        <x:v>Desventuradas Isl. (Chile)</x:v>
      </x:c>
      <x:c r="C3" s="24" t="str">
        <x:v>EEZ</x:v>
      </x:c>
      <x:c r="D3" s="30" t="n">
        <x:v>2019</x:v>
      </x:c>
      <x:c r="E3" s="24" t="str">
        <x:v>Thunnus obesus</x:v>
      </x:c>
      <x:c r="F3" s="24" t="str">
        <x:v>Bigeye tuna</x:v>
      </x:c>
      <x:c r="G3" s="24" t="str">
        <x:v>Large pelagics (&gt;=90 cm)</x:v>
      </x:c>
      <x:c r="H3" s="24" t="str">
        <x:v>Tuna &amp; billfishes</x:v>
      </x:c>
      <x:c r="I3" s="31" t="n">
        <x:v>0.149408858</x:v>
      </x:c>
      <x:c r="J3" s="31" t="n">
        <x:v>0.149408858</x:v>
      </x:c>
      <x:c r="K3" s="31" t="n">
        <x:v>0</x:v>
      </x:c>
      <x:c r="L3" s="31" t="n">
        <x:v>0.149408858</x:v>
      </x:c>
      <x:c r="M3" s="31" t="n">
        <x:v>0</x:v>
      </x:c>
      <x:c r="N3" s="24" t="str">
        <x:v>thunnus obesus</x:v>
      </x:c>
      <x:c r="O3" s="32" t="n">
        <x:v>4.49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obesus</x:v>
      </x:c>
      <x:c r="T3" s="32" t="n">
        <x:f>IF(O3="","",(1/'Metadata'!$B$5)^(O3-1))</x:f>
        <x:v>3090.295432513592</x:v>
      </x:c>
      <x:c r="U3" s="31" t="n">
        <x:f>IF(T3="","",I3*T3)</x:f>
        <x:v>461.7175114544719</x:v>
      </x:c>
    </x:row>
    <x:row r="4" ht="18" customHeight="1">
      <x:c r="A4" s="24" t="str">
        <x:v>EEZ_154</x:v>
      </x:c>
      <x:c r="B4" s="24" t="str">
        <x:v>Desventuradas Isl. (Chile)</x:v>
      </x:c>
      <x:c r="C4" s="24" t="str">
        <x:v>EEZ</x:v>
      </x:c>
      <x:c r="D4" s="30" t="n">
        <x:v>2019</x:v>
      </x:c>
      <x:c r="E4" s="24" t="str">
        <x:v>Malacostraca</x:v>
      </x:c>
      <x:c r="F4" s="24" t="str">
        <x:v>Lobsters, crabs, shrimps, krill</x:v>
      </x:c>
      <x:c r="G4" s="24" t="str">
        <x:v>Shrimps</x:v>
      </x:c>
      <x:c r="H4" s="24" t="str">
        <x:v>Crustaceans</x:v>
      </x:c>
      <x:c r="I4" s="31" t="n">
        <x:v>0.096</x:v>
      </x:c>
      <x:c r="J4" s="31" t="n">
        <x:v>0.096</x:v>
      </x:c>
      <x:c r="K4" s="31" t="n">
        <x:v>0</x:v>
      </x:c>
      <x:c r="L4" s="31" t="n">
        <x:v>0.0864</x:v>
      </x:c>
      <x:c r="M4" s="31" t="n">
        <x:v>0.009600000000000001</x:v>
      </x:c>
      <x:c r="N4" s="24" t="str">
        <x:v>malacostraca</x:v>
      </x:c>
      <x:c r="O4" s="32" t="n">
        <x:v>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Malacostraca</x:v>
      </x:c>
      <x:c r="T4" s="32" t="n">
        <x:f>IF(O4="","",(1/'Metadata'!$B$5)^(O4-1))</x:f>
        <x:v>100</x:v>
      </x:c>
      <x:c r="U4" s="31" t="n">
        <x:f>IF(T4="","",I4*T4)</x:f>
        <x:v>9.6</x:v>
      </x:c>
    </x:row>
    <x:row r="5" ht="18" customHeight="1">
      <x:c r="A5" s="24" t="str">
        <x:v>EEZ_154</x:v>
      </x:c>
      <x:c r="B5" s="24" t="str">
        <x:v>Desventuradas Isl. (Chile)</x:v>
      </x:c>
      <x:c r="C5" s="24" t="str">
        <x:v>EEZ</x:v>
      </x:c>
      <x:c r="D5" s="30" t="n">
        <x:v>2019</x:v>
      </x:c>
      <x:c r="E5" s="24" t="str">
        <x:v>Trachurus murphyi</x:v>
      </x:c>
      <x:c r="F5" s="24" t="str">
        <x:v>Chilean jack mackerel</x:v>
      </x:c>
      <x:c r="G5" s="24" t="str">
        <x:v>Medium pelagics (30 - 89 cm)</x:v>
      </x:c>
      <x:c r="H5" s="24" t="str">
        <x:v>Perch-likes</x:v>
      </x:c>
      <x:c r="I5" s="31" t="n">
        <x:v>0.0850425</x:v>
      </x:c>
      <x:c r="J5" s="31" t="n">
        <x:v>0.0850425</x:v>
      </x:c>
      <x:c r="K5" s="31" t="n">
        <x:v>0</x:v>
      </x:c>
      <x:c r="L5" s="31" t="n">
        <x:v>0.07653825</x:v>
      </x:c>
      <x:c r="M5" s="31" t="n">
        <x:v>0.00850425</x:v>
      </x:c>
      <x:c r="N5" s="24" t="str">
        <x:v>trachurus murphyi</x:v>
      </x:c>
      <x:c r="O5" s="32" t="n">
        <x:v>3.33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murphyi</x:v>
      </x:c>
      <x:c r="T5" s="32" t="n">
        <x:f>IF(O5="","",(1/'Metadata'!$B$5)^(O5-1))</x:f>
        <x:v>213.79620895022325</x:v>
      </x:c>
      <x:c r="U5" s="31" t="n">
        <x:f>IF(T5="","",I5*T5)</x:f>
        <x:v>18.18176409964936</x:v>
      </x:c>
    </x:row>
    <x:row r="6" ht="18" customHeight="1">
      <x:c r="A6" s="24" t="str">
        <x:v>EEZ_154</x:v>
      </x:c>
      <x:c r="B6" s="24" t="str">
        <x:v>Desventuradas Isl. (Chile)</x:v>
      </x:c>
      <x:c r="C6" s="24" t="str">
        <x:v>EEZ</x:v>
      </x:c>
      <x:c r="D6" s="30" t="n">
        <x:v>2019</x:v>
      </x:c>
      <x:c r="E6" s="24" t="str">
        <x:v>Perciformes</x:v>
      </x:c>
      <x:c r="F6" s="24" t="str">
        <x:v>Perch-likes</x:v>
      </x:c>
      <x:c r="G6" s="24" t="str">
        <x:v>Medium demersals (30 - 89 cm)</x:v>
      </x:c>
      <x:c r="H6" s="24" t="str">
        <x:v>Perch-likes</x:v>
      </x:c>
      <x:c r="I6" s="31" t="n">
        <x:v>0.055</x:v>
      </x:c>
      <x:c r="J6" s="31" t="n">
        <x:v>0.055</x:v>
      </x:c>
      <x:c r="K6" s="31" t="n">
        <x:v>0</x:v>
      </x:c>
      <x:c r="L6" s="31" t="n">
        <x:v>0.0495</x:v>
      </x:c>
      <x:c r="M6" s="31" t="n">
        <x:v>0.0055000000000000005</x:v>
      </x:c>
      <x:c r="N6" s="24" t="str">
        <x:v>perciformes</x:v>
      </x:c>
      <x:c r="O6" s="32" t="n">
        <x:v>3.53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Perciformes</x:v>
      </x:c>
      <x:c r="T6" s="32" t="n">
        <x:f>IF(O6="","",(1/'Metadata'!$B$5)^(O6-1))</x:f>
        <x:v>338.84415613920237</x:v>
      </x:c>
      <x:c r="U6" s="31" t="n">
        <x:f>IF(T6="","",I6*T6)</x:f>
        <x:v>18.63642858765613</x:v>
      </x:c>
    </x:row>
    <x:row r="7" ht="18" customHeight="1">
      <x:c r="A7" s="24" t="str">
        <x:v>EEZ_154</x:v>
      </x:c>
      <x:c r="B7" s="24" t="str">
        <x:v>Desventuradas Isl. (Chile)</x:v>
      </x:c>
      <x:c r="C7" s="24" t="str">
        <x:v>EEZ</x:v>
      </x:c>
      <x:c r="D7" s="30" t="n">
        <x:v>2019</x:v>
      </x:c>
      <x:c r="E7" s="24" t="str">
        <x:v>Caranx lugubris</x:v>
      </x:c>
      <x:c r="F7" s="24" t="str">
        <x:v>Black jack</x:v>
      </x:c>
      <x:c r="G7" s="24" t="str">
        <x:v>Large benthopelagics (&gt;=90 cm)</x:v>
      </x:c>
      <x:c r="H7" s="24" t="str">
        <x:v>Perch-likes</x:v>
      </x:c>
      <x:c r="I7" s="31" t="n">
        <x:v>0.05</x:v>
      </x:c>
      <x:c r="J7" s="31" t="n">
        <x:v>0.05</x:v>
      </x:c>
      <x:c r="K7" s="31" t="n">
        <x:v>0</x:v>
      </x:c>
      <x:c r="L7" s="31" t="n">
        <x:v>0.045000000000000005</x:v>
      </x:c>
      <x:c r="M7" s="31" t="n">
        <x:v>0.005</x:v>
      </x:c>
      <x:c r="N7" s="24" t="str">
        <x:v>caranx lugubris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lugubris</x:v>
      </x:c>
      <x:c r="T7" s="32" t="n">
        <x:f>IF(O7="","",(1/'Metadata'!$B$5)^(O7-1))</x:f>
        <x:v>3162.2776601683795</x:v>
      </x:c>
      <x:c r="U7" s="31" t="n">
        <x:f>IF(T7="","",I7*T7)</x:f>
        <x:v>158.11388300841898</x:v>
      </x:c>
    </x:row>
    <x:row r="8" ht="18" customHeight="1">
      <x:c r="A8" s="24" t="str">
        <x:v>EEZ_154</x:v>
      </x:c>
      <x:c r="B8" s="24" t="str">
        <x:v>Desventuradas Isl. (Chile)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0.022462951499999998</x:v>
      </x:c>
      <x:c r="J8" s="31" t="n">
        <x:v>0.022462951499999998</x:v>
      </x:c>
      <x:c r="K8" s="31" t="n">
        <x:v>0</x:v>
      </x:c>
      <x:c r="L8" s="31" t="n">
        <x:v>0.022462951499999998</x:v>
      </x:c>
      <x:c r="M8" s="31" t="n">
        <x:v>0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5.02882843576854</x:v>
      </x:c>
    </x:row>
    <x:row r="9" ht="18" customHeight="1">
      <x:c r="A9" s="24" t="str">
        <x:v>EEZ_154</x:v>
      </x:c>
      <x:c r="B9" s="24" t="str">
        <x:v>Desventuradas Isl. (Chile)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0.015155614599999999</x:v>
      </x:c>
      <x:c r="J9" s="31" t="n">
        <x:v>0.015155614599999999</x:v>
      </x:c>
      <x:c r="K9" s="31" t="n">
        <x:v>0</x:v>
      </x:c>
      <x:c r="L9" s="31" t="n">
        <x:v>0.015155614599999999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38.95592785311023</x:v>
      </x:c>
    </x:row>
    <x:row r="10" ht="18" customHeight="1">
      <x:c r="A10" s="24" t="str">
        <x:v>EEZ_154</x:v>
      </x:c>
      <x:c r="B10" s="24" t="str">
        <x:v>Desventuradas Isl. (Chile)</x:v>
      </x:c>
      <x:c r="C10" s="24" t="str">
        <x:v>EEZ</x:v>
      </x:c>
      <x:c r="D10" s="30" t="n">
        <x:v>2019</x:v>
      </x:c>
      <x:c r="E10" s="24" t="str">
        <x:v>Seriola lalandi</x:v>
      </x:c>
      <x:c r="F10" s="24" t="str">
        <x:v>Yellowtail amberjack</x:v>
      </x:c>
      <x:c r="G10" s="24" t="str">
        <x:v>Large benthopelagics (&gt;=90 cm)</x:v>
      </x:c>
      <x:c r="H10" s="24" t="str">
        <x:v>Perch-likes</x:v>
      </x:c>
      <x:c r="I10" s="31" t="n">
        <x:v>0.012</x:v>
      </x:c>
      <x:c r="J10" s="31" t="n">
        <x:v>0.012</x:v>
      </x:c>
      <x:c r="K10" s="31" t="n">
        <x:v>0</x:v>
      </x:c>
      <x:c r="L10" s="31" t="n">
        <x:v>0.0108</x:v>
      </x:c>
      <x:c r="M10" s="31" t="n">
        <x:v>0.0012000000000000001</x:v>
      </x:c>
      <x:c r="N10" s="24" t="str">
        <x:v>seriola lalandi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Seriola lalandi</x:v>
      </x:c>
      <x:c r="T10" s="32" t="n">
        <x:f>IF(O10="","",(1/'Metadata'!$B$5)^(O10-1))</x:f>
        <x:v>1445.439770745928</x:v>
      </x:c>
      <x:c r="U10" s="31" t="n">
        <x:f>IF(T10="","",I10*T10)</x:f>
        <x:v>17.345277248951135</x:v>
      </x:c>
    </x:row>
    <x:row r="11" ht="18" customHeight="1">
      <x:c r="A11" s="24" t="str">
        <x:v>EEZ_154</x:v>
      </x:c>
      <x:c r="B11" s="24" t="str">
        <x:v>Desventuradas Isl. (Chile)</x:v>
      </x:c>
      <x:c r="C11" s="24" t="str">
        <x:v>EEZ</x:v>
      </x:c>
      <x:c r="D11" s="30" t="n">
        <x:v>2019</x:v>
      </x:c>
      <x:c r="E11" s="24" t="str">
        <x:v>Katsuwonus pelamis</x:v>
      </x:c>
      <x:c r="F11" s="24" t="str">
        <x:v>Skipjack tuna</x:v>
      </x:c>
      <x:c r="G11" s="24" t="str">
        <x:v>Large pelagics (&gt;=90 cm)</x:v>
      </x:c>
      <x:c r="H11" s="24" t="str">
        <x:v>Tuna &amp; billfishes</x:v>
      </x:c>
      <x:c r="I11" s="31" t="n">
        <x:v>0.0007548982999999999</x:v>
      </x:c>
      <x:c r="J11" s="31" t="n">
        <x:v>0.0007548982999999999</x:v>
      </x:c>
      <x:c r="K11" s="31" t="n">
        <x:v>0</x:v>
      </x:c>
      <x:c r="L11" s="31" t="n">
        <x:v>0.0007548982999999999</x:v>
      </x:c>
      <x:c r="M11" s="31" t="n">
        <x:v>0</x:v>
      </x:c>
      <x:c r="N11" s="24" t="str">
        <x:v>katsuwonus pelamis</x:v>
      </x:c>
      <x:c r="O11" s="32" t="n">
        <x:v>4.43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Katsuwonus pelamis</x:v>
      </x:c>
      <x:c r="T11" s="32" t="n">
        <x:f>IF(O11="","",(1/'Metadata'!$B$5)^(O11-1))</x:f>
        <x:v>2691.534803926914</x:v>
      </x:c>
      <x:c r="U11" s="31" t="n">
        <x:f>IF(T11="","",I11*T11)</x:f>
        <x:v>2.0318350478752603</x:v>
      </x:c>
    </x:row>
    <x:row r="12" ht="18" customHeight="1">
      <x:c r="A12" s="24" t="str">
        <x:v>EEZ_154</x:v>
      </x:c>
      <x:c r="B12" s="24" t="str">
        <x:v>Desventuradas Isl. (Chile)</x:v>
      </x:c>
      <x:c r="C12" s="24" t="str">
        <x:v>EEZ</x:v>
      </x:c>
      <x:c r="D12" s="30" t="n">
        <x:v>2019</x:v>
      </x:c>
      <x:c r="E12" s="24" t="str">
        <x:v>Coryphaena</x:v>
      </x:c>
      <x:c r="F12" s="24" t="str">
        <x:v>Dolphinfishes</x:v>
      </x:c>
      <x:c r="G12" s="24" t="str">
        <x:v>Large pelagics (&gt;=90 cm)</x:v>
      </x:c>
      <x:c r="H12" s="24" t="str">
        <x:v>Perch-likes</x:v>
      </x:c>
      <x:c r="I12" s="31" t="n">
        <x:v>0.0000049254</x:v>
      </x:c>
      <x:c r="J12" s="31" t="n">
        <x:v>0.0000049254</x:v>
      </x:c>
      <x:c r="K12" s="31" t="n">
        <x:v>0</x:v>
      </x:c>
      <x:c r="L12" s="31" t="n">
        <x:v>0.0000049254</x:v>
      </x:c>
      <x:c r="M12" s="31" t="n">
        <x:v>0</x:v>
      </x:c>
      <x:c r="N12" s="24" t="str">
        <x:v>coryphaena</x:v>
      </x:c>
      <x:c r="O12" s="32" t="n">
        <x:v>4.49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Coryphaena</x:v>
      </x:c>
      <x:c r="T12" s="32" t="n">
        <x:f>IF(O12="","",(1/'Metadata'!$B$5)^(O12-1))</x:f>
        <x:v>3090.295432513592</x:v>
      </x:c>
      <x:c r="U12" s="31" t="n">
        <x:f>IF(T12="","",I12*T12)</x:f>
        <x:v>0.015220941123302446</x:v>
      </x:c>
    </x:row>
    <x:row r="13" ht="18" customHeight="1">
      <x:c r="A13" s="24" t="str">
        <x:v>EEZ_154</x:v>
      </x:c>
      <x:c r="B13" s="24" t="str">
        <x:v>Desventuradas Isl. (Chile)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0.0000036802</x:v>
      </x:c>
      <x:c r="J13" s="31" t="n">
        <x:v>0.0000036802</x:v>
      </x:c>
      <x:c r="K13" s="31" t="n">
        <x:v>0</x:v>
      </x:c>
      <x:c r="L13" s="31" t="n">
        <x:v>0.0000036802</x:v>
      </x:c>
      <x:c r="M13" s="31" t="n">
        <x:v>0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0.004129252315522084</x:v>
      </x:c>
    </x:row>
  </x:sheetData>
  <x:conditionalFormatting sqref="R2:R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7e176239db348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0.096</x:v>
      </x:c>
      <x:c r="E2" s="31" t="n">
        <x:v>0.096</x:v>
      </x:c>
      <x:c r="F2" s="32" t="n">
        <x:v>0</x:v>
      </x:c>
      <x:c r="G2" s="34" t="n">
        <x:v>1</x:v>
      </x:c>
      <x:c r="H2" s="32" t="n">
        <x:f>IF(E2=0,"",I2/E2)</x:f>
        <x:v>100</x:v>
      </x:c>
      <x:c r="I2" s="31" t="n">
        <x:f>IF(C2=0,"",SUMIF('Species'!$H$2:$H$13,A2,'Species'!$U$2:$U$13))</x:f>
        <x:v>9.6</x:v>
      </x:c>
      <x:c r="J2" s="32" t="n">
        <x:v>3.0000000000000004</x:v>
      </x:c>
      <x:c r="K2" s="32" t="n">
        <x:f>IF(J2="","",(1/'Metadata'!$B$5)^(J2-1))</x:f>
        <x:v>100.0000000000001</x:v>
      </x:c>
      <x:c r="L2" s="31" t="n">
        <x:f>IF(E2=0,"",E2*K2)</x:f>
        <x:v>9.60000000000001</x:v>
      </x:c>
      <x:c r="M2" s="31" t="n">
        <x:f>IF(E2=0,"",I2-L2)</x:f>
        <x:v>-1.0658141036401503e-14</x:v>
      </x:c>
      <x:c r="N2" s="32" t="n">
        <x:f>IF(L2=0,"",I2/L2)</x:f>
        <x:v>0.9999999999999989</x:v>
      </x:c>
      <x:c r="O2" s="34" t="n">
        <x:f>IF(L2=0,"",M2/L2)</x:f>
        <x:v>-1.1102230246251554e-15</x:v>
      </x:c>
    </x:row>
    <x:row r="3" ht="18" customHeight="1">
      <x:c r="A3" s="24" t="str">
        <x:v>Other fishes &amp; inverts</x:v>
      </x:c>
      <x:c r="B3" s="33" t="n">
        <x:v>2</x:v>
      </x:c>
      <x:c r="C3" s="33" t="n">
        <x:v>2</x:v>
      </x:c>
      <x:c r="D3" s="31" t="n">
        <x:v>21.0724629515</x:v>
      </x:c>
      <x:c r="E3" s="31" t="n">
        <x:v>21.0724629515</x:v>
      </x:c>
      <x:c r="F3" s="32" t="n">
        <x:v>0</x:v>
      </x:c>
      <x:c r="G3" s="34" t="n">
        <x:v>1</x:v>
      </x:c>
      <x:c r="H3" s="32" t="n">
        <x:f>IF(E3=0,"",I3/E3)</x:f>
        <x:v>190.581596892191</x:v>
      </x:c>
      <x:c r="I3" s="31" t="n">
        <x:f>IF(C3=0,"",SUMIF('Species'!$H$2:$H$13,A3,'Species'!$U$2:$U$13))</x:f>
        <x:v>4016.0236397484023</x:v>
      </x:c>
      <x:c r="J3" s="32" t="n">
        <x:v>3.280074619023349</x:v>
      </x:c>
      <x:c r="K3" s="32" t="n">
        <x:f>IF(J3="","",(1/'Metadata'!$B$5)^(J3-1))</x:f>
        <x:v>190.57881359691982</x:v>
      </x:c>
      <x:c r="L3" s="31" t="n">
        <x:f>IF(E3=0,"",E3*K3)</x:f>
        <x:v>4015.9649888619174</x:v>
      </x:c>
      <x:c r="M3" s="31" t="n">
        <x:f>IF(E3=0,"",I3-L3)</x:f>
        <x:v>0.05865088648488381</x:v>
      </x:c>
      <x:c r="N3" s="32" t="n">
        <x:f>IF(L3=0,"",I3/L3)</x:f>
        <x:v>1.0000146044317237</x:v>
      </x:c>
      <x:c r="O3" s="34" t="n">
        <x:f>IF(L3=0,"",M3/L3)</x:f>
        <x:v>0.000014604431723769799</x:v>
      </x:c>
    </x:row>
    <x:row r="4" ht="18" customHeight="1">
      <x:c r="A4" s="24" t="str">
        <x:v>Perch-likes</x:v>
      </x:c>
      <x:c r="B4" s="33" t="n">
        <x:v>6</x:v>
      </x:c>
      <x:c r="C4" s="33" t="n">
        <x:v>6</x:v>
      </x:c>
      <x:c r="D4" s="31" t="n">
        <x:v>0.2020511056</x:v>
      </x:c>
      <x:c r="E4" s="31" t="n">
        <x:v>0.2020511056</x:v>
      </x:c>
      <x:c r="F4" s="32" t="n">
        <x:v>0</x:v>
      </x:c>
      <x:c r="G4" s="34" t="n">
        <x:v>1</x:v>
      </x:c>
      <x:c r="H4" s="32" t="n">
        <x:f>IF(E4=0,"",I4/E4)</x:f>
        <x:v>1050.7079508804945</x:v>
      </x:c>
      <x:c r="I4" s="31" t="n">
        <x:f>IF(C4=0,"",SUMIF('Species'!$H$2:$H$13,A4,'Species'!$U$2:$U$13))</x:f>
        <x:v>212.29670313811442</x:v>
      </x:c>
      <x:c r="J4" s="32" t="n">
        <x:v>3.723308232449484</x:v>
      </x:c>
      <x:c r="K4" s="32" t="n">
        <x:f>IF(J4="","",(1/'Metadata'!$B$5)^(J4-1))</x:f>
        <x:v>528.8204391118348</x:v>
      </x:c>
      <x:c r="L4" s="31" t="n">
        <x:f>IF(E4=0,"",E4*K4)</x:f>
        <x:v>106.8487543864237</x:v>
      </x:c>
      <x:c r="M4" s="31" t="n">
        <x:f>IF(E4=0,"",I4-L4)</x:f>
        <x:v>105.44794875169072</x:v>
      </x:c>
      <x:c r="N4" s="32" t="n">
        <x:f>IF(L4=0,"",I4/L4)</x:f>
        <x:v>1.986889827188187</x:v>
      </x:c>
      <x:c r="O4" s="34" t="n">
        <x:f>IF(L4=0,"",M4/L4)</x:f>
        <x:v>0.9868898271881869</x:v>
      </x:c>
    </x:row>
    <x:row r="5" ht="18" customHeight="1">
      <x:c r="A5" s="24" t="str">
        <x:v>Tuna &amp; billfishes</x:v>
      </x:c>
      <x:c r="B5" s="33" t="n">
        <x:v>3</x:v>
      </x:c>
      <x:c r="C5" s="33" t="n">
        <x:v>3</x:v>
      </x:c>
      <x:c r="D5" s="31" t="n">
        <x:v>0.1653193709</x:v>
      </x:c>
      <x:c r="E5" s="31" t="n">
        <x:v>0.1653193709</x:v>
      </x:c>
      <x:c r="F5" s="32" t="n">
        <x:v>0</x:v>
      </x:c>
      <x:c r="G5" s="34" t="n">
        <x:v>1</x:v>
      </x:c>
      <x:c r="H5" s="32" t="n">
        <x:f>IF(E5=0,"",I5/E5)</x:f>
        <x:v>3040.812892153688</x:v>
      </x:c>
      <x:c r="I5" s="31" t="n">
        <x:f>IF(C5=0,"",SUMIF('Species'!$H$2:$H$13,A5,'Species'!$U$2:$U$13))</x:f>
        <x:v>502.70527435545733</x:v>
      </x:c>
      <x:c r="J5" s="32" t="n">
        <x:v>4.482392040574841</x:v>
      </x:c>
      <x:c r="K5" s="32" t="n">
        <x:f>IF(J5="","",(1/'Metadata'!$B$5)^(J5-1))</x:f>
        <x:v>3036.6311348465365</x:v>
      </x:c>
      <x:c r="L5" s="31" t="n">
        <x:f>IF(E5=0,"",E5*K5)</x:f>
        <x:v>502.0139488681825</x:v>
      </x:c>
      <x:c r="M5" s="31" t="n">
        <x:f>IF(E5=0,"",I5-L5)</x:f>
        <x:v>0.6913254872748098</x:v>
      </x:c>
      <x:c r="N5" s="32" t="n">
        <x:f>IF(L5=0,"",I5/L5)</x:f>
        <x:v>1.0013771041399018</x:v>
      </x:c>
      <x:c r="O5" s="34" t="n">
        <x:f>IF(L5=0,"",M5/L5)</x:f>
        <x:v>0.0013771041399017704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214081f70954b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2</x:v>
      </x:c>
      <x:c r="C2" s="33" t="n">
        <x:v>2</x:v>
      </x:c>
      <x:c r="D2" s="31" t="n">
        <x:v>0.062</x:v>
      </x:c>
      <x:c r="E2" s="31" t="n">
        <x:v>0.062</x:v>
      </x:c>
      <x:c r="F2" s="32" t="n">
        <x:v>0</x:v>
      </x:c>
      <x:c r="G2" s="34" t="n">
        <x:v>1</x:v>
      </x:c>
      <x:c r="H2" s="32" t="n">
        <x:f>IF(E2=0,"",I2/E2)</x:f>
        <x:v>2829.986455764034</x:v>
      </x:c>
      <x:c r="I2" s="31" t="n">
        <x:f>IF(C2=0,"",SUMIF('Species'!$G$2:$G$13,A2,'Species'!$U$2:$U$13))</x:f>
        <x:v>175.45916025737012</x:v>
      </x:c>
      <x:c r="J2" s="32" t="n">
        <x:v>4.434193548387097</x:v>
      </x:c>
      <x:c r="K2" s="32" t="n">
        <x:f>IF(J2="","",(1/'Metadata'!$B$5)^(J2-1))</x:f>
        <x:v>2717.650151395788</x:v>
      </x:c>
      <x:c r="L2" s="31" t="n">
        <x:f>IF(E2=0,"",E2*K2)</x:f>
        <x:v>168.49430938653884</x:v>
      </x:c>
      <x:c r="M2" s="31" t="n">
        <x:f>IF(E2=0,"",I2-L2)</x:f>
        <x:v>6.96485087083127</x:v>
      </x:c>
      <x:c r="N2" s="32" t="n">
        <x:f>IF(L2=0,"",I2/L2)</x:f>
        <x:v>1.0413358225342397</x:v>
      </x:c>
      <x:c r="O2" s="34" t="n">
        <x:f>IF(L2=0,"",M2/L2)</x:f>
        <x:v>0.041335822534239834</x:v>
      </x:c>
    </x:row>
    <x:row r="3" ht="18" customHeight="1">
      <x:c r="A3" s="24" t="str">
        <x:v>Large pelagics (&gt;=90 cm)</x:v>
      </x:c>
      <x:c r="B3" s="33" t="n">
        <x:v>4</x:v>
      </x:c>
      <x:c r="C3" s="33" t="n">
        <x:v>4</x:v>
      </x:c>
      <x:c r="D3" s="31" t="n">
        <x:v>0.1653242963</x:v>
      </x:c>
      <x:c r="E3" s="31" t="n">
        <x:v>0.1653242963</x:v>
      </x:c>
      <x:c r="F3" s="32" t="n">
        <x:v>0</x:v>
      </x:c>
      <x:c r="G3" s="34" t="n">
        <x:v>1</x:v>
      </x:c>
      <x:c r="H3" s="32" t="n">
        <x:f>IF(E3=0,"",I3/E3)</x:f>
        <x:v>3040.8143663550595</x:v>
      </x:c>
      <x:c r="I3" s="31" t="n">
        <x:f>IF(C3=0,"",SUMIF('Species'!$G$2:$G$13,A3,'Species'!$U$2:$U$13))</x:f>
        <x:v>502.7204952965806</x:v>
      </x:c>
      <x:c r="J3" s="32" t="n">
        <x:v>4.482392267233863</x:v>
      </x:c>
      <x:c r="K3" s="32" t="n">
        <x:f>IF(J3="","",(1/'Metadata'!$B$5)^(J3-1))</x:f>
        <x:v>3036.6327196698585</x:v>
      </x:c>
      <x:c r="L3" s="31" t="n">
        <x:f>IF(E3=0,"",E3*K3)</x:f>
        <x:v>502.02916750097455</x:v>
      </x:c>
      <x:c r="M3" s="31" t="n">
        <x:f>IF(E3=0,"",I3-L3)</x:f>
        <x:v>0.691327795606071</x:v>
      </x:c>
      <x:c r="N3" s="32" t="n">
        <x:f>IF(L3=0,"",I3/L3)</x:f>
        <x:v>1.0013770669920383</x:v>
      </x:c>
      <x:c r="O3" s="34" t="n">
        <x:f>IF(L3=0,"",M3/L3)</x:f>
        <x:v>0.0013770669920383242</x:v>
      </x:c>
    </x:row>
    <x:row r="4" ht="18" customHeight="1">
      <x:c r="A4" s="24" t="str">
        <x:v>Medium demersals (30 - 89 cm)</x:v>
      </x:c>
      <x:c r="B4" s="33" t="n">
        <x:v>2</x:v>
      </x:c>
      <x:c r="C4" s="33" t="n">
        <x:v>2</x:v>
      </x:c>
      <x:c r="D4" s="31" t="n">
        <x:v>21.105</x:v>
      </x:c>
      <x:c r="E4" s="31" t="n">
        <x:v>21.105</x:v>
      </x:c>
      <x:c r="F4" s="32" t="n">
        <x:v>0</x:v>
      </x:c>
      <x:c r="G4" s="34" t="n">
        <x:v>1</x:v>
      </x:c>
      <x:c r="H4" s="32" t="n">
        <x:f>IF(E4=0,"",I4/E4)</x:f>
        <x:v>190.93253920399383</x:v>
      </x:c>
      <x:c r="I4" s="31" t="n">
        <x:f>IF(C4=0,"",SUMIF('Species'!$G$2:$G$13,A4,'Species'!$U$2:$U$13))</x:f>
        <x:v>4029.63123990029</x:v>
      </x:c>
      <x:c r="J4" s="32" t="n">
        <x:v>3.2806515043828472</x:v>
      </x:c>
      <x:c r="K4" s="32" t="n">
        <x:f>IF(J4="","",(1/'Metadata'!$B$5)^(J4-1))</x:f>
        <x:v>190.8321329088237</x:v>
      </x:c>
      <x:c r="L4" s="31" t="n">
        <x:f>IF(E4=0,"",E4*K4)</x:f>
        <x:v>4027.512165040724</x:v>
      </x:c>
      <x:c r="M4" s="31" t="n">
        <x:f>IF(E4=0,"",I4-L4)</x:f>
        <x:v>2.119074859565899</x:v>
      </x:c>
      <x:c r="N4" s="32" t="n">
        <x:f>IF(L4=0,"",I4/L4)</x:f>
        <x:v>1.0005261498346198</x:v>
      </x:c>
      <x:c r="O4" s="34" t="n">
        <x:f>IF(L4=0,"",M4/L4)</x:f>
        <x:v>0.0005261498346199214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0.10750913169999998</x:v>
      </x:c>
      <x:c r="E5" s="31" t="n">
        <x:v>0.10750913169999998</x:v>
      </x:c>
      <x:c r="F5" s="32" t="n">
        <x:v>0</x:v>
      </x:c>
      <x:c r="G5" s="34" t="n">
        <x:v>1</x:v>
      </x:c>
      <x:c r="H5" s="32" t="n">
        <x:f>IF(E5=0,"",I5/E5)</x:f>
        <x:v>215.93255773391598</x:v>
      </x:c>
      <x:c r="I5" s="31" t="n">
        <x:f>IF(C5=0,"",SUMIF('Species'!$G$2:$G$13,A5,'Species'!$U$2:$U$13))</x:f>
        <x:v>23.214721787733424</x:v>
      </x:c>
      <x:c r="J5" s="32" t="n">
        <x:v>3.334203445482762</x:v>
      </x:c>
      <x:c r="K5" s="32" t="n">
        <x:f>IF(J5="","",(1/'Metadata'!$B$5)^(J5-1))</x:f>
        <x:v>215.87554424684095</x:v>
      </x:c>
      <x:c r="L5" s="31" t="n">
        <x:f>IF(E5=0,"",E5*K5)</x:f>
        <x:v>23.208592317242797</x:v>
      </x:c>
      <x:c r="M5" s="31" t="n">
        <x:f>IF(E5=0,"",I5-L5)</x:f>
        <x:v>0.006129470490627398</x:v>
      </x:c>
      <x:c r="N5" s="32" t="n">
        <x:f>IF(L5=0,"",I5/L5)</x:f>
        <x:v>1.000264103501274</x:v>
      </x:c>
      <x:c r="O5" s="34" t="n">
        <x:f>IF(L5=0,"",M5/L5)</x:f>
        <x:v>0.0002641035012741171</x:v>
      </x:c>
    </x:row>
    <x:row r="6" ht="18" customHeight="1">
      <x:c r="A6" s="24" t="str">
        <x:v>Shrimps</x:v>
      </x:c>
      <x:c r="B6" s="33" t="n">
        <x:v>1</x:v>
      </x:c>
      <x:c r="C6" s="33" t="n">
        <x:v>1</x:v>
      </x:c>
      <x:c r="D6" s="31" t="n">
        <x:v>0.096</x:v>
      </x:c>
      <x:c r="E6" s="31" t="n">
        <x:v>0.096</x:v>
      </x:c>
      <x:c r="F6" s="32" t="n">
        <x:v>0</x:v>
      </x:c>
      <x:c r="G6" s="34" t="n">
        <x:v>1</x:v>
      </x:c>
      <x:c r="H6" s="32" t="n">
        <x:f>IF(E6=0,"",I6/E6)</x:f>
        <x:v>100</x:v>
      </x:c>
      <x:c r="I6" s="31" t="n">
        <x:f>IF(C6=0,"",SUMIF('Species'!$G$2:$G$13,A6,'Species'!$U$2:$U$13))</x:f>
        <x:v>9.6</x:v>
      </x:c>
      <x:c r="J6" s="32" t="n">
        <x:v>3.0000000000000004</x:v>
      </x:c>
      <x:c r="K6" s="32" t="n">
        <x:f>IF(J6="","",(1/'Metadata'!$B$5)^(J6-1))</x:f>
        <x:v>100.0000000000001</x:v>
      </x:c>
      <x:c r="L6" s="31" t="n">
        <x:f>IF(E6=0,"",E6*K6)</x:f>
        <x:v>9.60000000000001</x:v>
      </x:c>
      <x:c r="M6" s="31" t="n">
        <x:f>IF(E6=0,"",I6-L6)</x:f>
        <x:v>-1.0658141036401503e-14</x:v>
      </x:c>
      <x:c r="N6" s="32" t="n">
        <x:f>IF(L6=0,"",I6/L6)</x:f>
        <x:v>0.9999999999999989</x:v>
      </x:c>
      <x:c r="O6" s="34" t="n">
        <x:f>IF(L6=0,"",M6/L6)</x:f>
        <x:v>-1.1102230246251554e-15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73890ec240146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EEZ_154</x:v>
      </x:c>
      <x:c r="B2" s="24" t="str">
        <x:v>raw_filtered_tonnes</x:v>
      </x:c>
      <x:c r="C2" s="24" t="n">
        <x:v>21.535833428</x:v>
      </x:c>
      <x:c r="D2" s="24" t="str">
        <x:v>tonnes</x:v>
      </x:c>
    </x:row>
    <x:row r="3" ht="18" customHeight="1">
      <x:c r="A3" s="24" t="str">
        <x:v>EEZ_154</x:v>
      </x:c>
      <x:c r="B3" s="24" t="str">
        <x:v>species_catch_tonnes</x:v>
      </x:c>
      <x:c r="C3" s="24" t="n">
        <x:v>21.535833428</x:v>
      </x:c>
      <x:c r="D3" s="24" t="str">
        <x:v>tonnes</x:v>
      </x:c>
    </x:row>
    <x:row r="4" ht="18" customHeight="1">
      <x:c r="A4" s="24" t="str">
        <x:v>EEZ_154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EEZ_154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EEZ_154</x:v>
      </x:c>
      <x:c r="B6" s="24" t="str">
        <x:v>matched_catch_tonnes</x:v>
      </x:c>
      <x:c r="C6" s="24" t="n">
        <x:v>21.535833428</x:v>
      </x:c>
      <x:c r="D6" s="24" t="str">
        <x:v>tonnes</x:v>
      </x:c>
    </x:row>
    <x:row r="7" ht="18" customHeight="1">
      <x:c r="A7" s="24" t="str">
        <x:v>EEZ_154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EEZ_154</x:v>
      </x:c>
      <x:c r="B8" s="24" t="str">
        <x:v>taxa_count</x:v>
      </x:c>
      <x:c r="C8" s="24" t="n">
        <x:v>12</x:v>
      </x:c>
      <x:c r="D8" s="24" t="str">
        <x:v>count</x:v>
      </x:c>
    </x:row>
    <x:row r="9" ht="18" customHeight="1">
      <x:c r="A9" s="24" t="str">
        <x:v>EEZ_154</x:v>
      </x:c>
      <x:c r="B9" s="24" t="str">
        <x:v>matched_taxa_count</x:v>
      </x:c>
      <x:c r="C9" s="24" t="n">
        <x:v>12</x:v>
      </x:c>
      <x:c r="D9" s="24" t="str">
        <x:v>count</x:v>
      </x:c>
    </x:row>
    <x:row r="10" ht="18" customHeight="1">
      <x:c r="A10" s="24" t="str">
        <x:v>EEZ_154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EEZ_154</x:v>
      </x:c>
      <x:c r="B11" s="24" t="str">
        <x:v>species_ppr</x:v>
      </x:c>
      <x:c r="C11" s="24" t="n">
        <x:v>4740.625617241974</x:v>
      </x:c>
      <x:c r="D11" s="24" t="str">
        <x:v>tonnes_primary_production_equivalent</x:v>
      </x:c>
    </x:row>
    <x:row r="12" ht="18" customHeight="1">
      <x:c r="A12" s="24" t="str">
        <x:v>EEZ_154</x:v>
      </x:c>
      <x:c r="B12" s="24" t="str">
        <x:v>commercial_ppr</x:v>
      </x:c>
      <x:c r="C12" s="24" t="n">
        <x:v>4740.625617241974</x:v>
      </x:c>
      <x:c r="D12" s="24" t="str">
        <x:v>tonnes_primary_production_equivalent</x:v>
      </x:c>
    </x:row>
    <x:row r="13" ht="18" customHeight="1">
      <x:c r="A13" s="24" t="str">
        <x:v>EEZ_154</x:v>
      </x:c>
      <x:c r="B13" s="24" t="str">
        <x:v>functional_ppr</x:v>
      </x:c>
      <x:c r="C13" s="24" t="n">
        <x:v>4740.625617241974</x:v>
      </x:c>
      <x:c r="D13" s="24" t="str">
        <x:v>tonnes_primary_production_equivalent</x:v>
      </x:c>
    </x:row>
    <x:row r="14" ht="18" customHeight="1">
      <x:c r="A14" s="24" t="str">
        <x:v>EEZ_154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EEZ_154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EEZ_154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EEZ_154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EEZ_154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EEZ_154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ba8743c089a4e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EEZ_154 - Desventuradas Isl. (Chile)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