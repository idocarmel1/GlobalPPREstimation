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440dde29f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e5ccf1602d4e4d"/>
    <x:sheet xmlns:r="http://schemas.openxmlformats.org/officeDocument/2006/relationships" name="Commercial" sheetId="2" r:id="R361c7b695eb84668"/>
    <x:sheet xmlns:r="http://schemas.openxmlformats.org/officeDocument/2006/relationships" name="Functional" sheetId="3" r:id="Rd9761487c6ae4eef"/>
    <x:sheet xmlns:r="http://schemas.openxmlformats.org/officeDocument/2006/relationships" name="Missing TL" sheetId="4" r:id="R96b4507e2e6d4c91"/>
    <x:sheet xmlns:r="http://schemas.openxmlformats.org/officeDocument/2006/relationships" name="Validation" sheetId="5" r:id="R09899afbc6ba4a57"/>
    <x:sheet xmlns:r="http://schemas.openxmlformats.org/officeDocument/2006/relationships" name="Metadata" sheetId="6" r:id="R3bc18b924a61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4f6b1a6764b07" /><Relationship Type="http://schemas.openxmlformats.org/officeDocument/2006/relationships/theme" Target="/xl/theme/theme1.xml" Id="R07a17e2c7d644223" /><Relationship Type="http://schemas.microsoft.com/office/2022/11/relationships/FeaturePropertyBag" Target="/xl/featurePropertyBag/featurePropertyBag.xml" Id="Rd65ff0d51853475d" /><Relationship Type="http://schemas.openxmlformats.org/officeDocument/2006/relationships/sharedStrings" Target="/xl/sharedStrings.xml" Id="R4063ace61cc74dff" /><Relationship Type="http://schemas.openxmlformats.org/officeDocument/2006/relationships/worksheet" Target="/xl/worksheets/sheet1.xml" Id="R4be5ccf1602d4e4d" /><Relationship Type="http://schemas.openxmlformats.org/officeDocument/2006/relationships/worksheet" Target="/xl/worksheets/sheet2.xml" Id="R361c7b695eb84668" /><Relationship Type="http://schemas.openxmlformats.org/officeDocument/2006/relationships/worksheet" Target="/xl/worksheets/sheet3.xml" Id="Rd9761487c6ae4eef" /><Relationship Type="http://schemas.openxmlformats.org/officeDocument/2006/relationships/worksheet" Target="/xl/worksheets/sheet4.xml" Id="R96b4507e2e6d4c91" /><Relationship Type="http://schemas.openxmlformats.org/officeDocument/2006/relationships/worksheet" Target="/xl/worksheets/sheet5.xml" Id="R09899afbc6ba4a57" /><Relationship Type="http://schemas.openxmlformats.org/officeDocument/2006/relationships/worksheet" Target="/xl/worksheets/sheet6.xml" Id="R3bc18b924a6142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54SpeciesTable" displayName="EEZ654SpeciesTable" ref="A1:U21" headerRowCount="1" totalsRowCount="0" totalsRowShown="0">
  <x:autoFilter ref="A1:U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54CommercialTable" displayName="EEZ654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54FunctionalTable" displayName="EEZ654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54ValidationTable" displayName="EEZ65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3d0bc555d4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3f3e5d233d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629437e9844d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817871c4445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EEZ_654</x:v>
      </x:c>
      <x:c r="B2" s="24" t="str">
        <x:v>Saint Helena (UK)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301.6620850745</x:v>
      </x:c>
      <x:c r="J2" s="31" t="n">
        <x:v>301.6620850745</x:v>
      </x:c>
      <x:c r="K2" s="31" t="n">
        <x:v>0</x:v>
      </x:c>
      <x:c r="L2" s="31" t="n">
        <x:v>301.6620850745</x:v>
      </x:c>
      <x:c r="M2" s="31" t="n">
        <x:v>0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775390.9512967572</x:v>
      </x:c>
    </x:row>
    <x:row r="3" ht="18" customHeight="1">
      <x:c r="A3" s="24" t="str">
        <x:v>EEZ_654</x:v>
      </x:c>
      <x:c r="B3" s="24" t="str">
        <x:v>Saint Helena (UK)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100.183327334</x:v>
      </x:c>
      <x:c r="J3" s="31" t="n">
        <x:v>100.183327334</x:v>
      </x:c>
      <x:c r="K3" s="31" t="n">
        <x:v>0</x:v>
      </x:c>
      <x:c r="L3" s="31" t="n">
        <x:v>77.39</x:v>
      </x:c>
      <x:c r="M3" s="31" t="n">
        <x:v>22.793327333999997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19089.539482979057</x:v>
      </x:c>
    </x:row>
    <x:row r="4" ht="18" customHeight="1">
      <x:c r="A4" s="24" t="str">
        <x:v>EEZ_654</x:v>
      </x:c>
      <x:c r="B4" s="24" t="str">
        <x:v>Saint Helena (UK)</x:v>
      </x:c>
      <x:c r="C4" s="24" t="str">
        <x:v>EEZ</x:v>
      </x:c>
      <x:c r="D4" s="30" t="n">
        <x:v>2019</x:v>
      </x:c>
      <x:c r="E4" s="24" t="str">
        <x:v>Katsuwonus pelamis</x:v>
      </x:c>
      <x:c r="F4" s="24" t="str">
        <x:v>Skipjack tuna</x:v>
      </x:c>
      <x:c r="G4" s="24" t="str">
        <x:v>Large pelagics (&gt;=90 cm)</x:v>
      </x:c>
      <x:c r="H4" s="24" t="str">
        <x:v>Tuna &amp; billfishes</x:v>
      </x:c>
      <x:c r="I4" s="31" t="n">
        <x:v>28.395460104</x:v>
      </x:c>
      <x:c r="J4" s="31" t="n">
        <x:v>28.395460104</x:v>
      </x:c>
      <x:c r="K4" s="31" t="n">
        <x:v>0</x:v>
      </x:c>
      <x:c r="L4" s="31" t="n">
        <x:v>28.39</x:v>
      </x:c>
      <x:c r="M4" s="31" t="n">
        <x:v>0.005460104</x:v>
      </x:c>
      <x:c r="N4" s="24" t="str">
        <x:v>katsuwonus pelamis</x:v>
      </x:c>
      <x:c r="O4" s="32" t="n">
        <x:v>4.43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Katsuwonus pelamis</x:v>
      </x:c>
      <x:c r="T4" s="32" t="n">
        <x:f>IF(O4="","",(1/'Metadata'!$B$5)^(O4-1))</x:f>
        <x:v>2691.534803926914</x:v>
      </x:c>
      <x:c r="U4" s="31" t="n">
        <x:f>IF(T4="","",I4*T4)</x:f>
        <x:v>76427.36914343415</x:v>
      </x:c>
    </x:row>
    <x:row r="5" ht="18" customHeight="1">
      <x:c r="A5" s="24" t="str">
        <x:v>EEZ_654</x:v>
      </x:c>
      <x:c r="B5" s="24" t="str">
        <x:v>Saint Helena (UK)</x:v>
      </x:c>
      <x:c r="C5" s="24" t="str">
        <x:v>EEZ</x:v>
      </x:c>
      <x:c r="D5" s="30" t="n">
        <x:v>2019</x:v>
      </x:c>
      <x:c r="E5" s="24" t="str">
        <x:v>Thunnus</x:v>
      </x:c>
      <x:c r="F5" s="24" t="str">
        <x:v>Tunas</x:v>
      </x:c>
      <x:c r="G5" s="24" t="str">
        <x:v>Large pelagics (&gt;=90 cm)</x:v>
      </x:c>
      <x:c r="H5" s="24" t="str">
        <x:v>Tuna &amp; billfishes</x:v>
      </x:c>
      <x:c r="I5" s="31" t="n">
        <x:v>28.12325462</x:v>
      </x:c>
      <x:c r="J5" s="31" t="n">
        <x:v>28.12325462</x:v>
      </x:c>
      <x:c r="K5" s="31" t="n">
        <x:v>0</x:v>
      </x:c>
      <x:c r="L5" s="31" t="n">
        <x:v>0</x:v>
      </x:c>
      <x:c r="M5" s="31" t="n">
        <x:v>28.12325462</x:v>
      </x:c>
      <x:c r="N5" s="24" t="str">
        <x:v>thunnus</x:v>
      </x:c>
      <x:c r="O5" s="32" t="n">
        <x:v>4.34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Thunnus</x:v>
      </x:c>
      <x:c r="T5" s="32" t="n">
        <x:f>IF(O5="","",(1/'Metadata'!$B$5)^(O5-1))</x:f>
        <x:v>2187.761623949552</x:v>
      </x:c>
      <x:c r="U5" s="31" t="n">
        <x:f>IF(T5="","",I5*T5)</x:f>
        <x:v>61526.97719819794</x:v>
      </x:c>
    </x:row>
    <x:row r="6" ht="18" customHeight="1">
      <x:c r="A6" s="24" t="str">
        <x:v>EEZ_654</x:v>
      </x:c>
      <x:c r="B6" s="24" t="str">
        <x:v>Saint Helena (UK)</x:v>
      </x:c>
      <x:c r="C6" s="24" t="str">
        <x:v>EEZ</x:v>
      </x:c>
      <x:c r="D6" s="30" t="n">
        <x:v>2019</x:v>
      </x:c>
      <x:c r="E6" s="24" t="str">
        <x:v>Cookeolus japonicus</x:v>
      </x:c>
      <x:c r="F6" s="24" t="str">
        <x:v>Longfinned bullseye</x:v>
      </x:c>
      <x:c r="G6" s="24" t="str">
        <x:v>Medium benthopelagics (30 - 89 cm)</x:v>
      </x:c>
      <x:c r="H6" s="24" t="str">
        <x:v>Perch-likes</x:v>
      </x:c>
      <x:c r="I6" s="31" t="n">
        <x:v>22.5757572</x:v>
      </x:c>
      <x:c r="J6" s="31" t="n">
        <x:v>22.5757572</x:v>
      </x:c>
      <x:c r="K6" s="31" t="n">
        <x:v>0</x:v>
      </x:c>
      <x:c r="L6" s="31" t="n">
        <x:v>0</x:v>
      </x:c>
      <x:c r="M6" s="31" t="n">
        <x:v>22.5757572</x:v>
      </x:c>
      <x:c r="N6" s="24" t="str">
        <x:v>cookeolus japonicus</x:v>
      </x:c>
      <x:c r="O6" s="32" t="n">
        <x:v>3.5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Cookeolus japonicus</x:v>
      </x:c>
      <x:c r="T6" s="32" t="n">
        <x:f>IF(O6="","",(1/'Metadata'!$B$5)^(O6-1))</x:f>
        <x:v>316.22776601683796</x:v>
      </x:c>
      <x:c r="U6" s="31" t="n">
        <x:f>IF(T6="","",I6*T6)</x:f>
        <x:v>7139.081265494546</x:v>
      </x:c>
    </x:row>
    <x:row r="7" ht="18" customHeight="1">
      <x:c r="A7" s="24" t="str">
        <x:v>EEZ_654</x:v>
      </x:c>
      <x:c r="B7" s="24" t="str">
        <x:v>Saint Helena (UK)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15</x:v>
      </x:c>
      <x:c r="J7" s="31" t="n">
        <x:v>15</x:v>
      </x:c>
      <x:c r="K7" s="31" t="n">
        <x:v>0</x:v>
      </x:c>
      <x:c r="L7" s="31" t="n">
        <x:v>15</x:v>
      </x:c>
      <x:c r="M7" s="31" t="n">
        <x:v>0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14324.88879032154</x:v>
      </x:c>
    </x:row>
    <x:row r="8" ht="18" customHeight="1">
      <x:c r="A8" s="24" t="str">
        <x:v>EEZ_654</x:v>
      </x:c>
      <x:c r="B8" s="24" t="str">
        <x:v>Saint Helena (UK)</x:v>
      </x:c>
      <x:c r="C8" s="24" t="str">
        <x:v>EEZ</x:v>
      </x:c>
      <x:c r="D8" s="30" t="n">
        <x:v>2019</x:v>
      </x:c>
      <x:c r="E8" s="24" t="str">
        <x:v>Acanthocybium solandri</x:v>
      </x:c>
      <x:c r="F8" s="24" t="str">
        <x:v>Wahoo</x:v>
      </x:c>
      <x:c r="G8" s="24" t="str">
        <x:v>Large pelagics (&gt;=90 cm)</x:v>
      </x:c>
      <x:c r="H8" s="24" t="str">
        <x:v>Perch-likes</x:v>
      </x:c>
      <x:c r="I8" s="31" t="n">
        <x:v>5</x:v>
      </x:c>
      <x:c r="J8" s="31" t="n">
        <x:v>5</x:v>
      </x:c>
      <x:c r="K8" s="31" t="n">
        <x:v>0</x:v>
      </x:c>
      <x:c r="L8" s="31" t="n">
        <x:v>5</x:v>
      </x:c>
      <x:c r="M8" s="31" t="n">
        <x:v>0</x:v>
      </x:c>
      <x:c r="N8" s="24" t="str">
        <x:v>acanthocybium solandri</x:v>
      </x:c>
      <x:c r="O8" s="32" t="n">
        <x:v>4.26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Acanthocybium solandri</x:v>
      </x:c>
      <x:c r="T8" s="32" t="n">
        <x:f>IF(O8="","",(1/'Metadata'!$B$5)^(O8-1))</x:f>
        <x:v>1819.7008586099826</x:v>
      </x:c>
      <x:c r="U8" s="31" t="n">
        <x:f>IF(T8="","",I8*T8)</x:f>
        <x:v>9098.504293049913</x:v>
      </x:c>
    </x:row>
    <x:row r="9" ht="18" customHeight="1">
      <x:c r="A9" s="24" t="str">
        <x:v>EEZ_654</x:v>
      </x:c>
      <x:c r="B9" s="24" t="str">
        <x:v>Saint Helena (UK)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4.872</x:v>
      </x:c>
      <x:c r="J9" s="31" t="n">
        <x:v>4.872</x:v>
      </x:c>
      <x:c r="K9" s="31" t="n">
        <x:v>0</x:v>
      </x:c>
      <x:c r="L9" s="31" t="n">
        <x:v>4.872</x:v>
      </x:c>
      <x:c r="M9" s="31" t="n">
        <x:v>0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1090.7049387104953</x:v>
      </x:c>
    </x:row>
    <x:row r="10" ht="18" customHeight="1">
      <x:c r="A10" s="24" t="str">
        <x:v>EEZ_654</x:v>
      </x:c>
      <x:c r="B10" s="24" t="str">
        <x:v>Saint Helena (UK)</x:v>
      </x:c>
      <x:c r="C10" s="24" t="str">
        <x:v>EEZ</x:v>
      </x:c>
      <x:c r="D10" s="30" t="n">
        <x:v>2019</x:v>
      </x:c>
      <x:c r="E10" s="24" t="str">
        <x:v>Carcharhinus galapagensis</x:v>
      </x:c>
      <x:c r="F10" s="24" t="str">
        <x:v>Galapagos shark</x:v>
      </x:c>
      <x:c r="G10" s="24" t="str">
        <x:v>Large sharks (&gt;=90 cm)</x:v>
      </x:c>
      <x:c r="H10" s="24" t="str">
        <x:v>Sharks &amp; rays</x:v>
      </x:c>
      <x:c r="I10" s="31" t="n">
        <x:v>2.782520656</x:v>
      </x:c>
      <x:c r="J10" s="31" t="n">
        <x:v>2.782520656</x:v>
      </x:c>
      <x:c r="K10" s="31" t="n">
        <x:v>0</x:v>
      </x:c>
      <x:c r="L10" s="31" t="n">
        <x:v>0</x:v>
      </x:c>
      <x:c r="M10" s="31" t="n">
        <x:v>2.782520656</x:v>
      </x:c>
      <x:c r="N10" s="24" t="str">
        <x:v>carcharhinus galapagensis</x:v>
      </x:c>
      <x:c r="O10" s="32" t="n">
        <x:v>4.23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Carcharhinus galapagensis</x:v>
      </x:c>
      <x:c r="T10" s="32" t="n">
        <x:f>IF(O10="","",(1/'Metadata'!$B$5)^(O10-1))</x:f>
        <x:v>1698.243652461746</x:v>
      </x:c>
      <x:c r="U10" s="31" t="n">
        <x:f>IF(T10="","",I10*T10)</x:f>
        <x:v>4725.3980418956935</x:v>
      </x:c>
    </x:row>
    <x:row r="11" ht="18" customHeight="1">
      <x:c r="A11" s="24" t="str">
        <x:v>EEZ_654</x:v>
      </x:c>
      <x:c r="B11" s="24" t="str">
        <x:v>Saint Helena (UK)</x:v>
      </x:c>
      <x:c r="C11" s="24" t="str">
        <x:v>EEZ</x:v>
      </x:c>
      <x:c r="D11" s="30" t="n">
        <x:v>2019</x:v>
      </x:c>
      <x:c r="E11" s="24" t="str">
        <x:v>Thunnus obesus</x:v>
      </x:c>
      <x:c r="F11" s="24" t="str">
        <x:v>Bigeye tuna</x:v>
      </x:c>
      <x:c r="G11" s="24" t="str">
        <x:v>Large pelagics (&gt;=90 cm)</x:v>
      </x:c>
      <x:c r="H11" s="24" t="str">
        <x:v>Tuna &amp; billfishes</x:v>
      </x:c>
      <x:c r="I11" s="31" t="n">
        <x:v>2.0648098742</x:v>
      </x:c>
      <x:c r="J11" s="31" t="n">
        <x:v>2.0648098742</x:v>
      </x:c>
      <x:c r="K11" s="31" t="n">
        <x:v>0</x:v>
      </x:c>
      <x:c r="L11" s="31" t="n">
        <x:v>2.0648098742</x:v>
      </x:c>
      <x:c r="M11" s="31" t="n">
        <x:v>0</x:v>
      </x:c>
      <x:c r="N11" s="24" t="str">
        <x:v>thunnus obesus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obesus</x:v>
      </x:c>
      <x:c r="T11" s="32" t="n">
        <x:f>IF(O11="","",(1/'Metadata'!$B$5)^(O11-1))</x:f>
        <x:v>3090.295432513592</x:v>
      </x:c>
      <x:c r="U11" s="31" t="n">
        <x:f>IF(T11="","",I11*T11)</x:f>
        <x:v>6380.872523249224</x:v>
      </x:c>
    </x:row>
    <x:row r="12" ht="18" customHeight="1">
      <x:c r="A12" s="24" t="str">
        <x:v>EEZ_654</x:v>
      </x:c>
      <x:c r="B12" s="24" t="str">
        <x:v>Saint Helena (UK)</x:v>
      </x:c>
      <x:c r="C12" s="24" t="str">
        <x:v>EEZ</x:v>
      </x:c>
      <x:c r="D12" s="30" t="n">
        <x:v>2019</x:v>
      </x:c>
      <x:c r="E12" s="24" t="str">
        <x:v>Seriola lalandi</x:v>
      </x:c>
      <x:c r="F12" s="24" t="str">
        <x:v>Yellowtail amberjack</x:v>
      </x:c>
      <x:c r="G12" s="24" t="str">
        <x:v>Large benthopelagics (&gt;=90 cm)</x:v>
      </x:c>
      <x:c r="H12" s="24" t="str">
        <x:v>Perch-likes</x:v>
      </x:c>
      <x:c r="I12" s="31" t="n">
        <x:v>1.008070056</x:v>
      </x:c>
      <x:c r="J12" s="31" t="n">
        <x:v>1.008070056</x:v>
      </x:c>
      <x:c r="K12" s="31" t="n">
        <x:v>0</x:v>
      </x:c>
      <x:c r="L12" s="31" t="n">
        <x:v>0</x:v>
      </x:c>
      <x:c r="M12" s="31" t="n">
        <x:v>1.008070056</x:v>
      </x:c>
      <x:c r="N12" s="24" t="str">
        <x:v>seriola lalandi</x:v>
      </x:c>
      <x:c r="O12" s="32" t="n">
        <x:v>4.16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Seriola lalandi</x:v>
      </x:c>
      <x:c r="T12" s="32" t="n">
        <x:f>IF(O12="","",(1/'Metadata'!$B$5)^(O12-1))</x:f>
        <x:v>1445.439770745928</x:v>
      </x:c>
      <x:c r="U12" s="31" t="n">
        <x:f>IF(T12="","",I12*T12)</x:f>
        <x:v>1457.1045506404748</x:v>
      </x:c>
    </x:row>
    <x:row r="13" ht="18" customHeight="1">
      <x:c r="A13" s="24" t="str">
        <x:v>EEZ_654</x:v>
      </x:c>
      <x:c r="B13" s="24" t="str">
        <x:v>Saint Helena (UK)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</x:v>
      </x:c>
      <x:c r="J13" s="31" t="n">
        <x:v>1</x:v>
      </x:c>
      <x:c r="K13" s="31" t="n">
        <x:v>0</x:v>
      </x:c>
      <x:c r="L13" s="31" t="n">
        <x:v>1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1122.018454301963</x:v>
      </x:c>
    </x:row>
    <x:row r="14" ht="18" customHeight="1">
      <x:c r="A14" s="24" t="str">
        <x:v>EEZ_654</x:v>
      </x:c>
      <x:c r="B14" s="24" t="str">
        <x:v>Saint Helena (UK)</x:v>
      </x:c>
      <x:c r="C14" s="24" t="str">
        <x:v>EEZ</x:v>
      </x:c>
      <x:c r="D14" s="30" t="n">
        <x:v>2019</x:v>
      </x:c>
      <x:c r="E14" s="24" t="str">
        <x:v>Epinephelus adscensionis</x:v>
      </x:c>
      <x:c r="F14" s="24" t="str">
        <x:v>Rock hind</x:v>
      </x:c>
      <x:c r="G14" s="24" t="str">
        <x:v>Medium reef assoc. fish (30 - 89 cm)</x:v>
      </x:c>
      <x:c r="H14" s="24" t="str">
        <x:v>Perch-likes</x:v>
      </x:c>
      <x:c r="I14" s="31" t="n">
        <x:v>0.812284324</x:v>
      </x:c>
      <x:c r="J14" s="31" t="n">
        <x:v>0.812284324</x:v>
      </x:c>
      <x:c r="K14" s="31" t="n">
        <x:v>0</x:v>
      </x:c>
      <x:c r="L14" s="31" t="n">
        <x:v>0</x:v>
      </x:c>
      <x:c r="M14" s="31" t="n">
        <x:v>0.812284324</x:v>
      </x:c>
      <x:c r="N14" s="24" t="str">
        <x:v>epinephelus adscensionis</x:v>
      </x:c>
      <x:c r="O14" s="32" t="n">
        <x:v>3.53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Epinephelus adscensionis</x:v>
      </x:c>
      <x:c r="T14" s="32" t="n">
        <x:f>IF(O14="","",(1/'Metadata'!$B$5)^(O14-1))</x:f>
        <x:v>338.84415613920237</x:v>
      </x:c>
      <x:c r="U14" s="31" t="n">
        <x:f>IF(T14="","",I14*T14)</x:f>
        <x:v>275.2377963108824</x:v>
      </x:c>
    </x:row>
    <x:row r="15" ht="18" customHeight="1">
      <x:c r="A15" s="24" t="str">
        <x:v>EEZ_654</x:v>
      </x:c>
      <x:c r="B15" s="24" t="str">
        <x:v>Saint Helena (UK)</x:v>
      </x:c>
      <x:c r="C15" s="24" t="str">
        <x:v>EEZ</x:v>
      </x:c>
      <x:c r="D15" s="30" t="n">
        <x:v>2019</x:v>
      </x:c>
      <x:c r="E15" s="24" t="str">
        <x:v>Diplodus helenae</x:v>
      </x:c>
      <x:c r="F15" s="24" t="str">
        <x:v>St. Helena white seabream</x:v>
      </x:c>
      <x:c r="G15" s="24" t="str">
        <x:v>Small benthopelagics (&lt;30 cm)</x:v>
      </x:c>
      <x:c r="H15" s="24" t="str">
        <x:v>Perch-likes</x:v>
      </x:c>
      <x:c r="I15" s="31" t="n">
        <x:v>0.680647873</x:v>
      </x:c>
      <x:c r="J15" s="31" t="n">
        <x:v>0.680647873</x:v>
      </x:c>
      <x:c r="K15" s="31" t="n">
        <x:v>0</x:v>
      </x:c>
      <x:c r="L15" s="31" t="n">
        <x:v>0</x:v>
      </x:c>
      <x:c r="M15" s="31" t="n">
        <x:v>0.680647873</x:v>
      </x:c>
      <x:c r="N15" s="24" t="str">
        <x:v>diplodus helenae</x:v>
      </x:c>
      <x:c r="O15" s="32" t="n">
        <x:v>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Diplodus helenae</x:v>
      </x:c>
      <x:c r="T15" s="32" t="n">
        <x:f>IF(O15="","",(1/'Metadata'!$B$5)^(O15-1))</x:f>
        <x:v>100</x:v>
      </x:c>
      <x:c r="U15" s="31" t="n">
        <x:f>IF(T15="","",I15*T15)</x:f>
        <x:v>68.06478729999999</x:v>
      </x:c>
    </x:row>
    <x:row r="16" ht="18" customHeight="1">
      <x:c r="A16" s="24" t="str">
        <x:v>EEZ_654</x:v>
      </x:c>
      <x:c r="B16" s="24" t="str">
        <x:v>Saint Helena (UK)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0.647442658</x:v>
      </x:c>
      <x:c r="J16" s="31" t="n">
        <x:v>0.647442658</x:v>
      </x:c>
      <x:c r="K16" s="31" t="n">
        <x:v>0</x:v>
      </x:c>
      <x:c r="L16" s="31" t="n">
        <x:v>0</x:v>
      </x:c>
      <x:c r="M16" s="31" t="n">
        <x:v>0.647442658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2193.8216109853242</x:v>
      </x:c>
    </x:row>
    <x:row r="17" ht="18" customHeight="1">
      <x:c r="A17" s="24" t="str">
        <x:v>EEZ_654</x:v>
      </x:c>
      <x:c r="B17" s="24" t="str">
        <x:v>Saint Helena (UK)</x:v>
      </x:c>
      <x:c r="C17" s="24" t="str">
        <x:v>EEZ</x:v>
      </x:c>
      <x:c r="D17" s="30" t="n">
        <x:v>2019</x:v>
      </x:c>
      <x:c r="E17" s="24" t="str">
        <x:v>Gymnothorax moringa</x:v>
      </x:c>
      <x:c r="F17" s="24" t="str">
        <x:v>Spotted moray</x:v>
      </x:c>
      <x:c r="G17" s="24" t="str">
        <x:v>Large reef assoc. fish (&gt;=90 cm)</x:v>
      </x:c>
      <x:c r="H17" s="24" t="str">
        <x:v>Other fishes &amp; inverts</x:v>
      </x:c>
      <x:c r="I17" s="31" t="n">
        <x:v>0.283654512</x:v>
      </x:c>
      <x:c r="J17" s="31" t="n">
        <x:v>0.283654512</x:v>
      </x:c>
      <x:c r="K17" s="31" t="n">
        <x:v>0</x:v>
      </x:c>
      <x:c r="L17" s="31" t="n">
        <x:v>0</x:v>
      </x:c>
      <x:c r="M17" s="31" t="n">
        <x:v>0.283654512</x:v>
      </x:c>
      <x:c r="N17" s="24" t="str">
        <x:v>gymnothorax moringa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Gymnothorax moringa</x:v>
      </x:c>
      <x:c r="T17" s="32" t="n">
        <x:f>IF(O17="","",(1/'Metadata'!$B$5)^(O17-1))</x:f>
        <x:v>3162.2776601683795</x:v>
      </x:c>
      <x:c r="U17" s="31" t="n">
        <x:f>IF(T17="","",I17*T17)</x:f>
        <x:v>896.9943265035636</x:v>
      </x:c>
    </x:row>
    <x:row r="18" ht="18" customHeight="1">
      <x:c r="A18" s="24" t="str">
        <x:v>EEZ_654</x:v>
      </x:c>
      <x:c r="B18" s="24" t="str">
        <x:v>Saint Helena (UK)</x:v>
      </x:c>
      <x:c r="C18" s="24" t="str">
        <x:v>EEZ</x:v>
      </x:c>
      <x:c r="D18" s="30" t="n">
        <x:v>2019</x:v>
      </x:c>
      <x:c r="E18" s="24" t="str">
        <x:v>Isurus oxyrinchus</x:v>
      </x:c>
      <x:c r="F18" s="24" t="str">
        <x:v>Shortfin mako</x:v>
      </x:c>
      <x:c r="G18" s="24" t="str">
        <x:v>Large sharks (&gt;=90 cm)</x:v>
      </x:c>
      <x:c r="H18" s="24" t="str">
        <x:v>Sharks &amp; rays</x:v>
      </x:c>
      <x:c r="I18" s="31" t="n">
        <x:v>0.21983</x:v>
      </x:c>
      <x:c r="J18" s="31" t="n">
        <x:v>0.21983</x:v>
      </x:c>
      <x:c r="K18" s="31" t="n">
        <x:v>0</x:v>
      </x:c>
      <x:c r="L18" s="31" t="n">
        <x:v>0.21983</x:v>
      </x:c>
      <x:c r="M18" s="31" t="n">
        <x:v>0</x:v>
      </x:c>
      <x:c r="N18" s="24" t="str">
        <x:v>isurus oxyrinchus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Isurus oxyrinchus</x:v>
      </x:c>
      <x:c r="T18" s="32" t="n">
        <x:f>IF(O18="","",(1/'Metadata'!$B$5)^(O18-1))</x:f>
        <x:v>3162.2776601683795</x:v>
      </x:c>
      <x:c r="U18" s="31" t="n">
        <x:f>IF(T18="","",I18*T18)</x:f>
        <x:v>695.1634980348149</x:v>
      </x:c>
    </x:row>
    <x:row r="19" ht="18" customHeight="1">
      <x:c r="A19" s="24" t="str">
        <x:v>EEZ_654</x:v>
      </x:c>
      <x:c r="B19" s="24" t="str">
        <x:v>Saint Helena (UK)</x:v>
      </x:c>
      <x:c r="C19" s="24" t="str">
        <x:v>EEZ</x:v>
      </x:c>
      <x:c r="D19" s="30" t="n">
        <x:v>2019</x:v>
      </x:c>
      <x:c r="E19" s="24" t="str">
        <x:v>Caranx lugubris</x:v>
      </x:c>
      <x:c r="F19" s="24" t="str">
        <x:v>Black jack</x:v>
      </x:c>
      <x:c r="G19" s="24" t="str">
        <x:v>Large benthopelagics (&gt;=90 cm)</x:v>
      </x:c>
      <x:c r="H19" s="24" t="str">
        <x:v>Perch-likes</x:v>
      </x:c>
      <x:c r="I19" s="31" t="n">
        <x:v>0.04068681</x:v>
      </x:c>
      <x:c r="J19" s="31" t="n">
        <x:v>0.04068681</x:v>
      </x:c>
      <x:c r="K19" s="31" t="n">
        <x:v>0</x:v>
      </x:c>
      <x:c r="L19" s="31" t="n">
        <x:v>0</x:v>
      </x:c>
      <x:c r="M19" s="31" t="n">
        <x:v>0.04068681</x:v>
      </x:c>
      <x:c r="N19" s="24" t="str">
        <x:v>caranx lugubris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Caranx lugubris</x:v>
      </x:c>
      <x:c r="T19" s="32" t="n">
        <x:f>IF(O19="","",(1/'Metadata'!$B$5)^(O19-1))</x:f>
        <x:v>3162.2776601683795</x:v>
      </x:c>
      <x:c r="U19" s="31" t="n">
        <x:f>IF(T19="","",I19*T19)</x:f>
        <x:v>128.66299032651543</x:v>
      </x:c>
    </x:row>
    <x:row r="20" ht="18" customHeight="1">
      <x:c r="A20" s="24" t="str">
        <x:v>EEZ_654</x:v>
      </x:c>
      <x:c r="B20" s="24" t="str">
        <x:v>Saint Helena (UK)</x:v>
      </x:c>
      <x:c r="C20" s="24" t="str">
        <x:v>EEZ</x:v>
      </x:c>
      <x:c r="D20" s="30" t="n">
        <x:v>2019</x:v>
      </x:c>
      <x:c r="E20" s="24" t="str">
        <x:v>Makaira nigricans</x:v>
      </x:c>
      <x:c r="F20" s="24" t="str">
        <x:v>Blue marlin</x:v>
      </x:c>
      <x:c r="G20" s="24" t="str">
        <x:v>Large pelagics (&gt;=90 cm)</x:v>
      </x:c>
      <x:c r="H20" s="24" t="str">
        <x:v>Tuna &amp; billfishes</x:v>
      </x:c>
      <x:c r="I20" s="31" t="n">
        <x:v>0.036</x:v>
      </x:c>
      <x:c r="J20" s="31" t="n">
        <x:v>0.036</x:v>
      </x:c>
      <x:c r="K20" s="31" t="n">
        <x:v>0</x:v>
      </x:c>
      <x:c r="L20" s="31" t="n">
        <x:v>0.036</x:v>
      </x:c>
      <x:c r="M20" s="31" t="n">
        <x:v>0</x:v>
      </x:c>
      <x:c r="N20" s="24" t="str">
        <x:v>makaira nigricans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Makaira nigricans</x:v>
      </x:c>
      <x:c r="T20" s="32" t="n">
        <x:f>IF(O20="","",(1/'Metadata'!$B$5)^(O20-1))</x:f>
        <x:v>3090.295432513592</x:v>
      </x:c>
      <x:c r="U20" s="31" t="n">
        <x:f>IF(T20="","",I20*T20)</x:f>
        <x:v>111.25063557048931</x:v>
      </x:c>
    </x:row>
    <x:row r="21" ht="18" customHeight="1">
      <x:c r="A21" s="24" t="str">
        <x:v>EEZ_654</x:v>
      </x:c>
      <x:c r="B21" s="24" t="str">
        <x:v>Saint Helena (UK)</x:v>
      </x:c>
      <x:c r="C21" s="24" t="str">
        <x:v>EEZ</x:v>
      </x:c>
      <x:c r="D21" s="30" t="n">
        <x:v>2019</x:v>
      </x:c>
      <x:c r="E21" s="24" t="str">
        <x:v>Corniger spinosus</x:v>
      </x:c>
      <x:c r="F21" s="24" t="str">
        <x:v>Spinycheek soldierfish</x:v>
      </x:c>
      <x:c r="G21" s="24" t="str">
        <x:v>Small demersals (&lt;30 cm)</x:v>
      </x:c>
      <x:c r="H21" s="24" t="str">
        <x:v>Other fishes &amp; inverts</x:v>
      </x:c>
      <x:c r="I21" s="31" t="n">
        <x:v>0.012420696</x:v>
      </x:c>
      <x:c r="J21" s="31" t="n">
        <x:v>0.012420696</x:v>
      </x:c>
      <x:c r="K21" s="31" t="n">
        <x:v>0</x:v>
      </x:c>
      <x:c r="L21" s="31" t="n">
        <x:v>0</x:v>
      </x:c>
      <x:c r="M21" s="31" t="n">
        <x:v>0.012420696</x:v>
      </x:c>
      <x:c r="N21" s="24" t="str">
        <x:v>corniger spinosus</x:v>
      </x:c>
      <x:c r="O21" s="32" t="n">
        <x:v>3.6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Corniger spinosus</x:v>
      </x:c>
      <x:c r="T21" s="32" t="n">
        <x:f>IF(O21="","",(1/'Metadata'!$B$5)^(O21-1))</x:f>
        <x:v>398.1071705534973</x:v>
      </x:c>
      <x:c r="U21" s="31" t="n">
        <x:f>IF(T21="","",I21*T21)</x:f>
        <x:v>4.9447681408651425</x:v>
      </x:c>
    </x:row>
  </x:sheetData>
  <x:conditionalFormatting sqref="R2:R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3d0bc555d444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105.351402542</x:v>
      </x:c>
      <x:c r="C2" s="32" t="n">
        <x:v>3.286559695558722</x:v>
      </x:c>
      <x:c r="D2" s="32" t="n">
        <x:f>IF(C2="","",(1/'Metadata'!$B$5)^(C2-1))</x:f>
        <x:v>193.4459739775174</x:v>
      </x:c>
      <x:c r="E2" s="31" t="n">
        <x:f>IF(B2=0,"",B2*D2)</x:f>
        <x:v>20379.804674634695</x:v>
      </x:c>
    </x:row>
    <x:row r="3" ht="18" customHeight="1">
      <x:c r="A3" s="24" t="str">
        <x:v>Perch-likes</x:v>
      </x:c>
      <x:c r="B3" s="31" t="n">
        <x:v>46.117446263</x:v>
      </x:c>
      <x:c r="C3" s="32" t="n">
        <x:v>3.7589054383472993</x:v>
      </x:c>
      <x:c r="D3" s="32" t="n">
        <x:f>IF(C3="","",(1/'Metadata'!$B$5)^(C3-1))</x:f>
        <x:v>573.991469848883</x:v>
      </x:c>
      <x:c r="E3" s="31" t="n">
        <x:f>IF(B3=0,"",B3*D3)</x:f>
        <x:v>26471.020766176243</x:v>
      </x:c>
    </x:row>
    <x:row r="4" ht="18" customHeight="1">
      <x:c r="A4" s="24" t="str">
        <x:v>Sharks &amp; rays</x:v>
      </x:c>
      <x:c r="B4" s="31" t="n">
        <x:v>3.002350656</x:v>
      </x:c>
      <x:c r="C4" s="32" t="n">
        <x:v>4.249769209796127</x:v>
      </x:c>
      <x:c r="D4" s="32" t="n">
        <x:f>IF(C4="","",(1/'Metadata'!$B$5)^(C4-1))</x:f>
        <x:v>1777.33465836624</x:v>
      </x:c>
      <x:c r="E4" s="31" t="n">
        <x:f>IF(B4=0,"",B4*D4)</x:f>
        <x:v>5336.1818774774165</x:v>
      </x:c>
    </x:row>
    <x:row r="5" ht="18" customHeight="1">
      <x:c r="A5" s="24" t="str">
        <x:v>Tuna &amp; billfishes</x:v>
      </x:c>
      <x:c r="B5" s="31" t="n">
        <x:v>360.9290523307</x:v>
      </x:c>
      <x:c r="C5" s="32" t="n">
        <x:v>4.406800033954136</x:v>
      </x:c>
      <x:c r="D5" s="32" t="n">
        <x:f>IF(C5="","",(1/'Metadata'!$B$5)^(C5-1))</x:f>
        <x:v>2551.5262103938176</x:v>
      </x:c>
      <x:c r="E5" s="31" t="n">
        <x:f>IF(B5=0,"",B5*D5)</x:f>
        <x:v>920919.9371143829</x:v>
      </x:c>
    </x:row>
  </x:sheetData>
  <x:pageMargins left="0.7" right="0.7" top="0.75" bottom="0.75" header="0.3" footer="0.3"/>
  <x:tableParts count="1">
    <x:tablePart xmlns:r="http://schemas.openxmlformats.org/officeDocument/2006/relationships" r:id="R913f3e5d233d44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1.048756866</x:v>
      </x:c>
      <x:c r="C2" s="32" t="n">
        <x:v>4.173190393167829</x:v>
      </x:c>
      <x:c r="D2" s="32" t="n">
        <x:f>IF(C2="","",(1/'Metadata'!$B$5)^(C2-1))</x:f>
        <x:v>1490.0141514921754</x:v>
      </x:c>
      <x:c r="E2" s="31" t="n">
        <x:f>IF(B2=0,"",B2*D2)</x:f>
        <x:v>1562.662571814583</x:v>
      </x:c>
    </x:row>
    <x:row r="3" ht="18" customHeight="1">
      <x:c r="A3" s="24" t="str">
        <x:v>Large pelagics (&gt;=90 cm)</x:v>
      </x:c>
      <x:c r="B3" s="31" t="n">
        <x:v>365.9290523307</x:v>
      </x:c>
      <x:c r="C3" s="32" t="n">
        <x:v>4.404794180182495</x:v>
      </x:c>
      <x:c r="D3" s="32" t="n">
        <x:f>IF(C3="","",(1/'Metadata'!$B$5)^(C3-1))</x:f>
        <x:v>2539.768779055698</x:v>
      </x:c>
      <x:c r="E3" s="31" t="n">
        <x:f>IF(B3=0,"",B3*D3)</x:f>
        <x:v>929375.1824589506</x:v>
      </x:c>
    </x:row>
    <x:row r="4" ht="18" customHeight="1">
      <x:c r="A4" s="24" t="str">
        <x:v>Large reef assoc. fish (&gt;=90 cm)</x:v>
      </x:c>
      <x:c r="B4" s="31" t="n">
        <x:v>0.283654512</x:v>
      </x:c>
      <x:c r="C4" s="32" t="n">
        <x:v>4.5</x:v>
      </x:c>
      <x:c r="D4" s="32" t="n">
        <x:f>IF(C4="","",(1/'Metadata'!$B$5)^(C4-1))</x:f>
        <x:v>3162.2776601683795</x:v>
      </x:c>
      <x:c r="E4" s="31" t="n">
        <x:f>IF(B4=0,"",B4*D4)</x:f>
        <x:v>896.9943265035636</x:v>
      </x:c>
    </x:row>
    <x:row r="5" ht="18" customHeight="1">
      <x:c r="A5" s="24" t="str">
        <x:v>Large sharks (&gt;=90 cm)</x:v>
      </x:c>
      <x:c r="B5" s="31" t="n">
        <x:v>3.002350656</x:v>
      </x:c>
      <x:c r="C5" s="32" t="n">
        <x:v>4.249769209796127</x:v>
      </x:c>
      <x:c r="D5" s="32" t="n">
        <x:f>IF(C5="","",(1/'Metadata'!$B$5)^(C5-1))</x:f>
        <x:v>1777.33465836624</x:v>
      </x:c>
      <x:c r="E5" s="31" t="n">
        <x:f>IF(B5=0,"",B5*D5)</x:f>
        <x:v>5336.1818774774165</x:v>
      </x:c>
    </x:row>
    <x:row r="6" ht="18" customHeight="1">
      <x:c r="A6" s="24" t="str">
        <x:v>Medium benthopelagics (30 - 89 cm)</x:v>
      </x:c>
      <x:c r="B6" s="31" t="n">
        <x:v>22.5757572</x:v>
      </x:c>
      <x:c r="C6" s="32" t="n">
        <x:v>3.5</x:v>
      </x:c>
      <x:c r="D6" s="32" t="n">
        <x:f>IF(C6="","",(1/'Metadata'!$B$5)^(C6-1))</x:f>
        <x:v>316.22776601683796</x:v>
      </x:c>
      <x:c r="E6" s="31" t="n">
        <x:f>IF(B6=0,"",B6*D6)</x:f>
        <x:v>7139.081265494546</x:v>
      </x:c>
    </x:row>
    <x:row r="7" ht="18" customHeight="1">
      <x:c r="A7" s="24" t="str">
        <x:v>Medium demersals (30 - 89 cm)</x:v>
      </x:c>
      <x:c r="B7" s="31" t="n">
        <x:v>100.183327334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19089.539482979057</x:v>
      </x:c>
    </x:row>
    <x:row r="8" ht="18" customHeight="1">
      <x:c r="A8" s="24" t="str">
        <x:v>Medium pelagics (30 - 89 cm)</x:v>
      </x:c>
      <x:c r="B8" s="31" t="n">
        <x:v>5.872</x:v>
      </x:c>
      <x:c r="C8" s="32" t="n">
        <x:v>3.4692098092643056</x:v>
      </x:c>
      <x:c r="D8" s="32" t="n">
        <x:f>IF(C8="","",(1/'Metadata'!$B$5)^(C8-1))</x:f>
        <x:v>294.5844438391763</x:v>
      </x:c>
      <x:c r="E8" s="31" t="n">
        <x:f>IF(B8=0,"",B8*D8)</x:f>
        <x:v>1729.799854223643</x:v>
      </x:c>
    </x:row>
    <x:row r="9" ht="18" customHeight="1">
      <x:c r="A9" s="24" t="str">
        <x:v>Medium reef assoc. fish (30 - 89 cm)</x:v>
      </x:c>
      <x:c r="B9" s="31" t="n">
        <x:v>15.812284324</x:v>
      </x:c>
      <x:c r="C9" s="32" t="n">
        <x:v>3.956883292868368</x:v>
      </x:c>
      <x:c r="D9" s="32" t="n">
        <x:f>IF(C9="","",(1/'Metadata'!$B$5)^(C9-1))</x:f>
        <x:v>905.4892377965731</x:v>
      </x:c>
      <x:c r="E9" s="31" t="n">
        <x:f>IF(B9=0,"",B9*D9)</x:f>
        <x:v>14317.853280361462</x:v>
      </x:c>
    </x:row>
    <x:row r="10" ht="18" customHeight="1">
      <x:c r="A10" s="24" t="str">
        <x:v>Small benthopelagics (&lt;30 cm)</x:v>
      </x:c>
      <x:c r="B10" s="31" t="n">
        <x:v>0.680647873</x:v>
      </x:c>
      <x:c r="C10" s="32" t="n">
        <x:v>3</x:v>
      </x:c>
      <x:c r="D10" s="32" t="n">
        <x:f>IF(C10="","",(1/'Metadata'!$B$5)^(C10-1))</x:f>
        <x:v>100</x:v>
      </x:c>
      <x:c r="E10" s="31" t="n">
        <x:f>IF(B10=0,"",B10*D10)</x:f>
        <x:v>68.06478729999999</x:v>
      </x:c>
    </x:row>
    <x:row r="11" ht="18" customHeight="1">
      <x:c r="A11" s="24" t="str">
        <x:v>Small demersals (&lt;30 cm)</x:v>
      </x:c>
      <x:c r="B11" s="31" t="n">
        <x:v>0.012420696</x:v>
      </x:c>
      <x:c r="C11" s="32" t="n">
        <x:v>3.6</x:v>
      </x:c>
      <x:c r="D11" s="32" t="n">
        <x:f>IF(C11="","",(1/'Metadata'!$B$5)^(C11-1))</x:f>
        <x:v>398.1071705534973</x:v>
      </x:c>
      <x:c r="E11" s="31" t="n">
        <x:f>IF(B11=0,"",B11*D11)</x:f>
        <x:v>4.9447681408651425</x:v>
      </x:c>
    </x:row>
  </x:sheetData>
  <x:pageMargins left="0.7" right="0.7" top="0.75" bottom="0.75" header="0.3" footer="0.3"/>
  <x:tableParts count="1">
    <x:tablePart xmlns:r="http://schemas.openxmlformats.org/officeDocument/2006/relationships" r:id="R11629437e9844d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EEZ_654</x:v>
      </x:c>
      <x:c r="B2" s="24" t="str">
        <x:v>raw_filtered_tonnes</x:v>
      </x:c>
      <x:c r="C2" s="24" t="n">
        <x:v>515.4002517916999</x:v>
      </x:c>
      <x:c r="D2" s="24" t="str">
        <x:v>tonnes</x:v>
      </x:c>
    </x:row>
    <x:row r="3" ht="18" customHeight="1">
      <x:c r="A3" s="24" t="str">
        <x:v>EEZ_654</x:v>
      </x:c>
      <x:c r="B3" s="24" t="str">
        <x:v>species_catch_tonnes</x:v>
      </x:c>
      <x:c r="C3" s="24" t="n">
        <x:v>515.4002517916999</x:v>
      </x:c>
      <x:c r="D3" s="24" t="str">
        <x:v>tonnes</x:v>
      </x:c>
    </x:row>
    <x:row r="4" ht="18" customHeight="1">
      <x:c r="A4" s="24" t="str">
        <x:v>EEZ_654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EEZ_654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EEZ_654</x:v>
      </x:c>
      <x:c r="B6" s="24" t="str">
        <x:v>matched_catch_tonnes</x:v>
      </x:c>
      <x:c r="C6" s="24" t="n">
        <x:v>515.4002517916999</x:v>
      </x:c>
      <x:c r="D6" s="24" t="str">
        <x:v>tonnes</x:v>
      </x:c>
    </x:row>
    <x:row r="7" ht="18" customHeight="1">
      <x:c r="A7" s="24" t="str">
        <x:v>EEZ_654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EEZ_654</x:v>
      </x:c>
      <x:c r="B8" s="24" t="str">
        <x:v>taxa_count</x:v>
      </x:c>
      <x:c r="C8" s="24" t="n">
        <x:v>20</x:v>
      </x:c>
      <x:c r="D8" s="24" t="str">
        <x:v>count</x:v>
      </x:c>
    </x:row>
    <x:row r="9" ht="18" customHeight="1">
      <x:c r="A9" s="24" t="str">
        <x:v>EEZ_654</x:v>
      </x:c>
      <x:c r="B9" s="24" t="str">
        <x:v>matched_taxa_count</x:v>
      </x:c>
      <x:c r="C9" s="24" t="n">
        <x:v>20</x:v>
      </x:c>
      <x:c r="D9" s="24" t="str">
        <x:v>count</x:v>
      </x:c>
    </x:row>
    <x:row r="10" ht="18" customHeight="1">
      <x:c r="A10" s="24" t="str">
        <x:v>EEZ_654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EEZ_654</x:v>
      </x:c>
      <x:c r="B11" s="24" t="str">
        <x:v>species_ppr</x:v>
      </x:c>
      <x:c r="C11" s="24" t="n">
        <x:v>982147.5503922047</x:v>
      </x:c>
      <x:c r="D11" s="24" t="str">
        <x:v>tonnes_primary_production_equivalent</x:v>
      </x:c>
    </x:row>
    <x:row r="12" ht="18" customHeight="1">
      <x:c r="A12" s="24" t="str">
        <x:v>EEZ_654</x:v>
      </x:c>
      <x:c r="B12" s="24" t="str">
        <x:v>commercial_ppr</x:v>
      </x:c>
      <x:c r="C12" s="24" t="n">
        <x:v>973106.9444326712</x:v>
      </x:c>
      <x:c r="D12" s="24" t="str">
        <x:v>tonnes_primary_production_equivalent</x:v>
      </x:c>
    </x:row>
    <x:row r="13" ht="18" customHeight="1">
      <x:c r="A13" s="24" t="str">
        <x:v>EEZ_654</x:v>
      </x:c>
      <x:c r="B13" s="24" t="str">
        <x:v>functional_ppr</x:v>
      </x:c>
      <x:c r="C13" s="24" t="n">
        <x:v>979520.3046732456</x:v>
      </x:c>
      <x:c r="D13" s="24" t="str">
        <x:v>tonnes_primary_production_equivalent</x:v>
      </x:c>
    </x:row>
    <x:row r="14" ht="18" customHeight="1">
      <x:c r="A14" s="24" t="str">
        <x:v>EEZ_654</x:v>
      </x:c>
      <x:c r="B14" s="24" t="str">
        <x:v>commercial_ppr_difference</x:v>
      </x:c>
      <x:c r="C14" s="24" t="n">
        <x:v>-9040.605959533481</x:v>
      </x:c>
      <x:c r="D14" s="24" t="str">
        <x:v>tonnes_primary_production_equivalent</x:v>
      </x:c>
    </x:row>
    <x:row r="15" ht="18" customHeight="1">
      <x:c r="A15" s="24" t="str">
        <x:v>EEZ_654</x:v>
      </x:c>
      <x:c r="B15" s="24" t="str">
        <x:v>functional_ppr_difference</x:v>
      </x:c>
      <x:c r="C15" s="24" t="n">
        <x:v>-2627.2457189590205</x:v>
      </x:c>
      <x:c r="D15" s="24" t="str">
        <x:v>tonnes_primary_production_equivalent</x:v>
      </x:c>
    </x:row>
    <x:row r="16" ht="18" customHeight="1">
      <x:c r="A16" s="24" t="str">
        <x:v>EEZ_654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EEZ_654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80817871c4445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EEZ_654 - Saint Helena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EEZ_654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raw_data/SAU_downloads/EEZ_654-catch.zip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