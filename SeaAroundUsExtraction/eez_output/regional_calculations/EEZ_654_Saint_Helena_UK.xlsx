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804434c9ef49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68d057e18ec54a2b"/>
    <x:sheet xmlns:r="http://schemas.openxmlformats.org/officeDocument/2006/relationships" name="Commercial" sheetId="2" r:id="R7d4f2f18353b40e1"/>
    <x:sheet xmlns:r="http://schemas.openxmlformats.org/officeDocument/2006/relationships" name="Functional" sheetId="3" r:id="R58a7f72ece3d4d02"/>
    <x:sheet xmlns:r="http://schemas.openxmlformats.org/officeDocument/2006/relationships" name="Missing TL" sheetId="4" r:id="R50d580c0edca427c"/>
    <x:sheet xmlns:r="http://schemas.openxmlformats.org/officeDocument/2006/relationships" name="Validation" sheetId="5" r:id="R888bed86e3624f6b"/>
    <x:sheet xmlns:r="http://schemas.openxmlformats.org/officeDocument/2006/relationships" name="Metadata" sheetId="6" r:id="R5fd1547806ae425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1832c2824f43c2" /><Relationship Type="http://schemas.openxmlformats.org/officeDocument/2006/relationships/theme" Target="/xl/theme/theme1.xml" Id="R336813e07a3d4e81" /><Relationship Type="http://schemas.microsoft.com/office/2022/11/relationships/FeaturePropertyBag" Target="/xl/featurePropertyBag/featurePropertyBag.xml" Id="R9a628b5a81644d4c" /><Relationship Type="http://schemas.openxmlformats.org/officeDocument/2006/relationships/sharedStrings" Target="/xl/sharedStrings.xml" Id="R8f23d340b2294146" /><Relationship Type="http://schemas.openxmlformats.org/officeDocument/2006/relationships/worksheet" Target="/xl/worksheets/sheet1.xml" Id="R68d057e18ec54a2b" /><Relationship Type="http://schemas.openxmlformats.org/officeDocument/2006/relationships/worksheet" Target="/xl/worksheets/sheet2.xml" Id="R7d4f2f18353b40e1" /><Relationship Type="http://schemas.openxmlformats.org/officeDocument/2006/relationships/worksheet" Target="/xl/worksheets/sheet3.xml" Id="R58a7f72ece3d4d02" /><Relationship Type="http://schemas.openxmlformats.org/officeDocument/2006/relationships/worksheet" Target="/xl/worksheets/sheet4.xml" Id="R50d580c0edca427c" /><Relationship Type="http://schemas.openxmlformats.org/officeDocument/2006/relationships/worksheet" Target="/xl/worksheets/sheet5.xml" Id="R888bed86e3624f6b" /><Relationship Type="http://schemas.openxmlformats.org/officeDocument/2006/relationships/worksheet" Target="/xl/worksheets/sheet6.xml" Id="R5fd1547806ae425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654SpeciesTable" displayName="EEZ654SpeciesTable" ref="A1:U21" headerRowCount="1" totalsRowCount="0" totalsRowShown="0">
  <x:autoFilter ref="A1:U21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654CommercialTable" displayName="EEZ654CommercialTable" ref="A1:O5" headerRowCount="1" totalsRowCount="0" totalsRowShown="0">
  <x:autoFilter ref="A1:O5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654FunctionalTable" displayName="EEZ654FunctionalTable" ref="A1:O11" headerRowCount="1" totalsRowCount="0" totalsRowShown="0">
  <x:autoFilter ref="A1:O11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654ValidationTable" displayName="EEZ654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7e496fe5b4d412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f34a02bfa89412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b3ee2a83a404c5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d4d11f42e22426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EEZ_654</x:v>
      </x:c>
      <x:c r="B2" s="24" t="str">
        <x:v>Saint Helena (UK)</x:v>
      </x:c>
      <x:c r="C2" s="24" t="str">
        <x:v>EEZ</x:v>
      </x:c>
      <x:c r="D2" s="30" t="n">
        <x:v>2019</x:v>
      </x:c>
      <x:c r="E2" s="24" t="str">
        <x:v>Thunnus albacares</x:v>
      </x:c>
      <x:c r="F2" s="24" t="str">
        <x:v>Yellowfin tuna</x:v>
      </x:c>
      <x:c r="G2" s="24" t="str">
        <x:v>Large pelagics (&gt;=90 cm)</x:v>
      </x:c>
      <x:c r="H2" s="24" t="str">
        <x:v>Tuna &amp; billfishes</x:v>
      </x:c>
      <x:c r="I2" s="31" t="n">
        <x:v>301.6620850745</x:v>
      </x:c>
      <x:c r="J2" s="31" t="n">
        <x:v>301.6620850745</x:v>
      </x:c>
      <x:c r="K2" s="31" t="n">
        <x:v>0</x:v>
      </x:c>
      <x:c r="L2" s="31" t="n">
        <x:v>301.6620850745</x:v>
      </x:c>
      <x:c r="M2" s="31" t="n">
        <x:v>0</x:v>
      </x:c>
      <x:c r="N2" s="24" t="str">
        <x:v>thunnus albacares</x:v>
      </x:c>
      <x:c r="O2" s="32" t="n">
        <x:v>4.41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Thunnus albacares</x:v>
      </x:c>
      <x:c r="T2" s="32" t="n">
        <x:f>IF(O2="","",(1/'Metadata'!$B$5)^(O2-1))</x:f>
        <x:v>2570.3957827688646</x:v>
      </x:c>
      <x:c r="U2" s="31" t="n">
        <x:f>IF(T2="","",I2*T2)</x:f>
        <x:v>775390.9512967572</x:v>
      </x:c>
    </x:row>
    <x:row r="3" ht="18" customHeight="1">
      <x:c r="A3" s="24" t="str">
        <x:v>EEZ_654</x:v>
      </x:c>
      <x:c r="B3" s="24" t="str">
        <x:v>Saint Helena (UK)</x:v>
      </x:c>
      <x:c r="C3" s="24" t="str">
        <x:v>EEZ</x:v>
      </x:c>
      <x:c r="D3" s="30" t="n">
        <x:v>2019</x:v>
      </x:c>
      <x:c r="E3" s="24" t="str">
        <x:v>Marine fishes not identified</x:v>
      </x:c>
      <x:c r="F3" s="24" t="str">
        <x:v>Marine fishes nei</x:v>
      </x:c>
      <x:c r="G3" s="24" t="str">
        <x:v>Medium demersals (30 - 89 cm)</x:v>
      </x:c>
      <x:c r="H3" s="24" t="str">
        <x:v>Other fishes &amp; inverts</x:v>
      </x:c>
      <x:c r="I3" s="31" t="n">
        <x:v>100.183327334</x:v>
      </x:c>
      <x:c r="J3" s="31" t="n">
        <x:v>100.183327334</x:v>
      </x:c>
      <x:c r="K3" s="31" t="n">
        <x:v>0</x:v>
      </x:c>
      <x:c r="L3" s="31" t="n">
        <x:v>77.39</x:v>
      </x:c>
      <x:c r="M3" s="31" t="n">
        <x:v>22.793327333999997</x:v>
      </x:c>
      <x:c r="N3" s="24" t="str">
        <x:v>marine fishes not identified</x:v>
      </x:c>
      <x:c r="O3" s="32" t="n">
        <x:v>3.28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Marine fishes not identified</x:v>
      </x:c>
      <x:c r="T3" s="32" t="n">
        <x:f>IF(O3="","",(1/'Metadata'!$B$5)^(O3-1))</x:f>
        <x:v>190.54607179632464</x:v>
      </x:c>
      <x:c r="U3" s="31" t="n">
        <x:f>IF(T3="","",I3*T3)</x:f>
        <x:v>19089.539482979057</x:v>
      </x:c>
    </x:row>
    <x:row r="4" ht="18" customHeight="1">
      <x:c r="A4" s="24" t="str">
        <x:v>EEZ_654</x:v>
      </x:c>
      <x:c r="B4" s="24" t="str">
        <x:v>Saint Helena (UK)</x:v>
      </x:c>
      <x:c r="C4" s="24" t="str">
        <x:v>EEZ</x:v>
      </x:c>
      <x:c r="D4" s="30" t="n">
        <x:v>2019</x:v>
      </x:c>
      <x:c r="E4" s="24" t="str">
        <x:v>Katsuwonus pelamis</x:v>
      </x:c>
      <x:c r="F4" s="24" t="str">
        <x:v>Skipjack tuna</x:v>
      </x:c>
      <x:c r="G4" s="24" t="str">
        <x:v>Large pelagics (&gt;=90 cm)</x:v>
      </x:c>
      <x:c r="H4" s="24" t="str">
        <x:v>Tuna &amp; billfishes</x:v>
      </x:c>
      <x:c r="I4" s="31" t="n">
        <x:v>28.395460104</x:v>
      </x:c>
      <x:c r="J4" s="31" t="n">
        <x:v>28.395460104</x:v>
      </x:c>
      <x:c r="K4" s="31" t="n">
        <x:v>0</x:v>
      </x:c>
      <x:c r="L4" s="31" t="n">
        <x:v>28.39</x:v>
      </x:c>
      <x:c r="M4" s="31" t="n">
        <x:v>0.005460104</x:v>
      </x:c>
      <x:c r="N4" s="24" t="str">
        <x:v>katsuwonus pelamis</x:v>
      </x:c>
      <x:c r="O4" s="32" t="n">
        <x:v>4.43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Katsuwonus pelamis</x:v>
      </x:c>
      <x:c r="T4" s="32" t="n">
        <x:f>IF(O4="","",(1/'Metadata'!$B$5)^(O4-1))</x:f>
        <x:v>2691.534803926914</x:v>
      </x:c>
      <x:c r="U4" s="31" t="n">
        <x:f>IF(T4="","",I4*T4)</x:f>
        <x:v>76427.36914343415</x:v>
      </x:c>
    </x:row>
    <x:row r="5" ht="18" customHeight="1">
      <x:c r="A5" s="24" t="str">
        <x:v>EEZ_654</x:v>
      </x:c>
      <x:c r="B5" s="24" t="str">
        <x:v>Saint Helena (UK)</x:v>
      </x:c>
      <x:c r="C5" s="24" t="str">
        <x:v>EEZ</x:v>
      </x:c>
      <x:c r="D5" s="30" t="n">
        <x:v>2019</x:v>
      </x:c>
      <x:c r="E5" s="24" t="str">
        <x:v>Thunnus</x:v>
      </x:c>
      <x:c r="F5" s="24" t="str">
        <x:v>Tunas</x:v>
      </x:c>
      <x:c r="G5" s="24" t="str">
        <x:v>Large pelagics (&gt;=90 cm)</x:v>
      </x:c>
      <x:c r="H5" s="24" t="str">
        <x:v>Tuna &amp; billfishes</x:v>
      </x:c>
      <x:c r="I5" s="31" t="n">
        <x:v>28.12325462</x:v>
      </x:c>
      <x:c r="J5" s="31" t="n">
        <x:v>28.12325462</x:v>
      </x:c>
      <x:c r="K5" s="31" t="n">
        <x:v>0</x:v>
      </x:c>
      <x:c r="L5" s="31" t="n">
        <x:v>0</x:v>
      </x:c>
      <x:c r="M5" s="31" t="n">
        <x:v>28.12325462</x:v>
      </x:c>
      <x:c r="N5" s="24" t="str">
        <x:v>thunnus</x:v>
      </x:c>
      <x:c r="O5" s="32" t="n">
        <x:v>4.34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Thunnus</x:v>
      </x:c>
      <x:c r="T5" s="32" t="n">
        <x:f>IF(O5="","",(1/'Metadata'!$B$5)^(O5-1))</x:f>
        <x:v>2187.761623949552</x:v>
      </x:c>
      <x:c r="U5" s="31" t="n">
        <x:f>IF(T5="","",I5*T5)</x:f>
        <x:v>61526.97719819794</x:v>
      </x:c>
    </x:row>
    <x:row r="6" ht="18" customHeight="1">
      <x:c r="A6" s="24" t="str">
        <x:v>EEZ_654</x:v>
      </x:c>
      <x:c r="B6" s="24" t="str">
        <x:v>Saint Helena (UK)</x:v>
      </x:c>
      <x:c r="C6" s="24" t="str">
        <x:v>EEZ</x:v>
      </x:c>
      <x:c r="D6" s="30" t="n">
        <x:v>2019</x:v>
      </x:c>
      <x:c r="E6" s="24" t="str">
        <x:v>Cookeolus japonicus</x:v>
      </x:c>
      <x:c r="F6" s="24" t="str">
        <x:v>Longfinned bullseye</x:v>
      </x:c>
      <x:c r="G6" s="24" t="str">
        <x:v>Medium benthopelagics (30 - 89 cm)</x:v>
      </x:c>
      <x:c r="H6" s="24" t="str">
        <x:v>Perch-likes</x:v>
      </x:c>
      <x:c r="I6" s="31" t="n">
        <x:v>22.5757572</x:v>
      </x:c>
      <x:c r="J6" s="31" t="n">
        <x:v>22.5757572</x:v>
      </x:c>
      <x:c r="K6" s="31" t="n">
        <x:v>0</x:v>
      </x:c>
      <x:c r="L6" s="31" t="n">
        <x:v>0</x:v>
      </x:c>
      <x:c r="M6" s="31" t="n">
        <x:v>22.5757572</x:v>
      </x:c>
      <x:c r="N6" s="24" t="str">
        <x:v>cookeolus japonicus</x:v>
      </x:c>
      <x:c r="O6" s="32" t="n">
        <x:v>3.5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Cookeolus japonicus</x:v>
      </x:c>
      <x:c r="T6" s="32" t="n">
        <x:f>IF(O6="","",(1/'Metadata'!$B$5)^(O6-1))</x:f>
        <x:v>316.22776601683796</x:v>
      </x:c>
      <x:c r="U6" s="31" t="n">
        <x:f>IF(T6="","",I6*T6)</x:f>
        <x:v>7139.081265494546</x:v>
      </x:c>
    </x:row>
    <x:row r="7" ht="18" customHeight="1">
      <x:c r="A7" s="24" t="str">
        <x:v>EEZ_654</x:v>
      </x:c>
      <x:c r="B7" s="24" t="str">
        <x:v>Saint Helena (UK)</x:v>
      </x:c>
      <x:c r="C7" s="24" t="str">
        <x:v>EEZ</x:v>
      </x:c>
      <x:c r="D7" s="30" t="n">
        <x:v>2019</x:v>
      </x:c>
      <x:c r="E7" s="24" t="str">
        <x:v>Serranidae</x:v>
      </x:c>
      <x:c r="F7" s="24" t="str">
        <x:v>Basses, groupers, hinds</x:v>
      </x:c>
      <x:c r="G7" s="24" t="str">
        <x:v>Medium reef assoc. fish (30 - 89 cm)</x:v>
      </x:c>
      <x:c r="H7" s="24" t="str">
        <x:v>Perch-likes</x:v>
      </x:c>
      <x:c r="I7" s="31" t="n">
        <x:v>15</x:v>
      </x:c>
      <x:c r="J7" s="31" t="n">
        <x:v>15</x:v>
      </x:c>
      <x:c r="K7" s="31" t="n">
        <x:v>0</x:v>
      </x:c>
      <x:c r="L7" s="31" t="n">
        <x:v>15</x:v>
      </x:c>
      <x:c r="M7" s="31" t="n">
        <x:v>0</x:v>
      </x:c>
      <x:c r="N7" s="24" t="str">
        <x:v>serranidae</x:v>
      </x:c>
      <x:c r="O7" s="32" t="n">
        <x:v>3.98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Serranidae</x:v>
      </x:c>
      <x:c r="T7" s="32" t="n">
        <x:f>IF(O7="","",(1/'Metadata'!$B$5)^(O7-1))</x:f>
        <x:v>954.992586021436</x:v>
      </x:c>
      <x:c r="U7" s="31" t="n">
        <x:f>IF(T7="","",I7*T7)</x:f>
        <x:v>14324.88879032154</x:v>
      </x:c>
    </x:row>
    <x:row r="8" ht="18" customHeight="1">
      <x:c r="A8" s="24" t="str">
        <x:v>EEZ_654</x:v>
      </x:c>
      <x:c r="B8" s="24" t="str">
        <x:v>Saint Helena (UK)</x:v>
      </x:c>
      <x:c r="C8" s="24" t="str">
        <x:v>EEZ</x:v>
      </x:c>
      <x:c r="D8" s="30" t="n">
        <x:v>2019</x:v>
      </x:c>
      <x:c r="E8" s="24" t="str">
        <x:v>Acanthocybium solandri</x:v>
      </x:c>
      <x:c r="F8" s="24" t="str">
        <x:v>Wahoo</x:v>
      </x:c>
      <x:c r="G8" s="24" t="str">
        <x:v>Large pelagics (&gt;=90 cm)</x:v>
      </x:c>
      <x:c r="H8" s="24" t="str">
        <x:v>Perch-likes</x:v>
      </x:c>
      <x:c r="I8" s="31" t="n">
        <x:v>5</x:v>
      </x:c>
      <x:c r="J8" s="31" t="n">
        <x:v>5</x:v>
      </x:c>
      <x:c r="K8" s="31" t="n">
        <x:v>0</x:v>
      </x:c>
      <x:c r="L8" s="31" t="n">
        <x:v>5</x:v>
      </x:c>
      <x:c r="M8" s="31" t="n">
        <x:v>0</x:v>
      </x:c>
      <x:c r="N8" s="24" t="str">
        <x:v>acanthocybium solandri</x:v>
      </x:c>
      <x:c r="O8" s="32" t="n">
        <x:v>4.26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Acanthocybium solandri</x:v>
      </x:c>
      <x:c r="T8" s="32" t="n">
        <x:f>IF(O8="","",(1/'Metadata'!$B$5)^(O8-1))</x:f>
        <x:v>1819.7008586099826</x:v>
      </x:c>
      <x:c r="U8" s="31" t="n">
        <x:f>IF(T8="","",I8*T8)</x:f>
        <x:v>9098.504293049913</x:v>
      </x:c>
    </x:row>
    <x:row r="9" ht="18" customHeight="1">
      <x:c r="A9" s="24" t="str">
        <x:v>EEZ_654</x:v>
      </x:c>
      <x:c r="B9" s="24" t="str">
        <x:v>Saint Helena (UK)</x:v>
      </x:c>
      <x:c r="C9" s="24" t="str">
        <x:v>EEZ</x:v>
      </x:c>
      <x:c r="D9" s="30" t="n">
        <x:v>2019</x:v>
      </x:c>
      <x:c r="E9" s="24" t="str">
        <x:v>Marine pelagic fishes not identified</x:v>
      </x:c>
      <x:c r="F9" s="24" t="str">
        <x:v>Pelagic fishes</x:v>
      </x:c>
      <x:c r="G9" s="24" t="str">
        <x:v>Medium pelagics (30 - 89 cm)</x:v>
      </x:c>
      <x:c r="H9" s="24" t="str">
        <x:v>Other fishes &amp; inverts</x:v>
      </x:c>
      <x:c r="I9" s="31" t="n">
        <x:v>4.872</x:v>
      </x:c>
      <x:c r="J9" s="31" t="n">
        <x:v>4.872</x:v>
      </x:c>
      <x:c r="K9" s="31" t="n">
        <x:v>0</x:v>
      </x:c>
      <x:c r="L9" s="31" t="n">
        <x:v>4.872</x:v>
      </x:c>
      <x:c r="M9" s="31" t="n">
        <x:v>0</x:v>
      </x:c>
      <x:c r="N9" s="24" t="str">
        <x:v>marine pelagic fishes not identified</x:v>
      </x:c>
      <x:c r="O9" s="32" t="n">
        <x:v>3.35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Marine pelagic fishes not identified</x:v>
      </x:c>
      <x:c r="T9" s="32" t="n">
        <x:f>IF(O9="","",(1/'Metadata'!$B$5)^(O9-1))</x:f>
        <x:v>223.872113856834</x:v>
      </x:c>
      <x:c r="U9" s="31" t="n">
        <x:f>IF(T9="","",I9*T9)</x:f>
        <x:v>1090.7049387104953</x:v>
      </x:c>
    </x:row>
    <x:row r="10" ht="18" customHeight="1">
      <x:c r="A10" s="24" t="str">
        <x:v>EEZ_654</x:v>
      </x:c>
      <x:c r="B10" s="24" t="str">
        <x:v>Saint Helena (UK)</x:v>
      </x:c>
      <x:c r="C10" s="24" t="str">
        <x:v>EEZ</x:v>
      </x:c>
      <x:c r="D10" s="30" t="n">
        <x:v>2019</x:v>
      </x:c>
      <x:c r="E10" s="24" t="str">
        <x:v>Carcharhinus galapagensis</x:v>
      </x:c>
      <x:c r="F10" s="24" t="str">
        <x:v>Galapagos shark</x:v>
      </x:c>
      <x:c r="G10" s="24" t="str">
        <x:v>Large sharks (&gt;=90 cm)</x:v>
      </x:c>
      <x:c r="H10" s="24" t="str">
        <x:v>Sharks &amp; rays</x:v>
      </x:c>
      <x:c r="I10" s="31" t="n">
        <x:v>2.782520656</x:v>
      </x:c>
      <x:c r="J10" s="31" t="n">
        <x:v>2.782520656</x:v>
      </x:c>
      <x:c r="K10" s="31" t="n">
        <x:v>0</x:v>
      </x:c>
      <x:c r="L10" s="31" t="n">
        <x:v>0</x:v>
      </x:c>
      <x:c r="M10" s="31" t="n">
        <x:v>2.782520656</x:v>
      </x:c>
      <x:c r="N10" s="24" t="str">
        <x:v>carcharhinus galapagensis</x:v>
      </x:c>
      <x:c r="O10" s="32" t="n">
        <x:v>4.23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Carcharhinus galapagensis</x:v>
      </x:c>
      <x:c r="T10" s="32" t="n">
        <x:f>IF(O10="","",(1/'Metadata'!$B$5)^(O10-1))</x:f>
        <x:v>1698.243652461746</x:v>
      </x:c>
      <x:c r="U10" s="31" t="n">
        <x:f>IF(T10="","",I10*T10)</x:f>
        <x:v>4725.3980418956935</x:v>
      </x:c>
    </x:row>
    <x:row r="11" ht="18" customHeight="1">
      <x:c r="A11" s="24" t="str">
        <x:v>EEZ_654</x:v>
      </x:c>
      <x:c r="B11" s="24" t="str">
        <x:v>Saint Helena (UK)</x:v>
      </x:c>
      <x:c r="C11" s="24" t="str">
        <x:v>EEZ</x:v>
      </x:c>
      <x:c r="D11" s="30" t="n">
        <x:v>2019</x:v>
      </x:c>
      <x:c r="E11" s="24" t="str">
        <x:v>Thunnus obesus</x:v>
      </x:c>
      <x:c r="F11" s="24" t="str">
        <x:v>Bigeye tuna</x:v>
      </x:c>
      <x:c r="G11" s="24" t="str">
        <x:v>Large pelagics (&gt;=90 cm)</x:v>
      </x:c>
      <x:c r="H11" s="24" t="str">
        <x:v>Tuna &amp; billfishes</x:v>
      </x:c>
      <x:c r="I11" s="31" t="n">
        <x:v>2.0648098742</x:v>
      </x:c>
      <x:c r="J11" s="31" t="n">
        <x:v>2.0648098742</x:v>
      </x:c>
      <x:c r="K11" s="31" t="n">
        <x:v>0</x:v>
      </x:c>
      <x:c r="L11" s="31" t="n">
        <x:v>2.0648098742</x:v>
      </x:c>
      <x:c r="M11" s="31" t="n">
        <x:v>0</x:v>
      </x:c>
      <x:c r="N11" s="24" t="str">
        <x:v>thunnus obesus</x:v>
      </x:c>
      <x:c r="O11" s="32" t="n">
        <x:v>4.49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Thunnus obesus</x:v>
      </x:c>
      <x:c r="T11" s="32" t="n">
        <x:f>IF(O11="","",(1/'Metadata'!$B$5)^(O11-1))</x:f>
        <x:v>3090.295432513592</x:v>
      </x:c>
      <x:c r="U11" s="31" t="n">
        <x:f>IF(T11="","",I11*T11)</x:f>
        <x:v>6380.872523249224</x:v>
      </x:c>
    </x:row>
    <x:row r="12" ht="18" customHeight="1">
      <x:c r="A12" s="24" t="str">
        <x:v>EEZ_654</x:v>
      </x:c>
      <x:c r="B12" s="24" t="str">
        <x:v>Saint Helena (UK)</x:v>
      </x:c>
      <x:c r="C12" s="24" t="str">
        <x:v>EEZ</x:v>
      </x:c>
      <x:c r="D12" s="30" t="n">
        <x:v>2019</x:v>
      </x:c>
      <x:c r="E12" s="24" t="str">
        <x:v>Seriola lalandi</x:v>
      </x:c>
      <x:c r="F12" s="24" t="str">
        <x:v>Yellowtail amberjack</x:v>
      </x:c>
      <x:c r="G12" s="24" t="str">
        <x:v>Large benthopelagics (&gt;=90 cm)</x:v>
      </x:c>
      <x:c r="H12" s="24" t="str">
        <x:v>Perch-likes</x:v>
      </x:c>
      <x:c r="I12" s="31" t="n">
        <x:v>1.008070056</x:v>
      </x:c>
      <x:c r="J12" s="31" t="n">
        <x:v>1.008070056</x:v>
      </x:c>
      <x:c r="K12" s="31" t="n">
        <x:v>0</x:v>
      </x:c>
      <x:c r="L12" s="31" t="n">
        <x:v>0</x:v>
      </x:c>
      <x:c r="M12" s="31" t="n">
        <x:v>1.008070056</x:v>
      </x:c>
      <x:c r="N12" s="24" t="str">
        <x:v>seriola lalandi</x:v>
      </x:c>
      <x:c r="O12" s="32" t="n">
        <x:v>4.16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Seriola lalandi</x:v>
      </x:c>
      <x:c r="T12" s="32" t="n">
        <x:f>IF(O12="","",(1/'Metadata'!$B$5)^(O12-1))</x:f>
        <x:v>1445.439770745928</x:v>
      </x:c>
      <x:c r="U12" s="31" t="n">
        <x:f>IF(T12="","",I12*T12)</x:f>
        <x:v>1457.1045506404748</x:v>
      </x:c>
    </x:row>
    <x:row r="13" ht="18" customHeight="1">
      <x:c r="A13" s="24" t="str">
        <x:v>EEZ_654</x:v>
      </x:c>
      <x:c r="B13" s="24" t="str">
        <x:v>Saint Helena (UK)</x:v>
      </x:c>
      <x:c r="C13" s="24" t="str">
        <x:v>EEZ</x:v>
      </x:c>
      <x:c r="D13" s="30" t="n">
        <x:v>2019</x:v>
      </x:c>
      <x:c r="E13" s="24" t="str">
        <x:v>Carangidae</x:v>
      </x:c>
      <x:c r="F13" s="24" t="str">
        <x:v>Jacks, pompanos</x:v>
      </x:c>
      <x:c r="G13" s="24" t="str">
        <x:v>Medium pelagics (30 - 89 cm)</x:v>
      </x:c>
      <x:c r="H13" s="24" t="str">
        <x:v>Perch-likes</x:v>
      </x:c>
      <x:c r="I13" s="31" t="n">
        <x:v>1</x:v>
      </x:c>
      <x:c r="J13" s="31" t="n">
        <x:v>1</x:v>
      </x:c>
      <x:c r="K13" s="31" t="n">
        <x:v>0</x:v>
      </x:c>
      <x:c r="L13" s="31" t="n">
        <x:v>1</x:v>
      </x:c>
      <x:c r="M13" s="31" t="n">
        <x:v>0</x:v>
      </x:c>
      <x:c r="N13" s="24" t="str">
        <x:v>carangidae</x:v>
      </x:c>
      <x:c r="O13" s="32" t="n">
        <x:v>4.05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Carangidae</x:v>
      </x:c>
      <x:c r="T13" s="32" t="n">
        <x:f>IF(O13="","",(1/'Metadata'!$B$5)^(O13-1))</x:f>
        <x:v>1122.018454301963</x:v>
      </x:c>
      <x:c r="U13" s="31" t="n">
        <x:f>IF(T13="","",I13*T13)</x:f>
        <x:v>1122.018454301963</x:v>
      </x:c>
    </x:row>
    <x:row r="14" ht="18" customHeight="1">
      <x:c r="A14" s="24" t="str">
        <x:v>EEZ_654</x:v>
      </x:c>
      <x:c r="B14" s="24" t="str">
        <x:v>Saint Helena (UK)</x:v>
      </x:c>
      <x:c r="C14" s="24" t="str">
        <x:v>EEZ</x:v>
      </x:c>
      <x:c r="D14" s="30" t="n">
        <x:v>2019</x:v>
      </x:c>
      <x:c r="E14" s="24" t="str">
        <x:v>Epinephelus adscensionis</x:v>
      </x:c>
      <x:c r="F14" s="24" t="str">
        <x:v>Rock hind</x:v>
      </x:c>
      <x:c r="G14" s="24" t="str">
        <x:v>Medium reef assoc. fish (30 - 89 cm)</x:v>
      </x:c>
      <x:c r="H14" s="24" t="str">
        <x:v>Perch-likes</x:v>
      </x:c>
      <x:c r="I14" s="31" t="n">
        <x:v>0.812284324</x:v>
      </x:c>
      <x:c r="J14" s="31" t="n">
        <x:v>0.812284324</x:v>
      </x:c>
      <x:c r="K14" s="31" t="n">
        <x:v>0</x:v>
      </x:c>
      <x:c r="L14" s="31" t="n">
        <x:v>0</x:v>
      </x:c>
      <x:c r="M14" s="31" t="n">
        <x:v>0.812284324</x:v>
      </x:c>
      <x:c r="N14" s="24" t="str">
        <x:v>epinephelus adscensionis</x:v>
      </x:c>
      <x:c r="O14" s="32" t="n">
        <x:v>3.53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Epinephelus adscensionis</x:v>
      </x:c>
      <x:c r="T14" s="32" t="n">
        <x:f>IF(O14="","",(1/'Metadata'!$B$5)^(O14-1))</x:f>
        <x:v>338.84415613920237</x:v>
      </x:c>
      <x:c r="U14" s="31" t="n">
        <x:f>IF(T14="","",I14*T14)</x:f>
        <x:v>275.2377963108824</x:v>
      </x:c>
    </x:row>
    <x:row r="15" ht="18" customHeight="1">
      <x:c r="A15" s="24" t="str">
        <x:v>EEZ_654</x:v>
      </x:c>
      <x:c r="B15" s="24" t="str">
        <x:v>Saint Helena (UK)</x:v>
      </x:c>
      <x:c r="C15" s="24" t="str">
        <x:v>EEZ</x:v>
      </x:c>
      <x:c r="D15" s="30" t="n">
        <x:v>2019</x:v>
      </x:c>
      <x:c r="E15" s="24" t="str">
        <x:v>Diplodus helenae</x:v>
      </x:c>
      <x:c r="F15" s="24" t="str">
        <x:v>St. Helena white seabream</x:v>
      </x:c>
      <x:c r="G15" s="24" t="str">
        <x:v>Small benthopelagics (&lt;30 cm)</x:v>
      </x:c>
      <x:c r="H15" s="24" t="str">
        <x:v>Perch-likes</x:v>
      </x:c>
      <x:c r="I15" s="31" t="n">
        <x:v>0.680647873</x:v>
      </x:c>
      <x:c r="J15" s="31" t="n">
        <x:v>0.680647873</x:v>
      </x:c>
      <x:c r="K15" s="31" t="n">
        <x:v>0</x:v>
      </x:c>
      <x:c r="L15" s="31" t="n">
        <x:v>0</x:v>
      </x:c>
      <x:c r="M15" s="31" t="n">
        <x:v>0.680647873</x:v>
      </x:c>
      <x:c r="N15" s="24" t="str">
        <x:v>diplodus helenae</x:v>
      </x:c>
      <x:c r="O15" s="32" t="n">
        <x:v>3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Diplodus helenae</x:v>
      </x:c>
      <x:c r="T15" s="32" t="n">
        <x:f>IF(O15="","",(1/'Metadata'!$B$5)^(O15-1))</x:f>
        <x:v>100</x:v>
      </x:c>
      <x:c r="U15" s="31" t="n">
        <x:f>IF(T15="","",I15*T15)</x:f>
        <x:v>68.06478729999999</x:v>
      </x:c>
    </x:row>
    <x:row r="16" ht="18" customHeight="1">
      <x:c r="A16" s="24" t="str">
        <x:v>EEZ_654</x:v>
      </x:c>
      <x:c r="B16" s="24" t="str">
        <x:v>Saint Helena (UK)</x:v>
      </x:c>
      <x:c r="C16" s="24" t="str">
        <x:v>EEZ</x:v>
      </x:c>
      <x:c r="D16" s="30" t="n">
        <x:v>2019</x:v>
      </x:c>
      <x:c r="E16" s="24" t="str">
        <x:v>Xiphias gladius</x:v>
      </x:c>
      <x:c r="F16" s="24" t="str">
        <x:v>Swordfish</x:v>
      </x:c>
      <x:c r="G16" s="24" t="str">
        <x:v>Large pelagics (&gt;=90 cm)</x:v>
      </x:c>
      <x:c r="H16" s="24" t="str">
        <x:v>Tuna &amp; billfishes</x:v>
      </x:c>
      <x:c r="I16" s="31" t="n">
        <x:v>0.647442658</x:v>
      </x:c>
      <x:c r="J16" s="31" t="n">
        <x:v>0.647442658</x:v>
      </x:c>
      <x:c r="K16" s="31" t="n">
        <x:v>0</x:v>
      </x:c>
      <x:c r="L16" s="31" t="n">
        <x:v>0</x:v>
      </x:c>
      <x:c r="M16" s="31" t="n">
        <x:v>0.647442658</x:v>
      </x:c>
      <x:c r="N16" s="24" t="str">
        <x:v>xiphias gladius</x:v>
      </x:c>
      <x:c r="O16" s="32" t="n">
        <x:v>4.53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Xiphias gladius</x:v>
      </x:c>
      <x:c r="T16" s="32" t="n">
        <x:f>IF(O16="","",(1/'Metadata'!$B$5)^(O16-1))</x:f>
        <x:v>3388.4415613920273</x:v>
      </x:c>
      <x:c r="U16" s="31" t="n">
        <x:f>IF(T16="","",I16*T16)</x:f>
        <x:v>2193.8216109853242</x:v>
      </x:c>
    </x:row>
    <x:row r="17" ht="18" customHeight="1">
      <x:c r="A17" s="24" t="str">
        <x:v>EEZ_654</x:v>
      </x:c>
      <x:c r="B17" s="24" t="str">
        <x:v>Saint Helena (UK)</x:v>
      </x:c>
      <x:c r="C17" s="24" t="str">
        <x:v>EEZ</x:v>
      </x:c>
      <x:c r="D17" s="30" t="n">
        <x:v>2019</x:v>
      </x:c>
      <x:c r="E17" s="24" t="str">
        <x:v>Gymnothorax moringa</x:v>
      </x:c>
      <x:c r="F17" s="24" t="str">
        <x:v>Spotted moray</x:v>
      </x:c>
      <x:c r="G17" s="24" t="str">
        <x:v>Large reef assoc. fish (&gt;=90 cm)</x:v>
      </x:c>
      <x:c r="H17" s="24" t="str">
        <x:v>Other fishes &amp; inverts</x:v>
      </x:c>
      <x:c r="I17" s="31" t="n">
        <x:v>0.283654512</x:v>
      </x:c>
      <x:c r="J17" s="31" t="n">
        <x:v>0.283654512</x:v>
      </x:c>
      <x:c r="K17" s="31" t="n">
        <x:v>0</x:v>
      </x:c>
      <x:c r="L17" s="31" t="n">
        <x:v>0</x:v>
      </x:c>
      <x:c r="M17" s="31" t="n">
        <x:v>0.283654512</x:v>
      </x:c>
      <x:c r="N17" s="24" t="str">
        <x:v>gymnothorax moringa</x:v>
      </x:c>
      <x:c r="O17" s="32" t="n">
        <x:v>4.5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Gymnothorax moringa</x:v>
      </x:c>
      <x:c r="T17" s="32" t="n">
        <x:f>IF(O17="","",(1/'Metadata'!$B$5)^(O17-1))</x:f>
        <x:v>3162.2776601683795</x:v>
      </x:c>
      <x:c r="U17" s="31" t="n">
        <x:f>IF(T17="","",I17*T17)</x:f>
        <x:v>896.9943265035636</x:v>
      </x:c>
    </x:row>
    <x:row r="18" ht="18" customHeight="1">
      <x:c r="A18" s="24" t="str">
        <x:v>EEZ_654</x:v>
      </x:c>
      <x:c r="B18" s="24" t="str">
        <x:v>Saint Helena (UK)</x:v>
      </x:c>
      <x:c r="C18" s="24" t="str">
        <x:v>EEZ</x:v>
      </x:c>
      <x:c r="D18" s="30" t="n">
        <x:v>2019</x:v>
      </x:c>
      <x:c r="E18" s="24" t="str">
        <x:v>Isurus oxyrinchus</x:v>
      </x:c>
      <x:c r="F18" s="24" t="str">
        <x:v>Shortfin mako</x:v>
      </x:c>
      <x:c r="G18" s="24" t="str">
        <x:v>Large sharks (&gt;=90 cm)</x:v>
      </x:c>
      <x:c r="H18" s="24" t="str">
        <x:v>Sharks &amp; rays</x:v>
      </x:c>
      <x:c r="I18" s="31" t="n">
        <x:v>0.21983</x:v>
      </x:c>
      <x:c r="J18" s="31" t="n">
        <x:v>0.21983</x:v>
      </x:c>
      <x:c r="K18" s="31" t="n">
        <x:v>0</x:v>
      </x:c>
      <x:c r="L18" s="31" t="n">
        <x:v>0.21983</x:v>
      </x:c>
      <x:c r="M18" s="31" t="n">
        <x:v>0</x:v>
      </x:c>
      <x:c r="N18" s="24" t="str">
        <x:v>isurus oxyrinchus</x:v>
      </x:c>
      <x:c r="O18" s="32" t="n">
        <x:v>4.5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Isurus oxyrinchus</x:v>
      </x:c>
      <x:c r="T18" s="32" t="n">
        <x:f>IF(O18="","",(1/'Metadata'!$B$5)^(O18-1))</x:f>
        <x:v>3162.2776601683795</x:v>
      </x:c>
      <x:c r="U18" s="31" t="n">
        <x:f>IF(T18="","",I18*T18)</x:f>
        <x:v>695.1634980348149</x:v>
      </x:c>
    </x:row>
    <x:row r="19" ht="18" customHeight="1">
      <x:c r="A19" s="24" t="str">
        <x:v>EEZ_654</x:v>
      </x:c>
      <x:c r="B19" s="24" t="str">
        <x:v>Saint Helena (UK)</x:v>
      </x:c>
      <x:c r="C19" s="24" t="str">
        <x:v>EEZ</x:v>
      </x:c>
      <x:c r="D19" s="30" t="n">
        <x:v>2019</x:v>
      </x:c>
      <x:c r="E19" s="24" t="str">
        <x:v>Caranx lugubris</x:v>
      </x:c>
      <x:c r="F19" s="24" t="str">
        <x:v>Black jack</x:v>
      </x:c>
      <x:c r="G19" s="24" t="str">
        <x:v>Large benthopelagics (&gt;=90 cm)</x:v>
      </x:c>
      <x:c r="H19" s="24" t="str">
        <x:v>Perch-likes</x:v>
      </x:c>
      <x:c r="I19" s="31" t="n">
        <x:v>0.04068681</x:v>
      </x:c>
      <x:c r="J19" s="31" t="n">
        <x:v>0.04068681</x:v>
      </x:c>
      <x:c r="K19" s="31" t="n">
        <x:v>0</x:v>
      </x:c>
      <x:c r="L19" s="31" t="n">
        <x:v>0</x:v>
      </x:c>
      <x:c r="M19" s="31" t="n">
        <x:v>0.04068681</x:v>
      </x:c>
      <x:c r="N19" s="24" t="str">
        <x:v>caranx lugubris</x:v>
      </x:c>
      <x:c r="O19" s="32" t="n">
        <x:v>4.5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Caranx lugubris</x:v>
      </x:c>
      <x:c r="T19" s="32" t="n">
        <x:f>IF(O19="","",(1/'Metadata'!$B$5)^(O19-1))</x:f>
        <x:v>3162.2776601683795</x:v>
      </x:c>
      <x:c r="U19" s="31" t="n">
        <x:f>IF(T19="","",I19*T19)</x:f>
        <x:v>128.66299032651543</x:v>
      </x:c>
    </x:row>
    <x:row r="20" ht="18" customHeight="1">
      <x:c r="A20" s="24" t="str">
        <x:v>EEZ_654</x:v>
      </x:c>
      <x:c r="B20" s="24" t="str">
        <x:v>Saint Helena (UK)</x:v>
      </x:c>
      <x:c r="C20" s="24" t="str">
        <x:v>EEZ</x:v>
      </x:c>
      <x:c r="D20" s="30" t="n">
        <x:v>2019</x:v>
      </x:c>
      <x:c r="E20" s="24" t="str">
        <x:v>Makaira nigricans</x:v>
      </x:c>
      <x:c r="F20" s="24" t="str">
        <x:v>Blue marlin</x:v>
      </x:c>
      <x:c r="G20" s="24" t="str">
        <x:v>Large pelagics (&gt;=90 cm)</x:v>
      </x:c>
      <x:c r="H20" s="24" t="str">
        <x:v>Tuna &amp; billfishes</x:v>
      </x:c>
      <x:c r="I20" s="31" t="n">
        <x:v>0.036</x:v>
      </x:c>
      <x:c r="J20" s="31" t="n">
        <x:v>0.036</x:v>
      </x:c>
      <x:c r="K20" s="31" t="n">
        <x:v>0</x:v>
      </x:c>
      <x:c r="L20" s="31" t="n">
        <x:v>0.036</x:v>
      </x:c>
      <x:c r="M20" s="31" t="n">
        <x:v>0</x:v>
      </x:c>
      <x:c r="N20" s="24" t="str">
        <x:v>makaira nigricans</x:v>
      </x:c>
      <x:c r="O20" s="32" t="n">
        <x:v>4.49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Makaira nigricans</x:v>
      </x:c>
      <x:c r="T20" s="32" t="n">
        <x:f>IF(O20="","",(1/'Metadata'!$B$5)^(O20-1))</x:f>
        <x:v>3090.295432513592</x:v>
      </x:c>
      <x:c r="U20" s="31" t="n">
        <x:f>IF(T20="","",I20*T20)</x:f>
        <x:v>111.25063557048931</x:v>
      </x:c>
    </x:row>
    <x:row r="21" ht="18" customHeight="1">
      <x:c r="A21" s="24" t="str">
        <x:v>EEZ_654</x:v>
      </x:c>
      <x:c r="B21" s="24" t="str">
        <x:v>Saint Helena (UK)</x:v>
      </x:c>
      <x:c r="C21" s="24" t="str">
        <x:v>EEZ</x:v>
      </x:c>
      <x:c r="D21" s="30" t="n">
        <x:v>2019</x:v>
      </x:c>
      <x:c r="E21" s="24" t="str">
        <x:v>Corniger spinosus</x:v>
      </x:c>
      <x:c r="F21" s="24" t="str">
        <x:v>Spinycheek soldierfish</x:v>
      </x:c>
      <x:c r="G21" s="24" t="str">
        <x:v>Small demersals (&lt;30 cm)</x:v>
      </x:c>
      <x:c r="H21" s="24" t="str">
        <x:v>Other fishes &amp; inverts</x:v>
      </x:c>
      <x:c r="I21" s="31" t="n">
        <x:v>0.012420696</x:v>
      </x:c>
      <x:c r="J21" s="31" t="n">
        <x:v>0.012420696</x:v>
      </x:c>
      <x:c r="K21" s="31" t="n">
        <x:v>0</x:v>
      </x:c>
      <x:c r="L21" s="31" t="n">
        <x:v>0</x:v>
      </x:c>
      <x:c r="M21" s="31" t="n">
        <x:v>0.012420696</x:v>
      </x:c>
      <x:c r="N21" s="24" t="str">
        <x:v>corniger spinosus</x:v>
      </x:c>
      <x:c r="O21" s="32" t="n">
        <x:v>3.6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Corniger spinosus</x:v>
      </x:c>
      <x:c r="T21" s="32" t="n">
        <x:f>IF(O21="","",(1/'Metadata'!$B$5)^(O21-1))</x:f>
        <x:v>398.1071705534973</x:v>
      </x:c>
      <x:c r="U21" s="31" t="n">
        <x:f>IF(T21="","",I21*T21)</x:f>
        <x:v>4.9447681408651425</x:v>
      </x:c>
    </x:row>
  </x:sheetData>
  <x:conditionalFormatting sqref="R2:R21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e7e496fe5b4d412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Other fishes &amp; inverts</x:v>
      </x:c>
      <x:c r="B2" s="33" t="n">
        <x:v>4</x:v>
      </x:c>
      <x:c r="C2" s="33" t="n">
        <x:v>4</x:v>
      </x:c>
      <x:c r="D2" s="31" t="n">
        <x:v>105.351402542</x:v>
      </x:c>
      <x:c r="E2" s="31" t="n">
        <x:v>105.351402542</x:v>
      </x:c>
      <x:c r="F2" s="32" t="n">
        <x:v>0</x:v>
      </x:c>
      <x:c r="G2" s="34" t="n">
        <x:v>1</x:v>
      </x:c>
      <x:c r="H2" s="32" t="n">
        <x:f>IF(E2=0,"",I2/E2)</x:f>
        <x:v>200.11298385827595</x:v>
      </x:c>
      <x:c r="I2" s="31" t="n">
        <x:f>IF(C2=0,"",SUMIF('Species'!$H$2:$H$21,A2,'Species'!$U$2:$U$21))</x:f>
        <x:v>21082.18351633398</x:v>
      </x:c>
      <x:c r="J2" s="32" t="n">
        <x:v>3.286559695558722</x:v>
      </x:c>
      <x:c r="K2" s="32" t="n">
        <x:f>IF(J2="","",(1/'Metadata'!$B$5)^(J2-1))</x:f>
        <x:v>193.4459739775174</x:v>
      </x:c>
      <x:c r="L2" s="31" t="n">
        <x:f>IF(E2=0,"",E2*K2)</x:f>
        <x:v>20379.804674634695</x:v>
      </x:c>
      <x:c r="M2" s="31" t="n">
        <x:f>IF(E2=0,"",I2-L2)</x:f>
        <x:v>702.3788416992829</x:v>
      </x:c>
      <x:c r="N2" s="32" t="n">
        <x:f>IF(L2=0,"",I2/L2)</x:f>
        <x:v>1.0344644540471717</x:v>
      </x:c>
      <x:c r="O2" s="34" t="n">
        <x:f>IF(L2=0,"",M2/L2)</x:f>
        <x:v>0.03446445404717172</x:v>
      </x:c>
    </x:row>
    <x:row r="3" ht="18" customHeight="1">
      <x:c r="A3" s="24" t="str">
        <x:v>Perch-likes</x:v>
      </x:c>
      <x:c r="B3" s="33" t="n">
        <x:v>8</x:v>
      </x:c>
      <x:c r="C3" s="33" t="n">
        <x:v>8</x:v>
      </x:c>
      <x:c r="D3" s="31" t="n">
        <x:v>46.117446263</x:v>
      </x:c>
      <x:c r="E3" s="31" t="n">
        <x:v>46.117446263</x:v>
      </x:c>
      <x:c r="F3" s="32" t="n">
        <x:v>0</x:v>
      </x:c>
      <x:c r="G3" s="34" t="n">
        <x:v>1</x:v>
      </x:c>
      <x:c r="H3" s="32" t="n">
        <x:f>IF(E3=0,"",I3/E3)</x:f>
        <x:v>728.8686961557532</x:v>
      </x:c>
      <x:c r="I3" s="31" t="n">
        <x:f>IF(C3=0,"",SUMIF('Species'!$H$2:$H$21,A3,'Species'!$U$2:$U$21))</x:f>
        <x:v>33613.56292774582</x:v>
      </x:c>
      <x:c r="J3" s="32" t="n">
        <x:v>3.7589054383472993</x:v>
      </x:c>
      <x:c r="K3" s="32" t="n">
        <x:f>IF(J3="","",(1/'Metadata'!$B$5)^(J3-1))</x:f>
        <x:v>573.991469848883</x:v>
      </x:c>
      <x:c r="L3" s="31" t="n">
        <x:f>IF(E3=0,"",E3*K3)</x:f>
        <x:v>26471.020766176243</x:v>
      </x:c>
      <x:c r="M3" s="31" t="n">
        <x:f>IF(E3=0,"",I3-L3)</x:f>
        <x:v>7142.542161569578</x:v>
      </x:c>
      <x:c r="N3" s="32" t="n">
        <x:f>IF(L3=0,"",I3/L3)</x:f>
        <x:v>1.2698249615933237</x:v>
      </x:c>
      <x:c r="O3" s="34" t="n">
        <x:f>IF(L3=0,"",M3/L3)</x:f>
        <x:v>0.26982496159332364</x:v>
      </x:c>
    </x:row>
    <x:row r="4" ht="18" customHeight="1">
      <x:c r="A4" s="24" t="str">
        <x:v>Sharks &amp; rays</x:v>
      </x:c>
      <x:c r="B4" s="33" t="n">
        <x:v>2</x:v>
      </x:c>
      <x:c r="C4" s="33" t="n">
        <x:v>2</x:v>
      </x:c>
      <x:c r="D4" s="31" t="n">
        <x:v>3.002350656</x:v>
      </x:c>
      <x:c r="E4" s="31" t="n">
        <x:v>3.002350656</x:v>
      </x:c>
      <x:c r="F4" s="32" t="n">
        <x:v>0</x:v>
      </x:c>
      <x:c r="G4" s="34" t="n">
        <x:v>1</x:v>
      </x:c>
      <x:c r="H4" s="32" t="n">
        <x:f>IF(E4=0,"",I4/E4)</x:f>
        <x:v>1805.4391911543953</x:v>
      </x:c>
      <x:c r="I4" s="31" t="n">
        <x:f>IF(C4=0,"",SUMIF('Species'!$H$2:$H$21,A4,'Species'!$U$2:$U$21))</x:f>
        <x:v>5420.561539930508</x:v>
      </x:c>
      <x:c r="J4" s="32" t="n">
        <x:v>4.249769209796127</x:v>
      </x:c>
      <x:c r="K4" s="32" t="n">
        <x:f>IF(J4="","",(1/'Metadata'!$B$5)^(J4-1))</x:f>
        <x:v>1777.33465836624</x:v>
      </x:c>
      <x:c r="L4" s="31" t="n">
        <x:f>IF(E4=0,"",E4*K4)</x:f>
        <x:v>5336.1818774774165</x:v>
      </x:c>
      <x:c r="M4" s="31" t="n">
        <x:f>IF(E4=0,"",I4-L4)</x:f>
        <x:v>84.37966245309144</x:v>
      </x:c>
      <x:c r="N4" s="32" t="n">
        <x:f>IF(L4=0,"",I4/L4)</x:f>
        <x:v>1.0158127410928843</x:v>
      </x:c>
      <x:c r="O4" s="34" t="n">
        <x:f>IF(L4=0,"",M4/L4)</x:f>
        <x:v>0.015812741092884264</x:v>
      </x:c>
    </x:row>
    <x:row r="5" ht="18" customHeight="1">
      <x:c r="A5" s="24" t="str">
        <x:v>Tuna &amp; billfishes</x:v>
      </x:c>
      <x:c r="B5" s="33" t="n">
        <x:v>6</x:v>
      </x:c>
      <x:c r="C5" s="33" t="n">
        <x:v>6</x:v>
      </x:c>
      <x:c r="D5" s="31" t="n">
        <x:v>360.9290523307</x:v>
      </x:c>
      <x:c r="E5" s="31" t="n">
        <x:v>360.9290523307</x:v>
      </x:c>
      <x:c r="F5" s="32" t="n">
        <x:v>0</x:v>
      </x:c>
      <x:c r="G5" s="34" t="n">
        <x:v>1</x:v>
      </x:c>
      <x:c r="H5" s="32" t="n">
        <x:f>IF(E5=0,"",I5/E5)</x:f>
        <x:v>2554.605223531262</x:v>
      </x:c>
      <x:c r="I5" s="31" t="n">
        <x:f>IF(C5=0,"",SUMIF('Species'!$H$2:$H$21,A5,'Species'!$U$2:$U$21))</x:f>
        <x:v>922031.2424081943</x:v>
      </x:c>
      <x:c r="J5" s="32" t="n">
        <x:v>4.406800033954136</x:v>
      </x:c>
      <x:c r="K5" s="32" t="n">
        <x:f>IF(J5="","",(1/'Metadata'!$B$5)^(J5-1))</x:f>
        <x:v>2551.5262103938176</x:v>
      </x:c>
      <x:c r="L5" s="31" t="n">
        <x:f>IF(E5=0,"",E5*K5)</x:f>
        <x:v>920919.9371143829</x:v>
      </x:c>
      <x:c r="M5" s="31" t="n">
        <x:f>IF(E5=0,"",I5-L5)</x:f>
        <x:v>1111.3052938114852</x:v>
      </x:c>
      <x:c r="N5" s="32" t="n">
        <x:f>IF(L5=0,"",I5/L5)</x:f>
        <x:v>1.0012067338853512</x:v>
      </x:c>
      <x:c r="O5" s="34" t="n">
        <x:f>IF(L5=0,"",M5/L5)</x:f>
        <x:v>0.0012067338853512686</x:v>
      </x:c>
    </x:row>
  </x:sheetData>
  <x:conditionalFormatting sqref="G2:G5">
    <x:cfRule type="cellIs" dxfId="1" priority="1" operator="lessThan">
      <x:formula>0.9</x:formula>
    </x:cfRule>
  </x:conditionalFormatting>
  <x:conditionalFormatting sqref="O2:O5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1f34a02bfa89412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Large benthopelagics (&gt;=90 cm)</x:v>
      </x:c>
      <x:c r="B2" s="33" t="n">
        <x:v>2</x:v>
      </x:c>
      <x:c r="C2" s="33" t="n">
        <x:v>2</x:v>
      </x:c>
      <x:c r="D2" s="31" t="n">
        <x:v>1.048756866</x:v>
      </x:c>
      <x:c r="E2" s="31" t="n">
        <x:v>1.048756866</x:v>
      </x:c>
      <x:c r="F2" s="32" t="n">
        <x:v>0</x:v>
      </x:c>
      <x:c r="G2" s="34" t="n">
        <x:v>1</x:v>
      </x:c>
      <x:c r="H2" s="32" t="n">
        <x:f>IF(E2=0,"",I2/E2)</x:f>
        <x:v>1512.044967119186</x:v>
      </x:c>
      <x:c r="I2" s="31" t="n">
        <x:f>IF(C2=0,"",SUMIF('Species'!$G$2:$G$21,A2,'Species'!$U$2:$U$21))</x:f>
        <x:v>1585.7675409669903</x:v>
      </x:c>
      <x:c r="J2" s="32" t="n">
        <x:v>4.173190393167829</x:v>
      </x:c>
      <x:c r="K2" s="32" t="n">
        <x:f>IF(J2="","",(1/'Metadata'!$B$5)^(J2-1))</x:f>
        <x:v>1490.0141514921754</x:v>
      </x:c>
      <x:c r="L2" s="31" t="n">
        <x:f>IF(E2=0,"",E2*K2)</x:f>
        <x:v>1562.662571814583</x:v>
      </x:c>
      <x:c r="M2" s="31" t="n">
        <x:f>IF(E2=0,"",I2-L2)</x:f>
        <x:v>23.104969152407193</x:v>
      </x:c>
      <x:c r="N2" s="32" t="n">
        <x:f>IF(L2=0,"",I2/L2)</x:f>
        <x:v>1.0147856418712182</x:v>
      </x:c>
      <x:c r="O2" s="34" t="n">
        <x:f>IF(L2=0,"",M2/L2)</x:f>
        <x:v>0.014785641871218185</x:v>
      </x:c>
    </x:row>
    <x:row r="3" ht="18" customHeight="1">
      <x:c r="A3" s="24" t="str">
        <x:v>Large pelagics (&gt;=90 cm)</x:v>
      </x:c>
      <x:c r="B3" s="33" t="n">
        <x:v>7</x:v>
      </x:c>
      <x:c r="C3" s="33" t="n">
        <x:v>7</x:v>
      </x:c>
      <x:c r="D3" s="31" t="n">
        <x:v>365.9290523307</x:v>
      </x:c>
      <x:c r="E3" s="31" t="n">
        <x:v>365.9290523307</x:v>
      </x:c>
      <x:c r="F3" s="32" t="n">
        <x:v>0</x:v>
      </x:c>
      <x:c r="G3" s="34" t="n">
        <x:v>1</x:v>
      </x:c>
      <x:c r="H3" s="32" t="n">
        <x:f>IF(E3=0,"",I3/E3)</x:f>
        <x:v>2544.56359988536</x:v>
      </x:c>
      <x:c r="I3" s="31" t="n">
        <x:f>IF(C3=0,"",SUMIF('Species'!$G$2:$G$21,A3,'Species'!$U$2:$U$21))</x:f>
        <x:v>931129.7467012443</x:v>
      </x:c>
      <x:c r="J3" s="32" t="n">
        <x:v>4.404794180182495</x:v>
      </x:c>
      <x:c r="K3" s="32" t="n">
        <x:f>IF(J3="","",(1/'Metadata'!$B$5)^(J3-1))</x:f>
        <x:v>2539.768779055698</x:v>
      </x:c>
      <x:c r="L3" s="31" t="n">
        <x:f>IF(E3=0,"",E3*K3)</x:f>
        <x:v>929375.1824589506</x:v>
      </x:c>
      <x:c r="M3" s="31" t="n">
        <x:f>IF(E3=0,"",I3-L3)</x:f>
        <x:v>1754.564242293709</x:v>
      </x:c>
      <x:c r="N3" s="32" t="n">
        <x:f>IF(L3=0,"",I3/L3)</x:f>
        <x:v>1.0018878965948408</x:v>
      </x:c>
      <x:c r="O3" s="34" t="n">
        <x:f>IF(L3=0,"",M3/L3)</x:f>
        <x:v>0.001887896594840702</x:v>
      </x:c>
    </x:row>
    <x:row r="4" ht="18" customHeight="1">
      <x:c r="A4" s="24" t="str">
        <x:v>Large reef assoc. fish (&gt;=90 cm)</x:v>
      </x:c>
      <x:c r="B4" s="33" t="n">
        <x:v>1</x:v>
      </x:c>
      <x:c r="C4" s="33" t="n">
        <x:v>1</x:v>
      </x:c>
      <x:c r="D4" s="31" t="n">
        <x:v>0.283654512</x:v>
      </x:c>
      <x:c r="E4" s="31" t="n">
        <x:v>0.283654512</x:v>
      </x:c>
      <x:c r="F4" s="32" t="n">
        <x:v>0</x:v>
      </x:c>
      <x:c r="G4" s="34" t="n">
        <x:v>1</x:v>
      </x:c>
      <x:c r="H4" s="32" t="n">
        <x:f>IF(E4=0,"",I4/E4)</x:f>
        <x:v>3162.2776601683795</x:v>
      </x:c>
      <x:c r="I4" s="31" t="n">
        <x:f>IF(C4=0,"",SUMIF('Species'!$G$2:$G$21,A4,'Species'!$U$2:$U$21))</x:f>
        <x:v>896.9943265035636</x:v>
      </x:c>
      <x:c r="J4" s="32" t="n">
        <x:v>4.5</x:v>
      </x:c>
      <x:c r="K4" s="32" t="n">
        <x:f>IF(J4="","",(1/'Metadata'!$B$5)^(J4-1))</x:f>
        <x:v>3162.2776601683795</x:v>
      </x:c>
      <x:c r="L4" s="31" t="n">
        <x:f>IF(E4=0,"",E4*K4)</x:f>
        <x:v>896.9943265035636</x:v>
      </x:c>
      <x:c r="M4" s="31" t="n">
        <x:f>IF(E4=0,"",I4-L4)</x:f>
        <x:v>0</x:v>
      </x:c>
      <x:c r="N4" s="32" t="n">
        <x:f>IF(L4=0,"",I4/L4)</x:f>
        <x:v>1</x:v>
      </x:c>
      <x:c r="O4" s="34" t="n">
        <x:f>IF(L4=0,"",M4/L4)</x:f>
        <x:v>0</x:v>
      </x:c>
    </x:row>
    <x:row r="5" ht="18" customHeight="1">
      <x:c r="A5" s="24" t="str">
        <x:v>Large sharks (&gt;=90 cm)</x:v>
      </x:c>
      <x:c r="B5" s="33" t="n">
        <x:v>2</x:v>
      </x:c>
      <x:c r="C5" s="33" t="n">
        <x:v>2</x:v>
      </x:c>
      <x:c r="D5" s="31" t="n">
        <x:v>3.002350656</x:v>
      </x:c>
      <x:c r="E5" s="31" t="n">
        <x:v>3.002350656</x:v>
      </x:c>
      <x:c r="F5" s="32" t="n">
        <x:v>0</x:v>
      </x:c>
      <x:c r="G5" s="34" t="n">
        <x:v>1</x:v>
      </x:c>
      <x:c r="H5" s="32" t="n">
        <x:f>IF(E5=0,"",I5/E5)</x:f>
        <x:v>1805.4391911543953</x:v>
      </x:c>
      <x:c r="I5" s="31" t="n">
        <x:f>IF(C5=0,"",SUMIF('Species'!$G$2:$G$21,A5,'Species'!$U$2:$U$21))</x:f>
        <x:v>5420.561539930508</x:v>
      </x:c>
      <x:c r="J5" s="32" t="n">
        <x:v>4.249769209796127</x:v>
      </x:c>
      <x:c r="K5" s="32" t="n">
        <x:f>IF(J5="","",(1/'Metadata'!$B$5)^(J5-1))</x:f>
        <x:v>1777.33465836624</x:v>
      </x:c>
      <x:c r="L5" s="31" t="n">
        <x:f>IF(E5=0,"",E5*K5)</x:f>
        <x:v>5336.1818774774165</x:v>
      </x:c>
      <x:c r="M5" s="31" t="n">
        <x:f>IF(E5=0,"",I5-L5)</x:f>
        <x:v>84.37966245309144</x:v>
      </x:c>
      <x:c r="N5" s="32" t="n">
        <x:f>IF(L5=0,"",I5/L5)</x:f>
        <x:v>1.0158127410928843</x:v>
      </x:c>
      <x:c r="O5" s="34" t="n">
        <x:f>IF(L5=0,"",M5/L5)</x:f>
        <x:v>0.015812741092884264</x:v>
      </x:c>
    </x:row>
    <x:row r="6" ht="18" customHeight="1">
      <x:c r="A6" s="24" t="str">
        <x:v>Medium benthopelagics (30 - 89 cm)</x:v>
      </x:c>
      <x:c r="B6" s="33" t="n">
        <x:v>1</x:v>
      </x:c>
      <x:c r="C6" s="33" t="n">
        <x:v>1</x:v>
      </x:c>
      <x:c r="D6" s="31" t="n">
        <x:v>22.5757572</x:v>
      </x:c>
      <x:c r="E6" s="31" t="n">
        <x:v>22.5757572</x:v>
      </x:c>
      <x:c r="F6" s="32" t="n">
        <x:v>0</x:v>
      </x:c>
      <x:c r="G6" s="34" t="n">
        <x:v>1</x:v>
      </x:c>
      <x:c r="H6" s="32" t="n">
        <x:f>IF(E6=0,"",I6/E6)</x:f>
        <x:v>316.22776601683796</x:v>
      </x:c>
      <x:c r="I6" s="31" t="n">
        <x:f>IF(C6=0,"",SUMIF('Species'!$G$2:$G$21,A6,'Species'!$U$2:$U$21))</x:f>
        <x:v>7139.081265494546</x:v>
      </x:c>
      <x:c r="J6" s="32" t="n">
        <x:v>3.5</x:v>
      </x:c>
      <x:c r="K6" s="32" t="n">
        <x:f>IF(J6="","",(1/'Metadata'!$B$5)^(J6-1))</x:f>
        <x:v>316.22776601683796</x:v>
      </x:c>
      <x:c r="L6" s="31" t="n">
        <x:f>IF(E6=0,"",E6*K6)</x:f>
        <x:v>7139.081265494546</x:v>
      </x:c>
      <x:c r="M6" s="31" t="n">
        <x:f>IF(E6=0,"",I6-L6)</x:f>
        <x:v>0</x:v>
      </x:c>
      <x:c r="N6" s="32" t="n">
        <x:f>IF(L6=0,"",I6/L6)</x:f>
        <x:v>1</x:v>
      </x:c>
      <x:c r="O6" s="34" t="n">
        <x:f>IF(L6=0,"",M6/L6)</x:f>
        <x:v>0</x:v>
      </x:c>
    </x:row>
    <x:row r="7" ht="18" customHeight="1">
      <x:c r="A7" s="24" t="str">
        <x:v>Medium demersals (30 - 89 cm)</x:v>
      </x:c>
      <x:c r="B7" s="33" t="n">
        <x:v>1</x:v>
      </x:c>
      <x:c r="C7" s="33" t="n">
        <x:v>1</x:v>
      </x:c>
      <x:c r="D7" s="31" t="n">
        <x:v>100.183327334</x:v>
      </x:c>
      <x:c r="E7" s="31" t="n">
        <x:v>100.183327334</x:v>
      </x:c>
      <x:c r="F7" s="32" t="n">
        <x:v>0</x:v>
      </x:c>
      <x:c r="G7" s="34" t="n">
        <x:v>1</x:v>
      </x:c>
      <x:c r="H7" s="32" t="n">
        <x:f>IF(E7=0,"",I7/E7)</x:f>
        <x:v>190.54607179632464</x:v>
      </x:c>
      <x:c r="I7" s="31" t="n">
        <x:f>IF(C7=0,"",SUMIF('Species'!$G$2:$G$21,A7,'Species'!$U$2:$U$21))</x:f>
        <x:v>19089.539482979057</x:v>
      </x:c>
      <x:c r="J7" s="32" t="n">
        <x:v>3.28</x:v>
      </x:c>
      <x:c r="K7" s="32" t="n">
        <x:f>IF(J7="","",(1/'Metadata'!$B$5)^(J7-1))</x:f>
        <x:v>190.54607179632464</x:v>
      </x:c>
      <x:c r="L7" s="31" t="n">
        <x:f>IF(E7=0,"",E7*K7)</x:f>
        <x:v>19089.539482979057</x:v>
      </x:c>
      <x:c r="M7" s="31" t="n">
        <x:f>IF(E7=0,"",I7-L7)</x:f>
        <x:v>0</x:v>
      </x:c>
      <x:c r="N7" s="32" t="n">
        <x:f>IF(L7=0,"",I7/L7)</x:f>
        <x:v>1</x:v>
      </x:c>
      <x:c r="O7" s="34" t="n">
        <x:f>IF(L7=0,"",M7/L7)</x:f>
        <x:v>0</x:v>
      </x:c>
    </x:row>
    <x:row r="8" ht="18" customHeight="1">
      <x:c r="A8" s="24" t="str">
        <x:v>Medium pelagics (30 - 89 cm)</x:v>
      </x:c>
      <x:c r="B8" s="33" t="n">
        <x:v>2</x:v>
      </x:c>
      <x:c r="C8" s="33" t="n">
        <x:v>2</x:v>
      </x:c>
      <x:c r="D8" s="31" t="n">
        <x:v>5.872</x:v>
      </x:c>
      <x:c r="E8" s="31" t="n">
        <x:v>5.872</x:v>
      </x:c>
      <x:c r="F8" s="32" t="n">
        <x:v>0</x:v>
      </x:c>
      <x:c r="G8" s="34" t="n">
        <x:v>1</x:v>
      </x:c>
      <x:c r="H8" s="32" t="n">
        <x:f>IF(E8=0,"",I8/E8)</x:f>
        <x:v>376.82619090811625</x:v>
      </x:c>
      <x:c r="I8" s="31" t="n">
        <x:f>IF(C8=0,"",SUMIF('Species'!$G$2:$G$21,A8,'Species'!$U$2:$U$21))</x:f>
        <x:v>2212.7233930124585</x:v>
      </x:c>
      <x:c r="J8" s="32" t="n">
        <x:v>3.4692098092643056</x:v>
      </x:c>
      <x:c r="K8" s="32" t="n">
        <x:f>IF(J8="","",(1/'Metadata'!$B$5)^(J8-1))</x:f>
        <x:v>294.5844438391763</x:v>
      </x:c>
      <x:c r="L8" s="31" t="n">
        <x:f>IF(E8=0,"",E8*K8)</x:f>
        <x:v>1729.799854223643</x:v>
      </x:c>
      <x:c r="M8" s="31" t="n">
        <x:f>IF(E8=0,"",I8-L8)</x:f>
        <x:v>482.92353878881545</x:v>
      </x:c>
      <x:c r="N8" s="32" t="n">
        <x:f>IF(L8=0,"",I8/L8)</x:f>
        <x:v>1.279178852749735</x:v>
      </x:c>
      <x:c r="O8" s="34" t="n">
        <x:f>IF(L8=0,"",M8/L8)</x:f>
        <x:v>0.279178852749735</x:v>
      </x:c>
    </x:row>
    <x:row r="9" ht="18" customHeight="1">
      <x:c r="A9" s="24" t="str">
        <x:v>Medium reef assoc. fish (30 - 89 cm)</x:v>
      </x:c>
      <x:c r="B9" s="33" t="n">
        <x:v>2</x:v>
      </x:c>
      <x:c r="C9" s="33" t="n">
        <x:v>2</x:v>
      </x:c>
      <x:c r="D9" s="31" t="n">
        <x:v>15.812284324</x:v>
      </x:c>
      <x:c r="E9" s="31" t="n">
        <x:v>15.812284324</x:v>
      </x:c>
      <x:c r="F9" s="32" t="n">
        <x:v>0</x:v>
      </x:c>
      <x:c r="G9" s="34" t="n">
        <x:v>1</x:v>
      </x:c>
      <x:c r="H9" s="32" t="n">
        <x:f>IF(E9=0,"",I9/E9)</x:f>
        <x:v>923.3407575698752</x:v>
      </x:c>
      <x:c r="I9" s="31" t="n">
        <x:f>IF(C9=0,"",SUMIF('Species'!$G$2:$G$21,A9,'Species'!$U$2:$U$21))</x:f>
        <x:v>14600.126586632423</x:v>
      </x:c>
      <x:c r="J9" s="32" t="n">
        <x:v>3.956883292868368</x:v>
      </x:c>
      <x:c r="K9" s="32" t="n">
        <x:f>IF(J9="","",(1/'Metadata'!$B$5)^(J9-1))</x:f>
        <x:v>905.4892377965731</x:v>
      </x:c>
      <x:c r="L9" s="31" t="n">
        <x:f>IF(E9=0,"",E9*K9)</x:f>
        <x:v>14317.853280361462</x:v>
      </x:c>
      <x:c r="M9" s="31" t="n">
        <x:f>IF(E9=0,"",I9-L9)</x:f>
        <x:v>282.27330627096126</x:v>
      </x:c>
      <x:c r="N9" s="32" t="n">
        <x:f>IF(L9=0,"",I9/L9)</x:f>
        <x:v>1.0197147785176799</x:v>
      </x:c>
      <x:c r="O9" s="34" t="n">
        <x:f>IF(L9=0,"",M9/L9)</x:f>
        <x:v>0.01971477851767979</x:v>
      </x:c>
    </x:row>
    <x:row r="10" ht="18" customHeight="1">
      <x:c r="A10" s="24" t="str">
        <x:v>Small benthopelagics (&lt;30 cm)</x:v>
      </x:c>
      <x:c r="B10" s="33" t="n">
        <x:v>1</x:v>
      </x:c>
      <x:c r="C10" s="33" t="n">
        <x:v>1</x:v>
      </x:c>
      <x:c r="D10" s="31" t="n">
        <x:v>0.680647873</x:v>
      </x:c>
      <x:c r="E10" s="31" t="n">
        <x:v>0.680647873</x:v>
      </x:c>
      <x:c r="F10" s="32" t="n">
        <x:v>0</x:v>
      </x:c>
      <x:c r="G10" s="34" t="n">
        <x:v>1</x:v>
      </x:c>
      <x:c r="H10" s="32" t="n">
        <x:f>IF(E10=0,"",I10/E10)</x:f>
        <x:v>100</x:v>
      </x:c>
      <x:c r="I10" s="31" t="n">
        <x:f>IF(C10=0,"",SUMIF('Species'!$G$2:$G$21,A10,'Species'!$U$2:$U$21))</x:f>
        <x:v>68.06478729999999</x:v>
      </x:c>
      <x:c r="J10" s="32" t="n">
        <x:v>3</x:v>
      </x:c>
      <x:c r="K10" s="32" t="n">
        <x:f>IF(J10="","",(1/'Metadata'!$B$5)^(J10-1))</x:f>
        <x:v>100</x:v>
      </x:c>
      <x:c r="L10" s="31" t="n">
        <x:f>IF(E10=0,"",E10*K10)</x:f>
        <x:v>68.06478729999999</x:v>
      </x:c>
      <x:c r="M10" s="31" t="n">
        <x:f>IF(E10=0,"",I10-L10)</x:f>
        <x:v>0</x:v>
      </x:c>
      <x:c r="N10" s="32" t="n">
        <x:f>IF(L10=0,"",I10/L10)</x:f>
        <x:v>1</x:v>
      </x:c>
      <x:c r="O10" s="34" t="n">
        <x:f>IF(L10=0,"",M10/L10)</x:f>
        <x:v>0</x:v>
      </x:c>
    </x:row>
    <x:row r="11" ht="18" customHeight="1">
      <x:c r="A11" s="24" t="str">
        <x:v>Small demersals (&lt;30 cm)</x:v>
      </x:c>
      <x:c r="B11" s="33" t="n">
        <x:v>1</x:v>
      </x:c>
      <x:c r="C11" s="33" t="n">
        <x:v>1</x:v>
      </x:c>
      <x:c r="D11" s="31" t="n">
        <x:v>0.012420696</x:v>
      </x:c>
      <x:c r="E11" s="31" t="n">
        <x:v>0.012420696</x:v>
      </x:c>
      <x:c r="F11" s="32" t="n">
        <x:v>0</x:v>
      </x:c>
      <x:c r="G11" s="34" t="n">
        <x:v>1</x:v>
      </x:c>
      <x:c r="H11" s="32" t="n">
        <x:f>IF(E11=0,"",I11/E11)</x:f>
        <x:v>398.1071705534974</x:v>
      </x:c>
      <x:c r="I11" s="31" t="n">
        <x:f>IF(C11=0,"",SUMIF('Species'!$G$2:$G$21,A11,'Species'!$U$2:$U$21))</x:f>
        <x:v>4.9447681408651425</x:v>
      </x:c>
      <x:c r="J11" s="32" t="n">
        <x:v>3.6</x:v>
      </x:c>
      <x:c r="K11" s="32" t="n">
        <x:f>IF(J11="","",(1/'Metadata'!$B$5)^(J11-1))</x:f>
        <x:v>398.1071705534973</x:v>
      </x:c>
      <x:c r="L11" s="31" t="n">
        <x:f>IF(E11=0,"",E11*K11)</x:f>
        <x:v>4.9447681408651425</x:v>
      </x:c>
      <x:c r="M11" s="31" t="n">
        <x:f>IF(E11=0,"",I11-L11)</x:f>
        <x:v>0</x:v>
      </x:c>
      <x:c r="N11" s="32" t="n">
        <x:f>IF(L11=0,"",I11/L11)</x:f>
        <x:v>1</x:v>
      </x:c>
      <x:c r="O11" s="34" t="n">
        <x:f>IF(L11=0,"",M11/L11)</x:f>
        <x:v>0</x:v>
      </x:c>
    </x:row>
  </x:sheetData>
  <x:conditionalFormatting sqref="G2:G11">
    <x:cfRule type="cellIs" dxfId="2" priority="1" operator="lessThan">
      <x:formula>0.9</x:formula>
    </x:cfRule>
  </x:conditionalFormatting>
  <x:conditionalFormatting sqref="O2:O11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1b3ee2a83a404c5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EEZ_654</x:v>
      </x:c>
      <x:c r="B2" s="24" t="str">
        <x:v>raw_filtered_tonnes</x:v>
      </x:c>
      <x:c r="C2" s="24" t="n">
        <x:v>515.4002517916999</x:v>
      </x:c>
      <x:c r="D2" s="24" t="str">
        <x:v>tonnes</x:v>
      </x:c>
    </x:row>
    <x:row r="3" ht="18" customHeight="1">
      <x:c r="A3" s="24" t="str">
        <x:v>EEZ_654</x:v>
      </x:c>
      <x:c r="B3" s="24" t="str">
        <x:v>species_catch_tonnes</x:v>
      </x:c>
      <x:c r="C3" s="24" t="n">
        <x:v>515.4002517916999</x:v>
      </x:c>
      <x:c r="D3" s="24" t="str">
        <x:v>tonnes</x:v>
      </x:c>
    </x:row>
    <x:row r="4" ht="18" customHeight="1">
      <x:c r="A4" s="24" t="str">
        <x:v>EEZ_654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EEZ_654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EEZ_654</x:v>
      </x:c>
      <x:c r="B6" s="24" t="str">
        <x:v>matched_catch_tonnes</x:v>
      </x:c>
      <x:c r="C6" s="24" t="n">
        <x:v>515.4002517916999</x:v>
      </x:c>
      <x:c r="D6" s="24" t="str">
        <x:v>tonnes</x:v>
      </x:c>
    </x:row>
    <x:row r="7" ht="18" customHeight="1">
      <x:c r="A7" s="24" t="str">
        <x:v>EEZ_654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EEZ_654</x:v>
      </x:c>
      <x:c r="B8" s="24" t="str">
        <x:v>taxa_count</x:v>
      </x:c>
      <x:c r="C8" s="24" t="n">
        <x:v>20</x:v>
      </x:c>
      <x:c r="D8" s="24" t="str">
        <x:v>count</x:v>
      </x:c>
    </x:row>
    <x:row r="9" ht="18" customHeight="1">
      <x:c r="A9" s="24" t="str">
        <x:v>EEZ_654</x:v>
      </x:c>
      <x:c r="B9" s="24" t="str">
        <x:v>matched_taxa_count</x:v>
      </x:c>
      <x:c r="C9" s="24" t="n">
        <x:v>20</x:v>
      </x:c>
      <x:c r="D9" s="24" t="str">
        <x:v>count</x:v>
      </x:c>
    </x:row>
    <x:row r="10" ht="18" customHeight="1">
      <x:c r="A10" s="24" t="str">
        <x:v>EEZ_654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EEZ_654</x:v>
      </x:c>
      <x:c r="B11" s="24" t="str">
        <x:v>species_ppr</x:v>
      </x:c>
      <x:c r="C11" s="24" t="n">
        <x:v>982147.5503922047</x:v>
      </x:c>
      <x:c r="D11" s="24" t="str">
        <x:v>tonnes_primary_production_equivalent</x:v>
      </x:c>
    </x:row>
    <x:row r="12" ht="18" customHeight="1">
      <x:c r="A12" s="24" t="str">
        <x:v>EEZ_654</x:v>
      </x:c>
      <x:c r="B12" s="24" t="str">
        <x:v>commercial_ppr</x:v>
      </x:c>
      <x:c r="C12" s="24" t="n">
        <x:v>982147.5503922047</x:v>
      </x:c>
      <x:c r="D12" s="24" t="str">
        <x:v>tonnes_primary_production_equivalent</x:v>
      </x:c>
    </x:row>
    <x:row r="13" ht="18" customHeight="1">
      <x:c r="A13" s="24" t="str">
        <x:v>EEZ_654</x:v>
      </x:c>
      <x:c r="B13" s="24" t="str">
        <x:v>functional_ppr</x:v>
      </x:c>
      <x:c r="C13" s="24" t="n">
        <x:v>982147.5503922047</x:v>
      </x:c>
      <x:c r="D13" s="24" t="str">
        <x:v>tonnes_primary_production_equivalent</x:v>
      </x:c>
    </x:row>
    <x:row r="14" ht="18" customHeight="1">
      <x:c r="A14" s="24" t="str">
        <x:v>EEZ_654</x:v>
      </x:c>
      <x:c r="B14" s="24" t="str">
        <x:v>commercial_ppr_difference</x:v>
      </x:c>
      <x:c r="C14" s="24" t="n">
        <x:v>0</x:v>
      </x:c>
      <x:c r="D14" s="24" t="str">
        <x:v>tonnes_primary_production_equivalent</x:v>
      </x:c>
    </x:row>
    <x:row r="15" ht="18" customHeight="1">
      <x:c r="A15" s="24" t="str">
        <x:v>EEZ_654</x:v>
      </x:c>
      <x:c r="B15" s="24" t="str">
        <x:v>functional_ppr_difference</x:v>
      </x:c>
      <x:c r="C15" s="24" t="n">
        <x:v>0</x:v>
      </x:c>
      <x:c r="D15" s="24" t="str">
        <x:v>tonnes_primary_production_equivalent</x:v>
      </x:c>
    </x:row>
    <x:row r="16" ht="18" customHeight="1">
      <x:c r="A16" s="24" t="str">
        <x:v>EEZ_654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EEZ_654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EEZ_654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EEZ_654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ed4d11f42e22426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EEZ_654 - Saint Helena (UK)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EEZ_654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raw_data/SAU_downloads/EEZ_654-catch.zip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