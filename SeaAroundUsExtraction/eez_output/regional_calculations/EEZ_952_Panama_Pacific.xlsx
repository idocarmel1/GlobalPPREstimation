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9b495f322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d1b7db1613c4958"/>
    <x:sheet xmlns:r="http://schemas.openxmlformats.org/officeDocument/2006/relationships" name="Commercial" sheetId="2" r:id="Ra4870ea2a65c49cd"/>
    <x:sheet xmlns:r="http://schemas.openxmlformats.org/officeDocument/2006/relationships" name="Functional" sheetId="3" r:id="Rb3ad09ba5cf64ad9"/>
    <x:sheet xmlns:r="http://schemas.openxmlformats.org/officeDocument/2006/relationships" name="Missing TL" sheetId="4" r:id="Rf9e8f289b56e477b"/>
    <x:sheet xmlns:r="http://schemas.openxmlformats.org/officeDocument/2006/relationships" name="Validation" sheetId="5" r:id="R4c33d55c8ff64e05"/>
    <x:sheet xmlns:r="http://schemas.openxmlformats.org/officeDocument/2006/relationships" name="Metadata" sheetId="6" r:id="R196c0722fb91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0dbfba826421f" /><Relationship Type="http://schemas.openxmlformats.org/officeDocument/2006/relationships/theme" Target="/xl/theme/theme1.xml" Id="Rb9297ca2db9947f8" /><Relationship Type="http://schemas.microsoft.com/office/2022/11/relationships/FeaturePropertyBag" Target="/xl/featurePropertyBag/featurePropertyBag.xml" Id="R0f24be0e17f44119" /><Relationship Type="http://schemas.openxmlformats.org/officeDocument/2006/relationships/sharedStrings" Target="/xl/sharedStrings.xml" Id="Rd5879967da164f56" /><Relationship Type="http://schemas.openxmlformats.org/officeDocument/2006/relationships/worksheet" Target="/xl/worksheets/sheet1.xml" Id="R7d1b7db1613c4958" /><Relationship Type="http://schemas.openxmlformats.org/officeDocument/2006/relationships/worksheet" Target="/xl/worksheets/sheet2.xml" Id="Ra4870ea2a65c49cd" /><Relationship Type="http://schemas.openxmlformats.org/officeDocument/2006/relationships/worksheet" Target="/xl/worksheets/sheet3.xml" Id="Rb3ad09ba5cf64ad9" /><Relationship Type="http://schemas.openxmlformats.org/officeDocument/2006/relationships/worksheet" Target="/xl/worksheets/sheet4.xml" Id="Rf9e8f289b56e477b" /><Relationship Type="http://schemas.openxmlformats.org/officeDocument/2006/relationships/worksheet" Target="/xl/worksheets/sheet5.xml" Id="R4c33d55c8ff64e05" /><Relationship Type="http://schemas.openxmlformats.org/officeDocument/2006/relationships/worksheet" Target="/xl/worksheets/sheet6.xml" Id="R196c0722fb9147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2SpeciesTable" displayName="EEZ952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2CommercialTable" displayName="EEZ952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2FunctionalTable" displayName="EEZ952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2ValidationTable" displayName="EEZ9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550f0b4e3f42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7509e750b3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e5c62d5fef4c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f82de3f1f48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EEZ_952</x:v>
      </x:c>
      <x:c r="B2" s="24" t="str">
        <x:v>Panama (Pacific)</x:v>
      </x:c>
      <x:c r="C2" s="24" t="str">
        <x:v>EEZ</x:v>
      </x:c>
      <x:c r="D2" s="30" t="n">
        <x:v>2019</x:v>
      </x:c>
      <x:c r="E2" s="24" t="str">
        <x:v>Cetengraulis mysticetus</x:v>
      </x:c>
      <x:c r="F2" s="24" t="str">
        <x:v>Pacific anchoveta</x:v>
      </x:c>
      <x:c r="G2" s="24" t="str">
        <x:v>Small pelagics (&lt;30 cm)</x:v>
      </x:c>
      <x:c r="H2" s="24" t="str">
        <x:v>Anchovies</x:v>
      </x:c>
      <x:c r="I2" s="31" t="n">
        <x:v>231378.4529</x:v>
      </x:c>
      <x:c r="J2" s="31" t="n">
        <x:v>231378.4529</x:v>
      </x:c>
      <x:c r="K2" s="31" t="n">
        <x:v>0</x:v>
      </x:c>
      <x:c r="L2" s="31" t="n">
        <x:v>231378.4529</x:v>
      </x:c>
      <x:c r="M2" s="31" t="n">
        <x:v>0</x:v>
      </x:c>
      <x:c r="N2" s="24" t="str">
        <x:v>cetengraulis mysticetus</x:v>
      </x:c>
      <x:c r="O2" s="32" t="n">
        <x:v>2.47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Cetengraulis mysticetus</x:v>
      </x:c>
      <x:c r="T2" s="32" t="n">
        <x:f>IF(O2="","",(1/'Metadata'!$B$5)^(O2-1))</x:f>
        <x:v>29.51209226666387</x:v>
      </x:c>
      <x:c r="U2" s="31" t="n">
        <x:f>IF(T2="","",I2*T2)</x:f>
        <x:v>6828462.250502741</x:v>
      </x:c>
    </x:row>
    <x:row r="3" ht="18" customHeight="1">
      <x:c r="A3" s="24" t="str">
        <x:v>EEZ_952</x:v>
      </x:c>
      <x:c r="B3" s="24" t="str">
        <x:v>Panama (Pacific)</x:v>
      </x:c>
      <x:c r="C3" s="24" t="str">
        <x:v>EEZ</x:v>
      </x:c>
      <x:c r="D3" s="30" t="n">
        <x:v>2019</x:v>
      </x:c>
      <x:c r="E3" s="24" t="str">
        <x:v>Opisthonema libertate</x:v>
      </x:c>
      <x:c r="F3" s="24" t="str">
        <x:v>Pacific thread herring</x:v>
      </x:c>
      <x:c r="G3" s="24" t="str">
        <x:v>Small pelagics (&lt;30 cm)</x:v>
      </x:c>
      <x:c r="H3" s="24" t="str">
        <x:v>Herring-likes</x:v>
      </x:c>
      <x:c r="I3" s="31" t="n">
        <x:v>37597.191999999995</x:v>
      </x:c>
      <x:c r="J3" s="31" t="n">
        <x:v>37597.191999999995</x:v>
      </x:c>
      <x:c r="K3" s="31" t="n">
        <x:v>0</x:v>
      </x:c>
      <x:c r="L3" s="31" t="n">
        <x:v>37597.191999999995</x:v>
      </x:c>
      <x:c r="M3" s="31" t="n">
        <x:v>0</x:v>
      </x:c>
      <x:c r="N3" s="24" t="str">
        <x:v>opisthonema libertate</x:v>
      </x:c>
      <x:c r="O3" s="32" t="n">
        <x:v>2.89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Opisthonema libertate</x:v>
      </x:c>
      <x:c r="T3" s="32" t="n">
        <x:f>IF(O3="","",(1/'Metadata'!$B$5)^(O3-1))</x:f>
        <x:v>77.6247116628692</x:v>
      </x:c>
      <x:c r="U3" s="31" t="n">
        <x:f>IF(T3="","",I3*T3)</x:f>
        <x:v>2918471.1883335323</x:v>
      </x:c>
    </x:row>
    <x:row r="4" ht="18" customHeight="1">
      <x:c r="A4" s="24" t="str">
        <x:v>EEZ_952</x:v>
      </x:c>
      <x:c r="B4" s="24" t="str">
        <x:v>Panama (Pacific)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14417.3152817426</x:v>
      </x:c>
      <x:c r="J4" s="31" t="n">
        <x:v>7507.3860911275</x:v>
      </x:c>
      <x:c r="K4" s="31" t="n">
        <x:v>6909.9291906151</x:v>
      </x:c>
      <x:c r="L4" s="31" t="n">
        <x:v>4406.0247859903</x:v>
      </x:c>
      <x:c r="M4" s="31" t="n">
        <x:v>10011.2904957523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2747162.7927851737</x:v>
      </x:c>
    </x:row>
    <x:row r="5" ht="18" customHeight="1">
      <x:c r="A5" s="24" t="str">
        <x:v>EEZ_952</x:v>
      </x:c>
      <x:c r="B5" s="24" t="str">
        <x:v>Panama (Pacific)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5408.9502675289</x:v>
      </x:c>
      <x:c r="J5" s="31" t="n">
        <x:v>851.2898045289</x:v>
      </x:c>
      <x:c r="K5" s="31" t="n">
        <x:v>4557.660463</x:v>
      </x:c>
      <x:c r="L5" s="31" t="n">
        <x:v>712.0000000000001</x:v>
      </x:c>
      <x:c r="M5" s="31" t="n">
        <x:v>4696.9502675289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5663866.240117056</x:v>
      </x:c>
    </x:row>
    <x:row r="6" ht="18" customHeight="1">
      <x:c r="A6" s="24" t="str">
        <x:v>EEZ_952</x:v>
      </x:c>
      <x:c r="B6" s="24" t="str">
        <x:v>Panama (Pacific)</x:v>
      </x:c>
      <x:c r="C6" s="24" t="str">
        <x:v>EEZ</x:v>
      </x:c>
      <x:c r="D6" s="30" t="n">
        <x:v>2019</x:v>
      </x:c>
      <x:c r="E6" s="24" t="str">
        <x:v>Penaeidae</x:v>
      </x:c>
      <x:c r="F6" s="24" t="str">
        <x:v>Commercial shrimps and prawns</x:v>
      </x:c>
      <x:c r="G6" s="24" t="str">
        <x:v>Shrimps</x:v>
      </x:c>
      <x:c r="H6" s="24" t="str">
        <x:v>Crustaceans</x:v>
      </x:c>
      <x:c r="I6" s="31" t="n">
        <x:v>2943.7645167380997</x:v>
      </x:c>
      <x:c r="J6" s="31" t="n">
        <x:v>153.3601517381</x:v>
      </x:c>
      <x:c r="K6" s="31" t="n">
        <x:v>2790.404365</x:v>
      </x:c>
      <x:c r="L6" s="31" t="n">
        <x:v>149.88</x:v>
      </x:c>
      <x:c r="M6" s="31" t="n">
        <x:v>2793.8845167381</x:v>
      </x:c>
      <x:c r="N6" s="24" t="str">
        <x:v>penaeidae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Penaeidae</x:v>
      </x:c>
      <x:c r="T6" s="32" t="n">
        <x:f>IF(O6="","",(1/'Metadata'!$B$5)^(O6-1))</x:f>
        <x:v>204.17379446695296</x:v>
      </x:c>
      <x:c r="U6" s="31" t="n">
        <x:f>IF(T6="","",I6*T6)</x:f>
        <x:v>601039.5713995938</x:v>
      </x:c>
    </x:row>
    <x:row r="7" ht="18" customHeight="1">
      <x:c r="A7" s="24" t="str">
        <x:v>EEZ_952</x:v>
      </x:c>
      <x:c r="B7" s="24" t="str">
        <x:v>Panama (Pacific)</x:v>
      </x:c>
      <x:c r="C7" s="24" t="str">
        <x:v>EEZ</x:v>
      </x:c>
      <x:c r="D7" s="30" t="n">
        <x:v>2019</x:v>
      </x:c>
      <x:c r="E7" s="24" t="str">
        <x:v>Miscellaneous marine crustaceans</x:v>
      </x:c>
      <x:c r="F7" s="24" t="str">
        <x:v>Marine crabs, shrimps, lobsters nei</x:v>
      </x:c>
      <x:c r="G7" s="24" t="str">
        <x:v>Shrimps</x:v>
      </x:c>
      <x:c r="H7" s="24" t="str">
        <x:v>Crustaceans</x:v>
      </x:c>
      <x:c r="I7" s="31" t="n">
        <x:v>2857.7123028681003</x:v>
      </x:c>
      <x:c r="J7" s="31" t="n">
        <x:v>3.4801517381</x:v>
      </x:c>
      <x:c r="K7" s="31" t="n">
        <x:v>2854.23215113</x:v>
      </x:c>
      <x:c r="L7" s="31" t="n">
        <x:v>0</x:v>
      </x:c>
      <x:c r="M7" s="31" t="n">
        <x:v>2857.7123028681003</x:v>
      </x:c>
      <x:c r="N7" s="24" t="str">
        <x:v>miscellaneous marine crustaceans</x:v>
      </x:c>
      <x:c r="O7" s="32" t="n">
        <x:v>2.7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Miscellaneous marine crustaceans</x:v>
      </x:c>
      <x:c r="T7" s="32" t="n">
        <x:f>IF(O7="","",(1/'Metadata'!$B$5)^(O7-1))</x:f>
        <x:v>50.11872336272725</x:v>
      </x:c>
      <x:c r="U7" s="31" t="n">
        <x:f>IF(T7="","",I7*T7)</x:f>
        <x:v>143224.89235770857</x:v>
      </x:c>
    </x:row>
    <x:row r="8" ht="18" customHeight="1">
      <x:c r="A8" s="24" t="str">
        <x:v>EEZ_952</x:v>
      </x:c>
      <x:c r="B8" s="24" t="str">
        <x:v>Panama (Pacific)</x:v>
      </x:c>
      <x:c r="C8" s="24" t="str">
        <x:v>EEZ</x:v>
      </x:c>
      <x:c r="D8" s="30" t="n">
        <x:v>2019</x:v>
      </x:c>
      <x:c r="E8" s="24" t="str">
        <x:v>Sciaenidae</x:v>
      </x:c>
      <x:c r="F8" s="24" t="str">
        <x:v>Drums, croakers</x:v>
      </x:c>
      <x:c r="G8" s="24" t="str">
        <x:v>Medium demersals (30 - 89 cm)</x:v>
      </x:c>
      <x:c r="H8" s="24" t="str">
        <x:v>Perch-likes</x:v>
      </x:c>
      <x:c r="I8" s="31" t="n">
        <x:v>1765.7015141288998</x:v>
      </x:c>
      <x:c r="J8" s="31" t="n">
        <x:v>723.9505511289</x:v>
      </x:c>
      <x:c r="K8" s="31" t="n">
        <x:v>1041.750963</x:v>
      </x:c>
      <x:c r="L8" s="31" t="n">
        <x:v>668</x:v>
      </x:c>
      <x:c r="M8" s="31" t="n">
        <x:v>1097.7015141289</x:v>
      </x:c>
      <x:c r="N8" s="24" t="str">
        <x:v>sciaenidae</x:v>
      </x:c>
      <x:c r="O8" s="32" t="n">
        <x:v>3.76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Sciaenidae</x:v>
      </x:c>
      <x:c r="T8" s="32" t="n">
        <x:f>IF(O8="","",(1/'Metadata'!$B$5)^(O8-1))</x:f>
        <x:v>575.4399373371566</x:v>
      </x:c>
      <x:c r="U8" s="31" t="n">
        <x:f>IF(T8="","",I8*T8)</x:f>
        <x:v>1016055.1686464567</x:v>
      </x:c>
    </x:row>
    <x:row r="9" ht="18" customHeight="1">
      <x:c r="A9" s="24" t="str">
        <x:v>EEZ_952</x:v>
      </x:c>
      <x:c r="B9" s="24" t="str">
        <x:v>Panama (Pacific)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1243.4528666874</x:v>
      </x:c>
      <x:c r="J9" s="31" t="n">
        <x:v>1231.9162810259002</x:v>
      </x:c>
      <x:c r="K9" s="31" t="n">
        <x:v>11.536585661499998</x:v>
      </x:c>
      <x:c r="L9" s="31" t="n">
        <x:v>1231.9162810259002</x:v>
      </x:c>
      <x:c r="M9" s="31" t="n">
        <x:v>11.536585661499998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3196166.0046051485</x:v>
      </x:c>
    </x:row>
    <x:row r="10" ht="18" customHeight="1">
      <x:c r="A10" s="24" t="str">
        <x:v>EEZ_952</x:v>
      </x:c>
      <x:c r="B10" s="24" t="str">
        <x:v>Panama (Pacific)</x:v>
      </x:c>
      <x:c r="C10" s="24" t="str">
        <x:v>EEZ</x:v>
      </x:c>
      <x:c r="D10" s="30" t="n">
        <x:v>2019</x:v>
      </x:c>
      <x:c r="E10" s="24" t="str">
        <x:v>Stomolophus</x:v>
      </x:c>
      <x:c r="F10" s="24" t="str">
        <x:v>Cannonball jellies</x:v>
      </x:c>
      <x:c r="G10" s="24" t="str">
        <x:v>Jellyfish</x:v>
      </x:c>
      <x:c r="H10" s="24" t="str">
        <x:v>Other fishes &amp; inverts</x:v>
      </x:c>
      <x:c r="I10" s="31" t="n">
        <x:v>869</x:v>
      </x:c>
      <x:c r="J10" s="31" t="n">
        <x:v>869</x:v>
      </x:c>
      <x:c r="K10" s="31" t="n">
        <x:v>0</x:v>
      </x:c>
      <x:c r="L10" s="31" t="n">
        <x:v>869</x:v>
      </x:c>
      <x:c r="M10" s="31" t="n">
        <x:v>0</x:v>
      </x:c>
      <x:c r="N10" s="24" t="str">
        <x:v>stomolophus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Stomolophus</x:v>
      </x:c>
      <x:c r="T10" s="32" t="n">
        <x:f>IF(O10="","",(1/'Metadata'!$B$5)^(O10-1))</x:f>
        <x:v>288.40315031266056</x:v>
      </x:c>
      <x:c r="U10" s="31" t="n">
        <x:f>IF(T10="","",I10*T10)</x:f>
        <x:v>250622.33762170203</x:v>
      </x:c>
    </x:row>
    <x:row r="11" ht="18" customHeight="1">
      <x:c r="A11" s="24" t="str">
        <x:v>EEZ_952</x:v>
      </x:c>
      <x:c r="B11" s="24" t="str">
        <x:v>Panama (Pacific)</x:v>
      </x:c>
      <x:c r="C11" s="24" t="str">
        <x:v>EEZ</x:v>
      </x:c>
      <x:c r="D11" s="30" t="n">
        <x:v>2019</x:v>
      </x:c>
      <x:c r="E11" s="24" t="str">
        <x:v>Stomolophus meleagris</x:v>
      </x:c>
      <x:c r="F11" s="24" t="str">
        <x:v>Cannonball jellyfish</x:v>
      </x:c>
      <x:c r="G11" s="24" t="str">
        <x:v>Jellyfish</x:v>
      </x:c>
      <x:c r="H11" s="24" t="str">
        <x:v>Other fishes &amp; inverts</x:v>
      </x:c>
      <x:c r="I11" s="31" t="n">
        <x:v>869</x:v>
      </x:c>
      <x:c r="J11" s="31" t="n">
        <x:v>869</x:v>
      </x:c>
      <x:c r="K11" s="31" t="n">
        <x:v>0</x:v>
      </x:c>
      <x:c r="L11" s="31" t="n">
        <x:v>869</x:v>
      </x:c>
      <x:c r="M11" s="31" t="n">
        <x:v>0</x:v>
      </x:c>
      <x:c r="N11" s="24" t="str">
        <x:v>stomolophus meleagris</x:v>
      </x:c>
      <x:c r="O11" s="32" t="n">
        <x:v>3.34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Stomolophus meleagris</x:v>
      </x:c>
      <x:c r="T11" s="32" t="n">
        <x:f>IF(O11="","",(1/'Metadata'!$B$5)^(O11-1))</x:f>
        <x:v>218.77616239495518</x:v>
      </x:c>
      <x:c r="U11" s="31" t="n">
        <x:f>IF(T11="","",I11*T11)</x:f>
        <x:v>190116.48512121604</x:v>
      </x:c>
    </x:row>
    <x:row r="12" ht="18" customHeight="1">
      <x:c r="A12" s="24" t="str">
        <x:v>EEZ_952</x:v>
      </x:c>
      <x:c r="B12" s="24" t="str">
        <x:v>Panama (Pacific)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778.0834777522999</x:v>
      </x:c>
      <x:c r="J12" s="31" t="n">
        <x:v>778</x:v>
      </x:c>
      <x:c r="K12" s="31" t="n">
        <x:v>0.0834777523</x:v>
      </x:c>
      <x:c r="L12" s="31" t="n">
        <x:v>778</x:v>
      </x:c>
      <x:c r="M12" s="31" t="n">
        <x:v>0.0834777523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1824005.7092712796</x:v>
      </x:c>
    </x:row>
    <x:row r="13" ht="18" customHeight="1">
      <x:c r="A13" s="24" t="str">
        <x:v>EEZ_952</x:v>
      </x:c>
      <x:c r="B13" s="24" t="str">
        <x:v>Panama (Pacific)</x:v>
      </x:c>
      <x:c r="C13" s="24" t="str">
        <x:v>EEZ</x:v>
      </x:c>
      <x:c r="D13" s="30" t="n">
        <x:v>2019</x:v>
      </x:c>
      <x:c r="E13" s="24" t="str">
        <x:v>Scomberomorus sierra</x:v>
      </x:c>
      <x:c r="F13" s="24" t="str">
        <x:v>Pacific sierra</x:v>
      </x:c>
      <x:c r="G13" s="24" t="str">
        <x:v>Large pelagics (&gt;=90 cm)</x:v>
      </x:c>
      <x:c r="H13" s="24" t="str">
        <x:v>Perch-likes</x:v>
      </x:c>
      <x:c r="I13" s="31" t="n">
        <x:v>581.720843153</x:v>
      </x:c>
      <x:c r="J13" s="31" t="n">
        <x:v>191.064232053</x:v>
      </x:c>
      <x:c r="K13" s="31" t="n">
        <x:v>390.6566111</x:v>
      </x:c>
      <x:c r="L13" s="31" t="n">
        <x:v>159</x:v>
      </x:c>
      <x:c r="M13" s="31" t="n">
        <x:v>422.72084315300003</x:v>
      </x:c>
      <x:c r="N13" s="24" t="str">
        <x:v>scomberomorus sierra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Scomberomorus sierra</x:v>
      </x:c>
      <x:c r="T13" s="32" t="n">
        <x:f>IF(O13="","",(1/'Metadata'!$B$5)^(O13-1))</x:f>
        <x:v>3090.295432513592</x:v>
      </x:c>
      <x:c r="U13" s="31" t="n">
        <x:f>IF(T13="","",I13*T13)</x:f>
        <x:v>1797689.2645936715</x:v>
      </x:c>
    </x:row>
    <x:row r="14" ht="18" customHeight="1">
      <x:c r="A14" s="24" t="str">
        <x:v>EEZ_952</x:v>
      </x:c>
      <x:c r="B14" s="24" t="str">
        <x:v>Panama (Pacific)</x:v>
      </x:c>
      <x:c r="C14" s="24" t="str">
        <x:v>EEZ</x:v>
      </x:c>
      <x:c r="D14" s="30" t="n">
        <x:v>2019</x:v>
      </x:c>
      <x:c r="E14" s="24" t="str">
        <x:v>Penaeus occidentalis</x:v>
      </x:c>
      <x:c r="F14" s="24" t="str">
        <x:v>Western white shrimp</x:v>
      </x:c>
      <x:c r="G14" s="24" t="str">
        <x:v>Shrimps</x:v>
      </x:c>
      <x:c r="H14" s="24" t="str">
        <x:v>Crustaceans</x:v>
      </x:c>
      <x:c r="I14" s="31" t="n">
        <x:v>569.5272</x:v>
      </x:c>
      <x:c r="J14" s="31" t="n">
        <x:v>569.5272</x:v>
      </x:c>
      <x:c r="K14" s="31" t="n">
        <x:v>0</x:v>
      </x:c>
      <x:c r="L14" s="31" t="n">
        <x:v>569.5272</x:v>
      </x:c>
      <x:c r="M14" s="31" t="n">
        <x:v>0</x:v>
      </x:c>
      <x:c r="N14" s="24" t="str">
        <x:v>penaeus occidentalis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occidentalis</x:v>
      </x:c>
      <x:c r="T14" s="32" t="n">
        <x:f>IF(O14="","",(1/'Metadata'!$B$5)^(O14-1))</x:f>
        <x:v>50.11872336272725</x:v>
      </x:c>
      <x:c r="U14" s="31" t="n">
        <x:f>IF(T14="","",I14*T14)</x:f>
        <x:v>28543.976184348638</x:v>
      </x:c>
    </x:row>
    <x:row r="15" ht="18" customHeight="1">
      <x:c r="A15" s="24" t="str">
        <x:v>EEZ_952</x:v>
      </x:c>
      <x:c r="B15" s="24" t="str">
        <x:v>Panama (Pacific)</x:v>
      </x:c>
      <x:c r="C15" s="24" t="str">
        <x:v>EEZ</x:v>
      </x:c>
      <x:c r="D15" s="30" t="n">
        <x:v>2019</x:v>
      </x:c>
      <x:c r="E15" s="24" t="str">
        <x:v>Penaeus brevirostris</x:v>
      </x:c>
      <x:c r="F15" s="24" t="str">
        <x:v>Crystal shrimp</x:v>
      </x:c>
      <x:c r="G15" s="24" t="str">
        <x:v>Shrimps</x:v>
      </x:c>
      <x:c r="H15" s="24" t="str">
        <x:v>Crustaceans</x:v>
      </x:c>
      <x:c r="I15" s="31" t="n">
        <x:v>546</x:v>
      </x:c>
      <x:c r="J15" s="31" t="n">
        <x:v>546</x:v>
      </x:c>
      <x:c r="K15" s="31" t="n">
        <x:v>0</x:v>
      </x:c>
      <x:c r="L15" s="31" t="n">
        <x:v>546</x:v>
      </x:c>
      <x:c r="M15" s="31" t="n">
        <x:v>0</x:v>
      </x:c>
      <x:c r="N15" s="24" t="str">
        <x:v>penaeus brevirostris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brevirostris</x:v>
      </x:c>
      <x:c r="T15" s="32" t="n">
        <x:f>IF(O15="","",(1/'Metadata'!$B$5)^(O15-1))</x:f>
        <x:v>50.11872336272725</x:v>
      </x:c>
      <x:c r="U15" s="31" t="n">
        <x:f>IF(T15="","",I15*T15)</x:f>
        <x:v>27364.82295604908</x:v>
      </x:c>
    </x:row>
    <x:row r="16" ht="18" customHeight="1">
      <x:c r="A16" s="24" t="str">
        <x:v>EEZ_952</x:v>
      </x:c>
      <x:c r="B16" s="24" t="str">
        <x:v>Panama (Pacific)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263.99999996</x:v>
      </x:c>
      <x:c r="J16" s="31" t="n">
        <x:v>263.99999996</x:v>
      </x:c>
      <x:c r="K16" s="31" t="n">
        <x:v>0</x:v>
      </x:c>
      <x:c r="L16" s="31" t="n">
        <x:v>263.99999996</x:v>
      </x:c>
      <x:c r="M16" s="31" t="n">
        <x:v>0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60478.90602390573</x:v>
      </x:c>
    </x:row>
    <x:row r="17" ht="18" customHeight="1">
      <x:c r="A17" s="24" t="str">
        <x:v>EEZ_952</x:v>
      </x:c>
      <x:c r="B17" s="24" t="str">
        <x:v>Panama (Pacific)</x:v>
      </x:c>
      <x:c r="C17" s="24" t="str">
        <x:v>EEZ</x:v>
      </x:c>
      <x:c r="D17" s="30" t="n">
        <x:v>2019</x:v>
      </x:c>
      <x:c r="E17" s="24" t="str">
        <x:v>Solenocera agassizii</x:v>
      </x:c>
      <x:c r="F17" s="24" t="str">
        <x:v>Kolibri shrimp</x:v>
      </x:c>
      <x:c r="G17" s="24" t="str">
        <x:v>Shrimps</x:v>
      </x:c>
      <x:c r="H17" s="24" t="str">
        <x:v>Crustaceans</x:v>
      </x:c>
      <x:c r="I17" s="31" t="n">
        <x:v>198.62244794010002</x:v>
      </x:c>
      <x:c r="J17" s="31" t="n">
        <x:v>198.62244794010002</x:v>
      </x:c>
      <x:c r="K17" s="31" t="n">
        <x:v>0</x:v>
      </x:c>
      <x:c r="L17" s="31" t="n">
        <x:v>178</x:v>
      </x:c>
      <x:c r="M17" s="31" t="n">
        <x:v>20.622447940100002</x:v>
      </x:c>
      <x:c r="N17" s="24" t="str">
        <x:v>solenocera agassizii</x:v>
      </x:c>
      <x:c r="O17" s="32" t="n">
        <x:v>2.2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Solenocera agassizii</x:v>
      </x:c>
      <x:c r="T17" s="32" t="n">
        <x:f>IF(O17="","",(1/'Metadata'!$B$5)^(O17-1))</x:f>
        <x:v>15.848931924611142</x:v>
      </x:c>
      <x:c r="U17" s="31" t="n">
        <x:f>IF(T17="","",I17*T17)</x:f>
        <x:v>3147.9536561022655</x:v>
      </x:c>
    </x:row>
    <x:row r="18" ht="18" customHeight="1">
      <x:c r="A18" s="24" t="str">
        <x:v>EEZ_952</x:v>
      </x:c>
      <x:c r="B18" s="24" t="str">
        <x:v>Panama (Pacific)</x:v>
      </x:c>
      <x:c r="C18" s="24" t="str">
        <x:v>EEZ</x:v>
      </x:c>
      <x:c r="D18" s="30" t="n">
        <x:v>2019</x:v>
      </x:c>
      <x:c r="E18" s="24" t="str">
        <x:v>Seriola</x:v>
      </x:c>
      <x:c r="F18" s="24" t="str">
        <x:v>Amberjacks</x:v>
      </x:c>
      <x:c r="G18" s="24" t="str">
        <x:v>Large benthopelagics (&gt;=90 cm)</x:v>
      </x:c>
      <x:c r="H18" s="24" t="str">
        <x:v>Perch-likes</x:v>
      </x:c>
      <x:c r="I18" s="31" t="n">
        <x:v>130.3812774809</x:v>
      </x:c>
      <x:c r="J18" s="31" t="n">
        <x:v>0.1624070809</x:v>
      </x:c>
      <x:c r="K18" s="31" t="n">
        <x:v>130.2188704</x:v>
      </x:c>
      <x:c r="L18" s="31" t="n">
        <x:v>0</x:v>
      </x:c>
      <x:c r="M18" s="31" t="n">
        <x:v>130.3812774809</x:v>
      </x:c>
      <x:c r="N18" s="24" t="str">
        <x:v>seriola</x:v>
      </x:c>
      <x:c r="O18" s="32" t="n">
        <x:v>4.39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Seriola</x:v>
      </x:c>
      <x:c r="T18" s="32" t="n">
        <x:f>IF(O18="","",(1/'Metadata'!$B$5)^(O18-1))</x:f>
        <x:v>2454.7089156850284</x:v>
      </x:c>
      <x:c r="U18" s="31" t="n">
        <x:f>IF(T18="","",I18*T18)</x:f>
        <x:v>320048.08427076886</x:v>
      </x:c>
    </x:row>
    <x:row r="19" ht="18" customHeight="1">
      <x:c r="A19" s="24" t="str">
        <x:v>EEZ_952</x:v>
      </x:c>
      <x:c r="B19" s="24" t="str">
        <x:v>Panama (Pacific)</x:v>
      </x:c>
      <x:c r="C19" s="24" t="str">
        <x:v>EEZ</x:v>
      </x:c>
      <x:c r="D19" s="30" t="n">
        <x:v>2019</x:v>
      </x:c>
      <x:c r="E19" s="24" t="str">
        <x:v>Paralichthyidae</x:v>
      </x:c>
      <x:c r="F19" s="24" t="str">
        <x:v>Largetooth flounders</x:v>
      </x:c>
      <x:c r="G19" s="24" t="str">
        <x:v>Small to medium flatfishes (&lt;90 cm)</x:v>
      </x:c>
      <x:c r="H19" s="24" t="str">
        <x:v>Flatfishes</x:v>
      </x:c>
      <x:c r="I19" s="31" t="n">
        <x:v>119</x:v>
      </x:c>
      <x:c r="J19" s="31" t="n">
        <x:v>119</x:v>
      </x:c>
      <x:c r="K19" s="31" t="n">
        <x:v>0</x:v>
      </x:c>
      <x:c r="L19" s="31" t="n">
        <x:v>119</x:v>
      </x:c>
      <x:c r="M19" s="31" t="n">
        <x:v>0</x:v>
      </x:c>
      <x:c r="N19" s="24" t="str">
        <x:v>paralichthyidae</x:v>
      </x:c>
      <x:c r="O19" s="32" t="n">
        <x:v>4.06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Paralichthyidae</x:v>
      </x:c>
      <x:c r="T19" s="32" t="n">
        <x:f>IF(O19="","",(1/'Metadata'!$B$5)^(O19-1))</x:f>
        <x:v>1148.1536214968817</x:v>
      </x:c>
      <x:c r="U19" s="31" t="n">
        <x:f>IF(T19="","",I19*T19)</x:f>
        <x:v>136630.28095812892</x:v>
      </x:c>
    </x:row>
    <x:row r="20" ht="18" customHeight="1">
      <x:c r="A20" s="24" t="str">
        <x:v>EEZ_952</x:v>
      </x:c>
      <x:c r="B20" s="24" t="str">
        <x:v>Panama (Pacific)</x:v>
      </x:c>
      <x:c r="C20" s="24" t="str">
        <x:v>EEZ</x:v>
      </x:c>
      <x:c r="D20" s="30" t="n">
        <x:v>2019</x:v>
      </x:c>
      <x:c r="E20" s="24" t="str">
        <x:v>Penaeus stylirostris</x:v>
      </x:c>
      <x:c r="F20" s="24" t="str">
        <x:v>Blue shrimp</x:v>
      </x:c>
      <x:c r="G20" s="24" t="str">
        <x:v>Shrimps</x:v>
      </x:c>
      <x:c r="H20" s="24" t="str">
        <x:v>Crustaceans</x:v>
      </x:c>
      <x:c r="I20" s="31" t="n">
        <x:v>105.468</x:v>
      </x:c>
      <x:c r="J20" s="31" t="n">
        <x:v>105.468</x:v>
      </x:c>
      <x:c r="K20" s="31" t="n">
        <x:v>0</x:v>
      </x:c>
      <x:c r="L20" s="31" t="n">
        <x:v>105.468</x:v>
      </x:c>
      <x:c r="M20" s="31" t="n">
        <x:v>0</x:v>
      </x:c>
      <x:c r="N20" s="24" t="str">
        <x:v>penaeus stylirostris</x:v>
      </x:c>
      <x:c r="O20" s="32" t="n">
        <x:v>2.7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Penaeus stylirostris</x:v>
      </x:c>
      <x:c r="T20" s="32" t="n">
        <x:f>IF(O20="","",(1/'Metadata'!$B$5)^(O20-1))</x:f>
        <x:v>50.11872336272725</x:v>
      </x:c>
      <x:c r="U20" s="31" t="n">
        <x:f>IF(T20="","",I20*T20)</x:f>
        <x:v>5285.921515620118</x:v>
      </x:c>
    </x:row>
    <x:row r="21" ht="18" customHeight="1">
      <x:c r="A21" s="24" t="str">
        <x:v>EEZ_952</x:v>
      </x:c>
      <x:c r="B21" s="24" t="str">
        <x:v>Panama (Pacific)</x:v>
      </x:c>
      <x:c r="C21" s="24" t="str">
        <x:v>EEZ</x:v>
      </x:c>
      <x:c r="D21" s="30" t="n">
        <x:v>2019</x:v>
      </x:c>
      <x:c r="E21" s="24" t="str">
        <x:v>Sphyrna lewini</x:v>
      </x:c>
      <x:c r="F21" s="24" t="str">
        <x:v>Scalloped hammerhead</x:v>
      </x:c>
      <x:c r="G21" s="24" t="str">
        <x:v>Large sharks (&gt;=90 cm)</x:v>
      </x:c>
      <x:c r="H21" s="24" t="str">
        <x:v>Sharks &amp; rays</x:v>
      </x:c>
      <x:c r="I21" s="31" t="n">
        <x:v>99.2953760198</x:v>
      </x:c>
      <x:c r="J21" s="31" t="n">
        <x:v>99.2953760198</x:v>
      </x:c>
      <x:c r="K21" s="31" t="n">
        <x:v>0</x:v>
      </x:c>
      <x:c r="L21" s="31" t="n">
        <x:v>63.5080927798</x:v>
      </x:c>
      <x:c r="M21" s="31" t="n">
        <x:v>35.78728324</x:v>
      </x:c>
      <x:c r="N21" s="24" t="str">
        <x:v>sphyrna lewini</x:v>
      </x:c>
      <x:c r="O21" s="32" t="n">
        <x:v>4.08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Sphyrna lewini</x:v>
      </x:c>
      <x:c r="T21" s="32" t="n">
        <x:f>IF(O21="","",(1/'Metadata'!$B$5)^(O21-1))</x:f>
        <x:v>1202.2644346174131</x:v>
      </x:c>
      <x:c r="U21" s="31" t="n">
        <x:f>IF(T21="","",I21*T21)</x:f>
        <x:v>119379.29911056829</x:v>
      </x:c>
    </x:row>
    <x:row r="22" ht="18" customHeight="1">
      <x:c r="A22" s="24" t="str">
        <x:v>EEZ_952</x:v>
      </x:c>
      <x:c r="B22" s="24" t="str">
        <x:v>Panama (Pacific)</x:v>
      </x:c>
      <x:c r="C22" s="24" t="str">
        <x:v>EEZ</x:v>
      </x:c>
      <x:c r="D22" s="30" t="n">
        <x:v>2019</x:v>
      </x:c>
      <x:c r="E22" s="24" t="str">
        <x:v>Istiophorus platypterus</x:v>
      </x:c>
      <x:c r="F22" s="24" t="str">
        <x:v>Indo-Pacific sailfish</x:v>
      </x:c>
      <x:c r="G22" s="24" t="str">
        <x:v>Large pelagics (&gt;=90 cm)</x:v>
      </x:c>
      <x:c r="H22" s="24" t="str">
        <x:v>Tuna &amp; billfishes</x:v>
      </x:c>
      <x:c r="I22" s="31" t="n">
        <x:v>99.0357176508</x:v>
      </x:c>
      <x:c r="J22" s="31" t="n">
        <x:v>99.0357176508</x:v>
      </x:c>
      <x:c r="K22" s="31" t="n">
        <x:v>0</x:v>
      </x:c>
      <x:c r="L22" s="31" t="n">
        <x:v>0.5404235308</x:v>
      </x:c>
      <x:c r="M22" s="31" t="n">
        <x:v>98.49529412</x:v>
      </x:c>
      <x:c r="N22" s="24" t="str">
        <x:v>istiophorus platypterus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Istiophorus platypterus</x:v>
      </x:c>
      <x:c r="T22" s="32" t="n">
        <x:f>IF(O22="","",(1/'Metadata'!$B$5)^(O22-1))</x:f>
        <x:v>3162.2776601683795</x:v>
      </x:c>
      <x:c r="U22" s="31" t="n">
        <x:f>IF(T22="","",I22*T22)</x:f>
        <x:v>313178.4374858681</x:v>
      </x:c>
    </x:row>
    <x:row r="23" ht="18" customHeight="1">
      <x:c r="A23" s="24" t="str">
        <x:v>EEZ_952</x:v>
      </x:c>
      <x:c r="B23" s="24" t="str">
        <x:v>Panama (Pacific)</x:v>
      </x:c>
      <x:c r="C23" s="24" t="str">
        <x:v>EEZ</x:v>
      </x:c>
      <x:c r="D23" s="30" t="n">
        <x:v>2019</x:v>
      </x:c>
      <x:c r="E23" s="24" t="str">
        <x:v>Ariidae</x:v>
      </x:c>
      <x:c r="F23" s="24" t="str">
        <x:v>Sea catfishes, coblers</x:v>
      </x:c>
      <x:c r="G23" s="24" t="str">
        <x:v>Medium demersals (30 - 89 cm)</x:v>
      </x:c>
      <x:c r="H23" s="24" t="str">
        <x:v>Other fishes &amp; inverts</x:v>
      </x:c>
      <x:c r="I23" s="31" t="n">
        <x:v>96.7143146899</x:v>
      </x:c>
      <x:c r="J23" s="31" t="n">
        <x:v>96.7143146899</x:v>
      </x:c>
      <x:c r="K23" s="31" t="n">
        <x:v>0</x:v>
      </x:c>
      <x:c r="L23" s="31" t="n">
        <x:v>72</x:v>
      </x:c>
      <x:c r="M23" s="31" t="n">
        <x:v>24.7143146899</x:v>
      </x:c>
      <x:c r="N23" s="24" t="str">
        <x:v>ariidae</x:v>
      </x:c>
      <x:c r="O23" s="32" t="n">
        <x:v>3.48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Ariidae</x:v>
      </x:c>
      <x:c r="T23" s="32" t="n">
        <x:f>IF(O23="","",(1/'Metadata'!$B$5)^(O23-1))</x:f>
        <x:v>301.9951720402016</x:v>
      </x:c>
      <x:c r="U23" s="31" t="n">
        <x:f>IF(T23="","",I23*T23)</x:f>
        <x:v>29207.256103526546</x:v>
      </x:c>
    </x:row>
    <x:row r="24" ht="18" customHeight="1">
      <x:c r="A24" s="24" t="str">
        <x:v>EEZ_952</x:v>
      </x:c>
      <x:c r="B24" s="24" t="str">
        <x:v>Panama (Pacific)</x:v>
      </x:c>
      <x:c r="C24" s="24" t="str">
        <x:v>EEZ</x:v>
      </x:c>
      <x:c r="D24" s="30" t="n">
        <x:v>2019</x:v>
      </x:c>
      <x:c r="E24" s="24" t="str">
        <x:v>Carangidae</x:v>
      </x:c>
      <x:c r="F24" s="24" t="str">
        <x:v>Jacks, pompanos</x:v>
      </x:c>
      <x:c r="G24" s="24" t="str">
        <x:v>Medium pelagics (30 - 89 cm)</x:v>
      </x:c>
      <x:c r="H24" s="24" t="str">
        <x:v>Perch-likes</x:v>
      </x:c>
      <x:c r="I24" s="31" t="n">
        <x:v>96.62136203</x:v>
      </x:c>
      <x:c r="J24" s="31" t="n">
        <x:v>96.6120672395</x:v>
      </x:c>
      <x:c r="K24" s="31" t="n">
        <x:v>0.0092947905</x:v>
      </x:c>
      <x:c r="L24" s="31" t="n">
        <x:v>91.0534548775</x:v>
      </x:c>
      <x:c r="M24" s="31" t="n">
        <x:v>5.5679071525</x:v>
      </x:c>
      <x:c r="N24" s="24" t="str">
        <x:v>carangidae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Carangidae</x:v>
      </x:c>
      <x:c r="T24" s="32" t="n">
        <x:f>IF(O24="","",(1/'Metadata'!$B$5)^(O24-1))</x:f>
        <x:v>1122.018454301963</x:v>
      </x:c>
      <x:c r="U24" s="31" t="n">
        <x:f>IF(T24="","",I24*T24)</x:f>
        <x:v>108410.95127745098</x:v>
      </x:c>
    </x:row>
    <x:row r="25" ht="18" customHeight="1">
      <x:c r="A25" s="24" t="str">
        <x:v>EEZ_952</x:v>
      </x:c>
      <x:c r="B25" s="24" t="str">
        <x:v>Panama (Pacific)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53</x:v>
      </x:c>
      <x:c r="J25" s="31" t="n">
        <x:v>53</x:v>
      </x:c>
      <x:c r="K25" s="31" t="n">
        <x:v>0</x:v>
      </x:c>
      <x:c r="L25" s="31" t="n">
        <x:v>53</x:v>
      </x:c>
      <x:c r="M25" s="31" t="n">
        <x:v>0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69867.6071434896</x:v>
      </x:c>
    </x:row>
    <x:row r="26" ht="18" customHeight="1">
      <x:c r="A26" s="24" t="str">
        <x:v>EEZ_952</x:v>
      </x:c>
      <x:c r="B26" s="24" t="str">
        <x:v>Panama (Pacific)</x:v>
      </x:c>
      <x:c r="C26" s="24" t="str">
        <x:v>EEZ</x:v>
      </x:c>
      <x:c r="D26" s="30" t="n">
        <x:v>2019</x:v>
      </x:c>
      <x:c r="E26" s="24" t="str">
        <x:v>Carcharhinus falciformis</x:v>
      </x:c>
      <x:c r="F26" s="24" t="str">
        <x:v>Silky shark</x:v>
      </x:c>
      <x:c r="G26" s="24" t="str">
        <x:v>Large sharks (&gt;=90 cm)</x:v>
      </x:c>
      <x:c r="H26" s="24" t="str">
        <x:v>Sharks &amp; rays</x:v>
      </x:c>
      <x:c r="I26" s="31" t="n">
        <x:v>50.3615773148</x:v>
      </x:c>
      <x:c r="J26" s="31" t="n">
        <x:v>50.3455730149</x:v>
      </x:c>
      <x:c r="K26" s="31" t="n">
        <x:v>0.0160042999</x:v>
      </x:c>
      <x:c r="L26" s="31" t="n">
        <x:v>50.2417414389</x:v>
      </x:c>
      <x:c r="M26" s="31" t="n">
        <x:v>0.1198358759</x:v>
      </x:c>
      <x:c r="N26" s="24" t="str">
        <x:v>carcharhinus falciformis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falciformis</x:v>
      </x:c>
      <x:c r="T26" s="32" t="n">
        <x:f>IF(O26="","",(1/'Metadata'!$B$5)^(O26-1))</x:f>
        <x:v>3235.936569296281</x:v>
      </x:c>
      <x:c r="U26" s="31" t="n">
        <x:f>IF(T26="","",I26*T26)</x:f>
        <x:v>162966.86972040334</x:v>
      </x:c>
    </x:row>
    <x:row r="27" ht="18" customHeight="1">
      <x:c r="A27" s="24" t="str">
        <x:v>EEZ_952</x:v>
      </x:c>
      <x:c r="B27" s="24" t="str">
        <x:v>Panama (Pacific)</x:v>
      </x:c>
      <x:c r="C27" s="24" t="str">
        <x:v>EEZ</x:v>
      </x:c>
      <x:c r="D27" s="30" t="n">
        <x:v>2019</x:v>
      </x:c>
      <x:c r="E27" s="24" t="str">
        <x:v>Katsuwonus pelamis</x:v>
      </x:c>
      <x:c r="F27" s="24" t="str">
        <x:v>Skipjack tuna</x:v>
      </x:c>
      <x:c r="G27" s="24" t="str">
        <x:v>Large pelagics (&gt;=90 cm)</x:v>
      </x:c>
      <x:c r="H27" s="24" t="str">
        <x:v>Tuna &amp; billfishes</x:v>
      </x:c>
      <x:c r="I27" s="31" t="n">
        <x:v>39.2619577297</x:v>
      </x:c>
      <x:c r="J27" s="31" t="n">
        <x:v>39.2619321328</x:v>
      </x:c>
      <x:c r="K27" s="31" t="n">
        <x:v>0.0000255969</x:v>
      </x:c>
      <x:c r="L27" s="31" t="n">
        <x:v>39.2619321328</x:v>
      </x:c>
      <x:c r="M27" s="31" t="n">
        <x:v>0.0000255969</x:v>
      </x:c>
      <x:c r="N27" s="24" t="str">
        <x:v>katsuwonus pelamis</x:v>
      </x:c>
      <x:c r="O27" s="32" t="n">
        <x:v>4.43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Katsuwonus pelamis</x:v>
      </x:c>
      <x:c r="T27" s="32" t="n">
        <x:f>IF(O27="","",(1/'Metadata'!$B$5)^(O27-1))</x:f>
        <x:v>2691.534803926914</x:v>
      </x:c>
      <x:c r="U27" s="31" t="n">
        <x:f>IF(T27="","",I27*T27)</x:f>
        <x:v>105674.92569979487</x:v>
      </x:c>
    </x:row>
    <x:row r="28" ht="18" customHeight="1">
      <x:c r="A28" s="24" t="str">
        <x:v>EEZ_952</x:v>
      </x:c>
      <x:c r="B28" s="24" t="str">
        <x:v>Panama (Pacific)</x:v>
      </x:c>
      <x:c r="C28" s="24" t="str">
        <x:v>EEZ</x:v>
      </x:c>
      <x:c r="D28" s="30" t="n">
        <x:v>2019</x:v>
      </x:c>
      <x:c r="E28" s="24" t="str">
        <x:v>Penaeus vannamei</x:v>
      </x:c>
      <x:c r="F28" s="24" t="str">
        <x:v>Whiteleg shrimp</x:v>
      </x:c>
      <x:c r="G28" s="24" t="str">
        <x:v>Shrimps</x:v>
      </x:c>
      <x:c r="H28" s="24" t="str">
        <x:v>Crustaceans</x:v>
      </x:c>
      <x:c r="I28" s="31" t="n">
        <x:v>28.1248</x:v>
      </x:c>
      <x:c r="J28" s="31" t="n">
        <x:v>28.1248</x:v>
      </x:c>
      <x:c r="K28" s="31" t="n">
        <x:v>0</x:v>
      </x:c>
      <x:c r="L28" s="31" t="n">
        <x:v>28.1248</x:v>
      </x:c>
      <x:c r="M28" s="31" t="n">
        <x:v>0</x:v>
      </x:c>
      <x:c r="N28" s="24" t="str">
        <x:v>penaeus vannamei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Penaeus vannamei</x:v>
      </x:c>
      <x:c r="T28" s="32" t="n">
        <x:f>IF(O28="","",(1/'Metadata'!$B$5)^(O28-1))</x:f>
        <x:v>50.11872336272725</x:v>
      </x:c>
      <x:c r="U28" s="31" t="n">
        <x:f>IF(T28="","",I28*T28)</x:f>
        <x:v>1409.5790708320314</x:v>
      </x:c>
    </x:row>
    <x:row r="29" ht="18" customHeight="1">
      <x:c r="A29" s="24" t="str">
        <x:v>EEZ_952</x:v>
      </x:c>
      <x:c r="B29" s="24" t="str">
        <x:v>Panama (Pacific)</x:v>
      </x:c>
      <x:c r="C29" s="24" t="str">
        <x:v>EEZ</x:v>
      </x:c>
      <x:c r="D29" s="30" t="n">
        <x:v>2019</x:v>
      </x:c>
      <x:c r="E29" s="24" t="str">
        <x:v>Sarda orientalis</x:v>
      </x:c>
      <x:c r="F29" s="24" t="str">
        <x:v>Striped bonito</x:v>
      </x:c>
      <x:c r="G29" s="24" t="str">
        <x:v>Large pelagics (&gt;=90 cm)</x:v>
      </x:c>
      <x:c r="H29" s="24" t="str">
        <x:v>Tuna &amp; billfishes</x:v>
      </x:c>
      <x:c r="I29" s="31" t="n">
        <x:v>27</x:v>
      </x:c>
      <x:c r="J29" s="31" t="n">
        <x:v>27</x:v>
      </x:c>
      <x:c r="K29" s="31" t="n">
        <x:v>0</x:v>
      </x:c>
      <x:c r="L29" s="31" t="n">
        <x:v>27</x:v>
      </x:c>
      <x:c r="M29" s="31" t="n">
        <x:v>0</x:v>
      </x:c>
      <x:c r="N29" s="24" t="str">
        <x:v>sarda orientalis</x:v>
      </x:c>
      <x:c r="O29" s="32" t="n">
        <x:v>4.21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Sarda orientalis</x:v>
      </x:c>
      <x:c r="T29" s="32" t="n">
        <x:f>IF(O29="","",(1/'Metadata'!$B$5)^(O29-1))</x:f>
        <x:v>1621.8100973589299</x:v>
      </x:c>
      <x:c r="U29" s="31" t="n">
        <x:f>IF(T29="","",I29*T29)</x:f>
        <x:v>43788.872628691104</x:v>
      </x:c>
    </x:row>
    <x:row r="30" ht="18" customHeight="1">
      <x:c r="A30" s="24" t="str">
        <x:v>EEZ_952</x:v>
      </x:c>
      <x:c r="B30" s="24" t="str">
        <x:v>Panama (Pacific)</x:v>
      </x:c>
      <x:c r="C30" s="24" t="str">
        <x:v>EEZ</x:v>
      </x:c>
      <x:c r="D30" s="30" t="n">
        <x:v>2019</x:v>
      </x:c>
      <x:c r="E30" s="24" t="str">
        <x:v>Carcharhinidae</x:v>
      </x:c>
      <x:c r="F30" s="24" t="str">
        <x:v>Requiem sharks</x:v>
      </x:c>
      <x:c r="G30" s="24" t="str">
        <x:v>Large sharks (&gt;=90 cm)</x:v>
      </x:c>
      <x:c r="H30" s="24" t="str">
        <x:v>Sharks &amp; rays</x:v>
      </x:c>
      <x:c r="I30" s="31" t="n">
        <x:v>22.434783377000002</x:v>
      </x:c>
      <x:c r="J30" s="31" t="n">
        <x:v>22.434783377000002</x:v>
      </x:c>
      <x:c r="K30" s="31" t="n">
        <x:v>0</x:v>
      </x:c>
      <x:c r="L30" s="31" t="n">
        <x:v>22.0013020971</x:v>
      </x:c>
      <x:c r="M30" s="31" t="n">
        <x:v>0.43348127989999996</x:v>
      </x:c>
      <x:c r="N30" s="24" t="str">
        <x:v>carcharhinidae</x:v>
      </x:c>
      <x:c r="O30" s="32" t="n">
        <x:v>4.24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Carcharhinidae</x:v>
      </x:c>
      <x:c r="T30" s="32" t="n">
        <x:f>IF(O30="","",(1/'Metadata'!$B$5)^(O30-1))</x:f>
        <x:v>1737.8008287493763</x:v>
      </x:c>
      <x:c r="U30" s="31" t="n">
        <x:f>IF(T30="","",I30*T30)</x:f>
        <x:v>38987.185145363335</x:v>
      </x:c>
    </x:row>
    <x:row r="31" ht="18" customHeight="1">
      <x:c r="A31" s="24" t="str">
        <x:v>EEZ_952</x:v>
      </x:c>
      <x:c r="B31" s="24" t="str">
        <x:v>Panama (Pacific)</x:v>
      </x:c>
      <x:c r="C31" s="24" t="str">
        <x:v>EEZ</x:v>
      </x:c>
      <x:c r="D31" s="30" t="n">
        <x:v>2019</x:v>
      </x:c>
      <x:c r="E31" s="24" t="str">
        <x:v>Elasmobranchii</x:v>
      </x:c>
      <x:c r="F31" s="24" t="str">
        <x:v>Sharks, rays, skates</x:v>
      </x:c>
      <x:c r="G31" s="24" t="str">
        <x:v>Large sharks (&gt;=90 cm)</x:v>
      </x:c>
      <x:c r="H31" s="24" t="str">
        <x:v>Sharks &amp; rays</x:v>
      </x:c>
      <x:c r="I31" s="31" t="n">
        <x:v>19.5642323392</x:v>
      </x:c>
      <x:c r="J31" s="31" t="n">
        <x:v>19.4429161975</x:v>
      </x:c>
      <x:c r="K31" s="31" t="n">
        <x:v>0.12131614169999999</x:v>
      </x:c>
      <x:c r="L31" s="31" t="n">
        <x:v>19.4429161975</x:v>
      </x:c>
      <x:c r="M31" s="31" t="n">
        <x:v>0.12131614169999999</x:v>
      </x:c>
      <x:c r="N31" s="24" t="str">
        <x:v>elasmobranchii</x:v>
      </x:c>
      <x:c r="O31" s="32" t="n">
        <x:v>4.05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Elasmobranchii</x:v>
      </x:c>
      <x:c r="T31" s="32" t="n">
        <x:f>IF(O31="","",(1/'Metadata'!$B$5)^(O31-1))</x:f>
        <x:v>1122.018454301963</x:v>
      </x:c>
      <x:c r="U31" s="31" t="n">
        <x:f>IF(T31="","",I31*T31)</x:f>
        <x:v>21951.42972883366</x:v>
      </x:c>
    </x:row>
    <x:row r="32" ht="18" customHeight="1">
      <x:c r="A32" s="24" t="str">
        <x:v>EEZ_952</x:v>
      </x:c>
      <x:c r="B32" s="24" t="str">
        <x:v>Panama (Pacific)</x:v>
      </x:c>
      <x:c r="C32" s="24" t="str">
        <x:v>EEZ</x:v>
      </x:c>
      <x:c r="D32" s="30" t="n">
        <x:v>2019</x:v>
      </x:c>
      <x:c r="E32" s="24" t="str">
        <x:v>Argopecten ventricosus</x:v>
      </x:c>
      <x:c r="F32" s="24" t="str">
        <x:v>Pacific calico scallop</x:v>
      </x:c>
      <x:c r="G32" s="24" t="str">
        <x:v>Other demersal invertebrates</x:v>
      </x:c>
      <x:c r="H32" s="24" t="str">
        <x:v>Molluscs</x:v>
      </x:c>
      <x:c r="I32" s="31" t="n">
        <x:v>16</x:v>
      </x:c>
      <x:c r="J32" s="31" t="n">
        <x:v>16</x:v>
      </x:c>
      <x:c r="K32" s="31" t="n">
        <x:v>0</x:v>
      </x:c>
      <x:c r="L32" s="31" t="n">
        <x:v>16</x:v>
      </x:c>
      <x:c r="M32" s="31" t="n">
        <x:v>0</x:v>
      </x:c>
      <x:c r="N32" s="24" t="str">
        <x:v>argopecten ventricosus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Argopecten ventricosus</x:v>
      </x:c>
      <x:c r="T32" s="32" t="n">
        <x:f>IF(O32="","",(1/'Metadata'!$B$5)^(O32-1))</x:f>
        <x:v>10</x:v>
      </x:c>
      <x:c r="U32" s="31" t="n">
        <x:f>IF(T32="","",I32*T32)</x:f>
        <x:v>160</x:v>
      </x:c>
    </x:row>
    <x:row r="33" ht="18" customHeight="1">
      <x:c r="A33" s="24" t="str">
        <x:v>EEZ_952</x:v>
      </x:c>
      <x:c r="B33" s="24" t="str">
        <x:v>Panama (Pacific)</x:v>
      </x:c>
      <x:c r="C33" s="24" t="str">
        <x:v>EEZ</x:v>
      </x:c>
      <x:c r="D33" s="30" t="n">
        <x:v>2019</x:v>
      </x:c>
      <x:c r="E33" s="24" t="str">
        <x:v>Mustelus</x:v>
      </x:c>
      <x:c r="F33" s="24" t="str">
        <x:v>Smoothhounds</x:v>
      </x:c>
      <x:c r="G33" s="24" t="str">
        <x:v>Large sharks (&gt;=90 cm)</x:v>
      </x:c>
      <x:c r="H33" s="24" t="str">
        <x:v>Sharks &amp; rays</x:v>
      </x:c>
      <x:c r="I33" s="31" t="n">
        <x:v>13.8863995241</x:v>
      </x:c>
      <x:c r="J33" s="31" t="n">
        <x:v>13.8863995241</x:v>
      </x:c>
      <x:c r="K33" s="31" t="n">
        <x:v>0</x:v>
      </x:c>
      <x:c r="L33" s="31" t="n">
        <x:v>11.9482101031</x:v>
      </x:c>
      <x:c r="M33" s="31" t="n">
        <x:v>1.938189421</x:v>
      </x:c>
      <x:c r="N33" s="24" t="str">
        <x:v>mustelus</x:v>
      </x:c>
      <x:c r="O33" s="32" t="n">
        <x:v>3.73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Mustelus</x:v>
      </x:c>
      <x:c r="T33" s="32" t="n">
        <x:f>IF(O33="","",(1/'Metadata'!$B$5)^(O33-1))</x:f>
        <x:v>537.0317963702527</x:v>
      </x:c>
      <x:c r="U33" s="31" t="n">
        <x:f>IF(T33="","",I33*T33)</x:f>
        <x:v>7457.438081542445</x:v>
      </x:c>
    </x:row>
    <x:row r="34" ht="18" customHeight="1">
      <x:c r="A34" s="24" t="str">
        <x:v>EEZ_952</x:v>
      </x:c>
      <x:c r="B34" s="24" t="str">
        <x:v>Panama (Pacific)</x:v>
      </x:c>
      <x:c r="C34" s="24" t="str">
        <x:v>EEZ</x:v>
      </x:c>
      <x:c r="D34" s="30" t="n">
        <x:v>2019</x:v>
      </x:c>
      <x:c r="E34" s="24" t="str">
        <x:v>Alopias pelagicus</x:v>
      </x:c>
      <x:c r="F34" s="24" t="str">
        <x:v>Pelagic thresher</x:v>
      </x:c>
      <x:c r="G34" s="24" t="str">
        <x:v>Large sharks (&gt;=90 cm)</x:v>
      </x:c>
      <x:c r="H34" s="24" t="str">
        <x:v>Sharks &amp; rays</x:v>
      </x:c>
      <x:c r="I34" s="31" t="n">
        <x:v>12.0487971301</x:v>
      </x:c>
      <x:c r="J34" s="31" t="n">
        <x:v>12.0487971301</x:v>
      </x:c>
      <x:c r="K34" s="31" t="n">
        <x:v>0</x:v>
      </x:c>
      <x:c r="L34" s="31" t="n">
        <x:v>12.0487971301</x:v>
      </x:c>
      <x:c r="M34" s="31" t="n">
        <x:v>0</x:v>
      </x:c>
      <x:c r="N34" s="24" t="str">
        <x:v>alopias pelagicus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Alopias pelagicus</x:v>
      </x:c>
      <x:c r="T34" s="32" t="n">
        <x:f>IF(O34="","",(1/'Metadata'!$B$5)^(O34-1))</x:f>
        <x:v>3162.2776601683795</x:v>
      </x:c>
      <x:c r="U34" s="31" t="n">
        <x:f>IF(T34="","",I34*T34)</x:f>
        <x:v>38101.64199641612</x:v>
      </x:c>
    </x:row>
    <x:row r="35" ht="18" customHeight="1">
      <x:c r="A35" s="24" t="str">
        <x:v>EEZ_952</x:v>
      </x:c>
      <x:c r="B35" s="24" t="str">
        <x:v>Panama (Pacific)</x:v>
      </x:c>
      <x:c r="C35" s="24" t="str">
        <x:v>EEZ</x:v>
      </x:c>
      <x:c r="D35" s="30" t="n">
        <x:v>2019</x:v>
      </x:c>
      <x:c r="E35" s="24" t="str">
        <x:v>Rhizoprionodon longurio</x:v>
      </x:c>
      <x:c r="F35" s="24" t="str">
        <x:v>Pacific sharpnose shark</x:v>
      </x:c>
      <x:c r="G35" s="24" t="str">
        <x:v>Large sharks (&gt;=90 cm)</x:v>
      </x:c>
      <x:c r="H35" s="24" t="str">
        <x:v>Sharks &amp; rays</x:v>
      </x:c>
      <x:c r="I35" s="31" t="n">
        <x:v>8.116168201999999</x:v>
      </x:c>
      <x:c r="J35" s="31" t="n">
        <x:v>8.116168201999999</x:v>
      </x:c>
      <x:c r="K35" s="31" t="n">
        <x:v>0</x:v>
      </x:c>
      <x:c r="L35" s="31" t="n">
        <x:v>0</x:v>
      </x:c>
      <x:c r="M35" s="31" t="n">
        <x:v>8.116168201999999</x:v>
      </x:c>
      <x:c r="N35" s="24" t="str">
        <x:v>rhizoprionodon longurio</x:v>
      </x:c>
      <x:c r="O35" s="32" t="n">
        <x:v>4.24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Rhizoprionodon longurio</x:v>
      </x:c>
      <x:c r="T35" s="32" t="n">
        <x:f>IF(O35="","",(1/'Metadata'!$B$5)^(O35-1))</x:f>
        <x:v>1737.8008287493763</x:v>
      </x:c>
      <x:c r="U35" s="31" t="n">
        <x:f>IF(T35="","",I35*T35)</x:f>
        <x:v>14104.283827704934</x:v>
      </x:c>
    </x:row>
    <x:row r="36" ht="18" customHeight="1">
      <x:c r="A36" s="24" t="str">
        <x:v>EEZ_952</x:v>
      </x:c>
      <x:c r="B36" s="24" t="str">
        <x:v>Panama (Pacific)</x:v>
      </x:c>
      <x:c r="C36" s="24" t="str">
        <x:v>EEZ</x:v>
      </x:c>
      <x:c r="D36" s="30" t="n">
        <x:v>2019</x:v>
      </x:c>
      <x:c r="E36" s="24" t="str">
        <x:v>Kajikia audax</x:v>
      </x:c>
      <x:c r="F36" s="24" t="str">
        <x:v>Striped marlin</x:v>
      </x:c>
      <x:c r="G36" s="24" t="str">
        <x:v>Large pelagics (&gt;=90 cm)</x:v>
      </x:c>
      <x:c r="H36" s="24" t="str">
        <x:v>Tuna &amp; billfishes</x:v>
      </x:c>
      <x:c r="I36" s="31" t="n">
        <x:v>7.471056776499999</x:v>
      </x:c>
      <x:c r="J36" s="31" t="n">
        <x:v>7.471056776499999</x:v>
      </x:c>
      <x:c r="K36" s="31" t="n">
        <x:v>0</x:v>
      </x:c>
      <x:c r="L36" s="31" t="n">
        <x:v>0.5992920705</x:v>
      </x:c>
      <x:c r="M36" s="31" t="n">
        <x:v>6.871764706</x:v>
      </x:c>
      <x:c r="N36" s="24" t="str">
        <x:v>kajikia audax</x:v>
      </x:c>
      <x:c r="O36" s="32" t="n">
        <x:v>4.58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Kajikia audax</x:v>
      </x:c>
      <x:c r="T36" s="32" t="n">
        <x:f>IF(O36="","",(1/'Metadata'!$B$5)^(O36-1))</x:f>
        <x:v>3801.8939632056126</x:v>
      </x:c>
      <x:c r="U36" s="31" t="n">
        <x:f>IF(T36="","",I36*T36)</x:f>
        <x:v>28404.16565734173</x:v>
      </x:c>
    </x:row>
    <x:row r="37" ht="18" customHeight="1">
      <x:c r="A37" s="24" t="str">
        <x:v>EEZ_952</x:v>
      </x:c>
      <x:c r="B37" s="24" t="str">
        <x:v>Panama (Pacific)</x:v>
      </x:c>
      <x:c r="C37" s="24" t="str">
        <x:v>EEZ</x:v>
      </x:c>
      <x:c r="D37" s="30" t="n">
        <x:v>2019</x:v>
      </x:c>
      <x:c r="E37" s="24" t="str">
        <x:v>Prionace glauca</x:v>
      </x:c>
      <x:c r="F37" s="24" t="str">
        <x:v>Blue shark</x:v>
      </x:c>
      <x:c r="G37" s="24" t="str">
        <x:v>Large sharks (&gt;=90 cm)</x:v>
      </x:c>
      <x:c r="H37" s="24" t="str">
        <x:v>Sharks &amp; rays</x:v>
      </x:c>
      <x:c r="I37" s="31" t="n">
        <x:v>6.9860632741</x:v>
      </x:c>
      <x:c r="J37" s="31" t="n">
        <x:v>0.6140148249</x:v>
      </x:c>
      <x:c r="K37" s="31" t="n">
        <x:v>6.3720484492</x:v>
      </x:c>
      <x:c r="L37" s="31" t="n">
        <x:v>0.4582674609</x:v>
      </x:c>
      <x:c r="M37" s="31" t="n">
        <x:v>6.5277958132</x:v>
      </x:c>
      <x:c r="N37" s="24" t="str">
        <x:v>prionace glauca</x:v>
      </x:c>
      <x:c r="O37" s="32" t="n">
        <x:v>4.35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Prionace glauca</x:v>
      </x:c>
      <x:c r="T37" s="32" t="n">
        <x:f>IF(O37="","",(1/'Metadata'!$B$5)^(O37-1))</x:f>
        <x:v>2238.7211385683377</x:v>
      </x:c>
      <x:c r="U37" s="31" t="n">
        <x:f>IF(T37="","",I37*T37)</x:f>
        <x:v>15639.8475271036</x:v>
      </x:c>
    </x:row>
    <x:row r="38" ht="18" customHeight="1">
      <x:c r="A38" s="24" t="str">
        <x:v>EEZ_952</x:v>
      </x:c>
      <x:c r="B38" s="24" t="str">
        <x:v>Panama (Pacific)</x:v>
      </x:c>
      <x:c r="C38" s="24" t="str">
        <x:v>EEZ</x:v>
      </x:c>
      <x:c r="D38" s="30" t="n">
        <x:v>2019</x:v>
      </x:c>
      <x:c r="E38" s="24" t="str">
        <x:v>Istiompax indica</x:v>
      </x:c>
      <x:c r="F38" s="24" t="str">
        <x:v>Black marlin</x:v>
      </x:c>
      <x:c r="G38" s="24" t="str">
        <x:v>Large pelagics (&gt;=90 cm)</x:v>
      </x:c>
      <x:c r="H38" s="24" t="str">
        <x:v>Tuna &amp; billfishes</x:v>
      </x:c>
      <x:c r="I38" s="31" t="n">
        <x:v>6.8724499794</x:v>
      </x:c>
      <x:c r="J38" s="31" t="n">
        <x:v>6.8724499794</x:v>
      </x:c>
      <x:c r="K38" s="31" t="n">
        <x:v>0</x:v>
      </x:c>
      <x:c r="L38" s="31" t="n">
        <x:v>0.0006852734</x:v>
      </x:c>
      <x:c r="M38" s="31" t="n">
        <x:v>6.871764706</x:v>
      </x:c>
      <x:c r="N38" s="24" t="str">
        <x:v>istiompax indica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Istiompax indica</x:v>
      </x:c>
      <x:c r="T38" s="32" t="n">
        <x:f>IF(O38="","",(1/'Metadata'!$B$5)^(O38-1))</x:f>
        <x:v>3162.2776601683795</x:v>
      </x:c>
      <x:c r="U38" s="31" t="n">
        <x:f>IF(T38="","",I38*T38)</x:f>
        <x:v>21732.595040481257</x:v>
      </x:c>
    </x:row>
    <x:row r="39" ht="18" customHeight="1">
      <x:c r="A39" s="24" t="str">
        <x:v>EEZ_952</x:v>
      </x:c>
      <x:c r="B39" s="24" t="str">
        <x:v>Panama (Pacific)</x:v>
      </x:c>
      <x:c r="C39" s="24" t="str">
        <x:v>EEZ</x:v>
      </x:c>
      <x:c r="D39" s="30" t="n">
        <x:v>2019</x:v>
      </x:c>
      <x:c r="E39" s="24" t="str">
        <x:v>Mollusca</x:v>
      </x:c>
      <x:c r="F39" s="24" t="str">
        <x:v>Clams, seasnails, squids, octopuses</x:v>
      </x:c>
      <x:c r="G39" s="24" t="str">
        <x:v>Other demersal invertebrates</x:v>
      </x:c>
      <x:c r="H39" s="24" t="str">
        <x:v>Molluscs</x:v>
      </x:c>
      <x:c r="I39" s="31" t="n">
        <x:v>3.545988118</x:v>
      </x:c>
      <x:c r="J39" s="31" t="n">
        <x:v>0</x:v>
      </x:c>
      <x:c r="K39" s="31" t="n">
        <x:v>3.545988118</x:v>
      </x:c>
      <x:c r="L39" s="31" t="n">
        <x:v>0</x:v>
      </x:c>
      <x:c r="M39" s="31" t="n">
        <x:v>3.545988118</x:v>
      </x:c>
      <x:c r="N39" s="24" t="str">
        <x:v>mollusca</x:v>
      </x:c>
      <x:c r="O39" s="32" t="n">
        <x:v>2.1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Mollusca</x:v>
      </x:c>
      <x:c r="T39" s="32" t="n">
        <x:f>IF(O39="","",(1/'Metadata'!$B$5)^(O39-1))</x:f>
        <x:v>12.589254117941675</x:v>
      </x:c>
      <x:c r="U39" s="31" t="n">
        <x:f>IF(T39="","",I39*T39)</x:f>
        <x:v>44.641345516703744</x:v>
      </x:c>
    </x:row>
    <x:row r="40" ht="18" customHeight="1">
      <x:c r="A40" s="24" t="str">
        <x:v>EEZ_952</x:v>
      </x:c>
      <x:c r="B40" s="24" t="str">
        <x:v>Panama (Pacific)</x:v>
      </x:c>
      <x:c r="C40" s="24" t="str">
        <x:v>EEZ</x:v>
      </x:c>
      <x:c r="D40" s="30" t="n">
        <x:v>2019</x:v>
      </x:c>
      <x:c r="E40" s="24" t="str">
        <x:v>Carcharhinus limbatus</x:v>
      </x:c>
      <x:c r="F40" s="24" t="str">
        <x:v>Blacktip shark</x:v>
      </x:c>
      <x:c r="G40" s="24" t="str">
        <x:v>Large sharks (&gt;=90 cm)</x:v>
      </x:c>
      <x:c r="H40" s="24" t="str">
        <x:v>Sharks &amp; rays</x:v>
      </x:c>
      <x:c r="I40" s="31" t="n">
        <x:v>3.5128539141</x:v>
      </x:c>
      <x:c r="J40" s="31" t="n">
        <x:v>3.5128539141</x:v>
      </x:c>
      <x:c r="K40" s="31" t="n">
        <x:v>0</x:v>
      </x:c>
      <x:c r="L40" s="31" t="n">
        <x:v>2.5264539402999997</x:v>
      </x:c>
      <x:c r="M40" s="31" t="n">
        <x:v>0.9863999738</x:v>
      </x:c>
      <x:c r="N40" s="24" t="str">
        <x:v>carcharhinus limbatus</x:v>
      </x:c>
      <x:c r="O40" s="32" t="n">
        <x:v>4.37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limbatus</x:v>
      </x:c>
      <x:c r="T40" s="32" t="n">
        <x:f>IF(O40="","",(1/'Metadata'!$B$5)^(O40-1))</x:f>
        <x:v>2344.228815319923</x:v>
      </x:c>
      <x:c r="U40" s="31" t="n">
        <x:f>IF(T40="","",I40*T40)</x:f>
        <x:v>8234.933369442597</x:v>
      </x:c>
    </x:row>
    <x:row r="41" ht="18" customHeight="1">
      <x:c r="A41" s="24" t="str">
        <x:v>EEZ_952</x:v>
      </x:c>
      <x:c r="B41" s="24" t="str">
        <x:v>Panama (Pacific)</x:v>
      </x:c>
      <x:c r="C41" s="24" t="str">
        <x:v>EEZ</x:v>
      </x:c>
      <x:c r="D41" s="30" t="n">
        <x:v>2019</x:v>
      </x:c>
      <x:c r="E41" s="24" t="str">
        <x:v>Coryphaena</x:v>
      </x:c>
      <x:c r="F41" s="24" t="str">
        <x:v>Dolphinfishes</x:v>
      </x:c>
      <x:c r="G41" s="24" t="str">
        <x:v>Large pelagics (&gt;=90 cm)</x:v>
      </x:c>
      <x:c r="H41" s="24" t="str">
        <x:v>Perch-likes</x:v>
      </x:c>
      <x:c r="I41" s="31" t="n">
        <x:v>3.3694319176</x:v>
      </x:c>
      <x:c r="J41" s="31" t="n">
        <x:v>3.3694319176</x:v>
      </x:c>
      <x:c r="K41" s="31" t="n">
        <x:v>0</x:v>
      </x:c>
      <x:c r="L41" s="31" t="n">
        <x:v>3.3694319176</x:v>
      </x:c>
      <x:c r="M41" s="31" t="n">
        <x:v>0</x:v>
      </x:c>
      <x:c r="N41" s="24" t="str">
        <x:v>coryphaena</x:v>
      </x:c>
      <x:c r="O41" s="32" t="n">
        <x:v>4.49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Coryphaena</x:v>
      </x:c>
      <x:c r="T41" s="32" t="n">
        <x:f>IF(O41="","",(1/'Metadata'!$B$5)^(O41-1))</x:f>
        <x:v>3090.295432513592</x:v>
      </x:c>
      <x:c r="U41" s="31" t="n">
        <x:f>IF(T41="","",I41*T41)</x:f>
        <x:v>10412.540065124795</x:v>
      </x:c>
    </x:row>
    <x:row r="42" ht="18" customHeight="1">
      <x:c r="A42" s="24" t="str">
        <x:v>EEZ_952</x:v>
      </x:c>
      <x:c r="B42" s="24" t="str">
        <x:v>Panama (Pacific)</x:v>
      </x:c>
      <x:c r="C42" s="24" t="str">
        <x:v>EEZ</x:v>
      </x:c>
      <x:c r="D42" s="30" t="n">
        <x:v>2019</x:v>
      </x:c>
      <x:c r="E42" s="24" t="str">
        <x:v>Hypanus longus</x:v>
      </x:c>
      <x:c r="F42" s="24" t="str">
        <x:v>Longtail stingray</x:v>
      </x:c>
      <x:c r="G42" s="24" t="str">
        <x:v>Large rays (&gt;=90 cm)</x:v>
      </x:c>
      <x:c r="H42" s="24" t="str">
        <x:v>Sharks &amp; rays</x:v>
      </x:c>
      <x:c r="I42" s="31" t="n">
        <x:v>3.3475564689</x:v>
      </x:c>
      <x:c r="J42" s="31" t="n">
        <x:v>3.3475564689</x:v>
      </x:c>
      <x:c r="K42" s="31" t="n">
        <x:v>0</x:v>
      </x:c>
      <x:c r="L42" s="31" t="n">
        <x:v>1.9631354539</x:v>
      </x:c>
      <x:c r="M42" s="31" t="n">
        <x:v>1.384421015</x:v>
      </x:c>
      <x:c r="N42" s="24" t="str">
        <x:v>hypanus longus</x:v>
      </x:c>
      <x:c r="O42" s="32" t="n">
        <x:v>3.5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Hypanus longus</x:v>
      </x:c>
      <x:c r="T42" s="32" t="n">
        <x:f>IF(O42="","",(1/'Metadata'!$B$5)^(O42-1))</x:f>
        <x:v>316.22776601683796</x:v>
      </x:c>
      <x:c r="U42" s="31" t="n">
        <x:f>IF(T42="","",I42*T42)</x:f>
        <x:v>1058.5903037754615</x:v>
      </x:c>
    </x:row>
    <x:row r="43" ht="18" customHeight="1">
      <x:c r="A43" s="24" t="str">
        <x:v>EEZ_952</x:v>
      </x:c>
      <x:c r="B43" s="24" t="str">
        <x:v>Panama (Pacific)</x:v>
      </x:c>
      <x:c r="C43" s="24" t="str">
        <x:v>EEZ</x:v>
      </x:c>
      <x:c r="D43" s="30" t="n">
        <x:v>2019</x:v>
      </x:c>
      <x:c r="E43" s="24" t="str">
        <x:v>Peprilus</x:v>
      </x:c>
      <x:c r="F43" s="24" t="str">
        <x:v>Harvestfishes</x:v>
      </x:c>
      <x:c r="G43" s="24" t="str">
        <x:v>Small benthopelagics (&lt;30 cm)</x:v>
      </x:c>
      <x:c r="H43" s="24" t="str">
        <x:v>Perch-likes</x:v>
      </x:c>
      <x:c r="I43" s="31" t="n">
        <x:v>2.836790495</x:v>
      </x:c>
      <x:c r="J43" s="31" t="n">
        <x:v>0</x:v>
      </x:c>
      <x:c r="K43" s="31" t="n">
        <x:v>2.836790495</x:v>
      </x:c>
      <x:c r="L43" s="31" t="n">
        <x:v>0</x:v>
      </x:c>
      <x:c r="M43" s="31" t="n">
        <x:v>2.836790495</x:v>
      </x:c>
      <x:c r="N43" s="24" t="str">
        <x:v>peprilus</x:v>
      </x:c>
      <x:c r="O43" s="32" t="n">
        <x:v>3.78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Peprilus</x:v>
      </x:c>
      <x:c r="T43" s="32" t="n">
        <x:f>IF(O43="","",(1/'Metadata'!$B$5)^(O43-1))</x:f>
        <x:v>602.5595860743575</x:v>
      </x:c>
      <x:c r="U43" s="31" t="n">
        <x:f>IF(T43="","",I43*T43)</x:f>
        <x:v>1709.3353064468718</x:v>
      </x:c>
    </x:row>
    <x:row r="44" ht="18" customHeight="1">
      <x:c r="A44" s="24" t="str">
        <x:v>EEZ_952</x:v>
      </x:c>
      <x:c r="B44" s="24" t="str">
        <x:v>Panama (Pacific)</x:v>
      </x:c>
      <x:c r="C44" s="24" t="str">
        <x:v>EEZ</x:v>
      </x:c>
      <x:c r="D44" s="30" t="n">
        <x:v>2019</x:v>
      </x:c>
      <x:c r="E44" s="24" t="str">
        <x:v>Mustelus henlei</x:v>
      </x:c>
      <x:c r="F44" s="24" t="str">
        <x:v>Brown smooth-hound</x:v>
      </x:c>
      <x:c r="G44" s="24" t="str">
        <x:v>Small to medium sharks (&lt;90 cm)</x:v>
      </x:c>
      <x:c r="H44" s="24" t="str">
        <x:v>Sharks &amp; rays</x:v>
      </x:c>
      <x:c r="I44" s="31" t="n">
        <x:v>2.552511808</x:v>
      </x:c>
      <x:c r="J44" s="31" t="n">
        <x:v>2.552511808</x:v>
      </x:c>
      <x:c r="K44" s="31" t="n">
        <x:v>0</x:v>
      </x:c>
      <x:c r="L44" s="31" t="n">
        <x:v>1.496890784</x:v>
      </x:c>
      <x:c r="M44" s="31" t="n">
        <x:v>1.0556210240000001</x:v>
      </x:c>
      <x:c r="N44" s="24" t="str">
        <x:v>mustelus henlei</x:v>
      </x:c>
      <x:c r="O44" s="32" t="n">
        <x:v>3.61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Mustelus henlei</x:v>
      </x:c>
      <x:c r="T44" s="32" t="n">
        <x:f>IF(O44="","",(1/'Metadata'!$B$5)^(O44-1))</x:f>
        <x:v>407.3802778041126</x:v>
      </x:c>
      <x:c r="U44" s="31" t="n">
        <x:f>IF(T44="","",I44*T44)</x:f>
        <x:v>1039.8429694413178</x:v>
      </x:c>
    </x:row>
    <x:row r="45" ht="18" customHeight="1">
      <x:c r="A45" s="24" t="str">
        <x:v>EEZ_952</x:v>
      </x:c>
      <x:c r="B45" s="24" t="str">
        <x:v>Panama (Pacific)</x:v>
      </x:c>
      <x:c r="C45" s="24" t="str">
        <x:v>EEZ</x:v>
      </x:c>
      <x:c r="D45" s="30" t="n">
        <x:v>2019</x:v>
      </x:c>
      <x:c r="E45" s="24" t="str">
        <x:v>Ginglymostoma cirratum</x:v>
      </x:c>
      <x:c r="F45" s="24" t="str">
        <x:v>Nurse shark</x:v>
      </x:c>
      <x:c r="G45" s="24" t="str">
        <x:v>Large sharks (&gt;=90 cm)</x:v>
      </x:c>
      <x:c r="H45" s="24" t="str">
        <x:v>Sharks &amp; rays</x:v>
      </x:c>
      <x:c r="I45" s="31" t="n">
        <x:v>2.4189604689</x:v>
      </x:c>
      <x:c r="J45" s="31" t="n">
        <x:v>2.4189604689</x:v>
      </x:c>
      <x:c r="K45" s="31" t="n">
        <x:v>0</x:v>
      </x:c>
      <x:c r="L45" s="31" t="n">
        <x:v>2.228602579</x:v>
      </x:c>
      <x:c r="M45" s="31" t="n">
        <x:v>0.19035788990000002</x:v>
      </x:c>
      <x:c r="N45" s="24" t="str">
        <x:v>ginglymostoma cirratum</x:v>
      </x:c>
      <x:c r="O45" s="32" t="n">
        <x:v>4.15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Ginglymostoma cirratum</x:v>
      </x:c>
      <x:c r="T45" s="32" t="n">
        <x:f>IF(O45="","",(1/'Metadata'!$B$5)^(O45-1))</x:f>
        <x:v>1412.5375446227554</x:v>
      </x:c>
      <x:c r="U45" s="31" t="n">
        <x:f>IF(T45="","",I45*T45)</x:f>
        <x:v>3416.872481279515</x:v>
      </x:c>
    </x:row>
    <x:row r="46" ht="18" customHeight="1">
      <x:c r="A46" s="24" t="str">
        <x:v>EEZ_952</x:v>
      </x:c>
      <x:c r="B46" s="24" t="str">
        <x:v>Panama (Pacific)</x:v>
      </x:c>
      <x:c r="C46" s="24" t="str">
        <x:v>EEZ</x:v>
      </x:c>
      <x:c r="D46" s="30" t="n">
        <x:v>2019</x:v>
      </x:c>
      <x:c r="E46" s="24" t="str">
        <x:v>Makaira mazara</x:v>
      </x:c>
      <x:c r="F46" s="24" t="str">
        <x:v>Indo-Pacific blue marlin</x:v>
      </x:c>
      <x:c r="G46" s="24" t="str">
        <x:v>Large pelagics (&gt;=90 cm)</x:v>
      </x:c>
      <x:c r="H46" s="24" t="str">
        <x:v>Tuna &amp; billfishes</x:v>
      </x:c>
      <x:c r="I46" s="31" t="n">
        <x:v>2.290588235</x:v>
      </x:c>
      <x:c r="J46" s="31" t="n">
        <x:v>2.290588235</x:v>
      </x:c>
      <x:c r="K46" s="31" t="n">
        <x:v>0</x:v>
      </x:c>
      <x:c r="L46" s="31" t="n">
        <x:v>0</x:v>
      </x:c>
      <x:c r="M46" s="31" t="n">
        <x:v>2.290588235</x:v>
      </x:c>
      <x:c r="N46" s="24" t="str">
        <x:v>makaira mazara</x:v>
      </x:c>
      <x:c r="O46" s="32" t="n">
        <x:v>4.46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Makaira mazara</x:v>
      </x:c>
      <x:c r="T46" s="32" t="n">
        <x:f>IF(O46="","",(1/'Metadata'!$B$5)^(O46-1))</x:f>
        <x:v>2884.031503126606</x:v>
      </x:c>
      <x:c r="U46" s="31" t="n">
        <x:f>IF(T46="","",I46*T46)</x:f>
        <x:v>6606.128630431169</x:v>
      </x:c>
    </x:row>
    <x:row r="47" ht="18" customHeight="1">
      <x:c r="A47" s="24" t="str">
        <x:v>EEZ_952</x:v>
      </x:c>
      <x:c r="B47" s="24" t="str">
        <x:v>Panama (Pacific)</x:v>
      </x:c>
      <x:c r="C47" s="24" t="str">
        <x:v>EEZ</x:v>
      </x:c>
      <x:c r="D47" s="30" t="n">
        <x:v>2019</x:v>
      </x:c>
      <x:c r="E47" s="24" t="str">
        <x:v>Istiophoridae</x:v>
      </x:c>
      <x:c r="F47" s="24" t="str">
        <x:v>Billfishes</x:v>
      </x:c>
      <x:c r="G47" s="24" t="str">
        <x:v>Large pelagics (&gt;=90 cm)</x:v>
      </x:c>
      <x:c r="H47" s="24" t="str">
        <x:v>Tuna &amp; billfishes</x:v>
      </x:c>
      <x:c r="I47" s="31" t="n">
        <x:v>2.1801779069</x:v>
      </x:c>
      <x:c r="J47" s="31" t="n">
        <x:v>2.1801773774999997</x:v>
      </x:c>
      <x:c r="K47" s="31" t="n">
        <x:v>5.294e-7</x:v>
      </x:c>
      <x:c r="L47" s="31" t="n">
        <x:v>2.1801773774999997</x:v>
      </x:c>
      <x:c r="M47" s="31" t="n">
        <x:v>5.294e-7</x:v>
      </x:c>
      <x:c r="N47" s="24" t="str">
        <x:v>istiophoridae</x:v>
      </x:c>
      <x:c r="O47" s="32" t="n">
        <x:v>4.48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Istiophoridae</x:v>
      </x:c>
      <x:c r="T47" s="32" t="n">
        <x:f>IF(O47="","",(1/'Metadata'!$B$5)^(O47-1))</x:f>
        <x:v>3019.951720402019</x:v>
      </x:c>
      <x:c r="U47" s="31" t="n">
        <x:f>IF(T47="","",I47*T47)</x:f>
        <x:v>6584.032020725128</x:v>
      </x:c>
    </x:row>
    <x:row r="48" ht="18" customHeight="1">
      <x:c r="A48" s="24" t="str">
        <x:v>EEZ_952</x:v>
      </x:c>
      <x:c r="B48" s="24" t="str">
        <x:v>Panama (Pacific)</x:v>
      </x:c>
      <x:c r="C48" s="24" t="str">
        <x:v>EEZ</x:v>
      </x:c>
      <x:c r="D48" s="30" t="n">
        <x:v>2019</x:v>
      </x:c>
      <x:c r="E48" s="24" t="str">
        <x:v>Sphyrna</x:v>
      </x:c>
      <x:c r="F48" s="24" t="str">
        <x:v>Hammerhead sharks</x:v>
      </x:c>
      <x:c r="G48" s="24" t="str">
        <x:v>Large sharks (&gt;=90 cm)</x:v>
      </x:c>
      <x:c r="H48" s="24" t="str">
        <x:v>Sharks &amp; rays</x:v>
      </x:c>
      <x:c r="I48" s="31" t="n">
        <x:v>1.987674647</x:v>
      </x:c>
      <x:c r="J48" s="31" t="n">
        <x:v>1.987674647</x:v>
      </x:c>
      <x:c r="K48" s="31" t="n">
        <x:v>0</x:v>
      </x:c>
      <x:c r="L48" s="31" t="n">
        <x:v>1.987674647</x:v>
      </x:c>
      <x:c r="M48" s="31" t="n">
        <x:v>0</x:v>
      </x:c>
      <x:c r="N48" s="24" t="str">
        <x:v>sphyrna</x:v>
      </x:c>
      <x:c r="O48" s="32" t="n">
        <x:v>4.2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Sphyrna</x:v>
      </x:c>
      <x:c r="T48" s="32" t="n">
        <x:f>IF(O48="","",(1/'Metadata'!$B$5)^(O48-1))</x:f>
        <x:v>1584.893192461114</x:v>
      </x:c>
      <x:c r="U48" s="31" t="n">
        <x:f>IF(T48="","",I48*T48)</x:f>
        <x:v>3150.252016857848</x:v>
      </x:c>
    </x:row>
    <x:row r="49" ht="18" customHeight="1">
      <x:c r="A49" s="24" t="str">
        <x:v>EEZ_952</x:v>
      </x:c>
      <x:c r="B49" s="24" t="str">
        <x:v>Panama (Pacific)</x:v>
      </x:c>
      <x:c r="C49" s="24" t="str">
        <x:v>EEZ</x:v>
      </x:c>
      <x:c r="D49" s="30" t="n">
        <x:v>2019</x:v>
      </x:c>
      <x:c r="E49" s="24" t="str">
        <x:v>Galeocerdo cuvier</x:v>
      </x:c>
      <x:c r="F49" s="24" t="str">
        <x:v>Tiger shark</x:v>
      </x:c>
      <x:c r="G49" s="24" t="str">
        <x:v>Large sharks (&gt;=90 cm)</x:v>
      </x:c>
      <x:c r="H49" s="24" t="str">
        <x:v>Sharks &amp; rays</x:v>
      </x:c>
      <x:c r="I49" s="31" t="n">
        <x:v>1.6443938279</x:v>
      </x:c>
      <x:c r="J49" s="31" t="n">
        <x:v>1.6443938279</x:v>
      </x:c>
      <x:c r="K49" s="31" t="n">
        <x:v>0</x:v>
      </x:c>
      <x:c r="L49" s="31" t="n">
        <x:v>1.6270885650000002</x:v>
      </x:c>
      <x:c r="M49" s="31" t="n">
        <x:v>0.0173052629</x:v>
      </x:c>
      <x:c r="N49" s="24" t="str">
        <x:v>galeocerdo cuvier</x:v>
      </x:c>
      <x:c r="O49" s="32" t="n">
        <x:v>4.54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Galeocerdo cuvier</x:v>
      </x:c>
      <x:c r="T49" s="32" t="n">
        <x:f>IF(O49="","",(1/'Metadata'!$B$5)^(O49-1))</x:f>
        <x:v>3467.368504525317</x:v>
      </x:c>
      <x:c r="U49" s="31" t="n">
        <x:f>IF(T49="","",I49*T49)</x:f>
        <x:v>5701.719367896285</x:v>
      </x:c>
    </x:row>
    <x:row r="50" ht="18" customHeight="1">
      <x:c r="A50" s="24" t="str">
        <x:v>EEZ_952</x:v>
      </x:c>
      <x:c r="B50" s="24" t="str">
        <x:v>Panama (Pacific)</x:v>
      </x:c>
      <x:c r="C50" s="24" t="str">
        <x:v>EEZ</x:v>
      </x:c>
      <x:c r="D50" s="30" t="n">
        <x:v>2019</x:v>
      </x:c>
      <x:c r="E50" s="24" t="str">
        <x:v>Sphyrna corona</x:v>
      </x:c>
      <x:c r="F50" s="24" t="str">
        <x:v>Scalloped bonnethead</x:v>
      </x:c>
      <x:c r="G50" s="24" t="str">
        <x:v>Large sharks (&gt;=90 cm)</x:v>
      </x:c>
      <x:c r="H50" s="24" t="str">
        <x:v>Sharks &amp; rays</x:v>
      </x:c>
      <x:c r="I50" s="31" t="n">
        <x:v>1.384421015</x:v>
      </x:c>
      <x:c r="J50" s="31" t="n">
        <x:v>1.384421015</x:v>
      </x:c>
      <x:c r="K50" s="31" t="n">
        <x:v>0</x:v>
      </x:c>
      <x:c r="L50" s="31" t="n">
        <x:v>0</x:v>
      </x:c>
      <x:c r="M50" s="31" t="n">
        <x:v>1.384421015</x:v>
      </x:c>
      <x:c r="N50" s="24" t="str">
        <x:v>sphyrna corona</x:v>
      </x:c>
      <x:c r="O50" s="32" t="n">
        <x:v>3.88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Sphyrna corona</x:v>
      </x:c>
      <x:c r="T50" s="32" t="n">
        <x:f>IF(O50="","",(1/'Metadata'!$B$5)^(O50-1))</x:f>
        <x:v>758.5775750291835</x:v>
      </x:c>
      <x:c r="U50" s="31" t="n">
        <x:f>IF(T50="","",I50*T50)</x:f>
        <x:v>1050.190736378141</x:v>
      </x:c>
    </x:row>
    <x:row r="51" ht="18" customHeight="1">
      <x:c r="A51" s="24" t="str">
        <x:v>EEZ_952</x:v>
      </x:c>
      <x:c r="B51" s="24" t="str">
        <x:v>Panama (Pacific)</x:v>
      </x:c>
      <x:c r="C51" s="24" t="str">
        <x:v>EEZ</x:v>
      </x:c>
      <x:c r="D51" s="30" t="n">
        <x:v>2019</x:v>
      </x:c>
      <x:c r="E51" s="24" t="str">
        <x:v>Xiphias gladius</x:v>
      </x:c>
      <x:c r="F51" s="24" t="str">
        <x:v>Swordfish</x:v>
      </x:c>
      <x:c r="G51" s="24" t="str">
        <x:v>Large pelagics (&gt;=90 cm)</x:v>
      </x:c>
      <x:c r="H51" s="24" t="str">
        <x:v>Tuna &amp; billfishes</x:v>
      </x:c>
      <x:c r="I51" s="31" t="n">
        <x:v>0.8939519468</x:v>
      </x:c>
      <x:c r="J51" s="31" t="n">
        <x:v>0.8771001688</x:v>
      </x:c>
      <x:c r="K51" s="31" t="n">
        <x:v>0.016851778</x:v>
      </x:c>
      <x:c r="L51" s="31" t="n">
        <x:v>0.8771001688</x:v>
      </x:c>
      <x:c r="M51" s="31" t="n">
        <x:v>0.016851778</x:v>
      </x:c>
      <x:c r="N51" s="24" t="str">
        <x:v>xiphias gladius</x:v>
      </x:c>
      <x:c r="O51" s="32" t="n">
        <x:v>4.53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Xiphias gladius</x:v>
      </x:c>
      <x:c r="T51" s="32" t="n">
        <x:f>IF(O51="","",(1/'Metadata'!$B$5)^(O51-1))</x:f>
        <x:v>3388.4415613920273</x:v>
      </x:c>
      <x:c r="U51" s="31" t="n">
        <x:f>IF(T51="","",I51*T51)</x:f>
        <x:v>3029.1039304244346</x:v>
      </x:c>
    </x:row>
    <x:row r="52" ht="18" customHeight="1">
      <x:c r="A52" s="24" t="str">
        <x:v>EEZ_952</x:v>
      </x:c>
      <x:c r="B52" s="24" t="str">
        <x:v>Panama (Pacific)</x:v>
      </x:c>
      <x:c r="C52" s="24" t="str">
        <x:v>EEZ</x:v>
      </x:c>
      <x:c r="D52" s="30" t="n">
        <x:v>2019</x:v>
      </x:c>
      <x:c r="E52" s="24" t="str">
        <x:v>Marine pelagic fishes not identified</x:v>
      </x:c>
      <x:c r="F52" s="24" t="str">
        <x:v>Pelagic fishes</x:v>
      </x:c>
      <x:c r="G52" s="24" t="str">
        <x:v>Medium pelagics (30 - 89 cm)</x:v>
      </x:c>
      <x:c r="H52" s="24" t="str">
        <x:v>Other fishes &amp; inverts</x:v>
      </x:c>
      <x:c r="I52" s="31" t="n">
        <x:v>0.7610531476</x:v>
      </x:c>
      <x:c r="J52" s="31" t="n">
        <x:v>0.7610531476</x:v>
      </x:c>
      <x:c r="K52" s="31" t="n">
        <x:v>0</x:v>
      </x:c>
      <x:c r="L52" s="31" t="n">
        <x:v>0.7610531476</x:v>
      </x:c>
      <x:c r="M52" s="31" t="n">
        <x:v>0</x:v>
      </x:c>
      <x:c r="N52" s="24" t="str">
        <x:v>marine pelagic fishes not identified</x:v>
      </x:c>
      <x:c r="O52" s="32" t="n">
        <x:v>3.35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pelagic fishes not identified</x:v>
      </x:c>
      <x:c r="T52" s="32" t="n">
        <x:f>IF(O52="","",(1/'Metadata'!$B$5)^(O52-1))</x:f>
        <x:v>223.872113856834</x:v>
      </x:c>
      <x:c r="U52" s="31" t="n">
        <x:f>IF(T52="","",I52*T52)</x:f>
        <x:v>170.3785769106091</x:v>
      </x:c>
    </x:row>
    <x:row r="53" ht="18" customHeight="1">
      <x:c r="A53" s="24" t="str">
        <x:v>EEZ_952</x:v>
      </x:c>
      <x:c r="B53" s="24" t="str">
        <x:v>Panama (Pacific)</x:v>
      </x:c>
      <x:c r="C53" s="24" t="str">
        <x:v>EEZ</x:v>
      </x:c>
      <x:c r="D53" s="30" t="n">
        <x:v>2019</x:v>
      </x:c>
      <x:c r="E53" s="24" t="str">
        <x:v>Merluccius</x:v>
      </x:c>
      <x:c r="F53" s="24" t="str">
        <x:v>Hakes</x:v>
      </x:c>
      <x:c r="G53" s="24" t="str">
        <x:v>Medium bathydemersals (30 - 89 cm)</x:v>
      </x:c>
      <x:c r="H53" s="24" t="str">
        <x:v>Cod-likes</x:v>
      </x:c>
      <x:c r="I53" s="31" t="n">
        <x:v>0.709197624</x:v>
      </x:c>
      <x:c r="J53" s="31" t="n">
        <x:v>0</x:v>
      </x:c>
      <x:c r="K53" s="31" t="n">
        <x:v>0.709197624</x:v>
      </x:c>
      <x:c r="L53" s="31" t="n">
        <x:v>0</x:v>
      </x:c>
      <x:c r="M53" s="31" t="n">
        <x:v>0.709197624</x:v>
      </x:c>
      <x:c r="N53" s="24" t="str">
        <x:v>merluccius</x:v>
      </x:c>
      <x:c r="O53" s="32" t="n">
        <x:v>4.27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Merluccius</x:v>
      </x:c>
      <x:c r="T53" s="32" t="n">
        <x:f>IF(O53="","",(1/'Metadata'!$B$5)^(O53-1))</x:f>
        <x:v>1862.0871366628655</x:v>
      </x:c>
      <x:c r="U53" s="31" t="n">
        <x:f>IF(T53="","",I53*T53)</x:f>
        <x:v>1320.5877730022676</x:v>
      </x:c>
    </x:row>
    <x:row r="54" ht="18" customHeight="1">
      <x:c r="A54" s="24" t="str">
        <x:v>EEZ_952</x:v>
      </x:c>
      <x:c r="B54" s="24" t="str">
        <x:v>Panama (Pacific)</x:v>
      </x:c>
      <x:c r="C54" s="24" t="str">
        <x:v>EEZ</x:v>
      </x:c>
      <x:c r="D54" s="30" t="n">
        <x:v>2019</x:v>
      </x:c>
      <x:c r="E54" s="24" t="str">
        <x:v>Carcharhinus leucas</x:v>
      </x:c>
      <x:c r="F54" s="24" t="str">
        <x:v>Bull shark</x:v>
      </x:c>
      <x:c r="G54" s="24" t="str">
        <x:v>Large sharks (&gt;=90 cm)</x:v>
      </x:c>
      <x:c r="H54" s="24" t="str">
        <x:v>Sharks &amp; rays</x:v>
      </x:c>
      <x:c r="I54" s="31" t="n">
        <x:v>0.585822382</x:v>
      </x:c>
      <x:c r="J54" s="31" t="n">
        <x:v>0.585822382</x:v>
      </x:c>
      <x:c r="K54" s="31" t="n">
        <x:v>0</x:v>
      </x:c>
      <x:c r="L54" s="31" t="n">
        <x:v>0.3435487041</x:v>
      </x:c>
      <x:c r="M54" s="31" t="n">
        <x:v>0.2422736779</x:v>
      </x:c>
      <x:c r="N54" s="24" t="str">
        <x:v>carcharhinus leucas</x:v>
      </x:c>
      <x:c r="O54" s="32" t="n">
        <x:v>4.31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Carcharhinus leucas</x:v>
      </x:c>
      <x:c r="T54" s="32" t="n">
        <x:f>IF(O54="","",(1/'Metadata'!$B$5)^(O54-1))</x:f>
        <x:v>2041.7379446695275</x:v>
      </x:c>
      <x:c r="U54" s="31" t="n">
        <x:f>IF(T54="","",I54*T54)</x:f>
        <x:v>1196.0957861660868</x:v>
      </x:c>
    </x:row>
    <x:row r="55" ht="18" customHeight="1">
      <x:c r="A55" s="24" t="str">
        <x:v>EEZ_952</x:v>
      </x:c>
      <x:c r="B55" s="24" t="str">
        <x:v>Panama (Pacific)</x:v>
      </x:c>
      <x:c r="C55" s="24" t="str">
        <x:v>EEZ</x:v>
      </x:c>
      <x:c r="D55" s="30" t="n">
        <x:v>2019</x:v>
      </x:c>
      <x:c r="E55" s="24" t="str">
        <x:v>Sphyrna tiburo</x:v>
      </x:c>
      <x:c r="F55" s="24" t="str">
        <x:v>Bonnethead</x:v>
      </x:c>
      <x:c r="G55" s="24" t="str">
        <x:v>Large sharks (&gt;=90 cm)</x:v>
      </x:c>
      <x:c r="H55" s="24" t="str">
        <x:v>Sharks &amp; rays</x:v>
      </x:c>
      <x:c r="I55" s="31" t="n">
        <x:v>0.5021334701</x:v>
      </x:c>
      <x:c r="J55" s="31" t="n">
        <x:v>0.5021334701</x:v>
      </x:c>
      <x:c r="K55" s="31" t="n">
        <x:v>0</x:v>
      </x:c>
      <x:c r="L55" s="31" t="n">
        <x:v>0.2944703181</x:v>
      </x:c>
      <x:c r="M55" s="31" t="n">
        <x:v>0.20766315200000002</x:v>
      </x:c>
      <x:c r="N55" s="24" t="str">
        <x:v>sphyrna tiburo</x:v>
      </x:c>
      <x:c r="O55" s="32" t="n">
        <x:v>3.88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Sphyrna tiburo</x:v>
      </x:c>
      <x:c r="T55" s="32" t="n">
        <x:f>IF(O55="","",(1/'Metadata'!$B$5)^(O55-1))</x:f>
        <x:v>758.5775750291835</x:v>
      </x:c>
      <x:c r="U55" s="31" t="n">
        <x:f>IF(T55="","",I55*T55)</x:f>
        <x:v>380.90719008944706</x:v>
      </x:c>
    </x:row>
    <x:row r="56" ht="18" customHeight="1">
      <x:c r="A56" s="24" t="str">
        <x:v>EEZ_952</x:v>
      </x:c>
      <x:c r="B56" s="24" t="str">
        <x:v>Panama (Pacific)</x:v>
      </x:c>
      <x:c r="C56" s="24" t="str">
        <x:v>EEZ</x:v>
      </x:c>
      <x:c r="D56" s="30" t="n">
        <x:v>2019</x:v>
      </x:c>
      <x:c r="E56" s="24" t="str">
        <x:v>Nasolamia velox</x:v>
      </x:c>
      <x:c r="F56" s="24" t="str">
        <x:v>Whitenose shark</x:v>
      </x:c>
      <x:c r="G56" s="24" t="str">
        <x:v>Large sharks (&gt;=90 cm)</x:v>
      </x:c>
      <x:c r="H56" s="24" t="str">
        <x:v>Sharks &amp; rays</x:v>
      </x:c>
      <x:c r="I56" s="31" t="n">
        <x:v>0.4672420931</x:v>
      </x:c>
      <x:c r="J56" s="31" t="n">
        <x:v>0.4672420931</x:v>
      </x:c>
      <x:c r="K56" s="31" t="n">
        <x:v>0</x:v>
      </x:c>
      <x:c r="L56" s="31" t="n">
        <x:v>0</x:v>
      </x:c>
      <x:c r="M56" s="31" t="n">
        <x:v>0.4672420931</x:v>
      </x:c>
      <x:c r="N56" s="24" t="str">
        <x:v>nasolamia velox</x:v>
      </x:c>
      <x:c r="O56" s="32" t="n">
        <x:v>4.18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Nasolamia velox</x:v>
      </x:c>
      <x:c r="T56" s="32" t="n">
        <x:f>IF(O56="","",(1/'Metadata'!$B$5)^(O56-1))</x:f>
        <x:v>1513.5612484362073</x:v>
      </x:c>
      <x:c r="U56" s="31" t="n">
        <x:f>IF(T56="","",I56*T56)</x:f>
        <x:v>707.1995257543825</x:v>
      </x:c>
    </x:row>
    <x:row r="57" ht="18" customHeight="1">
      <x:c r="A57" s="24" t="str">
        <x:v>EEZ_952</x:v>
      </x:c>
      <x:c r="B57" s="24" t="str">
        <x:v>Panama (Pacific)</x:v>
      </x:c>
      <x:c r="C57" s="24" t="str">
        <x:v>EEZ</x:v>
      </x:c>
      <x:c r="D57" s="30" t="n">
        <x:v>2019</x:v>
      </x:c>
      <x:c r="E57" s="24" t="str">
        <x:v>Dasyatis</x:v>
      </x:c>
      <x:c r="F57" s="24" t="str">
        <x:v>Rough whip stingrays</x:v>
      </x:c>
      <x:c r="G57" s="24" t="str">
        <x:v>Large rays (&gt;=90 cm)</x:v>
      </x:c>
      <x:c r="H57" s="24" t="str">
        <x:v>Sharks &amp; rays</x:v>
      </x:c>
      <x:c r="I57" s="31" t="n">
        <x:v>0.4184445591</x:v>
      </x:c>
      <x:c r="J57" s="31" t="n">
        <x:v>0.4184445591</x:v>
      </x:c>
      <x:c r="K57" s="31" t="n">
        <x:v>0</x:v>
      </x:c>
      <x:c r="L57" s="31" t="n">
        <x:v>0.24539193210000002</x:v>
      </x:c>
      <x:c r="M57" s="31" t="n">
        <x:v>0.17305262700000001</x:v>
      </x:c>
      <x:c r="N57" s="24" t="str">
        <x:v>dasyatis</x:v>
      </x:c>
      <x:c r="O57" s="32" t="n">
        <x:v>3.28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Dasyatis</x:v>
      </x:c>
      <x:c r="T57" s="32" t="n">
        <x:f>IF(O57="","",(1/'Metadata'!$B$5)^(O57-1))</x:f>
        <x:v>190.54607179632464</x:v>
      </x:c>
      <x:c r="U57" s="31" t="n">
        <x:f>IF(T57="","",I57*T57)</x:f>
        <x:v>79.73296700105001</x:v>
      </x:c>
    </x:row>
    <x:row r="58" ht="18" customHeight="1">
      <x:c r="A58" s="24" t="str">
        <x:v>EEZ_952</x:v>
      </x:c>
      <x:c r="B58" s="24" t="str">
        <x:v>Panama (Pacific)</x:v>
      </x:c>
      <x:c r="C58" s="24" t="str">
        <x:v>EEZ</x:v>
      </x:c>
      <x:c r="D58" s="30" t="n">
        <x:v>2019</x:v>
      </x:c>
      <x:c r="E58" s="24" t="str">
        <x:v>Carcharhinus galapagensis</x:v>
      </x:c>
      <x:c r="F58" s="24" t="str">
        <x:v>Galapagos shark</x:v>
      </x:c>
      <x:c r="G58" s="24" t="str">
        <x:v>Large sharks (&gt;=90 cm)</x:v>
      </x:c>
      <x:c r="H58" s="24" t="str">
        <x:v>Sharks &amp; rays</x:v>
      </x:c>
      <x:c r="I58" s="31" t="n">
        <x:v>0.33475564719999995</x:v>
      </x:c>
      <x:c r="J58" s="31" t="n">
        <x:v>0.33475564719999995</x:v>
      </x:c>
      <x:c r="K58" s="31" t="n">
        <x:v>0</x:v>
      </x:c>
      <x:c r="L58" s="31" t="n">
        <x:v>0.1963135451</x:v>
      </x:c>
      <x:c r="M58" s="31" t="n">
        <x:v>0.1384421021</x:v>
      </x:c>
      <x:c r="N58" s="24" t="str">
        <x:v>carcharhinus galapagensis</x:v>
      </x:c>
      <x:c r="O58" s="32" t="n">
        <x:v>4.23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Carcharhinus galapagensis</x:v>
      </x:c>
      <x:c r="T58" s="32" t="n">
        <x:f>IF(O58="","",(1/'Metadata'!$B$5)^(O58-1))</x:f>
        <x:v>1698.243652461746</x:v>
      </x:c>
      <x:c r="U58" s="31" t="n">
        <x:f>IF(T58="","",I58*T58)</x:f>
        <x:v>568.4966529831236</x:v>
      </x:c>
    </x:row>
    <x:row r="59" ht="18" customHeight="1">
      <x:c r="A59" s="24" t="str">
        <x:v>EEZ_952</x:v>
      </x:c>
      <x:c r="B59" s="24" t="str">
        <x:v>Panama (Pacific)</x:v>
      </x:c>
      <x:c r="C59" s="24" t="str">
        <x:v>EEZ</x:v>
      </x:c>
      <x:c r="D59" s="30" t="n">
        <x:v>2019</x:v>
      </x:c>
      <x:c r="E59" s="24" t="str">
        <x:v>Tetrapturus angustirostris</x:v>
      </x:c>
      <x:c r="F59" s="24" t="str">
        <x:v>Shortbill spearfish</x:v>
      </x:c>
      <x:c r="G59" s="24" t="str">
        <x:v>Large pelagics (&gt;=90 cm)</x:v>
      </x:c>
      <x:c r="H59" s="24" t="str">
        <x:v>Tuna &amp; billfishes</x:v>
      </x:c>
      <x:c r="I59" s="31" t="n">
        <x:v>0.2858531613</x:v>
      </x:c>
      <x:c r="J59" s="31" t="n">
        <x:v>0.2858531613</x:v>
      </x:c>
      <x:c r="K59" s="31" t="n">
        <x:v>0</x:v>
      </x:c>
      <x:c r="L59" s="31" t="n">
        <x:v>0.2858531613</x:v>
      </x:c>
      <x:c r="M59" s="31" t="n">
        <x:v>0</x:v>
      </x:c>
      <x:c r="N59" s="24" t="str">
        <x:v>tetrapturus angustirostris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Tetrapturus angustirostris</x:v>
      </x:c>
      <x:c r="T59" s="32" t="n">
        <x:f>IF(O59="","",(1/'Metadata'!$B$5)^(O59-1))</x:f>
        <x:v>3162.2776601683795</x:v>
      </x:c>
      <x:c r="U59" s="31" t="n">
        <x:f>IF(T59="","",I59*T59)</x:f>
        <x:v>903.9470660674983</x:v>
      </x:c>
    </x:row>
    <x:row r="60" ht="18" customHeight="1">
      <x:c r="A60" s="24" t="str">
        <x:v>EEZ_952</x:v>
      </x:c>
      <x:c r="B60" s="24" t="str">
        <x:v>Panama (Pacific)</x:v>
      </x:c>
      <x:c r="C60" s="24" t="str">
        <x:v>EEZ</x:v>
      </x:c>
      <x:c r="D60" s="30" t="n">
        <x:v>2019</x:v>
      </x:c>
      <x:c r="E60" s="24" t="str">
        <x:v>Scombridae</x:v>
      </x:c>
      <x:c r="F60" s="24" t="str">
        <x:v>Mackerels, tunas, bonitos</x:v>
      </x:c>
      <x:c r="G60" s="24" t="str">
        <x:v>Medium pelagics (30 - 89 cm)</x:v>
      </x:c>
      <x:c r="H60" s="24" t="str">
        <x:v>Perch-likes</x:v>
      </x:c>
      <x:c r="I60" s="31" t="n">
        <x:v>0.0842706921</x:v>
      </x:c>
      <x:c r="J60" s="31" t="n">
        <x:v>0</x:v>
      </x:c>
      <x:c r="K60" s="31" t="n">
        <x:v>0.0842706921</x:v>
      </x:c>
      <x:c r="L60" s="31" t="n">
        <x:v>0</x:v>
      </x:c>
      <x:c r="M60" s="31" t="n">
        <x:v>0.0842706921</x:v>
      </x:c>
      <x:c r="N60" s="24" t="str">
        <x:v>scombridae</x:v>
      </x:c>
      <x:c r="O60" s="32" t="n">
        <x:v>4.26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Scombridae</x:v>
      </x:c>
      <x:c r="T60" s="32" t="n">
        <x:f>IF(O60="","",(1/'Metadata'!$B$5)^(O60-1))</x:f>
        <x:v>1819.7008586099826</x:v>
      </x:c>
      <x:c r="U60" s="31" t="n">
        <x:f>IF(T60="","",I60*T60)</x:f>
        <x:v>153.34745077002748</x:v>
      </x:c>
    </x:row>
    <x:row r="61" ht="18" customHeight="1">
      <x:c r="A61" s="24" t="str">
        <x:v>EEZ_952</x:v>
      </x:c>
      <x:c r="B61" s="24" t="str">
        <x:v>Panama (Pacific)</x:v>
      </x:c>
      <x:c r="C61" s="24" t="str">
        <x:v>EEZ</x:v>
      </x:c>
      <x:c r="D61" s="30" t="n">
        <x:v>2019</x:v>
      </x:c>
      <x:c r="E61" s="24" t="str">
        <x:v>Carcharhinus obscurus</x:v>
      </x:c>
      <x:c r="F61" s="24" t="str">
        <x:v>Dusky shark</x:v>
      </x:c>
      <x:c r="G61" s="24" t="str">
        <x:v>Large sharks (&gt;=90 cm)</x:v>
      </x:c>
      <x:c r="H61" s="24" t="str">
        <x:v>Sharks &amp; rays</x:v>
      </x:c>
      <x:c r="I61" s="31" t="n">
        <x:v>0.0836889111</x:v>
      </x:c>
      <x:c r="J61" s="31" t="n">
        <x:v>0.0836889111</x:v>
      </x:c>
      <x:c r="K61" s="31" t="n">
        <x:v>0</x:v>
      </x:c>
      <x:c r="L61" s="31" t="n">
        <x:v>0.049078386</x:v>
      </x:c>
      <x:c r="M61" s="31" t="n">
        <x:v>0.0346105251</x:v>
      </x:c>
      <x:c r="N61" s="24" t="str">
        <x:v>carcharhinus obscurus</x:v>
      </x:c>
      <x:c r="O61" s="32" t="n">
        <x:v>4.28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Carcharhinus obscurus</x:v>
      </x:c>
      <x:c r="T61" s="32" t="n">
        <x:f>IF(O61="","",(1/'Metadata'!$B$5)^(O61-1))</x:f>
        <x:v>1905.4607179632483</x:v>
      </x:c>
      <x:c r="U61" s="31" t="n">
        <x:f>IF(T61="","",I61*T61)</x:f>
        <x:v>159.46593263016845</x:v>
      </x:c>
    </x:row>
    <x:row r="62" ht="18" customHeight="1">
      <x:c r="A62" s="24" t="str">
        <x:v>EEZ_952</x:v>
      </x:c>
      <x:c r="B62" s="24" t="str">
        <x:v>Panama (Pacific)</x:v>
      </x:c>
      <x:c r="C62" s="24" t="str">
        <x:v>EEZ</x:v>
      </x:c>
      <x:c r="D62" s="30" t="n">
        <x:v>2019</x:v>
      </x:c>
      <x:c r="E62" s="24" t="str">
        <x:v>Sphyrna zygaena</x:v>
      </x:c>
      <x:c r="F62" s="24" t="str">
        <x:v>Smooth hammerhead</x:v>
      </x:c>
      <x:c r="G62" s="24" t="str">
        <x:v>Large sharks (&gt;=90 cm)</x:v>
      </x:c>
      <x:c r="H62" s="24" t="str">
        <x:v>Sharks &amp; rays</x:v>
      </x:c>
      <x:c r="I62" s="31" t="n">
        <x:v>0.0836889111</x:v>
      </x:c>
      <x:c r="J62" s="31" t="n">
        <x:v>0.0836889111</x:v>
      </x:c>
      <x:c r="K62" s="31" t="n">
        <x:v>0</x:v>
      </x:c>
      <x:c r="L62" s="31" t="n">
        <x:v>0.049078386</x:v>
      </x:c>
      <x:c r="M62" s="31" t="n">
        <x:v>0.0346105251</x:v>
      </x:c>
      <x:c r="N62" s="24" t="str">
        <x:v>sphyrna zygaena</x:v>
      </x:c>
      <x:c r="O62" s="32" t="n">
        <x:v>4.94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Sphyrna zygaena</x:v>
      </x:c>
      <x:c r="T62" s="32" t="n">
        <x:f>IF(O62="","",(1/'Metadata'!$B$5)^(O62-1))</x:f>
        <x:v>8709.635899560813</x:v>
      </x:c>
      <x:c r="U62" s="31" t="n">
        <x:f>IF(T62="","",I62*T62)</x:f>
        <x:v>728.8999445117134</x:v>
      </x:c>
    </x:row>
    <x:row r="63" ht="18" customHeight="1">
      <x:c r="A63" s="24" t="str">
        <x:v>EEZ_952</x:v>
      </x:c>
      <x:c r="B63" s="24" t="str">
        <x:v>Panama (Pacific)</x:v>
      </x:c>
      <x:c r="C63" s="24" t="str">
        <x:v>EEZ</x:v>
      </x:c>
      <x:c r="D63" s="30" t="n">
        <x:v>2019</x:v>
      </x:c>
      <x:c r="E63" s="24" t="str">
        <x:v>Thunnus obesus</x:v>
      </x:c>
      <x:c r="F63" s="24" t="str">
        <x:v>Bigeye tuna</x:v>
      </x:c>
      <x:c r="G63" s="24" t="str">
        <x:v>Large pelagics (&gt;=90 cm)</x:v>
      </x:c>
      <x:c r="H63" s="24" t="str">
        <x:v>Tuna &amp; billfishes</x:v>
      </x:c>
      <x:c r="I63" s="31" t="n">
        <x:v>0.06722743319999999</x:v>
      </x:c>
      <x:c r="J63" s="31" t="n">
        <x:v>0.06720566139999999</x:v>
      </x:c>
      <x:c r="K63" s="31" t="n">
        <x:v>0.0000217718</x:v>
      </x:c>
      <x:c r="L63" s="31" t="n">
        <x:v>0.06720566139999999</x:v>
      </x:c>
      <x:c r="M63" s="31" t="n">
        <x:v>0.0000217718</x:v>
      </x:c>
      <x:c r="N63" s="24" t="str">
        <x:v>thunnus obesus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obesus</x:v>
      </x:c>
      <x:c r="T63" s="32" t="n">
        <x:f>IF(O63="","",(1/'Metadata'!$B$5)^(O63-1))</x:f>
        <x:v>3090.295432513592</x:v>
      </x:c>
      <x:c r="U63" s="31" t="n">
        <x:f>IF(T63="","",I63*T63)</x:f>
        <x:v>207.75262975757258</x:v>
      </x:c>
    </x:row>
    <x:row r="64" ht="18" customHeight="1">
      <x:c r="A64" s="24" t="str">
        <x:v>EEZ_952</x:v>
      </x:c>
      <x:c r="B64" s="24" t="str">
        <x:v>Panama (Pacific)</x:v>
      </x:c>
      <x:c r="C64" s="24" t="str">
        <x:v>EEZ</x:v>
      </x:c>
      <x:c r="D64" s="30" t="n">
        <x:v>2019</x:v>
      </x:c>
      <x:c r="E64" s="24" t="str">
        <x:v>Alopias superciliosus</x:v>
      </x:c>
      <x:c r="F64" s="24" t="str">
        <x:v>Bigeye thresher</x:v>
      </x:c>
      <x:c r="G64" s="24" t="str">
        <x:v>Large sharks (&gt;=90 cm)</x:v>
      </x:c>
      <x:c r="H64" s="24" t="str">
        <x:v>Sharks &amp; rays</x:v>
      </x:c>
      <x:c r="I64" s="31" t="n">
        <x:v>0.0418444559</x:v>
      </x:c>
      <x:c r="J64" s="31" t="n">
        <x:v>0.0418444559</x:v>
      </x:c>
      <x:c r="K64" s="31" t="n">
        <x:v>0</x:v>
      </x:c>
      <x:c r="L64" s="31" t="n">
        <x:v>0.024539193</x:v>
      </x:c>
      <x:c r="M64" s="31" t="n">
        <x:v>0.0173052629</x:v>
      </x:c>
      <x:c r="N64" s="24" t="str">
        <x:v>alopias superciliosus</x:v>
      </x:c>
      <x:c r="O64" s="32" t="n">
        <x:v>4.51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Alopias superciliosus</x:v>
      </x:c>
      <x:c r="T64" s="32" t="n">
        <x:f>IF(O64="","",(1/'Metadata'!$B$5)^(O64-1))</x:f>
        <x:v>3235.936569296281</x:v>
      </x:c>
      <x:c r="U64" s="31" t="n">
        <x:f>IF(T64="","",I64*T64)</x:f>
        <x:v>135.40600506911554</x:v>
      </x:c>
    </x:row>
    <x:row r="65" ht="18" customHeight="1">
      <x:c r="A65" s="24" t="str">
        <x:v>EEZ_952</x:v>
      </x:c>
      <x:c r="B65" s="24" t="str">
        <x:v>Panama (Pacific)</x:v>
      </x:c>
      <x:c r="C65" s="24" t="str">
        <x:v>EEZ</x:v>
      </x:c>
      <x:c r="D65" s="30" t="n">
        <x:v>2019</x:v>
      </x:c>
      <x:c r="E65" s="24" t="str">
        <x:v>Galeorhinus galeus</x:v>
      </x:c>
      <x:c r="F65" s="24" t="str">
        <x:v>Tope shark</x:v>
      </x:c>
      <x:c r="G65" s="24" t="str">
        <x:v>Large sharks (&gt;=90 cm)</x:v>
      </x:c>
      <x:c r="H65" s="24" t="str">
        <x:v>Sharks &amp; rays</x:v>
      </x:c>
      <x:c r="I65" s="31" t="n">
        <x:v>0.0418444559</x:v>
      </x:c>
      <x:c r="J65" s="31" t="n">
        <x:v>0.0418444559</x:v>
      </x:c>
      <x:c r="K65" s="31" t="n">
        <x:v>0</x:v>
      </x:c>
      <x:c r="L65" s="31" t="n">
        <x:v>0.024539193</x:v>
      </x:c>
      <x:c r="M65" s="31" t="n">
        <x:v>0.0173052629</x:v>
      </x:c>
      <x:c r="N65" s="24" t="str">
        <x:v>galeorhinus galeus</x:v>
      </x:c>
      <x:c r="O65" s="32" t="n">
        <x:v>4.34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Galeorhinus galeus</x:v>
      </x:c>
      <x:c r="T65" s="32" t="n">
        <x:f>IF(O65="","",(1/'Metadata'!$B$5)^(O65-1))</x:f>
        <x:v>2187.761623949552</x:v>
      </x:c>
      <x:c r="U65" s="31" t="n">
        <x:f>IF(T65="","",I65*T65)</x:f>
        <x:v>91.54569479306942</x:v>
      </x:c>
    </x:row>
    <x:row r="66" ht="18" customHeight="1">
      <x:c r="A66" s="24" t="str">
        <x:v>EEZ_952</x:v>
      </x:c>
      <x:c r="B66" s="24" t="str">
        <x:v>Panama (Pacific)</x:v>
      </x:c>
      <x:c r="C66" s="24" t="str">
        <x:v>EEZ</x:v>
      </x:c>
      <x:c r="D66" s="30" t="n">
        <x:v>2019</x:v>
      </x:c>
      <x:c r="E66" s="24" t="str">
        <x:v>Sphyrna media</x:v>
      </x:c>
      <x:c r="F66" s="24" t="str">
        <x:v>Scoophead</x:v>
      </x:c>
      <x:c r="G66" s="24" t="str">
        <x:v>Large sharks (&gt;=90 cm)</x:v>
      </x:c>
      <x:c r="H66" s="24" t="str">
        <x:v>Sharks &amp; rays</x:v>
      </x:c>
      <x:c r="I66" s="31" t="n">
        <x:v>0.0173052629</x:v>
      </x:c>
      <x:c r="J66" s="31" t="n">
        <x:v>0.0173052629</x:v>
      </x:c>
      <x:c r="K66" s="31" t="n">
        <x:v>0</x:v>
      </x:c>
      <x:c r="L66" s="31" t="n">
        <x:v>0</x:v>
      </x:c>
      <x:c r="M66" s="31" t="n">
        <x:v>0.0173052629</x:v>
      </x:c>
      <x:c r="N66" s="24" t="str">
        <x:v>sphyrna media</x:v>
      </x:c>
      <x:c r="O66" s="32" t="n">
        <x:v>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Sphyrna media</x:v>
      </x:c>
      <x:c r="T66" s="32" t="n">
        <x:f>IF(O66="","",(1/'Metadata'!$B$5)^(O66-1))</x:f>
        <x:v>1000</x:v>
      </x:c>
      <x:c r="U66" s="31" t="n">
        <x:f>IF(T66="","",I66*T66)</x:f>
        <x:v>17.3052629</x:v>
      </x:c>
    </x:row>
    <x:row r="67" ht="18" customHeight="1">
      <x:c r="A67" s="24" t="str">
        <x:v>EEZ_952</x:v>
      </x:c>
      <x:c r="B67" s="24" t="str">
        <x:v>Panama (Pacific)</x:v>
      </x:c>
      <x:c r="C67" s="24" t="str">
        <x:v>EEZ</x:v>
      </x:c>
      <x:c r="D67" s="30" t="n">
        <x:v>2019</x:v>
      </x:c>
      <x:c r="E67" s="24" t="str">
        <x:v>Isurus</x:v>
      </x:c>
      <x:c r="F67" s="24" t="str">
        <x:v>Mako sharks</x:v>
      </x:c>
      <x:c r="G67" s="24" t="str">
        <x:v>Large sharks (&gt;=90 cm)</x:v>
      </x:c>
      <x:c r="H67" s="24" t="str">
        <x:v>Sharks &amp; rays</x:v>
      </x:c>
      <x:c r="I67" s="31" t="n">
        <x:v>0.0169538935</x:v>
      </x:c>
      <x:c r="J67" s="31" t="n">
        <x:v>0</x:v>
      </x:c>
      <x:c r="K67" s="31" t="n">
        <x:v>0.0169538935</x:v>
      </x:c>
      <x:c r="L67" s="31" t="n">
        <x:v>0</x:v>
      </x:c>
      <x:c r="M67" s="31" t="n">
        <x:v>0.0169538935</x:v>
      </x:c>
      <x:c r="N67" s="24" t="str">
        <x:v>isurus</x:v>
      </x:c>
      <x:c r="O67" s="32" t="n">
        <x:v>4.5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Isurus</x:v>
      </x:c>
      <x:c r="T67" s="32" t="n">
        <x:f>IF(O67="","",(1/'Metadata'!$B$5)^(O67-1))</x:f>
        <x:v>3162.2776601683795</x:v>
      </x:c>
      <x:c r="U67" s="31" t="n">
        <x:f>IF(T67="","",I67*T67)</x:f>
        <x:v>53.6129186679239</x:v>
      </x:c>
    </x:row>
    <x:row r="68" ht="18" customHeight="1">
      <x:c r="A68" s="24" t="str">
        <x:v>EEZ_952</x:v>
      </x:c>
      <x:c r="B68" s="24" t="str">
        <x:v>Panama (Pacific)</x:v>
      </x:c>
      <x:c r="C68" s="24" t="str">
        <x:v>EEZ</x:v>
      </x:c>
      <x:c r="D68" s="30" t="n">
        <x:v>2019</x:v>
      </x:c>
      <x:c r="E68" s="24" t="str">
        <x:v>Carcharhinus longimanus</x:v>
      </x:c>
      <x:c r="F68" s="24" t="str">
        <x:v>Oceanic whitetip shark</x:v>
      </x:c>
      <x:c r="G68" s="24" t="str">
        <x:v>Large sharks (&gt;=90 cm)</x:v>
      </x:c>
      <x:c r="H68" s="24" t="str">
        <x:v>Sharks &amp; rays</x:v>
      </x:c>
      <x:c r="I68" s="31" t="n">
        <x:v>0.0169150365</x:v>
      </x:c>
      <x:c r="J68" s="31" t="n">
        <x:v>0</x:v>
      </x:c>
      <x:c r="K68" s="31" t="n">
        <x:v>0.0169150365</x:v>
      </x:c>
      <x:c r="L68" s="31" t="n">
        <x:v>0</x:v>
      </x:c>
      <x:c r="M68" s="31" t="n">
        <x:v>0.0169150365</x:v>
      </x:c>
      <x:c r="N68" s="24" t="str">
        <x:v>carcharhinus longimanus</x:v>
      </x:c>
      <x:c r="O68" s="32" t="n">
        <x:v>4.16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longimanus</x:v>
      </x:c>
      <x:c r="T68" s="32" t="n">
        <x:f>IF(O68="","",(1/'Metadata'!$B$5)^(O68-1))</x:f>
        <x:v>1445.439770745928</x:v>
      </x:c>
      <x:c r="U68" s="31" t="n">
        <x:f>IF(T68="","",I68*T68)</x:f>
        <x:v>24.449666480719007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5550f0b4e3f42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231378.4529</x:v>
      </x:c>
      <x:c r="E2" s="31" t="n">
        <x:v>231378.4529</x:v>
      </x:c>
      <x:c r="F2" s="32" t="n">
        <x:v>0</x:v>
      </x:c>
      <x:c r="G2" s="34" t="n">
        <x:v>1</x:v>
      </x:c>
      <x:c r="H2" s="32" t="n">
        <x:f>IF(E2=0,"",I2/E2)</x:f>
        <x:v>29.51209226666387</x:v>
      </x:c>
      <x:c r="I2" s="31" t="n">
        <x:f>IF(C2=0,"",SUMIF('Species'!$H$2:$H$68,A2,'Species'!$U$2:$U$68))</x:f>
        <x:v>6828462.250502741</x:v>
      </x:c>
      <x:c r="J2" s="32" t="n">
        <x:v>2.47</x:v>
      </x:c>
      <x:c r="K2" s="32" t="n">
        <x:f>IF(J2="","",(1/'Metadata'!$B$5)^(J2-1))</x:f>
        <x:v>29.51209226666387</x:v>
      </x:c>
      <x:c r="L2" s="31" t="n">
        <x:f>IF(E2=0,"",E2*K2)</x:f>
        <x:v>6828462.250502741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0.709197624</x:v>
      </x:c>
      <x:c r="E3" s="31" t="n">
        <x:v>0.709197624</x:v>
      </x:c>
      <x:c r="F3" s="32" t="n">
        <x:v>0</x:v>
      </x:c>
      <x:c r="G3" s="34" t="n">
        <x:v>1</x:v>
      </x:c>
      <x:c r="H3" s="32" t="n">
        <x:f>IF(E3=0,"",I3/E3)</x:f>
        <x:v>1862.0871366628658</x:v>
      </x:c>
      <x:c r="I3" s="31" t="n">
        <x:f>IF(C3=0,"",SUMIF('Species'!$H$2:$H$68,A3,'Species'!$U$2:$U$68))</x:f>
        <x:v>1320.5877730022676</x:v>
      </x:c>
      <x:c r="J3" s="32" t="n">
        <x:v>4.27</x:v>
      </x:c>
      <x:c r="K3" s="32" t="n">
        <x:f>IF(J3="","",(1/'Metadata'!$B$5)^(J3-1))</x:f>
        <x:v>1862.0871366628655</x:v>
      </x:c>
      <x:c r="L3" s="31" t="n">
        <x:f>IF(E3=0,"",E3*K3)</x:f>
        <x:v>1320.5877730022676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7</x:v>
      </x:c>
      <x:c r="C4" s="33" t="n">
        <x:v>7</x:v>
      </x:c>
      <x:c r="D4" s="31" t="n">
        <x:v>7249.219267546299</x:v>
      </x:c>
      <x:c r="E4" s="31" t="n">
        <x:v>7249.219267546299</x:v>
      </x:c>
      <x:c r="F4" s="32" t="n">
        <x:v>0</x:v>
      </x:c>
      <x:c r="G4" s="34" t="n">
        <x:v>1</x:v>
      </x:c>
      <x:c r="H4" s="32" t="n">
        <x:f>IF(E4=0,"",I4/E4)</x:f>
        <x:v>111.73847655106553</x:v>
      </x:c>
      <x:c r="I4" s="31" t="n">
        <x:f>IF(C4=0,"",SUMIF('Species'!$H$2:$H$68,A4,'Species'!$U$2:$U$68))</x:f>
        <x:v>810016.7171402546</x:v>
      </x:c>
      <x:c r="J4" s="32" t="n">
        <x:v>2.9340093558536244</x:v>
      </x:c>
      <x:c r="K4" s="32" t="n">
        <x:f>IF(J4="","",(1/'Metadata'!$B$5)^(J4-1))</x:f>
        <x:v>85.90320271315807</x:v>
      </x:c>
      <x:c r="L4" s="31" t="n">
        <x:f>IF(E4=0,"",E4*K4)</x:f>
        <x:v>622731.152252161</x:v>
      </x:c>
      <x:c r="M4" s="31" t="n">
        <x:f>IF(E4=0,"",I4-L4)</x:f>
        <x:v>187285.56488809362</x:v>
      </x:c>
      <x:c r="N4" s="32" t="n">
        <x:f>IF(L4=0,"",I4/L4)</x:f>
        <x:v>1.3007486685237428</x:v>
      </x:c>
      <x:c r="O4" s="34" t="n">
        <x:f>IF(L4=0,"",M4/L4)</x:f>
        <x:v>0.3007486685237429</x:v>
      </x:c>
    </x:row>
    <x:row r="5" ht="18" customHeight="1">
      <x:c r="A5" s="24" t="str">
        <x:v>Flatfishes</x:v>
      </x:c>
      <x:c r="B5" s="33" t="n">
        <x:v>1</x:v>
      </x:c>
      <x:c r="C5" s="33" t="n">
        <x:v>1</x:v>
      </x:c>
      <x:c r="D5" s="31" t="n">
        <x:v>119</x:v>
      </x:c>
      <x:c r="E5" s="31" t="n">
        <x:v>119</x:v>
      </x:c>
      <x:c r="F5" s="32" t="n">
        <x:v>0</x:v>
      </x:c>
      <x:c r="G5" s="34" t="n">
        <x:v>1</x:v>
      </x:c>
      <x:c r="H5" s="32" t="n">
        <x:f>IF(E5=0,"",I5/E5)</x:f>
        <x:v>1148.1536214968817</x:v>
      </x:c>
      <x:c r="I5" s="31" t="n">
        <x:f>IF(C5=0,"",SUMIF('Species'!$H$2:$H$68,A5,'Species'!$U$2:$U$68))</x:f>
        <x:v>136630.28095812892</x:v>
      </x:c>
      <x:c r="J5" s="32" t="n">
        <x:v>4.06</x:v>
      </x:c>
      <x:c r="K5" s="32" t="n">
        <x:f>IF(J5="","",(1/'Metadata'!$B$5)^(J5-1))</x:f>
        <x:v>1148.1536214968817</x:v>
      </x:c>
      <x:c r="L5" s="31" t="n">
        <x:f>IF(E5=0,"",E5*K5)</x:f>
        <x:v>136630.28095812892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Herring-likes</x:v>
      </x:c>
      <x:c r="B6" s="33" t="n">
        <x:v>1</x:v>
      </x:c>
      <x:c r="C6" s="33" t="n">
        <x:v>1</x:v>
      </x:c>
      <x:c r="D6" s="31" t="n">
        <x:v>37597.191999999995</x:v>
      </x:c>
      <x:c r="E6" s="31" t="n">
        <x:v>37597.191999999995</x:v>
      </x:c>
      <x:c r="F6" s="32" t="n">
        <x:v>0</x:v>
      </x:c>
      <x:c r="G6" s="34" t="n">
        <x:v>1</x:v>
      </x:c>
      <x:c r="H6" s="32" t="n">
        <x:f>IF(E6=0,"",I6/E6)</x:f>
        <x:v>77.6247116628692</x:v>
      </x:c>
      <x:c r="I6" s="31" t="n">
        <x:f>IF(C6=0,"",SUMIF('Species'!$H$2:$H$68,A6,'Species'!$U$2:$U$68))</x:f>
        <x:v>2918471.1883335323</x:v>
      </x:c>
      <x:c r="J6" s="32" t="n">
        <x:v>2.89</x:v>
      </x:c>
      <x:c r="K6" s="32" t="n">
        <x:f>IF(J6="","",(1/'Metadata'!$B$5)^(J6-1))</x:f>
        <x:v>77.6247116628692</x:v>
      </x:c>
      <x:c r="L6" s="31" t="n">
        <x:f>IF(E6=0,"",E6*K6)</x:f>
        <x:v>2918471.1883335323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19.545988118</x:v>
      </x:c>
      <x:c r="E7" s="31" t="n">
        <x:v>19.545988118</x:v>
      </x:c>
      <x:c r="F7" s="32" t="n">
        <x:v>0</x:v>
      </x:c>
      <x:c r="G7" s="34" t="n">
        <x:v>1</x:v>
      </x:c>
      <x:c r="H7" s="32" t="n">
        <x:f>IF(E7=0,"",I7/E7)</x:f>
        <x:v>10.469736514791416</x:v>
      </x:c>
      <x:c r="I7" s="31" t="n">
        <x:f>IF(C7=0,"",SUMIF('Species'!$H$2:$H$68,A7,'Species'!$U$2:$U$68))</x:f>
        <x:v>204.64134551670375</x:v>
      </x:c>
      <x:c r="J7" s="32" t="n">
        <x:v>2.0181417695365043</x:v>
      </x:c>
      <x:c r="K7" s="32" t="n">
        <x:f>IF(J7="","",(1/'Metadata'!$B$5)^(J7-1))</x:f>
        <x:v>10.426577353060136</x:v>
      </x:c>
      <x:c r="L7" s="31" t="n">
        <x:f>IF(E7=0,"",E7*K7)</x:f>
        <x:v>203.7977570543213</x:v>
      </x:c>
      <x:c r="M7" s="31" t="n">
        <x:f>IF(E7=0,"",I7-L7)</x:f>
        <x:v>0.8435884623824563</x:v>
      </x:c>
      <x:c r="N7" s="32" t="n">
        <x:f>IF(L7=0,"",I7/L7)</x:f>
        <x:v>1.0041393412497548</x:v>
      </x:c>
      <x:c r="O7" s="34" t="n">
        <x:f>IF(L7=0,"",M7/L7)</x:f>
        <x:v>0.004139341249754785</x:v>
      </x:c>
    </x:row>
    <x:row r="8" ht="18" customHeight="1">
      <x:c r="A8" s="24" t="str">
        <x:v>Other fishes &amp; inverts</x:v>
      </x:c>
      <x:c r="B8" s="33" t="n">
        <x:v>5</x:v>
      </x:c>
      <x:c r="C8" s="33" t="n">
        <x:v>5</x:v>
      </x:c>
      <x:c r="D8" s="31" t="n">
        <x:v>16252.7906495801</x:v>
      </x:c>
      <x:c r="E8" s="31" t="n">
        <x:v>16252.7906495801</x:v>
      </x:c>
      <x:c r="F8" s="32" t="n">
        <x:v>0</x:v>
      </x:c>
      <x:c r="G8" s="34" t="n">
        <x:v>1</x:v>
      </x:c>
      <x:c r="H8" s="32" t="n">
        <x:f>IF(E8=0,"",I8/E8)</x:f>
        <x:v>197.95242057656412</x:v>
      </x:c>
      <x:c r="I8" s="31" t="n">
        <x:f>IF(C8=0,"",SUMIF('Species'!$H$2:$H$68,A8,'Species'!$U$2:$U$68))</x:f>
        <x:v>3217279.2502085287</x:v>
      </x:c>
      <x:c r="J8" s="32" t="n">
        <x:v>3.294025661289386</x:v>
      </x:c>
      <x:c r="K8" s="32" t="n">
        <x:f>IF(J8="","",(1/'Metadata'!$B$5)^(J8-1))</x:f>
        <x:v>196.80025702344648</x:v>
      </x:c>
      <x:c r="L8" s="31" t="n">
        <x:f>IF(E8=0,"",E8*K8)</x:f>
        <x:v>3198553.377185631</x:v>
      </x:c>
      <x:c r="M8" s="31" t="n">
        <x:f>IF(E8=0,"",I8-L8)</x:f>
        <x:v>18725.873022897635</x:v>
      </x:c>
      <x:c r="N8" s="32" t="n">
        <x:f>IF(L8=0,"",I8/L8)</x:f>
        <x:v>1.005854481953143</x:v>
      </x:c>
      <x:c r="O8" s="34" t="n">
        <x:f>IF(L8=0,"",M8/L8)</x:f>
        <x:v>0.005854481953142926</x:v>
      </x:c>
    </x:row>
    <x:row r="9" ht="18" customHeight="1">
      <x:c r="A9" s="24" t="str">
        <x:v>Perch-likes</x:v>
      </x:c>
      <x:c r="B9" s="33" t="n">
        <x:v>11</x:v>
      </x:c>
      <x:c r="C9" s="33" t="n">
        <x:v>11</x:v>
      </x:c>
      <x:c r="D9" s="31" t="n">
        <x:v>9084.749235138697</x:v>
      </x:c>
      <x:c r="E9" s="31" t="n">
        <x:v>9084.749235138697</x:v>
      </x:c>
      <x:c r="F9" s="32" t="n">
        <x:v>0</x:v>
      </x:c>
      <x:c r="G9" s="34" t="n">
        <x:v>1</x:v>
      </x:c>
      <x:c r="H9" s="32" t="n">
        <x:f>IF(E9=0,"",I9/E9)</x:f>
        <x:v>1196.8076248172226</x:v>
      </x:c>
      <x:c r="I9" s="31" t="n">
        <x:f>IF(C9=0,"",SUMIF('Species'!$H$2:$H$68,A9,'Species'!$U$2:$U$68))</x:f>
        <x:v>10872697.154166425</x:v>
      </x:c>
      <x:c r="J9" s="32" t="n">
        <x:v>4.016673365704187</x:v>
      </x:c>
      <x:c r="K9" s="32" t="n">
        <x:f>IF(J9="","",(1/'Metadata'!$B$5)^(J9-1))</x:f>
        <x:v>1039.138332528325</x:v>
      </x:c>
      <x:c r="L9" s="31" t="n">
        <x:f>IF(E9=0,"",E9*K9)</x:f>
        <x:v>9440311.171640001</x:v>
      </x:c>
      <x:c r="M9" s="31" t="n">
        <x:f>IF(E9=0,"",I9-L9)</x:f>
        <x:v>1432385.9825264234</x:v>
      </x:c>
      <x:c r="N9" s="32" t="n">
        <x:f>IF(L9=0,"",I9/L9)</x:f>
        <x:v>1.1517308017165269</x:v>
      </x:c>
      <x:c r="O9" s="34" t="n">
        <x:f>IF(L9=0,"",M9/L9)</x:f>
        <x:v>0.15173080171652698</x:v>
      </x:c>
    </x:row>
    <x:row r="10" ht="18" customHeight="1">
      <x:c r="A10" s="24" t="str">
        <x:v>Sharks &amp; rays</x:v>
      </x:c>
      <x:c r="B10" s="33" t="n">
        <x:v>27</x:v>
      </x:c>
      <x:c r="C10" s="33" t="n">
        <x:v>27</x:v>
      </x:c>
      <x:c r="D10" s="31" t="n">
        <x:v>252.1524084093</x:v>
      </x:c>
      <x:c r="E10" s="31" t="n">
        <x:v>252.1524084093</x:v>
      </x:c>
      <x:c r="F10" s="32" t="n">
        <x:v>0</x:v>
      </x:c>
      <x:c r="G10" s="34" t="n">
        <x:v>1</x:v>
      </x:c>
      <x:c r="H10" s="32" t="n">
        <x:f>IF(E10=0,"",I10/E10)</x:f>
        <x:v>1770.292485985194</x:v>
      </x:c>
      <x:c r="I10" s="31" t="n">
        <x:f>IF(C10=0,"",SUMIF('Species'!$H$2:$H$68,A10,'Species'!$U$2:$U$68))</x:f>
        <x:v>446383.5139300536</x:v>
      </x:c>
      <x:c r="J10" s="32" t="n">
        <x:v>4.186004189782567</x:v>
      </x:c>
      <x:c r="K10" s="32" t="n">
        <x:f>IF(J10="","",(1/'Metadata'!$B$5)^(J10-1))</x:f>
        <x:v>1534.6317878285186</x:v>
      </x:c>
      <x:c r="L10" s="31" t="n">
        <x:f>IF(E10=0,"",E10*K10)</x:f>
        <x:v>386961.1013224308</x:v>
      </x:c>
      <x:c r="M10" s="31" t="n">
        <x:f>IF(E10=0,"",I10-L10)</x:f>
        <x:v>59422.4126076228</x:v>
      </x:c>
      <x:c r="N10" s="32" t="n">
        <x:f>IF(L10=0,"",I10/L10)</x:f>
        <x:v>1.1535617208152138</x:v>
      </x:c>
      <x:c r="O10" s="34" t="n">
        <x:f>IF(L10=0,"",M10/L10)</x:f>
        <x:v>0.15356172081521385</x:v>
      </x:c>
    </x:row>
    <x:row r="11" ht="18" customHeight="1">
      <x:c r="A11" s="24" t="str">
        <x:v>Tuna &amp; billfishes</x:v>
      </x:c>
      <x:c r="B11" s="33" t="n">
        <x:v>11</x:v>
      </x:c>
      <x:c r="C11" s="33" t="n">
        <x:v>11</x:v>
      </x:c>
      <x:c r="D11" s="31" t="n">
        <x:v>1428.8118475070003</x:v>
      </x:c>
      <x:c r="E11" s="31" t="n">
        <x:v>1428.8118475070003</x:v>
      </x:c>
      <x:c r="F11" s="32" t="n">
        <x:v>0</x:v>
      </x:c>
      <x:c r="G11" s="34" t="n">
        <x:v>1</x:v>
      </x:c>
      <x:c r="H11" s="32" t="n">
        <x:f>IF(E11=0,"",I11/E11)</x:f>
        <x:v>2607.954274662798</x:v>
      </x:c>
      <x:c r="I11" s="31" t="n">
        <x:f>IF(C11=0,"",SUMIF('Species'!$H$2:$H$68,A11,'Species'!$U$2:$U$68))</x:f>
        <x:v>3726275.9653947316</x:v>
      </x:c>
      <x:c r="J11" s="32" t="n">
        <x:v>4.414614025970488</x:v>
      </x:c>
      <x:c r="K11" s="32" t="n">
        <x:f>IF(J11="","",(1/'Metadata'!$B$5)^(J11-1))</x:f>
        <x:v>2597.8497290049468</x:v>
      </x:c>
      <x:c r="L11" s="31" t="n">
        <x:f>IF(E11=0,"",E11*K11)</x:f>
        <x:v>3711838.470845118</x:v>
      </x:c>
      <x:c r="M11" s="31" t="n">
        <x:f>IF(E11=0,"",I11-L11)</x:f>
        <x:v>14437.494549613446</x:v>
      </x:c>
      <x:c r="N11" s="32" t="n">
        <x:f>IF(L11=0,"",I11/L11)</x:f>
        <x:v>1.003889580503843</x:v>
      </x:c>
      <x:c r="O11" s="34" t="n">
        <x:f>IF(L11=0,"",M11/L11)</x:f>
        <x:v>0.0038895805038429623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57509e750b347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2</x:v>
      </x:c>
      <x:c r="C2" s="33" t="n">
        <x:v>2</x:v>
      </x:c>
      <x:c r="D2" s="31" t="n">
        <x:v>1738</x:v>
      </x:c>
      <x:c r="E2" s="31" t="n">
        <x:v>1738</x:v>
      </x:c>
      <x:c r="F2" s="32" t="n">
        <x:v>0</x:v>
      </x:c>
      <x:c r="G2" s="34" t="n">
        <x:v>1</x:v>
      </x:c>
      <x:c r="H2" s="32" t="n">
        <x:f>IF(E2=0,"",I2/E2)</x:f>
        <x:v>253.58965635380784</x:v>
      </x:c>
      <x:c r="I2" s="31" t="n">
        <x:f>IF(C2=0,"",SUMIF('Species'!$G$2:$G$68,A2,'Species'!$U$2:$U$68))</x:f>
        <x:v>440738.82274291804</x:v>
      </x:c>
      <x:c r="J2" s="32" t="n">
        <x:v>3.4</x:v>
      </x:c>
      <x:c r="K2" s="32" t="n">
        <x:f>IF(J2="","",(1/'Metadata'!$B$5)^(J2-1))</x:f>
        <x:v>251.18864315095797</x:v>
      </x:c>
      <x:c r="L2" s="31" t="n">
        <x:f>IF(E2=0,"",E2*K2)</x:f>
        <x:v>436565.86179636494</x:v>
      </x:c>
      <x:c r="M2" s="31" t="n">
        <x:f>IF(E2=0,"",I2-L2)</x:f>
        <x:v>4172.960946553096</x:v>
      </x:c>
      <x:c r="N2" s="32" t="n">
        <x:f>IF(L2=0,"",I2/L2)</x:f>
        <x:v>1.0095586057264816</x:v>
      </x:c>
      <x:c r="O2" s="34" t="n">
        <x:f>IF(L2=0,"",M2/L2)</x:f>
        <x:v>0.00955860572648157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130.3812774809</x:v>
      </x:c>
      <x:c r="E3" s="31" t="n">
        <x:v>130.3812774809</x:v>
      </x:c>
      <x:c r="F3" s="32" t="n">
        <x:v>0</x:v>
      </x:c>
      <x:c r="G3" s="34" t="n">
        <x:v>1</x:v>
      </x:c>
      <x:c r="H3" s="32" t="n">
        <x:f>IF(E3=0,"",I3/E3)</x:f>
        <x:v>2454.7089156850284</x:v>
      </x:c>
      <x:c r="I3" s="31" t="n">
        <x:f>IF(C3=0,"",SUMIF('Species'!$G$2:$G$68,A3,'Species'!$U$2:$U$68))</x:f>
        <x:v>320048.08427076886</x:v>
      </x:c>
      <x:c r="J3" s="32" t="n">
        <x:v>4.39</x:v>
      </x:c>
      <x:c r="K3" s="32" t="n">
        <x:f>IF(J3="","",(1/'Metadata'!$B$5)^(J3-1))</x:f>
        <x:v>2454.7089156850284</x:v>
      </x:c>
      <x:c r="L3" s="31" t="n">
        <x:f>IF(E3=0,"",E3*K3)</x:f>
        <x:v>320048.08427076886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14</x:v>
      </x:c>
      <x:c r="C4" s="33" t="n">
        <x:v>14</x:v>
      </x:c>
      <x:c r="D4" s="31" t="n">
        <x:v>2791.9856003299005</x:v>
      </x:c>
      <x:c r="E4" s="31" t="n">
        <x:v>2791.9856003299005</x:v>
      </x:c>
      <x:c r="F4" s="32" t="n">
        <x:v>0</x:v>
      </x:c>
      <x:c r="G4" s="34" t="n">
        <x:v>1</x:v>
      </x:c>
      <x:c r="H4" s="32" t="n">
        <x:f>IF(E4=0,"",I4/E4)</x:f>
        <x:v>2635.537761532632</x:v>
      </x:c>
      <x:c r="I4" s="31" t="n">
        <x:f>IF(C4=0,"",SUMIF('Species'!$G$2:$G$68,A4,'Species'!$U$2:$U$68))</x:f>
        <x:v>7358383.479324808</x:v>
      </x:c>
      <x:c r="J4" s="32" t="n">
        <x:v>4.417978715171118</x:v>
      </x:c>
      <x:c r="K4" s="32" t="n">
        <x:f>IF(J4="","",(1/'Metadata'!$B$5)^(J4-1))</x:f>
        <x:v>2618.0546938745733</x:v>
      </x:c>
      <x:c r="L4" s="31" t="n">
        <x:f>IF(E4=0,"",E4*K4)</x:f>
        <x:v>7309571.006173914</x:v>
      </x:c>
      <x:c r="M4" s="31" t="n">
        <x:f>IF(E4=0,"",I4-L4)</x:f>
        <x:v>48812.473150894046</x:v>
      </x:c>
      <x:c r="N4" s="32" t="n">
        <x:f>IF(L4=0,"",I4/L4)</x:f>
        <x:v>1.006677884804685</x:v>
      </x:c>
      <x:c r="O4" s="34" t="n">
        <x:f>IF(L4=0,"",M4/L4)</x:f>
        <x:v>0.006677884804684893</x:v>
      </x:c>
    </x:row>
    <x:row r="5" ht="18" customHeight="1">
      <x:c r="A5" s="24" t="str">
        <x:v>Large rays (&gt;=90 cm)</x:v>
      </x:c>
      <x:c r="B5" s="33" t="n">
        <x:v>2</x:v>
      </x:c>
      <x:c r="C5" s="33" t="n">
        <x:v>2</x:v>
      </x:c>
      <x:c r="D5" s="31" t="n">
        <x:v>3.7660010280000003</x:v>
      </x:c>
      <x:c r="E5" s="31" t="n">
        <x:v>3.7660010280000003</x:v>
      </x:c>
      <x:c r="F5" s="32" t="n">
        <x:v>0</x:v>
      </x:c>
      <x:c r="G5" s="34" t="n">
        <x:v>1</x:v>
      </x:c>
      <x:c r="H5" s="32" t="n">
        <x:f>IF(E5=0,"",I5/E5)</x:f>
        <x:v>302.26313331120826</x:v>
      </x:c>
      <x:c r="I5" s="31" t="n">
        <x:f>IF(C5=0,"",SUMIF('Species'!$G$2:$G$68,A5,'Species'!$U$2:$U$68))</x:f>
        <x:v>1138.3232707765114</x:v>
      </x:c>
      <x:c r="J5" s="32" t="n">
        <x:v>3.4755555555302413</x:v>
      </x:c>
      <x:c r="K5" s="32" t="n">
        <x:f>IF(J5="","",(1/'Metadata'!$B$5)^(J5-1))</x:f>
        <x:v>298.9204005472208</x:v>
      </x:c>
      <x:c r="L5" s="31" t="n">
        <x:f>IF(E5=0,"",E5*K5)</x:f>
        <x:v>1125.7345357510055</x:v>
      </x:c>
      <x:c r="M5" s="31" t="n">
        <x:f>IF(E5=0,"",I5-L5)</x:f>
        <x:v>12.588735025505912</x:v>
      </x:c>
      <x:c r="N5" s="32" t="n">
        <x:f>IF(L5=0,"",I5/L5)</x:f>
        <x:v>1.0111826852829986</x:v>
      </x:c>
      <x:c r="O5" s="34" t="n">
        <x:f>IF(L5=0,"",M5/L5)</x:f>
        <x:v>0.011182685282998494</x:v>
      </x:c>
    </x:row>
    <x:row r="6" ht="18" customHeight="1">
      <x:c r="A6" s="24" t="str">
        <x:v>Large sharks (&gt;=90 cm)</x:v>
      </x:c>
      <x:c r="B6" s="33" t="n">
        <x:v>24</x:v>
      </x:c>
      <x:c r="C6" s="33" t="n">
        <x:v>24</x:v>
      </x:c>
      <x:c r="D6" s="31" t="n">
        <x:v>245.83389557330003</x:v>
      </x:c>
      <x:c r="E6" s="31" t="n">
        <x:v>245.83389557330003</x:v>
      </x:c>
      <x:c r="F6" s="32" t="n">
        <x:v>0</x:v>
      </x:c>
      <x:c r="G6" s="34" t="n">
        <x:v>1</x:v>
      </x:c>
      <x:c r="H6" s="32" t="n">
        <x:f>IF(E6=0,"",I6/E6)</x:f>
        <x:v>1806.9328749557549</x:v>
      </x:c>
      <x:c r="I6" s="31" t="n">
        <x:f>IF(C6=0,"",SUMIF('Species'!$G$2:$G$68,A6,'Species'!$U$2:$U$68))</x:f>
        <x:v>444205.3476898358</x:v>
      </x:c>
      <x:c r="J6" s="32" t="n">
        <x:v>4.202868454058023</x:v>
      </x:c>
      <x:c r="K6" s="32" t="n">
        <x:f>IF(J6="","",(1/'Metadata'!$B$5)^(J6-1))</x:f>
        <x:v>1595.395835465583</x:v>
      </x:c>
      <x:c r="L6" s="31" t="n">
        <x:f>IF(E6=0,"",E6*K6)</x:f>
        <x:v>392202.3732139239</x:v>
      </x:c>
      <x:c r="M6" s="31" t="n">
        <x:f>IF(E6=0,"",I6-L6)</x:f>
        <x:v>52002.974475911935</x:v>
      </x:c>
      <x:c r="N6" s="32" t="n">
        <x:f>IF(L6=0,"",I6/L6)</x:f>
        <x:v>1.1325921973642605</x:v>
      </x:c>
      <x:c r="O6" s="34" t="n">
        <x:f>IF(L6=0,"",M6/L6)</x:f>
        <x:v>0.13259219736426045</x:v>
      </x:c>
    </x:row>
    <x:row r="7" ht="18" customHeight="1">
      <x:c r="A7" s="24" t="str">
        <x:v>Medium bathydemersals (30 - 89 cm)</x:v>
      </x:c>
      <x:c r="B7" s="33" t="n">
        <x:v>1</x:v>
      </x:c>
      <x:c r="C7" s="33" t="n">
        <x:v>1</x:v>
      </x:c>
      <x:c r="D7" s="31" t="n">
        <x:v>0.709197624</x:v>
      </x:c>
      <x:c r="E7" s="31" t="n">
        <x:v>0.709197624</x:v>
      </x:c>
      <x:c r="F7" s="32" t="n">
        <x:v>0</x:v>
      </x:c>
      <x:c r="G7" s="34" t="n">
        <x:v>1</x:v>
      </x:c>
      <x:c r="H7" s="32" t="n">
        <x:f>IF(E7=0,"",I7/E7)</x:f>
        <x:v>1862.0871366628658</x:v>
      </x:c>
      <x:c r="I7" s="31" t="n">
        <x:f>IF(C7=0,"",SUMIF('Species'!$G$2:$G$68,A7,'Species'!$U$2:$U$68))</x:f>
        <x:v>1320.5877730022676</x:v>
      </x:c>
      <x:c r="J7" s="32" t="n">
        <x:v>4.27</x:v>
      </x:c>
      <x:c r="K7" s="32" t="n">
        <x:f>IF(J7="","",(1/'Metadata'!$B$5)^(J7-1))</x:f>
        <x:v>1862.0871366628655</x:v>
      </x:c>
      <x:c r="L7" s="31" t="n">
        <x:f>IF(E7=0,"",E7*K7)</x:f>
        <x:v>1320.5877730022676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16543.7311105214</x:v>
      </x:c>
      <x:c r="E8" s="31" t="n">
        <x:v>16543.7311105214</x:v>
      </x:c>
      <x:c r="F8" s="32" t="n">
        <x:v>0</x:v>
      </x:c>
      <x:c r="G8" s="34" t="n">
        <x:v>1</x:v>
      </x:c>
      <x:c r="H8" s="32" t="n">
        <x:f>IF(E8=0,"",I8/E8)</x:f>
        <x:v>232.89209053384045</x:v>
      </x:c>
      <x:c r="I8" s="31" t="n">
        <x:f>IF(C8=0,"",SUMIF('Species'!$G$2:$G$68,A8,'Species'!$U$2:$U$68))</x:f>
        <x:v>3852904.1235590624</x:v>
      </x:c>
      <x:c r="J8" s="32" t="n">
        <x:v>3.3336758959502135</x:v>
      </x:c>
      <x:c r="K8" s="32" t="n">
        <x:f>IF(J8="","",(1/'Metadata'!$B$5)^(J8-1))</x:f>
        <x:v>215.61347345031842</x:v>
      </x:c>
      <x:c r="L8" s="31" t="n">
        <x:f>IF(E8=0,"",E8*K8)</x:f>
        <x:v>3567051.3285676125</x:v>
      </x:c>
      <x:c r="M8" s="31" t="n">
        <x:f>IF(E8=0,"",I8-L8)</x:f>
        <x:v>285852.7949914499</x:v>
      </x:c>
      <x:c r="N8" s="32" t="n">
        <x:f>IF(L8=0,"",I8/L8)</x:f>
        <x:v>1.0801370007496465</x:v>
      </x:c>
      <x:c r="O8" s="34" t="n">
        <x:f>IF(L8=0,"",M8/L8)</x:f>
        <x:v>0.08013700074964639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97.4666858697</x:v>
      </x:c>
      <x:c r="E9" s="31" t="n">
        <x:v>97.4666858697</x:v>
      </x:c>
      <x:c r="F9" s="32" t="n">
        <x:v>0</x:v>
      </x:c>
      <x:c r="G9" s="34" t="n">
        <x:v>1</x:v>
      </x:c>
      <x:c r="H9" s="32" t="n">
        <x:f>IF(E9=0,"",I9/E9)</x:f>
        <x:v>1115.6086444807963</x:v>
      </x:c>
      <x:c r="I9" s="31" t="n">
        <x:f>IF(C9=0,"",SUMIF('Species'!$G$2:$G$68,A9,'Species'!$U$2:$U$68))</x:f>
        <x:v>108734.67730513161</x:v>
      </x:c>
      <x:c r="J9" s="32" t="n">
        <x:v>4.044715729242424</x:v>
      </x:c>
      <x:c r="K9" s="32" t="n">
        <x:f>IF(J9="","",(1/'Metadata'!$B$5)^(J9-1))</x:f>
        <x:v>1108.449034006351</x:v>
      </x:c>
      <x:c r="L9" s="31" t="n">
        <x:f>IF(E9=0,"",E9*K9)</x:f>
        <x:v>108036.85380006942</x:v>
      </x:c>
      <x:c r="M9" s="31" t="n">
        <x:f>IF(E9=0,"",I9-L9)</x:f>
        <x:v>697.8235050621879</x:v>
      </x:c>
      <x:c r="N9" s="32" t="n">
        <x:f>IF(L9=0,"",I9/L9)</x:f>
        <x:v>1.0064591246460541</x:v>
      </x:c>
      <x:c r="O9" s="34" t="n">
        <x:f>IF(L9=0,"",M9/L9)</x:f>
        <x:v>0.0064591246460542475</x:v>
      </x:c>
    </x:row>
    <x:row r="10" ht="18" customHeight="1">
      <x:c r="A10" s="24" t="str">
        <x:v>Medium reef assoc. fish (30 - 89 cm)</x:v>
      </x:c>
      <x:c r="B10" s="33" t="n">
        <x:v>2</x:v>
      </x:c>
      <x:c r="C10" s="33" t="n">
        <x:v>2</x:v>
      </x:c>
      <x:c r="D10" s="31" t="n">
        <x:v>5461.9502675289</x:v>
      </x:c>
      <x:c r="E10" s="31" t="n">
        <x:v>5461.9502675289</x:v>
      </x:c>
      <x:c r="F10" s="32" t="n">
        <x:v>0</x:v>
      </x:c>
      <x:c r="G10" s="34" t="n">
        <x:v>1</x:v>
      </x:c>
      <x:c r="H10" s="32" t="n">
        <x:f>IF(E10=0,"",I10/E10)</x:f>
        <x:v>1049.759438738831</x:v>
      </x:c>
      <x:c r="I10" s="31" t="n">
        <x:f>IF(C10=0,"",SUMIF('Species'!$G$2:$G$68,A10,'Species'!$U$2:$U$68))</x:f>
        <x:v>5733733.847260546</x:v>
      </x:c>
      <x:c r="J10" s="32" t="n">
        <x:v>4.020970349369804</x:v>
      </x:c>
      <x:c r="K10" s="32" t="n">
        <x:f>IF(J10="","",(1/'Metadata'!$B$5)^(J10-1))</x:f>
        <x:v>1049.4707755841118</x:v>
      </x:c>
      <x:c r="L10" s="31" t="n">
        <x:f>IF(E10=0,"",E10*K10)</x:f>
        <x:v>5732157.183465403</x:v>
      </x:c>
      <x:c r="M10" s="31" t="n">
        <x:f>IF(E10=0,"",I10-L10)</x:f>
        <x:v>1576.6637951433659</x:v>
      </x:c>
      <x:c r="N10" s="32" t="n">
        <x:f>IF(L10=0,"",I10/L10)</x:f>
        <x:v>1.0002750559247906</x:v>
      </x:c>
      <x:c r="O10" s="34" t="n">
        <x:f>IF(L10=0,"",M10/L10)</x:f>
        <x:v>0.0002750559247906364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19.545988118</x:v>
      </x:c>
      <x:c r="E11" s="31" t="n">
        <x:v>19.545988118</x:v>
      </x:c>
      <x:c r="F11" s="32" t="n">
        <x:v>0</x:v>
      </x:c>
      <x:c r="G11" s="34" t="n">
        <x:v>1</x:v>
      </x:c>
      <x:c r="H11" s="32" t="n">
        <x:f>IF(E11=0,"",I11/E11)</x:f>
        <x:v>10.469736514791416</x:v>
      </x:c>
      <x:c r="I11" s="31" t="n">
        <x:f>IF(C11=0,"",SUMIF('Species'!$G$2:$G$68,A11,'Species'!$U$2:$U$68))</x:f>
        <x:v>204.64134551670375</x:v>
      </x:c>
      <x:c r="J11" s="32" t="n">
        <x:v>2.0181417695365043</x:v>
      </x:c>
      <x:c r="K11" s="32" t="n">
        <x:f>IF(J11="","",(1/'Metadata'!$B$5)^(J11-1))</x:f>
        <x:v>10.426577353060136</x:v>
      </x:c>
      <x:c r="L11" s="31" t="n">
        <x:f>IF(E11=0,"",E11*K11)</x:f>
        <x:v>203.7977570543213</x:v>
      </x:c>
      <x:c r="M11" s="31" t="n">
        <x:f>IF(E11=0,"",I11-L11)</x:f>
        <x:v>0.8435884623824563</x:v>
      </x:c>
      <x:c r="N11" s="32" t="n">
        <x:f>IF(L11=0,"",I11/L11)</x:f>
        <x:v>1.0041393412497548</x:v>
      </x:c>
      <x:c r="O11" s="34" t="n">
        <x:f>IF(L11=0,"",M11/L11)</x:f>
        <x:v>0.004139341249754785</x:v>
      </x:c>
    </x:row>
    <x:row r="12" ht="18" customHeight="1">
      <x:c r="A12" s="24" t="str">
        <x:v>Shrimps</x:v>
      </x:c>
      <x:c r="B12" s="33" t="n">
        <x:v>7</x:v>
      </x:c>
      <x:c r="C12" s="33" t="n">
        <x:v>7</x:v>
      </x:c>
      <x:c r="D12" s="31" t="n">
        <x:v>7249.219267546299</x:v>
      </x:c>
      <x:c r="E12" s="31" t="n">
        <x:v>7249.219267546299</x:v>
      </x:c>
      <x:c r="F12" s="32" t="n">
        <x:v>0</x:v>
      </x:c>
      <x:c r="G12" s="34" t="n">
        <x:v>1</x:v>
      </x:c>
      <x:c r="H12" s="32" t="n">
        <x:f>IF(E12=0,"",I12/E12)</x:f>
        <x:v>111.73847655106553</x:v>
      </x:c>
      <x:c r="I12" s="31" t="n">
        <x:f>IF(C12=0,"",SUMIF('Species'!$G$2:$G$68,A12,'Species'!$U$2:$U$68))</x:f>
        <x:v>810016.7171402546</x:v>
      </x:c>
      <x:c r="J12" s="32" t="n">
        <x:v>2.9340093558536244</x:v>
      </x:c>
      <x:c r="K12" s="32" t="n">
        <x:f>IF(J12="","",(1/'Metadata'!$B$5)^(J12-1))</x:f>
        <x:v>85.90320271315807</x:v>
      </x:c>
      <x:c r="L12" s="31" t="n">
        <x:f>IF(E12=0,"",E12*K12)</x:f>
        <x:v>622731.152252161</x:v>
      </x:c>
      <x:c r="M12" s="31" t="n">
        <x:f>IF(E12=0,"",I12-L12)</x:f>
        <x:v>187285.56488809362</x:v>
      </x:c>
      <x:c r="N12" s="32" t="n">
        <x:f>IF(L12=0,"",I12/L12)</x:f>
        <x:v>1.3007486685237428</x:v>
      </x:c>
      <x:c r="O12" s="34" t="n">
        <x:f>IF(L12=0,"",M12/L12)</x:f>
        <x:v>0.3007486685237429</x:v>
      </x:c>
    </x:row>
    <x:row r="13" ht="18" customHeight="1">
      <x:c r="A13" s="24" t="str">
        <x:v>Small benthopelagics (&lt;30 cm)</x:v>
      </x:c>
      <x:c r="B13" s="33" t="n">
        <x:v>1</x:v>
      </x:c>
      <x:c r="C13" s="33" t="n">
        <x:v>1</x:v>
      </x:c>
      <x:c r="D13" s="31" t="n">
        <x:v>2.836790495</x:v>
      </x:c>
      <x:c r="E13" s="31" t="n">
        <x:v>2.836790495</x:v>
      </x:c>
      <x:c r="F13" s="32" t="n">
        <x:v>0</x:v>
      </x:c>
      <x:c r="G13" s="34" t="n">
        <x:v>1</x:v>
      </x:c>
      <x:c r="H13" s="32" t="n">
        <x:f>IF(E13=0,"",I13/E13)</x:f>
        <x:v>602.5595860743575</x:v>
      </x:c>
      <x:c r="I13" s="31" t="n">
        <x:f>IF(C13=0,"",SUMIF('Species'!$G$2:$G$68,A13,'Species'!$U$2:$U$68))</x:f>
        <x:v>1709.3353064468718</x:v>
      </x:c>
      <x:c r="J13" s="32" t="n">
        <x:v>3.78</x:v>
      </x:c>
      <x:c r="K13" s="32" t="n">
        <x:f>IF(J13="","",(1/'Metadata'!$B$5)^(J13-1))</x:f>
        <x:v>602.5595860743575</x:v>
      </x:c>
      <x:c r="L13" s="31" t="n">
        <x:f>IF(E13=0,"",E13*K13)</x:f>
        <x:v>1709.3353064468718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pelagics (&lt;30 cm)</x:v>
      </x:c>
      <x:c r="B14" s="33" t="n">
        <x:v>2</x:v>
      </x:c>
      <x:c r="C14" s="33" t="n">
        <x:v>2</x:v>
      </x:c>
      <x:c r="D14" s="31" t="n">
        <x:v>268975.6449</x:v>
      </x:c>
      <x:c r="E14" s="31" t="n">
        <x:v>268975.6449</x:v>
      </x:c>
      <x:c r="F14" s="32" t="n">
        <x:v>0</x:v>
      </x:c>
      <x:c r="G14" s="34" t="n">
        <x:v>1</x:v>
      </x:c>
      <x:c r="H14" s="32" t="n">
        <x:f>IF(E14=0,"",I14/E14)</x:f>
        <x:v>36.23723420185495</x:v>
      </x:c>
      <x:c r="I14" s="31" t="n">
        <x:f>IF(C14=0,"",SUMIF('Species'!$G$2:$G$68,A14,'Species'!$U$2:$U$68))</x:f>
        <x:v>9746933.438836273</x:v>
      </x:c>
      <x:c r="J14" s="32" t="n">
        <x:v>2.5287072507842514</x:v>
      </x:c>
      <x:c r="K14" s="32" t="n">
        <x:f>IF(J14="","",(1/'Metadata'!$B$5)^(J14-1))</x:f>
        <x:v>33.78370302562372</x:v>
      </x:c>
      <x:c r="L14" s="31" t="n">
        <x:f>IF(E14=0,"",E14*K14)</x:f>
        <x:v>9086993.308427222</x:v>
      </x:c>
      <x:c r="M14" s="31" t="n">
        <x:f>IF(E14=0,"",I14-L14)</x:f>
        <x:v>659940.1304090507</x:v>
      </x:c>
      <x:c r="N14" s="32" t="n">
        <x:f>IF(L14=0,"",I14/L14)</x:f>
        <x:v>1.0726246964215354</x:v>
      </x:c>
      <x:c r="O14" s="34" t="n">
        <x:f>IF(L14=0,"",M14/L14)</x:f>
        <x:v>0.07262469642153542</x:v>
      </x:c>
    </x:row>
    <x:row r="15" ht="18" customHeight="1">
      <x:c r="A15" s="24" t="str">
        <x:v>Small to medium flatfishes (&lt;90 cm)</x:v>
      </x:c>
      <x:c r="B15" s="33" t="n">
        <x:v>1</x:v>
      </x:c>
      <x:c r="C15" s="33" t="n">
        <x:v>1</x:v>
      </x:c>
      <x:c r="D15" s="31" t="n">
        <x:v>119</x:v>
      </x:c>
      <x:c r="E15" s="31" t="n">
        <x:v>119</x:v>
      </x:c>
      <x:c r="F15" s="32" t="n">
        <x:v>0</x:v>
      </x:c>
      <x:c r="G15" s="34" t="n">
        <x:v>1</x:v>
      </x:c>
      <x:c r="H15" s="32" t="n">
        <x:f>IF(E15=0,"",I15/E15)</x:f>
        <x:v>1148.1536214968817</x:v>
      </x:c>
      <x:c r="I15" s="31" t="n">
        <x:f>IF(C15=0,"",SUMIF('Species'!$G$2:$G$68,A15,'Species'!$U$2:$U$68))</x:f>
        <x:v>136630.28095812892</x:v>
      </x:c>
      <x:c r="J15" s="32" t="n">
        <x:v>4.06</x:v>
      </x:c>
      <x:c r="K15" s="32" t="n">
        <x:f>IF(J15="","",(1/'Metadata'!$B$5)^(J15-1))</x:f>
        <x:v>1148.1536214968817</x:v>
      </x:c>
      <x:c r="L15" s="31" t="n">
        <x:f>IF(E15=0,"",E15*K15)</x:f>
        <x:v>136630.28095812892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to medium sharks (&lt;90 cm)</x:v>
      </x:c>
      <x:c r="B16" s="33" t="n">
        <x:v>1</x:v>
      </x:c>
      <x:c r="C16" s="33" t="n">
        <x:v>1</x:v>
      </x:c>
      <x:c r="D16" s="31" t="n">
        <x:v>2.552511808</x:v>
      </x:c>
      <x:c r="E16" s="31" t="n">
        <x:v>2.552511808</x:v>
      </x:c>
      <x:c r="F16" s="32" t="n">
        <x:v>0</x:v>
      </x:c>
      <x:c r="G16" s="34" t="n">
        <x:v>1</x:v>
      </x:c>
      <x:c r="H16" s="32" t="n">
        <x:f>IF(E16=0,"",I16/E16)</x:f>
        <x:v>407.3802778041126</x:v>
      </x:c>
      <x:c r="I16" s="31" t="n">
        <x:f>IF(C16=0,"",SUMIF('Species'!$G$2:$G$68,A16,'Species'!$U$2:$U$68))</x:f>
        <x:v>1039.8429694413178</x:v>
      </x:c>
      <x:c r="J16" s="32" t="n">
        <x:v>3.61</x:v>
      </x:c>
      <x:c r="K16" s="32" t="n">
        <x:f>IF(J16="","",(1/'Metadata'!$B$5)^(J16-1))</x:f>
        <x:v>407.3802778041126</x:v>
      </x:c>
      <x:c r="L16" s="31" t="n">
        <x:f>IF(E16=0,"",E16*K16)</x:f>
        <x:v>1039.8429694413178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0e5c62d5fef4c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EEZ_952</x:v>
      </x:c>
      <x:c r="B2" s="24" t="str">
        <x:v>raw_filtered_tonnes</x:v>
      </x:c>
      <x:c r="C2" s="24" t="n">
        <x:v>303382.6234939234</x:v>
      </x:c>
      <x:c r="D2" s="24" t="str">
        <x:v>tonnes</x:v>
      </x:c>
    </x:row>
    <x:row r="3" ht="18" customHeight="1">
      <x:c r="A3" s="24" t="str">
        <x:v>EEZ_952</x:v>
      </x:c>
      <x:c r="B3" s="24" t="str">
        <x:v>species_catch_tonnes</x:v>
      </x:c>
      <x:c r="C3" s="24" t="n">
        <x:v>303382.62349392334</x:v>
      </x:c>
      <x:c r="D3" s="24" t="str">
        <x:v>tonnes</x:v>
      </x:c>
    </x:row>
    <x:row r="4" ht="18" customHeight="1">
      <x:c r="A4" s="24" t="str">
        <x:v>EEZ_952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EEZ_952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EEZ_952</x:v>
      </x:c>
      <x:c r="B6" s="24" t="str">
        <x:v>matched_catch_tonnes</x:v>
      </x:c>
      <x:c r="C6" s="24" t="n">
        <x:v>303382.62349392334</x:v>
      </x:c>
      <x:c r="D6" s="24" t="str">
        <x:v>tonnes</x:v>
      </x:c>
    </x:row>
    <x:row r="7" ht="18" customHeight="1">
      <x:c r="A7" s="24" t="str">
        <x:v>EEZ_952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EEZ_952</x:v>
      </x:c>
      <x:c r="B8" s="24" t="str">
        <x:v>taxa_count</x:v>
      </x:c>
      <x:c r="C8" s="24" t="n">
        <x:v>67</x:v>
      </x:c>
      <x:c r="D8" s="24" t="str">
        <x:v>count</x:v>
      </x:c>
    </x:row>
    <x:row r="9" ht="18" customHeight="1">
      <x:c r="A9" s="24" t="str">
        <x:v>EEZ_952</x:v>
      </x:c>
      <x:c r="B9" s="24" t="str">
        <x:v>matched_taxa_count</x:v>
      </x:c>
      <x:c r="C9" s="24" t="n">
        <x:v>67</x:v>
      </x:c>
      <x:c r="D9" s="24" t="str">
        <x:v>count</x:v>
      </x:c>
    </x:row>
    <x:row r="10" ht="18" customHeight="1">
      <x:c r="A10" s="24" t="str">
        <x:v>EEZ_952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EEZ_952</x:v>
      </x:c>
      <x:c r="B11" s="24" t="str">
        <x:v>species_ppr</x:v>
      </x:c>
      <x:c r="C11" s="24" t="n">
        <x:v>28957741.549752913</x:v>
      </x:c>
      <x:c r="D11" s="24" t="str">
        <x:v>tonnes_primary_production_equivalent</x:v>
      </x:c>
    </x:row>
    <x:row r="12" ht="18" customHeight="1">
      <x:c r="A12" s="24" t="str">
        <x:v>EEZ_952</x:v>
      </x:c>
      <x:c r="B12" s="24" t="str">
        <x:v>commercial_ppr</x:v>
      </x:c>
      <x:c r="C12" s="24" t="n">
        <x:v>28957741.54975291</x:v>
      </x:c>
      <x:c r="D12" s="24" t="str">
        <x:v>tonnes_primary_production_equivalent</x:v>
      </x:c>
    </x:row>
    <x:row r="13" ht="18" customHeight="1">
      <x:c r="A13" s="24" t="str">
        <x:v>EEZ_952</x:v>
      </x:c>
      <x:c r="B13" s="24" t="str">
        <x:v>functional_ppr</x:v>
      </x:c>
      <x:c r="C13" s="24" t="n">
        <x:v>28957741.549752906</x:v>
      </x:c>
      <x:c r="D13" s="24" t="str">
        <x:v>tonnes_primary_production_equivalent</x:v>
      </x:c>
    </x:row>
    <x:row r="14" ht="18" customHeight="1">
      <x:c r="A14" s="24" t="str">
        <x:v>EEZ_952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EEZ_952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EEZ_952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b1f82de3f1f48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EEZ_952 - Panama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