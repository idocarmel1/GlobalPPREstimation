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a2508b266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c49e70d593a4f25"/>
    <x:sheet xmlns:r="http://schemas.openxmlformats.org/officeDocument/2006/relationships" name="Commercial" sheetId="2" r:id="R7da7f24f65a24c29"/>
    <x:sheet xmlns:r="http://schemas.openxmlformats.org/officeDocument/2006/relationships" name="Functional" sheetId="3" r:id="Re34c5405247a45d3"/>
    <x:sheet xmlns:r="http://schemas.openxmlformats.org/officeDocument/2006/relationships" name="Missing TL" sheetId="4" r:id="Rf01102953e494fb6"/>
    <x:sheet xmlns:r="http://schemas.openxmlformats.org/officeDocument/2006/relationships" name="Validation" sheetId="5" r:id="R9317037d40c74aff"/>
    <x:sheet xmlns:r="http://schemas.openxmlformats.org/officeDocument/2006/relationships" name="Metadata" sheetId="6" r:id="R293e69bac4944f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f76d24ca04014" /><Relationship Type="http://schemas.openxmlformats.org/officeDocument/2006/relationships/theme" Target="/xl/theme/theme1.xml" Id="R3c4608c0dcf0486f" /><Relationship Type="http://schemas.microsoft.com/office/2022/11/relationships/FeaturePropertyBag" Target="/xl/featurePropertyBag/featurePropertyBag.xml" Id="Re583d3de42164332" /><Relationship Type="http://schemas.openxmlformats.org/officeDocument/2006/relationships/sharedStrings" Target="/xl/sharedStrings.xml" Id="Rb3bccda837014604" /><Relationship Type="http://schemas.openxmlformats.org/officeDocument/2006/relationships/worksheet" Target="/xl/worksheets/sheet1.xml" Id="R9c49e70d593a4f25" /><Relationship Type="http://schemas.openxmlformats.org/officeDocument/2006/relationships/worksheet" Target="/xl/worksheets/sheet2.xml" Id="R7da7f24f65a24c29" /><Relationship Type="http://schemas.openxmlformats.org/officeDocument/2006/relationships/worksheet" Target="/xl/worksheets/sheet3.xml" Id="Re34c5405247a45d3" /><Relationship Type="http://schemas.openxmlformats.org/officeDocument/2006/relationships/worksheet" Target="/xl/worksheets/sheet4.xml" Id="Rf01102953e494fb6" /><Relationship Type="http://schemas.openxmlformats.org/officeDocument/2006/relationships/worksheet" Target="/xl/worksheets/sheet5.xml" Id="R9317037d40c74aff" /><Relationship Type="http://schemas.openxmlformats.org/officeDocument/2006/relationships/worksheet" Target="/xl/worksheets/sheet6.xml" Id="R293e69bac4944f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93SpeciesTable" displayName="EEZ793SpeciesTable" ref="A1:U93" headerRowCount="1" totalsRowCount="0" totalsRowShown="0">
  <x:autoFilter ref="A1:U9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93CommercialTable" displayName="EEZ793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93FunctionalTable" displayName="EEZ793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93ValidationTable" displayName="EEZ79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4ec2ea62544d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9203fd7f4b4f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e0405273284f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df8ae0cb3d48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EEZ_793</x:v>
      </x:c>
      <x:c r="B2" s="24" t="str">
        <x:v>Turkey (Mediterranean Sea)</x:v>
      </x:c>
      <x:c r="C2" s="24" t="str">
        <x:v>EEZ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19652.0162297528</x:v>
      </x:c>
      <x:c r="J2" s="31" t="n">
        <x:v>18624.8429992842</x:v>
      </x:c>
      <x:c r="K2" s="31" t="n">
        <x:v>1027.1732304686</x:v>
      </x:c>
      <x:c r="L2" s="31" t="n">
        <x:v>14338.4</x:v>
      </x:c>
      <x:c r="M2" s="31" t="n">
        <x:v>5313.6162297528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2256353.3603906194</x:v>
      </x:c>
    </x:row>
    <x:row r="3" ht="18" customHeight="1">
      <x:c r="A3" s="24" t="str">
        <x:v>EEZ_793</x:v>
      </x:c>
      <x:c r="B3" s="24" t="str">
        <x:v>Turkey (Mediterranean Sea)</x:v>
      </x:c>
      <x:c r="C3" s="24" t="str">
        <x:v>EEZ</x:v>
      </x:c>
      <x:c r="D3" s="30" t="n">
        <x:v>2019</x:v>
      </x:c>
      <x:c r="E3" s="24" t="str">
        <x:v>Engraulis encrasicolus</x:v>
      </x:c>
      <x:c r="F3" s="24" t="str">
        <x:v>European anchovy</x:v>
      </x:c>
      <x:c r="G3" s="24" t="str">
        <x:v>Small pelagics (&lt;30 cm)</x:v>
      </x:c>
      <x:c r="H3" s="24" t="str">
        <x:v>Anchovies</x:v>
      </x:c>
      <x:c r="I3" s="31" t="n">
        <x:v>17552.3964534792</x:v>
      </x:c>
      <x:c r="J3" s="31" t="n">
        <x:v>16539.3083954728</x:v>
      </x:c>
      <x:c r="K3" s="31" t="n">
        <x:v>1013.0880580064</x:v>
      </x:c>
      <x:c r="L3" s="31" t="n">
        <x:v>12229</x:v>
      </x:c>
      <x:c r="M3" s="31" t="n">
        <x:v>5323.3964534792</x:v>
      </x:c>
      <x:c r="N3" s="24" t="str">
        <x:v>engraulis encrasicolus</x:v>
      </x:c>
      <x:c r="O3" s="32" t="n">
        <x:v>3.11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Engraulis encrasicolus</x:v>
      </x:c>
      <x:c r="T3" s="32" t="n">
        <x:f>IF(O3="","",(1/'Metadata'!$B$5)^(O3-1))</x:f>
        <x:v>128.82495516931337</x:v>
      </x:c>
      <x:c r="U3" s="31" t="n">
        <x:f>IF(T3="","",I3*T3)</x:f>
        <x:v>2261186.686233473</x:v>
      </x:c>
    </x:row>
    <x:row r="4" ht="18" customHeight="1">
      <x:c r="A4" s="24" t="str">
        <x:v>EEZ_793</x:v>
      </x:c>
      <x:c r="B4" s="24" t="str">
        <x:v>Turkey (Mediterranean Sea)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5839.5034642108</x:v>
      </x:c>
      <x:c r="J4" s="31" t="n">
        <x:v>4974.8395679322</x:v>
      </x:c>
      <x:c r="K4" s="31" t="n">
        <x:v>864.6638962786</x:v>
      </x:c>
      <x:c r="L4" s="31" t="n">
        <x:v>3568.0685294479003</x:v>
      </x:c>
      <x:c r="M4" s="31" t="n">
        <x:v>2271.4349347629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1112694.4463463975</x:v>
      </x:c>
    </x:row>
    <x:row r="5" ht="18" customHeight="1">
      <x:c r="A5" s="24" t="str">
        <x:v>EEZ_793</x:v>
      </x:c>
      <x:c r="B5" s="24" t="str">
        <x:v>Turkey (Mediterranean Sea)</x:v>
      </x:c>
      <x:c r="C5" s="24" t="str">
        <x:v>EEZ</x:v>
      </x:c>
      <x:c r="D5" s="30" t="n">
        <x:v>2019</x:v>
      </x:c>
      <x:c r="E5" s="24" t="str">
        <x:v>Mytilus galloprovincialis</x:v>
      </x:c>
      <x:c r="F5" s="24" t="str">
        <x:v>Mediterranean mussel</x:v>
      </x:c>
      <x:c r="G5" s="24" t="str">
        <x:v>Other demersal invertebrates</x:v>
      </x:c>
      <x:c r="H5" s="24" t="str">
        <x:v>Molluscs</x:v>
      </x:c>
      <x:c r="I5" s="31" t="n">
        <x:v>5158.9369534781</x:v>
      </x:c>
      <x:c r="J5" s="31" t="n">
        <x:v>5158.9369534781</x:v>
      </x:c>
      <x:c r="K5" s="31" t="n">
        <x:v>0</x:v>
      </x:c>
      <x:c r="L5" s="31" t="n">
        <x:v>0</x:v>
      </x:c>
      <x:c r="M5" s="31" t="n">
        <x:v>5158.9369534781</x:v>
      </x:c>
      <x:c r="N5" s="24" t="str">
        <x:v>mytilus galloprovincialis</x:v>
      </x:c>
      <x:c r="O5" s="32" t="n">
        <x:v>2.69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Mytilus galloprovincialis</x:v>
      </x:c>
      <x:c r="T5" s="32" t="n">
        <x:f>IF(O5="","",(1/'Metadata'!$B$5)^(O5-1))</x:f>
        <x:v>48.97788193684461</x:v>
      </x:c>
      <x:c r="U5" s="31" t="n">
        <x:f>IF(T5="","",I5*T5)</x:f>
        <x:v>252673.8050270752</x:v>
      </x:c>
    </x:row>
    <x:row r="6" ht="18" customHeight="1">
      <x:c r="A6" s="24" t="str">
        <x:v>EEZ_793</x:v>
      </x:c>
      <x:c r="B6" s="24" t="str">
        <x:v>Turkey (Mediterranean Sea)</x:v>
      </x:c>
      <x:c r="C6" s="24" t="str">
        <x:v>EEZ</x:v>
      </x:c>
      <x:c r="D6" s="30" t="n">
        <x:v>2019</x:v>
      </x:c>
      <x:c r="E6" s="24" t="str">
        <x:v>Boops boops</x:v>
      </x:c>
      <x:c r="F6" s="24" t="str">
        <x:v>Bogue</x:v>
      </x:c>
      <x:c r="G6" s="24" t="str">
        <x:v>Medium demersals (30 - 89 cm)</x:v>
      </x:c>
      <x:c r="H6" s="24" t="str">
        <x:v>Perch-likes</x:v>
      </x:c>
      <x:c r="I6" s="31" t="n">
        <x:v>4490.7339604219</x:v>
      </x:c>
      <x:c r="J6" s="31" t="n">
        <x:v>4226.3233446915</x:v>
      </x:c>
      <x:c r="K6" s="31" t="n">
        <x:v>264.41061573039997</x:v>
      </x:c>
      <x:c r="L6" s="31" t="n">
        <x:v>2788.9</x:v>
      </x:c>
      <x:c r="M6" s="31" t="n">
        <x:v>1701.8339604219</x:v>
      </x:c>
      <x:c r="N6" s="24" t="str">
        <x:v>boops boops</x:v>
      </x:c>
      <x:c r="O6" s="32" t="n">
        <x:v>2.79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Boops boops</x:v>
      </x:c>
      <x:c r="T6" s="32" t="n">
        <x:f>IF(O6="","",(1/'Metadata'!$B$5)^(O6-1))</x:f>
        <x:v>61.65950018614822</x:v>
      </x:c>
      <x:c r="U6" s="31" t="n">
        <x:f>IF(T6="","",I6*T6)</x:f>
        <x:v>276896.41146857623</x:v>
      </x:c>
    </x:row>
    <x:row r="7" ht="18" customHeight="1">
      <x:c r="A7" s="24" t="str">
        <x:v>EEZ_793</x:v>
      </x:c>
      <x:c r="B7" s="24" t="str">
        <x:v>Turkey (Mediterranean Sea)</x:v>
      </x:c>
      <x:c r="C7" s="24" t="str">
        <x:v>EEZ</x:v>
      </x:c>
      <x:c r="D7" s="30" t="n">
        <x:v>2019</x:v>
      </x:c>
      <x:c r="E7" s="24" t="str">
        <x:v>Diplodus</x:v>
      </x:c>
      <x:c r="F7" s="24" t="str">
        <x:v>Two-toothed seabreams</x:v>
      </x:c>
      <x:c r="G7" s="24" t="str">
        <x:v>Medium benthopelagics (30 - 89 cm)</x:v>
      </x:c>
      <x:c r="H7" s="24" t="str">
        <x:v>Perch-likes</x:v>
      </x:c>
      <x:c r="I7" s="31" t="n">
        <x:v>2191.0889936201997</x:v>
      </x:c>
      <x:c r="J7" s="31" t="n">
        <x:v>2137.0330643316997</x:v>
      </x:c>
      <x:c r="K7" s="31" t="n">
        <x:v>54.0559292885</x:v>
      </x:c>
      <x:c r="L7" s="31" t="n">
        <x:v>1074.3999999999</x:v>
      </x:c>
      <x:c r="M7" s="31" t="n">
        <x:v>1116.6889936203</x:v>
      </x:c>
      <x:c r="N7" s="24" t="str">
        <x:v>diplodus</x:v>
      </x:c>
      <x:c r="O7" s="32" t="n">
        <x:v>2.97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Diplodus</x:v>
      </x:c>
      <x:c r="T7" s="32" t="n">
        <x:f>IF(O7="","",(1/'Metadata'!$B$5)^(O7-1))</x:f>
        <x:v>93.32543007969915</x:v>
      </x:c>
      <x:c r="U7" s="31" t="n">
        <x:f>IF(T7="","",I7*T7)</x:f>
        <x:v>204484.32267250033</x:v>
      </x:c>
    </x:row>
    <x:row r="8" ht="18" customHeight="1">
      <x:c r="A8" s="24" t="str">
        <x:v>EEZ_793</x:v>
      </x:c>
      <x:c r="B8" s="24" t="str">
        <x:v>Turkey (Mediterranean Sea)</x:v>
      </x:c>
      <x:c r="C8" s="24" t="str">
        <x:v>EEZ</x:v>
      </x:c>
      <x:c r="D8" s="30" t="n">
        <x:v>2019</x:v>
      </x:c>
      <x:c r="E8" s="24" t="str">
        <x:v>Alosa fallax</x:v>
      </x:c>
      <x:c r="F8" s="24" t="str">
        <x:v>Twaite shad</x:v>
      </x:c>
      <x:c r="G8" s="24" t="str">
        <x:v>Medium pelagics (30 - 89 cm)</x:v>
      </x:c>
      <x:c r="H8" s="24" t="str">
        <x:v>Herring-likes</x:v>
      </x:c>
      <x:c r="I8" s="31" t="n">
        <x:v>2072.1051137858</x:v>
      </x:c>
      <x:c r="J8" s="31" t="n">
        <x:v>1923.8637747624</x:v>
      </x:c>
      <x:c r="K8" s="31" t="n">
        <x:v>148.2413390234</x:v>
      </x:c>
      <x:c r="L8" s="31" t="n">
        <x:v>1378.6</x:v>
      </x:c>
      <x:c r="M8" s="31" t="n">
        <x:v>693.5051137858</x:v>
      </x:c>
      <x:c r="N8" s="24" t="str">
        <x:v>alosa fallax</x:v>
      </x:c>
      <x:c r="O8" s="32" t="n">
        <x:v>4.03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Alosa fallax</x:v>
      </x:c>
      <x:c r="T8" s="32" t="n">
        <x:f>IF(O8="","",(1/'Metadata'!$B$5)^(O8-1))</x:f>
        <x:v>1071.519305237607</x:v>
      </x:c>
      <x:c r="U8" s="31" t="n">
        <x:f>IF(T8="","",I8*T8)</x:f>
        <x:v>2220300.6319030533</x:v>
      </x:c>
    </x:row>
    <x:row r="9" ht="18" customHeight="1">
      <x:c r="A9" s="24" t="str">
        <x:v>EEZ_793</x:v>
      </x:c>
      <x:c r="B9" s="24" t="str">
        <x:v>Turkey (Mediterranean Sea)</x:v>
      </x:c>
      <x:c r="C9" s="24" t="str">
        <x:v>EEZ</x:v>
      </x:c>
      <x:c r="D9" s="30" t="n">
        <x:v>2019</x:v>
      </x:c>
      <x:c r="E9" s="24" t="str">
        <x:v>Mugil</x:v>
      </x:c>
      <x:c r="F9" s="24" t="str">
        <x:v>Grey mullets</x:v>
      </x:c>
      <x:c r="G9" s="24" t="str">
        <x:v>Medium demersals (30 - 89 cm)</x:v>
      </x:c>
      <x:c r="H9" s="24" t="str">
        <x:v>Perch-likes</x:v>
      </x:c>
      <x:c r="I9" s="31" t="n">
        <x:v>2051.8116509868</x:v>
      </x:c>
      <x:c r="J9" s="31" t="n">
        <x:v>1985.0294080761</x:v>
      </x:c>
      <x:c r="K9" s="31" t="n">
        <x:v>66.78224291069999</x:v>
      </x:c>
      <x:c r="L9" s="31" t="n">
        <x:v>1703.0999999999</x:v>
      </x:c>
      <x:c r="M9" s="31" t="n">
        <x:v>348.7116509869</x:v>
      </x:c>
      <x:c r="N9" s="24" t="str">
        <x:v>mugil</x:v>
      </x:c>
      <x:c r="O9" s="32" t="n">
        <x:v>2.26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Mugil</x:v>
      </x:c>
      <x:c r="T9" s="32" t="n">
        <x:f>IF(O9="","",(1/'Metadata'!$B$5)^(O9-1))</x:f>
        <x:v>18.197008586099827</x:v>
      </x:c>
      <x:c r="U9" s="31" t="n">
        <x:f>IF(T9="","",I9*T9)</x:f>
        <x:v>37336.83423006646</x:v>
      </x:c>
    </x:row>
    <x:row r="10" ht="18" customHeight="1">
      <x:c r="A10" s="24" t="str">
        <x:v>EEZ_793</x:v>
      </x:c>
      <x:c r="B10" s="24" t="str">
        <x:v>Turkey (Mediterranean Sea)</x:v>
      </x:c>
      <x:c r="C10" s="24" t="str">
        <x:v>EEZ</x:v>
      </x:c>
      <x:c r="D10" s="30" t="n">
        <x:v>2019</x:v>
      </x:c>
      <x:c r="E10" s="24" t="str">
        <x:v>Trachurus trachurus</x:v>
      </x:c>
      <x:c r="F10" s="24" t="str">
        <x:v>Atlantic horse mackerel</x:v>
      </x:c>
      <x:c r="G10" s="24" t="str">
        <x:v>Medium pelagics (30 - 89 cm)</x:v>
      </x:c>
      <x:c r="H10" s="24" t="str">
        <x:v>Perch-likes</x:v>
      </x:c>
      <x:c r="I10" s="31" t="n">
        <x:v>1768.2986336886001</x:v>
      </x:c>
      <x:c r="J10" s="31" t="n">
        <x:v>1636.4212412709</x:v>
      </x:c>
      <x:c r="K10" s="31" t="n">
        <x:v>131.8773924177</x:v>
      </x:c>
      <x:c r="L10" s="31" t="n">
        <x:v>1091.8</x:v>
      </x:c>
      <x:c r="M10" s="31" t="n">
        <x:v>676.4986336886</x:v>
      </x:c>
      <x:c r="N10" s="24" t="str">
        <x:v>trachurus trachurus</x:v>
      </x:c>
      <x:c r="O10" s="32" t="n">
        <x:v>3.71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Trachurus trachurus</x:v>
      </x:c>
      <x:c r="T10" s="32" t="n">
        <x:f>IF(O10="","",(1/'Metadata'!$B$5)^(O10-1))</x:f>
        <x:v>512.8613839913648</x:v>
      </x:c>
      <x:c r="U10" s="31" t="n">
        <x:f>IF(T10="","",I10*T10)</x:f>
        <x:v>906892.084583575</x:v>
      </x:c>
    </x:row>
    <x:row r="11" ht="18" customHeight="1">
      <x:c r="A11" s="24" t="str">
        <x:v>EEZ_793</x:v>
      </x:c>
      <x:c r="B11" s="24" t="str">
        <x:v>Turkey (Mediterranean Sea)</x:v>
      </x:c>
      <x:c r="C11" s="24" t="str">
        <x:v>EEZ</x:v>
      </x:c>
      <x:c r="D11" s="30" t="n">
        <x:v>2019</x:v>
      </x:c>
      <x:c r="E11" s="24" t="str">
        <x:v>Sarda sarda</x:v>
      </x:c>
      <x:c r="F11" s="24" t="str">
        <x:v>Atlantic bonito</x:v>
      </x:c>
      <x:c r="G11" s="24" t="str">
        <x:v>Medium pelagics (30 - 89 cm)</x:v>
      </x:c>
      <x:c r="H11" s="24" t="str">
        <x:v>Tuna &amp; billfishes</x:v>
      </x:c>
      <x:c r="I11" s="31" t="n">
        <x:v>1740.0902101254</x:v>
      </x:c>
      <x:c r="J11" s="31" t="n">
        <x:v>1673.0575254671</x:v>
      </x:c>
      <x:c r="K11" s="31" t="n">
        <x:v>67.0326846583</x:v>
      </x:c>
      <x:c r="L11" s="31" t="n">
        <x:v>1267.4338226878</x:v>
      </x:c>
      <x:c r="M11" s="31" t="n">
        <x:v>472.6563874376</x:v>
      </x:c>
      <x:c r="N11" s="24" t="str">
        <x:v>sarda sarda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Sarda sarda</x:v>
      </x:c>
      <x:c r="T11" s="32" t="n">
        <x:f>IF(O11="","",(1/'Metadata'!$B$5)^(O11-1))</x:f>
        <x:v>3162.2776601683795</x:v>
      </x:c>
      <x:c r="U11" s="31" t="n">
        <x:f>IF(T11="","",I11*T11)</x:f>
        <x:v>5502648.398157254</x:v>
      </x:c>
    </x:row>
    <x:row r="12" ht="18" customHeight="1">
      <x:c r="A12" s="24" t="str">
        <x:v>EEZ_793</x:v>
      </x:c>
      <x:c r="B12" s="24" t="str">
        <x:v>Turkey (Mediterranean Sea)</x:v>
      </x:c>
      <x:c r="C12" s="24" t="str">
        <x:v>EEZ</x:v>
      </x:c>
      <x:c r="D12" s="30" t="n">
        <x:v>2019</x:v>
      </x:c>
      <x:c r="E12" s="24" t="str">
        <x:v>Mullus barbatus</x:v>
      </x:c>
      <x:c r="F12" s="24" t="str">
        <x:v>Red mullet</x:v>
      </x:c>
      <x:c r="G12" s="24" t="str">
        <x:v>Medium demersals (30 - 89 cm)</x:v>
      </x:c>
      <x:c r="H12" s="24" t="str">
        <x:v>Perch-likes</x:v>
      </x:c>
      <x:c r="I12" s="31" t="n">
        <x:v>1692.3311456345</x:v>
      </x:c>
      <x:c r="J12" s="31" t="n">
        <x:v>1611.6162825644</x:v>
      </x:c>
      <x:c r="K12" s="31" t="n">
        <x:v>80.7148630701</x:v>
      </x:c>
      <x:c r="L12" s="31" t="n">
        <x:v>1412.9</x:v>
      </x:c>
      <x:c r="M12" s="31" t="n">
        <x:v>279.4311456345</x:v>
      </x:c>
      <x:c r="N12" s="24" t="str">
        <x:v>mullus barbatus</x:v>
      </x:c>
      <x:c r="O12" s="32" t="n">
        <x:v>3.14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Mullus barbatus</x:v>
      </x:c>
      <x:c r="T12" s="32" t="n">
        <x:f>IF(O12="","",(1/'Metadata'!$B$5)^(O12-1))</x:f>
        <x:v>138.03842646028852</x:v>
      </x:c>
      <x:c r="U12" s="31" t="n">
        <x:f>IF(T12="","",I12*T12)</x:f>
        <x:v>233606.72839312375</x:v>
      </x:c>
    </x:row>
    <x:row r="13" ht="18" customHeight="1">
      <x:c r="A13" s="24" t="str">
        <x:v>EEZ_793</x:v>
      </x:c>
      <x:c r="B13" s="24" t="str">
        <x:v>Turkey (Mediterranean Sea)</x:v>
      </x:c>
      <x:c r="C13" s="24" t="str">
        <x:v>EEZ</x:v>
      </x:c>
      <x:c r="D13" s="30" t="n">
        <x:v>2019</x:v>
      </x:c>
      <x:c r="E13" s="24" t="str">
        <x:v>Parapenaeus longirostris</x:v>
      </x:c>
      <x:c r="F13" s="24" t="str">
        <x:v>Deepwater rose shrimp</x:v>
      </x:c>
      <x:c r="G13" s="24" t="str">
        <x:v>Shrimps</x:v>
      </x:c>
      <x:c r="H13" s="24" t="str">
        <x:v>Crustaceans</x:v>
      </x:c>
      <x:c r="I13" s="31" t="n">
        <x:v>1312.8897637023001</x:v>
      </x:c>
      <x:c r="J13" s="31" t="n">
        <x:v>1312.8897637023001</x:v>
      </x:c>
      <x:c r="K13" s="31" t="n">
        <x:v>0</x:v>
      </x:c>
      <x:c r="L13" s="31" t="n">
        <x:v>1117.1467919315</x:v>
      </x:c>
      <x:c r="M13" s="31" t="n">
        <x:v>195.7429717708</x:v>
      </x:c>
      <x:c r="N13" s="24" t="str">
        <x:v>parapenaeus longirostris</x:v>
      </x:c>
      <x:c r="O13" s="32" t="n">
        <x:v>3.3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Parapenaeus longirostris</x:v>
      </x:c>
      <x:c r="T13" s="32" t="n">
        <x:f>IF(O13="","",(1/'Metadata'!$B$5)^(O13-1))</x:f>
        <x:v>199.52623149688787</x:v>
      </x:c>
      <x:c r="U13" s="31" t="n">
        <x:f>IF(T13="","",I13*T13)</x:f>
        <x:v>261955.94692235955</x:v>
      </x:c>
    </x:row>
    <x:row r="14" ht="18" customHeight="1">
      <x:c r="A14" s="24" t="str">
        <x:v>EEZ_793</x:v>
      </x:c>
      <x:c r="B14" s="24" t="str">
        <x:v>Turkey (Mediterranean Sea)</x:v>
      </x:c>
      <x:c r="C14" s="24" t="str">
        <x:v>EEZ</x:v>
      </x:c>
      <x:c r="D14" s="30" t="n">
        <x:v>2019</x:v>
      </x:c>
      <x:c r="E14" s="24" t="str">
        <x:v>Mugilidae</x:v>
      </x:c>
      <x:c r="F14" s="24" t="str">
        <x:v>Mullets, grey mullets</x:v>
      </x:c>
      <x:c r="G14" s="24" t="str">
        <x:v>Medium reef assoc. fish (30 - 89 cm)</x:v>
      </x:c>
      <x:c r="H14" s="24" t="str">
        <x:v>Perch-likes</x:v>
      </x:c>
      <x:c r="I14" s="31" t="n">
        <x:v>1251.8847547717999</x:v>
      </x:c>
      <x:c r="J14" s="31" t="n">
        <x:v>1251.8847547717999</x:v>
      </x:c>
      <x:c r="K14" s="31" t="n">
        <x:v>0</x:v>
      </x:c>
      <x:c r="L14" s="31" t="n">
        <x:v>0</x:v>
      </x:c>
      <x:c r="M14" s="31" t="n">
        <x:v>1251.8847547717999</x:v>
      </x:c>
      <x:c r="N14" s="24" t="str">
        <x:v>mugilidae</x:v>
      </x:c>
      <x:c r="O14" s="32" t="n">
        <x:v>2.53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Mugilidae</x:v>
      </x:c>
      <x:c r="T14" s="32" t="n">
        <x:f>IF(O14="","",(1/'Metadata'!$B$5)^(O14-1))</x:f>
        <x:v>33.88441561392024</x:v>
      </x:c>
      <x:c r="U14" s="31" t="n">
        <x:f>IF(T14="","",I14*T14)</x:f>
        <x:v>42419.383331418285</x:v>
      </x:c>
    </x:row>
    <x:row r="15" ht="18" customHeight="1">
      <x:c r="A15" s="24" t="str">
        <x:v>EEZ_793</x:v>
      </x:c>
      <x:c r="B15" s="24" t="str">
        <x:v>Turkey (Mediterranean Sea)</x:v>
      </x:c>
      <x:c r="C15" s="24" t="str">
        <x:v>EEZ</x:v>
      </x:c>
      <x:c r="D15" s="30" t="n">
        <x:v>2019</x:v>
      </x:c>
      <x:c r="E15" s="24" t="str">
        <x:v>Sepia officinalis</x:v>
      </x:c>
      <x:c r="F15" s="24" t="str">
        <x:v>Common cuttlefish</x:v>
      </x:c>
      <x:c r="G15" s="24" t="str">
        <x:v>Cephalopods</x:v>
      </x:c>
      <x:c r="H15" s="24" t="str">
        <x:v>Other fishes &amp; inverts</x:v>
      </x:c>
      <x:c r="I15" s="31" t="n">
        <x:v>1217.6814658996</x:v>
      </x:c>
      <x:c r="J15" s="31" t="n">
        <x:v>1150.5199186954</x:v>
      </x:c>
      <x:c r="K15" s="31" t="n">
        <x:v>67.1615472042</x:v>
      </x:c>
      <x:c r="L15" s="31" t="n">
        <x:v>928.6167765646</x:v>
      </x:c>
      <x:c r="M15" s="31" t="n">
        <x:v>289.064689335</x:v>
      </x:c>
      <x:c r="N15" s="24" t="str">
        <x:v>sepia officinalis</x:v>
      </x:c>
      <x:c r="O15" s="32" t="n">
        <x:v>4.27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Sepia officinalis</x:v>
      </x:c>
      <x:c r="T15" s="32" t="n">
        <x:f>IF(O15="","",(1/'Metadata'!$B$5)^(O15-1))</x:f>
        <x:v>1862.0871366628655</x:v>
      </x:c>
      <x:c r="U15" s="31" t="n">
        <x:f>IF(T15="","",I15*T15)</x:f>
        <x:v>2267428.9942044266</x:v>
      </x:c>
    </x:row>
    <x:row r="16" ht="18" customHeight="1">
      <x:c r="A16" s="24" t="str">
        <x:v>EEZ_793</x:v>
      </x:c>
      <x:c r="B16" s="24" t="str">
        <x:v>Turkey (Mediterranean Sea)</x:v>
      </x:c>
      <x:c r="C16" s="24" t="str">
        <x:v>EEZ</x:v>
      </x:c>
      <x:c r="D16" s="30" t="n">
        <x:v>2019</x:v>
      </x:c>
      <x:c r="E16" s="24" t="str">
        <x:v>Merlucciidae</x:v>
      </x:c>
      <x:c r="F16" s="24" t="str">
        <x:v>Merluccid hakes</x:v>
      </x:c>
      <x:c r="G16" s="24" t="str">
        <x:v>Large bathydemersals (&gt;=90 cm)</x:v>
      </x:c>
      <x:c r="H16" s="24" t="str">
        <x:v>Cod-likes</x:v>
      </x:c>
      <x:c r="I16" s="31" t="n">
        <x:v>1180.5999999999</x:v>
      </x:c>
      <x:c r="J16" s="31" t="n">
        <x:v>1180.5999999999</x:v>
      </x:c>
      <x:c r="K16" s="31" t="n">
        <x:v>0</x:v>
      </x:c>
      <x:c r="L16" s="31" t="n">
        <x:v>1180.5999999999</x:v>
      </x:c>
      <x:c r="M16" s="31" t="n">
        <x:v>0</x:v>
      </x:c>
      <x:c r="N16" s="24" t="str">
        <x:v>merlucciidae</x:v>
      </x:c>
      <x:c r="O16" s="32" t="n">
        <x:v>4.35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Merlucciidae</x:v>
      </x:c>
      <x:c r="T16" s="32" t="n">
        <x:f>IF(O16="","",(1/'Metadata'!$B$5)^(O16-1))</x:f>
        <x:v>2238.7211385683377</x:v>
      </x:c>
      <x:c r="U16" s="31" t="n">
        <x:f>IF(T16="","",I16*T16)</x:f>
        <x:v>2643034.176193556</x:v>
      </x:c>
    </x:row>
    <x:row r="17" ht="18" customHeight="1">
      <x:c r="A17" s="24" t="str">
        <x:v>EEZ_793</x:v>
      </x:c>
      <x:c r="B17" s="24" t="str">
        <x:v>Turkey (Mediterranean Sea)</x:v>
      </x:c>
      <x:c r="C17" s="24" t="str">
        <x:v>EEZ</x:v>
      </x:c>
      <x:c r="D17" s="30" t="n">
        <x:v>2019</x:v>
      </x:c>
      <x:c r="E17" s="24" t="str">
        <x:v>Sprattus sprattus</x:v>
      </x:c>
      <x:c r="F17" s="24" t="str">
        <x:v>European sprat</x:v>
      </x:c>
      <x:c r="G17" s="24" t="str">
        <x:v>Small pelagics (&lt;30 cm)</x:v>
      </x:c>
      <x:c r="H17" s="24" t="str">
        <x:v>Herring-likes</x:v>
      </x:c>
      <x:c r="I17" s="31" t="n">
        <x:v>1130.8456805029</x:v>
      </x:c>
      <x:c r="J17" s="31" t="n">
        <x:v>1128.5174333325</x:v>
      </x:c>
      <x:c r="K17" s="31" t="n">
        <x:v>2.3282471704</x:v>
      </x:c>
      <x:c r="L17" s="31" t="n">
        <x:v>1123.11915</x:v>
      </x:c>
      <x:c r="M17" s="31" t="n">
        <x:v>7.7265305029</x:v>
      </x:c>
      <x:c r="N17" s="24" t="str">
        <x:v>sprattus sprattus</x:v>
      </x:c>
      <x:c r="O17" s="32" t="n">
        <x:v>3.01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Sprattus sprattus</x:v>
      </x:c>
      <x:c r="T17" s="32" t="n">
        <x:f>IF(O17="","",(1/'Metadata'!$B$5)^(O17-1))</x:f>
        <x:v>102.32929922807536</x:v>
      </x:c>
      <x:c r="U17" s="31" t="n">
        <x:f>IF(T17="","",I17*T17)</x:f>
        <x:v>115718.64602095775</x:v>
      </x:c>
    </x:row>
    <x:row r="18" ht="18" customHeight="1">
      <x:c r="A18" s="24" t="str">
        <x:v>EEZ_793</x:v>
      </x:c>
      <x:c r="B18" s="24" t="str">
        <x:v>Turkey (Mediterranean Sea)</x:v>
      </x:c>
      <x:c r="C18" s="24" t="str">
        <x:v>EEZ</x:v>
      </x:c>
      <x:c r="D18" s="30" t="n">
        <x:v>2019</x:v>
      </x:c>
      <x:c r="E18" s="24" t="str">
        <x:v>Trachurus mediterraneus</x:v>
      </x:c>
      <x:c r="F18" s="24" t="str">
        <x:v>Mediterranean horse mackerel</x:v>
      </x:c>
      <x:c r="G18" s="24" t="str">
        <x:v>Medium pelagics (30 - 89 cm)</x:v>
      </x:c>
      <x:c r="H18" s="24" t="str">
        <x:v>Perch-likes</x:v>
      </x:c>
      <x:c r="I18" s="31" t="n">
        <x:v>1084.100577955</x:v>
      </x:c>
      <x:c r="J18" s="31" t="n">
        <x:v>1035.7701296083999</x:v>
      </x:c>
      <x:c r="K18" s="31" t="n">
        <x:v>48.3304483466</x:v>
      </x:c>
      <x:c r="L18" s="31" t="n">
        <x:v>724.0999999999999</x:v>
      </x:c>
      <x:c r="M18" s="31" t="n">
        <x:v>360.000577955</x:v>
      </x:c>
      <x:c r="N18" s="24" t="str">
        <x:v>trachurus mediterraneus</x:v>
      </x:c>
      <x:c r="O18" s="32" t="n">
        <x:v>3.77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Trachurus mediterraneus</x:v>
      </x:c>
      <x:c r="T18" s="32" t="n">
        <x:f>IF(O18="","",(1/'Metadata'!$B$5)^(O18-1))</x:f>
        <x:v>588.843655355589</x:v>
      </x:c>
      <x:c r="U18" s="31" t="n">
        <x:f>IF(T18="","",I18*T18)</x:f>
        <x:v>638365.7470961289</x:v>
      </x:c>
    </x:row>
    <x:row r="19" ht="18" customHeight="1">
      <x:c r="A19" s="24" t="str">
        <x:v>EEZ_793</x:v>
      </x:c>
      <x:c r="B19" s="24" t="str">
        <x:v>Turkey (Mediterranean Sea)</x:v>
      </x:c>
      <x:c r="C19" s="24" t="str">
        <x:v>EEZ</x:v>
      </x:c>
      <x:c r="D19" s="30" t="n">
        <x:v>2019</x:v>
      </x:c>
      <x:c r="E19" s="24" t="str">
        <x:v>Portunidae</x:v>
      </x:c>
      <x:c r="F19" s="24" t="str">
        <x:v>Swimming crabs</x:v>
      </x:c>
      <x:c r="G19" s="24" t="str">
        <x:v>Lobsters, crabs</x:v>
      </x:c>
      <x:c r="H19" s="24" t="str">
        <x:v>Crustaceans</x:v>
      </x:c>
      <x:c r="I19" s="31" t="n">
        <x:v>1006.603127841</x:v>
      </x:c>
      <x:c r="J19" s="31" t="n">
        <x:v>0</x:v>
      </x:c>
      <x:c r="K19" s="31" t="n">
        <x:v>1006.603127841</x:v>
      </x:c>
      <x:c r="L19" s="31" t="n">
        <x:v>0</x:v>
      </x:c>
      <x:c r="M19" s="31" t="n">
        <x:v>1006.603127841</x:v>
      </x:c>
      <x:c r="N19" s="24" t="str">
        <x:v>portunidae</x:v>
      </x:c>
      <x:c r="O19" s="32" t="n">
        <x:v>3.56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Portunidae</x:v>
      </x:c>
      <x:c r="T19" s="32" t="n">
        <x:f>IF(O19="","",(1/'Metadata'!$B$5)^(O19-1))</x:f>
        <x:v>363.0780547701014</x:v>
      </x:c>
      <x:c r="U19" s="31" t="n">
        <x:f>IF(T19="","",I19*T19)</x:f>
        <x:v>365475.50558200997</x:v>
      </x:c>
    </x:row>
    <x:row r="20" ht="18" customHeight="1">
      <x:c r="A20" s="24" t="str">
        <x:v>EEZ_793</x:v>
      </x:c>
      <x:c r="B20" s="24" t="str">
        <x:v>Turkey (Mediterranean Sea)</x:v>
      </x:c>
      <x:c r="C20" s="24" t="str">
        <x:v>EEZ</x:v>
      </x:c>
      <x:c r="D20" s="30" t="n">
        <x:v>2019</x:v>
      </x:c>
      <x:c r="E20" s="24" t="str">
        <x:v>Mullus surmuletus</x:v>
      </x:c>
      <x:c r="F20" s="24" t="str">
        <x:v>Surmullet</x:v>
      </x:c>
      <x:c r="G20" s="24" t="str">
        <x:v>Medium demersals (30 - 89 cm)</x:v>
      </x:c>
      <x:c r="H20" s="24" t="str">
        <x:v>Perch-likes</x:v>
      </x:c>
      <x:c r="I20" s="31" t="n">
        <x:v>866.1500128222</x:v>
      </x:c>
      <x:c r="J20" s="31" t="n">
        <x:v>813.1981026025</x:v>
      </x:c>
      <x:c r="K20" s="31" t="n">
        <x:v>52.9519102197</x:v>
      </x:c>
      <x:c r="L20" s="31" t="n">
        <x:v>628.8000000001999</x:v>
      </x:c>
      <x:c r="M20" s="31" t="n">
        <x:v>237.350012822</x:v>
      </x:c>
      <x:c r="N20" s="24" t="str">
        <x:v>mullus surmuletus</x:v>
      </x:c>
      <x:c r="O20" s="32" t="n">
        <x:v>3.45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Mullus surmuletus</x:v>
      </x:c>
      <x:c r="T20" s="32" t="n">
        <x:f>IF(O20="","",(1/'Metadata'!$B$5)^(O20-1))</x:f>
        <x:v>281.8382931264455</x:v>
      </x:c>
      <x:c r="U20" s="31" t="n">
        <x:f>IF(T20="","",I20*T20)</x:f>
        <x:v>244114.2412052577</x:v>
      </x:c>
    </x:row>
    <x:row r="21" ht="18" customHeight="1">
      <x:c r="A21" s="24" t="str">
        <x:v>EEZ_793</x:v>
      </x:c>
      <x:c r="B21" s="24" t="str">
        <x:v>Turkey (Mediterranean Sea)</x:v>
      </x:c>
      <x:c r="C21" s="24" t="str">
        <x:v>EEZ</x:v>
      </x:c>
      <x:c r="D21" s="30" t="n">
        <x:v>2019</x:v>
      </x:c>
      <x:c r="E21" s="24" t="str">
        <x:v>Penaeus semisulcatus</x:v>
      </x:c>
      <x:c r="F21" s="24" t="str">
        <x:v>Green tiger prawn</x:v>
      </x:c>
      <x:c r="G21" s="24" t="str">
        <x:v>Shrimps</x:v>
      </x:c>
      <x:c r="H21" s="24" t="str">
        <x:v>Crustaceans</x:v>
      </x:c>
      <x:c r="I21" s="31" t="n">
        <x:v>835.7446400031</x:v>
      </x:c>
      <x:c r="J21" s="31" t="n">
        <x:v>835.7446400031</x:v>
      </x:c>
      <x:c r="K21" s="31" t="n">
        <x:v>0</x:v>
      </x:c>
      <x:c r="L21" s="31" t="n">
        <x:v>563.7203389828</x:v>
      </x:c>
      <x:c r="M21" s="31" t="n">
        <x:v>272.0243010203</x:v>
      </x:c>
      <x:c r="N21" s="24" t="str">
        <x:v>penaeus semisulcatus</x:v>
      </x:c>
      <x:c r="O21" s="32" t="n">
        <x:v>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Penaeus semisulcatus</x:v>
      </x:c>
      <x:c r="T21" s="32" t="n">
        <x:f>IF(O21="","",(1/'Metadata'!$B$5)^(O21-1))</x:f>
        <x:v>10</x:v>
      </x:c>
      <x:c r="U21" s="31" t="n">
        <x:f>IF(T21="","",I21*T21)</x:f>
        <x:v>8357.446400031</x:v>
      </x:c>
    </x:row>
    <x:row r="22" ht="18" customHeight="1">
      <x:c r="A22" s="24" t="str">
        <x:v>EEZ_793</x:v>
      </x:c>
      <x:c r="B22" s="24" t="str">
        <x:v>Turkey (Mediterranean Sea)</x:v>
      </x:c>
      <x:c r="C22" s="24" t="str">
        <x:v>EEZ</x:v>
      </x:c>
      <x:c r="D22" s="30" t="n">
        <x:v>2019</x:v>
      </x:c>
      <x:c r="E22" s="24" t="str">
        <x:v>Dentex dentex</x:v>
      </x:c>
      <x:c r="F22" s="24" t="str">
        <x:v>Common dentex</x:v>
      </x:c>
      <x:c r="G22" s="24" t="str">
        <x:v>Large benthopelagics (&gt;=90 cm)</x:v>
      </x:c>
      <x:c r="H22" s="24" t="str">
        <x:v>Perch-likes</x:v>
      </x:c>
      <x:c r="I22" s="31" t="n">
        <x:v>775.3755526867001</x:v>
      </x:c>
      <x:c r="J22" s="31" t="n">
        <x:v>769.5783933976</x:v>
      </x:c>
      <x:c r="K22" s="31" t="n">
        <x:v>5.7971592891</x:v>
      </x:c>
      <x:c r="L22" s="31" t="n">
        <x:v>67.4</x:v>
      </x:c>
      <x:c r="M22" s="31" t="n">
        <x:v>707.9755526867</x:v>
      </x:c>
      <x:c r="N22" s="24" t="str">
        <x:v>dentex dentex</x:v>
      </x:c>
      <x:c r="O22" s="32" t="n">
        <x:v>4.53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Dentex dentex</x:v>
      </x:c>
      <x:c r="T22" s="32" t="n">
        <x:f>IF(O22="","",(1/'Metadata'!$B$5)^(O22-1))</x:f>
        <x:v>3388.4415613920273</x:v>
      </x:c>
      <x:c r="U22" s="31" t="n">
        <x:f>IF(T22="","",I22*T22)</x:f>
        <x:v>2627314.748410928</x:v>
      </x:c>
    </x:row>
    <x:row r="23" ht="18" customHeight="1">
      <x:c r="A23" s="24" t="str">
        <x:v>EEZ_793</x:v>
      </x:c>
      <x:c r="B23" s="24" t="str">
        <x:v>Turkey (Mediterranean Sea)</x:v>
      </x:c>
      <x:c r="C23" s="24" t="str">
        <x:v>EEZ</x:v>
      </x:c>
      <x:c r="D23" s="30" t="n">
        <x:v>2019</x:v>
      </x:c>
      <x:c r="E23" s="24" t="str">
        <x:v>Thunnus thynnus</x:v>
      </x:c>
      <x:c r="F23" s="24" t="str">
        <x:v>Atlantic bluefin tuna</x:v>
      </x:c>
      <x:c r="G23" s="24" t="str">
        <x:v>Large pelagics (&gt;=90 cm)</x:v>
      </x:c>
      <x:c r="H23" s="24" t="str">
        <x:v>Tuna &amp; billfishes</x:v>
      </x:c>
      <x:c r="I23" s="31" t="n">
        <x:v>729.4819406182</x:v>
      </x:c>
      <x:c r="J23" s="31" t="n">
        <x:v>713.0967916933</x:v>
      </x:c>
      <x:c r="K23" s="31" t="n">
        <x:v>16.3851489249</x:v>
      </x:c>
      <x:c r="L23" s="31" t="n">
        <x:v>649.4450676799</x:v>
      </x:c>
      <x:c r="M23" s="31" t="n">
        <x:v>80.0368729383</x:v>
      </x:c>
      <x:c r="N23" s="24" t="str">
        <x:v>thunnus thynnus</x:v>
      </x:c>
      <x:c r="O23" s="32" t="n">
        <x:v>4.45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thynnus</x:v>
      </x:c>
      <x:c r="T23" s="32" t="n">
        <x:f>IF(O23="","",(1/'Metadata'!$B$5)^(O23-1))</x:f>
        <x:v>2818.382931264455</x:v>
      </x:c>
      <x:c r="U23" s="31" t="n">
        <x:f>IF(T23="","",I23*T23)</x:f>
        <x:v>2055959.4501040056</x:v>
      </x:c>
    </x:row>
    <x:row r="24" ht="18" customHeight="1">
      <x:c r="A24" s="24" t="str">
        <x:v>EEZ_793</x:v>
      </x:c>
      <x:c r="B24" s="24" t="str">
        <x:v>Turkey (Mediterranean Sea)</x:v>
      </x:c>
      <x:c r="C24" s="24" t="str">
        <x:v>EEZ</x:v>
      </x:c>
      <x:c r="D24" s="30" t="n">
        <x:v>2019</x:v>
      </x:c>
      <x:c r="E24" s="24" t="str">
        <x:v>Dicentrarchus labrax</x:v>
      </x:c>
      <x:c r="F24" s="24" t="str">
        <x:v>European seabass</x:v>
      </x:c>
      <x:c r="G24" s="24" t="str">
        <x:v>Large demersals (&gt;=90 cm)</x:v>
      </x:c>
      <x:c r="H24" s="24" t="str">
        <x:v>Perch-likes</x:v>
      </x:c>
      <x:c r="I24" s="31" t="n">
        <x:v>683.4672525531</x:v>
      </x:c>
      <x:c r="J24" s="31" t="n">
        <x:v>683.4672525531</x:v>
      </x:c>
      <x:c r="K24" s="31" t="n">
        <x:v>0</x:v>
      </x:c>
      <x:c r="L24" s="31" t="n">
        <x:v>0</x:v>
      </x:c>
      <x:c r="M24" s="31" t="n">
        <x:v>683.4672525531</x:v>
      </x:c>
      <x:c r="N24" s="24" t="str">
        <x:v>dicentrarchus labrax</x:v>
      </x:c>
      <x:c r="O24" s="32" t="n">
        <x:v>3.79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Dicentrarchus labrax</x:v>
      </x:c>
      <x:c r="T24" s="32" t="n">
        <x:f>IF(O24="","",(1/'Metadata'!$B$5)^(O24-1))</x:f>
        <x:v>616.5950018614822</x:v>
      </x:c>
      <x:c r="U24" s="31" t="n">
        <x:f>IF(T24="","",I24*T24)</x:f>
        <x:v>421422.4918602408</x:v>
      </x:c>
    </x:row>
    <x:row r="25" ht="18" customHeight="1">
      <x:c r="A25" s="24" t="str">
        <x:v>EEZ_793</x:v>
      </x:c>
      <x:c r="B25" s="24" t="str">
        <x:v>Turkey (Mediterranean Sea)</x:v>
      </x:c>
      <x:c r="C25" s="24" t="str">
        <x:v>EEZ</x:v>
      </x:c>
      <x:c r="D25" s="30" t="n">
        <x:v>2019</x:v>
      </x:c>
      <x:c r="E25" s="24" t="str">
        <x:v>Epinephelus</x:v>
      </x:c>
      <x:c r="F25" s="24" t="str">
        <x:v>Seabasses, hinds</x:v>
      </x:c>
      <x:c r="G25" s="24" t="str">
        <x:v>Medium reef assoc. fish (30 - 89 cm)</x:v>
      </x:c>
      <x:c r="H25" s="24" t="str">
        <x:v>Perch-likes</x:v>
      </x:c>
      <x:c r="I25" s="31" t="n">
        <x:v>683.4672525531</x:v>
      </x:c>
      <x:c r="J25" s="31" t="n">
        <x:v>683.4672525531</x:v>
      </x:c>
      <x:c r="K25" s="31" t="n">
        <x:v>0</x:v>
      </x:c>
      <x:c r="L25" s="31" t="n">
        <x:v>0</x:v>
      </x:c>
      <x:c r="M25" s="31" t="n">
        <x:v>683.4672525531</x:v>
      </x:c>
      <x:c r="N25" s="24" t="str">
        <x:v>epinephelus</x:v>
      </x:c>
      <x:c r="O25" s="32" t="n">
        <x:v>3.84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Epinephelus</x:v>
      </x:c>
      <x:c r="T25" s="32" t="n">
        <x:f>IF(O25="","",(1/'Metadata'!$B$5)^(O25-1))</x:f>
        <x:v>691.8309709189363</x:v>
      </x:c>
      <x:c r="U25" s="31" t="n">
        <x:f>IF(T25="","",I25*T25)</x:f>
        <x:v>472843.812925109</x:v>
      </x:c>
    </x:row>
    <x:row r="26" ht="18" customHeight="1">
      <x:c r="A26" s="24" t="str">
        <x:v>EEZ_793</x:v>
      </x:c>
      <x:c r="B26" s="24" t="str">
        <x:v>Turkey (Mediterranean Sea)</x:v>
      </x:c>
      <x:c r="C26" s="24" t="str">
        <x:v>EEZ</x:v>
      </x:c>
      <x:c r="D26" s="30" t="n">
        <x:v>2019</x:v>
      </x:c>
      <x:c r="E26" s="24" t="str">
        <x:v>Auxis rochei</x:v>
      </x:c>
      <x:c r="F26" s="24" t="str">
        <x:v>Bullet tuna</x:v>
      </x:c>
      <x:c r="G26" s="24" t="str">
        <x:v>Medium pelagics (30 - 89 cm)</x:v>
      </x:c>
      <x:c r="H26" s="24" t="str">
        <x:v>Tuna &amp; billfishes</x:v>
      </x:c>
      <x:c r="I26" s="31" t="n">
        <x:v>566.4271065599</x:v>
      </x:c>
      <x:c r="J26" s="31" t="n">
        <x:v>545.0560412662</x:v>
      </x:c>
      <x:c r="K26" s="31" t="n">
        <x:v>21.3710652937</x:v>
      </x:c>
      <x:c r="L26" s="31" t="n">
        <x:v>473.3205999535</x:v>
      </x:c>
      <x:c r="M26" s="31" t="n">
        <x:v>93.1065066064</x:v>
      </x:c>
      <x:c r="N26" s="24" t="str">
        <x:v>auxis rochei</x:v>
      </x:c>
      <x:c r="O26" s="32" t="n">
        <x:v>4.13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Auxis rochei</x:v>
      </x:c>
      <x:c r="T26" s="32" t="n">
        <x:f>IF(O26="","",(1/'Metadata'!$B$5)^(O26-1))</x:f>
        <x:v>1348.9628825916532</x:v>
      </x:c>
      <x:c r="U26" s="31" t="n">
        <x:f>IF(T26="","",I26*T26)</x:f>
        <x:v>764089.1424430923</x:v>
      </x:c>
    </x:row>
    <x:row r="27" ht="18" customHeight="1">
      <x:c r="A27" s="24" t="str">
        <x:v>EEZ_793</x:v>
      </x:c>
      <x:c r="B27" s="24" t="str">
        <x:v>Turkey (Mediterranean Sea)</x:v>
      </x:c>
      <x:c r="C27" s="24" t="str">
        <x:v>EEZ</x:v>
      </x:c>
      <x:c r="D27" s="30" t="n">
        <x:v>2019</x:v>
      </x:c>
      <x:c r="E27" s="24" t="str">
        <x:v>Spicara smaris</x:v>
      </x:c>
      <x:c r="F27" s="24" t="str">
        <x:v>Picarel</x:v>
      </x:c>
      <x:c r="G27" s="24" t="str">
        <x:v>Small demersals (&lt;30 cm)</x:v>
      </x:c>
      <x:c r="H27" s="24" t="str">
        <x:v>Perch-likes</x:v>
      </x:c>
      <x:c r="I27" s="31" t="n">
        <x:v>547.1945677311</x:v>
      </x:c>
      <x:c r="J27" s="31" t="n">
        <x:v>547.1945677311</x:v>
      </x:c>
      <x:c r="K27" s="31" t="n">
        <x:v>0</x:v>
      </x:c>
      <x:c r="L27" s="31" t="n">
        <x:v>0</x:v>
      </x:c>
      <x:c r="M27" s="31" t="n">
        <x:v>547.1945677311</x:v>
      </x:c>
      <x:c r="N27" s="24" t="str">
        <x:v>spicara smaris</x:v>
      </x:c>
      <x:c r="O27" s="32" t="n">
        <x:v>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Spicara smaris</x:v>
      </x:c>
      <x:c r="T27" s="32" t="n">
        <x:f>IF(O27="","",(1/'Metadata'!$B$5)^(O27-1))</x:f>
        <x:v>100</x:v>
      </x:c>
      <x:c r="U27" s="31" t="n">
        <x:f>IF(T27="","",I27*T27)</x:f>
        <x:v>54719.45677311</x:v>
      </x:c>
    </x:row>
    <x:row r="28" ht="18" customHeight="1">
      <x:c r="A28" s="24" t="str">
        <x:v>EEZ_793</x:v>
      </x:c>
      <x:c r="B28" s="24" t="str">
        <x:v>Turkey (Mediterranean Sea)</x:v>
      </x:c>
      <x:c r="C28" s="24" t="str">
        <x:v>EEZ</x:v>
      </x:c>
      <x:c r="D28" s="30" t="n">
        <x:v>2019</x:v>
      </x:c>
      <x:c r="E28" s="24" t="str">
        <x:v>Atherinidae</x:v>
      </x:c>
      <x:c r="F28" s="24" t="str">
        <x:v>Silversides</x:v>
      </x:c>
      <x:c r="G28" s="24" t="str">
        <x:v>Small pelagics (&lt;30 cm)</x:v>
      </x:c>
      <x:c r="H28" s="24" t="str">
        <x:v>Other fishes &amp; inverts</x:v>
      </x:c>
      <x:c r="I28" s="31" t="n">
        <x:v>537.2165343039</x:v>
      </x:c>
      <x:c r="J28" s="31" t="n">
        <x:v>518.782540691</x:v>
      </x:c>
      <x:c r="K28" s="31" t="n">
        <x:v>18.4339936129</x:v>
      </x:c>
      <x:c r="L28" s="31" t="n">
        <x:v>466.6</x:v>
      </x:c>
      <x:c r="M28" s="31" t="n">
        <x:v>70.6165343039</x:v>
      </x:c>
      <x:c r="N28" s="24" t="str">
        <x:v>atherinidae</x:v>
      </x:c>
      <x:c r="O28" s="32" t="n">
        <x:v>3.2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Atherinidae</x:v>
      </x:c>
      <x:c r="T28" s="32" t="n">
        <x:f>IF(O28="","",(1/'Metadata'!$B$5)^(O28-1))</x:f>
        <x:v>158.48931924611142</x:v>
      </x:c>
      <x:c r="U28" s="31" t="n">
        <x:f>IF(T28="","",I28*T28)</x:f>
        <x:v>85143.08280958037</x:v>
      </x:c>
    </x:row>
    <x:row r="29" ht="18" customHeight="1">
      <x:c r="A29" s="24" t="str">
        <x:v>EEZ_793</x:v>
      </x:c>
      <x:c r="B29" s="24" t="str">
        <x:v>Turkey (Mediterranean Sea)</x:v>
      </x:c>
      <x:c r="C29" s="24" t="str">
        <x:v>EEZ</x:v>
      </x:c>
      <x:c r="D29" s="30" t="n">
        <x:v>2019</x:v>
      </x:c>
      <x:c r="E29" s="24" t="str">
        <x:v>Merlangius merlangus</x:v>
      </x:c>
      <x:c r="F29" s="24" t="str">
        <x:v>Whiting</x:v>
      </x:c>
      <x:c r="G29" s="24" t="str">
        <x:v>Medium benthopelagics (30 - 89 cm)</x:v>
      </x:c>
      <x:c r="H29" s="24" t="str">
        <x:v>Cod-likes</x:v>
      </x:c>
      <x:c r="I29" s="31" t="n">
        <x:v>526.7647837673</x:v>
      </x:c>
      <x:c r="J29" s="31" t="n">
        <x:v>514.4963336051</x:v>
      </x:c>
      <x:c r="K29" s="31" t="n">
        <x:v>12.2684501622</x:v>
      </x:c>
      <x:c r="L29" s="31" t="n">
        <x:v>469.5999999998</x:v>
      </x:c>
      <x:c r="M29" s="31" t="n">
        <x:v>57.1647837675</x:v>
      </x:c>
      <x:c r="N29" s="24" t="str">
        <x:v>merlangius merlangus</x:v>
      </x:c>
      <x:c r="O29" s="32" t="n">
        <x:v>4.36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Merlangius merlangus</x:v>
      </x:c>
      <x:c r="T29" s="32" t="n">
        <x:f>IF(O29="","",(1/'Metadata'!$B$5)^(O29-1))</x:f>
        <x:v>2290.867652767775</x:v>
      </x:c>
      <x:c r="U29" s="31" t="n">
        <x:f>IF(T29="","",I29*T29)</x:f>
        <x:v>1206748.4037497188</x:v>
      </x:c>
    </x:row>
    <x:row r="30" ht="18" customHeight="1">
      <x:c r="A30" s="24" t="str">
        <x:v>EEZ_793</x:v>
      </x:c>
      <x:c r="B30" s="24" t="str">
        <x:v>Turkey (Mediterranean Sea)</x:v>
      </x:c>
      <x:c r="C30" s="24" t="str">
        <x:v>EEZ</x:v>
      </x:c>
      <x:c r="D30" s="30" t="n">
        <x:v>2019</x:v>
      </x:c>
      <x:c r="E30" s="24" t="str">
        <x:v>Miscellaneous aquatic invertebrates</x:v>
      </x:c>
      <x:c r="F30" s="24" t="str">
        <x:v>Aquatic invertebrates</x:v>
      </x:c>
      <x:c r="G30" s="24" t="str">
        <x:v>Other demersal invertebrates</x:v>
      </x:c>
      <x:c r="H30" s="24" t="str">
        <x:v>Other fishes &amp; inverts</x:v>
      </x:c>
      <x:c r="I30" s="31" t="n">
        <x:v>467.21270837559996</x:v>
      </x:c>
      <x:c r="J30" s="31" t="n">
        <x:v>453.4951412412</x:v>
      </x:c>
      <x:c r="K30" s="31" t="n">
        <x:v>13.7175671344</x:v>
      </x:c>
      <x:c r="L30" s="31" t="n">
        <x:v>398.9564018383</x:v>
      </x:c>
      <x:c r="M30" s="31" t="n">
        <x:v>68.2563065373</x:v>
      </x:c>
      <x:c r="N30" s="24" t="str">
        <x:v>miscellaneous aquatic invertebrates</x:v>
      </x:c>
      <x:c r="O30" s="32" t="n">
        <x:v>2.43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Miscellaneous aquatic invertebrates</x:v>
      </x:c>
      <x:c r="T30" s="32" t="n">
        <x:f>IF(O30="","",(1/'Metadata'!$B$5)^(O30-1))</x:f>
        <x:v>26.915348039269166</x:v>
      </x:c>
      <x:c r="U30" s="31" t="n">
        <x:f>IF(T30="","",I30*T30)</x:f>
        <x:v>12575.19265429884</x:v>
      </x:c>
    </x:row>
    <x:row r="31" ht="18" customHeight="1">
      <x:c r="A31" s="24" t="str">
        <x:v>EEZ_793</x:v>
      </x:c>
      <x:c r="B31" s="24" t="str">
        <x:v>Turkey (Mediterranean Sea)</x:v>
      </x:c>
      <x:c r="C31" s="24" t="str">
        <x:v>EEZ</x:v>
      </x:c>
      <x:c r="D31" s="30" t="n">
        <x:v>2019</x:v>
      </x:c>
      <x:c r="E31" s="24" t="str">
        <x:v>Sphyraena</x:v>
      </x:c>
      <x:c r="F31" s="24" t="str">
        <x:v>Barracudas, sennets</x:v>
      </x:c>
      <x:c r="G31" s="24" t="str">
        <x:v>Large pelagics (&gt;=90 cm)</x:v>
      </x:c>
      <x:c r="H31" s="24" t="str">
        <x:v>Perch-likes</x:v>
      </x:c>
      <x:c r="I31" s="31" t="n">
        <x:v>435.81190562940003</x:v>
      </x:c>
      <x:c r="J31" s="31" t="n">
        <x:v>424.5367013072</x:v>
      </x:c>
      <x:c r="K31" s="31" t="n">
        <x:v>11.2752043222</x:v>
      </x:c>
      <x:c r="L31" s="31" t="n">
        <x:v>69</x:v>
      </x:c>
      <x:c r="M31" s="31" t="n">
        <x:v>366.81190562940003</x:v>
      </x:c>
      <x:c r="N31" s="24" t="str">
        <x:v>sphyraena</x:v>
      </x:c>
      <x:c r="O31" s="32" t="n">
        <x:v>4.4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Sphyraena</x:v>
      </x:c>
      <x:c r="T31" s="32" t="n">
        <x:f>IF(O31="","",(1/'Metadata'!$B$5)^(O31-1))</x:f>
        <x:v>2511.886431509582</x:v>
      </x:c>
      <x:c r="U31" s="31" t="n">
        <x:f>IF(T31="","",I31*T31)</x:f>
        <x:v>1094710.0124408244</x:v>
      </x:c>
    </x:row>
    <x:row r="32" ht="18" customHeight="1">
      <x:c r="A32" s="24" t="str">
        <x:v>EEZ_793</x:v>
      </x:c>
      <x:c r="B32" s="24" t="str">
        <x:v>Turkey (Mediterranean Sea)</x:v>
      </x:c>
      <x:c r="C32" s="24" t="str">
        <x:v>EEZ</x:v>
      </x:c>
      <x:c r="D32" s="30" t="n">
        <x:v>2019</x:v>
      </x:c>
      <x:c r="E32" s="24" t="str">
        <x:v>Solea solea</x:v>
      </x:c>
      <x:c r="F32" s="24" t="str">
        <x:v>Common sole</x:v>
      </x:c>
      <x:c r="G32" s="24" t="str">
        <x:v>Small to medium flatfishes (&lt;90 cm)</x:v>
      </x:c>
      <x:c r="H32" s="24" t="str">
        <x:v>Flatfishes</x:v>
      </x:c>
      <x:c r="I32" s="31" t="n">
        <x:v>423.31989429550003</x:v>
      </x:c>
      <x:c r="J32" s="31" t="n">
        <x:v>407.82910600900004</x:v>
      </x:c>
      <x:c r="K32" s="31" t="n">
        <x:v>15.4907882865</x:v>
      </x:c>
      <x:c r="L32" s="31" t="n">
        <x:v>361.9999999998</x:v>
      </x:c>
      <x:c r="M32" s="31" t="n">
        <x:v>61.3198942957</x:v>
      </x:c>
      <x:c r="N32" s="24" t="str">
        <x:v>solea solea</x:v>
      </x:c>
      <x:c r="O32" s="32" t="n">
        <x:v>3.21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Solea solea</x:v>
      </x:c>
      <x:c r="T32" s="32" t="n">
        <x:f>IF(O32="","",(1/'Metadata'!$B$5)^(O32-1))</x:f>
        <x:v>162.18100973589299</x:v>
      </x:c>
      <x:c r="U32" s="31" t="n">
        <x:f>IF(T32="","",I32*T32)</x:f>
        <x:v>68654.44789813568</x:v>
      </x:c>
    </x:row>
    <x:row r="33" ht="18" customHeight="1">
      <x:c r="A33" s="24" t="str">
        <x:v>EEZ_793</x:v>
      </x:c>
      <x:c r="B33" s="24" t="str">
        <x:v>Turkey (Mediterranean Sea)</x:v>
      </x:c>
      <x:c r="C33" s="24" t="str">
        <x:v>EEZ</x:v>
      </x:c>
      <x:c r="D33" s="30" t="n">
        <x:v>2019</x:v>
      </x:c>
      <x:c r="E33" s="24" t="str">
        <x:v>Octopus vulgaris</x:v>
      </x:c>
      <x:c r="F33" s="24" t="str">
        <x:v>Common octopus</x:v>
      </x:c>
      <x:c r="G33" s="24" t="str">
        <x:v>Cephalopods</x:v>
      </x:c>
      <x:c r="H33" s="24" t="str">
        <x:v>Other fishes &amp; inverts</x:v>
      </x:c>
      <x:c r="I33" s="31" t="n">
        <x:v>399.13143574459997</x:v>
      </x:c>
      <x:c r="J33" s="31" t="n">
        <x:v>376.2467206453</x:v>
      </x:c>
      <x:c r="K33" s="31" t="n">
        <x:v>22.8847150993</x:v>
      </x:c>
      <x:c r="L33" s="31" t="n">
        <x:v>290.8948352988</x:v>
      </x:c>
      <x:c r="M33" s="31" t="n">
        <x:v>108.2366004458</x:v>
      </x:c>
      <x:c r="N33" s="24" t="str">
        <x:v>octopus vulgaris</x:v>
      </x:c>
      <x:c r="O33" s="32" t="n">
        <x:v>3.6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Octopus vulgaris</x:v>
      </x:c>
      <x:c r="T33" s="32" t="n">
        <x:f>IF(O33="","",(1/'Metadata'!$B$5)^(O33-1))</x:f>
        <x:v>398.1071705534973</x:v>
      </x:c>
      <x:c r="U33" s="31" t="n">
        <x:f>IF(T33="","",I33*T33)</x:f>
        <x:v>158897.0865632377</x:v>
      </x:c>
    </x:row>
    <x:row r="34" ht="18" customHeight="1">
      <x:c r="A34" s="24" t="str">
        <x:v>EEZ_793</x:v>
      </x:c>
      <x:c r="B34" s="24" t="str">
        <x:v>Turkey (Mediterranean Sea)</x:v>
      </x:c>
      <x:c r="C34" s="24" t="str">
        <x:v>EEZ</x:v>
      </x:c>
      <x:c r="D34" s="30" t="n">
        <x:v>2019</x:v>
      </x:c>
      <x:c r="E34" s="24" t="str">
        <x:v>Gobiidae</x:v>
      </x:c>
      <x:c r="F34" s="24" t="str">
        <x:v>Gobies</x:v>
      </x:c>
      <x:c r="G34" s="24" t="str">
        <x:v>Small reef assoc. fish (&lt;30 cm)</x:v>
      </x:c>
      <x:c r="H34" s="24" t="str">
        <x:v>Perch-likes</x:v>
      </x:c>
      <x:c r="I34" s="31" t="n">
        <x:v>359.2682387126</x:v>
      </x:c>
      <x:c r="J34" s="31" t="n">
        <x:v>244.8396623851</x:v>
      </x:c>
      <x:c r="K34" s="31" t="n">
        <x:v>114.4285763275</x:v>
      </x:c>
      <x:c r="L34" s="31" t="n">
        <x:v>62.1</x:v>
      </x:c>
      <x:c r="M34" s="31" t="n">
        <x:v>297.1682387126</x:v>
      </x:c>
      <x:c r="N34" s="24" t="str">
        <x:v>gobiidae</x:v>
      </x:c>
      <x:c r="O34" s="32" t="n">
        <x:v>3.11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Gobiidae</x:v>
      </x:c>
      <x:c r="T34" s="32" t="n">
        <x:f>IF(O34="","",(1/'Metadata'!$B$5)^(O34-1))</x:f>
        <x:v>128.82495516931337</x:v>
      </x:c>
      <x:c r="U34" s="31" t="n">
        <x:f>IF(T34="","",I34*T34)</x:f>
        <x:v>46282.714745908874</x:v>
      </x:c>
    </x:row>
    <x:row r="35" ht="18" customHeight="1">
      <x:c r="A35" s="24" t="str">
        <x:v>EEZ_793</x:v>
      </x:c>
      <x:c r="B35" s="24" t="str">
        <x:v>Turkey (Mediterranean Sea)</x:v>
      </x:c>
      <x:c r="C35" s="24" t="str">
        <x:v>EEZ</x:v>
      </x:c>
      <x:c r="D35" s="30" t="n">
        <x:v>2019</x:v>
      </x:c>
      <x:c r="E35" s="24" t="str">
        <x:v>Squilla mantis</x:v>
      </x:c>
      <x:c r="F35" s="24" t="str">
        <x:v>Spottail mantis squillid</x:v>
      </x:c>
      <x:c r="G35" s="24" t="str">
        <x:v>Shrimps</x:v>
      </x:c>
      <x:c r="H35" s="24" t="str">
        <x:v>Crustaceans</x:v>
      </x:c>
      <x:c r="I35" s="31" t="n">
        <x:v>355.7803391185</x:v>
      </x:c>
      <x:c r="J35" s="31" t="n">
        <x:v>0</x:v>
      </x:c>
      <x:c r="K35" s="31" t="n">
        <x:v>355.7803391185</x:v>
      </x:c>
      <x:c r="L35" s="31" t="n">
        <x:v>0</x:v>
      </x:c>
      <x:c r="M35" s="31" t="n">
        <x:v>355.7803391185</x:v>
      </x:c>
      <x:c r="N35" s="24" t="str">
        <x:v>squilla mantis</x:v>
      </x:c>
      <x:c r="O35" s="32" t="n">
        <x:v>3.62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Squilla mantis</x:v>
      </x:c>
      <x:c r="T35" s="32" t="n">
        <x:f>IF(O35="","",(1/'Metadata'!$B$5)^(O35-1))</x:f>
        <x:v>416.8693834703355</x:v>
      </x:c>
      <x:c r="U35" s="31" t="n">
        <x:f>IF(T35="","",I35*T35)</x:f>
        <x:v>148313.93061919598</x:v>
      </x:c>
    </x:row>
    <x:row r="36" ht="18" customHeight="1">
      <x:c r="A36" s="24" t="str">
        <x:v>EEZ_793</x:v>
      </x:c>
      <x:c r="B36" s="24" t="str">
        <x:v>Turkey (Mediterranean Sea)</x:v>
      </x:c>
      <x:c r="C36" s="24" t="str">
        <x:v>EEZ</x:v>
      </x:c>
      <x:c r="D36" s="30" t="n">
        <x:v>2019</x:v>
      </x:c>
      <x:c r="E36" s="24" t="str">
        <x:v>Epinephelus aeneus</x:v>
      </x:c>
      <x:c r="F36" s="24" t="str">
        <x:v>White grouper</x:v>
      </x:c>
      <x:c r="G36" s="24" t="str">
        <x:v>Large demersals (&gt;=90 cm)</x:v>
      </x:c>
      <x:c r="H36" s="24" t="str">
        <x:v>Perch-likes</x:v>
      </x:c>
      <x:c r="I36" s="31" t="n">
        <x:v>331.2188623871</x:v>
      </x:c>
      <x:c r="J36" s="31" t="n">
        <x:v>309.9968197383</x:v>
      </x:c>
      <x:c r="K36" s="31" t="n">
        <x:v>21.2220426488</x:v>
      </x:c>
      <x:c r="L36" s="31" t="n">
        <x:v>243.4</x:v>
      </x:c>
      <x:c r="M36" s="31" t="n">
        <x:v>87.8188623871</x:v>
      </x:c>
      <x:c r="N36" s="24" t="str">
        <x:v>epinephelus aeneus</x:v>
      </x:c>
      <x:c r="O36" s="32" t="n">
        <x:v>4.02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Epinephelus aeneus</x:v>
      </x:c>
      <x:c r="T36" s="32" t="n">
        <x:f>IF(O36="","",(1/'Metadata'!$B$5)^(O36-1))</x:f>
        <x:v>1047.1285480508984</x:v>
      </x:c>
      <x:c r="U36" s="31" t="n">
        <x:f>IF(T36="","",I36*T36)</x:f>
        <x:v>346828.72645847435</x:v>
      </x:c>
    </x:row>
    <x:row r="37" ht="18" customHeight="1">
      <x:c r="A37" s="24" t="str">
        <x:v>EEZ_793</x:v>
      </x:c>
      <x:c r="B37" s="24" t="str">
        <x:v>Turkey (Mediterranean Sea)</x:v>
      </x:c>
      <x:c r="C37" s="24" t="str">
        <x:v>EEZ</x:v>
      </x:c>
      <x:c r="D37" s="30" t="n">
        <x:v>2019</x:v>
      </x:c>
      <x:c r="E37" s="24" t="str">
        <x:v>Diplodus annularis</x:v>
      </x:c>
      <x:c r="F37" s="24" t="str">
        <x:v>Annular seabream</x:v>
      </x:c>
      <x:c r="G37" s="24" t="str">
        <x:v>Small benthopelagics (&lt;30 cm)</x:v>
      </x:c>
      <x:c r="H37" s="24" t="str">
        <x:v>Perch-likes</x:v>
      </x:c>
      <x:c r="I37" s="31" t="n">
        <x:v>326.4682205297</x:v>
      </x:c>
      <x:c r="J37" s="31" t="n">
        <x:v>75.0829655841</x:v>
      </x:c>
      <x:c r="K37" s="31" t="n">
        <x:v>251.3852549456</x:v>
      </x:c>
      <x:c r="L37" s="31" t="n">
        <x:v>53</x:v>
      </x:c>
      <x:c r="M37" s="31" t="n">
        <x:v>273.4682205297</x:v>
      </x:c>
      <x:c r="N37" s="24" t="str">
        <x:v>diplodus annularis</x:v>
      </x:c>
      <x:c r="O37" s="32" t="n">
        <x:v>3.64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Diplodus annularis</x:v>
      </x:c>
      <x:c r="T37" s="32" t="n">
        <x:f>IF(O37="","",(1/'Metadata'!$B$5)^(O37-1))</x:f>
        <x:v>436.5158322401661</x:v>
      </x:c>
      <x:c r="U37" s="31" t="n">
        <x:f>IF(T37="","",I37*T37)</x:f>
        <x:v>142508.54698448806</x:v>
      </x:c>
    </x:row>
    <x:row r="38" ht="18" customHeight="1">
      <x:c r="A38" s="24" t="str">
        <x:v>EEZ_793</x:v>
      </x:c>
      <x:c r="B38" s="24" t="str">
        <x:v>Turkey (Mediterranean Sea)</x:v>
      </x:c>
      <x:c r="C38" s="24" t="str">
        <x:v>EEZ</x:v>
      </x:c>
      <x:c r="D38" s="30" t="n">
        <x:v>2019</x:v>
      </x:c>
      <x:c r="E38" s="24" t="str">
        <x:v>Pomatomus saltatrix</x:v>
      </x:c>
      <x:c r="F38" s="24" t="str">
        <x:v>Bluefish</x:v>
      </x:c>
      <x:c r="G38" s="24" t="str">
        <x:v>Large pelagics (&gt;=90 cm)</x:v>
      </x:c>
      <x:c r="H38" s="24" t="str">
        <x:v>Perch-likes</x:v>
      </x:c>
      <x:c r="I38" s="31" t="n">
        <x:v>311.4309616477</x:v>
      </x:c>
      <x:c r="J38" s="31" t="n">
        <x:v>300.5866038232</x:v>
      </x:c>
      <x:c r="K38" s="31" t="n">
        <x:v>10.8443578245</x:v>
      </x:c>
      <x:c r="L38" s="31" t="n">
        <x:v>228.4</x:v>
      </x:c>
      <x:c r="M38" s="31" t="n">
        <x:v>83.0309616477</x:v>
      </x:c>
      <x:c r="N38" s="24" t="str">
        <x:v>pomatomus saltatrix</x:v>
      </x:c>
      <x:c r="O38" s="32" t="n">
        <x:v>4.53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Pomatomus saltatrix</x:v>
      </x:c>
      <x:c r="T38" s="32" t="n">
        <x:f>IF(O38="","",(1/'Metadata'!$B$5)^(O38-1))</x:f>
        <x:v>3388.4415613920273</x:v>
      </x:c>
      <x:c r="U38" s="31" t="n">
        <x:f>IF(T38="","",I38*T38)</x:f>
        <x:v>1055265.6139513531</x:v>
      </x:c>
    </x:row>
    <x:row r="39" ht="18" customHeight="1">
      <x:c r="A39" s="24" t="str">
        <x:v>EEZ_793</x:v>
      </x:c>
      <x:c r="B39" s="24" t="str">
        <x:v>Turkey (Mediterranean Sea)</x:v>
      </x:c>
      <x:c r="C39" s="24" t="str">
        <x:v>EEZ</x:v>
      </x:c>
      <x:c r="D39" s="30" t="n">
        <x:v>2019</x:v>
      </x:c>
      <x:c r="E39" s="24" t="str">
        <x:v>Scorpaena porcus</x:v>
      </x:c>
      <x:c r="F39" s="24" t="str">
        <x:v>Black scorpionfish</x:v>
      </x:c>
      <x:c r="G39" s="24" t="str">
        <x:v>Small demersals (&lt;30 cm)</x:v>
      </x:c>
      <x:c r="H39" s="24" t="str">
        <x:v>Scorpionfishes</x:v>
      </x:c>
      <x:c r="I39" s="31" t="n">
        <x:v>310.241461727</x:v>
      </x:c>
      <x:c r="J39" s="31" t="n">
        <x:v>114.60275080929999</x:v>
      </x:c>
      <x:c r="K39" s="31" t="n">
        <x:v>195.6387109177</x:v>
      </x:c>
      <x:c r="L39" s="31" t="n">
        <x:v>96.4999999998</x:v>
      </x:c>
      <x:c r="M39" s="31" t="n">
        <x:v>213.74146172719998</x:v>
      </x:c>
      <x:c r="N39" s="24" t="str">
        <x:v>scorpaena porcus</x:v>
      </x:c>
      <x:c r="O39" s="32" t="n">
        <x:v>3.92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Scorpaena porcus</x:v>
      </x:c>
      <x:c r="T39" s="32" t="n">
        <x:f>IF(O39="","",(1/'Metadata'!$B$5)^(O39-1))</x:f>
        <x:v>831.7637711026708</x:v>
      </x:c>
      <x:c r="U39" s="31" t="n">
        <x:f>IF(T39="","",I39*T39)</x:f>
        <x:v>258047.60815845444</x:v>
      </x:c>
    </x:row>
    <x:row r="40" ht="18" customHeight="1">
      <x:c r="A40" s="24" t="str">
        <x:v>EEZ_793</x:v>
      </x:c>
      <x:c r="B40" s="24" t="str">
        <x:v>Turkey (Mediterranean Sea)</x:v>
      </x:c>
      <x:c r="C40" s="24" t="str">
        <x:v>EEZ</x:v>
      </x:c>
      <x:c r="D40" s="30" t="n">
        <x:v>2019</x:v>
      </x:c>
      <x:c r="E40" s="24" t="str">
        <x:v>Penaeus kerathurus</x:v>
      </x:c>
      <x:c r="F40" s="24" t="str">
        <x:v>Caramote prawn</x:v>
      </x:c>
      <x:c r="G40" s="24" t="str">
        <x:v>Shrimps</x:v>
      </x:c>
      <x:c r="H40" s="24" t="str">
        <x:v>Crustaceans</x:v>
      </x:c>
      <x:c r="I40" s="31" t="n">
        <x:v>270.8943229395</x:v>
      </x:c>
      <x:c r="J40" s="31" t="n">
        <x:v>270.8943229395</x:v>
      </x:c>
      <x:c r="K40" s="31" t="n">
        <x:v>0</x:v>
      </x:c>
      <x:c r="L40" s="31" t="n">
        <x:v>199.5493264662</x:v>
      </x:c>
      <x:c r="M40" s="31" t="n">
        <x:v>71.3449964733</x:v>
      </x:c>
      <x:c r="N40" s="24" t="str">
        <x:v>penaeus kerathurus</x:v>
      </x:c>
      <x:c r="O40" s="32" t="n">
        <x:v>2.7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Penaeus kerathurus</x:v>
      </x:c>
      <x:c r="T40" s="32" t="n">
        <x:f>IF(O40="","",(1/'Metadata'!$B$5)^(O40-1))</x:f>
        <x:v>50.11872336272725</x:v>
      </x:c>
      <x:c r="U40" s="31" t="n">
        <x:f>IF(T40="","",I40*T40)</x:f>
        <x:v>13576.8776319381</x:v>
      </x:c>
    </x:row>
    <x:row r="41" ht="18" customHeight="1">
      <x:c r="A41" s="24" t="str">
        <x:v>EEZ_793</x:v>
      </x:c>
      <x:c r="B41" s="24" t="str">
        <x:v>Turkey (Mediterranean Sea)</x:v>
      </x:c>
      <x:c r="C41" s="24" t="str">
        <x:v>EEZ</x:v>
      </x:c>
      <x:c r="D41" s="30" t="n">
        <x:v>2019</x:v>
      </x:c>
      <x:c r="E41" s="24" t="str">
        <x:v>Spicara</x:v>
      </x:c>
      <x:c r="F41" s="24" t="str">
        <x:v>Picarels</x:v>
      </x:c>
      <x:c r="G41" s="24" t="str">
        <x:v>Small demersals (&lt;30 cm)</x:v>
      </x:c>
      <x:c r="H41" s="24" t="str">
        <x:v>Perch-likes</x:v>
      </x:c>
      <x:c r="I41" s="31" t="n">
        <x:v>262.15141459579996</x:v>
      </x:c>
      <x:c r="J41" s="31" t="n">
        <x:v>249.7538244463</x:v>
      </x:c>
      <x:c r="K41" s="31" t="n">
        <x:v>12.3975901495</x:v>
      </x:c>
      <x:c r="L41" s="31" t="n">
        <x:v>198.6</x:v>
      </x:c>
      <x:c r="M41" s="31" t="n">
        <x:v>63.5514145958</x:v>
      </x:c>
      <x:c r="N41" s="24" t="str">
        <x:v>spicara</x:v>
      </x:c>
      <x:c r="O41" s="32" t="n">
        <x:v>3.58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Spicara</x:v>
      </x:c>
      <x:c r="T41" s="32" t="n">
        <x:f>IF(O41="","",(1/'Metadata'!$B$5)^(O41-1))</x:f>
        <x:v>380.1893963205613</x:v>
      </x:c>
      <x:c r="U41" s="31" t="n">
        <x:f>IF(T41="","",I41*T41)</x:f>
        <x:v>99667.18805975837</x:v>
      </x:c>
    </x:row>
    <x:row r="42" ht="18" customHeight="1">
      <x:c r="A42" s="24" t="str">
        <x:v>EEZ_793</x:v>
      </x:c>
      <x:c r="B42" s="24" t="str">
        <x:v>Turkey (Mediterranean Sea)</x:v>
      </x:c>
      <x:c r="C42" s="24" t="str">
        <x:v>EEZ</x:v>
      </x:c>
      <x:c r="D42" s="30" t="n">
        <x:v>2019</x:v>
      </x:c>
      <x:c r="E42" s="24" t="str">
        <x:v>Lichia amia</x:v>
      </x:c>
      <x:c r="F42" s="24" t="str">
        <x:v>Leerfish</x:v>
      </x:c>
      <x:c r="G42" s="24" t="str">
        <x:v>Large pelagics (&gt;=90 cm)</x:v>
      </x:c>
      <x:c r="H42" s="24" t="str">
        <x:v>Perch-likes</x:v>
      </x:c>
      <x:c r="I42" s="31" t="n">
        <x:v>261.0346731344</x:v>
      </x:c>
      <x:c r="J42" s="31" t="n">
        <x:v>251.3970514657</x:v>
      </x:c>
      <x:c r="K42" s="31" t="n">
        <x:v>9.6376216687</x:v>
      </x:c>
      <x:c r="L42" s="31" t="n">
        <x:v>190.1000000001</x:v>
      </x:c>
      <x:c r="M42" s="31" t="n">
        <x:v>70.9346731343</x:v>
      </x:c>
      <x:c r="N42" s="24" t="str">
        <x:v>lichia amia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Lichia amia</x:v>
      </x:c>
      <x:c r="T42" s="32" t="n">
        <x:f>IF(O42="","",(1/'Metadata'!$B$5)^(O42-1))</x:f>
        <x:v>3162.2776601683795</x:v>
      </x:c>
      <x:c r="U42" s="31" t="n">
        <x:f>IF(T42="","",I42*T42)</x:f>
        <x:v>825464.1153822682</x:v>
      </x:c>
    </x:row>
    <x:row r="43" ht="18" customHeight="1">
      <x:c r="A43" s="24" t="str">
        <x:v>EEZ_793</x:v>
      </x:c>
      <x:c r="B43" s="24" t="str">
        <x:v>Turkey (Mediterranean Sea)</x:v>
      </x:c>
      <x:c r="C43" s="24" t="str">
        <x:v>EEZ</x:v>
      </x:c>
      <x:c r="D43" s="30" t="n">
        <x:v>2019</x:v>
      </x:c>
      <x:c r="E43" s="24" t="str">
        <x:v>Xiphias gladius</x:v>
      </x:c>
      <x:c r="F43" s="24" t="str">
        <x:v>Swordfish</x:v>
      </x:c>
      <x:c r="G43" s="24" t="str">
        <x:v>Large pelagics (&gt;=90 cm)</x:v>
      </x:c>
      <x:c r="H43" s="24" t="str">
        <x:v>Tuna &amp; billfishes</x:v>
      </x:c>
      <x:c r="I43" s="31" t="n">
        <x:v>257.5054321427</x:v>
      </x:c>
      <x:c r="J43" s="31" t="n">
        <x:v>257.2580246908</x:v>
      </x:c>
      <x:c r="K43" s="31" t="n">
        <x:v>0.2474074519</x:v>
      </x:c>
      <x:c r="L43" s="31" t="n">
        <x:v>249.4004473129</x:v>
      </x:c>
      <x:c r="M43" s="31" t="n">
        <x:v>8.1049848298</x:v>
      </x:c>
      <x:c r="N43" s="24" t="str">
        <x:v>xiphias gladius</x:v>
      </x:c>
      <x:c r="O43" s="32" t="n">
        <x:v>4.53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Xiphias gladius</x:v>
      </x:c>
      <x:c r="T43" s="32" t="n">
        <x:f>IF(O43="","",(1/'Metadata'!$B$5)^(O43-1))</x:f>
        <x:v>3388.4415613920273</x:v>
      </x:c>
      <x:c r="U43" s="31" t="n">
        <x:f>IF(T43="","",I43*T43)</x:f>
        <x:v>872542.108556539</x:v>
      </x:c>
    </x:row>
    <x:row r="44" ht="18" customHeight="1">
      <x:c r="A44" s="24" t="str">
        <x:v>EEZ_793</x:v>
      </x:c>
      <x:c r="B44" s="24" t="str">
        <x:v>Turkey (Mediterranean Sea)</x:v>
      </x:c>
      <x:c r="C44" s="24" t="str">
        <x:v>EEZ</x:v>
      </x:c>
      <x:c r="D44" s="30" t="n">
        <x:v>2019</x:v>
      </x:c>
      <x:c r="E44" s="24" t="str">
        <x:v>Goneplax rhomboides</x:v>
      </x:c>
      <x:c r="F44" s="24" t="str">
        <x:v>Goneplax rhomboides</x:v>
      </x:c>
      <x:c r="G44" s="24" t="str">
        <x:v>Lobsters, crabs</x:v>
      </x:c>
      <x:c r="H44" s="24" t="str">
        <x:v>Crustaceans</x:v>
      </x:c>
      <x:c r="I44" s="31" t="n">
        <x:v>244.5427307553</x:v>
      </x:c>
      <x:c r="J44" s="31" t="n">
        <x:v>0</x:v>
      </x:c>
      <x:c r="K44" s="31" t="n">
        <x:v>244.5427307553</x:v>
      </x:c>
      <x:c r="L44" s="31" t="n">
        <x:v>0</x:v>
      </x:c>
      <x:c r="M44" s="31" t="n">
        <x:v>244.5427307553</x:v>
      </x:c>
      <x:c r="N44" s="24" t="str">
        <x:v>goneplax rhomboides</x:v>
      </x:c>
      <x:c r="O44" s="32" t="n">
        <x:v>2.82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Goneplax rhomboides</x:v>
      </x:c>
      <x:c r="T44" s="32" t="n">
        <x:f>IF(O44="","",(1/'Metadata'!$B$5)^(O44-1))</x:f>
        <x:v>66.06934480075958</x:v>
      </x:c>
      <x:c r="U44" s="31" t="n">
        <x:f>IF(T44="","",I44*T44)</x:f>
        <x:v>16156.77799679123</x:v>
      </x:c>
    </x:row>
    <x:row r="45" ht="18" customHeight="1">
      <x:c r="A45" s="24" t="str">
        <x:v>EEZ_793</x:v>
      </x:c>
      <x:c r="B45" s="24" t="str">
        <x:v>Turkey (Mediterranean Sea)</x:v>
      </x:c>
      <x:c r="C45" s="24" t="str">
        <x:v>EEZ</x:v>
      </x:c>
      <x:c r="D45" s="30" t="n">
        <x:v>2019</x:v>
      </x:c>
      <x:c r="E45" s="24" t="str">
        <x:v>Lophius piscatorius</x:v>
      </x:c>
      <x:c r="F45" s="24" t="str">
        <x:v>Angler</x:v>
      </x:c>
      <x:c r="G45" s="24" t="str">
        <x:v>Large bathydemersals (&gt;=90 cm)</x:v>
      </x:c>
      <x:c r="H45" s="24" t="str">
        <x:v>Other fishes &amp; inverts</x:v>
      </x:c>
      <x:c r="I45" s="31" t="n">
        <x:v>244.1407963382</x:v>
      </x:c>
      <x:c r="J45" s="31" t="n">
        <x:v>234.91321899529999</x:v>
      </x:c>
      <x:c r="K45" s="31" t="n">
        <x:v>9.2275773429</x:v>
      </x:c>
      <x:c r="L45" s="31" t="n">
        <x:v>198.4999999997</x:v>
      </x:c>
      <x:c r="M45" s="31" t="n">
        <x:v>45.640796338499996</x:v>
      </x:c>
      <x:c r="N45" s="24" t="str">
        <x:v>lophius piscatorius</x:v>
      </x:c>
      <x:c r="O45" s="32" t="n">
        <x:v>4.45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Lophius piscatorius</x:v>
      </x:c>
      <x:c r="T45" s="32" t="n">
        <x:f>IF(O45="","",(1/'Metadata'!$B$5)^(O45-1))</x:f>
        <x:v>2818.382931264455</x:v>
      </x:c>
      <x:c r="U45" s="31" t="n">
        <x:f>IF(T45="","",I45*T45)</x:f>
        <x:v>688082.2532248944</x:v>
      </x:c>
    </x:row>
    <x:row r="46" ht="18" customHeight="1">
      <x:c r="A46" s="24" t="str">
        <x:v>EEZ_793</x:v>
      </x:c>
      <x:c r="B46" s="24" t="str">
        <x:v>Turkey (Mediterranean Sea)</x:v>
      </x:c>
      <x:c r="C46" s="24" t="str">
        <x:v>EEZ</x:v>
      </x:c>
      <x:c r="D46" s="30" t="n">
        <x:v>2019</x:v>
      </x:c>
      <x:c r="E46" s="24" t="str">
        <x:v>Elasmobranchii</x:v>
      </x:c>
      <x:c r="F46" s="24" t="str">
        <x:v>Sharks, rays, skates</x:v>
      </x:c>
      <x:c r="G46" s="24" t="str">
        <x:v>Large sharks (&gt;=90 cm)</x:v>
      </x:c>
      <x:c r="H46" s="24" t="str">
        <x:v>Sharks &amp; rays</x:v>
      </x:c>
      <x:c r="I46" s="31" t="n">
        <x:v>215.0852295442</x:v>
      </x:c>
      <x:c r="J46" s="31" t="n">
        <x:v>215.0852295442</x:v>
      </x:c>
      <x:c r="K46" s="31" t="n">
        <x:v>0</x:v>
      </x:c>
      <x:c r="L46" s="31" t="n">
        <x:v>0</x:v>
      </x:c>
      <x:c r="M46" s="31" t="n">
        <x:v>215.0852295442</x:v>
      </x:c>
      <x:c r="N46" s="24" t="str">
        <x:v>elasmobranchii</x:v>
      </x:c>
      <x:c r="O46" s="32" t="n">
        <x:v>4.05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Elasmobranchii</x:v>
      </x:c>
      <x:c r="T46" s="32" t="n">
        <x:f>IF(O46="","",(1/'Metadata'!$B$5)^(O46-1))</x:f>
        <x:v>1122.018454301963</x:v>
      </x:c>
      <x:c r="U46" s="31" t="n">
        <x:f>IF(T46="","",I46*T46)</x:f>
        <x:v>241329.59679636615</x:v>
      </x:c>
    </x:row>
    <x:row r="47" ht="18" customHeight="1">
      <x:c r="A47" s="24" t="str">
        <x:v>EEZ_793</x:v>
      </x:c>
      <x:c r="B47" s="24" t="str">
        <x:v>Turkey (Mediterranean Sea)</x:v>
      </x:c>
      <x:c r="C47" s="24" t="str">
        <x:v>EEZ</x:v>
      </x:c>
      <x:c r="D47" s="30" t="n">
        <x:v>2019</x:v>
      </x:c>
      <x:c r="E47" s="24" t="str">
        <x:v>Scomber scombrus</x:v>
      </x:c>
      <x:c r="F47" s="24" t="str">
        <x:v>Atlantic mackerel</x:v>
      </x:c>
      <x:c r="G47" s="24" t="str">
        <x:v>Medium pelagics (30 - 89 cm)</x:v>
      </x:c>
      <x:c r="H47" s="24" t="str">
        <x:v>Perch-likes</x:v>
      </x:c>
      <x:c r="I47" s="31" t="n">
        <x:v>201.5284710699</x:v>
      </x:c>
      <x:c r="J47" s="31" t="n">
        <x:v>193.8103118574</x:v>
      </x:c>
      <x:c r="K47" s="31" t="n">
        <x:v>7.7181592125</x:v>
      </x:c>
      <x:c r="L47" s="31" t="n">
        <x:v>184.7</x:v>
      </x:c>
      <x:c r="M47" s="31" t="n">
        <x:v>16.8284710699</x:v>
      </x:c>
      <x:c r="N47" s="24" t="str">
        <x:v>scomber scombrus</x:v>
      </x:c>
      <x:c r="O47" s="32" t="n">
        <x:v>3.63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Scomber scombrus</x:v>
      </x:c>
      <x:c r="T47" s="32" t="n">
        <x:f>IF(O47="","",(1/'Metadata'!$B$5)^(O47-1))</x:f>
        <x:v>426.57951880159254</x:v>
      </x:c>
      <x:c r="U47" s="31" t="n">
        <x:f>IF(T47="","",I47*T47)</x:f>
        <x:v>85967.91821381862</x:v>
      </x:c>
    </x:row>
    <x:row r="48" ht="18" customHeight="1">
      <x:c r="A48" s="24" t="str">
        <x:v>EEZ_793</x:v>
      </x:c>
      <x:c r="B48" s="24" t="str">
        <x:v>Turkey (Mediterranean Sea)</x:v>
      </x:c>
      <x:c r="C48" s="24" t="str">
        <x:v>EEZ</x:v>
      </x:c>
      <x:c r="D48" s="30" t="n">
        <x:v>2019</x:v>
      </x:c>
      <x:c r="E48" s="24" t="str">
        <x:v>Euthynnus alletteratus</x:v>
      </x:c>
      <x:c r="F48" s="24" t="str">
        <x:v>Little tunny </x:v>
      </x:c>
      <x:c r="G48" s="24" t="str">
        <x:v>Large pelagics (&gt;=90 cm)</x:v>
      </x:c>
      <x:c r="H48" s="24" t="str">
        <x:v>Tuna &amp; billfishes</x:v>
      </x:c>
      <x:c r="I48" s="31" t="n">
        <x:v>197.13245230270002</x:v>
      </x:c>
      <x:c r="J48" s="31" t="n">
        <x:v>197.13245230270002</x:v>
      </x:c>
      <x:c r="K48" s="31" t="n">
        <x:v>0</x:v>
      </x:c>
      <x:c r="L48" s="31" t="n">
        <x:v>196.5866653868</x:v>
      </x:c>
      <x:c r="M48" s="31" t="n">
        <x:v>0.5457869159</x:v>
      </x:c>
      <x:c r="N48" s="24" t="str">
        <x:v>euthynnus alletteratus</x:v>
      </x:c>
      <x:c r="O48" s="32" t="n">
        <x:v>4.49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Euthynnus alletteratus</x:v>
      </x:c>
      <x:c r="T48" s="32" t="n">
        <x:f>IF(O48="","",(1/'Metadata'!$B$5)^(O48-1))</x:f>
        <x:v>3090.295432513592</x:v>
      </x:c>
      <x:c r="U48" s="31" t="n">
        <x:f>IF(T48="","",I48*T48)</x:f>
        <x:v>609197.5169512373</x:v>
      </x:c>
    </x:row>
    <x:row r="49" ht="18" customHeight="1">
      <x:c r="A49" s="24" t="str">
        <x:v>EEZ_793</x:v>
      </x:c>
      <x:c r="B49" s="24" t="str">
        <x:v>Turkey (Mediterranean Sea)</x:v>
      </x:c>
      <x:c r="C49" s="24" t="str">
        <x:v>EEZ</x:v>
      </x:c>
      <x:c r="D49" s="30" t="n">
        <x:v>2019</x:v>
      </x:c>
      <x:c r="E49" s="24" t="str">
        <x:v>Bolinus brandaris</x:v>
      </x:c>
      <x:c r="F49" s="24" t="str">
        <x:v>Purple dye murex</x:v>
      </x:c>
      <x:c r="G49" s="24" t="str">
        <x:v>Other demersal invertebrates</x:v>
      </x:c>
      <x:c r="H49" s="24" t="str">
        <x:v>Molluscs</x:v>
      </x:c>
      <x:c r="I49" s="31" t="n">
        <x:v>195.6341846043</x:v>
      </x:c>
      <x:c r="J49" s="31" t="n">
        <x:v>0</x:v>
      </x:c>
      <x:c r="K49" s="31" t="n">
        <x:v>195.6341846043</x:v>
      </x:c>
      <x:c r="L49" s="31" t="n">
        <x:v>0</x:v>
      </x:c>
      <x:c r="M49" s="31" t="n">
        <x:v>195.6341846043</x:v>
      </x:c>
      <x:c r="N49" s="24" t="str">
        <x:v>bolinus brandaris</x:v>
      </x:c>
      <x:c r="O49" s="32" t="n">
        <x:v>3.23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Bolinus brandaris</x:v>
      </x:c>
      <x:c r="T49" s="32" t="n">
        <x:f>IF(O49="","",(1/'Metadata'!$B$5)^(O49-1))</x:f>
        <x:v>169.82436524617444</x:v>
      </x:c>
      <x:c r="U49" s="31" t="n">
        <x:f>IF(T49="","",I49*T49)</x:f>
        <x:v>33223.45122087816</x:v>
      </x:c>
    </x:row>
    <x:row r="50" ht="18" customHeight="1">
      <x:c r="A50" s="24" t="str">
        <x:v>EEZ_793</x:v>
      </x:c>
      <x:c r="B50" s="24" t="str">
        <x:v>Turkey (Mediterranean Sea)</x:v>
      </x:c>
      <x:c r="C50" s="24" t="str">
        <x:v>EEZ</x:v>
      </x:c>
      <x:c r="D50" s="30" t="n">
        <x:v>2019</x:v>
      </x:c>
      <x:c r="E50" s="24" t="str">
        <x:v>Sarpa salpa</x:v>
      </x:c>
      <x:c r="F50" s="24" t="str">
        <x:v>Salema</x:v>
      </x:c>
      <x:c r="G50" s="24" t="str">
        <x:v>Medium benthopelagics (30 - 89 cm)</x:v>
      </x:c>
      <x:c r="H50" s="24" t="str">
        <x:v>Perch-likes</x:v>
      </x:c>
      <x:c r="I50" s="31" t="n">
        <x:v>182.3090157457</x:v>
      </x:c>
      <x:c r="J50" s="31" t="n">
        <x:v>172.0832265261</x:v>
      </x:c>
      <x:c r="K50" s="31" t="n">
        <x:v>10.2257892196</x:v>
      </x:c>
      <x:c r="L50" s="31" t="n">
        <x:v>143.6999999997</x:v>
      </x:c>
      <x:c r="M50" s="31" t="n">
        <x:v>38.609015746000004</x:v>
      </x:c>
      <x:c r="N50" s="24" t="str">
        <x:v>sarpa salpa</x:v>
      </x:c>
      <x:c r="O50" s="32" t="n">
        <x:v>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Sarpa salpa</x:v>
      </x:c>
      <x:c r="T50" s="32" t="n">
        <x:f>IF(O50="","",(1/'Metadata'!$B$5)^(O50-1))</x:f>
        <x:v>10</x:v>
      </x:c>
      <x:c r="U50" s="31" t="n">
        <x:f>IF(T50="","",I50*T50)</x:f>
        <x:v>1823.090157457</x:v>
      </x:c>
    </x:row>
    <x:row r="51" ht="18" customHeight="1">
      <x:c r="A51" s="24" t="str">
        <x:v>EEZ_793</x:v>
      </x:c>
      <x:c r="B51" s="24" t="str">
        <x:v>Turkey (Mediterranean Sea)</x:v>
      </x:c>
      <x:c r="C51" s="24" t="str">
        <x:v>EEZ</x:v>
      </x:c>
      <x:c r="D51" s="30" t="n">
        <x:v>2019</x:v>
      </x:c>
      <x:c r="E51" s="24" t="str">
        <x:v>Scomberesocidae</x:v>
      </x:c>
      <x:c r="F51" s="24" t="str">
        <x:v>Sauries</x:v>
      </x:c>
      <x:c r="G51" s="24" t="str">
        <x:v>Medium pelagics (30 - 89 cm)</x:v>
      </x:c>
      <x:c r="H51" s="24" t="str">
        <x:v>Other fishes &amp; inverts</x:v>
      </x:c>
      <x:c r="I51" s="31" t="n">
        <x:v>177.7475621458</x:v>
      </x:c>
      <x:c r="J51" s="31" t="n">
        <x:v>169.7341474651</x:v>
      </x:c>
      <x:c r="K51" s="31" t="n">
        <x:v>8.0134146807</x:v>
      </x:c>
      <x:c r="L51" s="31" t="n">
        <x:v>144.4</x:v>
      </x:c>
      <x:c r="M51" s="31" t="n">
        <x:v>33.3475621458</x:v>
      </x:c>
      <x:c r="N51" s="24" t="str">
        <x:v>scomberesocidae</x:v>
      </x:c>
      <x:c r="O51" s="32" t="n">
        <x:v>4.01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Scomberesocidae</x:v>
      </x:c>
      <x:c r="T51" s="32" t="n">
        <x:f>IF(O51="","",(1/'Metadata'!$B$5)^(O51-1))</x:f>
        <x:v>1023.2929922807537</x:v>
      </x:c>
      <x:c r="U51" s="31" t="n">
        <x:f>IF(T51="","",I51*T51)</x:f>
        <x:v>181887.8347387849</x:v>
      </x:c>
    </x:row>
    <x:row r="52" ht="18" customHeight="1">
      <x:c r="A52" s="24" t="str">
        <x:v>EEZ_793</x:v>
      </x:c>
      <x:c r="B52" s="24" t="str">
        <x:v>Turkey (Mediterranean Sea)</x:v>
      </x:c>
      <x:c r="C52" s="24" t="str">
        <x:v>EEZ</x:v>
      </x:c>
      <x:c r="D52" s="30" t="n">
        <x:v>2019</x:v>
      </x:c>
      <x:c r="E52" s="24" t="str">
        <x:v>Dicentrarchus</x:v>
      </x:c>
      <x:c r="F52" s="24" t="str">
        <x:v>Seabasses</x:v>
      </x:c>
      <x:c r="G52" s="24" t="str">
        <x:v>Large demersals (&gt;=90 cm)</x:v>
      </x:c>
      <x:c r="H52" s="24" t="str">
        <x:v>Perch-likes</x:v>
      </x:c>
      <x:c r="I52" s="31" t="n">
        <x:v>170.6790876755</x:v>
      </x:c>
      <x:c r="J52" s="31" t="n">
        <x:v>162.9602997087</x:v>
      </x:c>
      <x:c r="K52" s="31" t="n">
        <x:v>7.718787966800001</x:v>
      </x:c>
      <x:c r="L52" s="31" t="n">
        <x:v>141.9999999999</x:v>
      </x:c>
      <x:c r="M52" s="31" t="n">
        <x:v>28.6790876756</x:v>
      </x:c>
      <x:c r="N52" s="24" t="str">
        <x:v>dicentrarchus</x:v>
      </x:c>
      <x:c r="O52" s="32" t="n">
        <x:v>3.94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Dicentrarchus</x:v>
      </x:c>
      <x:c r="T52" s="32" t="n">
        <x:f>IF(O52="","",(1/'Metadata'!$B$5)^(O52-1))</x:f>
        <x:v>870.9635899560806</x:v>
      </x:c>
      <x:c r="U52" s="31" t="n">
        <x:f>IF(T52="","",I52*T52)</x:f>
        <x:v>148655.27093228212</x:v>
      </x:c>
    </x:row>
    <x:row r="53" ht="18" customHeight="1">
      <x:c r="A53" s="24" t="str">
        <x:v>EEZ_793</x:v>
      </x:c>
      <x:c r="B53" s="24" t="str">
        <x:v>Turkey (Mediterranean Sea)</x:v>
      </x:c>
      <x:c r="C53" s="24" t="str">
        <x:v>EEZ</x:v>
      </x:c>
      <x:c r="D53" s="30" t="n">
        <x:v>2019</x:v>
      </x:c>
      <x:c r="E53" s="24" t="str">
        <x:v>Diplodus vulgaris</x:v>
      </x:c>
      <x:c r="F53" s="24" t="str">
        <x:v>Common two-banded seabream</x:v>
      </x:c>
      <x:c r="G53" s="24" t="str">
        <x:v>Medium benthopelagics (30 - 89 cm)</x:v>
      </x:c>
      <x:c r="H53" s="24" t="str">
        <x:v>Perch-likes</x:v>
      </x:c>
      <x:c r="I53" s="31" t="n">
        <x:v>162.7170969663</x:v>
      </x:c>
      <x:c r="J53" s="31" t="n">
        <x:v>150.8309194461</x:v>
      </x:c>
      <x:c r="K53" s="31" t="n">
        <x:v>11.8861775202</x:v>
      </x:c>
      <x:c r="L53" s="31" t="n">
        <x:v>109.7</x:v>
      </x:c>
      <x:c r="M53" s="31" t="n">
        <x:v>53.017096966299995</x:v>
      </x:c>
      <x:c r="N53" s="24" t="str">
        <x:v>diplodus vulgaris</x:v>
      </x:c>
      <x:c r="O53" s="32" t="n">
        <x:v>3.52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Diplodus vulgaris</x:v>
      </x:c>
      <x:c r="T53" s="32" t="n">
        <x:f>IF(O53="","",(1/'Metadata'!$B$5)^(O53-1))</x:f>
        <x:v>331.1311214825911</x:v>
      </x:c>
      <x:c r="U53" s="31" t="n">
        <x:f>IF(T53="","",I53*T53)</x:f>
        <x:v>53880.69480284244</x:v>
      </x:c>
    </x:row>
    <x:row r="54" ht="18" customHeight="1">
      <x:c r="A54" s="24" t="str">
        <x:v>EEZ_793</x:v>
      </x:c>
      <x:c r="B54" s="24" t="str">
        <x:v>Turkey (Mediterranean Sea)</x:v>
      </x:c>
      <x:c r="C54" s="24" t="str">
        <x:v>EEZ</x:v>
      </x:c>
      <x:c r="D54" s="30" t="n">
        <x:v>2019</x:v>
      </x:c>
      <x:c r="E54" s="24" t="str">
        <x:v>Dendrobranchiata</x:v>
      </x:c>
      <x:c r="F54" s="24" t="str">
        <x:v>Shrimps and prawns</x:v>
      </x:c>
      <x:c r="G54" s="24" t="str">
        <x:v>Shrimps</x:v>
      </x:c>
      <x:c r="H54" s="24" t="str">
        <x:v>Crustaceans</x:v>
      </x:c>
      <x:c r="I54" s="31" t="n">
        <x:v>155.300407619</x:v>
      </x:c>
      <x:c r="J54" s="31" t="n">
        <x:v>155.300407619</x:v>
      </x:c>
      <x:c r="K54" s="31" t="n">
        <x:v>0</x:v>
      </x:c>
      <x:c r="L54" s="31" t="n">
        <x:v>0</x:v>
      </x:c>
      <x:c r="M54" s="31" t="n">
        <x:v>155.300407619</x:v>
      </x:c>
      <x:c r="N54" s="24" t="str">
        <x:v>dendrobranchiata</x:v>
      </x:c>
      <x:c r="O54" s="32" t="n">
        <x:v>3.24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Dendrobranchiata</x:v>
      </x:c>
      <x:c r="T54" s="32" t="n">
        <x:f>IF(O54="","",(1/'Metadata'!$B$5)^(O54-1))</x:f>
        <x:v>173.78008287493762</x:v>
      </x:c>
      <x:c r="U54" s="31" t="n">
        <x:f>IF(T54="","",I54*T54)</x:f>
        <x:v>26988.117706541412</x:v>
      </x:c>
    </x:row>
    <x:row r="55" ht="18" customHeight="1">
      <x:c r="A55" s="24" t="str">
        <x:v>EEZ_793</x:v>
      </x:c>
      <x:c r="B55" s="24" t="str">
        <x:v>Turkey (Mediterranean Sea)</x:v>
      </x:c>
      <x:c r="C55" s="24" t="str">
        <x:v>EEZ</x:v>
      </x:c>
      <x:c r="D55" s="30" t="n">
        <x:v>2019</x:v>
      </x:c>
      <x:c r="E55" s="24" t="str">
        <x:v>Sparus aurata</x:v>
      </x:c>
      <x:c r="F55" s="24" t="str">
        <x:v>Gilthead seabream</x:v>
      </x:c>
      <x:c r="G55" s="24" t="str">
        <x:v>Medium demersals (30 - 89 cm)</x:v>
      </x:c>
      <x:c r="H55" s="24" t="str">
        <x:v>Perch-likes</x:v>
      </x:c>
      <x:c r="I55" s="31" t="n">
        <x:v>122.09693558400001</x:v>
      </x:c>
      <x:c r="J55" s="31" t="n">
        <x:v>87.9918682449</x:v>
      </x:c>
      <x:c r="K55" s="31" t="n">
        <x:v>34.1050673391</x:v>
      </x:c>
      <x:c r="L55" s="31" t="n">
        <x:v>0</x:v>
      </x:c>
      <x:c r="M55" s="31" t="n">
        <x:v>122.09693558400001</x:v>
      </x:c>
      <x:c r="N55" s="24" t="str">
        <x:v>sparus aurata</x:v>
      </x:c>
      <x:c r="O55" s="32" t="n">
        <x:v>3.7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Sparus aurata</x:v>
      </x:c>
      <x:c r="T55" s="32" t="n">
        <x:f>IF(O55="","",(1/'Metadata'!$B$5)^(O55-1))</x:f>
        <x:v>501.18723362727246</x:v>
      </x:c>
      <x:c r="U55" s="31" t="n">
        <x:f>IF(T55="","",I55*T55)</x:f>
        <x:v>61193.42537971225</x:v>
      </x:c>
    </x:row>
    <x:row r="56" ht="18" customHeight="1">
      <x:c r="A56" s="24" t="str">
        <x:v>EEZ_793</x:v>
      </x:c>
      <x:c r="B56" s="24" t="str">
        <x:v>Turkey (Mediterranean Sea)</x:v>
      </x:c>
      <x:c r="C56" s="24" t="str">
        <x:v>EEZ</x:v>
      </x:c>
      <x:c r="D56" s="30" t="n">
        <x:v>2019</x:v>
      </x:c>
      <x:c r="E56" s="24" t="str">
        <x:v>Oblada melanurus</x:v>
      </x:c>
      <x:c r="F56" s="24" t="str">
        <x:v>Saddled seabream</x:v>
      </x:c>
      <x:c r="G56" s="24" t="str">
        <x:v>Small benthopelagics (&lt;30 cm)</x:v>
      </x:c>
      <x:c r="H56" s="24" t="str">
        <x:v>Perch-likes</x:v>
      </x:c>
      <x:c r="I56" s="31" t="n">
        <x:v>86.7863615739</x:v>
      </x:c>
      <x:c r="J56" s="31" t="n">
        <x:v>79.9107286504</x:v>
      </x:c>
      <x:c r="K56" s="31" t="n">
        <x:v>6.8756329234999995</x:v>
      </x:c>
      <x:c r="L56" s="31" t="n">
        <x:v>58.6999999998</x:v>
      </x:c>
      <x:c r="M56" s="31" t="n">
        <x:v>28.0863615741</x:v>
      </x:c>
      <x:c r="N56" s="24" t="str">
        <x:v>oblada melanurus</x:v>
      </x:c>
      <x:c r="O56" s="32" t="n">
        <x:v>3.38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Oblada melanurus</x:v>
      </x:c>
      <x:c r="T56" s="32" t="n">
        <x:f>IF(O56="","",(1/'Metadata'!$B$5)^(O56-1))</x:f>
        <x:v>239.88329190194898</x:v>
      </x:c>
      <x:c r="U56" s="31" t="n">
        <x:f>IF(T56="","",I56*T56)</x:f>
        <x:v>20818.59810653994</x:v>
      </x:c>
    </x:row>
    <x:row r="57" ht="18" customHeight="1">
      <x:c r="A57" s="24" t="str">
        <x:v>EEZ_793</x:v>
      </x:c>
      <x:c r="B57" s="24" t="str">
        <x:v>Turkey (Mediterranean Sea)</x:v>
      </x:c>
      <x:c r="C57" s="24" t="str">
        <x:v>EEZ</x:v>
      </x:c>
      <x:c r="D57" s="30" t="n">
        <x:v>2019</x:v>
      </x:c>
      <x:c r="E57" s="24" t="str">
        <x:v>Argyrosomus regius</x:v>
      </x:c>
      <x:c r="F57" s="24" t="str">
        <x:v>Meagre</x:v>
      </x:c>
      <x:c r="G57" s="24" t="str">
        <x:v>Large benthopelagics (&gt;=90 cm)</x:v>
      </x:c>
      <x:c r="H57" s="24" t="str">
        <x:v>Perch-likes</x:v>
      </x:c>
      <x:c r="I57" s="31" t="n">
        <x:v>81.6961264499</x:v>
      </x:c>
      <x:c r="J57" s="31" t="n">
        <x:v>79.0248483722</x:v>
      </x:c>
      <x:c r="K57" s="31" t="n">
        <x:v>2.6712780777000003</x:v>
      </x:c>
      <x:c r="L57" s="31" t="n">
        <x:v>69.3000000002</x:v>
      </x:c>
      <x:c r="M57" s="31" t="n">
        <x:v>12.3961264497</x:v>
      </x:c>
      <x:c r="N57" s="24" t="str">
        <x:v>argyrosomus regius</x:v>
      </x:c>
      <x:c r="O57" s="32" t="n">
        <x:v>4.29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Argyrosomus regius</x:v>
      </x:c>
      <x:c r="T57" s="32" t="n">
        <x:f>IF(O57="","",(1/'Metadata'!$B$5)^(O57-1))</x:f>
        <x:v>1949.8445997580454</x:v>
      </x:c>
      <x:c r="U57" s="31" t="n">
        <x:f>IF(T57="","",I57*T57)</x:f>
        <x:v>159294.75097948796</x:v>
      </x:c>
    </x:row>
    <x:row r="58" ht="18" customHeight="1">
      <x:c r="A58" s="24" t="str">
        <x:v>EEZ_793</x:v>
      </x:c>
      <x:c r="B58" s="24" t="str">
        <x:v>Turkey (Mediterranean Sea)</x:v>
      </x:c>
      <x:c r="C58" s="24" t="str">
        <x:v>EEZ</x:v>
      </x:c>
      <x:c r="D58" s="30" t="n">
        <x:v>2019</x:v>
      </x:c>
      <x:c r="E58" s="24" t="str">
        <x:v>Zeus faber</x:v>
      </x:c>
      <x:c r="F58" s="24" t="str">
        <x:v>John dory</x:v>
      </x:c>
      <x:c r="G58" s="24" t="str">
        <x:v>Medium benthopelagics (30 - 89 cm)</x:v>
      </x:c>
      <x:c r="H58" s="24" t="str">
        <x:v>Other fishes &amp; inverts</x:v>
      </x:c>
      <x:c r="I58" s="31" t="n">
        <x:v>78.4736780466</x:v>
      </x:c>
      <x:c r="J58" s="31" t="n">
        <x:v>74.319402731</x:v>
      </x:c>
      <x:c r="K58" s="31" t="n">
        <x:v>4.1542753156000005</x:v>
      </x:c>
      <x:c r="L58" s="31" t="n">
        <x:v>59.2999999998</x:v>
      </x:c>
      <x:c r="M58" s="31" t="n">
        <x:v>19.1736780468</x:v>
      </x:c>
      <x:c r="N58" s="24" t="str">
        <x:v>zeus faber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Zeus faber</x:v>
      </x:c>
      <x:c r="T58" s="32" t="n">
        <x:f>IF(O58="","",(1/'Metadata'!$B$5)^(O58-1))</x:f>
        <x:v>3162.2776601683795</x:v>
      </x:c>
      <x:c r="U58" s="31" t="n">
        <x:f>IF(T58="","",I58*T58)</x:f>
        <x:v>248155.558998009</x:v>
      </x:c>
    </x:row>
    <x:row r="59" ht="18" customHeight="1">
      <x:c r="A59" s="24" t="str">
        <x:v>EEZ_793</x:v>
      </x:c>
      <x:c r="B59" s="24" t="str">
        <x:v>Turkey (Mediterranean Sea)</x:v>
      </x:c>
      <x:c r="C59" s="24" t="str">
        <x:v>EEZ</x:v>
      </x:c>
      <x:c r="D59" s="30" t="n">
        <x:v>2019</x:v>
      </x:c>
      <x:c r="E59" s="24" t="str">
        <x:v>Raja clavata</x:v>
      </x:c>
      <x:c r="F59" s="24" t="str">
        <x:v>Thornback ray</x:v>
      </x:c>
      <x:c r="G59" s="24" t="str">
        <x:v>Large rays (&gt;=90 cm)</x:v>
      </x:c>
      <x:c r="H59" s="24" t="str">
        <x:v>Sharks &amp; rays</x:v>
      </x:c>
      <x:c r="I59" s="31" t="n">
        <x:v>67.9537846506</x:v>
      </x:c>
      <x:c r="J59" s="31" t="n">
        <x:v>7.1792169899000005</x:v>
      </x:c>
      <x:c r="K59" s="31" t="n">
        <x:v>60.7745676607</x:v>
      </x:c>
      <x:c r="L59" s="31" t="n">
        <x:v>1.7</x:v>
      </x:c>
      <x:c r="M59" s="31" t="n">
        <x:v>66.2537846506</x:v>
      </x:c>
      <x:c r="N59" s="24" t="str">
        <x:v>raja clavata</x:v>
      </x:c>
      <x:c r="O59" s="32" t="n">
        <x:v>3.84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Raja clavata</x:v>
      </x:c>
      <x:c r="T59" s="32" t="n">
        <x:f>IF(O59="","",(1/'Metadata'!$B$5)^(O59-1))</x:f>
        <x:v>691.8309709189363</x:v>
      </x:c>
      <x:c r="U59" s="31" t="n">
        <x:f>IF(T59="","",I59*T59)</x:f>
        <x:v>47012.532812440906</x:v>
      </x:c>
    </x:row>
    <x:row r="60" ht="18" customHeight="1">
      <x:c r="A60" s="24" t="str">
        <x:v>EEZ_793</x:v>
      </x:c>
      <x:c r="B60" s="24" t="str">
        <x:v>Turkey (Mediterranean Sea)</x:v>
      </x:c>
      <x:c r="C60" s="24" t="str">
        <x:v>EEZ</x:v>
      </x:c>
      <x:c r="D60" s="30" t="n">
        <x:v>2019</x:v>
      </x:c>
      <x:c r="E60" s="24" t="str">
        <x:v>Metapenaeus monoceros</x:v>
      </x:c>
      <x:c r="F60" s="24" t="str">
        <x:v>Speckled shrimp</x:v>
      </x:c>
      <x:c r="G60" s="24" t="str">
        <x:v>Shrimps</x:v>
      </x:c>
      <x:c r="H60" s="24" t="str">
        <x:v>Crustaceans</x:v>
      </x:c>
      <x:c r="I60" s="31" t="n">
        <x:v>63.5493022714</x:v>
      </x:c>
      <x:c r="J60" s="31" t="n">
        <x:v>63.5493022714</x:v>
      </x:c>
      <x:c r="K60" s="31" t="n">
        <x:v>0</x:v>
      </x:c>
      <x:c r="L60" s="31" t="n">
        <x:v>63.5</x:v>
      </x:c>
      <x:c r="M60" s="31" t="n">
        <x:v>0.0493022714</x:v>
      </x:c>
      <x:c r="N60" s="24" t="str">
        <x:v>metapenaeus monoceros</x:v>
      </x:c>
      <x:c r="O60" s="32" t="n">
        <x:v>2.7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Metapenaeus monoceros</x:v>
      </x:c>
      <x:c r="T60" s="32" t="n">
        <x:f>IF(O60="","",(1/'Metadata'!$B$5)^(O60-1))</x:f>
        <x:v>50.11872336272725</x:v>
      </x:c>
      <x:c r="U60" s="31" t="n">
        <x:f>IF(T60="","",I60*T60)</x:f>
        <x:v>3185.009900434631</x:v>
      </x:c>
    </x:row>
    <x:row r="61" ht="18" customHeight="1">
      <x:c r="A61" s="24" t="str">
        <x:v>EEZ_793</x:v>
      </x:c>
      <x:c r="B61" s="24" t="str">
        <x:v>Turkey (Mediterranean Sea)</x:v>
      </x:c>
      <x:c r="C61" s="24" t="str">
        <x:v>EEZ</x:v>
      </x:c>
      <x:c r="D61" s="30" t="n">
        <x:v>2019</x:v>
      </x:c>
      <x:c r="E61" s="24" t="str">
        <x:v>Spondyliosoma cantharus</x:v>
      </x:c>
      <x:c r="F61" s="24" t="str">
        <x:v>Black seabream</x:v>
      </x:c>
      <x:c r="G61" s="24" t="str">
        <x:v>Medium benthopelagics (30 - 89 cm)</x:v>
      </x:c>
      <x:c r="H61" s="24" t="str">
        <x:v>Perch-likes</x:v>
      </x:c>
      <x:c r="I61" s="31" t="n">
        <x:v>59.036681667799996</x:v>
      </x:c>
      <x:c r="J61" s="31" t="n">
        <x:v>54.7863940924</x:v>
      </x:c>
      <x:c r="K61" s="31" t="n">
        <x:v>4.2502875754</x:v>
      </x:c>
      <x:c r="L61" s="31" t="n">
        <x:v>38.6999999997</x:v>
      </x:c>
      <x:c r="M61" s="31" t="n">
        <x:v>20.3366816681</x:v>
      </x:c>
      <x:c r="N61" s="24" t="str">
        <x:v>spondyliosoma cantharus</x:v>
      </x:c>
      <x:c r="O61" s="32" t="n">
        <x:v>3.34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Spondyliosoma cantharus</x:v>
      </x:c>
      <x:c r="T61" s="32" t="n">
        <x:f>IF(O61="","",(1/'Metadata'!$B$5)^(O61-1))</x:f>
        <x:v>218.77616239495518</x:v>
      </x:c>
      <x:c r="U61" s="31" t="n">
        <x:f>IF(T61="","",I61*T61)</x:f>
        <x:v>12915.818655813886</x:v>
      </x:c>
    </x:row>
    <x:row r="62" ht="18" customHeight="1">
      <x:c r="A62" s="24" t="str">
        <x:v>EEZ_793</x:v>
      </x:c>
      <x:c r="B62" s="24" t="str">
        <x:v>Turkey (Mediterranean Sea)</x:v>
      </x:c>
      <x:c r="C62" s="24" t="str">
        <x:v>EEZ</x:v>
      </x:c>
      <x:c r="D62" s="30" t="n">
        <x:v>2019</x:v>
      </x:c>
      <x:c r="E62" s="24" t="str">
        <x:v>Belone belone</x:v>
      </x:c>
      <x:c r="F62" s="24" t="str">
        <x:v>Garfish</x:v>
      </x:c>
      <x:c r="G62" s="24" t="str">
        <x:v>Medium pelagics (30 - 89 cm)</x:v>
      </x:c>
      <x:c r="H62" s="24" t="str">
        <x:v>Other fishes &amp; inverts</x:v>
      </x:c>
      <x:c r="I62" s="31" t="n">
        <x:v>55.477723050899996</x:v>
      </x:c>
      <x:c r="J62" s="31" t="n">
        <x:v>52.666985151199995</x:v>
      </x:c>
      <x:c r="K62" s="31" t="n">
        <x:v>2.8107378997</x:v>
      </x:c>
      <x:c r="L62" s="31" t="n">
        <x:v>44.299999999899995</x:v>
      </x:c>
      <x:c r="M62" s="31" t="n">
        <x:v>11.177723051</x:v>
      </x:c>
      <x:c r="N62" s="24" t="str">
        <x:v>belone belone</x:v>
      </x:c>
      <x:c r="O62" s="32" t="n">
        <x:v>4.16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Belone belone</x:v>
      </x:c>
      <x:c r="T62" s="32" t="n">
        <x:f>IF(O62="","",(1/'Metadata'!$B$5)^(O62-1))</x:f>
        <x:v>1445.439770745928</x:v>
      </x:c>
      <x:c r="U62" s="31" t="n">
        <x:f>IF(T62="","",I62*T62)</x:f>
        <x:v>80189.70728819897</x:v>
      </x:c>
    </x:row>
    <x:row r="63" ht="18" customHeight="1">
      <x:c r="A63" s="24" t="str">
        <x:v>EEZ_793</x:v>
      </x:c>
      <x:c r="B63" s="24" t="str">
        <x:v>Turkey (Mediterranean Sea)</x:v>
      </x:c>
      <x:c r="C63" s="24" t="str">
        <x:v>EEZ</x:v>
      </x:c>
      <x:c r="D63" s="30" t="n">
        <x:v>2019</x:v>
      </x:c>
      <x:c r="E63" s="24" t="str">
        <x:v>Micromesistius poutassou</x:v>
      </x:c>
      <x:c r="F63" s="24" t="str">
        <x:v>Blue whiting</x:v>
      </x:c>
      <x:c r="G63" s="24" t="str">
        <x:v>Medium benthopelagics (30 - 89 cm)</x:v>
      </x:c>
      <x:c r="H63" s="24" t="str">
        <x:v>Cod-likes</x:v>
      </x:c>
      <x:c r="I63" s="31" t="n">
        <x:v>43.0170459135</x:v>
      </x:c>
      <x:c r="J63" s="31" t="n">
        <x:v>43.0170459135</x:v>
      </x:c>
      <x:c r="K63" s="31" t="n">
        <x:v>0</x:v>
      </x:c>
      <x:c r="L63" s="31" t="n">
        <x:v>0</x:v>
      </x:c>
      <x:c r="M63" s="31" t="n">
        <x:v>43.0170459135</x:v>
      </x:c>
      <x:c r="N63" s="24" t="str">
        <x:v>micromesistius poutassou</x:v>
      </x:c>
      <x:c r="O63" s="32" t="n">
        <x:v>4.13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Micromesistius poutassou</x:v>
      </x:c>
      <x:c r="T63" s="32" t="n">
        <x:f>IF(O63="","",(1/'Metadata'!$B$5)^(O63-1))</x:f>
        <x:v>1348.9628825916532</x:v>
      </x:c>
      <x:c r="U63" s="31" t="n">
        <x:f>IF(T63="","",I63*T63)</x:f>
        <x:v>58028.39825605245</x:v>
      </x:c>
    </x:row>
    <x:row r="64" ht="18" customHeight="1">
      <x:c r="A64" s="24" t="str">
        <x:v>EEZ_793</x:v>
      </x:c>
      <x:c r="B64" s="24" t="str">
        <x:v>Turkey (Mediterranean Sea)</x:v>
      </x:c>
      <x:c r="C64" s="24" t="str">
        <x:v>EEZ</x:v>
      </x:c>
      <x:c r="D64" s="30" t="n">
        <x:v>2019</x:v>
      </x:c>
      <x:c r="E64" s="24" t="str">
        <x:v>Umbrina cirrosa</x:v>
      </x:c>
      <x:c r="F64" s="24" t="str">
        <x:v>Shi drum</x:v>
      </x:c>
      <x:c r="G64" s="24" t="str">
        <x:v>Medium demersals (30 - 89 cm)</x:v>
      </x:c>
      <x:c r="H64" s="24" t="str">
        <x:v>Perch-likes</x:v>
      </x:c>
      <x:c r="I64" s="31" t="n">
        <x:v>42.703573513</x:v>
      </x:c>
      <x:c r="J64" s="31" t="n">
        <x:v>38.8538731463</x:v>
      </x:c>
      <x:c r="K64" s="31" t="n">
        <x:v>3.8497003666999996</x:v>
      </x:c>
      <x:c r="L64" s="31" t="n">
        <x:v>24.7000000002</x:v>
      </x:c>
      <x:c r="M64" s="31" t="n">
        <x:v>18.0035735128</x:v>
      </x:c>
      <x:c r="N64" s="24" t="str">
        <x:v>umbrina cirrosa</x:v>
      </x:c>
      <x:c r="O64" s="32" t="n">
        <x:v>3.46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Umbrina cirrosa</x:v>
      </x:c>
      <x:c r="T64" s="32" t="n">
        <x:f>IF(O64="","",(1/'Metadata'!$B$5)^(O64-1))</x:f>
        <x:v>288.40315031266056</x:v>
      </x:c>
      <x:c r="U64" s="31" t="n">
        <x:f>IF(T64="","",I64*T64)</x:f>
        <x:v>12315.845130757489</x:v>
      </x:c>
    </x:row>
    <x:row r="65" ht="18" customHeight="1">
      <x:c r="A65" s="24" t="str">
        <x:v>EEZ_793</x:v>
      </x:c>
      <x:c r="B65" s="24" t="str">
        <x:v>Turkey (Mediterranean Sea)</x:v>
      </x:c>
      <x:c r="C65" s="24" t="str">
        <x:v>EEZ</x:v>
      </x:c>
      <x:c r="D65" s="30" t="n">
        <x:v>2019</x:v>
      </x:c>
      <x:c r="E65" s="24" t="str">
        <x:v>Rapana venosa</x:v>
      </x:c>
      <x:c r="F65" s="24" t="str">
        <x:v>Purple whelk</x:v>
      </x:c>
      <x:c r="G65" s="24" t="str">
        <x:v>Other demersal invertebrates</x:v>
      </x:c>
      <x:c r="H65" s="24" t="str">
        <x:v>Molluscs</x:v>
      </x:c>
      <x:c r="I65" s="31" t="n">
        <x:v>40.2195283951</x:v>
      </x:c>
      <x:c r="J65" s="31" t="n">
        <x:v>32.4184780935</x:v>
      </x:c>
      <x:c r="K65" s="31" t="n">
        <x:v>7.8010503016</x:v>
      </x:c>
      <x:c r="L65" s="31" t="n">
        <x:v>26.9962622058</x:v>
      </x:c>
      <x:c r="M65" s="31" t="n">
        <x:v>13.2232661893</x:v>
      </x:c>
      <x:c r="N65" s="24" t="str">
        <x:v>rapana venosa</x:v>
      </x:c>
      <x:c r="O65" s="32" t="n">
        <x:v>3.1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Rapana venosa</x:v>
      </x:c>
      <x:c r="T65" s="32" t="n">
        <x:f>IF(O65="","",(1/'Metadata'!$B$5)^(O65-1))</x:f>
        <x:v>125.89254117941675</x:v>
      </x:c>
      <x:c r="U65" s="31" t="n">
        <x:f>IF(T65="","",I65*T65)</x:f>
        <x:v>5063.338634696848</x:v>
      </x:c>
    </x:row>
    <x:row r="66" ht="18" customHeight="1">
      <x:c r="A66" s="24" t="str">
        <x:v>EEZ_793</x:v>
      </x:c>
      <x:c r="B66" s="24" t="str">
        <x:v>Turkey (Mediterranean Sea)</x:v>
      </x:c>
      <x:c r="C66" s="24" t="str">
        <x:v>EEZ</x:v>
      </x:c>
      <x:c r="D66" s="30" t="n">
        <x:v>2019</x:v>
      </x:c>
      <x:c r="E66" s="24" t="str">
        <x:v>Pagrus pagrus</x:v>
      </x:c>
      <x:c r="F66" s="24" t="str">
        <x:v>Red porgy</x:v>
      </x:c>
      <x:c r="G66" s="24" t="str">
        <x:v>Medium benthopelagics (30 - 89 cm)</x:v>
      </x:c>
      <x:c r="H66" s="24" t="str">
        <x:v>Perch-likes</x:v>
      </x:c>
      <x:c r="I66" s="31" t="n">
        <x:v>36.5822717511</x:v>
      </x:c>
      <x:c r="J66" s="31" t="n">
        <x:v>35.3808697056</x:v>
      </x:c>
      <x:c r="K66" s="31" t="n">
        <x:v>1.2014020455</x:v>
      </x:c>
      <x:c r="L66" s="31" t="n">
        <x:v>31.7999999996</x:v>
      </x:c>
      <x:c r="M66" s="31" t="n">
        <x:v>4.782271751500001</x:v>
      </x:c>
      <x:c r="N66" s="24" t="str">
        <x:v>pagrus pagrus</x:v>
      </x:c>
      <x:c r="O66" s="32" t="n">
        <x:v>3.86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Pagrus pagrus</x:v>
      </x:c>
      <x:c r="T66" s="32" t="n">
        <x:f>IF(O66="","",(1/'Metadata'!$B$5)^(O66-1))</x:f>
        <x:v>724.4359600749899</x:v>
      </x:c>
      <x:c r="U66" s="31" t="n">
        <x:f>IF(T66="","",I66*T66)</x:f>
        <x:v>26501.51315773231</x:v>
      </x:c>
    </x:row>
    <x:row r="67" ht="18" customHeight="1">
      <x:c r="A67" s="24" t="str">
        <x:v>EEZ_793</x:v>
      </x:c>
      <x:c r="B67" s="24" t="str">
        <x:v>Turkey (Mediterranean Sea)</x:v>
      </x:c>
      <x:c r="C67" s="24" t="str">
        <x:v>EEZ</x:v>
      </x:c>
      <x:c r="D67" s="30" t="n">
        <x:v>2019</x:v>
      </x:c>
      <x:c r="E67" s="24" t="str">
        <x:v>Mytilus</x:v>
      </x:c>
      <x:c r="F67" s="24" t="str">
        <x:v>Edible sea mussels</x:v>
      </x:c>
      <x:c r="G67" s="24" t="str">
        <x:v>Other demersal invertebrates</x:v>
      </x:c>
      <x:c r="H67" s="24" t="str">
        <x:v>Molluscs</x:v>
      </x:c>
      <x:c r="I67" s="31" t="n">
        <x:v>22.4566723358</x:v>
      </x:c>
      <x:c r="J67" s="31" t="n">
        <x:v>22.4566723358</x:v>
      </x:c>
      <x:c r="K67" s="31" t="n">
        <x:v>0</x:v>
      </x:c>
      <x:c r="L67" s="31" t="n">
        <x:v>0</x:v>
      </x:c>
      <x:c r="M67" s="31" t="n">
        <x:v>22.4566723358</x:v>
      </x:c>
      <x:c r="N67" s="24" t="str">
        <x:v>mytilus</x:v>
      </x:c>
      <x:c r="O67" s="32" t="n">
        <x:v>2.03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Mytilus</x:v>
      </x:c>
      <x:c r="T67" s="32" t="n">
        <x:f>IF(O67="","",(1/'Metadata'!$B$5)^(O67-1))</x:f>
        <x:v>10.71519305237606</x:v>
      </x:c>
      <x:c r="U67" s="31" t="n">
        <x:f>IF(T67="","",I67*T67)</x:f>
        <x:v>240.62757939204982</x:v>
      </x:c>
    </x:row>
    <x:row r="68" ht="18" customHeight="1">
      <x:c r="A68" s="24" t="str">
        <x:v>EEZ_793</x:v>
      </x:c>
      <x:c r="B68" s="24" t="str">
        <x:v>Turkey (Mediterranean Sea)</x:v>
      </x:c>
      <x:c r="C68" s="24" t="str">
        <x:v>EEZ</x:v>
      </x:c>
      <x:c r="D68" s="30" t="n">
        <x:v>2019</x:v>
      </x:c>
      <x:c r="E68" s="24" t="str">
        <x:v>Sepiida</x:v>
      </x:c>
      <x:c r="F68" s="24" t="str">
        <x:v>Cuttlefishes, bobtail squids</x:v>
      </x:c>
      <x:c r="G68" s="24" t="str">
        <x:v>Cephalopods</x:v>
      </x:c>
      <x:c r="H68" s="24" t="str">
        <x:v>Other fishes &amp; inverts</x:v>
      </x:c>
      <x:c r="I68" s="31" t="n">
        <x:v>21.5085229544</x:v>
      </x:c>
      <x:c r="J68" s="31" t="n">
        <x:v>21.5085229544</x:v>
      </x:c>
      <x:c r="K68" s="31" t="n">
        <x:v>0</x:v>
      </x:c>
      <x:c r="L68" s="31" t="n">
        <x:v>0</x:v>
      </x:c>
      <x:c r="M68" s="31" t="n">
        <x:v>21.5085229544</x:v>
      </x:c>
      <x:c r="N68" s="24" t="str">
        <x:v>sepiida</x:v>
      </x:c>
      <x:c r="O68" s="32" t="n">
        <x:v>3.7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Sepiida</x:v>
      </x:c>
      <x:c r="T68" s="32" t="n">
        <x:f>IF(O68="","",(1/'Metadata'!$B$5)^(O68-1))</x:f>
        <x:v>501.18723362727246</x:v>
      </x:c>
      <x:c r="U68" s="31" t="n">
        <x:f>IF(T68="","",I68*T68)</x:f>
        <x:v>10779.797118924425</x:v>
      </x:c>
    </x:row>
    <x:row r="69" ht="18" customHeight="1">
      <x:c r="A69" s="24" t="str">
        <x:v>EEZ_793</x:v>
      </x:c>
      <x:c r="B69" s="24" t="str">
        <x:v>Turkey (Mediterranean Sea)</x:v>
      </x:c>
      <x:c r="C69" s="24" t="str">
        <x:v>EEZ</x:v>
      </x:c>
      <x:c r="D69" s="30" t="n">
        <x:v>2019</x:v>
      </x:c>
      <x:c r="E69" s="24" t="str">
        <x:v>Trigla</x:v>
      </x:c>
      <x:c r="F69" s="24" t="str">
        <x:v>Piper gurnards</x:v>
      </x:c>
      <x:c r="G69" s="24" t="str">
        <x:v>Medium bathydemersals (30 - 89 cm)</x:v>
      </x:c>
      <x:c r="H69" s="24" t="str">
        <x:v>Scorpionfishes</x:v>
      </x:c>
      <x:c r="I69" s="31" t="n">
        <x:v>20.1100592948</x:v>
      </x:c>
      <x:c r="J69" s="31" t="n">
        <x:v>19.2288274425</x:v>
      </x:c>
      <x:c r="K69" s="31" t="n">
        <x:v>0.8812318523</x:v>
      </x:c>
      <x:c r="L69" s="31" t="n">
        <x:v>16.3</x:v>
      </x:c>
      <x:c r="M69" s="31" t="n">
        <x:v>3.8100592948</x:v>
      </x:c>
      <x:c r="N69" s="24" t="str">
        <x:v>trigla</x:v>
      </x:c>
      <x:c r="O69" s="32" t="n">
        <x:v>3.51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Trigla</x:v>
      </x:c>
      <x:c r="T69" s="32" t="n">
        <x:f>IF(O69="","",(1/'Metadata'!$B$5)^(O69-1))</x:f>
        <x:v>323.5936569296281</x:v>
      </x:c>
      <x:c r="U69" s="31" t="n">
        <x:f>IF(T69="","",I69*T69)</x:f>
        <x:v>6507.48762827599</x:v>
      </x:c>
    </x:row>
    <x:row r="70" ht="18" customHeight="1">
      <x:c r="A70" s="24" t="str">
        <x:v>EEZ_793</x:v>
      </x:c>
      <x:c r="B70" s="24" t="str">
        <x:v>Turkey (Mediterranean Sea)</x:v>
      </x:c>
      <x:c r="C70" s="24" t="str">
        <x:v>EEZ</x:v>
      </x:c>
      <x:c r="D70" s="30" t="n">
        <x:v>2019</x:v>
      </x:c>
      <x:c r="E70" s="24" t="str">
        <x:v>Dentex macrophthalmus</x:v>
      </x:c>
      <x:c r="F70" s="24" t="str">
        <x:v>Large-eye dentex</x:v>
      </x:c>
      <x:c r="G70" s="24" t="str">
        <x:v>Medium benthopelagics (30 - 89 cm)</x:v>
      </x:c>
      <x:c r="H70" s="24" t="str">
        <x:v>Perch-likes</x:v>
      </x:c>
      <x:c r="I70" s="31" t="n">
        <x:v>19.5851298181</x:v>
      </x:c>
      <x:c r="J70" s="31" t="n">
        <x:v>16.409931699</x:v>
      </x:c>
      <x:c r="K70" s="31" t="n">
        <x:v>3.1751981191</x:v>
      </x:c>
      <x:c r="L70" s="31" t="n">
        <x:v>6.3</x:v>
      </x:c>
      <x:c r="M70" s="31" t="n">
        <x:v>13.2851298181</x:v>
      </x:c>
      <x:c r="N70" s="24" t="str">
        <x:v>dentex macrophthalmus</x:v>
      </x:c>
      <x:c r="O70" s="32" t="n">
        <x:v>3.52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Dentex macrophthalmus</x:v>
      </x:c>
      <x:c r="T70" s="32" t="n">
        <x:f>IF(O70="","",(1/'Metadata'!$B$5)^(O70-1))</x:f>
        <x:v>331.1311214825911</x:v>
      </x:c>
      <x:c r="U70" s="31" t="n">
        <x:f>IF(T70="","",I70*T70)</x:f>
        <x:v>6485.246001049588</x:v>
      </x:c>
    </x:row>
    <x:row r="71" ht="18" customHeight="1">
      <x:c r="A71" s="24" t="str">
        <x:v>EEZ_793</x:v>
      </x:c>
      <x:c r="B71" s="24" t="str">
        <x:v>Turkey (Mediterranean Sea)</x:v>
      </x:c>
      <x:c r="C71" s="24" t="str">
        <x:v>EEZ</x:v>
      </x:c>
      <x:c r="D71" s="30" t="n">
        <x:v>2019</x:v>
      </x:c>
      <x:c r="E71" s="24" t="str">
        <x:v>Seriola dumerili</x:v>
      </x:c>
      <x:c r="F71" s="24" t="str">
        <x:v>Greater amberjack</x:v>
      </x:c>
      <x:c r="G71" s="24" t="str">
        <x:v>Large reef assoc. fish (&gt;=90 cm)</x:v>
      </x:c>
      <x:c r="H71" s="24" t="str">
        <x:v>Perch-likes</x:v>
      </x:c>
      <x:c r="I71" s="31" t="n">
        <x:v>18.762373703900003</x:v>
      </x:c>
      <x:c r="J71" s="31" t="n">
        <x:v>18.6640077254</x:v>
      </x:c>
      <x:c r="K71" s="31" t="n">
        <x:v>0.0983659785</x:v>
      </x:c>
      <x:c r="L71" s="31" t="n">
        <x:v>18.4</x:v>
      </x:c>
      <x:c r="M71" s="31" t="n">
        <x:v>0.3623737039</x:v>
      </x:c>
      <x:c r="N71" s="24" t="str">
        <x:v>seriola dumerili</x:v>
      </x:c>
      <x:c r="O71" s="32" t="n">
        <x:v>4.5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Seriola dumerili</x:v>
      </x:c>
      <x:c r="T71" s="32" t="n">
        <x:f>IF(O71="","",(1/'Metadata'!$B$5)^(O71-1))</x:f>
        <x:v>3162.2776601683795</x:v>
      </x:c>
      <x:c r="U71" s="31" t="n">
        <x:f>IF(T71="","",I71*T71)</x:f>
        <x:v>59331.835215573636</x:v>
      </x:c>
    </x:row>
    <x:row r="72" ht="18" customHeight="1">
      <x:c r="A72" s="24" t="str">
        <x:v>EEZ_793</x:v>
      </x:c>
      <x:c r="B72" s="24" t="str">
        <x:v>Turkey (Mediterranean Sea)</x:v>
      </x:c>
      <x:c r="C72" s="24" t="str">
        <x:v>EEZ</x:v>
      </x:c>
      <x:c r="D72" s="30" t="n">
        <x:v>2019</x:v>
      </x:c>
      <x:c r="E72" s="24" t="str">
        <x:v>Miscellaneous diadromous fishes</x:v>
      </x:c>
      <x:c r="F72" s="24" t="str">
        <x:v>Diadromous fishes nei</x:v>
      </x:c>
      <x:c r="G72" s="24" t="str">
        <x:v>Large demersals (&gt;=90 cm)</x:v>
      </x:c>
      <x:c r="H72" s="24" t="str">
        <x:v>Other fishes &amp; inverts</x:v>
      </x:c>
      <x:c r="I72" s="31" t="n">
        <x:v>17.2068183639</x:v>
      </x:c>
      <x:c r="J72" s="31" t="n">
        <x:v>17.2068183639</x:v>
      </x:c>
      <x:c r="K72" s="31" t="n">
        <x:v>0</x:v>
      </x:c>
      <x:c r="L72" s="31" t="n">
        <x:v>0</x:v>
      </x:c>
      <x:c r="M72" s="31" t="n">
        <x:v>17.2068183639</x:v>
      </x:c>
      <x:c r="N72" s="24" t="str">
        <x:v>miscellaneous diadromous fishes</x:v>
      </x:c>
      <x:c r="O72" s="32" t="n">
        <x:v>3.19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Miscellaneous diadromous fishes</x:v>
      </x:c>
      <x:c r="T72" s="32" t="n">
        <x:f>IF(O72="","",(1/'Metadata'!$B$5)^(O72-1))</x:f>
        <x:v>154.88166189124811</x:v>
      </x:c>
      <x:c r="U72" s="31" t="n">
        <x:f>IF(T72="","",I72*T72)</x:f>
        <x:v>2665.0206240616785</x:v>
      </x:c>
    </x:row>
    <x:row r="73" ht="18" customHeight="1">
      <x:c r="A73" s="24" t="str">
        <x:v>EEZ_793</x:v>
      </x:c>
      <x:c r="B73" s="24" t="str">
        <x:v>Turkey (Mediterranean Sea)</x:v>
      </x:c>
      <x:c r="C73" s="24" t="str">
        <x:v>EEZ</x:v>
      </x:c>
      <x:c r="D73" s="30" t="n">
        <x:v>2019</x:v>
      </x:c>
      <x:c r="E73" s="24" t="str">
        <x:v>Marine pelagic fishes not identified</x:v>
      </x:c>
      <x:c r="F73" s="24" t="str">
        <x:v>Pelagic fishes</x:v>
      </x:c>
      <x:c r="G73" s="24" t="str">
        <x:v>Medium pelagics (30 - 89 cm)</x:v>
      </x:c>
      <x:c r="H73" s="24" t="str">
        <x:v>Other fishes &amp; inverts</x:v>
      </x:c>
      <x:c r="I73" s="31" t="n">
        <x:v>14.8490133122</x:v>
      </x:c>
      <x:c r="J73" s="31" t="n">
        <x:v>14.8490133122</x:v>
      </x:c>
      <x:c r="K73" s="31" t="n">
        <x:v>0</x:v>
      </x:c>
      <x:c r="L73" s="31" t="n">
        <x:v>14.8490133122</x:v>
      </x:c>
      <x:c r="M73" s="31" t="n">
        <x:v>0</x:v>
      </x:c>
      <x:c r="N73" s="24" t="str">
        <x:v>marine pelagic fishes not identified</x:v>
      </x:c>
      <x:c r="O73" s="32" t="n">
        <x:v>3.35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Marine pelagic fishes not identified</x:v>
      </x:c>
      <x:c r="T73" s="32" t="n">
        <x:f>IF(O73="","",(1/'Metadata'!$B$5)^(O73-1))</x:f>
        <x:v>223.872113856834</x:v>
      </x:c>
      <x:c r="U73" s="31" t="n">
        <x:f>IF(T73="","",I73*T73)</x:f>
        <x:v>3324.279998890482</x:v>
      </x:c>
    </x:row>
    <x:row r="74" ht="18" customHeight="1">
      <x:c r="A74" s="24" t="str">
        <x:v>EEZ_793</x:v>
      </x:c>
      <x:c r="B74" s="24" t="str">
        <x:v>Turkey (Mediterranean Sea)</x:v>
      </x:c>
      <x:c r="C74" s="24" t="str">
        <x:v>EEZ</x:v>
      </x:c>
      <x:c r="D74" s="30" t="n">
        <x:v>2019</x:v>
      </x:c>
      <x:c r="E74" s="24" t="str">
        <x:v>Pagrus caeruleostictus</x:v>
      </x:c>
      <x:c r="F74" s="24" t="str">
        <x:v>Bluespotted seabream</x:v>
      </x:c>
      <x:c r="G74" s="24" t="str">
        <x:v>Large benthopelagics (&gt;=90 cm)</x:v>
      </x:c>
      <x:c r="H74" s="24" t="str">
        <x:v>Perch-likes</x:v>
      </x:c>
      <x:c r="I74" s="31" t="n">
        <x:v>13.743054598999999</x:v>
      </x:c>
      <x:c r="J74" s="31" t="n">
        <x:v>13.0832462442</x:v>
      </x:c>
      <x:c r="K74" s="31" t="n">
        <x:v>0.6598083548</x:v>
      </x:c>
      <x:c r="L74" s="31" t="n">
        <x:v>10.899999999799999</x:v>
      </x:c>
      <x:c r="M74" s="31" t="n">
        <x:v>2.8430545992</x:v>
      </x:c>
      <x:c r="N74" s="24" t="str">
        <x:v>pagrus caeruleostictus</x:v>
      </x:c>
      <x:c r="O74" s="32" t="n">
        <x:v>3.81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Pagrus caeruleostictus</x:v>
      </x:c>
      <x:c r="T74" s="32" t="n">
        <x:f>IF(O74="","",(1/'Metadata'!$B$5)^(O74-1))</x:f>
        <x:v>645.6542290346556</x:v>
      </x:c>
      <x:c r="U74" s="31" t="n">
        <x:f>IF(T74="","",I74*T74)</x:f>
        <x:v>8873.261321698523</x:v>
      </x:c>
    </x:row>
    <x:row r="75" ht="18" customHeight="1">
      <x:c r="A75" s="24" t="str">
        <x:v>EEZ_793</x:v>
      </x:c>
      <x:c r="B75" s="24" t="str">
        <x:v>Turkey (Mediterranean Sea)</x:v>
      </x:c>
      <x:c r="C75" s="24" t="str">
        <x:v>EEZ</x:v>
      </x:c>
      <x:c r="D75" s="30" t="n">
        <x:v>2019</x:v>
      </x:c>
      <x:c r="E75" s="24" t="str">
        <x:v>Squalus acanthias</x:v>
      </x:c>
      <x:c r="F75" s="24" t="str">
        <x:v>Picked dogfish</x:v>
      </x:c>
      <x:c r="G75" s="24" t="str">
        <x:v>Large sharks (&gt;=90 cm)</x:v>
      </x:c>
      <x:c r="H75" s="24" t="str">
        <x:v>Sharks &amp; rays</x:v>
      </x:c>
      <x:c r="I75" s="31" t="n">
        <x:v>11.1903895226</x:v>
      </x:c>
      <x:c r="J75" s="31" t="n">
        <x:v>10.5642534355</x:v>
      </x:c>
      <x:c r="K75" s="31" t="n">
        <x:v>0.6261360871</x:v>
      </x:c>
      <x:c r="L75" s="31" t="n">
        <x:v>8.4</x:v>
      </x:c>
      <x:c r="M75" s="31" t="n">
        <x:v>2.7903895226000004</x:v>
      </x:c>
      <x:c r="N75" s="24" t="str">
        <x:v>squalus acanthias</x:v>
      </x:c>
      <x:c r="O75" s="32" t="n">
        <x:v>4.37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Squalus acanthias</x:v>
      </x:c>
      <x:c r="T75" s="32" t="n">
        <x:f>IF(O75="","",(1/'Metadata'!$B$5)^(O75-1))</x:f>
        <x:v>2344.228815319923</x:v>
      </x:c>
      <x:c r="U75" s="31" t="n">
        <x:f>IF(T75="","",I75*T75)</x:f>
        <x:v>26232.833573533077</x:v>
      </x:c>
    </x:row>
    <x:row r="76" ht="18" customHeight="1">
      <x:c r="A76" s="24" t="str">
        <x:v>EEZ_793</x:v>
      </x:c>
      <x:c r="B76" s="24" t="str">
        <x:v>Turkey (Mediterranean Sea)</x:v>
      </x:c>
      <x:c r="C76" s="24" t="str">
        <x:v>EEZ</x:v>
      </x:c>
      <x:c r="D76" s="30" t="n">
        <x:v>2019</x:v>
      </x:c>
      <x:c r="E76" s="24" t="str">
        <x:v>Thunnus alalunga</x:v>
      </x:c>
      <x:c r="F76" s="24" t="str">
        <x:v>Albacore</x:v>
      </x:c>
      <x:c r="G76" s="24" t="str">
        <x:v>Large pelagics (&gt;=90 cm)</x:v>
      </x:c>
      <x:c r="H76" s="24" t="str">
        <x:v>Tuna &amp; billfishes</x:v>
      </x:c>
      <x:c r="I76" s="31" t="n">
        <x:v>10.9674436091</x:v>
      </x:c>
      <x:c r="J76" s="31" t="n">
        <x:v>10.1894488823</x:v>
      </x:c>
      <x:c r="K76" s="31" t="n">
        <x:v>0.7779947268</x:v>
      </x:c>
      <x:c r="L76" s="31" t="n">
        <x:v>7.889677392399999</x:v>
      </x:c>
      <x:c r="M76" s="31" t="n">
        <x:v>3.0777662166999997</x:v>
      </x:c>
      <x:c r="N76" s="24" t="str">
        <x:v>thunnus alalunga</x:v>
      </x:c>
      <x:c r="O76" s="32" t="n">
        <x:v>4.3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Thunnus alalunga</x:v>
      </x:c>
      <x:c r="T76" s="32" t="n">
        <x:f>IF(O76="","",(1/'Metadata'!$B$5)^(O76-1))</x:f>
        <x:v>1995.2623149688789</x:v>
      </x:c>
      <x:c r="U76" s="31" t="n">
        <x:f>IF(T76="","",I76*T76)</x:f>
        <x:v>21882.9269247835</x:v>
      </x:c>
    </x:row>
    <x:row r="77" ht="18" customHeight="1">
      <x:c r="A77" s="24" t="str">
        <x:v>EEZ_793</x:v>
      </x:c>
      <x:c r="B77" s="24" t="str">
        <x:v>Turkey (Mediterranean Sea)</x:v>
      </x:c>
      <x:c r="C77" s="24" t="str">
        <x:v>EEZ</x:v>
      </x:c>
      <x:c r="D77" s="30" t="n">
        <x:v>2019</x:v>
      </x:c>
      <x:c r="E77" s="24" t="str">
        <x:v>Miscellaneous marine crustaceans</x:v>
      </x:c>
      <x:c r="F77" s="24" t="str">
        <x:v>Marine crabs, shrimps, lobsters nei</x:v>
      </x:c>
      <x:c r="G77" s="24" t="str">
        <x:v>Shrimps</x:v>
      </x:c>
      <x:c r="H77" s="24" t="str">
        <x:v>Crustaceans</x:v>
      </x:c>
      <x:c r="I77" s="31" t="n">
        <x:v>10.7542614782</x:v>
      </x:c>
      <x:c r="J77" s="31" t="n">
        <x:v>10.7542614782</x:v>
      </x:c>
      <x:c r="K77" s="31" t="n">
        <x:v>0</x:v>
      </x:c>
      <x:c r="L77" s="31" t="n">
        <x:v>0</x:v>
      </x:c>
      <x:c r="M77" s="31" t="n">
        <x:v>10.7542614782</x:v>
      </x:c>
      <x:c r="N77" s="24" t="str">
        <x:v>miscellaneous marine crustaceans</x:v>
      </x:c>
      <x:c r="O77" s="32" t="n">
        <x:v>2.7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Miscellaneous marine crustaceans</x:v>
      </x:c>
      <x:c r="T77" s="32" t="n">
        <x:f>IF(O77="","",(1/'Metadata'!$B$5)^(O77-1))</x:f>
        <x:v>50.11872336272725</x:v>
      </x:c>
      <x:c r="U77" s="31" t="n">
        <x:f>IF(T77="","",I77*T77)</x:f>
        <x:v>538.9898559963401</x:v>
      </x:c>
    </x:row>
    <x:row r="78" ht="18" customHeight="1">
      <x:c r="A78" s="24" t="str">
        <x:v>EEZ_793</x:v>
      </x:c>
      <x:c r="B78" s="24" t="str">
        <x:v>Turkey (Mediterranean Sea)</x:v>
      </x:c>
      <x:c r="C78" s="24" t="str">
        <x:v>EEZ</x:v>
      </x:c>
      <x:c r="D78" s="30" t="n">
        <x:v>2019</x:v>
      </x:c>
      <x:c r="E78" s="24" t="str">
        <x:v>Serranus scriba</x:v>
      </x:c>
      <x:c r="F78" s="24" t="str">
        <x:v>Painted comber</x:v>
      </x:c>
      <x:c r="G78" s="24" t="str">
        <x:v>Medium demersals (30 - 89 cm)</x:v>
      </x:c>
      <x:c r="H78" s="24" t="str">
        <x:v>Perch-likes</x:v>
      </x:c>
      <x:c r="I78" s="31" t="n">
        <x:v>10.2689815162</x:v>
      </x:c>
      <x:c r="J78" s="31" t="n">
        <x:v>9.4016252342</x:v>
      </x:c>
      <x:c r="K78" s="31" t="n">
        <x:v>0.867356282</x:v>
      </x:c>
      <x:c r="L78" s="31" t="n">
        <x:v>7.0999999999</x:v>
      </x:c>
      <x:c r="M78" s="31" t="n">
        <x:v>3.1689815163</x:v>
      </x:c>
      <x:c r="N78" s="24" t="str">
        <x:v>serranus scriba</x:v>
      </x:c>
      <x:c r="O78" s="32" t="n">
        <x:v>3.82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Serranus scriba</x:v>
      </x:c>
      <x:c r="T78" s="32" t="n">
        <x:f>IF(O78="","",(1/'Metadata'!$B$5)^(O78-1))</x:f>
        <x:v>660.6934480075957</x:v>
      </x:c>
      <x:c r="U78" s="31" t="n">
        <x:f>IF(T78="","",I78*T78)</x:f>
        <x:v>6784.648805464447</x:v>
      </x:c>
    </x:row>
    <x:row r="79" ht="18" customHeight="1">
      <x:c r="A79" s="24" t="str">
        <x:v>EEZ_793</x:v>
      </x:c>
      <x:c r="B79" s="24" t="str">
        <x:v>Turkey (Mediterranean Sea)</x:v>
      </x:c>
      <x:c r="C79" s="24" t="str">
        <x:v>EEZ</x:v>
      </x:c>
      <x:c r="D79" s="30" t="n">
        <x:v>2019</x:v>
      </x:c>
      <x:c r="E79" s="24" t="str">
        <x:v>Epinephelus marginatus</x:v>
      </x:c>
      <x:c r="F79" s="24" t="str">
        <x:v>Dusky grouper</x:v>
      </x:c>
      <x:c r="G79" s="24" t="str">
        <x:v>Large reef assoc. fish (&gt;=90 cm)</x:v>
      </x:c>
      <x:c r="H79" s="24" t="str">
        <x:v>Perch-likes</x:v>
      </x:c>
      <x:c r="I79" s="31" t="n">
        <x:v>4.2926838873</x:v>
      </x:c>
      <x:c r="J79" s="31" t="n">
        <x:v>3.1849075272999996</x:v>
      </x:c>
      <x:c r="K79" s="31" t="n">
        <x:v>1.10777636</x:v>
      </x:c>
      <x:c r="L79" s="31" t="n">
        <x:v>0.1</x:v>
      </x:c>
      <x:c r="M79" s="31" t="n">
        <x:v>4.1926838873</x:v>
      </x:c>
      <x:c r="N79" s="24" t="str">
        <x:v>epinephelus marginatus</x:v>
      </x:c>
      <x:c r="O79" s="32" t="n">
        <x:v>4.43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Epinephelus marginatus</x:v>
      </x:c>
      <x:c r="T79" s="32" t="n">
        <x:f>IF(O79="","",(1/'Metadata'!$B$5)^(O79-1))</x:f>
        <x:v>2691.534803926914</x:v>
      </x:c>
      <x:c r="U79" s="31" t="n">
        <x:f>IF(T79="","",I79*T79)</x:f>
        <x:v>11553.908084924227</x:v>
      </x:c>
    </x:row>
    <x:row r="80" ht="18" customHeight="1">
      <x:c r="A80" s="24" t="str">
        <x:v>EEZ_793</x:v>
      </x:c>
      <x:c r="B80" s="24" t="str">
        <x:v>Turkey (Mediterranean Sea)</x:v>
      </x:c>
      <x:c r="C80" s="24" t="str">
        <x:v>EEZ</x:v>
      </x:c>
      <x:c r="D80" s="30" t="n">
        <x:v>2019</x:v>
      </x:c>
      <x:c r="E80" s="24" t="str">
        <x:v>Diplodus puntazzo</x:v>
      </x:c>
      <x:c r="F80" s="24" t="str">
        <x:v>Sharpsnout seabream</x:v>
      </x:c>
      <x:c r="G80" s="24" t="str">
        <x:v>Medium benthopelagics (30 - 89 cm)</x:v>
      </x:c>
      <x:c r="H80" s="24" t="str">
        <x:v>Perch-likes</x:v>
      </x:c>
      <x:c r="I80" s="31" t="n">
        <x:v>4.2214731535</x:v>
      </x:c>
      <x:c r="J80" s="31" t="n">
        <x:v>4.2166428302</x:v>
      </x:c>
      <x:c r="K80" s="31" t="n">
        <x:v>0.0048303233</x:v>
      </x:c>
      <x:c r="L80" s="31" t="n">
        <x:v>4.2</x:v>
      </x:c>
      <x:c r="M80" s="31" t="n">
        <x:v>0.0214731535</x:v>
      </x:c>
      <x:c r="N80" s="24" t="str">
        <x:v>diplodus puntazzo</x:v>
      </x:c>
      <x:c r="O80" s="32" t="n">
        <x:v>3.22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Diplodus puntazzo</x:v>
      </x:c>
      <x:c r="T80" s="32" t="n">
        <x:f>IF(O80="","",(1/'Metadata'!$B$5)^(O80-1))</x:f>
        <x:v>165.95869074375614</x:v>
      </x:c>
      <x:c r="U80" s="31" t="n">
        <x:f>IF(T80="","",I80*T80)</x:f>
        <x:v>700.5901575647755</x:v>
      </x:c>
    </x:row>
    <x:row r="81" ht="18" customHeight="1">
      <x:c r="A81" s="24" t="str">
        <x:v>EEZ_793</x:v>
      </x:c>
      <x:c r="B81" s="24" t="str">
        <x:v>Turkey (Mediterranean Sea)</x:v>
      </x:c>
      <x:c r="C81" s="24" t="str">
        <x:v>EEZ</x:v>
      </x:c>
      <x:c r="D81" s="30" t="n">
        <x:v>2019</x:v>
      </x:c>
      <x:c r="E81" s="24" t="str">
        <x:v>Chelidonichthys lastoviza</x:v>
      </x:c>
      <x:c r="F81" s="24" t="str">
        <x:v>Streaked gurnard</x:v>
      </x:c>
      <x:c r="G81" s="24" t="str">
        <x:v>Medium demersals (30 - 89 cm)</x:v>
      </x:c>
      <x:c r="H81" s="24" t="str">
        <x:v>Scorpionfishes</x:v>
      </x:c>
      <x:c r="I81" s="31" t="n">
        <x:v>3</x:v>
      </x:c>
      <x:c r="J81" s="31" t="n">
        <x:v>3</x:v>
      </x:c>
      <x:c r="K81" s="31" t="n">
        <x:v>0</x:v>
      </x:c>
      <x:c r="L81" s="31" t="n">
        <x:v>3</x:v>
      </x:c>
      <x:c r="M81" s="31" t="n">
        <x:v>0</x:v>
      </x:c>
      <x:c r="N81" s="24" t="str">
        <x:v>chelidonichthys lastoviza</x:v>
      </x:c>
      <x:c r="O81" s="32" t="n">
        <x:v>3.49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Chelidonichthys lastoviza</x:v>
      </x:c>
      <x:c r="T81" s="32" t="n">
        <x:f>IF(O81="","",(1/'Metadata'!$B$5)^(O81-1))</x:f>
        <x:v>309.0295432513592</x:v>
      </x:c>
      <x:c r="U81" s="31" t="n">
        <x:f>IF(T81="","",I81*T81)</x:f>
        <x:v>927.0886297540776</x:v>
      </x:c>
    </x:row>
    <x:row r="82" ht="18" customHeight="1">
      <x:c r="A82" s="24" t="str">
        <x:v>EEZ_793</x:v>
      </x:c>
      <x:c r="B82" s="24" t="str">
        <x:v>Turkey (Mediterranean Sea)</x:v>
      </x:c>
      <x:c r="C82" s="24" t="str">
        <x:v>EEZ</x:v>
      </x:c>
      <x:c r="D82" s="30" t="n">
        <x:v>2019</x:v>
      </x:c>
      <x:c r="E82" s="24" t="str">
        <x:v>Nephrops norvegicus</x:v>
      </x:c>
      <x:c r="F82" s="24" t="str">
        <x:v>Norway lobster</x:v>
      </x:c>
      <x:c r="G82" s="24" t="str">
        <x:v>Lobsters, crabs</x:v>
      </x:c>
      <x:c r="H82" s="24" t="str">
        <x:v>Crustaceans</x:v>
      </x:c>
      <x:c r="I82" s="31" t="n">
        <x:v>2.4</x:v>
      </x:c>
      <x:c r="J82" s="31" t="n">
        <x:v>2.4</x:v>
      </x:c>
      <x:c r="K82" s="31" t="n">
        <x:v>0</x:v>
      </x:c>
      <x:c r="L82" s="31" t="n">
        <x:v>2.4</x:v>
      </x:c>
      <x:c r="M82" s="31" t="n">
        <x:v>0</x:v>
      </x:c>
      <x:c r="N82" s="24" t="str">
        <x:v>nephrops norvegicus</x:v>
      </x:c>
      <x:c r="O82" s="32" t="n">
        <x:v>2.87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Nephrops norvegicus</x:v>
      </x:c>
      <x:c r="T82" s="32" t="n">
        <x:f>IF(O82="","",(1/'Metadata'!$B$5)^(O82-1))</x:f>
        <x:v>74.13102413009177</x:v>
      </x:c>
      <x:c r="U82" s="31" t="n">
        <x:f>IF(T82="","",I82*T82)</x:f>
        <x:v>177.91445791222026</x:v>
      </x:c>
    </x:row>
    <x:row r="83" ht="18" customHeight="1">
      <x:c r="A83" s="24" t="str">
        <x:v>EEZ_793</x:v>
      </x:c>
      <x:c r="B83" s="24" t="str">
        <x:v>Turkey (Mediterranean Sea)</x:v>
      </x:c>
      <x:c r="C83" s="24" t="str">
        <x:v>EEZ</x:v>
      </x:c>
      <x:c r="D83" s="30" t="n">
        <x:v>2019</x:v>
      </x:c>
      <x:c r="E83" s="24" t="str">
        <x:v>Conger conger</x:v>
      </x:c>
      <x:c r="F83" s="24" t="str">
        <x:v>European conger</x:v>
      </x:c>
      <x:c r="G83" s="24" t="str">
        <x:v>Large demersals (&gt;=90 cm)</x:v>
      </x:c>
      <x:c r="H83" s="24" t="str">
        <x:v>Other fishes &amp; inverts</x:v>
      </x:c>
      <x:c r="I83" s="31" t="n">
        <x:v>1.49272717</x:v>
      </x:c>
      <x:c r="J83" s="31" t="n">
        <x:v>1.221335526</x:v>
      </x:c>
      <x:c r="K83" s="31" t="n">
        <x:v>0.271391644</x:v>
      </x:c>
      <x:c r="L83" s="31" t="n">
        <x:v>0</x:v>
      </x:c>
      <x:c r="M83" s="31" t="n">
        <x:v>1.49272717</x:v>
      </x:c>
      <x:c r="N83" s="24" t="str">
        <x:v>conger conger</x:v>
      </x:c>
      <x:c r="O83" s="32" t="n">
        <x:v>4.31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Conger conger</x:v>
      </x:c>
      <x:c r="T83" s="32" t="n">
        <x:f>IF(O83="","",(1/'Metadata'!$B$5)^(O83-1))</x:f>
        <x:v>2041.7379446695275</x:v>
      </x:c>
      <x:c r="U83" s="31" t="n">
        <x:f>IF(T83="","",I83*T83)</x:f>
        <x:v>3047.7577040281603</x:v>
      </x:c>
    </x:row>
    <x:row r="84" ht="18" customHeight="1">
      <x:c r="A84" s="24" t="str">
        <x:v>EEZ_793</x:v>
      </x:c>
      <x:c r="B84" s="24" t="str">
        <x:v>Turkey (Mediterranean Sea)</x:v>
      </x:c>
      <x:c r="C84" s="24" t="str">
        <x:v>EEZ</x:v>
      </x:c>
      <x:c r="D84" s="30" t="n">
        <x:v>2019</x:v>
      </x:c>
      <x:c r="E84" s="24" t="str">
        <x:v>Cancer pagurus</x:v>
      </x:c>
      <x:c r="F84" s="24" t="str">
        <x:v>Edible crab</x:v>
      </x:c>
      <x:c r="G84" s="24" t="str">
        <x:v>Lobsters, crabs</x:v>
      </x:c>
      <x:c r="H84" s="24" t="str">
        <x:v>Crustaceans</x:v>
      </x:c>
      <x:c r="I84" s="31" t="n">
        <x:v>1.4255488852</x:v>
      </x:c>
      <x:c r="J84" s="31" t="n">
        <x:v>1.3156017628999999</x:v>
      </x:c>
      <x:c r="K84" s="31" t="n">
        <x:v>0.1099471223</x:v>
      </x:c>
      <x:c r="L84" s="31" t="n">
        <x:v>0.8999999998999999</x:v>
      </x:c>
      <x:c r="M84" s="31" t="n">
        <x:v>0.5255488853</x:v>
      </x:c>
      <x:c r="N84" s="24" t="str">
        <x:v>cancer pagurus</x:v>
      </x:c>
      <x:c r="O84" s="32" t="n">
        <x:v>3.1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Cancer pagurus</x:v>
      </x:c>
      <x:c r="T84" s="32" t="n">
        <x:f>IF(O84="","",(1/'Metadata'!$B$5)^(O84-1))</x:f>
        <x:v>125.89254117941675</x:v>
      </x:c>
      <x:c r="U84" s="31" t="n">
        <x:f>IF(T84="","",I84*T84)</x:f>
        <x:v>179.46597173331264</x:v>
      </x:c>
    </x:row>
    <x:row r="85" ht="18" customHeight="1">
      <x:c r="A85" s="24" t="str">
        <x:v>EEZ_793</x:v>
      </x:c>
      <x:c r="B85" s="24" t="str">
        <x:v>Turkey (Mediterranean Sea)</x:v>
      </x:c>
      <x:c r="C85" s="24" t="str">
        <x:v>EEZ</x:v>
      </x:c>
      <x:c r="D85" s="30" t="n">
        <x:v>2019</x:v>
      </x:c>
      <x:c r="E85" s="24" t="str">
        <x:v>Scomberomorus commerson</x:v>
      </x:c>
      <x:c r="F85" s="24" t="str">
        <x:v>Narrow-barred Spanish mackerel</x:v>
      </x:c>
      <x:c r="G85" s="24" t="str">
        <x:v>Large pelagics (&gt;=90 cm)</x:v>
      </x:c>
      <x:c r="H85" s="24" t="str">
        <x:v>Perch-likes</x:v>
      </x:c>
      <x:c r="I85" s="31" t="n">
        <x:v>1.2579915216</x:v>
      </x:c>
      <x:c r="J85" s="31" t="n">
        <x:v>1.2579915216</x:v>
      </x:c>
      <x:c r="K85" s="31" t="n">
        <x:v>0</x:v>
      </x:c>
      <x:c r="L85" s="31" t="n">
        <x:v>1.2579915216</x:v>
      </x:c>
      <x:c r="M85" s="31" t="n">
        <x:v>0</x:v>
      </x:c>
      <x:c r="N85" s="24" t="str">
        <x:v>scomberomorus commerson</x:v>
      </x:c>
      <x:c r="O85" s="32" t="n">
        <x:v>4.5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Scomberomorus commerson</x:v>
      </x:c>
      <x:c r="T85" s="32" t="n">
        <x:f>IF(O85="","",(1/'Metadata'!$B$5)^(O85-1))</x:f>
        <x:v>3162.2776601683795</x:v>
      </x:c>
      <x:c r="U85" s="31" t="n">
        <x:f>IF(T85="","",I85*T85)</x:f>
        <x:v>3978.118485436907</x:v>
      </x:c>
    </x:row>
    <x:row r="86" ht="18" customHeight="1">
      <x:c r="A86" s="24" t="str">
        <x:v>EEZ_793</x:v>
      </x:c>
      <x:c r="B86" s="24" t="str">
        <x:v>Turkey (Mediterranean Sea)</x:v>
      </x:c>
      <x:c r="C86" s="24" t="str">
        <x:v>EEZ</x:v>
      </x:c>
      <x:c r="D86" s="30" t="n">
        <x:v>2019</x:v>
      </x:c>
      <x:c r="E86" s="24" t="str">
        <x:v>Palinurus elephas</x:v>
      </x:c>
      <x:c r="F86" s="24" t="str">
        <x:v>Common spiny lobster</x:v>
      </x:c>
      <x:c r="G86" s="24" t="str">
        <x:v>Lobsters, crabs</x:v>
      </x:c>
      <x:c r="H86" s="24" t="str">
        <x:v>Crustaceans</x:v>
      </x:c>
      <x:c r="I86" s="31" t="n">
        <x:v>1.2000000001</x:v>
      </x:c>
      <x:c r="J86" s="31" t="n">
        <x:v>1.2000000001</x:v>
      </x:c>
      <x:c r="K86" s="31" t="n">
        <x:v>0</x:v>
      </x:c>
      <x:c r="L86" s="31" t="n">
        <x:v>1.2000000001</x:v>
      </x:c>
      <x:c r="M86" s="31" t="n">
        <x:v>0</x:v>
      </x:c>
      <x:c r="N86" s="24" t="str">
        <x:v>palinurus elephas</x:v>
      </x:c>
      <x:c r="O86" s="32" t="n">
        <x:v>3.34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Palinurus elephas</x:v>
      </x:c>
      <x:c r="T86" s="32" t="n">
        <x:f>IF(O86="","",(1/'Metadata'!$B$5)^(O86-1))</x:f>
        <x:v>218.77616239495518</x:v>
      </x:c>
      <x:c r="U86" s="31" t="n">
        <x:f>IF(T86="","",I86*T86)</x:f>
        <x:v>262.53139489582384</x:v>
      </x:c>
    </x:row>
    <x:row r="87" ht="18" customHeight="1">
      <x:c r="A87" s="24" t="str">
        <x:v>EEZ_793</x:v>
      </x:c>
      <x:c r="B87" s="24" t="str">
        <x:v>Turkey (Mediterranean Sea)</x:v>
      </x:c>
      <x:c r="C87" s="24" t="str">
        <x:v>EEZ</x:v>
      </x:c>
      <x:c r="D87" s="30" t="n">
        <x:v>2019</x:v>
      </x:c>
      <x:c r="E87" s="24" t="str">
        <x:v>Sciaena umbra</x:v>
      </x:c>
      <x:c r="F87" s="24" t="str">
        <x:v>Brown meagre</x:v>
      </x:c>
      <x:c r="G87" s="24" t="str">
        <x:v>Medium demersals (30 - 89 cm)</x:v>
      </x:c>
      <x:c r="H87" s="24" t="str">
        <x:v>Perch-likes</x:v>
      </x:c>
      <x:c r="I87" s="31" t="n">
        <x:v>1.0866451643</x:v>
      </x:c>
      <x:c r="J87" s="31" t="n">
        <x:v>0.8974109581999999</x:v>
      </x:c>
      <x:c r="K87" s="31" t="n">
        <x:v>0.1892342061</x:v>
      </x:c>
      <x:c r="L87" s="31" t="n">
        <x:v>0.1999999999</x:v>
      </x:c>
      <x:c r="M87" s="31" t="n">
        <x:v>0.8866451644</x:v>
      </x:c>
      <x:c r="N87" s="24" t="str">
        <x:v>sciaena umbra</x:v>
      </x:c>
      <x:c r="O87" s="32" t="n">
        <x:v>3.75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Sciaena umbra</x:v>
      </x:c>
      <x:c r="T87" s="32" t="n">
        <x:f>IF(O87="","",(1/'Metadata'!$B$5)^(O87-1))</x:f>
        <x:v>562.341325190349</x:v>
      </x:c>
      <x:c r="U87" s="31" t="n">
        <x:f>IF(T87="","",I87*T87)</x:f>
        <x:v>611.0654817041465</x:v>
      </x:c>
    </x:row>
    <x:row r="88" ht="18" customHeight="1">
      <x:c r="A88" s="24" t="str">
        <x:v>EEZ_793</x:v>
      </x:c>
      <x:c r="B88" s="24" t="str">
        <x:v>Turkey (Mediterranean Sea)</x:v>
      </x:c>
      <x:c r="C88" s="24" t="str">
        <x:v>EEZ</x:v>
      </x:c>
      <x:c r="D88" s="30" t="n">
        <x:v>2019</x:v>
      </x:c>
      <x:c r="E88" s="24" t="str">
        <x:v>Homarus gammarus</x:v>
      </x:c>
      <x:c r="F88" s="24" t="str">
        <x:v>European lobster</x:v>
      </x:c>
      <x:c r="G88" s="24" t="str">
        <x:v>Lobsters, crabs</x:v>
      </x:c>
      <x:c r="H88" s="24" t="str">
        <x:v>Crustaceans</x:v>
      </x:c>
      <x:c r="I88" s="31" t="n">
        <x:v>1.0293642724</x:v>
      </x:c>
      <x:c r="J88" s="31" t="n">
        <x:v>1.0042291205</x:v>
      </x:c>
      <x:c r="K88" s="31" t="n">
        <x:v>0.0251351519</x:v>
      </x:c>
      <x:c r="L88" s="31" t="n">
        <x:v>0.9066666666</x:v>
      </x:c>
      <x:c r="M88" s="31" t="n">
        <x:v>0.1226976058</x:v>
      </x:c>
      <x:c r="N88" s="24" t="str">
        <x:v>homarus gammarus</x:v>
      </x:c>
      <x:c r="O88" s="32" t="n">
        <x:v>3.7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Homarus gammarus</x:v>
      </x:c>
      <x:c r="T88" s="32" t="n">
        <x:f>IF(O88="","",(1/'Metadata'!$B$5)^(O88-1))</x:f>
        <x:v>501.18723362727246</x:v>
      </x:c>
      <x:c r="U88" s="31" t="n">
        <x:f>IF(T88="","",I88*T88)</x:f>
        <x:v>515.9042320789061</x:v>
      </x:c>
    </x:row>
    <x:row r="89" ht="18" customHeight="1">
      <x:c r="A89" s="24" t="str">
        <x:v>EEZ_793</x:v>
      </x:c>
      <x:c r="B89" s="24" t="str">
        <x:v>Turkey (Mediterranean Sea)</x:v>
      </x:c>
      <x:c r="C89" s="24" t="str">
        <x:v>EEZ</x:v>
      </x:c>
      <x:c r="D89" s="30" t="n">
        <x:v>2019</x:v>
      </x:c>
      <x:c r="E89" s="24" t="str">
        <x:v>Trigla lyra</x:v>
      </x:c>
      <x:c r="F89" s="24" t="str">
        <x:v>Piper gurnard</x:v>
      </x:c>
      <x:c r="G89" s="24" t="str">
        <x:v>Medium bathydemersals (30 - 89 cm)</x:v>
      </x:c>
      <x:c r="H89" s="24" t="str">
        <x:v>Scorpionfishes</x:v>
      </x:c>
      <x:c r="I89" s="31" t="n">
        <x:v>0.8999999999</x:v>
      </x:c>
      <x:c r="J89" s="31" t="n">
        <x:v>0.8999999999</x:v>
      </x:c>
      <x:c r="K89" s="31" t="n">
        <x:v>0</x:v>
      </x:c>
      <x:c r="L89" s="31" t="n">
        <x:v>0.8999999999</x:v>
      </x:c>
      <x:c r="M89" s="31" t="n">
        <x:v>0</x:v>
      </x:c>
      <x:c r="N89" s="24" t="str">
        <x:v>trigla lyra</x:v>
      </x:c>
      <x:c r="O89" s="32" t="n">
        <x:v>3.65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Trigla lyra</x:v>
      </x:c>
      <x:c r="T89" s="32" t="n">
        <x:f>IF(O89="","",(1/'Metadata'!$B$5)^(O89-1))</x:f>
        <x:v>446.683592150963</x:v>
      </x:c>
      <x:c r="U89" s="31" t="n">
        <x:f>IF(T89="","",I89*T89)</x:f>
        <x:v>402.01523289119837</x:v>
      </x:c>
    </x:row>
    <x:row r="90" ht="18" customHeight="1">
      <x:c r="A90" s="24" t="str">
        <x:v>EEZ_793</x:v>
      </x:c>
      <x:c r="B90" s="24" t="str">
        <x:v>Turkey (Mediterranean Sea)</x:v>
      </x:c>
      <x:c r="C90" s="24" t="str">
        <x:v>EEZ</x:v>
      </x:c>
      <x:c r="D90" s="30" t="n">
        <x:v>2019</x:v>
      </x:c>
      <x:c r="E90" s="24" t="str">
        <x:v>Prionace glauca</x:v>
      </x:c>
      <x:c r="F90" s="24" t="str">
        <x:v>Blue shark</x:v>
      </x:c>
      <x:c r="G90" s="24" t="str">
        <x:v>Large sharks (&gt;=90 cm)</x:v>
      </x:c>
      <x:c r="H90" s="24" t="str">
        <x:v>Sharks &amp; rays</x:v>
      </x:c>
      <x:c r="I90" s="31" t="n">
        <x:v>0.38661984</x:v>
      </x:c>
      <x:c r="J90" s="31" t="n">
        <x:v>0.38661984</x:v>
      </x:c>
      <x:c r="K90" s="31" t="n">
        <x:v>0</x:v>
      </x:c>
      <x:c r="L90" s="31" t="n">
        <x:v>0.38661984</x:v>
      </x:c>
      <x:c r="M90" s="31" t="n">
        <x:v>0</x:v>
      </x:c>
      <x:c r="N90" s="24" t="str">
        <x:v>prionace glauca</x:v>
      </x:c>
      <x:c r="O90" s="32" t="n">
        <x:v>4.35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Prionace glauca</x:v>
      </x:c>
      <x:c r="T90" s="32" t="n">
        <x:f>IF(O90="","",(1/'Metadata'!$B$5)^(O90-1))</x:f>
        <x:v>2238.7211385683377</x:v>
      </x:c>
      <x:c r="U90" s="31" t="n">
        <x:f>IF(T90="","",I90*T90)</x:f>
        <x:v>865.5340083979086</x:v>
      </x:c>
    </x:row>
    <x:row r="91" ht="18" customHeight="1">
      <x:c r="A91" s="24" t="str">
        <x:v>EEZ_793</x:v>
      </x:c>
      <x:c r="B91" s="24" t="str">
        <x:v>Turkey (Mediterranean Sea)</x:v>
      </x:c>
      <x:c r="C91" s="24" t="str">
        <x:v>EEZ</x:v>
      </x:c>
      <x:c r="D91" s="30" t="n">
        <x:v>2019</x:v>
      </x:c>
      <x:c r="E91" s="24" t="str">
        <x:v>Squatina squatina</x:v>
      </x:c>
      <x:c r="F91" s="24" t="str">
        <x:v>Angelshark</x:v>
      </x:c>
      <x:c r="G91" s="24" t="str">
        <x:v>Large sharks (&gt;=90 cm)</x:v>
      </x:c>
      <x:c r="H91" s="24" t="str">
        <x:v>Sharks &amp; rays</x:v>
      </x:c>
      <x:c r="I91" s="31" t="n">
        <x:v>0.1836322196</x:v>
      </x:c>
      <x:c r="J91" s="31" t="n">
        <x:v>0.15798873930000001</x:v>
      </x:c>
      <x:c r="K91" s="31" t="n">
        <x:v>0.0256434803</x:v>
      </x:c>
      <x:c r="L91" s="31" t="n">
        <x:v>0.1</x:v>
      </x:c>
      <x:c r="M91" s="31" t="n">
        <x:v>0.0836322196</x:v>
      </x:c>
      <x:c r="N91" s="24" t="str">
        <x:v>squatina squatina</x:v>
      </x:c>
      <x:c r="O91" s="32" t="n">
        <x:v>4.05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Squatina squatina</x:v>
      </x:c>
      <x:c r="T91" s="32" t="n">
        <x:f>IF(O91="","",(1/'Metadata'!$B$5)^(O91-1))</x:f>
        <x:v>1122.018454301963</x:v>
      </x:c>
      <x:c r="U91" s="31" t="n">
        <x:f>IF(T91="","",I91*T91)</x:f>
        <x:v>206.03873919563063</x:v>
      </x:c>
    </x:row>
    <x:row r="92" ht="18" customHeight="1">
      <x:c r="A92" s="24" t="str">
        <x:v>EEZ_793</x:v>
      </x:c>
      <x:c r="B92" s="24" t="str">
        <x:v>Turkey (Mediterranean Sea)</x:v>
      </x:c>
      <x:c r="C92" s="24" t="str">
        <x:v>EEZ</x:v>
      </x:c>
      <x:c r="D92" s="30" t="n">
        <x:v>2019</x:v>
      </x:c>
      <x:c r="E92" s="24" t="str">
        <x:v>Modiolus barbatus</x:v>
      </x:c>
      <x:c r="F92" s="24" t="str">
        <x:v>Bearded horse mussel</x:v>
      </x:c>
      <x:c r="G92" s="24" t="str">
        <x:v>Other demersal invertebrates</x:v>
      </x:c>
      <x:c r="H92" s="24" t="str">
        <x:v>Molluscs</x:v>
      </x:c>
      <x:c r="I92" s="31" t="n">
        <x:v>0.043931343899999996</x:v>
      </x:c>
      <x:c r="J92" s="31" t="n">
        <x:v>0.0358558487</x:v>
      </x:c>
      <x:c r="K92" s="31" t="n">
        <x:v>0.0080754952</x:v>
      </x:c>
      <x:c r="L92" s="31" t="n">
        <x:v>0</x:v>
      </x:c>
      <x:c r="M92" s="31" t="n">
        <x:v>0.043931343899999996</x:v>
      </x:c>
      <x:c r="N92" s="24" t="str">
        <x:v>modiolus barbatus</x:v>
      </x:c>
      <x:c r="O92" s="32" t="n">
        <x:v>3.4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Modiolus barbatus</x:v>
      </x:c>
      <x:c r="T92" s="32" t="n">
        <x:f>IF(O92="","",(1/'Metadata'!$B$5)^(O92-1))</x:f>
        <x:v>251.18864315095797</x:v>
      </x:c>
      <x:c r="U92" s="31" t="n">
        <x:f>IF(T92="","",I92*T92)</x:f>
        <x:v>11.035054666039112</x:v>
      </x:c>
    </x:row>
    <x:row r="93" ht="18" customHeight="1">
      <x:c r="A93" s="24" t="str">
        <x:v>EEZ_793</x:v>
      </x:c>
      <x:c r="B93" s="24" t="str">
        <x:v>Turkey (Mediterranean Sea)</x:v>
      </x:c>
      <x:c r="C93" s="24" t="str">
        <x:v>EEZ</x:v>
      </x:c>
      <x:c r="D93" s="30" t="n">
        <x:v>2019</x:v>
      </x:c>
      <x:c r="E93" s="24" t="str">
        <x:v>Scophthalmus maximus</x:v>
      </x:c>
      <x:c r="F93" s="24" t="str">
        <x:v>Turbot</x:v>
      </x:c>
      <x:c r="G93" s="24" t="str">
        <x:v>Large flatfishes (&gt;=90 cm)</x:v>
      </x:c>
      <x:c r="H93" s="24" t="str">
        <x:v>Flatfishes</x:v>
      </x:c>
      <x:c r="I93" s="31" t="n">
        <x:v>0.0053477833</x:v>
      </x:c>
      <x:c r="J93" s="31" t="n">
        <x:v>0.0015839793</x:v>
      </x:c>
      <x:c r="K93" s="31" t="n">
        <x:v>0.003763804</x:v>
      </x:c>
      <x:c r="L93" s="31" t="n">
        <x:v>0</x:v>
      </x:c>
      <x:c r="M93" s="31" t="n">
        <x:v>0.0053477833</x:v>
      </x:c>
      <x:c r="N93" s="24" t="str">
        <x:v>scophthalmus maximus</x:v>
      </x:c>
      <x:c r="O93" s="32" t="n">
        <x:v>4.36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Scophthalmus maximus</x:v>
      </x:c>
      <x:c r="T93" s="32" t="n">
        <x:f>IF(O93="","",(1/'Metadata'!$B$5)^(O93-1))</x:f>
        <x:v>2290.867652767775</x:v>
      </x:c>
      <x:c r="U93" s="31" t="n">
        <x:f>IF(T93="","",I93*T93)</x:f>
        <x:v>12.251063775981704</x:v>
      </x:c>
    </x:row>
  </x:sheetData>
  <x:conditionalFormatting sqref="R2:R9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c4ec2ea62544d1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17552.3964534792</x:v>
      </x:c>
      <x:c r="E2" s="31" t="n">
        <x:v>17552.3964534792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IF(C2=0,"",SUMIF('Species'!$H$2:$H$93,A2,'Species'!$U$2:$U$93))</x:f>
        <x:v>2261186.686233473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2261186.686233473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3</x:v>
      </x:c>
      <x:c r="C3" s="33" t="n">
        <x:v>3</x:v>
      </x:c>
      <x:c r="D3" s="31" t="n">
        <x:v>1750.3818296807</x:v>
      </x:c>
      <x:c r="E3" s="31" t="n">
        <x:v>1750.3818296807</x:v>
      </x:c>
      <x:c r="F3" s="32" t="n">
        <x:v>0</x:v>
      </x:c>
      <x:c r="G3" s="34" t="n">
        <x:v>1</x:v>
      </x:c>
      <x:c r="H3" s="32" t="n">
        <x:f>IF(E3=0,"",I3/E3)</x:f>
        <x:v>2232.547728693104</x:v>
      </x:c>
      <x:c r="I3" s="31" t="n">
        <x:f>IF(C3=0,"",SUMIF('Species'!$H$2:$H$93,A3,'Species'!$U$2:$U$93))</x:f>
        <x:v>3907810.978199327</x:v>
      </x:c>
      <x:c r="J3" s="32" t="n">
        <x:v>4.347602750330159</x:v>
      </x:c>
      <x:c r="K3" s="32" t="n">
        <x:f>IF(J3="","",(1/'Metadata'!$B$5)^(J3-1))</x:f>
        <x:v>2226.397728993924</x:v>
      </x:c>
      <x:c r="L3" s="31" t="n">
        <x:f>IF(E3=0,"",E3*K3)</x:f>
        <x:v>3897046.13047334</x:v>
      </x:c>
      <x:c r="M3" s="31" t="n">
        <x:f>IF(E3=0,"",I3-L3)</x:f>
        <x:v>10764.847725986969</x:v>
      </x:c>
      <x:c r="N3" s="32" t="n">
        <x:f>IF(L3=0,"",I3/L3)</x:f>
        <x:v>1.002762309545635</x:v>
      </x:c>
      <x:c r="O3" s="34" t="n">
        <x:f>IF(L3=0,"",M3/L3)</x:f>
        <x:v>0.002762309545635134</x:v>
      </x:c>
    </x:row>
    <x:row r="4" ht="18" customHeight="1">
      <x:c r="A4" s="24" t="str">
        <x:v>Crustaceans</x:v>
      </x:c>
      <x:c r="B4" s="33" t="n">
        <x:v>13</x:v>
      </x:c>
      <x:c r="C4" s="33" t="n">
        <x:v>13</x:v>
      </x:c>
      <x:c r="D4" s="31" t="n">
        <x:v>4262.113808886</x:v>
      </x:c>
      <x:c r="E4" s="31" t="n">
        <x:v>4262.113808886</x:v>
      </x:c>
      <x:c r="F4" s="32" t="n">
        <x:v>0</x:v>
      </x:c>
      <x:c r="G4" s="34" t="n">
        <x:v>1</x:v>
      </x:c>
      <x:c r="H4" s="32" t="n">
        <x:f>IF(E4=0,"",I4/E4)</x:f>
        <x:v>198.41901380220472</x:v>
      </x:c>
      <x:c r="I4" s="31" t="n">
        <x:f>IF(C4=0,"",SUMIF('Species'!$H$2:$H$93,A4,'Species'!$U$2:$U$93))</x:f>
        <x:v>845684.4186719185</x:v>
      </x:c>
      <x:c r="J4" s="32" t="n">
        <x:v>3.0546813181363754</x:v>
      </x:c>
      <x:c r="K4" s="32" t="n">
        <x:f>IF(J4="","",(1/'Metadata'!$B$5)^(J4-1))</x:f>
        <x:v>113.41782591916564</x:v>
      </x:c>
      <x:c r="L4" s="31" t="n">
        <x:f>IF(E4=0,"",E4*K4)</x:f>
        <x:v>483399.68202390434</x:v>
      </x:c>
      <x:c r="M4" s="31" t="n">
        <x:f>IF(E4=0,"",I4-L4)</x:f>
        <x:v>362284.7366480141</x:v>
      </x:c>
      <x:c r="N4" s="32" t="n">
        <x:f>IF(L4=0,"",I4/L4)</x:f>
        <x:v>1.7494517479432246</x:v>
      </x:c>
      <x:c r="O4" s="34" t="n">
        <x:f>IF(L4=0,"",M4/L4)</x:f>
        <x:v>0.7494517479432247</x:v>
      </x:c>
    </x:row>
    <x:row r="5" ht="18" customHeight="1">
      <x:c r="A5" s="24" t="str">
        <x:v>Flatfishes</x:v>
      </x:c>
      <x:c r="B5" s="33" t="n">
        <x:v>2</x:v>
      </x:c>
      <x:c r="C5" s="33" t="n">
        <x:v>2</x:v>
      </x:c>
      <x:c r="D5" s="31" t="n">
        <x:v>423.32524207880004</x:v>
      </x:c>
      <x:c r="E5" s="31" t="n">
        <x:v>423.32524207880004</x:v>
      </x:c>
      <x:c r="F5" s="32" t="n">
        <x:v>0</x:v>
      </x:c>
      <x:c r="G5" s="34" t="n">
        <x:v>1</x:v>
      </x:c>
      <x:c r="H5" s="32" t="n">
        <x:f>IF(E5=0,"",I5/E5)</x:f>
        <x:v>162.2079010094316</x:v>
      </x:c>
      <x:c r="I5" s="31" t="n">
        <x:f>IF(C5=0,"",SUMIF('Species'!$H$2:$H$93,A5,'Species'!$U$2:$U$93))</x:f>
        <x:v>68666.69896191166</x:v>
      </x:c>
      <x:c r="J5" s="32" t="n">
        <x:v>3.2100145277204937</x:v>
      </x:c>
      <x:c r="K5" s="32" t="n">
        <x:f>IF(J5="","",(1/'Metadata'!$B$5)^(J5-1))</x:f>
        <x:v>162.18643499429507</x:v>
      </x:c>
      <x:c r="L5" s="31" t="n">
        <x:f>IF(E5=0,"",E5*K5)</x:f>
        <x:v>68657.61185585753</x:v>
      </x:c>
      <x:c r="M5" s="31" t="n">
        <x:f>IF(E5=0,"",I5-L5)</x:f>
        <x:v>9.08710605413944</x:v>
      </x:c>
      <x:c r="N5" s="32" t="n">
        <x:f>IF(L5=0,"",I5/L5)</x:f>
        <x:v>1.0001323539489433</x:v>
      </x:c>
      <x:c r="O5" s="34" t="n">
        <x:f>IF(L5=0,"",M5/L5)</x:f>
        <x:v>0.0001323539489433053</x:v>
      </x:c>
    </x:row>
    <x:row r="6" ht="18" customHeight="1">
      <x:c r="A6" s="24" t="str">
        <x:v>Herring-likes</x:v>
      </x:c>
      <x:c r="B6" s="33" t="n">
        <x:v>3</x:v>
      </x:c>
      <x:c r="C6" s="33" t="n">
        <x:v>3</x:v>
      </x:c>
      <x:c r="D6" s="31" t="n">
        <x:v>22854.9670240415</x:v>
      </x:c>
      <x:c r="E6" s="31" t="n">
        <x:v>22854.9670240415</x:v>
      </x:c>
      <x:c r="F6" s="32" t="n">
        <x:v>0</x:v>
      </x:c>
      <x:c r="G6" s="34" t="n">
        <x:v>1</x:v>
      </x:c>
      <x:c r="H6" s="32" t="n">
        <x:f>IF(E6=0,"",I6/E6)</x:f>
        <x:v>200.93543051205637</x:v>
      </x:c>
      <x:c r="I6" s="31" t="n">
        <x:f>IF(C6=0,"",SUMIF('Species'!$H$2:$H$93,A6,'Species'!$U$2:$U$93))</x:f>
        <x:v>4592372.638314631</x:v>
      </x:c>
      <x:c r="J6" s="32" t="n">
        <x:v>3.1454693719003086</x:v>
      </x:c>
      <x:c r="K6" s="32" t="n">
        <x:f>IF(J6="","",(1/'Metadata'!$B$5)^(J6-1))</x:f>
        <x:v>139.78783281467364</x:v>
      </x:c>
      <x:c r="L6" s="31" t="n">
        <x:f>IF(E6=0,"",E6*K6)</x:f>
        <x:v>3194846.3093415922</x:v>
      </x:c>
      <x:c r="M6" s="31" t="n">
        <x:f>IF(E6=0,"",I6-L6)</x:f>
        <x:v>1397526.3289730386</x:v>
      </x:c>
      <x:c r="N6" s="32" t="n">
        <x:f>IF(L6=0,"",I6/L6)</x:f>
        <x:v>1.437431473585046</x:v>
      </x:c>
      <x:c r="O6" s="34" t="n">
        <x:f>IF(L6=0,"",M6/L6)</x:f>
        <x:v>0.4374314735850461</x:v>
      </x:c>
    </x:row>
    <x:row r="7" ht="18" customHeight="1">
      <x:c r="A7" s="24" t="str">
        <x:v>Molluscs</x:v>
      </x:c>
      <x:c r="B7" s="33" t="n">
        <x:v>5</x:v>
      </x:c>
      <x:c r="C7" s="33" t="n">
        <x:v>5</x:v>
      </x:c>
      <x:c r="D7" s="31" t="n">
        <x:v>5417.2912701571995</x:v>
      </x:c>
      <x:c r="E7" s="31" t="n">
        <x:v>5417.2912701571995</x:v>
      </x:c>
      <x:c r="F7" s="32" t="n">
        <x:v>0</x:v>
      </x:c>
      <x:c r="G7" s="34" t="n">
        <x:v>1</x:v>
      </x:c>
      <x:c r="H7" s="32" t="n">
        <x:f>IF(E7=0,"",I7/E7)</x:f>
        <x:v>53.756064238402644</x:v>
      </x:c>
      <x:c r="I7" s="31" t="n">
        <x:f>IF(C7=0,"",SUMIF('Species'!$H$2:$H$93,A7,'Species'!$U$2:$U$93))</x:f>
        <x:v>291212.2575167083</x:v>
      </x:c>
      <x:c r="J7" s="32" t="n">
        <x:v>2.709814746611869</x:v>
      </x:c>
      <x:c r="K7" s="32" t="n">
        <x:f>IF(J7="","",(1/'Metadata'!$B$5)^(J7-1))</x:f>
        <x:v>51.2642663624887</x:v>
      </x:c>
      <x:c r="L7" s="31" t="n">
        <x:f>IF(E7=0,"",E7*K7)</x:f>
        <x:v>277713.4626365234</x:v>
      </x:c>
      <x:c r="M7" s="31" t="n">
        <x:f>IF(E7=0,"",I7-L7)</x:f>
        <x:v>13498.794880184869</x:v>
      </x:c>
      <x:c r="N7" s="32" t="n">
        <x:f>IF(L7=0,"",I7/L7)</x:f>
        <x:v>1.0486069157470135</x:v>
      </x:c>
      <x:c r="O7" s="34" t="n">
        <x:f>IF(L7=0,"",M7/L7)</x:f>
        <x:v>0.04860691574701348</x:v>
      </x:c>
    </x:row>
    <x:row r="8" ht="18" customHeight="1">
      <x:c r="A8" s="24" t="str">
        <x:v>Other fishes &amp; inverts</x:v>
      </x:c>
      <x:c r="B8" s="33" t="n">
        <x:v>13</x:v>
      </x:c>
      <x:c r="C8" s="33" t="n">
        <x:v>13</x:v>
      </x:c>
      <x:c r="D8" s="31" t="n">
        <x:v>9071.6424499165</x:v>
      </x:c>
      <x:c r="E8" s="31" t="n">
        <x:v>9071.6424499165</x:v>
      </x:c>
      <x:c r="F8" s="32" t="n">
        <x:v>0</x:v>
      </x:c>
      <x:c r="G8" s="34" t="n">
        <x:v>1</x:v>
      </x:c>
      <x:c r="H8" s="32" t="n">
        <x:f>IF(E8=0,"",I8/E8)</x:f>
        <x:v>535.1700134872951</x:v>
      </x:c>
      <x:c r="I8" s="31" t="n">
        <x:f>IF(C8=0,"",SUMIF('Species'!$H$2:$H$93,A8,'Species'!$U$2:$U$93))</x:f>
        <x:v>4854871.012273733</x:v>
      </x:c>
      <x:c r="J8" s="32" t="n">
        <x:v>3.4412871357509895</x:v>
      </x:c>
      <x:c r="K8" s="32" t="n">
        <x:f>IF(J8="","",(1/'Metadata'!$B$5)^(J8-1))</x:f>
        <x:v>276.24036281844616</x:v>
      </x:c>
      <x:c r="L8" s="31" t="n">
        <x:f>IF(E8=0,"",E8*K8)</x:f>
        <x:v>2505953.8017241517</x:v>
      </x:c>
      <x:c r="M8" s="31" t="n">
        <x:f>IF(E8=0,"",I8-L8)</x:f>
        <x:v>2348917.210549581</x:v>
      </x:c>
      <x:c r="N8" s="32" t="n">
        <x:f>IF(L8=0,"",I8/L8)</x:f>
        <x:v>1.937334602470913</x:v>
      </x:c>
      <x:c r="O8" s="34" t="n">
        <x:f>IF(L8=0,"",M8/L8)</x:f>
        <x:v>0.937334602470913</x:v>
      </x:c>
    </x:row>
    <x:row r="9" ht="18" customHeight="1">
      <x:c r="A9" s="24" t="str">
        <x:v>Perch-likes</x:v>
      </x:c>
      <x:c r="B9" s="33" t="n">
        <x:v>37</x:v>
      </x:c>
      <x:c r="C9" s="33" t="n">
        <x:v>37</x:v>
      </x:c>
      <x:c r="D9" s="31" t="n">
        <x:v>21592.642587422702</x:v>
      </x:c>
      <x:c r="E9" s="31" t="n">
        <x:v>21592.642587422702</x:v>
      </x:c>
      <x:c r="F9" s="32" t="n">
        <x:v>0</x:v>
      </x:c>
      <x:c r="G9" s="34" t="n">
        <x:v>1</x:v>
      </x:c>
      <x:c r="H9" s="32" t="n">
        <x:f>IF(E9=0,"",I9/E9)</x:f>
        <x:v>484.09215026471753</x:v>
      </x:c>
      <x:c r="I9" s="31" t="n">
        <x:f>IF(C9=0,"",SUMIF('Species'!$H$2:$H$93,A9,'Species'!$U$2:$U$93))</x:f>
        <x:v>10452828.78004297</x:v>
      </x:c>
      <x:c r="J9" s="32" t="n">
        <x:v>3.2163098266836134</x:v>
      </x:c>
      <x:c r="K9" s="32" t="n">
        <x:f>IF(J9="","",(1/'Metadata'!$B$5)^(J9-1))</x:f>
        <x:v>164.55452403345626</x:v>
      </x:c>
      <x:c r="L9" s="31" t="n">
        <x:f>IF(E9=0,"",E9*K9)</x:f>
        <x:v>3553167.0235978803</x:v>
      </x:c>
      <x:c r="M9" s="31" t="n">
        <x:f>IF(E9=0,"",I9-L9)</x:f>
        <x:v>6899661.75644509</x:v>
      </x:c>
      <x:c r="N9" s="32" t="n">
        <x:f>IF(L9=0,"",I9/L9)</x:f>
        <x:v>2.9418343440153296</x:v>
      </x:c>
      <x:c r="O9" s="34" t="n">
        <x:f>IF(L9=0,"",M9/L9)</x:f>
        <x:v>1.9418343440153294</x:v>
      </x:c>
    </x:row>
    <x:row r="10" ht="18" customHeight="1">
      <x:c r="A10" s="24" t="str">
        <x:v>Scorpionfishes</x:v>
      </x:c>
      <x:c r="B10" s="33" t="n">
        <x:v>4</x:v>
      </x:c>
      <x:c r="C10" s="33" t="n">
        <x:v>4</x:v>
      </x:c>
      <x:c r="D10" s="31" t="n">
        <x:v>334.2515210217</x:v>
      </x:c>
      <x:c r="E10" s="31" t="n">
        <x:v>334.2515210217</x:v>
      </x:c>
      <x:c r="F10" s="32" t="n">
        <x:v>0</x:v>
      </x:c>
      <x:c r="G10" s="34" t="n">
        <x:v>1</x:v>
      </x:c>
      <x:c r="H10" s="32" t="n">
        <x:f>IF(E10=0,"",I10/E10)</x:f>
        <x:v>795.4614502176466</x:v>
      </x:c>
      <x:c r="I10" s="31" t="n">
        <x:f>IF(C10=0,"",SUMIF('Species'!$H$2:$H$93,A10,'Species'!$U$2:$U$93))</x:f>
        <x:v>265884.1996493757</x:v>
      </x:c>
      <x:c r="J10" s="32" t="n">
        <x:v>3.890746208481109</x:v>
      </x:c>
      <x:c r="K10" s="32" t="n">
        <x:f>IF(J10="","",(1/'Metadata'!$B$5)^(J10-1))</x:f>
        <x:v>777.5820175325306</x:v>
      </x:c>
      <x:c r="L10" s="31" t="n">
        <x:f>IF(E10=0,"",E10*K10)</x:f>
        <x:v>259907.97207937055</x:v>
      </x:c>
      <x:c r="M10" s="31" t="n">
        <x:f>IF(E10=0,"",I10-L10)</x:f>
        <x:v>5976.22757000514</x:v>
      </x:c>
      <x:c r="N10" s="32" t="n">
        <x:f>IF(L10=0,"",I10/L10)</x:f>
        <x:v>1.0229936293303852</x:v>
      </x:c>
      <x:c r="O10" s="34" t="n">
        <x:f>IF(L10=0,"",M10/L10)</x:f>
        <x:v>0.02299362933038515</x:v>
      </x:c>
    </x:row>
    <x:row r="11" ht="18" customHeight="1">
      <x:c r="A11" s="24" t="str">
        <x:v>Sharks &amp; rays</x:v>
      </x:c>
      <x:c r="B11" s="33" t="n">
        <x:v>5</x:v>
      </x:c>
      <x:c r="C11" s="33" t="n">
        <x:v>5</x:v>
      </x:c>
      <x:c r="D11" s="31" t="n">
        <x:v>294.79965577699994</x:v>
      </x:c>
      <x:c r="E11" s="31" t="n">
        <x:v>294.79965577699994</x:v>
      </x:c>
      <x:c r="F11" s="32" t="n">
        <x:v>0</x:v>
      </x:c>
      <x:c r="G11" s="34" t="n">
        <x:v>1</x:v>
      </x:c>
      <x:c r="H11" s="32" t="n">
        <x:f>IF(E11=0,"",I11/E11)</x:f>
        <x:v>1070.7154155183384</x:v>
      </x:c>
      <x:c r="I11" s="31" t="n">
        <x:f>IF(C11=0,"",SUMIF('Species'!$H$2:$H$93,A11,'Species'!$U$2:$U$93))</x:f>
        <x:v>315646.53592993366</x:v>
      </x:c>
      <x:c r="J11" s="32" t="n">
        <x:v>4.014133661725195</x:v>
      </x:c>
      <x:c r="K11" s="32" t="n">
        <x:f>IF(J11="","",(1/'Metadata'!$B$5)^(J11-1))</x:f>
        <x:v>1033.0793050701773</x:v>
      </x:c>
      <x:c r="L11" s="31" t="n">
        <x:f>IF(E11=0,"",E11*K11)</x:f>
        <x:v>304551.42352503055</x:v>
      </x:c>
      <x:c r="M11" s="31" t="n">
        <x:f>IF(E11=0,"",I11-L11)</x:f>
        <x:v>11095.112404903106</x:v>
      </x:c>
      <x:c r="N11" s="32" t="n">
        <x:f>IF(L11=0,"",I11/L11)</x:f>
        <x:v>1.0364309983400595</x:v>
      </x:c>
      <x:c r="O11" s="34" t="n">
        <x:f>IF(L11=0,"",M11/L11)</x:f>
        <x:v>0.03643099834005937</x:v>
      </x:c>
    </x:row>
    <x:row r="12" ht="18" customHeight="1">
      <x:c r="A12" s="24" t="str">
        <x:v>Tuna &amp; billfishes</x:v>
      </x:c>
      <x:c r="B12" s="33" t="n">
        <x:v>6</x:v>
      </x:c>
      <x:c r="C12" s="33" t="n">
        <x:v>6</x:v>
      </x:c>
      <x:c r="D12" s="31" t="n">
        <x:v>3501.6045853580003</x:v>
      </x:c>
      <x:c r="E12" s="31" t="n">
        <x:v>3501.6045853580003</x:v>
      </x:c>
      <x:c r="F12" s="32" t="n">
        <x:v>0</x:v>
      </x:c>
      <x:c r="G12" s="34" t="n">
        <x:v>1</x:v>
      </x:c>
      <x:c r="H12" s="32" t="n">
        <x:f>IF(E12=0,"",I12/E12)</x:f>
        <x:v>2806.23334348652</x:v>
      </x:c>
      <x:c r="I12" s="31" t="n">
        <x:f>IF(C12=0,"",SUMIF('Species'!$H$2:$H$93,A12,'Species'!$U$2:$U$93))</x:f>
        <x:v>9826319.543136911</x:v>
      </x:c>
      <x:c r="J12" s="32" t="n">
        <x:v>4.430748383825912</x:v>
      </x:c>
      <x:c r="K12" s="32" t="n">
        <x:f>IF(J12="","",(1/'Metadata'!$B$5)^(J12-1))</x:f>
        <x:v>2696.1769021687405</x:v>
      </x:c>
      <x:c r="L12" s="31" t="n">
        <x:f>IF(E12=0,"",E12*K12)</x:f>
        <x:v>9440945.403570391</x:v>
      </x:c>
      <x:c r="M12" s="31" t="n">
        <x:f>IF(E12=0,"",I12-L12)</x:f>
        <x:v>385374.1395665202</x:v>
      </x:c>
      <x:c r="N12" s="32" t="n">
        <x:f>IF(L12=0,"",I12/L12)</x:f>
        <x:v>1.0408194437201999</x:v>
      </x:c>
      <x:c r="O12" s="34" t="n">
        <x:f>IF(L12=0,"",M12/L12)</x:f>
        <x:v>0.040819443720199765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79203fd7f4b4f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1638.3214245985998</x:v>
      </x:c>
      <x:c r="E2" s="31" t="n">
        <x:v>1638.3214245985998</x:v>
      </x:c>
      <x:c r="F2" s="32" t="n">
        <x:v>0</x:v>
      </x:c>
      <x:c r="G2" s="34" t="n">
        <x:v>1</x:v>
      </x:c>
      <x:c r="H2" s="32" t="n">
        <x:f>IF(E2=0,"",I2/E2)</x:f>
        <x:v>1487.5627219998644</x:v>
      </x:c>
      <x:c r="I2" s="31" t="n">
        <x:f>IF(C2=0,"",SUMIF('Species'!$G$2:$G$93,A2,'Species'!$U$2:$U$93))</x:f>
        <x:v>2437105.8778865887</x:v>
      </x:c>
      <x:c r="J2" s="32" t="n">
        <x:v>4.099289957493284</x:v>
      </x:c>
      <x:c r="K2" s="32" t="n">
        <x:f>IF(J2="","",(1/'Metadata'!$B$5)^(J2-1))</x:f>
        <x:v>1256.868834368645</x:v>
      </x:c>
      <x:c r="L2" s="31" t="n">
        <x:f>IF(E2=0,"",E2*K2)</x:f>
        <x:v>2059155.1392564198</x:v>
      </x:c>
      <x:c r="M2" s="31" t="n">
        <x:f>IF(E2=0,"",I2-L2)</x:f>
        <x:v>377950.73863016884</x:v>
      </x:c>
      <x:c r="N2" s="32" t="n">
        <x:f>IF(L2=0,"",I2/L2)</x:f>
        <x:v>1.1835465096460145</x:v>
      </x:c>
      <x:c r="O2" s="34" t="n">
        <x:f>IF(L2=0,"",M2/L2)</x:f>
        <x:v>0.18354650964601452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1424.7407963381002</x:v>
      </x:c>
      <x:c r="E3" s="31" t="n">
        <x:v>1424.7407963381002</x:v>
      </x:c>
      <x:c r="F3" s="32" t="n">
        <x:v>0</x:v>
      </x:c>
      <x:c r="G3" s="34" t="n">
        <x:v>1</x:v>
      </x:c>
      <x:c r="H3" s="32" t="n">
        <x:f>IF(E3=0,"",I3/E3)</x:f>
        <x:v>2338.0508496564134</x:v>
      </x:c>
      <x:c r="I3" s="31" t="n">
        <x:f>IF(C3=0,"",SUMIF('Species'!$G$2:$G$93,A3,'Species'!$U$2:$U$93))</x:f>
        <x:v>3331116.42941845</x:v>
      </x:c>
      <x:c r="J3" s="32" t="n">
        <x:v>4.367135804418999</x:v>
      </x:c>
      <x:c r="K3" s="32" t="n">
        <x:f>IF(J3="","",(1/'Metadata'!$B$5)^(J3-1))</x:f>
        <x:v>2328.819368501223</x:v>
      </x:c>
      <x:c r="L3" s="31" t="n">
        <x:f>IF(E3=0,"",E3*K3)</x:f>
        <x:v>3317963.961606024</x:v>
      </x:c>
      <x:c r="M3" s="31" t="n">
        <x:f>IF(E3=0,"",I3-L3)</x:f>
        <x:v>13152.467812426388</x:v>
      </x:c>
      <x:c r="N3" s="32" t="n">
        <x:f>IF(L3=0,"",I3/L3)</x:f>
        <x:v>1.003964017682115</x:v>
      </x:c>
      <x:c r="O3" s="34" t="n">
        <x:f>IF(L3=0,"",M3/L3)</x:f>
        <x:v>0.0039640176821149325</x:v>
      </x:c>
    </x:row>
    <x:row r="4" ht="18" customHeight="1">
      <x:c r="A4" s="24" t="str">
        <x:v>Large benthopelagics (&gt;=90 cm)</x:v>
      </x:c>
      <x:c r="B4" s="33" t="n">
        <x:v>3</x:v>
      </x:c>
      <x:c r="C4" s="33" t="n">
        <x:v>3</x:v>
      </x:c>
      <x:c r="D4" s="31" t="n">
        <x:v>870.8147337356</x:v>
      </x:c>
      <x:c r="E4" s="31" t="n">
        <x:v>870.8147337356</x:v>
      </x:c>
      <x:c r="F4" s="32" t="n">
        <x:v>0</x:v>
      </x:c>
      <x:c r="G4" s="34" t="n">
        <x:v>1</x:v>
      </x:c>
      <x:c r="H4" s="32" t="n">
        <x:f>IF(E4=0,"",I4/E4)</x:f>
        <x:v>3210.1923088968874</x:v>
      </x:c>
      <x:c r="I4" s="31" t="n">
        <x:f>IF(C4=0,"",SUMIF('Species'!$G$2:$G$93,A4,'Species'!$U$2:$U$93))</x:f>
        <x:v>2795482.760712114</x:v>
      </x:c>
      <x:c r="J4" s="32" t="n">
        <x:v>4.496121301677226</x:v>
      </x:c>
      <x:c r="K4" s="32" t="n">
        <x:f>IF(J4="","",(1/'Metadata'!$B$5)^(J4-1))</x:f>
        <x:v>3134.160996539734</x:v>
      </x:c>
      <x:c r="L4" s="31" t="n">
        <x:f>IF(E4=0,"",E4*K4)</x:f>
        <x:v>2729273.573686251</x:v>
      </x:c>
      <x:c r="M4" s="31" t="n">
        <x:f>IF(E4=0,"",I4-L4)</x:f>
        <x:v>66209.18702586321</x:v>
      </x:c>
      <x:c r="N4" s="32" t="n">
        <x:f>IF(L4=0,"",I4/L4)</x:f>
        <x:v>1.02425890451738</x:v>
      </x:c>
      <x:c r="O4" s="34" t="n">
        <x:f>IF(L4=0,"",M4/L4)</x:f>
        <x:v>0.024258904517379987</x:v>
      </x:c>
    </x:row>
    <x:row r="5" ht="18" customHeight="1">
      <x:c r="A5" s="24" t="str">
        <x:v>Large demersals (&gt;=90 cm)</x:v>
      </x:c>
      <x:c r="B5" s="33" t="n">
        <x:v>5</x:v>
      </x:c>
      <x:c r="C5" s="33" t="n">
        <x:v>5</x:v>
      </x:c>
      <x:c r="D5" s="31" t="n">
        <x:v>1204.0647481496003</x:v>
      </x:c>
      <x:c r="E5" s="31" t="n">
        <x:v>1204.0647481496003</x:v>
      </x:c>
      <x:c r="F5" s="32" t="n">
        <x:v>0</x:v>
      </x:c>
      <x:c r="G5" s="34" t="n">
        <x:v>1</x:v>
      </x:c>
      <x:c r="H5" s="32" t="n">
        <x:f>IF(E5=0,"",I5/E5)</x:f>
        <x:v>766.2538654976513</x:v>
      </x:c>
      <x:c r="I5" s="31" t="n">
        <x:f>IF(C5=0,"",SUMIF('Species'!$G$2:$G$93,A5,'Species'!$U$2:$U$93))</x:f>
        <x:v>922619.2675790872</x:v>
      </x:c>
      <x:c r="J5" s="32" t="n">
        <x:v>3.8666024657329774</x:v>
      </x:c>
      <x:c r="K5" s="32" t="n">
        <x:f>IF(J5="","",(1/'Metadata'!$B$5)^(J5-1))</x:f>
        <x:v>735.5335138910723</x:v>
      </x:c>
      <x:c r="L5" s="31" t="n">
        <x:f>IF(E5=0,"",E5*K5)</x:f>
        <x:v>885629.9751588445</x:v>
      </x:c>
      <x:c r="M5" s="31" t="n">
        <x:f>IF(E5=0,"",I5-L5)</x:f>
        <x:v>36989.29242024268</x:v>
      </x:c>
      <x:c r="N5" s="32" t="n">
        <x:f>IF(L5=0,"",I5/L5)</x:f>
        <x:v>1.0417660800308937</x:v>
      </x:c>
      <x:c r="O5" s="34" t="n">
        <x:f>IF(L5=0,"",M5/L5)</x:f>
        <x:v>0.04176608003089368</x:v>
      </x:c>
    </x:row>
    <x:row r="6" ht="18" customHeight="1">
      <x:c r="A6" s="24" t="str">
        <x:v>Large flatfishes (&gt;=90 cm)</x:v>
      </x:c>
      <x:c r="B6" s="33" t="n">
        <x:v>1</x:v>
      </x:c>
      <x:c r="C6" s="33" t="n">
        <x:v>1</x:v>
      </x:c>
      <x:c r="D6" s="31" t="n">
        <x:v>0.0053477833</x:v>
      </x:c>
      <x:c r="E6" s="31" t="n">
        <x:v>0.0053477833</x:v>
      </x:c>
      <x:c r="F6" s="32" t="n">
        <x:v>0</x:v>
      </x:c>
      <x:c r="G6" s="34" t="n">
        <x:v>1</x:v>
      </x:c>
      <x:c r="H6" s="32" t="n">
        <x:f>IF(E6=0,"",I6/E6)</x:f>
        <x:v>2290.867652767775</x:v>
      </x:c>
      <x:c r="I6" s="31" t="n">
        <x:f>IF(C6=0,"",SUMIF('Species'!$G$2:$G$93,A6,'Species'!$U$2:$U$93))</x:f>
        <x:v>12.251063775981704</x:v>
      </x:c>
      <x:c r="J6" s="32" t="n">
        <x:v>4.36</x:v>
      </x:c>
      <x:c r="K6" s="32" t="n">
        <x:f>IF(J6="","",(1/'Metadata'!$B$5)^(J6-1))</x:f>
        <x:v>2290.867652767775</x:v>
      </x:c>
      <x:c r="L6" s="31" t="n">
        <x:f>IF(E6=0,"",E6*K6)</x:f>
        <x:v>12.251063775981704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8</x:v>
      </x:c>
      <x:c r="C7" s="33" t="n">
        <x:v>8</x:v>
      </x:c>
      <x:c r="D7" s="31" t="n">
        <x:v>2204.6228006058</x:v>
      </x:c>
      <x:c r="E7" s="31" t="n">
        <x:v>2204.6228006058</x:v>
      </x:c>
      <x:c r="F7" s="32" t="n">
        <x:v>0</x:v>
      </x:c>
      <x:c r="G7" s="34" t="n">
        <x:v>1</x:v>
      </x:c>
      <x:c r="H7" s="32" t="n">
        <x:f>IF(E7=0,"",I7/E7)</x:f>
        <x:v>2966.0402047006046</x:v>
      </x:c>
      <x:c r="I7" s="31" t="n">
        <x:f>IF(C7=0,"",SUMIF('Species'!$G$2:$G$93,A7,'Species'!$U$2:$U$93))</x:f>
        <x:v>6538999.862796447</x:v>
      </x:c>
      <x:c r="J7" s="32" t="n">
        <x:v>4.469540363545849</x:v>
      </x:c>
      <x:c r="K7" s="32" t="n">
        <x:f>IF(J7="","",(1/'Metadata'!$B$5)^(J7-1))</x:f>
        <x:v>2948.087460593819</x:v>
      </x:c>
      <x:c r="L7" s="31" t="n">
        <x:f>IF(E7=0,"",E7*K7)</x:f>
        <x:v>6499420.833805186</x:v>
      </x:c>
      <x:c r="M7" s="31" t="n">
        <x:f>IF(E7=0,"",I7-L7)</x:f>
        <x:v>39579.0289912615</x:v>
      </x:c>
      <x:c r="N7" s="32" t="n">
        <x:f>IF(L7=0,"",I7/L7)</x:f>
        <x:v>1.0060896239839403</x:v>
      </x:c>
      <x:c r="O7" s="34" t="n">
        <x:f>IF(L7=0,"",M7/L7)</x:f>
        <x:v>0.006089623983940327</x:v>
      </x:c>
    </x:row>
    <x:row r="8" ht="18" customHeight="1">
      <x:c r="A8" s="24" t="str">
        <x:v>Large rays (&gt;=90 cm)</x:v>
      </x:c>
      <x:c r="B8" s="33" t="n">
        <x:v>1</x:v>
      </x:c>
      <x:c r="C8" s="33" t="n">
        <x:v>1</x:v>
      </x:c>
      <x:c r="D8" s="31" t="n">
        <x:v>67.9537846506</x:v>
      </x:c>
      <x:c r="E8" s="31" t="n">
        <x:v>67.9537846506</x:v>
      </x:c>
      <x:c r="F8" s="32" t="n">
        <x:v>0</x:v>
      </x:c>
      <x:c r="G8" s="34" t="n">
        <x:v>1</x:v>
      </x:c>
      <x:c r="H8" s="32" t="n">
        <x:f>IF(E8=0,"",I8/E8)</x:f>
        <x:v>691.8309709189363</x:v>
      </x:c>
      <x:c r="I8" s="31" t="n">
        <x:f>IF(C8=0,"",SUMIF('Species'!$G$2:$G$93,A8,'Species'!$U$2:$U$93))</x:f>
        <x:v>47012.532812440906</x:v>
      </x:c>
      <x:c r="J8" s="32" t="n">
        <x:v>3.84</x:v>
      </x:c>
      <x:c r="K8" s="32" t="n">
        <x:f>IF(J8="","",(1/'Metadata'!$B$5)^(J8-1))</x:f>
        <x:v>691.8309709189363</x:v>
      </x:c>
      <x:c r="L8" s="31" t="n">
        <x:f>IF(E8=0,"",E8*K8)</x:f>
        <x:v>47012.532812440906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Large reef assoc. fish (&gt;=90 cm)</x:v>
      </x:c>
      <x:c r="B9" s="33" t="n">
        <x:v>2</x:v>
      </x:c>
      <x:c r="C9" s="33" t="n">
        <x:v>2</x:v>
      </x:c>
      <x:c r="D9" s="31" t="n">
        <x:v>23.055057591200004</x:v>
      </x:c>
      <x:c r="E9" s="31" t="n">
        <x:v>23.055057591200004</x:v>
      </x:c>
      <x:c r="F9" s="32" t="n">
        <x:v>0</x:v>
      </x:c>
      <x:c r="G9" s="34" t="n">
        <x:v>1</x:v>
      </x:c>
      <x:c r="H9" s="32" t="n">
        <x:f>IF(E9=0,"",I9/E9)</x:f>
        <x:v>3074.628767249516</x:v>
      </x:c>
      <x:c r="I9" s="31" t="n">
        <x:f>IF(C9=0,"",SUMIF('Species'!$G$2:$G$93,A9,'Species'!$U$2:$U$93))</x:f>
        <x:v>70885.74330049787</x:v>
      </x:c>
      <x:c r="J9" s="32" t="n">
        <x:v>4.486966509585918</x:v>
      </x:c>
      <x:c r="K9" s="32" t="n">
        <x:f>IF(J9="","",(1/'Metadata'!$B$5)^(J9-1))</x:f>
        <x:v>3068.785331333382</x:v>
      </x:c>
      <x:c r="L9" s="31" t="n">
        <x:f>IF(E9=0,"",E9*K9)</x:f>
        <x:v>70751.02254892091</x:v>
      </x:c>
      <x:c r="M9" s="31" t="n">
        <x:f>IF(E9=0,"",I9-L9)</x:f>
        <x:v>134.72075157695508</x:v>
      </x:c>
      <x:c r="N9" s="32" t="n">
        <x:f>IF(L9=0,"",I9/L9)</x:f>
        <x:v>1.0019041527136063</x:v>
      </x:c>
      <x:c r="O9" s="34" t="n">
        <x:f>IF(L9=0,"",M9/L9)</x:f>
        <x:v>0.0019041527136063963</x:v>
      </x:c>
    </x:row>
    <x:row r="10" ht="18" customHeight="1">
      <x:c r="A10" s="24" t="str">
        <x:v>Large sharks (&gt;=90 cm)</x:v>
      </x:c>
      <x:c r="B10" s="33" t="n">
        <x:v>4</x:v>
      </x:c>
      <x:c r="C10" s="33" t="n">
        <x:v>4</x:v>
      </x:c>
      <x:c r="D10" s="31" t="n">
        <x:v>226.84587112640003</x:v>
      </x:c>
      <x:c r="E10" s="31" t="n">
        <x:v>226.84587112640003</x:v>
      </x:c>
      <x:c r="F10" s="32" t="n">
        <x:v>0</x:v>
      </x:c>
      <x:c r="G10" s="34" t="n">
        <x:v>1</x:v>
      </x:c>
      <x:c r="H10" s="32" t="n">
        <x:f>IF(E10=0,"",I10/E10)</x:f>
        <x:v>1184.2137649832212</x:v>
      </x:c>
      <x:c r="I10" s="31" t="n">
        <x:f>IF(C10=0,"",SUMIF('Species'!$G$2:$G$93,A10,'Species'!$U$2:$U$93))</x:f>
        <x:v>268634.0031174928</x:v>
      </x:c>
      <x:c r="J10" s="32" t="n">
        <x:v>4.066297015153394</x:v>
      </x:c>
      <x:c r="K10" s="32" t="n">
        <x:f>IF(J10="","",(1/'Metadata'!$B$5)^(J10-1))</x:f>
        <x:v>1164.922450610181</x:v>
      </x:c>
      <x:c r="L10" s="31" t="n">
        <x:f>IF(E10=0,"",E10*K10)</x:f>
        <x:v>264257.8481033672</x:v>
      </x:c>
      <x:c r="M10" s="31" t="n">
        <x:f>IF(E10=0,"",I10-L10)</x:f>
        <x:v>4376.155014125572</x:v>
      </x:c>
      <x:c r="N10" s="32" t="n">
        <x:f>IF(L10=0,"",I10/L10)</x:f>
        <x:v>1.0165601704756704</x:v>
      </x:c>
      <x:c r="O10" s="34" t="n">
        <x:f>IF(L10=0,"",M10/L10)</x:f>
        <x:v>0.01656017047567039</x:v>
      </x:c>
    </x:row>
    <x:row r="11" ht="18" customHeight="1">
      <x:c r="A11" s="24" t="str">
        <x:v>Lobsters, crabs</x:v>
      </x:c>
      <x:c r="B11" s="33" t="n">
        <x:v>6</x:v>
      </x:c>
      <x:c r="C11" s="33" t="n">
        <x:v>6</x:v>
      </x:c>
      <x:c r="D11" s="31" t="n">
        <x:v>1257.2007717540002</x:v>
      </x:c>
      <x:c r="E11" s="31" t="n">
        <x:v>1257.2007717540002</x:v>
      </x:c>
      <x:c r="F11" s="32" t="n">
        <x:v>0</x:v>
      </x:c>
      <x:c r="G11" s="34" t="n">
        <x:v>1</x:v>
      </x:c>
      <x:c r="H11" s="32" t="n">
        <x:f>IF(E11=0,"",I11/E11)</x:f>
        <x:v>304.4605986849638</x:v>
      </x:c>
      <x:c r="I11" s="31" t="n">
        <x:f>IF(C11=0,"",SUMIF('Species'!$G$2:$G$93,A11,'Species'!$U$2:$U$93))</x:f>
        <x:v>382768.0996354215</x:v>
      </x:c>
      <x:c r="J11" s="32" t="n">
        <x:v>3.4141257161398837</x:v>
      </x:c>
      <x:c r="K11" s="32" t="n">
        <x:f>IF(J11="","",(1/'Metadata'!$B$5)^(J11-1))</x:f>
        <x:v>259.4930413390518</x:v>
      </x:c>
      <x:c r="L11" s="31" t="n">
        <x:f>IF(E11=0,"",E11*K11)</x:f>
        <x:v>326234.8518362486</x:v>
      </x:c>
      <x:c r="M11" s="31" t="n">
        <x:f>IF(E11=0,"",I11-L11)</x:f>
        <x:v>56533.24779917288</x:v>
      </x:c>
      <x:c r="N11" s="32" t="n">
        <x:f>IF(L11=0,"",I11/L11)</x:f>
        <x:v>1.1732900316473525</x:v>
      </x:c>
      <x:c r="O11" s="34" t="n">
        <x:f>IF(L11=0,"",M11/L11)</x:f>
        <x:v>0.17329003164735252</x:v>
      </x:c>
    </x:row>
    <x:row r="12" ht="18" customHeight="1">
      <x:c r="A12" s="24" t="str">
        <x:v>Medium bathydemersals (30 - 89 cm)</x:v>
      </x:c>
      <x:c r="B12" s="33" t="n">
        <x:v>2</x:v>
      </x:c>
      <x:c r="C12" s="33" t="n">
        <x:v>2</x:v>
      </x:c>
      <x:c r="D12" s="31" t="n">
        <x:v>21.0100592947</x:v>
      </x:c>
      <x:c r="E12" s="31" t="n">
        <x:v>21.0100592947</x:v>
      </x:c>
      <x:c r="F12" s="32" t="n">
        <x:v>0</x:v>
      </x:c>
      <x:c r="G12" s="34" t="n">
        <x:v>1</x:v>
      </x:c>
      <x:c r="H12" s="32" t="n">
        <x:f>IF(E12=0,"",I12/E12)</x:f>
        <x:v>328.8664141423999</x:v>
      </x:c>
      <x:c r="I12" s="31" t="n">
        <x:f>IF(C12=0,"",SUMIF('Species'!$G$2:$G$93,A12,'Species'!$U$2:$U$93))</x:f>
        <x:v>6909.502861167188</x:v>
      </x:c>
      <x:c r="J12" s="32" t="n">
        <x:v>3.5159971272912007</x:v>
      </x:c>
      <x:c r="K12" s="32" t="n">
        <x:f>IF(J12="","",(1/'Metadata'!$B$5)^(J12-1))</x:f>
        <x:v>328.0931228826474</x:v>
      </x:c>
      <x:c r="L12" s="31" t="n">
        <x:f>IF(E12=0,"",E12*K12)</x:f>
        <x:v>6893.255965947715</x:v>
      </x:c>
      <x:c r="M12" s="31" t="n">
        <x:f>IF(E12=0,"",I12-L12)</x:f>
        <x:v>16.246895219473117</x:v>
      </x:c>
      <x:c r="N12" s="32" t="n">
        <x:f>IF(L12=0,"",I12/L12)</x:f>
        <x:v>1.0023569261463279</x:v>
      </x:c>
      <x:c r="O12" s="34" t="n">
        <x:f>IF(L12=0,"",M12/L12)</x:f>
        <x:v>0.002356926146327924</x:v>
      </x:c>
    </x:row>
    <x:row r="13" ht="18" customHeight="1">
      <x:c r="A13" s="24" t="str">
        <x:v>Medium benthopelagics (30 - 89 cm)</x:v>
      </x:c>
      <x:c r="B13" s="33" t="n">
        <x:v>10</x:v>
      </x:c>
      <x:c r="C13" s="33" t="n">
        <x:v>10</x:v>
      </x:c>
      <x:c r="D13" s="31" t="n">
        <x:v>3303.7961704501</x:v>
      </x:c>
      <x:c r="E13" s="31" t="n">
        <x:v>3303.7961704501</x:v>
      </x:c>
      <x:c r="F13" s="32" t="n">
        <x:v>0</x:v>
      </x:c>
      <x:c r="G13" s="34" t="n">
        <x:v>1</x:v>
      </x:c>
      <x:c r="H13" s="32" t="n">
        <x:f>IF(E13=0,"",I13/E13)</x:f>
        <x:v>550.7977922139265</x:v>
      </x:c>
      <x:c r="I13" s="31" t="n">
        <x:f>IF(C13=0,"",SUMIF('Species'!$G$2:$G$93,A13,'Species'!$U$2:$U$93))</x:f>
        <x:v>1819723.6366087403</x:v>
      </x:c>
      <x:c r="J13" s="32" t="n">
        <x:v>3.236678434889494</x:v>
      </x:c>
      <x:c r="K13" s="32" t="n">
        <x:f>IF(J13="","",(1/'Metadata'!$B$5)^(J13-1))</x:f>
        <x:v>172.45605010307466</x:v>
      </x:c>
      <x:c r="L13" s="31" t="n">
        <x:f>IF(E13=0,"",E13*K13)</x:f>
        <x:v>569759.6379014886</x:v>
      </x:c>
      <x:c r="M13" s="31" t="n">
        <x:f>IF(E13=0,"",I13-L13)</x:f>
        <x:v>1249963.9987072516</x:v>
      </x:c>
      <x:c r="N13" s="32" t="n">
        <x:f>IF(L13=0,"",I13/L13)</x:f>
        <x:v>3.193844413604058</x:v>
      </x:c>
      <x:c r="O13" s="34" t="n">
        <x:f>IF(L13=0,"",M13/L13)</x:f>
        <x:v>2.193844413604058</x:v>
      </x:c>
    </x:row>
    <x:row r="14" ht="18" customHeight="1">
      <x:c r="A14" s="24" t="str">
        <x:v>Medium demersals (30 - 89 cm)</x:v>
      </x:c>
      <x:c r="B14" s="33" t="n">
        <x:v>10</x:v>
      </x:c>
      <x:c r="C14" s="33" t="n">
        <x:v>10</x:v>
      </x:c>
      <x:c r="D14" s="31" t="n">
        <x:v>15119.6863698537</x:v>
      </x:c>
      <x:c r="E14" s="31" t="n">
        <x:v>15119.6863698537</x:v>
      </x:c>
      <x:c r="F14" s="32" t="n">
        <x:v>0</x:v>
      </x:c>
      <x:c r="G14" s="34" t="n">
        <x:v>1</x:v>
      </x:c>
      <x:c r="H14" s="32" t="n">
        <x:f>IF(E14=0,"",I14/E14)</x:f>
        <x:v>131.383726254504</x:v>
      </x:c>
      <x:c r="I14" s="31" t="n">
        <x:f>IF(C14=0,"",SUMIF('Species'!$G$2:$G$93,A14,'Species'!$U$2:$U$93))</x:f>
        <x:v>1986480.735070814</x:v>
      </x:c>
      <x:c r="J14" s="32" t="n">
        <x:v>2.994456044405337</x:v>
      </x:c>
      <x:c r="K14" s="32" t="n">
        <x:f>IF(J14="","",(1/'Metadata'!$B$5)^(J14-1))</x:f>
        <x:v>98.73157029894439</x:v>
      </x:c>
      <x:c r="L14" s="31" t="n">
        <x:f>IF(E14=0,"",E14*K14)</x:f>
        <x:v>1492790.3777232019</x:v>
      </x:c>
      <x:c r="M14" s="31" t="n">
        <x:f>IF(E14=0,"",I14-L14)</x:f>
        <x:v>493690.35734761204</x:v>
      </x:c>
      <x:c r="N14" s="32" t="n">
        <x:f>IF(L14=0,"",I14/L14)</x:f>
        <x:v>1.3307164654293837</x:v>
      </x:c>
      <x:c r="O14" s="34" t="n">
        <x:f>IF(L14=0,"",M14/L14)</x:f>
        <x:v>0.33071646542938377</x:v>
      </x:c>
    </x:row>
    <x:row r="15" ht="18" customHeight="1">
      <x:c r="A15" s="24" t="str">
        <x:v>Medium pelagics (30 - 89 cm)</x:v>
      </x:c>
      <x:c r="B15" s="33" t="n">
        <x:v>9</x:v>
      </x:c>
      <x:c r="C15" s="33" t="n">
        <x:v>9</x:v>
      </x:c>
      <x:c r="D15" s="31" t="n">
        <x:v>7680.6244116935</x:v>
      </x:c>
      <x:c r="E15" s="31" t="n">
        <x:v>7680.6244116935</x:v>
      </x:c>
      <x:c r="F15" s="32" t="n">
        <x:v>0</x:v>
      </x:c>
      <x:c r="G15" s="34" t="n">
        <x:v>1</x:v>
      </x:c>
      <x:c r="H15" s="32" t="n">
        <x:f>IF(E15=0,"",I15/E15)</x:f>
        <x:v>1351.9298936964037</x:v>
      </x:c>
      <x:c r="I15" s="31" t="n">
        <x:f>IF(C15=0,"",SUMIF('Species'!$G$2:$G$93,A15,'Species'!$U$2:$U$93))</x:f>
        <x:v>10383665.744422797</x:v>
      </x:c>
      <x:c r="J15" s="32" t="n">
        <x:v>4.022150616261291</x:v>
      </x:c>
      <x:c r="K15" s="32" t="n">
        <x:f>IF(J15="","",(1/'Metadata'!$B$5)^(J15-1))</x:f>
        <x:v>1052.3267645798671</x:v>
      </x:c>
      <x:c r="L15" s="31" t="n">
        <x:f>IF(E15=0,"",E15*K15)</x:f>
        <x:v>8082526.637110567</x:v>
      </x:c>
      <x:c r="M15" s="31" t="n">
        <x:f>IF(E15=0,"",I15-L15)</x:f>
        <x:v>2301139.1073122304</x:v>
      </x:c>
      <x:c r="N15" s="32" t="n">
        <x:f>IF(L15=0,"",I15/L15)</x:f>
        <x:v>1.2847054158469025</x:v>
      </x:c>
      <x:c r="O15" s="34" t="n">
        <x:f>IF(L15=0,"",M15/L15)</x:f>
        <x:v>0.2847054158469025</x:v>
      </x:c>
    </x:row>
    <x:row r="16" ht="18" customHeight="1">
      <x:c r="A16" s="24" t="str">
        <x:v>Medium reef assoc. fish (30 - 89 cm)</x:v>
      </x:c>
      <x:c r="B16" s="33" t="n">
        <x:v>2</x:v>
      </x:c>
      <x:c r="C16" s="33" t="n">
        <x:v>2</x:v>
      </x:c>
      <x:c r="D16" s="31" t="n">
        <x:v>1935.3520073249</x:v>
      </x:c>
      <x:c r="E16" s="31" t="n">
        <x:v>1935.3520073249</x:v>
      </x:c>
      <x:c r="F16" s="32" t="n">
        <x:v>0</x:v>
      </x:c>
      <x:c r="G16" s="34" t="n">
        <x:v>1</x:v>
      </x:c>
      <x:c r="H16" s="32" t="n">
        <x:f>IF(E16=0,"",I16/E16)</x:f>
        <x:v>266.23745670367174</x:v>
      </x:c>
      <x:c r="I16" s="31" t="n">
        <x:f>IF(C16=0,"",SUMIF('Species'!$G$2:$G$93,A16,'Species'!$U$2:$U$93))</x:f>
        <x:v>515263.19625652727</x:v>
      </x:c>
      <x:c r="J16" s="32" t="n">
        <x:v>2.9926249371979257</x:v>
      </x:c>
      <x:c r="K16" s="32" t="n">
        <x:f>IF(J16="","",(1/'Metadata'!$B$5)^(J16-1))</x:f>
        <x:v>98.31616668238028</x:v>
      </x:c>
      <x:c r="L16" s="31" t="n">
        <x:f>IF(E16=0,"",E16*K16)</x:f>
        <x:v>190276.39054123414</x:v>
      </x:c>
      <x:c r="M16" s="31" t="n">
        <x:f>IF(E16=0,"",I16-L16)</x:f>
        <x:v>324986.80571529316</x:v>
      </x:c>
      <x:c r="N16" s="32" t="n">
        <x:f>IF(L16=0,"",I16/L16)</x:f>
        <x:v>2.707972306973452</x:v>
      </x:c>
      <x:c r="O16" s="34" t="n">
        <x:f>IF(L16=0,"",M16/L16)</x:f>
        <x:v>1.7079723069734518</x:v>
      </x:c>
    </x:row>
    <x:row r="17" ht="18" customHeight="1">
      <x:c r="A17" s="24" t="str">
        <x:v>Other demersal invertebrates</x:v>
      </x:c>
      <x:c r="B17" s="33" t="n">
        <x:v>6</x:v>
      </x:c>
      <x:c r="C17" s="33" t="n">
        <x:v>6</x:v>
      </x:c>
      <x:c r="D17" s="31" t="n">
        <x:v>5884.5039785328</x:v>
      </x:c>
      <x:c r="E17" s="31" t="n">
        <x:v>5884.5039785328</x:v>
      </x:c>
      <x:c r="F17" s="32" t="n">
        <x:v>0</x:v>
      </x:c>
      <x:c r="G17" s="34" t="n">
        <x:v>1</x:v>
      </x:c>
      <x:c r="H17" s="32" t="n">
        <x:f>IF(E17=0,"",I17/E17)</x:f>
        <x:v>51.624988491681044</x:v>
      </x:c>
      <x:c r="I17" s="31" t="n">
        <x:f>IF(C17=0,"",SUMIF('Species'!$G$2:$G$93,A17,'Species'!$U$2:$U$93))</x:f>
        <x:v>303787.45017100713</x:v>
      </x:c>
      <x:c r="J17" s="32" t="n">
        <x:v>2.6875982597023707</x:v>
      </x:c>
      <x:c r="K17" s="32" t="n">
        <x:f>IF(J17="","",(1/'Metadata'!$B$5)^(J17-1))</x:f>
        <x:v>48.70777146789039</x:v>
      </x:c>
      <x:c r="L17" s="31" t="n">
        <x:f>IF(E17=0,"",E17*K17)</x:f>
        <x:v>286621.0749882674</x:v>
      </x:c>
      <x:c r="M17" s="31" t="n">
        <x:f>IF(E17=0,"",I17-L17)</x:f>
        <x:v>17166.37518273975</x:v>
      </x:c>
      <x:c r="N17" s="32" t="n">
        <x:f>IF(L17=0,"",I17/L17)</x:f>
        <x:v>1.0598922294302415</x:v>
      </x:c>
      <x:c r="O17" s="34" t="n">
        <x:f>IF(L17=0,"",M17/L17)</x:f>
        <x:v>0.05989222943024145</x:v>
      </x:c>
    </x:row>
    <x:row r="18" ht="18" customHeight="1">
      <x:c r="A18" s="24" t="str">
        <x:v>Shrimps</x:v>
      </x:c>
      <x:c r="B18" s="33" t="n">
        <x:v>7</x:v>
      </x:c>
      <x:c r="C18" s="33" t="n">
        <x:v>7</x:v>
      </x:c>
      <x:c r="D18" s="31" t="n">
        <x:v>3004.913037132</x:v>
      </x:c>
      <x:c r="E18" s="31" t="n">
        <x:v>3004.913037132</x:v>
      </x:c>
      <x:c r="F18" s="32" t="n">
        <x:v>0</x:v>
      </x:c>
      <x:c r="G18" s="34" t="n">
        <x:v>1</x:v>
      </x:c>
      <x:c r="H18" s="32" t="n">
        <x:f>IF(E18=0,"",I18/E18)</x:f>
        <x:v>154.05315006331145</x:v>
      </x:c>
      <x:c r="I18" s="31" t="n">
        <x:f>IF(C18=0,"",SUMIF('Species'!$G$2:$G$93,A18,'Species'!$U$2:$U$93))</x:f>
        <x:v>462916.31903649704</x:v>
      </x:c>
      <x:c r="J18" s="32" t="n">
        <x:v>2.904296342268997</x:v>
      </x:c>
      <x:c r="K18" s="32" t="n">
        <x:f>IF(J18="","",(1/'Metadata'!$B$5)^(J18-1))</x:f>
        <x:v>80.22252777280886</x:v>
      </x:c>
      <x:c r="L18" s="31" t="n">
        <x:f>IF(E18=0,"",E18*K18)</x:f>
        <x:v>241061.7195761973</x:v>
      </x:c>
      <x:c r="M18" s="31" t="n">
        <x:f>IF(E18=0,"",I18-L18)</x:f>
        <x:v>221854.59946029974</x:v>
      </x:c>
      <x:c r="N18" s="32" t="n">
        <x:f>IF(L18=0,"",I18/L18)</x:f>
        <x:v>1.9203228113129494</x:v>
      </x:c>
      <x:c r="O18" s="34" t="n">
        <x:f>IF(L18=0,"",M18/L18)</x:f>
        <x:v>0.9203228113129494</x:v>
      </x:c>
    </x:row>
    <x:row r="19" ht="18" customHeight="1">
      <x:c r="A19" s="24" t="str">
        <x:v>Small benthopelagics (&lt;30 cm)</x:v>
      </x:c>
      <x:c r="B19" s="33" t="n">
        <x:v>2</x:v>
      </x:c>
      <x:c r="C19" s="33" t="n">
        <x:v>2</x:v>
      </x:c>
      <x:c r="D19" s="31" t="n">
        <x:v>413.2545821036</x:v>
      </x:c>
      <x:c r="E19" s="31" t="n">
        <x:v>413.2545821036</x:v>
      </x:c>
      <x:c r="F19" s="32" t="n">
        <x:v>0</x:v>
      </x:c>
      <x:c r="G19" s="34" t="n">
        <x:v>1</x:v>
      </x:c>
      <x:c r="H19" s="32" t="n">
        <x:f>IF(E19=0,"",I19/E19)</x:f>
        <x:v>395.2216192247399</x:v>
      </x:c>
      <x:c r="I19" s="31" t="n">
        <x:f>IF(C19=0,"",SUMIF('Species'!$G$2:$G$93,A19,'Species'!$U$2:$U$93))</x:f>
        <x:v>163327.145091028</x:v>
      </x:c>
      <x:c r="J19" s="32" t="n">
        <x:v>3.58539817587901</x:v>
      </x:c>
      <x:c r="K19" s="32" t="n">
        <x:f>IF(J19="","",(1/'Metadata'!$B$5)^(J19-1))</x:f>
        <x:v>384.94455049734256</x:v>
      </x:c>
      <x:c r="L19" s="31" t="n">
        <x:f>IF(E19=0,"",E19*K19)</x:f>
        <x:v>159080.09934883745</x:v>
      </x:c>
      <x:c r="M19" s="31" t="n">
        <x:f>IF(E19=0,"",I19-L19)</x:f>
        <x:v>4247.045742190559</x:v>
      </x:c>
      <x:c r="N19" s="32" t="n">
        <x:f>IF(L19=0,"",I19/L19)</x:f>
        <x:v>1.0266975301095171</x:v>
      </x:c>
      <x:c r="O19" s="34" t="n">
        <x:f>IF(L19=0,"",M19/L19)</x:f>
        <x:v>0.0266975301095171</x:v>
      </x:c>
    </x:row>
    <x:row r="20" ht="18" customHeight="1">
      <x:c r="A20" s="24" t="str">
        <x:v>Small demersals (&lt;30 cm)</x:v>
      </x:c>
      <x:c r="B20" s="33" t="n">
        <x:v>3</x:v>
      </x:c>
      <x:c r="C20" s="33" t="n">
        <x:v>3</x:v>
      </x:c>
      <x:c r="D20" s="31" t="n">
        <x:v>1119.5874440539</x:v>
      </x:c>
      <x:c r="E20" s="31" t="n">
        <x:v>1119.5874440539</x:v>
      </x:c>
      <x:c r="F20" s="32" t="n">
        <x:v>0</x:v>
      </x:c>
      <x:c r="G20" s="34" t="n">
        <x:v>1</x:v>
      </x:c>
      <x:c r="H20" s="32" t="n">
        <x:f>IF(E20=0,"",I20/E20)</x:f>
        <x:v>368.38056302055764</x:v>
      </x:c>
      <x:c r="I20" s="31" t="n">
        <x:f>IF(C20=0,"",SUMIF('Species'!$G$2:$G$93,A20,'Species'!$U$2:$U$93))</x:f>
        <x:v>412434.2529913228</x:v>
      </x:c>
      <x:c r="J20" s="32" t="n">
        <x:v>3.3907421144974386</x:v>
      </x:c>
      <x:c r="K20" s="32" t="n">
        <x:f>IF(J20="","",(1/'Metadata'!$B$5)^(J20-1))</x:f>
        <x:v>245.89070633907656</x:v>
      </x:c>
      <x:c r="L20" s="31" t="n">
        <x:f>IF(E20=0,"",E20*K20)</x:f>
        <x:v>275296.14742677484</x:v>
      </x:c>
      <x:c r="M20" s="31" t="n">
        <x:f>IF(E20=0,"",I20-L20)</x:f>
        <x:v>137138.10556454794</x:v>
      </x:c>
      <x:c r="N20" s="32" t="n">
        <x:f>IF(L20=0,"",I20/L20)</x:f>
        <x:v>1.4981475652543408</x:v>
      </x:c>
      <x:c r="O20" s="34" t="n">
        <x:f>IF(L20=0,"",M20/L20)</x:f>
        <x:v>0.4981475652543408</x:v>
      </x:c>
    </x:row>
    <x:row r="21" ht="18" customHeight="1">
      <x:c r="A21" s="24" t="str">
        <x:v>Small pelagics (&lt;30 cm)</x:v>
      </x:c>
      <x:c r="B21" s="33" t="n">
        <x:v>4</x:v>
      </x:c>
      <x:c r="C21" s="33" t="n">
        <x:v>4</x:v>
      </x:c>
      <x:c r="D21" s="31" t="n">
        <x:v>38872.4748980388</x:v>
      </x:c>
      <x:c r="E21" s="31" t="n">
        <x:v>38872.4748980388</x:v>
      </x:c>
      <x:c r="F21" s="32" t="n">
        <x:v>0</x:v>
      </x:c>
      <x:c r="G21" s="34" t="n">
        <x:v>1</x:v>
      </x:c>
      <x:c r="H21" s="32" t="n">
        <x:f>IF(E21=0,"",I21/E21)</x:f>
        <x:v>121.38156337693549</x:v>
      </x:c>
      <x:c r="I21" s="31" t="n">
        <x:f>IF(C21=0,"",SUMIF('Species'!$G$2:$G$93,A21,'Species'!$U$2:$U$93))</x:f>
        <x:v>4718401.775454631</x:v>
      </x:c>
      <x:c r="J21" s="32" t="n">
        <x:v>3.083057133763731</x:v>
      </x:c>
      <x:c r="K21" s="32" t="n">
        <x:f>IF(J21="","",(1/'Metadata'!$B$5)^(J21-1))</x:f>
        <x:v>121.07574046911432</x:v>
      </x:c>
      <x:c r="L21" s="31" t="n">
        <x:f>IF(E21=0,"",E21*K21)</x:f>
        <x:v>4706513.682147107</x:v>
      </x:c>
      <x:c r="M21" s="31" t="n">
        <x:f>IF(E21=0,"",I21-L21)</x:f>
        <x:v>11888.093307523988</x:v>
      </x:c>
      <x:c r="N21" s="32" t="n">
        <x:f>IF(L21=0,"",I21/L21)</x:f>
        <x:v>1.002525880962084</x:v>
      </x:c>
      <x:c r="O21" s="34" t="n">
        <x:f>IF(L21=0,"",M21/L21)</x:f>
        <x:v>0.002525880962084158</x:v>
      </x:c>
    </x:row>
    <x:row r="22" ht="18" customHeight="1">
      <x:c r="A22" s="24" t="str">
        <x:v>Small reef assoc. fish (&lt;30 cm)</x:v>
      </x:c>
      <x:c r="B22" s="33" t="n">
        <x:v>1</x:v>
      </x:c>
      <x:c r="C22" s="33" t="n">
        <x:v>1</x:v>
      </x:c>
      <x:c r="D22" s="31" t="n">
        <x:v>359.2682387126</x:v>
      </x:c>
      <x:c r="E22" s="31" t="n">
        <x:v>359.2682387126</x:v>
      </x:c>
      <x:c r="F22" s="32" t="n">
        <x:v>0</x:v>
      </x:c>
      <x:c r="G22" s="34" t="n">
        <x:v>1</x:v>
      </x:c>
      <x:c r="H22" s="32" t="n">
        <x:f>IF(E22=0,"",I22/E22)</x:f>
        <x:v>128.82495516931337</x:v>
      </x:c>
      <x:c r="I22" s="31" t="n">
        <x:f>IF(C22=0,"",SUMIF('Species'!$G$2:$G$93,A22,'Species'!$U$2:$U$93))</x:f>
        <x:v>46282.714745908874</x:v>
      </x:c>
      <x:c r="J22" s="32" t="n">
        <x:v>3.1100000000000003</x:v>
      </x:c>
      <x:c r="K22" s="32" t="n">
        <x:f>IF(J22="","",(1/'Metadata'!$B$5)^(J22-1))</x:f>
        <x:v>128.82495516931348</x:v>
      </x:c>
      <x:c r="L22" s="31" t="n">
        <x:f>IF(E22=0,"",E22*K22)</x:f>
        <x:v>46282.71474590891</x:v>
      </x:c>
      <x:c r="M22" s="31" t="n">
        <x:f>IF(E22=0,"",I22-L22)</x:f>
        <x:v>-3.637978807091713e-11</x:v>
      </x:c>
      <x:c r="N22" s="32" t="n">
        <x:f>IF(L22=0,"",I22/L22)</x:f>
        <x:v>0.9999999999999992</x:v>
      </x:c>
      <x:c r="O22" s="34" t="n">
        <x:f>IF(L22=0,"",M22/L22)</x:f>
        <x:v>-7.860340144401937e-16</x:v>
      </x:c>
    </x:row>
    <x:row r="23" ht="18" customHeight="1">
      <x:c r="A23" s="24" t="str">
        <x:v>Small to medium flatfishes (&lt;90 cm)</x:v>
      </x:c>
      <x:c r="B23" s="33" t="n">
        <x:v>1</x:v>
      </x:c>
      <x:c r="C23" s="33" t="n">
        <x:v>1</x:v>
      </x:c>
      <x:c r="D23" s="31" t="n">
        <x:v>423.31989429550003</x:v>
      </x:c>
      <x:c r="E23" s="31" t="n">
        <x:v>423.31989429550003</x:v>
      </x:c>
      <x:c r="F23" s="32" t="n">
        <x:v>0</x:v>
      </x:c>
      <x:c r="G23" s="34" t="n">
        <x:v>1</x:v>
      </x:c>
      <x:c r="H23" s="32" t="n">
        <x:f>IF(E23=0,"",I23/E23)</x:f>
        <x:v>162.18100973589299</x:v>
      </x:c>
      <x:c r="I23" s="31" t="n">
        <x:f>IF(C23=0,"",SUMIF('Species'!$G$2:$G$93,A23,'Species'!$U$2:$U$93))</x:f>
        <x:v>68654.44789813568</x:v>
      </x:c>
      <x:c r="J23" s="32" t="n">
        <x:v>3.21</x:v>
      </x:c>
      <x:c r="K23" s="32" t="n">
        <x:f>IF(J23="","",(1/'Metadata'!$B$5)^(J23-1))</x:f>
        <x:v>162.18100973589299</x:v>
      </x:c>
      <x:c r="L23" s="31" t="n">
        <x:f>IF(E23=0,"",E23*K23)</x:f>
        <x:v>68654.44789813568</x:v>
      </x:c>
      <x:c r="M23" s="31" t="n">
        <x:f>IF(E23=0,"",I23-L23)</x:f>
        <x:v>0</x:v>
      </x:c>
      <x:c r="N23" s="32" t="n">
        <x:f>IF(L23=0,"",I23/L23)</x:f>
        <x:v>1</x:v>
      </x:c>
      <x:c r="O23" s="34" t="n">
        <x:f>IF(L23=0,"",M23/L23)</x:f>
        <x:v>0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ae0405273284f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EEZ_793</x:v>
      </x:c>
      <x:c r="B2" s="24" t="str">
        <x:v>raw_filtered_tonnes</x:v>
      </x:c>
      <x:c r="C2" s="24" t="n">
        <x:v>87055.4164278193</x:v>
      </x:c>
      <x:c r="D2" s="24" t="str">
        <x:v>tonnes</x:v>
      </x:c>
    </x:row>
    <x:row r="3" ht="18" customHeight="1">
      <x:c r="A3" s="24" t="str">
        <x:v>EEZ_793</x:v>
      </x:c>
      <x:c r="B3" s="24" t="str">
        <x:v>species_catch_tonnes</x:v>
      </x:c>
      <x:c r="C3" s="24" t="n">
        <x:v>87055.4164278193</x:v>
      </x:c>
      <x:c r="D3" s="24" t="str">
        <x:v>tonnes</x:v>
      </x:c>
    </x:row>
    <x:row r="4" ht="18" customHeight="1">
      <x:c r="A4" s="24" t="str">
        <x:v>EEZ_793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EEZ_793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EEZ_793</x:v>
      </x:c>
      <x:c r="B6" s="24" t="str">
        <x:v>matched_catch_tonnes</x:v>
      </x:c>
      <x:c r="C6" s="24" t="n">
        <x:v>87055.4164278193</x:v>
      </x:c>
      <x:c r="D6" s="24" t="str">
        <x:v>tonnes</x:v>
      </x:c>
    </x:row>
    <x:row r="7" ht="18" customHeight="1">
      <x:c r="A7" s="24" t="str">
        <x:v>EEZ_793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EEZ_793</x:v>
      </x:c>
      <x:c r="B8" s="24" t="str">
        <x:v>taxa_count</x:v>
      </x:c>
      <x:c r="C8" s="24" t="n">
        <x:v>92</x:v>
      </x:c>
      <x:c r="D8" s="24" t="str">
        <x:v>count</x:v>
      </x:c>
    </x:row>
    <x:row r="9" ht="18" customHeight="1">
      <x:c r="A9" s="24" t="str">
        <x:v>EEZ_793</x:v>
      </x:c>
      <x:c r="B9" s="24" t="str">
        <x:v>matched_taxa_count</x:v>
      </x:c>
      <x:c r="C9" s="24" t="n">
        <x:v>92</x:v>
      </x:c>
      <x:c r="D9" s="24" t="str">
        <x:v>count</x:v>
      </x:c>
    </x:row>
    <x:row r="10" ht="18" customHeight="1">
      <x:c r="A10" s="24" t="str">
        <x:v>EEZ_793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EEZ_793</x:v>
      </x:c>
      <x:c r="B11" s="24" t="str">
        <x:v>species_ppr</x:v>
      </x:c>
      <x:c r="C11" s="24" t="n">
        <x:v>37682483.74893091</x:v>
      </x:c>
      <x:c r="D11" s="24" t="str">
        <x:v>tonnes_primary_production_equivalent</x:v>
      </x:c>
    </x:row>
    <x:row r="12" ht="18" customHeight="1">
      <x:c r="A12" s="24" t="str">
        <x:v>EEZ_793</x:v>
      </x:c>
      <x:c r="B12" s="24" t="str">
        <x:v>commercial_ppr</x:v>
      </x:c>
      <x:c r="C12" s="24" t="n">
        <x:v>37682483.748930894</x:v>
      </x:c>
      <x:c r="D12" s="24" t="str">
        <x:v>tonnes_primary_production_equivalent</x:v>
      </x:c>
    </x:row>
    <x:row r="13" ht="18" customHeight="1">
      <x:c r="A13" s="24" t="str">
        <x:v>EEZ_793</x:v>
      </x:c>
      <x:c r="B13" s="24" t="str">
        <x:v>functional_ppr</x:v>
      </x:c>
      <x:c r="C13" s="24" t="n">
        <x:v>37682483.748930894</x:v>
      </x:c>
      <x:c r="D13" s="24" t="str">
        <x:v>tonnes_primary_production_equivalent</x:v>
      </x:c>
    </x:row>
    <x:row r="14" ht="18" customHeight="1">
      <x:c r="A14" s="24" t="str">
        <x:v>EEZ_793</x:v>
      </x:c>
      <x:c r="B14" s="24" t="str">
        <x:v>commercial_ppr_difference</x:v>
      </x:c>
      <x:c r="C14" s="24" t="n">
        <x:v>-1.4901161193847656e-8</x:v>
      </x:c>
      <x:c r="D14" s="24" t="str">
        <x:v>tonnes_primary_production_equivalent</x:v>
      </x:c>
    </x:row>
    <x:row r="15" ht="18" customHeight="1">
      <x:c r="A15" s="24" t="str">
        <x:v>EEZ_793</x:v>
      </x:c>
      <x:c r="B15" s="24" t="str">
        <x:v>functional_ppr_difference</x:v>
      </x:c>
      <x:c r="C15" s="24" t="n">
        <x:v>-1.4901161193847656e-8</x:v>
      </x:c>
      <x:c r="D15" s="24" t="str">
        <x:v>tonnes_primary_production_equivalent</x:v>
      </x:c>
    </x:row>
    <x:row r="16" ht="18" customHeight="1">
      <x:c r="A16" s="24" t="str">
        <x:v>EEZ_793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EEZ_793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EEZ_793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EEZ_793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2df8ae0cb3d48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EEZ_793 - Turkey (Mediterranean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EEZ_793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raw_data/SAU_downloads/EEZ_793-catch.zip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