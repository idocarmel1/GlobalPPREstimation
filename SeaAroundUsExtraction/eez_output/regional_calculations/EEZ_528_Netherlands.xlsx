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833b36660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084af2f003d4b72"/>
    <x:sheet xmlns:r="http://schemas.openxmlformats.org/officeDocument/2006/relationships" name="Commercial" sheetId="2" r:id="R48542f65457c45c6"/>
    <x:sheet xmlns:r="http://schemas.openxmlformats.org/officeDocument/2006/relationships" name="Functional" sheetId="3" r:id="Rd3fec025e58f4e43"/>
    <x:sheet xmlns:r="http://schemas.openxmlformats.org/officeDocument/2006/relationships" name="Missing TL" sheetId="4" r:id="R0d3415a9523548c8"/>
    <x:sheet xmlns:r="http://schemas.openxmlformats.org/officeDocument/2006/relationships" name="Validation" sheetId="5" r:id="R85026e313d874ae1"/>
    <x:sheet xmlns:r="http://schemas.openxmlformats.org/officeDocument/2006/relationships" name="Metadata" sheetId="6" r:id="R908646000c48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90e3230ea4ac7" /><Relationship Type="http://schemas.openxmlformats.org/officeDocument/2006/relationships/theme" Target="/xl/theme/theme1.xml" Id="R5597dd6fecbf476a" /><Relationship Type="http://schemas.microsoft.com/office/2022/11/relationships/FeaturePropertyBag" Target="/xl/featurePropertyBag/featurePropertyBag.xml" Id="R1ba4744b96e14cf1" /><Relationship Type="http://schemas.openxmlformats.org/officeDocument/2006/relationships/sharedStrings" Target="/xl/sharedStrings.xml" Id="R84a8e6021a164af0" /><Relationship Type="http://schemas.openxmlformats.org/officeDocument/2006/relationships/worksheet" Target="/xl/worksheets/sheet1.xml" Id="R1084af2f003d4b72" /><Relationship Type="http://schemas.openxmlformats.org/officeDocument/2006/relationships/worksheet" Target="/xl/worksheets/sheet2.xml" Id="R48542f65457c45c6" /><Relationship Type="http://schemas.openxmlformats.org/officeDocument/2006/relationships/worksheet" Target="/xl/worksheets/sheet3.xml" Id="Rd3fec025e58f4e43" /><Relationship Type="http://schemas.openxmlformats.org/officeDocument/2006/relationships/worksheet" Target="/xl/worksheets/sheet4.xml" Id="R0d3415a9523548c8" /><Relationship Type="http://schemas.openxmlformats.org/officeDocument/2006/relationships/worksheet" Target="/xl/worksheets/sheet5.xml" Id="R85026e313d874ae1" /><Relationship Type="http://schemas.openxmlformats.org/officeDocument/2006/relationships/worksheet" Target="/xl/worksheets/sheet6.xml" Id="R908646000c4840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28SpeciesTable" displayName="EEZ528SpeciesTable" ref="A1:U183" headerRowCount="1" totalsRowCount="0" totalsRowShown="0">
  <x:autoFilter ref="A1:U1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28CommercialTable" displayName="EEZ52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28FunctionalTable" displayName="EEZ528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28ValidationTable" displayName="EEZ52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196fe44eb64f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92d356c2ea4c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24ce52061847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88092b348049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EEZ_528</x:v>
      </x:c>
      <x:c r="B2" s="24" t="str">
        <x:v>Netherlands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17574.5374376333</x:v>
      </x:c>
      <x:c r="J2" s="31" t="n">
        <x:v>17136.6433447097</x:v>
      </x:c>
      <x:c r="K2" s="31" t="n">
        <x:v>437.8940929236</x:v>
      </x:c>
      <x:c r="L2" s="31" t="n">
        <x:v>16987.0698690978</x:v>
      </x:c>
      <x:c r="M2" s="31" t="n">
        <x:v>587.4675685355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3348759.0723784696</x:v>
      </x:c>
    </x:row>
    <x:row r="3" ht="18" customHeight="1">
      <x:c r="A3" s="24" t="str">
        <x:v>EEZ_528</x:v>
      </x:c>
      <x:c r="B3" s="24" t="str">
        <x:v>Netherlands</x:v>
      </x:c>
      <x:c r="C3" s="24" t="str">
        <x:v>EEZ</x:v>
      </x:c>
      <x:c r="D3" s="30" t="n">
        <x:v>2019</x:v>
      </x:c>
      <x:c r="E3" s="24" t="str">
        <x:v>Pleuronectes platessa</x:v>
      </x:c>
      <x:c r="F3" s="24" t="str">
        <x:v>European plaice</x:v>
      </x:c>
      <x:c r="G3" s="24" t="str">
        <x:v>Large flatfishes (&gt;=90 cm)</x:v>
      </x:c>
      <x:c r="H3" s="24" t="str">
        <x:v>Flatfishes</x:v>
      </x:c>
      <x:c r="I3" s="31" t="n">
        <x:v>12797.0356234519</x:v>
      </x:c>
      <x:c r="J3" s="31" t="n">
        <x:v>6402.7609875001</x:v>
      </x:c>
      <x:c r="K3" s="31" t="n">
        <x:v>6394.2746359518005</x:v>
      </x:c>
      <x:c r="L3" s="31" t="n">
        <x:v>6273.5305064969</x:v>
      </x:c>
      <x:c r="M3" s="31" t="n">
        <x:v>6523.505116955001</x:v>
      </x:c>
      <x:c r="N3" s="24" t="str">
        <x:v>pleuronectes platessa</x:v>
      </x:c>
      <x:c r="O3" s="32" t="n">
        <x:v>3.26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Pleuronectes platessa</x:v>
      </x:c>
      <x:c r="T3" s="32" t="n">
        <x:f>IF(O3="","",(1/'Metadata'!$B$5)^(O3-1))</x:f>
        <x:v>181.97008586099827</x:v>
      </x:c>
      <x:c r="U3" s="31" t="n">
        <x:f>IF(T3="","",I3*T3)</x:f>
        <x:v>2328677.671165796</x:v>
      </x:c>
    </x:row>
    <x:row r="4" ht="18" customHeight="1">
      <x:c r="A4" s="24" t="str">
        <x:v>EEZ_528</x:v>
      </x:c>
      <x:c r="B4" s="24" t="str">
        <x:v>Netherlands</x:v>
      </x:c>
      <x:c r="C4" s="24" t="str">
        <x:v>EEZ</x:v>
      </x:c>
      <x:c r="D4" s="30" t="n">
        <x:v>2019</x:v>
      </x:c>
      <x:c r="E4" s="24" t="str">
        <x:v>Sprattus sprattus</x:v>
      </x:c>
      <x:c r="F4" s="24" t="str">
        <x:v>European sprat</x:v>
      </x:c>
      <x:c r="G4" s="24" t="str">
        <x:v>Small pelagics (&lt;30 cm)</x:v>
      </x:c>
      <x:c r="H4" s="24" t="str">
        <x:v>Herring-likes</x:v>
      </x:c>
      <x:c r="I4" s="31" t="n">
        <x:v>11688.071818125998</x:v>
      </x:c>
      <x:c r="J4" s="31" t="n">
        <x:v>11665.382663053098</x:v>
      </x:c>
      <x:c r="K4" s="31" t="n">
        <x:v>22.6891550729</x:v>
      </x:c>
      <x:c r="L4" s="31" t="n">
        <x:v>11611.4532165329</x:v>
      </x:c>
      <x:c r="M4" s="31" t="n">
        <x:v>76.6186015931</x:v>
      </x:c>
      <x:c r="N4" s="24" t="str">
        <x:v>sprattus sprattus</x:v>
      </x:c>
      <x:c r="O4" s="32" t="n">
        <x:v>3.01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Sprattus sprattus</x:v>
      </x:c>
      <x:c r="T4" s="32" t="n">
        <x:f>IF(O4="","",(1/'Metadata'!$B$5)^(O4-1))</x:f>
        <x:v>102.32929922807536</x:v>
      </x:c>
      <x:c r="U4" s="31" t="n">
        <x:f>IF(T4="","",I4*T4)</x:f>
        <x:v>1196032.19847625</x:v>
      </x:c>
    </x:row>
    <x:row r="5" ht="18" customHeight="1">
      <x:c r="A5" s="24" t="str">
        <x:v>EEZ_528</x:v>
      </x:c>
      <x:c r="B5" s="24" t="str">
        <x:v>Netherlands</x:v>
      </x:c>
      <x:c r="C5" s="24" t="str">
        <x:v>EEZ</x:v>
      </x:c>
      <x:c r="D5" s="30" t="n">
        <x:v>2019</x:v>
      </x:c>
      <x:c r="E5" s="24" t="str">
        <x:v>Crangon crangon</x:v>
      </x:c>
      <x:c r="F5" s="24" t="str">
        <x:v>Common shrimp</x:v>
      </x:c>
      <x:c r="G5" s="24" t="str">
        <x:v>Shrimps</x:v>
      </x:c>
      <x:c r="H5" s="24" t="str">
        <x:v>Crustaceans</x:v>
      </x:c>
      <x:c r="I5" s="31" t="n">
        <x:v>11280.5969700242</x:v>
      </x:c>
      <x:c r="J5" s="31" t="n">
        <x:v>8006.003262663299</x:v>
      </x:c>
      <x:c r="K5" s="31" t="n">
        <x:v>3274.5937073609</x:v>
      </x:c>
      <x:c r="L5" s="31" t="n">
        <x:v>7708.0429381020995</x:v>
      </x:c>
      <x:c r="M5" s="31" t="n">
        <x:v>3572.5540319221004</x:v>
      </x:c>
      <x:c r="N5" s="24" t="str">
        <x:v>crangon crangon</x:v>
      </x:c>
      <x:c r="O5" s="32" t="n">
        <x:v>3.19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Crangon crangon</x:v>
      </x:c>
      <x:c r="T5" s="32" t="n">
        <x:f>IF(O5="","",(1/'Metadata'!$B$5)^(O5-1))</x:f>
        <x:v>154.88166189124811</x:v>
      </x:c>
      <x:c r="U5" s="31" t="n">
        <x:f>IF(T5="","",I5*T5)</x:f>
        <x:v>1747157.605842726</x:v>
      </x:c>
    </x:row>
    <x:row r="6" ht="18" customHeight="1">
      <x:c r="A6" s="24" t="str">
        <x:v>EEZ_528</x:v>
      </x:c>
      <x:c r="B6" s="24" t="str">
        <x:v>Netherlands</x:v>
      </x:c>
      <x:c r="C6" s="24" t="str">
        <x:v>EEZ</x:v>
      </x:c>
      <x:c r="D6" s="30" t="n">
        <x:v>2019</x:v>
      </x:c>
      <x:c r="E6" s="24" t="str">
        <x:v>Clupea harengus</x:v>
      </x:c>
      <x:c r="F6" s="24" t="str">
        <x:v>Atlantic herring</x:v>
      </x:c>
      <x:c r="G6" s="24" t="str">
        <x:v>Medium pelagics (30 - 89 cm)</x:v>
      </x:c>
      <x:c r="H6" s="24" t="str">
        <x:v>Herring-likes</x:v>
      </x:c>
      <x:c r="I6" s="31" t="n">
        <x:v>10382.9826720483</x:v>
      </x:c>
      <x:c r="J6" s="31" t="n">
        <x:v>10370.8838403784</x:v>
      </x:c>
      <x:c r="K6" s="31" t="n">
        <x:v>12.098831669900001</x:v>
      </x:c>
      <x:c r="L6" s="31" t="n">
        <x:v>10202.2929457106</x:v>
      </x:c>
      <x:c r="M6" s="31" t="n">
        <x:v>180.68972633770002</x:v>
      </x:c>
      <x:c r="N6" s="24" t="str">
        <x:v>clupea harengus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Clupea harengus</x:v>
      </x:c>
      <x:c r="T6" s="32" t="n">
        <x:f>IF(O6="","",(1/'Metadata'!$B$5)^(O6-1))</x:f>
        <x:v>239.88329190194898</x:v>
      </x:c>
      <x:c r="U6" s="31" t="n">
        <x:f>IF(T6="","",I6*T6)</x:f>
        <x:v>2490704.0631318404</x:v>
      </x:c>
    </x:row>
    <x:row r="7" ht="18" customHeight="1">
      <x:c r="A7" s="24" t="str">
        <x:v>EEZ_528</x:v>
      </x:c>
      <x:c r="B7" s="24" t="str">
        <x:v>Netherlands</x:v>
      </x:c>
      <x:c r="C7" s="24" t="str">
        <x:v>EEZ</x:v>
      </x:c>
      <x:c r="D7" s="30" t="n">
        <x:v>2019</x:v>
      </x:c>
      <x:c r="E7" s="24" t="str">
        <x:v>Limanda limanda</x:v>
      </x:c>
      <x:c r="F7" s="24" t="str">
        <x:v>Common dab</x:v>
      </x:c>
      <x:c r="G7" s="24" t="str">
        <x:v>Small to medium flatfishes (&lt;90 cm)</x:v>
      </x:c>
      <x:c r="H7" s="24" t="str">
        <x:v>Flatfishes</x:v>
      </x:c>
      <x:c r="I7" s="31" t="n">
        <x:v>8877.1853231385</x:v>
      </x:c>
      <x:c r="J7" s="31" t="n">
        <x:v>846.6449606904</x:v>
      </x:c>
      <x:c r="K7" s="31" t="n">
        <x:v>8030.5403624481</x:v>
      </x:c>
      <x:c r="L7" s="31" t="n">
        <x:v>823.8756718949</x:v>
      </x:c>
      <x:c r="M7" s="31" t="n">
        <x:v>8053.3096512436</x:v>
      </x:c>
      <x:c r="N7" s="24" t="str">
        <x:v>limanda limanda</x:v>
      </x:c>
      <x:c r="O7" s="32" t="n">
        <x:v>3.29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Limanda limanda</x:v>
      </x:c>
      <x:c r="T7" s="32" t="n">
        <x:f>IF(O7="","",(1/'Metadata'!$B$5)^(O7-1))</x:f>
        <x:v>194.98445997580455</x:v>
      </x:c>
      <x:c r="U7" s="31" t="n">
        <x:f>IF(T7="","",I7*T7)</x:f>
        <x:v>1730913.1863372982</x:v>
      </x:c>
    </x:row>
    <x:row r="8" ht="18" customHeight="1">
      <x:c r="A8" s="24" t="str">
        <x:v>EEZ_528</x:v>
      </x:c>
      <x:c r="B8" s="24" t="str">
        <x:v>Netherlands</x:v>
      </x:c>
      <x:c r="C8" s="24" t="str">
        <x:v>EEZ</x:v>
      </x:c>
      <x:c r="D8" s="30" t="n">
        <x:v>2019</x:v>
      </x:c>
      <x:c r="E8" s="24" t="str">
        <x:v>Solea solea</x:v>
      </x:c>
      <x:c r="F8" s="24" t="str">
        <x:v>Common sole</x:v>
      </x:c>
      <x:c r="G8" s="24" t="str">
        <x:v>Small to medium flatfishes (&lt;90 cm)</x:v>
      </x:c>
      <x:c r="H8" s="24" t="str">
        <x:v>Flatfishes</x:v>
      </x:c>
      <x:c r="I8" s="31" t="n">
        <x:v>3859.612997692</x:v>
      </x:c>
      <x:c r="J8" s="31" t="n">
        <x:v>3151.8366891296</x:v>
      </x:c>
      <x:c r="K8" s="31" t="n">
        <x:v>707.7763085624</x:v>
      </x:c>
      <x:c r="L8" s="31" t="n">
        <x:v>3118.7109233476003</x:v>
      </x:c>
      <x:c r="M8" s="31" t="n">
        <x:v>740.9020743444</x:v>
      </x:c>
      <x:c r="N8" s="24" t="str">
        <x:v>solea solea</x:v>
      </x:c>
      <x:c r="O8" s="32" t="n">
        <x:v>3.21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Solea solea</x:v>
      </x:c>
      <x:c r="T8" s="32" t="n">
        <x:f>IF(O8="","",(1/'Metadata'!$B$5)^(O8-1))</x:f>
        <x:v>162.18100973589299</x:v>
      </x:c>
      <x:c r="U8" s="31" t="n">
        <x:f>IF(T8="","",I8*T8)</x:f>
        <x:v>625955.9331554654</x:v>
      </x:c>
    </x:row>
    <x:row r="9" ht="18" customHeight="1">
      <x:c r="A9" s="24" t="str">
        <x:v>EEZ_528</x:v>
      </x:c>
      <x:c r="B9" s="24" t="str">
        <x:v>Netherlands</x:v>
      </x:c>
      <x:c r="C9" s="24" t="str">
        <x:v>EEZ</x:v>
      </x:c>
      <x:c r="D9" s="30" t="n">
        <x:v>2019</x:v>
      </x:c>
      <x:c r="E9" s="24" t="str">
        <x:v>Merlangius merlangus</x:v>
      </x:c>
      <x:c r="F9" s="24" t="str">
        <x:v>Whiting</x:v>
      </x:c>
      <x:c r="G9" s="24" t="str">
        <x:v>Medium benthopelagics (30 - 89 cm)</x:v>
      </x:c>
      <x:c r="H9" s="24" t="str">
        <x:v>Cod-likes</x:v>
      </x:c>
      <x:c r="I9" s="31" t="n">
        <x:v>3726.0333933048</x:v>
      </x:c>
      <x:c r="J9" s="31" t="n">
        <x:v>941.092353444</x:v>
      </x:c>
      <x:c r="K9" s="31" t="n">
        <x:v>2784.9410398608</x:v>
      </x:c>
      <x:c r="L9" s="31" t="n">
        <x:v>930.1953516697</x:v>
      </x:c>
      <x:c r="M9" s="31" t="n">
        <x:v>2795.8380416351</x:v>
      </x:c>
      <x:c r="N9" s="24" t="str">
        <x:v>merlangius merlangus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Merlangius merlangus</x:v>
      </x:c>
      <x:c r="T9" s="32" t="n">
        <x:f>IF(O9="","",(1/'Metadata'!$B$5)^(O9-1))</x:f>
        <x:v>2290.867652767775</x:v>
      </x:c>
      <x:c r="U9" s="31" t="n">
        <x:f>IF(T9="","",I9*T9)</x:f>
        <x:v>8535849.373854514</x:v>
      </x:c>
    </x:row>
    <x:row r="10" ht="18" customHeight="1">
      <x:c r="A10" s="24" t="str">
        <x:v>EEZ_528</x:v>
      </x:c>
      <x:c r="B10" s="24" t="str">
        <x:v>Netherlands</x:v>
      </x:c>
      <x:c r="C10" s="24" t="str">
        <x:v>EEZ</x:v>
      </x:c>
      <x:c r="D10" s="30" t="n">
        <x:v>2019</x:v>
      </x:c>
      <x:c r="E10" s="24" t="str">
        <x:v>Ensis siliqua</x:v>
      </x:c>
      <x:c r="F10" s="24" t="str">
        <x:v>Sword razor shell</x:v>
      </x:c>
      <x:c r="G10" s="24" t="str">
        <x:v>Other demersal invertebrates</x:v>
      </x:c>
      <x:c r="H10" s="24" t="str">
        <x:v>Molluscs</x:v>
      </x:c>
      <x:c r="I10" s="31" t="n">
        <x:v>2586.389906</x:v>
      </x:c>
      <x:c r="J10" s="31" t="n">
        <x:v>2586.389906</x:v>
      </x:c>
      <x:c r="K10" s="31" t="n">
        <x:v>0</x:v>
      </x:c>
      <x:c r="L10" s="31" t="n">
        <x:v>2586.389906</x:v>
      </x:c>
      <x:c r="M10" s="31" t="n">
        <x:v>0</x:v>
      </x:c>
      <x:c r="N10" s="24" t="str">
        <x:v>ensis siliqua</x:v>
      </x:c>
      <x:c r="O10" s="32" t="n">
        <x:v>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Ensis siliqua</x:v>
      </x:c>
      <x:c r="T10" s="32" t="n">
        <x:f>IF(O10="","",(1/'Metadata'!$B$5)^(O10-1))</x:f>
        <x:v>10</x:v>
      </x:c>
      <x:c r="U10" s="31" t="n">
        <x:f>IF(T10="","",I10*T10)</x:f>
        <x:v>25863.89906</x:v>
      </x:c>
    </x:row>
    <x:row r="11" ht="18" customHeight="1">
      <x:c r="A11" s="24" t="str">
        <x:v>EEZ_528</x:v>
      </x:c>
      <x:c r="B11" s="24" t="str">
        <x:v>Netherlands</x:v>
      </x:c>
      <x:c r="C11" s="24" t="str">
        <x:v>EEZ</x:v>
      </x:c>
      <x:c r="D11" s="30" t="n">
        <x:v>2019</x:v>
      </x:c>
      <x:c r="E11" s="24" t="str">
        <x:v>Cerastoderma edule</x:v>
      </x:c>
      <x:c r="F11" s="24" t="str">
        <x:v>Common cockle</x:v>
      </x:c>
      <x:c r="G11" s="24" t="str">
        <x:v>Other demersal invertebrates</x:v>
      </x:c>
      <x:c r="H11" s="24" t="str">
        <x:v>Molluscs</x:v>
      </x:c>
      <x:c r="I11" s="31" t="n">
        <x:v>2119.7690870933</x:v>
      </x:c>
      <x:c r="J11" s="31" t="n">
        <x:v>2119.7690870933</x:v>
      </x:c>
      <x:c r="K11" s="31" t="n">
        <x:v>0</x:v>
      </x:c>
      <x:c r="L11" s="31" t="n">
        <x:v>2119.7690870933</x:v>
      </x:c>
      <x:c r="M11" s="31" t="n">
        <x:v>0</x:v>
      </x:c>
      <x:c r="N11" s="24" t="str">
        <x:v>cerastoderma edule</x:v>
      </x:c>
      <x:c r="O11" s="32" t="n">
        <x:v>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Cerastoderma edule</x:v>
      </x:c>
      <x:c r="T11" s="32" t="n">
        <x:f>IF(O11="","",(1/'Metadata'!$B$5)^(O11-1))</x:f>
        <x:v>10</x:v>
      </x:c>
      <x:c r="U11" s="31" t="n">
        <x:f>IF(T11="","",I11*T11)</x:f>
        <x:v>21197.690870933002</x:v>
      </x:c>
    </x:row>
    <x:row r="12" ht="18" customHeight="1">
      <x:c r="A12" s="24" t="str">
        <x:v>EEZ_528</x:v>
      </x:c>
      <x:c r="B12" s="24" t="str">
        <x:v>Netherlands</x:v>
      </x:c>
      <x:c r="C12" s="24" t="str">
        <x:v>EEZ</x:v>
      </x:c>
      <x:c r="D12" s="30" t="n">
        <x:v>2019</x:v>
      </x:c>
      <x:c r="E12" s="24" t="str">
        <x:v>Mytilus edulis</x:v>
      </x:c>
      <x:c r="F12" s="24" t="str">
        <x:v>Blue mussel</x:v>
      </x:c>
      <x:c r="G12" s="24" t="str">
        <x:v>Other demersal invertebrates</x:v>
      </x:c>
      <x:c r="H12" s="24" t="str">
        <x:v>Molluscs</x:v>
      </x:c>
      <x:c r="I12" s="31" t="n">
        <x:v>2005.9970507591001</x:v>
      </x:c>
      <x:c r="J12" s="31" t="n">
        <x:v>2005.9970507591001</x:v>
      </x:c>
      <x:c r="K12" s="31" t="n">
        <x:v>0</x:v>
      </x:c>
      <x:c r="L12" s="31" t="n">
        <x:v>2005.9970507591001</x:v>
      </x:c>
      <x:c r="M12" s="31" t="n">
        <x:v>0</x:v>
      </x:c>
      <x:c r="N12" s="24" t="str">
        <x:v>mytilus edulis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Mytilus edulis</x:v>
      </x:c>
      <x:c r="T12" s="32" t="n">
        <x:f>IF(O12="","",(1/'Metadata'!$B$5)^(O12-1))</x:f>
        <x:v>10</x:v>
      </x:c>
      <x:c r="U12" s="31" t="n">
        <x:f>IF(T12="","",I12*T12)</x:f>
        <x:v>20059.970507591002</x:v>
      </x:c>
    </x:row>
    <x:row r="13" ht="18" customHeight="1">
      <x:c r="A13" s="24" t="str">
        <x:v>EEZ_528</x:v>
      </x:c>
      <x:c r="B13" s="24" t="str">
        <x:v>Netherlands</x:v>
      </x:c>
      <x:c r="C13" s="24" t="str">
        <x:v>EEZ</x:v>
      </x:c>
      <x:c r="D13" s="30" t="n">
        <x:v>2019</x:v>
      </x:c>
      <x:c r="E13" s="24" t="str">
        <x:v>Spisula solida</x:v>
      </x:c>
      <x:c r="F13" s="24" t="str">
        <x:v>Surf clam</x:v>
      </x:c>
      <x:c r="G13" s="24" t="str">
        <x:v>Other demersal invertebrates</x:v>
      </x:c>
      <x:c r="H13" s="24" t="str">
        <x:v>Molluscs</x:v>
      </x:c>
      <x:c r="I13" s="31" t="n">
        <x:v>1463.3518970334</x:v>
      </x:c>
      <x:c r="J13" s="31" t="n">
        <x:v>1463.3518970334</x:v>
      </x:c>
      <x:c r="K13" s="31" t="n">
        <x:v>0</x:v>
      </x:c>
      <x:c r="L13" s="31" t="n">
        <x:v>1463.3518970334</x:v>
      </x:c>
      <x:c r="M13" s="31" t="n">
        <x:v>0</x:v>
      </x:c>
      <x:c r="N13" s="24" t="str">
        <x:v>spisula solida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Spisula solida</x:v>
      </x:c>
      <x:c r="T13" s="32" t="n">
        <x:f>IF(O13="","",(1/'Metadata'!$B$5)^(O13-1))</x:f>
        <x:v>10</x:v>
      </x:c>
      <x:c r="U13" s="31" t="n">
        <x:f>IF(T13="","",I13*T13)</x:f>
        <x:v>14633.518970334</x:v>
      </x:c>
    </x:row>
    <x:row r="14" ht="18" customHeight="1">
      <x:c r="A14" s="24" t="str">
        <x:v>EEZ_528</x:v>
      </x:c>
      <x:c r="B14" s="24" t="str">
        <x:v>Netherlands</x:v>
      </x:c>
      <x:c r="C14" s="24" t="str">
        <x:v>EEZ</x:v>
      </x:c>
      <x:c r="D14" s="30" t="n">
        <x:v>2019</x:v>
      </x:c>
      <x:c r="E14" s="24" t="str">
        <x:v>Gadus morhua</x:v>
      </x:c>
      <x:c r="F14" s="24" t="str">
        <x:v>Atlantic cod</x:v>
      </x:c>
      <x:c r="G14" s="24" t="str">
        <x:v>Large benthopelagics (&gt;=90 cm)</x:v>
      </x:c>
      <x:c r="H14" s="24" t="str">
        <x:v>Cod-likes</x:v>
      </x:c>
      <x:c r="I14" s="31" t="n">
        <x:v>1462.6732791504</x:v>
      </x:c>
      <x:c r="J14" s="31" t="n">
        <x:v>1189.3985610658</x:v>
      </x:c>
      <x:c r="K14" s="31" t="n">
        <x:v>273.2747180846</x:v>
      </x:c>
      <x:c r="L14" s="31" t="n">
        <x:v>431.0407000151</x:v>
      </x:c>
      <x:c r="M14" s="31" t="n">
        <x:v>1031.6325791353</x:v>
      </x:c>
      <x:c r="N14" s="24" t="str">
        <x:v>gadus morhua</x:v>
      </x:c>
      <x:c r="O14" s="32" t="n">
        <x:v>4.09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Gadus morhua</x:v>
      </x:c>
      <x:c r="T14" s="32" t="n">
        <x:f>IF(O14="","",(1/'Metadata'!$B$5)^(O14-1))</x:f>
        <x:v>1230.268770812381</x:v>
      </x:c>
      <x:c r="U14" s="31" t="n">
        <x:f>IF(T14="","",I14*T14)</x:f>
        <x:v>1799481.2572404773</x:v>
      </x:c>
    </x:row>
    <x:row r="15" ht="18" customHeight="1">
      <x:c r="A15" s="24" t="str">
        <x:v>EEZ_528</x:v>
      </x:c>
      <x:c r="B15" s="24" t="str">
        <x:v>Netherlands</x:v>
      </x:c>
      <x:c r="C15" s="24" t="str">
        <x:v>EEZ</x:v>
      </x:c>
      <x:c r="D15" s="30" t="n">
        <x:v>2019</x:v>
      </x:c>
      <x:c r="E15" s="24" t="str">
        <x:v>Cancer pagurus</x:v>
      </x:c>
      <x:c r="F15" s="24" t="str">
        <x:v>Edible crab</x:v>
      </x:c>
      <x:c r="G15" s="24" t="str">
        <x:v>Lobsters, crabs</x:v>
      </x:c>
      <x:c r="H15" s="24" t="str">
        <x:v>Crustaceans</x:v>
      </x:c>
      <x:c r="I15" s="31" t="n">
        <x:v>1046.2107148681</x:v>
      </x:c>
      <x:c r="J15" s="31" t="n">
        <x:v>361.8582483266</x:v>
      </x:c>
      <x:c r="K15" s="31" t="n">
        <x:v>684.3524665415</x:v>
      </x:c>
      <x:c r="L15" s="31" t="n">
        <x:v>361.8582483266</x:v>
      </x:c>
      <x:c r="M15" s="31" t="n">
        <x:v>684.3524665415</x:v>
      </x:c>
      <x:c r="N15" s="24" t="str">
        <x:v>cancer pagurus</x:v>
      </x:c>
      <x:c r="O15" s="32" t="n">
        <x:v>3.1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Cancer pagurus</x:v>
      </x:c>
      <x:c r="T15" s="32" t="n">
        <x:f>IF(O15="","",(1/'Metadata'!$B$5)^(O15-1))</x:f>
        <x:v>125.89254117941675</x:v>
      </x:c>
      <x:c r="U15" s="31" t="n">
        <x:f>IF(T15="","",I15*T15)</x:f>
        <x:v>131710.12550387933</x:v>
      </x:c>
    </x:row>
    <x:row r="16" ht="18" customHeight="1">
      <x:c r="A16" s="24" t="str">
        <x:v>EEZ_528</x:v>
      </x:c>
      <x:c r="B16" s="24" t="str">
        <x:v>Netherlands</x:v>
      </x:c>
      <x:c r="C16" s="24" t="str">
        <x:v>EEZ</x:v>
      </x:c>
      <x:c r="D16" s="30" t="n">
        <x:v>2019</x:v>
      </x:c>
      <x:c r="E16" s="24" t="str">
        <x:v>Eutrigla gurnardus</x:v>
      </x:c>
      <x:c r="F16" s="24" t="str">
        <x:v>Grey gurnard</x:v>
      </x:c>
      <x:c r="G16" s="24" t="str">
        <x:v>Medium demersals (30 - 89 cm)</x:v>
      </x:c>
      <x:c r="H16" s="24" t="str">
        <x:v>Scorpionfishes</x:v>
      </x:c>
      <x:c r="I16" s="31" t="n">
        <x:v>854.1573531249</x:v>
      </x:c>
      <x:c r="J16" s="31" t="n">
        <x:v>169.1028353644</x:v>
      </x:c>
      <x:c r="K16" s="31" t="n">
        <x:v>685.0545177605001</x:v>
      </x:c>
      <x:c r="L16" s="31" t="n">
        <x:v>169.013451939</x:v>
      </x:c>
      <x:c r="M16" s="31" t="n">
        <x:v>685.1439011859001</x:v>
      </x:c>
      <x:c r="N16" s="24" t="str">
        <x:v>eutrigla gurnardus</x:v>
      </x:c>
      <x:c r="O16" s="32" t="n">
        <x:v>3.87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Eutrigla gurnardus</x:v>
      </x:c>
      <x:c r="T16" s="32" t="n">
        <x:f>IF(O16="","",(1/'Metadata'!$B$5)^(O16-1))</x:f>
        <x:v>741.3102413009177</x:v>
      </x:c>
      <x:c r="U16" s="31" t="n">
        <x:f>IF(T16="","",I16*T16)</x:f>
        <x:v>633195.5935539728</x:v>
      </x:c>
    </x:row>
    <x:row r="17" ht="18" customHeight="1">
      <x:c r="A17" s="24" t="str">
        <x:v>EEZ_528</x:v>
      </x:c>
      <x:c r="B17" s="24" t="str">
        <x:v>Netherlands</x:v>
      </x:c>
      <x:c r="C17" s="24" t="str">
        <x:v>EEZ</x:v>
      </x:c>
      <x:c r="D17" s="30" t="n">
        <x:v>2019</x:v>
      </x:c>
      <x:c r="E17" s="24" t="str">
        <x:v>Scomber scombrus</x:v>
      </x:c>
      <x:c r="F17" s="24" t="str">
        <x:v>Atlantic mackerel</x:v>
      </x:c>
      <x:c r="G17" s="24" t="str">
        <x:v>Medium pelagics (30 - 89 cm)</x:v>
      </x:c>
      <x:c r="H17" s="24" t="str">
        <x:v>Perch-likes</x:v>
      </x:c>
      <x:c r="I17" s="31" t="n">
        <x:v>804.2764692301</x:v>
      </x:c>
      <x:c r="J17" s="31" t="n">
        <x:v>802.7118171546999</x:v>
      </x:c>
      <x:c r="K17" s="31" t="n">
        <x:v>1.5646520754</x:v>
      </x:c>
      <x:c r="L17" s="31" t="n">
        <x:v>802.4283543793999</x:v>
      </x:c>
      <x:c r="M17" s="31" t="n">
        <x:v>1.8481148507</x:v>
      </x:c>
      <x:c r="N17" s="24" t="str">
        <x:v>scomber scombrus</x:v>
      </x:c>
      <x:c r="O17" s="32" t="n">
        <x:v>3.63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 scombrus</x:v>
      </x:c>
      <x:c r="T17" s="32" t="n">
        <x:f>IF(O17="","",(1/'Metadata'!$B$5)^(O17-1))</x:f>
        <x:v>426.57951880159254</x:v>
      </x:c>
      <x:c r="U17" s="31" t="n">
        <x:f>IF(T17="","",I17*T17)</x:f>
        <x:v>343087.8692276199</x:v>
      </x:c>
    </x:row>
    <x:row r="18" ht="18" customHeight="1">
      <x:c r="A18" s="24" t="str">
        <x:v>EEZ_528</x:v>
      </x:c>
      <x:c r="B18" s="24" t="str">
        <x:v>Netherlands</x:v>
      </x:c>
      <x:c r="C18" s="24" t="str">
        <x:v>EEZ</x:v>
      </x:c>
      <x:c r="D18" s="30" t="n">
        <x:v>2019</x:v>
      </x:c>
      <x:c r="E18" s="24" t="str">
        <x:v>Nephrops norvegicus</x:v>
      </x:c>
      <x:c r="F18" s="24" t="str">
        <x:v>Norway lobster</x:v>
      </x:c>
      <x:c r="G18" s="24" t="str">
        <x:v>Lobsters, crabs</x:v>
      </x:c>
      <x:c r="H18" s="24" t="str">
        <x:v>Crustaceans</x:v>
      </x:c>
      <x:c r="I18" s="31" t="n">
        <x:v>704.1612305707</x:v>
      </x:c>
      <x:c r="J18" s="31" t="n">
        <x:v>575.2270501789</x:v>
      </x:c>
      <x:c r="K18" s="31" t="n">
        <x:v>128.9341803918</x:v>
      </x:c>
      <x:c r="L18" s="31" t="n">
        <x:v>575.2270501789</x:v>
      </x:c>
      <x:c r="M18" s="31" t="n">
        <x:v>128.9341803918</x:v>
      </x:c>
      <x:c r="N18" s="24" t="str">
        <x:v>nephrops norvegicus</x:v>
      </x:c>
      <x:c r="O18" s="32" t="n">
        <x:v>2.87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Nephrops norvegicus</x:v>
      </x:c>
      <x:c r="T18" s="32" t="n">
        <x:f>IF(O18="","",(1/'Metadata'!$B$5)^(O18-1))</x:f>
        <x:v>74.13102413009177</x:v>
      </x:c>
      <x:c r="U18" s="31" t="n">
        <x:f>IF(T18="","",I18*T18)</x:f>
        <x:v>52200.19317491168</x:v>
      </x:c>
    </x:row>
    <x:row r="19" ht="18" customHeight="1">
      <x:c r="A19" s="24" t="str">
        <x:v>EEZ_528</x:v>
      </x:c>
      <x:c r="B19" s="24" t="str">
        <x:v>Netherlands</x:v>
      </x:c>
      <x:c r="C19" s="24" t="str">
        <x:v>EEZ</x:v>
      </x:c>
      <x:c r="D19" s="30" t="n">
        <x:v>2019</x:v>
      </x:c>
      <x:c r="E19" s="24" t="str">
        <x:v>Scophthalmus maximus</x:v>
      </x:c>
      <x:c r="F19" s="24" t="str">
        <x:v>Turbot</x:v>
      </x:c>
      <x:c r="G19" s="24" t="str">
        <x:v>Large flatfishes (&gt;=90 cm)</x:v>
      </x:c>
      <x:c r="H19" s="24" t="str">
        <x:v>Flatfishes</x:v>
      </x:c>
      <x:c r="I19" s="31" t="n">
        <x:v>633.8708780078</x:v>
      </x:c>
      <x:c r="J19" s="31" t="n">
        <x:v>626.0831274578</x:v>
      </x:c>
      <x:c r="K19" s="31" t="n">
        <x:v>7.78775055</x:v>
      </x:c>
      <x:c r="L19" s="31" t="n">
        <x:v>626.0762126586</x:v>
      </x:c>
      <x:c r="M19" s="31" t="n">
        <x:v>7.7946653492</x:v>
      </x:c>
      <x:c r="N19" s="24" t="str">
        <x:v>scophthalmus maximus</x:v>
      </x:c>
      <x:c r="O19" s="32" t="n">
        <x:v>4.36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Scophthalmus maximus</x:v>
      </x:c>
      <x:c r="T19" s="32" t="n">
        <x:f>IF(O19="","",(1/'Metadata'!$B$5)^(O19-1))</x:f>
        <x:v>2290.867652767775</x:v>
      </x:c>
      <x:c r="U19" s="31" t="n">
        <x:f>IF(T19="","",I19*T19)</x:f>
        <x:v>1452114.2904595775</x:v>
      </x:c>
    </x:row>
    <x:row r="20" ht="18" customHeight="1">
      <x:c r="A20" s="24" t="str">
        <x:v>EEZ_528</x:v>
      </x:c>
      <x:c r="B20" s="24" t="str">
        <x:v>Netherlands</x:v>
      </x:c>
      <x:c r="C20" s="24" t="str">
        <x:v>EEZ</x:v>
      </x:c>
      <x:c r="D20" s="30" t="n">
        <x:v>2019</x:v>
      </x:c>
      <x:c r="E20" s="24" t="str">
        <x:v>Chelidonichthys lucerna</x:v>
      </x:c>
      <x:c r="F20" s="24" t="str">
        <x:v>Tub gurnard</x:v>
      </x:c>
      <x:c r="G20" s="24" t="str">
        <x:v>Medium demersals (30 - 89 cm)</x:v>
      </x:c>
      <x:c r="H20" s="24" t="str">
        <x:v>Scorpionfishes</x:v>
      </x:c>
      <x:c r="I20" s="31" t="n">
        <x:v>612.0706990556</x:v>
      </x:c>
      <x:c r="J20" s="31" t="n">
        <x:v>526.6469299395001</x:v>
      </x:c>
      <x:c r="K20" s="31" t="n">
        <x:v>85.42376911609999</x:v>
      </x:c>
      <x:c r="L20" s="31" t="n">
        <x:v>526.6469299395001</x:v>
      </x:c>
      <x:c r="M20" s="31" t="n">
        <x:v>85.42376911609999</x:v>
      </x:c>
      <x:c r="N20" s="24" t="str">
        <x:v>chelidonichthys lucerna</x:v>
      </x:c>
      <x:c r="O20" s="32" t="n">
        <x:v>3.98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Chelidonichthys lucerna</x:v>
      </x:c>
      <x:c r="T20" s="32" t="n">
        <x:f>IF(O20="","",(1/'Metadata'!$B$5)^(O20-1))</x:f>
        <x:v>954.992586021436</x:v>
      </x:c>
      <x:c r="U20" s="31" t="n">
        <x:f>IF(T20="","",I20*T20)</x:f>
        <x:v>584522.9797190556</x:v>
      </x:c>
    </x:row>
    <x:row r="21" ht="18" customHeight="1">
      <x:c r="A21" s="24" t="str">
        <x:v>EEZ_528</x:v>
      </x:c>
      <x:c r="B21" s="24" t="str">
        <x:v>Netherlands</x:v>
      </x:c>
      <x:c r="C21" s="24" t="str">
        <x:v>EEZ</x:v>
      </x:c>
      <x:c r="D21" s="30" t="n">
        <x:v>2019</x:v>
      </x:c>
      <x:c r="E21" s="24" t="str">
        <x:v>Platichthys flesus</x:v>
      </x:c>
      <x:c r="F21" s="24" t="str">
        <x:v>European flounder</x:v>
      </x:c>
      <x:c r="G21" s="24" t="str">
        <x:v>Small to medium flatfishes (&lt;90 cm)</x:v>
      </x:c>
      <x:c r="H21" s="24" t="str">
        <x:v>Flatfishes</x:v>
      </x:c>
      <x:c r="I21" s="31" t="n">
        <x:v>578.4405319611</x:v>
      </x:c>
      <x:c r="J21" s="31" t="n">
        <x:v>541.8503965714</x:v>
      </x:c>
      <x:c r="K21" s="31" t="n">
        <x:v>36.5901353897</x:v>
      </x:c>
      <x:c r="L21" s="31" t="n">
        <x:v>541.8503965714</x:v>
      </x:c>
      <x:c r="M21" s="31" t="n">
        <x:v>36.5901353897</x:v>
      </x:c>
      <x:c r="N21" s="24" t="str">
        <x:v>platichthys flesus</x:v>
      </x:c>
      <x:c r="O21" s="32" t="n">
        <x:v>3.32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Platichthys flesus</x:v>
      </x:c>
      <x:c r="T21" s="32" t="n">
        <x:f>IF(O21="","",(1/'Metadata'!$B$5)^(O21-1))</x:f>
        <x:v>208.92961308540387</x:v>
      </x:c>
      <x:c r="U21" s="31" t="n">
        <x:f>IF(T21="","",I21*T21)</x:f>
        <x:v>120853.3565355478</x:v>
      </x:c>
    </x:row>
    <x:row r="22" ht="18" customHeight="1">
      <x:c r="A22" s="24" t="str">
        <x:v>EEZ_528</x:v>
      </x:c>
      <x:c r="B22" s="24" t="str">
        <x:v>Netherlands</x:v>
      </x:c>
      <x:c r="C22" s="24" t="str">
        <x:v>EEZ</x:v>
      </x:c>
      <x:c r="D22" s="30" t="n">
        <x:v>2019</x:v>
      </x:c>
      <x:c r="E22" s="24" t="str">
        <x:v>Buccinum undatum</x:v>
      </x:c>
      <x:c r="F22" s="24" t="str">
        <x:v>Whelk</x:v>
      </x:c>
      <x:c r="G22" s="24" t="str">
        <x:v>Other demersal invertebrates</x:v>
      </x:c>
      <x:c r="H22" s="24" t="str">
        <x:v>Molluscs</x:v>
      </x:c>
      <x:c r="I22" s="31" t="n">
        <x:v>448.430599524</x:v>
      </x:c>
      <x:c r="J22" s="31" t="n">
        <x:v>448.430599524</x:v>
      </x:c>
      <x:c r="K22" s="31" t="n">
        <x:v>0</x:v>
      </x:c>
      <x:c r="L22" s="31" t="n">
        <x:v>448.430599524</x:v>
      </x:c>
      <x:c r="M22" s="31" t="n">
        <x:v>0</x:v>
      </x:c>
      <x:c r="N22" s="24" t="str">
        <x:v>buccinum undatum</x:v>
      </x:c>
      <x:c r="O22" s="32" t="n">
        <x:v>3.75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Buccinum undatum</x:v>
      </x:c>
      <x:c r="T22" s="32" t="n">
        <x:f>IF(O22="","",(1/'Metadata'!$B$5)^(O22-1))</x:f>
        <x:v>562.341325190349</x:v>
      </x:c>
      <x:c r="U22" s="31" t="n">
        <x:f>IF(T22="","",I22*T22)</x:f>
        <x:v>252171.05759222887</x:v>
      </x:c>
    </x:row>
    <x:row r="23" ht="18" customHeight="1">
      <x:c r="A23" s="24" t="str">
        <x:v>EEZ_528</x:v>
      </x:c>
      <x:c r="B23" s="24" t="str">
        <x:v>Netherlands</x:v>
      </x:c>
      <x:c r="C23" s="24" t="str">
        <x:v>EEZ</x:v>
      </x:c>
      <x:c r="D23" s="30" t="n">
        <x:v>2019</x:v>
      </x:c>
      <x:c r="E23" s="24" t="str">
        <x:v>Mullus surmuletus</x:v>
      </x:c>
      <x:c r="F23" s="24" t="str">
        <x:v>Surmullet</x:v>
      </x:c>
      <x:c r="G23" s="24" t="str">
        <x:v>Medium demersals (30 - 89 cm)</x:v>
      </x:c>
      <x:c r="H23" s="24" t="str">
        <x:v>Perch-likes</x:v>
      </x:c>
      <x:c r="I23" s="31" t="n">
        <x:v>393.5429383598</x:v>
      </x:c>
      <x:c r="J23" s="31" t="n">
        <x:v>393.5429383598</x:v>
      </x:c>
      <x:c r="K23" s="31" t="n">
        <x:v>0</x:v>
      </x:c>
      <x:c r="L23" s="31" t="n">
        <x:v>393.5429383598</x:v>
      </x:c>
      <x:c r="M23" s="31" t="n">
        <x:v>0</x:v>
      </x:c>
      <x:c r="N23" s="24" t="str">
        <x:v>mullus surmuletus</x:v>
      </x:c>
      <x:c r="O23" s="32" t="n">
        <x:v>3.45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Mullus surmuletus</x:v>
      </x:c>
      <x:c r="T23" s="32" t="n">
        <x:f>IF(O23="","",(1/'Metadata'!$B$5)^(O23-1))</x:f>
        <x:v>281.8382931264455</x:v>
      </x:c>
      <x:c r="U23" s="31" t="n">
        <x:f>IF(T23="","",I23*T23)</x:f>
        <x:v>110915.47001929198</x:v>
      </x:c>
    </x:row>
    <x:row r="24" ht="18" customHeight="1">
      <x:c r="A24" s="24" t="str">
        <x:v>EEZ_528</x:v>
      </x:c>
      <x:c r="B24" s="24" t="str">
        <x:v>Netherlands</x:v>
      </x:c>
      <x:c r="C24" s="24" t="str">
        <x:v>EEZ</x:v>
      </x:c>
      <x:c r="D24" s="30" t="n">
        <x:v>2019</x:v>
      </x:c>
      <x:c r="E24" s="24" t="str">
        <x:v>Scophthalmus rhombus</x:v>
      </x:c>
      <x:c r="F24" s="24" t="str">
        <x:v>Brill</x:v>
      </x:c>
      <x:c r="G24" s="24" t="str">
        <x:v>Small to medium flatfishes (&lt;90 cm)</x:v>
      </x:c>
      <x:c r="H24" s="24" t="str">
        <x:v>Flatfishes</x:v>
      </x:c>
      <x:c r="I24" s="31" t="n">
        <x:v>323.1659564593</x:v>
      </x:c>
      <x:c r="J24" s="31" t="n">
        <x:v>320.64387998579997</x:v>
      </x:c>
      <x:c r="K24" s="31" t="n">
        <x:v>2.5220764735</x:v>
      </x:c>
      <x:c r="L24" s="31" t="n">
        <x:v>320.6438629797</x:v>
      </x:c>
      <x:c r="M24" s="31" t="n">
        <x:v>2.5220934796</x:v>
      </x:c>
      <x:c r="N24" s="24" t="str">
        <x:v>scophthalmus rhombus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Scophthalmus rhombus</x:v>
      </x:c>
      <x:c r="T24" s="32" t="n">
        <x:f>IF(O24="","",(1/'Metadata'!$B$5)^(O24-1))</x:f>
        <x:v>2630.2679918953813</x:v>
      </x:c>
      <x:c r="U24" s="31" t="n">
        <x:f>IF(T24="","",I24*T24)</x:f>
        <x:v>850013.0713451533</x:v>
      </x:c>
    </x:row>
    <x:row r="25" ht="18" customHeight="1">
      <x:c r="A25" s="24" t="str">
        <x:v>EEZ_528</x:v>
      </x:c>
      <x:c r="B25" s="24" t="str">
        <x:v>Netherlands</x:v>
      </x:c>
      <x:c r="C25" s="24" t="str">
        <x:v>EEZ</x:v>
      </x:c>
      <x:c r="D25" s="30" t="n">
        <x:v>2019</x:v>
      </x:c>
      <x:c r="E25" s="24" t="str">
        <x:v>Asterias rubens</x:v>
      </x:c>
      <x:c r="F25" s="24" t="str">
        <x:v>Red starfish</x:v>
      </x:c>
      <x:c r="G25" s="24" t="str">
        <x:v>Other demersal invertebrates</x:v>
      </x:c>
      <x:c r="H25" s="24" t="str">
        <x:v>Other fishes &amp; inverts</x:v>
      </x:c>
      <x:c r="I25" s="31" t="n">
        <x:v>291.9011704759</x:v>
      </x:c>
      <x:c r="J25" s="31" t="n">
        <x:v>32.8747250957</x:v>
      </x:c>
      <x:c r="K25" s="31" t="n">
        <x:v>259.0264453802</x:v>
      </x:c>
      <x:c r="L25" s="31" t="n">
        <x:v>32.8747250957</x:v>
      </x:c>
      <x:c r="M25" s="31" t="n">
        <x:v>259.0264453802</x:v>
      </x:c>
      <x:c r="N25" s="24" t="str">
        <x:v>asterias rubens</x:v>
      </x:c>
      <x:c r="O25" s="32" t="n">
        <x:v>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Asterias rubens</x:v>
      </x:c>
      <x:c r="T25" s="32" t="n">
        <x:f>IF(O25="","",(1/'Metadata'!$B$5)^(O25-1))</x:f>
        <x:v>100</x:v>
      </x:c>
      <x:c r="U25" s="31" t="n">
        <x:f>IF(T25="","",I25*T25)</x:f>
        <x:v>29190.11704759</x:v>
      </x:c>
    </x:row>
    <x:row r="26" ht="18" customHeight="1">
      <x:c r="A26" s="24" t="str">
        <x:v>EEZ_528</x:v>
      </x:c>
      <x:c r="B26" s="24" t="str">
        <x:v>Netherlands</x:v>
      </x:c>
      <x:c r="C26" s="24" t="str">
        <x:v>EEZ</x:v>
      </x:c>
      <x:c r="D26" s="30" t="n">
        <x:v>2019</x:v>
      </x:c>
      <x:c r="E26" s="24" t="str">
        <x:v>Microstomus kitt</x:v>
      </x:c>
      <x:c r="F26" s="24" t="str">
        <x:v>Lemon sole</x:v>
      </x:c>
      <x:c r="G26" s="24" t="str">
        <x:v>Small to medium flatfishes (&lt;90 cm)</x:v>
      </x:c>
      <x:c r="H26" s="24" t="str">
        <x:v>Flatfishes</x:v>
      </x:c>
      <x:c r="I26" s="31" t="n">
        <x:v>255.7448173326</x:v>
      </x:c>
      <x:c r="J26" s="31" t="n">
        <x:v>227.8681965801</x:v>
      </x:c>
      <x:c r="K26" s="31" t="n">
        <x:v>27.8766207525</x:v>
      </x:c>
      <x:c r="L26" s="31" t="n">
        <x:v>227.8199437161</x:v>
      </x:c>
      <x:c r="M26" s="31" t="n">
        <x:v>27.924873616499998</x:v>
      </x:c>
      <x:c r="N26" s="24" t="str">
        <x:v>microstomus kitt</x:v>
      </x:c>
      <x:c r="O26" s="32" t="n">
        <x:v>3.22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Microstomus kitt</x:v>
      </x:c>
      <x:c r="T26" s="32" t="n">
        <x:f>IF(O26="","",(1/'Metadata'!$B$5)^(O26-1))</x:f>
        <x:v>165.95869074375614</x:v>
      </x:c>
      <x:c r="U26" s="31" t="n">
        <x:f>IF(T26="","",I26*T26)</x:f>
        <x:v>42443.07504901937</x:v>
      </x:c>
    </x:row>
    <x:row r="27" ht="18" customHeight="1">
      <x:c r="A27" s="24" t="str">
        <x:v>EEZ_528</x:v>
      </x:c>
      <x:c r="B27" s="24" t="str">
        <x:v>Netherlands</x:v>
      </x:c>
      <x:c r="C27" s="24" t="str">
        <x:v>EEZ</x:v>
      </x:c>
      <x:c r="D27" s="30" t="n">
        <x:v>2019</x:v>
      </x:c>
      <x:c r="E27" s="24" t="str">
        <x:v>Sepia officinalis</x:v>
      </x:c>
      <x:c r="F27" s="24" t="str">
        <x:v>Common cuttlefish</x:v>
      </x:c>
      <x:c r="G27" s="24" t="str">
        <x:v>Cephalopods</x:v>
      </x:c>
      <x:c r="H27" s="24" t="str">
        <x:v>Other fishes &amp; inverts</x:v>
      </x:c>
      <x:c r="I27" s="31" t="n">
        <x:v>223.5609290047</x:v>
      </x:c>
      <x:c r="J27" s="31" t="n">
        <x:v>223.5609290047</x:v>
      </x:c>
      <x:c r="K27" s="31" t="n">
        <x:v>0</x:v>
      </x:c>
      <x:c r="L27" s="31" t="n">
        <x:v>223.5609290047</x:v>
      </x:c>
      <x:c r="M27" s="31" t="n">
        <x:v>0</x:v>
      </x:c>
      <x:c r="N27" s="24" t="str">
        <x:v>sepia officinalis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Sepia officinalis</x:v>
      </x:c>
      <x:c r="T27" s="32" t="n">
        <x:f>IF(O27="","",(1/'Metadata'!$B$5)^(O27-1))</x:f>
        <x:v>1862.0871366628655</x:v>
      </x:c>
      <x:c r="U27" s="31" t="n">
        <x:f>IF(T27="","",I27*T27)</x:f>
        <x:v>416289.93016005197</x:v>
      </x:c>
    </x:row>
    <x:row r="28" ht="18" customHeight="1">
      <x:c r="A28" s="24" t="str">
        <x:v>EEZ_528</x:v>
      </x:c>
      <x:c r="B28" s="24" t="str">
        <x:v>Netherlands</x:v>
      </x:c>
      <x:c r="C28" s="24" t="str">
        <x:v>EEZ</x:v>
      </x:c>
      <x:c r="D28" s="30" t="n">
        <x:v>2019</x:v>
      </x:c>
      <x:c r="E28" s="24" t="str">
        <x:v>Loliginidae</x:v>
      </x:c>
      <x:c r="F28" s="24" t="str">
        <x:v>Common pencil squids</x:v>
      </x:c>
      <x:c r="G28" s="24" t="str">
        <x:v>Cephalopods</x:v>
      </x:c>
      <x:c r="H28" s="24" t="str">
        <x:v>Other fishes &amp; inverts</x:v>
      </x:c>
      <x:c r="I28" s="31" t="n">
        <x:v>200.2168835426</x:v>
      </x:c>
      <x:c r="J28" s="31" t="n">
        <x:v>200.21140078329998</x:v>
      </x:c>
      <x:c r="K28" s="31" t="n">
        <x:v>0.0054827593</x:v>
      </x:c>
      <x:c r="L28" s="31" t="n">
        <x:v>200.20148601219998</x:v>
      </x:c>
      <x:c r="M28" s="31" t="n">
        <x:v>0.015397530400000001</x:v>
      </x:c>
      <x:c r="N28" s="24" t="str">
        <x:v>loliginidae</x:v>
      </x:c>
      <x:c r="O28" s="32" t="n">
        <x:v>3.9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Loliginidae</x:v>
      </x:c>
      <x:c r="T28" s="32" t="n">
        <x:f>IF(O28="","",(1/'Metadata'!$B$5)^(O28-1))</x:f>
        <x:v>794.3282347242813</x:v>
      </x:c>
      <x:c r="U28" s="31" t="n">
        <x:f>IF(T28="","",I28*T28)</x:f>
        <x:v>159037.92366639044</x:v>
      </x:c>
    </x:row>
    <x:row r="29" ht="18" customHeight="1">
      <x:c r="A29" s="24" t="str">
        <x:v>EEZ_528</x:v>
      </x:c>
      <x:c r="B29" s="24" t="str">
        <x:v>Netherlands</x:v>
      </x:c>
      <x:c r="C29" s="24" t="str">
        <x:v>EEZ</x:v>
      </x:c>
      <x:c r="D29" s="30" t="n">
        <x:v>2019</x:v>
      </x:c>
      <x:c r="E29" s="24" t="str">
        <x:v>Scyliorhinus canicula</x:v>
      </x:c>
      <x:c r="F29" s="24" t="str">
        <x:v>Small-spotted catshark</x:v>
      </x:c>
      <x:c r="G29" s="24" t="str">
        <x:v>Small to medium sharks (&lt;90 cm)</x:v>
      </x:c>
      <x:c r="H29" s="24" t="str">
        <x:v>Sharks &amp; rays</x:v>
      </x:c>
      <x:c r="I29" s="31" t="n">
        <x:v>180.8165953818</x:v>
      </x:c>
      <x:c r="J29" s="31" t="n">
        <x:v>180.8165953818</x:v>
      </x:c>
      <x:c r="K29" s="31" t="n">
        <x:v>0</x:v>
      </x:c>
      <x:c r="L29" s="31" t="n">
        <x:v>180.8165953818</x:v>
      </x:c>
      <x:c r="M29" s="31" t="n">
        <x:v>0</x:v>
      </x:c>
      <x:c r="N29" s="24" t="str">
        <x:v>scyliorhinus canicula</x:v>
      </x:c>
      <x:c r="O29" s="32" t="n">
        <x:v>3.82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Scyliorhinus canicula</x:v>
      </x:c>
      <x:c r="T29" s="32" t="n">
        <x:f>IF(O29="","",(1/'Metadata'!$B$5)^(O29-1))</x:f>
        <x:v>660.6934480075957</x:v>
      </x:c>
      <x:c r="U29" s="31" t="n">
        <x:f>IF(T29="","",I29*T29)</x:f>
        <x:v>119464.33985979576</x:v>
      </x:c>
    </x:row>
    <x:row r="30" ht="18" customHeight="1">
      <x:c r="A30" s="24" t="str">
        <x:v>EEZ_528</x:v>
      </x:c>
      <x:c r="B30" s="24" t="str">
        <x:v>Netherlands</x:v>
      </x:c>
      <x:c r="C30" s="24" t="str">
        <x:v>EEZ</x:v>
      </x:c>
      <x:c r="D30" s="30" t="n">
        <x:v>2019</x:v>
      </x:c>
      <x:c r="E30" s="24" t="str">
        <x:v>Pollachius virens</x:v>
      </x:c>
      <x:c r="F30" s="24" t="str">
        <x:v>Saithe</x:v>
      </x:c>
      <x:c r="G30" s="24" t="str">
        <x:v>Large demersals (&gt;=90 cm)</x:v>
      </x:c>
      <x:c r="H30" s="24" t="str">
        <x:v>Cod-likes</x:v>
      </x:c>
      <x:c r="I30" s="31" t="n">
        <x:v>178.656832853</x:v>
      </x:c>
      <x:c r="J30" s="31" t="n">
        <x:v>168.1852752046</x:v>
      </x:c>
      <x:c r="K30" s="31" t="n">
        <x:v>10.471557648400001</x:v>
      </x:c>
      <x:c r="L30" s="31" t="n">
        <x:v>165.0808896212</x:v>
      </x:c>
      <x:c r="M30" s="31" t="n">
        <x:v>13.5759432318</x:v>
      </x:c>
      <x:c r="N30" s="24" t="str">
        <x:v>pollachius virens</x:v>
      </x:c>
      <x:c r="O30" s="32" t="n">
        <x:v>4.31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Pollachius virens</x:v>
      </x:c>
      <x:c r="T30" s="32" t="n">
        <x:f>IF(O30="","",(1/'Metadata'!$B$5)^(O30-1))</x:f>
        <x:v>2041.7379446695275</x:v>
      </x:c>
      <x:c r="U30" s="31" t="n">
        <x:f>IF(T30="","",I30*T30)</x:f>
        <x:v>364770.4347104515</x:v>
      </x:c>
    </x:row>
    <x:row r="31" ht="18" customHeight="1">
      <x:c r="A31" s="24" t="str">
        <x:v>EEZ_528</x:v>
      </x:c>
      <x:c r="B31" s="24" t="str">
        <x:v>Netherlands</x:v>
      </x:c>
      <x:c r="C31" s="24" t="str">
        <x:v>EEZ</x:v>
      </x:c>
      <x:c r="D31" s="30" t="n">
        <x:v>2019</x:v>
      </x:c>
      <x:c r="E31" s="24" t="str">
        <x:v>Buglossidium luteum</x:v>
      </x:c>
      <x:c r="F31" s="24" t="str">
        <x:v>Solenette</x:v>
      </x:c>
      <x:c r="G31" s="24" t="str">
        <x:v>Small to medium flatfishes (&lt;90 cm)</x:v>
      </x:c>
      <x:c r="H31" s="24" t="str">
        <x:v>Flatfishes</x:v>
      </x:c>
      <x:c r="I31" s="31" t="n">
        <x:v>167.142410992</x:v>
      </x:c>
      <x:c r="J31" s="31" t="n">
        <x:v>0</x:v>
      </x:c>
      <x:c r="K31" s="31" t="n">
        <x:v>167.142410992</x:v>
      </x:c>
      <x:c r="L31" s="31" t="n">
        <x:v>0</x:v>
      </x:c>
      <x:c r="M31" s="31" t="n">
        <x:v>167.142410992</x:v>
      </x:c>
      <x:c r="N31" s="24" t="str">
        <x:v>buglossidium luteum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Buglossidium luteum</x:v>
      </x:c>
      <x:c r="T31" s="32" t="n">
        <x:f>IF(O31="","",(1/'Metadata'!$B$5)^(O31-1))</x:f>
        <x:v>204.17379446695296</x:v>
      </x:c>
      <x:c r="U31" s="31" t="n">
        <x:f>IF(T31="","",I31*T31)</x:f>
        <x:v>34126.10026859159</x:v>
      </x:c>
    </x:row>
    <x:row r="32" ht="18" customHeight="1">
      <x:c r="A32" s="24" t="str">
        <x:v>EEZ_528</x:v>
      </x:c>
      <x:c r="B32" s="24" t="str">
        <x:v>Netherlands</x:v>
      </x:c>
      <x:c r="C32" s="24" t="str">
        <x:v>EEZ</x:v>
      </x:c>
      <x:c r="D32" s="30" t="n">
        <x:v>2019</x:v>
      </x:c>
      <x:c r="E32" s="24" t="str">
        <x:v>Elasmobranchii</x:v>
      </x:c>
      <x:c r="F32" s="24" t="str">
        <x:v>Sharks, rays, skates</x:v>
      </x:c>
      <x:c r="G32" s="24" t="str">
        <x:v>Large sharks (&gt;=90 cm)</x:v>
      </x:c>
      <x:c r="H32" s="24" t="str">
        <x:v>Sharks &amp; rays</x:v>
      </x:c>
      <x:c r="I32" s="31" t="n">
        <x:v>155.5021206378</x:v>
      </x:c>
      <x:c r="J32" s="31" t="n">
        <x:v>0.320641461</x:v>
      </x:c>
      <x:c r="K32" s="31" t="n">
        <x:v>155.1814791768</x:v>
      </x:c>
      <x:c r="L32" s="31" t="n">
        <x:v>0.320641461</x:v>
      </x:c>
      <x:c r="M32" s="31" t="n">
        <x:v>155.1814791768</x:v>
      </x:c>
      <x:c r="N32" s="24" t="str">
        <x:v>elasmobranchii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Elasmobranchii</x:v>
      </x:c>
      <x:c r="T32" s="32" t="n">
        <x:f>IF(O32="","",(1/'Metadata'!$B$5)^(O32-1))</x:f>
        <x:v>1122.018454301963</x:v>
      </x:c>
      <x:c r="U32" s="31" t="n">
        <x:f>IF(T32="","",I32*T32)</x:f>
        <x:v>174476.24903870173</x:v>
      </x:c>
    </x:row>
    <x:row r="33" ht="18" customHeight="1">
      <x:c r="A33" s="24" t="str">
        <x:v>EEZ_528</x:v>
      </x:c>
      <x:c r="B33" s="24" t="str">
        <x:v>Netherlands</x:v>
      </x:c>
      <x:c r="C33" s="24" t="str">
        <x:v>EEZ</x:v>
      </x:c>
      <x:c r="D33" s="30" t="n">
        <x:v>2019</x:v>
      </x:c>
      <x:c r="E33" s="24" t="str">
        <x:v>Melanogrammus aeglefinus</x:v>
      </x:c>
      <x:c r="F33" s="24" t="str">
        <x:v>Haddock</x:v>
      </x:c>
      <x:c r="G33" s="24" t="str">
        <x:v>Medium demersals (30 - 89 cm)</x:v>
      </x:c>
      <x:c r="H33" s="24" t="str">
        <x:v>Cod-likes</x:v>
      </x:c>
      <x:c r="I33" s="31" t="n">
        <x:v>148.6893229377</x:v>
      </x:c>
      <x:c r="J33" s="31" t="n">
        <x:v>118.6902870131</x:v>
      </x:c>
      <x:c r="K33" s="31" t="n">
        <x:v>29.999035924599998</x:v>
      </x:c>
      <x:c r="L33" s="31" t="n">
        <x:v>116.8750463245</x:v>
      </x:c>
      <x:c r="M33" s="31" t="n">
        <x:v>31.814276613199997</x:v>
      </x:c>
      <x:c r="N33" s="24" t="str">
        <x:v>melanogrammus aeglefinus</x:v>
      </x:c>
      <x:c r="O33" s="32" t="n">
        <x:v>4.03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Melanogrammus aeglefinus</x:v>
      </x:c>
      <x:c r="T33" s="32" t="n">
        <x:f>IF(O33="","",(1/'Metadata'!$B$5)^(O33-1))</x:f>
        <x:v>1071.519305237607</x:v>
      </x:c>
      <x:c r="U33" s="31" t="n">
        <x:f>IF(T33="","",I33*T33)</x:f>
        <x:v>159323.4800104545</x:v>
      </x:c>
    </x:row>
    <x:row r="34" ht="18" customHeight="1">
      <x:c r="A34" s="24" t="str">
        <x:v>EEZ_528</x:v>
      </x:c>
      <x:c r="B34" s="24" t="str">
        <x:v>Netherlands</x:v>
      </x:c>
      <x:c r="C34" s="24" t="str">
        <x:v>EEZ</x:v>
      </x:c>
      <x:c r="D34" s="30" t="n">
        <x:v>2019</x:v>
      </x:c>
      <x:c r="E34" s="24" t="str">
        <x:v>Trisopterus luscus</x:v>
      </x:c>
      <x:c r="F34" s="24" t="str">
        <x:v>Pouting</x:v>
      </x:c>
      <x:c r="G34" s="24" t="str">
        <x:v>Medium benthopelagics (30 - 89 cm)</x:v>
      </x:c>
      <x:c r="H34" s="24" t="str">
        <x:v>Cod-likes</x:v>
      </x:c>
      <x:c r="I34" s="31" t="n">
        <x:v>146.2037762896</x:v>
      </x:c>
      <x:c r="J34" s="31" t="n">
        <x:v>99.55512807790001</x:v>
      </x:c>
      <x:c r="K34" s="31" t="n">
        <x:v>46.6486482117</x:v>
      </x:c>
      <x:c r="L34" s="31" t="n">
        <x:v>99.55512807790001</x:v>
      </x:c>
      <x:c r="M34" s="31" t="n">
        <x:v>46.6486482117</x:v>
      </x:c>
      <x:c r="N34" s="24" t="str">
        <x:v>trisopterus luscus</x:v>
      </x:c>
      <x:c r="O34" s="32" t="n">
        <x:v>3.73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Trisopterus luscus</x:v>
      </x:c>
      <x:c r="T34" s="32" t="n">
        <x:f>IF(O34="","",(1/'Metadata'!$B$5)^(O34-1))</x:f>
        <x:v>537.0317963702527</x:v>
      </x:c>
      <x:c r="U34" s="31" t="n">
        <x:f>IF(T34="","",I34*T34)</x:f>
        <x:v>78516.07661691844</x:v>
      </x:c>
    </x:row>
    <x:row r="35" ht="18" customHeight="1">
      <x:c r="A35" s="24" t="str">
        <x:v>EEZ_528</x:v>
      </x:c>
      <x:c r="B35" s="24" t="str">
        <x:v>Netherlands</x:v>
      </x:c>
      <x:c r="C35" s="24" t="str">
        <x:v>EEZ</x:v>
      </x:c>
      <x:c r="D35" s="30" t="n">
        <x:v>2019</x:v>
      </x:c>
      <x:c r="E35" s="24" t="str">
        <x:v>Raja clavata</x:v>
      </x:c>
      <x:c r="F35" s="24" t="str">
        <x:v>Thornback ray</x:v>
      </x:c>
      <x:c r="G35" s="24" t="str">
        <x:v>Large rays (&gt;=90 cm)</x:v>
      </x:c>
      <x:c r="H35" s="24" t="str">
        <x:v>Sharks &amp; rays</x:v>
      </x:c>
      <x:c r="I35" s="31" t="n">
        <x:v>133.8807258214</x:v>
      </x:c>
      <x:c r="J35" s="31" t="n">
        <x:v>133.8807258214</x:v>
      </x:c>
      <x:c r="K35" s="31" t="n">
        <x:v>0</x:v>
      </x:c>
      <x:c r="L35" s="31" t="n">
        <x:v>133.8807258214</x:v>
      </x:c>
      <x:c r="M35" s="31" t="n">
        <x:v>0</x:v>
      </x:c>
      <x:c r="N35" s="24" t="str">
        <x:v>raja clavata</x:v>
      </x:c>
      <x:c r="O35" s="32" t="n">
        <x:v>3.84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Raja clavata</x:v>
      </x:c>
      <x:c r="T35" s="32" t="n">
        <x:f>IF(O35="","",(1/'Metadata'!$B$5)^(O35-1))</x:f>
        <x:v>691.8309709189363</x:v>
      </x:c>
      <x:c r="U35" s="31" t="n">
        <x:f>IF(T35="","",I35*T35)</x:f>
        <x:v>92622.83253235107</x:v>
      </x:c>
    </x:row>
    <x:row r="36" ht="18" customHeight="1">
      <x:c r="A36" s="24" t="str">
        <x:v>EEZ_528</x:v>
      </x:c>
      <x:c r="B36" s="24" t="str">
        <x:v>Netherlands</x:v>
      </x:c>
      <x:c r="C36" s="24" t="str">
        <x:v>EEZ</x:v>
      </x:c>
      <x:c r="D36" s="30" t="n">
        <x:v>2019</x:v>
      </x:c>
      <x:c r="E36" s="24" t="str">
        <x:v>Portunidae</x:v>
      </x:c>
      <x:c r="F36" s="24" t="str">
        <x:v>Swimming crabs</x:v>
      </x:c>
      <x:c r="G36" s="24" t="str">
        <x:v>Lobsters, crabs</x:v>
      </x:c>
      <x:c r="H36" s="24" t="str">
        <x:v>Crustaceans</x:v>
      </x:c>
      <x:c r="I36" s="31" t="n">
        <x:v>125.3881994777</x:v>
      </x:c>
      <x:c r="J36" s="31" t="n">
        <x:v>0</x:v>
      </x:c>
      <x:c r="K36" s="31" t="n">
        <x:v>125.3881994777</x:v>
      </x:c>
      <x:c r="L36" s="31" t="n">
        <x:v>0</x:v>
      </x:c>
      <x:c r="M36" s="31" t="n">
        <x:v>125.3881994777</x:v>
      </x:c>
      <x:c r="N36" s="24" t="str">
        <x:v>portunidae</x:v>
      </x:c>
      <x:c r="O36" s="32" t="n">
        <x:v>3.56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Portunidae</x:v>
      </x:c>
      <x:c r="T36" s="32" t="n">
        <x:f>IF(O36="","",(1/'Metadata'!$B$5)^(O36-1))</x:f>
        <x:v>363.0780547701014</x:v>
      </x:c>
      <x:c r="U36" s="31" t="n">
        <x:f>IF(T36="","",I36*T36)</x:f>
        <x:v>45525.70355748876</x:v>
      </x:c>
    </x:row>
    <x:row r="37" ht="18" customHeight="1">
      <x:c r="A37" s="24" t="str">
        <x:v>EEZ_528</x:v>
      </x:c>
      <x:c r="B37" s="24" t="str">
        <x:v>Netherlands</x:v>
      </x:c>
      <x:c r="C37" s="24" t="str">
        <x:v>EEZ</x:v>
      </x:c>
      <x:c r="D37" s="30" t="n">
        <x:v>2019</x:v>
      </x:c>
      <x:c r="E37" s="24" t="str">
        <x:v>Callionymus lyra</x:v>
      </x:c>
      <x:c r="F37" s="24" t="str">
        <x:v>Dragonet</x:v>
      </x:c>
      <x:c r="G37" s="24" t="str">
        <x:v>Large reef assoc. fish (&gt;=90 cm)</x:v>
      </x:c>
      <x:c r="H37" s="24" t="str">
        <x:v>Perch-likes</x:v>
      </x:c>
      <x:c r="I37" s="31" t="n">
        <x:v>120.1941649704</x:v>
      </x:c>
      <x:c r="J37" s="31" t="n">
        <x:v>0</x:v>
      </x:c>
      <x:c r="K37" s="31" t="n">
        <x:v>120.1941649704</x:v>
      </x:c>
      <x:c r="L37" s="31" t="n">
        <x:v>0</x:v>
      </x:c>
      <x:c r="M37" s="31" t="n">
        <x:v>120.1941649704</x:v>
      </x:c>
      <x:c r="N37" s="24" t="str">
        <x:v>callionymus lyra</x:v>
      </x:c>
      <x:c r="O37" s="32" t="n">
        <x:v>3.27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Callionymus lyra</x:v>
      </x:c>
      <x:c r="T37" s="32" t="n">
        <x:f>IF(O37="","",(1/'Metadata'!$B$5)^(O37-1))</x:f>
        <x:v>186.20871366628674</x:v>
      </x:c>
      <x:c r="U37" s="31" t="n">
        <x:f>IF(T37="","",I37*T37)</x:f>
        <x:v>22381.200849331646</x:v>
      </x:c>
    </x:row>
    <x:row r="38" ht="18" customHeight="1">
      <x:c r="A38" s="24" t="str">
        <x:v>EEZ_528</x:v>
      </x:c>
      <x:c r="B38" s="24" t="str">
        <x:v>Netherlands</x:v>
      </x:c>
      <x:c r="C38" s="24" t="str">
        <x:v>EEZ</x:v>
      </x:c>
      <x:c r="D38" s="30" t="n">
        <x:v>2019</x:v>
      </x:c>
      <x:c r="E38" s="24" t="str">
        <x:v>Lophius piscatorius</x:v>
      </x:c>
      <x:c r="F38" s="24" t="str">
        <x:v>Angler</x:v>
      </x:c>
      <x:c r="G38" s="24" t="str">
        <x:v>Large bathydemersals (&gt;=90 cm)</x:v>
      </x:c>
      <x:c r="H38" s="24" t="str">
        <x:v>Other fishes &amp; inverts</x:v>
      </x:c>
      <x:c r="I38" s="31" t="n">
        <x:v>113.08272530779999</x:v>
      </x:c>
      <x:c r="J38" s="31" t="n">
        <x:v>112.5209390604</x:v>
      </x:c>
      <x:c r="K38" s="31" t="n">
        <x:v>0.5617862473999999</x:v>
      </x:c>
      <x:c r="L38" s="31" t="n">
        <x:v>112.4950986353</x:v>
      </x:c>
      <x:c r="M38" s="31" t="n">
        <x:v>0.5876266725</x:v>
      </x:c>
      <x:c r="N38" s="24" t="str">
        <x:v>lophius piscatorius</x:v>
      </x:c>
      <x:c r="O38" s="32" t="n">
        <x:v>4.45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Lophius piscatorius</x:v>
      </x:c>
      <x:c r="T38" s="32" t="n">
        <x:f>IF(O38="","",(1/'Metadata'!$B$5)^(O38-1))</x:f>
        <x:v>2818.382931264455</x:v>
      </x:c>
      <x:c r="U38" s="31" t="n">
        <x:f>IF(T38="","",I38*T38)</x:f>
        <x:v>318710.4228283705</x:v>
      </x:c>
    </x:row>
    <x:row r="39" ht="18" customHeight="1">
      <x:c r="A39" s="24" t="str">
        <x:v>EEZ_528</x:v>
      </x:c>
      <x:c r="B39" s="24" t="str">
        <x:v>Netherlands</x:v>
      </x:c>
      <x:c r="C39" s="24" t="str">
        <x:v>EEZ</x:v>
      </x:c>
      <x:c r="D39" s="30" t="n">
        <x:v>2019</x:v>
      </x:c>
      <x:c r="E39" s="24" t="str">
        <x:v>Squalidae</x:v>
      </x:c>
      <x:c r="F39" s="24" t="str">
        <x:v>Dogfish sharks</x:v>
      </x:c>
      <x:c r="G39" s="24" t="str">
        <x:v>Large sharks (&gt;=90 cm)</x:v>
      </x:c>
      <x:c r="H39" s="24" t="str">
        <x:v>Sharks &amp; rays</x:v>
      </x:c>
      <x:c r="I39" s="31" t="n">
        <x:v>89.42703548429999</x:v>
      </x:c>
      <x:c r="J39" s="31" t="n">
        <x:v>0.1604610061</x:v>
      </x:c>
      <x:c r="K39" s="31" t="n">
        <x:v>89.2665744782</x:v>
      </x:c>
      <x:c r="L39" s="31" t="n">
        <x:v>0.1604610061</x:v>
      </x:c>
      <x:c r="M39" s="31" t="n">
        <x:v>89.2665744782</x:v>
      </x:c>
      <x:c r="N39" s="24" t="str">
        <x:v>squalidae</x:v>
      </x:c>
      <x:c r="O39" s="32" t="n">
        <x:v>4.23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Squalidae</x:v>
      </x:c>
      <x:c r="T39" s="32" t="n">
        <x:f>IF(O39="","",(1/'Metadata'!$B$5)^(O39-1))</x:f>
        <x:v>1698.243652461746</x:v>
      </x:c>
      <x:c r="U39" s="31" t="n">
        <x:f>IF(T39="","",I39*T39)</x:f>
        <x:v>151868.8953696838</x:v>
      </x:c>
    </x:row>
    <x:row r="40" ht="18" customHeight="1">
      <x:c r="A40" s="24" t="str">
        <x:v>EEZ_528</x:v>
      </x:c>
      <x:c r="B40" s="24" t="str">
        <x:v>Netherlands</x:v>
      </x:c>
      <x:c r="C40" s="24" t="str">
        <x:v>EEZ</x:v>
      </x:c>
      <x:c r="D40" s="30" t="n">
        <x:v>2019</x:v>
      </x:c>
      <x:c r="E40" s="24" t="str">
        <x:v>Miscellaneous aquatic invertebrates</x:v>
      </x:c>
      <x:c r="F40" s="24" t="str">
        <x:v>Aquatic invertebrates</x:v>
      </x:c>
      <x:c r="G40" s="24" t="str">
        <x:v>Other demersal invertebrates</x:v>
      </x:c>
      <x:c r="H40" s="24" t="str">
        <x:v>Other fishes &amp; inverts</x:v>
      </x:c>
      <x:c r="I40" s="31" t="n">
        <x:v>88.9295072582</x:v>
      </x:c>
      <x:c r="J40" s="31" t="n">
        <x:v>0</x:v>
      </x:c>
      <x:c r="K40" s="31" t="n">
        <x:v>88.9295072582</x:v>
      </x:c>
      <x:c r="L40" s="31" t="n">
        <x:v>0</x:v>
      </x:c>
      <x:c r="M40" s="31" t="n">
        <x:v>88.9295072582</x:v>
      </x:c>
      <x:c r="N40" s="24" t="str">
        <x:v>miscellaneous aquatic invertebrates</x:v>
      </x:c>
      <x:c r="O40" s="32" t="n">
        <x:v>2.43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Miscellaneous aquatic invertebrates</x:v>
      </x:c>
      <x:c r="T40" s="32" t="n">
        <x:f>IF(O40="","",(1/'Metadata'!$B$5)^(O40-1))</x:f>
        <x:v>26.915348039269166</x:v>
      </x:c>
      <x:c r="U40" s="31" t="n">
        <x:f>IF(T40="","",I40*T40)</x:f>
        <x:v>2393.5686388151667</x:v>
      </x:c>
    </x:row>
    <x:row r="41" ht="18" customHeight="1">
      <x:c r="A41" s="24" t="str">
        <x:v>EEZ_528</x:v>
      </x:c>
      <x:c r="B41" s="24" t="str">
        <x:v>Netherlands</x:v>
      </x:c>
      <x:c r="C41" s="24" t="str">
        <x:v>EEZ</x:v>
      </x:c>
      <x:c r="D41" s="30" t="n">
        <x:v>2019</x:v>
      </x:c>
      <x:c r="E41" s="24" t="str">
        <x:v>Dicentrarchus labrax</x:v>
      </x:c>
      <x:c r="F41" s="24" t="str">
        <x:v>European seabass</x:v>
      </x:c>
      <x:c r="G41" s="24" t="str">
        <x:v>Large demersals (&gt;=90 cm)</x:v>
      </x:c>
      <x:c r="H41" s="24" t="str">
        <x:v>Perch-likes</x:v>
      </x:c>
      <x:c r="I41" s="31" t="n">
        <x:v>88.7458849067</x:v>
      </x:c>
      <x:c r="J41" s="31" t="n">
        <x:v>88.7458849067</x:v>
      </x:c>
      <x:c r="K41" s="31" t="n">
        <x:v>0</x:v>
      </x:c>
      <x:c r="L41" s="31" t="n">
        <x:v>88.7458849067</x:v>
      </x:c>
      <x:c r="M41" s="31" t="n">
        <x:v>0</x:v>
      </x:c>
      <x:c r="N41" s="24" t="str">
        <x:v>dicentrarchus labrax</x:v>
      </x:c>
      <x:c r="O41" s="32" t="n">
        <x:v>3.79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Dicentrarchus labrax</x:v>
      </x:c>
      <x:c r="T41" s="32" t="n">
        <x:f>IF(O41="","",(1/'Metadata'!$B$5)^(O41-1))</x:f>
        <x:v>616.5950018614822</x:v>
      </x:c>
      <x:c r="U41" s="31" t="n">
        <x:f>IF(T41="","",I41*T41)</x:f>
        <x:v>54720.269069245565</x:v>
      </x:c>
    </x:row>
    <x:row r="42" ht="18" customHeight="1">
      <x:c r="A42" s="24" t="str">
        <x:v>EEZ_528</x:v>
      </x:c>
      <x:c r="B42" s="24" t="str">
        <x:v>Netherlands</x:v>
      </x:c>
      <x:c r="C42" s="24" t="str">
        <x:v>EEZ</x:v>
      </x:c>
      <x:c r="D42" s="30" t="n">
        <x:v>2019</x:v>
      </x:c>
      <x:c r="E42" s="24" t="str">
        <x:v>Gadidae</x:v>
      </x:c>
      <x:c r="F42" s="24" t="str">
        <x:v>Cods, haddocks</x:v>
      </x:c>
      <x:c r="G42" s="24" t="str">
        <x:v>Medium demersals (30 - 89 cm)</x:v>
      </x:c>
      <x:c r="H42" s="24" t="str">
        <x:v>Cod-likes</x:v>
      </x:c>
      <x:c r="I42" s="31" t="n">
        <x:v>87.5316742935</x:v>
      </x:c>
      <x:c r="J42" s="31" t="n">
        <x:v>0</x:v>
      </x:c>
      <x:c r="K42" s="31" t="n">
        <x:v>87.5316742935</x:v>
      </x:c>
      <x:c r="L42" s="31" t="n">
        <x:v>0</x:v>
      </x:c>
      <x:c r="M42" s="31" t="n">
        <x:v>87.5316742935</x:v>
      </x:c>
      <x:c r="N42" s="24" t="str">
        <x:v>gadidae</x:v>
      </x:c>
      <x:c r="O42" s="32" t="n">
        <x:v>3.84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Gadidae</x:v>
      </x:c>
      <x:c r="T42" s="32" t="n">
        <x:f>IF(O42="","",(1/'Metadata'!$B$5)^(O42-1))</x:f>
        <x:v>691.8309709189363</x:v>
      </x:c>
      <x:c r="U42" s="31" t="n">
        <x:f>IF(T42="","",I42*T42)</x:f>
        <x:v>60557.1232126322</x:v>
      </x:c>
    </x:row>
    <x:row r="43" ht="18" customHeight="1">
      <x:c r="A43" s="24" t="str">
        <x:v>EEZ_528</x:v>
      </x:c>
      <x:c r="B43" s="24" t="str">
        <x:v>Netherlands</x:v>
      </x:c>
      <x:c r="C43" s="24" t="str">
        <x:v>EEZ</x:v>
      </x:c>
      <x:c r="D43" s="30" t="n">
        <x:v>2019</x:v>
      </x:c>
      <x:c r="E43" s="24" t="str">
        <x:v>Triglidae</x:v>
      </x:c>
      <x:c r="F43" s="24" t="str">
        <x:v>Searobins, gurnards</x:v>
      </x:c>
      <x:c r="G43" s="24" t="str">
        <x:v>Medium demersals (30 - 89 cm)</x:v>
      </x:c>
      <x:c r="H43" s="24" t="str">
        <x:v>Scorpionfishes</x:v>
      </x:c>
      <x:c r="I43" s="31" t="n">
        <x:v>85.9037405073</x:v>
      </x:c>
      <x:c r="J43" s="31" t="n">
        <x:v>1.0062628483</x:v>
      </x:c>
      <x:c r="K43" s="31" t="n">
        <x:v>84.897477659</x:v>
      </x:c>
      <x:c r="L43" s="31" t="n">
        <x:v>1.0062628483</x:v>
      </x:c>
      <x:c r="M43" s="31" t="n">
        <x:v>84.897477659</x:v>
      </x:c>
      <x:c r="N43" s="24" t="str">
        <x:v>triglidae</x:v>
      </x:c>
      <x:c r="O43" s="32" t="n">
        <x:v>3.74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Triglidae</x:v>
      </x:c>
      <x:c r="T43" s="32" t="n">
        <x:f>IF(O43="","",(1/'Metadata'!$B$5)^(O43-1))</x:f>
        <x:v>549.5408738576248</x:v>
      </x:c>
      <x:c r="U43" s="31" t="n">
        <x:f>IF(T43="","",I43*T43)</x:f>
        <x:v>47207.61662602028</x:v>
      </x:c>
    </x:row>
    <x:row r="44" ht="18" customHeight="1">
      <x:c r="A44" s="24" t="str">
        <x:v>EEZ_528</x:v>
      </x:c>
      <x:c r="B44" s="24" t="str">
        <x:v>Netherlands</x:v>
      </x:c>
      <x:c r="C44" s="24" t="str">
        <x:v>EEZ</x:v>
      </x:c>
      <x:c r="D44" s="30" t="n">
        <x:v>2019</x:v>
      </x:c>
      <x:c r="E44" s="24" t="str">
        <x:v>Scombridae</x:v>
      </x:c>
      <x:c r="F44" s="24" t="str">
        <x:v>Mackerels, tunas, bonitos</x:v>
      </x:c>
      <x:c r="G44" s="24" t="str">
        <x:v>Medium pelagics (30 - 89 cm)</x:v>
      </x:c>
      <x:c r="H44" s="24" t="str">
        <x:v>Perch-likes</x:v>
      </x:c>
      <x:c r="I44" s="31" t="n">
        <x:v>85.8847026456</x:v>
      </x:c>
      <x:c r="J44" s="31" t="n">
        <x:v>0</x:v>
      </x:c>
      <x:c r="K44" s="31" t="n">
        <x:v>85.8847026456</x:v>
      </x:c>
      <x:c r="L44" s="31" t="n">
        <x:v>0</x:v>
      </x:c>
      <x:c r="M44" s="31" t="n">
        <x:v>85.8847026456</x:v>
      </x:c>
      <x:c r="N44" s="24" t="str">
        <x:v>scombridae</x:v>
      </x:c>
      <x:c r="O44" s="32" t="n">
        <x:v>4.26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Scombridae</x:v>
      </x:c>
      <x:c r="T44" s="32" t="n">
        <x:f>IF(O44="","",(1/'Metadata'!$B$5)^(O44-1))</x:f>
        <x:v>1819.7008586099826</x:v>
      </x:c>
      <x:c r="U44" s="31" t="n">
        <x:f>IF(T44="","",I44*T44)</x:f>
        <x:v>156284.46714566136</x:v>
      </x:c>
    </x:row>
    <x:row r="45" ht="18" customHeight="1">
      <x:c r="A45" s="24" t="str">
        <x:v>EEZ_528</x:v>
      </x:c>
      <x:c r="B45" s="24" t="str">
        <x:v>Netherlands</x:v>
      </x:c>
      <x:c r="C45" s="24" t="str">
        <x:v>EEZ</x:v>
      </x:c>
      <x:c r="D45" s="30" t="n">
        <x:v>2019</x:v>
      </x:c>
      <x:c r="E45" s="24" t="str">
        <x:v>Raja montagui</x:v>
      </x:c>
      <x:c r="F45" s="24" t="str">
        <x:v>Spotted ray</x:v>
      </x:c>
      <x:c r="G45" s="24" t="str">
        <x:v>Small to medium rays (&lt;90 cm)</x:v>
      </x:c>
      <x:c r="H45" s="24" t="str">
        <x:v>Sharks &amp; rays</x:v>
      </x:c>
      <x:c r="I45" s="31" t="n">
        <x:v>80.8764780539</x:v>
      </x:c>
      <x:c r="J45" s="31" t="n">
        <x:v>79.87224914880001</x:v>
      </x:c>
      <x:c r="K45" s="31" t="n">
        <x:v>1.0042289051</x:v>
      </x:c>
      <x:c r="L45" s="31" t="n">
        <x:v>79.87224914880001</x:v>
      </x:c>
      <x:c r="M45" s="31" t="n">
        <x:v>1.0042289051</x:v>
      </x:c>
      <x:c r="N45" s="24" t="str">
        <x:v>raja montagui</x:v>
      </x:c>
      <x:c r="O45" s="32" t="n">
        <x:v>3.88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Raja montagui</x:v>
      </x:c>
      <x:c r="T45" s="32" t="n">
        <x:f>IF(O45="","",(1/'Metadata'!$B$5)^(O45-1))</x:f>
        <x:v>758.5775750291835</x:v>
      </x:c>
      <x:c r="U45" s="31" t="n">
        <x:f>IF(T45="","",I45*T45)</x:f>
        <x:v>61351.08259902844</x:v>
      </x:c>
    </x:row>
    <x:row r="46" ht="18" customHeight="1">
      <x:c r="A46" s="24" t="str">
        <x:v>EEZ_528</x:v>
      </x:c>
      <x:c r="B46" s="24" t="str">
        <x:v>Netherlands</x:v>
      </x:c>
      <x:c r="C46" s="24" t="str">
        <x:v>EEZ</x:v>
      </x:c>
      <x:c r="D46" s="30" t="n">
        <x:v>2019</x:v>
      </x:c>
      <x:c r="E46" s="24" t="str">
        <x:v>Clupeidae</x:v>
      </x:c>
      <x:c r="F46" s="24" t="str">
        <x:v>Herrings, sardines, menhadens</x:v>
      </x:c>
      <x:c r="G46" s="24" t="str">
        <x:v>Small pelagics (&lt;30 cm)</x:v>
      </x:c>
      <x:c r="H46" s="24" t="str">
        <x:v>Herring-likes</x:v>
      </x:c>
      <x:c r="I46" s="31" t="n">
        <x:v>75.1827149043</x:v>
      </x:c>
      <x:c r="J46" s="31" t="n">
        <x:v>0.2693179392</x:v>
      </x:c>
      <x:c r="K46" s="31" t="n">
        <x:v>74.9133969651</x:v>
      </x:c>
      <x:c r="L46" s="31" t="n">
        <x:v>0.2693179392</x:v>
      </x:c>
      <x:c r="M46" s="31" t="n">
        <x:v>74.9133969651</x:v>
      </x:c>
      <x:c r="N46" s="24" t="str">
        <x:v>clupeidae</x:v>
      </x:c>
      <x:c r="O46" s="32" t="n">
        <x:v>3.16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Clupeidae</x:v>
      </x:c>
      <x:c r="T46" s="32" t="n">
        <x:f>IF(O46="","",(1/'Metadata'!$B$5)^(O46-1))</x:f>
        <x:v>144.5439770745928</x:v>
      </x:c>
      <x:c r="U46" s="31" t="n">
        <x:f>IF(T46="","",I46*T46)</x:f>
        <x:v>10867.208619532785</x:v>
      </x:c>
    </x:row>
    <x:row r="47" ht="18" customHeight="1">
      <x:c r="A47" s="24" t="str">
        <x:v>EEZ_528</x:v>
      </x:c>
      <x:c r="B47" s="24" t="str">
        <x:v>Netherlands</x:v>
      </x:c>
      <x:c r="C47" s="24" t="str">
        <x:v>EEZ</x:v>
      </x:c>
      <x:c r="D47" s="30" t="n">
        <x:v>2019</x:v>
      </x:c>
      <x:c r="E47" s="24" t="str">
        <x:v>Pleuronectidae</x:v>
      </x:c>
      <x:c r="F47" s="24" t="str">
        <x:v>Righteye flounders</x:v>
      </x:c>
      <x:c r="G47" s="24" t="str">
        <x:v>Small to medium flatfishes (&lt;90 cm)</x:v>
      </x:c>
      <x:c r="H47" s="24" t="str">
        <x:v>Flatfishes</x:v>
      </x:c>
      <x:c r="I47" s="31" t="n">
        <x:v>75.0011969591</x:v>
      </x:c>
      <x:c r="J47" s="31" t="n">
        <x:v>0</x:v>
      </x:c>
      <x:c r="K47" s="31" t="n">
        <x:v>75.0011969591</x:v>
      </x:c>
      <x:c r="L47" s="31" t="n">
        <x:v>0</x:v>
      </x:c>
      <x:c r="M47" s="31" t="n">
        <x:v>75.0011969591</x:v>
      </x:c>
      <x:c r="N47" s="24" t="str">
        <x:v>pleuronectidae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Pleuronectidae</x:v>
      </x:c>
      <x:c r="T47" s="32" t="n">
        <x:f>IF(O47="","",(1/'Metadata'!$B$5)^(O47-1))</x:f>
        <x:v>309.0295432513592</x:v>
      </x:c>
      <x:c r="U47" s="31" t="n">
        <x:f>IF(T47="","",I47*T47)</x:f>
        <x:v>23177.585639575904</x:v>
      </x:c>
    </x:row>
    <x:row r="48" ht="18" customHeight="1">
      <x:c r="A48" s="24" t="str">
        <x:v>EEZ_528</x:v>
      </x:c>
      <x:c r="B48" s="24" t="str">
        <x:v>Netherlands</x:v>
      </x:c>
      <x:c r="C48" s="24" t="str">
        <x:v>EEZ</x:v>
      </x:c>
      <x:c r="D48" s="30" t="n">
        <x:v>2019</x:v>
      </x:c>
      <x:c r="E48" s="24" t="str">
        <x:v>Lophiidae</x:v>
      </x:c>
      <x:c r="F48" s="24" t="str">
        <x:v>Goosefishes</x:v>
      </x:c>
      <x:c r="G48" s="24" t="str">
        <x:v>Medium bathydemersals (30 - 89 cm)</x:v>
      </x:c>
      <x:c r="H48" s="24" t="str">
        <x:v>Other fishes &amp; inverts</x:v>
      </x:c>
      <x:c r="I48" s="31" t="n">
        <x:v>74.2906441769</x:v>
      </x:c>
      <x:c r="J48" s="31" t="n">
        <x:v>74.2858339167</x:v>
      </x:c>
      <x:c r="K48" s="31" t="n">
        <x:v>0.0048102602</x:v>
      </x:c>
      <x:c r="L48" s="31" t="n">
        <x:v>74.2449509668</x:v>
      </x:c>
      <x:c r="M48" s="31" t="n">
        <x:v>0.0456932101</x:v>
      </x:c>
      <x:c r="N48" s="24" t="str">
        <x:v>lophiidae</x:v>
      </x:c>
      <x:c r="O48" s="32" t="n">
        <x:v>4.46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Lophiidae</x:v>
      </x:c>
      <x:c r="T48" s="32" t="n">
        <x:f>IF(O48="","",(1/'Metadata'!$B$5)^(O48-1))</x:f>
        <x:v>2884.031503126606</x:v>
      </x:c>
      <x:c r="U48" s="31" t="n">
        <x:f>IF(T48="","",I48*T48)</x:f>
        <x:v>214256.55819374876</x:v>
      </x:c>
    </x:row>
    <x:row r="49" ht="18" customHeight="1">
      <x:c r="A49" s="24" t="str">
        <x:v>EEZ_528</x:v>
      </x:c>
      <x:c r="B49" s="24" t="str">
        <x:v>Netherlands</x:v>
      </x:c>
      <x:c r="C49" s="24" t="str">
        <x:v>EEZ</x:v>
      </x:c>
      <x:c r="D49" s="30" t="n">
        <x:v>2019</x:v>
      </x:c>
      <x:c r="E49" s="24" t="str">
        <x:v>Miscellaneous marine crustaceans</x:v>
      </x:c>
      <x:c r="F49" s="24" t="str">
        <x:v>Marine crabs, shrimps, lobsters nei</x:v>
      </x:c>
      <x:c r="G49" s="24" t="str">
        <x:v>Shrimps</x:v>
      </x:c>
      <x:c r="H49" s="24" t="str">
        <x:v>Crustaceans</x:v>
      </x:c>
      <x:c r="I49" s="31" t="n">
        <x:v>72.0692032911</x:v>
      </x:c>
      <x:c r="J49" s="31" t="n">
        <x:v>0.21706016500000003</x:v>
      </x:c>
      <x:c r="K49" s="31" t="n">
        <x:v>71.8521431261</x:v>
      </x:c>
      <x:c r="L49" s="31" t="n">
        <x:v>0.21706016500000003</x:v>
      </x:c>
      <x:c r="M49" s="31" t="n">
        <x:v>71.8521431261</x:v>
      </x:c>
      <x:c r="N49" s="24" t="str">
        <x:v>miscellaneous marine crustaceans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Miscellaneous marine crustaceans</x:v>
      </x:c>
      <x:c r="T49" s="32" t="n">
        <x:f>IF(O49="","",(1/'Metadata'!$B$5)^(O49-1))</x:f>
        <x:v>50.11872336272725</x:v>
      </x:c>
      <x:c r="U49" s="31" t="n">
        <x:f>IF(T49="","",I49*T49)</x:f>
        <x:v>3612.0164627187933</x:v>
      </x:c>
    </x:row>
    <x:row r="50" ht="18" customHeight="1">
      <x:c r="A50" s="24" t="str">
        <x:v>EEZ_528</x:v>
      </x:c>
      <x:c r="B50" s="24" t="str">
        <x:v>Netherlands</x:v>
      </x:c>
      <x:c r="C50" s="24" t="str">
        <x:v>EEZ</x:v>
      </x:c>
      <x:c r="D50" s="30" t="n">
        <x:v>2019</x:v>
      </x:c>
      <x:c r="E50" s="24" t="str">
        <x:v>Squaliformes</x:v>
      </x:c>
      <x:c r="F50" s="24" t="str">
        <x:v>Bramble, sleeper, dogfish sharks</x:v>
      </x:c>
      <x:c r="G50" s="24" t="str">
        <x:v>Large sharks (&gt;=90 cm)</x:v>
      </x:c>
      <x:c r="H50" s="24" t="str">
        <x:v>Sharks &amp; rays</x:v>
      </x:c>
      <x:c r="I50" s="31" t="n">
        <x:v>66.3322770833</x:v>
      </x:c>
      <x:c r="J50" s="31" t="n">
        <x:v>0.0020272445000000003</x:v>
      </x:c>
      <x:c r="K50" s="31" t="n">
        <x:v>66.3302498388</x:v>
      </x:c>
      <x:c r="L50" s="31" t="n">
        <x:v>0.0020272445000000003</x:v>
      </x:c>
      <x:c r="M50" s="31" t="n">
        <x:v>66.3302498388</x:v>
      </x:c>
      <x:c r="N50" s="24" t="str">
        <x:v>squaliformes</x:v>
      </x:c>
      <x:c r="O50" s="32" t="n">
        <x:v>4.19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Squaliformes</x:v>
      </x:c>
      <x:c r="T50" s="32" t="n">
        <x:f>IF(O50="","",(1/'Metadata'!$B$5)^(O50-1))</x:f>
        <x:v>1548.8166189124827</x:v>
      </x:c>
      <x:c r="U50" s="31" t="n">
        <x:f>IF(T50="","",I50*T50)</x:f>
        <x:v>102736.53311692267</x:v>
      </x:c>
    </x:row>
    <x:row r="51" ht="18" customHeight="1">
      <x:c r="A51" s="24" t="str">
        <x:v>EEZ_528</x:v>
      </x:c>
      <x:c r="B51" s="24" t="str">
        <x:v>Netherlands</x:v>
      </x:c>
      <x:c r="C51" s="24" t="str">
        <x:v>EEZ</x:v>
      </x:c>
      <x:c r="D51" s="30" t="n">
        <x:v>2019</x:v>
      </x:c>
      <x:c r="E51" s="24" t="str">
        <x:v>Raja brachyura</x:v>
      </x:c>
      <x:c r="F51" s="24" t="str">
        <x:v>Blonde ray</x:v>
      </x:c>
      <x:c r="G51" s="24" t="str">
        <x:v>Large rays (&gt;=90 cm)</x:v>
      </x:c>
      <x:c r="H51" s="24" t="str">
        <x:v>Sharks &amp; rays</x:v>
      </x:c>
      <x:c r="I51" s="31" t="n">
        <x:v>64.3711267555</x:v>
      </x:c>
      <x:c r="J51" s="31" t="n">
        <x:v>64.3711267555</x:v>
      </x:c>
      <x:c r="K51" s="31" t="n">
        <x:v>0</x:v>
      </x:c>
      <x:c r="L51" s="31" t="n">
        <x:v>64.3711267555</x:v>
      </x:c>
      <x:c r="M51" s="31" t="n">
        <x:v>0</x:v>
      </x:c>
      <x:c r="N51" s="24" t="str">
        <x:v>raja brachyura</x:v>
      </x:c>
      <x:c r="O51" s="32" t="n">
        <x:v>3.89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Raja brachyura</x:v>
      </x:c>
      <x:c r="T51" s="32" t="n">
        <x:f>IF(O51="","",(1/'Metadata'!$B$5)^(O51-1))</x:f>
        <x:v>776.247116628692</x:v>
      </x:c>
      <x:c r="U51" s="31" t="n">
        <x:f>IF(T51="","",I51*T51)</x:f>
        <x:v>49967.90153809692</x:v>
      </x:c>
    </x:row>
    <x:row r="52" ht="18" customHeight="1">
      <x:c r="A52" s="24" t="str">
        <x:v>EEZ_528</x:v>
      </x:c>
      <x:c r="B52" s="24" t="str">
        <x:v>Netherlands</x:v>
      </x:c>
      <x:c r="C52" s="24" t="str">
        <x:v>EEZ</x:v>
      </x:c>
      <x:c r="D52" s="30" t="n">
        <x:v>2019</x:v>
      </x:c>
      <x:c r="E52" s="24" t="str">
        <x:v>Raja</x:v>
      </x:c>
      <x:c r="F52" s="24" t="str">
        <x:v>Stingrays, skates</x:v>
      </x:c>
      <x:c r="G52" s="24" t="str">
        <x:v>Small to medium rays (&lt;90 cm)</x:v>
      </x:c>
      <x:c r="H52" s="24" t="str">
        <x:v>Sharks &amp; rays</x:v>
      </x:c>
      <x:c r="I52" s="31" t="n">
        <x:v>63.099282335199995</x:v>
      </x:c>
      <x:c r="J52" s="31" t="n">
        <x:v>13.2739285224</x:v>
      </x:c>
      <x:c r="K52" s="31" t="n">
        <x:v>49.8253538128</x:v>
      </x:c>
      <x:c r="L52" s="31" t="n">
        <x:v>13.2739285224</x:v>
      </x:c>
      <x:c r="M52" s="31" t="n">
        <x:v>49.8253538128</x:v>
      </x:c>
      <x:c r="N52" s="24" t="str">
        <x:v>raja</x:v>
      </x:c>
      <x:c r="O52" s="32" t="n">
        <x:v>3.8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Raja</x:v>
      </x:c>
      <x:c r="T52" s="32" t="n">
        <x:f>IF(O52="","",(1/'Metadata'!$B$5)^(O52-1))</x:f>
        <x:v>630.957344480193</x:v>
      </x:c>
      <x:c r="U52" s="31" t="n">
        <x:f>IF(T52="","",I52*T52)</x:f>
        <x:v>39812.95562082374</x:v>
      </x:c>
    </x:row>
    <x:row r="53" ht="18" customHeight="1">
      <x:c r="A53" s="24" t="str">
        <x:v>EEZ_528</x:v>
      </x:c>
      <x:c r="B53" s="24" t="str">
        <x:v>Netherlands</x:v>
      </x:c>
      <x:c r="C53" s="24" t="str">
        <x:v>EEZ</x:v>
      </x:c>
      <x:c r="D53" s="30" t="n">
        <x:v>2019</x:v>
      </x:c>
      <x:c r="E53" s="24" t="str">
        <x:v>Illex</x:v>
      </x:c>
      <x:c r="F53" s="24" t="str">
        <x:v>Shortfin squid</x:v>
      </x:c>
      <x:c r="G53" s="24" t="str">
        <x:v>Cephalopods</x:v>
      </x:c>
      <x:c r="H53" s="24" t="str">
        <x:v>Other fishes &amp; inverts</x:v>
      </x:c>
      <x:c r="I53" s="31" t="n">
        <x:v>55.9200945073</x:v>
      </x:c>
      <x:c r="J53" s="31" t="n">
        <x:v>55.9200945073</x:v>
      </x:c>
      <x:c r="K53" s="31" t="n">
        <x:v>0</x:v>
      </x:c>
      <x:c r="L53" s="31" t="n">
        <x:v>55.9200945073</x:v>
      </x:c>
      <x:c r="M53" s="31" t="n">
        <x:v>0</x:v>
      </x:c>
      <x:c r="N53" s="24" t="str">
        <x:v>illex</x:v>
      </x:c>
      <x:c r="O53" s="32" t="n">
        <x:v>3.98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Illex</x:v>
      </x:c>
      <x:c r="T53" s="32" t="n">
        <x:f>IF(O53="","",(1/'Metadata'!$B$5)^(O53-1))</x:f>
        <x:v>954.992586021436</x:v>
      </x:c>
      <x:c r="U53" s="31" t="n">
        <x:f>IF(T53="","",I53*T53)</x:f>
        <x:v>53403.275664089524</x:v>
      </x:c>
    </x:row>
    <x:row r="54" ht="18" customHeight="1">
      <x:c r="A54" s="24" t="str">
        <x:v>EEZ_528</x:v>
      </x:c>
      <x:c r="B54" s="24" t="str">
        <x:v>Netherlands</x:v>
      </x:c>
      <x:c r="C54" s="24" t="str">
        <x:v>EEZ</x:v>
      </x:c>
      <x:c r="D54" s="30" t="n">
        <x:v>2019</x:v>
      </x:c>
      <x:c r="E54" s="24" t="str">
        <x:v>Marine finfishes not identified</x:v>
      </x:c>
      <x:c r="F54" s="24" t="str">
        <x:v>Finfishes</x:v>
      </x:c>
      <x:c r="G54" s="24" t="str">
        <x:v>Medium demersals (30 - 89 cm)</x:v>
      </x:c>
      <x:c r="H54" s="24" t="str">
        <x:v>Other fishes &amp; inverts</x:v>
      </x:c>
      <x:c r="I54" s="31" t="n">
        <x:v>55.6533896988</x:v>
      </x:c>
      <x:c r="J54" s="31" t="n">
        <x:v>0</x:v>
      </x:c>
      <x:c r="K54" s="31" t="n">
        <x:v>55.6533896988</x:v>
      </x:c>
      <x:c r="L54" s="31" t="n">
        <x:v>0</x:v>
      </x:c>
      <x:c r="M54" s="31" t="n">
        <x:v>55.6533896988</x:v>
      </x:c>
      <x:c r="N54" s="24" t="str">
        <x:v>marine finfishes not identified</x:v>
      </x:c>
      <x:c r="O54" s="32" t="n">
        <x:v>3.23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Marine finfishes not identified</x:v>
      </x:c>
      <x:c r="T54" s="32" t="n">
        <x:f>IF(O54="","",(1/'Metadata'!$B$5)^(O54-1))</x:f>
        <x:v>169.82436524617444</x:v>
      </x:c>
      <x:c r="U54" s="31" t="n">
        <x:f>IF(T54="","",I54*T54)</x:f>
        <x:v>9451.301579396693</x:v>
      </x:c>
    </x:row>
    <x:row r="55" ht="18" customHeight="1">
      <x:c r="A55" s="24" t="str">
        <x:v>EEZ_528</x:v>
      </x:c>
      <x:c r="B55" s="24" t="str">
        <x:v>Netherlands</x:v>
      </x:c>
      <x:c r="C55" s="24" t="str">
        <x:v>EEZ</x:v>
      </x:c>
      <x:c r="D55" s="30" t="n">
        <x:v>2019</x:v>
      </x:c>
      <x:c r="E55" s="24" t="str">
        <x:v>Carangidae</x:v>
      </x:c>
      <x:c r="F55" s="24" t="str">
        <x:v>Jacks, pompanos</x:v>
      </x:c>
      <x:c r="G55" s="24" t="str">
        <x:v>Medium pelagics (30 - 89 cm)</x:v>
      </x:c>
      <x:c r="H55" s="24" t="str">
        <x:v>Perch-likes</x:v>
      </x:c>
      <x:c r="I55" s="31" t="n">
        <x:v>55.3488891288</x:v>
      </x:c>
      <x:c r="J55" s="31" t="n">
        <x:v>0</x:v>
      </x:c>
      <x:c r="K55" s="31" t="n">
        <x:v>55.3488891288</x:v>
      </x:c>
      <x:c r="L55" s="31" t="n">
        <x:v>0</x:v>
      </x:c>
      <x:c r="M55" s="31" t="n">
        <x:v>55.3488891288</x:v>
      </x:c>
      <x:c r="N55" s="24" t="str">
        <x:v>carangidae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Carangidae</x:v>
      </x:c>
      <x:c r="T55" s="32" t="n">
        <x:f>IF(O55="","",(1/'Metadata'!$B$5)^(O55-1))</x:f>
        <x:v>1122.018454301963</x:v>
      </x:c>
      <x:c r="U55" s="31" t="n">
        <x:f>IF(T55="","",I55*T55)</x:f>
        <x:v>62102.4750276269</x:v>
      </x:c>
    </x:row>
    <x:row r="56" ht="18" customHeight="1">
      <x:c r="A56" s="24" t="str">
        <x:v>EEZ_528</x:v>
      </x:c>
      <x:c r="B56" s="24" t="str">
        <x:v>Netherlands</x:v>
      </x:c>
      <x:c r="C56" s="24" t="str">
        <x:v>EEZ</x:v>
      </x:c>
      <x:c r="D56" s="30" t="n">
        <x:v>2019</x:v>
      </x:c>
      <x:c r="E56" s="24" t="str">
        <x:v>Merlucciidae</x:v>
      </x:c>
      <x:c r="F56" s="24" t="str">
        <x:v>Merluccid hakes</x:v>
      </x:c>
      <x:c r="G56" s="24" t="str">
        <x:v>Large bathydemersals (&gt;=90 cm)</x:v>
      </x:c>
      <x:c r="H56" s="24" t="str">
        <x:v>Cod-likes</x:v>
      </x:c>
      <x:c r="I56" s="31" t="n">
        <x:v>54.7128515374</x:v>
      </x:c>
      <x:c r="J56" s="31" t="n">
        <x:v>0</x:v>
      </x:c>
      <x:c r="K56" s="31" t="n">
        <x:v>54.7128515374</x:v>
      </x:c>
      <x:c r="L56" s="31" t="n">
        <x:v>0</x:v>
      </x:c>
      <x:c r="M56" s="31" t="n">
        <x:v>54.7128515374</x:v>
      </x:c>
      <x:c r="N56" s="24" t="str">
        <x:v>merlucciidae</x:v>
      </x:c>
      <x:c r="O56" s="32" t="n">
        <x:v>4.35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Merlucciidae</x:v>
      </x:c>
      <x:c r="T56" s="32" t="n">
        <x:f>IF(O56="","",(1/'Metadata'!$B$5)^(O56-1))</x:f>
        <x:v>2238.7211385683377</x:v>
      </x:c>
      <x:c r="U56" s="31" t="n">
        <x:f>IF(T56="","",I56*T56)</x:f>
        <x:v>122486.81728812854</x:v>
      </x:c>
    </x:row>
    <x:row r="57" ht="18" customHeight="1">
      <x:c r="A57" s="24" t="str">
        <x:v>EEZ_528</x:v>
      </x:c>
      <x:c r="B57" s="24" t="str">
        <x:v>Netherlands</x:v>
      </x:c>
      <x:c r="C57" s="24" t="str">
        <x:v>EEZ</x:v>
      </x:c>
      <x:c r="D57" s="30" t="n">
        <x:v>2019</x:v>
      </x:c>
      <x:c r="E57" s="24" t="str">
        <x:v>Homarus gammarus</x:v>
      </x:c>
      <x:c r="F57" s="24" t="str">
        <x:v>European lobster</x:v>
      </x:c>
      <x:c r="G57" s="24" t="str">
        <x:v>Lobsters, crabs</x:v>
      </x:c>
      <x:c r="H57" s="24" t="str">
        <x:v>Crustaceans</x:v>
      </x:c>
      <x:c r="I57" s="31" t="n">
        <x:v>54.1242165777</x:v>
      </x:c>
      <x:c r="J57" s="31" t="n">
        <x:v>54.1242165777</x:v>
      </x:c>
      <x:c r="K57" s="31" t="n">
        <x:v>0</x:v>
      </x:c>
      <x:c r="L57" s="31" t="n">
        <x:v>54.1242165777</x:v>
      </x:c>
      <x:c r="M57" s="31" t="n">
        <x:v>0</x:v>
      </x:c>
      <x:c r="N57" s="24" t="str">
        <x:v>homarus gammarus</x:v>
      </x:c>
      <x:c r="O57" s="32" t="n">
        <x:v>3.7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Homarus gammarus</x:v>
      </x:c>
      <x:c r="T57" s="32" t="n">
        <x:f>IF(O57="","",(1/'Metadata'!$B$5)^(O57-1))</x:f>
        <x:v>501.18723362727246</x:v>
      </x:c>
      <x:c r="U57" s="31" t="n">
        <x:f>IF(T57="","",I57*T57)</x:f>
        <x:v>27126.36637882082</x:v>
      </x:c>
    </x:row>
    <x:row r="58" ht="18" customHeight="1">
      <x:c r="A58" s="24" t="str">
        <x:v>EEZ_528</x:v>
      </x:c>
      <x:c r="B58" s="24" t="str">
        <x:v>Netherlands</x:v>
      </x:c>
      <x:c r="C58" s="24" t="str">
        <x:v>EEZ</x:v>
      </x:c>
      <x:c r="D58" s="30" t="n">
        <x:v>2019</x:v>
      </x:c>
      <x:c r="E58" s="24" t="str">
        <x:v>Soleidae</x:v>
      </x:c>
      <x:c r="F58" s="24" t="str">
        <x:v>Soles</x:v>
      </x:c>
      <x:c r="G58" s="24" t="str">
        <x:v>Small to medium flatfishes (&lt;90 cm)</x:v>
      </x:c>
      <x:c r="H58" s="24" t="str">
        <x:v>Flatfishes</x:v>
      </x:c>
      <x:c r="I58" s="31" t="n">
        <x:v>51.5503580994</x:v>
      </x:c>
      <x:c r="J58" s="31" t="n">
        <x:v>0.003410585</x:v>
      </x:c>
      <x:c r="K58" s="31" t="n">
        <x:v>51.5469475144</x:v>
      </x:c>
      <x:c r="L58" s="31" t="n">
        <x:v>0.003410585</x:v>
      </x:c>
      <x:c r="M58" s="31" t="n">
        <x:v>51.5469475144</x:v>
      </x:c>
      <x:c r="N58" s="24" t="str">
        <x:v>soleidae</x:v>
      </x:c>
      <x:c r="O58" s="32" t="n">
        <x:v>3.15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Soleidae</x:v>
      </x:c>
      <x:c r="T58" s="32" t="n">
        <x:f>IF(O58="","",(1/'Metadata'!$B$5)^(O58-1))</x:f>
        <x:v>141.2537544622754</x:v>
      </x:c>
      <x:c r="U58" s="31" t="n">
        <x:f>IF(T58="","",I58*T58)</x:f>
        <x:v>7281.681625415017</x:v>
      </x:c>
    </x:row>
    <x:row r="59" ht="18" customHeight="1">
      <x:c r="A59" s="24" t="str">
        <x:v>EEZ_528</x:v>
      </x:c>
      <x:c r="B59" s="24" t="str">
        <x:v>Netherlands</x:v>
      </x:c>
      <x:c r="C59" s="24" t="str">
        <x:v>EEZ</x:v>
      </x:c>
      <x:c r="D59" s="30" t="n">
        <x:v>2019</x:v>
      </x:c>
      <x:c r="E59" s="24" t="str">
        <x:v>Pecten maximus</x:v>
      </x:c>
      <x:c r="F59" s="24" t="str">
        <x:v>Great Atlantic scallop</x:v>
      </x:c>
      <x:c r="G59" s="24" t="str">
        <x:v>Other demersal invertebrates</x:v>
      </x:c>
      <x:c r="H59" s="24" t="str">
        <x:v>Molluscs</x:v>
      </x:c>
      <x:c r="I59" s="31" t="n">
        <x:v>48.4297956127</x:v>
      </x:c>
      <x:c r="J59" s="31" t="n">
        <x:v>48.4297956127</x:v>
      </x:c>
      <x:c r="K59" s="31" t="n">
        <x:v>0</x:v>
      </x:c>
      <x:c r="L59" s="31" t="n">
        <x:v>48.4297956127</x:v>
      </x:c>
      <x:c r="M59" s="31" t="n">
        <x:v>0</x:v>
      </x:c>
      <x:c r="N59" s="24" t="str">
        <x:v>pecten maximus</x:v>
      </x:c>
      <x:c r="O59" s="32" t="n">
        <x:v>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Pecten maximus</x:v>
      </x:c>
      <x:c r="T59" s="32" t="n">
        <x:f>IF(O59="","",(1/'Metadata'!$B$5)^(O59-1))</x:f>
        <x:v>10</x:v>
      </x:c>
      <x:c r="U59" s="31" t="n">
        <x:f>IF(T59="","",I59*T59)</x:f>
        <x:v>484.29795612699996</x:v>
      </x:c>
    </x:row>
    <x:row r="60" ht="18" customHeight="1">
      <x:c r="A60" s="24" t="str">
        <x:v>EEZ_528</x:v>
      </x:c>
      <x:c r="B60" s="24" t="str">
        <x:v>Netherlands</x:v>
      </x:c>
      <x:c r="C60" s="24" t="str">
        <x:v>EEZ</x:v>
      </x:c>
      <x:c r="D60" s="30" t="n">
        <x:v>2019</x:v>
      </x:c>
      <x:c r="E60" s="24" t="str">
        <x:v>Amblyraja radiata</x:v>
      </x:c>
      <x:c r="F60" s="24" t="str">
        <x:v>Starry ray</x:v>
      </x:c>
      <x:c r="G60" s="24" t="str">
        <x:v>Large rays (&gt;=90 cm)</x:v>
      </x:c>
      <x:c r="H60" s="24" t="str">
        <x:v>Sharks &amp; rays</x:v>
      </x:c>
      <x:c r="I60" s="31" t="n">
        <x:v>45.286685767600005</x:v>
      </x:c>
      <x:c r="J60" s="31" t="n">
        <x:v>0.3498251775999999</x:v>
      </x:c>
      <x:c r="K60" s="31" t="n">
        <x:v>44.93686059</x:v>
      </x:c>
      <x:c r="L60" s="31" t="n">
        <x:v>0.3498251775999999</x:v>
      </x:c>
      <x:c r="M60" s="31" t="n">
        <x:v>44.93686059</x:v>
      </x:c>
      <x:c r="N60" s="24" t="str">
        <x:v>amblyraja radiata</x:v>
      </x:c>
      <x:c r="O60" s="32" t="n">
        <x:v>4.2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Amblyraja radiata</x:v>
      </x:c>
      <x:c r="T60" s="32" t="n">
        <x:f>IF(O60="","",(1/'Metadata'!$B$5)^(O60-1))</x:f>
        <x:v>1584.893192461114</x:v>
      </x:c>
      <x:c r="U60" s="31" t="n">
        <x:f>IF(T60="","",I60*T60)</x:f>
        <x:v>71774.55998219487</x:v>
      </x:c>
    </x:row>
    <x:row r="61" ht="18" customHeight="1">
      <x:c r="A61" s="24" t="str">
        <x:v>EEZ_528</x:v>
      </x:c>
      <x:c r="B61" s="24" t="str">
        <x:v>Netherlands</x:v>
      </x:c>
      <x:c r="C61" s="24" t="str">
        <x:v>EEZ</x:v>
      </x:c>
      <x:c r="D61" s="30" t="n">
        <x:v>2019</x:v>
      </x:c>
      <x:c r="E61" s="24" t="str">
        <x:v>Chelidonichthys cuculus</x:v>
      </x:c>
      <x:c r="F61" s="24" t="str">
        <x:v>Red gurnard</x:v>
      </x:c>
      <x:c r="G61" s="24" t="str">
        <x:v>Medium demersals (30 - 89 cm)</x:v>
      </x:c>
      <x:c r="H61" s="24" t="str">
        <x:v>Scorpionfishes</x:v>
      </x:c>
      <x:c r="I61" s="31" t="n">
        <x:v>38.7755315282</x:v>
      </x:c>
      <x:c r="J61" s="31" t="n">
        <x:v>38.7755315282</x:v>
      </x:c>
      <x:c r="K61" s="31" t="n">
        <x:v>0</x:v>
      </x:c>
      <x:c r="L61" s="31" t="n">
        <x:v>38.7755315282</x:v>
      </x:c>
      <x:c r="M61" s="31" t="n">
        <x:v>0</x:v>
      </x:c>
      <x:c r="N61" s="24" t="str">
        <x:v>chelidonichthys cuculus</x:v>
      </x:c>
      <x:c r="O61" s="32" t="n">
        <x:v>3.81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Chelidonichthys cuculus</x:v>
      </x:c>
      <x:c r="T61" s="32" t="n">
        <x:f>IF(O61="","",(1/'Metadata'!$B$5)^(O61-1))</x:f>
        <x:v>645.6542290346556</x:v>
      </x:c>
      <x:c r="U61" s="31" t="n">
        <x:f>IF(T61="","",I61*T61)</x:f>
        <x:v>25035.58591424895</x:v>
      </x:c>
    </x:row>
    <x:row r="62" ht="18" customHeight="1">
      <x:c r="A62" s="24" t="str">
        <x:v>EEZ_528</x:v>
      </x:c>
      <x:c r="B62" s="24" t="str">
        <x:v>Netherlands</x:v>
      </x:c>
      <x:c r="C62" s="24" t="str">
        <x:v>EEZ</x:v>
      </x:c>
      <x:c r="D62" s="30" t="n">
        <x:v>2019</x:v>
      </x:c>
      <x:c r="E62" s="24" t="str">
        <x:v>Pollachius pollachius</x:v>
      </x:c>
      <x:c r="F62" s="24" t="str">
        <x:v>Pollack</x:v>
      </x:c>
      <x:c r="G62" s="24" t="str">
        <x:v>Large benthopelagics (&gt;=90 cm)</x:v>
      </x:c>
      <x:c r="H62" s="24" t="str">
        <x:v>Cod-likes</x:v>
      </x:c>
      <x:c r="I62" s="31" t="n">
        <x:v>37.571973123</x:v>
      </x:c>
      <x:c r="J62" s="31" t="n">
        <x:v>36.0633305943</x:v>
      </x:c>
      <x:c r="K62" s="31" t="n">
        <x:v>1.5086425286999998</x:v>
      </x:c>
      <x:c r="L62" s="31" t="n">
        <x:v>35.6569381165</x:v>
      </x:c>
      <x:c r="M62" s="31" t="n">
        <x:v>1.9150350065</x:v>
      </x:c>
      <x:c r="N62" s="24" t="str">
        <x:v>pollachius pollachius</x:v>
      </x:c>
      <x:c r="O62" s="32" t="n">
        <x:v>4.32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Pollachius pollachius</x:v>
      </x:c>
      <x:c r="T62" s="32" t="n">
        <x:f>IF(O62="","",(1/'Metadata'!$B$5)^(O62-1))</x:f>
        <x:v>2089.2961308540407</x:v>
      </x:c>
      <x:c r="U62" s="31" t="n">
        <x:f>IF(T62="","",I62*T62)</x:f>
        <x:v>78498.9780744359</x:v>
      </x:c>
    </x:row>
    <x:row r="63" ht="18" customHeight="1">
      <x:c r="A63" s="24" t="str">
        <x:v>EEZ_528</x:v>
      </x:c>
      <x:c r="B63" s="24" t="str">
        <x:v>Netherlands</x:v>
      </x:c>
      <x:c r="C63" s="24" t="str">
        <x:v>EEZ</x:v>
      </x:c>
      <x:c r="D63" s="30" t="n">
        <x:v>2019</x:v>
      </x:c>
      <x:c r="E63" s="24" t="str">
        <x:v>Ostrea edulis</x:v>
      </x:c>
      <x:c r="F63" s="24" t="str">
        <x:v>European flat oyster</x:v>
      </x:c>
      <x:c r="G63" s="24" t="str">
        <x:v>Other demersal invertebrates</x:v>
      </x:c>
      <x:c r="H63" s="24" t="str">
        <x:v>Molluscs</x:v>
      </x:c>
      <x:c r="I63" s="31" t="n">
        <x:v>37.2490285126</x:v>
      </x:c>
      <x:c r="J63" s="31" t="n">
        <x:v>37.2490285126</x:v>
      </x:c>
      <x:c r="K63" s="31" t="n">
        <x:v>0</x:v>
      </x:c>
      <x:c r="L63" s="31" t="n">
        <x:v>37.2490285126</x:v>
      </x:c>
      <x:c r="M63" s="31" t="n">
        <x:v>0</x:v>
      </x:c>
      <x:c r="N63" s="24" t="str">
        <x:v>ostrea edulis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Ostrea edulis</x:v>
      </x:c>
      <x:c r="T63" s="32" t="n">
        <x:f>IF(O63="","",(1/'Metadata'!$B$5)^(O63-1))</x:f>
        <x:v>10</x:v>
      </x:c>
      <x:c r="U63" s="31" t="n">
        <x:f>IF(T63="","",I63*T63)</x:f>
        <x:v>372.490285126</x:v>
      </x:c>
    </x:row>
    <x:row r="64" ht="18" customHeight="1">
      <x:c r="A64" s="24" t="str">
        <x:v>EEZ_528</x:v>
      </x:c>
      <x:c r="B64" s="24" t="str">
        <x:v>Netherlands</x:v>
      </x:c>
      <x:c r="C64" s="24" t="str">
        <x:v>EEZ</x:v>
      </x:c>
      <x:c r="D64" s="30" t="n">
        <x:v>2019</x:v>
      </x:c>
      <x:c r="E64" s="24" t="str">
        <x:v>Sardina pilchardus</x:v>
      </x:c>
      <x:c r="F64" s="24" t="str">
        <x:v>European pilchard</x:v>
      </x:c>
      <x:c r="G64" s="24" t="str">
        <x:v>Small pelagics (&lt;30 cm)</x:v>
      </x:c>
      <x:c r="H64" s="24" t="str">
        <x:v>Herring-likes</x:v>
      </x:c>
      <x:c r="I64" s="31" t="n">
        <x:v>35.0768490051</x:v>
      </x:c>
      <x:c r="J64" s="31" t="n">
        <x:v>35.0768490051</x:v>
      </x:c>
      <x:c r="K64" s="31" t="n">
        <x:v>0</x:v>
      </x:c>
      <x:c r="L64" s="31" t="n">
        <x:v>35.0768490051</x:v>
      </x:c>
      <x:c r="M64" s="31" t="n">
        <x:v>0</x:v>
      </x:c>
      <x:c r="N64" s="24" t="str">
        <x:v>sardina pilchardus</x:v>
      </x:c>
      <x:c r="O64" s="32" t="n">
        <x:v>3.06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Sardina pilchardus</x:v>
      </x:c>
      <x:c r="T64" s="32" t="n">
        <x:f>IF(O64="","",(1/'Metadata'!$B$5)^(O64-1))</x:f>
        <x:v>114.81536214968828</x:v>
      </x:c>
      <x:c r="U64" s="31" t="n">
        <x:f>IF(T64="","",I64*T64)</x:f>
        <x:v>4027.36112159049</x:v>
      </x:c>
    </x:row>
    <x:row r="65" ht="18" customHeight="1">
      <x:c r="A65" s="24" t="str">
        <x:v>EEZ_528</x:v>
      </x:c>
      <x:c r="B65" s="24" t="str">
        <x:v>Netherlands</x:v>
      </x:c>
      <x:c r="C65" s="24" t="str">
        <x:v>EEZ</x:v>
      </x:c>
      <x:c r="D65" s="30" t="n">
        <x:v>2019</x:v>
      </x:c>
      <x:c r="E65" s="24" t="str">
        <x:v>Rajiformes</x:v>
      </x:c>
      <x:c r="F65" s="24" t="str">
        <x:v>Skates and rays</x:v>
      </x:c>
      <x:c r="G65" s="24" t="str">
        <x:v>Large rays (&gt;=90 cm)</x:v>
      </x:c>
      <x:c r="H65" s="24" t="str">
        <x:v>Sharks &amp; rays</x:v>
      </x:c>
      <x:c r="I65" s="31" t="n">
        <x:v>33.0576964167</x:v>
      </x:c>
      <x:c r="J65" s="31" t="n">
        <x:v>3.3023846843</x:v>
      </x:c>
      <x:c r="K65" s="31" t="n">
        <x:v>29.7553117324</x:v>
      </x:c>
      <x:c r="L65" s="31" t="n">
        <x:v>3.3023846843</x:v>
      </x:c>
      <x:c r="M65" s="31" t="n">
        <x:v>29.7553117324</x:v>
      </x:c>
      <x:c r="N65" s="24" t="str">
        <x:v>rajiformes</x:v>
      </x:c>
      <x:c r="O65" s="32" t="n">
        <x:v>3.61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Rajiformes</x:v>
      </x:c>
      <x:c r="T65" s="32" t="n">
        <x:f>IF(O65="","",(1/'Metadata'!$B$5)^(O65-1))</x:f>
        <x:v>407.3802778041126</x:v>
      </x:c>
      <x:c r="U65" s="31" t="n">
        <x:f>IF(T65="","",I65*T65)</x:f>
        <x:v>13467.053549799262</x:v>
      </x:c>
    </x:row>
    <x:row r="66" ht="18" customHeight="1">
      <x:c r="A66" s="24" t="str">
        <x:v>EEZ_528</x:v>
      </x:c>
      <x:c r="B66" s="24" t="str">
        <x:v>Netherlands</x:v>
      </x:c>
      <x:c r="C66" s="24" t="str">
        <x:v>EEZ</x:v>
      </x:c>
      <x:c r="D66" s="30" t="n">
        <x:v>2019</x:v>
      </x:c>
      <x:c r="E66" s="24" t="str">
        <x:v>Glyptocephalus cynoglossus</x:v>
      </x:c>
      <x:c r="F66" s="24" t="str">
        <x:v>Witch flounder</x:v>
      </x:c>
      <x:c r="G66" s="24" t="str">
        <x:v>Small to medium flatfishes (&lt;90 cm)</x:v>
      </x:c>
      <x:c r="H66" s="24" t="str">
        <x:v>Flatfishes</x:v>
      </x:c>
      <x:c r="I66" s="31" t="n">
        <x:v>31.393938216600002</x:v>
      </x:c>
      <x:c r="J66" s="31" t="n">
        <x:v>29.107915647400002</x:v>
      </x:c>
      <x:c r="K66" s="31" t="n">
        <x:v>2.2860225692</x:v>
      </x:c>
      <x:c r="L66" s="31" t="n">
        <x:v>29.0998848194</x:v>
      </x:c>
      <x:c r="M66" s="31" t="n">
        <x:v>2.2940533972</x:v>
      </x:c>
      <x:c r="N66" s="24" t="str">
        <x:v>glyptocephalus cynoglossus</x:v>
      </x:c>
      <x:c r="O66" s="32" t="n">
        <x:v>3.17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Glyptocephalus cynoglossus</x:v>
      </x:c>
      <x:c r="T66" s="32" t="n">
        <x:f>IF(O66="","",(1/'Metadata'!$B$5)^(O66-1))</x:f>
        <x:v>147.91083881682073</x:v>
      </x:c>
      <x:c r="U66" s="31" t="n">
        <x:f>IF(T66="","",I66*T66)</x:f>
        <x:v>4643.503735380751</x:v>
      </x:c>
    </x:row>
    <x:row r="67" ht="18" customHeight="1">
      <x:c r="A67" s="24" t="str">
        <x:v>EEZ_528</x:v>
      </x:c>
      <x:c r="B67" s="24" t="str">
        <x:v>Netherlands</x:v>
      </x:c>
      <x:c r="C67" s="24" t="str">
        <x:v>EEZ</x:v>
      </x:c>
      <x:c r="D67" s="30" t="n">
        <x:v>2019</x:v>
      </x:c>
      <x:c r="E67" s="24" t="str">
        <x:v>Scophthalmidae</x:v>
      </x:c>
      <x:c r="F67" s="24" t="str">
        <x:v>Turbots</x:v>
      </x:c>
      <x:c r="G67" s="24" t="str">
        <x:v>Small to medium flatfishes (&lt;90 cm)</x:v>
      </x:c>
      <x:c r="H67" s="24" t="str">
        <x:v>Flatfishes</x:v>
      </x:c>
      <x:c r="I67" s="31" t="n">
        <x:v>30.5427808381</x:v>
      </x:c>
      <x:c r="J67" s="31" t="n">
        <x:v>0</x:v>
      </x:c>
      <x:c r="K67" s="31" t="n">
        <x:v>30.5427808381</x:v>
      </x:c>
      <x:c r="L67" s="31" t="n">
        <x:v>0</x:v>
      </x:c>
      <x:c r="M67" s="31" t="n">
        <x:v>30.5427808381</x:v>
      </x:c>
      <x:c r="N67" s="24" t="str">
        <x:v>scophthalmidae</x:v>
      </x:c>
      <x:c r="O67" s="32" t="n">
        <x:v>3.71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Scophthalmidae</x:v>
      </x:c>
      <x:c r="T67" s="32" t="n">
        <x:f>IF(O67="","",(1/'Metadata'!$B$5)^(O67-1))</x:f>
        <x:v>512.8613839913648</x:v>
      </x:c>
      <x:c r="U67" s="31" t="n">
        <x:f>IF(T67="","",I67*T67)</x:f>
        <x:v>15664.212851572905</x:v>
      </x:c>
    </x:row>
    <x:row r="68" ht="18" customHeight="1">
      <x:c r="A68" s="24" t="str">
        <x:v>EEZ_528</x:v>
      </x:c>
      <x:c r="B68" s="24" t="str">
        <x:v>Netherlands</x:v>
      </x:c>
      <x:c r="C68" s="24" t="str">
        <x:v>EEZ</x:v>
      </x:c>
      <x:c r="D68" s="30" t="n">
        <x:v>2019</x:v>
      </x:c>
      <x:c r="E68" s="24" t="str">
        <x:v>Crangonidae</x:v>
      </x:c>
      <x:c r="F68" s="24" t="str">
        <x:v>Brown shrimps</x:v>
      </x:c>
      <x:c r="G68" s="24" t="str">
        <x:v>Shrimps</x:v>
      </x:c>
      <x:c r="H68" s="24" t="str">
        <x:v>Crustaceans</x:v>
      </x:c>
      <x:c r="I68" s="31" t="n">
        <x:v>30.5413801638</x:v>
      </x:c>
      <x:c r="J68" s="31" t="n">
        <x:v>0</x:v>
      </x:c>
      <x:c r="K68" s="31" t="n">
        <x:v>30.5413801638</x:v>
      </x:c>
      <x:c r="L68" s="31" t="n">
        <x:v>0</x:v>
      </x:c>
      <x:c r="M68" s="31" t="n">
        <x:v>30.5413801638</x:v>
      </x:c>
      <x:c r="N68" s="24" t="str">
        <x:v>crangonidae</x:v>
      </x:c>
      <x:c r="O68" s="32" t="n">
        <x:v>3.19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Crangonidae</x:v>
      </x:c>
      <x:c r="T68" s="32" t="n">
        <x:f>IF(O68="","",(1/'Metadata'!$B$5)^(O68-1))</x:f>
        <x:v>154.88166189124811</x:v>
      </x:c>
      <x:c r="U68" s="31" t="n">
        <x:f>IF(T68="","",I68*T68)</x:f>
        <x:v>4730.299716221743</x:v>
      </x:c>
    </x:row>
    <x:row r="69" ht="18" customHeight="1">
      <x:c r="A69" s="24" t="str">
        <x:v>EEZ_528</x:v>
      </x:c>
      <x:c r="B69" s="24" t="str">
        <x:v>Netherlands</x:v>
      </x:c>
      <x:c r="C69" s="24" t="str">
        <x:v>EEZ</x:v>
      </x:c>
      <x:c r="D69" s="30" t="n">
        <x:v>2019</x:v>
      </x:c>
      <x:c r="E69" s="24" t="str">
        <x:v>Gastropoda</x:v>
      </x:c>
      <x:c r="F69" s="24" t="str">
        <x:v>Sea snails</x:v>
      </x:c>
      <x:c r="G69" s="24" t="str">
        <x:v>Other demersal invertebrates</x:v>
      </x:c>
      <x:c r="H69" s="24" t="str">
        <x:v>Molluscs</x:v>
      </x:c>
      <x:c r="I69" s="31" t="n">
        <x:v>29.7068426673</x:v>
      </x:c>
      <x:c r="J69" s="31" t="n">
        <x:v>0</x:v>
      </x:c>
      <x:c r="K69" s="31" t="n">
        <x:v>29.7068426673</x:v>
      </x:c>
      <x:c r="L69" s="31" t="n">
        <x:v>0</x:v>
      </x:c>
      <x:c r="M69" s="31" t="n">
        <x:v>29.7068426673</x:v>
      </x:c>
      <x:c r="N69" s="24" t="str">
        <x:v>gastropoda</x:v>
      </x:c>
      <x:c r="O69" s="32" t="n">
        <x:v>3.06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Gastropoda</x:v>
      </x:c>
      <x:c r="T69" s="32" t="n">
        <x:f>IF(O69="","",(1/'Metadata'!$B$5)^(O69-1))</x:f>
        <x:v>114.81536214968828</x:v>
      </x:c>
      <x:c r="U69" s="31" t="n">
        <x:f>IF(T69="","",I69*T69)</x:f>
        <x:v>3410.8018991698614</x:v>
      </x:c>
    </x:row>
    <x:row r="70" ht="18" customHeight="1">
      <x:c r="A70" s="24" t="str">
        <x:v>EEZ_528</x:v>
      </x:c>
      <x:c r="B70" s="24" t="str">
        <x:v>Netherlands</x:v>
      </x:c>
      <x:c r="C70" s="24" t="str">
        <x:v>EEZ</x:v>
      </x:c>
      <x:c r="D70" s="30" t="n">
        <x:v>2019</x:v>
      </x:c>
      <x:c r="E70" s="24" t="str">
        <x:v>Bivalvia</x:v>
      </x:c>
      <x:c r="F70" s="24" t="str">
        <x:v>Clams</x:v>
      </x:c>
      <x:c r="G70" s="24" t="str">
        <x:v>Other demersal invertebrates</x:v>
      </x:c>
      <x:c r="H70" s="24" t="str">
        <x:v>Molluscs</x:v>
      </x:c>
      <x:c r="I70" s="31" t="n">
        <x:v>29.261757634099997</x:v>
      </x:c>
      <x:c r="J70" s="31" t="n">
        <x:v>0.0767645101</x:v>
      </x:c>
      <x:c r="K70" s="31" t="n">
        <x:v>29.184993124</x:v>
      </x:c>
      <x:c r="L70" s="31" t="n">
        <x:v>0.0767645101</x:v>
      </x:c>
      <x:c r="M70" s="31" t="n">
        <x:v>29.184993124</x:v>
      </x:c>
      <x:c r="N70" s="24" t="str">
        <x:v>bivalvia</x:v>
      </x:c>
      <x:c r="O70" s="32" t="n">
        <x:v>2.23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Bivalvia</x:v>
      </x:c>
      <x:c r="T70" s="32" t="n">
        <x:f>IF(O70="","",(1/'Metadata'!$B$5)^(O70-1))</x:f>
        <x:v>16.982436524617444</x:v>
      </x:c>
      <x:c r="U70" s="31" t="n">
        <x:f>IF(T70="","",I70*T70)</x:f>
        <x:v>496.9359416198431</x:v>
      </x:c>
    </x:row>
    <x:row r="71" ht="18" customHeight="1">
      <x:c r="A71" s="24" t="str">
        <x:v>EEZ_528</x:v>
      </x:c>
      <x:c r="B71" s="24" t="str">
        <x:v>Netherlands</x:v>
      </x:c>
      <x:c r="C71" s="24" t="str">
        <x:v>EEZ</x:v>
      </x:c>
      <x:c r="D71" s="30" t="n">
        <x:v>2019</x:v>
      </x:c>
      <x:c r="E71" s="24" t="str">
        <x:v>Cephalopoda</x:v>
      </x:c>
      <x:c r="F71" s="24" t="str">
        <x:v>Squids, cuttlefishes, octopuses</x:v>
      </x:c>
      <x:c r="G71" s="24" t="str">
        <x:v>Cephalopods</x:v>
      </x:c>
      <x:c r="H71" s="24" t="str">
        <x:v>Other fishes &amp; inverts</x:v>
      </x:c>
      <x:c r="I71" s="31" t="n">
        <x:v>28.6952824543</x:v>
      </x:c>
      <x:c r="J71" s="31" t="n">
        <x:v>3.3633771972999997</x:v>
      </x:c>
      <x:c r="K71" s="31" t="n">
        <x:v>25.331905257</x:v>
      </x:c>
      <x:c r="L71" s="31" t="n">
        <x:v>3.3633771972999997</x:v>
      </x:c>
      <x:c r="M71" s="31" t="n">
        <x:v>25.331905257</x:v>
      </x:c>
      <x:c r="N71" s="24" t="str">
        <x:v>cephalopoda</x:v>
      </x:c>
      <x:c r="O71" s="32" t="n">
        <x:v>3.81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Cephalopoda</x:v>
      </x:c>
      <x:c r="T71" s="32" t="n">
        <x:f>IF(O71="","",(1/'Metadata'!$B$5)^(O71-1))</x:f>
        <x:v>645.6542290346556</x:v>
      </x:c>
      <x:c r="U71" s="31" t="n">
        <x:f>IF(T71="","",I71*T71)</x:f>
        <x:v>18527.230469962746</x:v>
      </x:c>
    </x:row>
    <x:row r="72" ht="18" customHeight="1">
      <x:c r="A72" s="24" t="str">
        <x:v>EEZ_528</x:v>
      </x:c>
      <x:c r="B72" s="24" t="str">
        <x:v>Netherlands</x:v>
      </x:c>
      <x:c r="C72" s="24" t="str">
        <x:v>EEZ</x:v>
      </x:c>
      <x:c r="D72" s="30" t="n">
        <x:v>2019</x:v>
      </x:c>
      <x:c r="E72" s="24" t="str">
        <x:v>Hippoglossoides platessoides</x:v>
      </x:c>
      <x:c r="F72" s="24" t="str">
        <x:v>American plaice</x:v>
      </x:c>
      <x:c r="G72" s="24" t="str">
        <x:v>Small to medium flatfishes (&lt;90 cm)</x:v>
      </x:c>
      <x:c r="H72" s="24" t="str">
        <x:v>Flatfishes</x:v>
      </x:c>
      <x:c r="I72" s="31" t="n">
        <x:v>26.558097574999998</x:v>
      </x:c>
      <x:c r="J72" s="31" t="n">
        <x:v>1.2083748698999999</x:v>
      </x:c>
      <x:c r="K72" s="31" t="n">
        <x:v>25.3497227051</x:v>
      </x:c>
      <x:c r="L72" s="31" t="n">
        <x:v>1.2083748698999999</x:v>
      </x:c>
      <x:c r="M72" s="31" t="n">
        <x:v>25.3497227051</x:v>
      </x:c>
      <x:c r="N72" s="24" t="str">
        <x:v>hippoglossoides platessoides</x:v>
      </x:c>
      <x:c r="O72" s="32" t="n">
        <x:v>4.08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Hippoglossoides platessoides</x:v>
      </x:c>
      <x:c r="T72" s="32" t="n">
        <x:f>IF(O72="","",(1/'Metadata'!$B$5)^(O72-1))</x:f>
        <x:v>1202.2644346174131</x:v>
      </x:c>
      <x:c r="U72" s="31" t="n">
        <x:f>IF(T72="","",I72*T72)</x:f>
        <x:v>31929.856165521465</x:v>
      </x:c>
    </x:row>
    <x:row r="73" ht="18" customHeight="1">
      <x:c r="A73" s="24" t="str">
        <x:v>EEZ_528</x:v>
      </x:c>
      <x:c r="B73" s="24" t="str">
        <x:v>Netherlands</x:v>
      </x:c>
      <x:c r="C73" s="24" t="str">
        <x:v>EEZ</x:v>
      </x:c>
      <x:c r="D73" s="30" t="n">
        <x:v>2019</x:v>
      </x:c>
      <x:c r="E73" s="24" t="str">
        <x:v>Arnoglossus laterna</x:v>
      </x:c>
      <x:c r="F73" s="24" t="str">
        <x:v>Mediterranean scaldfish</x:v>
      </x:c>
      <x:c r="G73" s="24" t="str">
        <x:v>Small to medium flatfishes (&lt;90 cm)</x:v>
      </x:c>
      <x:c r="H73" s="24" t="str">
        <x:v>Flatfishes</x:v>
      </x:c>
      <x:c r="I73" s="31" t="n">
        <x:v>25.7673426004</x:v>
      </x:c>
      <x:c r="J73" s="31" t="n">
        <x:v>0</x:v>
      </x:c>
      <x:c r="K73" s="31" t="n">
        <x:v>25.7673426004</x:v>
      </x:c>
      <x:c r="L73" s="31" t="n">
        <x:v>0</x:v>
      </x:c>
      <x:c r="M73" s="31" t="n">
        <x:v>25.7673426004</x:v>
      </x:c>
      <x:c r="N73" s="24" t="str">
        <x:v>arnoglossus laterna</x:v>
      </x:c>
      <x:c r="O73" s="32" t="n">
        <x:v>3.59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Arnoglossus laterna</x:v>
      </x:c>
      <x:c r="T73" s="32" t="n">
        <x:f>IF(O73="","",(1/'Metadata'!$B$5)^(O73-1))</x:f>
        <x:v>389.04514499428046</x:v>
      </x:c>
      <x:c r="U73" s="31" t="n">
        <x:f>IF(T73="","",I73*T73)</x:f>
        <x:v>10024.659538089918</x:v>
      </x:c>
    </x:row>
    <x:row r="74" ht="18" customHeight="1">
      <x:c r="A74" s="24" t="str">
        <x:v>EEZ_528</x:v>
      </x:c>
      <x:c r="B74" s="24" t="str">
        <x:v>Netherlands</x:v>
      </x:c>
      <x:c r="C74" s="24" t="str">
        <x:v>EEZ</x:v>
      </x:c>
      <x:c r="D74" s="30" t="n">
        <x:v>2019</x:v>
      </x:c>
      <x:c r="E74" s="24" t="str">
        <x:v>Sebastidae</x:v>
      </x:c>
      <x:c r="F74" s="24" t="str">
        <x:v>Rockfishes, rockcods, thornyheads</x:v>
      </x:c>
      <x:c r="G74" s="24" t="str">
        <x:v>Medium demersals (30 - 89 cm)</x:v>
      </x:c>
      <x:c r="H74" s="24" t="str">
        <x:v>Scorpionfishes</x:v>
      </x:c>
      <x:c r="I74" s="31" t="n">
        <x:v>25.1670808295</x:v>
      </x:c>
      <x:c r="J74" s="31" t="n">
        <x:v>0</x:v>
      </x:c>
      <x:c r="K74" s="31" t="n">
        <x:v>25.1670808295</x:v>
      </x:c>
      <x:c r="L74" s="31" t="n">
        <x:v>0</x:v>
      </x:c>
      <x:c r="M74" s="31" t="n">
        <x:v>25.1670808295</x:v>
      </x:c>
      <x:c r="N74" s="24" t="str">
        <x:v>sebastidae</x:v>
      </x:c>
      <x:c r="O74" s="32" t="n">
        <x:v>3.74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Sebastidae</x:v>
      </x:c>
      <x:c r="T74" s="32" t="n">
        <x:f>IF(O74="","",(1/'Metadata'!$B$5)^(O74-1))</x:f>
        <x:v>549.5408738576248</x:v>
      </x:c>
      <x:c r="U74" s="31" t="n">
        <x:f>IF(T74="","",I74*T74)</x:f>
        <x:v>13830.339591488906</x:v>
      </x:c>
    </x:row>
    <x:row r="75" ht="18" customHeight="1">
      <x:c r="A75" s="24" t="str">
        <x:v>EEZ_528</x:v>
      </x:c>
      <x:c r="B75" s="24" t="str">
        <x:v>Netherlands</x:v>
      </x:c>
      <x:c r="C75" s="24" t="str">
        <x:v>EEZ</x:v>
      </x:c>
      <x:c r="D75" s="30" t="n">
        <x:v>2019</x:v>
      </x:c>
      <x:c r="E75" s="24" t="str">
        <x:v>Mustelus</x:v>
      </x:c>
      <x:c r="F75" s="24" t="str">
        <x:v>Smoothhounds</x:v>
      </x:c>
      <x:c r="G75" s="24" t="str">
        <x:v>Large sharks (&gt;=90 cm)</x:v>
      </x:c>
      <x:c r="H75" s="24" t="str">
        <x:v>Sharks &amp; rays</x:v>
      </x:c>
      <x:c r="I75" s="31" t="n">
        <x:v>24.849681062000002</x:v>
      </x:c>
      <x:c r="J75" s="31" t="n">
        <x:v>24.849681062000002</x:v>
      </x:c>
      <x:c r="K75" s="31" t="n">
        <x:v>0</x:v>
      </x:c>
      <x:c r="L75" s="31" t="n">
        <x:v>24.849681062000002</x:v>
      </x:c>
      <x:c r="M75" s="31" t="n">
        <x:v>0</x:v>
      </x:c>
      <x:c r="N75" s="24" t="str">
        <x:v>mustelus</x:v>
      </x:c>
      <x:c r="O75" s="32" t="n">
        <x:v>3.73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Mustelus</x:v>
      </x:c>
      <x:c r="T75" s="32" t="n">
        <x:f>IF(O75="","",(1/'Metadata'!$B$5)^(O75-1))</x:f>
        <x:v>537.0317963702527</x:v>
      </x:c>
      <x:c r="U75" s="31" t="n">
        <x:f>IF(T75="","",I75*T75)</x:f>
        <x:v>13345.06885995371</x:v>
      </x:c>
    </x:row>
    <x:row r="76" ht="18" customHeight="1">
      <x:c r="A76" s="24" t="str">
        <x:v>EEZ_528</x:v>
      </x:c>
      <x:c r="B76" s="24" t="str">
        <x:v>Netherlands</x:v>
      </x:c>
      <x:c r="C76" s="24" t="str">
        <x:v>EEZ</x:v>
      </x:c>
      <x:c r="D76" s="30" t="n">
        <x:v>2019</x:v>
      </x:c>
      <x:c r="E76" s="24" t="str">
        <x:v>Scyliorhinus</x:v>
      </x:c>
      <x:c r="F76" s="24" t="str">
        <x:v>Catsharks</x:v>
      </x:c>
      <x:c r="G76" s="24" t="str">
        <x:v>Small to medium sharks (&lt;90 cm)</x:v>
      </x:c>
      <x:c r="H76" s="24" t="str">
        <x:v>Sharks &amp; rays</x:v>
      </x:c>
      <x:c r="I76" s="31" t="n">
        <x:v>21.915891632</x:v>
      </x:c>
      <x:c r="J76" s="31" t="n">
        <x:v>21.915891632</x:v>
      </x:c>
      <x:c r="K76" s="31" t="n">
        <x:v>0</x:v>
      </x:c>
      <x:c r="L76" s="31" t="n">
        <x:v>21.915891632</x:v>
      </x:c>
      <x:c r="M76" s="31" t="n">
        <x:v>0</x:v>
      </x:c>
      <x:c r="N76" s="24" t="str">
        <x:v>scyliorhinus</x:v>
      </x:c>
      <x:c r="O76" s="32" t="n">
        <x:v>3.86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Scyliorhinus</x:v>
      </x:c>
      <x:c r="T76" s="32" t="n">
        <x:f>IF(O76="","",(1/'Metadata'!$B$5)^(O76-1))</x:f>
        <x:v>724.4359600749899</x:v>
      </x:c>
      <x:c r="U76" s="31" t="n">
        <x:f>IF(T76="","",I76*T76)</x:f>
        <x:v>15876.659995327358</x:v>
      </x:c>
    </x:row>
    <x:row r="77" ht="18" customHeight="1">
      <x:c r="A77" s="24" t="str">
        <x:v>EEZ_528</x:v>
      </x:c>
      <x:c r="B77" s="24" t="str">
        <x:v>Netherlands</x:v>
      </x:c>
      <x:c r="C77" s="24" t="str">
        <x:v>EEZ</x:v>
      </x:c>
      <x:c r="D77" s="30" t="n">
        <x:v>2019</x:v>
      </x:c>
      <x:c r="E77" s="24" t="str">
        <x:v>Trachinus draco</x:v>
      </x:c>
      <x:c r="F77" s="24" t="str">
        <x:v>Greater weever</x:v>
      </x:c>
      <x:c r="G77" s="24" t="str">
        <x:v>Medium demersals (30 - 89 cm)</x:v>
      </x:c>
      <x:c r="H77" s="24" t="str">
        <x:v>Perch-likes</x:v>
      </x:c>
      <x:c r="I77" s="31" t="n">
        <x:v>20.6622744153</x:v>
      </x:c>
      <x:c r="J77" s="31" t="n">
        <x:v>20.6622744153</x:v>
      </x:c>
      <x:c r="K77" s="31" t="n">
        <x:v>0</x:v>
      </x:c>
      <x:c r="L77" s="31" t="n">
        <x:v>20.6622744153</x:v>
      </x:c>
      <x:c r="M77" s="31" t="n">
        <x:v>0</x:v>
      </x:c>
      <x:c r="N77" s="24" t="str">
        <x:v>trachinus draco</x:v>
      </x:c>
      <x:c r="O77" s="32" t="n">
        <x:v>4.18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Trachinus draco</x:v>
      </x:c>
      <x:c r="T77" s="32" t="n">
        <x:f>IF(O77="","",(1/'Metadata'!$B$5)^(O77-1))</x:f>
        <x:v>1513.5612484362073</x:v>
      </x:c>
      <x:c r="U77" s="31" t="n">
        <x:f>IF(T77="","",I77*T77)</x:f>
        <x:v>31273.617859552975</x:v>
      </x:c>
    </x:row>
    <x:row r="78" ht="18" customHeight="1">
      <x:c r="A78" s="24" t="str">
        <x:v>EEZ_528</x:v>
      </x:c>
      <x:c r="B78" s="24" t="str">
        <x:v>Netherlands</x:v>
      </x:c>
      <x:c r="C78" s="24" t="str">
        <x:v>EEZ</x:v>
      </x:c>
      <x:c r="D78" s="30" t="n">
        <x:v>2019</x:v>
      </x:c>
      <x:c r="E78" s="24" t="str">
        <x:v>Chelon ramada</x:v>
      </x:c>
      <x:c r="F78" s="24" t="str">
        <x:v>Thinlip grey mullet</x:v>
      </x:c>
      <x:c r="G78" s="24" t="str">
        <x:v>Medium pelagics (30 - 89 cm)</x:v>
      </x:c>
      <x:c r="H78" s="24" t="str">
        <x:v>Perch-likes</x:v>
      </x:c>
      <x:c r="I78" s="31" t="n">
        <x:v>20.61990571</x:v>
      </x:c>
      <x:c r="J78" s="31" t="n">
        <x:v>20.61990571</x:v>
      </x:c>
      <x:c r="K78" s="31" t="n">
        <x:v>0</x:v>
      </x:c>
      <x:c r="L78" s="31" t="n">
        <x:v>20.61990571</x:v>
      </x:c>
      <x:c r="M78" s="31" t="n">
        <x:v>0</x:v>
      </x:c>
      <x:c r="N78" s="24" t="str">
        <x:v>chelon ramada</x:v>
      </x:c>
      <x:c r="O78" s="32" t="n">
        <x:v>2.3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Chelon ramada</x:v>
      </x:c>
      <x:c r="T78" s="32" t="n">
        <x:f>IF(O78="","",(1/'Metadata'!$B$5)^(O78-1))</x:f>
        <x:v>19.952623149688787</x:v>
      </x:c>
      <x:c r="U78" s="31" t="n">
        <x:f>IF(T78="","",I78*T78)</x:f>
        <x:v>411.421208013746</x:v>
      </x:c>
    </x:row>
    <x:row r="79" ht="18" customHeight="1">
      <x:c r="A79" s="24" t="str">
        <x:v>EEZ_528</x:v>
      </x:c>
      <x:c r="B79" s="24" t="str">
        <x:v>Netherlands</x:v>
      </x:c>
      <x:c r="C79" s="24" t="str">
        <x:v>EEZ</x:v>
      </x:c>
      <x:c r="D79" s="30" t="n">
        <x:v>2019</x:v>
      </x:c>
      <x:c r="E79" s="24" t="str">
        <x:v>Lepidorhombus</x:v>
      </x:c>
      <x:c r="F79" s="24" t="str">
        <x:v>Megrims</x:v>
      </x:c>
      <x:c r="G79" s="24" t="str">
        <x:v>Small to medium flatfishes (&lt;90 cm)</x:v>
      </x:c>
      <x:c r="H79" s="24" t="str">
        <x:v>Flatfishes</x:v>
      </x:c>
      <x:c r="I79" s="31" t="n">
        <x:v>19.9788840316</x:v>
      </x:c>
      <x:c r="J79" s="31" t="n">
        <x:v>19.9788840316</x:v>
      </x:c>
      <x:c r="K79" s="31" t="n">
        <x:v>0</x:v>
      </x:c>
      <x:c r="L79" s="31" t="n">
        <x:v>19.9788840316</x:v>
      </x:c>
      <x:c r="M79" s="31" t="n">
        <x:v>0</x:v>
      </x:c>
      <x:c r="N79" s="24" t="str">
        <x:v>lepidorhombus</x:v>
      </x:c>
      <x:c r="O79" s="32" t="n">
        <x:v>3.96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Lepidorhombus</x:v>
      </x:c>
      <x:c r="T79" s="32" t="n">
        <x:f>IF(O79="","",(1/'Metadata'!$B$5)^(O79-1))</x:f>
        <x:v>912.0108393559096</x:v>
      </x:c>
      <x:c r="U79" s="31" t="n">
        <x:f>IF(T79="","",I79*T79)</x:f>
        <x:v>18220.958795053895</x:v>
      </x:c>
    </x:row>
    <x:row r="80" ht="18" customHeight="1">
      <x:c r="A80" s="24" t="str">
        <x:v>EEZ_528</x:v>
      </x:c>
      <x:c r="B80" s="24" t="str">
        <x:v>Netherlands</x:v>
      </x:c>
      <x:c r="C80" s="24" t="str">
        <x:v>EEZ</x:v>
      </x:c>
      <x:c r="D80" s="30" t="n">
        <x:v>2019</x:v>
      </x:c>
      <x:c r="E80" s="24" t="str">
        <x:v>Loligo</x:v>
      </x:c>
      <x:c r="F80" s="24" t="str">
        <x:v>Common squids</x:v>
      </x:c>
      <x:c r="G80" s="24" t="str">
        <x:v>Cephalopods</x:v>
      </x:c>
      <x:c r="H80" s="24" t="str">
        <x:v>Other fishes &amp; inverts</x:v>
      </x:c>
      <x:c r="I80" s="31" t="n">
        <x:v>19.0810651726</x:v>
      </x:c>
      <x:c r="J80" s="31" t="n">
        <x:v>19.063136129900002</x:v>
      </x:c>
      <x:c r="K80" s="31" t="n">
        <x:v>0.0179290427</x:v>
      </x:c>
      <x:c r="L80" s="31" t="n">
        <x:v>19.0235976833</x:v>
      </x:c>
      <x:c r="M80" s="31" t="n">
        <x:v>0.0574674893</x:v>
      </x:c>
      <x:c r="N80" s="24" t="str">
        <x:v>loligo</x:v>
      </x:c>
      <x:c r="O80" s="32" t="n">
        <x:v>3.99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Loligo</x:v>
      </x:c>
      <x:c r="T80" s="32" t="n">
        <x:f>IF(O80="","",(1/'Metadata'!$B$5)^(O80-1))</x:f>
        <x:v>977.2372209558112</x:v>
      </x:c>
      <x:c r="U80" s="31" t="n">
        <x:f>IF(T80="","",I80*T80)</x:f>
        <x:v>18646.72710214834</x:v>
      </x:c>
    </x:row>
    <x:row r="81" ht="18" customHeight="1">
      <x:c r="A81" s="24" t="str">
        <x:v>EEZ_528</x:v>
      </x:c>
      <x:c r="B81" s="24" t="str">
        <x:v>Netherlands</x:v>
      </x:c>
      <x:c r="C81" s="24" t="str">
        <x:v>EEZ</x:v>
      </x:c>
      <x:c r="D81" s="30" t="n">
        <x:v>2019</x:v>
      </x:c>
      <x:c r="E81" s="24" t="str">
        <x:v>Callionymus maculatus</x:v>
      </x:c>
      <x:c r="F81" s="24" t="str">
        <x:v>Spotted dragonet</x:v>
      </x:c>
      <x:c r="G81" s="24" t="str">
        <x:v>Large reef assoc. fish (&gt;=90 cm)</x:v>
      </x:c>
      <x:c r="H81" s="24" t="str">
        <x:v>Perch-likes</x:v>
      </x:c>
      <x:c r="I81" s="31" t="n">
        <x:v>18.8141937492</x:v>
      </x:c>
      <x:c r="J81" s="31" t="n">
        <x:v>0</x:v>
      </x:c>
      <x:c r="K81" s="31" t="n">
        <x:v>18.8141937492</x:v>
      </x:c>
      <x:c r="L81" s="31" t="n">
        <x:v>0</x:v>
      </x:c>
      <x:c r="M81" s="31" t="n">
        <x:v>18.8141937492</x:v>
      </x:c>
      <x:c r="N81" s="24" t="str">
        <x:v>callionymus maculatus</x:v>
      </x:c>
      <x:c r="O81" s="32" t="n">
        <x:v>3.25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Callionymus maculatus</x:v>
      </x:c>
      <x:c r="T81" s="32" t="n">
        <x:f>IF(O81="","",(1/'Metadata'!$B$5)^(O81-1))</x:f>
        <x:v>177.82794100389228</x:v>
      </x:c>
      <x:c r="U81" s="31" t="n">
        <x:f>IF(T81="","",I81*T81)</x:f>
        <x:v>3345.6893360685367</x:v>
      </x:c>
    </x:row>
    <x:row r="82" ht="18" customHeight="1">
      <x:c r="A82" s="24" t="str">
        <x:v>EEZ_528</x:v>
      </x:c>
      <x:c r="B82" s="24" t="str">
        <x:v>Netherlands</x:v>
      </x:c>
      <x:c r="C82" s="24" t="str">
        <x:v>EEZ</x:v>
      </x:c>
      <x:c r="D82" s="30" t="n">
        <x:v>2019</x:v>
      </x:c>
      <x:c r="E82" s="24" t="str">
        <x:v>Merluccius merluccius</x:v>
      </x:c>
      <x:c r="F82" s="24" t="str">
        <x:v>European hake</x:v>
      </x:c>
      <x:c r="G82" s="24" t="str">
        <x:v>Large demersals (&gt;=90 cm)</x:v>
      </x:c>
      <x:c r="H82" s="24" t="str">
        <x:v>Cod-likes</x:v>
      </x:c>
      <x:c r="I82" s="31" t="n">
        <x:v>18.5369624038</x:v>
      </x:c>
      <x:c r="J82" s="31" t="n">
        <x:v>18.3700095688</x:v>
      </x:c>
      <x:c r="K82" s="31" t="n">
        <x:v>0.166952835</x:v>
      </x:c>
      <x:c r="L82" s="31" t="n">
        <x:v>18.334681155200002</x:v>
      </x:c>
      <x:c r="M82" s="31" t="n">
        <x:v>0.2022812486</x:v>
      </x:c>
      <x:c r="N82" s="24" t="str">
        <x:v>merluccius merluccius</x:v>
      </x:c>
      <x:c r="O82" s="32" t="n">
        <x:v>4.42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Merluccius merluccius</x:v>
      </x:c>
      <x:c r="T82" s="32" t="n">
        <x:f>IF(O82="","",(1/'Metadata'!$B$5)^(O82-1))</x:f>
        <x:v>2630.2679918953813</x:v>
      </x:c>
      <x:c r="U82" s="31" t="n">
        <x:f>IF(T82="","",I82*T82)</x:f>
        <x:v>48757.17887768321</x:v>
      </x:c>
    </x:row>
    <x:row r="83" ht="18" customHeight="1">
      <x:c r="A83" s="24" t="str">
        <x:v>EEZ_528</x:v>
      </x:c>
      <x:c r="B83" s="24" t="str">
        <x:v>Netherlands</x:v>
      </x:c>
      <x:c r="C83" s="24" t="str">
        <x:v>EEZ</x:v>
      </x:c>
      <x:c r="D83" s="30" t="n">
        <x:v>2019</x:v>
      </x:c>
      <x:c r="E83" s="24" t="str">
        <x:v>Zoarces viviparus</x:v>
      </x:c>
      <x:c r="F83" s="24" t="str">
        <x:v>Eelpout</x:v>
      </x:c>
      <x:c r="G83" s="24" t="str">
        <x:v>Medium demersals (30 - 89 cm)</x:v>
      </x:c>
      <x:c r="H83" s="24" t="str">
        <x:v>Perch-likes</x:v>
      </x:c>
      <x:c r="I83" s="31" t="n">
        <x:v>18.4749093097</x:v>
      </x:c>
      <x:c r="J83" s="31" t="n">
        <x:v>0</x:v>
      </x:c>
      <x:c r="K83" s="31" t="n">
        <x:v>18.4749093097</x:v>
      </x:c>
      <x:c r="L83" s="31" t="n">
        <x:v>0</x:v>
      </x:c>
      <x:c r="M83" s="31" t="n">
        <x:v>18.4749093097</x:v>
      </x:c>
      <x:c r="N83" s="24" t="str">
        <x:v>zoarces viviparus</x:v>
      </x:c>
      <x:c r="O83" s="32" t="n">
        <x:v>3.47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Zoarces viviparus</x:v>
      </x:c>
      <x:c r="T83" s="32" t="n">
        <x:f>IF(O83="","",(1/'Metadata'!$B$5)^(O83-1))</x:f>
        <x:v>295.1209226666387</x:v>
      </x:c>
      <x:c r="U83" s="31" t="n">
        <x:f>IF(T83="","",I83*T83)</x:f>
        <x:v>5452.332281661137</x:v>
      </x:c>
    </x:row>
    <x:row r="84" ht="18" customHeight="1">
      <x:c r="A84" s="24" t="str">
        <x:v>EEZ_528</x:v>
      </x:c>
      <x:c r="B84" s="24" t="str">
        <x:v>Netherlands</x:v>
      </x:c>
      <x:c r="C84" s="24" t="str">
        <x:v>EEZ</x:v>
      </x:c>
      <x:c r="D84" s="30" t="n">
        <x:v>2019</x:v>
      </x:c>
      <x:c r="E84" s="24" t="str">
        <x:v>Lophius</x:v>
      </x:c>
      <x:c r="F84" s="24" t="str">
        <x:v>Frogfishes</x:v>
      </x:c>
      <x:c r="G84" s="24" t="str">
        <x:v>Medium bathydemersals (30 - 89 cm)</x:v>
      </x:c>
      <x:c r="H84" s="24" t="str">
        <x:v>Other fishes &amp; inverts</x:v>
      </x:c>
      <x:c r="I84" s="31" t="n">
        <x:v>18.3933198519</x:v>
      </x:c>
      <x:c r="J84" s="31" t="n">
        <x:v>0</x:v>
      </x:c>
      <x:c r="K84" s="31" t="n">
        <x:v>18.3933198519</x:v>
      </x:c>
      <x:c r="L84" s="31" t="n">
        <x:v>0</x:v>
      </x:c>
      <x:c r="M84" s="31" t="n">
        <x:v>18.3933198519</x:v>
      </x:c>
      <x:c r="N84" s="24" t="str">
        <x:v>lophius</x:v>
      </x:c>
      <x:c r="O84" s="32" t="n">
        <x:v>4.46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Lophius</x:v>
      </x:c>
      <x:c r="T84" s="32" t="n">
        <x:f>IF(O84="","",(1/'Metadata'!$B$5)^(O84-1))</x:f>
        <x:v>2884.031503126606</x:v>
      </x:c>
      <x:c r="U84" s="31" t="n">
        <x:f>IF(T84="","",I84*T84)</x:f>
        <x:v>53046.9138999636</x:v>
      </x:c>
    </x:row>
    <x:row r="85" ht="18" customHeight="1">
      <x:c r="A85" s="24" t="str">
        <x:v>EEZ_528</x:v>
      </x:c>
      <x:c r="B85" s="24" t="str">
        <x:v>Netherlands</x:v>
      </x:c>
      <x:c r="C85" s="24" t="str">
        <x:v>EEZ</x:v>
      </x:c>
      <x:c r="D85" s="30" t="n">
        <x:v>2019</x:v>
      </x:c>
      <x:c r="E85" s="24" t="str">
        <x:v>Anarhichas</x:v>
      </x:c>
      <x:c r="F85" s="24" t="str">
        <x:v>Wolffishes</x:v>
      </x:c>
      <x:c r="G85" s="24" t="str">
        <x:v>Large demersals (&gt;=90 cm)</x:v>
      </x:c>
      <x:c r="H85" s="24" t="str">
        <x:v>Perch-likes</x:v>
      </x:c>
      <x:c r="I85" s="31" t="n">
        <x:v>18.0422294127</x:v>
      </x:c>
      <x:c r="J85" s="31" t="n">
        <x:v>18.0094892124</x:v>
      </x:c>
      <x:c r="K85" s="31" t="n">
        <x:v>0.0327402003</x:v>
      </x:c>
      <x:c r="L85" s="31" t="n">
        <x:v>17.9332220234</x:v>
      </x:c>
      <x:c r="M85" s="31" t="n">
        <x:v>0.1090073893</x:v>
      </x:c>
      <x:c r="N85" s="24" t="str">
        <x:v>anarhichas</x:v>
      </x:c>
      <x:c r="O85" s="32" t="n">
        <x:v>3.35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Anarhichas</x:v>
      </x:c>
      <x:c r="T85" s="32" t="n">
        <x:f>IF(O85="","",(1/'Metadata'!$B$5)^(O85-1))</x:f>
        <x:v>223.872113856834</x:v>
      </x:c>
      <x:c r="U85" s="31" t="n">
        <x:f>IF(T85="","",I85*T85)</x:f>
        <x:v>4039.1520373110934</x:v>
      </x:c>
    </x:row>
    <x:row r="86" ht="18" customHeight="1">
      <x:c r="A86" s="24" t="str">
        <x:v>EEZ_528</x:v>
      </x:c>
      <x:c r="B86" s="24" t="str">
        <x:v>Netherlands</x:v>
      </x:c>
      <x:c r="C86" s="24" t="str">
        <x:v>EEZ</x:v>
      </x:c>
      <x:c r="D86" s="30" t="n">
        <x:v>2019</x:v>
      </x:c>
      <x:c r="E86" s="24" t="str">
        <x:v>Agonus cataphractus</x:v>
      </x:c>
      <x:c r="F86" s="24" t="str">
        <x:v>Hooknose</x:v>
      </x:c>
      <x:c r="G86" s="24" t="str">
        <x:v>Large reef assoc. fish (&gt;=90 cm)</x:v>
      </x:c>
      <x:c r="H86" s="24" t="str">
        <x:v>Scorpionfishes</x:v>
      </x:c>
      <x:c r="I86" s="31" t="n">
        <x:v>17.661071074</x:v>
      </x:c>
      <x:c r="J86" s="31" t="n">
        <x:v>0</x:v>
      </x:c>
      <x:c r="K86" s="31" t="n">
        <x:v>17.661071074</x:v>
      </x:c>
      <x:c r="L86" s="31" t="n">
        <x:v>0</x:v>
      </x:c>
      <x:c r="M86" s="31" t="n">
        <x:v>17.661071074</x:v>
      </x:c>
      <x:c r="N86" s="24" t="str">
        <x:v>agonus cataphractus</x:v>
      </x:c>
      <x:c r="O86" s="32" t="n">
        <x:v>3.43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Agonus cataphractus</x:v>
      </x:c>
      <x:c r="T86" s="32" t="n">
        <x:f>IF(O86="","",(1/'Metadata'!$B$5)^(O86-1))</x:f>
        <x:v>269.1534803926917</x:v>
      </x:c>
      <x:c r="U86" s="31" t="n">
        <x:f>IF(T86="","",I86*T86)</x:f>
        <x:v>4753.538747029793</x:v>
      </x:c>
    </x:row>
    <x:row r="87" ht="18" customHeight="1">
      <x:c r="A87" s="24" t="str">
        <x:v>EEZ_528</x:v>
      </x:c>
      <x:c r="B87" s="24" t="str">
        <x:v>Netherlands</x:v>
      </x:c>
      <x:c r="C87" s="24" t="str">
        <x:v>EEZ</x:v>
      </x:c>
      <x:c r="D87" s="30" t="n">
        <x:v>2019</x:v>
      </x:c>
      <x:c r="E87" s="24" t="str">
        <x:v>Sciaenidae</x:v>
      </x:c>
      <x:c r="F87" s="24" t="str">
        <x:v>Drums, croakers</x:v>
      </x:c>
      <x:c r="G87" s="24" t="str">
        <x:v>Medium demersals (30 - 89 cm)</x:v>
      </x:c>
      <x:c r="H87" s="24" t="str">
        <x:v>Perch-likes</x:v>
      </x:c>
      <x:c r="I87" s="31" t="n">
        <x:v>17.4238559181</x:v>
      </x:c>
      <x:c r="J87" s="31" t="n">
        <x:v>0</x:v>
      </x:c>
      <x:c r="K87" s="31" t="n">
        <x:v>17.4238559181</x:v>
      </x:c>
      <x:c r="L87" s="31" t="n">
        <x:v>0</x:v>
      </x:c>
      <x:c r="M87" s="31" t="n">
        <x:v>17.4238559181</x:v>
      </x:c>
      <x:c r="N87" s="24" t="str">
        <x:v>sciaenidae</x:v>
      </x:c>
      <x:c r="O87" s="32" t="n">
        <x:v>3.76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Sciaenidae</x:v>
      </x:c>
      <x:c r="T87" s="32" t="n">
        <x:f>IF(O87="","",(1/'Metadata'!$B$5)^(O87-1))</x:f>
        <x:v>575.4399373371566</x:v>
      </x:c>
      <x:c r="U87" s="31" t="n">
        <x:f>IF(T87="","",I87*T87)</x:f>
        <x:v>10026.38255768311</x:v>
      </x:c>
    </x:row>
    <x:row r="88" ht="18" customHeight="1">
      <x:c r="A88" s="24" t="str">
        <x:v>EEZ_528</x:v>
      </x:c>
      <x:c r="B88" s="24" t="str">
        <x:v>Netherlands</x:v>
      </x:c>
      <x:c r="C88" s="24" t="str">
        <x:v>EEZ</x:v>
      </x:c>
      <x:c r="D88" s="30" t="n">
        <x:v>2019</x:v>
      </x:c>
      <x:c r="E88" s="24" t="str">
        <x:v>Congridae</x:v>
      </x:c>
      <x:c r="F88" s="24" t="str">
        <x:v>Conger, garden eels</x:v>
      </x:c>
      <x:c r="G88" s="24" t="str">
        <x:v>Large demersals (&gt;=90 cm)</x:v>
      </x:c>
      <x:c r="H88" s="24" t="str">
        <x:v>Other fishes &amp; inverts</x:v>
      </x:c>
      <x:c r="I88" s="31" t="n">
        <x:v>16.9174825045</x:v>
      </x:c>
      <x:c r="J88" s="31" t="n">
        <x:v>0</x:v>
      </x:c>
      <x:c r="K88" s="31" t="n">
        <x:v>16.9174825045</x:v>
      </x:c>
      <x:c r="L88" s="31" t="n">
        <x:v>0</x:v>
      </x:c>
      <x:c r="M88" s="31" t="n">
        <x:v>16.9174825045</x:v>
      </x:c>
      <x:c r="N88" s="24" t="str">
        <x:v>congridae</x:v>
      </x:c>
      <x:c r="O88" s="32" t="n">
        <x:v>4.18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Congridae</x:v>
      </x:c>
      <x:c r="T88" s="32" t="n">
        <x:f>IF(O88="","",(1/'Metadata'!$B$5)^(O88-1))</x:f>
        <x:v>1513.5612484362073</x:v>
      </x:c>
      <x:c r="U88" s="31" t="n">
        <x:f>IF(T88="","",I88*T88)</x:f>
        <x:v>25605.645939908714</x:v>
      </x:c>
    </x:row>
    <x:row r="89" ht="18" customHeight="1">
      <x:c r="A89" s="24" t="str">
        <x:v>EEZ_528</x:v>
      </x:c>
      <x:c r="B89" s="24" t="str">
        <x:v>Netherlands</x:v>
      </x:c>
      <x:c r="C89" s="24" t="str">
        <x:v>EEZ</x:v>
      </x:c>
      <x:c r="D89" s="30" t="n">
        <x:v>2019</x:v>
      </x:c>
      <x:c r="E89" s="24" t="str">
        <x:v>Anguilla anguilla</x:v>
      </x:c>
      <x:c r="F89" s="24" t="str">
        <x:v>European eel</x:v>
      </x:c>
      <x:c r="G89" s="24" t="str">
        <x:v>Large demersals (&gt;=90 cm)</x:v>
      </x:c>
      <x:c r="H89" s="24" t="str">
        <x:v>Other fishes &amp; inverts</x:v>
      </x:c>
      <x:c r="I89" s="31" t="n">
        <x:v>16.3194645923</x:v>
      </x:c>
      <x:c r="J89" s="31" t="n">
        <x:v>16.3194645923</x:v>
      </x:c>
      <x:c r="K89" s="31" t="n">
        <x:v>0</x:v>
      </x:c>
      <x:c r="L89" s="31" t="n">
        <x:v>6.3327200323</x:v>
      </x:c>
      <x:c r="M89" s="31" t="n">
        <x:v>9.98674456</x:v>
      </x:c>
      <x:c r="N89" s="24" t="str">
        <x:v>anguilla anguilla</x:v>
      </x:c>
      <x:c r="O89" s="32" t="n">
        <x:v>3.55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Anguilla anguilla</x:v>
      </x:c>
      <x:c r="T89" s="32" t="n">
        <x:f>IF(O89="","",(1/'Metadata'!$B$5)^(O89-1))</x:f>
        <x:v>354.8133892335753</x:v>
      </x:c>
      <x:c r="U89" s="31" t="n">
        <x:f>IF(T89="","",I89*T89)</x:f>
        <x:v>5790.36454247129</x:v>
      </x:c>
    </x:row>
    <x:row r="90" ht="18" customHeight="1">
      <x:c r="A90" s="24" t="str">
        <x:v>EEZ_528</x:v>
      </x:c>
      <x:c r="B90" s="24" t="str">
        <x:v>Netherlands</x:v>
      </x:c>
      <x:c r="C90" s="24" t="str">
        <x:v>EEZ</x:v>
      </x:c>
      <x:c r="D90" s="30" t="n">
        <x:v>2019</x:v>
      </x:c>
      <x:c r="E90" s="24" t="str">
        <x:v>Mustelus mustelus</x:v>
      </x:c>
      <x:c r="F90" s="24" t="str">
        <x:v>Smooth-hound</x:v>
      </x:c>
      <x:c r="G90" s="24" t="str">
        <x:v>Large sharks (&gt;=90 cm)</x:v>
      </x:c>
      <x:c r="H90" s="24" t="str">
        <x:v>Sharks &amp; rays</x:v>
      </x:c>
      <x:c r="I90" s="31" t="n">
        <x:v>15.7545528107</x:v>
      </x:c>
      <x:c r="J90" s="31" t="n">
        <x:v>15.7545528107</x:v>
      </x:c>
      <x:c r="K90" s="31" t="n">
        <x:v>0</x:v>
      </x:c>
      <x:c r="L90" s="31" t="n">
        <x:v>15.7545528107</x:v>
      </x:c>
      <x:c r="M90" s="31" t="n">
        <x:v>0</x:v>
      </x:c>
      <x:c r="N90" s="24" t="str">
        <x:v>mustelus mustelus</x:v>
      </x:c>
      <x:c r="O90" s="32" t="n">
        <x:v>3.75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Mustelus mustelus</x:v>
      </x:c>
      <x:c r="T90" s="32" t="n">
        <x:f>IF(O90="","",(1/'Metadata'!$B$5)^(O90-1))</x:f>
        <x:v>562.341325190349</x:v>
      </x:c>
      <x:c r="U90" s="31" t="n">
        <x:f>IF(T90="","",I90*T90)</x:f>
        <x:v>8859.436105350376</x:v>
      </x:c>
    </x:row>
    <x:row r="91" ht="18" customHeight="1">
      <x:c r="A91" s="24" t="str">
        <x:v>EEZ_528</x:v>
      </x:c>
      <x:c r="B91" s="24" t="str">
        <x:v>Netherlands</x:v>
      </x:c>
      <x:c r="C91" s="24" t="str">
        <x:v>EEZ</x:v>
      </x:c>
      <x:c r="D91" s="30" t="n">
        <x:v>2019</x:v>
      </x:c>
      <x:c r="E91" s="24" t="str">
        <x:v>Teuthida</x:v>
      </x:c>
      <x:c r="F91" s="24" t="str">
        <x:v>Squids</x:v>
      </x:c>
      <x:c r="G91" s="24" t="str">
        <x:v>Cephalopods</x:v>
      </x:c>
      <x:c r="H91" s="24" t="str">
        <x:v>Other fishes &amp; inverts</x:v>
      </x:c>
      <x:c r="I91" s="31" t="n">
        <x:v>12.8541980192</x:v>
      </x:c>
      <x:c r="J91" s="31" t="n">
        <x:v>12.8541980192</x:v>
      </x:c>
      <x:c r="K91" s="31" t="n">
        <x:v>0</x:v>
      </x:c>
      <x:c r="L91" s="31" t="n">
        <x:v>12.8541980192</x:v>
      </x:c>
      <x:c r="M91" s="31" t="n">
        <x:v>0</x:v>
      </x:c>
      <x:c r="N91" s="24" t="str">
        <x:v>teuthida</x:v>
      </x:c>
      <x:c r="O91" s="32" t="n">
        <x:v>4.13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Teuthida</x:v>
      </x:c>
      <x:c r="T91" s="32" t="n">
        <x:f>IF(O91="","",(1/'Metadata'!$B$5)^(O91-1))</x:f>
        <x:v>1348.9628825916532</x:v>
      </x:c>
      <x:c r="U91" s="31" t="n">
        <x:f>IF(T91="","",I91*T91)</x:f>
        <x:v>17339.83601338395</x:v>
      </x:c>
    </x:row>
    <x:row r="92" ht="18" customHeight="1">
      <x:c r="A92" s="24" t="str">
        <x:v>EEZ_528</x:v>
      </x:c>
      <x:c r="B92" s="24" t="str">
        <x:v>Netherlands</x:v>
      </x:c>
      <x:c r="C92" s="24" t="str">
        <x:v>EEZ</x:v>
      </x:c>
      <x:c r="D92" s="30" t="n">
        <x:v>2019</x:v>
      </x:c>
      <x:c r="E92" s="24" t="str">
        <x:v>Auxis thazard</x:v>
      </x:c>
      <x:c r="F92" s="24" t="str">
        <x:v>Frigate tuna</x:v>
      </x:c>
      <x:c r="G92" s="24" t="str">
        <x:v>Medium pelagics (30 - 89 cm)</x:v>
      </x:c>
      <x:c r="H92" s="24" t="str">
        <x:v>Tuna &amp; billfishes</x:v>
      </x:c>
      <x:c r="I92" s="31" t="n">
        <x:v>12.2710226351</x:v>
      </x:c>
      <x:c r="J92" s="31" t="n">
        <x:v>12.2710226351</x:v>
      </x:c>
      <x:c r="K92" s="31" t="n">
        <x:v>0</x:v>
      </x:c>
      <x:c r="L92" s="31" t="n">
        <x:v>12.2710226351</x:v>
      </x:c>
      <x:c r="M92" s="31" t="n">
        <x:v>0</x:v>
      </x:c>
      <x:c r="N92" s="24" t="str">
        <x:v>auxis thazard</x:v>
      </x:c>
      <x:c r="O92" s="32" t="n">
        <x:v>4.37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Auxis thazard</x:v>
      </x:c>
      <x:c r="T92" s="32" t="n">
        <x:f>IF(O92="","",(1/'Metadata'!$B$5)^(O92-1))</x:f>
        <x:v>2344.228815319923</x:v>
      </x:c>
      <x:c r="U92" s="31" t="n">
        <x:f>IF(T92="","",I92*T92)</x:f>
        <x:v>28766.084854644432</x:v>
      </x:c>
    </x:row>
    <x:row r="93" ht="18" customHeight="1">
      <x:c r="A93" s="24" t="str">
        <x:v>EEZ_528</x:v>
      </x:c>
      <x:c r="B93" s="24" t="str">
        <x:v>Netherlands</x:v>
      </x:c>
      <x:c r="C93" s="24" t="str">
        <x:v>EEZ</x:v>
      </x:c>
      <x:c r="D93" s="30" t="n">
        <x:v>2019</x:v>
      </x:c>
      <x:c r="E93" s="24" t="str">
        <x:v>Perciformes</x:v>
      </x:c>
      <x:c r="F93" s="24" t="str">
        <x:v>Perch-likes</x:v>
      </x:c>
      <x:c r="G93" s="24" t="str">
        <x:v>Medium demersals (30 - 89 cm)</x:v>
      </x:c>
      <x:c r="H93" s="24" t="str">
        <x:v>Perch-likes</x:v>
      </x:c>
      <x:c r="I93" s="31" t="n">
        <x:v>11.6923539639</x:v>
      </x:c>
      <x:c r="J93" s="31" t="n">
        <x:v>11.508080551399999</x:v>
      </x:c>
      <x:c r="K93" s="31" t="n">
        <x:v>0.1842734125</x:v>
      </x:c>
      <x:c r="L93" s="31" t="n">
        <x:v>11.508080551399999</x:v>
      </x:c>
      <x:c r="M93" s="31" t="n">
        <x:v>0.1842734125</x:v>
      </x:c>
      <x:c r="N93" s="24" t="str">
        <x:v>perciformes</x:v>
      </x:c>
      <x:c r="O93" s="32" t="n">
        <x:v>3.53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Perciformes</x:v>
      </x:c>
      <x:c r="T93" s="32" t="n">
        <x:f>IF(O93="","",(1/'Metadata'!$B$5)^(O93-1))</x:f>
        <x:v>338.84415613920237</x:v>
      </x:c>
      <x:c r="U93" s="31" t="n">
        <x:f>IF(T93="","",I93*T93)</x:f>
        <x:v>3961.8858121785534</x:v>
      </x:c>
    </x:row>
    <x:row r="94" ht="18" customHeight="1">
      <x:c r="A94" s="24" t="str">
        <x:v>EEZ_528</x:v>
      </x:c>
      <x:c r="B94" s="24" t="str">
        <x:v>Netherlands</x:v>
      </x:c>
      <x:c r="C94" s="24" t="str">
        <x:v>EEZ</x:v>
      </x:c>
      <x:c r="D94" s="30" t="n">
        <x:v>2019</x:v>
      </x:c>
      <x:c r="E94" s="24" t="str">
        <x:v>Carcinus maenas</x:v>
      </x:c>
      <x:c r="F94" s="24" t="str">
        <x:v>Green crab</x:v>
      </x:c>
      <x:c r="G94" s="24" t="str">
        <x:v>Lobsters, crabs</x:v>
      </x:c>
      <x:c r="H94" s="24" t="str">
        <x:v>Crustaceans</x:v>
      </x:c>
      <x:c r="I94" s="31" t="n">
        <x:v>10.4063262299</x:v>
      </x:c>
      <x:c r="J94" s="31" t="n">
        <x:v>10.4063262299</x:v>
      </x:c>
      <x:c r="K94" s="31" t="n">
        <x:v>0</x:v>
      </x:c>
      <x:c r="L94" s="31" t="n">
        <x:v>10.4063262299</x:v>
      </x:c>
      <x:c r="M94" s="31" t="n">
        <x:v>0</x:v>
      </x:c>
      <x:c r="N94" s="24" t="str">
        <x:v>carcinus maenas</x:v>
      </x:c>
      <x:c r="O94" s="32" t="n">
        <x:v>3.5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Carcinus maenas</x:v>
      </x:c>
      <x:c r="T94" s="32" t="n">
        <x:f>IF(O94="","",(1/'Metadata'!$B$5)^(O94-1))</x:f>
        <x:v>316.22776601683796</x:v>
      </x:c>
      <x:c r="U94" s="31" t="n">
        <x:f>IF(T94="","",I94*T94)</x:f>
        <x:v>3290.7692961237008</x:v>
      </x:c>
    </x:row>
    <x:row r="95" ht="18" customHeight="1">
      <x:c r="A95" s="24" t="str">
        <x:v>EEZ_528</x:v>
      </x:c>
      <x:c r="B95" s="24" t="str">
        <x:v>Netherlands</x:v>
      </x:c>
      <x:c r="C95" s="24" t="str">
        <x:v>EEZ</x:v>
      </x:c>
      <x:c r="D95" s="30" t="n">
        <x:v>2019</x:v>
      </x:c>
      <x:c r="E95" s="24" t="str">
        <x:v>Brachyura</x:v>
      </x:c>
      <x:c r="F95" s="24" t="str">
        <x:v>Marine crabs</x:v>
      </x:c>
      <x:c r="G95" s="24" t="str">
        <x:v>Lobsters, crabs</x:v>
      </x:c>
      <x:c r="H95" s="24" t="str">
        <x:v>Crustaceans</x:v>
      </x:c>
      <x:c r="I95" s="31" t="n">
        <x:v>9.61155975</x:v>
      </x:c>
      <x:c r="J95" s="31" t="n">
        <x:v>9.61155975</x:v>
      </x:c>
      <x:c r="K95" s="31" t="n">
        <x:v>0</x:v>
      </x:c>
      <x:c r="L95" s="31" t="n">
        <x:v>9.61155975</x:v>
      </x:c>
      <x:c r="M95" s="31" t="n">
        <x:v>0</x:v>
      </x:c>
      <x:c r="N95" s="24" t="str">
        <x:v>brachyura</x:v>
      </x:c>
      <x:c r="O95" s="32" t="n">
        <x:v>2.6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Brachyura</x:v>
      </x:c>
      <x:c r="T95" s="32" t="n">
        <x:f>IF(O95="","",(1/'Metadata'!$B$5)^(O95-1))</x:f>
        <x:v>39.810717055349734</x:v>
      </x:c>
      <x:c r="U95" s="31" t="n">
        <x:f>IF(T95="","",I95*T95)</x:f>
        <x:v>382.643085667838</x:v>
      </x:c>
    </x:row>
    <x:row r="96" ht="18" customHeight="1">
      <x:c r="A96" s="24" t="str">
        <x:v>EEZ_528</x:v>
      </x:c>
      <x:c r="B96" s="24" t="str">
        <x:v>Netherlands</x:v>
      </x:c>
      <x:c r="C96" s="24" t="str">
        <x:v>EEZ</x:v>
      </x:c>
      <x:c r="D96" s="30" t="n">
        <x:v>2019</x:v>
      </x:c>
      <x:c r="E96" s="24" t="str">
        <x:v>Osmerus eperlanus</x:v>
      </x:c>
      <x:c r="F96" s="24" t="str">
        <x:v>European smelt</x:v>
      </x:c>
      <x:c r="G96" s="24" t="str">
        <x:v>Medium pelagics (30 - 89 cm)</x:v>
      </x:c>
      <x:c r="H96" s="24" t="str">
        <x:v>Salmon, smelts, etc</x:v>
      </x:c>
      <x:c r="I96" s="31" t="n">
        <x:v>8.3927897643</x:v>
      </x:c>
      <x:c r="J96" s="31" t="n">
        <x:v>8.3927897643</x:v>
      </x:c>
      <x:c r="K96" s="31" t="n">
        <x:v>0</x:v>
      </x:c>
      <x:c r="L96" s="31" t="n">
        <x:v>8.3927897643</x:v>
      </x:c>
      <x:c r="M96" s="31" t="n">
        <x:v>0</x:v>
      </x:c>
      <x:c r="N96" s="24" t="str">
        <x:v>osmerus eperlanus</x:v>
      </x:c>
      <x:c r="O96" s="32" t="n">
        <x:v>3.46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Osmerus eperlanus</x:v>
      </x:c>
      <x:c r="T96" s="32" t="n">
        <x:f>IF(O96="","",(1/'Metadata'!$B$5)^(O96-1))</x:f>
        <x:v>288.40315031266056</x:v>
      </x:c>
      <x:c r="U96" s="31" t="n">
        <x:f>IF(T96="","",I96*T96)</x:f>
        <x:v>2420.5070079359716</x:v>
      </x:c>
    </x:row>
    <x:row r="97" ht="18" customHeight="1">
      <x:c r="A97" s="24" t="str">
        <x:v>EEZ_528</x:v>
      </x:c>
      <x:c r="B97" s="24" t="str">
        <x:v>Netherlands</x:v>
      </x:c>
      <x:c r="C97" s="24" t="str">
        <x:v>EEZ</x:v>
      </x:c>
      <x:c r="D97" s="30" t="n">
        <x:v>2019</x:v>
      </x:c>
      <x:c r="E97" s="24" t="str">
        <x:v>Chamelea gallina</x:v>
      </x:c>
      <x:c r="F97" s="24" t="str">
        <x:v>Striped venus</x:v>
      </x:c>
      <x:c r="G97" s="24" t="str">
        <x:v>Other demersal invertebrates</x:v>
      </x:c>
      <x:c r="H97" s="24" t="str">
        <x:v>Molluscs</x:v>
      </x:c>
      <x:c r="I97" s="31" t="n">
        <x:v>8.389433903999999</x:v>
      </x:c>
      <x:c r="J97" s="31" t="n">
        <x:v>8.389433903999999</x:v>
      </x:c>
      <x:c r="K97" s="31" t="n">
        <x:v>0</x:v>
      </x:c>
      <x:c r="L97" s="31" t="n">
        <x:v>8.389433903999999</x:v>
      </x:c>
      <x:c r="M97" s="31" t="n">
        <x:v>0</x:v>
      </x:c>
      <x:c r="N97" s="24" t="str">
        <x:v>chamelea gallina</x:v>
      </x:c>
      <x:c r="O97" s="32" t="n">
        <x:v>2.1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Chamelea gallina</x:v>
      </x:c>
      <x:c r="T97" s="32" t="n">
        <x:f>IF(O97="","",(1/'Metadata'!$B$5)^(O97-1))</x:f>
        <x:v>12.589254117941675</x:v>
      </x:c>
      <x:c r="U97" s="31" t="n">
        <x:f>IF(T97="","",I97*T97)</x:f>
        <x:v>105.61671532313149</x:v>
      </x:c>
    </x:row>
    <x:row r="98" ht="18" customHeight="1">
      <x:c r="A98" s="24" t="str">
        <x:v>EEZ_528</x:v>
      </x:c>
      <x:c r="B98" s="24" t="str">
        <x:v>Netherlands</x:v>
      </x:c>
      <x:c r="C98" s="24" t="str">
        <x:v>EEZ</x:v>
      </x:c>
      <x:c r="D98" s="30" t="n">
        <x:v>2019</x:v>
      </x:c>
      <x:c r="E98" s="24" t="str">
        <x:v>Necora puber</x:v>
      </x:c>
      <x:c r="F98" s="24" t="str">
        <x:v>Velvet swimcrab</x:v>
      </x:c>
      <x:c r="G98" s="24" t="str">
        <x:v>Lobsters, crabs</x:v>
      </x:c>
      <x:c r="H98" s="24" t="str">
        <x:v>Crustaceans</x:v>
      </x:c>
      <x:c r="I98" s="31" t="n">
        <x:v>8.2658894809</x:v>
      </x:c>
      <x:c r="J98" s="31" t="n">
        <x:v>8.2658894809</x:v>
      </x:c>
      <x:c r="K98" s="31" t="n">
        <x:v>0</x:v>
      </x:c>
      <x:c r="L98" s="31" t="n">
        <x:v>8.2658894809</x:v>
      </x:c>
      <x:c r="M98" s="31" t="n">
        <x:v>0</x:v>
      </x:c>
      <x:c r="N98" s="24" t="str">
        <x:v>necora puber</x:v>
      </x:c>
      <x:c r="O98" s="32" t="n">
        <x:v>2.6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Necora puber</x:v>
      </x:c>
      <x:c r="T98" s="32" t="n">
        <x:f>IF(O98="","",(1/'Metadata'!$B$5)^(O98-1))</x:f>
        <x:v>39.810717055349734</x:v>
      </x:c>
      <x:c r="U98" s="31" t="n">
        <x:f>IF(T98="","",I98*T98)</x:f>
        <x:v>329.0709873349016</x:v>
      </x:c>
    </x:row>
    <x:row r="99" ht="18" customHeight="1">
      <x:c r="A99" s="24" t="str">
        <x:v>EEZ_528</x:v>
      </x:c>
      <x:c r="B99" s="24" t="str">
        <x:v>Netherlands</x:v>
      </x:c>
      <x:c r="C99" s="24" t="str">
        <x:v>EEZ</x:v>
      </x:c>
      <x:c r="D99" s="30" t="n">
        <x:v>2019</x:v>
      </x:c>
      <x:c r="E99" s="24" t="str">
        <x:v>Anarhichas lupus</x:v>
      </x:c>
      <x:c r="F99" s="24" t="str">
        <x:v>Atlantic wolffish</x:v>
      </x:c>
      <x:c r="G99" s="24" t="str">
        <x:v>Large demersals (&gt;=90 cm)</x:v>
      </x:c>
      <x:c r="H99" s="24" t="str">
        <x:v>Perch-likes</x:v>
      </x:c>
      <x:c r="I99" s="31" t="n">
        <x:v>7.5684094572</x:v>
      </x:c>
      <x:c r="J99" s="31" t="n">
        <x:v>7.4550108537</x:v>
      </x:c>
      <x:c r="K99" s="31" t="n">
        <x:v>0.1133986035</x:v>
      </x:c>
      <x:c r="L99" s="31" t="n">
        <x:v>7.3049270296</x:v>
      </x:c>
      <x:c r="M99" s="31" t="n">
        <x:v>0.2634824276</x:v>
      </x:c>
      <x:c r="N99" s="24" t="str">
        <x:v>anarhichas lupus</x:v>
      </x:c>
      <x:c r="O99" s="32" t="n">
        <x:v>3.55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Anarhichas lupus</x:v>
      </x:c>
      <x:c r="T99" s="32" t="n">
        <x:f>IF(O99="","",(1/'Metadata'!$B$5)^(O99-1))</x:f>
        <x:v>354.8133892335753</x:v>
      </x:c>
      <x:c r="U99" s="31" t="n">
        <x:f>IF(T99="","",I99*T99)</x:f>
        <x:v>2685.373010616576</x:v>
      </x:c>
    </x:row>
    <x:row r="100" ht="18" customHeight="1">
      <x:c r="A100" s="24" t="str">
        <x:v>EEZ_528</x:v>
      </x:c>
      <x:c r="B100" s="24" t="str">
        <x:v>Netherlands</x:v>
      </x:c>
      <x:c r="C100" s="24" t="str">
        <x:v>EEZ</x:v>
      </x:c>
      <x:c r="D100" s="30" t="n">
        <x:v>2019</x:v>
      </x:c>
      <x:c r="E100" s="24" t="str">
        <x:v>Chelon labrosus</x:v>
      </x:c>
      <x:c r="F100" s="24" t="str">
        <x:v>Thicklip grey mullet</x:v>
      </x:c>
      <x:c r="G100" s="24" t="str">
        <x:v>Medium demersals (30 - 89 cm)</x:v>
      </x:c>
      <x:c r="H100" s="24" t="str">
        <x:v>Perch-likes</x:v>
      </x:c>
      <x:c r="I100" s="31" t="n">
        <x:v>6.489160757</x:v>
      </x:c>
      <x:c r="J100" s="31" t="n">
        <x:v>6.489160757</x:v>
      </x:c>
      <x:c r="K100" s="31" t="n">
        <x:v>0</x:v>
      </x:c>
      <x:c r="L100" s="31" t="n">
        <x:v>6.489160757</x:v>
      </x:c>
      <x:c r="M100" s="31" t="n">
        <x:v>0</x:v>
      </x:c>
      <x:c r="N100" s="24" t="str">
        <x:v>chelon labrosus</x:v>
      </x:c>
      <x:c r="O100" s="32" t="n">
        <x:v>2.59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Chelon labrosus</x:v>
      </x:c>
      <x:c r="T100" s="32" t="n">
        <x:f>IF(O100="","",(1/'Metadata'!$B$5)^(O100-1))</x:f>
        <x:v>38.904514499428046</x:v>
      </x:c>
      <x:c r="U100" s="31" t="n">
        <x:f>IF(T100="","",I100*T100)</x:f>
        <x:v>252.45764875982596</x:v>
      </x:c>
    </x:row>
    <x:row r="101" ht="18" customHeight="1">
      <x:c r="A101" s="24" t="str">
        <x:v>EEZ_528</x:v>
      </x:c>
      <x:c r="B101" s="24" t="str">
        <x:v>Netherlands</x:v>
      </x:c>
      <x:c r="C101" s="24" t="str">
        <x:v>EEZ</x:v>
      </x:c>
      <x:c r="D101" s="30" t="n">
        <x:v>2019</x:v>
      </x:c>
      <x:c r="E101" s="24" t="str">
        <x:v>Magallana gigas</x:v>
      </x:c>
      <x:c r="F101" s="24" t="str">
        <x:v>Pacific cupped oyster</x:v>
      </x:c>
      <x:c r="G101" s="24" t="str">
        <x:v>Other demersal invertebrates</x:v>
      </x:c>
      <x:c r="H101" s="24" t="str">
        <x:v>Molluscs</x:v>
      </x:c>
      <x:c r="I101" s="31" t="n">
        <x:v>6.3996983243</x:v>
      </x:c>
      <x:c r="J101" s="31" t="n">
        <x:v>6.3996983243</x:v>
      </x:c>
      <x:c r="K101" s="31" t="n">
        <x:v>0</x:v>
      </x:c>
      <x:c r="L101" s="31" t="n">
        <x:v>6.3996983243</x:v>
      </x:c>
      <x:c r="M101" s="31" t="n">
        <x:v>0</x:v>
      </x:c>
      <x:c r="N101" s="24" t="str">
        <x:v>magallana gigas</x:v>
      </x:c>
      <x:c r="O101" s="32" t="n">
        <x:v>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Magallana gigas</x:v>
      </x:c>
      <x:c r="T101" s="32" t="n">
        <x:f>IF(O101="","",(1/'Metadata'!$B$5)^(O101-1))</x:f>
        <x:v>10</x:v>
      </x:c>
      <x:c r="U101" s="31" t="n">
        <x:f>IF(T101="","",I101*T101)</x:f>
        <x:v>63.996983243</x:v>
      </x:c>
    </x:row>
    <x:row r="102" ht="18" customHeight="1">
      <x:c r="A102" s="24" t="str">
        <x:v>EEZ_528</x:v>
      </x:c>
      <x:c r="B102" s="24" t="str">
        <x:v>Netherlands</x:v>
      </x:c>
      <x:c r="C102" s="24" t="str">
        <x:v>EEZ</x:v>
      </x:c>
      <x:c r="D102" s="30" t="n">
        <x:v>2019</x:v>
      </x:c>
      <x:c r="E102" s="24" t="str">
        <x:v>Pandalus borealis</x:v>
      </x:c>
      <x:c r="F102" s="24" t="str">
        <x:v>Northern prawn</x:v>
      </x:c>
      <x:c r="G102" s="24" t="str">
        <x:v>Shrimps</x:v>
      </x:c>
      <x:c r="H102" s="24" t="str">
        <x:v>Crustaceans</x:v>
      </x:c>
      <x:c r="I102" s="31" t="n">
        <x:v>5.4530277001</x:v>
      </x:c>
      <x:c r="J102" s="31" t="n">
        <x:v>5.3890783383</x:v>
      </x:c>
      <x:c r="K102" s="31" t="n">
        <x:v>0.06394936179999999</x:v>
      </x:c>
      <x:c r="L102" s="31" t="n">
        <x:v>5.3889900333</x:v>
      </x:c>
      <x:c r="M102" s="31" t="n">
        <x:v>0.0640376668</x:v>
      </x:c>
      <x:c r="N102" s="24" t="str">
        <x:v>pandalus borealis</x:v>
      </x:c>
      <x:c r="O102" s="32" t="n">
        <x:v>3.07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Pandalus borealis</x:v>
      </x:c>
      <x:c r="T102" s="32" t="n">
        <x:f>IF(O102="","",(1/'Metadata'!$B$5)^(O102-1))</x:f>
        <x:v>117.48975549395291</x:v>
      </x:c>
      <x:c r="U102" s="31" t="n">
        <x:f>IF(T102="","",I102*T102)</x:f>
        <x:v>640.6748911865013</x:v>
      </x:c>
    </x:row>
    <x:row r="103" ht="18" customHeight="1">
      <x:c r="A103" s="24" t="str">
        <x:v>EEZ_528</x:v>
      </x:c>
      <x:c r="B103" s="24" t="str">
        <x:v>Netherlands</x:v>
      </x:c>
      <x:c r="C103" s="24" t="str">
        <x:v>EEZ</x:v>
      </x:c>
      <x:c r="D103" s="30" t="n">
        <x:v>2019</x:v>
      </x:c>
      <x:c r="E103" s="24" t="str">
        <x:v>Solea</x:v>
      </x:c>
      <x:c r="F103" s="24" t="str">
        <x:v>Soles</x:v>
      </x:c>
      <x:c r="G103" s="24" t="str">
        <x:v>Small to medium flatfishes (&lt;90 cm)</x:v>
      </x:c>
      <x:c r="H103" s="24" t="str">
        <x:v>Flatfishes</x:v>
      </x:c>
      <x:c r="I103" s="31" t="n">
        <x:v>5.2391842079</x:v>
      </x:c>
      <x:c r="J103" s="31" t="n">
        <x:v>5.2391842079</x:v>
      </x:c>
      <x:c r="K103" s="31" t="n">
        <x:v>0</x:v>
      </x:c>
      <x:c r="L103" s="31" t="n">
        <x:v>5.2391842079</x:v>
      </x:c>
      <x:c r="M103" s="31" t="n">
        <x:v>0</x:v>
      </x:c>
      <x:c r="N103" s="24" t="str">
        <x:v>solea</x:v>
      </x:c>
      <x:c r="O103" s="32" t="n">
        <x:v>3.13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Solea</x:v>
      </x:c>
      <x:c r="T103" s="32" t="n">
        <x:f>IF(O103="","",(1/'Metadata'!$B$5)^(O103-1))</x:f>
        <x:v>134.89628825916532</x:v>
      </x:c>
      <x:c r="U103" s="31" t="n">
        <x:f>IF(T103="","",I103*T103)</x:f>
        <x:v>706.7465031517452</x:v>
      </x:c>
    </x:row>
    <x:row r="104" ht="18" customHeight="1">
      <x:c r="A104" s="24" t="str">
        <x:v>EEZ_528</x:v>
      </x:c>
      <x:c r="B104" s="24" t="str">
        <x:v>Netherlands</x:v>
      </x:c>
      <x:c r="C104" s="24" t="str">
        <x:v>EEZ</x:v>
      </x:c>
      <x:c r="D104" s="30" t="n">
        <x:v>2019</x:v>
      </x:c>
      <x:c r="E104" s="24" t="str">
        <x:v>Mullidae</x:v>
      </x:c>
      <x:c r="F104" s="24" t="str">
        <x:v>Goatfishes</x:v>
      </x:c>
      <x:c r="G104" s="24" t="str">
        <x:v>Medium reef assoc. fish (30 - 89 cm)</x:v>
      </x:c>
      <x:c r="H104" s="24" t="str">
        <x:v>Perch-likes</x:v>
      </x:c>
      <x:c r="I104" s="31" t="n">
        <x:v>4.8968174937</x:v>
      </x:c>
      <x:c r="J104" s="31" t="n">
        <x:v>0</x:v>
      </x:c>
      <x:c r="K104" s="31" t="n">
        <x:v>4.8968174937</x:v>
      </x:c>
      <x:c r="L104" s="31" t="n">
        <x:v>0</x:v>
      </x:c>
      <x:c r="M104" s="31" t="n">
        <x:v>4.8968174937</x:v>
      </x:c>
      <x:c r="N104" s="24" t="str">
        <x:v>mullidae</x:v>
      </x:c>
      <x:c r="O104" s="32" t="n">
        <x:v>3.46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Mullidae</x:v>
      </x:c>
      <x:c r="T104" s="32" t="n">
        <x:f>IF(O104="","",(1/'Metadata'!$B$5)^(O104-1))</x:f>
        <x:v>288.40315031266056</x:v>
      </x:c>
      <x:c r="U104" s="31" t="n">
        <x:f>IF(T104="","",I104*T104)</x:f>
        <x:v>1412.257591689227</x:v>
      </x:c>
    </x:row>
    <x:row r="105" ht="18" customHeight="1">
      <x:c r="A105" s="24" t="str">
        <x:v>EEZ_528</x:v>
      </x:c>
      <x:c r="B105" s="24" t="str">
        <x:v>Netherlands</x:v>
      </x:c>
      <x:c r="C105" s="24" t="str">
        <x:v>EEZ</x:v>
      </x:c>
      <x:c r="D105" s="30" t="n">
        <x:v>2019</x:v>
      </x:c>
      <x:c r="E105" s="24" t="str">
        <x:v>Balistidae</x:v>
      </x:c>
      <x:c r="F105" s="24" t="str">
        <x:v>Triggerfishes</x:v>
      </x:c>
      <x:c r="G105" s="24" t="str">
        <x:v>Medium reef assoc. fish (30 - 89 cm)</x:v>
      </x:c>
      <x:c r="H105" s="24" t="str">
        <x:v>Other fishes &amp; inverts</x:v>
      </x:c>
      <x:c r="I105" s="31" t="n">
        <x:v>4.3344146734</x:v>
      </x:c>
      <x:c r="J105" s="31" t="n">
        <x:v>0</x:v>
      </x:c>
      <x:c r="K105" s="31" t="n">
        <x:v>4.3344146734</x:v>
      </x:c>
      <x:c r="L105" s="31" t="n">
        <x:v>0</x:v>
      </x:c>
      <x:c r="M105" s="31" t="n">
        <x:v>4.3344146734</x:v>
      </x:c>
      <x:c r="N105" s="24" t="str">
        <x:v>balistidae</x:v>
      </x:c>
      <x:c r="O105" s="32" t="n">
        <x:v>3.25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Balistidae</x:v>
      </x:c>
      <x:c r="T105" s="32" t="n">
        <x:f>IF(O105="","",(1/'Metadata'!$B$5)^(O105-1))</x:f>
        <x:v>177.82794100389228</x:v>
      </x:c>
      <x:c r="U105" s="31" t="n">
        <x:f>IF(T105="","",I105*T105)</x:f>
        <x:v>770.7800368277802</x:v>
      </x:c>
    </x:row>
    <x:row r="106" ht="18" customHeight="1">
      <x:c r="A106" s="24" t="str">
        <x:v>EEZ_528</x:v>
      </x:c>
      <x:c r="B106" s="24" t="str">
        <x:v>Netherlands</x:v>
      </x:c>
      <x:c r="C106" s="24" t="str">
        <x:v>EEZ</x:v>
      </x:c>
      <x:c r="D106" s="30" t="n">
        <x:v>2019</x:v>
      </x:c>
      <x:c r="E106" s="24" t="str">
        <x:v>Octopus</x:v>
      </x:c>
      <x:c r="F106" s="24" t="str">
        <x:v>Octopuses, pikas</x:v>
      </x:c>
      <x:c r="G106" s="24" t="str">
        <x:v>Cephalopods</x:v>
      </x:c>
      <x:c r="H106" s="24" t="str">
        <x:v>Other fishes &amp; inverts</x:v>
      </x:c>
      <x:c r="I106" s="31" t="n">
        <x:v>4.2237866914</x:v>
      </x:c>
      <x:c r="J106" s="31" t="n">
        <x:v>4.2237866914</x:v>
      </x:c>
      <x:c r="K106" s="31" t="n">
        <x:v>0</x:v>
      </x:c>
      <x:c r="L106" s="31" t="n">
        <x:v>4.2237866914</x:v>
      </x:c>
      <x:c r="M106" s="31" t="n">
        <x:v>0</x:v>
      </x:c>
      <x:c r="N106" s="24" t="str">
        <x:v>octopus</x:v>
      </x:c>
      <x:c r="O106" s="32" t="n">
        <x:v>3.8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Octopus</x:v>
      </x:c>
      <x:c r="T106" s="32" t="n">
        <x:f>IF(O106="","",(1/'Metadata'!$B$5)^(O106-1))</x:f>
        <x:v>630.957344480193</x:v>
      </x:c>
      <x:c r="U106" s="31" t="n">
        <x:f>IF(T106="","",I106*T106)</x:f>
        <x:v>2665.0292344565246</x:v>
      </x:c>
    </x:row>
    <x:row r="107" ht="18" customHeight="1">
      <x:c r="A107" s="24" t="str">
        <x:v>EEZ_528</x:v>
      </x:c>
      <x:c r="B107" s="24" t="str">
        <x:v>Netherlands</x:v>
      </x:c>
      <x:c r="C107" s="24" t="str">
        <x:v>EEZ</x:v>
      </x:c>
      <x:c r="D107" s="30" t="n">
        <x:v>2019</x:v>
      </x:c>
      <x:c r="E107" s="24" t="str">
        <x:v>Trisopterus esmarkii</x:v>
      </x:c>
      <x:c r="F107" s="24" t="str">
        <x:v>Norway pout</x:v>
      </x:c>
      <x:c r="G107" s="24" t="str">
        <x:v>Medium benthopelagics (30 - 89 cm)</x:v>
      </x:c>
      <x:c r="H107" s="24" t="str">
        <x:v>Cod-likes</x:v>
      </x:c>
      <x:c r="I107" s="31" t="n">
        <x:v>3.9324314352000003</x:v>
      </x:c>
      <x:c r="J107" s="31" t="n">
        <x:v>3.7680888075000003</x:v>
      </x:c>
      <x:c r="K107" s="31" t="n">
        <x:v>0.16434262770000002</x:v>
      </x:c>
      <x:c r="L107" s="31" t="n">
        <x:v>3.7680888075000003</x:v>
      </x:c>
      <x:c r="M107" s="31" t="n">
        <x:v>0.16434262770000002</x:v>
      </x:c>
      <x:c r="N107" s="24" t="str">
        <x:v>trisopterus esmarkii</x:v>
      </x:c>
      <x:c r="O107" s="32" t="n">
        <x:v>3.24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Trisopterus esmarkii</x:v>
      </x:c>
      <x:c r="T107" s="32" t="n">
        <x:f>IF(O107="","",(1/'Metadata'!$B$5)^(O107-1))</x:f>
        <x:v>173.78008287493762</x:v>
      </x:c>
      <x:c r="U107" s="31" t="n">
        <x:f>IF(T107="","",I107*T107)</x:f>
        <x:v>683.3782607090659</x:v>
      </x:c>
    </x:row>
    <x:row r="108" ht="18" customHeight="1">
      <x:c r="A108" s="24" t="str">
        <x:v>EEZ_528</x:v>
      </x:c>
      <x:c r="B108" s="24" t="str">
        <x:v>Netherlands</x:v>
      </x:c>
      <x:c r="C108" s="24" t="str">
        <x:v>EEZ</x:v>
      </x:c>
      <x:c r="D108" s="30" t="n">
        <x:v>2019</x:v>
      </x:c>
      <x:c r="E108" s="24" t="str">
        <x:v>Cyclopterus lumpus</x:v>
      </x:c>
      <x:c r="F108" s="24" t="str">
        <x:v>Lumpfish</x:v>
      </x:c>
      <x:c r="G108" s="24" t="str">
        <x:v>Medium benthopelagics (30 - 89 cm)</x:v>
      </x:c>
      <x:c r="H108" s="24" t="str">
        <x:v>Scorpionfishes</x:v>
      </x:c>
      <x:c r="I108" s="31" t="n">
        <x:v>3.8670025537</x:v>
      </x:c>
      <x:c r="J108" s="31" t="n">
        <x:v>3.8633482395</x:v>
      </x:c>
      <x:c r="K108" s="31" t="n">
        <x:v>0.0036543142</x:v>
      </x:c>
      <x:c r="L108" s="31" t="n">
        <x:v>3.8633482395</x:v>
      </x:c>
      <x:c r="M108" s="31" t="n">
        <x:v>0.0036543142</x:v>
      </x:c>
      <x:c r="N108" s="24" t="str">
        <x:v>cyclopterus lumpus</x:v>
      </x:c>
      <x:c r="O108" s="32" t="n">
        <x:v>3.89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Cyclopterus lumpus</x:v>
      </x:c>
      <x:c r="T108" s="32" t="n">
        <x:f>IF(O108="","",(1/'Metadata'!$B$5)^(O108-1))</x:f>
        <x:v>776.247116628692</x:v>
      </x:c>
      <x:c r="U108" s="31" t="n">
        <x:f>IF(T108="","",I108*T108)</x:f>
        <x:v>3001.7495823054137</x:v>
      </x:c>
    </x:row>
    <x:row r="109" ht="18" customHeight="1">
      <x:c r="A109" s="24" t="str">
        <x:v>EEZ_528</x:v>
      </x:c>
      <x:c r="B109" s="24" t="str">
        <x:v>Netherlands</x:v>
      </x:c>
      <x:c r="C109" s="24" t="str">
        <x:v>EEZ</x:v>
      </x:c>
      <x:c r="D109" s="30" t="n">
        <x:v>2019</x:v>
      </x:c>
      <x:c r="E109" s="24" t="str">
        <x:v>Spondyliosoma cantharus</x:v>
      </x:c>
      <x:c r="F109" s="24" t="str">
        <x:v>Black seabream</x:v>
      </x:c>
      <x:c r="G109" s="24" t="str">
        <x:v>Medium benthopelagics (30 - 89 cm)</x:v>
      </x:c>
      <x:c r="H109" s="24" t="str">
        <x:v>Perch-likes</x:v>
      </x:c>
      <x:c r="I109" s="31" t="n">
        <x:v>3.5283989147</x:v>
      </x:c>
      <x:c r="J109" s="31" t="n">
        <x:v>3.5283989147</x:v>
      </x:c>
      <x:c r="K109" s="31" t="n">
        <x:v>0</x:v>
      </x:c>
      <x:c r="L109" s="31" t="n">
        <x:v>3.5283989147</x:v>
      </x:c>
      <x:c r="M109" s="31" t="n">
        <x:v>0</x:v>
      </x:c>
      <x:c r="N109" s="24" t="str">
        <x:v>spondyliosoma cantharus</x:v>
      </x:c>
      <x:c r="O109" s="32" t="n">
        <x:v>3.34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Spondyliosoma cantharus</x:v>
      </x:c>
      <x:c r="T109" s="32" t="n">
        <x:f>IF(O109="","",(1/'Metadata'!$B$5)^(O109-1))</x:f>
        <x:v>218.77616239495518</x:v>
      </x:c>
      <x:c r="U109" s="31" t="n">
        <x:f>IF(T109="","",I109*T109)</x:f>
        <x:v>771.9295739565907</x:v>
      </x:c>
    </x:row>
    <x:row r="110" ht="18" customHeight="1">
      <x:c r="A110" s="24" t="str">
        <x:v>EEZ_528</x:v>
      </x:c>
      <x:c r="B110" s="24" t="str">
        <x:v>Netherlands</x:v>
      </x:c>
      <x:c r="C110" s="24" t="str">
        <x:v>EEZ</x:v>
      </x:c>
      <x:c r="D110" s="30" t="n">
        <x:v>2019</x:v>
      </x:c>
      <x:c r="E110" s="24" t="str">
        <x:v>Belone belone</x:v>
      </x:c>
      <x:c r="F110" s="24" t="str">
        <x:v>Garfish</x:v>
      </x:c>
      <x:c r="G110" s="24" t="str">
        <x:v>Medium pelagics (30 - 89 cm)</x:v>
      </x:c>
      <x:c r="H110" s="24" t="str">
        <x:v>Other fishes &amp; inverts</x:v>
      </x:c>
      <x:c r="I110" s="31" t="n">
        <x:v>3.2466177991</x:v>
      </x:c>
      <x:c r="J110" s="31" t="n">
        <x:v>3.2466177991</x:v>
      </x:c>
      <x:c r="K110" s="31" t="n">
        <x:v>0</x:v>
      </x:c>
      <x:c r="L110" s="31" t="n">
        <x:v>3.2466177991</x:v>
      </x:c>
      <x:c r="M110" s="31" t="n">
        <x:v>0</x:v>
      </x:c>
      <x:c r="N110" s="24" t="str">
        <x:v>belone belone</x:v>
      </x:c>
      <x:c r="O110" s="32" t="n">
        <x:v>4.16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Belone belone</x:v>
      </x:c>
      <x:c r="T110" s="32" t="n">
        <x:f>IF(O110="","",(1/'Metadata'!$B$5)^(O110-1))</x:f>
        <x:v>1445.439770745928</x:v>
      </x:c>
      <x:c r="U110" s="31" t="n">
        <x:f>IF(T110="","",I110*T110)</x:f>
        <x:v>4692.790487230754</x:v>
      </x:c>
    </x:row>
    <x:row r="111" ht="18" customHeight="1">
      <x:c r="A111" s="24" t="str">
        <x:v>EEZ_528</x:v>
      </x:c>
      <x:c r="B111" s="24" t="str">
        <x:v>Netherlands</x:v>
      </x:c>
      <x:c r="C111" s="24" t="str">
        <x:v>EEZ</x:v>
      </x:c>
      <x:c r="D111" s="30" t="n">
        <x:v>2019</x:v>
      </x:c>
      <x:c r="E111" s="24" t="str">
        <x:v>Engraulis encrasicolus</x:v>
      </x:c>
      <x:c r="F111" s="24" t="str">
        <x:v>European anchovy</x:v>
      </x:c>
      <x:c r="G111" s="24" t="str">
        <x:v>Small pelagics (&lt;30 cm)</x:v>
      </x:c>
      <x:c r="H111" s="24" t="str">
        <x:v>Anchovies</x:v>
      </x:c>
      <x:c r="I111" s="31" t="n">
        <x:v>3.1109069236</x:v>
      </x:c>
      <x:c r="J111" s="31" t="n">
        <x:v>3.1109069236</x:v>
      </x:c>
      <x:c r="K111" s="31" t="n">
        <x:v>0</x:v>
      </x:c>
      <x:c r="L111" s="31" t="n">
        <x:v>3.1109069236</x:v>
      </x:c>
      <x:c r="M111" s="31" t="n">
        <x:v>0</x:v>
      </x:c>
      <x:c r="N111" s="24" t="str">
        <x:v>engraulis encrasicolus</x:v>
      </x:c>
      <x:c r="O111" s="32" t="n">
        <x:v>3.11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Engraulis encrasicolus</x:v>
      </x:c>
      <x:c r="T111" s="32" t="n">
        <x:f>IF(O111="","",(1/'Metadata'!$B$5)^(O111-1))</x:f>
        <x:v>128.82495516931337</x:v>
      </x:c>
      <x:c r="U111" s="31" t="n">
        <x:f>IF(T111="","",I111*T111)</x:f>
        <x:v>400.76244496867656</x:v>
      </x:c>
    </x:row>
    <x:row r="112" ht="18" customHeight="1">
      <x:c r="A112" s="24" t="str">
        <x:v>EEZ_528</x:v>
      </x:c>
      <x:c r="B112" s="24" t="str">
        <x:v>Netherlands</x:v>
      </x:c>
      <x:c r="C112" s="24" t="str">
        <x:v>EEZ</x:v>
      </x:c>
      <x:c r="D112" s="30" t="n">
        <x:v>2019</x:v>
      </x:c>
      <x:c r="E112" s="24" t="str">
        <x:v>Gadiformes</x:v>
      </x:c>
      <x:c r="F112" s="24" t="str">
        <x:v>Cods</x:v>
      </x:c>
      <x:c r="G112" s="24" t="str">
        <x:v>Medium benthopelagics (30 - 89 cm)</x:v>
      </x:c>
      <x:c r="H112" s="24" t="str">
        <x:v>Cod-likes</x:v>
      </x:c>
      <x:c r="I112" s="31" t="n">
        <x:v>3.0435060901999997</x:v>
      </x:c>
      <x:c r="J112" s="31" t="n">
        <x:v>0</x:v>
      </x:c>
      <x:c r="K112" s="31" t="n">
        <x:v>3.0435060901999997</x:v>
      </x:c>
      <x:c r="L112" s="31" t="n">
        <x:v>0</x:v>
      </x:c>
      <x:c r="M112" s="31" t="n">
        <x:v>3.0435060901999997</x:v>
      </x:c>
      <x:c r="N112" s="24" t="str">
        <x:v>gadiformes</x:v>
      </x:c>
      <x:c r="O112" s="32" t="n">
        <x:v>3.91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Gadiformes</x:v>
      </x:c>
      <x:c r="T112" s="32" t="n">
        <x:f>IF(O112="","",(1/'Metadata'!$B$5)^(O112-1))</x:f>
        <x:v>812.8305161640995</x:v>
      </x:c>
      <x:c r="U112" s="31" t="n">
        <x:f>IF(T112="","",I112*T112)</x:f>
        <x:v>2473.8546262458462</x:v>
      </x:c>
    </x:row>
    <x:row r="113" ht="18" customHeight="1">
      <x:c r="A113" s="24" t="str">
        <x:v>EEZ_528</x:v>
      </x:c>
      <x:c r="B113" s="24" t="str">
        <x:v>Netherlands</x:v>
      </x:c>
      <x:c r="C113" s="24" t="str">
        <x:v>EEZ</x:v>
      </x:c>
      <x:c r="D113" s="30" t="n">
        <x:v>2019</x:v>
      </x:c>
      <x:c r="E113" s="24" t="str">
        <x:v>Zeus faber</x:v>
      </x:c>
      <x:c r="F113" s="24" t="str">
        <x:v>John dory</x:v>
      </x:c>
      <x:c r="G113" s="24" t="str">
        <x:v>Medium benthopelagics (30 - 89 cm)</x:v>
      </x:c>
      <x:c r="H113" s="24" t="str">
        <x:v>Other fishes &amp; inverts</x:v>
      </x:c>
      <x:c r="I113" s="31" t="n">
        <x:v>2.7821275828</x:v>
      </x:c>
      <x:c r="J113" s="31" t="n">
        <x:v>2.7767521226</x:v>
      </x:c>
      <x:c r="K113" s="31" t="n">
        <x:v>0.0053754601999999995</x:v>
      </x:c>
      <x:c r="L113" s="31" t="n">
        <x:v>2.7767521226</x:v>
      </x:c>
      <x:c r="M113" s="31" t="n">
        <x:v>0.0053754601999999995</x:v>
      </x:c>
      <x:c r="N113" s="24" t="str">
        <x:v>zeus faber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Zeus faber</x:v>
      </x:c>
      <x:c r="T113" s="32" t="n">
        <x:f>IF(O113="","",(1/'Metadata'!$B$5)^(O113-1))</x:f>
        <x:v>3162.2776601683795</x:v>
      </x:c>
      <x:c r="U113" s="31" t="n">
        <x:f>IF(T113="","",I113*T113)</x:f>
        <x:v>8797.859902826693</x:v>
      </x:c>
    </x:row>
    <x:row r="114" ht="18" customHeight="1">
      <x:c r="A114" s="24" t="str">
        <x:v>EEZ_528</x:v>
      </x:c>
      <x:c r="B114" s="24" t="str">
        <x:v>Netherlands</x:v>
      </x:c>
      <x:c r="C114" s="24" t="str">
        <x:v>EEZ</x:v>
      </x:c>
      <x:c r="D114" s="30" t="n">
        <x:v>2019</x:v>
      </x:c>
      <x:c r="E114" s="24" t="str">
        <x:v>Scyliorhinus stellaris</x:v>
      </x:c>
      <x:c r="F114" s="24" t="str">
        <x:v>Nursehound</x:v>
      </x:c>
      <x:c r="G114" s="24" t="str">
        <x:v>Large sharks (&gt;=90 cm)</x:v>
      </x:c>
      <x:c r="H114" s="24" t="str">
        <x:v>Sharks &amp; rays</x:v>
      </x:c>
      <x:c r="I114" s="31" t="n">
        <x:v>2.6221345303</x:v>
      </x:c>
      <x:c r="J114" s="31" t="n">
        <x:v>2.6221345303</x:v>
      </x:c>
      <x:c r="K114" s="31" t="n">
        <x:v>0</x:v>
      </x:c>
      <x:c r="L114" s="31" t="n">
        <x:v>2.6221345303</x:v>
      </x:c>
      <x:c r="M114" s="31" t="n">
        <x:v>0</x:v>
      </x:c>
      <x:c r="N114" s="24" t="str">
        <x:v>scyliorhinus stellaris</x:v>
      </x:c>
      <x:c r="O114" s="32" t="n">
        <x:v>4.03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Scyliorhinus stellaris</x:v>
      </x:c>
      <x:c r="T114" s="32" t="n">
        <x:f>IF(O114="","",(1/'Metadata'!$B$5)^(O114-1))</x:f>
        <x:v>1071.519305237607</x:v>
      </x:c>
      <x:c r="U114" s="31" t="n">
        <x:f>IF(T114="","",I114*T114)</x:f>
        <x:v>2809.667770146595</x:v>
      </x:c>
    </x:row>
    <x:row r="115" ht="18" customHeight="1">
      <x:c r="A115" s="24" t="str">
        <x:v>EEZ_528</x:v>
      </x:c>
      <x:c r="B115" s="24" t="str">
        <x:v>Netherlands</x:v>
      </x:c>
      <x:c r="C115" s="24" t="str">
        <x:v>EEZ</x:v>
      </x:c>
      <x:c r="D115" s="30" t="n">
        <x:v>2019</x:v>
      </x:c>
      <x:c r="E115" s="24" t="str">
        <x:v>Conger conger</x:v>
      </x:c>
      <x:c r="F115" s="24" t="str">
        <x:v>European conger</x:v>
      </x:c>
      <x:c r="G115" s="24" t="str">
        <x:v>Large demersals (&gt;=90 cm)</x:v>
      </x:c>
      <x:c r="H115" s="24" t="str">
        <x:v>Other fishes &amp; inverts</x:v>
      </x:c>
      <x:c r="I115" s="31" t="n">
        <x:v>2.4648187361</x:v>
      </x:c>
      <x:c r="J115" s="31" t="n">
        <x:v>2.4647627068999998</x:v>
      </x:c>
      <x:c r="K115" s="31" t="n">
        <x:v>0.0000560292</x:v>
      </x:c>
      <x:c r="L115" s="31" t="n">
        <x:v>2.4646613861</x:v>
      </x:c>
      <x:c r="M115" s="31" t="n">
        <x:v>0.00015735</x:v>
      </x:c>
      <x:c r="N115" s="24" t="str">
        <x:v>conger conger</x:v>
      </x:c>
      <x:c r="O115" s="32" t="n">
        <x:v>4.31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Conger conger</x:v>
      </x:c>
      <x:c r="T115" s="32" t="n">
        <x:f>IF(O115="","",(1/'Metadata'!$B$5)^(O115-1))</x:f>
        <x:v>2041.7379446695275</x:v>
      </x:c>
      <x:c r="U115" s="31" t="n">
        <x:f>IF(T115="","",I115*T115)</x:f>
        <x:v>5032.513940227756</x:v>
      </x:c>
    </x:row>
    <x:row r="116" ht="18" customHeight="1">
      <x:c r="A116" s="24" t="str">
        <x:v>EEZ_528</x:v>
      </x:c>
      <x:c r="B116" s="24" t="str">
        <x:v>Netherlands</x:v>
      </x:c>
      <x:c r="C116" s="24" t="str">
        <x:v>EEZ</x:v>
      </x:c>
      <x:c r="D116" s="30" t="n">
        <x:v>2019</x:v>
      </x:c>
      <x:c r="E116" s="24" t="str">
        <x:v>Rajidae</x:v>
      </x:c>
      <x:c r="F116" s="24" t="str">
        <x:v>Stingrays</x:v>
      </x:c>
      <x:c r="G116" s="24" t="str">
        <x:v>Large rays (&gt;=90 cm)</x:v>
      </x:c>
      <x:c r="H116" s="24" t="str">
        <x:v>Sharks &amp; rays</x:v>
      </x:c>
      <x:c r="I116" s="31" t="n">
        <x:v>2.4485585717000005</x:v>
      </x:c>
      <x:c r="J116" s="31" t="n">
        <x:v>2.4485585717000005</x:v>
      </x:c>
      <x:c r="K116" s="31" t="n">
        <x:v>0</x:v>
      </x:c>
      <x:c r="L116" s="31" t="n">
        <x:v>2.4485585717000005</x:v>
      </x:c>
      <x:c r="M116" s="31" t="n">
        <x:v>0</x:v>
      </x:c>
      <x:c r="N116" s="24" t="str">
        <x:v>rajidae</x:v>
      </x:c>
      <x:c r="O116" s="32" t="n">
        <x:v>3.82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Rajidae</x:v>
      </x:c>
      <x:c r="T116" s="32" t="n">
        <x:f>IF(O116="","",(1/'Metadata'!$B$5)^(O116-1))</x:f>
        <x:v>660.6934480075957</x:v>
      </x:c>
      <x:c r="U116" s="31" t="n">
        <x:f>IF(T116="","",I116*T116)</x:f>
        <x:v>1617.7466053850271</x:v>
      </x:c>
    </x:row>
    <x:row r="117" ht="18" customHeight="1">
      <x:c r="A117" s="24" t="str">
        <x:v>EEZ_528</x:v>
      </x:c>
      <x:c r="B117" s="24" t="str">
        <x:v>Netherlands</x:v>
      </x:c>
      <x:c r="C117" s="24" t="str">
        <x:v>EEZ</x:v>
      </x:c>
      <x:c r="D117" s="30" t="n">
        <x:v>2019</x:v>
      </x:c>
      <x:c r="E117" s="24" t="str">
        <x:v>Rutilus rutilus</x:v>
      </x:c>
      <x:c r="F117" s="24" t="str">
        <x:v>Roach</x:v>
      </x:c>
      <x:c r="G117" s="24" t="str">
        <x:v>Medium benthopelagics (30 - 89 cm)</x:v>
      </x:c>
      <x:c r="H117" s="24" t="str">
        <x:v>Other fishes &amp; inverts</x:v>
      </x:c>
      <x:c r="I117" s="31" t="n">
        <x:v>2.1123890751</x:v>
      </x:c>
      <x:c r="J117" s="31" t="n">
        <x:v>2.1123890751</x:v>
      </x:c>
      <x:c r="K117" s="31" t="n">
        <x:v>0</x:v>
      </x:c>
      <x:c r="L117" s="31" t="n">
        <x:v>2.1123890751</x:v>
      </x:c>
      <x:c r="M117" s="31" t="n">
        <x:v>0</x:v>
      </x:c>
      <x:c r="N117" s="24" t="str">
        <x:v>rutilus rutilus</x:v>
      </x:c>
      <x:c r="O117" s="32" t="n">
        <x:v>2.96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Rutilus rutilus</x:v>
      </x:c>
      <x:c r="T117" s="32" t="n">
        <x:f>IF(O117="","",(1/'Metadata'!$B$5)^(O117-1))</x:f>
        <x:v>91.20108393559097</x:v>
      </x:c>
      <x:c r="U117" s="31" t="n">
        <x:f>IF(T117="","",I117*T117)</x:f>
        <x:v>192.65217334282048</x:v>
      </x:c>
    </x:row>
    <x:row r="118" ht="18" customHeight="1">
      <x:c r="A118" s="24" t="str">
        <x:v>EEZ_528</x:v>
      </x:c>
      <x:c r="B118" s="24" t="str">
        <x:v>Netherlands</x:v>
      </x:c>
      <x:c r="C118" s="24" t="str">
        <x:v>EEZ</x:v>
      </x:c>
      <x:c r="D118" s="30" t="n">
        <x:v>2019</x:v>
      </x:c>
      <x:c r="E118" s="24" t="str">
        <x:v>Osteichthyes</x:v>
      </x:c>
      <x:c r="F118" s="24" t="str">
        <x:v>Bony fishes</x:v>
      </x:c>
      <x:c r="G118" s="24" t="str">
        <x:v>Medium demersals (30 - 89 cm)</x:v>
      </x:c>
      <x:c r="H118" s="24" t="str">
        <x:v>Other fishes &amp; inverts</x:v>
      </x:c>
      <x:c r="I118" s="31" t="n">
        <x:v>2.0386013535000003</x:v>
      </x:c>
      <x:c r="J118" s="31" t="n">
        <x:v>2.0386013535000003</x:v>
      </x:c>
      <x:c r="K118" s="31" t="n">
        <x:v>0</x:v>
      </x:c>
      <x:c r="L118" s="31" t="n">
        <x:v>2.0386013535000003</x:v>
      </x:c>
      <x:c r="M118" s="31" t="n">
        <x:v>0</x:v>
      </x:c>
      <x:c r="N118" s="24" t="str">
        <x:v>osteichthyes</x:v>
      </x:c>
      <x:c r="O118" s="32" t="n">
        <x:v>3.79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Osteichthyes</x:v>
      </x:c>
      <x:c r="T118" s="32" t="n">
        <x:f>IF(O118="","",(1/'Metadata'!$B$5)^(O118-1))</x:f>
        <x:v>616.5950018614822</x:v>
      </x:c>
      <x:c r="U118" s="31" t="n">
        <x:f>IF(T118="","",I118*T118)</x:f>
        <x:v>1256.9914053561527</x:v>
      </x:c>
    </x:row>
    <x:row r="119" ht="18" customHeight="1">
      <x:c r="A119" s="24" t="str">
        <x:v>EEZ_528</x:v>
      </x:c>
      <x:c r="B119" s="24" t="str">
        <x:v>Netherlands</x:v>
      </x:c>
      <x:c r="C119" s="24" t="str">
        <x:v>EEZ</x:v>
      </x:c>
      <x:c r="D119" s="30" t="n">
        <x:v>2019</x:v>
      </x:c>
      <x:c r="E119" s="24" t="str">
        <x:v>Mullus</x:v>
      </x:c>
      <x:c r="F119" s="24" t="str">
        <x:v>Atlantic goatfishes</x:v>
      </x:c>
      <x:c r="G119" s="24" t="str">
        <x:v>Medium demersals (30 - 89 cm)</x:v>
      </x:c>
      <x:c r="H119" s="24" t="str">
        <x:v>Perch-likes</x:v>
      </x:c>
      <x:c r="I119" s="31" t="n">
        <x:v>1.8948213203000002</x:v>
      </x:c>
      <x:c r="J119" s="31" t="n">
        <x:v>1.8948213203000002</x:v>
      </x:c>
      <x:c r="K119" s="31" t="n">
        <x:v>0</x:v>
      </x:c>
      <x:c r="L119" s="31" t="n">
        <x:v>1.8948213203000002</x:v>
      </x:c>
      <x:c r="M119" s="31" t="n">
        <x:v>0</x:v>
      </x:c>
      <x:c r="N119" s="24" t="str">
        <x:v>mullus</x:v>
      </x:c>
      <x:c r="O119" s="32" t="n">
        <x:v>3.29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Mullus</x:v>
      </x:c>
      <x:c r="T119" s="32" t="n">
        <x:f>IF(O119="","",(1/'Metadata'!$B$5)^(O119-1))</x:f>
        <x:v>194.98445997580455</x:v>
      </x:c>
      <x:c r="U119" s="31" t="n">
        <x:f>IF(T119="","",I119*T119)</x:f>
        <x:v>369.46071188933655</x:v>
      </x:c>
    </x:row>
    <x:row r="120" ht="18" customHeight="1">
      <x:c r="A120" s="24" t="str">
        <x:v>EEZ_528</x:v>
      </x:c>
      <x:c r="B120" s="24" t="str">
        <x:v>Netherlands</x:v>
      </x:c>
      <x:c r="C120" s="24" t="str">
        <x:v>EEZ</x:v>
      </x:c>
      <x:c r="D120" s="30" t="n">
        <x:v>2019</x:v>
      </x:c>
      <x:c r="E120" s="24" t="str">
        <x:v>Octopus vulgaris</x:v>
      </x:c>
      <x:c r="F120" s="24" t="str">
        <x:v>Common octopus</x:v>
      </x:c>
      <x:c r="G120" s="24" t="str">
        <x:v>Cephalopods</x:v>
      </x:c>
      <x:c r="H120" s="24" t="str">
        <x:v>Other fishes &amp; inverts</x:v>
      </x:c>
      <x:c r="I120" s="31" t="n">
        <x:v>1.7762742062999999</x:v>
      </x:c>
      <x:c r="J120" s="31" t="n">
        <x:v>1.7762742062999999</x:v>
      </x:c>
      <x:c r="K120" s="31" t="n">
        <x:v>0</x:v>
      </x:c>
      <x:c r="L120" s="31" t="n">
        <x:v>1.7762742062999999</x:v>
      </x:c>
      <x:c r="M120" s="31" t="n">
        <x:v>0</x:v>
      </x:c>
      <x:c r="N120" s="24" t="str">
        <x:v>octopus vulgaris</x:v>
      </x:c>
      <x:c r="O120" s="32" t="n">
        <x:v>3.6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Octopus vulgaris</x:v>
      </x:c>
      <x:c r="T120" s="32" t="n">
        <x:f>IF(O120="","",(1/'Metadata'!$B$5)^(O120-1))</x:f>
        <x:v>398.1071705534973</x:v>
      </x:c>
      <x:c r="U120" s="31" t="n">
        <x:f>IF(T120="","",I120*T120)</x:f>
        <x:v>707.1474983972521</x:v>
      </x:c>
    </x:row>
    <x:row r="121" ht="18" customHeight="1">
      <x:c r="A121" s="24" t="str">
        <x:v>EEZ_528</x:v>
      </x:c>
      <x:c r="B121" s="24" t="str">
        <x:v>Netherlands</x:v>
      </x:c>
      <x:c r="C121" s="24" t="str">
        <x:v>EEZ</x:v>
      </x:c>
      <x:c r="D121" s="30" t="n">
        <x:v>2019</x:v>
      </x:c>
      <x:c r="E121" s="24" t="str">
        <x:v>Sarda sarda</x:v>
      </x:c>
      <x:c r="F121" s="24" t="str">
        <x:v>Atlantic bonito</x:v>
      </x:c>
      <x:c r="G121" s="24" t="str">
        <x:v>Medium pelagics (30 - 89 cm)</x:v>
      </x:c>
      <x:c r="H121" s="24" t="str">
        <x:v>Tuna &amp; billfishes</x:v>
      </x:c>
      <x:c r="I121" s="31" t="n">
        <x:v>1.766359202</x:v>
      </x:c>
      <x:c r="J121" s="31" t="n">
        <x:v>1.766359202</x:v>
      </x:c>
      <x:c r="K121" s="31" t="n">
        <x:v>0</x:v>
      </x:c>
      <x:c r="L121" s="31" t="n">
        <x:v>1.766359202</x:v>
      </x:c>
      <x:c r="M121" s="31" t="n">
        <x:v>0</x:v>
      </x:c>
      <x:c r="N121" s="24" t="str">
        <x:v>sarda sarda</x:v>
      </x:c>
      <x:c r="O121" s="32" t="n">
        <x:v>4.5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Sarda sarda</x:v>
      </x:c>
      <x:c r="T121" s="32" t="n">
        <x:f>IF(O121="","",(1/'Metadata'!$B$5)^(O121-1))</x:f>
        <x:v>3162.2776601683795</x:v>
      </x:c>
      <x:c r="U121" s="31" t="n">
        <x:f>IF(T121="","",I121*T121)</x:f>
        <x:v>5585.718244317446</x:v>
      </x:c>
    </x:row>
    <x:row r="122" ht="18" customHeight="1">
      <x:c r="A122" s="24" t="str">
        <x:v>EEZ_528</x:v>
      </x:c>
      <x:c r="B122" s="24" t="str">
        <x:v>Netherlands</x:v>
      </x:c>
      <x:c r="C122" s="24" t="str">
        <x:v>EEZ</x:v>
      </x:c>
      <x:c r="D122" s="30" t="n">
        <x:v>2019</x:v>
      </x:c>
      <x:c r="E122" s="24" t="str">
        <x:v>Trisopterus minutus</x:v>
      </x:c>
      <x:c r="F122" s="24" t="str">
        <x:v>Poor cod</x:v>
      </x:c>
      <x:c r="G122" s="24" t="str">
        <x:v>Medium benthopelagics (30 - 89 cm)</x:v>
      </x:c>
      <x:c r="H122" s="24" t="str">
        <x:v>Cod-likes</x:v>
      </x:c>
      <x:c r="I122" s="31" t="n">
        <x:v>1.7318766379</x:v>
      </x:c>
      <x:c r="J122" s="31" t="n">
        <x:v>0</x:v>
      </x:c>
      <x:c r="K122" s="31" t="n">
        <x:v>1.7318766379</x:v>
      </x:c>
      <x:c r="L122" s="31" t="n">
        <x:v>0</x:v>
      </x:c>
      <x:c r="M122" s="31" t="n">
        <x:v>1.7318766379</x:v>
      </x:c>
      <x:c r="N122" s="24" t="str">
        <x:v>trisopterus minutus</x:v>
      </x:c>
      <x:c r="O122" s="32" t="n">
        <x:v>3.73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Trisopterus minutus</x:v>
      </x:c>
      <x:c r="T122" s="32" t="n">
        <x:f>IF(O122="","",(1/'Metadata'!$B$5)^(O122-1))</x:f>
        <x:v>537.0317963702527</x:v>
      </x:c>
      <x:c r="U122" s="31" t="n">
        <x:f>IF(T122="","",I122*T122)</x:f>
        <x:v>930.0728219431105</x:v>
      </x:c>
    </x:row>
    <x:row r="123" ht="18" customHeight="1">
      <x:c r="A123" s="24" t="str">
        <x:v>EEZ_528</x:v>
      </x:c>
      <x:c r="B123" s="24" t="str">
        <x:v>Netherlands</x:v>
      </x:c>
      <x:c r="C123" s="24" t="str">
        <x:v>EEZ</x:v>
      </x:c>
      <x:c r="D123" s="30" t="n">
        <x:v>2019</x:v>
      </x:c>
      <x:c r="E123" s="24" t="str">
        <x:v>Trachinus</x:v>
      </x:c>
      <x:c r="F123" s="24" t="str">
        <x:v>Weevers</x:v>
      </x:c>
      <x:c r="G123" s="24" t="str">
        <x:v>Medium demersals (30 - 89 cm)</x:v>
      </x:c>
      <x:c r="H123" s="24" t="str">
        <x:v>Perch-likes</x:v>
      </x:c>
      <x:c r="I123" s="31" t="n">
        <x:v>1.6527899555</x:v>
      </x:c>
      <x:c r="J123" s="31" t="n">
        <x:v>1.6527899555</x:v>
      </x:c>
      <x:c r="K123" s="31" t="n">
        <x:v>0</x:v>
      </x:c>
      <x:c r="L123" s="31" t="n">
        <x:v>1.6527899555</x:v>
      </x:c>
      <x:c r="M123" s="31" t="n">
        <x:v>0</x:v>
      </x:c>
      <x:c r="N123" s="24" t="str">
        <x:v>trachinus</x:v>
      </x:c>
      <x:c r="O123" s="32" t="n">
        <x:v>3.95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Trachinus</x:v>
      </x:c>
      <x:c r="T123" s="32" t="n">
        <x:f>IF(O123="","",(1/'Metadata'!$B$5)^(O123-1))</x:f>
        <x:v>891.2509381337459</x:v>
      </x:c>
      <x:c r="U123" s="31" t="n">
        <x:f>IF(T123="","",I123*T123)</x:f>
        <x:v>1473.0505983774071</x:v>
      </x:c>
    </x:row>
    <x:row r="124" ht="18" customHeight="1">
      <x:c r="A124" s="24" t="str">
        <x:v>EEZ_528</x:v>
      </x:c>
      <x:c r="B124" s="24" t="str">
        <x:v>Netherlands</x:v>
      </x:c>
      <x:c r="C124" s="24" t="str">
        <x:v>EEZ</x:v>
      </x:c>
      <x:c r="D124" s="30" t="n">
        <x:v>2019</x:v>
      </x:c>
      <x:c r="E124" s="24" t="str">
        <x:v>Coregonus</x:v>
      </x:c>
      <x:c r="F124" s="24" t="str">
        <x:v>Whitefishes</x:v>
      </x:c>
      <x:c r="G124" s="24" t="str">
        <x:v>Medium pelagics (30 - 89 cm)</x:v>
      </x:c>
      <x:c r="H124" s="24" t="str">
        <x:v>Salmon, smelts, etc</x:v>
      </x:c>
      <x:c r="I124" s="31" t="n">
        <x:v>1.6002944726000001</x:v>
      </x:c>
      <x:c r="J124" s="31" t="n">
        <x:v>1.5390303454</x:v>
      </x:c>
      <x:c r="K124" s="31" t="n">
        <x:v>0.0612641272</x:v>
      </x:c>
      <x:c r="L124" s="31" t="n">
        <x:v>1.3963176336</x:v>
      </x:c>
      <x:c r="M124" s="31" t="n">
        <x:v>0.203976839</x:v>
      </x:c>
      <x:c r="N124" s="24" t="str">
        <x:v>coregonus</x:v>
      </x:c>
      <x:c r="O124" s="32" t="n">
        <x:v>3.3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Coregonus</x:v>
      </x:c>
      <x:c r="T124" s="32" t="n">
        <x:f>IF(O124="","",(1/'Metadata'!$B$5)^(O124-1))</x:f>
        <x:v>199.52623149688787</x:v>
      </x:c>
      <x:c r="U124" s="31" t="n">
        <x:f>IF(T124="","",I124*T124)</x:f>
        <x:v>319.3007254031777</x:v>
      </x:c>
    </x:row>
    <x:row r="125" ht="18" customHeight="1">
      <x:c r="A125" s="24" t="str">
        <x:v>EEZ_528</x:v>
      </x:c>
      <x:c r="B125" s="24" t="str">
        <x:v>Netherlands</x:v>
      </x:c>
      <x:c r="C125" s="24" t="str">
        <x:v>EEZ</x:v>
      </x:c>
      <x:c r="D125" s="30" t="n">
        <x:v>2019</x:v>
      </x:c>
      <x:c r="E125" s="24" t="str">
        <x:v>Squalus acanthias</x:v>
      </x:c>
      <x:c r="F125" s="24" t="str">
        <x:v>Picked dogfish</x:v>
      </x:c>
      <x:c r="G125" s="24" t="str">
        <x:v>Large sharks (&gt;=90 cm)</x:v>
      </x:c>
      <x:c r="H125" s="24" t="str">
        <x:v>Sharks &amp; rays</x:v>
      </x:c>
      <x:c r="I125" s="31" t="n">
        <x:v>1.3710402505</x:v>
      </x:c>
      <x:c r="J125" s="31" t="n">
        <x:v>1.3346676594</x:v>
      </x:c>
      <x:c r="K125" s="31" t="n">
        <x:v>0.0363725911</x:v>
      </x:c>
      <x:c r="L125" s="31" t="n">
        <x:v>1.3345489765</x:v>
      </x:c>
      <x:c r="M125" s="31" t="n">
        <x:v>0.036491274</x:v>
      </x:c>
      <x:c r="N125" s="24" t="str">
        <x:v>squalus acanthias</x:v>
      </x:c>
      <x:c r="O125" s="32" t="n">
        <x:v>4.37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Squalus acanthias</x:v>
      </x:c>
      <x:c r="T125" s="32" t="n">
        <x:f>IF(O125="","",(1/'Metadata'!$B$5)^(O125-1))</x:f>
        <x:v>2344.228815319923</x:v>
      </x:c>
      <x:c r="U125" s="31" t="n">
        <x:f>IF(T125="","",I125*T125)</x:f>
        <x:v>3214.032062185545</x:v>
      </x:c>
    </x:row>
    <x:row r="126" ht="18" customHeight="1">
      <x:c r="A126" s="24" t="str">
        <x:v>EEZ_528</x:v>
      </x:c>
      <x:c r="B126" s="24" t="str">
        <x:v>Netherlands</x:v>
      </x:c>
      <x:c r="C126" s="24" t="str">
        <x:v>EEZ</x:v>
      </x:c>
      <x:c r="D126" s="30" t="n">
        <x:v>2019</x:v>
      </x:c>
      <x:c r="E126" s="24" t="str">
        <x:v>Alosa alosa</x:v>
      </x:c>
      <x:c r="F126" s="24" t="str">
        <x:v>Allis shad</x:v>
      </x:c>
      <x:c r="G126" s="24" t="str">
        <x:v>Medium pelagics (30 - 89 cm)</x:v>
      </x:c>
      <x:c r="H126" s="24" t="str">
        <x:v>Herring-likes</x:v>
      </x:c>
      <x:c r="I126" s="31" t="n">
        <x:v>1.1493341103999999</x:v>
      </x:c>
      <x:c r="J126" s="31" t="n">
        <x:v>1.1493341103999999</x:v>
      </x:c>
      <x:c r="K126" s="31" t="n">
        <x:v>0</x:v>
      </x:c>
      <x:c r="L126" s="31" t="n">
        <x:v>1.1493341103999999</x:v>
      </x:c>
      <x:c r="M126" s="31" t="n">
        <x:v>0</x:v>
      </x:c>
      <x:c r="N126" s="24" t="str">
        <x:v>alosa alosa</x:v>
      </x:c>
      <x:c r="O126" s="32" t="n">
        <x:v>2.95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Alosa alosa</x:v>
      </x:c>
      <x:c r="T126" s="32" t="n">
        <x:f>IF(O126="","",(1/'Metadata'!$B$5)^(O126-1))</x:f>
        <x:v>89.12509381337459</x:v>
      </x:c>
      <x:c r="U126" s="31" t="n">
        <x:f>IF(T126="","",I126*T126)</x:f>
        <x:v>102.43451041231143</x:v>
      </x:c>
    </x:row>
    <x:row r="127" ht="18" customHeight="1">
      <x:c r="A127" s="24" t="str">
        <x:v>EEZ_528</x:v>
      </x:c>
      <x:c r="B127" s="24" t="str">
        <x:v>Netherlands</x:v>
      </x:c>
      <x:c r="C127" s="24" t="str">
        <x:v>EEZ</x:v>
      </x:c>
      <x:c r="D127" s="30" t="n">
        <x:v>2019</x:v>
      </x:c>
      <x:c r="E127" s="24" t="str">
        <x:v>Brama brama</x:v>
      </x:c>
      <x:c r="F127" s="24" t="str">
        <x:v>Atlantic pomfret</x:v>
      </x:c>
      <x:c r="G127" s="24" t="str">
        <x:v>Medium bathypelagics (30 - 89 cm)</x:v>
      </x:c>
      <x:c r="H127" s="24" t="str">
        <x:v>Perch-likes</x:v>
      </x:c>
      <x:c r="I127" s="31" t="n">
        <x:v>0.7518795789</x:v>
      </x:c>
      <x:c r="J127" s="31" t="n">
        <x:v>0.7518795789</x:v>
      </x:c>
      <x:c r="K127" s="31" t="n">
        <x:v>0</x:v>
      </x:c>
      <x:c r="L127" s="31" t="n">
        <x:v>0.7518795789</x:v>
      </x:c>
      <x:c r="M127" s="31" t="n">
        <x:v>0</x:v>
      </x:c>
      <x:c r="N127" s="24" t="str">
        <x:v>brama brama</x:v>
      </x:c>
      <x:c r="O127" s="32" t="n">
        <x:v>4.08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Brama brama</x:v>
      </x:c>
      <x:c r="T127" s="32" t="n">
        <x:f>IF(O127="","",(1/'Metadata'!$B$5)^(O127-1))</x:f>
        <x:v>1202.2644346174131</x:v>
      </x:c>
      <x:c r="U127" s="31" t="n">
        <x:f>IF(T127="","",I127*T127)</x:f>
        <x:v>903.9580768265872</x:v>
      </x:c>
    </x:row>
    <x:row r="128" ht="18" customHeight="1">
      <x:c r="A128" s="24" t="str">
        <x:v>EEZ_528</x:v>
      </x:c>
      <x:c r="B128" s="24" t="str">
        <x:v>Netherlands</x:v>
      </x:c>
      <x:c r="C128" s="24" t="str">
        <x:v>EEZ</x:v>
      </x:c>
      <x:c r="D128" s="30" t="n">
        <x:v>2019</x:v>
      </x:c>
      <x:c r="E128" s="24" t="str">
        <x:v>Todarodes sagittatus</x:v>
      </x:c>
      <x:c r="F128" s="24" t="str">
        <x:v>European flying squid</x:v>
      </x:c>
      <x:c r="G128" s="24" t="str">
        <x:v>Cephalopods</x:v>
      </x:c>
      <x:c r="H128" s="24" t="str">
        <x:v>Other fishes &amp; inverts</x:v>
      </x:c>
      <x:c r="I128" s="31" t="n">
        <x:v>0.4452482745</x:v>
      </x:c>
      <x:c r="J128" s="31" t="n">
        <x:v>0.4452482745</x:v>
      </x:c>
      <x:c r="K128" s="31" t="n">
        <x:v>0</x:v>
      </x:c>
      <x:c r="L128" s="31" t="n">
        <x:v>0.4452482745</x:v>
      </x:c>
      <x:c r="M128" s="31" t="n">
        <x:v>0</x:v>
      </x:c>
      <x:c r="N128" s="24" t="str">
        <x:v>todarodes sagittatus</x:v>
      </x:c>
      <x:c r="O128" s="32" t="n">
        <x:v>4.01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Todarodes sagittatus</x:v>
      </x:c>
      <x:c r="T128" s="32" t="n">
        <x:f>IF(O128="","",(1/'Metadata'!$B$5)^(O128-1))</x:f>
        <x:v>1023.2929922807537</x:v>
      </x:c>
      <x:c r="U128" s="31" t="n">
        <x:f>IF(T128="","",I128*T128)</x:f>
        <x:v>455.6194391209474</x:v>
      </x:c>
    </x:row>
    <x:row r="129" ht="18" customHeight="1">
      <x:c r="A129" s="24" t="str">
        <x:v>EEZ_528</x:v>
      </x:c>
      <x:c r="B129" s="24" t="str">
        <x:v>Netherlands</x:v>
      </x:c>
      <x:c r="C129" s="24" t="str">
        <x:v>EEZ</x:v>
      </x:c>
      <x:c r="D129" s="30" t="n">
        <x:v>2019</x:v>
      </x:c>
      <x:c r="E129" s="24" t="str">
        <x:v>Palaemon serratus</x:v>
      </x:c>
      <x:c r="F129" s="24" t="str">
        <x:v>Common prawn</x:v>
      </x:c>
      <x:c r="G129" s="24" t="str">
        <x:v>Shrimps</x:v>
      </x:c>
      <x:c r="H129" s="24" t="str">
        <x:v>Crustaceans</x:v>
      </x:c>
      <x:c r="I129" s="31" t="n">
        <x:v>0.4211011375</x:v>
      </x:c>
      <x:c r="J129" s="31" t="n">
        <x:v>0.4211011375</x:v>
      </x:c>
      <x:c r="K129" s="31" t="n">
        <x:v>0</x:v>
      </x:c>
      <x:c r="L129" s="31" t="n">
        <x:v>0.4211011375</x:v>
      </x:c>
      <x:c r="M129" s="31" t="n">
        <x:v>0</x:v>
      </x:c>
      <x:c r="N129" s="24" t="str">
        <x:v>palaemon serratus</x:v>
      </x:c>
      <x:c r="O129" s="32" t="n">
        <x:v>2.69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Palaemon serratus</x:v>
      </x:c>
      <x:c r="T129" s="32" t="n">
        <x:f>IF(O129="","",(1/'Metadata'!$B$5)^(O129-1))</x:f>
        <x:v>48.97788193684461</x:v>
      </x:c>
      <x:c r="U129" s="31" t="n">
        <x:f>IF(T129="","",I129*T129)</x:f>
        <x:v>20.62464179594597</x:v>
      </x:c>
    </x:row>
    <x:row r="130" ht="18" customHeight="1">
      <x:c r="A130" s="24" t="str">
        <x:v>EEZ_528</x:v>
      </x:c>
      <x:c r="B130" s="24" t="str">
        <x:v>Netherlands</x:v>
      </x:c>
      <x:c r="C130" s="24" t="str">
        <x:v>EEZ</x:v>
      </x:c>
      <x:c r="D130" s="30" t="n">
        <x:v>2019</x:v>
      </x:c>
      <x:c r="E130" s="24" t="str">
        <x:v>Sepiidae</x:v>
      </x:c>
      <x:c r="F130" s="24" t="str">
        <x:v>Cuttlefishes</x:v>
      </x:c>
      <x:c r="G130" s="24" t="str">
        <x:v>Cephalopods</x:v>
      </x:c>
      <x:c r="H130" s="24" t="str">
        <x:v>Other fishes &amp; inverts</x:v>
      </x:c>
      <x:c r="I130" s="31" t="n">
        <x:v>0.40851977100000003</x:v>
      </x:c>
      <x:c r="J130" s="31" t="n">
        <x:v>0.40851977100000003</x:v>
      </x:c>
      <x:c r="K130" s="31" t="n">
        <x:v>0</x:v>
      </x:c>
      <x:c r="L130" s="31" t="n">
        <x:v>0.40851977100000003</x:v>
      </x:c>
      <x:c r="M130" s="31" t="n">
        <x:v>0</x:v>
      </x:c>
      <x:c r="N130" s="24" t="str">
        <x:v>sepiidae</x:v>
      </x:c>
      <x:c r="O130" s="32" t="n">
        <x:v>3.6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Sepiidae</x:v>
      </x:c>
      <x:c r="T130" s="32" t="n">
        <x:f>IF(O130="","",(1/'Metadata'!$B$5)^(O130-1))</x:f>
        <x:v>398.1071705534973</x:v>
      </x:c>
      <x:c r="U130" s="31" t="n">
        <x:f>IF(T130="","",I130*T130)</x:f>
        <x:v>162.63465014797268</x:v>
      </x:c>
    </x:row>
    <x:row r="131" ht="18" customHeight="1">
      <x:c r="A131" s="24" t="str">
        <x:v>EEZ_528</x:v>
      </x:c>
      <x:c r="B131" s="24" t="str">
        <x:v>Netherlands</x:v>
      </x:c>
      <x:c r="C131" s="24" t="str">
        <x:v>EEZ</x:v>
      </x:c>
      <x:c r="D131" s="30" t="n">
        <x:v>2019</x:v>
      </x:c>
      <x:c r="E131" s="24" t="str">
        <x:v>Mugilidae</x:v>
      </x:c>
      <x:c r="F131" s="24" t="str">
        <x:v>Mullets, grey mullets</x:v>
      </x:c>
      <x:c r="G131" s="24" t="str">
        <x:v>Medium reef assoc. fish (30 - 89 cm)</x:v>
      </x:c>
      <x:c r="H131" s="24" t="str">
        <x:v>Perch-likes</x:v>
      </x:c>
      <x:c r="I131" s="31" t="n">
        <x:v>0.3307570048</x:v>
      </x:c>
      <x:c r="J131" s="31" t="n">
        <x:v>0.3307570048</x:v>
      </x:c>
      <x:c r="K131" s="31" t="n">
        <x:v>0</x:v>
      </x:c>
      <x:c r="L131" s="31" t="n">
        <x:v>0.3307570048</x:v>
      </x:c>
      <x:c r="M131" s="31" t="n">
        <x:v>0</x:v>
      </x:c>
      <x:c r="N131" s="24" t="str">
        <x:v>mugilidae</x:v>
      </x:c>
      <x:c r="O131" s="32" t="n">
        <x:v>2.53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Mugilidae</x:v>
      </x:c>
      <x:c r="T131" s="32" t="n">
        <x:f>IF(O131="","",(1/'Metadata'!$B$5)^(O131-1))</x:f>
        <x:v>33.88441561392024</x:v>
      </x:c>
      <x:c r="U131" s="31" t="n">
        <x:f>IF(T131="","",I131*T131)</x:f>
        <x:v>11.20750781785861</x:v>
      </x:c>
    </x:row>
    <x:row r="132" ht="18" customHeight="1">
      <x:c r="A132" s="24" t="str">
        <x:v>EEZ_528</x:v>
      </x:c>
      <x:c r="B132" s="24" t="str">
        <x:v>Netherlands</x:v>
      </x:c>
      <x:c r="C132" s="24" t="str">
        <x:v>EEZ</x:v>
      </x:c>
      <x:c r="D132" s="30" t="n">
        <x:v>2019</x:v>
      </x:c>
      <x:c r="E132" s="24" t="str">
        <x:v>Marine pelagic fishes not identified</x:v>
      </x:c>
      <x:c r="F132" s="24" t="str">
        <x:v>Pelagic fishes</x:v>
      </x:c>
      <x:c r="G132" s="24" t="str">
        <x:v>Medium pelagics (30 - 89 cm)</x:v>
      </x:c>
      <x:c r="H132" s="24" t="str">
        <x:v>Other fishes &amp; inverts</x:v>
      </x:c>
      <x:c r="I132" s="31" t="n">
        <x:v>0.2890414755</x:v>
      </x:c>
      <x:c r="J132" s="31" t="n">
        <x:v>0.2890414755</x:v>
      </x:c>
      <x:c r="K132" s="31" t="n">
        <x:v>0</x:v>
      </x:c>
      <x:c r="L132" s="31" t="n">
        <x:v>0.2890414755</x:v>
      </x:c>
      <x:c r="M132" s="31" t="n">
        <x:v>0</x:v>
      </x:c>
      <x:c r="N132" s="24" t="str">
        <x:v>marine pelagic fishes not identified</x:v>
      </x:c>
      <x:c r="O132" s="32" t="n">
        <x:v>3.35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Marine pelagic fishes not identified</x:v>
      </x:c>
      <x:c r="T132" s="32" t="n">
        <x:f>IF(O132="","",(1/'Metadata'!$B$5)^(O132-1))</x:f>
        <x:v>223.872113856834</x:v>
      </x:c>
      <x:c r="U132" s="31" t="n">
        <x:f>IF(T132="","",I132*T132)</x:f>
        <x:v>64.70832611248329</x:v>
      </x:c>
    </x:row>
    <x:row r="133" ht="18" customHeight="1">
      <x:c r="A133" s="24" t="str">
        <x:v>EEZ_528</x:v>
      </x:c>
      <x:c r="B133" s="24" t="str">
        <x:v>Netherlands</x:v>
      </x:c>
      <x:c r="C133" s="24" t="str">
        <x:v>EEZ</x:v>
      </x:c>
      <x:c r="D133" s="30" t="n">
        <x:v>2019</x:v>
      </x:c>
      <x:c r="E133" s="24" t="str">
        <x:v>Perca fluviatilis</x:v>
      </x:c>
      <x:c r="F133" s="24" t="str">
        <x:v>European perch</x:v>
      </x:c>
      <x:c r="G133" s="24" t="str">
        <x:v>Medium demersals (30 - 89 cm)</x:v>
      </x:c>
      <x:c r="H133" s="24" t="str">
        <x:v>Perch-likes</x:v>
      </x:c>
      <x:c r="I133" s="31" t="n">
        <x:v>0.260535581</x:v>
      </x:c>
      <x:c r="J133" s="31" t="n">
        <x:v>0.260535581</x:v>
      </x:c>
      <x:c r="K133" s="31" t="n">
        <x:v>0</x:v>
      </x:c>
      <x:c r="L133" s="31" t="n">
        <x:v>0.260535581</x:v>
      </x:c>
      <x:c r="M133" s="31" t="n">
        <x:v>0</x:v>
      </x:c>
      <x:c r="N133" s="24" t="str">
        <x:v>perca fluviatilis</x:v>
      </x:c>
      <x:c r="O133" s="32" t="n">
        <x:v>4.35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Perca fluviatilis</x:v>
      </x:c>
      <x:c r="T133" s="32" t="n">
        <x:f>IF(O133="","",(1/'Metadata'!$B$5)^(O133-1))</x:f>
        <x:v>2238.7211385683377</x:v>
      </x:c>
      <x:c r="U133" s="31" t="n">
        <x:f>IF(T133="","",I133*T133)</x:f>
        <x:v>583.2665125338834</x:v>
      </x:c>
    </x:row>
    <x:row r="134" ht="18" customHeight="1">
      <x:c r="A134" s="24" t="str">
        <x:v>EEZ_528</x:v>
      </x:c>
      <x:c r="B134" s="24" t="str">
        <x:v>Netherlands</x:v>
      </x:c>
      <x:c r="C134" s="24" t="str">
        <x:v>EEZ</x:v>
      </x:c>
      <x:c r="D134" s="30" t="n">
        <x:v>2019</x:v>
      </x:c>
      <x:c r="E134" s="24" t="str">
        <x:v>Littorina littorea</x:v>
      </x:c>
      <x:c r="F134" s="24" t="str">
        <x:v>Common periwinkle</x:v>
      </x:c>
      <x:c r="G134" s="24" t="str">
        <x:v>Other demersal invertebrates</x:v>
      </x:c>
      <x:c r="H134" s="24" t="str">
        <x:v>Molluscs</x:v>
      </x:c>
      <x:c r="I134" s="31" t="n">
        <x:v>0.22261632</x:v>
      </x:c>
      <x:c r="J134" s="31" t="n">
        <x:v>0.22261632</x:v>
      </x:c>
      <x:c r="K134" s="31" t="n">
        <x:v>0</x:v>
      </x:c>
      <x:c r="L134" s="31" t="n">
        <x:v>0.22261632</x:v>
      </x:c>
      <x:c r="M134" s="31" t="n">
        <x:v>0</x:v>
      </x:c>
      <x:c r="N134" s="24" t="str">
        <x:v>littorina littorea</x:v>
      </x:c>
      <x:c r="O134" s="32" t="n">
        <x:v>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Littorina littorea</x:v>
      </x:c>
      <x:c r="T134" s="32" t="n">
        <x:f>IF(O134="","",(1/'Metadata'!$B$5)^(O134-1))</x:f>
        <x:v>10</x:v>
      </x:c>
      <x:c r="U134" s="31" t="n">
        <x:f>IF(T134="","",I134*T134)</x:f>
        <x:v>2.2261632000000002</x:v>
      </x:c>
    </x:row>
    <x:row r="135" ht="18" customHeight="1">
      <x:c r="A135" s="24" t="str">
        <x:v>EEZ_528</x:v>
      </x:c>
      <x:c r="B135" s="24" t="str">
        <x:v>Netherlands</x:v>
      </x:c>
      <x:c r="C135" s="24" t="str">
        <x:v>EEZ</x:v>
      </x:c>
      <x:c r="D135" s="30" t="n">
        <x:v>2019</x:v>
      </x:c>
      <x:c r="E135" s="24" t="str">
        <x:v>Sander lucioperca</x:v>
      </x:c>
      <x:c r="F135" s="24" t="str">
        <x:v>Pike-perch</x:v>
      </x:c>
      <x:c r="G135" s="24" t="str">
        <x:v>Large pelagics (&gt;=90 cm)</x:v>
      </x:c>
      <x:c r="H135" s="24" t="str">
        <x:v>Perch-likes</x:v>
      </x:c>
      <x:c r="I135" s="31" t="n">
        <x:v>0.1986249238</x:v>
      </x:c>
      <x:c r="J135" s="31" t="n">
        <x:v>0.1986249238</x:v>
      </x:c>
      <x:c r="K135" s="31" t="n">
        <x:v>0</x:v>
      </x:c>
      <x:c r="L135" s="31" t="n">
        <x:v>0.1986249238</x:v>
      </x:c>
      <x:c r="M135" s="31" t="n">
        <x:v>0</x:v>
      </x:c>
      <x:c r="N135" s="24" t="str">
        <x:v>sander lucioperca</x:v>
      </x:c>
      <x:c r="O135" s="32" t="n">
        <x:v>4.04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Sander lucioperca</x:v>
      </x:c>
      <x:c r="T135" s="32" t="n">
        <x:f>IF(O135="","",(1/'Metadata'!$B$5)^(O135-1))</x:f>
        <x:v>1096.4781961431852</x:v>
      </x:c>
      <x:c r="U135" s="31" t="n">
        <x:f>IF(T135="","",I135*T135)</x:f>
        <x:v>217.7878981573016</x:v>
      </x:c>
    </x:row>
    <x:row r="136" ht="18" customHeight="1">
      <x:c r="A136" s="24" t="str">
        <x:v>EEZ_528</x:v>
      </x:c>
      <x:c r="B136" s="24" t="str">
        <x:v>Netherlands</x:v>
      </x:c>
      <x:c r="C136" s="24" t="str">
        <x:v>EEZ</x:v>
      </x:c>
      <x:c r="D136" s="30" t="n">
        <x:v>2019</x:v>
      </x:c>
      <x:c r="E136" s="24" t="str">
        <x:v>Reinhardtius hippoglossoides</x:v>
      </x:c>
      <x:c r="F136" s="24" t="str">
        <x:v>Greenland halibut</x:v>
      </x:c>
      <x:c r="G136" s="24" t="str">
        <x:v>Small to medium flatfishes (&lt;90 cm)</x:v>
      </x:c>
      <x:c r="H136" s="24" t="str">
        <x:v>Flatfishes</x:v>
      </x:c>
      <x:c r="I136" s="31" t="n">
        <x:v>0.1984220599</x:v>
      </x:c>
      <x:c r="J136" s="31" t="n">
        <x:v>0.1984220599</x:v>
      </x:c>
      <x:c r="K136" s="31" t="n">
        <x:v>0</x:v>
      </x:c>
      <x:c r="L136" s="31" t="n">
        <x:v>0.1984220599</x:v>
      </x:c>
      <x:c r="M136" s="31" t="n">
        <x:v>0</x:v>
      </x:c>
      <x:c r="N136" s="24" t="str">
        <x:v>reinhardtius hippoglossoides</x:v>
      </x:c>
      <x:c r="O136" s="32" t="n">
        <x:v>4.38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Reinhardtius hippoglossoides</x:v>
      </x:c>
      <x:c r="T136" s="32" t="n">
        <x:f>IF(O136="","",(1/'Metadata'!$B$5)^(O136-1))</x:f>
        <x:v>2398.83291901949</x:v>
      </x:c>
      <x:c r="U136" s="31" t="n">
        <x:f>IF(T136="","",I136*T136)</x:f>
        <x:v>475.9813691477771</x:v>
      </x:c>
    </x:row>
    <x:row r="137" ht="18" customHeight="1">
      <x:c r="A137" s="24" t="str">
        <x:v>EEZ_528</x:v>
      </x:c>
      <x:c r="B137" s="24" t="str">
        <x:v>Netherlands</x:v>
      </x:c>
      <x:c r="C137" s="24" t="str">
        <x:v>EEZ</x:v>
      </x:c>
      <x:c r="D137" s="30" t="n">
        <x:v>2019</x:v>
      </x:c>
      <x:c r="E137" s="24" t="str">
        <x:v>Mustelus asterias</x:v>
      </x:c>
      <x:c r="F137" s="24" t="str">
        <x:v>Starry smooth-hound</x:v>
      </x:c>
      <x:c r="G137" s="24" t="str">
        <x:v>Large sharks (&gt;=90 cm)</x:v>
      </x:c>
      <x:c r="H137" s="24" t="str">
        <x:v>Sharks &amp; rays</x:v>
      </x:c>
      <x:c r="I137" s="31" t="n">
        <x:v>0.1613716982</x:v>
      </x:c>
      <x:c r="J137" s="31" t="n">
        <x:v>0.1613716982</x:v>
      </x:c>
      <x:c r="K137" s="31" t="n">
        <x:v>0</x:v>
      </x:c>
      <x:c r="L137" s="31" t="n">
        <x:v>0.1613716982</x:v>
      </x:c>
      <x:c r="M137" s="31" t="n">
        <x:v>0</x:v>
      </x:c>
      <x:c r="N137" s="24" t="str">
        <x:v>mustelus asterias</x:v>
      </x:c>
      <x:c r="O137" s="32" t="n">
        <x:v>3.62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Mustelus asterias</x:v>
      </x:c>
      <x:c r="T137" s="32" t="n">
        <x:f>IF(O137="","",(1/'Metadata'!$B$5)^(O137-1))</x:f>
        <x:v>416.8693834703355</x:v>
      </x:c>
      <x:c r="U137" s="31" t="n">
        <x:f>IF(T137="","",I137*T137)</x:f>
        <x:v>67.27092033819504</x:v>
      </x:c>
    </x:row>
    <x:row r="138" ht="18" customHeight="1">
      <x:c r="A138" s="24" t="str">
        <x:v>EEZ_528</x:v>
      </x:c>
      <x:c r="B138" s="24" t="str">
        <x:v>Netherlands</x:v>
      </x:c>
      <x:c r="C138" s="24" t="str">
        <x:v>EEZ</x:v>
      </x:c>
      <x:c r="D138" s="30" t="n">
        <x:v>2019</x:v>
      </x:c>
      <x:c r="E138" s="24" t="str">
        <x:v>Octopodidae</x:v>
      </x:c>
      <x:c r="F138" s="24" t="str">
        <x:v>Octopuses</x:v>
      </x:c>
      <x:c r="G138" s="24" t="str">
        <x:v>Cephalopods</x:v>
      </x:c>
      <x:c r="H138" s="24" t="str">
        <x:v>Other fishes &amp; inverts</x:v>
      </x:c>
      <x:c r="I138" s="31" t="n">
        <x:v>0.1412338365</x:v>
      </x:c>
      <x:c r="J138" s="31" t="n">
        <x:v>0.139021917</x:v>
      </x:c>
      <x:c r="K138" s="31" t="n">
        <x:v>0.0022119195</x:v>
      </x:c>
      <x:c r="L138" s="31" t="n">
        <x:v>0.13386932529999998</x:v>
      </x:c>
      <x:c r="M138" s="31" t="n">
        <x:v>0.007364511199999999</x:v>
      </x:c>
      <x:c r="N138" s="24" t="str">
        <x:v>octopodidae</x:v>
      </x:c>
      <x:c r="O138" s="32" t="n">
        <x:v>3.59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Octopodidae</x:v>
      </x:c>
      <x:c r="T138" s="32" t="n">
        <x:f>IF(O138="","",(1/'Metadata'!$B$5)^(O138-1))</x:f>
        <x:v>389.04514499428046</x:v>
      </x:c>
      <x:c r="U138" s="31" t="n">
        <x:f>IF(T138="","",I138*T138)</x:f>
        <x:v>54.94633839924099</x:v>
      </x:c>
    </x:row>
    <x:row r="139" ht="18" customHeight="1">
      <x:c r="A139" s="24" t="str">
        <x:v>EEZ_528</x:v>
      </x:c>
      <x:c r="B139" s="24" t="str">
        <x:v>Netherlands</x:v>
      </x:c>
      <x:c r="C139" s="24" t="str">
        <x:v>EEZ</x:v>
      </x:c>
      <x:c r="D139" s="30" t="n">
        <x:v>2019</x:v>
      </x:c>
      <x:c r="E139" s="24" t="str">
        <x:v>Labridae</x:v>
      </x:c>
      <x:c r="F139" s="24" t="str">
        <x:v>Wrasses, gropers, tuskfishes</x:v>
      </x:c>
      <x:c r="G139" s="24" t="str">
        <x:v>Medium reef assoc. fish (30 - 89 cm)</x:v>
      </x:c>
      <x:c r="H139" s="24" t="str">
        <x:v>Perch-likes</x:v>
      </x:c>
      <x:c r="I139" s="31" t="n">
        <x:v>0.1403244808</x:v>
      </x:c>
      <x:c r="J139" s="31" t="n">
        <x:v>0.1403244808</x:v>
      </x:c>
      <x:c r="K139" s="31" t="n">
        <x:v>0</x:v>
      </x:c>
      <x:c r="L139" s="31" t="n">
        <x:v>0.1403244808</x:v>
      </x:c>
      <x:c r="M139" s="31" t="n">
        <x:v>0</x:v>
      </x:c>
      <x:c r="N139" s="24" t="str">
        <x:v>labridae</x:v>
      </x:c>
      <x:c r="O139" s="32" t="n">
        <x:v>3.46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Labridae</x:v>
      </x:c>
      <x:c r="T139" s="32" t="n">
        <x:f>IF(O139="","",(1/'Metadata'!$B$5)^(O139-1))</x:f>
        <x:v>288.40315031266056</x:v>
      </x:c>
      <x:c r="U139" s="31" t="n">
        <x:f>IF(T139="","",I139*T139)</x:f>
        <x:v>40.47002232870845</x:v>
      </x:c>
    </x:row>
    <x:row r="140" ht="18" customHeight="1">
      <x:c r="A140" s="24" t="str">
        <x:v>EEZ_528</x:v>
      </x:c>
      <x:c r="B140" s="24" t="str">
        <x:v>Netherlands</x:v>
      </x:c>
      <x:c r="C140" s="24" t="str">
        <x:v>EEZ</x:v>
      </x:c>
      <x:c r="D140" s="30" t="n">
        <x:v>2019</x:v>
      </x:c>
      <x:c r="E140" s="24" t="str">
        <x:v>Scyliorhinidae</x:v>
      </x:c>
      <x:c r="F140" s="24" t="str">
        <x:v>Cat/swellsharks</x:v>
      </x:c>
      <x:c r="G140" s="24" t="str">
        <x:v>Large sharks (&gt;=90 cm)</x:v>
      </x:c>
      <x:c r="H140" s="24" t="str">
        <x:v>Sharks &amp; rays</x:v>
      </x:c>
      <x:c r="I140" s="31" t="n">
        <x:v>0.1296765987</x:v>
      </x:c>
      <x:c r="J140" s="31" t="n">
        <x:v>0.1296765987</x:v>
      </x:c>
      <x:c r="K140" s="31" t="n">
        <x:v>0</x:v>
      </x:c>
      <x:c r="L140" s="31" t="n">
        <x:v>0.1296765987</x:v>
      </x:c>
      <x:c r="M140" s="31" t="n">
        <x:v>0</x:v>
      </x:c>
      <x:c r="N140" s="24" t="str">
        <x:v>scyliorhinidae</x:v>
      </x:c>
      <x:c r="O140" s="32" t="n">
        <x:v>3.97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Scyliorhinidae</x:v>
      </x:c>
      <x:c r="T140" s="32" t="n">
        <x:f>IF(O140="","",(1/'Metadata'!$B$5)^(O140-1))</x:f>
        <x:v>933.2543007969915</x:v>
      </x:c>
      <x:c r="U140" s="31" t="n">
        <x:f>IF(T140="","",I140*T140)</x:f>
        <x:v>121.02124344950056</x:v>
      </x:c>
    </x:row>
    <x:row r="141" ht="18" customHeight="1">
      <x:c r="A141" s="24" t="str">
        <x:v>EEZ_528</x:v>
      </x:c>
      <x:c r="B141" s="24" t="str">
        <x:v>Netherlands</x:v>
      </x:c>
      <x:c r="C141" s="24" t="str">
        <x:v>EEZ</x:v>
      </x:c>
      <x:c r="D141" s="30" t="n">
        <x:v>2019</x:v>
      </x:c>
      <x:c r="E141" s="24" t="str">
        <x:v>Esox lucius</x:v>
      </x:c>
      <x:c r="F141" s="24" t="str">
        <x:v>Northern pike</x:v>
      </x:c>
      <x:c r="G141" s="24" t="str">
        <x:v>Large demersals (&gt;=90 cm)</x:v>
      </x:c>
      <x:c r="H141" s="24" t="str">
        <x:v>Salmon, smelts, etc</x:v>
      </x:c>
      <x:c r="I141" s="31" t="n">
        <x:v>0.11637125680000002</x:v>
      </x:c>
      <x:c r="J141" s="31" t="n">
        <x:v>0.11637125680000002</x:v>
      </x:c>
      <x:c r="K141" s="31" t="n">
        <x:v>0</x:v>
      </x:c>
      <x:c r="L141" s="31" t="n">
        <x:v>0.11637125680000002</x:v>
      </x:c>
      <x:c r="M141" s="31" t="n">
        <x:v>0</x:v>
      </x:c>
      <x:c r="N141" s="24" t="str">
        <x:v>esox lucius</x:v>
      </x:c>
      <x:c r="O141" s="32" t="n">
        <x:v>4.07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Esox lucius</x:v>
      </x:c>
      <x:c r="T141" s="32" t="n">
        <x:f>IF(O141="","",(1/'Metadata'!$B$5)^(O141-1))</x:f>
        <x:v>1174.8975549395302</x:v>
      </x:c>
      <x:c r="U141" s="31" t="n">
        <x:f>IF(T141="","",I141*T141)</x:f>
        <x:v>136.7243050795602</x:v>
      </x:c>
    </x:row>
    <x:row r="142" ht="18" customHeight="1">
      <x:c r="A142" s="24" t="str">
        <x:v>EEZ_528</x:v>
      </x:c>
      <x:c r="B142" s="24" t="str">
        <x:v>Netherlands</x:v>
      </x:c>
      <x:c r="C142" s="24" t="str">
        <x:v>EEZ</x:v>
      </x:c>
      <x:c r="D142" s="30" t="n">
        <x:v>2019</x:v>
      </x:c>
      <x:c r="E142" s="24" t="str">
        <x:v>Chondrichthyes</x:v>
      </x:c>
      <x:c r="F142" s="24" t="str">
        <x:v>Sharks, rays, chimaeras</x:v>
      </x:c>
      <x:c r="G142" s="24" t="str">
        <x:v>Large sharks (&gt;=90 cm)</x:v>
      </x:c>
      <x:c r="H142" s="24" t="str">
        <x:v>Sharks &amp; rays</x:v>
      </x:c>
      <x:c r="I142" s="31" t="n">
        <x:v>0.1013284316</x:v>
      </x:c>
      <x:c r="J142" s="31" t="n">
        <x:v>0.1012961016</x:v>
      </x:c>
      <x:c r="K142" s="31" t="n">
        <x:v>0.00003233</x:v>
      </x:c>
      <x:c r="L142" s="31" t="n">
        <x:v>0.1012240599</x:v>
      </x:c>
      <x:c r="M142" s="31" t="n">
        <x:v>0.00010437169999999999</x:v>
      </x:c>
      <x:c r="N142" s="24" t="str">
        <x:v>chondrichthyes</x:v>
      </x:c>
      <x:c r="O142" s="32" t="n">
        <x:v>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Chondrichthyes</x:v>
      </x:c>
      <x:c r="T142" s="32" t="n">
        <x:f>IF(O142="","",(1/'Metadata'!$B$5)^(O142-1))</x:f>
        <x:v>1000</x:v>
      </x:c>
      <x:c r="U142" s="31" t="n">
        <x:f>IF(T142="","",I142*T142)</x:f>
        <x:v>101.3284316</x:v>
      </x:c>
    </x:row>
    <x:row r="143" ht="18" customHeight="1">
      <x:c r="A143" s="24" t="str">
        <x:v>EEZ_528</x:v>
      </x:c>
      <x:c r="B143" s="24" t="str">
        <x:v>Netherlands</x:v>
      </x:c>
      <x:c r="C143" s="24" t="str">
        <x:v>EEZ</x:v>
      </x:c>
      <x:c r="D143" s="30" t="n">
        <x:v>2019</x:v>
      </x:c>
      <x:c r="E143" s="24" t="str">
        <x:v>Labrus bergylta</x:v>
      </x:c>
      <x:c r="F143" s="24" t="str">
        <x:v>Ballan wrasse</x:v>
      </x:c>
      <x:c r="G143" s="24" t="str">
        <x:v>Medium reef assoc. fish (30 - 89 cm)</x:v>
      </x:c>
      <x:c r="H143" s="24" t="str">
        <x:v>Perch-likes</x:v>
      </x:c>
      <x:c r="I143" s="31" t="n">
        <x:v>0.1006801881</x:v>
      </x:c>
      <x:c r="J143" s="31" t="n">
        <x:v>0.0746310253</x:v>
      </x:c>
      <x:c r="K143" s="31" t="n">
        <x:v>0.0260491628</x:v>
      </x:c>
      <x:c r="L143" s="31" t="n">
        <x:v>0.0139503819</x:v>
      </x:c>
      <x:c r="M143" s="31" t="n">
        <x:v>0.0867298062</x:v>
      </x:c>
      <x:c r="N143" s="24" t="str">
        <x:v>labrus bergylta</x:v>
      </x:c>
      <x:c r="O143" s="32" t="n">
        <x:v>3.2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Labrus bergylta</x:v>
      </x:c>
      <x:c r="T143" s="32" t="n">
        <x:f>IF(O143="","",(1/'Metadata'!$B$5)^(O143-1))</x:f>
        <x:v>158.48931924611142</x:v>
      </x:c>
      <x:c r="U143" s="31" t="n">
        <x:f>IF(T143="","",I143*T143)</x:f>
        <x:v>15.956734473539449</x:v>
      </x:c>
    </x:row>
    <x:row r="144" ht="18" customHeight="1">
      <x:c r="A144" s="24" t="str">
        <x:v>EEZ_528</x:v>
      </x:c>
      <x:c r="B144" s="24" t="str">
        <x:v>Netherlands</x:v>
      </x:c>
      <x:c r="C144" s="24" t="str">
        <x:v>EEZ</x:v>
      </x:c>
      <x:c r="D144" s="30" t="n">
        <x:v>2019</x:v>
      </x:c>
      <x:c r="E144" s="24" t="str">
        <x:v>Eledone</x:v>
      </x:c>
      <x:c r="F144" s="24" t="str">
        <x:v>Horned, musky octopuses</x:v>
      </x:c>
      <x:c r="G144" s="24" t="str">
        <x:v>Cephalopods</x:v>
      </x:c>
      <x:c r="H144" s="24" t="str">
        <x:v>Other fishes &amp; inverts</x:v>
      </x:c>
      <x:c r="I144" s="31" t="n">
        <x:v>0.087689932</x:v>
      </x:c>
      <x:c r="J144" s="31" t="n">
        <x:v>0.087689932</x:v>
      </x:c>
      <x:c r="K144" s="31" t="n">
        <x:v>0</x:v>
      </x:c>
      <x:c r="L144" s="31" t="n">
        <x:v>0.087689932</x:v>
      </x:c>
      <x:c r="M144" s="31" t="n">
        <x:v>0</x:v>
      </x:c>
      <x:c r="N144" s="24" t="str">
        <x:v>eledone</x:v>
      </x:c>
      <x:c r="O144" s="32" t="n">
        <x:v>3.67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Eledone</x:v>
      </x:c>
      <x:c r="T144" s="32" t="n">
        <x:f>IF(O144="","",(1/'Metadata'!$B$5)^(O144-1))</x:f>
        <x:v>467.73514128719813</x:v>
      </x:c>
      <x:c r="U144" s="31" t="n">
        <x:f>IF(T144="","",I144*T144)</x:f>
        <x:v>41.015662733484795</x:v>
      </x:c>
    </x:row>
    <x:row r="145" ht="18" customHeight="1">
      <x:c r="A145" s="24" t="str">
        <x:v>EEZ_528</x:v>
      </x:c>
      <x:c r="B145" s="24" t="str">
        <x:v>Netherlands</x:v>
      </x:c>
      <x:c r="C145" s="24" t="str">
        <x:v>EEZ</x:v>
      </x:c>
      <x:c r="D145" s="30" t="n">
        <x:v>2019</x:v>
      </x:c>
      <x:c r="E145" s="24" t="str">
        <x:v>Malacostraca</x:v>
      </x:c>
      <x:c r="F145" s="24" t="str">
        <x:v>Lobsters, crabs, shrimps, krill</x:v>
      </x:c>
      <x:c r="G145" s="24" t="str">
        <x:v>Shrimps</x:v>
      </x:c>
      <x:c r="H145" s="24" t="str">
        <x:v>Crustaceans</x:v>
      </x:c>
      <x:c r="I145" s="31" t="n">
        <x:v>0.057377002999999996</x:v>
      </x:c>
      <x:c r="J145" s="31" t="n">
        <x:v>0.057377002999999996</x:v>
      </x:c>
      <x:c r="K145" s="31" t="n">
        <x:v>0</x:v>
      </x:c>
      <x:c r="L145" s="31" t="n">
        <x:v>0.057377002999999996</x:v>
      </x:c>
      <x:c r="M145" s="31" t="n">
        <x:v>0</x:v>
      </x:c>
      <x:c r="N145" s="24" t="str">
        <x:v>malacostraca</x:v>
      </x:c>
      <x:c r="O145" s="32" t="n">
        <x:v>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Malacostraca</x:v>
      </x:c>
      <x:c r="T145" s="32" t="n">
        <x:f>IF(O145="","",(1/'Metadata'!$B$5)^(O145-1))</x:f>
        <x:v>100</x:v>
      </x:c>
      <x:c r="U145" s="31" t="n">
        <x:f>IF(T145="","",I145*T145)</x:f>
        <x:v>5.737700299999999</x:v>
      </x:c>
    </x:row>
    <x:row r="146" ht="18" customHeight="1">
      <x:c r="A146" s="24" t="str">
        <x:v>EEZ_528</x:v>
      </x:c>
      <x:c r="B146" s="24" t="str">
        <x:v>Netherlands</x:v>
      </x:c>
      <x:c r="C146" s="24" t="str">
        <x:v>EEZ</x:v>
      </x:c>
      <x:c r="D146" s="30" t="n">
        <x:v>2019</x:v>
      </x:c>
      <x:c r="E146" s="24" t="str">
        <x:v>Leucoraja naevus</x:v>
      </x:c>
      <x:c r="F146" s="24" t="str">
        <x:v>Cuckoo ray</x:v>
      </x:c>
      <x:c r="G146" s="24" t="str">
        <x:v>Small to medium rays (&lt;90 cm)</x:v>
      </x:c>
      <x:c r="H146" s="24" t="str">
        <x:v>Sharks &amp; rays</x:v>
      </x:c>
      <x:c r="I146" s="31" t="n">
        <x:v>0.0520001472</x:v>
      </x:c>
      <x:c r="J146" s="31" t="n">
        <x:v>0.0520001472</x:v>
      </x:c>
      <x:c r="K146" s="31" t="n">
        <x:v>0</x:v>
      </x:c>
      <x:c r="L146" s="31" t="n">
        <x:v>0.0520001472</x:v>
      </x:c>
      <x:c r="M146" s="31" t="n">
        <x:v>0</x:v>
      </x:c>
      <x:c r="N146" s="24" t="str">
        <x:v>leucoraja naevus</x:v>
      </x:c>
      <x:c r="O146" s="32" t="n">
        <x:v>4.21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Leucoraja naevus</x:v>
      </x:c>
      <x:c r="T146" s="32" t="n">
        <x:f>IF(O146="","",(1/'Metadata'!$B$5)^(O146-1))</x:f>
        <x:v>1621.8100973589299</x:v>
      </x:c>
      <x:c r="U146" s="31" t="n">
        <x:f>IF(T146="","",I146*T146)</x:f>
        <x:v>84.33436379311068</x:v>
      </x:c>
    </x:row>
    <x:row r="147" ht="18" customHeight="1">
      <x:c r="A147" s="24" t="str">
        <x:v>EEZ_528</x:v>
      </x:c>
      <x:c r="B147" s="24" t="str">
        <x:v>Netherlands</x:v>
      </x:c>
      <x:c r="C147" s="24" t="str">
        <x:v>EEZ</x:v>
      </x:c>
      <x:c r="D147" s="30" t="n">
        <x:v>2019</x:v>
      </x:c>
      <x:c r="E147" s="24" t="str">
        <x:v>Mugil cephalus</x:v>
      </x:c>
      <x:c r="F147" s="24" t="str">
        <x:v>Flathead grey mullet</x:v>
      </x:c>
      <x:c r="G147" s="24" t="str">
        <x:v>Large benthopelagics (&gt;=90 cm)</x:v>
      </x:c>
      <x:c r="H147" s="24" t="str">
        <x:v>Perch-likes</x:v>
      </x:c>
      <x:c r="I147" s="31" t="n">
        <x:v>0.045182304799999996</x:v>
      </x:c>
      <x:c r="J147" s="31" t="n">
        <x:v>0.045182304799999996</x:v>
      </x:c>
      <x:c r="K147" s="31" t="n">
        <x:v>0</x:v>
      </x:c>
      <x:c r="L147" s="31" t="n">
        <x:v>0.045182304799999996</x:v>
      </x:c>
      <x:c r="M147" s="31" t="n">
        <x:v>0</x:v>
      </x:c>
      <x:c r="N147" s="24" t="str">
        <x:v>mugil cephalus</x:v>
      </x:c>
      <x:c r="O147" s="32" t="n">
        <x:v>2.14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Mugil cephalus</x:v>
      </x:c>
      <x:c r="T147" s="32" t="n">
        <x:f>IF(O147="","",(1/'Metadata'!$B$5)^(O147-1))</x:f>
        <x:v>13.803842646028853</x:v>
      </x:c>
      <x:c r="U147" s="31" t="n">
        <x:f>IF(T147="","",I147*T147)</x:f>
        <x:v>0.6236894258441141</x:v>
      </x:c>
    </x:row>
    <x:row r="148" ht="18" customHeight="1">
      <x:c r="A148" s="24" t="str">
        <x:v>EEZ_528</x:v>
      </x:c>
      <x:c r="B148" s="24" t="str">
        <x:v>Netherlands</x:v>
      </x:c>
      <x:c r="C148" s="24" t="str">
        <x:v>EEZ</x:v>
      </x:c>
      <x:c r="D148" s="30" t="n">
        <x:v>2019</x:v>
      </x:c>
      <x:c r="E148" s="24" t="str">
        <x:v>Echinoidea</x:v>
      </x:c>
      <x:c r="F148" s="24" t="str">
        <x:v>Sea urchins, sea hedgehogs</x:v>
      </x:c>
      <x:c r="G148" s="24" t="str">
        <x:v>Other demersal invertebrates</x:v>
      </x:c>
      <x:c r="H148" s="24" t="str">
        <x:v>Other fishes &amp; inverts</x:v>
      </x:c>
      <x:c r="I148" s="31" t="n">
        <x:v>0.0404285199</x:v>
      </x:c>
      <x:c r="J148" s="31" t="n">
        <x:v>0.0404285199</x:v>
      </x:c>
      <x:c r="K148" s="31" t="n">
        <x:v>0</x:v>
      </x:c>
      <x:c r="L148" s="31" t="n">
        <x:v>0.0404285199</x:v>
      </x:c>
      <x:c r="M148" s="31" t="n">
        <x:v>0</x:v>
      </x:c>
      <x:c r="N148" s="24" t="str">
        <x:v>echinoidea</x:v>
      </x:c>
      <x:c r="O148" s="32" t="n">
        <x:v>2.51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Echinoidea</x:v>
      </x:c>
      <x:c r="T148" s="32" t="n">
        <x:f>IF(O148="","",(1/'Metadata'!$B$5)^(O148-1))</x:f>
        <x:v>32.35936569296281</x:v>
      </x:c>
      <x:c r="U148" s="31" t="n">
        <x:f>IF(T148="","",I148*T148)</x:f>
        <x:v>1.3082412598693243</x:v>
      </x:c>
    </x:row>
    <x:row r="149" ht="18" customHeight="1">
      <x:c r="A149" s="24" t="str">
        <x:v>EEZ_528</x:v>
      </x:c>
      <x:c r="B149" s="24" t="str">
        <x:v>Netherlands</x:v>
      </x:c>
      <x:c r="C149" s="24" t="str">
        <x:v>EEZ</x:v>
      </x:c>
      <x:c r="D149" s="30" t="n">
        <x:v>2019</x:v>
      </x:c>
      <x:c r="E149" s="24" t="str">
        <x:v>Dasyatis pastinaca</x:v>
      </x:c>
      <x:c r="F149" s="24" t="str">
        <x:v>Common stingray</x:v>
      </x:c>
      <x:c r="G149" s="24" t="str">
        <x:v>Large rays (&gt;=90 cm)</x:v>
      </x:c>
      <x:c r="H149" s="24" t="str">
        <x:v>Sharks &amp; rays</x:v>
      </x:c>
      <x:c r="I149" s="31" t="n">
        <x:v>0.040067510699999996</x:v>
      </x:c>
      <x:c r="J149" s="31" t="n">
        <x:v>0.040067510699999996</x:v>
      </x:c>
      <x:c r="K149" s="31" t="n">
        <x:v>0</x:v>
      </x:c>
      <x:c r="L149" s="31" t="n">
        <x:v>0.040067510699999996</x:v>
      </x:c>
      <x:c r="M149" s="31" t="n">
        <x:v>0</x:v>
      </x:c>
      <x:c r="N149" s="24" t="str">
        <x:v>dasyatis pastinaca</x:v>
      </x:c>
      <x:c r="O149" s="32" t="n">
        <x:v>4.05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Dasyatis pastinaca</x:v>
      </x:c>
      <x:c r="T149" s="32" t="n">
        <x:f>IF(O149="","",(1/'Metadata'!$B$5)^(O149-1))</x:f>
        <x:v>1122.018454301963</x:v>
      </x:c>
      <x:c r="U149" s="31" t="n">
        <x:f>IF(T149="","",I149*T149)</x:f>
        <x:v>44.95648642334136</x:v>
      </x:c>
    </x:row>
    <x:row r="150" ht="18" customHeight="1">
      <x:c r="A150" s="24" t="str">
        <x:v>EEZ_528</x:v>
      </x:c>
      <x:c r="B150" s="24" t="str">
        <x:v>Netherlands</x:v>
      </x:c>
      <x:c r="C150" s="24" t="str">
        <x:v>EEZ</x:v>
      </x:c>
      <x:c r="D150" s="30" t="n">
        <x:v>2019</x:v>
      </x:c>
      <x:c r="E150" s="24" t="str">
        <x:v>Lamna nasus</x:v>
      </x:c>
      <x:c r="F150" s="24" t="str">
        <x:v>Porbeagle</x:v>
      </x:c>
      <x:c r="G150" s="24" t="str">
        <x:v>Large sharks (&gt;=90 cm)</x:v>
      </x:c>
      <x:c r="H150" s="24" t="str">
        <x:v>Sharks &amp; rays</x:v>
      </x:c>
      <x:c r="I150" s="31" t="n">
        <x:v>0.0373781487</x:v>
      </x:c>
      <x:c r="J150" s="31" t="n">
        <x:v>0.0373781487</x:v>
      </x:c>
      <x:c r="K150" s="31" t="n">
        <x:v>0</x:v>
      </x:c>
      <x:c r="L150" s="31" t="n">
        <x:v>0.0373781487</x:v>
      </x:c>
      <x:c r="M150" s="31" t="n">
        <x:v>0</x:v>
      </x:c>
      <x:c r="N150" s="24" t="str">
        <x:v>lamna nasus</x:v>
      </x:c>
      <x:c r="O150" s="32" t="n">
        <x:v>4.57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Lamna nasus</x:v>
      </x:c>
      <x:c r="T150" s="32" t="n">
        <x:f>IF(O150="","",(1/'Metadata'!$B$5)^(O150-1))</x:f>
        <x:v>3715.3522909717276</x:v>
      </x:c>
      <x:c r="U150" s="31" t="n">
        <x:f>IF(T150="","",I150*T150)</x:f>
        <x:v>138.8729904048269</x:v>
      </x:c>
    </x:row>
    <x:row r="151" ht="18" customHeight="1">
      <x:c r="A151" s="24" t="str">
        <x:v>EEZ_528</x:v>
      </x:c>
      <x:c r="B151" s="24" t="str">
        <x:v>Netherlands</x:v>
      </x:c>
      <x:c r="C151" s="24" t="str">
        <x:v>EEZ</x:v>
      </x:c>
      <x:c r="D151" s="30" t="n">
        <x:v>2019</x:v>
      </x:c>
      <x:c r="E151" s="24" t="str">
        <x:v>Scardinius erythrophthalmus</x:v>
      </x:c>
      <x:c r="F151" s="24" t="str">
        <x:v>Rudd</x:v>
      </x:c>
      <x:c r="G151" s="24" t="str">
        <x:v>Medium benthopelagics (30 - 89 cm)</x:v>
      </x:c>
      <x:c r="H151" s="24" t="str">
        <x:v>Other fishes &amp; inverts</x:v>
      </x:c>
      <x:c r="I151" s="31" t="n">
        <x:v>0.0372821</x:v>
      </x:c>
      <x:c r="J151" s="31" t="n">
        <x:v>0.0372821</x:v>
      </x:c>
      <x:c r="K151" s="31" t="n">
        <x:v>0</x:v>
      </x:c>
      <x:c r="L151" s="31" t="n">
        <x:v>0.0372821</x:v>
      </x:c>
      <x:c r="M151" s="31" t="n">
        <x:v>0</x:v>
      </x:c>
      <x:c r="N151" s="24" t="str">
        <x:v>scardinius erythrophthalmus</x:v>
      </x:c>
      <x:c r="O151" s="32" t="n">
        <x:v>2.89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Scardinius erythrophthalmus</x:v>
      </x:c>
      <x:c r="T151" s="32" t="n">
        <x:f>IF(O151="","",(1/'Metadata'!$B$5)^(O151-1))</x:f>
        <x:v>77.6247116628692</x:v>
      </x:c>
      <x:c r="U151" s="31" t="n">
        <x:f>IF(T151="","",I151*T151)</x:f>
        <x:v>2.894012262686256</x:v>
      </x:c>
    </x:row>
    <x:row r="152" ht="18" customHeight="1">
      <x:c r="A152" s="24" t="str">
        <x:v>EEZ_528</x:v>
      </x:c>
      <x:c r="B152" s="24" t="str">
        <x:v>Netherlands</x:v>
      </x:c>
      <x:c r="C152" s="24" t="str">
        <x:v>EEZ</x:v>
      </x:c>
      <x:c r="D152" s="30" t="n">
        <x:v>2019</x:v>
      </x:c>
      <x:c r="E152" s="24" t="str">
        <x:v>Aequipecten opercularis</x:v>
      </x:c>
      <x:c r="F152" s="24" t="str">
        <x:v>Queen scallop</x:v>
      </x:c>
      <x:c r="G152" s="24" t="str">
        <x:v>Other demersal invertebrates</x:v>
      </x:c>
      <x:c r="H152" s="24" t="str">
        <x:v>Molluscs</x:v>
      </x:c>
      <x:c r="I152" s="31" t="n">
        <x:v>0.030998599999999998</x:v>
      </x:c>
      <x:c r="J152" s="31" t="n">
        <x:v>0.030998599999999998</x:v>
      </x:c>
      <x:c r="K152" s="31" t="n">
        <x:v>0</x:v>
      </x:c>
      <x:c r="L152" s="31" t="n">
        <x:v>0.030998599999999998</x:v>
      </x:c>
      <x:c r="M152" s="31" t="n">
        <x:v>0</x:v>
      </x:c>
      <x:c r="N152" s="24" t="str">
        <x:v>aequipecten opercularis</x:v>
      </x:c>
      <x:c r="O152" s="32" t="n">
        <x:v>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Aequipecten opercularis</x:v>
      </x:c>
      <x:c r="T152" s="32" t="n">
        <x:f>IF(O152="","",(1/'Metadata'!$B$5)^(O152-1))</x:f>
        <x:v>10</x:v>
      </x:c>
      <x:c r="U152" s="31" t="n">
        <x:f>IF(T152="","",I152*T152)</x:f>
        <x:v>0.309986</x:v>
      </x:c>
    </x:row>
    <x:row r="153" ht="18" customHeight="1">
      <x:c r="A153" s="24" t="str">
        <x:v>EEZ_528</x:v>
      </x:c>
      <x:c r="B153" s="24" t="str">
        <x:v>Netherlands</x:v>
      </x:c>
      <x:c r="C153" s="24" t="str">
        <x:v>EEZ</x:v>
      </x:c>
      <x:c r="D153" s="30" t="n">
        <x:v>2019</x:v>
      </x:c>
      <x:c r="E153" s="24" t="str">
        <x:v>Cyprinidae</x:v>
      </x:c>
      <x:c r="F153" s="24" t="str">
        <x:v>Carps, barbels, other cyprinids</x:v>
      </x:c>
      <x:c r="G153" s="24" t="str">
        <x:v>Medium demersals (30 - 89 cm)</x:v>
      </x:c>
      <x:c r="H153" s="24" t="str">
        <x:v>Other fishes &amp; inverts</x:v>
      </x:c>
      <x:c r="I153" s="31" t="n">
        <x:v>0.028485200000000002</x:v>
      </x:c>
      <x:c r="J153" s="31" t="n">
        <x:v>0.028485200000000002</x:v>
      </x:c>
      <x:c r="K153" s="31" t="n">
        <x:v>0</x:v>
      </x:c>
      <x:c r="L153" s="31" t="n">
        <x:v>0.028485200000000002</x:v>
      </x:c>
      <x:c r="M153" s="31" t="n">
        <x:v>0</x:v>
      </x:c>
      <x:c r="N153" s="24" t="str">
        <x:v>cyprinidae</x:v>
      </x:c>
      <x:c r="O153" s="32" t="n">
        <x:v>2.8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Cyprinidae</x:v>
      </x:c>
      <x:c r="T153" s="32" t="n">
        <x:f>IF(O153="","",(1/'Metadata'!$B$5)^(O153-1))</x:f>
        <x:v>63.0957344480193</x:v>
      </x:c>
      <x:c r="U153" s="31" t="n">
        <x:f>IF(T153="","",I153*T153)</x:f>
        <x:v>1.7972946148987194</x:v>
      </x:c>
    </x:row>
    <x:row r="154" ht="18" customHeight="1">
      <x:c r="A154" s="24" t="str">
        <x:v>EEZ_528</x:v>
      </x:c>
      <x:c r="B154" s="24" t="str">
        <x:v>Netherlands</x:v>
      </x:c>
      <x:c r="C154" s="24" t="str">
        <x:v>EEZ</x:v>
      </x:c>
      <x:c r="D154" s="30" t="n">
        <x:v>2019</x:v>
      </x:c>
      <x:c r="E154" s="24" t="str">
        <x:v>Acanthocardia tuberculata</x:v>
      </x:c>
      <x:c r="F154" s="24" t="str">
        <x:v>Tuberculate cockle</x:v>
      </x:c>
      <x:c r="G154" s="24" t="str">
        <x:v>Other demersal invertebrates</x:v>
      </x:c>
      <x:c r="H154" s="24" t="str">
        <x:v>Molluscs</x:v>
      </x:c>
      <x:c r="I154" s="31" t="n">
        <x:v>0.023243114</x:v>
      </x:c>
      <x:c r="J154" s="31" t="n">
        <x:v>0.023243114</x:v>
      </x:c>
      <x:c r="K154" s="31" t="n">
        <x:v>0</x:v>
      </x:c>
      <x:c r="L154" s="31" t="n">
        <x:v>0.023243114</x:v>
      </x:c>
      <x:c r="M154" s="31" t="n">
        <x:v>0</x:v>
      </x:c>
      <x:c r="N154" s="24" t="str">
        <x:v>acanthocardia tuberculata</x:v>
      </x:c>
      <x:c r="O154" s="32" t="n">
        <x:v>2.5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Acanthocardia tuberculata</x:v>
      </x:c>
      <x:c r="T154" s="32" t="n">
        <x:f>IF(O154="","",(1/'Metadata'!$B$5)^(O154-1))</x:f>
        <x:v>31.622776601683793</x:v>
      </x:c>
      <x:c r="U154" s="31" t="n">
        <x:f>IF(T154="","",I154*T154)</x:f>
        <x:v>0.735011801549469</x:v>
      </x:c>
    </x:row>
    <x:row r="155" ht="18" customHeight="1">
      <x:c r="A155" s="24" t="str">
        <x:v>EEZ_528</x:v>
      </x:c>
      <x:c r="B155" s="24" t="str">
        <x:v>Netherlands</x:v>
      </x:c>
      <x:c r="C155" s="24" t="str">
        <x:v>EEZ</x:v>
      </x:c>
      <x:c r="D155" s="30" t="n">
        <x:v>2019</x:v>
      </x:c>
      <x:c r="E155" s="24" t="str">
        <x:v>Alopias vulpinus</x:v>
      </x:c>
      <x:c r="F155" s="24" t="str">
        <x:v>Thresher</x:v>
      </x:c>
      <x:c r="G155" s="24" t="str">
        <x:v>Large sharks (&gt;=90 cm)</x:v>
      </x:c>
      <x:c r="H155" s="24" t="str">
        <x:v>Sharks &amp; rays</x:v>
      </x:c>
      <x:c r="I155" s="31" t="n">
        <x:v>0.0231634068</x:v>
      </x:c>
      <x:c r="J155" s="31" t="n">
        <x:v>0.0231634068</x:v>
      </x:c>
      <x:c r="K155" s="31" t="n">
        <x:v>0</x:v>
      </x:c>
      <x:c r="L155" s="31" t="n">
        <x:v>0.0231634068</x:v>
      </x:c>
      <x:c r="M155" s="31" t="n">
        <x:v>0</x:v>
      </x:c>
      <x:c r="N155" s="24" t="str">
        <x:v>alopias vulpinus</x:v>
      </x:c>
      <x:c r="O155" s="32" t="n">
        <x:v>4.5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Alopias vulpinus</x:v>
      </x:c>
      <x:c r="T155" s="32" t="n">
        <x:f>IF(O155="","",(1/'Metadata'!$B$5)^(O155-1))</x:f>
        <x:v>3162.2776601683795</x:v>
      </x:c>
      <x:c r="U155" s="31" t="n">
        <x:f>IF(T155="","",I155*T155)</x:f>
        <x:v>73.24912385703233</x:v>
      </x:c>
    </x:row>
    <x:row r="156" ht="18" customHeight="1">
      <x:c r="A156" s="24" t="str">
        <x:v>EEZ_528</x:v>
      </x:c>
      <x:c r="B156" s="24" t="str">
        <x:v>Netherlands</x:v>
      </x:c>
      <x:c r="C156" s="24" t="str">
        <x:v>EEZ</x:v>
      </x:c>
      <x:c r="D156" s="30" t="n">
        <x:v>2019</x:v>
      </x:c>
      <x:c r="E156" s="24" t="str">
        <x:v>Sparus aurata</x:v>
      </x:c>
      <x:c r="F156" s="24" t="str">
        <x:v>Gilthead seabream</x:v>
      </x:c>
      <x:c r="G156" s="24" t="str">
        <x:v>Medium demersals (30 - 89 cm)</x:v>
      </x:c>
      <x:c r="H156" s="24" t="str">
        <x:v>Perch-likes</x:v>
      </x:c>
      <x:c r="I156" s="31" t="n">
        <x:v>0.0226304068</x:v>
      </x:c>
      <x:c r="J156" s="31" t="n">
        <x:v>0.0226304068</x:v>
      </x:c>
      <x:c r="K156" s="31" t="n">
        <x:v>0</x:v>
      </x:c>
      <x:c r="L156" s="31" t="n">
        <x:v>0.0226304068</x:v>
      </x:c>
      <x:c r="M156" s="31" t="n">
        <x:v>0</x:v>
      </x:c>
      <x:c r="N156" s="24" t="str">
        <x:v>sparus aurata</x:v>
      </x:c>
      <x:c r="O156" s="32" t="n">
        <x:v>3.7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Sparus aurata</x:v>
      </x:c>
      <x:c r="T156" s="32" t="n">
        <x:f>IF(O156="","",(1/'Metadata'!$B$5)^(O156-1))</x:f>
        <x:v>501.18723362727246</x:v>
      </x:c>
      <x:c r="U156" s="31" t="n">
        <x:f>IF(T156="","",I156*T156)</x:f>
        <x:v>11.342070979951815</x:v>
      </x:c>
    </x:row>
    <x:row r="157" ht="18" customHeight="1">
      <x:c r="A157" s="24" t="str">
        <x:v>EEZ_528</x:v>
      </x:c>
      <x:c r="B157" s="24" t="str">
        <x:v>Netherlands</x:v>
      </x:c>
      <x:c r="C157" s="24" t="str">
        <x:v>EEZ</x:v>
      </x:c>
      <x:c r="D157" s="30" t="n">
        <x:v>2019</x:v>
      </x:c>
      <x:c r="E157" s="24" t="str">
        <x:v>Sparidae</x:v>
      </x:c>
      <x:c r="F157" s="24" t="str">
        <x:v>Porgies, seabreams</x:v>
      </x:c>
      <x:c r="G157" s="24" t="str">
        <x:v>Medium benthopelagics (30 - 89 cm)</x:v>
      </x:c>
      <x:c r="H157" s="24" t="str">
        <x:v>Perch-likes</x:v>
      </x:c>
      <x:c r="I157" s="31" t="n">
        <x:v>0.0186726492</x:v>
      </x:c>
      <x:c r="J157" s="31" t="n">
        <x:v>0.0186726492</x:v>
      </x:c>
      <x:c r="K157" s="31" t="n">
        <x:v>0</x:v>
      </x:c>
      <x:c r="L157" s="31" t="n">
        <x:v>0.0186726492</x:v>
      </x:c>
      <x:c r="M157" s="31" t="n">
        <x:v>0</x:v>
      </x:c>
      <x:c r="N157" s="24" t="str">
        <x:v>sparidae</x:v>
      </x:c>
      <x:c r="O157" s="32" t="n">
        <x:v>3.31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Sparidae</x:v>
      </x:c>
      <x:c r="T157" s="32" t="n">
        <x:f>IF(O157="","",(1/'Metadata'!$B$5)^(O157-1))</x:f>
        <x:v>204.17379446695296</x:v>
      </x:c>
      <x:c r="U157" s="31" t="n">
        <x:f>IF(T157="","",I157*T157)</x:f>
        <x:v>3.812465639914313</x:v>
      </x:c>
    </x:row>
    <x:row r="158" ht="18" customHeight="1">
      <x:c r="A158" s="24" t="str">
        <x:v>EEZ_528</x:v>
      </x:c>
      <x:c r="B158" s="24" t="str">
        <x:v>Netherlands</x:v>
      </x:c>
      <x:c r="C158" s="24" t="str">
        <x:v>EEZ</x:v>
      </x:c>
      <x:c r="D158" s="30" t="n">
        <x:v>2019</x:v>
      </x:c>
      <x:c r="E158" s="24" t="str">
        <x:v>Alosa fallax</x:v>
      </x:c>
      <x:c r="F158" s="24" t="str">
        <x:v>Twaite shad</x:v>
      </x:c>
      <x:c r="G158" s="24" t="str">
        <x:v>Medium pelagics (30 - 89 cm)</x:v>
      </x:c>
      <x:c r="H158" s="24" t="str">
        <x:v>Herring-likes</x:v>
      </x:c>
      <x:c r="I158" s="31" t="n">
        <x:v>0.018414799000000003</x:v>
      </x:c>
      <x:c r="J158" s="31" t="n">
        <x:v>0.018414799000000003</x:v>
      </x:c>
      <x:c r="K158" s="31" t="n">
        <x:v>0</x:v>
      </x:c>
      <x:c r="L158" s="31" t="n">
        <x:v>0.018414799000000003</x:v>
      </x:c>
      <x:c r="M158" s="31" t="n">
        <x:v>0</x:v>
      </x:c>
      <x:c r="N158" s="24" t="str">
        <x:v>alosa fallax</x:v>
      </x:c>
      <x:c r="O158" s="32" t="n">
        <x:v>4.03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Alosa fallax</x:v>
      </x:c>
      <x:c r="T158" s="32" t="n">
        <x:f>IF(O158="","",(1/'Metadata'!$B$5)^(O158-1))</x:f>
        <x:v>1071.519305237607</x:v>
      </x:c>
      <x:c r="U158" s="31" t="n">
        <x:f>IF(T158="","",I158*T158)</x:f>
        <x:v>19.731812630570186</x:v>
      </x:c>
    </x:row>
    <x:row r="159" ht="18" customHeight="1">
      <x:c r="A159" s="24" t="str">
        <x:v>EEZ_528</x:v>
      </x:c>
      <x:c r="B159" s="24" t="str">
        <x:v>Netherlands</x:v>
      </x:c>
      <x:c r="C159" s="24" t="str">
        <x:v>EEZ</x:v>
      </x:c>
      <x:c r="D159" s="30" t="n">
        <x:v>2019</x:v>
      </x:c>
      <x:c r="E159" s="24" t="str">
        <x:v>Ctenolabrus rupestris</x:v>
      </x:c>
      <x:c r="F159" s="24" t="str">
        <x:v>Goldsinny-wrasse</x:v>
      </x:c>
      <x:c r="G159" s="24" t="str">
        <x:v>Small reef assoc. fish (&lt;30 cm)</x:v>
      </x:c>
      <x:c r="H159" s="24" t="str">
        <x:v>Perch-likes</x:v>
      </x:c>
      <x:c r="I159" s="31" t="n">
        <x:v>0.01297</x:v>
      </x:c>
      <x:c r="J159" s="31" t="n">
        <x:v>0.01297</x:v>
      </x:c>
      <x:c r="K159" s="31" t="n">
        <x:v>0</x:v>
      </x:c>
      <x:c r="L159" s="31" t="n">
        <x:v>0.01297</x:v>
      </x:c>
      <x:c r="M159" s="31" t="n">
        <x:v>0</x:v>
      </x:c>
      <x:c r="N159" s="24" t="str">
        <x:v>ctenolabrus rupestris</x:v>
      </x:c>
      <x:c r="O159" s="32" t="n">
        <x:v>3.58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Ctenolabrus rupestris</x:v>
      </x:c>
      <x:c r="T159" s="32" t="n">
        <x:f>IF(O159="","",(1/'Metadata'!$B$5)^(O159-1))</x:f>
        <x:v>380.1893963205613</x:v>
      </x:c>
      <x:c r="U159" s="31" t="n">
        <x:f>IF(T159="","",I159*T159)</x:f>
        <x:v>4.93105647027768</x:v>
      </x:c>
    </x:row>
    <x:row r="160" ht="18" customHeight="1">
      <x:c r="A160" s="24" t="str">
        <x:v>EEZ_528</x:v>
      </x:c>
      <x:c r="B160" s="24" t="str">
        <x:v>Netherlands</x:v>
      </x:c>
      <x:c r="C160" s="24" t="str">
        <x:v>EEZ</x:v>
      </x:c>
      <x:c r="D160" s="30" t="n">
        <x:v>2019</x:v>
      </x:c>
      <x:c r="E160" s="24" t="str">
        <x:v>Palinuridae</x:v>
      </x:c>
      <x:c r="F160" s="24" t="str">
        <x:v>Spiny lobsters</x:v>
      </x:c>
      <x:c r="G160" s="24" t="str">
        <x:v>Lobsters, crabs</x:v>
      </x:c>
      <x:c r="H160" s="24" t="str">
        <x:v>Crustaceans</x:v>
      </x:c>
      <x:c r="I160" s="31" t="n">
        <x:v>0.011910839199999999</x:v>
      </x:c>
      <x:c r="J160" s="31" t="n">
        <x:v>0.011910839199999999</x:v>
      </x:c>
      <x:c r="K160" s="31" t="n">
        <x:v>0</x:v>
      </x:c>
      <x:c r="L160" s="31" t="n">
        <x:v>0.011910839199999999</x:v>
      </x:c>
      <x:c r="M160" s="31" t="n">
        <x:v>0</x:v>
      </x:c>
      <x:c r="N160" s="24" t="str">
        <x:v>palinuridae</x:v>
      </x:c>
      <x:c r="O160" s="32" t="n">
        <x:v>3.14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Palinuridae</x:v>
      </x:c>
      <x:c r="T160" s="32" t="n">
        <x:f>IF(O160="","",(1/'Metadata'!$B$5)^(O160-1))</x:f>
        <x:v>138.03842646028852</x:v>
      </x:c>
      <x:c r="U160" s="31" t="n">
        <x:f>IF(T160="","",I160*T160)</x:f>
        <x:v>1.6441535009895216</x:v>
      </x:c>
    </x:row>
    <x:row r="161" ht="18" customHeight="1">
      <x:c r="A161" s="24" t="str">
        <x:v>EEZ_528</x:v>
      </x:c>
      <x:c r="B161" s="24" t="str">
        <x:v>Netherlands</x:v>
      </x:c>
      <x:c r="C161" s="24" t="str">
        <x:v>EEZ</x:v>
      </x:c>
      <x:c r="D161" s="30" t="n">
        <x:v>2019</x:v>
      </x:c>
      <x:c r="E161" s="24" t="str">
        <x:v>Mercenaria mercenaria</x:v>
      </x:c>
      <x:c r="F161" s="24" t="str">
        <x:v>Northern quahog</x:v>
      </x:c>
      <x:c r="G161" s="24" t="str">
        <x:v>Other demersal invertebrates</x:v>
      </x:c>
      <x:c r="H161" s="24" t="str">
        <x:v>Molluscs</x:v>
      </x:c>
      <x:c r="I161" s="31" t="n">
        <x:v>0.0105934635</x:v>
      </x:c>
      <x:c r="J161" s="31" t="n">
        <x:v>0.0105934635</x:v>
      </x:c>
      <x:c r="K161" s="31" t="n">
        <x:v>0</x:v>
      </x:c>
      <x:c r="L161" s="31" t="n">
        <x:v>0.0105934635</x:v>
      </x:c>
      <x:c r="M161" s="31" t="n">
        <x:v>0</x:v>
      </x:c>
      <x:c r="N161" s="24" t="str">
        <x:v>mercenaria mercenaria</x:v>
      </x:c>
      <x:c r="O161" s="32" t="n">
        <x:v>2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Mercenaria mercenaria</x:v>
      </x:c>
      <x:c r="T161" s="32" t="n">
        <x:f>IF(O161="","",(1/'Metadata'!$B$5)^(O161-1))</x:f>
        <x:v>10</x:v>
      </x:c>
      <x:c r="U161" s="31" t="n">
        <x:f>IF(T161="","",I161*T161)</x:f>
        <x:v>0.105934635</x:v>
      </x:c>
    </x:row>
    <x:row r="162" ht="18" customHeight="1">
      <x:c r="A162" s="24" t="str">
        <x:v>EEZ_528</x:v>
      </x:c>
      <x:c r="B162" s="24" t="str">
        <x:v>Netherlands</x:v>
      </x:c>
      <x:c r="C162" s="24" t="str">
        <x:v>EEZ</x:v>
      </x:c>
      <x:c r="D162" s="30" t="n">
        <x:v>2019</x:v>
      </x:c>
      <x:c r="E162" s="24" t="str">
        <x:v>Gobiidae</x:v>
      </x:c>
      <x:c r="F162" s="24" t="str">
        <x:v>Gobies</x:v>
      </x:c>
      <x:c r="G162" s="24" t="str">
        <x:v>Small reef assoc. fish (&lt;30 cm)</x:v>
      </x:c>
      <x:c r="H162" s="24" t="str">
        <x:v>Perch-likes</x:v>
      </x:c>
      <x:c r="I162" s="31" t="n">
        <x:v>0.0105456163</x:v>
      </x:c>
      <x:c r="J162" s="31" t="n">
        <x:v>0</x:v>
      </x:c>
      <x:c r="K162" s="31" t="n">
        <x:v>0.0105456163</x:v>
      </x:c>
      <x:c r="L162" s="31" t="n">
        <x:v>0</x:v>
      </x:c>
      <x:c r="M162" s="31" t="n">
        <x:v>0.0105456163</x:v>
      </x:c>
      <x:c r="N162" s="24" t="str">
        <x:v>gobiidae</x:v>
      </x:c>
      <x:c r="O162" s="32" t="n">
        <x:v>3.11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Gobiidae</x:v>
      </x:c>
      <x:c r="T162" s="32" t="n">
        <x:f>IF(O162="","",(1/'Metadata'!$B$5)^(O162-1))</x:f>
        <x:v>128.82495516931337</x:v>
      </x:c>
      <x:c r="U162" s="31" t="n">
        <x:f>IF(T162="","",I162*T162)</x:f>
        <x:v>1.3585385470802802</x:v>
      </x:c>
    </x:row>
    <x:row r="163" ht="18" customHeight="1">
      <x:c r="A163" s="24" t="str">
        <x:v>EEZ_528</x:v>
      </x:c>
      <x:c r="B163" s="24" t="str">
        <x:v>Netherlands</x:v>
      </x:c>
      <x:c r="C163" s="24" t="str">
        <x:v>EEZ</x:v>
      </x:c>
      <x:c r="D163" s="30" t="n">
        <x:v>2019</x:v>
      </x:c>
      <x:c r="E163" s="24" t="str">
        <x:v>Trachinidae</x:v>
      </x:c>
      <x:c r="F163" s="24" t="str">
        <x:v>Weeverfishes</x:v>
      </x:c>
      <x:c r="G163" s="24" t="str">
        <x:v>Medium demersals (30 - 89 cm)</x:v>
      </x:c>
      <x:c r="H163" s="24" t="str">
        <x:v>Perch-likes</x:v>
      </x:c>
      <x:c r="I163" s="31" t="n">
        <x:v>0.0094300742</x:v>
      </x:c>
      <x:c r="J163" s="31" t="n">
        <x:v>0.0094300742</x:v>
      </x:c>
      <x:c r="K163" s="31" t="n">
        <x:v>0</x:v>
      </x:c>
      <x:c r="L163" s="31" t="n">
        <x:v>0.0094300742</x:v>
      </x:c>
      <x:c r="M163" s="31" t="n">
        <x:v>0</x:v>
      </x:c>
      <x:c r="N163" s="24" t="str">
        <x:v>trachinidae</x:v>
      </x:c>
      <x:c r="O163" s="32" t="n">
        <x:v>3.95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Trachinidae</x:v>
      </x:c>
      <x:c r="T163" s="32" t="n">
        <x:f>IF(O163="","",(1/'Metadata'!$B$5)^(O163-1))</x:f>
        <x:v>891.2509381337459</x:v>
      </x:c>
      <x:c r="U163" s="31" t="n">
        <x:f>IF(T163="","",I163*T163)</x:f>
        <x:v>8.404562477420832</x:v>
      </x:c>
    </x:row>
    <x:row r="164" ht="18" customHeight="1">
      <x:c r="A164" s="24" t="str">
        <x:v>EEZ_528</x:v>
      </x:c>
      <x:c r="B164" s="24" t="str">
        <x:v>Netherlands</x:v>
      </x:c>
      <x:c r="C164" s="24" t="str">
        <x:v>EEZ</x:v>
      </x:c>
      <x:c r="D164" s="30" t="n">
        <x:v>2019</x:v>
      </x:c>
      <x:c r="E164" s="24" t="str">
        <x:v>Solen</x:v>
      </x:c>
      <x:c r="F164" s="24" t="str">
        <x:v>Razor clams</x:v>
      </x:c>
      <x:c r="G164" s="24" t="str">
        <x:v>Other demersal invertebrates</x:v>
      </x:c>
      <x:c r="H164" s="24" t="str">
        <x:v>Molluscs</x:v>
      </x:c>
      <x:c r="I164" s="31" t="n">
        <x:v>0.0070644536</x:v>
      </x:c>
      <x:c r="J164" s="31" t="n">
        <x:v>0.0070644536</x:v>
      </x:c>
      <x:c r="K164" s="31" t="n">
        <x:v>0</x:v>
      </x:c>
      <x:c r="L164" s="31" t="n">
        <x:v>0.0070644536</x:v>
      </x:c>
      <x:c r="M164" s="31" t="n">
        <x:v>0</x:v>
      </x:c>
      <x:c r="N164" s="24" t="str">
        <x:v>solen</x:v>
      </x:c>
      <x:c r="O164" s="32" t="n">
        <x:v>2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Solen</x:v>
      </x:c>
      <x:c r="T164" s="32" t="n">
        <x:f>IF(O164="","",(1/'Metadata'!$B$5)^(O164-1))</x:f>
        <x:v>10</x:v>
      </x:c>
      <x:c r="U164" s="31" t="n">
        <x:f>IF(T164="","",I164*T164)</x:f>
        <x:v>0.07064453600000001</x:v>
      </x:c>
    </x:row>
    <x:row r="165" ht="18" customHeight="1">
      <x:c r="A165" s="24" t="str">
        <x:v>EEZ_528</x:v>
      </x:c>
      <x:c r="B165" s="24" t="str">
        <x:v>Netherlands</x:v>
      </x:c>
      <x:c r="C165" s="24" t="str">
        <x:v>EEZ</x:v>
      </x:c>
      <x:c r="D165" s="30" t="n">
        <x:v>2019</x:v>
      </x:c>
      <x:c r="E165" s="24" t="str">
        <x:v>Mugil</x:v>
      </x:c>
      <x:c r="F165" s="24" t="str">
        <x:v>Grey mullets</x:v>
      </x:c>
      <x:c r="G165" s="24" t="str">
        <x:v>Medium demersals (30 - 89 cm)</x:v>
      </x:c>
      <x:c r="H165" s="24" t="str">
        <x:v>Perch-likes</x:v>
      </x:c>
      <x:c r="I165" s="31" t="n">
        <x:v>0.0069351914</x:v>
      </x:c>
      <x:c r="J165" s="31" t="n">
        <x:v>0.0069351914</x:v>
      </x:c>
      <x:c r="K165" s="31" t="n">
        <x:v>0</x:v>
      </x:c>
      <x:c r="L165" s="31" t="n">
        <x:v>0.0069351914</x:v>
      </x:c>
      <x:c r="M165" s="31" t="n">
        <x:v>0</x:v>
      </x:c>
      <x:c r="N165" s="24" t="str">
        <x:v>mugil</x:v>
      </x:c>
      <x:c r="O165" s="32" t="n">
        <x:v>2.26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Mugil</x:v>
      </x:c>
      <x:c r="T165" s="32" t="n">
        <x:f>IF(O165="","",(1/'Metadata'!$B$5)^(O165-1))</x:f>
        <x:v>18.197008586099827</x:v>
      </x:c>
      <x:c r="U165" s="31" t="n">
        <x:f>IF(T165="","",I165*T165)</x:f>
        <x:v>0.12619973745204568</x:v>
      </x:c>
    </x:row>
    <x:row r="166" ht="18" customHeight="1">
      <x:c r="A166" s="24" t="str">
        <x:v>EEZ_528</x:v>
      </x:c>
      <x:c r="B166" s="24" t="str">
        <x:v>Netherlands</x:v>
      </x:c>
      <x:c r="C166" s="24" t="str">
        <x:v>EEZ</x:v>
      </x:c>
      <x:c r="D166" s="30" t="n">
        <x:v>2019</x:v>
      </x:c>
      <x:c r="E166" s="24" t="str">
        <x:v>Palinurus</x:v>
      </x:c>
      <x:c r="F166" s="24" t="str">
        <x:v>Spiny lobsters</x:v>
      </x:c>
      <x:c r="G166" s="24" t="str">
        <x:v>Lobsters, crabs</x:v>
      </x:c>
      <x:c r="H166" s="24" t="str">
        <x:v>Crustaceans</x:v>
      </x:c>
      <x:c r="I166" s="31" t="n">
        <x:v>0.0065110146</x:v>
      </x:c>
      <x:c r="J166" s="31" t="n">
        <x:v>0.0065110146</x:v>
      </x:c>
      <x:c r="K166" s="31" t="n">
        <x:v>0</x:v>
      </x:c>
      <x:c r="L166" s="31" t="n">
        <x:v>0.0065110146</x:v>
      </x:c>
      <x:c r="M166" s="31" t="n">
        <x:v>0</x:v>
      </x:c>
      <x:c r="N166" s="24" t="str">
        <x:v>palinurus</x:v>
      </x:c>
      <x:c r="O166" s="32" t="n">
        <x:v>2.7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Palinurus</x:v>
      </x:c>
      <x:c r="T166" s="32" t="n">
        <x:f>IF(O166="","",(1/'Metadata'!$B$5)^(O166-1))</x:f>
        <x:v>50.11872336272725</x:v>
      </x:c>
      <x:c r="U166" s="31" t="n">
        <x:f>IF(T166="","",I166*T166)</x:f>
        <x:v>0.32632373954807825</x:v>
      </x:c>
    </x:row>
    <x:row r="167" ht="18" customHeight="1">
      <x:c r="A167" s="24" t="str">
        <x:v>EEZ_528</x:v>
      </x:c>
      <x:c r="B167" s="24" t="str">
        <x:v>Netherlands</x:v>
      </x:c>
      <x:c r="C167" s="24" t="str">
        <x:v>EEZ</x:v>
      </x:c>
      <x:c r="D167" s="30" t="n">
        <x:v>2019</x:v>
      </x:c>
      <x:c r="E167" s="24" t="str">
        <x:v>Pleuronectiformes</x:v>
      </x:c>
      <x:c r="F167" s="24" t="str">
        <x:v>Flatfishes</x:v>
      </x:c>
      <x:c r="G167" s="24" t="str">
        <x:v>Small to medium flatfishes (&lt;90 cm)</x:v>
      </x:c>
      <x:c r="H167" s="24" t="str">
        <x:v>Flatfishes</x:v>
      </x:c>
      <x:c r="I167" s="31" t="n">
        <x:v>0.005422275</x:v>
      </x:c>
      <x:c r="J167" s="31" t="n">
        <x:v>0.005422275</x:v>
      </x:c>
      <x:c r="K167" s="31" t="n">
        <x:v>0</x:v>
      </x:c>
      <x:c r="L167" s="31" t="n">
        <x:v>0.005422275</x:v>
      </x:c>
      <x:c r="M167" s="31" t="n">
        <x:v>0</x:v>
      </x:c>
      <x:c r="N167" s="24" t="str">
        <x:v>pleuronectiformes</x:v>
      </x:c>
      <x:c r="O167" s="32" t="n">
        <x:v>3.57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Pleuronectiformes</x:v>
      </x:c>
      <x:c r="T167" s="32" t="n">
        <x:f>IF(O167="","",(1/'Metadata'!$B$5)^(O167-1))</x:f>
        <x:v>371.5352290971724</x:v>
      </x:c>
      <x:c r="U167" s="31" t="n">
        <x:f>IF(T167="","",I167*T167)</x:f>
        <x:v>2.0145661843528706</x:v>
      </x:c>
    </x:row>
    <x:row r="168" ht="18" customHeight="1">
      <x:c r="A168" s="24" t="str">
        <x:v>EEZ_528</x:v>
      </x:c>
      <x:c r="B168" s="24" t="str">
        <x:v>Netherlands</x:v>
      </x:c>
      <x:c r="C168" s="24" t="str">
        <x:v>EEZ</x:v>
      </x:c>
      <x:c r="D168" s="30" t="n">
        <x:v>2019</x:v>
      </x:c>
      <x:c r="E168" s="24" t="str">
        <x:v>Callista chione</x:v>
      </x:c>
      <x:c r="F168" s="24" t="str">
        <x:v>Smooth callista</x:v>
      </x:c>
      <x:c r="G168" s="24" t="str">
        <x:v>Other demersal invertebrates</x:v>
      </x:c>
      <x:c r="H168" s="24" t="str">
        <x:v>Molluscs</x:v>
      </x:c>
      <x:c r="I168" s="31" t="n">
        <x:v>0.005150498</x:v>
      </x:c>
      <x:c r="J168" s="31" t="n">
        <x:v>0.005150498</x:v>
      </x:c>
      <x:c r="K168" s="31" t="n">
        <x:v>0</x:v>
      </x:c>
      <x:c r="L168" s="31" t="n">
        <x:v>0.005150498</x:v>
      </x:c>
      <x:c r="M168" s="31" t="n">
        <x:v>0</x:v>
      </x:c>
      <x:c r="N168" s="24" t="str">
        <x:v>callista chione</x:v>
      </x:c>
      <x:c r="O168" s="32" t="n">
        <x:v>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Callista chione</x:v>
      </x:c>
      <x:c r="T168" s="32" t="n">
        <x:f>IF(O168="","",(1/'Metadata'!$B$5)^(O168-1))</x:f>
        <x:v>10</x:v>
      </x:c>
      <x:c r="U168" s="31" t="n">
        <x:f>IF(T168="","",I168*T168)</x:f>
        <x:v>0.05150498</x:v>
      </x:c>
    </x:row>
    <x:row r="169" ht="18" customHeight="1">
      <x:c r="A169" s="24" t="str">
        <x:v>EEZ_528</x:v>
      </x:c>
      <x:c r="B169" s="24" t="str">
        <x:v>Netherlands</x:v>
      </x:c>
      <x:c r="C169" s="24" t="str">
        <x:v>EEZ</x:v>
      </x:c>
      <x:c r="D169" s="30" t="n">
        <x:v>2019</x:v>
      </x:c>
      <x:c r="E169" s="24" t="str">
        <x:v>Ammodytes tobianus</x:v>
      </x:c>
      <x:c r="F169" s="24" t="str">
        <x:v>Small sandeel</x:v>
      </x:c>
      <x:c r="G169" s="24" t="str">
        <x:v>Small demersals (&lt;30 cm)</x:v>
      </x:c>
      <x:c r="H169" s="24" t="str">
        <x:v>Perch-likes</x:v>
      </x:c>
      <x:c r="I169" s="31" t="n">
        <x:v>0.005033617</x:v>
      </x:c>
      <x:c r="J169" s="31" t="n">
        <x:v>0.005033617</x:v>
      </x:c>
      <x:c r="K169" s="31" t="n">
        <x:v>0</x:v>
      </x:c>
      <x:c r="L169" s="31" t="n">
        <x:v>0.005033617</x:v>
      </x:c>
      <x:c r="M169" s="31" t="n">
        <x:v>0</x:v>
      </x:c>
      <x:c r="N169" s="24" t="str">
        <x:v>ammodytes tobianus</x:v>
      </x:c>
      <x:c r="O169" s="32" t="n">
        <x:v>3.08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Ammodytes tobianus</x:v>
      </x:c>
      <x:c r="T169" s="32" t="n">
        <x:f>IF(O169="","",(1/'Metadata'!$B$5)^(O169-1))</x:f>
        <x:v>120.22644346174131</x:v>
      </x:c>
      <x:c r="U169" s="31" t="n">
        <x:f>IF(T169="","",I169*T169)</x:f>
        <x:v>0.6051738696585599</x:v>
      </x:c>
    </x:row>
    <x:row r="170" ht="18" customHeight="1">
      <x:c r="A170" s="24" t="str">
        <x:v>EEZ_528</x:v>
      </x:c>
      <x:c r="B170" s="24" t="str">
        <x:v>Netherlands</x:v>
      </x:c>
      <x:c r="C170" s="24" t="str">
        <x:v>EEZ</x:v>
      </x:c>
      <x:c r="D170" s="30" t="n">
        <x:v>2019</x:v>
      </x:c>
      <x:c r="E170" s="24" t="str">
        <x:v>Chelidonichthys lastoviza</x:v>
      </x:c>
      <x:c r="F170" s="24" t="str">
        <x:v>Streaked gurnard</x:v>
      </x:c>
      <x:c r="G170" s="24" t="str">
        <x:v>Medium demersals (30 - 89 cm)</x:v>
      </x:c>
      <x:c r="H170" s="24" t="str">
        <x:v>Scorpionfishes</x:v>
      </x:c>
      <x:c r="I170" s="31" t="n">
        <x:v>0.0040893136</x:v>
      </x:c>
      <x:c r="J170" s="31" t="n">
        <x:v>0.0040893136</x:v>
      </x:c>
      <x:c r="K170" s="31" t="n">
        <x:v>0</x:v>
      </x:c>
      <x:c r="L170" s="31" t="n">
        <x:v>0.0040893136</x:v>
      </x:c>
      <x:c r="M170" s="31" t="n">
        <x:v>0</x:v>
      </x:c>
      <x:c r="N170" s="24" t="str">
        <x:v>chelidonichthys lastoviza</x:v>
      </x:c>
      <x:c r="O170" s="32" t="n">
        <x:v>3.49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Chelidonichthys lastoviza</x:v>
      </x:c>
      <x:c r="T170" s="32" t="n">
        <x:f>IF(O170="","",(1/'Metadata'!$B$5)^(O170-1))</x:f>
        <x:v>309.0295432513592</x:v>
      </x:c>
      <x:c r="U170" s="31" t="n">
        <x:f>IF(T170="","",I170*T170)</x:f>
        <x:v>1.2637187140195714</x:v>
      </x:c>
    </x:row>
    <x:row r="171" ht="18" customHeight="1">
      <x:c r="A171" s="24" t="str">
        <x:v>EEZ_528</x:v>
      </x:c>
      <x:c r="B171" s="24" t="str">
        <x:v>Netherlands</x:v>
      </x:c>
      <x:c r="C171" s="24" t="str">
        <x:v>EEZ</x:v>
      </x:c>
      <x:c r="D171" s="30" t="n">
        <x:v>2019</x:v>
      </x:c>
      <x:c r="E171" s="24" t="str">
        <x:v>Alosa</x:v>
      </x:c>
      <x:c r="F171" s="24" t="str">
        <x:v>Shads</x:v>
      </x:c>
      <x:c r="G171" s="24" t="str">
        <x:v>Medium pelagics (30 - 89 cm)</x:v>
      </x:c>
      <x:c r="H171" s="24" t="str">
        <x:v>Herring-likes</x:v>
      </x:c>
      <x:c r="I171" s="31" t="n">
        <x:v>0.0039393336999999995</x:v>
      </x:c>
      <x:c r="J171" s="31" t="n">
        <x:v>0.0039393336999999995</x:v>
      </x:c>
      <x:c r="K171" s="31" t="n">
        <x:v>0</x:v>
      </x:c>
      <x:c r="L171" s="31" t="n">
        <x:v>0.0039393336999999995</x:v>
      </x:c>
      <x:c r="M171" s="31" t="n">
        <x:v>0</x:v>
      </x:c>
      <x:c r="N171" s="24" t="str">
        <x:v>alosa</x:v>
      </x:c>
      <x:c r="O171" s="32" t="n">
        <x:v>3.89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Alosa</x:v>
      </x:c>
      <x:c r="T171" s="32" t="n">
        <x:f>IF(O171="","",(1/'Metadata'!$B$5)^(O171-1))</x:f>
        <x:v>776.247116628692</x:v>
      </x:c>
      <x:c r="U171" s="31" t="n">
        <x:f>IF(T171="","",I171*T171)</x:f>
        <x:v>3.057896426063236</x:v>
      </x:c>
    </x:row>
    <x:row r="172" ht="18" customHeight="1">
      <x:c r="A172" s="24" t="str">
        <x:v>EEZ_528</x:v>
      </x:c>
      <x:c r="B172" s="24" t="str">
        <x:v>Netherlands</x:v>
      </x:c>
      <x:c r="C172" s="24" t="str">
        <x:v>EEZ</x:v>
      </x:c>
      <x:c r="D172" s="30" t="n">
        <x:v>2019</x:v>
      </x:c>
      <x:c r="E172" s="24" t="str">
        <x:v>Galeorhinus galeus</x:v>
      </x:c>
      <x:c r="F172" s="24" t="str">
        <x:v>Tope shark</x:v>
      </x:c>
      <x:c r="G172" s="24" t="str">
        <x:v>Large sharks (&gt;=90 cm)</x:v>
      </x:c>
      <x:c r="H172" s="24" t="str">
        <x:v>Sharks &amp; rays</x:v>
      </x:c>
      <x:c r="I172" s="31" t="n">
        <x:v>0.0036173138</x:v>
      </x:c>
      <x:c r="J172" s="31" t="n">
        <x:v>0.0036173138</x:v>
      </x:c>
      <x:c r="K172" s="31" t="n">
        <x:v>0</x:v>
      </x:c>
      <x:c r="L172" s="31" t="n">
        <x:v>0.0036173138</x:v>
      </x:c>
      <x:c r="M172" s="31" t="n">
        <x:v>0</x:v>
      </x:c>
      <x:c r="N172" s="24" t="str">
        <x:v>galeorhinus galeus</x:v>
      </x:c>
      <x:c r="O172" s="32" t="n">
        <x:v>4.34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Galeorhinus galeus</x:v>
      </x:c>
      <x:c r="T172" s="32" t="n">
        <x:f>IF(O172="","",(1/'Metadata'!$B$5)^(O172-1))</x:f>
        <x:v>2187.761623949552</x:v>
      </x:c>
      <x:c r="U172" s="31" t="n">
        <x:f>IF(T172="","",I172*T172)</x:f>
        <x:v>7.913820313423124</x:v>
      </x:c>
    </x:row>
    <x:row r="173" ht="18" customHeight="1">
      <x:c r="A173" s="24" t="str">
        <x:v>EEZ_528</x:v>
      </x:c>
      <x:c r="B173" s="24" t="str">
        <x:v>Netherlands</x:v>
      </x:c>
      <x:c r="C173" s="24" t="str">
        <x:v>EEZ</x:v>
      </x:c>
      <x:c r="D173" s="30" t="n">
        <x:v>2019</x:v>
      </x:c>
      <x:c r="E173" s="24" t="str">
        <x:v>Cepola macrophthalma</x:v>
      </x:c>
      <x:c r="F173" s="24" t="str">
        <x:v>Red bandfish</x:v>
      </x:c>
      <x:c r="G173" s="24" t="str">
        <x:v>Medium demersals (30 - 89 cm)</x:v>
      </x:c>
      <x:c r="H173" s="24" t="str">
        <x:v>Perch-likes</x:v>
      </x:c>
      <x:c r="I173" s="31" t="n">
        <x:v>0.0035635036</x:v>
      </x:c>
      <x:c r="J173" s="31" t="n">
        <x:v>0</x:v>
      </x:c>
      <x:c r="K173" s="31" t="n">
        <x:v>0.0035635036</x:v>
      </x:c>
      <x:c r="L173" s="31" t="n">
        <x:v>0</x:v>
      </x:c>
      <x:c r="M173" s="31" t="n">
        <x:v>0.0035635036</x:v>
      </x:c>
      <x:c r="N173" s="24" t="str">
        <x:v>cepola macrophthalma</x:v>
      </x:c>
      <x:c r="O173" s="32" t="n">
        <x:v>3.13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Cepola macrophthalma</x:v>
      </x:c>
      <x:c r="T173" s="32" t="n">
        <x:f>IF(O173="","",(1/'Metadata'!$B$5)^(O173-1))</x:f>
        <x:v>134.89628825916532</x:v>
      </x:c>
      <x:c r="U173" s="31" t="n">
        <x:f>IF(T173="","",I173*T173)</x:f>
        <x:v>0.48070340883817336</x:v>
      </x:c>
    </x:row>
    <x:row r="174" ht="18" customHeight="1">
      <x:c r="A174" s="24" t="str">
        <x:v>EEZ_528</x:v>
      </x:c>
      <x:c r="B174" s="24" t="str">
        <x:v>Netherlands</x:v>
      </x:c>
      <x:c r="C174" s="24" t="str">
        <x:v>EEZ</x:v>
      </x:c>
      <x:c r="D174" s="30" t="n">
        <x:v>2019</x:v>
      </x:c>
      <x:c r="E174" s="24" t="str">
        <x:v>Pagellus bogaraveo</x:v>
      </x:c>
      <x:c r="F174" s="24" t="str">
        <x:v>Blackspot seabream</x:v>
      </x:c>
      <x:c r="G174" s="24" t="str">
        <x:v>Medium benthopelagics (30 - 89 cm)</x:v>
      </x:c>
      <x:c r="H174" s="24" t="str">
        <x:v>Perch-likes</x:v>
      </x:c>
      <x:c r="I174" s="31" t="n">
        <x:v>0.0034878400000000003</x:v>
      </x:c>
      <x:c r="J174" s="31" t="n">
        <x:v>0.0034878400000000003</x:v>
      </x:c>
      <x:c r="K174" s="31" t="n">
        <x:v>0</x:v>
      </x:c>
      <x:c r="L174" s="31" t="n">
        <x:v>0.0034878400000000003</x:v>
      </x:c>
      <x:c r="M174" s="31" t="n">
        <x:v>0</x:v>
      </x:c>
      <x:c r="N174" s="24" t="str">
        <x:v>pagellus bogaraveo</x:v>
      </x:c>
      <x:c r="O174" s="32" t="n">
        <x:v>4.21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Pagellus bogaraveo</x:v>
      </x:c>
      <x:c r="T174" s="32" t="n">
        <x:f>IF(O174="","",(1/'Metadata'!$B$5)^(O174-1))</x:f>
        <x:v>1621.8100973589299</x:v>
      </x:c>
      <x:c r="U174" s="31" t="n">
        <x:f>IF(T174="","",I174*T174)</x:f>
        <x:v>5.65661412997237</x:v>
      </x:c>
    </x:row>
    <x:row r="175" ht="18" customHeight="1">
      <x:c r="A175" s="24" t="str">
        <x:v>EEZ_528</x:v>
      </x:c>
      <x:c r="B175" s="24" t="str">
        <x:v>Netherlands</x:v>
      </x:c>
      <x:c r="C175" s="24" t="str">
        <x:v>EEZ</x:v>
      </x:c>
      <x:c r="D175" s="30" t="n">
        <x:v>2019</x:v>
      </x:c>
      <x:c r="E175" s="24" t="str">
        <x:v>Scorpaeniformes</x:v>
      </x:c>
      <x:c r="F175" s="24" t="str">
        <x:v>Scorpionfishes, flatheads</x:v>
      </x:c>
      <x:c r="G175" s="24" t="str">
        <x:v>Medium demersals (30 - 89 cm)</x:v>
      </x:c>
      <x:c r="H175" s="24" t="str">
        <x:v>Scorpionfishes</x:v>
      </x:c>
      <x:c r="I175" s="31" t="n">
        <x:v>0.0033940263999999998</x:v>
      </x:c>
      <x:c r="J175" s="31" t="n">
        <x:v>0</x:v>
      </x:c>
      <x:c r="K175" s="31" t="n">
        <x:v>0.0033940263999999998</x:v>
      </x:c>
      <x:c r="L175" s="31" t="n">
        <x:v>0</x:v>
      </x:c>
      <x:c r="M175" s="31" t="n">
        <x:v>0.0033940263999999998</x:v>
      </x:c>
      <x:c r="N175" s="24" t="str">
        <x:v>scorpaeniformes</x:v>
      </x:c>
      <x:c r="O175" s="32" t="n">
        <x:v>3.78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Scorpaeniformes</x:v>
      </x:c>
      <x:c r="T175" s="32" t="n">
        <x:f>IF(O175="","",(1/'Metadata'!$B$5)^(O175-1))</x:f>
        <x:v>602.5595860743575</x:v>
      </x:c>
      <x:c r="U175" s="31" t="n">
        <x:f>IF(T175="","",I175*T175)</x:f>
        <x:v>2.0451031427094417</x:v>
      </x:c>
    </x:row>
    <x:row r="176" ht="18" customHeight="1">
      <x:c r="A176" s="24" t="str">
        <x:v>EEZ_528</x:v>
      </x:c>
      <x:c r="B176" s="24" t="str">
        <x:v>Netherlands</x:v>
      </x:c>
      <x:c r="C176" s="24" t="str">
        <x:v>EEZ</x:v>
      </x:c>
      <x:c r="D176" s="30" t="n">
        <x:v>2019</x:v>
      </x:c>
      <x:c r="E176" s="24" t="str">
        <x:v>Salmo trutta</x:v>
      </x:c>
      <x:c r="F176" s="24" t="str">
        <x:v>Sea trout</x:v>
      </x:c>
      <x:c r="G176" s="24" t="str">
        <x:v>Large pelagics (&gt;=90 cm)</x:v>
      </x:c>
      <x:c r="H176" s="24" t="str">
        <x:v>Salmon, smelts, etc</x:v>
      </x:c>
      <x:c r="I176" s="31" t="n">
        <x:v>0.0015300824</x:v>
      </x:c>
      <x:c r="J176" s="31" t="n">
        <x:v>0.0015300824</x:v>
      </x:c>
      <x:c r="K176" s="31" t="n">
        <x:v>0</x:v>
      </x:c>
      <x:c r="L176" s="31" t="n">
        <x:v>0.0015300824</x:v>
      </x:c>
      <x:c r="M176" s="31" t="n">
        <x:v>0</x:v>
      </x:c>
      <x:c r="N176" s="24" t="str">
        <x:v>salmo trutta</x:v>
      </x:c>
      <x:c r="O176" s="32" t="n">
        <x:v>3.36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Salmo trutta</x:v>
      </x:c>
      <x:c r="T176" s="32" t="n">
        <x:f>IF(O176="","",(1/'Metadata'!$B$5)^(O176-1))</x:f>
        <x:v>229.08676527677724</x:v>
      </x:c>
      <x:c r="U176" s="31" t="n">
        <x:f>IF(T176="","",I176*T176)</x:f>
        <x:v>0.350521627622928</x:v>
      </x:c>
    </x:row>
    <x:row r="177" ht="18" customHeight="1">
      <x:c r="A177" s="24" t="str">
        <x:v>EEZ_528</x:v>
      </x:c>
      <x:c r="B177" s="24" t="str">
        <x:v>Netherlands</x:v>
      </x:c>
      <x:c r="C177" s="24" t="str">
        <x:v>EEZ</x:v>
      </x:c>
      <x:c r="D177" s="30" t="n">
        <x:v>2019</x:v>
      </x:c>
      <x:c r="E177" s="24" t="str">
        <x:v>Raja microocellata</x:v>
      </x:c>
      <x:c r="F177" s="24" t="str">
        <x:v>Small-eyed ray</x:v>
      </x:c>
      <x:c r="G177" s="24" t="str">
        <x:v>Small to medium rays (&lt;90 cm)</x:v>
      </x:c>
      <x:c r="H177" s="24" t="str">
        <x:v>Sharks &amp; rays</x:v>
      </x:c>
      <x:c r="I177" s="31" t="n">
        <x:v>0.0011662181</x:v>
      </x:c>
      <x:c r="J177" s="31" t="n">
        <x:v>0.0011662181</x:v>
      </x:c>
      <x:c r="K177" s="31" t="n">
        <x:v>0</x:v>
      </x:c>
      <x:c r="L177" s="31" t="n">
        <x:v>0.0011662181</x:v>
      </x:c>
      <x:c r="M177" s="31" t="n">
        <x:v>0</x:v>
      </x:c>
      <x:c r="N177" s="24" t="str">
        <x:v>raja microocellata</x:v>
      </x:c>
      <x:c r="O177" s="32" t="n">
        <x:v>3.94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Raja microocellata</x:v>
      </x:c>
      <x:c r="T177" s="32" t="n">
        <x:f>IF(O177="","",(1/'Metadata'!$B$5)^(O177-1))</x:f>
        <x:v>870.9635899560806</x:v>
      </x:c>
      <x:c r="U177" s="31" t="n">
        <x:f>IF(T177="","",I177*T177)</x:f>
        <x:v>1.0157335030477592</x:v>
      </x:c>
    </x:row>
    <x:row r="178" ht="18" customHeight="1">
      <x:c r="A178" s="24" t="str">
        <x:v>EEZ_528</x:v>
      </x:c>
      <x:c r="B178" s="24" t="str">
        <x:v>Netherlands</x:v>
      </x:c>
      <x:c r="C178" s="24" t="str">
        <x:v>EEZ</x:v>
      </x:c>
      <x:c r="D178" s="30" t="n">
        <x:v>2019</x:v>
      </x:c>
      <x:c r="E178" s="24" t="str">
        <x:v>Argentina</x:v>
      </x:c>
      <x:c r="F178" s="24" t="str">
        <x:v>Argentines</x:v>
      </x:c>
      <x:c r="G178" s="24" t="str">
        <x:v>Medium bathydemersals (30 - 89 cm)</x:v>
      </x:c>
      <x:c r="H178" s="24" t="str">
        <x:v>Salmon, smelts, etc</x:v>
      </x:c>
      <x:c r="I178" s="31" t="n">
        <x:v>0.0009457955</x:v>
      </x:c>
      <x:c r="J178" s="31" t="n">
        <x:v>0</x:v>
      </x:c>
      <x:c r="K178" s="31" t="n">
        <x:v>0.0009457955</x:v>
      </x:c>
      <x:c r="L178" s="31" t="n">
        <x:v>0</x:v>
      </x:c>
      <x:c r="M178" s="31" t="n">
        <x:v>0.0009457955</x:v>
      </x:c>
      <x:c r="N178" s="24" t="str">
        <x:v>argentina</x:v>
      </x:c>
      <x:c r="O178" s="32" t="n">
        <x:v>3.35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Argentina</x:v>
      </x:c>
      <x:c r="T178" s="32" t="n">
        <x:f>IF(O178="","",(1/'Metadata'!$B$5)^(O178-1))</x:f>
        <x:v>223.872113856834</x:v>
      </x:c>
      <x:c r="U178" s="31" t="n">
        <x:f>IF(T178="","",I178*T178)</x:f>
        <x:v>0.21173723786128124</x:v>
      </x:c>
    </x:row>
    <x:row r="179" ht="18" customHeight="1">
      <x:c r="A179" s="24" t="str">
        <x:v>EEZ_528</x:v>
      </x:c>
      <x:c r="B179" s="24" t="str">
        <x:v>Netherlands</x:v>
      </x:c>
      <x:c r="C179" s="24" t="str">
        <x:v>EEZ</x:v>
      </x:c>
      <x:c r="D179" s="30" t="n">
        <x:v>2019</x:v>
      </x:c>
      <x:c r="E179" s="24" t="str">
        <x:v>Mullus barbatus</x:v>
      </x:c>
      <x:c r="F179" s="24" t="str">
        <x:v>Red mullet</x:v>
      </x:c>
      <x:c r="G179" s="24" t="str">
        <x:v>Medium demersals (30 - 89 cm)</x:v>
      </x:c>
      <x:c r="H179" s="24" t="str">
        <x:v>Perch-likes</x:v>
      </x:c>
      <x:c r="I179" s="31" t="n">
        <x:v>0.0007782010000000001</x:v>
      </x:c>
      <x:c r="J179" s="31" t="n">
        <x:v>0.0007782010000000001</x:v>
      </x:c>
      <x:c r="K179" s="31" t="n">
        <x:v>0</x:v>
      </x:c>
      <x:c r="L179" s="31" t="n">
        <x:v>0.0007782010000000001</x:v>
      </x:c>
      <x:c r="M179" s="31" t="n">
        <x:v>0</x:v>
      </x:c>
      <x:c r="N179" s="24" t="str">
        <x:v>mullus barbatus</x:v>
      </x:c>
      <x:c r="O179" s="32" t="n">
        <x:v>3.14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Mullus barbatus</x:v>
      </x:c>
      <x:c r="T179" s="32" t="n">
        <x:f>IF(O179="","",(1/'Metadata'!$B$5)^(O179-1))</x:f>
        <x:v>138.03842646028852</x:v>
      </x:c>
      <x:c r="U179" s="31" t="n">
        <x:f>IF(T179="","",I179*T179)</x:f>
        <x:v>0.107421641509823</x:v>
      </x:c>
    </x:row>
    <x:row r="180" ht="18" customHeight="1">
      <x:c r="A180" s="24" t="str">
        <x:v>EEZ_528</x:v>
      </x:c>
      <x:c r="B180" s="24" t="str">
        <x:v>Netherlands</x:v>
      </x:c>
      <x:c r="C180" s="24" t="str">
        <x:v>EEZ</x:v>
      </x:c>
      <x:c r="D180" s="30" t="n">
        <x:v>2019</x:v>
      </x:c>
      <x:c r="E180" s="24" t="str">
        <x:v>Centrolophus niger</x:v>
      </x:c>
      <x:c r="F180" s="24" t="str">
        <x:v>Rudderfish</x:v>
      </x:c>
      <x:c r="G180" s="24" t="str">
        <x:v>Large bathypelagics (&gt;=90 cm)</x:v>
      </x:c>
      <x:c r="H180" s="24" t="str">
        <x:v>Perch-likes</x:v>
      </x:c>
      <x:c r="I180" s="31" t="n">
        <x:v>0.0005551299</x:v>
      </x:c>
      <x:c r="J180" s="31" t="n">
        <x:v>0.0005551299</x:v>
      </x:c>
      <x:c r="K180" s="31" t="n">
        <x:v>0</x:v>
      </x:c>
      <x:c r="L180" s="31" t="n">
        <x:v>0.0005551299</x:v>
      </x:c>
      <x:c r="M180" s="31" t="n">
        <x:v>0</x:v>
      </x:c>
      <x:c r="N180" s="24" t="str">
        <x:v>centrolophus niger</x:v>
      </x:c>
      <x:c r="O180" s="32" t="n">
        <x:v>3.92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Centrolophus niger</x:v>
      </x:c>
      <x:c r="T180" s="32" t="n">
        <x:f>IF(O180="","",(1/'Metadata'!$B$5)^(O180-1))</x:f>
        <x:v>831.7637711026708</x:v>
      </x:c>
      <x:c r="U180" s="31" t="n">
        <x:f>IF(T180="","",I180*T180)</x:f>
        <x:v>0.46173693907584856</x:v>
      </x:c>
    </x:row>
    <x:row r="181" ht="18" customHeight="1">
      <x:c r="A181" s="24" t="str">
        <x:v>EEZ_528</x:v>
      </x:c>
      <x:c r="B181" s="24" t="str">
        <x:v>Netherlands</x:v>
      </x:c>
      <x:c r="C181" s="24" t="str">
        <x:v>EEZ</x:v>
      </x:c>
      <x:c r="D181" s="30" t="n">
        <x:v>2019</x:v>
      </x:c>
      <x:c r="E181" s="24" t="str">
        <x:v>Lepidorhombus boscii</x:v>
      </x:c>
      <x:c r="F181" s="24" t="str">
        <x:v>Four-spot megrim</x:v>
      </x:c>
      <x:c r="G181" s="24" t="str">
        <x:v>Small to medium flatfishes (&lt;90 cm)</x:v>
      </x:c>
      <x:c r="H181" s="24" t="str">
        <x:v>Flatfishes</x:v>
      </x:c>
      <x:c r="I181" s="31" t="n">
        <x:v>0.0001847505</x:v>
      </x:c>
      <x:c r="J181" s="31" t="n">
        <x:v>0.0001847505</x:v>
      </x:c>
      <x:c r="K181" s="31" t="n">
        <x:v>0</x:v>
      </x:c>
      <x:c r="L181" s="31" t="n">
        <x:v>0.0001847505</x:v>
      </x:c>
      <x:c r="M181" s="31" t="n">
        <x:v>0</x:v>
      </x:c>
      <x:c r="N181" s="24" t="str">
        <x:v>lepidorhombus boscii</x:v>
      </x:c>
      <x:c r="O181" s="32" t="n">
        <x:v>3.74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Lepidorhombus boscii</x:v>
      </x:c>
      <x:c r="T181" s="32" t="n">
        <x:f>IF(O181="","",(1/'Metadata'!$B$5)^(O181-1))</x:f>
        <x:v>549.5408738576248</x:v>
      </x:c>
      <x:c r="U181" s="31" t="n">
        <x:f>IF(T181="","",I181*T181)</x:f>
        <x:v>0.1015279512156331</x:v>
      </x:c>
    </x:row>
    <x:row r="182" ht="18" customHeight="1">
      <x:c r="A182" s="24" t="str">
        <x:v>EEZ_528</x:v>
      </x:c>
      <x:c r="B182" s="24" t="str">
        <x:v>Netherlands</x:v>
      </x:c>
      <x:c r="C182" s="24" t="str">
        <x:v>EEZ</x:v>
      </x:c>
      <x:c r="D182" s="30" t="n">
        <x:v>2019</x:v>
      </x:c>
      <x:c r="E182" s="24" t="str">
        <x:v>Salmo salar</x:v>
      </x:c>
      <x:c r="F182" s="24" t="str">
        <x:v>Atlantic salmon</x:v>
      </x:c>
      <x:c r="G182" s="24" t="str">
        <x:v>Large benthopelagics (&gt;=90 cm)</x:v>
      </x:c>
      <x:c r="H182" s="24" t="str">
        <x:v>Salmon, smelts, etc</x:v>
      </x:c>
      <x:c r="I182" s="31" t="n">
        <x:v>0.00012970400000000002</x:v>
      </x:c>
      <x:c r="J182" s="31" t="n">
        <x:v>0.00012970400000000002</x:v>
      </x:c>
      <x:c r="K182" s="31" t="n">
        <x:v>0</x:v>
      </x:c>
      <x:c r="L182" s="31" t="n">
        <x:v>0.00012970400000000002</x:v>
      </x:c>
      <x:c r="M182" s="31" t="n">
        <x:v>0</x:v>
      </x:c>
      <x:c r="N182" s="24" t="str">
        <x:v>salmo salar</x:v>
      </x:c>
      <x:c r="O182" s="32" t="n">
        <x:v>4.5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Salmo salar</x:v>
      </x:c>
      <x:c r="T182" s="32" t="n">
        <x:f>IF(O182="","",(1/'Metadata'!$B$5)^(O182-1))</x:f>
        <x:v>3162.2776601683795</x:v>
      </x:c>
      <x:c r="U182" s="31" t="n">
        <x:f>IF(T182="","",I182*T182)</x:f>
        <x:v>0.41016006163447954</x:v>
      </x:c>
    </x:row>
    <x:row r="183" ht="18" customHeight="1">
      <x:c r="A183" s="24" t="str">
        <x:v>EEZ_528</x:v>
      </x:c>
      <x:c r="B183" s="24" t="str">
        <x:v>Netherlands</x:v>
      </x:c>
      <x:c r="C183" s="24" t="str">
        <x:v>EEZ</x:v>
      </x:c>
      <x:c r="D183" s="30" t="n">
        <x:v>2019</x:v>
      </x:c>
      <x:c r="E183" s="24" t="str">
        <x:v>Torpedo marmorata</x:v>
      </x:c>
      <x:c r="F183" s="24" t="str">
        <x:v>Marbled electric ray</x:v>
      </x:c>
      <x:c r="G183" s="24" t="str">
        <x:v>Large rays (&gt;=90 cm)</x:v>
      </x:c>
      <x:c r="H183" s="24" t="str">
        <x:v>Sharks &amp; rays</x:v>
      </x:c>
      <x:c r="I183" s="31" t="n">
        <x:v>0.0000034677999999999996</x:v>
      </x:c>
      <x:c r="J183" s="31" t="n">
        <x:v>0.0000034677999999999996</x:v>
      </x:c>
      <x:c r="K183" s="31" t="n">
        <x:v>0</x:v>
      </x:c>
      <x:c r="L183" s="31" t="n">
        <x:v>0.0000034677999999999996</x:v>
      </x:c>
      <x:c r="M183" s="31" t="n">
        <x:v>0</x:v>
      </x:c>
      <x:c r="N183" s="24" t="str">
        <x:v>torpedo marmorata</x:v>
      </x:c>
      <x:c r="O183" s="32" t="n">
        <x:v>4.5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Torpedo marmorata</x:v>
      </x:c>
      <x:c r="T183" s="32" t="n">
        <x:f>IF(O183="","",(1/'Metadata'!$B$5)^(O183-1))</x:f>
        <x:v>3162.2776601683795</x:v>
      </x:c>
      <x:c r="U183" s="31" t="n">
        <x:f>IF(T183="","",I183*T183)</x:f>
        <x:v>0.010966146469931905</x:v>
      </x:c>
    </x:row>
  </x:sheetData>
  <x:conditionalFormatting sqref="R2:R1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196fe44eb64f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3.1109069236</x:v>
      </x:c>
      <x:c r="E2" s="31" t="n">
        <x:v>3.1109069236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IF(C2=0,"",SUMIF('Species'!$H$2:$H$183,A2,'Species'!$U$2:$U$183))</x:f>
        <x:v>400.76244496867656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400.76244496867656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12</x:v>
      </x:c>
      <x:c r="C3" s="33" t="n">
        <x:v>12</x:v>
      </x:c>
      <x:c r="D3" s="31" t="n">
        <x:v>5869.317880056501</x:v>
      </x:c>
      <x:c r="E3" s="31" t="n">
        <x:v>5869.317880056501</x:v>
      </x:c>
      <x:c r="F3" s="32" t="n">
        <x:v>0</x:v>
      </x:c>
      <x:c r="G3" s="34" t="n">
        <x:v>1</x:v>
      </x:c>
      <x:c r="H3" s="32" t="n">
        <x:f>IF(E3=0,"",I3/E3)</x:f>
        <x:v>1917.1440796943637</x:v>
      </x:c>
      <x:c r="I3" s="31" t="n">
        <x:f>IF(C3=0,"",SUMIF('Species'!$H$2:$H$183,A3,'Species'!$U$2:$U$183))</x:f>
        <x:v>11252328.025594594</x:v>
      </x:c>
      <x:c r="J3" s="32" t="n">
        <x:v>4.25805463966488</x:v>
      </x:c>
      <x:c r="K3" s="32" t="n">
        <x:f>IF(J3="","",(1/'Metadata'!$B$5)^(J3-1))</x:f>
        <x:v>1811.5679961411156</x:v>
      </x:c>
      <x:c r="L3" s="31" t="n">
        <x:f>IF(E3=0,"",E3*K3)</x:f>
        <x:v>10632668.430689177</x:v>
      </x:c>
      <x:c r="M3" s="31" t="n">
        <x:f>IF(E3=0,"",I3-L3)</x:f>
        <x:v>619659.5949054174</x:v>
      </x:c>
      <x:c r="N3" s="32" t="n">
        <x:f>IF(L3=0,"",I3/L3)</x:f>
        <x:v>1.0582788411906918</x:v>
      </x:c>
      <x:c r="O3" s="34" t="n">
        <x:f>IF(L3=0,"",M3/L3)</x:f>
        <x:v>0.05827884119069186</x:v>
      </x:c>
    </x:row>
    <x:row r="4" ht="18" customHeight="1">
      <x:c r="A4" s="24" t="str">
        <x:v>Crustaceans</x:v>
      </x:c>
      <x:c r="B4" s="33" t="n">
        <x:v>15</x:v>
      </x:c>
      <x:c r="C4" s="33" t="n">
        <x:v>15</x:v>
      </x:c>
      <x:c r="D4" s="31" t="n">
        <x:v>13347.3256181285</x:v>
      </x:c>
      <x:c r="E4" s="31" t="n">
        <x:v>13347.3256181285</x:v>
      </x:c>
      <x:c r="F4" s="32" t="n">
        <x:v>0</x:v>
      </x:c>
      <x:c r="G4" s="34" t="n">
        <x:v>1</x:v>
      </x:c>
      <x:c r="H4" s="32" t="n">
        <x:f>IF(E4=0,"",I4/E4)</x:f>
        <x:v>151.09647126442047</x:v>
      </x:c>
      <x:c r="I4" s="31" t="n">
        <x:f>IF(C4=0,"",SUMIF('Species'!$H$2:$H$183,A4,'Species'!$U$2:$U$183))</x:f>
        <x:v>2016733.8017164161</x:v>
      </x:c>
      <x:c r="J4" s="32" t="n">
        <x:v>3.1683470616423035</x:v>
      </x:c>
      <x:c r="K4" s="32" t="n">
        <x:f>IF(J4="","",(1/'Metadata'!$B$5)^(J4-1))</x:f>
        <x:v>147.34895549721088</x:v>
      </x:c>
      <x:c r="L4" s="31" t="n">
        <x:f>IF(E4=0,"",E4*K4)</x:f>
        <x:v>1966714.488512399</x:v>
      </x:c>
      <x:c r="M4" s="31" t="n">
        <x:f>IF(E4=0,"",I4-L4)</x:f>
        <x:v>50019.313204017235</x:v>
      </x:c>
      <x:c r="N4" s="32" t="n">
        <x:f>IF(L4=0,"",I4/L4)</x:f>
        <x:v>1.0254329306547445</x:v>
      </x:c>
      <x:c r="O4" s="34" t="n">
        <x:f>IF(L4=0,"",M4/L4)</x:f>
        <x:v>0.02543293065474455</x:v>
      </x:c>
    </x:row>
    <x:row r="5" ht="18" customHeight="1">
      <x:c r="A5" s="24" t="str">
        <x:v>Flatfishes</x:v>
      </x:c>
      <x:c r="B5" s="33" t="n">
        <x:v>19</x:v>
      </x:c>
      <x:c r="C5" s="33" t="n">
        <x:v>19</x:v>
      </x:c>
      <x:c r="D5" s="31" t="n">
        <x:v>27758.4343506487</x:v>
      </x:c>
      <x:c r="E5" s="31" t="n">
        <x:v>27758.4343506487</x:v>
      </x:c>
      <x:c r="F5" s="32" t="n">
        <x:v>0</x:v>
      </x:c>
      <x:c r="G5" s="34" t="n">
        <x:v>1</x:v>
      </x:c>
      <x:c r="H5" s="32" t="n">
        <x:f>IF(E5=0,"",I5/E5)</x:f>
        <x:v>262.88312569988165</x:v>
      </x:c>
      <x:c r="I5" s="31" t="n">
        <x:f>IF(C5=0,"",SUMIF('Species'!$H$2:$H$183,A5,'Species'!$U$2:$U$183))</x:f>
        <x:v>7297223.986633494</x:v>
      </x:c>
      <x:c r="J5" s="32" t="n">
        <x:v>3.3048370629354475</x:v>
      </x:c>
      <x:c r="K5" s="32" t="n">
        <x:f>IF(J5="","",(1/'Metadata'!$B$5)^(J5-1))</x:f>
        <x:v>201.7609262174668</x:v>
      </x:c>
      <x:c r="L5" s="31" t="n">
        <x:f>IF(E5=0,"",E5*K5)</x:f>
        <x:v>5600567.424933627</x:v>
      </x:c>
      <x:c r="M5" s="31" t="n">
        <x:f>IF(E5=0,"",I5-L5)</x:f>
        <x:v>1696656.5616998663</x:v>
      </x:c>
      <x:c r="N5" s="32" t="n">
        <x:f>IF(L5=0,"",I5/L5)</x:f>
        <x:v>1.302943689981551</x:v>
      </x:c>
      <x:c r="O5" s="34" t="n">
        <x:f>IF(L5=0,"",M5/L5)</x:f>
        <x:v>0.302943689981551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22182.485742326797</x:v>
      </x:c>
      <x:c r="E6" s="31" t="n">
        <x:v>22182.485742326797</x:v>
      </x:c>
      <x:c r="F6" s="32" t="n">
        <x:v>0</x:v>
      </x:c>
      <x:c r="G6" s="34" t="n">
        <x:v>1</x:v>
      </x:c>
      <x:c r="H6" s="32" t="n">
        <x:f>IF(E6=0,"",I6/E6)</x:f>
        <x:v>166.8774229619044</x:v>
      </x:c>
      <x:c r="I6" s="31" t="n">
        <x:f>IF(C6=0,"",SUMIF('Species'!$H$2:$H$183,A6,'Species'!$U$2:$U$183))</x:f>
        <x:v>3701756.0555686825</x:v>
      </x:c>
      <x:c r="J6" s="32" t="n">
        <x:v>3.1837716941546623</x:v>
      </x:c>
      <x:c r="K6" s="32" t="n">
        <x:f>IF(J6="","",(1/'Metadata'!$B$5)^(J6-1))</x:f>
        <x:v>152.6763237519867</x:v>
      </x:c>
      <x:c r="L6" s="31" t="n">
        <x:f>IF(E6=0,"",E6*K6)</x:f>
        <x:v>3386740.374819315</x:v>
      </x:c>
      <x:c r="M6" s="31" t="n">
        <x:f>IF(E6=0,"",I6-L6)</x:f>
        <x:v>315015.68074936746</x:v>
      </x:c>
      <x:c r="N6" s="32" t="n">
        <x:f>IF(L6=0,"",I6/L6)</x:f>
        <x:v>1.0930144167800797</x:v>
      </x:c>
      <x:c r="O6" s="34" t="n">
        <x:f>IF(L6=0,"",M6/L6)</x:f>
        <x:v>0.09301441678007981</x:v>
      </x:c>
    </x:row>
    <x:row r="7" ht="18" customHeight="1">
      <x:c r="A7" s="24" t="str">
        <x:v>Molluscs</x:v>
      </x:c>
      <x:c r="B7" s="33" t="n">
        <x:v>17</x:v>
      </x:c>
      <x:c r="C7" s="33" t="n">
        <x:v>17</x:v>
      </x:c>
      <x:c r="D7" s="31" t="n">
        <x:v>8783.6747635139</x:v>
      </x:c>
      <x:c r="E7" s="31" t="n">
        <x:v>8783.6747635139</x:v>
      </x:c>
      <x:c r="F7" s="32" t="n">
        <x:v>0</x:v>
      </x:c>
      <x:c r="G7" s="34" t="n">
        <x:v>1</x:v>
      </x:c>
      <x:c r="H7" s="32" t="n">
        <x:f>IF(E7=0,"",I7/E7)</x:f>
        <x:v>38.578816400903044</x:v>
      </x:c>
      <x:c r="I7" s="31" t="n">
        <x:f>IF(C7=0,"",SUMIF('Species'!$H$2:$H$183,A7,'Species'!$U$2:$U$183))</x:f>
        <x:v>338863.7760268482</x:v>
      </x:c>
      <x:c r="J7" s="32" t="n">
        <x:v>2.0937903091562116</x:v>
      </x:c>
      <x:c r="K7" s="32" t="n">
        <x:f>IF(J7="","",(1/'Metadata'!$B$5)^(J7-1))</x:f>
        <x:v>12.410529440606643</x:v>
      </x:c>
      <x:c r="L7" s="31" t="n">
        <x:f>IF(E7=0,"",E7*K7)</x:f>
        <x:v>109010.05424930285</x:v>
      </x:c>
      <x:c r="M7" s="31" t="n">
        <x:f>IF(E7=0,"",I7-L7)</x:f>
        <x:v>229853.72177754535</x:v>
      </x:c>
      <x:c r="N7" s="32" t="n">
        <x:f>IF(L7=0,"",I7/L7)</x:f>
        <x:v>3.108555246214964</x:v>
      </x:c>
      <x:c r="O7" s="34" t="n">
        <x:f>IF(L7=0,"",M7/L7)</x:f>
        <x:v>2.108555246214964</x:v>
      </x:c>
    </x:row>
    <x:row r="8" ht="18" customHeight="1">
      <x:c r="A8" s="24" t="str">
        <x:v>Other fishes &amp; inverts</x:v>
      </x:c>
      <x:c r="B8" s="33" t="n">
        <x:v>31</x:v>
      </x:c>
      <x:c r="C8" s="33" t="n">
        <x:v>31</x:v>
      </x:c>
      <x:c r="D8" s="31" t="n">
        <x:v>18814.810553427396</x:v>
      </x:c>
      <x:c r="E8" s="31" t="n">
        <x:v>18814.810553427396</x:v>
      </x:c>
      <x:c r="F8" s="32" t="n">
        <x:v>0</x:v>
      </x:c>
      <x:c r="G8" s="34" t="n">
        <x:v>1</x:v>
      </x:c>
      <x:c r="H8" s="32" t="n">
        <x:f>IF(E8=0,"",I8/E8)</x:f>
        <x:v>250.61903033135297</x:v>
      </x:c>
      <x:c r="I8" s="31" t="n">
        <x:f>IF(C8=0,"",SUMIF('Species'!$H$2:$H$183,A8,'Species'!$U$2:$U$183))</x:f>
        <x:v>4715349.576768081</x:v>
      </x:c>
      <x:c r="J8" s="32" t="n">
        <x:v>3.3085822614179947</x:v>
      </x:c>
      <x:c r="K8" s="32" t="n">
        <x:f>IF(J8="","",(1/'Metadata'!$B$5)^(J8-1))</x:f>
        <x:v>203.50836325036053</x:v>
      </x:c>
      <x:c r="L8" s="31" t="n">
        <x:f>IF(E8=0,"",E8*K8)</x:f>
        <x:v>3828971.3005936192</x:v>
      </x:c>
      <x:c r="M8" s="31" t="n">
        <x:f>IF(E8=0,"",I8-L8)</x:f>
        <x:v>886378.2761744615</x:v>
      </x:c>
      <x:c r="N8" s="32" t="n">
        <x:f>IF(L8=0,"",I8/L8)</x:f>
        <x:v>1.231492535876945</x:v>
      </x:c>
      <x:c r="O8" s="34" t="n">
        <x:f>IF(L8=0,"",M8/L8)</x:f>
        <x:v>0.23149253587694507</x:v>
      </x:c>
    </x:row>
    <x:row r="9" ht="18" customHeight="1">
      <x:c r="A9" s="24" t="str">
        <x:v>Perch-likes</x:v>
      </x:c>
      <x:c r="B9" s="33" t="n">
        <x:v>37</x:v>
      </x:c>
      <x:c r="C9" s="33" t="n">
        <x:v>37</x:v>
      </x:c>
      <x:c r="D9" s="31" t="n">
        <x:v>1701.6757559103</x:v>
      </x:c>
      <x:c r="E9" s="31" t="n">
        <x:v>1701.6757559103</x:v>
      </x:c>
      <x:c r="F9" s="32" t="n">
        <x:v>0</x:v>
      </x:c>
      <x:c r="G9" s="34" t="n">
        <x:v>1</x:v>
      </x:c>
      <x:c r="H9" s="32" t="n">
        <x:f>IF(E9=0,"",I9/E9)</x:f>
        <x:v>479.9841072631435</x:v>
      </x:c>
      <x:c r="I9" s="31" t="n">
        <x:f>IF(C9=0,"",SUMIF('Species'!$H$2:$H$183,A9,'Species'!$U$2:$U$183))</x:f>
        <x:v>816777.3185519403</x:v>
      </x:c>
      <x:c r="J9" s="32" t="n">
        <x:v>3.593617110081313</x:v>
      </x:c>
      <x:c r="K9" s="32" t="n">
        <x:f>IF(J9="","",(1/'Metadata'!$B$5)^(J9-1))</x:f>
        <x:v>392.2989177995826</x:v>
      </x:c>
      <x:c r="L9" s="31" t="n">
        <x:f>IF(E9=0,"",E9*K9)</x:f>
        <x:v>667565.5574893975</x:v>
      </x:c>
      <x:c r="M9" s="31" t="n">
        <x:f>IF(E9=0,"",I9-L9)</x:f>
        <x:v>149211.7610625428</x:v>
      </x:c>
      <x:c r="N9" s="32" t="n">
        <x:f>IF(L9=0,"",I9/L9)</x:f>
        <x:v>1.223516266512765</x:v>
      </x:c>
      <x:c r="O9" s="34" t="n">
        <x:f>IF(L9=0,"",M9/L9)</x:f>
        <x:v>0.22351626651276513</x:v>
      </x:c>
    </x:row>
    <x:row r="10" ht="18" customHeight="1">
      <x:c r="A10" s="24" t="str">
        <x:v>Salmon, smelts, etc</x:v>
      </x:c>
      <x:c r="B10" s="33" t="n">
        <x:v>6</x:v>
      </x:c>
      <x:c r="C10" s="33" t="n">
        <x:v>6</x:v>
      </x:c>
      <x:c r="D10" s="31" t="n">
        <x:v>10.112061075600002</x:v>
      </x:c>
      <x:c r="E10" s="31" t="n">
        <x:v>10.112061075600002</x:v>
      </x:c>
      <x:c r="F10" s="32" t="n">
        <x:v>0</x:v>
      </x:c>
      <x:c r="G10" s="34" t="n">
        <x:v>1</x:v>
      </x:c>
      <x:c r="H10" s="32" t="n">
        <x:f>IF(E10=0,"",I10/E10)</x:f>
        <x:v>284.56161763986285</x:v>
      </x:c>
      <x:c r="I10" s="31" t="n">
        <x:f>IF(C10=0,"",SUMIF('Species'!$H$2:$H$183,A10,'Species'!$U$2:$U$183))</x:f>
        <x:v>2877.504457345828</x:v>
      </x:c>
      <x:c r="J10" s="32" t="n">
        <x:v>3.4416869378884734</x:v>
      </x:c>
      <x:c r="K10" s="32" t="n">
        <x:f>IF(J10="","",(1/'Metadata'!$B$5)^(J10-1))</x:f>
        <x:v>276.49478082914464</x:v>
      </x:c>
      <x:c r="L10" s="31" t="n">
        <x:f>IF(E10=0,"",E10*K10)</x:f>
        <x:v>2795.9321108289473</x:v>
      </x:c>
      <x:c r="M10" s="31" t="n">
        <x:f>IF(E10=0,"",I10-L10)</x:f>
        <x:v>81.57234651688077</x:v>
      </x:c>
      <x:c r="N10" s="32" t="n">
        <x:f>IF(L10=0,"",I10/L10)</x:f>
        <x:v>1.0291753673849742</x:v>
      </x:c>
      <x:c r="O10" s="34" t="n">
        <x:f>IF(L10=0,"",M10/L10)</x:f>
        <x:v>0.02917536738497414</x:v>
      </x:c>
    </x:row>
    <x:row r="11" ht="18" customHeight="1">
      <x:c r="A11" s="24" t="str">
        <x:v>Scorpionfishes</x:v>
      </x:c>
      <x:c r="B11" s="33" t="n">
        <x:v>9</x:v>
      </x:c>
      <x:c r="C11" s="33" t="n">
        <x:v>9</x:v>
      </x:c>
      <x:c r="D11" s="31" t="n">
        <x:v>1637.6099620132</x:v>
      </x:c>
      <x:c r="E11" s="31" t="n">
        <x:v>1637.6099620132</x:v>
      </x:c>
      <x:c r="F11" s="32" t="n">
        <x:v>0</x:v>
      </x:c>
      <x:c r="G11" s="34" t="n">
        <x:v>1</x:v>
      </x:c>
      <x:c r="H11" s="32" t="n">
        <x:f>IF(E11=0,"",I11/E11)</x:f>
        <x:v>800.8932181528867</x:v>
      </x:c>
      <x:c r="I11" s="31" t="n">
        <x:f>IF(C11=0,"",SUMIF('Species'!$H$2:$H$183,A11,'Species'!$U$2:$U$183))</x:f>
        <x:v>1311550.7125559782</x:v>
      </x:c>
      <x:c r="J11" s="32" t="n">
        <x:v>3.896176347605331</x:v>
      </x:c>
      <x:c r="K11" s="32" t="n">
        <x:f>IF(J11="","",(1/'Metadata'!$B$5)^(J11-1))</x:f>
        <x:v>787.3654387554685</x:v>
      </x:c>
      <x:c r="L11" s="31" t="n">
        <x:f>IF(E11=0,"",E11*K11)</x:f>
        <x:v>1289397.4862508492</x:v>
      </x:c>
      <x:c r="M11" s="31" t="n">
        <x:f>IF(E11=0,"",I11-L11)</x:f>
        <x:v>22153.226305129007</x:v>
      </x:c>
      <x:c r="N11" s="32" t="n">
        <x:f>IF(L11=0,"",I11/L11)</x:f>
        <x:v>1.0171810683217193</x:v>
      </x:c>
      <x:c r="O11" s="34" t="n">
        <x:f>IF(L11=0,"",M11/L11)</x:f>
        <x:v>0.017181068321719336</x:v>
      </x:c>
    </x:row>
    <x:row r="12" ht="18" customHeight="1">
      <x:c r="A12" s="24" t="str">
        <x:v>Sharks &amp; rays</x:v>
      </x:c>
      <x:c r="B12" s="33" t="n">
        <x:v>26</x:v>
      </x:c>
      <x:c r="C12" s="33" t="n">
        <x:v>26</x:v>
      </x:c>
      <x:c r="D12" s="31" t="n">
        <x:v>982.1616555362999</x:v>
      </x:c>
      <x:c r="E12" s="31" t="n">
        <x:v>982.1616555362999</x:v>
      </x:c>
      <x:c r="F12" s="32" t="n">
        <x:v>0</x:v>
      </x:c>
      <x:c r="G12" s="34" t="n">
        <x:v>1</x:v>
      </x:c>
      <x:c r="H12" s="32" t="n">
        <x:f>IF(E12=0,"",I12/E12)</x:f>
        <x:v>940.6852563197315</x:v>
      </x:c>
      <x:c r="I12" s="31" t="n">
        <x:f>IF(C12=0,"",SUMIF('Species'!$H$2:$H$183,A12,'Species'!$U$2:$U$183))</x:f>
        <x:v>923904.9886855761</x:v>
      </x:c>
      <x:c r="J12" s="32" t="n">
        <x:v>3.9390611758027365</x:v>
      </x:c>
      <x:c r="K12" s="32" t="n">
        <x:f>IF(J12="","",(1/'Metadata'!$B$5)^(J12-1))</x:f>
        <x:v>869.0828418387939</x:v>
      </x:c>
      <x:c r="L12" s="31" t="n">
        <x:f>IF(E12=0,"",E12*K12)</x:f>
        <x:v>853579.8427385822</x:v>
      </x:c>
      <x:c r="M12" s="31" t="n">
        <x:f>IF(E12=0,"",I12-L12)</x:f>
        <x:v>70325.14594699396</x:v>
      </x:c>
      <x:c r="N12" s="32" t="n">
        <x:f>IF(L12=0,"",I12/L12)</x:f>
        <x:v>1.082388480170017</x:v>
      </x:c>
      <x:c r="O12" s="34" t="n">
        <x:f>IF(L12=0,"",M12/L12)</x:f>
        <x:v>0.08238848017001706</x:v>
      </x:c>
    </x:row>
    <x:row r="13" ht="18" customHeight="1">
      <x:c r="A13" s="24" t="str">
        <x:v>Tuna &amp; billfishes</x:v>
      </x:c>
      <x:c r="B13" s="33" t="n">
        <x:v>2</x:v>
      </x:c>
      <x:c r="C13" s="33" t="n">
        <x:v>2</x:v>
      </x:c>
      <x:c r="D13" s="31" t="n">
        <x:v>14.0373818371</x:v>
      </x:c>
      <x:c r="E13" s="31" t="n">
        <x:v>14.0373818371</x:v>
      </x:c>
      <x:c r="F13" s="32" t="n">
        <x:v>0</x:v>
      </x:c>
      <x:c r="G13" s="34" t="n">
        <x:v>1</x:v>
      </x:c>
      <x:c r="H13" s="32" t="n">
        <x:f>IF(E13=0,"",I13/E13)</x:f>
        <x:v>2447.165967101644</x:v>
      </x:c>
      <x:c r="I13" s="31" t="n">
        <x:f>IF(C13=0,"",SUMIF('Species'!$H$2:$H$183,A13,'Species'!$U$2:$U$183))</x:f>
        <x:v>34351.80309896188</x:v>
      </x:c>
      <x:c r="J13" s="32" t="n">
        <x:v>4.386358228259711</x:v>
      </x:c>
      <x:c r="K13" s="32" t="n">
        <x:f>IF(J13="","",(1/'Metadata'!$B$5)^(J13-1))</x:f>
        <x:v>2434.211042744337</x:v>
      </x:c>
      <x:c r="L13" s="31" t="n">
        <x:f>IF(E13=0,"",E13*K13)</x:f>
        <x:v>34169.94987908761</x:v>
      </x:c>
      <x:c r="M13" s="31" t="n">
        <x:f>IF(E13=0,"",I13-L13)</x:f>
        <x:v>181.8532198742687</x:v>
      </x:c>
      <x:c r="N13" s="32" t="n">
        <x:f>IF(L13=0,"",I13/L13)</x:f>
        <x:v>1.0053220218501275</x:v>
      </x:c>
      <x:c r="O13" s="34" t="n">
        <x:f>IF(L13=0,"",M13/L13)</x:f>
        <x:v>0.005322021850127585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892d356c2ea4c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12</x:v>
      </x:c>
      <x:c r="C2" s="33" t="n">
        <x:v>12</x:v>
      </x:c>
      <x:c r="D2" s="31" t="n">
        <x:v>547.4112054123999</x:v>
      </x:c>
      <x:c r="E2" s="31" t="n">
        <x:v>547.4112054123999</x:v>
      </x:c>
      <x:c r="F2" s="32" t="n">
        <x:v>0</x:v>
      </x:c>
      <x:c r="G2" s="34" t="n">
        <x:v>1</x:v>
      </x:c>
      <x:c r="H2" s="32" t="n">
        <x:f>IF(E2=0,"",I2/E2)</x:f>
        <x:v>1255.6032998657226</x:v>
      </x:c>
      <x:c r="I2" s="31" t="n">
        <x:f>IF(C2=0,"",SUMIF('Species'!$G$2:$G$183,A2,'Species'!$U$2:$U$183))</x:f>
        <x:v>687331.3158992822</x:v>
      </x:c>
      <x:c r="J2" s="32" t="n">
        <x:v>4.06110292533953</x:v>
      </x:c>
      <x:c r="K2" s="32" t="n">
        <x:f>IF(J2="","",(1/'Metadata'!$B$5)^(J2-1))</x:f>
        <x:v>1151.07315445813</x:v>
      </x:c>
      <x:c r="L2" s="31" t="n">
        <x:f>IF(E2=0,"",E2*K2)</x:f>
        <x:v>630110.3429997785</x:v>
      </x:c>
      <x:c r="M2" s="31" t="n">
        <x:f>IF(E2=0,"",I2-L2)</x:f>
        <x:v>57220.97289950377</x:v>
      </x:c>
      <x:c r="N2" s="32" t="n">
        <x:f>IF(L2=0,"",I2/L2)</x:f>
        <x:v>1.0908110357736565</x:v>
      </x:c>
      <x:c r="O2" s="34" t="n">
        <x:f>IF(L2=0,"",M2/L2)</x:f>
        <x:v>0.09081103577365637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167.7955768452</x:v>
      </x:c>
      <x:c r="E3" s="31" t="n">
        <x:v>167.7955768452</x:v>
      </x:c>
      <x:c r="F3" s="32" t="n">
        <x:v>0</x:v>
      </x:c>
      <x:c r="G3" s="34" t="n">
        <x:v>1</x:v>
      </x:c>
      <x:c r="H3" s="32" t="n">
        <x:f>IF(E3=0,"",I3/E3)</x:f>
        <x:v>2629.3734817785216</x:v>
      </x:c>
      <x:c r="I3" s="31" t="n">
        <x:f>IF(C3=0,"",SUMIF('Species'!$G$2:$G$183,A3,'Species'!$U$2:$U$183))</x:f>
        <x:v>441197.240116499</x:v>
      </x:c>
      <x:c r="J3" s="32" t="n">
        <x:v>4.417393150304625</x:v>
      </x:c>
      <x:c r="K3" s="32" t="n">
        <x:f>IF(J3="","",(1/'Metadata'!$B$5)^(J3-1))</x:f>
        <x:v>2614.5271155468095</x:v>
      </x:c>
      <x:c r="L3" s="31" t="n">
        <x:f>IF(E3=0,"",E3*K3)</x:f>
        <x:v>438706.08553059376</x:v>
      </x:c>
      <x:c r="M3" s="31" t="n">
        <x:f>IF(E3=0,"",I3-L3)</x:f>
        <x:v>2491.1545859052567</x:v>
      </x:c>
      <x:c r="N3" s="32" t="n">
        <x:f>IF(L3=0,"",I3/L3)</x:f>
        <x:v>1.0056784135622197</x:v>
      </x:c>
      <x:c r="O3" s="34" t="n">
        <x:f>IF(L3=0,"",M3/L3)</x:f>
        <x:v>0.00567841356221974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0.0005551299</x:v>
      </x:c>
      <x:c r="E4" s="31" t="n">
        <x:v>0.0005551299</x:v>
      </x:c>
      <x:c r="F4" s="32" t="n">
        <x:v>0</x:v>
      </x:c>
      <x:c r="G4" s="34" t="n">
        <x:v>1</x:v>
      </x:c>
      <x:c r="H4" s="32" t="n">
        <x:f>IF(E4=0,"",I4/E4)</x:f>
        <x:v>831.7637711026708</x:v>
      </x:c>
      <x:c r="I4" s="31" t="n">
        <x:f>IF(C4=0,"",SUMIF('Species'!$G$2:$G$183,A4,'Species'!$U$2:$U$183))</x:f>
        <x:v>0.46173693907584856</x:v>
      </x:c>
      <x:c r="J4" s="32" t="n">
        <x:v>3.92</x:v>
      </x:c>
      <x:c r="K4" s="32" t="n">
        <x:f>IF(J4="","",(1/'Metadata'!$B$5)^(J4-1))</x:f>
        <x:v>831.7637711026708</x:v>
      </x:c>
      <x:c r="L4" s="31" t="n">
        <x:f>IF(E4=0,"",E4*K4)</x:f>
        <x:v>0.46173693907584856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1500.2905642822</x:v>
      </x:c>
      <x:c r="E5" s="31" t="n">
        <x:v>1500.2905642822</x:v>
      </x:c>
      <x:c r="F5" s="32" t="n">
        <x:v>0</x:v>
      </x:c>
      <x:c r="G5" s="34" t="n">
        <x:v>1</x:v>
      </x:c>
      <x:c r="H5" s="32" t="n">
        <x:f>IF(E5=0,"",I5/E5)</x:f>
        <x:v>1251.745037843988</x:v>
      </x:c>
      <x:c r="I5" s="31" t="n">
        <x:f>IF(C5=0,"",SUMIF('Species'!$G$2:$G$183,A5,'Species'!$U$2:$U$183))</x:f>
        <x:v>1877981.2691644006</x:v>
      </x:c>
      <x:c r="J5" s="32" t="n">
        <x:v>4.095701229952521</x:v>
      </x:c>
      <x:c r="K5" s="32" t="n">
        <x:f>IF(J5="","",(1/'Metadata'!$B$5)^(J5-1))</x:f>
        <x:v>1246.5256800198065</x:v>
      </x:c>
      <x:c r="L5" s="31" t="n">
        <x:f>IF(E5=0,"",E5*K5)</x:f>
        <x:v>1870150.7158691685</x:v>
      </x:c>
      <x:c r="M5" s="31" t="n">
        <x:f>IF(E5=0,"",I5-L5)</x:f>
        <x:v>7830.553295232123</x:v>
      </x:c>
      <x:c r="N5" s="32" t="n">
        <x:f>IF(L5=0,"",I5/L5)</x:f>
        <x:v>1.0041871241867224</x:v>
      </x:c>
      <x:c r="O5" s="34" t="n">
        <x:f>IF(L5=0,"",M5/L5)</x:f>
        <x:v>0.0041871241867224625</x:v>
      </x:c>
    </x:row>
    <x:row r="6" ht="18" customHeight="1">
      <x:c r="A6" s="24" t="str">
        <x:v>Large demersals (&gt;=90 cm)</x:v>
      </x:c>
      <x:c r="B6" s="33" t="n">
        <x:v>9</x:v>
      </x:c>
      <x:c r="C6" s="33" t="n">
        <x:v>9</x:v>
      </x:c>
      <x:c r="D6" s="31" t="n">
        <x:v>347.3684561231</x:v>
      </x:c>
      <x:c r="E6" s="31" t="n">
        <x:v>347.3684561231</x:v>
      </x:c>
      <x:c r="F6" s="32" t="n">
        <x:v>0</x:v>
      </x:c>
      <x:c r="G6" s="34" t="n">
        <x:v>1</x:v>
      </x:c>
      <x:c r="H6" s="32" t="n">
        <x:f>IF(E6=0,"",I6/E6)</x:f>
        <x:v>1472.6082562076888</x:v>
      </x:c>
      <x:c r="I6" s="31" t="n">
        <x:f>IF(C6=0,"",SUMIF('Species'!$G$2:$G$183,A6,'Species'!$U$2:$U$183))</x:f>
        <x:v>511537.6564329953</x:v>
      </x:c>
      <x:c r="J6" s="32" t="n">
        <x:v>4.0744825856061535</x:v>
      </x:c>
      <x:c r="K6" s="32" t="n">
        <x:f>IF(J6="","",(1/'Metadata'!$B$5)^(J6-1))</x:f>
        <x:v>1187.0871001238984</x:v>
      </x:c>
      <x:c r="L6" s="31" t="n">
        <x:f>IF(E6=0,"",E6*K6)</x:f>
        <x:v>412356.6132536864</x:v>
      </x:c>
      <x:c r="M6" s="31" t="n">
        <x:f>IF(E6=0,"",I6-L6)</x:f>
        <x:v>99181.04317930888</x:v>
      </x:c>
      <x:c r="N6" s="32" t="n">
        <x:f>IF(L6=0,"",I6/L6)</x:f>
        <x:v>1.2405224991948693</x:v>
      </x:c>
      <x:c r="O6" s="34" t="n">
        <x:f>IF(L6=0,"",M6/L6)</x:f>
        <x:v>0.24052249919486945</x:v>
      </x:c>
    </x:row>
    <x:row r="7" ht="18" customHeight="1">
      <x:c r="A7" s="24" t="str">
        <x:v>Large flatfishes (&gt;=90 cm)</x:v>
      </x:c>
      <x:c r="B7" s="33" t="n">
        <x:v>2</x:v>
      </x:c>
      <x:c r="C7" s="33" t="n">
        <x:v>2</x:v>
      </x:c>
      <x:c r="D7" s="31" t="n">
        <x:v>13430.9065014597</x:v>
      </x:c>
      <x:c r="E7" s="31" t="n">
        <x:v>13430.9065014597</x:v>
      </x:c>
      <x:c r="F7" s="32" t="n">
        <x:v>0</x:v>
      </x:c>
      <x:c r="G7" s="34" t="n">
        <x:v>1</x:v>
      </x:c>
      <x:c r="H7" s="32" t="n">
        <x:f>IF(E7=0,"",I7/E7)</x:f>
        <x:v>281.499388087801</x:v>
      </x:c>
      <x:c r="I7" s="31" t="n">
        <x:f>IF(C7=0,"",SUMIF('Species'!$G$2:$G$183,A7,'Species'!$U$2:$U$183))</x:f>
        <x:v>3780791.9616253735</x:v>
      </x:c>
      <x:c r="J7" s="32" t="n">
        <x:v>3.3119144382199965</x:v>
      </x:c>
      <x:c r="K7" s="32" t="n">
        <x:f>IF(J7="","",(1/'Metadata'!$B$5)^(J7-1))</x:f>
        <x:v>205.07581124431422</x:v>
      </x:c>
      <x:c r="L7" s="31" t="n">
        <x:f>IF(E7=0,"",E7*K7)</x:f>
        <x:v>2754354.046533382</x:v>
      </x:c>
      <x:c r="M7" s="31" t="n">
        <x:f>IF(E7=0,"",I7-L7)</x:f>
        <x:v>1026437.9150919914</x:v>
      </x:c>
      <x:c r="N7" s="32" t="n">
        <x:f>IF(L7=0,"",I7/L7)</x:f>
        <x:v>1.3726601220289243</x:v>
      </x:c>
      <x:c r="O7" s="34" t="n">
        <x:f>IF(L7=0,"",M7/L7)</x:f>
        <x:v>0.37266012202892423</x:v>
      </x:c>
    </x:row>
    <x:row r="8" ht="18" customHeight="1">
      <x:c r="A8" s="24" t="str">
        <x:v>Large pelagics (&gt;=90 cm)</x:v>
      </x:c>
      <x:c r="B8" s="33" t="n">
        <x:v>2</x:v>
      </x:c>
      <x:c r="C8" s="33" t="n">
        <x:v>2</x:v>
      </x:c>
      <x:c r="D8" s="31" t="n">
        <x:v>0.20015500619999999</x:v>
      </x:c>
      <x:c r="E8" s="31" t="n">
        <x:v>0.20015500619999999</x:v>
      </x:c>
      <x:c r="F8" s="32" t="n">
        <x:v>0</x:v>
      </x:c>
      <x:c r="G8" s="34" t="n">
        <x:v>1</x:v>
      </x:c>
      <x:c r="H8" s="32" t="n">
        <x:f>IF(E8=0,"",I8/E8)</x:f>
        <x:v>1089.847433378484</x:v>
      </x:c>
      <x:c r="I8" s="31" t="n">
        <x:f>IF(C8=0,"",SUMIF('Species'!$G$2:$G$183,A8,'Species'!$U$2:$U$183))</x:f>
        <x:v>218.13841978492454</x:v>
      </x:c>
      <x:c r="J8" s="32" t="n">
        <x:v>4.034801748645945</x:v>
      </x:c>
      <x:c r="K8" s="32" t="n">
        <x:f>IF(J8="","",(1/'Metadata'!$B$5)^(J8-1))</x:f>
        <x:v>1083.4322244794594</x:v>
      </x:c>
      <x:c r="L8" s="31" t="n">
        <x:f>IF(E8=0,"",E8*K8)</x:f>
        <x:v>216.85438360796596</x:v>
      </x:c>
      <x:c r="M8" s="31" t="n">
        <x:f>IF(E8=0,"",I8-L8)</x:f>
        <x:v>1.2840361769585797</x:v>
      </x:c>
      <x:c r="N8" s="32" t="n">
        <x:f>IF(L8=0,"",I8/L8)</x:f>
        <x:v>1.0059211907806296</x:v>
      </x:c>
      <x:c r="O8" s="34" t="n">
        <x:f>IF(L8=0,"",M8/L8)</x:f>
        <x:v>0.005921190780629494</x:v>
      </x:c>
    </x:row>
    <x:row r="9" ht="18" customHeight="1">
      <x:c r="A9" s="24" t="str">
        <x:v>Large rays (&gt;=90 cm)</x:v>
      </x:c>
      <x:c r="B9" s="33" t="n">
        <x:v>7</x:v>
      </x:c>
      <x:c r="C9" s="33" t="n">
        <x:v>7</x:v>
      </x:c>
      <x:c r="D9" s="31" t="n">
        <x:v>279.0848643114</x:v>
      </x:c>
      <x:c r="E9" s="31" t="n">
        <x:v>279.0848643114</x:v>
      </x:c>
      <x:c r="F9" s="32" t="n">
        <x:v>0</x:v>
      </x:c>
      <x:c r="G9" s="34" t="n">
        <x:v>1</x:v>
      </x:c>
      <x:c r="H9" s="32" t="n">
        <x:f>IF(E9=0,"",I9/E9)</x:f>
        <x:v>822.312819531226</x:v>
      </x:c>
      <x:c r="I9" s="31" t="n">
        <x:f>IF(C9=0,"",SUMIF('Species'!$G$2:$G$183,A9,'Species'!$U$2:$U$183))</x:f>
        <x:v>229495.06166039695</x:v>
      </x:c>
      <x:c r="J9" s="32" t="n">
        <x:v>3.882560309969292</x:v>
      </x:c>
      <x:c r="K9" s="32" t="n">
        <x:f>IF(J9="","",(1/'Metadata'!$B$5)^(J9-1))</x:f>
        <x:v>763.0628494540998</x:v>
      </x:c>
      <x:c r="L9" s="31" t="n">
        <x:f>IF(E9=0,"",E9*K9)</x:f>
        <x:v>212959.29180096768</x:v>
      </x:c>
      <x:c r="M9" s="31" t="n">
        <x:f>IF(E9=0,"",I9-L9)</x:f>
        <x:v>16535.769859429274</x:v>
      </x:c>
      <x:c r="N9" s="32" t="n">
        <x:f>IF(L9=0,"",I9/L9)</x:f>
        <x:v>1.0776475622152408</x:v>
      </x:c>
      <x:c r="O9" s="34" t="n">
        <x:f>IF(L9=0,"",M9/L9)</x:f>
        <x:v>0.07764756221524087</x:v>
      </x:c>
    </x:row>
    <x:row r="10" ht="18" customHeight="1">
      <x:c r="A10" s="24" t="str">
        <x:v>Large reef assoc. fish (&gt;=90 cm)</x:v>
      </x:c>
      <x:c r="B10" s="33" t="n">
        <x:v>3</x:v>
      </x:c>
      <x:c r="C10" s="33" t="n">
        <x:v>3</x:v>
      </x:c>
      <x:c r="D10" s="31" t="n">
        <x:v>156.6694297936</x:v>
      </x:c>
      <x:c r="E10" s="31" t="n">
        <x:v>156.6694297936</x:v>
      </x:c>
      <x:c r="F10" s="32" t="n">
        <x:v>0</x:v>
      </x:c>
      <x:c r="G10" s="34" t="n">
        <x:v>1</x:v>
      </x:c>
      <x:c r="H10" s="32" t="n">
        <x:f>IF(E10=0,"",I10/E10)</x:f>
        <x:v>194.5524980373364</x:v>
      </x:c>
      <x:c r="I10" s="31" t="n">
        <x:f>IF(C10=0,"",SUMIF('Species'!$G$2:$G$183,A10,'Species'!$U$2:$U$183))</x:f>
        <x:v>30480.428932429975</x:v>
      </x:c>
      <x:c r="J10" s="32" t="n">
        <x:v>3.2856347508258827</x:v>
      </x:c>
      <x:c r="K10" s="32" t="n">
        <x:f>IF(J10="","",(1/'Metadata'!$B$5)^(J10-1))</x:f>
        <x:v>193.03441812912558</x:v>
      </x:c>
      <x:c r="L10" s="31" t="n">
        <x:f>IF(E10=0,"",E10*K10)</x:f>
        <x:v>30242.592218829464</x:v>
      </x:c>
      <x:c r="M10" s="31" t="n">
        <x:f>IF(E10=0,"",I10-L10)</x:f>
        <x:v>237.83671360051085</x:v>
      </x:c>
      <x:c r="N10" s="32" t="n">
        <x:f>IF(L10=0,"",I10/L10)</x:f>
        <x:v>1.0078642965483768</x:v>
      </x:c>
      <x:c r="O10" s="34" t="n">
        <x:f>IF(L10=0,"",M10/L10)</x:f>
        <x:v>0.007864296548376906</x:v>
      </x:c>
    </x:row>
    <x:row r="11" ht="18" customHeight="1">
      <x:c r="A11" s="24" t="str">
        <x:v>Large sharks (&gt;=90 cm)</x:v>
      </x:c>
      <x:c r="B11" s="33" t="n">
        <x:v>13</x:v>
      </x:c>
      <x:c r="C11" s="33" t="n">
        <x:v>13</x:v>
      </x:c>
      <x:c r="D11" s="31" t="n">
        <x:v>356.3153774567</x:v>
      </x:c>
      <x:c r="E11" s="31" t="n">
        <x:v>356.3153774567</x:v>
      </x:c>
      <x:c r="F11" s="32" t="n">
        <x:v>0</x:v>
      </x:c>
      <x:c r="G11" s="34" t="n">
        <x:v>1</x:v>
      </x:c>
      <x:c r="H11" s="32" t="n">
        <x:f>IF(E11=0,"",I11/E11)</x:f>
        <x:v>1284.8716833966623</x:v>
      </x:c>
      <x:c r="I11" s="31" t="n">
        <x:f>IF(C11=0,"",SUMIF('Species'!$G$2:$G$183,A11,'Species'!$U$2:$U$183))</x:f>
        <x:v>457819.53885290725</x:v>
      </x:c>
      <x:c r="J11" s="32" t="n">
        <x:v>4.086589749480033</x:v>
      </x:c>
      <x:c r="K11" s="32" t="n">
        <x:f>IF(J11="","",(1/'Metadata'!$B$5)^(J11-1))</x:f>
        <x:v>1220.6460482850007</x:v>
      </x:c>
      <x:c r="L11" s="31" t="n">
        <x:f>IF(E11=0,"",E11*K11)</x:f>
        <x:v>434934.95743569924</x:v>
      </x:c>
      <x:c r="M11" s="31" t="n">
        <x:f>IF(E11=0,"",I11-L11)</x:f>
        <x:v>22884.581417208014</x:v>
      </x:c>
      <x:c r="N11" s="32" t="n">
        <x:f>IF(L11=0,"",I11/L11)</x:f>
        <x:v>1.05261610046737</x:v>
      </x:c>
      <x:c r="O11" s="34" t="n">
        <x:f>IF(L11=0,"",M11/L11)</x:f>
        <x:v>0.052616100467369926</x:v>
      </x:c>
    </x:row>
    <x:row r="12" ht="18" customHeight="1">
      <x:c r="A12" s="24" t="str">
        <x:v>Lobsters, crabs</x:v>
      </x:c>
      <x:c r="B12" s="33" t="n">
        <x:v>9</x:v>
      </x:c>
      <x:c r="C12" s="33" t="n">
        <x:v>9</x:v>
      </x:c>
      <x:c r="D12" s="31" t="n">
        <x:v>1958.1865588088</x:v>
      </x:c>
      <x:c r="E12" s="31" t="n">
        <x:v>1958.1865588088</x:v>
      </x:c>
      <x:c r="F12" s="32" t="n">
        <x:v>0</x:v>
      </x:c>
      <x:c r="G12" s="34" t="n">
        <x:v>1</x:v>
      </x:c>
      <x:c r="H12" s="32" t="n">
        <x:f>IF(E12=0,"",I12/E12)</x:f>
        <x:v>133.0653819930084</x:v>
      </x:c>
      <x:c r="I12" s="31" t="n">
        <x:f>IF(C12=0,"",SUMIF('Species'!$G$2:$G$183,A12,'Species'!$U$2:$U$183))</x:f>
        <x:v>260566.84246146758</x:v>
      </x:c>
      <x:c r="J12" s="32" t="n">
        <x:v>3.0608912117815543</x:v>
      </x:c>
      <x:c r="K12" s="32" t="n">
        <x:f>IF(J12="","",(1/'Metadata'!$B$5)^(J12-1))</x:f>
        <x:v>115.05121563039035</x:v>
      </x:c>
      <x:c r="L12" s="31" t="n">
        <x:f>IF(E12=0,"",E12*K12)</x:f>
        <x:v>225291.7440220433</x:v>
      </x:c>
      <x:c r="M12" s="31" t="n">
        <x:f>IF(E12=0,"",I12-L12)</x:f>
        <x:v>35275.09843942427</x:v>
      </x:c>
      <x:c r="N12" s="32" t="n">
        <x:f>IF(L12=0,"",I12/L12)</x:f>
        <x:v>1.1565751936119453</x:v>
      </x:c>
      <x:c r="O12" s="34" t="n">
        <x:f>IF(L12=0,"",M12/L12)</x:f>
        <x:v>0.15657519361194538</x:v>
      </x:c>
    </x:row>
    <x:row r="13" ht="18" customHeight="1">
      <x:c r="A13" s="24" t="str">
        <x:v>Medium bathydemersals (30 - 89 cm)</x:v>
      </x:c>
      <x:c r="B13" s="33" t="n">
        <x:v>3</x:v>
      </x:c>
      <x:c r="C13" s="33" t="n">
        <x:v>3</x:v>
      </x:c>
      <x:c r="D13" s="31" t="n">
        <x:v>92.68490982430001</x:v>
      </x:c>
      <x:c r="E13" s="31" t="n">
        <x:v>92.68490982430001</x:v>
      </x:c>
      <x:c r="F13" s="32" t="n">
        <x:v>0</x:v>
      </x:c>
      <x:c r="G13" s="34" t="n">
        <x:v>1</x:v>
      </x:c>
      <x:c r="H13" s="32" t="n">
        <x:f>IF(E13=0,"",I13/E13)</x:f>
        <x:v>2884.0043577500346</x:v>
      </x:c>
      <x:c r="I13" s="31" t="n">
        <x:f>IF(C13=0,"",SUMIF('Species'!$G$2:$G$183,A13,'Species'!$U$2:$U$183))</x:f>
        <x:v>267303.68383095023</x:v>
      </x:c>
      <x:c r="J13" s="32" t="n">
        <x:v>4.459988673096764</x:v>
      </x:c>
      <x:c r="K13" s="32" t="n">
        <x:f>IF(J13="","",(1/'Metadata'!$B$5)^(J13-1))</x:f>
        <x:v>2883.956285224626</x:v>
      </x:c>
      <x:c r="L13" s="31" t="n">
        <x:f>IF(E13=0,"",E13*K13)</x:f>
        <x:v>267299.22823326767</x:v>
      </x:c>
      <x:c r="M13" s="31" t="n">
        <x:f>IF(E13=0,"",I13-L13)</x:f>
        <x:v>4.455597682564985</x:v>
      </x:c>
      <x:c r="N13" s="32" t="n">
        <x:f>IF(L13=0,"",I13/L13)</x:f>
        <x:v>1.0000166689507934</x:v>
      </x:c>
      <x:c r="O13" s="34" t="n">
        <x:f>IF(L13=0,"",M13/L13)</x:f>
        <x:v>0.000016668950793515416</x:v>
      </x:c>
    </x:row>
    <x:row r="14" ht="18" customHeight="1">
      <x:c r="A14" s="24" t="str">
        <x:v>Medium bathypelagics (30 - 89 cm)</x:v>
      </x:c>
      <x:c r="B14" s="33" t="n">
        <x:v>1</x:v>
      </x:c>
      <x:c r="C14" s="33" t="n">
        <x:v>1</x:v>
      </x:c>
      <x:c r="D14" s="31" t="n">
        <x:v>0.7518795789</x:v>
      </x:c>
      <x:c r="E14" s="31" t="n">
        <x:v>0.7518795789</x:v>
      </x:c>
      <x:c r="F14" s="32" t="n">
        <x:v>0</x:v>
      </x:c>
      <x:c r="G14" s="34" t="n">
        <x:v>1</x:v>
      </x:c>
      <x:c r="H14" s="32" t="n">
        <x:f>IF(E14=0,"",I14/E14)</x:f>
        <x:v>1202.2644346174131</x:v>
      </x:c>
      <x:c r="I14" s="31" t="n">
        <x:f>IF(C14=0,"",SUMIF('Species'!$G$2:$G$183,A14,'Species'!$U$2:$U$183))</x:f>
        <x:v>903.9580768265872</x:v>
      </x:c>
      <x:c r="J14" s="32" t="n">
        <x:v>4.08</x:v>
      </x:c>
      <x:c r="K14" s="32" t="n">
        <x:f>IF(J14="","",(1/'Metadata'!$B$5)^(J14-1))</x:f>
        <x:v>1202.2644346174131</x:v>
      </x:c>
      <x:c r="L14" s="31" t="n">
        <x:f>IF(E14=0,"",E14*K14)</x:f>
        <x:v>903.9580768265872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Medium benthopelagics (30 - 89 cm)</x:v>
      </x:c>
      <x:c r="B15" s="33" t="n">
        <x:v>12</x:v>
      </x:c>
      <x:c r="C15" s="33" t="n">
        <x:v>12</x:v>
      </x:c>
      <x:c r="D15" s="31" t="n">
        <x:v>3893.2943444732005</x:v>
      </x:c>
      <x:c r="E15" s="31" t="n">
        <x:v>3893.2943444732005</x:v>
      </x:c>
      <x:c r="F15" s="32" t="n">
        <x:v>0</x:v>
      </x:c>
      <x:c r="G15" s="34" t="n">
        <x:v>1</x:v>
      </x:c>
      <x:c r="H15" s="32" t="n">
        <x:f>IF(E15=0,"",I15/E15)</x:f>
        <x:v>2216.947537695787</x:v>
      </x:c>
      <x:c r="I15" s="31" t="n">
        <x:f>IF(C15=0,"",SUMIF('Species'!$G$2:$G$183,A15,'Species'!$U$2:$U$183))</x:f>
        <x:v>8631229.310504796</x:v>
      </x:c>
      <x:c r="J15" s="32" t="n">
        <x:v>4.332508474339804</x:v>
      </x:c>
      <x:c r="K15" s="32" t="n">
        <x:f>IF(J15="","",(1/'Metadata'!$B$5)^(J15-1))</x:f>
        <x:v>2150.3466384050857</x:v>
      </x:c>
      <x:c r="L15" s="31" t="n">
        <x:f>IF(E15=0,"",E15*K15)</x:f>
        <x:v>8371932.405959479</x:v>
      </x:c>
      <x:c r="M15" s="31" t="n">
        <x:f>IF(E15=0,"",I15-L15)</x:f>
        <x:v>259296.9045453174</x:v>
      </x:c>
      <x:c r="N15" s="32" t="n">
        <x:f>IF(L15=0,"",I15/L15)</x:f>
        <x:v>1.0309721689058</x:v>
      </x:c>
      <x:c r="O15" s="34" t="n">
        <x:f>IF(L15=0,"",M15/L15)</x:f>
        <x:v>0.03097216890579998</x:v>
      </x:c>
    </x:row>
    <x:row r="16" ht="18" customHeight="1">
      <x:c r="A16" s="24" t="str">
        <x:v>Medium demersals (30 - 89 cm)</x:v>
      </x:c>
      <x:c r="B16" s="33" t="n">
        <x:v>27</x:v>
      </x:c>
      <x:c r="C16" s="33" t="n">
        <x:v>27</x:v>
      </x:c>
      <x:c r="D16" s="31" t="n">
        <x:v>19956.6977764599</x:v>
      </x:c>
      <x:c r="E16" s="31" t="n">
        <x:v>19956.6977764599</x:v>
      </x:c>
      <x:c r="F16" s="32" t="n">
        <x:v>0</x:v>
      </x:c>
      <x:c r="G16" s="34" t="n">
        <x:v>1</x:v>
      </x:c>
      <x:c r="H16" s="32" t="n">
        <x:f>IF(E16=0,"",I16/E16)</x:f>
        <x:v>252.92128144674965</x:v>
      </x:c>
      <x:c r="I16" s="31" t="n">
        <x:f>IF(C16=0,"",SUMIF('Species'!$G$2:$G$183,A16,'Species'!$U$2:$U$183))</x:f>
        <x:v>5047473.575067737</x:v>
      </x:c>
      <x:c r="J16" s="32" t="n">
        <x:v>3.3431395722372304</x:v>
      </x:c>
      <x:c r="K16" s="32" t="n">
        <x:f>IF(J16="","",(1/'Metadata'!$B$5)^(J16-1))</x:f>
        <x:v>220.36345466222636</x:v>
      </x:c>
      <x:c r="L16" s="31" t="n">
        <x:f>IF(E16=0,"",E16*K16)</x:f>
        <x:v>4397726.8656706745</x:v>
      </x:c>
      <x:c r="M16" s="31" t="n">
        <x:f>IF(E16=0,"",I16-L16)</x:f>
        <x:v>649746.7093970627</x:v>
      </x:c>
      <x:c r="N16" s="32" t="n">
        <x:f>IF(L16=0,"",I16/L16)</x:f>
        <x:v>1.1477460354505151</x:v>
      </x:c>
      <x:c r="O16" s="34" t="n">
        <x:f>IF(L16=0,"",M16/L16)</x:f>
        <x:v>0.14774603545051523</x:v>
      </x:c>
    </x:row>
    <x:row r="17" ht="18" customHeight="1">
      <x:c r="A17" s="24" t="str">
        <x:v>Medium pelagics (30 - 89 cm)</x:v>
      </x:c>
      <x:c r="B17" s="33" t="n">
        <x:v>14</x:v>
      </x:c>
      <x:c r="C17" s="33" t="n">
        <x:v>14</x:v>
      </x:c>
      <x:c r="D17" s="31" t="n">
        <x:v>11377.8504523545</x:v>
      </x:c>
      <x:c r="E17" s="31" t="n">
        <x:v>11377.8504523545</x:v>
      </x:c>
      <x:c r="F17" s="32" t="n">
        <x:v>0</x:v>
      </x:c>
      <x:c r="G17" s="34" t="n">
        <x:v>1</x:v>
      </x:c>
      <x:c r="H17" s="32" t="n">
        <x:f>IF(E17=0,"",I17/E17)</x:f>
        <x:v>271.98148214063536</x:v>
      </x:c>
      <x:c r="I17" s="31" t="n">
        <x:f>IF(C17=0,"",SUMIF('Species'!$G$2:$G$183,A17,'Species'!$U$2:$U$183))</x:f>
        <x:v>3094564.6296058754</x:v>
      </x:c>
      <x:c r="J17" s="32" t="n">
        <x:v>3.4070855557879822</x:v>
      </x:c>
      <x:c r="K17" s="32" t="n">
        <x:f>IF(J17="","",(1/'Metadata'!$B$5)^(J17-1))</x:f>
        <x:v>255.32042330325262</x:v>
      </x:c>
      <x:c r="L17" s="31" t="n">
        <x:f>IF(E17=0,"",E17*K17)</x:f>
        <x:v>2904997.5937762554</x:v>
      </x:c>
      <x:c r="M17" s="31" t="n">
        <x:f>IF(E17=0,"",I17-L17)</x:f>
        <x:v>189567.03582961997</x:v>
      </x:c>
      <x:c r="N17" s="32" t="n">
        <x:f>IF(L17=0,"",I17/L17)</x:f>
        <x:v>1.065255488071919</x:v>
      </x:c>
      <x:c r="O17" s="34" t="n">
        <x:f>IF(L17=0,"",M17/L17)</x:f>
        <x:v>0.06525548807191905</x:v>
      </x:c>
    </x:row>
    <x:row r="18" ht="18" customHeight="1">
      <x:c r="A18" s="24" t="str">
        <x:v>Medium reef assoc. fish (30 - 89 cm)</x:v>
      </x:c>
      <x:c r="B18" s="33" t="n">
        <x:v>5</x:v>
      </x:c>
      <x:c r="C18" s="33" t="n">
        <x:v>5</x:v>
      </x:c>
      <x:c r="D18" s="31" t="n">
        <x:v>9.802993840800001</x:v>
      </x:c>
      <x:c r="E18" s="31" t="n">
        <x:v>9.802993840800001</x:v>
      </x:c>
      <x:c r="F18" s="32" t="n">
        <x:v>0</x:v>
      </x:c>
      <x:c r="G18" s="34" t="n">
        <x:v>1</x:v>
      </x:c>
      <x:c r="H18" s="32" t="n">
        <x:f>IF(E18=0,"",I18/E18)</x:f>
        <x:v>229.59025882173174</x:v>
      </x:c>
      <x:c r="I18" s="31" t="n">
        <x:f>IF(C18=0,"",SUMIF('Species'!$G$2:$G$183,A18,'Species'!$U$2:$U$183))</x:f>
        <x:v>2250.6718931371142</x:v>
      </x:c>
      <x:c r="J18" s="32" t="n">
        <x:v>3.3330991812311</x:v>
      </x:c>
      <x:c r="K18" s="32" t="n">
        <x:f>IF(J18="","",(1/'Metadata'!$B$5)^(J18-1))</x:f>
        <x:v>215.32734285729262</x:v>
      </x:c>
      <x:c r="L18" s="31" t="n">
        <x:f>IF(E18=0,"",E18*K18)</x:f>
        <x:v>2110.8526157858696</x:v>
      </x:c>
      <x:c r="M18" s="31" t="n">
        <x:f>IF(E18=0,"",I18-L18)</x:f>
        <x:v>139.81927735124464</x:v>
      </x:c>
      <x:c r="N18" s="32" t="n">
        <x:f>IF(L18=0,"",I18/L18)</x:f>
        <x:v>1.0662382945666673</x:v>
      </x:c>
      <x:c r="O18" s="34" t="n">
        <x:f>IF(L18=0,"",M18/L18)</x:f>
        <x:v>0.0662382945666673</x:v>
      </x:c>
    </x:row>
    <x:row r="19" ht="18" customHeight="1">
      <x:c r="A19" s="24" t="str">
        <x:v>Other demersal invertebrates</x:v>
      </x:c>
      <x:c r="B19" s="33" t="n">
        <x:v>20</x:v>
      </x:c>
      <x:c r="C19" s="33" t="n">
        <x:v>20</x:v>
      </x:c>
      <x:c r="D19" s="31" t="n">
        <x:v>9164.5458697679</x:v>
      </x:c>
      <x:c r="E19" s="31" t="n">
        <x:v>9164.5458697679</x:v>
      </x:c>
      <x:c r="F19" s="32" t="n">
        <x:v>0</x:v>
      </x:c>
      <x:c r="G19" s="34" t="n">
        <x:v>1</x:v>
      </x:c>
      <x:c r="H19" s="32" t="n">
        <x:f>IF(E19=0,"",I19/E19)</x:f>
        <x:v>40.42194509348832</x:v>
      </x:c>
      <x:c r="I19" s="31" t="n">
        <x:f>IF(C19=0,"",SUMIF('Species'!$G$2:$G$183,A19,'Species'!$U$2:$U$183))</x:f>
        <x:v>370448.76995451323</x:v>
      </x:c>
      <x:c r="J19" s="32" t="n">
        <x:v>2.125918410485176</x:v>
      </x:c>
      <x:c r="K19" s="32" t="n">
        <x:f>IF(J19="","",(1/'Metadata'!$B$5)^(J19-1))</x:f>
        <x:v>13.36344438208462</x:v>
      </x:c>
      <x:c r="L19" s="31" t="n">
        <x:f>IF(E19=0,"",E19*K19)</x:f>
        <x:v>122469.89901770666</x:v>
      </x:c>
      <x:c r="M19" s="31" t="n">
        <x:f>IF(E19=0,"",I19-L19)</x:f>
        <x:v>247978.87093680658</x:v>
      </x:c>
      <x:c r="N19" s="32" t="n">
        <x:f>IF(L19=0,"",I19/L19)</x:f>
        <x:v>3.024814855942307</x:v>
      </x:c>
      <x:c r="O19" s="34" t="n">
        <x:f>IF(L19=0,"",M19/L19)</x:f>
        <x:v>2.024814855942307</x:v>
      </x:c>
    </x:row>
    <x:row r="20" ht="18" customHeight="1">
      <x:c r="A20" s="24" t="str">
        <x:v>Shrimps</x:v>
      </x:c>
      <x:c r="B20" s="33" t="n">
        <x:v>6</x:v>
      </x:c>
      <x:c r="C20" s="33" t="n">
        <x:v>6</x:v>
      </x:c>
      <x:c r="D20" s="31" t="n">
        <x:v>11389.1390593197</x:v>
      </x:c>
      <x:c r="E20" s="31" t="n">
        <x:v>11389.1390593197</x:v>
      </x:c>
      <x:c r="F20" s="32" t="n">
        <x:v>0</x:v>
      </x:c>
      <x:c r="G20" s="34" t="n">
        <x:v>1</x:v>
      </x:c>
      <x:c r="H20" s="32" t="n">
        <x:f>IF(E20=0,"",I20/E20)</x:f>
        <x:v>154.19663857891723</x:v>
      </x:c>
      <x:c r="I20" s="31" t="n">
        <x:f>IF(C20=0,"",SUMIF('Species'!$G$2:$G$183,A20,'Species'!$U$2:$U$183))</x:f>
        <x:v>1756166.959254949</x:v>
      </x:c>
      <x:c r="J20" s="32" t="n">
        <x:v>3.186822435396787</x:v>
      </x:c>
      <x:c r="K20" s="32" t="n">
        <x:f>IF(J20="","",(1/'Metadata'!$B$5)^(J20-1))</x:f>
        <x:v>153.7525882620388</x:v>
      </x:c>
      <x:c r="L20" s="31" t="n">
        <x:f>IF(E20=0,"",E20*K20)</x:f>
        <x:v>1751109.6084466858</x:v>
      </x:c>
      <x:c r="M20" s="31" t="n">
        <x:f>IF(E20=0,"",I20-L20)</x:f>
        <x:v>5057.350808263058</x:v>
      </x:c>
      <x:c r="N20" s="32" t="n">
        <x:f>IF(L20=0,"",I20/L20)</x:f>
        <x:v>1.0028880835236518</x:v>
      </x:c>
      <x:c r="O20" s="34" t="n">
        <x:f>IF(L20=0,"",M20/L20)</x:f>
        <x:v>0.002888083523651703</x:v>
      </x:c>
    </x:row>
    <x:row r="21" ht="18" customHeight="1">
      <x:c r="A21" s="24" t="str">
        <x:v>Small demersals (&lt;30 cm)</x:v>
      </x:c>
      <x:c r="B21" s="33" t="n">
        <x:v>1</x:v>
      </x:c>
      <x:c r="C21" s="33" t="n">
        <x:v>1</x:v>
      </x:c>
      <x:c r="D21" s="31" t="n">
        <x:v>0.005033617</x:v>
      </x:c>
      <x:c r="E21" s="31" t="n">
        <x:v>0.005033617</x:v>
      </x:c>
      <x:c r="F21" s="32" t="n">
        <x:v>0</x:v>
      </x:c>
      <x:c r="G21" s="34" t="n">
        <x:v>1</x:v>
      </x:c>
      <x:c r="H21" s="32" t="n">
        <x:f>IF(E21=0,"",I21/E21)</x:f>
        <x:v>120.22644346174131</x:v>
      </x:c>
      <x:c r="I21" s="31" t="n">
        <x:f>IF(C21=0,"",SUMIF('Species'!$G$2:$G$183,A21,'Species'!$U$2:$U$183))</x:f>
        <x:v>0.6051738696585599</x:v>
      </x:c>
      <x:c r="J21" s="32" t="n">
        <x:v>3.08</x:v>
      </x:c>
      <x:c r="K21" s="32" t="n">
        <x:f>IF(J21="","",(1/'Metadata'!$B$5)^(J21-1))</x:f>
        <x:v>120.22644346174131</x:v>
      </x:c>
      <x:c r="L21" s="31" t="n">
        <x:f>IF(E21=0,"",E21*K21)</x:f>
        <x:v>0.6051738696585599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11801.442288958999</x:v>
      </x:c>
      <x:c r="E22" s="31" t="n">
        <x:v>11801.442288958999</x:v>
      </x:c>
      <x:c r="F22" s="32" t="n">
        <x:v>0</x:v>
      </x:c>
      <x:c r="G22" s="34" t="n">
        <x:v>1</x:v>
      </x:c>
      <x:c r="H22" s="32" t="n">
        <x:f>IF(E22=0,"",I22/E22)</x:f>
        <x:v>102.64232972571632</x:v>
      </x:c>
      <x:c r="I22" s="31" t="n">
        <x:f>IF(C22=0,"",SUMIF('Species'!$G$2:$G$183,A22,'Species'!$U$2:$U$183))</x:f>
        <x:v>1211327.530662342</x:v>
      </x:c>
      <x:c r="J22" s="32" t="n">
        <x:v>3.0111305686247123</x:v>
      </x:c>
      <x:c r="K22" s="32" t="n">
        <x:f>IF(J22="","",(1/'Metadata'!$B$5)^(J22-1))</x:f>
        <x:v>102.59603301108861</x:v>
      </x:c>
      <x:c r="L22" s="31" t="n">
        <x:f>IF(E22=0,"",E22*K22)</x:f>
        <x:v>1210781.1626564944</x:v>
      </x:c>
      <x:c r="M22" s="31" t="n">
        <x:f>IF(E22=0,"",I22-L22)</x:f>
        <x:v>546.3680058475584</x:v>
      </x:c>
      <x:c r="N22" s="32" t="n">
        <x:f>IF(L22=0,"",I22/L22)</x:f>
        <x:v>1.0004512524828588</x:v>
      </x:c>
      <x:c r="O22" s="34" t="n">
        <x:f>IF(L22=0,"",M22/L22)</x:f>
        <x:v>0.00045125248285892447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0.0235156163</x:v>
      </x:c>
      <x:c r="E23" s="31" t="n">
        <x:v>0.0235156163</x:v>
      </x:c>
      <x:c r="F23" s="32" t="n">
        <x:v>0</x:v>
      </x:c>
      <x:c r="G23" s="34" t="n">
        <x:v>1</x:v>
      </x:c>
      <x:c r="H23" s="32" t="n">
        <x:f>IF(E23=0,"",I23/E23)</x:f>
        <x:v>267.4646046745524</x:v>
      </x:c>
      <x:c r="I23" s="31" t="n">
        <x:f>IF(C23=0,"",SUMIF('Species'!$G$2:$G$183,A23,'Species'!$U$2:$U$183))</x:f>
        <x:v>6.28959501735796</x:v>
      </x:c>
      <x:c r="J23" s="32" t="n">
        <x:v>3.369227737101664</x:v>
      </x:c>
      <x:c r="K23" s="32" t="n">
        <x:f>IF(J23="","",(1/'Metadata'!$B$5)^(J23-1))</x:f>
        <x:v>234.0064009236869</x:v>
      </x:c>
      <x:c r="L23" s="31" t="n">
        <x:f>IF(E23=0,"",E23*K23)</x:f>
        <x:v>5.502804735865387</x:v>
      </x:c>
      <x:c r="M23" s="31" t="n">
        <x:f>IF(E23=0,"",I23-L23)</x:f>
        <x:v>0.7867902814925731</x:v>
      </x:c>
      <x:c r="N23" s="32" t="n">
        <x:f>IF(L23=0,"",I23/L23)</x:f>
        <x:v>1.1429798655882781</x:v>
      </x:c>
      <x:c r="O23" s="34" t="n">
        <x:f>IF(L23=0,"",M23/L23)</x:f>
        <x:v>0.1429798655882781</x:v>
      </x:c>
    </x:row>
    <x:row r="24" ht="18" customHeight="1">
      <x:c r="A24" s="24" t="str">
        <x:v>Small to medium flatfishes (&lt;90 cm)</x:v>
      </x:c>
      <x:c r="B24" s="33" t="n">
        <x:v>17</x:v>
      </x:c>
      <x:c r="C24" s="33" t="n">
        <x:v>17</x:v>
      </x:c>
      <x:c r="D24" s="31" t="n">
        <x:v>14327.527849189</x:v>
      </x:c>
      <x:c r="E24" s="31" t="n">
        <x:v>14327.527849189</x:v>
      </x:c>
      <x:c r="F24" s="32" t="n">
        <x:v>0</x:v>
      </x:c>
      <x:c r="G24" s="34" t="n">
        <x:v>1</x:v>
      </x:c>
      <x:c r="H24" s="32" t="n">
        <x:f>IF(E24=0,"",I24/E24)</x:f>
        <x:v>245.4318750605092</x:v>
      </x:c>
      <x:c r="I24" s="31" t="n">
        <x:f>IF(C24=0,"",SUMIF('Species'!$G$2:$G$183,A24,'Species'!$U$2:$U$183))</x:f>
        <x:v>3516432.025008121</x:v>
      </x:c>
      <x:c r="J24" s="32" t="n">
        <x:v>3.298202592095599</x:v>
      </x:c>
      <x:c r="K24" s="32" t="n">
        <x:f>IF(J24="","",(1/'Metadata'!$B$5)^(J24-1))</x:f>
        <x:v>198.7021618045396</x:v>
      </x:c>
      <x:c r="L24" s="31" t="n">
        <x:f>IF(E24=0,"",E24*K24)</x:f>
        <x:v>2846910.7569486</x:v>
      </x:c>
      <x:c r="M24" s="31" t="n">
        <x:f>IF(E24=0,"",I24-L24)</x:f>
        <x:v>669521.268059521</x:v>
      </x:c>
      <x:c r="N24" s="32" t="n">
        <x:f>IF(L24=0,"",I24/L24)</x:f>
        <x:v>1.2351746595587467</x:v>
      </x:c>
      <x:c r="O24" s="34" t="n">
        <x:f>IF(L24=0,"",M24/L24)</x:f>
        <x:v>0.23517465955874672</x:v>
      </x:c>
    </x:row>
    <x:row r="25" ht="18" customHeight="1">
      <x:c r="A25" s="24" t="str">
        <x:v>Small to medium rays (&lt;90 cm)</x:v>
      </x:c>
      <x:c r="B25" s="33" t="n">
        <x:v>4</x:v>
      </x:c>
      <x:c r="C25" s="33" t="n">
        <x:v>4</x:v>
      </x:c>
      <x:c r="D25" s="31" t="n">
        <x:v>144.0289267544</x:v>
      </x:c>
      <x:c r="E25" s="31" t="n">
        <x:v>144.0289267544</x:v>
      </x:c>
      <x:c r="F25" s="32" t="n">
        <x:v>0</x:v>
      </x:c>
      <x:c r="G25" s="34" t="n">
        <x:v>1</x:v>
      </x:c>
      <x:c r="H25" s="32" t="n">
        <x:f>IF(E25=0,"",I25/E25)</x:f>
        <x:v>702.9795375049911</x:v>
      </x:c>
      <x:c r="I25" s="31" t="n">
        <x:f>IF(C25=0,"",SUMIF('Species'!$G$2:$G$183,A25,'Species'!$U$2:$U$183))</x:f>
        <x:v>101249.38831714835</x:v>
      </x:c>
      <x:c r="J25" s="32" t="n">
        <x:v>3.845071512518228</x:v>
      </x:c>
      <x:c r="K25" s="32" t="n">
        <x:f>IF(J25="","",(1/'Metadata'!$B$5)^(J25-1))</x:f>
        <x:v>699.9572440339823</x:v>
      </x:c>
      <x:c r="L25" s="31" t="n">
        <x:f>IF(E25=0,"",E25*K25)</x:f>
        <x:v>100814.09063218212</x:v>
      </x:c>
      <x:c r="M25" s="31" t="n">
        <x:f>IF(E25=0,"",I25-L25)</x:f>
        <x:v>435.29768496622273</x:v>
      </x:c>
      <x:c r="N25" s="32" t="n">
        <x:f>IF(L25=0,"",I25/L25)</x:f>
        <x:v>1.0043178258340335</x:v>
      </x:c>
      <x:c r="O25" s="34" t="n">
        <x:f>IF(L25=0,"",M25/L25)</x:f>
        <x:v>0.004317825834033421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202.7324870138</x:v>
      </x:c>
      <x:c r="E26" s="31" t="n">
        <x:v>202.7324870138</x:v>
      </x:c>
      <x:c r="F26" s="32" t="n">
        <x:v>0</x:v>
      </x:c>
      <x:c r="G26" s="34" t="n">
        <x:v>1</x:v>
      </x:c>
      <x:c r="H26" s="32" t="n">
        <x:f>IF(E26=0,"",I26/E26)</x:f>
        <x:v>667.5841738473343</x:v>
      </x:c>
      <x:c r="I26" s="31" t="n">
        <x:f>IF(C26=0,"",SUMIF('Species'!$G$2:$G$183,A26,'Species'!$U$2:$U$183))</x:f>
        <x:v>135340.9998551231</x:v>
      </x:c>
      <x:c r="J26" s="32" t="n">
        <x:v>3.824324100582953</x:v>
      </x:c>
      <x:c r="K26" s="32" t="n">
        <x:f>IF(J26="","",(1/'Metadata'!$B$5)^(J26-1))</x:f>
        <x:v>667.3045722728942</x:v>
      </x:c>
      <x:c r="L26" s="31" t="n">
        <x:f>IF(E26=0,"",E26*K26)</x:f>
        <x:v>135284.3155325639</x:v>
      </x:c>
      <x:c r="M26" s="31" t="n">
        <x:f>IF(E26=0,"",I26-L26)</x:f>
        <x:v>56.684322559216525</x:v>
      </x:c>
      <x:c r="N26" s="32" t="n">
        <x:f>IF(L26=0,"",I26/L26)</x:f>
        <x:v>1.000419001436612</x:v>
      </x:c>
      <x:c r="O26" s="34" t="n">
        <x:f>IF(L26=0,"",M26/L26)</x:f>
        <x:v>0.0004190014366120085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324ce52061847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EEZ_528</x:v>
      </x:c>
      <x:c r="B2" s="24" t="str">
        <x:v>raw_filtered_tonnes</x:v>
      </x:c>
      <x:c r="C2" s="24" t="n">
        <x:v>101104.75663139789</x:v>
      </x:c>
      <x:c r="D2" s="24" t="str">
        <x:v>tonnes</x:v>
      </x:c>
    </x:row>
    <x:row r="3" ht="18" customHeight="1">
      <x:c r="A3" s="24" t="str">
        <x:v>EEZ_528</x:v>
      </x:c>
      <x:c r="B3" s="24" t="str">
        <x:v>species_catch_tonnes</x:v>
      </x:c>
      <x:c r="C3" s="24" t="n">
        <x:v>101104.7566313979</x:v>
      </x:c>
      <x:c r="D3" s="24" t="str">
        <x:v>tonnes</x:v>
      </x:c>
    </x:row>
    <x:row r="4" ht="18" customHeight="1">
      <x:c r="A4" s="24" t="str">
        <x:v>EEZ_528</x:v>
      </x:c>
      <x:c r="B4" s="24" t="str">
        <x:v>catch_difference_tonnes</x:v>
      </x:c>
      <x:c r="C4" s="24" t="n">
        <x:v>1.4551915228366852e-11</x:v>
      </x:c>
      <x:c r="D4" s="24" t="str">
        <x:v>tonnes</x:v>
      </x:c>
    </x:row>
    <x:row r="5" ht="18" customHeight="1">
      <x:c r="A5" s="24" t="str">
        <x:v>EEZ_528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EEZ_528</x:v>
      </x:c>
      <x:c r="B6" s="24" t="str">
        <x:v>matched_catch_tonnes</x:v>
      </x:c>
      <x:c r="C6" s="24" t="n">
        <x:v>101104.7566313979</x:v>
      </x:c>
      <x:c r="D6" s="24" t="str">
        <x:v>tonnes</x:v>
      </x:c>
    </x:row>
    <x:row r="7" ht="18" customHeight="1">
      <x:c r="A7" s="24" t="str">
        <x:v>EEZ_528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EEZ_528</x:v>
      </x:c>
      <x:c r="B8" s="24" t="str">
        <x:v>taxa_count</x:v>
      </x:c>
      <x:c r="C8" s="24" t="n">
        <x:v>182</x:v>
      </x:c>
      <x:c r="D8" s="24" t="str">
        <x:v>count</x:v>
      </x:c>
    </x:row>
    <x:row r="9" ht="18" customHeight="1">
      <x:c r="A9" s="24" t="str">
        <x:v>EEZ_528</x:v>
      </x:c>
      <x:c r="B9" s="24" t="str">
        <x:v>matched_taxa_count</x:v>
      </x:c>
      <x:c r="C9" s="24" t="n">
        <x:v>182</x:v>
      </x:c>
      <x:c r="D9" s="24" t="str">
        <x:v>count</x:v>
      </x:c>
    </x:row>
    <x:row r="10" ht="18" customHeight="1">
      <x:c r="A10" s="24" t="str">
        <x:v>EEZ_528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EEZ_528</x:v>
      </x:c>
      <x:c r="B11" s="24" t="str">
        <x:v>species_ppr</x:v>
      </x:c>
      <x:c r="C11" s="24" t="n">
        <x:v>32412118.312102888</x:v>
      </x:c>
      <x:c r="D11" s="24" t="str">
        <x:v>tonnes_primary_production_equivalent</x:v>
      </x:c>
    </x:row>
    <x:row r="12" ht="18" customHeight="1">
      <x:c r="A12" s="24" t="str">
        <x:v>EEZ_528</x:v>
      </x:c>
      <x:c r="B12" s="24" t="str">
        <x:v>commercial_ppr</x:v>
      </x:c>
      <x:c r="C12" s="24" t="n">
        <x:v>32412118.312102888</x:v>
      </x:c>
      <x:c r="D12" s="24" t="str">
        <x:v>tonnes_primary_production_equivalent</x:v>
      </x:c>
    </x:row>
    <x:row r="13" ht="18" customHeight="1">
      <x:c r="A13" s="24" t="str">
        <x:v>EEZ_528</x:v>
      </x:c>
      <x:c r="B13" s="24" t="str">
        <x:v>functional_ppr</x:v>
      </x:c>
      <x:c r="C13" s="24" t="n">
        <x:v>32412118.312102884</x:v>
      </x:c>
      <x:c r="D13" s="24" t="str">
        <x:v>tonnes_primary_production_equivalent</x:v>
      </x:c>
    </x:row>
    <x:row r="14" ht="18" customHeight="1">
      <x:c r="A14" s="24" t="str">
        <x:v>EEZ_528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EEZ_528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EEZ_528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EEZ_528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EEZ_528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EEZ_528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488092b348049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EEZ_528 - Netherlands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EEZ_528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