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ffa3f3b12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9c9a2c510f54626"/>
    <x:sheet xmlns:r="http://schemas.openxmlformats.org/officeDocument/2006/relationships" name="Commercial" sheetId="2" r:id="R5b2eaf5fcc6f4511"/>
    <x:sheet xmlns:r="http://schemas.openxmlformats.org/officeDocument/2006/relationships" name="Functional" sheetId="3" r:id="R4fe1a0e218724b7e"/>
    <x:sheet xmlns:r="http://schemas.openxmlformats.org/officeDocument/2006/relationships" name="Missing TL" sheetId="4" r:id="R65291ce42b524cb9"/>
    <x:sheet xmlns:r="http://schemas.openxmlformats.org/officeDocument/2006/relationships" name="Validation" sheetId="5" r:id="Rb8800ae277184b60"/>
    <x:sheet xmlns:r="http://schemas.openxmlformats.org/officeDocument/2006/relationships" name="Metadata" sheetId="6" r:id="R9b1f544989a6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d87cf6a124e5e" /><Relationship Type="http://schemas.openxmlformats.org/officeDocument/2006/relationships/theme" Target="/xl/theme/theme1.xml" Id="Rfe48c1f2bb6640c2" /><Relationship Type="http://schemas.microsoft.com/office/2022/11/relationships/FeaturePropertyBag" Target="/xl/featurePropertyBag/featurePropertyBag.xml" Id="Rcbd08ba6dbe641fc" /><Relationship Type="http://schemas.openxmlformats.org/officeDocument/2006/relationships/sharedStrings" Target="/xl/sharedStrings.xml" Id="R97fe47a8b9314e48" /><Relationship Type="http://schemas.openxmlformats.org/officeDocument/2006/relationships/worksheet" Target="/xl/worksheets/sheet1.xml" Id="R49c9a2c510f54626" /><Relationship Type="http://schemas.openxmlformats.org/officeDocument/2006/relationships/worksheet" Target="/xl/worksheets/sheet2.xml" Id="R5b2eaf5fcc6f4511" /><Relationship Type="http://schemas.openxmlformats.org/officeDocument/2006/relationships/worksheet" Target="/xl/worksheets/sheet3.xml" Id="R4fe1a0e218724b7e" /><Relationship Type="http://schemas.openxmlformats.org/officeDocument/2006/relationships/worksheet" Target="/xl/worksheets/sheet4.xml" Id="R65291ce42b524cb9" /><Relationship Type="http://schemas.openxmlformats.org/officeDocument/2006/relationships/worksheet" Target="/xl/worksheets/sheet5.xml" Id="Rb8800ae277184b60" /><Relationship Type="http://schemas.openxmlformats.org/officeDocument/2006/relationships/worksheet" Target="/xl/worksheets/sheet6.xml" Id="R9b1f544989a641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2SpeciesTable" displayName="EEZ902SpeciesTable" ref="A1:U146" headerRowCount="1" totalsRowCount="0" totalsRowShown="0">
  <x:autoFilter ref="A1:U1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2CommercialTable" displayName="EEZ902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2FunctionalTable" displayName="EEZ902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2ValidationTable" displayName="EEZ90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f8ed8452674f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3010454dc045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f33da7d89642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646f35270c44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EEZ_902</x:v>
      </x:c>
      <x:c r="B2" s="24" t="str">
        <x:v>Sardinia (Italy)</x:v>
      </x:c>
      <x:c r="C2" s="24" t="str">
        <x:v>EEZ</x:v>
      </x:c>
      <x:c r="D2" s="30" t="n">
        <x:v>2019</x:v>
      </x:c>
      <x:c r="E2" s="24" t="str">
        <x:v>Boops boops</x:v>
      </x:c>
      <x:c r="F2" s="24" t="str">
        <x:v>Bogue</x:v>
      </x:c>
      <x:c r="G2" s="24" t="str">
        <x:v>Medium demersals (30 - 89 cm)</x:v>
      </x:c>
      <x:c r="H2" s="24" t="str">
        <x:v>Perch-likes</x:v>
      </x:c>
      <x:c r="I2" s="31" t="n">
        <x:v>1409.647629611</x:v>
      </x:c>
      <x:c r="J2" s="31" t="n">
        <x:v>1386.008297891</x:v>
      </x:c>
      <x:c r="K2" s="31" t="n">
        <x:v>23.63933172</x:v>
      </x:c>
      <x:c r="L2" s="31" t="n">
        <x:v>415.20026212</x:v>
      </x:c>
      <x:c r="M2" s="31" t="n">
        <x:v>994.447367491</x:v>
      </x:c>
      <x:c r="N2" s="24" t="str">
        <x:v>boops boops</x:v>
      </x:c>
      <x:c r="O2" s="32" t="n">
        <x:v>2.79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Boops boops</x:v>
      </x:c>
      <x:c r="T2" s="32" t="n">
        <x:f>IF(O2="","",(1/'Metadata'!$B$5)^(O2-1))</x:f>
        <x:v>61.65950018614822</x:v>
      </x:c>
      <x:c r="U2" s="31" t="n">
        <x:f>IF(T2="","",I2*T2)</x:f>
        <x:v>86918.16828040285</x:v>
      </x:c>
    </x:row>
    <x:row r="3" ht="18" customHeight="1">
      <x:c r="A3" s="24" t="str">
        <x:v>EEZ_902</x:v>
      </x:c>
      <x:c r="B3" s="24" t="str">
        <x:v>Sardinia (Italy)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901.1714847581</x:v>
      </x:c>
      <x:c r="J3" s="31" t="n">
        <x:v>897.5992300291</x:v>
      </x:c>
      <x:c r="K3" s="31" t="n">
        <x:v>3.572254729</x:v>
      </x:c>
      <x:c r="L3" s="31" t="n">
        <x:v>760.4987796941</x:v>
      </x:c>
      <x:c r="M3" s="31" t="n">
        <x:v>140.67270506399998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171714.6864355174</x:v>
      </x:c>
    </x:row>
    <x:row r="4" ht="18" customHeight="1">
      <x:c r="A4" s="24" t="str">
        <x:v>EEZ_902</x:v>
      </x:c>
      <x:c r="B4" s="24" t="str">
        <x:v>Sardinia (Italy)</x:v>
      </x:c>
      <x:c r="C4" s="24" t="str">
        <x:v>EEZ</x:v>
      </x:c>
      <x:c r="D4" s="30" t="n">
        <x:v>2019</x:v>
      </x:c>
      <x:c r="E4" s="24" t="str">
        <x:v>Octopus vulgaris</x:v>
      </x:c>
      <x:c r="F4" s="24" t="str">
        <x:v>Common octopus</x:v>
      </x:c>
      <x:c r="G4" s="24" t="str">
        <x:v>Cephalopods</x:v>
      </x:c>
      <x:c r="H4" s="24" t="str">
        <x:v>Other fishes &amp; inverts</x:v>
      </x:c>
      <x:c r="I4" s="31" t="n">
        <x:v>812.8267181809999</x:v>
      </x:c>
      <x:c r="J4" s="31" t="n">
        <x:v>640.5829580369999</x:v>
      </x:c>
      <x:c r="K4" s="31" t="n">
        <x:v>172.243760144</x:v>
      </x:c>
      <x:c r="L4" s="31" t="n">
        <x:v>731.597172314</x:v>
      </x:c>
      <x:c r="M4" s="31" t="n">
        <x:v>81.229545867</x:v>
      </x:c>
      <x:c r="N4" s="24" t="str">
        <x:v>octopus vulgaris</x:v>
      </x:c>
      <x:c r="O4" s="32" t="n">
        <x:v>3.6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Octopus vulgaris</x:v>
      </x:c>
      <x:c r="T4" s="32" t="n">
        <x:f>IF(O4="","",(1/'Metadata'!$B$5)^(O4-1))</x:f>
        <x:v>398.1071705534973</x:v>
      </x:c>
      <x:c r="U4" s="31" t="n">
        <x:f>IF(T4="","",I4*T4)</x:f>
        <x:v>323592.14492532285</x:v>
      </x:c>
    </x:row>
    <x:row r="5" ht="18" customHeight="1">
      <x:c r="A5" s="24" t="str">
        <x:v>EEZ_902</x:v>
      </x:c>
      <x:c r="B5" s="24" t="str">
        <x:v>Sardinia (Italy)</x:v>
      </x:c>
      <x:c r="C5" s="24" t="str">
        <x:v>EEZ</x:v>
      </x:c>
      <x:c r="D5" s="30" t="n">
        <x:v>2019</x:v>
      </x:c>
      <x:c r="E5" s="24" t="str">
        <x:v>Merluccius merluccius</x:v>
      </x:c>
      <x:c r="F5" s="24" t="str">
        <x:v>European hake</x:v>
      </x:c>
      <x:c r="G5" s="24" t="str">
        <x:v>Large demersals (&gt;=90 cm)</x:v>
      </x:c>
      <x:c r="H5" s="24" t="str">
        <x:v>Cod-likes</x:v>
      </x:c>
      <x:c r="I5" s="31" t="n">
        <x:v>693.544185567</x:v>
      </x:c>
      <x:c r="J5" s="31" t="n">
        <x:v>540.325676867</x:v>
      </x:c>
      <x:c r="K5" s="31" t="n">
        <x:v>153.2185087</x:v>
      </x:c>
      <x:c r="L5" s="31" t="n">
        <x:v>550.78452271</x:v>
      </x:c>
      <x:c r="M5" s="31" t="n">
        <x:v>142.759662857</x:v>
      </x:c>
      <x:c r="N5" s="24" t="str">
        <x:v>merluccius merluccius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Merluccius merluccius</x:v>
      </x:c>
      <x:c r="T5" s="32" t="n">
        <x:f>IF(O5="","",(1/'Metadata'!$B$5)^(O5-1))</x:f>
        <x:v>2630.2679918953813</x:v>
      </x:c>
      <x:c r="U5" s="31" t="n">
        <x:f>IF(T5="","",I5*T5)</x:f>
        <x:v>1824207.0722620308</x:v>
      </x:c>
    </x:row>
    <x:row r="6" ht="18" customHeight="1">
      <x:c r="A6" s="24" t="str">
        <x:v>EEZ_902</x:v>
      </x:c>
      <x:c r="B6" s="24" t="str">
        <x:v>Sardinia (Italy)</x:v>
      </x:c>
      <x:c r="C6" s="24" t="str">
        <x:v>EEZ</x:v>
      </x:c>
      <x:c r="D6" s="30" t="n">
        <x:v>2019</x:v>
      </x:c>
      <x:c r="E6" s="24" t="str">
        <x:v>Lithognathus mormyrus</x:v>
      </x:c>
      <x:c r="F6" s="24" t="str">
        <x:v>Sand steenbras</x:v>
      </x:c>
      <x:c r="G6" s="24" t="str">
        <x:v>Medium benthopelagics (30 - 89 cm)</x:v>
      </x:c>
      <x:c r="H6" s="24" t="str">
        <x:v>Perch-likes</x:v>
      </x:c>
      <x:c r="I6" s="31" t="n">
        <x:v>625.9782753041001</x:v>
      </x:c>
      <x:c r="J6" s="31" t="n">
        <x:v>625.9782753041001</x:v>
      </x:c>
      <x:c r="K6" s="31" t="n">
        <x:v>0</x:v>
      </x:c>
      <x:c r="L6" s="31" t="n">
        <x:v>38.2457530101</x:v>
      </x:c>
      <x:c r="M6" s="31" t="n">
        <x:v>587.732522294</x:v>
      </x:c>
      <x:c r="N6" s="24" t="str">
        <x:v>lithognathus mormyrus</x:v>
      </x:c>
      <x:c r="O6" s="32" t="n">
        <x:v>3.42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Lithognathus mormyrus</x:v>
      </x:c>
      <x:c r="T6" s="32" t="n">
        <x:f>IF(O6="","",(1/'Metadata'!$B$5)^(O6-1))</x:f>
        <x:v>263.02679918953817</x:v>
      </x:c>
      <x:c r="U6" s="31" t="n">
        <x:f>IF(T6="","",I6*T6)</x:f>
        <x:v>164649.06211542495</x:v>
      </x:c>
    </x:row>
    <x:row r="7" ht="18" customHeight="1">
      <x:c r="A7" s="24" t="str">
        <x:v>EEZ_902</x:v>
      </x:c>
      <x:c r="B7" s="24" t="str">
        <x:v>Sardinia (Italy)</x:v>
      </x:c>
      <x:c r="C7" s="24" t="str">
        <x:v>EEZ</x:v>
      </x:c>
      <x:c r="D7" s="30" t="n">
        <x:v>2019</x:v>
      </x:c>
      <x:c r="E7" s="24" t="str">
        <x:v>Diplodus</x:v>
      </x:c>
      <x:c r="F7" s="24" t="str">
        <x:v>Two-toothed seabreams</x:v>
      </x:c>
      <x:c r="G7" s="24" t="str">
        <x:v>Medium benthopelagics (30 - 89 cm)</x:v>
      </x:c>
      <x:c r="H7" s="24" t="str">
        <x:v>Perch-likes</x:v>
      </x:c>
      <x:c r="I7" s="31" t="n">
        <x:v>543.7614006800001</x:v>
      </x:c>
      <x:c r="J7" s="31" t="n">
        <x:v>543.7614006800001</x:v>
      </x:c>
      <x:c r="K7" s="31" t="n">
        <x:v>0</x:v>
      </x:c>
      <x:c r="L7" s="31" t="n">
        <x:v>30.50163368</x:v>
      </x:c>
      <x:c r="M7" s="31" t="n">
        <x:v>513.259767</x:v>
      </x:c>
      <x:c r="N7" s="24" t="str">
        <x:v>diplodus</x:v>
      </x:c>
      <x:c r="O7" s="32" t="n">
        <x:v>2.97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Diplodus</x:v>
      </x:c>
      <x:c r="T7" s="32" t="n">
        <x:f>IF(O7="","",(1/'Metadata'!$B$5)^(O7-1))</x:f>
        <x:v>93.32543007969915</x:v>
      </x:c>
      <x:c r="U7" s="31" t="n">
        <x:f>IF(T7="","",I7*T7)</x:f>
        <x:v>50746.766579200616</x:v>
      </x:c>
    </x:row>
    <x:row r="8" ht="18" customHeight="1">
      <x:c r="A8" s="24" t="str">
        <x:v>EEZ_902</x:v>
      </x:c>
      <x:c r="B8" s="24" t="str">
        <x:v>Sardinia (Italy)</x:v>
      </x:c>
      <x:c r="C8" s="24" t="str">
        <x:v>EEZ</x:v>
      </x:c>
      <x:c r="D8" s="30" t="n">
        <x:v>2019</x:v>
      </x:c>
      <x:c r="E8" s="24" t="str">
        <x:v>Thunnus</x:v>
      </x:c>
      <x:c r="F8" s="24" t="str">
        <x:v>Tunas</x:v>
      </x:c>
      <x:c r="G8" s="24" t="str">
        <x:v>Large pelagics (&gt;=90 cm)</x:v>
      </x:c>
      <x:c r="H8" s="24" t="str">
        <x:v>Tuna &amp; billfishes</x:v>
      </x:c>
      <x:c r="I8" s="31" t="n">
        <x:v>518.084041638</x:v>
      </x:c>
      <x:c r="J8" s="31" t="n">
        <x:v>518.084041638</x:v>
      </x:c>
      <x:c r="K8" s="31" t="n">
        <x:v>0</x:v>
      </x:c>
      <x:c r="L8" s="31" t="n">
        <x:v>0</x:v>
      </x:c>
      <x:c r="M8" s="31" t="n">
        <x:v>518.084041638</x:v>
      </x:c>
      <x:c r="N8" s="24" t="str">
        <x:v>thunnus</x:v>
      </x:c>
      <x:c r="O8" s="32" t="n">
        <x:v>4.34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Thunnus</x:v>
      </x:c>
      <x:c r="T8" s="32" t="n">
        <x:f>IF(O8="","",(1/'Metadata'!$B$5)^(O8-1))</x:f>
        <x:v>2187.761623949552</x:v>
      </x:c>
      <x:c r="U8" s="31" t="n">
        <x:f>IF(T8="","",I8*T8)</x:f>
        <x:v>1133444.384276298</x:v>
      </x:c>
    </x:row>
    <x:row r="9" ht="18" customHeight="1">
      <x:c r="A9" s="24" t="str">
        <x:v>EEZ_902</x:v>
      </x:c>
      <x:c r="B9" s="24" t="str">
        <x:v>Sardinia (Italy)</x:v>
      </x:c>
      <x:c r="C9" s="24" t="str">
        <x:v>EEZ</x:v>
      </x:c>
      <x:c r="D9" s="30" t="n">
        <x:v>2019</x:v>
      </x:c>
      <x:c r="E9" s="24" t="str">
        <x:v>Trachurus</x:v>
      </x:c>
      <x:c r="F9" s="24" t="str">
        <x:v>Jacks, horse mackerels</x:v>
      </x:c>
      <x:c r="G9" s="24" t="str">
        <x:v>Medium pelagics (30 - 89 cm)</x:v>
      </x:c>
      <x:c r="H9" s="24" t="str">
        <x:v>Perch-likes</x:v>
      </x:c>
      <x:c r="I9" s="31" t="n">
        <x:v>513.259767</x:v>
      </x:c>
      <x:c r="J9" s="31" t="n">
        <x:v>513.259767</x:v>
      </x:c>
      <x:c r="K9" s="31" t="n">
        <x:v>0</x:v>
      </x:c>
      <x:c r="L9" s="31" t="n">
        <x:v>0</x:v>
      </x:c>
      <x:c r="M9" s="31" t="n">
        <x:v>513.259767</x:v>
      </x:c>
      <x:c r="N9" s="24" t="str">
        <x:v>trachurus</x:v>
      </x:c>
      <x:c r="O9" s="32" t="n">
        <x:v>3.69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Trachurus</x:v>
      </x:c>
      <x:c r="T9" s="32" t="n">
        <x:f>IF(O9="","",(1/'Metadata'!$B$5)^(O9-1))</x:f>
        <x:v>489.77881936844614</x:v>
      </x:c>
      <x:c r="U9" s="31" t="n">
        <x:f>IF(T9="","",I9*T9)</x:f>
        <x:v>251383.76271058375</x:v>
      </x:c>
    </x:row>
    <x:row r="10" ht="18" customHeight="1">
      <x:c r="A10" s="24" t="str">
        <x:v>EEZ_902</x:v>
      </x:c>
      <x:c r="B10" s="24" t="str">
        <x:v>Sardinia (Italy)</x:v>
      </x:c>
      <x:c r="C10" s="24" t="str">
        <x:v>EEZ</x:v>
      </x:c>
      <x:c r="D10" s="30" t="n">
        <x:v>2019</x:v>
      </x:c>
      <x:c r="E10" s="24" t="str">
        <x:v>Scomber</x:v>
      </x:c>
      <x:c r="F10" s="24" t="str">
        <x:v>Chub mackerels</x:v>
      </x:c>
      <x:c r="G10" s="24" t="str">
        <x:v>Medium pelagics (30 - 89 cm)</x:v>
      </x:c>
      <x:c r="H10" s="24" t="str">
        <x:v>Perch-likes</x:v>
      </x:c>
      <x:c r="I10" s="31" t="n">
        <x:v>513.259767</x:v>
      </x:c>
      <x:c r="J10" s="31" t="n">
        <x:v>513.259767</x:v>
      </x:c>
      <x:c r="K10" s="31" t="n">
        <x:v>0</x:v>
      </x:c>
      <x:c r="L10" s="31" t="n">
        <x:v>0</x:v>
      </x:c>
      <x:c r="M10" s="31" t="n">
        <x:v>513.259767</x:v>
      </x:c>
      <x:c r="N10" s="24" t="str">
        <x:v>scomber</x:v>
      </x:c>
      <x:c r="O10" s="32" t="n">
        <x:v>3.65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Scomber</x:v>
      </x:c>
      <x:c r="T10" s="32" t="n">
        <x:f>IF(O10="","",(1/'Metadata'!$B$5)^(O10-1))</x:f>
        <x:v>446.683592150963</x:v>
      </x:c>
      <x:c r="U10" s="31" t="n">
        <x:f>IF(T10="","",I10*T10)</x:f>
        <x:v>229264.7164301263</x:v>
      </x:c>
    </x:row>
    <x:row r="11" ht="18" customHeight="1">
      <x:c r="A11" s="24" t="str">
        <x:v>EEZ_902</x:v>
      </x:c>
      <x:c r="B11" s="24" t="str">
        <x:v>Sardinia (Italy)</x:v>
      </x:c>
      <x:c r="C11" s="24" t="str">
        <x:v>EEZ</x:v>
      </x:c>
      <x:c r="D11" s="30" t="n">
        <x:v>2019</x:v>
      </x:c>
      <x:c r="E11" s="24" t="str">
        <x:v>Pagellus erythrinus</x:v>
      </x:c>
      <x:c r="F11" s="24" t="str">
        <x:v>Common pandora</x:v>
      </x:c>
      <x:c r="G11" s="24" t="str">
        <x:v>Medium benthopelagics (30 - 89 cm)</x:v>
      </x:c>
      <x:c r="H11" s="24" t="str">
        <x:v>Perch-likes</x:v>
      </x:c>
      <x:c r="I11" s="31" t="n">
        <x:v>506.043689058</x:v>
      </x:c>
      <x:c r="J11" s="31" t="n">
        <x:v>477.418462898</x:v>
      </x:c>
      <x:c r="K11" s="31" t="n">
        <x:v>28.62522616</x:v>
      </x:c>
      <x:c r="L11" s="31" t="n">
        <x:v>56.91336703</x:v>
      </x:c>
      <x:c r="M11" s="31" t="n">
        <x:v>449.13032202799997</x:v>
      </x:c>
      <x:c r="N11" s="24" t="str">
        <x:v>pagellus erythrinus</x:v>
      </x:c>
      <x:c r="O11" s="32" t="n">
        <x:v>3.48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Pagellus erythrinus</x:v>
      </x:c>
      <x:c r="T11" s="32" t="n">
        <x:f>IF(O11="","",(1/'Metadata'!$B$5)^(O11-1))</x:f>
        <x:v>301.9951720402016</x:v>
      </x:c>
      <x:c r="U11" s="31" t="n">
        <x:f>IF(T11="","",I11*T11)</x:f>
        <x:v>152822.750936929</x:v>
      </x:c>
    </x:row>
    <x:row r="12" ht="18" customHeight="1">
      <x:c r="A12" s="24" t="str">
        <x:v>EEZ_902</x:v>
      </x:c>
      <x:c r="B12" s="24" t="str">
        <x:v>Sardinia (Italy)</x:v>
      </x:c>
      <x:c r="C12" s="24" t="str">
        <x:v>EEZ</x:v>
      </x:c>
      <x:c r="D12" s="30" t="n">
        <x:v>2019</x:v>
      </x:c>
      <x:c r="E12" s="24" t="str">
        <x:v>Eledone</x:v>
      </x:c>
      <x:c r="F12" s="24" t="str">
        <x:v>Horned, musky octopuses</x:v>
      </x:c>
      <x:c r="G12" s="24" t="str">
        <x:v>Cephalopods</x:v>
      </x:c>
      <x:c r="H12" s="24" t="str">
        <x:v>Other fishes &amp; inverts</x:v>
      </x:c>
      <x:c r="I12" s="31" t="n">
        <x:v>445.02367639</x:v>
      </x:c>
      <x:c r="J12" s="31" t="n">
        <x:v>445.02367639</x:v>
      </x:c>
      <x:c r="K12" s="31" t="n">
        <x:v>0</x:v>
      </x:c>
      <x:c r="L12" s="31" t="n">
        <x:v>445.02367639</x:v>
      </x:c>
      <x:c r="M12" s="31" t="n">
        <x:v>0</x:v>
      </x:c>
      <x:c r="N12" s="24" t="str">
        <x:v>eledone</x:v>
      </x:c>
      <x:c r="O12" s="32" t="n">
        <x:v>3.67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Eledone</x:v>
      </x:c>
      <x:c r="T12" s="32" t="n">
        <x:f>IF(O12="","",(1/'Metadata'!$B$5)^(O12-1))</x:f>
        <x:v>467.73514128719813</x:v>
      </x:c>
      <x:c r="U12" s="31" t="n">
        <x:f>IF(T12="","",I12*T12)</x:f>
        <x:v>208153.212152425</x:v>
      </x:c>
    </x:row>
    <x:row r="13" ht="18" customHeight="1">
      <x:c r="A13" s="24" t="str">
        <x:v>EEZ_902</x:v>
      </x:c>
      <x:c r="B13" s="24" t="str">
        <x:v>Sardinia (Italy)</x:v>
      </x:c>
      <x:c r="C13" s="24" t="str">
        <x:v>EEZ</x:v>
      </x:c>
      <x:c r="D13" s="30" t="n">
        <x:v>2019</x:v>
      </x:c>
      <x:c r="E13" s="24" t="str">
        <x:v>Belone belone</x:v>
      </x:c>
      <x:c r="F13" s="24" t="str">
        <x:v>Garfish</x:v>
      </x:c>
      <x:c r="G13" s="24" t="str">
        <x:v>Medium pelagics (30 - 89 cm)</x:v>
      </x:c>
      <x:c r="H13" s="24" t="str">
        <x:v>Other fishes &amp; inverts</x:v>
      </x:c>
      <x:c r="I13" s="31" t="n">
        <x:v>444.359838509</x:v>
      </x:c>
      <x:c r="J13" s="31" t="n">
        <x:v>444.359838509</x:v>
      </x:c>
      <x:c r="K13" s="31" t="n">
        <x:v>0</x:v>
      </x:c>
      <x:c r="L13" s="31" t="n">
        <x:v>3.063026136</x:v>
      </x:c>
      <x:c r="M13" s="31" t="n">
        <x:v>441.29681237299997</x:v>
      </x:c>
      <x:c r="N13" s="24" t="str">
        <x:v>belone belone</x:v>
      </x:c>
      <x:c r="O13" s="32" t="n">
        <x:v>4.16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Belone belone</x:v>
      </x:c>
      <x:c r="T13" s="32" t="n">
        <x:f>IF(O13="","",(1/'Metadata'!$B$5)^(O13-1))</x:f>
        <x:v>1445.439770745928</x:v>
      </x:c>
      <x:c r="U13" s="31" t="n">
        <x:f>IF(T13="","",I13*T13)</x:f>
        <x:v>642295.3831031465</x:v>
      </x:c>
    </x:row>
    <x:row r="14" ht="18" customHeight="1">
      <x:c r="A14" s="24" t="str">
        <x:v>EEZ_902</x:v>
      </x:c>
      <x:c r="B14" s="24" t="str">
        <x:v>Sardinia (Italy)</x:v>
      </x:c>
      <x:c r="C14" s="24" t="str">
        <x:v>EEZ</x:v>
      </x:c>
      <x:c r="D14" s="30" t="n">
        <x:v>2019</x:v>
      </x:c>
      <x:c r="E14" s="24" t="str">
        <x:v>Sarda sarda</x:v>
      </x:c>
      <x:c r="F14" s="24" t="str">
        <x:v>Atlantic bonito</x:v>
      </x:c>
      <x:c r="G14" s="24" t="str">
        <x:v>Medium pelagics (30 - 89 cm)</x:v>
      </x:c>
      <x:c r="H14" s="24" t="str">
        <x:v>Tuna &amp; billfishes</x:v>
      </x:c>
      <x:c r="I14" s="31" t="n">
        <x:v>413.19164510810003</x:v>
      </x:c>
      <x:c r="J14" s="31" t="n">
        <x:v>413.19164510810003</x:v>
      </x:c>
      <x:c r="K14" s="31" t="n">
        <x:v>0</x:v>
      </x:c>
      <x:c r="L14" s="31" t="n">
        <x:v>40.144603846100004</x:v>
      </x:c>
      <x:c r="M14" s="31" t="n">
        <x:v>373.04704126200005</x:v>
      </x:c>
      <x:c r="N14" s="24" t="str">
        <x:v>sarda sarda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Sarda sarda</x:v>
      </x:c>
      <x:c r="T14" s="32" t="n">
        <x:f>IF(O14="","",(1/'Metadata'!$B$5)^(O14-1))</x:f>
        <x:v>3162.2776601683795</x:v>
      </x:c>
      <x:c r="U14" s="31" t="n">
        <x:f>IF(T14="","",I14*T14)</x:f>
        <x:v>1306626.708693566</x:v>
      </x:c>
    </x:row>
    <x:row r="15" ht="18" customHeight="1">
      <x:c r="A15" s="24" t="str">
        <x:v>EEZ_902</x:v>
      </x:c>
      <x:c r="B15" s="24" t="str">
        <x:v>Sardinia (Italy)</x:v>
      </x:c>
      <x:c r="C15" s="24" t="str">
        <x:v>EEZ</x:v>
      </x:c>
      <x:c r="D15" s="30" t="n">
        <x:v>2019</x:v>
      </x:c>
      <x:c r="E15" s="24" t="str">
        <x:v>Mullus barbatus</x:v>
      </x:c>
      <x:c r="F15" s="24" t="str">
        <x:v>Red mullet</x:v>
      </x:c>
      <x:c r="G15" s="24" t="str">
        <x:v>Medium demersals (30 - 89 cm)</x:v>
      </x:c>
      <x:c r="H15" s="24" t="str">
        <x:v>Perch-likes</x:v>
      </x:c>
      <x:c r="I15" s="31" t="n">
        <x:v>408.47951598599997</x:v>
      </x:c>
      <x:c r="J15" s="31" t="n">
        <x:v>339.909562096</x:v>
      </x:c>
      <x:c r="K15" s="31" t="n">
        <x:v>68.56995389</x:v>
      </x:c>
      <x:c r="L15" s="31" t="n">
        <x:v>349.4391457</x:v>
      </x:c>
      <x:c r="M15" s="31" t="n">
        <x:v>59.040370286</x:v>
      </x:c>
      <x:c r="N15" s="24" t="str">
        <x:v>mullus barbatus</x:v>
      </x:c>
      <x:c r="O15" s="32" t="n">
        <x:v>3.14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Mullus barbatus</x:v>
      </x:c>
      <x:c r="T15" s="32" t="n">
        <x:f>IF(O15="","",(1/'Metadata'!$B$5)^(O15-1))</x:f>
        <x:v>138.03842646028852</x:v>
      </x:c>
      <x:c r="U15" s="31" t="n">
        <x:f>IF(T15="","",I15*T15)</x:f>
        <x:v>56385.8696279677</x:v>
      </x:c>
    </x:row>
    <x:row r="16" ht="18" customHeight="1">
      <x:c r="A16" s="24" t="str">
        <x:v>EEZ_902</x:v>
      </x:c>
      <x:c r="B16" s="24" t="str">
        <x:v>Sardinia (Italy)</x:v>
      </x:c>
      <x:c r="C16" s="24" t="str">
        <x:v>EEZ</x:v>
      </x:c>
      <x:c r="D16" s="30" t="n">
        <x:v>2019</x:v>
      </x:c>
      <x:c r="E16" s="24" t="str">
        <x:v>Oblada melanurus</x:v>
      </x:c>
      <x:c r="F16" s="24" t="str">
        <x:v>Saddled seabream</x:v>
      </x:c>
      <x:c r="G16" s="24" t="str">
        <x:v>Small benthopelagics (&lt;30 cm)</x:v>
      </x:c>
      <x:c r="H16" s="24" t="str">
        <x:v>Perch-likes</x:v>
      </x:c>
      <x:c r="I16" s="31" t="n">
        <x:v>379.958839963</x:v>
      </x:c>
      <x:c r="J16" s="31" t="n">
        <x:v>379.958839963</x:v>
      </x:c>
      <x:c r="K16" s="31" t="n">
        <x:v>0</x:v>
      </x:c>
      <x:c r="L16" s="31" t="n">
        <x:v>10.486334468999999</x:v>
      </x:c>
      <x:c r="M16" s="31" t="n">
        <x:v>369.472505494</x:v>
      </x:c>
      <x:c r="N16" s="24" t="str">
        <x:v>oblada melanurus</x:v>
      </x:c>
      <x:c r="O16" s="32" t="n">
        <x:v>3.38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Oblada melanurus</x:v>
      </x:c>
      <x:c r="T16" s="32" t="n">
        <x:f>IF(O16="","",(1/'Metadata'!$B$5)^(O16-1))</x:f>
        <x:v>239.88329190194898</x:v>
      </x:c>
      <x:c r="U16" s="31" t="n">
        <x:f>IF(T16="","",I16*T16)</x:f>
        <x:v>91145.77731757025</x:v>
      </x:c>
    </x:row>
    <x:row r="17" ht="18" customHeight="1">
      <x:c r="A17" s="24" t="str">
        <x:v>EEZ_902</x:v>
      </x:c>
      <x:c r="B17" s="24" t="str">
        <x:v>Sardinia (Italy)</x:v>
      </x:c>
      <x:c r="C17" s="24" t="str">
        <x:v>EEZ</x:v>
      </x:c>
      <x:c r="D17" s="30" t="n">
        <x:v>2019</x:v>
      </x:c>
      <x:c r="E17" s="24" t="str">
        <x:v>Mullus surmuletus</x:v>
      </x:c>
      <x:c r="F17" s="24" t="str">
        <x:v>Surmullet</x:v>
      </x:c>
      <x:c r="G17" s="24" t="str">
        <x:v>Medium demersals (30 - 89 cm)</x:v>
      </x:c>
      <x:c r="H17" s="24" t="str">
        <x:v>Perch-likes</x:v>
      </x:c>
      <x:c r="I17" s="31" t="n">
        <x:v>348.529093841</x:v>
      </x:c>
      <x:c r="J17" s="31" t="n">
        <x:v>298.968994421</x:v>
      </x:c>
      <x:c r="K17" s="31" t="n">
        <x:v>49.56009942</x:v>
      </x:c>
      <x:c r="L17" s="31" t="n">
        <x:v>285.66097831</x:v>
      </x:c>
      <x:c r="M17" s="31" t="n">
        <x:v>62.868115531</x:v>
      </x:c>
      <x:c r="N17" s="24" t="str">
        <x:v>mullus surmuletus</x:v>
      </x:c>
      <x:c r="O17" s="32" t="n">
        <x:v>3.45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Mullus surmuletus</x:v>
      </x:c>
      <x:c r="T17" s="32" t="n">
        <x:f>IF(O17="","",(1/'Metadata'!$B$5)^(O17-1))</x:f>
        <x:v>281.8382931264455</x:v>
      </x:c>
      <x:c r="U17" s="31" t="n">
        <x:f>IF(T17="","",I17*T17)</x:f>
        <x:v>98228.84491305418</x:v>
      </x:c>
    </x:row>
    <x:row r="18" ht="18" customHeight="1">
      <x:c r="A18" s="24" t="str">
        <x:v>EEZ_902</x:v>
      </x:c>
      <x:c r="B18" s="24" t="str">
        <x:v>Sardinia (Italy)</x:v>
      </x:c>
      <x:c r="C18" s="24" t="str">
        <x:v>EEZ</x:v>
      </x:c>
      <x:c r="D18" s="30" t="n">
        <x:v>2019</x:v>
      </x:c>
      <x:c r="E18" s="24" t="str">
        <x:v>Gobiidae</x:v>
      </x:c>
      <x:c r="F18" s="24" t="str">
        <x:v>Gobies</x:v>
      </x:c>
      <x:c r="G18" s="24" t="str">
        <x:v>Small reef assoc. fish (&lt;30 cm)</x:v>
      </x:c>
      <x:c r="H18" s="24" t="str">
        <x:v>Perch-likes</x:v>
      </x:c>
      <x:c r="I18" s="31" t="n">
        <x:v>315.808193422</x:v>
      </x:c>
      <x:c r="J18" s="31" t="n">
        <x:v>315.808193422</x:v>
      </x:c>
      <x:c r="K18" s="31" t="n">
        <x:v>0</x:v>
      </x:c>
      <x:c r="L18" s="31" t="n">
        <x:v>21.336697622000003</x:v>
      </x:c>
      <x:c r="M18" s="31" t="n">
        <x:v>294.4714958</x:v>
      </x:c>
      <x:c r="N18" s="24" t="str">
        <x:v>gobiidae</x:v>
      </x:c>
      <x:c r="O18" s="32" t="n">
        <x:v>3.11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Gobiidae</x:v>
      </x:c>
      <x:c r="T18" s="32" t="n">
        <x:f>IF(O18="","",(1/'Metadata'!$B$5)^(O18-1))</x:f>
        <x:v>128.82495516931337</x:v>
      </x:c>
      <x:c r="U18" s="31" t="n">
        <x:f>IF(T18="","",I18*T18)</x:f>
        <x:v>40683.97635969099</x:v>
      </x:c>
    </x:row>
    <x:row r="19" ht="18" customHeight="1">
      <x:c r="A19" s="24" t="str">
        <x:v>EEZ_902</x:v>
      </x:c>
      <x:c r="B19" s="24" t="str">
        <x:v>Sardinia (Italy)</x:v>
      </x:c>
      <x:c r="C19" s="24" t="str">
        <x:v>EEZ</x:v>
      </x:c>
      <x:c r="D19" s="30" t="n">
        <x:v>2019</x:v>
      </x:c>
      <x:c r="E19" s="24" t="str">
        <x:v>Phycis blennoides</x:v>
      </x:c>
      <x:c r="F19" s="24" t="str">
        <x:v>Greater forkbeard</x:v>
      </x:c>
      <x:c r="G19" s="24" t="str">
        <x:v>Large benthopelagics (&gt;=90 cm)</x:v>
      </x:c>
      <x:c r="H19" s="24" t="str">
        <x:v>Cod-likes</x:v>
      </x:c>
      <x:c r="I19" s="31" t="n">
        <x:v>294.15874901899997</x:v>
      </x:c>
      <x:c r="J19" s="31" t="n">
        <x:v>0.781288819</x:v>
      </x:c>
      <x:c r="K19" s="31" t="n">
        <x:v>293.3774602</x:v>
      </x:c>
      <x:c r="L19" s="31" t="n">
        <x:v>293.3774602</x:v>
      </x:c>
      <x:c r="M19" s="31" t="n">
        <x:v>0.781288819</x:v>
      </x:c>
      <x:c r="N19" s="24" t="str">
        <x:v>phycis blennoides</x:v>
      </x:c>
      <x:c r="O19" s="32" t="n">
        <x:v>3.87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Phycis blennoides</x:v>
      </x:c>
      <x:c r="T19" s="32" t="n">
        <x:f>IF(O19="","",(1/'Metadata'!$B$5)^(O19-1))</x:f>
        <x:v>741.3102413009177</x:v>
      </x:c>
      <x:c r="U19" s="31" t="n">
        <x:f>IF(T19="","",I19*T19)</x:f>
        <x:v>218062.89321605096</x:v>
      </x:c>
    </x:row>
    <x:row r="20" ht="18" customHeight="1">
      <x:c r="A20" s="24" t="str">
        <x:v>EEZ_902</x:v>
      </x:c>
      <x:c r="B20" s="24" t="str">
        <x:v>Sardinia (Italy)</x:v>
      </x:c>
      <x:c r="C20" s="24" t="str">
        <x:v>EEZ</x:v>
      </x:c>
      <x:c r="D20" s="30" t="n">
        <x:v>2019</x:v>
      </x:c>
      <x:c r="E20" s="24" t="str">
        <x:v>Spicara smaris</x:v>
      </x:c>
      <x:c r="F20" s="24" t="str">
        <x:v>Picarel</x:v>
      </x:c>
      <x:c r="G20" s="24" t="str">
        <x:v>Small demersals (&lt;30 cm)</x:v>
      </x:c>
      <x:c r="H20" s="24" t="str">
        <x:v>Perch-likes</x:v>
      </x:c>
      <x:c r="I20" s="31" t="n">
        <x:v>253.53904886</x:v>
      </x:c>
      <x:c r="J20" s="31" t="n">
        <x:v>253.53904886</x:v>
      </x:c>
      <x:c r="K20" s="31" t="n">
        <x:v>0</x:v>
      </x:c>
      <x:c r="L20" s="31" t="n">
        <x:v>137.178804444</x:v>
      </x:c>
      <x:c r="M20" s="31" t="n">
        <x:v>116.360244416</x:v>
      </x:c>
      <x:c r="N20" s="24" t="str">
        <x:v>spicara smaris</x:v>
      </x:c>
      <x:c r="O20" s="32" t="n">
        <x:v>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Spicara smaris</x:v>
      </x:c>
      <x:c r="T20" s="32" t="n">
        <x:f>IF(O20="","",(1/'Metadata'!$B$5)^(O20-1))</x:f>
        <x:v>100</x:v>
      </x:c>
      <x:c r="U20" s="31" t="n">
        <x:f>IF(T20="","",I20*T20)</x:f>
        <x:v>25353.904886</x:v>
      </x:c>
    </x:row>
    <x:row r="21" ht="18" customHeight="1">
      <x:c r="A21" s="24" t="str">
        <x:v>EEZ_902</x:v>
      </x:c>
      <x:c r="B21" s="24" t="str">
        <x:v>Sardinia (Italy)</x:v>
      </x:c>
      <x:c r="C21" s="24" t="str">
        <x:v>EEZ</x:v>
      </x:c>
      <x:c r="D21" s="30" t="n">
        <x:v>2019</x:v>
      </x:c>
      <x:c r="E21" s="24" t="str">
        <x:v>Lichia amia</x:v>
      </x:c>
      <x:c r="F21" s="24" t="str">
        <x:v>Leerfish</x:v>
      </x:c>
      <x:c r="G21" s="24" t="str">
        <x:v>Large pelagics (&gt;=90 cm)</x:v>
      </x:c>
      <x:c r="H21" s="24" t="str">
        <x:v>Perch-likes</x:v>
      </x:c>
      <x:c r="I21" s="31" t="n">
        <x:v>232.57882798100002</x:v>
      </x:c>
      <x:c r="J21" s="31" t="n">
        <x:v>232.57882798100002</x:v>
      </x:c>
      <x:c r="K21" s="31" t="n">
        <x:v>0</x:v>
      </x:c>
      <x:c r="L21" s="31" t="n">
        <x:v>184.1697387</x:v>
      </x:c>
      <x:c r="M21" s="31" t="n">
        <x:v>48.409089281</x:v>
      </x:c>
      <x:c r="N21" s="24" t="str">
        <x:v>lichia amia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Lichia amia</x:v>
      </x:c>
      <x:c r="T21" s="32" t="n">
        <x:f>IF(O21="","",(1/'Metadata'!$B$5)^(O21-1))</x:f>
        <x:v>3162.2776601683795</x:v>
      </x:c>
      <x:c r="U21" s="31" t="n">
        <x:f>IF(T21="","",I21*T21)</x:f>
        <x:v>735478.8319524608</x:v>
      </x:c>
    </x:row>
    <x:row r="22" ht="18" customHeight="1">
      <x:c r="A22" s="24" t="str">
        <x:v>EEZ_902</x:v>
      </x:c>
      <x:c r="B22" s="24" t="str">
        <x:v>Sardinia (Italy)</x:v>
      </x:c>
      <x:c r="C22" s="24" t="str">
        <x:v>EEZ</x:v>
      </x:c>
      <x:c r="D22" s="30" t="n">
        <x:v>2019</x:v>
      </x:c>
      <x:c r="E22" s="24" t="str">
        <x:v>Sardina pilchardus</x:v>
      </x:c>
      <x:c r="F22" s="24" t="str">
        <x:v>European pilchard</x:v>
      </x:c>
      <x:c r="G22" s="24" t="str">
        <x:v>Small pelagics (&lt;30 cm)</x:v>
      </x:c>
      <x:c r="H22" s="24" t="str">
        <x:v>Herring-likes</x:v>
      </x:c>
      <x:c r="I22" s="31" t="n">
        <x:v>230.94799155</x:v>
      </x:c>
      <x:c r="J22" s="31" t="n">
        <x:v>230.94799155</x:v>
      </x:c>
      <x:c r="K22" s="31" t="n">
        <x:v>0</x:v>
      </x:c>
      <x:c r="L22" s="31" t="n">
        <x:v>216.8964735</x:v>
      </x:c>
      <x:c r="M22" s="31" t="n">
        <x:v>14.05151805</x:v>
      </x:c>
      <x:c r="N22" s="24" t="str">
        <x:v>sardina pilchardus</x:v>
      </x:c>
      <x:c r="O22" s="32" t="n">
        <x:v>3.06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Sardina pilchardus</x:v>
      </x:c>
      <x:c r="T22" s="32" t="n">
        <x:f>IF(O22="","",(1/'Metadata'!$B$5)^(O22-1))</x:f>
        <x:v>114.81536214968828</x:v>
      </x:c>
      <x:c r="U22" s="31" t="n">
        <x:f>IF(T22="","",I22*T22)</x:f>
        <x:v>26516.3772875564</x:v>
      </x:c>
    </x:row>
    <x:row r="23" ht="18" customHeight="1">
      <x:c r="A23" s="24" t="str">
        <x:v>EEZ_902</x:v>
      </x:c>
      <x:c r="B23" s="24" t="str">
        <x:v>Sardinia (Italy)</x:v>
      </x:c>
      <x:c r="C23" s="24" t="str">
        <x:v>EEZ</x:v>
      </x:c>
      <x:c r="D23" s="30" t="n">
        <x:v>2019</x:v>
      </x:c>
      <x:c r="E23" s="24" t="str">
        <x:v>Eledone cirrhosa</x:v>
      </x:c>
      <x:c r="F23" s="24" t="str">
        <x:v>Horned octopus</x:v>
      </x:c>
      <x:c r="G23" s="24" t="str">
        <x:v>Cephalopods</x:v>
      </x:c>
      <x:c r="H23" s="24" t="str">
        <x:v>Other fishes &amp; inverts</x:v>
      </x:c>
      <x:c r="I23" s="31" t="n">
        <x:v>222.319630412</x:v>
      </x:c>
      <x:c r="J23" s="31" t="n">
        <x:v>222.319630412</x:v>
      </x:c>
      <x:c r="K23" s="31" t="n">
        <x:v>0</x:v>
      </x:c>
      <x:c r="L23" s="31" t="n">
        <x:v>190.7026008</x:v>
      </x:c>
      <x:c r="M23" s="31" t="n">
        <x:v>31.617029612</x:v>
      </x:c>
      <x:c r="N23" s="24" t="str">
        <x:v>eledone cirrhosa</x:v>
      </x:c>
      <x:c r="O23" s="32" t="n">
        <x:v>3.7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Eledone cirrhosa</x:v>
      </x:c>
      <x:c r="T23" s="32" t="n">
        <x:f>IF(O23="","",(1/'Metadata'!$B$5)^(O23-1))</x:f>
        <x:v>501.18723362727246</x:v>
      </x:c>
      <x:c r="U23" s="31" t="n">
        <x:f>IF(T23="","",I23*T23)</x:f>
        <x:v>111423.76054722791</x:v>
      </x:c>
    </x:row>
    <x:row r="24" ht="18" customHeight="1">
      <x:c r="A24" s="24" t="str">
        <x:v>EEZ_902</x:v>
      </x:c>
      <x:c r="B24" s="24" t="str">
        <x:v>Sardinia (Italy)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219.9684716</x:v>
      </x:c>
      <x:c r="J24" s="31" t="n">
        <x:v>219.9684716</x:v>
      </x:c>
      <x:c r="K24" s="31" t="n">
        <x:v>0</x:v>
      </x:c>
      <x:c r="L24" s="31" t="n">
        <x:v>0</x:v>
      </x:c>
      <x:c r="M24" s="31" t="n">
        <x:v>219.9684716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7453.503113653211</x:v>
      </x:c>
    </x:row>
    <x:row r="25" ht="18" customHeight="1">
      <x:c r="A25" s="24" t="str">
        <x:v>EEZ_902</x:v>
      </x:c>
      <x:c r="B25" s="24" t="str">
        <x:v>Sardinia (Italy)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209.112519137</x:v>
      </x:c>
      <x:c r="J25" s="31" t="n">
        <x:v>209.112519137</x:v>
      </x:c>
      <x:c r="K25" s="31" t="n">
        <x:v>0</x:v>
      </x:c>
      <x:c r="L25" s="31" t="n">
        <x:v>69.058445825</x:v>
      </x:c>
      <x:c r="M25" s="31" t="n">
        <x:v>140.054073312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708565.5508511964</x:v>
      </x:c>
    </x:row>
    <x:row r="26" ht="18" customHeight="1">
      <x:c r="A26" s="24" t="str">
        <x:v>EEZ_902</x:v>
      </x:c>
      <x:c r="B26" s="24" t="str">
        <x:v>Sardinia (Italy)</x:v>
      </x:c>
      <x:c r="C26" s="24" t="str">
        <x:v>EEZ</x:v>
      </x:c>
      <x:c r="D26" s="30" t="n">
        <x:v>2019</x:v>
      </x:c>
      <x:c r="E26" s="24" t="str">
        <x:v>Sparus aurata</x:v>
      </x:c>
      <x:c r="F26" s="24" t="str">
        <x:v>Gilthead seabream</x:v>
      </x:c>
      <x:c r="G26" s="24" t="str">
        <x:v>Medium demersals (30 - 89 cm)</x:v>
      </x:c>
      <x:c r="H26" s="24" t="str">
        <x:v>Perch-likes</x:v>
      </x:c>
      <x:c r="I26" s="31" t="n">
        <x:v>201.81848959310003</x:v>
      </x:c>
      <x:c r="J26" s="31" t="n">
        <x:v>201.81848959310003</x:v>
      </x:c>
      <x:c r="K26" s="31" t="n">
        <x:v>0</x:v>
      </x:c>
      <x:c r="L26" s="31" t="n">
        <x:v>44.5128872301</x:v>
      </x:c>
      <x:c r="M26" s="31" t="n">
        <x:v>157.30560236300002</x:v>
      </x:c>
      <x:c r="N26" s="24" t="str">
        <x:v>sparus aurata</x:v>
      </x:c>
      <x:c r="O26" s="32" t="n">
        <x:v>3.7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Sparus aurata</x:v>
      </x:c>
      <x:c r="T26" s="32" t="n">
        <x:f>IF(O26="","",(1/'Metadata'!$B$5)^(O26-1))</x:f>
        <x:v>501.18723362727246</x:v>
      </x:c>
      <x:c r="U26" s="31" t="n">
        <x:f>IF(T26="","",I26*T26)</x:f>
        <x:v>101148.85049400027</x:v>
      </x:c>
    </x:row>
    <x:row r="27" ht="18" customHeight="1">
      <x:c r="A27" s="24" t="str">
        <x:v>EEZ_902</x:v>
      </x:c>
      <x:c r="B27" s="24" t="str">
        <x:v>Sardinia (Italy)</x:v>
      </x:c>
      <x:c r="C27" s="24" t="str">
        <x:v>EEZ</x:v>
      </x:c>
      <x:c r="D27" s="30" t="n">
        <x:v>2019</x:v>
      </x:c>
      <x:c r="E27" s="24" t="str">
        <x:v>Zeus faber</x:v>
      </x:c>
      <x:c r="F27" s="24" t="str">
        <x:v>John dory</x:v>
      </x:c>
      <x:c r="G27" s="24" t="str">
        <x:v>Medium benthopelagics (30 - 89 cm)</x:v>
      </x:c>
      <x:c r="H27" s="24" t="str">
        <x:v>Other fishes &amp; inverts</x:v>
      </x:c>
      <x:c r="I27" s="31" t="n">
        <x:v>198.212105586</x:v>
      </x:c>
      <x:c r="J27" s="31" t="n">
        <x:v>4.588706256</x:v>
      </x:c>
      <x:c r="K27" s="31" t="n">
        <x:v>193.62339933</x:v>
      </x:c>
      <x:c r="L27" s="31" t="n">
        <x:v>195.83161350400002</x:v>
      </x:c>
      <x:c r="M27" s="31" t="n">
        <x:v>2.380492082</x:v>
      </x:c>
      <x:c r="N27" s="24" t="str">
        <x:v>zeus faber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Zeus faber</x:v>
      </x:c>
      <x:c r="T27" s="32" t="n">
        <x:f>IF(O27="","",(1/'Metadata'!$B$5)^(O27-1))</x:f>
        <x:v>3162.2776601683795</x:v>
      </x:c>
      <x:c r="U27" s="31" t="n">
        <x:f>IF(T27="","",I27*T27)</x:f>
        <x:v>626801.7134695438</x:v>
      </x:c>
    </x:row>
    <x:row r="28" ht="18" customHeight="1">
      <x:c r="A28" s="24" t="str">
        <x:v>EEZ_902</x:v>
      </x:c>
      <x:c r="B28" s="24" t="str">
        <x:v>Sardinia (Italy)</x:v>
      </x:c>
      <x:c r="C28" s="24" t="str">
        <x:v>EEZ</x:v>
      </x:c>
      <x:c r="D28" s="30" t="n">
        <x:v>2019</x:v>
      </x:c>
      <x:c r="E28" s="24" t="str">
        <x:v>Dentex dentex</x:v>
      </x:c>
      <x:c r="F28" s="24" t="str">
        <x:v>Common dentex</x:v>
      </x:c>
      <x:c r="G28" s="24" t="str">
        <x:v>Large benthopelagics (&gt;=90 cm)</x:v>
      </x:c>
      <x:c r="H28" s="24" t="str">
        <x:v>Perch-likes</x:v>
      </x:c>
      <x:c r="I28" s="31" t="n">
        <x:v>159.53273672600002</x:v>
      </x:c>
      <x:c r="J28" s="31" t="n">
        <x:v>159.53273672600002</x:v>
      </x:c>
      <x:c r="K28" s="31" t="n">
        <x:v>0</x:v>
      </x:c>
      <x:c r="L28" s="31" t="n">
        <x:v>11.289462226000001</x:v>
      </x:c>
      <x:c r="M28" s="31" t="n">
        <x:v>148.2432745</x:v>
      </x:c>
      <x:c r="N28" s="24" t="str">
        <x:v>dentex dentex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Dentex dentex</x:v>
      </x:c>
      <x:c r="T28" s="32" t="n">
        <x:f>IF(O28="","",(1/'Metadata'!$B$5)^(O28-1))</x:f>
        <x:v>3388.4415613920273</x:v>
      </x:c>
      <x:c r="U28" s="31" t="n">
        <x:f>IF(T28="","",I28*T28)</x:f>
        <x:v>540567.3555249907</x:v>
      </x:c>
    </x:row>
    <x:row r="29" ht="18" customHeight="1">
      <x:c r="A29" s="24" t="str">
        <x:v>EEZ_902</x:v>
      </x:c>
      <x:c r="B29" s="24" t="str">
        <x:v>Sardinia (Italy)</x:v>
      </x:c>
      <x:c r="C29" s="24" t="str">
        <x:v>EEZ</x:v>
      </x:c>
      <x:c r="D29" s="30" t="n">
        <x:v>2019</x:v>
      </x:c>
      <x:c r="E29" s="24" t="str">
        <x:v>Todarodes sagittatus</x:v>
      </x:c>
      <x:c r="F29" s="24" t="str">
        <x:v>European flying squid</x:v>
      </x:c>
      <x:c r="G29" s="24" t="str">
        <x:v>Cephalopods</x:v>
      </x:c>
      <x:c r="H29" s="24" t="str">
        <x:v>Other fishes &amp; inverts</x:v>
      </x:c>
      <x:c r="I29" s="31" t="n">
        <x:v>157.998832983</x:v>
      </x:c>
      <x:c r="J29" s="31" t="n">
        <x:v>157.998832983</x:v>
      </x:c>
      <x:c r="K29" s="31" t="n">
        <x:v>0</x:v>
      </x:c>
      <x:c r="L29" s="31" t="n">
        <x:v>121.58025309300001</x:v>
      </x:c>
      <x:c r="M29" s="31" t="n">
        <x:v>36.41857989</x:v>
      </x:c>
      <x:c r="N29" s="24" t="str">
        <x:v>todarodes sagittatus</x:v>
      </x:c>
      <x:c r="O29" s="32" t="n">
        <x:v>4.01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Todarodes sagittatus</x:v>
      </x:c>
      <x:c r="T29" s="32" t="n">
        <x:f>IF(O29="","",(1/'Metadata'!$B$5)^(O29-1))</x:f>
        <x:v>1023.2929922807537</x:v>
      </x:c>
      <x:c r="U29" s="31" t="n">
        <x:f>IF(T29="","",I29*T29)</x:f>
        <x:v>161679.0985800411</x:v>
      </x:c>
    </x:row>
    <x:row r="30" ht="18" customHeight="1">
      <x:c r="A30" s="24" t="str">
        <x:v>EEZ_902</x:v>
      </x:c>
      <x:c r="B30" s="24" t="str">
        <x:v>Sardinia (Italy)</x:v>
      </x:c>
      <x:c r="C30" s="24" t="str">
        <x:v>EEZ</x:v>
      </x:c>
      <x:c r="D30" s="30" t="n">
        <x:v>2019</x:v>
      </x:c>
      <x:c r="E30" s="24" t="str">
        <x:v>Carangidae</x:v>
      </x:c>
      <x:c r="F30" s="24" t="str">
        <x:v>Jacks, pompanos</x:v>
      </x:c>
      <x:c r="G30" s="24" t="str">
        <x:v>Medium pelagics (30 - 89 cm)</x:v>
      </x:c>
      <x:c r="H30" s="24" t="str">
        <x:v>Perch-likes</x:v>
      </x:c>
      <x:c r="I30" s="31" t="n">
        <x:v>146.6456477</x:v>
      </x:c>
      <x:c r="J30" s="31" t="n">
        <x:v>146.6456477</x:v>
      </x:c>
      <x:c r="K30" s="31" t="n">
        <x:v>0</x:v>
      </x:c>
      <x:c r="L30" s="31" t="n">
        <x:v>0</x:v>
      </x:c>
      <x:c r="M30" s="31" t="n">
        <x:v>146.6456477</x:v>
      </x:c>
      <x:c r="N30" s="24" t="str">
        <x:v>carangidae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Carangidae</x:v>
      </x:c>
      <x:c r="T30" s="32" t="n">
        <x:f>IF(O30="","",(1/'Metadata'!$B$5)^(O30-1))</x:f>
        <x:v>1122.018454301963</x:v>
      </x:c>
      <x:c r="U30" s="31" t="n">
        <x:f>IF(T30="","",I30*T30)</x:f>
        <x:v>164539.12296246423</x:v>
      </x:c>
    </x:row>
    <x:row r="31" ht="18" customHeight="1">
      <x:c r="A31" s="24" t="str">
        <x:v>EEZ_902</x:v>
      </x:c>
      <x:c r="B31" s="24" t="str">
        <x:v>Sardinia (Italy)</x:v>
      </x:c>
      <x:c r="C31" s="24" t="str">
        <x:v>EEZ</x:v>
      </x:c>
      <x:c r="D31" s="30" t="n">
        <x:v>2019</x:v>
      </x:c>
      <x:c r="E31" s="24" t="str">
        <x:v>Lepidopus caudatus</x:v>
      </x:c>
      <x:c r="F31" s="24" t="str">
        <x:v>Silver scabbardfish</x:v>
      </x:c>
      <x:c r="G31" s="24" t="str">
        <x:v>Large bathydemersals (&gt;=90 cm)</x:v>
      </x:c>
      <x:c r="H31" s="24" t="str">
        <x:v>Perch-likes</x:v>
      </x:c>
      <x:c r="I31" s="31" t="n">
        <x:v>139.141145245</x:v>
      </x:c>
      <x:c r="J31" s="31" t="n">
        <x:v>139.141145245</x:v>
      </x:c>
      <x:c r="K31" s="31" t="n">
        <x:v>0</x:v>
      </x:c>
      <x:c r="L31" s="31" t="n">
        <x:v>138.045214486</x:v>
      </x:c>
      <x:c r="M31" s="31" t="n">
        <x:v>1.095930759</x:v>
      </x:c>
      <x:c r="N31" s="24" t="str">
        <x:v>lepidopus caudatus</x:v>
      </x:c>
      <x:c r="O31" s="32" t="n">
        <x:v>3.82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Lepidopus caudatus</x:v>
      </x:c>
      <x:c r="T31" s="32" t="n">
        <x:f>IF(O31="","",(1/'Metadata'!$B$5)^(O31-1))</x:f>
        <x:v>660.6934480075957</x:v>
      </x:c>
      <x:c r="U31" s="31" t="n">
        <x:f>IF(T31="","",I31*T31)</x:f>
        <x:v>91929.64301164473</x:v>
      </x:c>
    </x:row>
    <x:row r="32" ht="18" customHeight="1">
      <x:c r="A32" s="24" t="str">
        <x:v>EEZ_902</x:v>
      </x:c>
      <x:c r="B32" s="24" t="str">
        <x:v>Sardinia (Italy)</x:v>
      </x:c>
      <x:c r="C32" s="24" t="str">
        <x:v>EEZ</x:v>
      </x:c>
      <x:c r="D32" s="30" t="n">
        <x:v>2019</x:v>
      </x:c>
      <x:c r="E32" s="24" t="str">
        <x:v>Coryphaena hippurus</x:v>
      </x:c>
      <x:c r="F32" s="24" t="str">
        <x:v>Common dolphinfish</x:v>
      </x:c>
      <x:c r="G32" s="24" t="str">
        <x:v>Large pelagics (&gt;=90 cm)</x:v>
      </x:c>
      <x:c r="H32" s="24" t="str">
        <x:v>Perch-likes</x:v>
      </x:c>
      <x:c r="I32" s="31" t="n">
        <x:v>137.5756775973</x:v>
      </x:c>
      <x:c r="J32" s="31" t="n">
        <x:v>137.5756775973</x:v>
      </x:c>
      <x:c r="K32" s="31" t="n">
        <x:v>0</x:v>
      </x:c>
      <x:c r="L32" s="31" t="n">
        <x:v>56.4432542133</x:v>
      </x:c>
      <x:c r="M32" s="31" t="n">
        <x:v>81.132423384</x:v>
      </x:c>
      <x:c r="N32" s="24" t="str">
        <x:v>coryphaena hippurus</x:v>
      </x:c>
      <x:c r="O32" s="32" t="n">
        <x:v>4.37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Coryphaena hippurus</x:v>
      </x:c>
      <x:c r="T32" s="32" t="n">
        <x:f>IF(O32="","",(1/'Metadata'!$B$5)^(O32-1))</x:f>
        <x:v>2344.228815319923</x:v>
      </x:c>
      <x:c r="U32" s="31" t="n">
        <x:f>IF(T32="","",I32*T32)</x:f>
        <x:v>322508.8677107542</x:v>
      </x:c>
    </x:row>
    <x:row r="33" ht="18" customHeight="1">
      <x:c r="A33" s="24" t="str">
        <x:v>EEZ_902</x:v>
      </x:c>
      <x:c r="B33" s="24" t="str">
        <x:v>Sardinia (Italy)</x:v>
      </x:c>
      <x:c r="C33" s="24" t="str">
        <x:v>EEZ</x:v>
      </x:c>
      <x:c r="D33" s="30" t="n">
        <x:v>2019</x:v>
      </x:c>
      <x:c r="E33" s="24" t="str">
        <x:v>Spicara maena</x:v>
      </x:c>
      <x:c r="F33" s="24" t="str">
        <x:v>Blotched picarel</x:v>
      </x:c>
      <x:c r="G33" s="24" t="str">
        <x:v>Small demersals (&lt;30 cm)</x:v>
      </x:c>
      <x:c r="H33" s="24" t="str">
        <x:v>Perch-likes</x:v>
      </x:c>
      <x:c r="I33" s="31" t="n">
        <x:v>132.949013974</x:v>
      </x:c>
      <x:c r="J33" s="31" t="n">
        <x:v>132.949013974</x:v>
      </x:c>
      <x:c r="K33" s="31" t="n">
        <x:v>0</x:v>
      </x:c>
      <x:c r="L33" s="31" t="n">
        <x:v>62.661751518</x:v>
      </x:c>
      <x:c r="M33" s="31" t="n">
        <x:v>70.287262456</x:v>
      </x:c>
      <x:c r="N33" s="24" t="str">
        <x:v>spicara maena</x:v>
      </x:c>
      <x:c r="O33" s="32" t="n">
        <x:v>4.15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Spicara maena</x:v>
      </x:c>
      <x:c r="T33" s="32" t="n">
        <x:f>IF(O33="","",(1/'Metadata'!$B$5)^(O33-1))</x:f>
        <x:v>1412.5375446227554</x:v>
      </x:c>
      <x:c r="U33" s="31" t="n">
        <x:f>IF(T33="","",I33*T33)</x:f>
        <x:v>187795.47375885033</x:v>
      </x:c>
    </x:row>
    <x:row r="34" ht="18" customHeight="1">
      <x:c r="A34" s="24" t="str">
        <x:v>EEZ_902</x:v>
      </x:c>
      <x:c r="B34" s="24" t="str">
        <x:v>Sardinia (Italy)</x:v>
      </x:c>
      <x:c r="C34" s="24" t="str">
        <x:v>EEZ</x:v>
      </x:c>
      <x:c r="D34" s="30" t="n">
        <x:v>2019</x:v>
      </x:c>
      <x:c r="E34" s="24" t="str">
        <x:v>Chelidonichthys lucerna</x:v>
      </x:c>
      <x:c r="F34" s="24" t="str">
        <x:v>Tub gurnard</x:v>
      </x:c>
      <x:c r="G34" s="24" t="str">
        <x:v>Medium demersals (30 - 89 cm)</x:v>
      </x:c>
      <x:c r="H34" s="24" t="str">
        <x:v>Scorpionfishes</x:v>
      </x:c>
      <x:c r="I34" s="31" t="n">
        <x:v>130.193210996</x:v>
      </x:c>
      <x:c r="J34" s="31" t="n">
        <x:v>130.193210996</x:v>
      </x:c>
      <x:c r="K34" s="31" t="n">
        <x:v>0</x:v>
      </x:c>
      <x:c r="L34" s="31" t="n">
        <x:v>49.527496750000005</x:v>
      </x:c>
      <x:c r="M34" s="31" t="n">
        <x:v>80.665714246</x:v>
      </x:c>
      <x:c r="N34" s="24" t="str">
        <x:v>chelidonichthys lucerna</x:v>
      </x:c>
      <x:c r="O34" s="32" t="n">
        <x:v>3.98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Chelidonichthys lucerna</x:v>
      </x:c>
      <x:c r="T34" s="32" t="n">
        <x:f>IF(O34="","",(1/'Metadata'!$B$5)^(O34-1))</x:f>
        <x:v>954.992586021436</x:v>
      </x:c>
      <x:c r="U34" s="31" t="n">
        <x:f>IF(T34="","",I34*T34)</x:f>
        <x:v>124333.5512515045</x:v>
      </x:c>
    </x:row>
    <x:row r="35" ht="18" customHeight="1">
      <x:c r="A35" s="24" t="str">
        <x:v>EEZ_902</x:v>
      </x:c>
      <x:c r="B35" s="24" t="str">
        <x:v>Sardinia (Italy)</x:v>
      </x:c>
      <x:c r="C35" s="24" t="str">
        <x:v>EEZ</x:v>
      </x:c>
      <x:c r="D35" s="30" t="n">
        <x:v>2019</x:v>
      </x:c>
      <x:c r="E35" s="24" t="str">
        <x:v>Palinurus elephas</x:v>
      </x:c>
      <x:c r="F35" s="24" t="str">
        <x:v>Common spiny lobster</x:v>
      </x:c>
      <x:c r="G35" s="24" t="str">
        <x:v>Lobsters, crabs</x:v>
      </x:c>
      <x:c r="H35" s="24" t="str">
        <x:v>Crustaceans</x:v>
      </x:c>
      <x:c r="I35" s="31" t="n">
        <x:v>125.18697282400001</x:v>
      </x:c>
      <x:c r="J35" s="31" t="n">
        <x:v>125.18697282400001</x:v>
      </x:c>
      <x:c r="K35" s="31" t="n">
        <x:v>0</x:v>
      </x:c>
      <x:c r="L35" s="31" t="n">
        <x:v>86.37818651</x:v>
      </x:c>
      <x:c r="M35" s="31" t="n">
        <x:v>38.808786314</x:v>
      </x:c>
      <x:c r="N35" s="24" t="str">
        <x:v>palinurus elephas</x:v>
      </x:c>
      <x:c r="O35" s="32" t="n">
        <x:v>3.34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Palinurus elephas</x:v>
      </x:c>
      <x:c r="T35" s="32" t="n">
        <x:f>IF(O35="","",(1/'Metadata'!$B$5)^(O35-1))</x:f>
        <x:v>218.77616239495518</x:v>
      </x:c>
      <x:c r="U35" s="31" t="n">
        <x:f>IF(T35="","",I35*T35)</x:f>
        <x:v>27387.925496276268</x:v>
      </x:c>
    </x:row>
    <x:row r="36" ht="18" customHeight="1">
      <x:c r="A36" s="24" t="str">
        <x:v>EEZ_902</x:v>
      </x:c>
      <x:c r="B36" s="24" t="str">
        <x:v>Sardinia (Italy)</x:v>
      </x:c>
      <x:c r="C36" s="24" t="str">
        <x:v>EEZ</x:v>
      </x:c>
      <x:c r="D36" s="30" t="n">
        <x:v>2019</x:v>
      </x:c>
      <x:c r="E36" s="24" t="str">
        <x:v>Sepiida</x:v>
      </x:c>
      <x:c r="F36" s="24" t="str">
        <x:v>Cuttlefishes, bobtail squids</x:v>
      </x:c>
      <x:c r="G36" s="24" t="str">
        <x:v>Cephalopods</x:v>
      </x:c>
      <x:c r="H36" s="24" t="str">
        <x:v>Other fishes &amp; inverts</x:v>
      </x:c>
      <x:c r="I36" s="31" t="n">
        <x:v>124.47074701599999</x:v>
      </x:c>
      <x:c r="J36" s="31" t="n">
        <x:v>124.47074701599999</x:v>
      </x:c>
      <x:c r="K36" s="31" t="n">
        <x:v>0</x:v>
      </x:c>
      <x:c r="L36" s="31" t="n">
        <x:v>93.71010186</x:v>
      </x:c>
      <x:c r="M36" s="31" t="n">
        <x:v>30.760645156</x:v>
      </x:c>
      <x:c r="N36" s="24" t="str">
        <x:v>sepiida</x:v>
      </x:c>
      <x:c r="O36" s="32" t="n">
        <x:v>3.7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Sepiida</x:v>
      </x:c>
      <x:c r="T36" s="32" t="n">
        <x:f>IF(O36="","",(1/'Metadata'!$B$5)^(O36-1))</x:f>
        <x:v>501.18723362727246</x:v>
      </x:c>
      <x:c r="U36" s="31" t="n">
        <x:f>IF(T36="","",I36*T36)</x:f>
        <x:v>62383.149364469115</x:v>
      </x:c>
    </x:row>
    <x:row r="37" ht="18" customHeight="1">
      <x:c r="A37" s="24" t="str">
        <x:v>EEZ_902</x:v>
      </x:c>
      <x:c r="B37" s="24" t="str">
        <x:v>Sardinia (Italy)</x:v>
      </x:c>
      <x:c r="C37" s="24" t="str">
        <x:v>EEZ</x:v>
      </x:c>
      <x:c r="D37" s="30" t="n">
        <x:v>2019</x:v>
      </x:c>
      <x:c r="E37" s="24" t="str">
        <x:v>Scomber colias</x:v>
      </x:c>
      <x:c r="F37" s="24" t="str">
        <x:v>Atlantic chub mackerel</x:v>
      </x:c>
      <x:c r="G37" s="24" t="str">
        <x:v>Medium pelagics (30 - 89 cm)</x:v>
      </x:c>
      <x:c r="H37" s="24" t="str">
        <x:v>Perch-likes</x:v>
      </x:c>
      <x:c r="I37" s="31" t="n">
        <x:v>107.531368986</x:v>
      </x:c>
      <x:c r="J37" s="31" t="n">
        <x:v>107.531368986</x:v>
      </x:c>
      <x:c r="K37" s="31" t="n">
        <x:v>0</x:v>
      </x:c>
      <x:c r="L37" s="31" t="n">
        <x:v>75.68975815</x:v>
      </x:c>
      <x:c r="M37" s="31" t="n">
        <x:v>31.841610836</x:v>
      </x:c>
      <x:c r="N37" s="24" t="str">
        <x:v>scomber colias</x:v>
      </x:c>
      <x:c r="O37" s="32" t="n">
        <x:v>3.91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Scomber colias</x:v>
      </x:c>
      <x:c r="T37" s="32" t="n">
        <x:f>IF(O37="","",(1/'Metadata'!$B$5)^(O37-1))</x:f>
        <x:v>812.8305161640995</x:v>
      </x:c>
      <x:c r="U37" s="31" t="n">
        <x:f>IF(T37="","",I37*T37)</x:f>
        <x:v>87404.77815672263</x:v>
      </x:c>
    </x:row>
    <x:row r="38" ht="18" customHeight="1">
      <x:c r="A38" s="24" t="str">
        <x:v>EEZ_902</x:v>
      </x:c>
      <x:c r="B38" s="24" t="str">
        <x:v>Sardinia (Italy)</x:v>
      </x:c>
      <x:c r="C38" s="24" t="str">
        <x:v>EEZ</x:v>
      </x:c>
      <x:c r="D38" s="30" t="n">
        <x:v>2019</x:v>
      </x:c>
      <x:c r="E38" s="24" t="str">
        <x:v>Eledone moschata</x:v>
      </x:c>
      <x:c r="F38" s="24" t="str">
        <x:v>Musky octopus</x:v>
      </x:c>
      <x:c r="G38" s="24" t="str">
        <x:v>Cephalopods</x:v>
      </x:c>
      <x:c r="H38" s="24" t="str">
        <x:v>Other fishes &amp; inverts</x:v>
      </x:c>
      <x:c r="I38" s="31" t="n">
        <x:v>106.11701172</x:v>
      </x:c>
      <x:c r="J38" s="31" t="n">
        <x:v>106.11701172</x:v>
      </x:c>
      <x:c r="K38" s="31" t="n">
        <x:v>0</x:v>
      </x:c>
      <x:c r="L38" s="31" t="n">
        <x:v>0</x:v>
      </x:c>
      <x:c r="M38" s="31" t="n">
        <x:v>106.11701172</x:v>
      </x:c>
      <x:c r="N38" s="24" t="str">
        <x:v>eledone moschata</x:v>
      </x:c>
      <x:c r="O38" s="32" t="n">
        <x:v>3.65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Eledone moschata</x:v>
      </x:c>
      <x:c r="T38" s="32" t="n">
        <x:f>IF(O38="","",(1/'Metadata'!$B$5)^(O38-1))</x:f>
        <x:v>446.683592150963</x:v>
      </x:c>
      <x:c r="U38" s="31" t="n">
        <x:f>IF(T38="","",I38*T38)</x:f>
        <x:v>47400.72798341544</x:v>
      </x:c>
    </x:row>
    <x:row r="39" ht="18" customHeight="1">
      <x:c r="A39" s="24" t="str">
        <x:v>EEZ_902</x:v>
      </x:c>
      <x:c r="B39" s="24" t="str">
        <x:v>Sardinia (Italy)</x:v>
      </x:c>
      <x:c r="C39" s="24" t="str">
        <x:v>EEZ</x:v>
      </x:c>
      <x:c r="D39" s="30" t="n">
        <x:v>2019</x:v>
      </x:c>
      <x:c r="E39" s="24" t="str">
        <x:v>Dicentrarchus labrax</x:v>
      </x:c>
      <x:c r="F39" s="24" t="str">
        <x:v>European seabass</x:v>
      </x:c>
      <x:c r="G39" s="24" t="str">
        <x:v>Large demersals (&gt;=90 cm)</x:v>
      </x:c>
      <x:c r="H39" s="24" t="str">
        <x:v>Perch-likes</x:v>
      </x:c>
      <x:c r="I39" s="31" t="n">
        <x:v>93.221788088</x:v>
      </x:c>
      <x:c r="J39" s="31" t="n">
        <x:v>93.221788088</x:v>
      </x:c>
      <x:c r="K39" s="31" t="n">
        <x:v>0</x:v>
      </x:c>
      <x:c r="L39" s="31" t="n">
        <x:v>14.298586144</x:v>
      </x:c>
      <x:c r="M39" s="31" t="n">
        <x:v>78.923201944</x:v>
      </x:c>
      <x:c r="N39" s="24" t="str">
        <x:v>dicentrarchus labrax</x:v>
      </x:c>
      <x:c r="O39" s="32" t="n">
        <x:v>3.79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Dicentrarchus labrax</x:v>
      </x:c>
      <x:c r="T39" s="32" t="n">
        <x:f>IF(O39="","",(1/'Metadata'!$B$5)^(O39-1))</x:f>
        <x:v>616.5950018614822</x:v>
      </x:c>
      <x:c r="U39" s="31" t="n">
        <x:f>IF(T39="","",I39*T39)</x:f>
        <x:v>57480.088599651055</x:v>
      </x:c>
    </x:row>
    <x:row r="40" ht="18" customHeight="1">
      <x:c r="A40" s="24" t="str">
        <x:v>EEZ_902</x:v>
      </x:c>
      <x:c r="B40" s="24" t="str">
        <x:v>Sardinia (Italy)</x:v>
      </x:c>
      <x:c r="C40" s="24" t="str">
        <x:v>EEZ</x:v>
      </x:c>
      <x:c r="D40" s="30" t="n">
        <x:v>2019</x:v>
      </x:c>
      <x:c r="E40" s="24" t="str">
        <x:v>Chelon ramada</x:v>
      </x:c>
      <x:c r="F40" s="24" t="str">
        <x:v>Thinlip grey mullet</x:v>
      </x:c>
      <x:c r="G40" s="24" t="str">
        <x:v>Medium pelagics (30 - 89 cm)</x:v>
      </x:c>
      <x:c r="H40" s="24" t="str">
        <x:v>Perch-likes</x:v>
      </x:c>
      <x:c r="I40" s="31" t="n">
        <x:v>92.933966115</x:v>
      </x:c>
      <x:c r="J40" s="31" t="n">
        <x:v>92.933966115</x:v>
      </x:c>
      <x:c r="K40" s="31" t="n">
        <x:v>0</x:v>
      </x:c>
      <x:c r="L40" s="31" t="n">
        <x:v>77.36746829</x:v>
      </x:c>
      <x:c r="M40" s="31" t="n">
        <x:v>15.566497824999999</x:v>
      </x:c>
      <x:c r="N40" s="24" t="str">
        <x:v>chelon ramada</x:v>
      </x:c>
      <x:c r="O40" s="32" t="n">
        <x:v>2.3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Chelon ramada</x:v>
      </x:c>
      <x:c r="T40" s="32" t="n">
        <x:f>IF(O40="","",(1/'Metadata'!$B$5)^(O40-1))</x:f>
        <x:v>19.952623149688787</x:v>
      </x:c>
      <x:c r="U40" s="31" t="n">
        <x:f>IF(T40="","",I40*T40)</x:f>
        <x:v>1854.2764036985423</x:v>
      </x:c>
    </x:row>
    <x:row r="41" ht="18" customHeight="1">
      <x:c r="A41" s="24" t="str">
        <x:v>EEZ_902</x:v>
      </x:c>
      <x:c r="B41" s="24" t="str">
        <x:v>Sardinia (Italy)</x:v>
      </x:c>
      <x:c r="C41" s="24" t="str">
        <x:v>EEZ</x:v>
      </x:c>
      <x:c r="D41" s="30" t="n">
        <x:v>2019</x:v>
      </x:c>
      <x:c r="E41" s="24" t="str">
        <x:v>Loligo</x:v>
      </x:c>
      <x:c r="F41" s="24" t="str">
        <x:v>Common squids</x:v>
      </x:c>
      <x:c r="G41" s="24" t="str">
        <x:v>Cephalopods</x:v>
      </x:c>
      <x:c r="H41" s="24" t="str">
        <x:v>Other fishes &amp; inverts</x:v>
      </x:c>
      <x:c r="I41" s="31" t="n">
        <x:v>92.815011207</x:v>
      </x:c>
      <x:c r="J41" s="31" t="n">
        <x:v>92.815011207</x:v>
      </x:c>
      <x:c r="K41" s="31" t="n">
        <x:v>0</x:v>
      </x:c>
      <x:c r="L41" s="31" t="n">
        <x:v>72.50652536</x:v>
      </x:c>
      <x:c r="M41" s="31" t="n">
        <x:v>20.308485847</x:v>
      </x:c>
      <x:c r="N41" s="24" t="str">
        <x:v>loligo</x:v>
      </x:c>
      <x:c r="O41" s="32" t="n">
        <x:v>3.99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Loligo</x:v>
      </x:c>
      <x:c r="T41" s="32" t="n">
        <x:f>IF(O41="","",(1/'Metadata'!$B$5)^(O41-1))</x:f>
        <x:v>977.2372209558112</x:v>
      </x:c>
      <x:c r="U41" s="31" t="n">
        <x:f>IF(T41="","",I41*T41)</x:f>
        <x:v>90702.28361491114</x:v>
      </x:c>
    </x:row>
    <x:row r="42" ht="18" customHeight="1">
      <x:c r="A42" s="24" t="str">
        <x:v>EEZ_902</x:v>
      </x:c>
      <x:c r="B42" s="24" t="str">
        <x:v>Sardinia (Italy)</x:v>
      </x:c>
      <x:c r="C42" s="24" t="str">
        <x:v>EEZ</x:v>
      </x:c>
      <x:c r="D42" s="30" t="n">
        <x:v>2019</x:v>
      </x:c>
      <x:c r="E42" s="24" t="str">
        <x:v>Engraulis encrasicolus</x:v>
      </x:c>
      <x:c r="F42" s="24" t="str">
        <x:v>European anchovy</x:v>
      </x:c>
      <x:c r="G42" s="24" t="str">
        <x:v>Small pelagics (&lt;30 cm)</x:v>
      </x:c>
      <x:c r="H42" s="24" t="str">
        <x:v>Anchovies</x:v>
      </x:c>
      <x:c r="I42" s="31" t="n">
        <x:v>87.425796213</x:v>
      </x:c>
      <x:c r="J42" s="31" t="n">
        <x:v>87.425796213</x:v>
      </x:c>
      <x:c r="K42" s="31" t="n">
        <x:v>0</x:v>
      </x:c>
      <x:c r="L42" s="31" t="n">
        <x:v>73.80033917</x:v>
      </x:c>
      <x:c r="M42" s="31" t="n">
        <x:v>13.625457042999999</x:v>
      </x:c>
      <x:c r="N42" s="24" t="str">
        <x:v>engraulis encrasicolus</x:v>
      </x:c>
      <x:c r="O42" s="32" t="n">
        <x:v>3.11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Engraulis encrasicolus</x:v>
      </x:c>
      <x:c r="T42" s="32" t="n">
        <x:f>IF(O42="","",(1/'Metadata'!$B$5)^(O42-1))</x:f>
        <x:v>128.82495516931337</x:v>
      </x:c>
      <x:c r="U42" s="31" t="n">
        <x:f>IF(T42="","",I42*T42)</x:f>
        <x:v>11262.624277781251</x:v>
      </x:c>
    </x:row>
    <x:row r="43" ht="18" customHeight="1">
      <x:c r="A43" s="24" t="str">
        <x:v>EEZ_902</x:v>
      </x:c>
      <x:c r="B43" s="24" t="str">
        <x:v>Sardinia (Italy)</x:v>
      </x:c>
      <x:c r="C43" s="24" t="str">
        <x:v>EEZ</x:v>
      </x:c>
      <x:c r="D43" s="30" t="n">
        <x:v>2019</x:v>
      </x:c>
      <x:c r="E43" s="24" t="str">
        <x:v>Labridae</x:v>
      </x:c>
      <x:c r="F43" s="24" t="str">
        <x:v>Wrasses, gropers, tuskfishes</x:v>
      </x:c>
      <x:c r="G43" s="24" t="str">
        <x:v>Medium reef assoc. fish (30 - 89 cm)</x:v>
      </x:c>
      <x:c r="H43" s="24" t="str">
        <x:v>Perch-likes</x:v>
      </x:c>
      <x:c r="I43" s="31" t="n">
        <x:v>85.316881659</x:v>
      </x:c>
      <x:c r="J43" s="31" t="n">
        <x:v>85.316881659</x:v>
      </x:c>
      <x:c r="K43" s="31" t="n">
        <x:v>0</x:v>
      </x:c>
      <x:c r="L43" s="31" t="n">
        <x:v>11.094186187</x:v>
      </x:c>
      <x:c r="M43" s="31" t="n">
        <x:v>74.222695472</x:v>
      </x:c>
      <x:c r="N43" s="24" t="str">
        <x:v>labridae</x:v>
      </x:c>
      <x:c r="O43" s="32" t="n">
        <x:v>3.46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Labridae</x:v>
      </x:c>
      <x:c r="T43" s="32" t="n">
        <x:f>IF(O43="","",(1/'Metadata'!$B$5)^(O43-1))</x:f>
        <x:v>288.40315031266056</x:v>
      </x:c>
      <x:c r="U43" s="31" t="n">
        <x:f>IF(T43="","",I43*T43)</x:f>
        <x:v>24605.65744530805</x:v>
      </x:c>
    </x:row>
    <x:row r="44" ht="18" customHeight="1">
      <x:c r="A44" s="24" t="str">
        <x:v>EEZ_902</x:v>
      </x:c>
      <x:c r="B44" s="24" t="str">
        <x:v>Sardinia (Italy)</x:v>
      </x:c>
      <x:c r="C44" s="24" t="str">
        <x:v>EEZ</x:v>
      </x:c>
      <x:c r="D44" s="30" t="n">
        <x:v>2019</x:v>
      </x:c>
      <x:c r="E44" s="24" t="str">
        <x:v>Pagrus pagrus</x:v>
      </x:c>
      <x:c r="F44" s="24" t="str">
        <x:v>Red porgy</x:v>
      </x:c>
      <x:c r="G44" s="24" t="str">
        <x:v>Medium benthopelagics (30 - 89 cm)</x:v>
      </x:c>
      <x:c r="H44" s="24" t="str">
        <x:v>Perch-likes</x:v>
      </x:c>
      <x:c r="I44" s="31" t="n">
        <x:v>79.405898666</x:v>
      </x:c>
      <x:c r="J44" s="31" t="n">
        <x:v>79.405898666</x:v>
      </x:c>
      <x:c r="K44" s="31" t="n">
        <x:v>0</x:v>
      </x:c>
      <x:c r="L44" s="31" t="n">
        <x:v>5.462022182</x:v>
      </x:c>
      <x:c r="M44" s="31" t="n">
        <x:v>73.943876484</x:v>
      </x:c>
      <x:c r="N44" s="24" t="str">
        <x:v>pagrus pagrus</x:v>
      </x:c>
      <x:c r="O44" s="32" t="n">
        <x:v>3.86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Pagrus pagrus</x:v>
      </x:c>
      <x:c r="T44" s="32" t="n">
        <x:f>IF(O44="","",(1/'Metadata'!$B$5)^(O44-1))</x:f>
        <x:v>724.4359600749899</x:v>
      </x:c>
      <x:c r="U44" s="31" t="n">
        <x:f>IF(T44="","",I44*T44)</x:f>
        <x:v>57524.48843572107</x:v>
      </x:c>
    </x:row>
    <x:row r="45" ht="18" customHeight="1">
      <x:c r="A45" s="24" t="str">
        <x:v>EEZ_902</x:v>
      </x:c>
      <x:c r="B45" s="24" t="str">
        <x:v>Sardinia (Italy)</x:v>
      </x:c>
      <x:c r="C45" s="24" t="str">
        <x:v>EEZ</x:v>
      </x:c>
      <x:c r="D45" s="30" t="n">
        <x:v>2019</x:v>
      </x:c>
      <x:c r="E45" s="24" t="str">
        <x:v>Trachinotus ovatus</x:v>
      </x:c>
      <x:c r="F45" s="24" t="str">
        <x:v>Pompano</x:v>
      </x:c>
      <x:c r="G45" s="24" t="str">
        <x:v>Medium pelagics (30 - 89 cm)</x:v>
      </x:c>
      <x:c r="H45" s="24" t="str">
        <x:v>Perch-likes</x:v>
      </x:c>
      <x:c r="I45" s="31" t="n">
        <x:v>76.593216991</x:v>
      </x:c>
      <x:c r="J45" s="31" t="n">
        <x:v>76.593216991</x:v>
      </x:c>
      <x:c r="K45" s="31" t="n">
        <x:v>0</x:v>
      </x:c>
      <x:c r="L45" s="31" t="n">
        <x:v>2.649132587</x:v>
      </x:c>
      <x:c r="M45" s="31" t="n">
        <x:v>73.944084404</x:v>
      </x:c>
      <x:c r="N45" s="24" t="str">
        <x:v>trachinotus ovatus</x:v>
      </x:c>
      <x:c r="O45" s="32" t="n">
        <x:v>3.73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Trachinotus ovatus</x:v>
      </x:c>
      <x:c r="T45" s="32" t="n">
        <x:f>IF(O45="","",(1/'Metadata'!$B$5)^(O45-1))</x:f>
        <x:v>537.0317963702527</x:v>
      </x:c>
      <x:c r="U45" s="31" t="n">
        <x:f>IF(T45="","",I45*T45)</x:f>
        <x:v>41132.99291045329</x:v>
      </x:c>
    </x:row>
    <x:row r="46" ht="18" customHeight="1">
      <x:c r="A46" s="24" t="str">
        <x:v>EEZ_902</x:v>
      </x:c>
      <x:c r="B46" s="24" t="str">
        <x:v>Sardinia (Italy)</x:v>
      </x:c>
      <x:c r="C46" s="24" t="str">
        <x:v>EEZ</x:v>
      </x:c>
      <x:c r="D46" s="30" t="n">
        <x:v>2019</x:v>
      </x:c>
      <x:c r="E46" s="24" t="str">
        <x:v>Platichthys flesus</x:v>
      </x:c>
      <x:c r="F46" s="24" t="str">
        <x:v>European flounder</x:v>
      </x:c>
      <x:c r="G46" s="24" t="str">
        <x:v>Small to medium flatfishes (&lt;90 cm)</x:v>
      </x:c>
      <x:c r="H46" s="24" t="str">
        <x:v>Flatfishes</x:v>
      </x:c>
      <x:c r="I46" s="31" t="n">
        <x:v>76.112088116</x:v>
      </x:c>
      <x:c r="J46" s="31" t="n">
        <x:v>76.112088116</x:v>
      </x:c>
      <x:c r="K46" s="31" t="n">
        <x:v>0</x:v>
      </x:c>
      <x:c r="L46" s="31" t="n">
        <x:v>2.789264256</x:v>
      </x:c>
      <x:c r="M46" s="31" t="n">
        <x:v>73.32282386</x:v>
      </x:c>
      <x:c r="N46" s="24" t="str">
        <x:v>platichthys flesus</x:v>
      </x:c>
      <x:c r="O46" s="32" t="n">
        <x:v>3.32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Platichthys flesus</x:v>
      </x:c>
      <x:c r="T46" s="32" t="n">
        <x:f>IF(O46="","",(1/'Metadata'!$B$5)^(O46-1))</x:f>
        <x:v>208.92961308540387</x:v>
      </x:c>
      <x:c r="U46" s="31" t="n">
        <x:f>IF(T46="","",I46*T46)</x:f>
        <x:v>15902.069121198045</x:v>
      </x:c>
    </x:row>
    <x:row r="47" ht="18" customHeight="1">
      <x:c r="A47" s="24" t="str">
        <x:v>EEZ_902</x:v>
      </x:c>
      <x:c r="B47" s="24" t="str">
        <x:v>Sardinia (Italy)</x:v>
      </x:c>
      <x:c r="C47" s="24" t="str">
        <x:v>EEZ</x:v>
      </x:c>
      <x:c r="D47" s="30" t="n">
        <x:v>2019</x:v>
      </x:c>
      <x:c r="E47" s="24" t="str">
        <x:v>Prionace glauca</x:v>
      </x:c>
      <x:c r="F47" s="24" t="str">
        <x:v>Blue shark</x:v>
      </x:c>
      <x:c r="G47" s="24" t="str">
        <x:v>Large sharks (&gt;=90 cm)</x:v>
      </x:c>
      <x:c r="H47" s="24" t="str">
        <x:v>Sharks &amp; rays</x:v>
      </x:c>
      <x:c r="I47" s="31" t="n">
        <x:v>73.909225891</x:v>
      </x:c>
      <x:c r="J47" s="31" t="n">
        <x:v>73.909225891</x:v>
      </x:c>
      <x:c r="K47" s="31" t="n">
        <x:v>0</x:v>
      </x:c>
      <x:c r="L47" s="31" t="n">
        <x:v>0</x:v>
      </x:c>
      <x:c r="M47" s="31" t="n">
        <x:v>73.909225891</x:v>
      </x:c>
      <x:c r="N47" s="24" t="str">
        <x:v>prionace glauca</x:v>
      </x:c>
      <x:c r="O47" s="32" t="n">
        <x:v>4.35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Prionace glauca</x:v>
      </x:c>
      <x:c r="T47" s="32" t="n">
        <x:f>IF(O47="","",(1/'Metadata'!$B$5)^(O47-1))</x:f>
        <x:v>2238.7211385683377</x:v>
      </x:c>
      <x:c r="U47" s="31" t="n">
        <x:f>IF(T47="","",I47*T47)</x:f>
        <x:v>165462.146337404</x:v>
      </x:c>
    </x:row>
    <x:row r="48" ht="18" customHeight="1">
      <x:c r="A48" s="24" t="str">
        <x:v>EEZ_902</x:v>
      </x:c>
      <x:c r="B48" s="24" t="str">
        <x:v>Sardinia (Italy)</x:v>
      </x:c>
      <x:c r="C48" s="24" t="str">
        <x:v>EEZ</x:v>
      </x:c>
      <x:c r="D48" s="30" t="n">
        <x:v>2019</x:v>
      </x:c>
      <x:c r="E48" s="24" t="str">
        <x:v>Alopias</x:v>
      </x:c>
      <x:c r="F48" s="24" t="str">
        <x:v>Thresher sharks</x:v>
      </x:c>
      <x:c r="G48" s="24" t="str">
        <x:v>Large sharks (&gt;=90 cm)</x:v>
      </x:c>
      <x:c r="H48" s="24" t="str">
        <x:v>Sharks &amp; rays</x:v>
      </x:c>
      <x:c r="I48" s="31" t="n">
        <x:v>73.32282386</x:v>
      </x:c>
      <x:c r="J48" s="31" t="n">
        <x:v>73.32282386</x:v>
      </x:c>
      <x:c r="K48" s="31" t="n">
        <x:v>0</x:v>
      </x:c>
      <x:c r="L48" s="31" t="n">
        <x:v>0</x:v>
      </x:c>
      <x:c r="M48" s="31" t="n">
        <x:v>73.32282386</x:v>
      </x:c>
      <x:c r="N48" s="24" t="str">
        <x:v>alopias</x:v>
      </x:c>
      <x:c r="O48" s="32" t="n">
        <x:v>4.5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Alopias</x:v>
      </x:c>
      <x:c r="T48" s="32" t="n">
        <x:f>IF(O48="","",(1/'Metadata'!$B$5)^(O48-1))</x:f>
        <x:v>3162.2776601683795</x:v>
      </x:c>
      <x:c r="U48" s="31" t="n">
        <x:f>IF(T48="","",I48*T48)</x:f>
        <x:v>231867.12787293902</x:v>
      </x:c>
    </x:row>
    <x:row r="49" ht="18" customHeight="1">
      <x:c r="A49" s="24" t="str">
        <x:v>EEZ_902</x:v>
      </x:c>
      <x:c r="B49" s="24" t="str">
        <x:v>Sardinia (Italy)</x:v>
      </x:c>
      <x:c r="C49" s="24" t="str">
        <x:v>EEZ</x:v>
      </x:c>
      <x:c r="D49" s="30" t="n">
        <x:v>2019</x:v>
      </x:c>
      <x:c r="E49" s="24" t="str">
        <x:v>Sciaenidae</x:v>
      </x:c>
      <x:c r="F49" s="24" t="str">
        <x:v>Drums, croakers</x:v>
      </x:c>
      <x:c r="G49" s="24" t="str">
        <x:v>Medium demersals (30 - 89 cm)</x:v>
      </x:c>
      <x:c r="H49" s="24" t="str">
        <x:v>Perch-likes</x:v>
      </x:c>
      <x:c r="I49" s="31" t="n">
        <x:v>73.32282386</x:v>
      </x:c>
      <x:c r="J49" s="31" t="n">
        <x:v>73.32282386</x:v>
      </x:c>
      <x:c r="K49" s="31" t="n">
        <x:v>0</x:v>
      </x:c>
      <x:c r="L49" s="31" t="n">
        <x:v>0</x:v>
      </x:c>
      <x:c r="M49" s="31" t="n">
        <x:v>73.32282386</x:v>
      </x:c>
      <x:c r="N49" s="24" t="str">
        <x:v>sciaenidae</x:v>
      </x:c>
      <x:c r="O49" s="32" t="n">
        <x:v>3.76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Sciaenidae</x:v>
      </x:c>
      <x:c r="T49" s="32" t="n">
        <x:f>IF(O49="","",(1/'Metadata'!$B$5)^(O49-1))</x:f>
        <x:v>575.4399373371566</x:v>
      </x:c>
      <x:c r="U49" s="31" t="n">
        <x:f>IF(T49="","",I49*T49)</x:f>
        <x:v>42192.88116738177</x:v>
      </x:c>
    </x:row>
    <x:row r="50" ht="18" customHeight="1">
      <x:c r="A50" s="24" t="str">
        <x:v>EEZ_902</x:v>
      </x:c>
      <x:c r="B50" s="24" t="str">
        <x:v>Sardinia (Italy)</x:v>
      </x:c>
      <x:c r="C50" s="24" t="str">
        <x:v>EEZ</x:v>
      </x:c>
      <x:c r="D50" s="30" t="n">
        <x:v>2019</x:v>
      </x:c>
      <x:c r="E50" s="24" t="str">
        <x:v>Scorpaenidae</x:v>
      </x:c>
      <x:c r="F50" s="24" t="str">
        <x:v>Scorpionfishes, rockfishes</x:v>
      </x:c>
      <x:c r="G50" s="24" t="str">
        <x:v>Large reef assoc. fish (&gt;=90 cm)</x:v>
      </x:c>
      <x:c r="H50" s="24" t="str">
        <x:v>Scorpionfishes</x:v>
      </x:c>
      <x:c r="I50" s="31" t="n">
        <x:v>73.32282386</x:v>
      </x:c>
      <x:c r="J50" s="31" t="n">
        <x:v>73.32282386</x:v>
      </x:c>
      <x:c r="K50" s="31" t="n">
        <x:v>0</x:v>
      </x:c>
      <x:c r="L50" s="31" t="n">
        <x:v>0</x:v>
      </x:c>
      <x:c r="M50" s="31" t="n">
        <x:v>73.32282386</x:v>
      </x:c>
      <x:c r="N50" s="24" t="str">
        <x:v>scorpaenidae</x:v>
      </x:c>
      <x:c r="O50" s="32" t="n">
        <x:v>3.92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Scorpaenidae</x:v>
      </x:c>
      <x:c r="T50" s="32" t="n">
        <x:f>IF(O50="","",(1/'Metadata'!$B$5)^(O50-1))</x:f>
        <x:v>831.7637711026708</x:v>
      </x:c>
      <x:c r="U50" s="31" t="n">
        <x:f>IF(T50="","",I50*T50)</x:f>
        <x:v>60987.26848169049</x:v>
      </x:c>
    </x:row>
    <x:row r="51" ht="18" customHeight="1">
      <x:c r="A51" s="24" t="str">
        <x:v>EEZ_902</x:v>
      </x:c>
      <x:c r="B51" s="24" t="str">
        <x:v>Sardinia (Italy)</x:v>
      </x:c>
      <x:c r="C51" s="24" t="str">
        <x:v>EEZ</x:v>
      </x:c>
      <x:c r="D51" s="30" t="n">
        <x:v>2019</x:v>
      </x:c>
      <x:c r="E51" s="24" t="str">
        <x:v>Teuthida</x:v>
      </x:c>
      <x:c r="F51" s="24" t="str">
        <x:v>Squids</x:v>
      </x:c>
      <x:c r="G51" s="24" t="str">
        <x:v>Cephalopods</x:v>
      </x:c>
      <x:c r="H51" s="24" t="str">
        <x:v>Other fishes &amp; inverts</x:v>
      </x:c>
      <x:c r="I51" s="31" t="n">
        <x:v>73.32282386</x:v>
      </x:c>
      <x:c r="J51" s="31" t="n">
        <x:v>73.32282386</x:v>
      </x:c>
      <x:c r="K51" s="31" t="n">
        <x:v>0</x:v>
      </x:c>
      <x:c r="L51" s="31" t="n">
        <x:v>0</x:v>
      </x:c>
      <x:c r="M51" s="31" t="n">
        <x:v>73.32282386</x:v>
      </x:c>
      <x:c r="N51" s="24" t="str">
        <x:v>teuthida</x:v>
      </x:c>
      <x:c r="O51" s="32" t="n">
        <x:v>4.13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Teuthida</x:v>
      </x:c>
      <x:c r="T51" s="32" t="n">
        <x:f>IF(O51="","",(1/'Metadata'!$B$5)^(O51-1))</x:f>
        <x:v>1348.9628825916532</x:v>
      </x:c>
      <x:c r="U51" s="31" t="n">
        <x:f>IF(T51="","",I51*T51)</x:f>
        <x:v>98909.76783394565</x:v>
      </x:c>
    </x:row>
    <x:row r="52" ht="18" customHeight="1">
      <x:c r="A52" s="24" t="str">
        <x:v>EEZ_902</x:v>
      </x:c>
      <x:c r="B52" s="24" t="str">
        <x:v>Sardinia (Italy)</x:v>
      </x:c>
      <x:c r="C52" s="24" t="str">
        <x:v>EEZ</x:v>
      </x:c>
      <x:c r="D52" s="30" t="n">
        <x:v>2019</x:v>
      </x:c>
      <x:c r="E52" s="24" t="str">
        <x:v>Serranus</x:v>
      </x:c>
      <x:c r="F52" s="24" t="str">
        <x:v>Groupers</x:v>
      </x:c>
      <x:c r="G52" s="24" t="str">
        <x:v>Small reef assoc. fish (&lt;30 cm)</x:v>
      </x:c>
      <x:c r="H52" s="24" t="str">
        <x:v>Perch-likes</x:v>
      </x:c>
      <x:c r="I52" s="31" t="n">
        <x:v>73.32282386</x:v>
      </x:c>
      <x:c r="J52" s="31" t="n">
        <x:v>73.32282386</x:v>
      </x:c>
      <x:c r="K52" s="31" t="n">
        <x:v>0</x:v>
      </x:c>
      <x:c r="L52" s="31" t="n">
        <x:v>0</x:v>
      </x:c>
      <x:c r="M52" s="31" t="n">
        <x:v>73.32282386</x:v>
      </x:c>
      <x:c r="N52" s="24" t="str">
        <x:v>serranus</x:v>
      </x:c>
      <x:c r="O52" s="32" t="n">
        <x:v>3.73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Serranus</x:v>
      </x:c>
      <x:c r="T52" s="32" t="n">
        <x:f>IF(O52="","",(1/'Metadata'!$B$5)^(O52-1))</x:f>
        <x:v>537.0317963702527</x:v>
      </x:c>
      <x:c r="U52" s="31" t="n">
        <x:f>IF(T52="","",I52*T52)</x:f>
        <x:v>39376.68781247542</x:v>
      </x:c>
    </x:row>
    <x:row r="53" ht="18" customHeight="1">
      <x:c r="A53" s="24" t="str">
        <x:v>EEZ_902</x:v>
      </x:c>
      <x:c r="B53" s="24" t="str">
        <x:v>Sardinia (Italy)</x:v>
      </x:c>
      <x:c r="C53" s="24" t="str">
        <x:v>EEZ</x:v>
      </x:c>
      <x:c r="D53" s="30" t="n">
        <x:v>2019</x:v>
      </x:c>
      <x:c r="E53" s="24" t="str">
        <x:v>Mugil cephalus</x:v>
      </x:c>
      <x:c r="F53" s="24" t="str">
        <x:v>Flathead grey mullet</x:v>
      </x:c>
      <x:c r="G53" s="24" t="str">
        <x:v>Large benthopelagics (&gt;=90 cm)</x:v>
      </x:c>
      <x:c r="H53" s="24" t="str">
        <x:v>Perch-likes</x:v>
      </x:c>
      <x:c r="I53" s="31" t="n">
        <x:v>66.89420236100001</x:v>
      </x:c>
      <x:c r="J53" s="31" t="n">
        <x:v>66.89420236100001</x:v>
      </x:c>
      <x:c r="K53" s="31" t="n">
        <x:v>0</x:v>
      </x:c>
      <x:c r="L53" s="31" t="n">
        <x:v>57.861796513</x:v>
      </x:c>
      <x:c r="M53" s="31" t="n">
        <x:v>9.032405848</x:v>
      </x:c>
      <x:c r="N53" s="24" t="str">
        <x:v>mugil cephalus</x:v>
      </x:c>
      <x:c r="O53" s="32" t="n">
        <x:v>2.14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Mugil cephalus</x:v>
      </x:c>
      <x:c r="T53" s="32" t="n">
        <x:f>IF(O53="","",(1/'Metadata'!$B$5)^(O53-1))</x:f>
        <x:v>13.803842646028853</x:v>
      </x:c>
      <x:c r="U53" s="31" t="n">
        <x:f>IF(T53="","",I53*T53)</x:f>
        <x:v>923.397043322856</x:v>
      </x:c>
    </x:row>
    <x:row r="54" ht="18" customHeight="1">
      <x:c r="A54" s="24" t="str">
        <x:v>EEZ_902</x:v>
      </x:c>
      <x:c r="B54" s="24" t="str">
        <x:v>Sardinia (Italy)</x:v>
      </x:c>
      <x:c r="C54" s="24" t="str">
        <x:v>EEZ</x:v>
      </x:c>
      <x:c r="D54" s="30" t="n">
        <x:v>2019</x:v>
      </x:c>
      <x:c r="E54" s="24" t="str">
        <x:v>Raja clavata</x:v>
      </x:c>
      <x:c r="F54" s="24" t="str">
        <x:v>Thornback ray</x:v>
      </x:c>
      <x:c r="G54" s="24" t="str">
        <x:v>Large rays (&gt;=90 cm)</x:v>
      </x:c>
      <x:c r="H54" s="24" t="str">
        <x:v>Sharks &amp; rays</x:v>
      </x:c>
      <x:c r="I54" s="31" t="n">
        <x:v>66.245758328</x:v>
      </x:c>
      <x:c r="J54" s="31" t="n">
        <x:v>66.245758328</x:v>
      </x:c>
      <x:c r="K54" s="31" t="n">
        <x:v>0</x:v>
      </x:c>
      <x:c r="L54" s="31" t="n">
        <x:v>53.868780091000005</x:v>
      </x:c>
      <x:c r="M54" s="31" t="n">
        <x:v>12.376978237000001</x:v>
      </x:c>
      <x:c r="N54" s="24" t="str">
        <x:v>raja clavata</x:v>
      </x:c>
      <x:c r="O54" s="32" t="n">
        <x:v>3.84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Raja clavata</x:v>
      </x:c>
      <x:c r="T54" s="32" t="n">
        <x:f>IF(O54="","",(1/'Metadata'!$B$5)^(O54-1))</x:f>
        <x:v>691.8309709189363</x:v>
      </x:c>
      <x:c r="U54" s="31" t="n">
        <x:f>IF(T54="","",I54*T54)</x:f>
        <x:v>45830.86730332144</x:v>
      </x:c>
    </x:row>
    <x:row r="55" ht="18" customHeight="1">
      <x:c r="A55" s="24" t="str">
        <x:v>EEZ_902</x:v>
      </x:c>
      <x:c r="B55" s="24" t="str">
        <x:v>Sardinia (Italy)</x:v>
      </x:c>
      <x:c r="C55" s="24" t="str">
        <x:v>EEZ</x:v>
      </x:c>
      <x:c r="D55" s="30" t="n">
        <x:v>2019</x:v>
      </x:c>
      <x:c r="E55" s="24" t="str">
        <x:v>Triglidae</x:v>
      </x:c>
      <x:c r="F55" s="24" t="str">
        <x:v>Searobins, gurnards</x:v>
      </x:c>
      <x:c r="G55" s="24" t="str">
        <x:v>Medium demersals (30 - 89 cm)</x:v>
      </x:c>
      <x:c r="H55" s="24" t="str">
        <x:v>Scorpionfishes</x:v>
      </x:c>
      <x:c r="I55" s="31" t="n">
        <x:v>59.8530444311</x:v>
      </x:c>
      <x:c r="J55" s="31" t="n">
        <x:v>54.8376771801</x:v>
      </x:c>
      <x:c r="K55" s="31" t="n">
        <x:v>5.015367251</x:v>
      </x:c>
      <x:c r="L55" s="31" t="n">
        <x:v>59.8530444311</x:v>
      </x:c>
      <x:c r="M55" s="31" t="n">
        <x:v>0</x:v>
      </x:c>
      <x:c r="N55" s="24" t="str">
        <x:v>triglidae</x:v>
      </x:c>
      <x:c r="O55" s="32" t="n">
        <x:v>3.74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Triglidae</x:v>
      </x:c>
      <x:c r="T55" s="32" t="n">
        <x:f>IF(O55="","",(1/'Metadata'!$B$5)^(O55-1))</x:f>
        <x:v>549.5408738576248</x:v>
      </x:c>
      <x:c r="U55" s="31" t="n">
        <x:f>IF(T55="","",I55*T55)</x:f>
        <x:v>32891.69433970594</x:v>
      </x:c>
    </x:row>
    <x:row r="56" ht="18" customHeight="1">
      <x:c r="A56" s="24" t="str">
        <x:v>EEZ_902</x:v>
      </x:c>
      <x:c r="B56" s="24" t="str">
        <x:v>Sardinia (Italy)</x:v>
      </x:c>
      <x:c r="C56" s="24" t="str">
        <x:v>EEZ</x:v>
      </x:c>
      <x:c r="D56" s="30" t="n">
        <x:v>2019</x:v>
      </x:c>
      <x:c r="E56" s="24" t="str">
        <x:v>Scyliorhinus canicula</x:v>
      </x:c>
      <x:c r="F56" s="24" t="str">
        <x:v>Small-spotted catshark</x:v>
      </x:c>
      <x:c r="G56" s="24" t="str">
        <x:v>Small to medium sharks (&lt;90 cm)</x:v>
      </x:c>
      <x:c r="H56" s="24" t="str">
        <x:v>Sharks &amp; rays</x:v>
      </x:c>
      <x:c r="I56" s="31" t="n">
        <x:v>57.00275017</x:v>
      </x:c>
      <x:c r="J56" s="31" t="n">
        <x:v>1.05572379</x:v>
      </x:c>
      <x:c r="K56" s="31" t="n">
        <x:v>55.94702638</x:v>
      </x:c>
      <x:c r="L56" s="31" t="n">
        <x:v>55.94702638</x:v>
      </x:c>
      <x:c r="M56" s="31" t="n">
        <x:v>1.05572379</x:v>
      </x:c>
      <x:c r="N56" s="24" t="str">
        <x:v>scyliorhinus canicula</x:v>
      </x:c>
      <x:c r="O56" s="32" t="n">
        <x:v>3.82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Scyliorhinus canicula</x:v>
      </x:c>
      <x:c r="T56" s="32" t="n">
        <x:f>IF(O56="","",(1/'Metadata'!$B$5)^(O56-1))</x:f>
        <x:v>660.6934480075957</x:v>
      </x:c>
      <x:c r="U56" s="31" t="n">
        <x:f>IF(T56="","",I56*T56)</x:f>
        <x:v>37661.34355573286</x:v>
      </x:c>
    </x:row>
    <x:row r="57" ht="18" customHeight="1">
      <x:c r="A57" s="24" t="str">
        <x:v>EEZ_902</x:v>
      </x:c>
      <x:c r="B57" s="24" t="str">
        <x:v>Sardinia (Italy)</x:v>
      </x:c>
      <x:c r="C57" s="24" t="str">
        <x:v>EEZ</x:v>
      </x:c>
      <x:c r="D57" s="30" t="n">
        <x:v>2019</x:v>
      </x:c>
      <x:c r="E57" s="24" t="str">
        <x:v>Seriola dumerili</x:v>
      </x:c>
      <x:c r="F57" s="24" t="str">
        <x:v>Greater amberjack</x:v>
      </x:c>
      <x:c r="G57" s="24" t="str">
        <x:v>Large reef assoc. fish (&gt;=90 cm)</x:v>
      </x:c>
      <x:c r="H57" s="24" t="str">
        <x:v>Perch-likes</x:v>
      </x:c>
      <x:c r="I57" s="31" t="n">
        <x:v>56.3579346799</x:v>
      </x:c>
      <x:c r="J57" s="31" t="n">
        <x:v>56.3579346799</x:v>
      </x:c>
      <x:c r="K57" s="31" t="n">
        <x:v>0</x:v>
      </x:c>
      <x:c r="L57" s="31" t="n">
        <x:v>42.100687111899994</x:v>
      </x:c>
      <x:c r="M57" s="31" t="n">
        <x:v>14.257247568</x:v>
      </x:c>
      <x:c r="N57" s="24" t="str">
        <x:v>seriola dumerili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Seriola dumerili</x:v>
      </x:c>
      <x:c r="T57" s="32" t="n">
        <x:f>IF(O57="","",(1/'Metadata'!$B$5)^(O57-1))</x:f>
        <x:v>3162.2776601683795</x:v>
      </x:c>
      <x:c r="U57" s="31" t="n">
        <x:f>IF(T57="","",I57*T57)</x:f>
        <x:v>178219.43781147653</x:v>
      </x:c>
    </x:row>
    <x:row r="58" ht="18" customHeight="1">
      <x:c r="A58" s="24" t="str">
        <x:v>EEZ_902</x:v>
      </x:c>
      <x:c r="B58" s="24" t="str">
        <x:v>Sardinia (Italy)</x:v>
      </x:c>
      <x:c r="C58" s="24" t="str">
        <x:v>EEZ</x:v>
      </x:c>
      <x:c r="D58" s="30" t="n">
        <x:v>2019</x:v>
      </x:c>
      <x:c r="E58" s="24" t="str">
        <x:v>Scorpaena scrofa</x:v>
      </x:c>
      <x:c r="F58" s="24" t="str">
        <x:v>Red scorpionfish</x:v>
      </x:c>
      <x:c r="G58" s="24" t="str">
        <x:v>Medium demersals (30 - 89 cm)</x:v>
      </x:c>
      <x:c r="H58" s="24" t="str">
        <x:v>Scorpionfishes</x:v>
      </x:c>
      <x:c r="I58" s="31" t="n">
        <x:v>53.748794898999996</x:v>
      </x:c>
      <x:c r="J58" s="31" t="n">
        <x:v>53.748794898999996</x:v>
      </x:c>
      <x:c r="K58" s="31" t="n">
        <x:v>0</x:v>
      </x:c>
      <x:c r="L58" s="31" t="n">
        <x:v>46.49556402</x:v>
      </x:c>
      <x:c r="M58" s="31" t="n">
        <x:v>7.253230879</x:v>
      </x:c>
      <x:c r="N58" s="24" t="str">
        <x:v>scorpaena scrofa</x:v>
      </x:c>
      <x:c r="O58" s="32" t="n">
        <x:v>4.25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Scorpaena scrofa</x:v>
      </x:c>
      <x:c r="T58" s="32" t="n">
        <x:f>IF(O58="","",(1/'Metadata'!$B$5)^(O58-1))</x:f>
        <x:v>1778.2794100389228</x:v>
      </x:c>
      <x:c r="U58" s="31" t="n">
        <x:f>IF(T58="","",I58*T58)</x:f>
        <x:v>95580.37528329677</x:v>
      </x:c>
    </x:row>
    <x:row r="59" ht="18" customHeight="1">
      <x:c r="A59" s="24" t="str">
        <x:v>EEZ_902</x:v>
      </x:c>
      <x:c r="B59" s="24" t="str">
        <x:v>Sardinia (Italy)</x:v>
      </x:c>
      <x:c r="C59" s="24" t="str">
        <x:v>EEZ</x:v>
      </x:c>
      <x:c r="D59" s="30" t="n">
        <x:v>2019</x:v>
      </x:c>
      <x:c r="E59" s="24" t="str">
        <x:v>Trachurus trachurus</x:v>
      </x:c>
      <x:c r="F59" s="24" t="str">
        <x:v>Atlantic horse mackerel</x:v>
      </x:c>
      <x:c r="G59" s="24" t="str">
        <x:v>Medium pelagics (30 - 89 cm)</x:v>
      </x:c>
      <x:c r="H59" s="24" t="str">
        <x:v>Perch-likes</x:v>
      </x:c>
      <x:c r="I59" s="31" t="n">
        <x:v>51.500805024</x:v>
      </x:c>
      <x:c r="J59" s="31" t="n">
        <x:v>51.500805024</x:v>
      </x:c>
      <x:c r="K59" s="31" t="n">
        <x:v>0</x:v>
      </x:c>
      <x:c r="L59" s="31" t="n">
        <x:v>41.28520417</x:v>
      </x:c>
      <x:c r="M59" s="31" t="n">
        <x:v>10.215600854</x:v>
      </x:c>
      <x:c r="N59" s="24" t="str">
        <x:v>trachurus trachurus</x:v>
      </x:c>
      <x:c r="O59" s="32" t="n">
        <x:v>3.71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Trachurus trachurus</x:v>
      </x:c>
      <x:c r="T59" s="32" t="n">
        <x:f>IF(O59="","",(1/'Metadata'!$B$5)^(O59-1))</x:f>
        <x:v>512.8613839913648</x:v>
      </x:c>
      <x:c r="U59" s="31" t="n">
        <x:f>IF(T59="","",I59*T59)</x:f>
        <x:v>26412.774141278078</x:v>
      </x:c>
    </x:row>
    <x:row r="60" ht="18" customHeight="1">
      <x:c r="A60" s="24" t="str">
        <x:v>EEZ_902</x:v>
      </x:c>
      <x:c r="B60" s="24" t="str">
        <x:v>Sardinia (Italy)</x:v>
      </x:c>
      <x:c r="C60" s="24" t="str">
        <x:v>EEZ</x:v>
      </x:c>
      <x:c r="D60" s="30" t="n">
        <x:v>2019</x:v>
      </x:c>
      <x:c r="E60" s="24" t="str">
        <x:v>Aristeus antennatus</x:v>
      </x:c>
      <x:c r="F60" s="24" t="str">
        <x:v>Blue and red shrimp</x:v>
      </x:c>
      <x:c r="G60" s="24" t="str">
        <x:v>Shrimps</x:v>
      </x:c>
      <x:c r="H60" s="24" t="str">
        <x:v>Crustaceans</x:v>
      </x:c>
      <x:c r="I60" s="31" t="n">
        <x:v>49.414893164</x:v>
      </x:c>
      <x:c r="J60" s="31" t="n">
        <x:v>49.414893164</x:v>
      </x:c>
      <x:c r="K60" s="31" t="n">
        <x:v>0</x:v>
      </x:c>
      <x:c r="L60" s="31" t="n">
        <x:v>38.431608982</x:v>
      </x:c>
      <x:c r="M60" s="31" t="n">
        <x:v>10.983284182</x:v>
      </x:c>
      <x:c r="N60" s="24" t="str">
        <x:v>aristeus antennatus</x:v>
      </x:c>
      <x:c r="O60" s="32" t="n">
        <x:v>3.3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Aristeus antennatus</x:v>
      </x:c>
      <x:c r="T60" s="32" t="n">
        <x:f>IF(O60="","",(1/'Metadata'!$B$5)^(O60-1))</x:f>
        <x:v>199.52623149688787</x:v>
      </x:c>
      <x:c r="U60" s="31" t="n">
        <x:f>IF(T60="","",I60*T60)</x:f>
        <x:v>9859.567412834245</x:v>
      </x:c>
    </x:row>
    <x:row r="61" ht="18" customHeight="1">
      <x:c r="A61" s="24" t="str">
        <x:v>EEZ_902</x:v>
      </x:c>
      <x:c r="B61" s="24" t="str">
        <x:v>Sardinia (Italy)</x:v>
      </x:c>
      <x:c r="C61" s="24" t="str">
        <x:v>EEZ</x:v>
      </x:c>
      <x:c r="D61" s="30" t="n">
        <x:v>2019</x:v>
      </x:c>
      <x:c r="E61" s="24" t="str">
        <x:v>Parapenaeus longirostris</x:v>
      </x:c>
      <x:c r="F61" s="24" t="str">
        <x:v>Deepwater rose shrimp</x:v>
      </x:c>
      <x:c r="G61" s="24" t="str">
        <x:v>Shrimps</x:v>
      </x:c>
      <x:c r="H61" s="24" t="str">
        <x:v>Crustaceans</x:v>
      </x:c>
      <x:c r="I61" s="31" t="n">
        <x:v>49.071240345</x:v>
      </x:c>
      <x:c r="J61" s="31" t="n">
        <x:v>49.071240345</x:v>
      </x:c>
      <x:c r="K61" s="31" t="n">
        <x:v>0</x:v>
      </x:c>
      <x:c r="L61" s="31" t="n">
        <x:v>38.62552706</x:v>
      </x:c>
      <x:c r="M61" s="31" t="n">
        <x:v>10.445713285</x:v>
      </x:c>
      <x:c r="N61" s="24" t="str">
        <x:v>parapenaeus longirostris</x:v>
      </x:c>
      <x:c r="O61" s="32" t="n">
        <x:v>3.3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Parapenaeus longirostris</x:v>
      </x:c>
      <x:c r="T61" s="32" t="n">
        <x:f>IF(O61="","",(1/'Metadata'!$B$5)^(O61-1))</x:f>
        <x:v>199.52623149688787</x:v>
      </x:c>
      <x:c r="U61" s="31" t="n">
        <x:f>IF(T61="","",I61*T61)</x:f>
        <x:v>9790.999660915893</x:v>
      </x:c>
    </x:row>
    <x:row r="62" ht="18" customHeight="1">
      <x:c r="A62" s="24" t="str">
        <x:v>EEZ_902</x:v>
      </x:c>
      <x:c r="B62" s="24" t="str">
        <x:v>Sardinia (Italy)</x:v>
      </x:c>
      <x:c r="C62" s="24" t="str">
        <x:v>EEZ</x:v>
      </x:c>
      <x:c r="D62" s="30" t="n">
        <x:v>2019</x:v>
      </x:c>
      <x:c r="E62" s="24" t="str">
        <x:v>Lophius</x:v>
      </x:c>
      <x:c r="F62" s="24" t="str">
        <x:v>Frogfishes</x:v>
      </x:c>
      <x:c r="G62" s="24" t="str">
        <x:v>Medium bathydemersals (30 - 89 cm)</x:v>
      </x:c>
      <x:c r="H62" s="24" t="str">
        <x:v>Other fishes &amp; inverts</x:v>
      </x:c>
      <x:c r="I62" s="31" t="n">
        <x:v>42.077632907</x:v>
      </x:c>
      <x:c r="J62" s="31" t="n">
        <x:v>42.077632907</x:v>
      </x:c>
      <x:c r="K62" s="31" t="n">
        <x:v>0</x:v>
      </x:c>
      <x:c r="L62" s="31" t="n">
        <x:v>25.76265757</x:v>
      </x:c>
      <x:c r="M62" s="31" t="n">
        <x:v>16.314975337</x:v>
      </x:c>
      <x:c r="N62" s="24" t="str">
        <x:v>lophius</x:v>
      </x:c>
      <x:c r="O62" s="32" t="n">
        <x:v>4.46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Lophius</x:v>
      </x:c>
      <x:c r="T62" s="32" t="n">
        <x:f>IF(O62="","",(1/'Metadata'!$B$5)^(O62-1))</x:f>
        <x:v>2884.031503126606</x:v>
      </x:c>
      <x:c r="U62" s="31" t="n">
        <x:f>IF(T62="","",I62*T62)</x:f>
        <x:v>121353.21888078476</x:v>
      </x:c>
    </x:row>
    <x:row r="63" ht="18" customHeight="1">
      <x:c r="A63" s="24" t="str">
        <x:v>EEZ_902</x:v>
      </x:c>
      <x:c r="B63" s="24" t="str">
        <x:v>Sardinia (Italy)</x:v>
      </x:c>
      <x:c r="C63" s="24" t="str">
        <x:v>EEZ</x:v>
      </x:c>
      <x:c r="D63" s="30" t="n">
        <x:v>2019</x:v>
      </x:c>
      <x:c r="E63" s="24" t="str">
        <x:v>Auxis</x:v>
      </x:c>
      <x:c r="F63" s="24" t="str">
        <x:v>Bullet and frigate tunas</x:v>
      </x:c>
      <x:c r="G63" s="24" t="str">
        <x:v>Medium pelagics (30 - 89 cm)</x:v>
      </x:c>
      <x:c r="H63" s="24" t="str">
        <x:v>Tuna &amp; billfishes</x:v>
      </x:c>
      <x:c r="I63" s="31" t="n">
        <x:v>37.694834744000005</x:v>
      </x:c>
      <x:c r="J63" s="31" t="n">
        <x:v>37.694834744000005</x:v>
      </x:c>
      <x:c r="K63" s="31" t="n">
        <x:v>0</x:v>
      </x:c>
      <x:c r="L63" s="31" t="n">
        <x:v>36.47058424</x:v>
      </x:c>
      <x:c r="M63" s="31" t="n">
        <x:v>1.224250504</x:v>
      </x:c>
      <x:c r="N63" s="24" t="str">
        <x:v>auxis</x:v>
      </x:c>
      <x:c r="O63" s="32" t="n">
        <x:v>4.24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Auxis</x:v>
      </x:c>
      <x:c r="T63" s="32" t="n">
        <x:f>IF(O63="","",(1/'Metadata'!$B$5)^(O63-1))</x:f>
        <x:v>1737.8008287493763</x:v>
      </x:c>
      <x:c r="U63" s="31" t="n">
        <x:f>IF(T63="","",I63*T63)</x:f>
        <x:v>65506.11505769399</x:v>
      </x:c>
    </x:row>
    <x:row r="64" ht="18" customHeight="1">
      <x:c r="A64" s="24" t="str">
        <x:v>EEZ_902</x:v>
      </x:c>
      <x:c r="B64" s="24" t="str">
        <x:v>Sardinia (Italy)</x:v>
      </x:c>
      <x:c r="C64" s="24" t="str">
        <x:v>EEZ</x:v>
      </x:c>
      <x:c r="D64" s="30" t="n">
        <x:v>2019</x:v>
      </x:c>
      <x:c r="E64" s="24" t="str">
        <x:v>Sardinella aurita</x:v>
      </x:c>
      <x:c r="F64" s="24" t="str">
        <x:v>Round sardinella</x:v>
      </x:c>
      <x:c r="G64" s="24" t="str">
        <x:v>Small pelagics (&lt;30 cm)</x:v>
      </x:c>
      <x:c r="H64" s="24" t="str">
        <x:v>Herring-likes</x:v>
      </x:c>
      <x:c r="I64" s="31" t="n">
        <x:v>35.898010872</x:v>
      </x:c>
      <x:c r="J64" s="31" t="n">
        <x:v>35.898010872</x:v>
      </x:c>
      <x:c r="K64" s="31" t="n">
        <x:v>0</x:v>
      </x:c>
      <x:c r="L64" s="31" t="n">
        <x:v>31.072156869999997</x:v>
      </x:c>
      <x:c r="M64" s="31" t="n">
        <x:v>4.825854002</x:v>
      </x:c>
      <x:c r="N64" s="24" t="str">
        <x:v>sardinella aurita</x:v>
      </x:c>
      <x:c r="O64" s="32" t="n">
        <x:v>3.4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Sardinella aurita</x:v>
      </x:c>
      <x:c r="T64" s="32" t="n">
        <x:f>IF(O64="","",(1/'Metadata'!$B$5)^(O64-1))</x:f>
        <x:v>251.18864315095797</x:v>
      </x:c>
      <x:c r="U64" s="31" t="n">
        <x:f>IF(T64="","",I64*T64)</x:f>
        <x:v>9017.172642756017</x:v>
      </x:c>
    </x:row>
    <x:row r="65" ht="18" customHeight="1">
      <x:c r="A65" s="24" t="str">
        <x:v>EEZ_902</x:v>
      </x:c>
      <x:c r="B65" s="24" t="str">
        <x:v>Sardinia (Italy)</x:v>
      </x:c>
      <x:c r="C65" s="24" t="str">
        <x:v>EEZ</x:v>
      </x:c>
      <x:c r="D65" s="30" t="n">
        <x:v>2019</x:v>
      </x:c>
      <x:c r="E65" s="24" t="str">
        <x:v>Conger conger</x:v>
      </x:c>
      <x:c r="F65" s="24" t="str">
        <x:v>European conger</x:v>
      </x:c>
      <x:c r="G65" s="24" t="str">
        <x:v>Large demersals (&gt;=90 cm)</x:v>
      </x:c>
      <x:c r="H65" s="24" t="str">
        <x:v>Other fishes &amp; inverts</x:v>
      </x:c>
      <x:c r="I65" s="31" t="n">
        <x:v>35.025400163099995</x:v>
      </x:c>
      <x:c r="J65" s="31" t="n">
        <x:v>35.025400163099995</x:v>
      </x:c>
      <x:c r="K65" s="31" t="n">
        <x:v>0</x:v>
      </x:c>
      <x:c r="L65" s="31" t="n">
        <x:v>32.5584045601</x:v>
      </x:c>
      <x:c r="M65" s="31" t="n">
        <x:v>2.466995603</x:v>
      </x:c>
      <x:c r="N65" s="24" t="str">
        <x:v>conger conger</x:v>
      </x:c>
      <x:c r="O65" s="32" t="n">
        <x:v>4.31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Conger conger</x:v>
      </x:c>
      <x:c r="T65" s="32" t="n">
        <x:f>IF(O65="","",(1/'Metadata'!$B$5)^(O65-1))</x:f>
        <x:v>2041.7379446695275</x:v>
      </x:c>
      <x:c r="U65" s="31" t="n">
        <x:f>IF(T65="","",I65*T65)</x:f>
        <x:v>71512.68854023551</x:v>
      </x:c>
    </x:row>
    <x:row r="66" ht="18" customHeight="1">
      <x:c r="A66" s="24" t="str">
        <x:v>EEZ_902</x:v>
      </x:c>
      <x:c r="B66" s="24" t="str">
        <x:v>Sardinia (Italy)</x:v>
      </x:c>
      <x:c r="C66" s="24" t="str">
        <x:v>EEZ</x:v>
      </x:c>
      <x:c r="D66" s="30" t="n">
        <x:v>2019</x:v>
      </x:c>
      <x:c r="E66" s="24" t="str">
        <x:v>Euthynnus alletteratus</x:v>
      </x:c>
      <x:c r="F66" s="24" t="str">
        <x:v>Little tunny </x:v>
      </x:c>
      <x:c r="G66" s="24" t="str">
        <x:v>Large pelagics (&gt;=90 cm)</x:v>
      </x:c>
      <x:c r="H66" s="24" t="str">
        <x:v>Tuna &amp; billfishes</x:v>
      </x:c>
      <x:c r="I66" s="31" t="n">
        <x:v>31.987815742100004</x:v>
      </x:c>
      <x:c r="J66" s="31" t="n">
        <x:v>31.987815742100004</x:v>
      </x:c>
      <x:c r="K66" s="31" t="n">
        <x:v>0</x:v>
      </x:c>
      <x:c r="L66" s="31" t="n">
        <x:v>25.491236213100002</x:v>
      </x:c>
      <x:c r="M66" s="31" t="n">
        <x:v>6.496579529</x:v>
      </x:c>
      <x:c r="N66" s="24" t="str">
        <x:v>euthynnus alletteratus</x:v>
      </x:c>
      <x:c r="O66" s="32" t="n">
        <x:v>4.49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Euthynnus alletteratus</x:v>
      </x:c>
      <x:c r="T66" s="32" t="n">
        <x:f>IF(O66="","",(1/'Metadata'!$B$5)^(O66-1))</x:f>
        <x:v>3090.295432513592</x:v>
      </x:c>
      <x:c r="U66" s="31" t="n">
        <x:f>IF(T66="","",I66*T66)</x:f>
        <x:v>98851.80088389802</x:v>
      </x:c>
    </x:row>
    <x:row r="67" ht="18" customHeight="1">
      <x:c r="A67" s="24" t="str">
        <x:v>EEZ_902</x:v>
      </x:c>
      <x:c r="B67" s="24" t="str">
        <x:v>Sardinia (Italy)</x:v>
      </x:c>
      <x:c r="C67" s="24" t="str">
        <x:v>EEZ</x:v>
      </x:c>
      <x:c r="D67" s="30" t="n">
        <x:v>2019</x:v>
      </x:c>
      <x:c r="E67" s="24" t="str">
        <x:v>Scophthalmidae</x:v>
      </x:c>
      <x:c r="F67" s="24" t="str">
        <x:v>Turbots</x:v>
      </x:c>
      <x:c r="G67" s="24" t="str">
        <x:v>Small to medium flatfishes (&lt;90 cm)</x:v>
      </x:c>
      <x:c r="H67" s="24" t="str">
        <x:v>Flatfishes</x:v>
      </x:c>
      <x:c r="I67" s="31" t="n">
        <x:v>29.71880248</x:v>
      </x:c>
      <x:c r="J67" s="31" t="n">
        <x:v>29.71880248</x:v>
      </x:c>
      <x:c r="K67" s="31" t="n">
        <x:v>0</x:v>
      </x:c>
      <x:c r="L67" s="31" t="n">
        <x:v>29.71880248</x:v>
      </x:c>
      <x:c r="M67" s="31" t="n">
        <x:v>0</x:v>
      </x:c>
      <x:c r="N67" s="24" t="str">
        <x:v>scophthalmidae</x:v>
      </x:c>
      <x:c r="O67" s="32" t="n">
        <x:v>3.71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Scophthalmidae</x:v>
      </x:c>
      <x:c r="T67" s="32" t="n">
        <x:f>IF(O67="","",(1/'Metadata'!$B$5)^(O67-1))</x:f>
        <x:v>512.8613839913648</x:v>
      </x:c>
      <x:c r="U67" s="31" t="n">
        <x:f>IF(T67="","",I67*T67)</x:f>
        <x:v>15241.626170458807</x:v>
      </x:c>
    </x:row>
    <x:row r="68" ht="18" customHeight="1">
      <x:c r="A68" s="24" t="str">
        <x:v>EEZ_902</x:v>
      </x:c>
      <x:c r="B68" s="24" t="str">
        <x:v>Sardinia (Italy)</x:v>
      </x:c>
      <x:c r="C68" s="24" t="str">
        <x:v>EEZ</x:v>
      </x:c>
      <x:c r="D68" s="30" t="n">
        <x:v>2019</x:v>
      </x:c>
      <x:c r="E68" s="24" t="str">
        <x:v>Scomber scombrus</x:v>
      </x:c>
      <x:c r="F68" s="24" t="str">
        <x:v>Atlantic mackerel</x:v>
      </x:c>
      <x:c r="G68" s="24" t="str">
        <x:v>Medium pelagics (30 - 89 cm)</x:v>
      </x:c>
      <x:c r="H68" s="24" t="str">
        <x:v>Perch-likes</x:v>
      </x:c>
      <x:c r="I68" s="31" t="n">
        <x:v>28.887815848</x:v>
      </x:c>
      <x:c r="J68" s="31" t="n">
        <x:v>28.887815848</x:v>
      </x:c>
      <x:c r="K68" s="31" t="n">
        <x:v>0</x:v>
      </x:c>
      <x:c r="L68" s="31" t="n">
        <x:v>23.718428162000002</x:v>
      </x:c>
      <x:c r="M68" s="31" t="n">
        <x:v>5.169387685999999</x:v>
      </x:c>
      <x:c r="N68" s="24" t="str">
        <x:v>scomber scombrus</x:v>
      </x:c>
      <x:c r="O68" s="32" t="n">
        <x:v>3.63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Scomber scombrus</x:v>
      </x:c>
      <x:c r="T68" s="32" t="n">
        <x:f>IF(O68="","",(1/'Metadata'!$B$5)^(O68-1))</x:f>
        <x:v>426.57951880159254</x:v>
      </x:c>
      <x:c r="U68" s="31" t="n">
        <x:f>IF(T68="","",I68*T68)</x:f>
        <x:v>12322.950583668859</x:v>
      </x:c>
    </x:row>
    <x:row r="69" ht="18" customHeight="1">
      <x:c r="A69" s="24" t="str">
        <x:v>EEZ_902</x:v>
      </x:c>
      <x:c r="B69" s="24" t="str">
        <x:v>Sardinia (Italy)</x:v>
      </x:c>
      <x:c r="C69" s="24" t="str">
        <x:v>EEZ</x:v>
      </x:c>
      <x:c r="D69" s="30" t="n">
        <x:v>2019</x:v>
      </x:c>
      <x:c r="E69" s="24" t="str">
        <x:v>Phycis phycis</x:v>
      </x:c>
      <x:c r="F69" s="24" t="str">
        <x:v>Forkbeard</x:v>
      </x:c>
      <x:c r="G69" s="24" t="str">
        <x:v>Medium benthopelagics (30 - 89 cm)</x:v>
      </x:c>
      <x:c r="H69" s="24" t="str">
        <x:v>Cod-likes</x:v>
      </x:c>
      <x:c r="I69" s="31" t="n">
        <x:v>28.882415473</x:v>
      </x:c>
      <x:c r="J69" s="31" t="n">
        <x:v>28.882415473</x:v>
      </x:c>
      <x:c r="K69" s="31" t="n">
        <x:v>0</x:v>
      </x:c>
      <x:c r="L69" s="31" t="n">
        <x:v>26.15944987</x:v>
      </x:c>
      <x:c r="M69" s="31" t="n">
        <x:v>2.722965603</x:v>
      </x:c>
      <x:c r="N69" s="24" t="str">
        <x:v>phycis phycis</x:v>
      </x:c>
      <x:c r="O69" s="32" t="n">
        <x:v>4.25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Phycis phycis</x:v>
      </x:c>
      <x:c r="T69" s="32" t="n">
        <x:f>IF(O69="","",(1/'Metadata'!$B$5)^(O69-1))</x:f>
        <x:v>1778.2794100389228</x:v>
      </x:c>
      <x:c r="U69" s="31" t="n">
        <x:f>IF(T69="","",I69*T69)</x:f>
        <x:v>51361.00474782549</x:v>
      </x:c>
    </x:row>
    <x:row r="70" ht="18" customHeight="1">
      <x:c r="A70" s="24" t="str">
        <x:v>EEZ_902</x:v>
      </x:c>
      <x:c r="B70" s="24" t="str">
        <x:v>Sardinia (Italy)</x:v>
      </x:c>
      <x:c r="C70" s="24" t="str">
        <x:v>EEZ</x:v>
      </x:c>
      <x:c r="D70" s="30" t="n">
        <x:v>2019</x:v>
      </x:c>
      <x:c r="E70" s="24" t="str">
        <x:v>Arnoglossus laterna</x:v>
      </x:c>
      <x:c r="F70" s="24" t="str">
        <x:v>Mediterranean scaldfish</x:v>
      </x:c>
      <x:c r="G70" s="24" t="str">
        <x:v>Small to medium flatfishes (&lt;90 cm)</x:v>
      </x:c>
      <x:c r="H70" s="24" t="str">
        <x:v>Flatfishes</x:v>
      </x:c>
      <x:c r="I70" s="31" t="n">
        <x:v>26.773451207</x:v>
      </x:c>
      <x:c r="J70" s="31" t="n">
        <x:v>26.773451207</x:v>
      </x:c>
      <x:c r="K70" s="31" t="n">
        <x:v>0</x:v>
      </x:c>
      <x:c r="L70" s="31" t="n">
        <x:v>20.869673634</x:v>
      </x:c>
      <x:c r="M70" s="31" t="n">
        <x:v>5.903777573</x:v>
      </x:c>
      <x:c r="N70" s="24" t="str">
        <x:v>arnoglossus laterna</x:v>
      </x:c>
      <x:c r="O70" s="32" t="n">
        <x:v>3.59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Arnoglossus laterna</x:v>
      </x:c>
      <x:c r="T70" s="32" t="n">
        <x:f>IF(O70="","",(1/'Metadata'!$B$5)^(O70-1))</x:f>
        <x:v>389.04514499428046</x:v>
      </x:c>
      <x:c r="U70" s="31" t="n">
        <x:f>IF(T70="","",I70*T70)</x:f>
        <x:v>10416.081206824609</x:v>
      </x:c>
    </x:row>
    <x:row r="71" ht="18" customHeight="1">
      <x:c r="A71" s="24" t="str">
        <x:v>EEZ_902</x:v>
      </x:c>
      <x:c r="B71" s="24" t="str">
        <x:v>Sardinia (Italy)</x:v>
      </x:c>
      <x:c r="C71" s="24" t="str">
        <x:v>EEZ</x:v>
      </x:c>
      <x:c r="D71" s="30" t="n">
        <x:v>2019</x:v>
      </x:c>
      <x:c r="E71" s="24" t="str">
        <x:v>Atherinidae</x:v>
      </x:c>
      <x:c r="F71" s="24" t="str">
        <x:v>Silversides</x:v>
      </x:c>
      <x:c r="G71" s="24" t="str">
        <x:v>Small pelagics (&lt;30 cm)</x:v>
      </x:c>
      <x:c r="H71" s="24" t="str">
        <x:v>Other fishes &amp; inverts</x:v>
      </x:c>
      <x:c r="I71" s="31" t="n">
        <x:v>24.8881065861</x:v>
      </x:c>
      <x:c r="J71" s="31" t="n">
        <x:v>24.8881065861</x:v>
      </x:c>
      <x:c r="K71" s="31" t="n">
        <x:v>0</x:v>
      </x:c>
      <x:c r="L71" s="31" t="n">
        <x:v>24.8307486401</x:v>
      </x:c>
      <x:c r="M71" s="31" t="n">
        <x:v>0.057357946</x:v>
      </x:c>
      <x:c r="N71" s="24" t="str">
        <x:v>atherinidae</x:v>
      </x:c>
      <x:c r="O71" s="32" t="n">
        <x:v>3.2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Atherinidae</x:v>
      </x:c>
      <x:c r="T71" s="32" t="n">
        <x:f>IF(O71="","",(1/'Metadata'!$B$5)^(O71-1))</x:f>
        <x:v>158.48931924611142</x:v>
      </x:c>
      <x:c r="U71" s="31" t="n">
        <x:f>IF(T71="","",I71*T71)</x:f>
        <x:v>3944.499070155651</x:v>
      </x:c>
    </x:row>
    <x:row r="72" ht="18" customHeight="1">
      <x:c r="A72" s="24" t="str">
        <x:v>EEZ_902</x:v>
      </x:c>
      <x:c r="B72" s="24" t="str">
        <x:v>Sardinia (Italy)</x:v>
      </x:c>
      <x:c r="C72" s="24" t="str">
        <x:v>EEZ</x:v>
      </x:c>
      <x:c r="D72" s="30" t="n">
        <x:v>2019</x:v>
      </x:c>
      <x:c r="E72" s="24" t="str">
        <x:v>Nephrops norvegicus</x:v>
      </x:c>
      <x:c r="F72" s="24" t="str">
        <x:v>Norway lobster</x:v>
      </x:c>
      <x:c r="G72" s="24" t="str">
        <x:v>Lobsters, crabs</x:v>
      </x:c>
      <x:c r="H72" s="24" t="str">
        <x:v>Crustaceans</x:v>
      </x:c>
      <x:c r="I72" s="31" t="n">
        <x:v>24.519104885</x:v>
      </x:c>
      <x:c r="J72" s="31" t="n">
        <x:v>24.519104885</x:v>
      </x:c>
      <x:c r="K72" s="31" t="n">
        <x:v>0</x:v>
      </x:c>
      <x:c r="L72" s="31" t="n">
        <x:v>20.200555452000003</x:v>
      </x:c>
      <x:c r="M72" s="31" t="n">
        <x:v>4.318549432999999</x:v>
      </x:c>
      <x:c r="N72" s="24" t="str">
        <x:v>nephrops norvegicus</x:v>
      </x:c>
      <x:c r="O72" s="32" t="n">
        <x:v>2.87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Nephrops norvegicus</x:v>
      </x:c>
      <x:c r="T72" s="32" t="n">
        <x:f>IF(O72="","",(1/'Metadata'!$B$5)^(O72-1))</x:f>
        <x:v>74.13102413009177</x:v>
      </x:c>
      <x:c r="U72" s="31" t="n">
        <x:f>IF(T72="","",I72*T72)</x:f>
        <x:v>1817.6263558781861</x:v>
      </x:c>
    </x:row>
    <x:row r="73" ht="18" customHeight="1">
      <x:c r="A73" s="24" t="str">
        <x:v>EEZ_902</x:v>
      </x:c>
      <x:c r="B73" s="24" t="str">
        <x:v>Sardinia (Italy)</x:v>
      </x:c>
      <x:c r="C73" s="24" t="str">
        <x:v>EEZ</x:v>
      </x:c>
      <x:c r="D73" s="30" t="n">
        <x:v>2019</x:v>
      </x:c>
      <x:c r="E73" s="24" t="str">
        <x:v>Scorpaena porcus</x:v>
      </x:c>
      <x:c r="F73" s="24" t="str">
        <x:v>Black scorpionfish</x:v>
      </x:c>
      <x:c r="G73" s="24" t="str">
        <x:v>Small demersals (&lt;30 cm)</x:v>
      </x:c>
      <x:c r="H73" s="24" t="str">
        <x:v>Scorpionfishes</x:v>
      </x:c>
      <x:c r="I73" s="31" t="n">
        <x:v>24.120125421999997</x:v>
      </x:c>
      <x:c r="J73" s="31" t="n">
        <x:v>24.120125421999997</x:v>
      </x:c>
      <x:c r="K73" s="31" t="n">
        <x:v>0</x:v>
      </x:c>
      <x:c r="L73" s="31" t="n">
        <x:v>20.820387567999997</x:v>
      </x:c>
      <x:c r="M73" s="31" t="n">
        <x:v>3.299737854</x:v>
      </x:c>
      <x:c r="N73" s="24" t="str">
        <x:v>scorpaena porcus</x:v>
      </x:c>
      <x:c r="O73" s="32" t="n">
        <x:v>3.92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Scorpaena porcus</x:v>
      </x:c>
      <x:c r="T73" s="32" t="n">
        <x:f>IF(O73="","",(1/'Metadata'!$B$5)^(O73-1))</x:f>
        <x:v>831.7637711026708</x:v>
      </x:c>
      <x:c r="U73" s="31" t="n">
        <x:f>IF(T73="","",I73*T73)</x:f>
        <x:v>20062.246480472117</x:v>
      </x:c>
    </x:row>
    <x:row r="74" ht="18" customHeight="1">
      <x:c r="A74" s="24" t="str">
        <x:v>EEZ_902</x:v>
      </x:c>
      <x:c r="B74" s="24" t="str">
        <x:v>Sardinia (Italy)</x:v>
      </x:c>
      <x:c r="C74" s="24" t="str">
        <x:v>EEZ</x:v>
      </x:c>
      <x:c r="D74" s="30" t="n">
        <x:v>2019</x:v>
      </x:c>
      <x:c r="E74" s="24" t="str">
        <x:v>Scophthalmus maximus</x:v>
      </x:c>
      <x:c r="F74" s="24" t="str">
        <x:v>Turbot</x:v>
      </x:c>
      <x:c r="G74" s="24" t="str">
        <x:v>Large flatfishes (&gt;=90 cm)</x:v>
      </x:c>
      <x:c r="H74" s="24" t="str">
        <x:v>Flatfishes</x:v>
      </x:c>
      <x:c r="I74" s="31" t="n">
        <x:v>22.005652001</x:v>
      </x:c>
      <x:c r="J74" s="31" t="n">
        <x:v>22.005652001</x:v>
      </x:c>
      <x:c r="K74" s="31" t="n">
        <x:v>0</x:v>
      </x:c>
      <x:c r="L74" s="31" t="n">
        <x:v>15.494778822</x:v>
      </x:c>
      <x:c r="M74" s="31" t="n">
        <x:v>6.510873179</x:v>
      </x:c>
      <x:c r="N74" s="24" t="str">
        <x:v>scophthalmus maximus</x:v>
      </x:c>
      <x:c r="O74" s="32" t="n">
        <x:v>4.36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Scophthalmus maximus</x:v>
      </x:c>
      <x:c r="T74" s="32" t="n">
        <x:f>IF(O74="","",(1/'Metadata'!$B$5)^(O74-1))</x:f>
        <x:v>2290.867652767775</x:v>
      </x:c>
      <x:c r="U74" s="31" t="n">
        <x:f>IF(T74="","",I74*T74)</x:f>
        <x:v>50412.036347155365</x:v>
      </x:c>
    </x:row>
    <x:row r="75" ht="18" customHeight="1">
      <x:c r="A75" s="24" t="str">
        <x:v>EEZ_902</x:v>
      </x:c>
      <x:c r="B75" s="24" t="str">
        <x:v>Sardinia (Italy)</x:v>
      </x:c>
      <x:c r="C75" s="24" t="str">
        <x:v>EEZ</x:v>
      </x:c>
      <x:c r="D75" s="30" t="n">
        <x:v>2019</x:v>
      </x:c>
      <x:c r="E75" s="24" t="str">
        <x:v>Chlorophthalmidae</x:v>
      </x:c>
      <x:c r="F75" s="24" t="str">
        <x:v>Greeneyes</x:v>
      </x:c>
      <x:c r="G75" s="24" t="str">
        <x:v>Small demersals (&lt;30 cm)</x:v>
      </x:c>
      <x:c r="H75" s="24" t="str">
        <x:v>Other fishes &amp; inverts</x:v>
      </x:c>
      <x:c r="I75" s="31" t="n">
        <x:v>21.374040536</x:v>
      </x:c>
      <x:c r="J75" s="31" t="n">
        <x:v>21.374040536</x:v>
      </x:c>
      <x:c r="K75" s="31" t="n">
        <x:v>0</x:v>
      </x:c>
      <x:c r="L75" s="31" t="n">
        <x:v>20.359132181</x:v>
      </x:c>
      <x:c r="M75" s="31" t="n">
        <x:v>1.014908355</x:v>
      </x:c>
      <x:c r="N75" s="24" t="str">
        <x:v>chlorophthalmidae</x:v>
      </x:c>
      <x:c r="O75" s="32" t="n">
        <x:v>3.62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Chlorophthalmidae</x:v>
      </x:c>
      <x:c r="T75" s="32" t="n">
        <x:f>IF(O75="","",(1/'Metadata'!$B$5)^(O75-1))</x:f>
        <x:v>416.8693834703355</x:v>
      </x:c>
      <x:c r="U75" s="31" t="n">
        <x:f>IF(T75="","",I75*T75)</x:f>
        <x:v>8910.183100512279</x:v>
      </x:c>
    </x:row>
    <x:row r="76" ht="18" customHeight="1">
      <x:c r="A76" s="24" t="str">
        <x:v>EEZ_902</x:v>
      </x:c>
      <x:c r="B76" s="24" t="str">
        <x:v>Sardinia (Italy)</x:v>
      </x:c>
      <x:c r="C76" s="24" t="str">
        <x:v>EEZ</x:v>
      </x:c>
      <x:c r="D76" s="30" t="n">
        <x:v>2019</x:v>
      </x:c>
      <x:c r="E76" s="24" t="str">
        <x:v>Sarpa salpa</x:v>
      </x:c>
      <x:c r="F76" s="24" t="str">
        <x:v>Salema</x:v>
      </x:c>
      <x:c r="G76" s="24" t="str">
        <x:v>Medium benthopelagics (30 - 89 cm)</x:v>
      </x:c>
      <x:c r="H76" s="24" t="str">
        <x:v>Perch-likes</x:v>
      </x:c>
      <x:c r="I76" s="31" t="n">
        <x:v>20.583885726000002</x:v>
      </x:c>
      <x:c r="J76" s="31" t="n">
        <x:v>20.583885726000002</x:v>
      </x:c>
      <x:c r="K76" s="31" t="n">
        <x:v>0</x:v>
      </x:c>
      <x:c r="L76" s="31" t="n">
        <x:v>15.2095249</x:v>
      </x:c>
      <x:c r="M76" s="31" t="n">
        <x:v>5.374360826</x:v>
      </x:c>
      <x:c r="N76" s="24" t="str">
        <x:v>sarpa salpa</x:v>
      </x:c>
      <x:c r="O76" s="32" t="n">
        <x:v>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Sarpa salpa</x:v>
      </x:c>
      <x:c r="T76" s="32" t="n">
        <x:f>IF(O76="","",(1/'Metadata'!$B$5)^(O76-1))</x:f>
        <x:v>10</x:v>
      </x:c>
      <x:c r="U76" s="31" t="n">
        <x:f>IF(T76="","",I76*T76)</x:f>
        <x:v>205.83885726000003</x:v>
      </x:c>
    </x:row>
    <x:row r="77" ht="18" customHeight="1">
      <x:c r="A77" s="24" t="str">
        <x:v>EEZ_902</x:v>
      </x:c>
      <x:c r="B77" s="24" t="str">
        <x:v>Sardinia (Italy)</x:v>
      </x:c>
      <x:c r="C77" s="24" t="str">
        <x:v>EEZ</x:v>
      </x:c>
      <x:c r="D77" s="30" t="n">
        <x:v>2019</x:v>
      </x:c>
      <x:c r="E77" s="24" t="str">
        <x:v>Diplodus vulgaris</x:v>
      </x:c>
      <x:c r="F77" s="24" t="str">
        <x:v>Common two-banded seabream</x:v>
      </x:c>
      <x:c r="G77" s="24" t="str">
        <x:v>Medium benthopelagics (30 - 89 cm)</x:v>
      </x:c>
      <x:c r="H77" s="24" t="str">
        <x:v>Perch-likes</x:v>
      </x:c>
      <x:c r="I77" s="31" t="n">
        <x:v>19.593989275000002</x:v>
      </x:c>
      <x:c r="J77" s="31" t="n">
        <x:v>10.761447699</x:v>
      </x:c>
      <x:c r="K77" s="31" t="n">
        <x:v>8.832541576</x:v>
      </x:c>
      <x:c r="L77" s="31" t="n">
        <x:v>17.479064993</x:v>
      </x:c>
      <x:c r="M77" s="31" t="n">
        <x:v>2.114924282</x:v>
      </x:c>
      <x:c r="N77" s="24" t="str">
        <x:v>diplodus vulgaris</x:v>
      </x:c>
      <x:c r="O77" s="32" t="n">
        <x:v>3.52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Diplodus vulgaris</x:v>
      </x:c>
      <x:c r="T77" s="32" t="n">
        <x:f>IF(O77="","",(1/'Metadata'!$B$5)^(O77-1))</x:f>
        <x:v>331.1311214825911</x:v>
      </x:c>
      <x:c r="U77" s="31" t="n">
        <x:f>IF(T77="","",I77*T77)</x:f>
        <x:v>6488.179642948612</x:v>
      </x:c>
    </x:row>
    <x:row r="78" ht="18" customHeight="1">
      <x:c r="A78" s="24" t="str">
        <x:v>EEZ_902</x:v>
      </x:c>
      <x:c r="B78" s="24" t="str">
        <x:v>Sardinia (Italy)</x:v>
      </x:c>
      <x:c r="C78" s="24" t="str">
        <x:v>EEZ</x:v>
      </x:c>
      <x:c r="D78" s="30" t="n">
        <x:v>2019</x:v>
      </x:c>
      <x:c r="E78" s="24" t="str">
        <x:v>Thunnus alalunga</x:v>
      </x:c>
      <x:c r="F78" s="24" t="str">
        <x:v>Albacore</x:v>
      </x:c>
      <x:c r="G78" s="24" t="str">
        <x:v>Large pelagics (&gt;=90 cm)</x:v>
      </x:c>
      <x:c r="H78" s="24" t="str">
        <x:v>Tuna &amp; billfishes</x:v>
      </x:c>
      <x:c r="I78" s="31" t="n">
        <x:v>19.355145170900002</x:v>
      </x:c>
      <x:c r="J78" s="31" t="n">
        <x:v>19.355145170900002</x:v>
      </x:c>
      <x:c r="K78" s="31" t="n">
        <x:v>0</x:v>
      </x:c>
      <x:c r="L78" s="31" t="n">
        <x:v>19.3439536419</x:v>
      </x:c>
      <x:c r="M78" s="31" t="n">
        <x:v>0.011191529</x:v>
      </x:c>
      <x:c r="N78" s="24" t="str">
        <x:v>thunnus alalunga</x:v>
      </x:c>
      <x:c r="O78" s="32" t="n">
        <x:v>4.3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Thunnus alalunga</x:v>
      </x:c>
      <x:c r="T78" s="32" t="n">
        <x:f>IF(O78="","",(1/'Metadata'!$B$5)^(O78-1))</x:f>
        <x:v>1995.2623149688789</x:v>
      </x:c>
      <x:c r="U78" s="31" t="n">
        <x:f>IF(T78="","",I78*T78)</x:f>
        <x:v>38618.59176024865</x:v>
      </x:c>
    </x:row>
    <x:row r="79" ht="18" customHeight="1">
      <x:c r="A79" s="24" t="str">
        <x:v>EEZ_902</x:v>
      </x:c>
      <x:c r="B79" s="24" t="str">
        <x:v>Sardinia (Italy)</x:v>
      </x:c>
      <x:c r="C79" s="24" t="str">
        <x:v>EEZ</x:v>
      </x:c>
      <x:c r="D79" s="30" t="n">
        <x:v>2019</x:v>
      </x:c>
      <x:c r="E79" s="24" t="str">
        <x:v>Thunnus thynnus</x:v>
      </x:c>
      <x:c r="F79" s="24" t="str">
        <x:v>Atlantic bluefin tuna</x:v>
      </x:c>
      <x:c r="G79" s="24" t="str">
        <x:v>Large pelagics (&gt;=90 cm)</x:v>
      </x:c>
      <x:c r="H79" s="24" t="str">
        <x:v>Tuna &amp; billfishes</x:v>
      </x:c>
      <x:c r="I79" s="31" t="n">
        <x:v>18.9103304795</x:v>
      </x:c>
      <x:c r="J79" s="31" t="n">
        <x:v>18.9103304795</x:v>
      </x:c>
      <x:c r="K79" s="31" t="n">
        <x:v>0</x:v>
      </x:c>
      <x:c r="L79" s="31" t="n">
        <x:v>18.9103304795</x:v>
      </x:c>
      <x:c r="M79" s="31" t="n">
        <x:v>0</x:v>
      </x:c>
      <x:c r="N79" s="24" t="str">
        <x:v>thunnus thynnus</x:v>
      </x:c>
      <x:c r="O79" s="32" t="n">
        <x:v>4.45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Thunnus thynnus</x:v>
      </x:c>
      <x:c r="T79" s="32" t="n">
        <x:f>IF(O79="","",(1/'Metadata'!$B$5)^(O79-1))</x:f>
        <x:v>2818.382931264455</x:v>
      </x:c>
      <x:c r="U79" s="31" t="n">
        <x:f>IF(T79="","",I79*T79)</x:f>
        <x:v>53296.55264799277</x:v>
      </x:c>
    </x:row>
    <x:row r="80" ht="18" customHeight="1">
      <x:c r="A80" s="24" t="str">
        <x:v>EEZ_902</x:v>
      </x:c>
      <x:c r="B80" s="24" t="str">
        <x:v>Sardinia (Italy)</x:v>
      </x:c>
      <x:c r="C80" s="24" t="str">
        <x:v>EEZ</x:v>
      </x:c>
      <x:c r="D80" s="30" t="n">
        <x:v>2019</x:v>
      </x:c>
      <x:c r="E80" s="24" t="str">
        <x:v>Helicolenus dactylopterus</x:v>
      </x:c>
      <x:c r="F80" s="24" t="str">
        <x:v>Blackbelly rosefish</x:v>
      </x:c>
      <x:c r="G80" s="24" t="str">
        <x:v>Medium bathydemersals (30 - 89 cm)</x:v>
      </x:c>
      <x:c r="H80" s="24" t="str">
        <x:v>Scorpionfishes</x:v>
      </x:c>
      <x:c r="I80" s="31" t="n">
        <x:v>14.69092823</x:v>
      </x:c>
      <x:c r="J80" s="31" t="n">
        <x:v>11.489281008</x:v>
      </x:c>
      <x:c r="K80" s="31" t="n">
        <x:v>3.201647222</x:v>
      </x:c>
      <x:c r="L80" s="31" t="n">
        <x:v>13.762131455</x:v>
      </x:c>
      <x:c r="M80" s="31" t="n">
        <x:v>0.928796775</x:v>
      </x:c>
      <x:c r="N80" s="24" t="str">
        <x:v>helicolenus dactylopterus</x:v>
      </x:c>
      <x:c r="O80" s="32" t="n">
        <x:v>3.54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Helicolenus dactylopterus</x:v>
      </x:c>
      <x:c r="T80" s="32" t="n">
        <x:f>IF(O80="","",(1/'Metadata'!$B$5)^(O80-1))</x:f>
        <x:v>346.73685045253166</x:v>
      </x:c>
      <x:c r="U80" s="31" t="n">
        <x:f>IF(T80="","",I80*T80)</x:f>
        <x:v>5093.8861846943855</x:v>
      </x:c>
    </x:row>
    <x:row r="81" ht="18" customHeight="1">
      <x:c r="A81" s="24" t="str">
        <x:v>EEZ_902</x:v>
      </x:c>
      <x:c r="B81" s="24" t="str">
        <x:v>Sardinia (Italy)</x:v>
      </x:c>
      <x:c r="C81" s="24" t="str">
        <x:v>EEZ</x:v>
      </x:c>
      <x:c r="D81" s="30" t="n">
        <x:v>2019</x:v>
      </x:c>
      <x:c r="E81" s="24" t="str">
        <x:v>Pagellus acarne</x:v>
      </x:c>
      <x:c r="F81" s="24" t="str">
        <x:v>Axillary seabream</x:v>
      </x:c>
      <x:c r="G81" s="24" t="str">
        <x:v>Medium benthopelagics (30 - 89 cm)</x:v>
      </x:c>
      <x:c r="H81" s="24" t="str">
        <x:v>Perch-likes</x:v>
      </x:c>
      <x:c r="I81" s="31" t="n">
        <x:v>13.989037771</x:v>
      </x:c>
      <x:c r="J81" s="31" t="n">
        <x:v>13.989037771</x:v>
      </x:c>
      <x:c r="K81" s="31" t="n">
        <x:v>0</x:v>
      </x:c>
      <x:c r="L81" s="31" t="n">
        <x:v>13.038676087</x:v>
      </x:c>
      <x:c r="M81" s="31" t="n">
        <x:v>0.950361684</x:v>
      </x:c>
      <x:c r="N81" s="24" t="str">
        <x:v>pagellus acarne</x:v>
      </x:c>
      <x:c r="O81" s="32" t="n">
        <x:v>3.81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Pagellus acarne</x:v>
      </x:c>
      <x:c r="T81" s="32" t="n">
        <x:f>IF(O81="","",(1/'Metadata'!$B$5)^(O81-1))</x:f>
        <x:v>645.6542290346556</x:v>
      </x:c>
      <x:c r="U81" s="31" t="n">
        <x:f>IF(T81="","",I81*T81)</x:f>
        <x:v>9032.081396971682</x:v>
      </x:c>
    </x:row>
    <x:row r="82" ht="18" customHeight="1">
      <x:c r="A82" s="24" t="str">
        <x:v>EEZ_902</x:v>
      </x:c>
      <x:c r="B82" s="24" t="str">
        <x:v>Sardinia (Italy)</x:v>
      </x:c>
      <x:c r="C82" s="24" t="str">
        <x:v>EEZ</x:v>
      </x:c>
      <x:c r="D82" s="30" t="n">
        <x:v>2019</x:v>
      </x:c>
      <x:c r="E82" s="24" t="str">
        <x:v>Chelon auratus</x:v>
      </x:c>
      <x:c r="F82" s="24" t="str">
        <x:v>Golden grey mullet</x:v>
      </x:c>
      <x:c r="G82" s="24" t="str">
        <x:v>Medium pelagics (30 - 89 cm)</x:v>
      </x:c>
      <x:c r="H82" s="24" t="str">
        <x:v>Other fishes &amp; inverts</x:v>
      </x:c>
      <x:c r="I82" s="31" t="n">
        <x:v>13.818662342</x:v>
      </x:c>
      <x:c r="J82" s="31" t="n">
        <x:v>13.818662342</x:v>
      </x:c>
      <x:c r="K82" s="31" t="n">
        <x:v>0</x:v>
      </x:c>
      <x:c r="L82" s="31" t="n">
        <x:v>13.443195082</x:v>
      </x:c>
      <x:c r="M82" s="31" t="n">
        <x:v>0.37546726</x:v>
      </x:c>
      <x:c r="N82" s="24" t="str">
        <x:v>chelon auratus</x:v>
      </x:c>
      <x:c r="O82" s="32" t="n">
        <x:v>2.8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Chelon auratus</x:v>
      </x:c>
      <x:c r="T82" s="32" t="n">
        <x:f>IF(O82="","",(1/'Metadata'!$B$5)^(O82-1))</x:f>
        <x:v>63.0957344480193</x:v>
      </x:c>
      <x:c r="U82" s="31" t="n">
        <x:f>IF(T82="","",I82*T82)</x:f>
        <x:v>871.8986495576764</x:v>
      </x:c>
    </x:row>
    <x:row r="83" ht="18" customHeight="1">
      <x:c r="A83" s="24" t="str">
        <x:v>EEZ_902</x:v>
      </x:c>
      <x:c r="B83" s="24" t="str">
        <x:v>Sardinia (Italy)</x:v>
      </x:c>
      <x:c r="C83" s="24" t="str">
        <x:v>EEZ</x:v>
      </x:c>
      <x:c r="D83" s="30" t="n">
        <x:v>2019</x:v>
      </x:c>
      <x:c r="E83" s="24" t="str">
        <x:v>Trachinidae</x:v>
      </x:c>
      <x:c r="F83" s="24" t="str">
        <x:v>Weeverfishes</x:v>
      </x:c>
      <x:c r="G83" s="24" t="str">
        <x:v>Medium demersals (30 - 89 cm)</x:v>
      </x:c>
      <x:c r="H83" s="24" t="str">
        <x:v>Perch-likes</x:v>
      </x:c>
      <x:c r="I83" s="31" t="n">
        <x:v>13.407371891</x:v>
      </x:c>
      <x:c r="J83" s="31" t="n">
        <x:v>13.407371891</x:v>
      </x:c>
      <x:c r="K83" s="31" t="n">
        <x:v>0</x:v>
      </x:c>
      <x:c r="L83" s="31" t="n">
        <x:v>11.637137360999999</x:v>
      </x:c>
      <x:c r="M83" s="31" t="n">
        <x:v>1.77023453</x:v>
      </x:c>
      <x:c r="N83" s="24" t="str">
        <x:v>trachinidae</x:v>
      </x:c>
      <x:c r="O83" s="32" t="n">
        <x:v>3.95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Trachinidae</x:v>
      </x:c>
      <x:c r="T83" s="32" t="n">
        <x:f>IF(O83="","",(1/'Metadata'!$B$5)^(O83-1))</x:f>
        <x:v>891.2509381337459</x:v>
      </x:c>
      <x:c r="U83" s="31" t="n">
        <x:f>IF(T83="","",I83*T83)</x:f>
        <x:v>11949.332775761764</x:v>
      </x:c>
    </x:row>
    <x:row r="84" ht="18" customHeight="1">
      <x:c r="A84" s="24" t="str">
        <x:v>EEZ_902</x:v>
      </x:c>
      <x:c r="B84" s="24" t="str">
        <x:v>Sardinia (Italy)</x:v>
      </x:c>
      <x:c r="C84" s="24" t="str">
        <x:v>EEZ</x:v>
      </x:c>
      <x:c r="D84" s="30" t="n">
        <x:v>2019</x:v>
      </x:c>
      <x:c r="E84" s="24" t="str">
        <x:v>Serranidae</x:v>
      </x:c>
      <x:c r="F84" s="24" t="str">
        <x:v>Basses, groupers, hinds</x:v>
      </x:c>
      <x:c r="G84" s="24" t="str">
        <x:v>Medium reef assoc. fish (30 - 89 cm)</x:v>
      </x:c>
      <x:c r="H84" s="24" t="str">
        <x:v>Perch-likes</x:v>
      </x:c>
      <x:c r="I84" s="31" t="n">
        <x:v>12.403269056</x:v>
      </x:c>
      <x:c r="J84" s="31" t="n">
        <x:v>12.403269056</x:v>
      </x:c>
      <x:c r="K84" s="31" t="n">
        <x:v>0</x:v>
      </x:c>
      <x:c r="L84" s="31" t="n">
        <x:v>10.190433730999999</x:v>
      </x:c>
      <x:c r="M84" s="31" t="n">
        <x:v>2.212835325</x:v>
      </x:c>
      <x:c r="N84" s="24" t="str">
        <x:v>serranidae</x:v>
      </x:c>
      <x:c r="O84" s="32" t="n">
        <x:v>3.98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Serranidae</x:v>
      </x:c>
      <x:c r="T84" s="32" t="n">
        <x:f>IF(O84="","",(1/'Metadata'!$B$5)^(O84-1))</x:f>
        <x:v>954.992586021436</x:v>
      </x:c>
      <x:c r="U84" s="31" t="n">
        <x:f>IF(T84="","",I84*T84)</x:f>
        <x:v>11845.029990909094</x:v>
      </x:c>
    </x:row>
    <x:row r="85" ht="18" customHeight="1">
      <x:c r="A85" s="24" t="str">
        <x:v>EEZ_902</x:v>
      </x:c>
      <x:c r="B85" s="24" t="str">
        <x:v>Sardinia (Italy)</x:v>
      </x:c>
      <x:c r="C85" s="24" t="str">
        <x:v>EEZ</x:v>
      </x:c>
      <x:c r="D85" s="30" t="n">
        <x:v>2019</x:v>
      </x:c>
      <x:c r="E85" s="24" t="str">
        <x:v>Raja asterias</x:v>
      </x:c>
      <x:c r="F85" s="24" t="str">
        <x:v>Mediterranean starry ray</x:v>
      </x:c>
      <x:c r="G85" s="24" t="str">
        <x:v>Small to medium rays (&lt;90 cm)</x:v>
      </x:c>
      <x:c r="H85" s="24" t="str">
        <x:v>Sharks &amp; rays</x:v>
      </x:c>
      <x:c r="I85" s="31" t="n">
        <x:v>12.313982331</x:v>
      </x:c>
      <x:c r="J85" s="31" t="n">
        <x:v>12.313982331</x:v>
      </x:c>
      <x:c r="K85" s="31" t="n">
        <x:v>0</x:v>
      </x:c>
      <x:c r="L85" s="31" t="n">
        <x:v>9.782399848</x:v>
      </x:c>
      <x:c r="M85" s="31" t="n">
        <x:v>2.531582483</x:v>
      </x:c>
      <x:c r="N85" s="24" t="str">
        <x:v>raja asterias</x:v>
      </x:c>
      <x:c r="O85" s="32" t="n">
        <x:v>3.5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Raja asterias</x:v>
      </x:c>
      <x:c r="T85" s="32" t="n">
        <x:f>IF(O85="","",(1/'Metadata'!$B$5)^(O85-1))</x:f>
        <x:v>316.22776601683796</x:v>
      </x:c>
      <x:c r="U85" s="31" t="n">
        <x:f>IF(T85="","",I85*T85)</x:f>
        <x:v>3894.023123302945</x:v>
      </x:c>
    </x:row>
    <x:row r="86" ht="18" customHeight="1">
      <x:c r="A86" s="24" t="str">
        <x:v>EEZ_902</x:v>
      </x:c>
      <x:c r="B86" s="24" t="str">
        <x:v>Sardinia (Italy)</x:v>
      </x:c>
      <x:c r="C86" s="24" t="str">
        <x:v>EEZ</x:v>
      </x:c>
      <x:c r="D86" s="30" t="n">
        <x:v>2019</x:v>
      </x:c>
      <x:c r="E86" s="24" t="str">
        <x:v>Miscellaneous marine crustaceans</x:v>
      </x:c>
      <x:c r="F86" s="24" t="str">
        <x:v>Marine crabs, shrimps, lobsters nei</x:v>
      </x:c>
      <x:c r="G86" s="24" t="str">
        <x:v>Shrimps</x:v>
      </x:c>
      <x:c r="H86" s="24" t="str">
        <x:v>Crustaceans</x:v>
      </x:c>
      <x:c r="I86" s="31" t="n">
        <x:v>11.610064144</x:v>
      </x:c>
      <x:c r="J86" s="31" t="n">
        <x:v>11.610064144</x:v>
      </x:c>
      <x:c r="K86" s="31" t="n">
        <x:v>0</x:v>
      </x:c>
      <x:c r="L86" s="31" t="n">
        <x:v>9.886958966</x:v>
      </x:c>
      <x:c r="M86" s="31" t="n">
        <x:v>1.7231051780000002</x:v>
      </x:c>
      <x:c r="N86" s="24" t="str">
        <x:v>miscellaneous marine crustaceans</x:v>
      </x:c>
      <x:c r="O86" s="32" t="n">
        <x:v>2.7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Miscellaneous marine crustaceans</x:v>
      </x:c>
      <x:c r="T86" s="32" t="n">
        <x:f>IF(O86="","",(1/'Metadata'!$B$5)^(O86-1))</x:f>
        <x:v>50.11872336272725</x:v>
      </x:c>
      <x:c r="U86" s="31" t="n">
        <x:f>IF(T86="","",I86*T86)</x:f>
        <x:v>581.8815930566548</x:v>
      </x:c>
    </x:row>
    <x:row r="87" ht="18" customHeight="1">
      <x:c r="A87" s="24" t="str">
        <x:v>EEZ_902</x:v>
      </x:c>
      <x:c r="B87" s="24" t="str">
        <x:v>Sardinia (Italy)</x:v>
      </x:c>
      <x:c r="C87" s="24" t="str">
        <x:v>EEZ</x:v>
      </x:c>
      <x:c r="D87" s="30" t="n">
        <x:v>2019</x:v>
      </x:c>
      <x:c r="E87" s="24" t="str">
        <x:v>Uranoscopus scaber</x:v>
      </x:c>
      <x:c r="F87" s="24" t="str">
        <x:v>Stargazer</x:v>
      </x:c>
      <x:c r="G87" s="24" t="str">
        <x:v>Medium demersals (30 - 89 cm)</x:v>
      </x:c>
      <x:c r="H87" s="24" t="str">
        <x:v>Perch-likes</x:v>
      </x:c>
      <x:c r="I87" s="31" t="n">
        <x:v>11.446905244</x:v>
      </x:c>
      <x:c r="J87" s="31" t="n">
        <x:v>11.446905244</x:v>
      </x:c>
      <x:c r="K87" s="31" t="n">
        <x:v>0</x:v>
      </x:c>
      <x:c r="L87" s="31" t="n">
        <x:v>9.414285542</x:v>
      </x:c>
      <x:c r="M87" s="31" t="n">
        <x:v>2.032619702</x:v>
      </x:c>
      <x:c r="N87" s="24" t="str">
        <x:v>uranoscopus scaber</x:v>
      </x:c>
      <x:c r="O87" s="32" t="n">
        <x:v>4.38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Uranoscopus scaber</x:v>
      </x:c>
      <x:c r="T87" s="32" t="n">
        <x:f>IF(O87="","",(1/'Metadata'!$B$5)^(O87-1))</x:f>
        <x:v>2398.83291901949</x:v>
      </x:c>
      <x:c r="U87" s="31" t="n">
        <x:f>IF(T87="","",I87*T87)</x:f>
        <x:v>27459.213120204025</x:v>
      </x:c>
    </x:row>
    <x:row r="88" ht="18" customHeight="1">
      <x:c r="A88" s="24" t="str">
        <x:v>EEZ_902</x:v>
      </x:c>
      <x:c r="B88" s="24" t="str">
        <x:v>Sardinia (Italy)</x:v>
      </x:c>
      <x:c r="C88" s="24" t="str">
        <x:v>EEZ</x:v>
      </x:c>
      <x:c r="D88" s="30" t="n">
        <x:v>2019</x:v>
      </x:c>
      <x:c r="E88" s="24" t="str">
        <x:v>Diplodus sargus</x:v>
      </x:c>
      <x:c r="F88" s="24" t="str">
        <x:v>White seabream</x:v>
      </x:c>
      <x:c r="G88" s="24" t="str">
        <x:v>Medium demersals (30 - 89 cm)</x:v>
      </x:c>
      <x:c r="H88" s="24" t="str">
        <x:v>Perch-likes</x:v>
      </x:c>
      <x:c r="I88" s="31" t="n">
        <x:v>10.495603494</x:v>
      </x:c>
      <x:c r="J88" s="31" t="n">
        <x:v>10.495603494</x:v>
      </x:c>
      <x:c r="K88" s="31" t="n">
        <x:v>0</x:v>
      </x:c>
      <x:c r="L88" s="31" t="n">
        <x:v>9.338505955</x:v>
      </x:c>
      <x:c r="M88" s="31" t="n">
        <x:v>1.157097539</x:v>
      </x:c>
      <x:c r="N88" s="24" t="str">
        <x:v>diplodus sargus</x:v>
      </x:c>
      <x:c r="O88" s="32" t="n">
        <x:v>3.38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Diplodus sargus</x:v>
      </x:c>
      <x:c r="T88" s="32" t="n">
        <x:f>IF(O88="","",(1/'Metadata'!$B$5)^(O88-1))</x:f>
        <x:v>239.88329190194898</x:v>
      </x:c>
      <x:c r="U88" s="31" t="n">
        <x:f>IF(T88="","",I88*T88)</x:f>
        <x:v>2517.7199166383175</x:v>
      </x:c>
    </x:row>
    <x:row r="89" ht="18" customHeight="1">
      <x:c r="A89" s="24" t="str">
        <x:v>EEZ_902</x:v>
      </x:c>
      <x:c r="B89" s="24" t="str">
        <x:v>Sardinia (Italy)</x:v>
      </x:c>
      <x:c r="C89" s="24" t="str">
        <x:v>EEZ</x:v>
      </x:c>
      <x:c r="D89" s="30" t="n">
        <x:v>2019</x:v>
      </x:c>
      <x:c r="E89" s="24" t="str">
        <x:v>Trachurus mediterraneus</x:v>
      </x:c>
      <x:c r="F89" s="24" t="str">
        <x:v>Mediterranean horse mackerel</x:v>
      </x:c>
      <x:c r="G89" s="24" t="str">
        <x:v>Medium pelagics (30 - 89 cm)</x:v>
      </x:c>
      <x:c r="H89" s="24" t="str">
        <x:v>Perch-likes</x:v>
      </x:c>
      <x:c r="I89" s="31" t="n">
        <x:v>10.188450074</x:v>
      </x:c>
      <x:c r="J89" s="31" t="n">
        <x:v>1.9952131400000002</x:v>
      </x:c>
      <x:c r="K89" s="31" t="n">
        <x:v>8.193236934</x:v>
      </x:c>
      <x:c r="L89" s="31" t="n">
        <x:v>8.193236934</x:v>
      </x:c>
      <x:c r="M89" s="31" t="n">
        <x:v>1.9952131400000002</x:v>
      </x:c>
      <x:c r="N89" s="24" t="str">
        <x:v>trachurus mediterraneus</x:v>
      </x:c>
      <x:c r="O89" s="32" t="n">
        <x:v>3.77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Trachurus mediterraneus</x:v>
      </x:c>
      <x:c r="T89" s="32" t="n">
        <x:f>IF(O89="","",(1/'Metadata'!$B$5)^(O89-1))</x:f>
        <x:v>588.843655355589</x:v>
      </x:c>
      <x:c r="U89" s="31" t="n">
        <x:f>IF(T89="","",I89*T89)</x:f>
        <x:v>5999.404183982082</x:v>
      </x:c>
    </x:row>
    <x:row r="90" ht="18" customHeight="1">
      <x:c r="A90" s="24" t="str">
        <x:v>EEZ_902</x:v>
      </x:c>
      <x:c r="B90" s="24" t="str">
        <x:v>Sardinia (Italy)</x:v>
      </x:c>
      <x:c r="C90" s="24" t="str">
        <x:v>EEZ</x:v>
      </x:c>
      <x:c r="D90" s="30" t="n">
        <x:v>2019</x:v>
      </x:c>
      <x:c r="E90" s="24" t="str">
        <x:v>Diplodus annularis</x:v>
      </x:c>
      <x:c r="F90" s="24" t="str">
        <x:v>Annular seabream</x:v>
      </x:c>
      <x:c r="G90" s="24" t="str">
        <x:v>Small benthopelagics (&lt;30 cm)</x:v>
      </x:c>
      <x:c r="H90" s="24" t="str">
        <x:v>Perch-likes</x:v>
      </x:c>
      <x:c r="I90" s="31" t="n">
        <x:v>9.436875366</x:v>
      </x:c>
      <x:c r="J90" s="31" t="n">
        <x:v>8.902054907</x:v>
      </x:c>
      <x:c r="K90" s="31" t="n">
        <x:v>0.534820459</x:v>
      </x:c>
      <x:c r="L90" s="31" t="n">
        <x:v>7.689922984</x:v>
      </x:c>
      <x:c r="M90" s="31" t="n">
        <x:v>1.746952382</x:v>
      </x:c>
      <x:c r="N90" s="24" t="str">
        <x:v>diplodus annularis</x:v>
      </x:c>
      <x:c r="O90" s="32" t="n">
        <x:v>3.64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Diplodus annularis</x:v>
      </x:c>
      <x:c r="T90" s="32" t="n">
        <x:f>IF(O90="","",(1/'Metadata'!$B$5)^(O90-1))</x:f>
        <x:v>436.5158322401661</x:v>
      </x:c>
      <x:c r="U90" s="31" t="n">
        <x:f>IF(T90="","",I90*T90)</x:f>
        <x:v>4119.345504136212</x:v>
      </x:c>
    </x:row>
    <x:row r="91" ht="18" customHeight="1">
      <x:c r="A91" s="24" t="str">
        <x:v>EEZ_902</x:v>
      </x:c>
      <x:c r="B91" s="24" t="str">
        <x:v>Sardinia (Italy)</x:v>
      </x:c>
      <x:c r="C91" s="24" t="str">
        <x:v>EEZ</x:v>
      </x:c>
      <x:c r="D91" s="30" t="n">
        <x:v>2019</x:v>
      </x:c>
      <x:c r="E91" s="24" t="str">
        <x:v>Sphyraena</x:v>
      </x:c>
      <x:c r="F91" s="24" t="str">
        <x:v>Barracudas, sennets</x:v>
      </x:c>
      <x:c r="G91" s="24" t="str">
        <x:v>Large pelagics (&gt;=90 cm)</x:v>
      </x:c>
      <x:c r="H91" s="24" t="str">
        <x:v>Perch-likes</x:v>
      </x:c>
      <x:c r="I91" s="31" t="n">
        <x:v>8.419124373</x:v>
      </x:c>
      <x:c r="J91" s="31" t="n">
        <x:v>8.419124373</x:v>
      </x:c>
      <x:c r="K91" s="31" t="n">
        <x:v>0</x:v>
      </x:c>
      <x:c r="L91" s="31" t="n">
        <x:v>8.419124373</x:v>
      </x:c>
      <x:c r="M91" s="31" t="n">
        <x:v>0</x:v>
      </x:c>
      <x:c r="N91" s="24" t="str">
        <x:v>sphyraena</x:v>
      </x:c>
      <x:c r="O91" s="32" t="n">
        <x:v>4.4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Sphyraena</x:v>
      </x:c>
      <x:c r="T91" s="32" t="n">
        <x:f>IF(O91="","",(1/'Metadata'!$B$5)^(O91-1))</x:f>
        <x:v>2511.886431509582</x:v>
      </x:c>
      <x:c r="U91" s="31" t="n">
        <x:f>IF(T91="","",I91*T91)</x:f>
        <x:v>21147.884277730318</x:v>
      </x:c>
    </x:row>
    <x:row r="92" ht="18" customHeight="1">
      <x:c r="A92" s="24" t="str">
        <x:v>EEZ_902</x:v>
      </x:c>
      <x:c r="B92" s="24" t="str">
        <x:v>Sardinia (Italy)</x:v>
      </x:c>
      <x:c r="C92" s="24" t="str">
        <x:v>EEZ</x:v>
      </x:c>
      <x:c r="D92" s="30" t="n">
        <x:v>2019</x:v>
      </x:c>
      <x:c r="E92" s="24" t="str">
        <x:v>Pagellus bogaraveo</x:v>
      </x:c>
      <x:c r="F92" s="24" t="str">
        <x:v>Blackspot seabream</x:v>
      </x:c>
      <x:c r="G92" s="24" t="str">
        <x:v>Medium benthopelagics (30 - 89 cm)</x:v>
      </x:c>
      <x:c r="H92" s="24" t="str">
        <x:v>Perch-likes</x:v>
      </x:c>
      <x:c r="I92" s="31" t="n">
        <x:v>8.20683611</x:v>
      </x:c>
      <x:c r="J92" s="31" t="n">
        <x:v>8.20683611</x:v>
      </x:c>
      <x:c r="K92" s="31" t="n">
        <x:v>0</x:v>
      </x:c>
      <x:c r="L92" s="31" t="n">
        <x:v>7.549421903</x:v>
      </x:c>
      <x:c r="M92" s="31" t="n">
        <x:v>0.657414207</x:v>
      </x:c>
      <x:c r="N92" s="24" t="str">
        <x:v>pagellus bogaraveo</x:v>
      </x:c>
      <x:c r="O92" s="32" t="n">
        <x:v>4.21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Pagellus bogaraveo</x:v>
      </x:c>
      <x:c r="T92" s="32" t="n">
        <x:f>IF(O92="","",(1/'Metadata'!$B$5)^(O92-1))</x:f>
        <x:v>1621.8100973589299</x:v>
      </x:c>
      <x:c r="U92" s="31" t="n">
        <x:f>IF(T92="","",I92*T92)</x:f>
        <x:v>13309.92967056788</x:v>
      </x:c>
    </x:row>
    <x:row r="93" ht="18" customHeight="1">
      <x:c r="A93" s="24" t="str">
        <x:v>EEZ_902</x:v>
      </x:c>
      <x:c r="B93" s="24" t="str">
        <x:v>Sardinia (Italy)</x:v>
      </x:c>
      <x:c r="C93" s="24" t="str">
        <x:v>EEZ</x:v>
      </x:c>
      <x:c r="D93" s="30" t="n">
        <x:v>2019</x:v>
      </x:c>
      <x:c r="E93" s="24" t="str">
        <x:v>Homarus gammarus</x:v>
      </x:c>
      <x:c r="F93" s="24" t="str">
        <x:v>European lobster</x:v>
      </x:c>
      <x:c r="G93" s="24" t="str">
        <x:v>Lobsters, crabs</x:v>
      </x:c>
      <x:c r="H93" s="24" t="str">
        <x:v>Crustaceans</x:v>
      </x:c>
      <x:c r="I93" s="31" t="n">
        <x:v>7.787681048</x:v>
      </x:c>
      <x:c r="J93" s="31" t="n">
        <x:v>7.787681048</x:v>
      </x:c>
      <x:c r="K93" s="31" t="n">
        <x:v>0</x:v>
      </x:c>
      <x:c r="L93" s="31" t="n">
        <x:v>5.373448617</x:v>
      </x:c>
      <x:c r="M93" s="31" t="n">
        <x:v>2.414232431</x:v>
      </x:c>
      <x:c r="N93" s="24" t="str">
        <x:v>homarus gammarus</x:v>
      </x:c>
      <x:c r="O93" s="32" t="n">
        <x:v>3.7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Homarus gammarus</x:v>
      </x:c>
      <x:c r="T93" s="32" t="n">
        <x:f>IF(O93="","",(1/'Metadata'!$B$5)^(O93-1))</x:f>
        <x:v>501.18723362727246</x:v>
      </x:c>
      <x:c r="U93" s="31" t="n">
        <x:f>IF(T93="","",I93*T93)</x:f>
        <x:v>3903.086320818658</x:v>
      </x:c>
    </x:row>
    <x:row r="94" ht="18" customHeight="1">
      <x:c r="A94" s="24" t="str">
        <x:v>EEZ_902</x:v>
      </x:c>
      <x:c r="B94" s="24" t="str">
        <x:v>Sardinia (Italy)</x:v>
      </x:c>
      <x:c r="C94" s="24" t="str">
        <x:v>EEZ</x:v>
      </x:c>
      <x:c r="D94" s="30" t="n">
        <x:v>2019</x:v>
      </x:c>
      <x:c r="E94" s="24" t="str">
        <x:v>Pomatomus saltatrix</x:v>
      </x:c>
      <x:c r="F94" s="24" t="str">
        <x:v>Bluefish</x:v>
      </x:c>
      <x:c r="G94" s="24" t="str">
        <x:v>Large pelagics (&gt;=90 cm)</x:v>
      </x:c>
      <x:c r="H94" s="24" t="str">
        <x:v>Perch-likes</x:v>
      </x:c>
      <x:c r="I94" s="31" t="n">
        <x:v>7.378139414</x:v>
      </x:c>
      <x:c r="J94" s="31" t="n">
        <x:v>7.378139414</x:v>
      </x:c>
      <x:c r="K94" s="31" t="n">
        <x:v>0</x:v>
      </x:c>
      <x:c r="L94" s="31" t="n">
        <x:v>6.134514653</x:v>
      </x:c>
      <x:c r="M94" s="31" t="n">
        <x:v>1.243624761</x:v>
      </x:c>
      <x:c r="N94" s="24" t="str">
        <x:v>pomatomus saltatrix</x:v>
      </x:c>
      <x:c r="O94" s="32" t="n">
        <x:v>4.53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Pomatomus saltatrix</x:v>
      </x:c>
      <x:c r="T94" s="32" t="n">
        <x:f>IF(O94="","",(1/'Metadata'!$B$5)^(O94-1))</x:f>
        <x:v>3388.4415613920273</x:v>
      </x:c>
      <x:c r="U94" s="31" t="n">
        <x:f>IF(T94="","",I94*T94)</x:f>
        <x:v>25000.394236142216</x:v>
      </x:c>
    </x:row>
    <x:row r="95" ht="18" customHeight="1">
      <x:c r="A95" s="24" t="str">
        <x:v>EEZ_902</x:v>
      </x:c>
      <x:c r="B95" s="24" t="str">
        <x:v>Sardinia (Italy)</x:v>
      </x:c>
      <x:c r="C95" s="24" t="str">
        <x:v>EEZ</x:v>
      </x:c>
      <x:c r="D95" s="30" t="n">
        <x:v>2019</x:v>
      </x:c>
      <x:c r="E95" s="24" t="str">
        <x:v>Umbrina cirrosa</x:v>
      </x:c>
      <x:c r="F95" s="24" t="str">
        <x:v>Shi drum</x:v>
      </x:c>
      <x:c r="G95" s="24" t="str">
        <x:v>Medium demersals (30 - 89 cm)</x:v>
      </x:c>
      <x:c r="H95" s="24" t="str">
        <x:v>Perch-likes</x:v>
      </x:c>
      <x:c r="I95" s="31" t="n">
        <x:v>6.580848516</x:v>
      </x:c>
      <x:c r="J95" s="31" t="n">
        <x:v>6.580848516</x:v>
      </x:c>
      <x:c r="K95" s="31" t="n">
        <x:v>0</x:v>
      </x:c>
      <x:c r="L95" s="31" t="n">
        <x:v>5.532331576</x:v>
      </x:c>
      <x:c r="M95" s="31" t="n">
        <x:v>1.04851694</x:v>
      </x:c>
      <x:c r="N95" s="24" t="str">
        <x:v>umbrina cirrosa</x:v>
      </x:c>
      <x:c r="O95" s="32" t="n">
        <x:v>3.46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Umbrina cirrosa</x:v>
      </x:c>
      <x:c r="T95" s="32" t="n">
        <x:f>IF(O95="","",(1/'Metadata'!$B$5)^(O95-1))</x:f>
        <x:v>288.40315031266056</x:v>
      </x:c>
      <x:c r="U95" s="31" t="n">
        <x:f>IF(T95="","",I95*T95)</x:f>
        <x:v>1897.937443744797</x:v>
      </x:c>
    </x:row>
    <x:row r="96" ht="18" customHeight="1">
      <x:c r="A96" s="24" t="str">
        <x:v>EEZ_902</x:v>
      </x:c>
      <x:c r="B96" s="24" t="str">
        <x:v>Sardinia (Italy)</x:v>
      </x:c>
      <x:c r="C96" s="24" t="str">
        <x:v>EEZ</x:v>
      </x:c>
      <x:c r="D96" s="30" t="n">
        <x:v>2019</x:v>
      </x:c>
      <x:c r="E96" s="24" t="str">
        <x:v>Sprattus sprattus</x:v>
      </x:c>
      <x:c r="F96" s="24" t="str">
        <x:v>European sprat</x:v>
      </x:c>
      <x:c r="G96" s="24" t="str">
        <x:v>Small pelagics (&lt;30 cm)</x:v>
      </x:c>
      <x:c r="H96" s="24" t="str">
        <x:v>Herring-likes</x:v>
      </x:c>
      <x:c r="I96" s="31" t="n">
        <x:v>6.308649776999999</x:v>
      </x:c>
      <x:c r="J96" s="31" t="n">
        <x:v>6.308649776999999</x:v>
      </x:c>
      <x:c r="K96" s="31" t="n">
        <x:v>0</x:v>
      </x:c>
      <x:c r="L96" s="31" t="n">
        <x:v>5.245164365</x:v>
      </x:c>
      <x:c r="M96" s="31" t="n">
        <x:v>1.063485412</x:v>
      </x:c>
      <x:c r="N96" s="24" t="str">
        <x:v>sprattus sprattus</x:v>
      </x:c>
      <x:c r="O96" s="32" t="n">
        <x:v>3.01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Sprattus sprattus</x:v>
      </x:c>
      <x:c r="T96" s="32" t="n">
        <x:f>IF(O96="","",(1/'Metadata'!$B$5)^(O96-1))</x:f>
        <x:v>102.32929922807536</x:v>
      </x:c>
      <x:c r="U96" s="31" t="n">
        <x:f>IF(T96="","",I96*T96)</x:f>
        <x:v>645.5597107557638</x:v>
      </x:c>
    </x:row>
    <x:row r="97" ht="18" customHeight="1">
      <x:c r="A97" s="24" t="str">
        <x:v>EEZ_902</x:v>
      </x:c>
      <x:c r="B97" s="24" t="str">
        <x:v>Sardinia (Italy)</x:v>
      </x:c>
      <x:c r="C97" s="24" t="str">
        <x:v>EEZ</x:v>
      </x:c>
      <x:c r="D97" s="30" t="n">
        <x:v>2019</x:v>
      </x:c>
      <x:c r="E97" s="24" t="str">
        <x:v>Rajiformes</x:v>
      </x:c>
      <x:c r="F97" s="24" t="str">
        <x:v>Skates and rays</x:v>
      </x:c>
      <x:c r="G97" s="24" t="str">
        <x:v>Large rays (&gt;=90 cm)</x:v>
      </x:c>
      <x:c r="H97" s="24" t="str">
        <x:v>Sharks &amp; rays</x:v>
      </x:c>
      <x:c r="I97" s="31" t="n">
        <x:v>6.276316977</x:v>
      </x:c>
      <x:c r="J97" s="31" t="n">
        <x:v>6.276316977</x:v>
      </x:c>
      <x:c r="K97" s="31" t="n">
        <x:v>0</x:v>
      </x:c>
      <x:c r="L97" s="31" t="n">
        <x:v>4.985994017</x:v>
      </x:c>
      <x:c r="M97" s="31" t="n">
        <x:v>1.29032296</x:v>
      </x:c>
      <x:c r="N97" s="24" t="str">
        <x:v>rajiformes</x:v>
      </x:c>
      <x:c r="O97" s="32" t="n">
        <x:v>3.61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Rajiformes</x:v>
      </x:c>
      <x:c r="T97" s="32" t="n">
        <x:f>IF(O97="","",(1/'Metadata'!$B$5)^(O97-1))</x:f>
        <x:v>407.3802778041126</x:v>
      </x:c>
      <x:c r="U97" s="31" t="n">
        <x:f>IF(T97="","",I97*T97)</x:f>
        <x:v>2556.8477536769283</x:v>
      </x:c>
    </x:row>
    <x:row r="98" ht="18" customHeight="1">
      <x:c r="A98" s="24" t="str">
        <x:v>EEZ_902</x:v>
      </x:c>
      <x:c r="B98" s="24" t="str">
        <x:v>Sardinia (Italy)</x:v>
      </x:c>
      <x:c r="C98" s="24" t="str">
        <x:v>EEZ</x:v>
      </x:c>
      <x:c r="D98" s="30" t="n">
        <x:v>2019</x:v>
      </x:c>
      <x:c r="E98" s="24" t="str">
        <x:v>Muraena helena</x:v>
      </x:c>
      <x:c r="F98" s="24" t="str">
        <x:v>Mediterranean moray</x:v>
      </x:c>
      <x:c r="G98" s="24" t="str">
        <x:v>Large reef assoc. fish (&gt;=90 cm)</x:v>
      </x:c>
      <x:c r="H98" s="24" t="str">
        <x:v>Other fishes &amp; inverts</x:v>
      </x:c>
      <x:c r="I98" s="31" t="n">
        <x:v>5.25352014</x:v>
      </x:c>
      <x:c r="J98" s="31" t="n">
        <x:v>5.25352014</x:v>
      </x:c>
      <x:c r="K98" s="31" t="n">
        <x:v>0</x:v>
      </x:c>
      <x:c r="L98" s="31" t="n">
        <x:v>4.640973484</x:v>
      </x:c>
      <x:c r="M98" s="31" t="n">
        <x:v>0.612546656</x:v>
      </x:c>
      <x:c r="N98" s="24" t="str">
        <x:v>muraena helena</x:v>
      </x:c>
      <x:c r="O98" s="32" t="n">
        <x:v>4.18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Muraena helena</x:v>
      </x:c>
      <x:c r="T98" s="32" t="n">
        <x:f>IF(O98="","",(1/'Metadata'!$B$5)^(O98-1))</x:f>
        <x:v>1513.5612484362073</x:v>
      </x:c>
      <x:c r="U98" s="31" t="n">
        <x:f>IF(T98="","",I98*T98)</x:f>
        <x:v>7951.5245017831585</x:v>
      </x:c>
    </x:row>
    <x:row r="99" ht="18" customHeight="1">
      <x:c r="A99" s="24" t="str">
        <x:v>EEZ_902</x:v>
      </x:c>
      <x:c r="B99" s="24" t="str">
        <x:v>Sardinia (Italy)</x:v>
      </x:c>
      <x:c r="C99" s="24" t="str">
        <x:v>EEZ</x:v>
      </x:c>
      <x:c r="D99" s="30" t="n">
        <x:v>2019</x:v>
      </x:c>
      <x:c r="E99" s="24" t="str">
        <x:v>Aphia minuta</x:v>
      </x:c>
      <x:c r="F99" s="24" t="str">
        <x:v>Transparent goby</x:v>
      </x:c>
      <x:c r="G99" s="24" t="str">
        <x:v>Small demersals (&lt;30 cm)</x:v>
      </x:c>
      <x:c r="H99" s="24" t="str">
        <x:v>Perch-likes</x:v>
      </x:c>
      <x:c r="I99" s="31" t="n">
        <x:v>5.115043233</x:v>
      </x:c>
      <x:c r="J99" s="31" t="n">
        <x:v>5.115043233</x:v>
      </x:c>
      <x:c r="K99" s="31" t="n">
        <x:v>0</x:v>
      </x:c>
      <x:c r="L99" s="31" t="n">
        <x:v>3.742212688</x:v>
      </x:c>
      <x:c r="M99" s="31" t="n">
        <x:v>1.372830545</x:v>
      </x:c>
      <x:c r="N99" s="24" t="str">
        <x:v>aphia minuta</x:v>
      </x:c>
      <x:c r="O99" s="32" t="n">
        <x:v>3.1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Aphia minuta</x:v>
      </x:c>
      <x:c r="T99" s="32" t="n">
        <x:f>IF(O99="","",(1/'Metadata'!$B$5)^(O99-1))</x:f>
        <x:v>125.89254117941675</x:v>
      </x:c>
      <x:c r="U99" s="31" t="n">
        <x:f>IF(T99="","",I99*T99)</x:f>
        <x:v>643.9457908449494</x:v>
      </x:c>
    </x:row>
    <x:row r="100" ht="18" customHeight="1">
      <x:c r="A100" s="24" t="str">
        <x:v>EEZ_902</x:v>
      </x:c>
      <x:c r="B100" s="24" t="str">
        <x:v>Sardinia (Italy)</x:v>
      </x:c>
      <x:c r="C100" s="24" t="str">
        <x:v>EEZ</x:v>
      </x:c>
      <x:c r="D100" s="30" t="n">
        <x:v>2019</x:v>
      </x:c>
      <x:c r="E100" s="24" t="str">
        <x:v>Scophthalmus rhombus</x:v>
      </x:c>
      <x:c r="F100" s="24" t="str">
        <x:v>Brill</x:v>
      </x:c>
      <x:c r="G100" s="24" t="str">
        <x:v>Small to medium flatfishes (&lt;90 cm)</x:v>
      </x:c>
      <x:c r="H100" s="24" t="str">
        <x:v>Flatfishes</x:v>
      </x:c>
      <x:c r="I100" s="31" t="n">
        <x:v>4.866419131</x:v>
      </x:c>
      <x:c r="J100" s="31" t="n">
        <x:v>4.866419131</x:v>
      </x:c>
      <x:c r="K100" s="31" t="n">
        <x:v>0</x:v>
      </x:c>
      <x:c r="L100" s="31" t="n">
        <x:v>3.921454024</x:v>
      </x:c>
      <x:c r="M100" s="31" t="n">
        <x:v>0.944965107</x:v>
      </x:c>
      <x:c r="N100" s="24" t="str">
        <x:v>scophthalmus rhombus</x:v>
      </x:c>
      <x:c r="O100" s="32" t="n">
        <x:v>4.42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Scophthalmus rhombus</x:v>
      </x:c>
      <x:c r="T100" s="32" t="n">
        <x:f>IF(O100="","",(1/'Metadata'!$B$5)^(O100-1))</x:f>
        <x:v>2630.2679918953813</x:v>
      </x:c>
      <x:c r="U100" s="31" t="n">
        <x:f>IF(T100="","",I100*T100)</x:f>
        <x:v>12799.986475416636</x:v>
      </x:c>
    </x:row>
    <x:row r="101" ht="18" customHeight="1">
      <x:c r="A101" s="24" t="str">
        <x:v>EEZ_902</x:v>
      </x:c>
      <x:c r="B101" s="24" t="str">
        <x:v>Sardinia (Italy)</x:v>
      </x:c>
      <x:c r="C101" s="24" t="str">
        <x:v>EEZ</x:v>
      </x:c>
      <x:c r="D101" s="30" t="n">
        <x:v>2019</x:v>
      </x:c>
      <x:c r="E101" s="24" t="str">
        <x:v>Citharus linguatula</x:v>
      </x:c>
      <x:c r="F101" s="24" t="str">
        <x:v>Spotted flounder</x:v>
      </x:c>
      <x:c r="G101" s="24" t="str">
        <x:v>Small to medium flatfishes (&lt;90 cm)</x:v>
      </x:c>
      <x:c r="H101" s="24" t="str">
        <x:v>Flatfishes</x:v>
      </x:c>
      <x:c r="I101" s="31" t="n">
        <x:v>4.552286236</x:v>
      </x:c>
      <x:c r="J101" s="31" t="n">
        <x:v>4.552286236</x:v>
      </x:c>
      <x:c r="K101" s="31" t="n">
        <x:v>0</x:v>
      </x:c>
      <x:c r="L101" s="31" t="n">
        <x:v>1.8270586949999998</x:v>
      </x:c>
      <x:c r="M101" s="31" t="n">
        <x:v>2.725227541</x:v>
      </x:c>
      <x:c r="N101" s="24" t="str">
        <x:v>citharus linguatula</x:v>
      </x:c>
      <x:c r="O101" s="32" t="n">
        <x:v>3.97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Citharus linguatula</x:v>
      </x:c>
      <x:c r="T101" s="32" t="n">
        <x:f>IF(O101="","",(1/'Metadata'!$B$5)^(O101-1))</x:f>
        <x:v>933.2543007969915</x:v>
      </x:c>
      <x:c r="U101" s="31" t="n">
        <x:f>IF(T101="","",I101*T101)</x:f>
        <x:v>4248.440708205948</x:v>
      </x:c>
    </x:row>
    <x:row r="102" ht="18" customHeight="1">
      <x:c r="A102" s="24" t="str">
        <x:v>EEZ_902</x:v>
      </x:c>
      <x:c r="B102" s="24" t="str">
        <x:v>Sardinia (Italy)</x:v>
      </x:c>
      <x:c r="C102" s="24" t="str">
        <x:v>EEZ</x:v>
      </x:c>
      <x:c r="D102" s="30" t="n">
        <x:v>2019</x:v>
      </x:c>
      <x:c r="E102" s="24" t="str">
        <x:v>Epinephelus marginatus</x:v>
      </x:c>
      <x:c r="F102" s="24" t="str">
        <x:v>Dusky grouper</x:v>
      </x:c>
      <x:c r="G102" s="24" t="str">
        <x:v>Large reef assoc. fish (&gt;=90 cm)</x:v>
      </x:c>
      <x:c r="H102" s="24" t="str">
        <x:v>Perch-likes</x:v>
      </x:c>
      <x:c r="I102" s="31" t="n">
        <x:v>4.532910964</x:v>
      </x:c>
      <x:c r="J102" s="31" t="n">
        <x:v>4.532910964</x:v>
      </x:c>
      <x:c r="K102" s="31" t="n">
        <x:v>0</x:v>
      </x:c>
      <x:c r="L102" s="31" t="n">
        <x:v>3.777884925</x:v>
      </x:c>
      <x:c r="M102" s="31" t="n">
        <x:v>0.755026039</x:v>
      </x:c>
      <x:c r="N102" s="24" t="str">
        <x:v>epinephelus marginatus</x:v>
      </x:c>
      <x:c r="O102" s="32" t="n">
        <x:v>4.43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Epinephelus marginatus</x:v>
      </x:c>
      <x:c r="T102" s="32" t="n">
        <x:f>IF(O102="","",(1/'Metadata'!$B$5)^(O102-1))</x:f>
        <x:v>2691.534803926914</x:v>
      </x:c>
      <x:c r="U102" s="31" t="n">
        <x:f>IF(T102="","",I102*T102)</x:f>
        <x:v>12200.487622707898</x:v>
      </x:c>
    </x:row>
    <x:row r="103" ht="18" customHeight="1">
      <x:c r="A103" s="24" t="str">
        <x:v>EEZ_902</x:v>
      </x:c>
      <x:c r="B103" s="24" t="str">
        <x:v>Sardinia (Italy)</x:v>
      </x:c>
      <x:c r="C103" s="24" t="str">
        <x:v>EEZ</x:v>
      </x:c>
      <x:c r="D103" s="30" t="n">
        <x:v>2019</x:v>
      </x:c>
      <x:c r="E103" s="24" t="str">
        <x:v>Cepola macrophthalma</x:v>
      </x:c>
      <x:c r="F103" s="24" t="str">
        <x:v>Red bandfish</x:v>
      </x:c>
      <x:c r="G103" s="24" t="str">
        <x:v>Medium demersals (30 - 89 cm)</x:v>
      </x:c>
      <x:c r="H103" s="24" t="str">
        <x:v>Perch-likes</x:v>
      </x:c>
      <x:c r="I103" s="31" t="n">
        <x:v>4.496420004</x:v>
      </x:c>
      <x:c r="J103" s="31" t="n">
        <x:v>4.496420004</x:v>
      </x:c>
      <x:c r="K103" s="31" t="n">
        <x:v>0</x:v>
      </x:c>
      <x:c r="L103" s="31" t="n">
        <x:v>3.436635537</x:v>
      </x:c>
      <x:c r="M103" s="31" t="n">
        <x:v>1.059784467</x:v>
      </x:c>
      <x:c r="N103" s="24" t="str">
        <x:v>cepola macrophthalma</x:v>
      </x:c>
      <x:c r="O103" s="32" t="n">
        <x:v>3.13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Cepola macrophthalma</x:v>
      </x:c>
      <x:c r="T103" s="32" t="n">
        <x:f>IF(O103="","",(1/'Metadata'!$B$5)^(O103-1))</x:f>
        <x:v>134.89628825916532</x:v>
      </x:c>
      <x:c r="U103" s="31" t="n">
        <x:f>IF(T103="","",I103*T103)</x:f>
        <x:v>606.5503689938613</x:v>
      </x:c>
    </x:row>
    <x:row r="104" ht="18" customHeight="1">
      <x:c r="A104" s="24" t="str">
        <x:v>EEZ_902</x:v>
      </x:c>
      <x:c r="B104" s="24" t="str">
        <x:v>Sardinia (Italy)</x:v>
      </x:c>
      <x:c r="C104" s="24" t="str">
        <x:v>EEZ</x:v>
      </x:c>
      <x:c r="D104" s="30" t="n">
        <x:v>2019</x:v>
      </x:c>
      <x:c r="E104" s="24" t="str">
        <x:v>Diplodus puntazzo</x:v>
      </x:c>
      <x:c r="F104" s="24" t="str">
        <x:v>Sharpsnout seabream</x:v>
      </x:c>
      <x:c r="G104" s="24" t="str">
        <x:v>Medium benthopelagics (30 - 89 cm)</x:v>
      </x:c>
      <x:c r="H104" s="24" t="str">
        <x:v>Perch-likes</x:v>
      </x:c>
      <x:c r="I104" s="31" t="n">
        <x:v>4.345902377</x:v>
      </x:c>
      <x:c r="J104" s="31" t="n">
        <x:v>4.345902377</x:v>
      </x:c>
      <x:c r="K104" s="31" t="n">
        <x:v>0</x:v>
      </x:c>
      <x:c r="L104" s="31" t="n">
        <x:v>3.8917726270000004</x:v>
      </x:c>
      <x:c r="M104" s="31" t="n">
        <x:v>0.45412975</x:v>
      </x:c>
      <x:c r="N104" s="24" t="str">
        <x:v>diplodus puntazzo</x:v>
      </x:c>
      <x:c r="O104" s="32" t="n">
        <x:v>3.22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Diplodus puntazzo</x:v>
      </x:c>
      <x:c r="T104" s="32" t="n">
        <x:f>IF(O104="","",(1/'Metadata'!$B$5)^(O104-1))</x:f>
        <x:v>165.95869074375614</x:v>
      </x:c>
      <x:c r="U104" s="31" t="n">
        <x:f>IF(T104="","",I104*T104)</x:f>
        <x:v>721.2402685870977</x:v>
      </x:c>
    </x:row>
    <x:row r="105" ht="18" customHeight="1">
      <x:c r="A105" s="24" t="str">
        <x:v>EEZ_902</x:v>
      </x:c>
      <x:c r="B105" s="24" t="str">
        <x:v>Sardinia (Italy)</x:v>
      </x:c>
      <x:c r="C105" s="24" t="str">
        <x:v>EEZ</x:v>
      </x:c>
      <x:c r="D105" s="30" t="n">
        <x:v>2019</x:v>
      </x:c>
      <x:c r="E105" s="24" t="str">
        <x:v>Mustelus</x:v>
      </x:c>
      <x:c r="F105" s="24" t="str">
        <x:v>Smoothhounds</x:v>
      </x:c>
      <x:c r="G105" s="24" t="str">
        <x:v>Large sharks (&gt;=90 cm)</x:v>
      </x:c>
      <x:c r="H105" s="24" t="str">
        <x:v>Sharks &amp; rays</x:v>
      </x:c>
      <x:c r="I105" s="31" t="n">
        <x:v>4.042771673</x:v>
      </x:c>
      <x:c r="J105" s="31" t="n">
        <x:v>4.042771673</x:v>
      </x:c>
      <x:c r="K105" s="31" t="n">
        <x:v>0</x:v>
      </x:c>
      <x:c r="L105" s="31" t="n">
        <x:v>0</x:v>
      </x:c>
      <x:c r="M105" s="31" t="n">
        <x:v>4.042771673</x:v>
      </x:c>
      <x:c r="N105" s="24" t="str">
        <x:v>mustelus</x:v>
      </x:c>
      <x:c r="O105" s="32" t="n">
        <x:v>3.73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Mustelus</x:v>
      </x:c>
      <x:c r="T105" s="32" t="n">
        <x:f>IF(O105="","",(1/'Metadata'!$B$5)^(O105-1))</x:f>
        <x:v>537.0317963702527</x:v>
      </x:c>
      <x:c r="U105" s="31" t="n">
        <x:f>IF(T105="","",I105*T105)</x:f>
        <x:v>2171.0969338659615</x:v>
      </x:c>
    </x:row>
    <x:row r="106" ht="18" customHeight="1">
      <x:c r="A106" s="24" t="str">
        <x:v>EEZ_902</x:v>
      </x:c>
      <x:c r="B106" s="24" t="str">
        <x:v>Sardinia (Italy)</x:v>
      </x:c>
      <x:c r="C106" s="24" t="str">
        <x:v>EEZ</x:v>
      </x:c>
      <x:c r="D106" s="30" t="n">
        <x:v>2019</x:v>
      </x:c>
      <x:c r="E106" s="24" t="str">
        <x:v>Scorpaena notata</x:v>
      </x:c>
      <x:c r="F106" s="24" t="str">
        <x:v>Small red scorpionfish</x:v>
      </x:c>
      <x:c r="G106" s="24" t="str">
        <x:v>Large reef assoc. fish (&gt;=90 cm)</x:v>
      </x:c>
      <x:c r="H106" s="24" t="str">
        <x:v>Scorpionfishes</x:v>
      </x:c>
      <x:c r="I106" s="31" t="n">
        <x:v>3.967866543</x:v>
      </x:c>
      <x:c r="J106" s="31" t="n">
        <x:v>3.967866543</x:v>
      </x:c>
      <x:c r="K106" s="31" t="n">
        <x:v>0</x:v>
      </x:c>
      <x:c r="L106" s="31" t="n">
        <x:v>3.548800194</x:v>
      </x:c>
      <x:c r="M106" s="31" t="n">
        <x:v>0.419066349</x:v>
      </x:c>
      <x:c r="N106" s="24" t="str">
        <x:v>scorpaena notata</x:v>
      </x:c>
      <x:c r="O106" s="32" t="n">
        <x:v>3.7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Scorpaena notata</x:v>
      </x:c>
      <x:c r="T106" s="32" t="n">
        <x:f>IF(O106="","",(1/'Metadata'!$B$5)^(O106-1))</x:f>
        <x:v>501.18723362727246</x:v>
      </x:c>
      <x:c r="U106" s="31" t="n">
        <x:f>IF(T106="","",I106*T106)</x:f>
        <x:v>1988.6440560883789</x:v>
      </x:c>
    </x:row>
    <x:row r="107" ht="18" customHeight="1">
      <x:c r="A107" s="24" t="str">
        <x:v>EEZ_902</x:v>
      </x:c>
      <x:c r="B107" s="24" t="str">
        <x:v>Sardinia (Italy)</x:v>
      </x:c>
      <x:c r="C107" s="24" t="str">
        <x:v>EEZ</x:v>
      </x:c>
      <x:c r="D107" s="30" t="n">
        <x:v>2019</x:v>
      </x:c>
      <x:c r="E107" s="24" t="str">
        <x:v>Spondyliosoma cantharus</x:v>
      </x:c>
      <x:c r="F107" s="24" t="str">
        <x:v>Black seabream</x:v>
      </x:c>
      <x:c r="G107" s="24" t="str">
        <x:v>Medium benthopelagics (30 - 89 cm)</x:v>
      </x:c>
      <x:c r="H107" s="24" t="str">
        <x:v>Perch-likes</x:v>
      </x:c>
      <x:c r="I107" s="31" t="n">
        <x:v>3.946118091</x:v>
      </x:c>
      <x:c r="J107" s="31" t="n">
        <x:v>3.946118091</x:v>
      </x:c>
      <x:c r="K107" s="31" t="n">
        <x:v>0</x:v>
      </x:c>
      <x:c r="L107" s="31" t="n">
        <x:v>3.844105406</x:v>
      </x:c>
      <x:c r="M107" s="31" t="n">
        <x:v>0.10201268499999999</x:v>
      </x:c>
      <x:c r="N107" s="24" t="str">
        <x:v>spondyliosoma cantharus</x:v>
      </x:c>
      <x:c r="O107" s="32" t="n">
        <x:v>3.34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Spondyliosoma cantharus</x:v>
      </x:c>
      <x:c r="T107" s="32" t="n">
        <x:f>IF(O107="","",(1/'Metadata'!$B$5)^(O107-1))</x:f>
        <x:v>218.77616239495518</x:v>
      </x:c>
      <x:c r="U107" s="31" t="n">
        <x:f>IF(T107="","",I107*T107)</x:f>
        <x:v>863.3165723062866</x:v>
      </x:c>
    </x:row>
    <x:row r="108" ht="18" customHeight="1">
      <x:c r="A108" s="24" t="str">
        <x:v>EEZ_902</x:v>
      </x:c>
      <x:c r="B108" s="24" t="str">
        <x:v>Sardinia (Italy)</x:v>
      </x:c>
      <x:c r="C108" s="24" t="str">
        <x:v>EEZ</x:v>
      </x:c>
      <x:c r="D108" s="30" t="n">
        <x:v>2019</x:v>
      </x:c>
      <x:c r="E108" s="24" t="str">
        <x:v>Anguilla anguilla</x:v>
      </x:c>
      <x:c r="F108" s="24" t="str">
        <x:v>European eel</x:v>
      </x:c>
      <x:c r="G108" s="24" t="str">
        <x:v>Large demersals (&gt;=90 cm)</x:v>
      </x:c>
      <x:c r="H108" s="24" t="str">
        <x:v>Other fishes &amp; inverts</x:v>
      </x:c>
      <x:c r="I108" s="31" t="n">
        <x:v>3.775230504</x:v>
      </x:c>
      <x:c r="J108" s="31" t="n">
        <x:v>3.775230504</x:v>
      </x:c>
      <x:c r="K108" s="31" t="n">
        <x:v>0</x:v>
      </x:c>
      <x:c r="L108" s="31" t="n">
        <x:v>1.990592538</x:v>
      </x:c>
      <x:c r="M108" s="31" t="n">
        <x:v>1.784637966</x:v>
      </x:c>
      <x:c r="N108" s="24" t="str">
        <x:v>anguilla anguilla</x:v>
      </x:c>
      <x:c r="O108" s="32" t="n">
        <x:v>3.55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Anguilla anguilla</x:v>
      </x:c>
      <x:c r="T108" s="32" t="n">
        <x:f>IF(O108="","",(1/'Metadata'!$B$5)^(O108-1))</x:f>
        <x:v>354.8133892335753</x:v>
      </x:c>
      <x:c r="U108" s="31" t="n">
        <x:f>IF(T108="","",I108*T108)</x:f>
        <x:v>1339.5023302622187</x:v>
      </x:c>
    </x:row>
    <x:row r="109" ht="18" customHeight="1">
      <x:c r="A109" s="24" t="str">
        <x:v>EEZ_902</x:v>
      </x:c>
      <x:c r="B109" s="24" t="str">
        <x:v>Sardinia (Italy)</x:v>
      </x:c>
      <x:c r="C109" s="24" t="str">
        <x:v>EEZ</x:v>
      </x:c>
      <x:c r="D109" s="30" t="n">
        <x:v>2019</x:v>
      </x:c>
      <x:c r="E109" s="24" t="str">
        <x:v>Brama brama</x:v>
      </x:c>
      <x:c r="F109" s="24" t="str">
        <x:v>Atlantic pomfret</x:v>
      </x:c>
      <x:c r="G109" s="24" t="str">
        <x:v>Medium bathypelagics (30 - 89 cm)</x:v>
      </x:c>
      <x:c r="H109" s="24" t="str">
        <x:v>Perch-likes</x:v>
      </x:c>
      <x:c r="I109" s="31" t="n">
        <x:v>3.6608044034000002</x:v>
      </x:c>
      <x:c r="J109" s="31" t="n">
        <x:v>3.6608044034000002</x:v>
      </x:c>
      <x:c r="K109" s="31" t="n">
        <x:v>0</x:v>
      </x:c>
      <x:c r="L109" s="31" t="n">
        <x:v>3.0837600194</x:v>
      </x:c>
      <x:c r="M109" s="31" t="n">
        <x:v>0.577044384</x:v>
      </x:c>
      <x:c r="N109" s="24" t="str">
        <x:v>brama brama</x:v>
      </x:c>
      <x:c r="O109" s="32" t="n">
        <x:v>4.08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Brama brama</x:v>
      </x:c>
      <x:c r="T109" s="32" t="n">
        <x:f>IF(O109="","",(1/'Metadata'!$B$5)^(O109-1))</x:f>
        <x:v>1202.2644346174131</x:v>
      </x:c>
      <x:c r="U109" s="31" t="n">
        <x:f>IF(T109="","",I109*T109)</x:f>
        <x:v>4401.254936298637</x:v>
      </x:c>
    </x:row>
    <x:row r="110" ht="18" customHeight="1">
      <x:c r="A110" s="24" t="str">
        <x:v>EEZ_902</x:v>
      </x:c>
      <x:c r="B110" s="24" t="str">
        <x:v>Sardinia (Italy)</x:v>
      </x:c>
      <x:c r="C110" s="24" t="str">
        <x:v>EEZ</x:v>
      </x:c>
      <x:c r="D110" s="30" t="n">
        <x:v>2019</x:v>
      </x:c>
      <x:c r="E110" s="24" t="str">
        <x:v>Sciaena umbra</x:v>
      </x:c>
      <x:c r="F110" s="24" t="str">
        <x:v>Brown meagre</x:v>
      </x:c>
      <x:c r="G110" s="24" t="str">
        <x:v>Medium demersals (30 - 89 cm)</x:v>
      </x:c>
      <x:c r="H110" s="24" t="str">
        <x:v>Perch-likes</x:v>
      </x:c>
      <x:c r="I110" s="31" t="n">
        <x:v>3.655931008</x:v>
      </x:c>
      <x:c r="J110" s="31" t="n">
        <x:v>3.655931008</x:v>
      </x:c>
      <x:c r="K110" s="31" t="n">
        <x:v>0</x:v>
      </x:c>
      <x:c r="L110" s="31" t="n">
        <x:v>3.655931008</x:v>
      </x:c>
      <x:c r="M110" s="31" t="n">
        <x:v>0</x:v>
      </x:c>
      <x:c r="N110" s="24" t="str">
        <x:v>sciaena umbra</x:v>
      </x:c>
      <x:c r="O110" s="32" t="n">
        <x:v>3.75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Sciaena umbra</x:v>
      </x:c>
      <x:c r="T110" s="32" t="n">
        <x:f>IF(O110="","",(1/'Metadata'!$B$5)^(O110-1))</x:f>
        <x:v>562.341325190349</x:v>
      </x:c>
      <x:c r="U110" s="31" t="n">
        <x:f>IF(T110="","",I110*T110)</x:f>
        <x:v>2055.8810878432087</x:v>
      </x:c>
    </x:row>
    <x:row r="111" ht="18" customHeight="1">
      <x:c r="A111" s="24" t="str">
        <x:v>EEZ_902</x:v>
      </x:c>
      <x:c r="B111" s="24" t="str">
        <x:v>Sardinia (Italy)</x:v>
      </x:c>
      <x:c r="C111" s="24" t="str">
        <x:v>EEZ</x:v>
      </x:c>
      <x:c r="D111" s="30" t="n">
        <x:v>2019</x:v>
      </x:c>
      <x:c r="E111" s="24" t="str">
        <x:v>Scomberesox saurus</x:v>
      </x:c>
      <x:c r="F111" s="24" t="str">
        <x:v>Atlantic saury</x:v>
      </x:c>
      <x:c r="G111" s="24" t="str">
        <x:v>Medium pelagics (30 - 89 cm)</x:v>
      </x:c>
      <x:c r="H111" s="24" t="str">
        <x:v>Other fishes &amp; inverts</x:v>
      </x:c>
      <x:c r="I111" s="31" t="n">
        <x:v>3.6052988108</x:v>
      </x:c>
      <x:c r="J111" s="31" t="n">
        <x:v>3.6052988108</x:v>
      </x:c>
      <x:c r="K111" s="31" t="n">
        <x:v>0</x:v>
      </x:c>
      <x:c r="L111" s="31" t="n">
        <x:v>2.9052266028</x:v>
      </x:c>
      <x:c r="M111" s="31" t="n">
        <x:v>0.700072208</x:v>
      </x:c>
      <x:c r="N111" s="24" t="str">
        <x:v>scomberesox saurus</x:v>
      </x:c>
      <x:c r="O111" s="32" t="n">
        <x:v>3.91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Scomberesox saurus</x:v>
      </x:c>
      <x:c r="T111" s="32" t="n">
        <x:f>IF(O111="","",(1/'Metadata'!$B$5)^(O111-1))</x:f>
        <x:v>812.8305161640995</x:v>
      </x:c>
      <x:c r="U111" s="31" t="n">
        <x:f>IF(T111="","",I111*T111)</x:f>
        <x:v>2930.4968933083783</x:v>
      </x:c>
    </x:row>
    <x:row r="112" ht="18" customHeight="1">
      <x:c r="A112" s="24" t="str">
        <x:v>EEZ_902</x:v>
      </x:c>
      <x:c r="B112" s="24" t="str">
        <x:v>Sardinia (Italy)</x:v>
      </x:c>
      <x:c r="C112" s="24" t="str">
        <x:v>EEZ</x:v>
      </x:c>
      <x:c r="D112" s="30" t="n">
        <x:v>2019</x:v>
      </x:c>
      <x:c r="E112" s="24" t="str">
        <x:v>Maja squinado</x:v>
      </x:c>
      <x:c r="F112" s="24" t="str">
        <x:v>Spinous spider crab</x:v>
      </x:c>
      <x:c r="G112" s="24" t="str">
        <x:v>Lobsters, crabs</x:v>
      </x:c>
      <x:c r="H112" s="24" t="str">
        <x:v>Crustaceans</x:v>
      </x:c>
      <x:c r="I112" s="31" t="n">
        <x:v>3.53294057</x:v>
      </x:c>
      <x:c r="J112" s="31" t="n">
        <x:v>3.53294057</x:v>
      </x:c>
      <x:c r="K112" s="31" t="n">
        <x:v>0</x:v>
      </x:c>
      <x:c r="L112" s="31" t="n">
        <x:v>2.684142574</x:v>
      </x:c>
      <x:c r="M112" s="31" t="n">
        <x:v>0.8487979959999999</x:v>
      </x:c>
      <x:c r="N112" s="24" t="str">
        <x:v>maja squinado</x:v>
      </x:c>
      <x:c r="O112" s="32" t="n">
        <x:v>2.94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Maja squinado</x:v>
      </x:c>
      <x:c r="T112" s="32" t="n">
        <x:f>IF(O112="","",(1/'Metadata'!$B$5)^(O112-1))</x:f>
        <x:v>87.09635899560806</x:v>
      </x:c>
      <x:c r="U112" s="31" t="n">
        <x:f>IF(T112="","",I112*T112)</x:f>
        <x:v>307.70626019486815</x:v>
      </x:c>
    </x:row>
    <x:row r="113" ht="18" customHeight="1">
      <x:c r="A113" s="24" t="str">
        <x:v>EEZ_902</x:v>
      </x:c>
      <x:c r="B113" s="24" t="str">
        <x:v>Sardinia (Italy)</x:v>
      </x:c>
      <x:c r="C113" s="24" t="str">
        <x:v>EEZ</x:v>
      </x:c>
      <x:c r="D113" s="30" t="n">
        <x:v>2019</x:v>
      </x:c>
      <x:c r="E113" s="24" t="str">
        <x:v>Scorpaena</x:v>
      </x:c>
      <x:c r="F113" s="24" t="str">
        <x:v>Scorpionfishes</x:v>
      </x:c>
      <x:c r="G113" s="24" t="str">
        <x:v>Large reef assoc. fish (&gt;=90 cm)</x:v>
      </x:c>
      <x:c r="H113" s="24" t="str">
        <x:v>Scorpionfishes</x:v>
      </x:c>
      <x:c r="I113" s="31" t="n">
        <x:v>3.4501228621</x:v>
      </x:c>
      <x:c r="J113" s="31" t="n">
        <x:v>3.4501228621</x:v>
      </x:c>
      <x:c r="K113" s="31" t="n">
        <x:v>0</x:v>
      </x:c>
      <x:c r="L113" s="31" t="n">
        <x:v>2.939085164</x:v>
      </x:c>
      <x:c r="M113" s="31" t="n">
        <x:v>0.5110376981</x:v>
      </x:c>
      <x:c r="N113" s="24" t="str">
        <x:v>scorpaena</x:v>
      </x:c>
      <x:c r="O113" s="32" t="n">
        <x:v>3.87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Scorpaena</x:v>
      </x:c>
      <x:c r="T113" s="32" t="n">
        <x:f>IF(O113="","",(1/'Metadata'!$B$5)^(O113-1))</x:f>
        <x:v>741.3102413009177</x:v>
      </x:c>
      <x:c r="U113" s="31" t="n">
        <x:f>IF(T113="","",I113*T113)</x:f>
        <x:v>2557.611411421164</x:v>
      </x:c>
    </x:row>
    <x:row r="114" ht="18" customHeight="1">
      <x:c r="A114" s="24" t="str">
        <x:v>EEZ_902</x:v>
      </x:c>
      <x:c r="B114" s="24" t="str">
        <x:v>Sardinia (Italy)</x:v>
      </x:c>
      <x:c r="C114" s="24" t="str">
        <x:v>EEZ</x:v>
      </x:c>
      <x:c r="D114" s="30" t="n">
        <x:v>2019</x:v>
      </x:c>
      <x:c r="E114" s="24" t="str">
        <x:v>Katsuwonus pelamis</x:v>
      </x:c>
      <x:c r="F114" s="24" t="str">
        <x:v>Skipjack tuna</x:v>
      </x:c>
      <x:c r="G114" s="24" t="str">
        <x:v>Large pelagics (&gt;=90 cm)</x:v>
      </x:c>
      <x:c r="H114" s="24" t="str">
        <x:v>Tuna &amp; billfishes</x:v>
      </x:c>
      <x:c r="I114" s="31" t="n">
        <x:v>3.4020528396999996</x:v>
      </x:c>
      <x:c r="J114" s="31" t="n">
        <x:v>3.4020528396999996</x:v>
      </x:c>
      <x:c r="K114" s="31" t="n">
        <x:v>0</x:v>
      </x:c>
      <x:c r="L114" s="31" t="n">
        <x:v>3.3027427926999997</x:v>
      </x:c>
      <x:c r="M114" s="31" t="n">
        <x:v>0.099310047</x:v>
      </x:c>
      <x:c r="N114" s="24" t="str">
        <x:v>katsuwonus pelamis</x:v>
      </x:c>
      <x:c r="O114" s="32" t="n">
        <x:v>4.43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Katsuwonus pelamis</x:v>
      </x:c>
      <x:c r="T114" s="32" t="n">
        <x:f>IF(O114="","",(1/'Metadata'!$B$5)^(O114-1))</x:f>
        <x:v>2691.534803926914</x:v>
      </x:c>
      <x:c r="U114" s="31" t="n">
        <x:f>IF(T114="","",I114*T114)</x:f>
        <x:v>9156.74362285094</x:v>
      </x:c>
    </x:row>
    <x:row r="115" ht="18" customHeight="1">
      <x:c r="A115" s="24" t="str">
        <x:v>EEZ_902</x:v>
      </x:c>
      <x:c r="B115" s="24" t="str">
        <x:v>Sardinia (Italy)</x:v>
      </x:c>
      <x:c r="C115" s="24" t="str">
        <x:v>EEZ</x:v>
      </x:c>
      <x:c r="D115" s="30" t="n">
        <x:v>2019</x:v>
      </x:c>
      <x:c r="E115" s="24" t="str">
        <x:v>Chelon saliens</x:v>
      </x:c>
      <x:c r="F115" s="24" t="str">
        <x:v>Leaping mullet</x:v>
      </x:c>
      <x:c r="G115" s="24" t="str">
        <x:v>Medium demersals (30 - 89 cm)</x:v>
      </x:c>
      <x:c r="H115" s="24" t="str">
        <x:v>Perch-likes</x:v>
      </x:c>
      <x:c r="I115" s="31" t="n">
        <x:v>3.2031173539999998</x:v>
      </x:c>
      <x:c r="J115" s="31" t="n">
        <x:v>3.2031173539999998</x:v>
      </x:c>
      <x:c r="K115" s="31" t="n">
        <x:v>0</x:v>
      </x:c>
      <x:c r="L115" s="31" t="n">
        <x:v>3.2031173539999998</x:v>
      </x:c>
      <x:c r="M115" s="31" t="n">
        <x:v>0</x:v>
      </x:c>
      <x:c r="N115" s="24" t="str">
        <x:v>chelon saliens</x:v>
      </x:c>
      <x:c r="O115" s="32" t="n">
        <x:v>2.9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Chelon saliens</x:v>
      </x:c>
      <x:c r="T115" s="32" t="n">
        <x:f>IF(O115="","",(1/'Metadata'!$B$5)^(O115-1))</x:f>
        <x:v>79.43282347242814</x:v>
      </x:c>
      <x:c r="U115" s="31" t="n">
        <x:f>IF(T115="","",I115*T115)</x:f>
        <x:v>254.4326553417531</x:v>
      </x:c>
    </x:row>
    <x:row r="116" ht="18" customHeight="1">
      <x:c r="A116" s="24" t="str">
        <x:v>EEZ_902</x:v>
      </x:c>
      <x:c r="B116" s="24" t="str">
        <x:v>Sardinia (Italy)</x:v>
      </x:c>
      <x:c r="C116" s="24" t="str">
        <x:v>EEZ</x:v>
      </x:c>
      <x:c r="D116" s="30" t="n">
        <x:v>2019</x:v>
      </x:c>
      <x:c r="E116" s="24" t="str">
        <x:v>Eutrigla gurnardus</x:v>
      </x:c>
      <x:c r="F116" s="24" t="str">
        <x:v>Grey gurnard</x:v>
      </x:c>
      <x:c r="G116" s="24" t="str">
        <x:v>Medium demersals (30 - 89 cm)</x:v>
      </x:c>
      <x:c r="H116" s="24" t="str">
        <x:v>Scorpionfishes</x:v>
      </x:c>
      <x:c r="I116" s="31" t="n">
        <x:v>3.1962821</x:v>
      </x:c>
      <x:c r="J116" s="31" t="n">
        <x:v>3.1962821</x:v>
      </x:c>
      <x:c r="K116" s="31" t="n">
        <x:v>0</x:v>
      </x:c>
      <x:c r="L116" s="31" t="n">
        <x:v>2.839023955</x:v>
      </x:c>
      <x:c r="M116" s="31" t="n">
        <x:v>0.357258145</x:v>
      </x:c>
      <x:c r="N116" s="24" t="str">
        <x:v>eutrigla gurnardus</x:v>
      </x:c>
      <x:c r="O116" s="32" t="n">
        <x:v>3.87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Eutrigla gurnardus</x:v>
      </x:c>
      <x:c r="T116" s="32" t="n">
        <x:f>IF(O116="","",(1/'Metadata'!$B$5)^(O116-1))</x:f>
        <x:v>741.3102413009177</x:v>
      </x:c>
      <x:c r="U116" s="31" t="n">
        <x:f>IF(T116="","",I116*T116)</x:f>
        <x:v>2369.436654816804</x:v>
      </x:c>
    </x:row>
    <x:row r="117" ht="18" customHeight="1">
      <x:c r="A117" s="24" t="str">
        <x:v>EEZ_902</x:v>
      </x:c>
      <x:c r="B117" s="24" t="str">
        <x:v>Sardinia (Italy)</x:v>
      </x:c>
      <x:c r="C117" s="24" t="str">
        <x:v>EEZ</x:v>
      </x:c>
      <x:c r="D117" s="30" t="n">
        <x:v>2019</x:v>
      </x:c>
      <x:c r="E117" s="24" t="str">
        <x:v>Argentina</x:v>
      </x:c>
      <x:c r="F117" s="24" t="str">
        <x:v>Argentines</x:v>
      </x:c>
      <x:c r="G117" s="24" t="str">
        <x:v>Medium bathydemersals (30 - 89 cm)</x:v>
      </x:c>
      <x:c r="H117" s="24" t="str">
        <x:v>Salmon, smelts, etc</x:v>
      </x:c>
      <x:c r="I117" s="31" t="n">
        <x:v>3.1468443</x:v>
      </x:c>
      <x:c r="J117" s="31" t="n">
        <x:v>3.1468443</x:v>
      </x:c>
      <x:c r="K117" s="31" t="n">
        <x:v>0</x:v>
      </x:c>
      <x:c r="L117" s="31" t="n">
        <x:v>2.63296906</x:v>
      </x:c>
      <x:c r="M117" s="31" t="n">
        <x:v>0.51387524</x:v>
      </x:c>
      <x:c r="N117" s="24" t="str">
        <x:v>argentina</x:v>
      </x:c>
      <x:c r="O117" s="32" t="n">
        <x:v>3.35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Argentina</x:v>
      </x:c>
      <x:c r="T117" s="32" t="n">
        <x:f>IF(O117="","",(1/'Metadata'!$B$5)^(O117-1))</x:f>
        <x:v>223.872113856834</x:v>
      </x:c>
      <x:c r="U117" s="31" t="n">
        <x:f>IF(T117="","",I117*T117)</x:f>
        <x:v>704.4906854193291</x:v>
      </x:c>
    </x:row>
    <x:row r="118" ht="18" customHeight="1">
      <x:c r="A118" s="24" t="str">
        <x:v>EEZ_902</x:v>
      </x:c>
      <x:c r="B118" s="24" t="str">
        <x:v>Sardinia (Italy)</x:v>
      </x:c>
      <x:c r="C118" s="24" t="str">
        <x:v>EEZ</x:v>
      </x:c>
      <x:c r="D118" s="30" t="n">
        <x:v>2019</x:v>
      </x:c>
      <x:c r="E118" s="24" t="str">
        <x:v>Micromesistius poutassou</x:v>
      </x:c>
      <x:c r="F118" s="24" t="str">
        <x:v>Blue whiting</x:v>
      </x:c>
      <x:c r="G118" s="24" t="str">
        <x:v>Medium benthopelagics (30 - 89 cm)</x:v>
      </x:c>
      <x:c r="H118" s="24" t="str">
        <x:v>Cod-likes</x:v>
      </x:c>
      <x:c r="I118" s="31" t="n">
        <x:v>3.086278896</x:v>
      </x:c>
      <x:c r="J118" s="31" t="n">
        <x:v>3.086278896</x:v>
      </x:c>
      <x:c r="K118" s="31" t="n">
        <x:v>0</x:v>
      </x:c>
      <x:c r="L118" s="31" t="n">
        <x:v>3.06111163</x:v>
      </x:c>
      <x:c r="M118" s="31" t="n">
        <x:v>0.025167266</x:v>
      </x:c>
      <x:c r="N118" s="24" t="str">
        <x:v>micromesistius poutassou</x:v>
      </x:c>
      <x:c r="O118" s="32" t="n">
        <x:v>4.13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Micromesistius poutassou</x:v>
      </x:c>
      <x:c r="T118" s="32" t="n">
        <x:f>IF(O118="","",(1/'Metadata'!$B$5)^(O118-1))</x:f>
        <x:v>1348.9628825916532</x:v>
      </x:c>
      <x:c r="U118" s="31" t="n">
        <x:f>IF(T118="","",I118*T118)</x:f>
        <x:v>4163.275676029945</x:v>
      </x:c>
    </x:row>
    <x:row r="119" ht="18" customHeight="1">
      <x:c r="A119" s="24" t="str">
        <x:v>EEZ_902</x:v>
      </x:c>
      <x:c r="B119" s="24" t="str">
        <x:v>Sardinia (Italy)</x:v>
      </x:c>
      <x:c r="C119" s="24" t="str">
        <x:v>EEZ</x:v>
      </x:c>
      <x:c r="D119" s="30" t="n">
        <x:v>2019</x:v>
      </x:c>
      <x:c r="E119" s="24" t="str">
        <x:v>Raja montagui</x:v>
      </x:c>
      <x:c r="F119" s="24" t="str">
        <x:v>Spotted ray</x:v>
      </x:c>
      <x:c r="G119" s="24" t="str">
        <x:v>Small to medium rays (&lt;90 cm)</x:v>
      </x:c>
      <x:c r="H119" s="24" t="str">
        <x:v>Sharks &amp; rays</x:v>
      </x:c>
      <x:c r="I119" s="31" t="n">
        <x:v>2.8922396089999998</x:v>
      </x:c>
      <x:c r="J119" s="31" t="n">
        <x:v>2.8922396089999998</x:v>
      </x:c>
      <x:c r="K119" s="31" t="n">
        <x:v>0</x:v>
      </x:c>
      <x:c r="L119" s="31" t="n">
        <x:v>2.297635611</x:v>
      </x:c>
      <x:c r="M119" s="31" t="n">
        <x:v>0.5946039980000001</x:v>
      </x:c>
      <x:c r="N119" s="24" t="str">
        <x:v>raja montagui</x:v>
      </x:c>
      <x:c r="O119" s="32" t="n">
        <x:v>3.88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Raja montagui</x:v>
      </x:c>
      <x:c r="T119" s="32" t="n">
        <x:f>IF(O119="","",(1/'Metadata'!$B$5)^(O119-1))</x:f>
        <x:v>758.5775750291835</x:v>
      </x:c>
      <x:c r="U119" s="31" t="n">
        <x:f>IF(T119="","",I119*T119)</x:f>
        <x:v>2193.988108998574</x:v>
      </x:c>
    </x:row>
    <x:row r="120" ht="18" customHeight="1">
      <x:c r="A120" s="24" t="str">
        <x:v>EEZ_902</x:v>
      </x:c>
      <x:c r="B120" s="24" t="str">
        <x:v>Sardinia (Italy)</x:v>
      </x:c>
      <x:c r="C120" s="24" t="str">
        <x:v>EEZ</x:v>
      </x:c>
      <x:c r="D120" s="30" t="n">
        <x:v>2019</x:v>
      </x:c>
      <x:c r="E120" s="24" t="str">
        <x:v>Sparidae</x:v>
      </x:c>
      <x:c r="F120" s="24" t="str">
        <x:v>Porgies, seabreams</x:v>
      </x:c>
      <x:c r="G120" s="24" t="str">
        <x:v>Medium benthopelagics (30 - 89 cm)</x:v>
      </x:c>
      <x:c r="H120" s="24" t="str">
        <x:v>Perch-likes</x:v>
      </x:c>
      <x:c r="I120" s="31" t="n">
        <x:v>2.537684805</x:v>
      </x:c>
      <x:c r="J120" s="31" t="n">
        <x:v>2.537684805</x:v>
      </x:c>
      <x:c r="K120" s="31" t="n">
        <x:v>0</x:v>
      </x:c>
      <x:c r="L120" s="31" t="n">
        <x:v>2.537684805</x:v>
      </x:c>
      <x:c r="M120" s="31" t="n">
        <x:v>0</x:v>
      </x:c>
      <x:c r="N120" s="24" t="str">
        <x:v>sparidae</x:v>
      </x:c>
      <x:c r="O120" s="32" t="n">
        <x:v>3.31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Sparidae</x:v>
      </x:c>
      <x:c r="T120" s="32" t="n">
        <x:f>IF(O120="","",(1/'Metadata'!$B$5)^(O120-1))</x:f>
        <x:v>204.17379446695296</x:v>
      </x:c>
      <x:c r="U120" s="31" t="n">
        <x:f>IF(T120="","",I120*T120)</x:f>
        <x:v>518.1287357979796</x:v>
      </x:c>
    </x:row>
    <x:row r="121" ht="18" customHeight="1">
      <x:c r="A121" s="24" t="str">
        <x:v>EEZ_902</x:v>
      </x:c>
      <x:c r="B121" s="24" t="str">
        <x:v>Sardinia (Italy)</x:v>
      </x:c>
      <x:c r="C121" s="24" t="str">
        <x:v>EEZ</x:v>
      </x:c>
      <x:c r="D121" s="30" t="n">
        <x:v>2019</x:v>
      </x:c>
      <x:c r="E121" s="24" t="str">
        <x:v>Tetrapturus belone</x:v>
      </x:c>
      <x:c r="F121" s="24" t="str">
        <x:v>Mediterranean spearfish</x:v>
      </x:c>
      <x:c r="G121" s="24" t="str">
        <x:v>Large pelagics (&gt;=90 cm)</x:v>
      </x:c>
      <x:c r="H121" s="24" t="str">
        <x:v>Tuna &amp; billfishes</x:v>
      </x:c>
      <x:c r="I121" s="31" t="n">
        <x:v>2.4612544386999997</x:v>
      </x:c>
      <x:c r="J121" s="31" t="n">
        <x:v>2.4612544386999997</x:v>
      </x:c>
      <x:c r="K121" s="31" t="n">
        <x:v>0</x:v>
      </x:c>
      <x:c r="L121" s="31" t="n">
        <x:v>2.4612544386999997</x:v>
      </x:c>
      <x:c r="M121" s="31" t="n">
        <x:v>0</x:v>
      </x:c>
      <x:c r="N121" s="24" t="str">
        <x:v>tetrapturus belone</x:v>
      </x:c>
      <x:c r="O121" s="32" t="n">
        <x:v>4.5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Tetrapturus belone</x:v>
      </x:c>
      <x:c r="T121" s="32" t="n">
        <x:f>IF(O121="","",(1/'Metadata'!$B$5)^(O121-1))</x:f>
        <x:v>3162.2776601683795</x:v>
      </x:c>
      <x:c r="U121" s="31" t="n">
        <x:f>IF(T121="","",I121*T121)</x:f>
        <x:v>7783.1699274912735</x:v>
      </x:c>
    </x:row>
    <x:row r="122" ht="18" customHeight="1">
      <x:c r="A122" s="24" t="str">
        <x:v>EEZ_902</x:v>
      </x:c>
      <x:c r="B122" s="24" t="str">
        <x:v>Sardinia (Italy)</x:v>
      </x:c>
      <x:c r="C122" s="24" t="str">
        <x:v>EEZ</x:v>
      </x:c>
      <x:c r="D122" s="30" t="n">
        <x:v>2019</x:v>
      </x:c>
      <x:c r="E122" s="24" t="str">
        <x:v>Paracentrotus lividus</x:v>
      </x:c>
      <x:c r="F122" s="24" t="str">
        <x:v>Stony sea urchin</x:v>
      </x:c>
      <x:c r="G122" s="24" t="str">
        <x:v>Other demersal invertebrates</x:v>
      </x:c>
      <x:c r="H122" s="24" t="str">
        <x:v>Other fishes &amp; inverts</x:v>
      </x:c>
      <x:c r="I122" s="31" t="n">
        <x:v>2.233728878</x:v>
      </x:c>
      <x:c r="J122" s="31" t="n">
        <x:v>2.233728878</x:v>
      </x:c>
      <x:c r="K122" s="31" t="n">
        <x:v>0</x:v>
      </x:c>
      <x:c r="L122" s="31" t="n">
        <x:v>1.438493536</x:v>
      </x:c>
      <x:c r="M122" s="31" t="n">
        <x:v>0.795235342</x:v>
      </x:c>
      <x:c r="N122" s="24" t="str">
        <x:v>paracentrotus lividus</x:v>
      </x:c>
      <x:c r="O122" s="32" t="n">
        <x:v>2.3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Paracentrotus lividus</x:v>
      </x:c>
      <x:c r="T122" s="32" t="n">
        <x:f>IF(O122="","",(1/'Metadata'!$B$5)^(O122-1))</x:f>
        <x:v>19.952623149688787</x:v>
      </x:c>
      <x:c r="U122" s="31" t="n">
        <x:f>IF(T122="","",I122*T122)</x:f>
        <x:v>44.56875052131116</x:v>
      </x:c>
    </x:row>
    <x:row r="123" ht="18" customHeight="1">
      <x:c r="A123" s="24" t="str">
        <x:v>EEZ_902</x:v>
      </x:c>
      <x:c r="B123" s="24" t="str">
        <x:v>Sardinia (Italy)</x:v>
      </x:c>
      <x:c r="C123" s="24" t="str">
        <x:v>EEZ</x:v>
      </x:c>
      <x:c r="D123" s="30" t="n">
        <x:v>2019</x:v>
      </x:c>
      <x:c r="E123" s="24" t="str">
        <x:v>Squilla mantis</x:v>
      </x:c>
      <x:c r="F123" s="24" t="str">
        <x:v>Spottail mantis squillid</x:v>
      </x:c>
      <x:c r="G123" s="24" t="str">
        <x:v>Shrimps</x:v>
      </x:c>
      <x:c r="H123" s="24" t="str">
        <x:v>Crustaceans</x:v>
      </x:c>
      <x:c r="I123" s="31" t="n">
        <x:v>2.072778554</x:v>
      </x:c>
      <x:c r="J123" s="31" t="n">
        <x:v>2.072778554</x:v>
      </x:c>
      <x:c r="K123" s="31" t="n">
        <x:v>0</x:v>
      </x:c>
      <x:c r="L123" s="31" t="n">
        <x:v>1.789968613</x:v>
      </x:c>
      <x:c r="M123" s="31" t="n">
        <x:v>0.28280994099999995</x:v>
      </x:c>
      <x:c r="N123" s="24" t="str">
        <x:v>squilla mantis</x:v>
      </x:c>
      <x:c r="O123" s="32" t="n">
        <x:v>3.62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Squilla mantis</x:v>
      </x:c>
      <x:c r="T123" s="32" t="n">
        <x:f>IF(O123="","",(1/'Metadata'!$B$5)^(O123-1))</x:f>
        <x:v>416.8693834703355</x:v>
      </x:c>
      <x:c r="U123" s="31" t="n">
        <x:f>IF(T123="","",I123*T123)</x:f>
        <x:v>864.0779178765135</x:v>
      </x:c>
    </x:row>
    <x:row r="124" ht="18" customHeight="1">
      <x:c r="A124" s="24" t="str">
        <x:v>EEZ_902</x:v>
      </x:c>
      <x:c r="B124" s="24" t="str">
        <x:v>Sardinia (Italy)</x:v>
      </x:c>
      <x:c r="C124" s="24" t="str">
        <x:v>EEZ</x:v>
      </x:c>
      <x:c r="D124" s="30" t="n">
        <x:v>2019</x:v>
      </x:c>
      <x:c r="E124" s="24" t="str">
        <x:v>Trigla lyra</x:v>
      </x:c>
      <x:c r="F124" s="24" t="str">
        <x:v>Piper gurnard</x:v>
      </x:c>
      <x:c r="G124" s="24" t="str">
        <x:v>Medium bathydemersals (30 - 89 cm)</x:v>
      </x:c>
      <x:c r="H124" s="24" t="str">
        <x:v>Scorpionfishes</x:v>
      </x:c>
      <x:c r="I124" s="31" t="n">
        <x:v>1.598838272</x:v>
      </x:c>
      <x:c r="J124" s="31" t="n">
        <x:v>1.598838272</x:v>
      </x:c>
      <x:c r="K124" s="31" t="n">
        <x:v>0</x:v>
      </x:c>
      <x:c r="L124" s="31" t="n">
        <x:v>1.297762969</x:v>
      </x:c>
      <x:c r="M124" s="31" t="n">
        <x:v>0.30107530299999996</x:v>
      </x:c>
      <x:c r="N124" s="24" t="str">
        <x:v>trigla lyra</x:v>
      </x:c>
      <x:c r="O124" s="32" t="n">
        <x:v>3.65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Trigla lyra</x:v>
      </x:c>
      <x:c r="T124" s="32" t="n">
        <x:f>IF(O124="","",(1/'Metadata'!$B$5)^(O124-1))</x:f>
        <x:v>446.683592150963</x:v>
      </x:c>
      <x:c r="U124" s="31" t="n">
        <x:f>IF(T124="","",I124*T124)</x:f>
        <x:v>714.1748226053985</x:v>
      </x:c>
    </x:row>
    <x:row r="125" ht="18" customHeight="1">
      <x:c r="A125" s="24" t="str">
        <x:v>EEZ_902</x:v>
      </x:c>
      <x:c r="B125" s="24" t="str">
        <x:v>Sardinia (Italy)</x:v>
      </x:c>
      <x:c r="C125" s="24" t="str">
        <x:v>EEZ</x:v>
      </x:c>
      <x:c r="D125" s="30" t="n">
        <x:v>2019</x:v>
      </x:c>
      <x:c r="E125" s="24" t="str">
        <x:v>Chelidonichthys cuculus</x:v>
      </x:c>
      <x:c r="F125" s="24" t="str">
        <x:v>Red gurnard</x:v>
      </x:c>
      <x:c r="G125" s="24" t="str">
        <x:v>Medium demersals (30 - 89 cm)</x:v>
      </x:c>
      <x:c r="H125" s="24" t="str">
        <x:v>Scorpionfishes</x:v>
      </x:c>
      <x:c r="I125" s="31" t="n">
        <x:v>1.3097479440000002</x:v>
      </x:c>
      <x:c r="J125" s="31" t="n">
        <x:v>1.3097479440000002</x:v>
      </x:c>
      <x:c r="K125" s="31" t="n">
        <x:v>0</x:v>
      </x:c>
      <x:c r="L125" s="31" t="n">
        <x:v>0</x:v>
      </x:c>
      <x:c r="M125" s="31" t="n">
        <x:v>1.3097479440000002</x:v>
      </x:c>
      <x:c r="N125" s="24" t="str">
        <x:v>chelidonichthys cuculus</x:v>
      </x:c>
      <x:c r="O125" s="32" t="n">
        <x:v>3.81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Chelidonichthys cuculus</x:v>
      </x:c>
      <x:c r="T125" s="32" t="n">
        <x:f>IF(O125="","",(1/'Metadata'!$B$5)^(O125-1))</x:f>
        <x:v>645.6542290346556</x:v>
      </x:c>
      <x:c r="U125" s="31" t="n">
        <x:f>IF(T125="","",I125*T125)</x:f>
        <x:v>845.6442990130454</x:v>
      </x:c>
    </x:row>
    <x:row r="126" ht="18" customHeight="1">
      <x:c r="A126" s="24" t="str">
        <x:v>EEZ_902</x:v>
      </x:c>
      <x:c r="B126" s="24" t="str">
        <x:v>Sardinia (Italy)</x:v>
      </x:c>
      <x:c r="C126" s="24" t="str">
        <x:v>EEZ</x:v>
      </x:c>
      <x:c r="D126" s="30" t="n">
        <x:v>2019</x:v>
      </x:c>
      <x:c r="E126" s="24" t="str">
        <x:v>Crangon crangon</x:v>
      </x:c>
      <x:c r="F126" s="24" t="str">
        <x:v>Common shrimp</x:v>
      </x:c>
      <x:c r="G126" s="24" t="str">
        <x:v>Shrimps</x:v>
      </x:c>
      <x:c r="H126" s="24" t="str">
        <x:v>Crustaceans</x:v>
      </x:c>
      <x:c r="I126" s="31" t="n">
        <x:v>1.267754337</x:v>
      </x:c>
      <x:c r="J126" s="31" t="n">
        <x:v>1.267754337</x:v>
      </x:c>
      <x:c r="K126" s="31" t="n">
        <x:v>0</x:v>
      </x:c>
      <x:c r="L126" s="31" t="n">
        <x:v>1.267754337</x:v>
      </x:c>
      <x:c r="M126" s="31" t="n">
        <x:v>0</x:v>
      </x:c>
      <x:c r="N126" s="24" t="str">
        <x:v>crangon crangon</x:v>
      </x:c>
      <x:c r="O126" s="32" t="n">
        <x:v>3.19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Crangon crangon</x:v>
      </x:c>
      <x:c r="T126" s="32" t="n">
        <x:f>IF(O126="","",(1/'Metadata'!$B$5)^(O126-1))</x:f>
        <x:v>154.88166189124811</x:v>
      </x:c>
      <x:c r="U126" s="31" t="n">
        <x:f>IF(T126="","",I126*T126)</x:f>
        <x:v>196.35189858439742</x:v>
      </x:c>
    </x:row>
    <x:row r="127" ht="18" customHeight="1">
      <x:c r="A127" s="24" t="str">
        <x:v>EEZ_902</x:v>
      </x:c>
      <x:c r="B127" s="24" t="str">
        <x:v>Sardinia (Italy)</x:v>
      </x:c>
      <x:c r="C127" s="24" t="str">
        <x:v>EEZ</x:v>
      </x:c>
      <x:c r="D127" s="30" t="n">
        <x:v>2019</x:v>
      </x:c>
      <x:c r="E127" s="24" t="str">
        <x:v>Gymnothorax unicolor</x:v>
      </x:c>
      <x:c r="F127" s="24" t="str">
        <x:v>Brown moray</x:v>
      </x:c>
      <x:c r="G127" s="24" t="str">
        <x:v>Medium demersals (30 - 89 cm)</x:v>
      </x:c>
      <x:c r="H127" s="24" t="str">
        <x:v>Other fishes &amp; inverts</x:v>
      </x:c>
      <x:c r="I127" s="31" t="n">
        <x:v>0.940989077</x:v>
      </x:c>
      <x:c r="J127" s="31" t="n">
        <x:v>0.940989077</x:v>
      </x:c>
      <x:c r="K127" s="31" t="n">
        <x:v>0</x:v>
      </x:c>
      <x:c r="L127" s="31" t="n">
        <x:v>0.789035814</x:v>
      </x:c>
      <x:c r="M127" s="31" t="n">
        <x:v>0.15195326299999998</x:v>
      </x:c>
      <x:c r="N127" s="24" t="str">
        <x:v>gymnothorax unicolor</x:v>
      </x:c>
      <x:c r="O127" s="32" t="n">
        <x:v>3.44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Gymnothorax unicolor</x:v>
      </x:c>
      <x:c r="T127" s="32" t="n">
        <x:f>IF(O127="","",(1/'Metadata'!$B$5)^(O127-1))</x:f>
        <x:v>275.4228703338166</x:v>
      </x:c>
      <x:c r="U127" s="31" t="n">
        <x:f>IF(T127="","",I127*T127)</x:f>
        <x:v>259.1699125401088</x:v>
      </x:c>
    </x:row>
    <x:row r="128" ht="18" customHeight="1">
      <x:c r="A128" s="24" t="str">
        <x:v>EEZ_902</x:v>
      </x:c>
      <x:c r="B128" s="24" t="str">
        <x:v>Sardinia (Italy)</x:v>
      </x:c>
      <x:c r="C128" s="24" t="str">
        <x:v>EEZ</x:v>
      </x:c>
      <x:c r="D128" s="30" t="n">
        <x:v>2019</x:v>
      </x:c>
      <x:c r="E128" s="24" t="str">
        <x:v>Trisopterus minutus</x:v>
      </x:c>
      <x:c r="F128" s="24" t="str">
        <x:v>Poor cod</x:v>
      </x:c>
      <x:c r="G128" s="24" t="str">
        <x:v>Medium benthopelagics (30 - 89 cm)</x:v>
      </x:c>
      <x:c r="H128" s="24" t="str">
        <x:v>Cod-likes</x:v>
      </x:c>
      <x:c r="I128" s="31" t="n">
        <x:v>0.740669738</x:v>
      </x:c>
      <x:c r="J128" s="31" t="n">
        <x:v>0.740669738</x:v>
      </x:c>
      <x:c r="K128" s="31" t="n">
        <x:v>0</x:v>
      </x:c>
      <x:c r="L128" s="31" t="n">
        <x:v>0.604736404</x:v>
      </x:c>
      <x:c r="M128" s="31" t="n">
        <x:v>0.13593333400000002</x:v>
      </x:c>
      <x:c r="N128" s="24" t="str">
        <x:v>trisopterus minutus</x:v>
      </x:c>
      <x:c r="O128" s="32" t="n">
        <x:v>3.73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Trisopterus minutus</x:v>
      </x:c>
      <x:c r="T128" s="32" t="n">
        <x:f>IF(O128="","",(1/'Metadata'!$B$5)^(O128-1))</x:f>
        <x:v>537.0317963702527</x:v>
      </x:c>
      <x:c r="U128" s="31" t="n">
        <x:f>IF(T128="","",I128*T128)</x:f>
        <x:v>397.7631999152244</x:v>
      </x:c>
    </x:row>
    <x:row r="129" ht="18" customHeight="1">
      <x:c r="A129" s="24" t="str">
        <x:v>EEZ_902</x:v>
      </x:c>
      <x:c r="B129" s="24" t="str">
        <x:v>Sardinia (Italy)</x:v>
      </x:c>
      <x:c r="C129" s="24" t="str">
        <x:v>EEZ</x:v>
      </x:c>
      <x:c r="D129" s="30" t="n">
        <x:v>2019</x:v>
      </x:c>
      <x:c r="E129" s="24" t="str">
        <x:v>Squalidae</x:v>
      </x:c>
      <x:c r="F129" s="24" t="str">
        <x:v>Dogfish sharks</x:v>
      </x:c>
      <x:c r="G129" s="24" t="str">
        <x:v>Large sharks (&gt;=90 cm)</x:v>
      </x:c>
      <x:c r="H129" s="24" t="str">
        <x:v>Sharks &amp; rays</x:v>
      </x:c>
      <x:c r="I129" s="31" t="n">
        <x:v>0.448307354</x:v>
      </x:c>
      <x:c r="J129" s="31" t="n">
        <x:v>0.448307354</x:v>
      </x:c>
      <x:c r="K129" s="31" t="n">
        <x:v>0</x:v>
      </x:c>
      <x:c r="L129" s="31" t="n">
        <x:v>0</x:v>
      </x:c>
      <x:c r="M129" s="31" t="n">
        <x:v>0.448307354</x:v>
      </x:c>
      <x:c r="N129" s="24" t="str">
        <x:v>squalidae</x:v>
      </x:c>
      <x:c r="O129" s="32" t="n">
        <x:v>4.23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Squalidae</x:v>
      </x:c>
      <x:c r="T129" s="32" t="n">
        <x:f>IF(O129="","",(1/'Metadata'!$B$5)^(O129-1))</x:f>
        <x:v>1698.243652461746</x:v>
      </x:c>
      <x:c r="U129" s="31" t="n">
        <x:f>IF(T129="","",I129*T129)</x:f>
        <x:v>761.3351182824209</x:v>
      </x:c>
    </x:row>
    <x:row r="130" ht="18" customHeight="1">
      <x:c r="A130" s="24" t="str">
        <x:v>EEZ_902</x:v>
      </x:c>
      <x:c r="B130" s="24" t="str">
        <x:v>Sardinia (Italy)</x:v>
      </x:c>
      <x:c r="C130" s="24" t="str">
        <x:v>EEZ</x:v>
      </x:c>
      <x:c r="D130" s="30" t="n">
        <x:v>2019</x:v>
      </x:c>
      <x:c r="E130" s="24" t="str">
        <x:v>Illex coindetii</x:v>
      </x:c>
      <x:c r="F130" s="24" t="str">
        <x:v>Broadtail shortfin squid</x:v>
      </x:c>
      <x:c r="G130" s="24" t="str">
        <x:v>Cephalopods</x:v>
      </x:c>
      <x:c r="H130" s="24" t="str">
        <x:v>Other fishes &amp; inverts</x:v>
      </x:c>
      <x:c r="I130" s="31" t="n">
        <x:v>0.29409730900000003</x:v>
      </x:c>
      <x:c r="J130" s="31" t="n">
        <x:v>0.29409730900000003</x:v>
      </x:c>
      <x:c r="K130" s="31" t="n">
        <x:v>0</x:v>
      </x:c>
      <x:c r="L130" s="31" t="n">
        <x:v>0</x:v>
      </x:c>
      <x:c r="M130" s="31" t="n">
        <x:v>0.29409730900000003</x:v>
      </x:c>
      <x:c r="N130" s="24" t="str">
        <x:v>illex coindetii</x:v>
      </x:c>
      <x:c r="O130" s="32" t="n">
        <x:v>4.11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Illex coindetii</x:v>
      </x:c>
      <x:c r="T130" s="32" t="n">
        <x:f>IF(O130="","",(1/'Metadata'!$B$5)^(O130-1))</x:f>
        <x:v>1288.249551693135</x:v>
      </x:c>
      <x:c r="U130" s="31" t="n">
        <x:f>IF(T130="","",I130*T130)</x:f>
        <x:v>378.8707264734074</x:v>
      </x:c>
    </x:row>
    <x:row r="131" ht="18" customHeight="1">
      <x:c r="A131" s="24" t="str">
        <x:v>EEZ_902</x:v>
      </x:c>
      <x:c r="B131" s="24" t="str">
        <x:v>Sardinia (Italy)</x:v>
      </x:c>
      <x:c r="C131" s="24" t="str">
        <x:v>EEZ</x:v>
      </x:c>
      <x:c r="D131" s="30" t="n">
        <x:v>2019</x:v>
      </x:c>
      <x:c r="E131" s="24" t="str">
        <x:v>Istiophorus albicans</x:v>
      </x:c>
      <x:c r="F131" s="24" t="str">
        <x:v>Atlantic sailfish</x:v>
      </x:c>
      <x:c r="G131" s="24" t="str">
        <x:v>Large pelagics (&gt;=90 cm)</x:v>
      </x:c>
      <x:c r="H131" s="24" t="str">
        <x:v>Tuna &amp; billfishes</x:v>
      </x:c>
      <x:c r="I131" s="31" t="n">
        <x:v>0.2348402087</x:v>
      </x:c>
      <x:c r="J131" s="31" t="n">
        <x:v>0.2348402087</x:v>
      </x:c>
      <x:c r="K131" s="31" t="n">
        <x:v>0</x:v>
      </x:c>
      <x:c r="L131" s="31" t="n">
        <x:v>0.2348402087</x:v>
      </x:c>
      <x:c r="M131" s="31" t="n">
        <x:v>0</x:v>
      </x:c>
      <x:c r="N131" s="24" t="str">
        <x:v>istiophorus albicans</x:v>
      </x:c>
      <x:c r="O131" s="32" t="n">
        <x:v>4.5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Istiophorus albicans</x:v>
      </x:c>
      <x:c r="T131" s="32" t="n">
        <x:f>IF(O131="","",(1/'Metadata'!$B$5)^(O131-1))</x:f>
        <x:v>3162.2776601683795</x:v>
      </x:c>
      <x:c r="U131" s="31" t="n">
        <x:f>IF(T131="","",I131*T131)</x:f>
        <x:v>742.6299456812899</x:v>
      </x:c>
    </x:row>
    <x:row r="132" ht="18" customHeight="1">
      <x:c r="A132" s="24" t="str">
        <x:v>EEZ_902</x:v>
      </x:c>
      <x:c r="B132" s="24" t="str">
        <x:v>Sardinia (Italy)</x:v>
      </x:c>
      <x:c r="C132" s="24" t="str">
        <x:v>EEZ</x:v>
      </x:c>
      <x:c r="D132" s="30" t="n">
        <x:v>2019</x:v>
      </x:c>
      <x:c r="E132" s="24" t="str">
        <x:v>Makaira nigricans</x:v>
      </x:c>
      <x:c r="F132" s="24" t="str">
        <x:v>Blue marlin</x:v>
      </x:c>
      <x:c r="G132" s="24" t="str">
        <x:v>Large pelagics (&gt;=90 cm)</x:v>
      </x:c>
      <x:c r="H132" s="24" t="str">
        <x:v>Tuna &amp; billfishes</x:v>
      </x:c>
      <x:c r="I132" s="31" t="n">
        <x:v>0.1524033201</x:v>
      </x:c>
      <x:c r="J132" s="31" t="n">
        <x:v>0.1524033201</x:v>
      </x:c>
      <x:c r="K132" s="31" t="n">
        <x:v>0</x:v>
      </x:c>
      <x:c r="L132" s="31" t="n">
        <x:v>0.1524033201</x:v>
      </x:c>
      <x:c r="M132" s="31" t="n">
        <x:v>0</x:v>
      </x:c>
      <x:c r="N132" s="24" t="str">
        <x:v>makaira nigricans</x:v>
      </x:c>
      <x:c r="O132" s="32" t="n">
        <x:v>4.49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Makaira nigricans</x:v>
      </x:c>
      <x:c r="T132" s="32" t="n">
        <x:f>IF(O132="","",(1/'Metadata'!$B$5)^(O132-1))</x:f>
        <x:v>3090.295432513592</x:v>
      </x:c>
      <x:c r="U132" s="31" t="n">
        <x:f>IF(T132="","",I132*T132)</x:f>
        <x:v>470.9712840049369</x:v>
      </x:c>
    </x:row>
    <x:row r="133" ht="18" customHeight="1">
      <x:c r="A133" s="24" t="str">
        <x:v>EEZ_902</x:v>
      </x:c>
      <x:c r="B133" s="24" t="str">
        <x:v>Sardinia (Italy)</x:v>
      </x:c>
      <x:c r="C133" s="24" t="str">
        <x:v>EEZ</x:v>
      </x:c>
      <x:c r="D133" s="30" t="n">
        <x:v>2019</x:v>
      </x:c>
      <x:c r="E133" s="24" t="str">
        <x:v>Kajikia albida</x:v>
      </x:c>
      <x:c r="F133" s="24" t="str">
        <x:v>Atlantic white marlin</x:v>
      </x:c>
      <x:c r="G133" s="24" t="str">
        <x:v>Large pelagics (&gt;=90 cm)</x:v>
      </x:c>
      <x:c r="H133" s="24" t="str">
        <x:v>Tuna &amp; billfishes</x:v>
      </x:c>
      <x:c r="I133" s="31" t="n">
        <x:v>0.1143827386</x:v>
      </x:c>
      <x:c r="J133" s="31" t="n">
        <x:v>0.1143827386</x:v>
      </x:c>
      <x:c r="K133" s="31" t="n">
        <x:v>0</x:v>
      </x:c>
      <x:c r="L133" s="31" t="n">
        <x:v>0.1143827386</x:v>
      </x:c>
      <x:c r="M133" s="31" t="n">
        <x:v>0</x:v>
      </x:c>
      <x:c r="N133" s="24" t="str">
        <x:v>kajikia albida</x:v>
      </x:c>
      <x:c r="O133" s="32" t="n">
        <x:v>4.49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Kajikia albida</x:v>
      </x:c>
      <x:c r="T133" s="32" t="n">
        <x:f>IF(O133="","",(1/'Metadata'!$B$5)^(O133-1))</x:f>
        <x:v>3090.295432513592</x:v>
      </x:c>
      <x:c r="U133" s="31" t="n">
        <x:f>IF(T133="","",I133*T133)</x:f>
        <x:v>353.47645465397613</x:v>
      </x:c>
    </x:row>
    <x:row r="134" ht="18" customHeight="1">
      <x:c r="A134" s="24" t="str">
        <x:v>EEZ_902</x:v>
      </x:c>
      <x:c r="B134" s="24" t="str">
        <x:v>Sardinia (Italy)</x:v>
      </x:c>
      <x:c r="C134" s="24" t="str">
        <x:v>EEZ</x:v>
      </x:c>
      <x:c r="D134" s="30" t="n">
        <x:v>2019</x:v>
      </x:c>
      <x:c r="E134" s="24" t="str">
        <x:v>Centracanthus cirrus</x:v>
      </x:c>
      <x:c r="F134" s="24" t="str">
        <x:v>Curled picarel</x:v>
      </x:c>
      <x:c r="G134" s="24" t="str">
        <x:v>Medium benthopelagics (30 - 89 cm)</x:v>
      </x:c>
      <x:c r="H134" s="24" t="str">
        <x:v>Perch-likes</x:v>
      </x:c>
      <x:c r="I134" s="31" t="n">
        <x:v>0.113865829</x:v>
      </x:c>
      <x:c r="J134" s="31" t="n">
        <x:v>0.113865829</x:v>
      </x:c>
      <x:c r="K134" s="31" t="n">
        <x:v>0</x:v>
      </x:c>
      <x:c r="L134" s="31" t="n">
        <x:v>0</x:v>
      </x:c>
      <x:c r="M134" s="31" t="n">
        <x:v>0.113865829</x:v>
      </x:c>
      <x:c r="N134" s="24" t="str">
        <x:v>centracanthus cirrus</x:v>
      </x:c>
      <x:c r="O134" s="32" t="n">
        <x:v>3.4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Centracanthus cirrus</x:v>
      </x:c>
      <x:c r="T134" s="32" t="n">
        <x:f>IF(O134="","",(1/'Metadata'!$B$5)^(O134-1))</x:f>
        <x:v>251.18864315095797</x:v>
      </x:c>
      <x:c r="U134" s="31" t="n">
        <x:f>IF(T134="","",I134*T134)</x:f>
        <x:v>28.601803087769003</x:v>
      </x:c>
    </x:row>
    <x:row r="135" ht="18" customHeight="1">
      <x:c r="A135" s="24" t="str">
        <x:v>EEZ_902</x:v>
      </x:c>
      <x:c r="B135" s="24" t="str">
        <x:v>Sardinia (Italy)</x:v>
      </x:c>
      <x:c r="C135" s="24" t="str">
        <x:v>EEZ</x:v>
      </x:c>
      <x:c r="D135" s="30" t="n">
        <x:v>2019</x:v>
      </x:c>
      <x:c r="E135" s="24" t="str">
        <x:v>Solea solea</x:v>
      </x:c>
      <x:c r="F135" s="24" t="str">
        <x:v>Common sole</x:v>
      </x:c>
      <x:c r="G135" s="24" t="str">
        <x:v>Small to medium flatfishes (&lt;90 cm)</x:v>
      </x:c>
      <x:c r="H135" s="24" t="str">
        <x:v>Flatfishes</x:v>
      </x:c>
      <x:c r="I135" s="31" t="n">
        <x:v>0.107740158</x:v>
      </x:c>
      <x:c r="J135" s="31" t="n">
        <x:v>0.107740158</x:v>
      </x:c>
      <x:c r="K135" s="31" t="n">
        <x:v>0</x:v>
      </x:c>
      <x:c r="L135" s="31" t="n">
        <x:v>0</x:v>
      </x:c>
      <x:c r="M135" s="31" t="n">
        <x:v>0.107740158</x:v>
      </x:c>
      <x:c r="N135" s="24" t="str">
        <x:v>solea solea</x:v>
      </x:c>
      <x:c r="O135" s="32" t="n">
        <x:v>3.21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Solea solea</x:v>
      </x:c>
      <x:c r="T135" s="32" t="n">
        <x:f>IF(O135="","",(1/'Metadata'!$B$5)^(O135-1))</x:f>
        <x:v>162.18100973589299</x:v>
      </x:c>
      <x:c r="U135" s="31" t="n">
        <x:f>IF(T135="","",I135*T135)</x:f>
        <x:v>17.473407613544648</x:v>
      </x:c>
    </x:row>
    <x:row r="136" ht="18" customHeight="1">
      <x:c r="A136" s="24" t="str">
        <x:v>EEZ_902</x:v>
      </x:c>
      <x:c r="B136" s="24" t="str">
        <x:v>Sardinia (Italy)</x:v>
      </x:c>
      <x:c r="C136" s="24" t="str">
        <x:v>EEZ</x:v>
      </x:c>
      <x:c r="D136" s="30" t="n">
        <x:v>2019</x:v>
      </x:c>
      <x:c r="E136" s="24" t="str">
        <x:v>Galeus melastomus</x:v>
      </x:c>
      <x:c r="F136" s="24" t="str">
        <x:v>Blackmouth catshark</x:v>
      </x:c>
      <x:c r="G136" s="24" t="str">
        <x:v>Small to medium sharks (&lt;90 cm)</x:v>
      </x:c>
      <x:c r="H136" s="24" t="str">
        <x:v>Sharks &amp; rays</x:v>
      </x:c>
      <x:c r="I136" s="31" t="n">
        <x:v>0.090061745</x:v>
      </x:c>
      <x:c r="J136" s="31" t="n">
        <x:v>0.090061745</x:v>
      </x:c>
      <x:c r="K136" s="31" t="n">
        <x:v>0</x:v>
      </x:c>
      <x:c r="L136" s="31" t="n">
        <x:v>0</x:v>
      </x:c>
      <x:c r="M136" s="31" t="n">
        <x:v>0.090061745</x:v>
      </x:c>
      <x:c r="N136" s="24" t="str">
        <x:v>galeus melastomus</x:v>
      </x:c>
      <x:c r="O136" s="32" t="n">
        <x:v>4.17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Galeus melastomus</x:v>
      </x:c>
      <x:c r="T136" s="32" t="n">
        <x:f>IF(O136="","",(1/'Metadata'!$B$5)^(O136-1))</x:f>
        <x:v>1479.1083881682073</x:v>
      </x:c>
      <x:c r="U136" s="31" t="n">
        <x:f>IF(T136="","",I136*T136)</x:f>
        <x:v>133.2110824825661</x:v>
      </x:c>
    </x:row>
    <x:row r="137" ht="18" customHeight="1">
      <x:c r="A137" s="24" t="str">
        <x:v>EEZ_902</x:v>
      </x:c>
      <x:c r="B137" s="24" t="str">
        <x:v>Sardinia (Italy)</x:v>
      </x:c>
      <x:c r="C137" s="24" t="str">
        <x:v>EEZ</x:v>
      </x:c>
      <x:c r="D137" s="30" t="n">
        <x:v>2019</x:v>
      </x:c>
      <x:c r="E137" s="24" t="str">
        <x:v>Mollusca</x:v>
      </x:c>
      <x:c r="F137" s="24" t="str">
        <x:v>Clams, seasnails, squids, octopuses</x:v>
      </x:c>
      <x:c r="G137" s="24" t="str">
        <x:v>Other demersal invertebrates</x:v>
      </x:c>
      <x:c r="H137" s="24" t="str">
        <x:v>Molluscs</x:v>
      </x:c>
      <x:c r="I137" s="31" t="n">
        <x:v>0.08000155</x:v>
      </x:c>
      <x:c r="J137" s="31" t="n">
        <x:v>0.08000155</x:v>
      </x:c>
      <x:c r="K137" s="31" t="n">
        <x:v>0</x:v>
      </x:c>
      <x:c r="L137" s="31" t="n">
        <x:v>0</x:v>
      </x:c>
      <x:c r="M137" s="31" t="n">
        <x:v>0.08000155</x:v>
      </x:c>
      <x:c r="N137" s="24" t="str">
        <x:v>mollusca</x:v>
      </x:c>
      <x:c r="O137" s="32" t="n">
        <x:v>2.1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Mollusca</x:v>
      </x:c>
      <x:c r="T137" s="32" t="n">
        <x:f>IF(O137="","",(1/'Metadata'!$B$5)^(O137-1))</x:f>
        <x:v>12.589254117941675</x:v>
      </x:c>
      <x:c r="U137" s="31" t="n">
        <x:f>IF(T137="","",I137*T137)</x:f>
        <x:v>1.0071598427792168</x:v>
      </x:c>
    </x:row>
    <x:row r="138" ht="18" customHeight="1">
      <x:c r="A138" s="24" t="str">
        <x:v>EEZ_902</x:v>
      </x:c>
      <x:c r="B138" s="24" t="str">
        <x:v>Sardinia (Italy)</x:v>
      </x:c>
      <x:c r="C138" s="24" t="str">
        <x:v>EEZ</x:v>
      </x:c>
      <x:c r="D138" s="30" t="n">
        <x:v>2019</x:v>
      </x:c>
      <x:c r="E138" s="24" t="str">
        <x:v>Alopias vulpinus</x:v>
      </x:c>
      <x:c r="F138" s="24" t="str">
        <x:v>Thresher</x:v>
      </x:c>
      <x:c r="G138" s="24" t="str">
        <x:v>Large sharks (&gt;=90 cm)</x:v>
      </x:c>
      <x:c r="H138" s="24" t="str">
        <x:v>Sharks &amp; rays</x:v>
      </x:c>
      <x:c r="I138" s="31" t="n">
        <x:v>0.0461615858</x:v>
      </x:c>
      <x:c r="J138" s="31" t="n">
        <x:v>0.0461615858</x:v>
      </x:c>
      <x:c r="K138" s="31" t="n">
        <x:v>0</x:v>
      </x:c>
      <x:c r="L138" s="31" t="n">
        <x:v>0.020143752799999998</x:v>
      </x:c>
      <x:c r="M138" s="31" t="n">
        <x:v>0.026017833</x:v>
      </x:c>
      <x:c r="N138" s="24" t="str">
        <x:v>alopias vulpinus</x:v>
      </x:c>
      <x:c r="O138" s="32" t="n">
        <x:v>4.5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Alopias vulpinus</x:v>
      </x:c>
      <x:c r="T138" s="32" t="n">
        <x:f>IF(O138="","",(1/'Metadata'!$B$5)^(O138-1))</x:f>
        <x:v>3162.2776601683795</x:v>
      </x:c>
      <x:c r="U138" s="31" t="n">
        <x:f>IF(T138="","",I138*T138)</x:f>
        <x:v>145.9757515332859</x:v>
      </x:c>
    </x:row>
    <x:row r="139" ht="18" customHeight="1">
      <x:c r="A139" s="24" t="str">
        <x:v>EEZ_902</x:v>
      </x:c>
      <x:c r="B139" s="24" t="str">
        <x:v>Sardinia (Italy)</x:v>
      </x:c>
      <x:c r="C139" s="24" t="str">
        <x:v>EEZ</x:v>
      </x:c>
      <x:c r="D139" s="30" t="n">
        <x:v>2019</x:v>
      </x:c>
      <x:c r="E139" s="24" t="str">
        <x:v>Alloteuthis</x:v>
      </x:c>
      <x:c r="F139" s="24" t="str">
        <x:v>Atlantic common squids</x:v>
      </x:c>
      <x:c r="G139" s="24" t="str">
        <x:v>Cephalopods</x:v>
      </x:c>
      <x:c r="H139" s="24" t="str">
        <x:v>Other fishes &amp; inverts</x:v>
      </x:c>
      <x:c r="I139" s="31" t="n">
        <x:v>0.031439292</x:v>
      </x:c>
      <x:c r="J139" s="31" t="n">
        <x:v>0.031439292</x:v>
      </x:c>
      <x:c r="K139" s="31" t="n">
        <x:v>0</x:v>
      </x:c>
      <x:c r="L139" s="31" t="n">
        <x:v>0</x:v>
      </x:c>
      <x:c r="M139" s="31" t="n">
        <x:v>0.031439292</x:v>
      </x:c>
      <x:c r="N139" s="24" t="str">
        <x:v>alloteuthis</x:v>
      </x:c>
      <x:c r="O139" s="32" t="n">
        <x:v>3.98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Alloteuthis</x:v>
      </x:c>
      <x:c r="T139" s="32" t="n">
        <x:f>IF(O139="","",(1/'Metadata'!$B$5)^(O139-1))</x:f>
        <x:v>954.992586021436</x:v>
      </x:c>
      <x:c r="U139" s="31" t="n">
        <x:f>IF(T139="","",I139*T139)</x:f>
        <x:v>30.024290769763045</x:v>
      </x:c>
    </x:row>
    <x:row r="140" ht="18" customHeight="1">
      <x:c r="A140" s="24" t="str">
        <x:v>EEZ_902</x:v>
      </x:c>
      <x:c r="B140" s="24" t="str">
        <x:v>Sardinia (Italy)</x:v>
      </x:c>
      <x:c r="C140" s="24" t="str">
        <x:v>EEZ</x:v>
      </x:c>
      <x:c r="D140" s="30" t="n">
        <x:v>2019</x:v>
      </x:c>
      <x:c r="E140" s="24" t="str">
        <x:v>Elasmobranchii</x:v>
      </x:c>
      <x:c r="F140" s="24" t="str">
        <x:v>Sharks, rays, skates</x:v>
      </x:c>
      <x:c r="G140" s="24" t="str">
        <x:v>Large sharks (&gt;=90 cm)</x:v>
      </x:c>
      <x:c r="H140" s="24" t="str">
        <x:v>Sharks &amp; rays</x:v>
      </x:c>
      <x:c r="I140" s="31" t="n">
        <x:v>0.020013703</x:v>
      </x:c>
      <x:c r="J140" s="31" t="n">
        <x:v>0.020013703</x:v>
      </x:c>
      <x:c r="K140" s="31" t="n">
        <x:v>0</x:v>
      </x:c>
      <x:c r="L140" s="31" t="n">
        <x:v>0</x:v>
      </x:c>
      <x:c r="M140" s="31" t="n">
        <x:v>0.020013703</x:v>
      </x:c>
      <x:c r="N140" s="24" t="str">
        <x:v>elasmobranchii</x:v>
      </x:c>
      <x:c r="O140" s="32" t="n">
        <x:v>4.05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Elasmobranchii</x:v>
      </x:c>
      <x:c r="T140" s="32" t="n">
        <x:f>IF(O140="","",(1/'Metadata'!$B$5)^(O140-1))</x:f>
        <x:v>1122.018454301963</x:v>
      </x:c>
      <x:c r="U140" s="31" t="n">
        <x:f>IF(T140="","",I140*T140)</x:f>
        <x:v>22.45574410491856</x:v>
      </x:c>
    </x:row>
    <x:row r="141" ht="18" customHeight="1">
      <x:c r="A141" s="24" t="str">
        <x:v>EEZ_902</x:v>
      </x:c>
      <x:c r="B141" s="24" t="str">
        <x:v>Sardinia (Italy)</x:v>
      </x:c>
      <x:c r="C141" s="24" t="str">
        <x:v>EEZ</x:v>
      </x:c>
      <x:c r="D141" s="30" t="n">
        <x:v>2019</x:v>
      </x:c>
      <x:c r="E141" s="24" t="str">
        <x:v>Auxis rochei</x:v>
      </x:c>
      <x:c r="F141" s="24" t="str">
        <x:v>Bullet tuna</x:v>
      </x:c>
      <x:c r="G141" s="24" t="str">
        <x:v>Medium pelagics (30 - 89 cm)</x:v>
      </x:c>
      <x:c r="H141" s="24" t="str">
        <x:v>Tuna &amp; billfishes</x:v>
      </x:c>
      <x:c r="I141" s="31" t="n">
        <x:v>0.0157374854</x:v>
      </x:c>
      <x:c r="J141" s="31" t="n">
        <x:v>0.0157374854</x:v>
      </x:c>
      <x:c r="K141" s="31" t="n">
        <x:v>0</x:v>
      </x:c>
      <x:c r="L141" s="31" t="n">
        <x:v>0.0157374854</x:v>
      </x:c>
      <x:c r="M141" s="31" t="n">
        <x:v>0</x:v>
      </x:c>
      <x:c r="N141" s="24" t="str">
        <x:v>auxis rochei</x:v>
      </x:c>
      <x:c r="O141" s="32" t="n">
        <x:v>4.13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Auxis rochei</x:v>
      </x:c>
      <x:c r="T141" s="32" t="n">
        <x:f>IF(O141="","",(1/'Metadata'!$B$5)^(O141-1))</x:f>
        <x:v>1348.9628825916532</x:v>
      </x:c>
      <x:c r="U141" s="31" t="n">
        <x:f>IF(T141="","",I141*T141)</x:f>
        <x:v>21.22928366992806</x:v>
      </x:c>
    </x:row>
    <x:row r="142" ht="18" customHeight="1">
      <x:c r="A142" s="24" t="str">
        <x:v>EEZ_902</x:v>
      </x:c>
      <x:c r="B142" s="24" t="str">
        <x:v>Sardinia (Italy)</x:v>
      </x:c>
      <x:c r="C142" s="24" t="str">
        <x:v>EEZ</x:v>
      </x:c>
      <x:c r="D142" s="30" t="n">
        <x:v>2019</x:v>
      </x:c>
      <x:c r="E142" s="24" t="str">
        <x:v>Todaropsis eblanae</x:v>
      </x:c>
      <x:c r="F142" s="24" t="str">
        <x:v>Lesser flying squid</x:v>
      </x:c>
      <x:c r="G142" s="24" t="str">
        <x:v>Cephalopods</x:v>
      </x:c>
      <x:c r="H142" s="24" t="str">
        <x:v>Other fishes &amp; inverts</x:v>
      </x:c>
      <x:c r="I142" s="31" t="n">
        <x:v>0.012030367</x:v>
      </x:c>
      <x:c r="J142" s="31" t="n">
        <x:v>0.012030367</x:v>
      </x:c>
      <x:c r="K142" s="31" t="n">
        <x:v>0</x:v>
      </x:c>
      <x:c r="L142" s="31" t="n">
        <x:v>0</x:v>
      </x:c>
      <x:c r="M142" s="31" t="n">
        <x:v>0.012030367</x:v>
      </x:c>
      <x:c r="N142" s="24" t="str">
        <x:v>todaropsis eblanae</x:v>
      </x:c>
      <x:c r="O142" s="32" t="n">
        <x:v>4.25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Todaropsis eblanae</x:v>
      </x:c>
      <x:c r="T142" s="32" t="n">
        <x:f>IF(O142="","",(1/'Metadata'!$B$5)^(O142-1))</x:f>
        <x:v>1778.2794100389228</x:v>
      </x:c>
      <x:c r="U142" s="31" t="n">
        <x:f>IF(T142="","",I142*T142)</x:f>
        <x:v>21.393353931311726</x:v>
      </x:c>
    </x:row>
    <x:row r="143" ht="18" customHeight="1">
      <x:c r="A143" s="24" t="str">
        <x:v>EEZ_902</x:v>
      </x:c>
      <x:c r="B143" s="24" t="str">
        <x:v>Sardinia (Italy)</x:v>
      </x:c>
      <x:c r="C143" s="24" t="str">
        <x:v>EEZ</x:v>
      </x:c>
      <x:c r="D143" s="30" t="n">
        <x:v>2019</x:v>
      </x:c>
      <x:c r="E143" s="24" t="str">
        <x:v>Marine pelagic fishes not identified</x:v>
      </x:c>
      <x:c r="F143" s="24" t="str">
        <x:v>Pelagic fishes</x:v>
      </x:c>
      <x:c r="G143" s="24" t="str">
        <x:v>Medium pelagics (30 - 89 cm)</x:v>
      </x:c>
      <x:c r="H143" s="24" t="str">
        <x:v>Other fishes &amp; inverts</x:v>
      </x:c>
      <x:c r="I143" s="31" t="n">
        <x:v>0.0114710708</x:v>
      </x:c>
      <x:c r="J143" s="31" t="n">
        <x:v>0.0114710708</x:v>
      </x:c>
      <x:c r="K143" s="31" t="n">
        <x:v>0</x:v>
      </x:c>
      <x:c r="L143" s="31" t="n">
        <x:v>0.0114710708</x:v>
      </x:c>
      <x:c r="M143" s="31" t="n">
        <x:v>0</x:v>
      </x:c>
      <x:c r="N143" s="24" t="str">
        <x:v>marine pelagic fishes not identified</x:v>
      </x:c>
      <x:c r="O143" s="32" t="n">
        <x:v>3.35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Marine pelagic fishes not identified</x:v>
      </x:c>
      <x:c r="T143" s="32" t="n">
        <x:f>IF(O143="","",(1/'Metadata'!$B$5)^(O143-1))</x:f>
        <x:v>223.872113856834</x:v>
      </x:c>
      <x:c r="U143" s="31" t="n">
        <x:f>IF(T143="","",I143*T143)</x:f>
        <x:v>2.568052868197404</x:v>
      </x:c>
    </x:row>
    <x:row r="144" ht="18" customHeight="1">
      <x:c r="A144" s="24" t="str">
        <x:v>EEZ_902</x:v>
      </x:c>
      <x:c r="B144" s="24" t="str">
        <x:v>Sardinia (Italy)</x:v>
      </x:c>
      <x:c r="C144" s="24" t="str">
        <x:v>EEZ</x:v>
      </x:c>
      <x:c r="D144" s="30" t="n">
        <x:v>2019</x:v>
      </x:c>
      <x:c r="E144" s="24" t="str">
        <x:v>Lamna nasus</x:v>
      </x:c>
      <x:c r="F144" s="24" t="str">
        <x:v>Porbeagle</x:v>
      </x:c>
      <x:c r="G144" s="24" t="str">
        <x:v>Large sharks (&gt;=90 cm)</x:v>
      </x:c>
      <x:c r="H144" s="24" t="str">
        <x:v>Sharks &amp; rays</x:v>
      </x:c>
      <x:c r="I144" s="31" t="n">
        <x:v>0.0077208436</x:v>
      </x:c>
      <x:c r="J144" s="31" t="n">
        <x:v>0.0077208436</x:v>
      </x:c>
      <x:c r="K144" s="31" t="n">
        <x:v>0</x:v>
      </x:c>
      <x:c r="L144" s="31" t="n">
        <x:v>0.0017167136</x:v>
      </x:c>
      <x:c r="M144" s="31" t="n">
        <x:v>0.00600413</x:v>
      </x:c>
      <x:c r="N144" s="24" t="str">
        <x:v>lamna nasus</x:v>
      </x:c>
      <x:c r="O144" s="32" t="n">
        <x:v>4.57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Lamna nasus</x:v>
      </x:c>
      <x:c r="T144" s="32" t="n">
        <x:f>IF(O144="","",(1/'Metadata'!$B$5)^(O144-1))</x:f>
        <x:v>3715.3522909717276</x:v>
      </x:c>
      <x:c r="U144" s="31" t="n">
        <x:f>IF(T144="","",I144*T144)</x:f>
        <x:v>28.685653957494402</x:v>
      </x:c>
    </x:row>
    <x:row r="145" ht="18" customHeight="1">
      <x:c r="A145" s="24" t="str">
        <x:v>EEZ_902</x:v>
      </x:c>
      <x:c r="B145" s="24" t="str">
        <x:v>Sardinia (Italy)</x:v>
      </x:c>
      <x:c r="C145" s="24" t="str">
        <x:v>EEZ</x:v>
      </x:c>
      <x:c r="D145" s="30" t="n">
        <x:v>2019</x:v>
      </x:c>
      <x:c r="E145" s="24" t="str">
        <x:v>Dasyatidae</x:v>
      </x:c>
      <x:c r="F145" s="24" t="str">
        <x:v>Whiptail stingrays</x:v>
      </x:c>
      <x:c r="G145" s="24" t="str">
        <x:v>Large rays (&gt;=90 cm)</x:v>
      </x:c>
      <x:c r="H145" s="24" t="str">
        <x:v>Sharks &amp; rays</x:v>
      </x:c>
      <x:c r="I145" s="31" t="n">
        <x:v>0.0023812983</x:v>
      </x:c>
      <x:c r="J145" s="31" t="n">
        <x:v>0.0023812983</x:v>
      </x:c>
      <x:c r="K145" s="31" t="n">
        <x:v>0</x:v>
      </x:c>
      <x:c r="L145" s="31" t="n">
        <x:v>0.0023812983</x:v>
      </x:c>
      <x:c r="M145" s="31" t="n">
        <x:v>0</x:v>
      </x:c>
      <x:c r="N145" s="24" t="str">
        <x:v>dasyatidae</x:v>
      </x:c>
      <x:c r="O145" s="32" t="n">
        <x:v>3.38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Dasyatidae</x:v>
      </x:c>
      <x:c r="T145" s="32" t="n">
        <x:f>IF(O145="","",(1/'Metadata'!$B$5)^(O145-1))</x:f>
        <x:v>239.88329190194898</x:v>
      </x:c>
      <x:c r="U145" s="31" t="n">
        <x:f>IF(T145="","",I145*T145)</x:f>
        <x:v>0.5712336752045148</x:v>
      </x:c>
    </x:row>
    <x:row r="146" ht="18" customHeight="1">
      <x:c r="A146" s="24" t="str">
        <x:v>EEZ_902</x:v>
      </x:c>
      <x:c r="B146" s="24" t="str">
        <x:v>Sardinia (Italy)</x:v>
      </x:c>
      <x:c r="C146" s="24" t="str">
        <x:v>EEZ</x:v>
      </x:c>
      <x:c r="D146" s="30" t="n">
        <x:v>2019</x:v>
      </x:c>
      <x:c r="E146" s="24" t="str">
        <x:v>Isurus oxyrinchus</x:v>
      </x:c>
      <x:c r="F146" s="24" t="str">
        <x:v>Shortfin mako</x:v>
      </x:c>
      <x:c r="G146" s="24" t="str">
        <x:v>Large sharks (&gt;=90 cm)</x:v>
      </x:c>
      <x:c r="H146" s="24" t="str">
        <x:v>Sharks &amp; rays</x:v>
      </x:c>
      <x:c r="I146" s="31" t="n">
        <x:v>0.0001155048</x:v>
      </x:c>
      <x:c r="J146" s="31" t="n">
        <x:v>0.0001155048</x:v>
      </x:c>
      <x:c r="K146" s="31" t="n">
        <x:v>0</x:v>
      </x:c>
      <x:c r="L146" s="31" t="n">
        <x:v>0.0001155048</x:v>
      </x:c>
      <x:c r="M146" s="31" t="n">
        <x:v>0</x:v>
      </x:c>
      <x:c r="N146" s="24" t="str">
        <x:v>isurus oxyrinchus</x:v>
      </x:c>
      <x:c r="O146" s="32" t="n">
        <x:v>4.5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Isurus oxyrinchus</x:v>
      </x:c>
      <x:c r="T146" s="32" t="n">
        <x:f>IF(O146="","",(1/'Metadata'!$B$5)^(O146-1))</x:f>
        <x:v>3162.2776601683795</x:v>
      </x:c>
      <x:c r="U146" s="31" t="n">
        <x:f>IF(T146="","",I146*T146)</x:f>
        <x:v>0.3652582486822166</x:v>
      </x:c>
    </x:row>
  </x:sheetData>
  <x:conditionalFormatting sqref="R2:R1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6f8ed8452674ff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87.425796213</x:v>
      </x:c>
      <x:c r="C2" s="32" t="n">
        <x:v>3.1100000000000003</x:v>
      </x:c>
      <x:c r="D2" s="32" t="n">
        <x:f>IF(C2="","",(1/'Metadata'!$B$5)^(C2-1))</x:f>
        <x:v>128.82495516931348</x:v>
      </x:c>
      <x:c r="E2" s="31" t="n">
        <x:f>IF(B2=0,"",B2*D2)</x:f>
        <x:v>11262.62427778126</x:v>
      </x:c>
    </x:row>
    <x:row r="3" ht="18" customHeight="1">
      <x:c r="A3" s="24" t="str">
        <x:v>Cod-likes</x:v>
      </x:c>
      <x:c r="B3" s="31" t="n">
        <x:v>1020.4122986929999</x:v>
      </x:c>
      <x:c r="C3" s="32" t="n">
        <x:v>4.255259330169545</x:v>
      </x:c>
      <x:c r="D3" s="32" t="n">
        <x:f>IF(C3="","",(1/'Metadata'!$B$5)^(C3-1))</x:f>
        <x:v>1799.9453952973154</x:v>
      </x:c>
      <x:c r="E3" s="31" t="n">
        <x:f>IF(B3=0,"",B3*D3)</x:f>
        <x:v>1836686.418337214</x:v>
      </x:c>
    </x:row>
    <x:row r="4" ht="18" customHeight="1">
      <x:c r="A4" s="24" t="str">
        <x:v>Crustaceans</x:v>
      </x:c>
      <x:c r="B4" s="31" t="n">
        <x:v>274.463429871</x:v>
      </x:c>
      <x:c r="C4" s="32" t="n">
        <x:v>3.263074407746987</x:v>
      </x:c>
      <x:c r="D4" s="32" t="n">
        <x:f>IF(C4="","",(1/'Metadata'!$B$5)^(C4-1))</x:f>
        <x:v>183.26283800053247</x:v>
      </x:c>
      <x:c r="E4" s="31" t="n">
        <x:f>IF(B4=0,"",B4*D4)</x:f>
        <x:v>50298.94708551958</x:v>
      </x:c>
    </x:row>
    <x:row r="5" ht="18" customHeight="1">
      <x:c r="A5" s="24" t="str">
        <x:v>Flatfishes</x:v>
      </x:c>
      <x:c r="B5" s="31" t="n">
        <x:v>164.13643932899998</x:v>
      </x:c>
      <x:c r="C5" s="32" t="n">
        <x:v>3.6246565330567333</x:v>
      </x:c>
      <x:c r="D5" s="32" t="n">
        <x:f>IF(C5="","",(1/'Metadata'!$B$5)^(C5-1))</x:f>
        <x:v>421.3631315889615</x:v>
      </x:c>
      <x:c r="E5" s="31" t="n">
        <x:f>IF(B5=0,"",B5*D5)</x:f>
        <x:v>69161.04408352902</x:v>
      </x:c>
    </x:row>
    <x:row r="6" ht="18" customHeight="1">
      <x:c r="A6" s="24" t="str">
        <x:v>Herring-likes</x:v>
      </x:c>
      <x:c r="B6" s="31" t="n">
        <x:v>273.154652199</x:v>
      </x:c>
      <x:c r="C6" s="32" t="n">
        <x:v>3.1035280567689836</x:v>
      </x:c>
      <x:c r="D6" s="32" t="n">
        <x:f>IF(C6="","",(1/'Metadata'!$B$5)^(C6-1))</x:f>
        <x:v>126.91941356698706</x:v>
      </x:c>
      <x:c r="E6" s="31" t="n">
        <x:f>IF(B6=0,"",B6*D6)</x:f>
        <x:v>34668.628270191395</x:v>
      </x:c>
    </x:row>
    <x:row r="7" ht="18" customHeight="1">
      <x:c r="A7" s="24" t="str">
        <x:v>Molluscs</x:v>
      </x:c>
      <x:c r="B7" s="31" t="n">
        <x:v>0.08000155</x:v>
      </x:c>
      <x:c r="C7" s="32" t="n">
        <x:v>2.1</x:v>
      </x:c>
      <x:c r="D7" s="32" t="n">
        <x:f>IF(C7="","",(1/'Metadata'!$B$5)^(C7-1))</x:f>
        <x:v>12.589254117941675</x:v>
      </x:c>
      <x:c r="E7" s="31" t="n">
        <x:f>IF(B7=0,"",B7*D7)</x:f>
        <x:v>1.0071598427792168</x:v>
      </x:c>
    </x:row>
    <x:row r="8" ht="18" customHeight="1">
      <x:c r="A8" s="24" t="str">
        <x:v>Other fishes &amp; inverts</x:v>
      </x:c>
      <x:c r="B8" s="31" t="n">
        <x:v>3731.9795286048993</x:v>
      </x:c>
      <x:c r="C8" s="32" t="n">
        <x:v>3.7048754573617266</x:v>
      </x:c>
      <x:c r="D8" s="32" t="n">
        <x:f>IF(C8="","",(1/'Metadata'!$B$5)^(C8-1))</x:f>
        <x:v>506.84533938268754</x:v>
      </x:c>
      <x:c r="E8" s="31" t="n">
        <x:f>IF(B8=0,"",B8*D8)</x:f>
        <x:v>1891536.4307449926</x:v>
      </x:c>
    </x:row>
    <x:row r="9" ht="18" customHeight="1">
      <x:c r="A9" s="24" t="str">
        <x:v>Perch-likes</x:v>
      </x:c>
      <x:c r="B9" s="31" t="n">
        <x:v>8261.5028916578</x:v>
      </x:c>
      <x:c r="C9" s="32" t="n">
        <x:v>3.373806723106001</x:v>
      </x:c>
      <x:c r="D9" s="32" t="n">
        <x:f>IF(C9="","",(1/'Metadata'!$B$5)^(C9-1))</x:f>
        <x:v>236.48670111355702</x:v>
      </x:c>
      <x:c r="E9" s="31" t="n">
        <x:f>IF(B9=0,"",B9*D9)</x:f>
        <x:v>1953735.565088265</x:v>
      </x:c>
    </x:row>
    <x:row r="10" ht="18" customHeight="1">
      <x:c r="A10" s="24" t="str">
        <x:v>Salmon, smelts, etc</x:v>
      </x:c>
      <x:c r="B10" s="31" t="n">
        <x:v>3.1468443</x:v>
      </x:c>
      <x:c r="C10" s="32" t="n">
        <x:v>3.35</x:v>
      </x:c>
      <x:c r="D10" s="32" t="n">
        <x:f>IF(C10="","",(1/'Metadata'!$B$5)^(C10-1))</x:f>
        <x:v>223.872113856834</x:v>
      </x:c>
      <x:c r="E10" s="31" t="n">
        <x:f>IF(B10=0,"",B10*D10)</x:f>
        <x:v>704.4906854193291</x:v>
      </x:c>
    </x:row>
    <x:row r="11" ht="18" customHeight="1">
      <x:c r="A11" s="24" t="str">
        <x:v>Scorpionfishes</x:v>
      </x:c>
      <x:c r="B11" s="31" t="n">
        <x:v>369.45178555920006</x:v>
      </x:c>
      <x:c r="C11" s="32" t="n">
        <x:v>3.940061033797329</x:v>
      </x:c>
      <x:c r="D11" s="32" t="n">
        <x:f>IF(C11="","",(1/'Metadata'!$B$5)^(C11-1))</x:f>
        <x:v>871.0859998713087</x:v>
      </x:c>
      <x:c r="E11" s="31" t="n">
        <x:f>IF(B11=0,"",B11*D11)</x:f>
        <x:v>321824.2780280761</x:v>
      </x:c>
    </x:row>
    <x:row r="12" ht="18" customHeight="1">
      <x:c r="A12" s="24" t="str">
        <x:v>Sharks &amp; rays</x:v>
      </x:c>
      <x:c r="B12" s="31" t="n">
        <x:v>296.6206308735001</x:v>
      </x:c>
      <x:c r="C12" s="32" t="n">
        <x:v>4.1071130404460146</x:v>
      </x:c>
      <x:c r="D12" s="32" t="n">
        <x:f>IF(C12="","",(1/'Metadata'!$B$5)^(C12-1))</x:f>
        <x:v>1279.7143515766597</x:v>
      </x:c>
      <x:c r="E12" s="31" t="n">
        <x:f>IF(B12=0,"",B12*D12)</x:f>
        <x:v>379589.6783025409</x:v>
      </x:c>
    </x:row>
    <x:row r="13" ht="18" customHeight="1">
      <x:c r="A13" s="24" t="str">
        <x:v>Tuna &amp; billfishes</x:v>
      </x:c>
      <x:c r="B13" s="31" t="n">
        <x:v>1254.7170030507998</x:v>
      </x:c>
      <x:c r="C13" s="32" t="n">
        <x:v>4.426833073878229</x:v>
      </x:c>
      <x:c r="D13" s="32" t="n">
        <x:f>IF(C13="","",(1/'Metadata'!$B$5)^(C13-1))</x:f>
        <x:v>2671.979205065735</x:v>
      </x:c>
      <x:c r="E13" s="31" t="n">
        <x:f>IF(B13=0,"",B13*D13)</x:f>
        <x:v>3352577.740394138</x:v>
      </x:c>
    </x:row>
  </x:sheetData>
  <x:pageMargins left="0.7" right="0.7" top="0.75" bottom="0.75" header="0.3" footer="0.3"/>
  <x:tableParts count="1">
    <x:tablePart xmlns:r="http://schemas.openxmlformats.org/officeDocument/2006/relationships" r:id="Rd23010454dc045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2035.232018737</x:v>
      </x:c>
      <x:c r="C2" s="32" t="n">
        <x:v>3.7037448175779923</x:v>
      </x:c>
      <x:c r="D2" s="32" t="n">
        <x:f>IF(C2="","",(1/'Metadata'!$B$5)^(C2-1))</x:f>
        <x:v>505.5275372329032</x:v>
      </x:c>
      <x:c r="E2" s="31" t="n">
        <x:f>IF(B2=0,"",B2*D2)</x:f>
        <x:v>1028865.8301296656</x:v>
      </x:c>
    </x:row>
    <x:row r="3" ht="18" customHeight="1">
      <x:c r="A3" s="24" t="str">
        <x:v>Large bathydemersals (&gt;=90 cm)</x:v>
      </x:c>
      <x:c r="B3" s="31" t="n">
        <x:v>139.141145245</x:v>
      </x:c>
      <x:c r="C3" s="32" t="n">
        <x:v>3.8199999999999994</x:v>
      </x:c>
      <x:c r="D3" s="32" t="n">
        <x:f>IF(C3="","",(1/'Metadata'!$B$5)^(C3-1))</x:f>
        <x:v>660.6934480075951</x:v>
      </x:c>
      <x:c r="E3" s="31" t="n">
        <x:f>IF(B3=0,"",B3*D3)</x:f>
        <x:v>91929.64301164463</x:v>
      </x:c>
    </x:row>
    <x:row r="4" ht="18" customHeight="1">
      <x:c r="A4" s="24" t="str">
        <x:v>Large benthopelagics (&gt;=90 cm)</x:v>
      </x:c>
      <x:c r="B4" s="31" t="n">
        <x:v>520.585688106</x:v>
      </x:c>
      <x:c r="C4" s="32" t="n">
        <x:v>3.84995457023927</x:v>
      </x:c>
      <x:c r="D4" s="32" t="n">
        <x:f>IF(C4="","",(1/'Metadata'!$B$5)^(C4-1))</x:f>
        <x:v>707.8717329585824</x:v>
      </x:c>
      <x:c r="E4" s="31" t="n">
        <x:f>IF(B4=0,"",B4*D4)</x:f>
        <x:v>368507.89319303026</x:v>
      </x:c>
    </x:row>
    <x:row r="5" ht="18" customHeight="1">
      <x:c r="A5" s="24" t="str">
        <x:v>Large demersals (&gt;=90 cm)</x:v>
      </x:c>
      <x:c r="B5" s="31" t="n">
        <x:v>825.5666043221</x:v>
      </x:c>
      <x:c r="C5" s="32" t="n">
        <x:v>4.340216042282928</x:v>
      </x:c>
      <x:c r="D5" s="32" t="n">
        <x:f>IF(C5="","",(1/'Metadata'!$B$5)^(C5-1))</x:f>
        <x:v>2188.850209266474</x:v>
      </x:c>
      <x:c r="E5" s="31" t="n">
        <x:f>IF(B5=0,"",B5*D5)</x:f>
        <x:v>1807041.634633841</x:v>
      </x:c>
    </x:row>
    <x:row r="6" ht="18" customHeight="1">
      <x:c r="A6" s="24" t="str">
        <x:v>Large flatfishes (&gt;=90 cm)</x:v>
      </x:c>
      <x:c r="B6" s="31" t="n">
        <x:v>22.005652001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50412.036347155365</x:v>
      </x:c>
    </x:row>
    <x:row r="7" ht="18" customHeight="1">
      <x:c r="A7" s="24" t="str">
        <x:v>Large pelagics (&gt;=90 cm)</x:v>
      </x:c>
      <x:c r="B7" s="31" t="n">
        <x:v>1189.7665550786</x:v>
      </x:c>
      <x:c r="C7" s="32" t="n">
        <x:v>4.415527367720635</x:v>
      </x:c>
      <x:c r="D7" s="32" t="n">
        <x:f>IF(C7="","",(1/'Metadata'!$B$5)^(C7-1))</x:f>
        <x:v>2603.3188782638745</x:v>
      </x:c>
      <x:c r="E7" s="31" t="n">
        <x:f>IF(B7=0,"",B7*D7)</x:f>
        <x:v>3097341.7335630953</x:v>
      </x:c>
    </x:row>
    <x:row r="8" ht="18" customHeight="1">
      <x:c r="A8" s="24" t="str">
        <x:v>Large rays (&gt;=90 cm)</x:v>
      </x:c>
      <x:c r="B8" s="31" t="n">
        <x:v>72.52445660329998</x:v>
      </x:c>
      <x:c r="C8" s="32" t="n">
        <x:v>3.8200805360069086</x:v>
      </x:c>
      <x:c r="D8" s="32" t="n">
        <x:f>IF(C8="","",(1/'Metadata'!$B$5)^(C8-1))</x:f>
        <x:v>660.8159790279926</x:v>
      </x:c>
      <x:c r="E8" s="31" t="n">
        <x:f>IF(B8=0,"",B8*D8)</x:f>
        <x:v>47925.319793782844</x:v>
      </x:c>
    </x:row>
    <x:row r="9" ht="18" customHeight="1">
      <x:c r="A9" s="24" t="str">
        <x:v>Large reef assoc. fish (&gt;=90 cm)</x:v>
      </x:c>
      <x:c r="B9" s="31" t="n">
        <x:v>146.88517904900002</x:v>
      </x:c>
      <x:c r="C9" s="32" t="n">
        <x:v>4.160459012873139</x:v>
      </x:c>
      <x:c r="D9" s="32" t="n">
        <x:f>IF(C9="","",(1/'Metadata'!$B$5)^(C9-1))</x:f>
        <x:v>1446.9682870691151</x:v>
      </x:c>
      <x:c r="E9" s="31" t="n">
        <x:f>IF(B9=0,"",B9*D9)</x:f>
        <x:v>212538.19592437183</x:v>
      </x:c>
    </x:row>
    <x:row r="10" ht="18" customHeight="1">
      <x:c r="A10" s="24" t="str">
        <x:v>Large sharks (&gt;=90 cm)</x:v>
      </x:c>
      <x:c r="B10" s="31" t="n">
        <x:v>151.7971404152</x:v>
      </x:c>
      <x:c r="C10" s="32" t="n">
        <x:v>4.405605423622966</x:v>
      </x:c>
      <x:c r="D10" s="32" t="n">
        <x:f>IF(C10="","",(1/'Metadata'!$B$5)^(C10-1))</x:f>
        <x:v>2544.5173917806133</x:v>
      </x:c>
      <x:c r="E10" s="31" t="n">
        <x:f>IF(B10=0,"",B10*D10)</x:f>
        <x:v>386250.46380904026</x:v>
      </x:c>
    </x:row>
    <x:row r="11" ht="18" customHeight="1">
      <x:c r="A11" s="24" t="str">
        <x:v>Lobsters, crabs</x:v>
      </x:c>
      <x:c r="B11" s="31" t="n">
        <x:v>161.026699327</x:v>
      </x:c>
      <x:c r="C11" s="32" t="n">
        <x:v>3.277068881191613</x:v>
      </x:c>
      <x:c r="D11" s="32" t="n">
        <x:f>IF(C11="","",(1/'Metadata'!$B$5)^(C11-1))</x:f>
        <x:v>189.26437772382633</x:v>
      </x:c>
      <x:c r="E11" s="31" t="n">
        <x:f>IF(B11=0,"",B11*D11)</x:f>
        <x:v>30476.618045046336</x:v>
      </x:c>
    </x:row>
    <x:row r="12" ht="18" customHeight="1">
      <x:c r="A12" s="24" t="str">
        <x:v>Medium bathydemersals (30 - 89 cm)</x:v>
      </x:c>
      <x:c r="B12" s="31" t="n">
        <x:v>61.514243709000006</x:v>
      </x:c>
      <x:c r="C12" s="32" t="n">
        <x:v>4.162447611458774</x:v>
      </x:c>
      <x:c r="D12" s="32" t="n">
        <x:f>IF(C12="","",(1/'Metadata'!$B$5)^(C12-1))</x:f>
        <x:v>1453.6090275201807</x:v>
      </x:c>
      <x:c r="E12" s="31" t="n">
        <x:f>IF(B12=0,"",B12*D12)</x:f>
        <x:v>89417.65997647888</x:v>
      </x:c>
    </x:row>
    <x:row r="13" ht="18" customHeight="1">
      <x:c r="A13" s="24" t="str">
        <x:v>Medium bathypelagics (30 - 89 cm)</x:v>
      </x:c>
      <x:c r="B13" s="31" t="n">
        <x:v>3.6608044034000002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4401.254936298637</x:v>
      </x:c>
    </x:row>
    <x:row r="14" ht="18" customHeight="1">
      <x:c r="A14" s="24" t="str">
        <x:v>Medium benthopelagics (30 - 89 cm)</x:v>
      </x:c>
      <x:c r="B14" s="31" t="n">
        <x:v>2059.4280533851</x:v>
      </x:c>
      <x:c r="C14" s="32" t="n">
        <x:v>3.4414982236327787</x:v>
      </x:c>
      <x:c r="D14" s="32" t="n">
        <x:f>IF(C14="","",(1/'Metadata'!$B$5)^(C14-1))</x:f>
        <x:v>276.3746614769459</x:v>
      </x:c>
      <x:c r="E14" s="31" t="n">
        <x:f>IF(B14=0,"",B14*D14)</x:f>
        <x:v>569173.7310904327</x:v>
      </x:c>
    </x:row>
    <x:row r="15" ht="18" customHeight="1">
      <x:c r="A15" s="24" t="str">
        <x:v>Medium demersals (30 - 89 cm)</x:v>
      </x:c>
      <x:c r="B15" s="31" t="n">
        <x:v>3645.4973046072996</x:v>
      </x:c>
      <x:c r="C15" s="32" t="n">
        <x:v>3.1780835879490206</x:v>
      </x:c>
      <x:c r="D15" s="32" t="n">
        <x:f>IF(C15="","",(1/'Metadata'!$B$5)^(C15-1))</x:f>
        <x:v>150.68970682932442</x:v>
      </x:c>
      <x:c r="E15" s="31" t="n">
        <x:f>IF(B15=0,"",B15*D15)</x:f>
        <x:v>549338.9200783664</x:v>
      </x:c>
    </x:row>
    <x:row r="16" ht="18" customHeight="1">
      <x:c r="A16" s="24" t="str">
        <x:v>Medium pelagics (30 - 89 cm)</x:v>
      </x:c>
      <x:c r="B16" s="31" t="n">
        <x:v>2453.4982928081</x:v>
      </x:c>
      <x:c r="C16" s="32" t="n">
        <x:v>3.886731491661761</x:v>
      </x:c>
      <x:c r="D16" s="32" t="n">
        <x:f>IF(C16="","",(1/'Metadata'!$B$5)^(C16-1))</x:f>
        <x:v>770.4269950523719</x:v>
      </x:c>
      <x:c r="E16" s="31" t="n">
        <x:f>IF(B16=0,"",B16*D16)</x:f>
        <x:v>1890241.317094269</x:v>
      </x:c>
    </x:row>
    <x:row r="17" ht="18" customHeight="1">
      <x:c r="A17" s="24" t="str">
        <x:v>Medium reef assoc. fish (30 - 89 cm)</x:v>
      </x:c>
      <x:c r="B17" s="31" t="n">
        <x:v>317.688622315</x:v>
      </x:c>
      <x:c r="C17" s="32" t="n">
        <x:v>2.8363674089579582</x:v>
      </x:c>
      <x:c r="D17" s="32" t="n">
        <x:f>IF(C17="","",(1/'Metadata'!$B$5)^(C17-1))</x:f>
        <x:v>68.60683882755045</x:v>
      </x:c>
      <x:c r="E17" s="31" t="n">
        <x:f>IF(B17=0,"",B17*D17)</x:f>
        <x:v>21795.61210851175</x:v>
      </x:c>
    </x:row>
    <x:row r="18" ht="18" customHeight="1">
      <x:c r="A18" s="24" t="str">
        <x:v>Other demersal invertebrates</x:v>
      </x:c>
      <x:c r="B18" s="31" t="n">
        <x:v>2.313730428</x:v>
      </x:c>
      <x:c r="C18" s="32" t="n">
        <x:v>2.2930846265380054</x:v>
      </x:c>
      <x:c r="D18" s="32" t="n">
        <x:f>IF(C18="","",(1/'Metadata'!$B$5)^(C18-1))</x:f>
        <x:v>19.63742894113659</x:v>
      </x:c>
      <x:c r="E18" s="31" t="n">
        <x:f>IF(B18=0,"",B18*D18)</x:f>
        <x:v>45.43571686879555</x:v>
      </x:c>
    </x:row>
    <x:row r="19" ht="18" customHeight="1">
      <x:c r="A19" s="24" t="str">
        <x:v>Shrimps</x:v>
      </x:c>
      <x:c r="B19" s="31" t="n">
        <x:v>113.436730544</x:v>
      </x:c>
      <x:c r="C19" s="32" t="n">
        <x:v>3.2432088504728966</x:v>
      </x:c>
      <x:c r="D19" s="32" t="n">
        <x:f>IF(C19="","",(1/'Metadata'!$B$5)^(C19-1))</x:f>
        <x:v>175.0688385240597</x:v>
      </x:c>
      <x:c r="E19" s="31" t="n">
        <x:f>IF(B19=0,"",B19*D19)</x:f>
        <x:v>19859.236662304804</x:v>
      </x:c>
    </x:row>
    <x:row r="20" ht="18" customHeight="1">
      <x:c r="A20" s="24" t="str">
        <x:v>Small benthopelagics (&lt;30 cm)</x:v>
      </x:c>
      <x:c r="B20" s="31" t="n">
        <x:v>389.395715329</x:v>
      </x:c>
      <x:c r="C20" s="32" t="n">
        <x:v>3.3863010133357196</x:v>
      </x:c>
      <x:c r="D20" s="32" t="n">
        <x:f>IF(C20="","",(1/'Metadata'!$B$5)^(C20-1))</x:f>
        <x:v>243.38903754738223</x:v>
      </x:c>
      <x:c r="E20" s="31" t="n">
        <x:f>IF(B20=0,"",B20*D20)</x:f>
        <x:v>94774.64837899974</x:v>
      </x:c>
    </x:row>
    <x:row r="21" ht="18" customHeight="1">
      <x:c r="A21" s="24" t="str">
        <x:v>Small demersals (&lt;30 cm)</x:v>
      </x:c>
      <x:c r="B21" s="31" t="n">
        <x:v>437.097272025</x:v>
      </x:c>
      <x:c r="C21" s="32" t="n">
        <x:v>3.4320440849220377</x:v>
      </x:c>
      <x:c r="D21" s="32" t="n">
        <x:f>IF(C21="","",(1/'Metadata'!$B$5)^(C21-1))</x:f>
        <x:v>270.4232854918635</x:v>
      </x:c>
      <x:c r="E21" s="31" t="n">
        <x:f>IF(B21=0,"",B21*D21)</x:f>
        <x:v>118201.2803805313</x:v>
      </x:c>
    </x:row>
    <x:row r="22" ht="18" customHeight="1">
      <x:c r="A22" s="24" t="str">
        <x:v>Small pelagics (&lt;30 cm)</x:v>
      </x:c>
      <x:c r="B22" s="31" t="n">
        <x:v>385.4685549981</x:v>
      </x:c>
      <x:c r="C22" s="32" t="n">
        <x:v>3.1112247125850025</x:v>
      </x:c>
      <x:c r="D22" s="32" t="n">
        <x:f>IF(C22="","",(1/'Metadata'!$B$5)^(C22-1))</x:f>
        <x:v>129.18875489689407</x:v>
      </x:c>
      <x:c r="E22" s="31" t="n">
        <x:f>IF(B22=0,"",B22*D22)</x:f>
        <x:v>49798.20267210947</x:v>
      </x:c>
    </x:row>
    <x:row r="23" ht="18" customHeight="1">
      <x:c r="A23" s="24" t="str">
        <x:v>Small reef assoc. fish (&lt;30 cm)</x:v>
      </x:c>
      <x:c r="B23" s="31" t="n">
        <x:v>389.131017282</x:v>
      </x:c>
      <x:c r="C23" s="32" t="n">
        <x:v>3.2268247936407892</x:v>
      </x:c>
      <x:c r="D23" s="32" t="n">
        <x:f>IF(C23="","",(1/'Metadata'!$B$5)^(C23-1))</x:f>
        <x:v>168.58727606602108</x:v>
      </x:c>
      <x:c r="E23" s="31" t="n">
        <x:f>IF(B23=0,"",B23*D23)</x:f>
        <x:v>65602.53823637216</x:v>
      </x:c>
    </x:row>
    <x:row r="24" ht="18" customHeight="1">
      <x:c r="A24" s="24" t="str">
        <x:v>Small to medium flatfishes (&lt;90 cm)</x:v>
      </x:c>
      <x:c r="B24" s="31" t="n">
        <x:v>142.13078732799997</x:v>
      </x:c>
      <x:c r="C24" s="32" t="n">
        <x:v>3.5108056725994614</x:v>
      </x:c>
      <x:c r="D24" s="32" t="n">
        <x:f>IF(C24="","",(1/'Metadata'!$B$5)^(C24-1))</x:f>
        <x:v>324.194522308232</x:v>
      </x:c>
      <x:c r="E24" s="31" t="n">
        <x:f>IF(B24=0,"",B24*D24)</x:f>
        <x:v>46078.02270309387</x:v>
      </x:c>
    </x:row>
    <x:row r="25" ht="18" customHeight="1">
      <x:c r="A25" s="24" t="str">
        <x:v>Small to medium rays (&lt;90 cm)</x:v>
      </x:c>
      <x:c r="B25" s="31" t="n">
        <x:v>15.206221939999999</x:v>
      </x:c>
      <x:c r="C25" s="32" t="n">
        <x:v>3.5722764047346267</x:v>
      </x:c>
      <x:c r="D25" s="32" t="n">
        <x:f>IF(C25="","",(1/'Metadata'!$B$5)^(C25-1))</x:f>
        <x:v>373.4877867606675</x:v>
      </x:c>
      <x:c r="E25" s="31" t="n">
        <x:f>IF(B25=0,"",B25*D25)</x:f>
        <x:v>5679.338177362103</x:v>
      </x:c>
    </x:row>
    <x:row r="26" ht="18" customHeight="1">
      <x:c r="A26" s="24" t="str">
        <x:v>Small to medium sharks (&lt;90 cm)</x:v>
      </x:c>
      <x:c r="B26" s="31" t="n">
        <x:v>57.092811915</x:v>
      </x:c>
      <x:c r="C26" s="32" t="n">
        <x:v>3.820552111722872</x:v>
      </x:c>
      <x:c r="D26" s="32" t="n">
        <x:f>IF(C26="","",(1/'Metadata'!$B$5)^(C26-1))</x:f>
        <x:v>661.5339112847821</x:v>
      </x:c>
      <x:c r="E26" s="31" t="n">
        <x:f>IF(B26=0,"",B26*D26)</x:f>
        <x:v>37768.83117237636</x:v>
      </x:c>
    </x:row>
  </x:sheetData>
  <x:pageMargins left="0.7" right="0.7" top="0.75" bottom="0.75" header="0.3" footer="0.3"/>
  <x:tableParts count="1">
    <x:tablePart xmlns:r="http://schemas.openxmlformats.org/officeDocument/2006/relationships" r:id="R9ef33da7d89642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EEZ_902</x:v>
      </x:c>
      <x:c r="B2" s="24" t="str">
        <x:v>raw_filtered_tonnes</x:v>
      </x:c>
      <x:c r="C2" s="24" t="n">
        <x:v>15737.0913019012</x:v>
      </x:c>
      <x:c r="D2" s="24" t="str">
        <x:v>tonnes</x:v>
      </x:c>
    </x:row>
    <x:row r="3" ht="18" customHeight="1">
      <x:c r="A3" s="24" t="str">
        <x:v>EEZ_902</x:v>
      </x:c>
      <x:c r="B3" s="24" t="str">
        <x:v>species_catch_tonnes</x:v>
      </x:c>
      <x:c r="C3" s="24" t="n">
        <x:v>15737.091301901197</x:v>
      </x:c>
      <x:c r="D3" s="24" t="str">
        <x:v>tonnes</x:v>
      </x:c>
    </x:row>
    <x:row r="4" ht="18" customHeight="1">
      <x:c r="A4" s="24" t="str">
        <x:v>EEZ_902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EEZ_902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EEZ_902</x:v>
      </x:c>
      <x:c r="B6" s="24" t="str">
        <x:v>matched_catch_tonnes</x:v>
      </x:c>
      <x:c r="C6" s="24" t="n">
        <x:v>15737.091301901197</x:v>
      </x:c>
      <x:c r="D6" s="24" t="str">
        <x:v>tonnes</x:v>
      </x:c>
    </x:row>
    <x:row r="7" ht="18" customHeight="1">
      <x:c r="A7" s="24" t="str">
        <x:v>EEZ_902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EEZ_902</x:v>
      </x:c>
      <x:c r="B8" s="24" t="str">
        <x:v>taxa_count</x:v>
      </x:c>
      <x:c r="C8" s="24" t="n">
        <x:v>145</x:v>
      </x:c>
      <x:c r="D8" s="24" t="str">
        <x:v>count</x:v>
      </x:c>
    </x:row>
    <x:row r="9" ht="18" customHeight="1">
      <x:c r="A9" s="24" t="str">
        <x:v>EEZ_902</x:v>
      </x:c>
      <x:c r="B9" s="24" t="str">
        <x:v>matched_taxa_count</x:v>
      </x:c>
      <x:c r="C9" s="24" t="n">
        <x:v>145</x:v>
      </x:c>
      <x:c r="D9" s="24" t="str">
        <x:v>count</x:v>
      </x:c>
    </x:row>
    <x:row r="10" ht="18" customHeight="1">
      <x:c r="A10" s="24" t="str">
        <x:v>EEZ_902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EEZ_902</x:v>
      </x:c>
      <x:c r="B11" s="24" t="str">
        <x:v>species_ppr</x:v>
      </x:c>
      <x:c r="C11" s="24" t="n">
        <x:v>13470007.001124758</x:v>
      </x:c>
      <x:c r="D11" s="24" t="str">
        <x:v>tonnes_primary_production_equivalent</x:v>
      </x:c>
    </x:row>
    <x:row r="12" ht="18" customHeight="1">
      <x:c r="A12" s="24" t="str">
        <x:v>EEZ_902</x:v>
      </x:c>
      <x:c r="B12" s="24" t="str">
        <x:v>commercial_ppr</x:v>
      </x:c>
      <x:c r="C12" s="24" t="n">
        <x:v>9902046.85245751</x:v>
      </x:c>
      <x:c r="D12" s="24" t="str">
        <x:v>tonnes_primary_production_equivalent</x:v>
      </x:c>
    </x:row>
    <x:row r="13" ht="18" customHeight="1">
      <x:c r="A13" s="24" t="str">
        <x:v>EEZ_902</x:v>
      </x:c>
      <x:c r="B13" s="24" t="str">
        <x:v>functional_ppr</x:v>
      </x:c>
      <x:c r="C13" s="24" t="n">
        <x:v>10683465.39783505</x:v>
      </x:c>
      <x:c r="D13" s="24" t="str">
        <x:v>tonnes_primary_production_equivalent</x:v>
      </x:c>
    </x:row>
    <x:row r="14" ht="18" customHeight="1">
      <x:c r="A14" s="24" t="str">
        <x:v>EEZ_902</x:v>
      </x:c>
      <x:c r="B14" s="24" t="str">
        <x:v>commercial_ppr_difference</x:v>
      </x:c>
      <x:c r="C14" s="24" t="n">
        <x:v>-3567960.148667248</x:v>
      </x:c>
      <x:c r="D14" s="24" t="str">
        <x:v>tonnes_primary_production_equivalent</x:v>
      </x:c>
    </x:row>
    <x:row r="15" ht="18" customHeight="1">
      <x:c r="A15" s="24" t="str">
        <x:v>EEZ_902</x:v>
      </x:c>
      <x:c r="B15" s="24" t="str">
        <x:v>functional_ppr_difference</x:v>
      </x:c>
      <x:c r="C15" s="24" t="n">
        <x:v>-2786541.6032897085</x:v>
      </x:c>
      <x:c r="D15" s="24" t="str">
        <x:v>tonnes_primary_production_equivalent</x:v>
      </x:c>
    </x:row>
    <x:row r="16" ht="18" customHeight="1">
      <x:c r="A16" s="24" t="str">
        <x:v>EEZ_902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EEZ_902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d646f35270c44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EEZ_902 - Sardinia (Italy)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