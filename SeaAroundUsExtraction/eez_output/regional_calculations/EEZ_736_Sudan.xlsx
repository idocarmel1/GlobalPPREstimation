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775d87372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8dbff9cf0d5487e"/>
    <x:sheet xmlns:r="http://schemas.openxmlformats.org/officeDocument/2006/relationships" name="Commercial" sheetId="2" r:id="Rdcf61e5981274e9c"/>
    <x:sheet xmlns:r="http://schemas.openxmlformats.org/officeDocument/2006/relationships" name="Functional" sheetId="3" r:id="R8b0a121b90f243f6"/>
    <x:sheet xmlns:r="http://schemas.openxmlformats.org/officeDocument/2006/relationships" name="Missing TL" sheetId="4" r:id="R683d616f0f384d03"/>
    <x:sheet xmlns:r="http://schemas.openxmlformats.org/officeDocument/2006/relationships" name="Validation" sheetId="5" r:id="R1741a2402db04408"/>
    <x:sheet xmlns:r="http://schemas.openxmlformats.org/officeDocument/2006/relationships" name="Metadata" sheetId="6" r:id="Rc3e09957165c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93854873b48bd" /><Relationship Type="http://schemas.openxmlformats.org/officeDocument/2006/relationships/theme" Target="/xl/theme/theme1.xml" Id="Rec6e1f62ec094942" /><Relationship Type="http://schemas.microsoft.com/office/2022/11/relationships/FeaturePropertyBag" Target="/xl/featurePropertyBag/featurePropertyBag.xml" Id="R5e54ba178263463d" /><Relationship Type="http://schemas.openxmlformats.org/officeDocument/2006/relationships/sharedStrings" Target="/xl/sharedStrings.xml" Id="Raf9258cca4f7428c" /><Relationship Type="http://schemas.openxmlformats.org/officeDocument/2006/relationships/worksheet" Target="/xl/worksheets/sheet1.xml" Id="R98dbff9cf0d5487e" /><Relationship Type="http://schemas.openxmlformats.org/officeDocument/2006/relationships/worksheet" Target="/xl/worksheets/sheet2.xml" Id="Rdcf61e5981274e9c" /><Relationship Type="http://schemas.openxmlformats.org/officeDocument/2006/relationships/worksheet" Target="/xl/worksheets/sheet3.xml" Id="R8b0a121b90f243f6" /><Relationship Type="http://schemas.openxmlformats.org/officeDocument/2006/relationships/worksheet" Target="/xl/worksheets/sheet4.xml" Id="R683d616f0f384d03" /><Relationship Type="http://schemas.openxmlformats.org/officeDocument/2006/relationships/worksheet" Target="/xl/worksheets/sheet5.xml" Id="R1741a2402db04408" /><Relationship Type="http://schemas.openxmlformats.org/officeDocument/2006/relationships/worksheet" Target="/xl/worksheets/sheet6.xml" Id="Rc3e09957165c44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36SpeciesTable" displayName="EEZ736SpeciesTable" ref="A1:U10" headerRowCount="1" totalsRowCount="0" totalsRowShown="0">
  <x:autoFilter ref="A1:U1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36CommercialTable" displayName="EEZ736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36FunctionalTable" displayName="EEZ736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36ValidationTable" displayName="EEZ73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bac7ef1b3745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5ca4f469e24f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bc6f4c66cd4b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c1f9ebe72840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EEZ_736</x:v>
      </x:c>
      <x:c r="B2" s="24" t="str">
        <x:v>Sudan</x:v>
      </x:c>
      <x:c r="C2" s="24" t="str">
        <x:v>EEZ</x:v>
      </x:c>
      <x:c r="D2" s="30" t="n">
        <x:v>2019</x:v>
      </x:c>
      <x:c r="E2" s="24" t="str">
        <x:v>Mugilidae</x:v>
      </x:c>
      <x:c r="F2" s="24" t="str">
        <x:v>Mullets, grey mullets</x:v>
      </x:c>
      <x:c r="G2" s="24" t="str">
        <x:v>Medium reef assoc. fish (30 - 89 cm)</x:v>
      </x:c>
      <x:c r="H2" s="24" t="str">
        <x:v>Perch-likes</x:v>
      </x:c>
      <x:c r="I2" s="31" t="n">
        <x:v>421.53839479</x:v>
      </x:c>
      <x:c r="J2" s="31" t="n">
        <x:v>421.53839479</x:v>
      </x:c>
      <x:c r="K2" s="31" t="n">
        <x:v>0</x:v>
      </x:c>
      <x:c r="L2" s="31" t="n">
        <x:v>380.7495103</x:v>
      </x:c>
      <x:c r="M2" s="31" t="n">
        <x:v>40.78888449</x:v>
      </x:c>
      <x:c r="N2" s="24" t="str">
        <x:v>mugilidae</x:v>
      </x:c>
      <x:c r="O2" s="32" t="n">
        <x:v>2.53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Mugilidae</x:v>
      </x:c>
      <x:c r="T2" s="32" t="n">
        <x:f>IF(O2="","",(1/'Metadata'!$B$5)^(O2-1))</x:f>
        <x:v>33.88441561392024</x:v>
      </x:c>
      <x:c r="U2" s="31" t="n">
        <x:f>IF(T2="","",I2*T2)</x:f>
        <x:v>14283.58216628915</x:v>
      </x:c>
    </x:row>
    <x:row r="3" ht="18" customHeight="1">
      <x:c r="A3" s="24" t="str">
        <x:v>EEZ_736</x:v>
      </x:c>
      <x:c r="B3" s="24" t="str">
        <x:v>Sudan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356.860748366</x:v>
      </x:c>
      <x:c r="J3" s="31" t="n">
        <x:v>356.860748366</x:v>
      </x:c>
      <x:c r="K3" s="31" t="n">
        <x:v>0</x:v>
      </x:c>
      <x:c r="L3" s="31" t="n">
        <x:v>342.030748366</x:v>
      </x:c>
      <x:c r="M3" s="31" t="n">
        <x:v>14.83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67998.41377943798</x:v>
      </x:c>
    </x:row>
    <x:row r="4" ht="18" customHeight="1">
      <x:c r="A4" s="24" t="str">
        <x:v>EEZ_736</x:v>
      </x:c>
      <x:c r="B4" s="24" t="str">
        <x:v>Sudan</x:v>
      </x:c>
      <x:c r="C4" s="24" t="str">
        <x:v>EEZ</x:v>
      </x:c>
      <x:c r="D4" s="30" t="n">
        <x:v>2019</x:v>
      </x:c>
      <x:c r="E4" s="24" t="str">
        <x:v>Serranidae</x:v>
      </x:c>
      <x:c r="F4" s="24" t="str">
        <x:v>Basses, groupers, hinds</x:v>
      </x:c>
      <x:c r="G4" s="24" t="str">
        <x:v>Medium reef assoc. fish (30 - 89 cm)</x:v>
      </x:c>
      <x:c r="H4" s="24" t="str">
        <x:v>Perch-likes</x:v>
      </x:c>
      <x:c r="I4" s="31" t="n">
        <x:v>335.11261178</x:v>
      </x:c>
      <x:c r="J4" s="31" t="n">
        <x:v>335.11261178</x:v>
      </x:c>
      <x:c r="K4" s="31" t="n">
        <x:v>0</x:v>
      </x:c>
      <x:c r="L4" s="31" t="n">
        <x:v>302.6864561</x:v>
      </x:c>
      <x:c r="M4" s="31" t="n">
        <x:v>32.42615568</x:v>
      </x:c>
      <x:c r="N4" s="24" t="str">
        <x:v>serranidae</x:v>
      </x:c>
      <x:c r="O4" s="32" t="n">
        <x:v>3.98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Serranidae</x:v>
      </x:c>
      <x:c r="T4" s="32" t="n">
        <x:f>IF(O4="","",(1/'Metadata'!$B$5)^(O4-1))</x:f>
        <x:v>954.992586021436</x:v>
      </x:c>
      <x:c r="U4" s="31" t="n">
        <x:f>IF(T4="","",I4*T4)</x:f>
        <x:v>320030.05973217974</x:v>
      </x:c>
    </x:row>
    <x:row r="5" ht="18" customHeight="1">
      <x:c r="A5" s="24" t="str">
        <x:v>EEZ_736</x:v>
      </x:c>
      <x:c r="B5" s="24" t="str">
        <x:v>Sudan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253.51404335</x:v>
      </x:c>
      <x:c r="J5" s="31" t="n">
        <x:v>253.51404335</x:v>
      </x:c>
      <x:c r="K5" s="31" t="n">
        <x:v>0</x:v>
      </x:c>
      <x:c r="L5" s="31" t="n">
        <x:v>228.9835257</x:v>
      </x:c>
      <x:c r="M5" s="31" t="n">
        <x:v>24.53051765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265461.79212359805</x:v>
      </x:c>
    </x:row>
    <x:row r="6" ht="18" customHeight="1">
      <x:c r="A6" s="24" t="str">
        <x:v>EEZ_736</x:v>
      </x:c>
      <x:c r="B6" s="24" t="str">
        <x:v>Sudan</x:v>
      </x:c>
      <x:c r="C6" s="24" t="str">
        <x:v>EEZ</x:v>
      </x:c>
      <x:c r="D6" s="30" t="n">
        <x:v>2019</x:v>
      </x:c>
      <x:c r="E6" s="24" t="str">
        <x:v>Lethrinidae</x:v>
      </x:c>
      <x:c r="F6" s="24" t="str">
        <x:v>Emperors, scavengers</x:v>
      </x:c>
      <x:c r="G6" s="24" t="str">
        <x:v>Medium reef assoc. fish (30 - 89 cm)</x:v>
      </x:c>
      <x:c r="H6" s="24" t="str">
        <x:v>Perch-likes</x:v>
      </x:c>
      <x:c r="I6" s="31" t="n">
        <x:v>246.13280788</x:v>
      </x:c>
      <x:c r="J6" s="31" t="n">
        <x:v>246.13280788</x:v>
      </x:c>
      <x:c r="K6" s="31" t="n">
        <x:v>0</x:v>
      </x:c>
      <x:c r="L6" s="31" t="n">
        <x:v>222.3165131</x:v>
      </x:c>
      <x:c r="M6" s="31" t="n">
        <x:v>23.81629478</x:v>
      </x:c>
      <x:c r="N6" s="24" t="str">
        <x:v>lethrinidae</x:v>
      </x:c>
      <x:c r="O6" s="32" t="n">
        <x:v>3.59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Lethrinidae</x:v>
      </x:c>
      <x:c r="T6" s="32" t="n">
        <x:f>IF(O6="","",(1/'Metadata'!$B$5)^(O6-1))</x:f>
        <x:v>389.04514499428046</x:v>
      </x:c>
      <x:c r="U6" s="31" t="n">
        <x:f>IF(T6="","",I6*T6)</x:f>
        <x:v>95756.77392952397</x:v>
      </x:c>
    </x:row>
    <x:row r="7" ht="18" customHeight="1">
      <x:c r="A7" s="24" t="str">
        <x:v>EEZ_736</x:v>
      </x:c>
      <x:c r="B7" s="24" t="str">
        <x:v>Sudan</x:v>
      </x:c>
      <x:c r="C7" s="24" t="str">
        <x:v>EEZ</x:v>
      </x:c>
      <x:c r="D7" s="30" t="n">
        <x:v>2019</x:v>
      </x:c>
      <x:c r="E7" s="24" t="str">
        <x:v>Caranx</x:v>
      </x:c>
      <x:c r="F7" s="24" t="str">
        <x:v>Jacks</x:v>
      </x:c>
      <x:c r="G7" s="24" t="str">
        <x:v>Medium reef assoc. fish (30 - 89 cm)</x:v>
      </x:c>
      <x:c r="H7" s="24" t="str">
        <x:v>Perch-likes</x:v>
      </x:c>
      <x:c r="I7" s="31" t="n">
        <x:v>123.06640399</x:v>
      </x:c>
      <x:c r="J7" s="31" t="n">
        <x:v>123.06640399</x:v>
      </x:c>
      <x:c r="K7" s="31" t="n">
        <x:v>0</x:v>
      </x:c>
      <x:c r="L7" s="31" t="n">
        <x:v>111.1582566</x:v>
      </x:c>
      <x:c r="M7" s="31" t="n">
        <x:v>11.90814739</x:v>
      </x:c>
      <x:c r="N7" s="24" t="str">
        <x:v>caranx</x:v>
      </x:c>
      <x:c r="O7" s="32" t="n">
        <x:v>4.12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Caranx</x:v>
      </x:c>
      <x:c r="T7" s="32" t="n">
        <x:f>IF(O7="","",(1/'Metadata'!$B$5)^(O7-1))</x:f>
        <x:v>1318.2567385564075</x:v>
      </x:c>
      <x:c r="U7" s="31" t="n">
        <x:f>IF(T7="","",I7*T7)</x:f>
        <x:v>162233.11634972267</x:v>
      </x:c>
    </x:row>
    <x:row r="8" ht="18" customHeight="1">
      <x:c r="A8" s="24" t="str">
        <x:v>EEZ_736</x:v>
      </x:c>
      <x:c r="B8" s="24" t="str">
        <x:v>Sudan</x:v>
      </x:c>
      <x:c r="C8" s="24" t="str">
        <x:v>EEZ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119.48856</x:v>
      </x:c>
      <x:c r="J8" s="31" t="n">
        <x:v>119.48856</x:v>
      </x:c>
      <x:c r="K8" s="31" t="n">
        <x:v>0</x:v>
      </x:c>
      <x:c r="L8" s="31" t="n">
        <x:v>119.48856</x:v>
      </x:c>
      <x:c r="M8" s="31" t="n">
        <x:v>0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134068.36939796736</x:v>
      </x:c>
    </x:row>
    <x:row r="9" ht="18" customHeight="1">
      <x:c r="A9" s="24" t="str">
        <x:v>EEZ_736</x:v>
      </x:c>
      <x:c r="B9" s="24" t="str">
        <x:v>Sudan</x:v>
      </x:c>
      <x:c r="C9" s="24" t="str">
        <x:v>EEZ</x:v>
      </x:c>
      <x:c r="D9" s="30" t="n">
        <x:v>2019</x:v>
      </x:c>
      <x:c r="E9" s="24" t="str">
        <x:v>Gastropoda</x:v>
      </x:c>
      <x:c r="F9" s="24" t="str">
        <x:v>Sea snails</x:v>
      </x:c>
      <x:c r="G9" s="24" t="str">
        <x:v>Other demersal invertebrates</x:v>
      </x:c>
      <x:c r="H9" s="24" t="str">
        <x:v>Molluscs</x:v>
      </x:c>
      <x:c r="I9" s="31" t="n">
        <x:v>46.543902755000005</x:v>
      </x:c>
      <x:c r="J9" s="31" t="n">
        <x:v>46.543902755000005</x:v>
      </x:c>
      <x:c r="K9" s="31" t="n">
        <x:v>0</x:v>
      </x:c>
      <x:c r="L9" s="31" t="n">
        <x:v>46.543902755000005</x:v>
      </x:c>
      <x:c r="M9" s="31" t="n">
        <x:v>0</x:v>
      </x:c>
      <x:c r="N9" s="24" t="str">
        <x:v>gastropoda</x:v>
      </x:c>
      <x:c r="O9" s="32" t="n">
        <x:v>3.06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Gastropoda</x:v>
      </x:c>
      <x:c r="T9" s="32" t="n">
        <x:f>IF(O9="","",(1/'Metadata'!$B$5)^(O9-1))</x:f>
        <x:v>114.81536214968828</x:v>
      </x:c>
      <x:c r="U9" s="31" t="n">
        <x:f>IF(T9="","",I9*T9)</x:f>
        <x:v>5343.955050675199</x:v>
      </x:c>
    </x:row>
    <x:row r="10" ht="18" customHeight="1">
      <x:c r="A10" s="24" t="str">
        <x:v>EEZ_736</x:v>
      </x:c>
      <x:c r="B10" s="24" t="str">
        <x:v>Sudan</x:v>
      </x:c>
      <x:c r="C10" s="24" t="str">
        <x:v>EEZ</x:v>
      </x:c>
      <x:c r="D10" s="30" t="n">
        <x:v>2019</x:v>
      </x:c>
      <x:c r="E10" s="24" t="str">
        <x:v>Holothuroidea</x:v>
      </x:c>
      <x:c r="F10" s="24" t="str">
        <x:v>Sea cucumbers</x:v>
      </x:c>
      <x:c r="G10" s="24" t="str">
        <x:v>Other demersal invertebrates</x:v>
      </x:c>
      <x:c r="H10" s="24" t="str">
        <x:v>Other fishes &amp; inverts</x:v>
      </x:c>
      <x:c r="I10" s="31" t="n">
        <x:v>1.54343755</x:v>
      </x:c>
      <x:c r="J10" s="31" t="n">
        <x:v>1.54343755</x:v>
      </x:c>
      <x:c r="K10" s="31" t="n">
        <x:v>0</x:v>
      </x:c>
      <x:c r="L10" s="31" t="n">
        <x:v>1.54343755</x:v>
      </x:c>
      <x:c r="M10" s="31" t="n">
        <x:v>0</x:v>
      </x:c>
      <x:c r="N10" s="24" t="str">
        <x:v>holothuroidea</x:v>
      </x:c>
      <x:c r="O10" s="32" t="n">
        <x:v>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Holothuroidea</x:v>
      </x:c>
      <x:c r="T10" s="32" t="n">
        <x:f>IF(O10="","",(1/'Metadata'!$B$5)^(O10-1))</x:f>
        <x:v>10</x:v>
      </x:c>
      <x:c r="U10" s="31" t="n">
        <x:f>IF(T10="","",I10*T10)</x:f>
        <x:v>15.4343755</x:v>
      </x:c>
    </x:row>
  </x:sheetData>
  <x:conditionalFormatting sqref="R2:R1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9bac7ef1b3745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Molluscs</x:v>
      </x:c>
      <x:c r="B2" s="33" t="n">
        <x:v>1</x:v>
      </x:c>
      <x:c r="C2" s="33" t="n">
        <x:v>1</x:v>
      </x:c>
      <x:c r="D2" s="31" t="n">
        <x:v>46.543902755000005</x:v>
      </x:c>
      <x:c r="E2" s="31" t="n">
        <x:v>46.543902755000005</x:v>
      </x:c>
      <x:c r="F2" s="32" t="n">
        <x:v>0</x:v>
      </x:c>
      <x:c r="G2" s="34" t="n">
        <x:v>1</x:v>
      </x:c>
      <x:c r="H2" s="32" t="n">
        <x:f>IF(E2=0,"",I2/E2)</x:f>
        <x:v>114.81536214968827</x:v>
      </x:c>
      <x:c r="I2" s="31" t="n">
        <x:f>IF(C2=0,"",SUMIF('Species'!$H$2:$H$10,A2,'Species'!$U$2:$U$10))</x:f>
        <x:v>5343.955050675199</x:v>
      </x:c>
      <x:c r="J2" s="32" t="n">
        <x:v>3.06</x:v>
      </x:c>
      <x:c r="K2" s="32" t="n">
        <x:f>IF(J2="","",(1/'Metadata'!$B$5)^(J2-1))</x:f>
        <x:v>114.81536214968828</x:v>
      </x:c>
      <x:c r="L2" s="31" t="n">
        <x:f>IF(E2=0,"",E2*K2)</x:f>
        <x:v>5343.955050675199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2</x:v>
      </x:c>
      <x:c r="C3" s="33" t="n">
        <x:v>2</x:v>
      </x:c>
      <x:c r="D3" s="31" t="n">
        <x:v>358.404185916</x:v>
      </x:c>
      <x:c r="E3" s="31" t="n">
        <x:v>358.404185916</x:v>
      </x:c>
      <x:c r="F3" s="32" t="n">
        <x:v>0</x:v>
      </x:c>
      <x:c r="G3" s="34" t="n">
        <x:v>1</x:v>
      </x:c>
      <x:c r="H3" s="32" t="n">
        <x:f>IF(E3=0,"",I3/E3)</x:f>
        <x:v>189.76856528924174</x:v>
      </x:c>
      <x:c r="I3" s="31" t="n">
        <x:f>IF(C3=0,"",SUMIF('Species'!$H$2:$H$10,A3,'Species'!$U$2:$U$10))</x:f>
        <x:v>68013.84815493798</x:v>
      </x:c>
      <x:c r="J3" s="32" t="n">
        <x:v>3.274487787415343</x:v>
      </x:c>
      <x:c r="K3" s="32" t="n">
        <x:f>IF(J3="","",(1/'Metadata'!$B$5)^(J3-1))</x:f>
        <x:v>188.14287987270012</x:v>
      </x:c>
      <x:c r="L3" s="31" t="n">
        <x:f>IF(E3=0,"",E3*K3)</x:f>
        <x:v>67431.19569666687</x:v>
      </x:c>
      <x:c r="M3" s="31" t="n">
        <x:f>IF(E3=0,"",I3-L3)</x:f>
        <x:v>582.6524582711136</x:v>
      </x:c>
      <x:c r="N3" s="32" t="n">
        <x:f>IF(L3=0,"",I3/L3)</x:f>
        <x:v>1.0086406959308882</x:v>
      </x:c>
      <x:c r="O3" s="34" t="n">
        <x:f>IF(L3=0,"",M3/L3)</x:f>
        <x:v>0.008640695930888174</x:v>
      </x:c>
    </x:row>
    <x:row r="4" ht="18" customHeight="1">
      <x:c r="A4" s="24" t="str">
        <x:v>Perch-likes</x:v>
      </x:c>
      <x:c r="B4" s="33" t="n">
        <x:v>5</x:v>
      </x:c>
      <x:c r="C4" s="33" t="n">
        <x:v>5</x:v>
      </x:c>
      <x:c r="D4" s="31" t="n">
        <x:v>1379.36426179</x:v>
      </x:c>
      <x:c r="E4" s="31" t="n">
        <x:v>1379.36426179</x:v>
      </x:c>
      <x:c r="F4" s="32" t="n">
        <x:v>0</x:v>
      </x:c>
      <x:c r="G4" s="34" t="n">
        <x:v>1</x:v>
      </x:c>
      <x:c r="H4" s="32" t="n">
        <x:f>IF(E4=0,"",I4/E4)</x:f>
        <x:v>621.8555519106984</x:v>
      </x:c>
      <x:c r="I4" s="31" t="n">
        <x:f>IF(C4=0,"",SUMIF('Species'!$H$2:$H$10,A4,'Species'!$U$2:$U$10))</x:f>
        <x:v>857765.3243013136</x:v>
      </x:c>
      <x:c r="J4" s="32" t="n">
        <x:v>3.487126124651181</x:v>
      </x:c>
      <x:c r="K4" s="32" t="n">
        <x:f>IF(J4="","",(1/'Metadata'!$B$5)^(J4-1))</x:f>
        <x:v>306.9913400913558</x:v>
      </x:c>
      <x:c r="L4" s="31" t="n">
        <x:f>IF(E4=0,"",E4*K4)</x:f>
        <x:v>423452.88320103585</x:v>
      </x:c>
      <x:c r="M4" s="31" t="n">
        <x:f>IF(E4=0,"",I4-L4)</x:f>
        <x:v>434312.44110027776</x:v>
      </x:c>
      <x:c r="N4" s="32" t="n">
        <x:f>IF(L4=0,"",I4/L4)</x:f>
        <x:v>2.025645256721717</x:v>
      </x:c>
      <x:c r="O4" s="34" t="n">
        <x:f>IF(L4=0,"",M4/L4)</x:f>
        <x:v>1.0256452567217174</x:v>
      </x:c>
    </x:row>
    <x:row r="5" ht="18" customHeight="1">
      <x:c r="A5" s="24" t="str">
        <x:v>Sharks &amp; rays</x:v>
      </x:c>
      <x:c r="B5" s="33" t="n">
        <x:v>1</x:v>
      </x:c>
      <x:c r="C5" s="33" t="n">
        <x:v>1</x:v>
      </x:c>
      <x:c r="D5" s="31" t="n">
        <x:v>119.48856</x:v>
      </x:c>
      <x:c r="E5" s="31" t="n">
        <x:v>119.48856</x:v>
      </x:c>
      <x:c r="F5" s="32" t="n">
        <x:v>0</x:v>
      </x:c>
      <x:c r="G5" s="34" t="n">
        <x:v>1</x:v>
      </x:c>
      <x:c r="H5" s="32" t="n">
        <x:f>IF(E5=0,"",I5/E5)</x:f>
        <x:v>1122.018454301963</x:v>
      </x:c>
      <x:c r="I5" s="31" t="n">
        <x:f>IF(C5=0,"",SUMIF('Species'!$H$2:$H$10,A5,'Species'!$U$2:$U$10))</x:f>
        <x:v>134068.36939796736</x:v>
      </x:c>
      <x:c r="J5" s="32" t="n">
        <x:v>4.05</x:v>
      </x:c>
      <x:c r="K5" s="32" t="n">
        <x:f>IF(J5="","",(1/'Metadata'!$B$5)^(J5-1))</x:f>
        <x:v>1122.018454301963</x:v>
      </x:c>
      <x:c r="L5" s="31" t="n">
        <x:f>IF(E5=0,"",E5*K5)</x:f>
        <x:v>134068.36939796736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d5ca4f469e24f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sharks (&gt;=90 cm)</x:v>
      </x:c>
      <x:c r="B2" s="33" t="n">
        <x:v>1</x:v>
      </x:c>
      <x:c r="C2" s="33" t="n">
        <x:v>1</x:v>
      </x:c>
      <x:c r="D2" s="31" t="n">
        <x:v>119.48856</x:v>
      </x:c>
      <x:c r="E2" s="31" t="n">
        <x:v>119.48856</x:v>
      </x:c>
      <x:c r="F2" s="32" t="n">
        <x:v>0</x:v>
      </x:c>
      <x:c r="G2" s="34" t="n">
        <x:v>1</x:v>
      </x:c>
      <x:c r="H2" s="32" t="n">
        <x:f>IF(E2=0,"",I2/E2)</x:f>
        <x:v>1122.018454301963</x:v>
      </x:c>
      <x:c r="I2" s="31" t="n">
        <x:f>IF(C2=0,"",SUMIF('Species'!$G$2:$G$10,A2,'Species'!$U$2:$U$10))</x:f>
        <x:v>134068.36939796736</x:v>
      </x:c>
      <x:c r="J2" s="32" t="n">
        <x:v>4.05</x:v>
      </x:c>
      <x:c r="K2" s="32" t="n">
        <x:f>IF(J2="","",(1/'Metadata'!$B$5)^(J2-1))</x:f>
        <x:v>1122.018454301963</x:v>
      </x:c>
      <x:c r="L2" s="31" t="n">
        <x:f>IF(E2=0,"",E2*K2)</x:f>
        <x:v>134068.36939796736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Medium demersals (30 - 89 cm)</x:v>
      </x:c>
      <x:c r="B3" s="33" t="n">
        <x:v>1</x:v>
      </x:c>
      <x:c r="C3" s="33" t="n">
        <x:v>1</x:v>
      </x:c>
      <x:c r="D3" s="31" t="n">
        <x:v>356.860748366</x:v>
      </x:c>
      <x:c r="E3" s="31" t="n">
        <x:v>356.860748366</x:v>
      </x:c>
      <x:c r="F3" s="32" t="n">
        <x:v>0</x:v>
      </x:c>
      <x:c r="G3" s="34" t="n">
        <x:v>1</x:v>
      </x:c>
      <x:c r="H3" s="32" t="n">
        <x:f>IF(E3=0,"",I3/E3)</x:f>
        <x:v>190.54607179632464</x:v>
      </x:c>
      <x:c r="I3" s="31" t="n">
        <x:f>IF(C3=0,"",SUMIF('Species'!$G$2:$G$10,A3,'Species'!$U$2:$U$10))</x:f>
        <x:v>67998.41377943798</x:v>
      </x:c>
      <x:c r="J3" s="32" t="n">
        <x:v>3.2800000000000002</x:v>
      </x:c>
      <x:c r="K3" s="32" t="n">
        <x:f>IF(J3="","",(1/'Metadata'!$B$5)^(J3-1))</x:f>
        <x:v>190.54607179632484</x:v>
      </x:c>
      <x:c r="L3" s="31" t="n">
        <x:f>IF(E3=0,"",E3*K3)</x:f>
        <x:v>67998.41377943805</x:v>
      </x:c>
      <x:c r="M3" s="31" t="n">
        <x:f>IF(E3=0,"",I3-L3)</x:f>
        <x:v>-7.275957614183426e-11</x:v>
      </x:c>
      <x:c r="N3" s="32" t="n">
        <x:f>IF(L3=0,"",I3/L3)</x:f>
        <x:v>0.9999999999999989</x:v>
      </x:c>
      <x:c r="O3" s="34" t="n">
        <x:f>IF(L3=0,"",M3/L3)</x:f>
        <x:v>-1.0700187268755955e-15</x:v>
      </x:c>
    </x:row>
    <x:row r="4" ht="18" customHeight="1">
      <x:c r="A4" s="24" t="str">
        <x:v>Medium reef assoc. fish (30 - 89 cm)</x:v>
      </x:c>
      <x:c r="B4" s="33" t="n">
        <x:v>5</x:v>
      </x:c>
      <x:c r="C4" s="33" t="n">
        <x:v>5</x:v>
      </x:c>
      <x:c r="D4" s="31" t="n">
        <x:v>1379.36426179</x:v>
      </x:c>
      <x:c r="E4" s="31" t="n">
        <x:v>1379.36426179</x:v>
      </x:c>
      <x:c r="F4" s="32" t="n">
        <x:v>0</x:v>
      </x:c>
      <x:c r="G4" s="34" t="n">
        <x:v>1</x:v>
      </x:c>
      <x:c r="H4" s="32" t="n">
        <x:f>IF(E4=0,"",I4/E4)</x:f>
        <x:v>621.8555519106984</x:v>
      </x:c>
      <x:c r="I4" s="31" t="n">
        <x:f>IF(C4=0,"",SUMIF('Species'!$G$2:$G$10,A4,'Species'!$U$2:$U$10))</x:f>
        <x:v>857765.3243013136</x:v>
      </x:c>
      <x:c r="J4" s="32" t="n">
        <x:v>3.487126124651181</x:v>
      </x:c>
      <x:c r="K4" s="32" t="n">
        <x:f>IF(J4="","",(1/'Metadata'!$B$5)^(J4-1))</x:f>
        <x:v>306.9913400913558</x:v>
      </x:c>
      <x:c r="L4" s="31" t="n">
        <x:f>IF(E4=0,"",E4*K4)</x:f>
        <x:v>423452.88320103585</x:v>
      </x:c>
      <x:c r="M4" s="31" t="n">
        <x:f>IF(E4=0,"",I4-L4)</x:f>
        <x:v>434312.44110027776</x:v>
      </x:c>
      <x:c r="N4" s="32" t="n">
        <x:f>IF(L4=0,"",I4/L4)</x:f>
        <x:v>2.025645256721717</x:v>
      </x:c>
      <x:c r="O4" s="34" t="n">
        <x:f>IF(L4=0,"",M4/L4)</x:f>
        <x:v>1.0256452567217174</x:v>
      </x:c>
    </x:row>
    <x:row r="5" ht="18" customHeight="1">
      <x:c r="A5" s="24" t="str">
        <x:v>Other demersal invertebrates</x:v>
      </x:c>
      <x:c r="B5" s="33" t="n">
        <x:v>2</x:v>
      </x:c>
      <x:c r="C5" s="33" t="n">
        <x:v>2</x:v>
      </x:c>
      <x:c r="D5" s="31" t="n">
        <x:v>48.087340305000005</x:v>
      </x:c>
      <x:c r="E5" s="31" t="n">
        <x:v>48.087340305000005</x:v>
      </x:c>
      <x:c r="F5" s="32" t="n">
        <x:v>0</x:v>
      </x:c>
      <x:c r="G5" s="34" t="n">
        <x:v>1</x:v>
      </x:c>
      <x:c r="H5" s="32" t="n">
        <x:f>IF(E5=0,"",I5/E5)</x:f>
        <x:v>111.45115101360561</x:v>
      </x:c>
      <x:c r="I5" s="31" t="n">
        <x:f>IF(C5=0,"",SUMIF('Species'!$G$2:$G$10,A5,'Species'!$U$2:$U$10))</x:f>
        <x:v>5359.389426175199</x:v>
      </x:c>
      <x:c r="J5" s="32" t="n">
        <x:v>3.025977660801716</x:v>
      </x:c>
      <x:c r="K5" s="32" t="n">
        <x:f>IF(J5="","",(1/'Metadata'!$B$5)^(J5-1))</x:f>
        <x:v>106.16409472080831</x:v>
      </x:c>
      <x:c r="L5" s="31" t="n">
        <x:f>IF(E5=0,"",E5*K5)</x:f>
        <x:v>5105.1489510117635</x:v>
      </x:c>
      <x:c r="M5" s="31" t="n">
        <x:f>IF(E5=0,"",I5-L5)</x:f>
        <x:v>254.2404751634358</x:v>
      </x:c>
      <x:c r="N5" s="32" t="n">
        <x:f>IF(L5=0,"",I5/L5)</x:f>
        <x:v>1.0498007947668302</x:v>
      </x:c>
      <x:c r="O5" s="34" t="n">
        <x:f>IF(L5=0,"",M5/L5)</x:f>
        <x:v>0.049800794766830296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0bc6f4c66cd4b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EEZ_736</x:v>
      </x:c>
      <x:c r="B2" s="24" t="str">
        <x:v>raw_filtered_tonnes</x:v>
      </x:c>
      <x:c r="C2" s="24" t="n">
        <x:v>1903.8009104609998</x:v>
      </x:c>
      <x:c r="D2" s="24" t="str">
        <x:v>tonnes</x:v>
      </x:c>
    </x:row>
    <x:row r="3" ht="18" customHeight="1">
      <x:c r="A3" s="24" t="str">
        <x:v>EEZ_736</x:v>
      </x:c>
      <x:c r="B3" s="24" t="str">
        <x:v>species_catch_tonnes</x:v>
      </x:c>
      <x:c r="C3" s="24" t="n">
        <x:v>1903.800910461</x:v>
      </x:c>
      <x:c r="D3" s="24" t="str">
        <x:v>tonnes</x:v>
      </x:c>
    </x:row>
    <x:row r="4" ht="18" customHeight="1">
      <x:c r="A4" s="24" t="str">
        <x:v>EEZ_736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EEZ_736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EEZ_736</x:v>
      </x:c>
      <x:c r="B6" s="24" t="str">
        <x:v>matched_catch_tonnes</x:v>
      </x:c>
      <x:c r="C6" s="24" t="n">
        <x:v>1903.800910461</x:v>
      </x:c>
      <x:c r="D6" s="24" t="str">
        <x:v>tonnes</x:v>
      </x:c>
    </x:row>
    <x:row r="7" ht="18" customHeight="1">
      <x:c r="A7" s="24" t="str">
        <x:v>EEZ_736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EEZ_736</x:v>
      </x:c>
      <x:c r="B8" s="24" t="str">
        <x:v>taxa_count</x:v>
      </x:c>
      <x:c r="C8" s="24" t="n">
        <x:v>9</x:v>
      </x:c>
      <x:c r="D8" s="24" t="str">
        <x:v>count</x:v>
      </x:c>
    </x:row>
    <x:row r="9" ht="18" customHeight="1">
      <x:c r="A9" s="24" t="str">
        <x:v>EEZ_736</x:v>
      </x:c>
      <x:c r="B9" s="24" t="str">
        <x:v>matched_taxa_count</x:v>
      </x:c>
      <x:c r="C9" s="24" t="n">
        <x:v>9</x:v>
      </x:c>
      <x:c r="D9" s="24" t="str">
        <x:v>count</x:v>
      </x:c>
    </x:row>
    <x:row r="10" ht="18" customHeight="1">
      <x:c r="A10" s="24" t="str">
        <x:v>EEZ_736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EEZ_736</x:v>
      </x:c>
      <x:c r="B11" s="24" t="str">
        <x:v>species_ppr</x:v>
      </x:c>
      <x:c r="C11" s="24" t="n">
        <x:v>1065191.496904894</x:v>
      </x:c>
      <x:c r="D11" s="24" t="str">
        <x:v>tonnes_primary_production_equivalent</x:v>
      </x:c>
    </x:row>
    <x:row r="12" ht="18" customHeight="1">
      <x:c r="A12" s="24" t="str">
        <x:v>EEZ_736</x:v>
      </x:c>
      <x:c r="B12" s="24" t="str">
        <x:v>commercial_ppr</x:v>
      </x:c>
      <x:c r="C12" s="24" t="n">
        <x:v>1065191.4969048942</x:v>
      </x:c>
      <x:c r="D12" s="24" t="str">
        <x:v>tonnes_primary_production_equivalent</x:v>
      </x:c>
    </x:row>
    <x:row r="13" ht="18" customHeight="1">
      <x:c r="A13" s="24" t="str">
        <x:v>EEZ_736</x:v>
      </x:c>
      <x:c r="B13" s="24" t="str">
        <x:v>functional_ppr</x:v>
      </x:c>
      <x:c r="C13" s="24" t="n">
        <x:v>1065191.4969048942</x:v>
      </x:c>
      <x:c r="D13" s="24" t="str">
        <x:v>tonnes_primary_production_equivalent</x:v>
      </x:c>
    </x:row>
    <x:row r="14" ht="18" customHeight="1">
      <x:c r="A14" s="24" t="str">
        <x:v>EEZ_736</x:v>
      </x:c>
      <x:c r="B14" s="24" t="str">
        <x:v>commercial_ppr_difference</x:v>
      </x:c>
      <x:c r="C14" s="24" t="n">
        <x:v>2.3283064365386963e-10</x:v>
      </x:c>
      <x:c r="D14" s="24" t="str">
        <x:v>tonnes_primary_production_equivalent</x:v>
      </x:c>
    </x:row>
    <x:row r="15" ht="18" customHeight="1">
      <x:c r="A15" s="24" t="str">
        <x:v>EEZ_736</x:v>
      </x:c>
      <x:c r="B15" s="24" t="str">
        <x:v>functional_ppr_difference</x:v>
      </x:c>
      <x:c r="C15" s="24" t="n">
        <x:v>2.3283064365386963e-10</x:v>
      </x:c>
      <x:c r="D15" s="24" t="str">
        <x:v>tonnes_primary_production_equivalent</x:v>
      </x:c>
    </x:row>
    <x:row r="16" ht="18" customHeight="1">
      <x:c r="A16" s="24" t="str">
        <x:v>EEZ_736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EEZ_736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EEZ_736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EEZ_736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8c1f9ebe72840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EEZ_736 - Sudan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EEZ_736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raw_data/SAU_downloads/EEZ_736-catch.zip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