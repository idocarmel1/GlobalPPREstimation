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83c11f70c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85df655f14949f8"/>
    <x:sheet xmlns:r="http://schemas.openxmlformats.org/officeDocument/2006/relationships" name="Commercial" sheetId="2" r:id="R98c8746459c1495c"/>
    <x:sheet xmlns:r="http://schemas.openxmlformats.org/officeDocument/2006/relationships" name="Functional" sheetId="3" r:id="R5943a31798b64043"/>
    <x:sheet xmlns:r="http://schemas.openxmlformats.org/officeDocument/2006/relationships" name="Missing TL" sheetId="4" r:id="R5abb18c86cf94d22"/>
    <x:sheet xmlns:r="http://schemas.openxmlformats.org/officeDocument/2006/relationships" name="Validation" sheetId="5" r:id="R20892953b5934cac"/>
    <x:sheet xmlns:r="http://schemas.openxmlformats.org/officeDocument/2006/relationships" name="Metadata" sheetId="6" r:id="Re64ee08b3d58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e05e91a9c4ff2" /><Relationship Type="http://schemas.openxmlformats.org/officeDocument/2006/relationships/theme" Target="/xl/theme/theme1.xml" Id="Rf3e7c9f2275a4493" /><Relationship Type="http://schemas.microsoft.com/office/2022/11/relationships/FeaturePropertyBag" Target="/xl/featurePropertyBag/featurePropertyBag.xml" Id="Rd33435a31e074557" /><Relationship Type="http://schemas.openxmlformats.org/officeDocument/2006/relationships/sharedStrings" Target="/xl/sharedStrings.xml" Id="Re0a94473b47f4343" /><Relationship Type="http://schemas.openxmlformats.org/officeDocument/2006/relationships/worksheet" Target="/xl/worksheets/sheet1.xml" Id="Rf85df655f14949f8" /><Relationship Type="http://schemas.openxmlformats.org/officeDocument/2006/relationships/worksheet" Target="/xl/worksheets/sheet2.xml" Id="R98c8746459c1495c" /><Relationship Type="http://schemas.openxmlformats.org/officeDocument/2006/relationships/worksheet" Target="/xl/worksheets/sheet3.xml" Id="R5943a31798b64043" /><Relationship Type="http://schemas.openxmlformats.org/officeDocument/2006/relationships/worksheet" Target="/xl/worksheets/sheet4.xml" Id="R5abb18c86cf94d22" /><Relationship Type="http://schemas.openxmlformats.org/officeDocument/2006/relationships/worksheet" Target="/xl/worksheets/sheet5.xml" Id="R20892953b5934cac" /><Relationship Type="http://schemas.openxmlformats.org/officeDocument/2006/relationships/worksheet" Target="/xl/worksheets/sheet6.xml" Id="Re64ee08b3d584e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04SpeciesTable" displayName="EEZ404SpeciesTable" ref="A1:U121" headerRowCount="1" totalsRowCount="0" totalsRowShown="0">
  <x:autoFilter ref="A1:U12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04CommercialTable" displayName="EEZ40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04FunctionalTable" displayName="EEZ404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04ValidationTable" displayName="EEZ40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e169aca0444a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71c42a793a40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2ecdcc7fa646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581569878e4d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EEZ_404</x:v>
      </x:c>
      <x:c r="B2" s="24" t="str">
        <x:v>Kenya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4195.9894484915</x:v>
      </x:c>
      <x:c r="J2" s="31" t="n">
        <x:v>4148.1731186603</x:v>
      </x:c>
      <x:c r="K2" s="31" t="n">
        <x:v>47.8163298312</x:v>
      </x:c>
      <x:c r="L2" s="31" t="n">
        <x:v>3678.8487223389</x:v>
      </x:c>
      <x:c r="M2" s="31" t="n">
        <x:v>517.1407261526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799529.3067088821</x:v>
      </x:c>
    </x:row>
    <x:row r="3" ht="18" customHeight="1">
      <x:c r="A3" s="24" t="str">
        <x:v>EEZ_404</x:v>
      </x:c>
      <x:c r="B3" s="24" t="str">
        <x:v>Kenya</x:v>
      </x:c>
      <x:c r="C3" s="24" t="str">
        <x:v>EEZ</x:v>
      </x:c>
      <x:c r="D3" s="30" t="n">
        <x:v>2019</x:v>
      </x:c>
      <x:c r="E3" s="24" t="str">
        <x:v>Siganidae</x:v>
      </x:c>
      <x:c r="F3" s="24" t="str">
        <x:v>Rabbitfishes</x:v>
      </x:c>
      <x:c r="G3" s="24" t="str">
        <x:v>Medium reef assoc. fish (30 - 89 cm)</x:v>
      </x:c>
      <x:c r="H3" s="24" t="str">
        <x:v>Perch-likes</x:v>
      </x:c>
      <x:c r="I3" s="31" t="n">
        <x:v>2297.6393418486</x:v>
      </x:c>
      <x:c r="J3" s="31" t="n">
        <x:v>2297.6393418486</x:v>
      </x:c>
      <x:c r="K3" s="31" t="n">
        <x:v>0</x:v>
      </x:c>
      <x:c r="L3" s="31" t="n">
        <x:v>2205.3086043446</x:v>
      </x:c>
      <x:c r="M3" s="31" t="n">
        <x:v>92.330737504</x:v>
      </x:c>
      <x:c r="N3" s="24" t="str">
        <x:v>siganidae</x:v>
      </x:c>
      <x:c r="O3" s="32" t="n">
        <x:v>2.11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Siganidae</x:v>
      </x:c>
      <x:c r="T3" s="32" t="n">
        <x:f>IF(O3="","",(1/'Metadata'!$B$5)^(O3-1))</x:f>
        <x:v>12.882495516931336</x:v>
      </x:c>
      <x:c r="U3" s="31" t="n">
        <x:f>IF(T3="","",I3*T3)</x:f>
        <x:v>29599.328520889652</x:v>
      </x:c>
    </x:row>
    <x:row r="4" ht="18" customHeight="1">
      <x:c r="A4" s="24" t="str">
        <x:v>EEZ_404</x:v>
      </x:c>
      <x:c r="B4" s="24" t="str">
        <x:v>Kenya</x:v>
      </x:c>
      <x:c r="C4" s="24" t="str">
        <x:v>EEZ</x:v>
      </x:c>
      <x:c r="D4" s="30" t="n">
        <x:v>2019</x:v>
      </x:c>
      <x:c r="E4" s="24" t="str">
        <x:v>Marine groundfishes not identified</x:v>
      </x:c>
      <x:c r="F4" s="24" t="str">
        <x:v>Groundfishes</x:v>
      </x:c>
      <x:c r="G4" s="24" t="str">
        <x:v>Medium demersals (30 - 89 cm)</x:v>
      </x:c>
      <x:c r="H4" s="24" t="str">
        <x:v>Other fishes &amp; inverts</x:v>
      </x:c>
      <x:c r="I4" s="31" t="n">
        <x:v>1820.2355954485001</x:v>
      </x:c>
      <x:c r="J4" s="31" t="n">
        <x:v>1820.2355954485001</x:v>
      </x:c>
      <x:c r="K4" s="31" t="n">
        <x:v>0</x:v>
      </x:c>
      <x:c r="L4" s="31" t="n">
        <x:v>1820.2355954485001</x:v>
      </x:c>
      <x:c r="M4" s="31" t="n">
        <x:v>0</x:v>
      </x:c>
      <x:c r="N4" s="24" t="str">
        <x:v>marine groundfishes not identified</x:v>
      </x:c>
      <x:c r="O4" s="32" t="n">
        <x:v>3.22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groundfishes not identified</x:v>
      </x:c>
      <x:c r="T4" s="32" t="n">
        <x:f>IF(O4="","",(1/'Metadata'!$B$5)^(O4-1))</x:f>
        <x:v>165.95869074375614</x:v>
      </x:c>
      <x:c r="U4" s="31" t="n">
        <x:f>IF(T4="","",I4*T4)</x:f>
        <x:v>302083.91626581445</x:v>
      </x:c>
    </x:row>
    <x:row r="5" ht="18" customHeight="1">
      <x:c r="A5" s="24" t="str">
        <x:v>EEZ_404</x:v>
      </x:c>
      <x:c r="B5" s="24" t="str">
        <x:v>Kenya</x:v>
      </x:c>
      <x:c r="C5" s="24" t="str">
        <x:v>EEZ</x:v>
      </x:c>
      <x:c r="D5" s="30" t="n">
        <x:v>2019</x:v>
      </x:c>
      <x:c r="E5" s="24" t="str">
        <x:v>Lethrinidae</x:v>
      </x:c>
      <x:c r="F5" s="24" t="str">
        <x:v>Emperors, scavengers</x:v>
      </x:c>
      <x:c r="G5" s="24" t="str">
        <x:v>Medium reef assoc. fish (30 - 89 cm)</x:v>
      </x:c>
      <x:c r="H5" s="24" t="str">
        <x:v>Perch-likes</x:v>
      </x:c>
      <x:c r="I5" s="31" t="n">
        <x:v>1713.19395137</x:v>
      </x:c>
      <x:c r="J5" s="31" t="n">
        <x:v>1713.19395137</x:v>
      </x:c>
      <x:c r="K5" s="31" t="n">
        <x:v>0</x:v>
      </x:c>
      <x:c r="L5" s="31" t="n">
        <x:v>1672.5978740952</x:v>
      </x:c>
      <x:c r="M5" s="31" t="n">
        <x:v>40.596077274799995</x:v>
      </x:c>
      <x:c r="N5" s="24" t="str">
        <x:v>lethrinidae</x:v>
      </x:c>
      <x:c r="O5" s="32" t="n">
        <x:v>3.59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Lethrinidae</x:v>
      </x:c>
      <x:c r="T5" s="32" t="n">
        <x:f>IF(O5="","",(1/'Metadata'!$B$5)^(O5-1))</x:f>
        <x:v>389.04514499428046</x:v>
      </x:c>
      <x:c r="U5" s="31" t="n">
        <x:f>IF(T5="","",I5*T5)</x:f>
        <x:v>666509.7892140659</x:v>
      </x:c>
    </x:row>
    <x:row r="6" ht="18" customHeight="1">
      <x:c r="A6" s="24" t="str">
        <x:v>EEZ_404</x:v>
      </x:c>
      <x:c r="B6" s="24" t="str">
        <x:v>Kenya</x:v>
      </x:c>
      <x:c r="C6" s="24" t="str">
        <x:v>EEZ</x:v>
      </x:c>
      <x:c r="D6" s="30" t="n">
        <x:v>2019</x:v>
      </x:c>
      <x:c r="E6" s="24" t="str">
        <x:v>Lutjanidae</x:v>
      </x:c>
      <x:c r="F6" s="24" t="str">
        <x:v>Snappers</x:v>
      </x:c>
      <x:c r="G6" s="24" t="str">
        <x:v>Medium reef assoc. fish (30 - 89 cm)</x:v>
      </x:c>
      <x:c r="H6" s="24" t="str">
        <x:v>Perch-likes</x:v>
      </x:c>
      <x:c r="I6" s="31" t="n">
        <x:v>1527.4524180059</x:v>
      </x:c>
      <x:c r="J6" s="31" t="n">
        <x:v>1527.4524180059</x:v>
      </x:c>
      <x:c r="K6" s="31" t="n">
        <x:v>0</x:v>
      </x:c>
      <x:c r="L6" s="31" t="n">
        <x:v>1444.0434055056999</x:v>
      </x:c>
      <x:c r="M6" s="31" t="n">
        <x:v>83.40901250019999</x:v>
      </x:c>
      <x:c r="N6" s="24" t="str">
        <x:v>lutjanidae</x:v>
      </x:c>
      <x:c r="O6" s="32" t="n">
        <x:v>4.02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Lutjanidae</x:v>
      </x:c>
      <x:c r="T6" s="32" t="n">
        <x:f>IF(O6="","",(1/'Metadata'!$B$5)^(O6-1))</x:f>
        <x:v>1047.1285480508984</x:v>
      </x:c>
      <x:c r="U6" s="31" t="n">
        <x:f>IF(T6="","",I6*T6)</x:f>
        <x:v>1599439.032683352</x:v>
      </x:c>
    </x:row>
    <x:row r="7" ht="18" customHeight="1">
      <x:c r="A7" s="24" t="str">
        <x:v>EEZ_404</x:v>
      </x:c>
      <x:c r="B7" s="24" t="str">
        <x:v>Kenya</x:v>
      </x:c>
      <x:c r="C7" s="24" t="str">
        <x:v>EEZ</x:v>
      </x:c>
      <x:c r="D7" s="30" t="n">
        <x:v>2019</x:v>
      </x:c>
      <x:c r="E7" s="24" t="str">
        <x:v>Octopodidae</x:v>
      </x:c>
      <x:c r="F7" s="24" t="str">
        <x:v>Octopuses</x:v>
      </x:c>
      <x:c r="G7" s="24" t="str">
        <x:v>Cephalopods</x:v>
      </x:c>
      <x:c r="H7" s="24" t="str">
        <x:v>Other fishes &amp; inverts</x:v>
      </x:c>
      <x:c r="I7" s="31" t="n">
        <x:v>1494.0999369465</x:v>
      </x:c>
      <x:c r="J7" s="31" t="n">
        <x:v>1494.0999369465</x:v>
      </x:c>
      <x:c r="K7" s="31" t="n">
        <x:v>0</x:v>
      </x:c>
      <x:c r="L7" s="31" t="n">
        <x:v>1340.8925600135</x:v>
      </x:c>
      <x:c r="M7" s="31" t="n">
        <x:v>153.207376933</x:v>
      </x:c>
      <x:c r="N7" s="24" t="str">
        <x:v>octopodidae</x:v>
      </x:c>
      <x:c r="O7" s="32" t="n">
        <x:v>3.59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Octopodidae</x:v>
      </x:c>
      <x:c r="T7" s="32" t="n">
        <x:f>IF(O7="","",(1/'Metadata'!$B$5)^(O7-1))</x:f>
        <x:v>389.04514499428046</x:v>
      </x:c>
      <x:c r="U7" s="31" t="n">
        <x:f>IF(T7="","",I7*T7)</x:f>
        <x:v>581272.3266052965</x:v>
      </x:c>
    </x:row>
    <x:row r="8" ht="18" customHeight="1">
      <x:c r="A8" s="24" t="str">
        <x:v>EEZ_404</x:v>
      </x:c>
      <x:c r="B8" s="24" t="str">
        <x:v>Kenya</x:v>
      </x:c>
      <x:c r="C8" s="24" t="str">
        <x:v>EEZ</x:v>
      </x:c>
      <x:c r="D8" s="30" t="n">
        <x:v>2019</x:v>
      </x:c>
      <x:c r="E8" s="24" t="str">
        <x:v>Scaridae</x:v>
      </x:c>
      <x:c r="F8" s="24" t="str">
        <x:v>Parrotfishes</x:v>
      </x:c>
      <x:c r="G8" s="24" t="str">
        <x:v>Medium reef assoc. fish (30 - 89 cm)</x:v>
      </x:c>
      <x:c r="H8" s="24" t="str">
        <x:v>Perch-likes</x:v>
      </x:c>
      <x:c r="I8" s="31" t="n">
        <x:v>1074.9081859775</x:v>
      </x:c>
      <x:c r="J8" s="31" t="n">
        <x:v>1074.9081859775</x:v>
      </x:c>
      <x:c r="K8" s="31" t="n">
        <x:v>0</x:v>
      </x:c>
      <x:c r="L8" s="31" t="n">
        <x:v>1070.1706331534</x:v>
      </x:c>
      <x:c r="M8" s="31" t="n">
        <x:v>4.7375528241</x:v>
      </x:c>
      <x:c r="N8" s="24" t="str">
        <x:v>scaridae</x:v>
      </x:c>
      <x:c r="O8" s="32" t="n">
        <x:v>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Scaridae</x:v>
      </x:c>
      <x:c r="T8" s="32" t="n">
        <x:f>IF(O8="","",(1/'Metadata'!$B$5)^(O8-1))</x:f>
        <x:v>10</x:v>
      </x:c>
      <x:c r="U8" s="31" t="n">
        <x:f>IF(T8="","",I8*T8)</x:f>
        <x:v>10749.081859774999</x:v>
      </x:c>
    </x:row>
    <x:row r="9" ht="18" customHeight="1">
      <x:c r="A9" s="24" t="str">
        <x:v>EEZ_404</x:v>
      </x:c>
      <x:c r="B9" s="24" t="str">
        <x:v>Kenya</x:v>
      </x:c>
      <x:c r="C9" s="24" t="str">
        <x:v>EEZ</x:v>
      </x:c>
      <x:c r="D9" s="30" t="n">
        <x:v>2019</x:v>
      </x:c>
      <x:c r="E9" s="24" t="str">
        <x:v>Batoidea</x:v>
      </x:c>
      <x:c r="F9" s="24" t="str">
        <x:v>Batoids, skates, rays, sawfishes</x:v>
      </x:c>
      <x:c r="G9" s="24" t="str">
        <x:v>Large rays (&gt;=90 cm)</x:v>
      </x:c>
      <x:c r="H9" s="24" t="str">
        <x:v>Sharks &amp; rays</x:v>
      </x:c>
      <x:c r="I9" s="31" t="n">
        <x:v>1012.9104541319999</x:v>
      </x:c>
      <x:c r="J9" s="31" t="n">
        <x:v>1012.9104541319999</x:v>
      </x:c>
      <x:c r="K9" s="31" t="n">
        <x:v>0</x:v>
      </x:c>
      <x:c r="L9" s="31" t="n">
        <x:v>990.073339154</x:v>
      </x:c>
      <x:c r="M9" s="31" t="n">
        <x:v>22.837114978</x:v>
      </x:c>
      <x:c r="N9" s="24" t="str">
        <x:v>batoidea</x:v>
      </x:c>
      <x:c r="O9" s="32" t="n">
        <x:v>3.72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Batoidea</x:v>
      </x:c>
      <x:c r="T9" s="32" t="n">
        <x:f>IF(O9="","",(1/'Metadata'!$B$5)^(O9-1))</x:f>
        <x:v>524.8074602497728</x:v>
      </x:c>
      <x:c r="U9" s="31" t="n">
        <x:f>IF(T9="","",I9*T9)</x:f>
        <x:v>531582.9628934589</x:v>
      </x:c>
    </x:row>
    <x:row r="10" ht="18" customHeight="1">
      <x:c r="A10" s="24" t="str">
        <x:v>EEZ_404</x:v>
      </x:c>
      <x:c r="B10" s="24" t="str">
        <x:v>Kenya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996.5992287075</x:v>
      </x:c>
      <x:c r="J10" s="31" t="n">
        <x:v>996.5992287075</x:v>
      </x:c>
      <x:c r="K10" s="31" t="n">
        <x:v>0</x:v>
      </x:c>
      <x:c r="L10" s="31" t="n">
        <x:v>928.4094198375001</x:v>
      </x:c>
      <x:c r="M10" s="31" t="n">
        <x:v>68.18980887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1813512.472169084</x:v>
      </x:c>
    </x:row>
    <x:row r="11" ht="18" customHeight="1">
      <x:c r="A11" s="24" t="str">
        <x:v>EEZ_404</x:v>
      </x:c>
      <x:c r="B11" s="24" t="str">
        <x:v>Kenya</x:v>
      </x:c>
      <x:c r="C11" s="24" t="str">
        <x:v>EEZ</x:v>
      </x:c>
      <x:c r="D11" s="30" t="n">
        <x:v>2019</x:v>
      </x:c>
      <x:c r="E11" s="24" t="str">
        <x:v>Carangidae</x:v>
      </x:c>
      <x:c r="F11" s="24" t="str">
        <x:v>Jacks, pompanos</x:v>
      </x:c>
      <x:c r="G11" s="24" t="str">
        <x:v>Medium pelagics (30 - 89 cm)</x:v>
      </x:c>
      <x:c r="H11" s="24" t="str">
        <x:v>Perch-likes</x:v>
      </x:c>
      <x:c r="I11" s="31" t="n">
        <x:v>976.6571008928</x:v>
      </x:c>
      <x:c r="J11" s="31" t="n">
        <x:v>976.6571008928</x:v>
      </x:c>
      <x:c r="K11" s="31" t="n">
        <x:v>0</x:v>
      </x:c>
      <x:c r="L11" s="31" t="n">
        <x:v>933.2069378492</x:v>
      </x:c>
      <x:c r="M11" s="31" t="n">
        <x:v>43.4501630436</x:v>
      </x:c>
      <x:c r="N11" s="24" t="str">
        <x:v>carangidae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Carangidae</x:v>
      </x:c>
      <x:c r="T11" s="32" t="n">
        <x:f>IF(O11="","",(1/'Metadata'!$B$5)^(O11-1))</x:f>
        <x:v>1122.018454301963</x:v>
      </x:c>
      <x:c r="U11" s="31" t="n">
        <x:f>IF(T11="","",I11*T11)</x:f>
        <x:v>1095827.2907267758</x:v>
      </x:c>
    </x:row>
    <x:row r="12" ht="18" customHeight="1">
      <x:c r="A12" s="24" t="str">
        <x:v>EEZ_404</x:v>
      </x:c>
      <x:c r="B12" s="24" t="str">
        <x:v>Kenya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965.2721193659</x:v>
      </x:c>
      <x:c r="J12" s="31" t="n">
        <x:v>965.2721193659</x:v>
      </x:c>
      <x:c r="K12" s="31" t="n">
        <x:v>0</x:v>
      </x:c>
      <x:c r="L12" s="31" t="n">
        <x:v>965.0928573229</x:v>
      </x:c>
      <x:c r="M12" s="31" t="n">
        <x:v>0.179262043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1083053.131351707</x:v>
      </x:c>
    </x:row>
    <x:row r="13" ht="18" customHeight="1">
      <x:c r="A13" s="24" t="str">
        <x:v>EEZ_404</x:v>
      </x:c>
      <x:c r="B13" s="24" t="str">
        <x:v>Kenya</x:v>
      </x:c>
      <x:c r="C13" s="24" t="str">
        <x:v>EEZ</x:v>
      </x:c>
      <x:c r="D13" s="30" t="n">
        <x:v>2019</x:v>
      </x:c>
      <x:c r="E13" s="24" t="str">
        <x:v>Sphyraenidae</x:v>
      </x:c>
      <x:c r="F13" s="24" t="str">
        <x:v>Barracudas</x:v>
      </x:c>
      <x:c r="G13" s="24" t="str">
        <x:v>Medium reef assoc. fish (30 - 89 cm)</x:v>
      </x:c>
      <x:c r="H13" s="24" t="str">
        <x:v>Perch-likes</x:v>
      </x:c>
      <x:c r="I13" s="31" t="n">
        <x:v>803.9173724795</x:v>
      </x:c>
      <x:c r="J13" s="31" t="n">
        <x:v>803.9173724795</x:v>
      </x:c>
      <x:c r="K13" s="31" t="n">
        <x:v>0</x:v>
      </x:c>
      <x:c r="L13" s="31" t="n">
        <x:v>776.0358634428</x:v>
      </x:c>
      <x:c r="M13" s="31" t="n">
        <x:v>27.881509036700002</x:v>
      </x:c>
      <x:c r="N13" s="24" t="str">
        <x:v>sphyraenidae</x:v>
      </x:c>
      <x:c r="O13" s="32" t="n">
        <x:v>4.4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Sphyraenidae</x:v>
      </x:c>
      <x:c r="T13" s="32" t="n">
        <x:f>IF(O13="","",(1/'Metadata'!$B$5)^(O13-1))</x:f>
        <x:v>2511.886431509582</x:v>
      </x:c>
      <x:c r="U13" s="31" t="n">
        <x:f>IF(T13="","",I13*T13)</x:f>
        <x:v>2019349.1399860908</x:v>
      </x:c>
    </x:row>
    <x:row r="14" ht="18" customHeight="1">
      <x:c r="A14" s="24" t="str">
        <x:v>EEZ_404</x:v>
      </x:c>
      <x:c r="B14" s="24" t="str">
        <x:v>Kenya</x:v>
      </x:c>
      <x:c r="C14" s="24" t="str">
        <x:v>EEZ</x:v>
      </x:c>
      <x:c r="D14" s="30" t="n">
        <x:v>2019</x:v>
      </x:c>
      <x:c r="E14" s="24" t="str">
        <x:v>Clupeidae</x:v>
      </x:c>
      <x:c r="F14" s="24" t="str">
        <x:v>Herrings, sardines, menhadens</x:v>
      </x:c>
      <x:c r="G14" s="24" t="str">
        <x:v>Small pelagics (&lt;30 cm)</x:v>
      </x:c>
      <x:c r="H14" s="24" t="str">
        <x:v>Herring-likes</x:v>
      </x:c>
      <x:c r="I14" s="31" t="n">
        <x:v>791.0471089393001</x:v>
      </x:c>
      <x:c r="J14" s="31" t="n">
        <x:v>791.0471089393001</x:v>
      </x:c>
      <x:c r="K14" s="31" t="n">
        <x:v>0</x:v>
      </x:c>
      <x:c r="L14" s="31" t="n">
        <x:v>741.2235554393001</x:v>
      </x:c>
      <x:c r="M14" s="31" t="n">
        <x:v>49.8235535</x:v>
      </x:c>
      <x:c r="N14" s="24" t="str">
        <x:v>clupeidae</x:v>
      </x:c>
      <x:c r="O14" s="32" t="n">
        <x:v>3.16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Clupeidae</x:v>
      </x:c>
      <x:c r="T14" s="32" t="n">
        <x:f>IF(O14="","",(1/'Metadata'!$B$5)^(O14-1))</x:f>
        <x:v>144.5439770745928</x:v>
      </x:c>
      <x:c r="U14" s="31" t="n">
        <x:f>IF(T14="","",I14*T14)</x:f>
        <x:v>114341.0951794451</x:v>
      </x:c>
    </x:row>
    <x:row r="15" ht="18" customHeight="1">
      <x:c r="A15" s="24" t="str">
        <x:v>EEZ_404</x:v>
      </x:c>
      <x:c r="B15" s="24" t="str">
        <x:v>Kenya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768.8539703061</x:v>
      </x:c>
      <x:c r="J15" s="31" t="n">
        <x:v>768.8539703061</x:v>
      </x:c>
      <x:c r="K15" s="31" t="n">
        <x:v>0</x:v>
      </x:c>
      <x:c r="L15" s="31" t="n">
        <x:v>768.8539703061</x:v>
      </x:c>
      <x:c r="M15" s="31" t="n">
        <x:v>0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172124.96357964608</x:v>
      </x:c>
    </x:row>
    <x:row r="16" ht="18" customHeight="1">
      <x:c r="A16" s="24" t="str">
        <x:v>EEZ_404</x:v>
      </x:c>
      <x:c r="B16" s="24" t="str">
        <x:v>Kenya</x:v>
      </x:c>
      <x:c r="C16" s="24" t="str">
        <x:v>EEZ</x:v>
      </x:c>
      <x:c r="D16" s="30" t="n">
        <x:v>2019</x:v>
      </x:c>
      <x:c r="E16" s="24" t="str">
        <x:v>Scomberomorus commerson</x:v>
      </x:c>
      <x:c r="F16" s="24" t="str">
        <x:v>Narrow-barred Spanish mackerel</x:v>
      </x:c>
      <x:c r="G16" s="24" t="str">
        <x:v>Large pelagics (&gt;=90 cm)</x:v>
      </x:c>
      <x:c r="H16" s="24" t="str">
        <x:v>Perch-likes</x:v>
      </x:c>
      <x:c r="I16" s="31" t="n">
        <x:v>713.3549309518</x:v>
      </x:c>
      <x:c r="J16" s="31" t="n">
        <x:v>713.3549309518</x:v>
      </x:c>
      <x:c r="K16" s="31" t="n">
        <x:v>0</x:v>
      </x:c>
      <x:c r="L16" s="31" t="n">
        <x:v>712.604542194</x:v>
      </x:c>
      <x:c r="M16" s="31" t="n">
        <x:v>0.7503887578</x:v>
      </x:c>
      <x:c r="N16" s="24" t="str">
        <x:v>scomberomorus commerson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Scomberomorus commerson</x:v>
      </x:c>
      <x:c r="T16" s="32" t="n">
        <x:f>IF(O16="","",(1/'Metadata'!$B$5)^(O16-1))</x:f>
        <x:v>3162.2776601683795</x:v>
      </x:c>
      <x:c r="U16" s="31" t="n">
        <x:f>IF(T16="","",I16*T16)</x:f>
        <x:v>2255826.3619198343</x:v>
      </x:c>
    </x:row>
    <x:row r="17" ht="18" customHeight="1">
      <x:c r="A17" s="24" t="str">
        <x:v>EEZ_404</x:v>
      </x:c>
      <x:c r="B17" s="24" t="str">
        <x:v>Kenya</x:v>
      </x:c>
      <x:c r="C17" s="24" t="str">
        <x:v>EEZ</x:v>
      </x:c>
      <x:c r="D17" s="30" t="n">
        <x:v>2019</x:v>
      </x:c>
      <x:c r="E17" s="24" t="str">
        <x:v>Hemiramphidae</x:v>
      </x:c>
      <x:c r="F17" s="24" t="str">
        <x:v>Halfbeaks, garfishes</x:v>
      </x:c>
      <x:c r="G17" s="24" t="str">
        <x:v>Medium pelagics (30 - 89 cm)</x:v>
      </x:c>
      <x:c r="H17" s="24" t="str">
        <x:v>Other fishes &amp; inverts</x:v>
      </x:c>
      <x:c r="I17" s="31" t="n">
        <x:v>695.3521805830999</x:v>
      </x:c>
      <x:c r="J17" s="31" t="n">
        <x:v>695.3521805830999</x:v>
      </x:c>
      <x:c r="K17" s="31" t="n">
        <x:v>0</x:v>
      </x:c>
      <x:c r="L17" s="31" t="n">
        <x:v>681.2118371032</x:v>
      </x:c>
      <x:c r="M17" s="31" t="n">
        <x:v>14.1403434799</x:v>
      </x:c>
      <x:c r="N17" s="24" t="str">
        <x:v>hemiramphidae</x:v>
      </x:c>
      <x:c r="O17" s="32" t="n">
        <x:v>2.82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Hemiramphidae</x:v>
      </x:c>
      <x:c r="T17" s="32" t="n">
        <x:f>IF(O17="","",(1/'Metadata'!$B$5)^(O17-1))</x:f>
        <x:v>66.06934480075958</x:v>
      </x:c>
      <x:c r="U17" s="31" t="n">
        <x:f>IF(T17="","",I17*T17)</x:f>
        <x:v>45941.46297690487</x:v>
      </x:c>
    </x:row>
    <x:row r="18" ht="18" customHeight="1">
      <x:c r="A18" s="24" t="str">
        <x:v>EEZ_404</x:v>
      </x:c>
      <x:c r="B18" s="24" t="str">
        <x:v>Kenya</x:v>
      </x:c>
      <x:c r="C18" s="24" t="str">
        <x:v>EEZ</x:v>
      </x:c>
      <x:c r="D18" s="30" t="n">
        <x:v>2019</x:v>
      </x:c>
      <x:c r="E18" s="24" t="str">
        <x:v>Serranidae</x:v>
      </x:c>
      <x:c r="F18" s="24" t="str">
        <x:v>Basses, groupers, hinds</x:v>
      </x:c>
      <x:c r="G18" s="24" t="str">
        <x:v>Medium reef assoc. fish (30 - 89 cm)</x:v>
      </x:c>
      <x:c r="H18" s="24" t="str">
        <x:v>Perch-likes</x:v>
      </x:c>
      <x:c r="I18" s="31" t="n">
        <x:v>593.0809664902</x:v>
      </x:c>
      <x:c r="J18" s="31" t="n">
        <x:v>593.0809664902</x:v>
      </x:c>
      <x:c r="K18" s="31" t="n">
        <x:v>0</x:v>
      </x:c>
      <x:c r="L18" s="31" t="n">
        <x:v>576.02836738</x:v>
      </x:c>
      <x:c r="M18" s="31" t="n">
        <x:v>17.0525991102</x:v>
      </x:c>
      <x:c r="N18" s="24" t="str">
        <x:v>serranidae</x:v>
      </x:c>
      <x:c r="O18" s="32" t="n">
        <x:v>3.98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Serranidae</x:v>
      </x:c>
      <x:c r="T18" s="32" t="n">
        <x:f>IF(O18="","",(1/'Metadata'!$B$5)^(O18-1))</x:f>
        <x:v>954.992586021436</x:v>
      </x:c>
      <x:c r="U18" s="31" t="n">
        <x:f>IF(T18="","",I18*T18)</x:f>
        <x:v>566387.9259085687</x:v>
      </x:c>
    </x:row>
    <x:row r="19" ht="18" customHeight="1">
      <x:c r="A19" s="24" t="str">
        <x:v>EEZ_404</x:v>
      </x:c>
      <x:c r="B19" s="24" t="str">
        <x:v>Kenya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529.0256666729</x:v>
      </x:c>
      <x:c r="J19" s="31" t="n">
        <x:v>529.0256666729</x:v>
      </x:c>
      <x:c r="K19" s="31" t="n">
        <x:v>0</x:v>
      </x:c>
      <x:c r="L19" s="31" t="n">
        <x:v>522.8803223338</x:v>
      </x:c>
      <x:c r="M19" s="31" t="n">
        <x:v>6.1453443391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17925.725559975777</x:v>
      </x:c>
    </x:row>
    <x:row r="20" ht="18" customHeight="1">
      <x:c r="A20" s="24" t="str">
        <x:v>EEZ_404</x:v>
      </x:c>
      <x:c r="B20" s="24" t="str">
        <x:v>Kenya</x:v>
      </x:c>
      <x:c r="C20" s="24" t="str">
        <x:v>EEZ</x:v>
      </x:c>
      <x:c r="D20" s="30" t="n">
        <x:v>2019</x:v>
      </x:c>
      <x:c r="E20" s="24" t="str">
        <x:v>Palinuridae</x:v>
      </x:c>
      <x:c r="F20" s="24" t="str">
        <x:v>Spiny lobsters</x:v>
      </x:c>
      <x:c r="G20" s="24" t="str">
        <x:v>Lobsters, crabs</x:v>
      </x:c>
      <x:c r="H20" s="24" t="str">
        <x:v>Crustaceans</x:v>
      </x:c>
      <x:c r="I20" s="31" t="n">
        <x:v>493.8710937511</x:v>
      </x:c>
      <x:c r="J20" s="31" t="n">
        <x:v>493.8710937511</x:v>
      </x:c>
      <x:c r="K20" s="31" t="n">
        <x:v>0</x:v>
      </x:c>
      <x:c r="L20" s="31" t="n">
        <x:v>463.0726570715</x:v>
      </x:c>
      <x:c r="M20" s="31" t="n">
        <x:v>30.798436679599998</x:v>
      </x:c>
      <x:c r="N20" s="24" t="str">
        <x:v>palinuridae</x:v>
      </x:c>
      <x:c r="O20" s="32" t="n">
        <x:v>3.14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Palinuridae</x:v>
      </x:c>
      <x:c r="T20" s="32" t="n">
        <x:f>IF(O20="","",(1/'Metadata'!$B$5)^(O20-1))</x:f>
        <x:v>138.03842646028852</x:v>
      </x:c>
      <x:c r="U20" s="31" t="n">
        <x:f>IF(T20="","",I20*T20)</x:f>
        <x:v>68173.18865562347</x:v>
      </x:c>
    </x:row>
    <x:row r="21" ht="18" customHeight="1">
      <x:c r="A21" s="24" t="str">
        <x:v>EEZ_404</x:v>
      </x:c>
      <x:c r="B21" s="24" t="str">
        <x:v>Kenya</x:v>
      </x:c>
      <x:c r="C21" s="24" t="str">
        <x:v>EEZ</x:v>
      </x:c>
      <x:c r="D21" s="30" t="n">
        <x:v>2019</x:v>
      </x:c>
      <x:c r="E21" s="24" t="str">
        <x:v>Carcharhinidae</x:v>
      </x:c>
      <x:c r="F21" s="24" t="str">
        <x:v>Requiem sharks</x:v>
      </x:c>
      <x:c r="G21" s="24" t="str">
        <x:v>Large sharks (&gt;=90 cm)</x:v>
      </x:c>
      <x:c r="H21" s="24" t="str">
        <x:v>Sharks &amp; rays</x:v>
      </x:c>
      <x:c r="I21" s="31" t="n">
        <x:v>461.12250431030003</x:v>
      </x:c>
      <x:c r="J21" s="31" t="n">
        <x:v>461.12250431030003</x:v>
      </x:c>
      <x:c r="K21" s="31" t="n">
        <x:v>0</x:v>
      </x:c>
      <x:c r="L21" s="31" t="n">
        <x:v>461.12250431030003</x:v>
      </x:c>
      <x:c r="M21" s="31" t="n">
        <x:v>0</x:v>
      </x:c>
      <x:c r="N21" s="24" t="str">
        <x:v>carcharhinidae</x:v>
      </x:c>
      <x:c r="O21" s="32" t="n">
        <x:v>4.24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Carcharhinidae</x:v>
      </x:c>
      <x:c r="T21" s="32" t="n">
        <x:f>IF(O21="","",(1/'Metadata'!$B$5)^(O21-1))</x:f>
        <x:v>1737.8008287493763</x:v>
      </x:c>
      <x:c r="U21" s="31" t="n">
        <x:f>IF(T21="","",I21*T21)</x:f>
        <x:v>801339.0701454272</x:v>
      </x:c>
    </x:row>
    <x:row r="22" ht="18" customHeight="1">
      <x:c r="A22" s="24" t="str">
        <x:v>EEZ_404</x:v>
      </x:c>
      <x:c r="B22" s="24" t="str">
        <x:v>Kenya</x:v>
      </x:c>
      <x:c r="C22" s="24" t="str">
        <x:v>EEZ</x:v>
      </x:c>
      <x:c r="D22" s="30" t="n">
        <x:v>2019</x:v>
      </x:c>
      <x:c r="E22" s="24" t="str">
        <x:v>Haemulidae</x:v>
      </x:c>
      <x:c r="F22" s="24" t="str">
        <x:v>Grunts, sweetlips, bonnetmouths</x:v>
      </x:c>
      <x:c r="G22" s="24" t="str">
        <x:v>Medium demersals (30 - 89 cm)</x:v>
      </x:c>
      <x:c r="H22" s="24" t="str">
        <x:v>Perch-likes</x:v>
      </x:c>
      <x:c r="I22" s="31" t="n">
        <x:v>455.6106021337</x:v>
      </x:c>
      <x:c r="J22" s="31" t="n">
        <x:v>455.6106021337</x:v>
      </x:c>
      <x:c r="K22" s="31" t="n">
        <x:v>0</x:v>
      </x:c>
      <x:c r="L22" s="31" t="n">
        <x:v>440.8474747579</x:v>
      </x:c>
      <x:c r="M22" s="31" t="n">
        <x:v>14.7631273758</x:v>
      </x:c>
      <x:c r="N22" s="24" t="str">
        <x:v>haemulidae</x:v>
      </x:c>
      <x:c r="O22" s="32" t="n">
        <x:v>3.36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Haemulidae</x:v>
      </x:c>
      <x:c r="T22" s="32" t="n">
        <x:f>IF(O22="","",(1/'Metadata'!$B$5)^(O22-1))</x:f>
        <x:v>229.08676527677724</x:v>
      </x:c>
      <x:c r="U22" s="31" t="n">
        <x:f>IF(T22="","",I22*T22)</x:f>
        <x:v>104374.35906861408</x:v>
      </x:c>
    </x:row>
    <x:row r="23" ht="18" customHeight="1">
      <x:c r="A23" s="24" t="str">
        <x:v>EEZ_404</x:v>
      </x:c>
      <x:c r="B23" s="24" t="str">
        <x:v>Kenya</x:v>
      </x:c>
      <x:c r="C23" s="24" t="str">
        <x:v>EEZ</x:v>
      </x:c>
      <x:c r="D23" s="30" t="n">
        <x:v>2019</x:v>
      </x:c>
      <x:c r="E23" s="24" t="str">
        <x:v>Acanthuridae</x:v>
      </x:c>
      <x:c r="F23" s="24" t="str">
        <x:v>Surgeons, tangs, unicornfishes</x:v>
      </x:c>
      <x:c r="G23" s="24" t="str">
        <x:v>Small reef assoc. fish (&lt;30 cm)</x:v>
      </x:c>
      <x:c r="H23" s="24" t="str">
        <x:v>Perch-likes</x:v>
      </x:c>
      <x:c r="I23" s="31" t="n">
        <x:v>392.9433413961</x:v>
      </x:c>
      <x:c r="J23" s="31" t="n">
        <x:v>392.9433413961</x:v>
      </x:c>
      <x:c r="K23" s="31" t="n">
        <x:v>0</x:v>
      </x:c>
      <x:c r="L23" s="31" t="n">
        <x:v>392.5139244862</x:v>
      </x:c>
      <x:c r="M23" s="31" t="n">
        <x:v>0.4294169099</x:v>
      </x:c>
      <x:c r="N23" s="24" t="str">
        <x:v>acanthuridae</x:v>
      </x:c>
      <x:c r="O23" s="32" t="n">
        <x:v>2.28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Acanthuridae</x:v>
      </x:c>
      <x:c r="T23" s="32" t="n">
        <x:f>IF(O23="","",(1/'Metadata'!$B$5)^(O23-1))</x:f>
        <x:v>19.054607179632463</x:v>
      </x:c>
      <x:c r="U23" s="31" t="n">
        <x:f>IF(T23="","",I23*T23)</x:f>
        <x:v>7487.381014154897</x:v>
      </x:c>
    </x:row>
    <x:row r="24" ht="18" customHeight="1">
      <x:c r="A24" s="24" t="str">
        <x:v>EEZ_404</x:v>
      </x:c>
      <x:c r="B24" s="24" t="str">
        <x:v>Kenya</x:v>
      </x:c>
      <x:c r="C24" s="24" t="str">
        <x:v>EEZ</x:v>
      </x:c>
      <x:c r="D24" s="30" t="n">
        <x:v>2019</x:v>
      </x:c>
      <x:c r="E24" s="24" t="str">
        <x:v>Teuthida</x:v>
      </x:c>
      <x:c r="F24" s="24" t="str">
        <x:v>Squids</x:v>
      </x:c>
      <x:c r="G24" s="24" t="str">
        <x:v>Cephalopods</x:v>
      </x:c>
      <x:c r="H24" s="24" t="str">
        <x:v>Other fishes &amp; inverts</x:v>
      </x:c>
      <x:c r="I24" s="31" t="n">
        <x:v>385.9618123355</x:v>
      </x:c>
      <x:c r="J24" s="31" t="n">
        <x:v>385.9618123355</x:v>
      </x:c>
      <x:c r="K24" s="31" t="n">
        <x:v>0</x:v>
      </x:c>
      <x:c r="L24" s="31" t="n">
        <x:v>375.3981510013</x:v>
      </x:c>
      <x:c r="M24" s="31" t="n">
        <x:v>10.563661334199999</x:v>
      </x:c>
      <x:c r="N24" s="24" t="str">
        <x:v>teuthida</x:v>
      </x:c>
      <x:c r="O24" s="32" t="n">
        <x:v>4.13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Teuthida</x:v>
      </x:c>
      <x:c r="T24" s="32" t="n">
        <x:f>IF(O24="","",(1/'Metadata'!$B$5)^(O24-1))</x:f>
        <x:v>1348.9628825916532</x:v>
      </x:c>
      <x:c r="U24" s="31" t="n">
        <x:f>IF(T24="","",I24*T24)</x:f>
        <x:v>520648.15893839474</x:v>
      </x:c>
    </x:row>
    <x:row r="25" ht="18" customHeight="1">
      <x:c r="A25" s="24" t="str">
        <x:v>EEZ_404</x:v>
      </x:c>
      <x:c r="B25" s="24" t="str">
        <x:v>Kenya</x:v>
      </x:c>
      <x:c r="C25" s="24" t="str">
        <x:v>EEZ</x:v>
      </x:c>
      <x:c r="D25" s="30" t="n">
        <x:v>2019</x:v>
      </x:c>
      <x:c r="E25" s="24" t="str">
        <x:v>Istiophorus platypterus</x:v>
      </x:c>
      <x:c r="F25" s="24" t="str">
        <x:v>Indo-Pacific sailfish</x:v>
      </x:c>
      <x:c r="G25" s="24" t="str">
        <x:v>Large pelagics (&gt;=90 cm)</x:v>
      </x:c>
      <x:c r="H25" s="24" t="str">
        <x:v>Tuna &amp; billfishes</x:v>
      </x:c>
      <x:c r="I25" s="31" t="n">
        <x:v>346.75396015809997</x:v>
      </x:c>
      <x:c r="J25" s="31" t="n">
        <x:v>346.75396015809997</x:v>
      </x:c>
      <x:c r="K25" s="31" t="n">
        <x:v>0</x:v>
      </x:c>
      <x:c r="L25" s="31" t="n">
        <x:v>337.6010856919</x:v>
      </x:c>
      <x:c r="M25" s="31" t="n">
        <x:v>9.1528744662</x:v>
      </x:c>
      <x:c r="N25" s="24" t="str">
        <x:v>istiophorus platypterus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Istiophorus platypterus</x:v>
      </x:c>
      <x:c r="T25" s="32" t="n">
        <x:f>IF(O25="","",(1/'Metadata'!$B$5)^(O25-1))</x:f>
        <x:v>3162.2776601683795</x:v>
      </x:c>
      <x:c r="U25" s="31" t="n">
        <x:f>IF(T25="","",I25*T25)</x:f>
        <x:v>1096532.3017828758</x:v>
      </x:c>
    </x:row>
    <x:row r="26" ht="18" customHeight="1">
      <x:c r="A26" s="24" t="str">
        <x:v>EEZ_404</x:v>
      </x:c>
      <x:c r="B26" s="24" t="str">
        <x:v>Kenya</x:v>
      </x:c>
      <x:c r="C26" s="24" t="str">
        <x:v>EEZ</x:v>
      </x:c>
      <x:c r="D26" s="30" t="n">
        <x:v>2019</x:v>
      </x:c>
      <x:c r="E26" s="24" t="str">
        <x:v>Gerreidae</x:v>
      </x:c>
      <x:c r="F26" s="24" t="str">
        <x:v>Mojarras, silverbellies</x:v>
      </x:c>
      <x:c r="G26" s="24" t="str">
        <x:v>Small benthopelagics (&lt;30 cm)</x:v>
      </x:c>
      <x:c r="H26" s="24" t="str">
        <x:v>Perch-likes</x:v>
      </x:c>
      <x:c r="I26" s="31" t="n">
        <x:v>323.39055295459997</x:v>
      </x:c>
      <x:c r="J26" s="31" t="n">
        <x:v>323.39055295459997</x:v>
      </x:c>
      <x:c r="K26" s="31" t="n">
        <x:v>0</x:v>
      </x:c>
      <x:c r="L26" s="31" t="n">
        <x:v>309.4069989537</x:v>
      </x:c>
      <x:c r="M26" s="31" t="n">
        <x:v>13.9835540009</x:v>
      </x:c>
      <x:c r="N26" s="24" t="str">
        <x:v>gerreidae</x:v>
      </x:c>
      <x:c r="O26" s="32" t="n">
        <x:v>3.03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Gerreidae</x:v>
      </x:c>
      <x:c r="T26" s="32" t="n">
        <x:f>IF(O26="","",(1/'Metadata'!$B$5)^(O26-1))</x:f>
        <x:v>107.1519305237606</x:v>
      </x:c>
      <x:c r="U26" s="31" t="n">
        <x:f>IF(T26="","",I26*T26)</x:f>
        <x:v>34651.92206223182</x:v>
      </x:c>
    </x:row>
    <x:row r="27" ht="18" customHeight="1">
      <x:c r="A27" s="24" t="str">
        <x:v>EEZ_404</x:v>
      </x:c>
      <x:c r="B27" s="24" t="str">
        <x:v>Kenya</x:v>
      </x:c>
      <x:c r="C27" s="24" t="str">
        <x:v>EEZ</x:v>
      </x:c>
      <x:c r="D27" s="30" t="n">
        <x:v>2019</x:v>
      </x:c>
      <x:c r="E27" s="24" t="str">
        <x:v>Xiphias gladius</x:v>
      </x:c>
      <x:c r="F27" s="24" t="str">
        <x:v>Swordfish</x:v>
      </x:c>
      <x:c r="G27" s="24" t="str">
        <x:v>Large pelagics (&gt;=90 cm)</x:v>
      </x:c>
      <x:c r="H27" s="24" t="str">
        <x:v>Tuna &amp; billfishes</x:v>
      </x:c>
      <x:c r="I27" s="31" t="n">
        <x:v>270.7247001044</x:v>
      </x:c>
      <x:c r="J27" s="31" t="n">
        <x:v>270.7247001044</x:v>
      </x:c>
      <x:c r="K27" s="31" t="n">
        <x:v>0</x:v>
      </x:c>
      <x:c r="L27" s="31" t="n">
        <x:v>270.082949854</x:v>
      </x:c>
      <x:c r="M27" s="31" t="n">
        <x:v>0.6417502504</x:v>
      </x:c>
      <x:c r="N27" s="24" t="str">
        <x:v>xiphias gladius</x:v>
      </x:c>
      <x:c r="O27" s="32" t="n">
        <x:v>4.53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Xiphias gladius</x:v>
      </x:c>
      <x:c r="T27" s="32" t="n">
        <x:f>IF(O27="","",(1/'Metadata'!$B$5)^(O27-1))</x:f>
        <x:v>3388.4415613920273</x:v>
      </x:c>
      <x:c r="U27" s="31" t="n">
        <x:f>IF(T27="","",I27*T27)</x:f>
        <x:v>917334.8255291414</x:v>
      </x:c>
    </x:row>
    <x:row r="28" ht="18" customHeight="1">
      <x:c r="A28" s="24" t="str">
        <x:v>EEZ_404</x:v>
      </x:c>
      <x:c r="B28" s="24" t="str">
        <x:v>Kenya</x:v>
      </x:c>
      <x:c r="C28" s="24" t="str">
        <x:v>EEZ</x:v>
      </x:c>
      <x:c r="D28" s="30" t="n">
        <x:v>2019</x:v>
      </x:c>
      <x:c r="E28" s="24" t="str">
        <x:v>Thunnus albacares</x:v>
      </x:c>
      <x:c r="F28" s="24" t="str">
        <x:v>Yellowfin tuna</x:v>
      </x:c>
      <x:c r="G28" s="24" t="str">
        <x:v>Large pelagics (&gt;=90 cm)</x:v>
      </x:c>
      <x:c r="H28" s="24" t="str">
        <x:v>Tuna &amp; billfishes</x:v>
      </x:c>
      <x:c r="I28" s="31" t="n">
        <x:v>261.3127688959</x:v>
      </x:c>
      <x:c r="J28" s="31" t="n">
        <x:v>261.3127688959</x:v>
      </x:c>
      <x:c r="K28" s="31" t="n">
        <x:v>0</x:v>
      </x:c>
      <x:c r="L28" s="31" t="n">
        <x:v>260.7955917181</x:v>
      </x:c>
      <x:c r="M28" s="31" t="n">
        <x:v>0.5171771778</x:v>
      </x:c>
      <x:c r="N28" s="24" t="str">
        <x:v>thunnus albacares</x:v>
      </x:c>
      <x:c r="O28" s="32" t="n">
        <x:v>4.41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Thunnus albacares</x:v>
      </x:c>
      <x:c r="T28" s="32" t="n">
        <x:f>IF(O28="","",(1/'Metadata'!$B$5)^(O28-1))</x:f>
        <x:v>2570.3957827688646</x:v>
      </x:c>
      <x:c r="U28" s="31" t="n">
        <x:f>IF(T28="","",I28*T28)</x:f>
        <x:v>671677.2391536762</x:v>
      </x:c>
    </x:row>
    <x:row r="29" ht="18" customHeight="1">
      <x:c r="A29" s="24" t="str">
        <x:v>EEZ_404</x:v>
      </x:c>
      <x:c r="B29" s="24" t="str">
        <x:v>Kenya</x:v>
      </x:c>
      <x:c r="C29" s="24" t="str">
        <x:v>EEZ</x:v>
      </x:c>
      <x:c r="D29" s="30" t="n">
        <x:v>2019</x:v>
      </x:c>
      <x:c r="E29" s="24" t="str">
        <x:v>Engraulidae</x:v>
      </x:c>
      <x:c r="F29" s="24" t="str">
        <x:v>Anchovies, round herrings</x:v>
      </x:c>
      <x:c r="G29" s="24" t="str">
        <x:v>Small pelagics (&lt;30 cm)</x:v>
      </x:c>
      <x:c r="H29" s="24" t="str">
        <x:v>Anchovies</x:v>
      </x:c>
      <x:c r="I29" s="31" t="n">
        <x:v>260.707407799</x:v>
      </x:c>
      <x:c r="J29" s="31" t="n">
        <x:v>260.707407799</x:v>
      </x:c>
      <x:c r="K29" s="31" t="n">
        <x:v>0</x:v>
      </x:c>
      <x:c r="L29" s="31" t="n">
        <x:v>260.707407799</x:v>
      </x:c>
      <x:c r="M29" s="31" t="n">
        <x:v>0</x:v>
      </x:c>
      <x:c r="N29" s="24" t="str">
        <x:v>engraulidae</x:v>
      </x:c>
      <x:c r="O29" s="32" t="n">
        <x:v>3.2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Engraulidae</x:v>
      </x:c>
      <x:c r="T29" s="32" t="n">
        <x:f>IF(O29="","",(1/'Metadata'!$B$5)^(O29-1))</x:f>
        <x:v>158.48931924611142</x:v>
      </x:c>
      <x:c r="U29" s="31" t="n">
        <x:f>IF(T29="","",I29*T29)</x:f>
        <x:v>41319.33958448187</x:v>
      </x:c>
    </x:row>
    <x:row r="30" ht="18" customHeight="1">
      <x:c r="A30" s="24" t="str">
        <x:v>EEZ_404</x:v>
      </x:c>
      <x:c r="B30" s="24" t="str">
        <x:v>Kenya</x:v>
      </x:c>
      <x:c r="C30" s="24" t="str">
        <x:v>EEZ</x:v>
      </x:c>
      <x:c r="D30" s="30" t="n">
        <x:v>2019</x:v>
      </x:c>
      <x:c r="E30" s="24" t="str">
        <x:v>Ariidae</x:v>
      </x:c>
      <x:c r="F30" s="24" t="str">
        <x:v>Sea catfishes, coblers</x:v>
      </x:c>
      <x:c r="G30" s="24" t="str">
        <x:v>Medium demersals (30 - 89 cm)</x:v>
      </x:c>
      <x:c r="H30" s="24" t="str">
        <x:v>Other fishes &amp; inverts</x:v>
      </x:c>
      <x:c r="I30" s="31" t="n">
        <x:v>244.4093361916</x:v>
      </x:c>
      <x:c r="J30" s="31" t="n">
        <x:v>244.4093361916</x:v>
      </x:c>
      <x:c r="K30" s="31" t="n">
        <x:v>0</x:v>
      </x:c>
      <x:c r="L30" s="31" t="n">
        <x:v>244.4093361916</x:v>
      </x:c>
      <x:c r="M30" s="31" t="n">
        <x:v>0</x:v>
      </x:c>
      <x:c r="N30" s="24" t="str">
        <x:v>ariidae</x:v>
      </x:c>
      <x:c r="O30" s="32" t="n">
        <x:v>3.48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Ariidae</x:v>
      </x:c>
      <x:c r="T30" s="32" t="n">
        <x:f>IF(O30="","",(1/'Metadata'!$B$5)^(O30-1))</x:f>
        <x:v>301.9951720402016</x:v>
      </x:c>
      <x:c r="U30" s="31" t="n">
        <x:f>IF(T30="","",I30*T30)</x:f>
        <x:v>73810.43953141372</x:v>
      </x:c>
    </x:row>
    <x:row r="31" ht="18" customHeight="1">
      <x:c r="A31" s="24" t="str">
        <x:v>EEZ_404</x:v>
      </x:c>
      <x:c r="B31" s="24" t="str">
        <x:v>Kenya</x:v>
      </x:c>
      <x:c r="C31" s="24" t="str">
        <x:v>EEZ</x:v>
      </x:c>
      <x:c r="D31" s="30" t="n">
        <x:v>2019</x:v>
      </x:c>
      <x:c r="E31" s="24" t="str">
        <x:v>Chirocentrus</x:v>
      </x:c>
      <x:c r="F31" s="24" t="str">
        <x:v>Wolf herrings</x:v>
      </x:c>
      <x:c r="G31" s="24" t="str">
        <x:v>Large pelagics (&gt;=90 cm)</x:v>
      </x:c>
      <x:c r="H31" s="24" t="str">
        <x:v>Herring-likes</x:v>
      </x:c>
      <x:c r="I31" s="31" t="n">
        <x:v>232.21968309079998</x:v>
      </x:c>
      <x:c r="J31" s="31" t="n">
        <x:v>232.21968309079998</x:v>
      </x:c>
      <x:c r="K31" s="31" t="n">
        <x:v>0</x:v>
      </x:c>
      <x:c r="L31" s="31" t="n">
        <x:v>226.033764892</x:v>
      </x:c>
      <x:c r="M31" s="31" t="n">
        <x:v>6.1859181988</x:v>
      </x:c>
      <x:c r="N31" s="24" t="str">
        <x:v>chirocentrus</x:v>
      </x:c>
      <x:c r="O31" s="32" t="n">
        <x:v>4.3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Chirocentrus</x:v>
      </x:c>
      <x:c r="T31" s="32" t="n">
        <x:f>IF(O31="","",(1/'Metadata'!$B$5)^(O31-1))</x:f>
        <x:v>1995.2623149688789</x:v>
      </x:c>
      <x:c r="U31" s="31" t="n">
        <x:f>IF(T31="","",I31*T31)</x:f>
        <x:v>463339.18246508896</x:v>
      </x:c>
    </x:row>
    <x:row r="32" ht="18" customHeight="1">
      <x:c r="A32" s="24" t="str">
        <x:v>EEZ_404</x:v>
      </x:c>
      <x:c r="B32" s="24" t="str">
        <x:v>Kenya</x:v>
      </x:c>
      <x:c r="C32" s="24" t="str">
        <x:v>EEZ</x:v>
      </x:c>
      <x:c r="D32" s="30" t="n">
        <x:v>2019</x:v>
      </x:c>
      <x:c r="E32" s="24" t="str">
        <x:v>Euthynnus affinis</x:v>
      </x:c>
      <x:c r="F32" s="24" t="str">
        <x:v>Kawakawa</x:v>
      </x:c>
      <x:c r="G32" s="24" t="str">
        <x:v>Large pelagics (&gt;=90 cm)</x:v>
      </x:c>
      <x:c r="H32" s="24" t="str">
        <x:v>Tuna &amp; billfishes</x:v>
      </x:c>
      <x:c r="I32" s="31" t="n">
        <x:v>225.3389128446</x:v>
      </x:c>
      <x:c r="J32" s="31" t="n">
        <x:v>225.3389128446</x:v>
      </x:c>
      <x:c r="K32" s="31" t="n">
        <x:v>0</x:v>
      </x:c>
      <x:c r="L32" s="31" t="n">
        <x:v>224.2870029427</x:v>
      </x:c>
      <x:c r="M32" s="31" t="n">
        <x:v>1.0519099019</x:v>
      </x:c>
      <x:c r="N32" s="24" t="str">
        <x:v>euthynnus affinis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Euthynnus affinis</x:v>
      </x:c>
      <x:c r="T32" s="32" t="n">
        <x:f>IF(O32="","",(1/'Metadata'!$B$5)^(O32-1))</x:f>
        <x:v>3162.2776601683795</x:v>
      </x:c>
      <x:c r="U32" s="31" t="n">
        <x:f>IF(T32="","",I32*T32)</x:f>
        <x:v>712584.2100551081</x:v>
      </x:c>
    </x:row>
    <x:row r="33" ht="18" customHeight="1">
      <x:c r="A33" s="24" t="str">
        <x:v>EEZ_404</x:v>
      </x:c>
      <x:c r="B33" s="24" t="str">
        <x:v>Kenya</x:v>
      </x:c>
      <x:c r="C33" s="24" t="str">
        <x:v>EEZ</x:v>
      </x:c>
      <x:c r="D33" s="30" t="n">
        <x:v>2019</x:v>
      </x:c>
      <x:c r="E33" s="24" t="str">
        <x:v>Mollusca</x:v>
      </x:c>
      <x:c r="F33" s="24" t="str">
        <x:v>Clams, seasnails, squids, octopuses</x:v>
      </x:c>
      <x:c r="G33" s="24" t="str">
        <x:v>Other demersal invertebrates</x:v>
      </x:c>
      <x:c r="H33" s="24" t="str">
        <x:v>Molluscs</x:v>
      </x:c>
      <x:c r="I33" s="31" t="n">
        <x:v>223.3383008566</x:v>
      </x:c>
      <x:c r="J33" s="31" t="n">
        <x:v>223.3383008566</x:v>
      </x:c>
      <x:c r="K33" s="31" t="n">
        <x:v>0</x:v>
      </x:c>
      <x:c r="L33" s="31" t="n">
        <x:v>0</x:v>
      </x:c>
      <x:c r="M33" s="31" t="n">
        <x:v>223.3383008566</x:v>
      </x:c>
      <x:c r="N33" s="24" t="str">
        <x:v>mollusca</x:v>
      </x:c>
      <x:c r="O33" s="32" t="n">
        <x:v>2.1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Mollusca</x:v>
      </x:c>
      <x:c r="T33" s="32" t="n">
        <x:f>IF(O33="","",(1/'Metadata'!$B$5)^(O33-1))</x:f>
        <x:v>12.589254117941675</x:v>
      </x:c>
      <x:c r="U33" s="31" t="n">
        <x:f>IF(T33="","",I33*T33)</x:f>
        <x:v>2811.662623753048</x:v>
      </x:c>
    </x:row>
    <x:row r="34" ht="18" customHeight="1">
      <x:c r="A34" s="24" t="str">
        <x:v>EEZ_404</x:v>
      </x:c>
      <x:c r="B34" s="24" t="str">
        <x:v>Kenya</x:v>
      </x:c>
      <x:c r="C34" s="24" t="str">
        <x:v>EEZ</x:v>
      </x:c>
      <x:c r="D34" s="30" t="n">
        <x:v>2019</x:v>
      </x:c>
      <x:c r="E34" s="24" t="str">
        <x:v>Mullidae</x:v>
      </x:c>
      <x:c r="F34" s="24" t="str">
        <x:v>Goatfishes</x:v>
      </x:c>
      <x:c r="G34" s="24" t="str">
        <x:v>Medium reef assoc. fish (30 - 89 cm)</x:v>
      </x:c>
      <x:c r="H34" s="24" t="str">
        <x:v>Perch-likes</x:v>
      </x:c>
      <x:c r="I34" s="31" t="n">
        <x:v>207.6053275327</x:v>
      </x:c>
      <x:c r="J34" s="31" t="n">
        <x:v>207.6053275327</x:v>
      </x:c>
      <x:c r="K34" s="31" t="n">
        <x:v>0</x:v>
      </x:c>
      <x:c r="L34" s="31" t="n">
        <x:v>206.05865718159998</x:v>
      </x:c>
      <x:c r="M34" s="31" t="n">
        <x:v>1.5466703511</x:v>
      </x:c>
      <x:c r="N34" s="24" t="str">
        <x:v>mullidae</x:v>
      </x:c>
      <x:c r="O34" s="32" t="n">
        <x:v>3.46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Mullidae</x:v>
      </x:c>
      <x:c r="T34" s="32" t="n">
        <x:f>IF(O34="","",(1/'Metadata'!$B$5)^(O34-1))</x:f>
        <x:v>288.40315031266056</x:v>
      </x:c>
      <x:c r="U34" s="31" t="n">
        <x:f>IF(T34="","",I34*T34)</x:f>
        <x:v>59874.030482122405</x:v>
      </x:c>
    </x:row>
    <x:row r="35" ht="18" customHeight="1">
      <x:c r="A35" s="24" t="str">
        <x:v>EEZ_404</x:v>
      </x:c>
      <x:c r="B35" s="24" t="str">
        <x:v>Kenya</x:v>
      </x:c>
      <x:c r="C35" s="24" t="str">
        <x:v>EEZ</x:v>
      </x:c>
      <x:c r="D35" s="30" t="n">
        <x:v>2019</x:v>
      </x:c>
      <x:c r="E35" s="24" t="str">
        <x:v>Terapontidae</x:v>
      </x:c>
      <x:c r="F35" s="24" t="str">
        <x:v>Grunters, tigerperches</x:v>
      </x:c>
      <x:c r="G35" s="24" t="str">
        <x:v>Medium demersals (30 - 89 cm)</x:v>
      </x:c>
      <x:c r="H35" s="24" t="str">
        <x:v>Perch-likes</x:v>
      </x:c>
      <x:c r="I35" s="31" t="n">
        <x:v>200.8752540237</x:v>
      </x:c>
      <x:c r="J35" s="31" t="n">
        <x:v>200.8752540237</x:v>
      </x:c>
      <x:c r="K35" s="31" t="n">
        <x:v>0</x:v>
      </x:c>
      <x:c r="L35" s="31" t="n">
        <x:v>200.8752540237</x:v>
      </x:c>
      <x:c r="M35" s="31" t="n">
        <x:v>0</x:v>
      </x:c>
      <x:c r="N35" s="24" t="str">
        <x:v>terapontidae</x:v>
      </x:c>
      <x:c r="O35" s="32" t="n">
        <x:v>3.64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Terapontidae</x:v>
      </x:c>
      <x:c r="T35" s="32" t="n">
        <x:f>IF(O35="","",(1/'Metadata'!$B$5)^(O35-1))</x:f>
        <x:v>436.5158322401661</x:v>
      </x:c>
      <x:c r="U35" s="31" t="n">
        <x:f>IF(T35="","",I35*T35)</x:f>
        <x:v>87685.22868661018</x:v>
      </x:c>
    </x:row>
    <x:row r="36" ht="18" customHeight="1">
      <x:c r="A36" s="24" t="str">
        <x:v>EEZ_404</x:v>
      </x:c>
      <x:c r="B36" s="24" t="str">
        <x:v>Kenya</x:v>
      </x:c>
      <x:c r="C36" s="24" t="str">
        <x:v>EEZ</x:v>
      </x:c>
      <x:c r="D36" s="30" t="n">
        <x:v>2019</x:v>
      </x:c>
      <x:c r="E36" s="24" t="str">
        <x:v>Miscellaneous marine crustaceans</x:v>
      </x:c>
      <x:c r="F36" s="24" t="str">
        <x:v>Marine crabs, shrimps, lobsters nei</x:v>
      </x:c>
      <x:c r="G36" s="24" t="str">
        <x:v>Shrimps</x:v>
      </x:c>
      <x:c r="H36" s="24" t="str">
        <x:v>Crustaceans</x:v>
      </x:c>
      <x:c r="I36" s="31" t="n">
        <x:v>186.8123499564</x:v>
      </x:c>
      <x:c r="J36" s="31" t="n">
        <x:v>186.8123499564</x:v>
      </x:c>
      <x:c r="K36" s="31" t="n">
        <x:v>0</x:v>
      </x:c>
      <x:c r="L36" s="31" t="n">
        <x:v>138.5012341356</x:v>
      </x:c>
      <x:c r="M36" s="31" t="n">
        <x:v>48.3111158208</x:v>
      </x:c>
      <x:c r="N36" s="24" t="str">
        <x:v>miscellaneous marine crustaceans</x:v>
      </x:c>
      <x:c r="O36" s="32" t="n">
        <x:v>2.7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Miscellaneous marine crustaceans</x:v>
      </x:c>
      <x:c r="T36" s="32" t="n">
        <x:f>IF(O36="","",(1/'Metadata'!$B$5)^(O36-1))</x:f>
        <x:v>50.11872336272725</x:v>
      </x:c>
      <x:c r="U36" s="31" t="n">
        <x:f>IF(T36="","",I36*T36)</x:f>
        <x:v>9362.796488205804</x:v>
      </x:c>
    </x:row>
    <x:row r="37" ht="18" customHeight="1">
      <x:c r="A37" s="24" t="str">
        <x:v>EEZ_404</x:v>
      </x:c>
      <x:c r="B37" s="24" t="str">
        <x:v>Kenya</x:v>
      </x:c>
      <x:c r="C37" s="24" t="str">
        <x:v>EEZ</x:v>
      </x:c>
      <x:c r="D37" s="30" t="n">
        <x:v>2019</x:v>
      </x:c>
      <x:c r="E37" s="24" t="str">
        <x:v>Seriola</x:v>
      </x:c>
      <x:c r="F37" s="24" t="str">
        <x:v>Amberjacks</x:v>
      </x:c>
      <x:c r="G37" s="24" t="str">
        <x:v>Large benthopelagics (&gt;=90 cm)</x:v>
      </x:c>
      <x:c r="H37" s="24" t="str">
        <x:v>Perch-likes</x:v>
      </x:c>
      <x:c r="I37" s="31" t="n">
        <x:v>182.22753027820002</x:v>
      </x:c>
      <x:c r="J37" s="31" t="n">
        <x:v>182.22753027820002</x:v>
      </x:c>
      <x:c r="K37" s="31" t="n">
        <x:v>0</x:v>
      </x:c>
      <x:c r="L37" s="31" t="n">
        <x:v>176.87395338160002</x:v>
      </x:c>
      <x:c r="M37" s="31" t="n">
        <x:v>5.3535768966</x:v>
      </x:c>
      <x:c r="N37" s="24" t="str">
        <x:v>seriola</x:v>
      </x:c>
      <x:c r="O37" s="32" t="n">
        <x:v>4.39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Seriola</x:v>
      </x:c>
      <x:c r="T37" s="32" t="n">
        <x:f>IF(O37="","",(1/'Metadata'!$B$5)^(O37-1))</x:f>
        <x:v>2454.7089156850284</x:v>
      </x:c>
      <x:c r="U37" s="31" t="n">
        <x:f>IF(T37="","",I37*T37)</x:f>
        <x:v>447315.54325716104</x:v>
      </x:c>
    </x:row>
    <x:row r="38" ht="18" customHeight="1">
      <x:c r="A38" s="24" t="str">
        <x:v>EEZ_404</x:v>
      </x:c>
      <x:c r="B38" s="24" t="str">
        <x:v>Kenya</x:v>
      </x:c>
      <x:c r="C38" s="24" t="str">
        <x:v>EEZ</x:v>
      </x:c>
      <x:c r="D38" s="30" t="n">
        <x:v>2019</x:v>
      </x:c>
      <x:c r="E38" s="24" t="str">
        <x:v>Portunus</x:v>
      </x:c>
      <x:c r="F38" s="24" t="str">
        <x:v>Swimmer crabs</x:v>
      </x:c>
      <x:c r="G38" s="24" t="str">
        <x:v>Lobsters, crabs</x:v>
      </x:c>
      <x:c r="H38" s="24" t="str">
        <x:v>Crustaceans</x:v>
      </x:c>
      <x:c r="I38" s="31" t="n">
        <x:v>168.5180962959</x:v>
      </x:c>
      <x:c r="J38" s="31" t="n">
        <x:v>168.5180962959</x:v>
      </x:c>
      <x:c r="K38" s="31" t="n">
        <x:v>0</x:v>
      </x:c>
      <x:c r="L38" s="31" t="n">
        <x:v>168.5180962959</x:v>
      </x:c>
      <x:c r="M38" s="31" t="n">
        <x:v>0</x:v>
      </x:c>
      <x:c r="N38" s="24" t="str">
        <x:v>portunus</x:v>
      </x:c>
      <x:c r="O38" s="32" t="n">
        <x:v>3.26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Portunus</x:v>
      </x:c>
      <x:c r="T38" s="32" t="n">
        <x:f>IF(O38="","",(1/'Metadata'!$B$5)^(O38-1))</x:f>
        <x:v>181.97008586099827</x:v>
      </x:c>
      <x:c r="U38" s="31" t="n">
        <x:f>IF(T38="","",I38*T38)</x:f>
        <x:v>30665.252452096895</x:v>
      </x:c>
    </x:row>
    <x:row r="39" ht="18" customHeight="1">
      <x:c r="A39" s="24" t="str">
        <x:v>EEZ_404</x:v>
      </x:c>
      <x:c r="B39" s="24" t="str">
        <x:v>Kenya</x:v>
      </x:c>
      <x:c r="C39" s="24" t="str">
        <x:v>EEZ</x:v>
      </x:c>
      <x:c r="D39" s="30" t="n">
        <x:v>2019</x:v>
      </x:c>
      <x:c r="E39" s="24" t="str">
        <x:v>Caesionidae</x:v>
      </x:c>
      <x:c r="F39" s="24" t="str">
        <x:v>Fusiliers</x:v>
      </x:c>
      <x:c r="G39" s="24" t="str">
        <x:v>Medium reef assoc. fish (30 - 89 cm)</x:v>
      </x:c>
      <x:c r="H39" s="24" t="str">
        <x:v>Perch-likes</x:v>
      </x:c>
      <x:c r="I39" s="31" t="n">
        <x:v>132.83191119789998</x:v>
      </x:c>
      <x:c r="J39" s="31" t="n">
        <x:v>132.83191119789998</x:v>
      </x:c>
      <x:c r="K39" s="31" t="n">
        <x:v>0</x:v>
      </x:c>
      <x:c r="L39" s="31" t="n">
        <x:v>132.83191119789998</x:v>
      </x:c>
      <x:c r="M39" s="31" t="n">
        <x:v>0</x:v>
      </x:c>
      <x:c r="N39" s="24" t="str">
        <x:v>caesionidae</x:v>
      </x:c>
      <x:c r="O39" s="32" t="n">
        <x:v>3.39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Caesionidae</x:v>
      </x:c>
      <x:c r="T39" s="32" t="n">
        <x:f>IF(O39="","",(1/'Metadata'!$B$5)^(O39-1))</x:f>
        <x:v>245.4708915685031</x:v>
      </x:c>
      <x:c r="U39" s="31" t="n">
        <x:f>IF(T39="","",I39*T39)</x:f>
        <x:v>32606.36767049674</x:v>
      </x:c>
    </x:row>
    <x:row r="40" ht="18" customHeight="1">
      <x:c r="A40" s="24" t="str">
        <x:v>EEZ_404</x:v>
      </x:c>
      <x:c r="B40" s="24" t="str">
        <x:v>Kenya</x:v>
      </x:c>
      <x:c r="C40" s="24" t="str">
        <x:v>EEZ</x:v>
      </x:c>
      <x:c r="D40" s="30" t="n">
        <x:v>2019</x:v>
      </x:c>
      <x:c r="E40" s="24" t="str">
        <x:v>Sciaenidae</x:v>
      </x:c>
      <x:c r="F40" s="24" t="str">
        <x:v>Drums, croakers</x:v>
      </x:c>
      <x:c r="G40" s="24" t="str">
        <x:v>Medium demersals (30 - 89 cm)</x:v>
      </x:c>
      <x:c r="H40" s="24" t="str">
        <x:v>Perch-likes</x:v>
      </x:c>
      <x:c r="I40" s="31" t="n">
        <x:v>126.5016496817</x:v>
      </x:c>
      <x:c r="J40" s="31" t="n">
        <x:v>117.86844784479999</x:v>
      </x:c>
      <x:c r="K40" s="31" t="n">
        <x:v>8.6332018369</x:v>
      </x:c>
      <x:c r="L40" s="31" t="n">
        <x:v>117.86844784479999</x:v>
      </x:c>
      <x:c r="M40" s="31" t="n">
        <x:v>8.6332018369</x:v>
      </x:c>
      <x:c r="N40" s="24" t="str">
        <x:v>sciaenidae</x:v>
      </x:c>
      <x:c r="O40" s="32" t="n">
        <x:v>3.76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Sciaenidae</x:v>
      </x:c>
      <x:c r="T40" s="32" t="n">
        <x:f>IF(O40="","",(1/'Metadata'!$B$5)^(O40-1))</x:f>
        <x:v>575.4399373371566</x:v>
      </x:c>
      <x:c r="U40" s="31" t="n">
        <x:f>IF(T40="","",I40*T40)</x:f>
        <x:v>72794.10136588439</x:v>
      </x:c>
    </x:row>
    <x:row r="41" ht="18" customHeight="1">
      <x:c r="A41" s="24" t="str">
        <x:v>EEZ_404</x:v>
      </x:c>
      <x:c r="B41" s="24" t="str">
        <x:v>Kenya</x:v>
      </x:c>
      <x:c r="C41" s="24" t="str">
        <x:v>EEZ</x:v>
      </x:c>
      <x:c r="D41" s="30" t="n">
        <x:v>2019</x:v>
      </x:c>
      <x:c r="E41" s="24" t="str">
        <x:v>Coryphaena hippurus</x:v>
      </x:c>
      <x:c r="F41" s="24" t="str">
        <x:v>Common dolphinfish</x:v>
      </x:c>
      <x:c r="G41" s="24" t="str">
        <x:v>Large pelagics (&gt;=90 cm)</x:v>
      </x:c>
      <x:c r="H41" s="24" t="str">
        <x:v>Perch-likes</x:v>
      </x:c>
      <x:c r="I41" s="31" t="n">
        <x:v>118.45440359310001</x:v>
      </x:c>
      <x:c r="J41" s="31" t="n">
        <x:v>118.45440359310001</x:v>
      </x:c>
      <x:c r="K41" s="31" t="n">
        <x:v>0</x:v>
      </x:c>
      <x:c r="L41" s="31" t="n">
        <x:v>92.6666893855</x:v>
      </x:c>
      <x:c r="M41" s="31" t="n">
        <x:v>25.7877142076</x:v>
      </x:c>
      <x:c r="N41" s="24" t="str">
        <x:v>coryphaena hippurus</x:v>
      </x:c>
      <x:c r="O41" s="32" t="n">
        <x:v>4.37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Coryphaena hippurus</x:v>
      </x:c>
      <x:c r="T41" s="32" t="n">
        <x:f>IF(O41="","",(1/'Metadata'!$B$5)^(O41-1))</x:f>
        <x:v>2344.228815319923</x:v>
      </x:c>
      <x:c r="U41" s="31" t="n">
        <x:f>IF(T41="","",I41*T41)</x:f>
        <x:v>277684.22620448086</x:v>
      </x:c>
    </x:row>
    <x:row r="42" ht="18" customHeight="1">
      <x:c r="A42" s="24" t="str">
        <x:v>EEZ_404</x:v>
      </x:c>
      <x:c r="B42" s="24" t="str">
        <x:v>Kenya</x:v>
      </x:c>
      <x:c r="C42" s="24" t="str">
        <x:v>EEZ</x:v>
      </x:c>
      <x:c r="D42" s="30" t="n">
        <x:v>2019</x:v>
      </x:c>
      <x:c r="E42" s="24" t="str">
        <x:v>Labridae</x:v>
      </x:c>
      <x:c r="F42" s="24" t="str">
        <x:v>Wrasses, gropers, tuskfishes</x:v>
      </x:c>
      <x:c r="G42" s="24" t="str">
        <x:v>Medium reef assoc. fish (30 - 89 cm)</x:v>
      </x:c>
      <x:c r="H42" s="24" t="str">
        <x:v>Perch-likes</x:v>
      </x:c>
      <x:c r="I42" s="31" t="n">
        <x:v>101.9219269183</x:v>
      </x:c>
      <x:c r="J42" s="31" t="n">
        <x:v>101.9219269183</x:v>
      </x:c>
      <x:c r="K42" s="31" t="n">
        <x:v>0</x:v>
      </x:c>
      <x:c r="L42" s="31" t="n">
        <x:v>101.9219269183</x:v>
      </x:c>
      <x:c r="M42" s="31" t="n">
        <x:v>0</x:v>
      </x:c>
      <x:c r="N42" s="24" t="str">
        <x:v>labridae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Labridae</x:v>
      </x:c>
      <x:c r="T42" s="32" t="n">
        <x:f>IF(O42="","",(1/'Metadata'!$B$5)^(O42-1))</x:f>
        <x:v>288.40315031266056</x:v>
      </x:c>
      <x:c r="U42" s="31" t="n">
        <x:f>IF(T42="","",I42*T42)</x:f>
        <x:v>29394.60480917448</x:v>
      </x:c>
    </x:row>
    <x:row r="43" ht="18" customHeight="1">
      <x:c r="A43" s="24" t="str">
        <x:v>EEZ_404</x:v>
      </x:c>
      <x:c r="B43" s="24" t="str">
        <x:v>Kenya</x:v>
      </x:c>
      <x:c r="C43" s="24" t="str">
        <x:v>EEZ</x:v>
      </x:c>
      <x:c r="D43" s="30" t="n">
        <x:v>2019</x:v>
      </x:c>
      <x:c r="E43" s="24" t="str">
        <x:v>Penaeus indicus</x:v>
      </x:c>
      <x:c r="F43" s="24" t="str">
        <x:v>Indian white prawn</x:v>
      </x:c>
      <x:c r="G43" s="24" t="str">
        <x:v>Shrimps</x:v>
      </x:c>
      <x:c r="H43" s="24" t="str">
        <x:v>Crustaceans</x:v>
      </x:c>
      <x:c r="I43" s="31" t="n">
        <x:v>90.8071477589</x:v>
      </x:c>
      <x:c r="J43" s="31" t="n">
        <x:v>90.8071477589</x:v>
      </x:c>
      <x:c r="K43" s="31" t="n">
        <x:v>0</x:v>
      </x:c>
      <x:c r="L43" s="31" t="n">
        <x:v>90.8071477589</x:v>
      </x:c>
      <x:c r="M43" s="31" t="n">
        <x:v>0</x:v>
      </x:c>
      <x:c r="N43" s="24" t="str">
        <x:v>penaeus indicus</x:v>
      </x:c>
      <x:c r="O43" s="32" t="n">
        <x:v>2.7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Penaeus indicus</x:v>
      </x:c>
      <x:c r="T43" s="32" t="n">
        <x:f>IF(O43="","",(1/'Metadata'!$B$5)^(O43-1))</x:f>
        <x:v>50.11872336272725</x:v>
      </x:c>
      <x:c r="U43" s="31" t="n">
        <x:f>IF(T43="","",I43*T43)</x:f>
        <x:v>4551.138317886607</x:v>
      </x:c>
    </x:row>
    <x:row r="44" ht="18" customHeight="1">
      <x:c r="A44" s="24" t="str">
        <x:v>EEZ_404</x:v>
      </x:c>
      <x:c r="B44" s="24" t="str">
        <x:v>Kenya</x:v>
      </x:c>
      <x:c r="C44" s="24" t="str">
        <x:v>EEZ</x:v>
      </x:c>
      <x:c r="D44" s="30" t="n">
        <x:v>2019</x:v>
      </x:c>
      <x:c r="E44" s="24" t="str">
        <x:v>Katsuwonus pelamis</x:v>
      </x:c>
      <x:c r="F44" s="24" t="str">
        <x:v>Skipjack tuna</x:v>
      </x:c>
      <x:c r="G44" s="24" t="str">
        <x:v>Large pelagics (&gt;=90 cm)</x:v>
      </x:c>
      <x:c r="H44" s="24" t="str">
        <x:v>Tuna &amp; billfishes</x:v>
      </x:c>
      <x:c r="I44" s="31" t="n">
        <x:v>89.63400006820001</x:v>
      </x:c>
      <x:c r="J44" s="31" t="n">
        <x:v>89.63400006820001</x:v>
      </x:c>
      <x:c r="K44" s="31" t="n">
        <x:v>0</x:v>
      </x:c>
      <x:c r="L44" s="31" t="n">
        <x:v>89.6334703145</x:v>
      </x:c>
      <x:c r="M44" s="31" t="n">
        <x:v>0.0005297537</x:v>
      </x:c>
      <x:c r="N44" s="24" t="str">
        <x:v>katsuwonus pelamis</x:v>
      </x:c>
      <x:c r="O44" s="32" t="n">
        <x:v>4.43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Katsuwonus pelamis</x:v>
      </x:c>
      <x:c r="T44" s="32" t="n">
        <x:f>IF(O44="","",(1/'Metadata'!$B$5)^(O44-1))</x:f>
        <x:v>2691.534803926914</x:v>
      </x:c>
      <x:c r="U44" s="31" t="n">
        <x:f>IF(T44="","",I44*T44)</x:f>
        <x:v>241253.0307987477</x:v>
      </x:c>
    </x:row>
    <x:row r="45" ht="18" customHeight="1">
      <x:c r="A45" s="24" t="str">
        <x:v>EEZ_404</x:v>
      </x:c>
      <x:c r="B45" s="24" t="str">
        <x:v>Kenya</x:v>
      </x:c>
      <x:c r="C45" s="24" t="str">
        <x:v>EEZ</x:v>
      </x:c>
      <x:c r="D45" s="30" t="n">
        <x:v>2019</x:v>
      </x:c>
      <x:c r="E45" s="24" t="str">
        <x:v>Pleuronectiformes</x:v>
      </x:c>
      <x:c r="F45" s="24" t="str">
        <x:v>Flatfishes</x:v>
      </x:c>
      <x:c r="G45" s="24" t="str">
        <x:v>Small to medium flatfishes (&lt;90 cm)</x:v>
      </x:c>
      <x:c r="H45" s="24" t="str">
        <x:v>Flatfishes</x:v>
      </x:c>
      <x:c r="I45" s="31" t="n">
        <x:v>83.2677652286</x:v>
      </x:c>
      <x:c r="J45" s="31" t="n">
        <x:v>83.2677652286</x:v>
      </x:c>
      <x:c r="K45" s="31" t="n">
        <x:v>0</x:v>
      </x:c>
      <x:c r="L45" s="31" t="n">
        <x:v>83.2677652286</x:v>
      </x:c>
      <x:c r="M45" s="31" t="n">
        <x:v>0</x:v>
      </x:c>
      <x:c r="N45" s="24" t="str">
        <x:v>pleuronectiformes</x:v>
      </x:c>
      <x:c r="O45" s="32" t="n">
        <x:v>3.57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Pleuronectiformes</x:v>
      </x:c>
      <x:c r="T45" s="32" t="n">
        <x:f>IF(O45="","",(1/'Metadata'!$B$5)^(O45-1))</x:f>
        <x:v>371.5352290971724</x:v>
      </x:c>
      <x:c r="U45" s="31" t="n">
        <x:f>IF(T45="","",I45*T45)</x:f>
        <x:v>30936.908230617468</x:v>
      </x:c>
    </x:row>
    <x:row r="46" ht="18" customHeight="1">
      <x:c r="A46" s="24" t="str">
        <x:v>EEZ_404</x:v>
      </x:c>
      <x:c r="B46" s="24" t="str">
        <x:v>Kenya</x:v>
      </x:c>
      <x:c r="C46" s="24" t="str">
        <x:v>EEZ</x:v>
      </x:c>
      <x:c r="D46" s="30" t="n">
        <x:v>2019</x:v>
      </x:c>
      <x:c r="E46" s="24" t="str">
        <x:v>Thunnus obesus</x:v>
      </x:c>
      <x:c r="F46" s="24" t="str">
        <x:v>Bigeye tuna</x:v>
      </x:c>
      <x:c r="G46" s="24" t="str">
        <x:v>Large pelagics (&gt;=90 cm)</x:v>
      </x:c>
      <x:c r="H46" s="24" t="str">
        <x:v>Tuna &amp; billfishes</x:v>
      </x:c>
      <x:c r="I46" s="31" t="n">
        <x:v>78.97856566499999</x:v>
      </x:c>
      <x:c r="J46" s="31" t="n">
        <x:v>78.97856566499999</x:v>
      </x:c>
      <x:c r="K46" s="31" t="n">
        <x:v>0</x:v>
      </x:c>
      <x:c r="L46" s="31" t="n">
        <x:v>78.97856566499999</x:v>
      </x:c>
      <x:c r="M46" s="31" t="n">
        <x:v>0</x:v>
      </x:c>
      <x:c r="N46" s="24" t="str">
        <x:v>thunnus obesus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obesus</x:v>
      </x:c>
      <x:c r="T46" s="32" t="n">
        <x:f>IF(O46="","",(1/'Metadata'!$B$5)^(O46-1))</x:f>
        <x:v>3090.295432513592</x:v>
      </x:c>
      <x:c r="U46" s="31" t="n">
        <x:f>IF(T46="","",I46*T46)</x:f>
        <x:v>244067.10074102427</x:v>
      </x:c>
    </x:row>
    <x:row r="47" ht="18" customHeight="1">
      <x:c r="A47" s="24" t="str">
        <x:v>EEZ_404</x:v>
      </x:c>
      <x:c r="B47" s="24" t="str">
        <x:v>Kenya</x:v>
      </x:c>
      <x:c r="C47" s="24" t="str">
        <x:v>EEZ</x:v>
      </x:c>
      <x:c r="D47" s="30" t="n">
        <x:v>2019</x:v>
      </x:c>
      <x:c r="E47" s="24" t="str">
        <x:v>Thunnus alalunga</x:v>
      </x:c>
      <x:c r="F47" s="24" t="str">
        <x:v>Albacore</x:v>
      </x:c>
      <x:c r="G47" s="24" t="str">
        <x:v>Large pelagics (&gt;=90 cm)</x:v>
      </x:c>
      <x:c r="H47" s="24" t="str">
        <x:v>Tuna &amp; billfishes</x:v>
      </x:c>
      <x:c r="I47" s="31" t="n">
        <x:v>73.5357496713</x:v>
      </x:c>
      <x:c r="J47" s="31" t="n">
        <x:v>73.5357496713</x:v>
      </x:c>
      <x:c r="K47" s="31" t="n">
        <x:v>0</x:v>
      </x:c>
      <x:c r="L47" s="31" t="n">
        <x:v>73.5357496713</x:v>
      </x:c>
      <x:c r="M47" s="31" t="n">
        <x:v>0</x:v>
      </x:c>
      <x:c r="N47" s="24" t="str">
        <x:v>thunnus alalunga</x:v>
      </x:c>
      <x:c r="O47" s="32" t="n">
        <x:v>4.3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Thunnus alalunga</x:v>
      </x:c>
      <x:c r="T47" s="32" t="n">
        <x:f>IF(O47="","",(1/'Metadata'!$B$5)^(O47-1))</x:f>
        <x:v>1995.2623149688789</x:v>
      </x:c>
      <x:c r="U47" s="31" t="n">
        <x:f>IF(T47="","",I47*T47)</x:f>
        <x:v>146723.11012213</x:v>
      </x:c>
    </x:row>
    <x:row r="48" ht="18" customHeight="1">
      <x:c r="A48" s="24" t="str">
        <x:v>EEZ_404</x:v>
      </x:c>
      <x:c r="B48" s="24" t="str">
        <x:v>Kenya</x:v>
      </x:c>
      <x:c r="C48" s="24" t="str">
        <x:v>EEZ</x:v>
      </x:c>
      <x:c r="D48" s="30" t="n">
        <x:v>2019</x:v>
      </x:c>
      <x:c r="E48" s="24" t="str">
        <x:v>Sepiida</x:v>
      </x:c>
      <x:c r="F48" s="24" t="str">
        <x:v>Cuttlefishes, bobtail squids</x:v>
      </x:c>
      <x:c r="G48" s="24" t="str">
        <x:v>Cephalopods</x:v>
      </x:c>
      <x:c r="H48" s="24" t="str">
        <x:v>Other fishes &amp; inverts</x:v>
      </x:c>
      <x:c r="I48" s="31" t="n">
        <x:v>62.8104865483</x:v>
      </x:c>
      <x:c r="J48" s="31" t="n">
        <x:v>62.8104865483</x:v>
      </x:c>
      <x:c r="K48" s="31" t="n">
        <x:v>0</x:v>
      </x:c>
      <x:c r="L48" s="31" t="n">
        <x:v>58.899089025500004</x:v>
      </x:c>
      <x:c r="M48" s="31" t="n">
        <x:v>3.9113975228</x:v>
      </x:c>
      <x:c r="N48" s="24" t="str">
        <x:v>sepiida</x:v>
      </x:c>
      <x:c r="O48" s="32" t="n">
        <x:v>3.7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Sepiida</x:v>
      </x:c>
      <x:c r="T48" s="32" t="n">
        <x:f>IF(O48="","",(1/'Metadata'!$B$5)^(O48-1))</x:f>
        <x:v>501.18723362727246</x:v>
      </x:c>
      <x:c r="U48" s="31" t="n">
        <x:f>IF(T48="","",I48*T48)</x:f>
        <x:v>31479.813995925484</x:v>
      </x:c>
    </x:row>
    <x:row r="49" ht="18" customHeight="1">
      <x:c r="A49" s="24" t="str">
        <x:v>EEZ_404</x:v>
      </x:c>
      <x:c r="B49" s="24" t="str">
        <x:v>Kenya</x:v>
      </x:c>
      <x:c r="C49" s="24" t="str">
        <x:v>EEZ</x:v>
      </x:c>
      <x:c r="D49" s="30" t="n">
        <x:v>2019</x:v>
      </x:c>
      <x:c r="E49" s="24" t="str">
        <x:v>Leiognathidae</x:v>
      </x:c>
      <x:c r="F49" s="24" t="str">
        <x:v>Slipmouths, ponyfishes</x:v>
      </x:c>
      <x:c r="G49" s="24" t="str">
        <x:v>Small benthopelagics (&lt;30 cm)</x:v>
      </x:c>
      <x:c r="H49" s="24" t="str">
        <x:v>Perch-likes</x:v>
      </x:c>
      <x:c r="I49" s="31" t="n">
        <x:v>62.2333506962</x:v>
      </x:c>
      <x:c r="J49" s="31" t="n">
        <x:v>52.4452633658</x:v>
      </x:c>
      <x:c r="K49" s="31" t="n">
        <x:v>9.7880873304</x:v>
      </x:c>
      <x:c r="L49" s="31" t="n">
        <x:v>52.4452633658</x:v>
      </x:c>
      <x:c r="M49" s="31" t="n">
        <x:v>9.7880873304</x:v>
      </x:c>
      <x:c r="N49" s="24" t="str">
        <x:v>leiognathidae</x:v>
      </x:c>
      <x:c r="O49" s="32" t="n">
        <x:v>3.24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Leiognathidae</x:v>
      </x:c>
      <x:c r="T49" s="32" t="n">
        <x:f>IF(O49="","",(1/'Metadata'!$B$5)^(O49-1))</x:f>
        <x:v>173.78008287493762</x:v>
      </x:c>
      <x:c r="U49" s="31" t="n">
        <x:f>IF(T49="","",I49*T49)</x:f>
        <x:v>10814.916841570692</x:v>
      </x:c>
    </x:row>
    <x:row r="50" ht="18" customHeight="1">
      <x:c r="A50" s="24" t="str">
        <x:v>EEZ_404</x:v>
      </x:c>
      <x:c r="B50" s="24" t="str">
        <x:v>Kenya</x:v>
      </x:c>
      <x:c r="C50" s="24" t="str">
        <x:v>EEZ</x:v>
      </x:c>
      <x:c r="D50" s="30" t="n">
        <x:v>2019</x:v>
      </x:c>
      <x:c r="E50" s="24" t="str">
        <x:v>Penaeus monodon</x:v>
      </x:c>
      <x:c r="F50" s="24" t="str">
        <x:v>Giant tiger prawn</x:v>
      </x:c>
      <x:c r="G50" s="24" t="str">
        <x:v>Shrimps</x:v>
      </x:c>
      <x:c r="H50" s="24" t="str">
        <x:v>Crustaceans</x:v>
      </x:c>
      <x:c r="I50" s="31" t="n">
        <x:v>49.5505972893</x:v>
      </x:c>
      <x:c r="J50" s="31" t="n">
        <x:v>49.5505972893</x:v>
      </x:c>
      <x:c r="K50" s="31" t="n">
        <x:v>0</x:v>
      </x:c>
      <x:c r="L50" s="31" t="n">
        <x:v>49.5505972893</x:v>
      </x:c>
      <x:c r="M50" s="31" t="n">
        <x:v>0</x:v>
      </x:c>
      <x:c r="N50" s="24" t="str">
        <x:v>penaeus monodon</x:v>
      </x:c>
      <x:c r="O50" s="32" t="n">
        <x:v>2.6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Penaeus monodon</x:v>
      </x:c>
      <x:c r="T50" s="32" t="n">
        <x:f>IF(O50="","",(1/'Metadata'!$B$5)^(O50-1))</x:f>
        <x:v>39.810717055349734</x:v>
      </x:c>
      <x:c r="U50" s="31" t="n">
        <x:f>IF(T50="","",I50*T50)</x:f>
        <x:v>1972.6448086079017</x:v>
      </x:c>
    </x:row>
    <x:row r="51" ht="18" customHeight="1">
      <x:c r="A51" s="24" t="str">
        <x:v>EEZ_404</x:v>
      </x:c>
      <x:c r="B51" s="24" t="str">
        <x:v>Kenya</x:v>
      </x:c>
      <x:c r="C51" s="24" t="str">
        <x:v>EEZ</x:v>
      </x:c>
      <x:c r="D51" s="30" t="n">
        <x:v>2019</x:v>
      </x:c>
      <x:c r="E51" s="24" t="str">
        <x:v>Otolithes ruber</x:v>
      </x:c>
      <x:c r="F51" s="24" t="str">
        <x:v>Tigertooth croaker</x:v>
      </x:c>
      <x:c r="G51" s="24" t="str">
        <x:v>Medium benthopelagics (30 - 89 cm)</x:v>
      </x:c>
      <x:c r="H51" s="24" t="str">
        <x:v>Perch-likes</x:v>
      </x:c>
      <x:c r="I51" s="31" t="n">
        <x:v>46.284115920999994</x:v>
      </x:c>
      <x:c r="J51" s="31" t="n">
        <x:v>45.0278379109</x:v>
      </x:c>
      <x:c r="K51" s="31" t="n">
        <x:v>1.2562780101</x:v>
      </x:c>
      <x:c r="L51" s="31" t="n">
        <x:v>45.0278379109</x:v>
      </x:c>
      <x:c r="M51" s="31" t="n">
        <x:v>1.2562780101</x:v>
      </x:c>
      <x:c r="N51" s="24" t="str">
        <x:v>otolithes ruber</x:v>
      </x:c>
      <x:c r="O51" s="32" t="n">
        <x:v>3.6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Otolithes ruber</x:v>
      </x:c>
      <x:c r="T51" s="32" t="n">
        <x:f>IF(O51="","",(1/'Metadata'!$B$5)^(O51-1))</x:f>
        <x:v>398.1071705534973</x:v>
      </x:c>
      <x:c r="U51" s="31" t="n">
        <x:f>IF(T51="","",I51*T51)</x:f>
        <x:v>18426.038430879387</x:v>
      </x:c>
    </x:row>
    <x:row r="52" ht="18" customHeight="1">
      <x:c r="A52" s="24" t="str">
        <x:v>EEZ_404</x:v>
      </x:c>
      <x:c r="B52" s="24" t="str">
        <x:v>Kenya</x:v>
      </x:c>
      <x:c r="C52" s="24" t="str">
        <x:v>EEZ</x:v>
      </x:c>
      <x:c r="D52" s="30" t="n">
        <x:v>2019</x:v>
      </x:c>
      <x:c r="E52" s="24" t="str">
        <x:v>Nemipteridae</x:v>
      </x:c>
      <x:c r="F52" s="24" t="str">
        <x:v>Threadfins, whiptail breams</x:v>
      </x:c>
      <x:c r="G52" s="24" t="str">
        <x:v>Small demersals (&lt;30 cm)</x:v>
      </x:c>
      <x:c r="H52" s="24" t="str">
        <x:v>Perch-likes</x:v>
      </x:c>
      <x:c r="I52" s="31" t="n">
        <x:v>46.0653708027</x:v>
      </x:c>
      <x:c r="J52" s="31" t="n">
        <x:v>46.0653708027</x:v>
      </x:c>
      <x:c r="K52" s="31" t="n">
        <x:v>0</x:v>
      </x:c>
      <x:c r="L52" s="31" t="n">
        <x:v>46.0653708027</x:v>
      </x:c>
      <x:c r="M52" s="31" t="n">
        <x:v>0</x:v>
      </x:c>
      <x:c r="N52" s="24" t="str">
        <x:v>nemipteridae</x:v>
      </x:c>
      <x:c r="O52" s="32" t="n">
        <x:v>3.51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Nemipteridae</x:v>
      </x:c>
      <x:c r="T52" s="32" t="n">
        <x:f>IF(O52="","",(1/'Metadata'!$B$5)^(O52-1))</x:f>
        <x:v>323.5936569296281</x:v>
      </x:c>
      <x:c r="U52" s="31" t="n">
        <x:f>IF(T52="","",I52*T52)</x:f>
        <x:v>14906.46179586501</x:v>
      </x:c>
    </x:row>
    <x:row r="53" ht="18" customHeight="1">
      <x:c r="A53" s="24" t="str">
        <x:v>EEZ_404</x:v>
      </x:c>
      <x:c r="B53" s="24" t="str">
        <x:v>Kenya</x:v>
      </x:c>
      <x:c r="C53" s="24" t="str">
        <x:v>EEZ</x:v>
      </x:c>
      <x:c r="D53" s="30" t="n">
        <x:v>2019</x:v>
      </x:c>
      <x:c r="E53" s="24" t="str">
        <x:v>Pellona ditchela</x:v>
      </x:c>
      <x:c r="F53" s="24" t="str">
        <x:v>Indian pellona</x:v>
      </x:c>
      <x:c r="G53" s="24" t="str">
        <x:v>Small pelagics (&lt;30 cm)</x:v>
      </x:c>
      <x:c r="H53" s="24" t="str">
        <x:v>Herring-likes</x:v>
      </x:c>
      <x:c r="I53" s="31" t="n">
        <x:v>44.1315388974</x:v>
      </x:c>
      <x:c r="J53" s="31" t="n">
        <x:v>8.1916012589</x:v>
      </x:c>
      <x:c r="K53" s="31" t="n">
        <x:v>35.9399376385</x:v>
      </x:c>
      <x:c r="L53" s="31" t="n">
        <x:v>8.1916012589</x:v>
      </x:c>
      <x:c r="M53" s="31" t="n">
        <x:v>35.9399376385</x:v>
      </x:c>
      <x:c r="N53" s="24" t="str">
        <x:v>pellona ditchela</x:v>
      </x:c>
      <x:c r="O53" s="32" t="n">
        <x:v>3.37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Pellona ditchela</x:v>
      </x:c>
      <x:c r="T53" s="32" t="n">
        <x:f>IF(O53="","",(1/'Metadata'!$B$5)^(O53-1))</x:f>
        <x:v>234.42288153199226</x:v>
      </x:c>
      <x:c r="U53" s="31" t="n">
        <x:f>IF(T53="","",I53*T53)</x:f>
        <x:v>10345.442514769707</x:v>
      </x:c>
    </x:row>
    <x:row r="54" ht="18" customHeight="1">
      <x:c r="A54" s="24" t="str">
        <x:v>EEZ_404</x:v>
      </x:c>
      <x:c r="B54" s="24" t="str">
        <x:v>Kenya</x:v>
      </x:c>
      <x:c r="C54" s="24" t="str">
        <x:v>EEZ</x:v>
      </x:c>
      <x:c r="D54" s="30" t="n">
        <x:v>2019</x:v>
      </x:c>
      <x:c r="E54" s="24" t="str">
        <x:v>Platycephalidae</x:v>
      </x:c>
      <x:c r="F54" s="24" t="str">
        <x:v>Flatheads</x:v>
      </x:c>
      <x:c r="G54" s="24" t="str">
        <x:v>Medium demersals (30 - 89 cm)</x:v>
      </x:c>
      <x:c r="H54" s="24" t="str">
        <x:v>Scorpionfishes</x:v>
      </x:c>
      <x:c r="I54" s="31" t="n">
        <x:v>30.7297705011</x:v>
      </x:c>
      <x:c r="J54" s="31" t="n">
        <x:v>30.7297705011</x:v>
      </x:c>
      <x:c r="K54" s="31" t="n">
        <x:v>0</x:v>
      </x:c>
      <x:c r="L54" s="31" t="n">
        <x:v>30.7297705011</x:v>
      </x:c>
      <x:c r="M54" s="31" t="n">
        <x:v>0</x:v>
      </x:c>
      <x:c r="N54" s="24" t="str">
        <x:v>platycephalidae</x:v>
      </x:c>
      <x:c r="O54" s="32" t="n">
        <x:v>3.9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Platycephalidae</x:v>
      </x:c>
      <x:c r="T54" s="32" t="n">
        <x:f>IF(O54="","",(1/'Metadata'!$B$5)^(O54-1))</x:f>
        <x:v>794.3282347242813</x:v>
      </x:c>
      <x:c r="U54" s="31" t="n">
        <x:f>IF(T54="","",I54*T54)</x:f>
        <x:v>24409.524355621055</x:v>
      </x:c>
    </x:row>
    <x:row r="55" ht="18" customHeight="1">
      <x:c r="A55" s="24" t="str">
        <x:v>EEZ_404</x:v>
      </x:c>
      <x:c r="B55" s="24" t="str">
        <x:v>Kenya</x:v>
      </x:c>
      <x:c r="C55" s="24" t="str">
        <x:v>EEZ</x:v>
      </x:c>
      <x:c r="D55" s="30" t="n">
        <x:v>2019</x:v>
      </x:c>
      <x:c r="E55" s="24" t="str">
        <x:v>Metapenaeus monoceros</x:v>
      </x:c>
      <x:c r="F55" s="24" t="str">
        <x:v>Speckled shrimp</x:v>
      </x:c>
      <x:c r="G55" s="24" t="str">
        <x:v>Shrimps</x:v>
      </x:c>
      <x:c r="H55" s="24" t="str">
        <x:v>Crustaceans</x:v>
      </x:c>
      <x:c r="I55" s="31" t="n">
        <x:v>30.4350049042</x:v>
      </x:c>
      <x:c r="J55" s="31" t="n">
        <x:v>30.4350049042</x:v>
      </x:c>
      <x:c r="K55" s="31" t="n">
        <x:v>0</x:v>
      </x:c>
      <x:c r="L55" s="31" t="n">
        <x:v>30.4350049042</x:v>
      </x:c>
      <x:c r="M55" s="31" t="n">
        <x:v>0</x:v>
      </x:c>
      <x:c r="N55" s="24" t="str">
        <x:v>metapenaeus monoceros</x:v>
      </x:c>
      <x:c r="O55" s="32" t="n">
        <x:v>2.7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Metapenaeus monoceros</x:v>
      </x:c>
      <x:c r="T55" s="32" t="n">
        <x:f>IF(O55="","",(1/'Metadata'!$B$5)^(O55-1))</x:f>
        <x:v>50.11872336272725</x:v>
      </x:c>
      <x:c r="U55" s="31" t="n">
        <x:f>IF(T55="","",I55*T55)</x:f>
        <x:v>1525.363591336847</x:v>
      </x:c>
    </x:row>
    <x:row r="56" ht="18" customHeight="1">
      <x:c r="A56" s="24" t="str">
        <x:v>EEZ_404</x:v>
      </x:c>
      <x:c r="B56" s="24" t="str">
        <x:v>Kenya</x:v>
      </x:c>
      <x:c r="C56" s="24" t="str">
        <x:v>EEZ</x:v>
      </x:c>
      <x:c r="D56" s="30" t="n">
        <x:v>2019</x:v>
      </x:c>
      <x:c r="E56" s="24" t="str">
        <x:v>Trichiurus lepturus</x:v>
      </x:c>
      <x:c r="F56" s="24" t="str">
        <x:v>Largehead hairtail</x:v>
      </x:c>
      <x:c r="G56" s="24" t="str">
        <x:v>Large benthopelagics (&gt;=90 cm)</x:v>
      </x:c>
      <x:c r="H56" s="24" t="str">
        <x:v>Perch-likes</x:v>
      </x:c>
      <x:c r="I56" s="31" t="n">
        <x:v>28.663982105899997</x:v>
      </x:c>
      <x:c r="J56" s="31" t="n">
        <x:v>6.5727784367</x:v>
      </x:c>
      <x:c r="K56" s="31" t="n">
        <x:v>22.0912036692</x:v>
      </x:c>
      <x:c r="L56" s="31" t="n">
        <x:v>6.5727784367</x:v>
      </x:c>
      <x:c r="M56" s="31" t="n">
        <x:v>22.0912036692</x:v>
      </x:c>
      <x:c r="N56" s="24" t="str">
        <x:v>trichiurus lepturus</x:v>
      </x:c>
      <x:c r="O56" s="32" t="n">
        <x:v>4.42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Trichiurus lepturus</x:v>
      </x:c>
      <x:c r="T56" s="32" t="n">
        <x:f>IF(O56="","",(1/'Metadata'!$B$5)^(O56-1))</x:f>
        <x:v>2630.2679918953813</x:v>
      </x:c>
      <x:c r="U56" s="31" t="n">
        <x:f>IF(T56="","",I56*T56)</x:f>
        <x:v>75393.95465341074</x:v>
      </x:c>
    </x:row>
    <x:row r="57" ht="18" customHeight="1">
      <x:c r="A57" s="24" t="str">
        <x:v>EEZ_404</x:v>
      </x:c>
      <x:c r="B57" s="24" t="str">
        <x:v>Kenya</x:v>
      </x:c>
      <x:c r="C57" s="24" t="str">
        <x:v>EEZ</x:v>
      </x:c>
      <x:c r="D57" s="30" t="n">
        <x:v>2019</x:v>
      </x:c>
      <x:c r="E57" s="24" t="str">
        <x:v>Deveximentum insidiator</x:v>
      </x:c>
      <x:c r="F57" s="24" t="str">
        <x:v>Pugnose ponyfish</x:v>
      </x:c>
      <x:c r="G57" s="24" t="str">
        <x:v>Small pelagics (&lt;30 cm)</x:v>
      </x:c>
      <x:c r="H57" s="24" t="str">
        <x:v>Perch-likes</x:v>
      </x:c>
      <x:c r="I57" s="31" t="n">
        <x:v>27.3036755805</x:v>
      </x:c>
      <x:c r="J57" s="31" t="n">
        <x:v>1.9357625346</x:v>
      </x:c>
      <x:c r="K57" s="31" t="n">
        <x:v>25.3679130459</x:v>
      </x:c>
      <x:c r="L57" s="31" t="n">
        <x:v>1.9357625346</x:v>
      </x:c>
      <x:c r="M57" s="31" t="n">
        <x:v>25.3679130459</x:v>
      </x:c>
      <x:c r="N57" s="24" t="str">
        <x:v>deveximentum insidiator</x:v>
      </x:c>
      <x:c r="O57" s="32" t="n">
        <x:v>2.86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Deveximentum insidiator</x:v>
      </x:c>
      <x:c r="T57" s="32" t="n">
        <x:f>IF(O57="","",(1/'Metadata'!$B$5)^(O57-1))</x:f>
        <x:v>72.44359600749898</x:v>
      </x:c>
      <x:c r="U57" s="31" t="n">
        <x:f>IF(T57="","",I57*T57)</x:f>
        <x:v>1977.9764432735572</x:v>
      </x:c>
    </x:row>
    <x:row r="58" ht="18" customHeight="1">
      <x:c r="A58" s="24" t="str">
        <x:v>EEZ_404</x:v>
      </x:c>
      <x:c r="B58" s="24" t="str">
        <x:v>Kenya</x:v>
      </x:c>
      <x:c r="C58" s="24" t="str">
        <x:v>EEZ</x:v>
      </x:c>
      <x:c r="D58" s="30" t="n">
        <x:v>2019</x:v>
      </x:c>
      <x:c r="E58" s="24" t="str">
        <x:v>Istiompax indica</x:v>
      </x:c>
      <x:c r="F58" s="24" t="str">
        <x:v>Black marlin</x:v>
      </x:c>
      <x:c r="G58" s="24" t="str">
        <x:v>Large pelagics (&gt;=90 cm)</x:v>
      </x:c>
      <x:c r="H58" s="24" t="str">
        <x:v>Tuna &amp; billfishes</x:v>
      </x:c>
      <x:c r="I58" s="31" t="n">
        <x:v>23.132830673</x:v>
      </x:c>
      <x:c r="J58" s="31" t="n">
        <x:v>23.132830673</x:v>
      </x:c>
      <x:c r="K58" s="31" t="n">
        <x:v>0</x:v>
      </x:c>
      <x:c r="L58" s="31" t="n">
        <x:v>2.3355425756000003</x:v>
      </x:c>
      <x:c r="M58" s="31" t="n">
        <x:v>20.7972880974</x:v>
      </x:c>
      <x:c r="N58" s="24" t="str">
        <x:v>istiompax indica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Istiompax indica</x:v>
      </x:c>
      <x:c r="T58" s="32" t="n">
        <x:f>IF(O58="","",(1/'Metadata'!$B$5)^(O58-1))</x:f>
        <x:v>3162.2776601683795</x:v>
      </x:c>
      <x:c r="U58" s="31" t="n">
        <x:f>IF(T58="","",I58*T58)</x:f>
        <x:v>73152.43365368576</x:v>
      </x:c>
    </x:row>
    <x:row r="59" ht="18" customHeight="1">
      <x:c r="A59" s="24" t="str">
        <x:v>EEZ_404</x:v>
      </x:c>
      <x:c r="B59" s="24" t="str">
        <x:v>Kenya</x:v>
      </x:c>
      <x:c r="C59" s="24" t="str">
        <x:v>EEZ</x:v>
      </x:c>
      <x:c r="D59" s="30" t="n">
        <x:v>2019</x:v>
      </x:c>
      <x:c r="E59" s="24" t="str">
        <x:v>Sillaginidae</x:v>
      </x:c>
      <x:c r="F59" s="24" t="str">
        <x:v>Smelt-whitings</x:v>
      </x:c>
      <x:c r="G59" s="24" t="str">
        <x:v>Medium demersals (30 - 89 cm)</x:v>
      </x:c>
      <x:c r="H59" s="24" t="str">
        <x:v>Perch-likes</x:v>
      </x:c>
      <x:c r="I59" s="31" t="n">
        <x:v>22.759265234199997</x:v>
      </x:c>
      <x:c r="J59" s="31" t="n">
        <x:v>22.759265234199997</x:v>
      </x:c>
      <x:c r="K59" s="31" t="n">
        <x:v>0</x:v>
      </x:c>
      <x:c r="L59" s="31" t="n">
        <x:v>22.759265234199997</x:v>
      </x:c>
      <x:c r="M59" s="31" t="n">
        <x:v>0</x:v>
      </x:c>
      <x:c r="N59" s="24" t="str">
        <x:v>sillaginidae</x:v>
      </x:c>
      <x:c r="O59" s="32" t="n">
        <x:v>3.25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Sillaginidae</x:v>
      </x:c>
      <x:c r="T59" s="32" t="n">
        <x:f>IF(O59="","",(1/'Metadata'!$B$5)^(O59-1))</x:f>
        <x:v>177.82794100389228</x:v>
      </x:c>
      <x:c r="U59" s="31" t="n">
        <x:f>IF(T59="","",I59*T59)</x:f>
        <x:v>4047.2332753592536</x:v>
      </x:c>
    </x:row>
    <x:row r="60" ht="18" customHeight="1">
      <x:c r="A60" s="24" t="str">
        <x:v>EEZ_404</x:v>
      </x:c>
      <x:c r="B60" s="24" t="str">
        <x:v>Kenya</x:v>
      </x:c>
      <x:c r="C60" s="24" t="str">
        <x:v>EEZ</x:v>
      </x:c>
      <x:c r="D60" s="30" t="n">
        <x:v>2019</x:v>
      </x:c>
      <x:c r="E60" s="24" t="str">
        <x:v>Holocentridae</x:v>
      </x:c>
      <x:c r="F60" s="24" t="str">
        <x:v>Squirrel-, soldierfishes</x:v>
      </x:c>
      <x:c r="G60" s="24" t="str">
        <x:v>Small reef assoc. fish (&lt;30 cm)</x:v>
      </x:c>
      <x:c r="H60" s="24" t="str">
        <x:v>Other fishes &amp; inverts</x:v>
      </x:c>
      <x:c r="I60" s="31" t="n">
        <x:v>22.759265234199997</x:v>
      </x:c>
      <x:c r="J60" s="31" t="n">
        <x:v>22.759265234199997</x:v>
      </x:c>
      <x:c r="K60" s="31" t="n">
        <x:v>0</x:v>
      </x:c>
      <x:c r="L60" s="31" t="n">
        <x:v>22.759265234199997</x:v>
      </x:c>
      <x:c r="M60" s="31" t="n">
        <x:v>0</x:v>
      </x:c>
      <x:c r="N60" s="24" t="str">
        <x:v>holocentridae</x:v>
      </x:c>
      <x:c r="O60" s="32" t="n">
        <x:v>3.49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Holocentridae</x:v>
      </x:c>
      <x:c r="T60" s="32" t="n">
        <x:f>IF(O60="","",(1/'Metadata'!$B$5)^(O60-1))</x:f>
        <x:v>309.0295432513592</x:v>
      </x:c>
      <x:c r="U60" s="31" t="n">
        <x:f>IF(T60="","",I60*T60)</x:f>
        <x:v>7033.285340061364</x:v>
      </x:c>
    </x:row>
    <x:row r="61" ht="18" customHeight="1">
      <x:c r="A61" s="24" t="str">
        <x:v>EEZ_404</x:v>
      </x:c>
      <x:c r="B61" s="24" t="str">
        <x:v>Kenya</x:v>
      </x:c>
      <x:c r="C61" s="24" t="str">
        <x:v>EEZ</x:v>
      </x:c>
      <x:c r="D61" s="30" t="n">
        <x:v>2019</x:v>
      </x:c>
      <x:c r="E61" s="24" t="str">
        <x:v>Prionace glauca</x:v>
      </x:c>
      <x:c r="F61" s="24" t="str">
        <x:v>Blue shark</x:v>
      </x:c>
      <x:c r="G61" s="24" t="str">
        <x:v>Large sharks (&gt;=90 cm)</x:v>
      </x:c>
      <x:c r="H61" s="24" t="str">
        <x:v>Sharks &amp; rays</x:v>
      </x:c>
      <x:c r="I61" s="31" t="n">
        <x:v>21.7921654068</x:v>
      </x:c>
      <x:c r="J61" s="31" t="n">
        <x:v>21.7921654068</x:v>
      </x:c>
      <x:c r="K61" s="31" t="n">
        <x:v>0</x:v>
      </x:c>
      <x:c r="L61" s="31" t="n">
        <x:v>21.7921654068</x:v>
      </x:c>
      <x:c r="M61" s="31" t="n">
        <x:v>0</x:v>
      </x:c>
      <x:c r="N61" s="24" t="str">
        <x:v>prionace glauca</x:v>
      </x:c>
      <x:c r="O61" s="32" t="n">
        <x:v>4.35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Prionace glauca</x:v>
      </x:c>
      <x:c r="T61" s="32" t="n">
        <x:f>IF(O61="","",(1/'Metadata'!$B$5)^(O61-1))</x:f>
        <x:v>2238.7211385683377</x:v>
      </x:c>
      <x:c r="U61" s="31" t="n">
        <x:f>IF(T61="","",I61*T61)</x:f>
        <x:v>48786.58135138083</x:v>
      </x:c>
    </x:row>
    <x:row r="62" ht="18" customHeight="1">
      <x:c r="A62" s="24" t="str">
        <x:v>EEZ_404</x:v>
      </x:c>
      <x:c r="B62" s="24" t="str">
        <x:v>Kenya</x:v>
      </x:c>
      <x:c r="C62" s="24" t="str">
        <x:v>EEZ</x:v>
      </x:c>
      <x:c r="D62" s="30" t="n">
        <x:v>2019</x:v>
      </x:c>
      <x:c r="E62" s="24" t="str">
        <x:v>Thryssa</x:v>
      </x:c>
      <x:c r="F62" s="24" t="str">
        <x:v>Thryssas</x:v>
      </x:c>
      <x:c r="G62" s="24" t="str">
        <x:v>Small pelagics (&lt;30 cm)</x:v>
      </x:c>
      <x:c r="H62" s="24" t="str">
        <x:v>Anchovies</x:v>
      </x:c>
      <x:c r="I62" s="31" t="n">
        <x:v>21.5125244283</x:v>
      </x:c>
      <x:c r="J62" s="31" t="n">
        <x:v>0</x:v>
      </x:c>
      <x:c r="K62" s="31" t="n">
        <x:v>21.5125244283</x:v>
      </x:c>
      <x:c r="L62" s="31" t="n">
        <x:v>0</x:v>
      </x:c>
      <x:c r="M62" s="31" t="n">
        <x:v>21.5125244283</x:v>
      </x:c>
      <x:c r="N62" s="24" t="str">
        <x:v>thryssa</x:v>
      </x:c>
      <x:c r="O62" s="32" t="n">
        <x:v>3.34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Thryssa</x:v>
      </x:c>
      <x:c r="T62" s="32" t="n">
        <x:f>IF(O62="","",(1/'Metadata'!$B$5)^(O62-1))</x:f>
        <x:v>218.77616239495518</x:v>
      </x:c>
      <x:c r="U62" s="31" t="n">
        <x:f>IF(T62="","",I62*T62)</x:f>
        <x:v>4706.427537851201</x:v>
      </x:c>
    </x:row>
    <x:row r="63" ht="18" customHeight="1">
      <x:c r="A63" s="24" t="str">
        <x:v>EEZ_404</x:v>
      </x:c>
      <x:c r="B63" s="24" t="str">
        <x:v>Kenya</x:v>
      </x:c>
      <x:c r="C63" s="24" t="str">
        <x:v>EEZ</x:v>
      </x:c>
      <x:c r="D63" s="30" t="n">
        <x:v>2019</x:v>
      </x:c>
      <x:c r="E63" s="24" t="str">
        <x:v>Pomadasys maculatus</x:v>
      </x:c>
      <x:c r="F63" s="24" t="str">
        <x:v>Saddle grunt</x:v>
      </x:c>
      <x:c r="G63" s="24" t="str">
        <x:v>Medium reef assoc. fish (30 - 89 cm)</x:v>
      </x:c>
      <x:c r="H63" s="24" t="str">
        <x:v>Perch-likes</x:v>
      </x:c>
      <x:c r="I63" s="31" t="n">
        <x:v>20.563709723</x:v>
      </x:c>
      <x:c r="J63" s="31" t="n">
        <x:v>17.2053917354</x:v>
      </x:c>
      <x:c r="K63" s="31" t="n">
        <x:v>3.3583179876</x:v>
      </x:c>
      <x:c r="L63" s="31" t="n">
        <x:v>17.2053917354</x:v>
      </x:c>
      <x:c r="M63" s="31" t="n">
        <x:v>3.3583179876</x:v>
      </x:c>
      <x:c r="N63" s="24" t="str">
        <x:v>pomadasys maculatus</x:v>
      </x:c>
      <x:c r="O63" s="32" t="n">
        <x:v>4.04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Pomadasys maculatus</x:v>
      </x:c>
      <x:c r="T63" s="32" t="n">
        <x:f>IF(O63="","",(1/'Metadata'!$B$5)^(O63-1))</x:f>
        <x:v>1096.4781961431852</x:v>
      </x:c>
      <x:c r="U63" s="31" t="n">
        <x:f>IF(T63="","",I63*T63)</x:f>
        <x:v>22547.659343087118</x:v>
      </x:c>
    </x:row>
    <x:row r="64" ht="18" customHeight="1">
      <x:c r="A64" s="24" t="str">
        <x:v>EEZ_404</x:v>
      </x:c>
      <x:c r="B64" s="24" t="str">
        <x:v>Kenya</x:v>
      </x:c>
      <x:c r="C64" s="24" t="str">
        <x:v>EEZ</x:v>
      </x:c>
      <x:c r="D64" s="30" t="n">
        <x:v>2019</x:v>
      </x:c>
      <x:c r="E64" s="24" t="str">
        <x:v>Chondrichthyes</x:v>
      </x:c>
      <x:c r="F64" s="24" t="str">
        <x:v>Sharks, rays, chimaeras</x:v>
      </x:c>
      <x:c r="G64" s="24" t="str">
        <x:v>Large sharks (&gt;=90 cm)</x:v>
      </x:c>
      <x:c r="H64" s="24" t="str">
        <x:v>Sharks &amp; rays</x:v>
      </x:c>
      <x:c r="I64" s="31" t="n">
        <x:v>20.5077554692</x:v>
      </x:c>
      <x:c r="J64" s="31" t="n">
        <x:v>20.5077554692</x:v>
      </x:c>
      <x:c r="K64" s="31" t="n">
        <x:v>0</x:v>
      </x:c>
      <x:c r="L64" s="31" t="n">
        <x:v>0</x:v>
      </x:c>
      <x:c r="M64" s="31" t="n">
        <x:v>20.5077554692</x:v>
      </x:c>
      <x:c r="N64" s="24" t="str">
        <x:v>chondrichthyes</x:v>
      </x:c>
      <x:c r="O64" s="32" t="n">
        <x:v>4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Chondrichthyes</x:v>
      </x:c>
      <x:c r="T64" s="32" t="n">
        <x:f>IF(O64="","",(1/'Metadata'!$B$5)^(O64-1))</x:f>
        <x:v>1000</x:v>
      </x:c>
      <x:c r="U64" s="31" t="n">
        <x:f>IF(T64="","",I64*T64)</x:f>
        <x:v>20507.755469199998</x:v>
      </x:c>
    </x:row>
    <x:row r="65" ht="18" customHeight="1">
      <x:c r="A65" s="24" t="str">
        <x:v>EEZ_404</x:v>
      </x:c>
      <x:c r="B65" s="24" t="str">
        <x:v>Kenya</x:v>
      </x:c>
      <x:c r="C65" s="24" t="str">
        <x:v>EEZ</x:v>
      </x:c>
      <x:c r="D65" s="30" t="n">
        <x:v>2019</x:v>
      </x:c>
      <x:c r="E65" s="24" t="str">
        <x:v>Upeneus sulphureus</x:v>
      </x:c>
      <x:c r="F65" s="24" t="str">
        <x:v>Sulphur goatfish</x:v>
      </x:c>
      <x:c r="G65" s="24" t="str">
        <x:v>Small demersals (&lt;30 cm)</x:v>
      </x:c>
      <x:c r="H65" s="24" t="str">
        <x:v>Perch-likes</x:v>
      </x:c>
      <x:c r="I65" s="31" t="n">
        <x:v>18.4727497128</x:v>
      </x:c>
      <x:c r="J65" s="31" t="n">
        <x:v>18.4727497128</x:v>
      </x:c>
      <x:c r="K65" s="31" t="n">
        <x:v>0</x:v>
      </x:c>
      <x:c r="L65" s="31" t="n">
        <x:v>18.4727497128</x:v>
      </x:c>
      <x:c r="M65" s="31" t="n">
        <x:v>0</x:v>
      </x:c>
      <x:c r="N65" s="24" t="str">
        <x:v>upeneus sulphureus</x:v>
      </x:c>
      <x:c r="O65" s="32" t="n">
        <x:v>3.08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Upeneus sulphureus</x:v>
      </x:c>
      <x:c r="T65" s="32" t="n">
        <x:f>IF(O65="","",(1/'Metadata'!$B$5)^(O65-1))</x:f>
        <x:v>120.22644346174131</x:v>
      </x:c>
      <x:c r="U65" s="31" t="n">
        <x:f>IF(T65="","",I65*T65)</x:f>
        <x:v>2220.912998928847</x:v>
      </x:c>
    </x:row>
    <x:row r="66" ht="18" customHeight="1">
      <x:c r="A66" s="24" t="str">
        <x:v>EEZ_404</x:v>
      </x:c>
      <x:c r="B66" s="24" t="str">
        <x:v>Kenya</x:v>
      </x:c>
      <x:c r="C66" s="24" t="str">
        <x:v>EEZ</x:v>
      </x:c>
      <x:c r="D66" s="30" t="n">
        <x:v>2019</x:v>
      </x:c>
      <x:c r="E66" s="24" t="str">
        <x:v>Photopectoralis bindus</x:v>
      </x:c>
      <x:c r="F66" s="24" t="str">
        <x:v>Orangefin ponyfish</x:v>
      </x:c>
      <x:c r="G66" s="24" t="str">
        <x:v>Large reef assoc. fish (&gt;=90 cm)</x:v>
      </x:c>
      <x:c r="H66" s="24" t="str">
        <x:v>Perch-likes</x:v>
      </x:c>
      <x:c r="I66" s="31" t="n">
        <x:v>17.2218343975</x:v>
      </x:c>
      <x:c r="J66" s="31" t="n">
        <x:v>13.0597952421</x:v>
      </x:c>
      <x:c r="K66" s="31" t="n">
        <x:v>4.1620391554</x:v>
      </x:c>
      <x:c r="L66" s="31" t="n">
        <x:v>13.0597952421</x:v>
      </x:c>
      <x:c r="M66" s="31" t="n">
        <x:v>4.1620391554</x:v>
      </x:c>
      <x:c r="N66" s="24" t="str">
        <x:v>photopectoralis bindus</x:v>
      </x:c>
      <x:c r="O66" s="32" t="n">
        <x:v>2.93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Photopectoralis bindus</x:v>
      </x:c>
      <x:c r="T66" s="32" t="n">
        <x:f>IF(O66="","",(1/'Metadata'!$B$5)^(O66-1))</x:f>
        <x:v>85.11380382023768</x:v>
      </x:c>
      <x:c r="U66" s="31" t="n">
        <x:f>IF(T66="","",I66*T66)</x:f>
        <x:v>1465.8158343334362</x:v>
      </x:c>
    </x:row>
    <x:row r="67" ht="18" customHeight="1">
      <x:c r="A67" s="24" t="str">
        <x:v>EEZ_404</x:v>
      </x:c>
      <x:c r="B67" s="24" t="str">
        <x:v>Kenya</x:v>
      </x:c>
      <x:c r="C67" s="24" t="str">
        <x:v>EEZ</x:v>
      </x:c>
      <x:c r="D67" s="30" t="n">
        <x:v>2019</x:v>
      </x:c>
      <x:c r="E67" s="24" t="str">
        <x:v>Leiognathus equula</x:v>
      </x:c>
      <x:c r="F67" s="24" t="str">
        <x:v>Common ponyfish</x:v>
      </x:c>
      <x:c r="G67" s="24" t="str">
        <x:v>Small benthopelagics (&lt;30 cm)</x:v>
      </x:c>
      <x:c r="H67" s="24" t="str">
        <x:v>Perch-likes</x:v>
      </x:c>
      <x:c r="I67" s="31" t="n">
        <x:v>16.1379293268</x:v>
      </x:c>
      <x:c r="J67" s="31" t="n">
        <x:v>12.4704878131</x:v>
      </x:c>
      <x:c r="K67" s="31" t="n">
        <x:v>3.6674415137</x:v>
      </x:c>
      <x:c r="L67" s="31" t="n">
        <x:v>12.4704878131</x:v>
      </x:c>
      <x:c r="M67" s="31" t="n">
        <x:v>3.6674415137</x:v>
      </x:c>
      <x:c r="N67" s="24" t="str">
        <x:v>leiognathus equula</x:v>
      </x:c>
      <x:c r="O67" s="32" t="n">
        <x:v>2.95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Leiognathus equula</x:v>
      </x:c>
      <x:c r="T67" s="32" t="n">
        <x:f>IF(O67="","",(1/'Metadata'!$B$5)^(O67-1))</x:f>
        <x:v>89.12509381337459</x:v>
      </x:c>
      <x:c r="U67" s="31" t="n">
        <x:f>IF(T67="","",I67*T67)</x:f>
        <x:v>1438.294465204659</x:v>
      </x:c>
    </x:row>
    <x:row r="68" ht="18" customHeight="1">
      <x:c r="A68" s="24" t="str">
        <x:v>EEZ_404</x:v>
      </x:c>
      <x:c r="B68" s="24" t="str">
        <x:v>Kenya</x:v>
      </x:c>
      <x:c r="C68" s="24" t="str">
        <x:v>EEZ</x:v>
      </x:c>
      <x:c r="D68" s="30" t="n">
        <x:v>2019</x:v>
      </x:c>
      <x:c r="E68" s="24" t="str">
        <x:v>Pomatomus saltatrix</x:v>
      </x:c>
      <x:c r="F68" s="24" t="str">
        <x:v>Bluefish</x:v>
      </x:c>
      <x:c r="G68" s="24" t="str">
        <x:v>Large pelagics (&gt;=90 cm)</x:v>
      </x:c>
      <x:c r="H68" s="24" t="str">
        <x:v>Perch-likes</x:v>
      </x:c>
      <x:c r="I68" s="31" t="n">
        <x:v>15.860526710199998</x:v>
      </x:c>
      <x:c r="J68" s="31" t="n">
        <x:v>15.860526710199998</x:v>
      </x:c>
      <x:c r="K68" s="31" t="n">
        <x:v>0</x:v>
      </x:c>
      <x:c r="L68" s="31" t="n">
        <x:v>15.860526710199998</x:v>
      </x:c>
      <x:c r="M68" s="31" t="n">
        <x:v>0</x:v>
      </x:c>
      <x:c r="N68" s="24" t="str">
        <x:v>pomatomus saltatrix</x:v>
      </x:c>
      <x:c r="O68" s="32" t="n">
        <x:v>4.53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Pomatomus saltatrix</x:v>
      </x:c>
      <x:c r="T68" s="32" t="n">
        <x:f>IF(O68="","",(1/'Metadata'!$B$5)^(O68-1))</x:f>
        <x:v>3388.4415613920273</x:v>
      </x:c>
      <x:c r="U68" s="31" t="n">
        <x:f>IF(T68="","",I68*T68)</x:f>
        <x:v>53742.46789041004</x:v>
      </x:c>
    </x:row>
    <x:row r="69" ht="18" customHeight="1">
      <x:c r="A69" s="24" t="str">
        <x:v>EEZ_404</x:v>
      </x:c>
      <x:c r="B69" s="24" t="str">
        <x:v>Kenya</x:v>
      </x:c>
      <x:c r="C69" s="24" t="str">
        <x:v>EEZ</x:v>
      </x:c>
      <x:c r="D69" s="30" t="n">
        <x:v>2019</x:v>
      </x:c>
      <x:c r="E69" s="24" t="str">
        <x:v>Ephippidae</x:v>
      </x:c>
      <x:c r="F69" s="24" t="str">
        <x:v>Spade-, batfishes, scats</x:v>
      </x:c>
      <x:c r="G69" s="24" t="str">
        <x:v>Medium reef assoc. fish (30 - 89 cm)</x:v>
      </x:c>
      <x:c r="H69" s="24" t="str">
        <x:v>Perch-likes</x:v>
      </x:c>
      <x:c r="I69" s="31" t="n">
        <x:v>14.8429990658</x:v>
      </x:c>
      <x:c r="J69" s="31" t="n">
        <x:v>14.8429990658</x:v>
      </x:c>
      <x:c r="K69" s="31" t="n">
        <x:v>0</x:v>
      </x:c>
      <x:c r="L69" s="31" t="n">
        <x:v>14.8429990658</x:v>
      </x:c>
      <x:c r="M69" s="31" t="n">
        <x:v>0</x:v>
      </x:c>
      <x:c r="N69" s="24" t="str">
        <x:v>ephippidae</x:v>
      </x:c>
      <x:c r="O69" s="32" t="n">
        <x:v>3.57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Ephippidae</x:v>
      </x:c>
      <x:c r="T69" s="32" t="n">
        <x:f>IF(O69="","",(1/'Metadata'!$B$5)^(O69-1))</x:f>
        <x:v>371.5352290971724</x:v>
      </x:c>
      <x:c r="U69" s="31" t="n">
        <x:f>IF(T69="","",I69*T69)</x:f>
        <x:v>5514.69705840112</x:v>
      </x:c>
    </x:row>
    <x:row r="70" ht="18" customHeight="1">
      <x:c r="A70" s="24" t="str">
        <x:v>EEZ_404</x:v>
      </x:c>
      <x:c r="B70" s="24" t="str">
        <x:v>Kenya</x:v>
      </x:c>
      <x:c r="C70" s="24" t="str">
        <x:v>EEZ</x:v>
      </x:c>
      <x:c r="D70" s="30" t="n">
        <x:v>2019</x:v>
      </x:c>
      <x:c r="E70" s="24" t="str">
        <x:v>Penaeus semisulcatus</x:v>
      </x:c>
      <x:c r="F70" s="24" t="str">
        <x:v>Green tiger prawn</x:v>
      </x:c>
      <x:c r="G70" s="24" t="str">
        <x:v>Shrimps</x:v>
      </x:c>
      <x:c r="H70" s="24" t="str">
        <x:v>Crustaceans</x:v>
      </x:c>
      <x:c r="I70" s="31" t="n">
        <x:v>14.0247044275</x:v>
      </x:c>
      <x:c r="J70" s="31" t="n">
        <x:v>14.0247044275</x:v>
      </x:c>
      <x:c r="K70" s="31" t="n">
        <x:v>0</x:v>
      </x:c>
      <x:c r="L70" s="31" t="n">
        <x:v>14.0247044275</x:v>
      </x:c>
      <x:c r="M70" s="31" t="n">
        <x:v>0</x:v>
      </x:c>
      <x:c r="N70" s="24" t="str">
        <x:v>penaeus semisulcatus</x:v>
      </x:c>
      <x:c r="O70" s="32" t="n">
        <x:v>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Penaeus semisulcatus</x:v>
      </x:c>
      <x:c r="T70" s="32" t="n">
        <x:f>IF(O70="","",(1/'Metadata'!$B$5)^(O70-1))</x:f>
        <x:v>10</x:v>
      </x:c>
      <x:c r="U70" s="31" t="n">
        <x:f>IF(T70="","",I70*T70)</x:f>
        <x:v>140.247044275</x:v>
      </x:c>
    </x:row>
    <x:row r="71" ht="18" customHeight="1">
      <x:c r="A71" s="24" t="str">
        <x:v>EEZ_404</x:v>
      </x:c>
      <x:c r="B71" s="24" t="str">
        <x:v>Kenya</x:v>
      </x:c>
      <x:c r="C71" s="24" t="str">
        <x:v>EEZ</x:v>
      </x:c>
      <x:c r="D71" s="30" t="n">
        <x:v>2019</x:v>
      </x:c>
      <x:c r="E71" s="24" t="str">
        <x:v>Sphyraena flavicauda</x:v>
      </x:c>
      <x:c r="F71" s="24" t="str">
        <x:v>Yellowtail barracuda</x:v>
      </x:c>
      <x:c r="G71" s="24" t="str">
        <x:v>Medium reef assoc. fish (30 - 89 cm)</x:v>
      </x:c>
      <x:c r="H71" s="24" t="str">
        <x:v>Perch-likes</x:v>
      </x:c>
      <x:c r="I71" s="31" t="n">
        <x:v>13.4686850529</x:v>
      </x:c>
      <x:c r="J71" s="31" t="n">
        <x:v>13.4686850529</x:v>
      </x:c>
      <x:c r="K71" s="31" t="n">
        <x:v>0</x:v>
      </x:c>
      <x:c r="L71" s="31" t="n">
        <x:v>13.4686850529</x:v>
      </x:c>
      <x:c r="M71" s="31" t="n">
        <x:v>0</x:v>
      </x:c>
      <x:c r="N71" s="24" t="str">
        <x:v>sphyraena flavicauda</x:v>
      </x:c>
      <x:c r="O71" s="32" t="n">
        <x:v>3.76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Sphyraena flavicauda</x:v>
      </x:c>
      <x:c r="T71" s="32" t="n">
        <x:f>IF(O71="","",(1/'Metadata'!$B$5)^(O71-1))</x:f>
        <x:v>575.4399373371566</x:v>
      </x:c>
      <x:c r="U71" s="31" t="n">
        <x:f>IF(T71="","",I71*T71)</x:f>
        <x:v>7750.419282854674</x:v>
      </x:c>
    </x:row>
    <x:row r="72" ht="18" customHeight="1">
      <x:c r="A72" s="24" t="str">
        <x:v>EEZ_404</x:v>
      </x:c>
      <x:c r="B72" s="24" t="str">
        <x:v>Kenya</x:v>
      </x:c>
      <x:c r="C72" s="24" t="str">
        <x:v>EEZ</x:v>
      </x:c>
      <x:c r="D72" s="30" t="n">
        <x:v>2019</x:v>
      </x:c>
      <x:c r="E72" s="24" t="str">
        <x:v>Makaira mazara</x:v>
      </x:c>
      <x:c r="F72" s="24" t="str">
        <x:v>Indo-Pacific blue marlin</x:v>
      </x:c>
      <x:c r="G72" s="24" t="str">
        <x:v>Large pelagics (&gt;=90 cm)</x:v>
      </x:c>
      <x:c r="H72" s="24" t="str">
        <x:v>Tuna &amp; billfishes</x:v>
      </x:c>
      <x:c r="I72" s="31" t="n">
        <x:v>13.1076191283</x:v>
      </x:c>
      <x:c r="J72" s="31" t="n">
        <x:v>13.1076191283</x:v>
      </x:c>
      <x:c r="K72" s="31" t="n">
        <x:v>0</x:v>
      </x:c>
      <x:c r="L72" s="31" t="n">
        <x:v>0</x:v>
      </x:c>
      <x:c r="M72" s="31" t="n">
        <x:v>13.1076191283</x:v>
      </x:c>
      <x:c r="N72" s="24" t="str">
        <x:v>makaira mazara</x:v>
      </x:c>
      <x:c r="O72" s="32" t="n">
        <x:v>4.46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Makaira mazara</x:v>
      </x:c>
      <x:c r="T72" s="32" t="n">
        <x:f>IF(O72="","",(1/'Metadata'!$B$5)^(O72-1))</x:f>
        <x:v>2884.031503126606</x:v>
      </x:c>
      <x:c r="U72" s="31" t="n">
        <x:f>IF(T72="","",I72*T72)</x:f>
        <x:v>37802.7864970021</x:v>
      </x:c>
    </x:row>
    <x:row r="73" ht="18" customHeight="1">
      <x:c r="A73" s="24" t="str">
        <x:v>EEZ_404</x:v>
      </x:c>
      <x:c r="B73" s="24" t="str">
        <x:v>Kenya</x:v>
      </x:c>
      <x:c r="C73" s="24" t="str">
        <x:v>EEZ</x:v>
      </x:c>
      <x:c r="D73" s="30" t="n">
        <x:v>2019</x:v>
      </x:c>
      <x:c r="E73" s="24" t="str">
        <x:v>Sparidae</x:v>
      </x:c>
      <x:c r="F73" s="24" t="str">
        <x:v>Porgies, seabreams</x:v>
      </x:c>
      <x:c r="G73" s="24" t="str">
        <x:v>Medium benthopelagics (30 - 89 cm)</x:v>
      </x:c>
      <x:c r="H73" s="24" t="str">
        <x:v>Perch-likes</x:v>
      </x:c>
      <x:c r="I73" s="31" t="n">
        <x:v>12.863932523699999</x:v>
      </x:c>
      <x:c r="J73" s="31" t="n">
        <x:v>12.863932523699999</x:v>
      </x:c>
      <x:c r="K73" s="31" t="n">
        <x:v>0</x:v>
      </x:c>
      <x:c r="L73" s="31" t="n">
        <x:v>12.863932523699999</x:v>
      </x:c>
      <x:c r="M73" s="31" t="n">
        <x:v>0</x:v>
      </x:c>
      <x:c r="N73" s="24" t="str">
        <x:v>sparidae</x:v>
      </x:c>
      <x:c r="O73" s="32" t="n">
        <x:v>3.31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Sparidae</x:v>
      </x:c>
      <x:c r="T73" s="32" t="n">
        <x:f>IF(O73="","",(1/'Metadata'!$B$5)^(O73-1))</x:f>
        <x:v>204.17379446695296</x:v>
      </x:c>
      <x:c r="U73" s="31" t="n">
        <x:f>IF(T73="","",I73*T73)</x:f>
        <x:v>2626.4779151306752</x:v>
      </x:c>
    </x:row>
    <x:row r="74" ht="18" customHeight="1">
      <x:c r="A74" s="24" t="str">
        <x:v>EEZ_404</x:v>
      </x:c>
      <x:c r="B74" s="24" t="str">
        <x:v>Kenya</x:v>
      </x:c>
      <x:c r="C74" s="24" t="str">
        <x:v>EEZ</x:v>
      </x:c>
      <x:c r="D74" s="30" t="n">
        <x:v>2019</x:v>
      </x:c>
      <x:c r="E74" s="24" t="str">
        <x:v>Upeneus vittatus</x:v>
      </x:c>
      <x:c r="F74" s="24" t="str">
        <x:v>Yellowstriped goatfish</x:v>
      </x:c>
      <x:c r="G74" s="24" t="str">
        <x:v>Small reef assoc. fish (&lt;30 cm)</x:v>
      </x:c>
      <x:c r="H74" s="24" t="str">
        <x:v>Perch-likes</x:v>
      </x:c>
      <x:c r="I74" s="31" t="n">
        <x:v>12.4790815144</x:v>
      </x:c>
      <x:c r="J74" s="31" t="n">
        <x:v>12.4790815144</x:v>
      </x:c>
      <x:c r="K74" s="31" t="n">
        <x:v>0</x:v>
      </x:c>
      <x:c r="L74" s="31" t="n">
        <x:v>12.4790815144</x:v>
      </x:c>
      <x:c r="M74" s="31" t="n">
        <x:v>0</x:v>
      </x:c>
      <x:c r="N74" s="24" t="str">
        <x:v>upeneus vittatus</x:v>
      </x:c>
      <x:c r="O74" s="32" t="n">
        <x:v>3.62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Upeneus vittatus</x:v>
      </x:c>
      <x:c r="T74" s="32" t="n">
        <x:f>IF(O74="","",(1/'Metadata'!$B$5)^(O74-1))</x:f>
        <x:v>416.8693834703355</x:v>
      </x:c>
      <x:c r="U74" s="31" t="n">
        <x:f>IF(T74="","",I74*T74)</x:f>
        <x:v>5202.147017183989</x:v>
      </x:c>
    </x:row>
    <x:row r="75" ht="18" customHeight="1">
      <x:c r="A75" s="24" t="str">
        <x:v>EEZ_404</x:v>
      </x:c>
      <x:c r="B75" s="24" t="str">
        <x:v>Kenya</x:v>
      </x:c>
      <x:c r="C75" s="24" t="str">
        <x:v>EEZ</x:v>
      </x:c>
      <x:c r="D75" s="30" t="n">
        <x:v>2019</x:v>
      </x:c>
      <x:c r="E75" s="24" t="str">
        <x:v>Gazza minuta</x:v>
      </x:c>
      <x:c r="F75" s="24" t="str">
        <x:v>Toothpony</x:v>
      </x:c>
      <x:c r="G75" s="24" t="str">
        <x:v>Small demersals (&lt;30 cm)</x:v>
      </x:c>
      <x:c r="H75" s="24" t="str">
        <x:v>Perch-likes</x:v>
      </x:c>
      <x:c r="I75" s="31" t="n">
        <x:v>11.963127115</x:v>
      </x:c>
      <x:c r="J75" s="31" t="n">
        <x:v>3.4733585942</x:v>
      </x:c>
      <x:c r="K75" s="31" t="n">
        <x:v>8.4897685208</x:v>
      </x:c>
      <x:c r="L75" s="31" t="n">
        <x:v>3.4733585942</x:v>
      </x:c>
      <x:c r="M75" s="31" t="n">
        <x:v>8.4897685208</x:v>
      </x:c>
      <x:c r="N75" s="24" t="str">
        <x:v>gazza minuta</x:v>
      </x:c>
      <x:c r="O75" s="32" t="n">
        <x:v>4.19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Gazza minuta</x:v>
      </x:c>
      <x:c r="T75" s="32" t="n">
        <x:f>IF(O75="","",(1/'Metadata'!$B$5)^(O75-1))</x:f>
        <x:v>1548.8166189124827</x:v>
      </x:c>
      <x:c r="U75" s="31" t="n">
        <x:f>IF(T75="","",I75*T75)</x:f>
        <x:v>18528.690089874544</x:v>
      </x:c>
    </x:row>
    <x:row r="76" ht="18" customHeight="1">
      <x:c r="A76" s="24" t="str">
        <x:v>EEZ_404</x:v>
      </x:c>
      <x:c r="B76" s="24" t="str">
        <x:v>Kenya</x:v>
      </x:c>
      <x:c r="C76" s="24" t="str">
        <x:v>EEZ</x:v>
      </x:c>
      <x:c r="D76" s="30" t="n">
        <x:v>2019</x:v>
      </x:c>
      <x:c r="E76" s="24" t="str">
        <x:v>Polynemidae</x:v>
      </x:c>
      <x:c r="F76" s="24" t="str">
        <x:v>Threadfins</x:v>
      </x:c>
      <x:c r="G76" s="24" t="str">
        <x:v>Small demersals (&lt;30 cm)</x:v>
      </x:c>
      <x:c r="H76" s="24" t="str">
        <x:v>Perch-likes</x:v>
      </x:c>
      <x:c r="I76" s="31" t="n">
        <x:v>11.6237504088</x:v>
      </x:c>
      <x:c r="J76" s="31" t="n">
        <x:v>8.0799583056</x:v>
      </x:c>
      <x:c r="K76" s="31" t="n">
        <x:v>3.5437921032</x:v>
      </x:c>
      <x:c r="L76" s="31" t="n">
        <x:v>8.0799583056</x:v>
      </x:c>
      <x:c r="M76" s="31" t="n">
        <x:v>3.5437921032</x:v>
      </x:c>
      <x:c r="N76" s="24" t="str">
        <x:v>polynemidae</x:v>
      </x:c>
      <x:c r="O76" s="32" t="n">
        <x:v>3.62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Polynemidae</x:v>
      </x:c>
      <x:c r="T76" s="32" t="n">
        <x:f>IF(O76="","",(1/'Metadata'!$B$5)^(O76-1))</x:f>
        <x:v>416.8693834703355</x:v>
      </x:c>
      <x:c r="U76" s="31" t="n">
        <x:f>IF(T76="","",I76*T76)</x:f>
        <x:v>4845.585666529516</x:v>
      </x:c>
    </x:row>
    <x:row r="77" ht="18" customHeight="1">
      <x:c r="A77" s="24" t="str">
        <x:v>EEZ_404</x:v>
      </x:c>
      <x:c r="B77" s="24" t="str">
        <x:v>Kenya</x:v>
      </x:c>
      <x:c r="C77" s="24" t="str">
        <x:v>EEZ</x:v>
      </x:c>
      <x:c r="D77" s="30" t="n">
        <x:v>2019</x:v>
      </x:c>
      <x:c r="E77" s="24" t="str">
        <x:v>Sphyraena jello</x:v>
      </x:c>
      <x:c r="F77" s="24" t="str">
        <x:v>Pickhandle barracuda</x:v>
      </x:c>
      <x:c r="G77" s="24" t="str">
        <x:v>Large reef assoc. fish (&gt;=90 cm)</x:v>
      </x:c>
      <x:c r="H77" s="24" t="str">
        <x:v>Perch-likes</x:v>
      </x:c>
      <x:c r="I77" s="31" t="n">
        <x:v>11.2521615366</x:v>
      </x:c>
      <x:c r="J77" s="31" t="n">
        <x:v>11.2521615366</x:v>
      </x:c>
      <x:c r="K77" s="31" t="n">
        <x:v>0</x:v>
      </x:c>
      <x:c r="L77" s="31" t="n">
        <x:v>11.2521615366</x:v>
      </x:c>
      <x:c r="M77" s="31" t="n">
        <x:v>0</x:v>
      </x:c>
      <x:c r="N77" s="24" t="str">
        <x:v>sphyraena jello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Sphyraena jello</x:v>
      </x:c>
      <x:c r="T77" s="32" t="n">
        <x:f>IF(O77="","",(1/'Metadata'!$B$5)^(O77-1))</x:f>
        <x:v>3162.2776601683795</x:v>
      </x:c>
      <x:c r="U77" s="31" t="n">
        <x:f>IF(T77="","",I77*T77)</x:f>
        <x:v>35582.459055796084</x:v>
      </x:c>
    </x:row>
    <x:row r="78" ht="18" customHeight="1">
      <x:c r="A78" s="24" t="str">
        <x:v>EEZ_404</x:v>
      </x:c>
      <x:c r="B78" s="24" t="str">
        <x:v>Kenya</x:v>
      </x:c>
      <x:c r="C78" s="24" t="str">
        <x:v>EEZ</x:v>
      </x:c>
      <x:c r="D78" s="30" t="n">
        <x:v>2019</x:v>
      </x:c>
      <x:c r="E78" s="24" t="str">
        <x:v>Scombroidei</x:v>
      </x:c>
      <x:c r="F78" s="24" t="str">
        <x:v>Tunas, bonitos, billfishes</x:v>
      </x:c>
      <x:c r="G78" s="24" t="str">
        <x:v>Large pelagics (&gt;=90 cm)</x:v>
      </x:c>
      <x:c r="H78" s="24" t="str">
        <x:v>Tuna &amp; billfishes</x:v>
      </x:c>
      <x:c r="I78" s="31" t="n">
        <x:v>10.3433491231</x:v>
      </x:c>
      <x:c r="J78" s="31" t="n">
        <x:v>10.3433491231</x:v>
      </x:c>
      <x:c r="K78" s="31" t="n">
        <x:v>0</x:v>
      </x:c>
      <x:c r="L78" s="31" t="n">
        <x:v>10.3433491231</x:v>
      </x:c>
      <x:c r="M78" s="31" t="n">
        <x:v>0</x:v>
      </x:c>
      <x:c r="N78" s="24" t="str">
        <x:v>scombroidei</x:v>
      </x:c>
      <x:c r="O78" s="32" t="n">
        <x:v>4.2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Scombroidei</x:v>
      </x:c>
      <x:c r="T78" s="32" t="n">
        <x:f>IF(O78="","",(1/'Metadata'!$B$5)^(O78-1))</x:f>
        <x:v>1584.893192461114</x:v>
      </x:c>
      <x:c r="U78" s="31" t="n">
        <x:f>IF(T78="","",I78*T78)</x:f>
        <x:v>16393.103612449824</x:v>
      </x:c>
    </x:row>
    <x:row r="79" ht="18" customHeight="1">
      <x:c r="A79" s="24" t="str">
        <x:v>EEZ_404</x:v>
      </x:c>
      <x:c r="B79" s="24" t="str">
        <x:v>Kenya</x:v>
      </x:c>
      <x:c r="C79" s="24" t="str">
        <x:v>EEZ</x:v>
      </x:c>
      <x:c r="D79" s="30" t="n">
        <x:v>2019</x:v>
      </x:c>
      <x:c r="E79" s="24" t="str">
        <x:v>Lobotes surinamensis</x:v>
      </x:c>
      <x:c r="F79" s="24" t="str">
        <x:v>Tripletail</x:v>
      </x:c>
      <x:c r="G79" s="24" t="str">
        <x:v>Large benthopelagics (&gt;=90 cm)</x:v>
      </x:c>
      <x:c r="H79" s="24" t="str">
        <x:v>Perch-likes</x:v>
      </x:c>
      <x:c r="I79" s="31" t="n">
        <x:v>10.1563769308</x:v>
      </x:c>
      <x:c r="J79" s="31" t="n">
        <x:v>10.1563769308</x:v>
      </x:c>
      <x:c r="K79" s="31" t="n">
        <x:v>0</x:v>
      </x:c>
      <x:c r="L79" s="31" t="n">
        <x:v>10.1563769308</x:v>
      </x:c>
      <x:c r="M79" s="31" t="n">
        <x:v>0</x:v>
      </x:c>
      <x:c r="N79" s="24" t="str">
        <x:v>lobotes surinamensis</x:v>
      </x:c>
      <x:c r="O79" s="32" t="n">
        <x:v>4.04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Lobotes surinamensis</x:v>
      </x:c>
      <x:c r="T79" s="32" t="n">
        <x:f>IF(O79="","",(1/'Metadata'!$B$5)^(O79-1))</x:f>
        <x:v>1096.4781961431852</x:v>
      </x:c>
      <x:c r="U79" s="31" t="n">
        <x:f>IF(T79="","",I79*T79)</x:f>
        <x:v>11136.245856433845</x:v>
      </x:c>
    </x:row>
    <x:row r="80" ht="18" customHeight="1">
      <x:c r="A80" s="24" t="str">
        <x:v>EEZ_404</x:v>
      </x:c>
      <x:c r="B80" s="24" t="str">
        <x:v>Kenya</x:v>
      </x:c>
      <x:c r="C80" s="24" t="str">
        <x:v>EEZ</x:v>
      </x:c>
      <x:c r="D80" s="30" t="n">
        <x:v>2019</x:v>
      </x:c>
      <x:c r="E80" s="24" t="str">
        <x:v>Kajikia audax</x:v>
      </x:c>
      <x:c r="F80" s="24" t="str">
        <x:v>Striped marlin</x:v>
      </x:c>
      <x:c r="G80" s="24" t="str">
        <x:v>Large pelagics (&gt;=90 cm)</x:v>
      </x:c>
      <x:c r="H80" s="24" t="str">
        <x:v>Tuna &amp; billfishes</x:v>
      </x:c>
      <x:c r="I80" s="31" t="n">
        <x:v>9.300900002999999</x:v>
      </x:c>
      <x:c r="J80" s="31" t="n">
        <x:v>9.300900002999999</x:v>
      </x:c>
      <x:c r="K80" s="31" t="n">
        <x:v>0</x:v>
      </x:c>
      <x:c r="L80" s="31" t="n">
        <x:v>0.1729241014</x:v>
      </x:c>
      <x:c r="M80" s="31" t="n">
        <x:v>9.1279759016</x:v>
      </x:c>
      <x:c r="N80" s="24" t="str">
        <x:v>kajikia audax</x:v>
      </x:c>
      <x:c r="O80" s="32" t="n">
        <x:v>4.58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Kajikia audax</x:v>
      </x:c>
      <x:c r="T80" s="32" t="n">
        <x:f>IF(O80="","",(1/'Metadata'!$B$5)^(O80-1))</x:f>
        <x:v>3801.8939632056126</x:v>
      </x:c>
      <x:c r="U80" s="31" t="n">
        <x:f>IF(T80="","",I80*T80)</x:f>
        <x:v>35361.03557378476</x:v>
      </x:c>
    </x:row>
    <x:row r="81" ht="18" customHeight="1">
      <x:c r="A81" s="24" t="str">
        <x:v>EEZ_404</x:v>
      </x:c>
      <x:c r="B81" s="24" t="str">
        <x:v>Kenya</x:v>
      </x:c>
      <x:c r="C81" s="24" t="str">
        <x:v>EEZ</x:v>
      </x:c>
      <x:c r="D81" s="30" t="n">
        <x:v>2019</x:v>
      </x:c>
      <x:c r="E81" s="24" t="str">
        <x:v>Rachycentron canadum</x:v>
      </x:c>
      <x:c r="F81" s="24" t="str">
        <x:v>Cobia</x:v>
      </x:c>
      <x:c r="G81" s="24" t="str">
        <x:v>Large pelagics (&gt;=90 cm)</x:v>
      </x:c>
      <x:c r="H81" s="24" t="str">
        <x:v>Perch-likes</x:v>
      </x:c>
      <x:c r="I81" s="31" t="n">
        <x:v>8.9671582899</x:v>
      </x:c>
      <x:c r="J81" s="31" t="n">
        <x:v>8.9671582899</x:v>
      </x:c>
      <x:c r="K81" s="31" t="n">
        <x:v>0</x:v>
      </x:c>
      <x:c r="L81" s="31" t="n">
        <x:v>8.9215462745</x:v>
      </x:c>
      <x:c r="M81" s="31" t="n">
        <x:v>0.0456120154</x:v>
      </x:c>
      <x:c r="N81" s="24" t="str">
        <x:v>rachycentron canadum</x:v>
      </x:c>
      <x:c r="O81" s="32" t="n">
        <x:v>3.96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Rachycentron canadum</x:v>
      </x:c>
      <x:c r="T81" s="32" t="n">
        <x:f>IF(O81="","",(1/'Metadata'!$B$5)^(O81-1))</x:f>
        <x:v>912.0108393559096</x:v>
      </x:c>
      <x:c r="U81" s="31" t="n">
        <x:f>IF(T81="","",I81*T81)</x:f>
        <x:v>8178.145558609002</x:v>
      </x:c>
    </x:row>
    <x:row r="82" ht="18" customHeight="1">
      <x:c r="A82" s="24" t="str">
        <x:v>EEZ_404</x:v>
      </x:c>
      <x:c r="B82" s="24" t="str">
        <x:v>Kenya</x:v>
      </x:c>
      <x:c r="C82" s="24" t="str">
        <x:v>EEZ</x:v>
      </x:c>
      <x:c r="D82" s="30" t="n">
        <x:v>2019</x:v>
      </x:c>
      <x:c r="E82" s="24" t="str">
        <x:v>Ariomma indica</x:v>
      </x:c>
      <x:c r="F82" s="24" t="str">
        <x:v>Indian driftfish</x:v>
      </x:c>
      <x:c r="G82" s="24" t="str">
        <x:v>Small benthopelagics (&lt;30 cm)</x:v>
      </x:c>
      <x:c r="H82" s="24" t="str">
        <x:v>Perch-likes</x:v>
      </x:c>
      <x:c r="I82" s="31" t="n">
        <x:v>8.9215462745</x:v>
      </x:c>
      <x:c r="J82" s="31" t="n">
        <x:v>8.9215462745</x:v>
      </x:c>
      <x:c r="K82" s="31" t="n">
        <x:v>0</x:v>
      </x:c>
      <x:c r="L82" s="31" t="n">
        <x:v>8.9215462745</x:v>
      </x:c>
      <x:c r="M82" s="31" t="n">
        <x:v>0</x:v>
      </x:c>
      <x:c r="N82" s="24" t="str">
        <x:v>ariomma indica</x:v>
      </x:c>
      <x:c r="O82" s="32" t="n">
        <x:v>3.63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Ariomma indica</x:v>
      </x:c>
      <x:c r="T82" s="32" t="n">
        <x:f>IF(O82="","",(1/'Metadata'!$B$5)^(O82-1))</x:f>
        <x:v>426.57951880159254</x:v>
      </x:c>
      <x:c r="U82" s="31" t="n">
        <x:f>IF(T82="","",I82*T82)</x:f>
        <x:v>3805.748916742351</x:v>
      </x:c>
    </x:row>
    <x:row r="83" ht="18" customHeight="1">
      <x:c r="A83" s="24" t="str">
        <x:v>EEZ_404</x:v>
      </x:c>
      <x:c r="B83" s="24" t="str">
        <x:v>Kenya</x:v>
      </x:c>
      <x:c r="C83" s="24" t="str">
        <x:v>EEZ</x:v>
      </x:c>
      <x:c r="D83" s="30" t="n">
        <x:v>2019</x:v>
      </x:c>
      <x:c r="E83" s="24" t="str">
        <x:v>Pomacanthidae</x:v>
      </x:c>
      <x:c r="F83" s="24" t="str">
        <x:v>Angelfishes</x:v>
      </x:c>
      <x:c r="G83" s="24" t="str">
        <x:v>Medium reef assoc. fish (30 - 89 cm)</x:v>
      </x:c>
      <x:c r="H83" s="24" t="str">
        <x:v>Perch-likes</x:v>
      </x:c>
      <x:c r="I83" s="31" t="n">
        <x:v>7.930263355099999</x:v>
      </x:c>
      <x:c r="J83" s="31" t="n">
        <x:v>7.930263355099999</x:v>
      </x:c>
      <x:c r="K83" s="31" t="n">
        <x:v>0</x:v>
      </x:c>
      <x:c r="L83" s="31" t="n">
        <x:v>7.930263355099999</x:v>
      </x:c>
      <x:c r="M83" s="31" t="n">
        <x:v>0</x:v>
      </x:c>
      <x:c r="N83" s="24" t="str">
        <x:v>pomacanthidae</x:v>
      </x:c>
      <x:c r="O83" s="32" t="n">
        <x:v>2.86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Pomacanthidae</x:v>
      </x:c>
      <x:c r="T83" s="32" t="n">
        <x:f>IF(O83="","",(1/'Metadata'!$B$5)^(O83-1))</x:f>
        <x:v>72.44359600749898</x:v>
      </x:c>
      <x:c r="U83" s="31" t="n">
        <x:f>IF(T83="","",I83*T83)</x:f>
        <x:v>574.4967947299377</x:v>
      </x:c>
    </x:row>
    <x:row r="84" ht="18" customHeight="1">
      <x:c r="A84" s="24" t="str">
        <x:v>EEZ_404</x:v>
      </x:c>
      <x:c r="B84" s="24" t="str">
        <x:v>Kenya</x:v>
      </x:c>
      <x:c r="C84" s="24" t="str">
        <x:v>EEZ</x:v>
      </x:c>
      <x:c r="D84" s="30" t="n">
        <x:v>2019</x:v>
      </x:c>
      <x:c r="E84" s="24" t="str">
        <x:v>Galeocerdo cuvier</x:v>
      </x:c>
      <x:c r="F84" s="24" t="str">
        <x:v>Tiger shark</x:v>
      </x:c>
      <x:c r="G84" s="24" t="str">
        <x:v>Large sharks (&gt;=90 cm)</x:v>
      </x:c>
      <x:c r="H84" s="24" t="str">
        <x:v>Sharks &amp; rays</x:v>
      </x:c>
      <x:c r="I84" s="31" t="n">
        <x:v>7.6850037426</x:v>
      </x:c>
      <x:c r="J84" s="31" t="n">
        <x:v>7.6850037426</x:v>
      </x:c>
      <x:c r="K84" s="31" t="n">
        <x:v>0</x:v>
      </x:c>
      <x:c r="L84" s="31" t="n">
        <x:v>0</x:v>
      </x:c>
      <x:c r="M84" s="31" t="n">
        <x:v>7.6850037426</x:v>
      </x:c>
      <x:c r="N84" s="24" t="str">
        <x:v>galeocerdo cuvier</x:v>
      </x:c>
      <x:c r="O84" s="32" t="n">
        <x:v>4.54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Galeocerdo cuvier</x:v>
      </x:c>
      <x:c r="T84" s="32" t="n">
        <x:f>IF(O84="","",(1/'Metadata'!$B$5)^(O84-1))</x:f>
        <x:v>3467.368504525317</x:v>
      </x:c>
      <x:c r="U84" s="31" t="n">
        <x:f>IF(T84="","",I84*T84)</x:f>
        <x:v>26646.739934250425</x:v>
      </x:c>
    </x:row>
    <x:row r="85" ht="18" customHeight="1">
      <x:c r="A85" s="24" t="str">
        <x:v>EEZ_404</x:v>
      </x:c>
      <x:c r="B85" s="24" t="str">
        <x:v>Kenya</x:v>
      </x:c>
      <x:c r="C85" s="24" t="str">
        <x:v>EEZ</x:v>
      </x:c>
      <x:c r="D85" s="30" t="n">
        <x:v>2019</x:v>
      </x:c>
      <x:c r="E85" s="24" t="str">
        <x:v>Psettodes erumei</x:v>
      </x:c>
      <x:c r="F85" s="24" t="str">
        <x:v>Indian halibut</x:v>
      </x:c>
      <x:c r="G85" s="24" t="str">
        <x:v>Small to medium flatfishes (&lt;90 cm)</x:v>
      </x:c>
      <x:c r="H85" s="24" t="str">
        <x:v>Flatfishes</x:v>
      </x:c>
      <x:c r="I85" s="31" t="n">
        <x:v>7.2613518847</x:v>
      </x:c>
      <x:c r="J85" s="31" t="n">
        <x:v>7.2613518847</x:v>
      </x:c>
      <x:c r="K85" s="31" t="n">
        <x:v>0</x:v>
      </x:c>
      <x:c r="L85" s="31" t="n">
        <x:v>7.2613518847</x:v>
      </x:c>
      <x:c r="M85" s="31" t="n">
        <x:v>0</x:v>
      </x:c>
      <x:c r="N85" s="24" t="str">
        <x:v>psettodes erumei</x:v>
      </x:c>
      <x:c r="O85" s="32" t="n">
        <x:v>4.39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Psettodes erumei</x:v>
      </x:c>
      <x:c r="T85" s="32" t="n">
        <x:f>IF(O85="","",(1/'Metadata'!$B$5)^(O85-1))</x:f>
        <x:v>2454.7089156850284</x:v>
      </x:c>
      <x:c r="U85" s="31" t="n">
        <x:f>IF(T85="","",I85*T85)</x:f>
        <x:v>17824.505211299373</x:v>
      </x:c>
    </x:row>
    <x:row r="86" ht="18" customHeight="1">
      <x:c r="A86" s="24" t="str">
        <x:v>EEZ_404</x:v>
      </x:c>
      <x:c r="B86" s="24" t="str">
        <x:v>Kenya</x:v>
      </x:c>
      <x:c r="C86" s="24" t="str">
        <x:v>EEZ</x:v>
      </x:c>
      <x:c r="D86" s="30" t="n">
        <x:v>2019</x:v>
      </x:c>
      <x:c r="E86" s="24" t="str">
        <x:v>Leiognathus</x:v>
      </x:c>
      <x:c r="F86" s="24" t="str">
        <x:v>Ponyfishes</x:v>
      </x:c>
      <x:c r="G86" s="24" t="str">
        <x:v>Small benthopelagics (&lt;30 cm)</x:v>
      </x:c>
      <x:c r="H86" s="24" t="str">
        <x:v>Perch-likes</x:v>
      </x:c>
      <x:c r="I86" s="31" t="n">
        <x:v>7.1494089116</x:v>
      </x:c>
      <x:c r="J86" s="31" t="n">
        <x:v>0</x:v>
      </x:c>
      <x:c r="K86" s="31" t="n">
        <x:v>7.1494089116</x:v>
      </x:c>
      <x:c r="L86" s="31" t="n">
        <x:v>0</x:v>
      </x:c>
      <x:c r="M86" s="31" t="n">
        <x:v>7.1494089116</x:v>
      </x:c>
      <x:c r="N86" s="24" t="str">
        <x:v>leiognathus</x:v>
      </x:c>
      <x:c r="O86" s="32" t="n">
        <x:v>3.22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Leiognathus</x:v>
      </x:c>
      <x:c r="T86" s="32" t="n">
        <x:f>IF(O86="","",(1/'Metadata'!$B$5)^(O86-1))</x:f>
        <x:v>165.95869074375614</x:v>
      </x:c>
      <x:c r="U86" s="31" t="n">
        <x:f>IF(T86="","",I86*T86)</x:f>
        <x:v>1186.5065425608786</x:v>
      </x:c>
    </x:row>
    <x:row r="87" ht="18" customHeight="1">
      <x:c r="A87" s="24" t="str">
        <x:v>EEZ_404</x:v>
      </x:c>
      <x:c r="B87" s="24" t="str">
        <x:v>Kenya</x:v>
      </x:c>
      <x:c r="C87" s="24" t="str">
        <x:v>EEZ</x:v>
      </x:c>
      <x:c r="D87" s="30" t="n">
        <x:v>2019</x:v>
      </x:c>
      <x:c r="E87" s="24" t="str">
        <x:v>Pomadasys</x:v>
      </x:c>
      <x:c r="F87" s="24" t="str">
        <x:v>Grunters</x:v>
      </x:c>
      <x:c r="G87" s="24" t="str">
        <x:v>Medium demersals (30 - 89 cm)</x:v>
      </x:c>
      <x:c r="H87" s="24" t="str">
        <x:v>Perch-likes</x:v>
      </x:c>
      <x:c r="I87" s="31" t="n">
        <x:v>6.7377875233</x:v>
      </x:c>
      <x:c r="J87" s="31" t="n">
        <x:v>6.7377875233</x:v>
      </x:c>
      <x:c r="K87" s="31" t="n">
        <x:v>0</x:v>
      </x:c>
      <x:c r="L87" s="31" t="n">
        <x:v>6.7377875233</x:v>
      </x:c>
      <x:c r="M87" s="31" t="n">
        <x:v>0</x:v>
      </x:c>
      <x:c r="N87" s="24" t="str">
        <x:v>pomadasys</x:v>
      </x:c>
      <x:c r="O87" s="32" t="n">
        <x:v>3.59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Pomadasys</x:v>
      </x:c>
      <x:c r="T87" s="32" t="n">
        <x:f>IF(O87="","",(1/'Metadata'!$B$5)^(O87-1))</x:f>
        <x:v>389.04514499428046</x:v>
      </x:c>
      <x:c r="U87" s="31" t="n">
        <x:f>IF(T87="","",I87*T87)</x:f>
        <x:v>2621.3035239429023</x:v>
      </x:c>
    </x:row>
    <x:row r="88" ht="18" customHeight="1">
      <x:c r="A88" s="24" t="str">
        <x:v>EEZ_404</x:v>
      </x:c>
      <x:c r="B88" s="24" t="str">
        <x:v>Kenya</x:v>
      </x:c>
      <x:c r="C88" s="24" t="str">
        <x:v>EEZ</x:v>
      </x:c>
      <x:c r="D88" s="30" t="n">
        <x:v>2019</x:v>
      </x:c>
      <x:c r="E88" s="24" t="str">
        <x:v>Acanthocybium solandri</x:v>
      </x:c>
      <x:c r="F88" s="24" t="str">
        <x:v>Wahoo</x:v>
      </x:c>
      <x:c r="G88" s="24" t="str">
        <x:v>Large pelagics (&gt;=90 cm)</x:v>
      </x:c>
      <x:c r="H88" s="24" t="str">
        <x:v>Perch-likes</x:v>
      </x:c>
      <x:c r="I88" s="31" t="n">
        <x:v>6.5662939755</x:v>
      </x:c>
      <x:c r="J88" s="31" t="n">
        <x:v>6.5662939755</x:v>
      </x:c>
      <x:c r="K88" s="31" t="n">
        <x:v>0</x:v>
      </x:c>
      <x:c r="L88" s="31" t="n">
        <x:v>0</x:v>
      </x:c>
      <x:c r="M88" s="31" t="n">
        <x:v>6.5662939755</x:v>
      </x:c>
      <x:c r="N88" s="24" t="str">
        <x:v>acanthocybium solandri</x:v>
      </x:c>
      <x:c r="O88" s="32" t="n">
        <x:v>4.26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Acanthocybium solandri</x:v>
      </x:c>
      <x:c r="T88" s="32" t="n">
        <x:f>IF(O88="","",(1/'Metadata'!$B$5)^(O88-1))</x:f>
        <x:v>1819.7008586099826</x:v>
      </x:c>
      <x:c r="U88" s="31" t="n">
        <x:f>IF(T88="","",I88*T88)</x:f>
        <x:v>11948.690785102906</x:v>
      </x:c>
    </x:row>
    <x:row r="89" ht="18" customHeight="1">
      <x:c r="A89" s="24" t="str">
        <x:v>EEZ_404</x:v>
      </x:c>
      <x:c r="B89" s="24" t="str">
        <x:v>Kenya</x:v>
      </x:c>
      <x:c r="C89" s="24" t="str">
        <x:v>EEZ</x:v>
      </x:c>
      <x:c r="D89" s="30" t="n">
        <x:v>2019</x:v>
      </x:c>
      <x:c r="E89" s="24" t="str">
        <x:v>Upeneus taeniopterus</x:v>
      </x:c>
      <x:c r="F89" s="24" t="str">
        <x:v>Finstripe goatfish</x:v>
      </x:c>
      <x:c r="G89" s="24" t="str">
        <x:v>Small reef assoc. fish (&lt;30 cm)</x:v>
      </x:c>
      <x:c r="H89" s="24" t="str">
        <x:v>Perch-likes</x:v>
      </x:c>
      <x:c r="I89" s="31" t="n">
        <x:v>6.5004710841</x:v>
      </x:c>
      <x:c r="J89" s="31" t="n">
        <x:v>6.5004710841</x:v>
      </x:c>
      <x:c r="K89" s="31" t="n">
        <x:v>0</x:v>
      </x:c>
      <x:c r="L89" s="31" t="n">
        <x:v>6.5004710841</x:v>
      </x:c>
      <x:c r="M89" s="31" t="n">
        <x:v>0</x:v>
      </x:c>
      <x:c r="N89" s="24" t="str">
        <x:v>upeneus taeniopterus</x:v>
      </x:c>
      <x:c r="O89" s="32" t="n">
        <x:v>3.54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Upeneus taeniopterus</x:v>
      </x:c>
      <x:c r="T89" s="32" t="n">
        <x:f>IF(O89="","",(1/'Metadata'!$B$5)^(O89-1))</x:f>
        <x:v>346.73685045253166</x:v>
      </x:c>
      <x:c r="U89" s="31" t="n">
        <x:f>IF(T89="","",I89*T89)</x:f>
        <x:v>2253.952870158588</x:v>
      </x:c>
    </x:row>
    <x:row r="90" ht="18" customHeight="1">
      <x:c r="A90" s="24" t="str">
        <x:v>EEZ_404</x:v>
      </x:c>
      <x:c r="B90" s="24" t="str">
        <x:v>Kenya</x:v>
      </x:c>
      <x:c r="C90" s="24" t="str">
        <x:v>EEZ</x:v>
      </x:c>
      <x:c r="D90" s="30" t="n">
        <x:v>2019</x:v>
      </x:c>
      <x:c r="E90" s="24" t="str">
        <x:v>Cnidaria</x:v>
      </x:c>
      <x:c r="F90" s="24" t="str">
        <x:v>Cnidarians, coelenterates</x:v>
      </x:c>
      <x:c r="G90" s="24" t="str">
        <x:v>Jellyfish</x:v>
      </x:c>
      <x:c r="H90" s="24" t="str">
        <x:v>Other fishes &amp; inverts</x:v>
      </x:c>
      <x:c r="I90" s="31" t="n">
        <x:v>6.2022544277</x:v>
      </x:c>
      <x:c r="J90" s="31" t="n">
        <x:v>0</x:v>
      </x:c>
      <x:c r="K90" s="31" t="n">
        <x:v>6.2022544277</x:v>
      </x:c>
      <x:c r="L90" s="31" t="n">
        <x:v>0</x:v>
      </x:c>
      <x:c r="M90" s="31" t="n">
        <x:v>6.2022544277</x:v>
      </x:c>
      <x:c r="N90" s="24" t="str">
        <x:v>cnidaria</x:v>
      </x:c>
      <x:c r="O90" s="32" t="n">
        <x:v>2.5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Cnidaria</x:v>
      </x:c>
      <x:c r="T90" s="32" t="n">
        <x:f>IF(O90="","",(1/'Metadata'!$B$5)^(O90-1))</x:f>
        <x:v>31.622776601683793</x:v>
      </x:c>
      <x:c r="U90" s="31" t="n">
        <x:f>IF(T90="","",I90*T90)</x:f>
        <x:v>196.13250619396126</x:v>
      </x:c>
    </x:row>
    <x:row r="91" ht="18" customHeight="1">
      <x:c r="A91" s="24" t="str">
        <x:v>EEZ_404</x:v>
      </x:c>
      <x:c r="B91" s="24" t="str">
        <x:v>Kenya</x:v>
      </x:c>
      <x:c r="C91" s="24" t="str">
        <x:v>EEZ</x:v>
      </x:c>
      <x:c r="D91" s="30" t="n">
        <x:v>2019</x:v>
      </x:c>
      <x:c r="E91" s="24" t="str">
        <x:v>Trichiuridae</x:v>
      </x:c>
      <x:c r="F91" s="24" t="str">
        <x:v>Cutlassfishes</x:v>
      </x:c>
      <x:c r="G91" s="24" t="str">
        <x:v>Large benthopelagics (&gt;=90 cm)</x:v>
      </x:c>
      <x:c r="H91" s="24" t="str">
        <x:v>Perch-likes</x:v>
      </x:c>
      <x:c r="I91" s="31" t="n">
        <x:v>4.9564145969</x:v>
      </x:c>
      <x:c r="J91" s="31" t="n">
        <x:v>4.9564145969</x:v>
      </x:c>
      <x:c r="K91" s="31" t="n">
        <x:v>0</x:v>
      </x:c>
      <x:c r="L91" s="31" t="n">
        <x:v>4.9564145969</x:v>
      </x:c>
      <x:c r="M91" s="31" t="n">
        <x:v>0</x:v>
      </x:c>
      <x:c r="N91" s="24" t="str">
        <x:v>trichiuridae</x:v>
      </x:c>
      <x:c r="O91" s="32" t="n">
        <x:v>4.15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Trichiuridae</x:v>
      </x:c>
      <x:c r="T91" s="32" t="n">
        <x:f>IF(O91="","",(1/'Metadata'!$B$5)^(O91-1))</x:f>
        <x:v>1412.5375446227554</x:v>
      </x:c>
      <x:c r="U91" s="31" t="n">
        <x:f>IF(T91="","",I91*T91)</x:f>
        <x:v>7001.12170483751</x:v>
      </x:c>
    </x:row>
    <x:row r="92" ht="18" customHeight="1">
      <x:c r="A92" s="24" t="str">
        <x:v>EEZ_404</x:v>
      </x:c>
      <x:c r="B92" s="24" t="str">
        <x:v>Kenya</x:v>
      </x:c>
      <x:c r="C92" s="24" t="str">
        <x:v>EEZ</x:v>
      </x:c>
      <x:c r="D92" s="30" t="n">
        <x:v>2019</x:v>
      </x:c>
      <x:c r="E92" s="24" t="str">
        <x:v>Metapenaeus</x:v>
      </x:c>
      <x:c r="F92" s="24" t="str">
        <x:v>Indo-Pacific prawns</x:v>
      </x:c>
      <x:c r="G92" s="24" t="str">
        <x:v>Shrimps</x:v>
      </x:c>
      <x:c r="H92" s="24" t="str">
        <x:v>Crustaceans</x:v>
      </x:c>
      <x:c r="I92" s="31" t="n">
        <x:v>4.8414531023</x:v>
      </x:c>
      <x:c r="J92" s="31" t="n">
        <x:v>4.8414531023</x:v>
      </x:c>
      <x:c r="K92" s="31" t="n">
        <x:v>0</x:v>
      </x:c>
      <x:c r="L92" s="31" t="n">
        <x:v>4.8414531023</x:v>
      </x:c>
      <x:c r="M92" s="31" t="n">
        <x:v>0</x:v>
      </x:c>
      <x:c r="N92" s="24" t="str">
        <x:v>metapenaeus</x:v>
      </x:c>
      <x:c r="O92" s="32" t="n">
        <x:v>2.7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Metapenaeus</x:v>
      </x:c>
      <x:c r="T92" s="32" t="n">
        <x:f>IF(O92="","",(1/'Metadata'!$B$5)^(O92-1))</x:f>
        <x:v>50.11872336272725</x:v>
      </x:c>
      <x:c r="U92" s="31" t="n">
        <x:f>IF(T92="","",I92*T92)</x:f>
        <x:v>242.64744870779134</x:v>
      </x:c>
    </x:row>
    <x:row r="93" ht="18" customHeight="1">
      <x:c r="A93" s="24" t="str">
        <x:v>EEZ_404</x:v>
      </x:c>
      <x:c r="B93" s="24" t="str">
        <x:v>Kenya</x:v>
      </x:c>
      <x:c r="C93" s="24" t="str">
        <x:v>EEZ</x:v>
      </x:c>
      <x:c r="D93" s="30" t="n">
        <x:v>2019</x:v>
      </x:c>
      <x:c r="E93" s="24" t="str">
        <x:v>Rastrelliger kanagurta</x:v>
      </x:c>
      <x:c r="F93" s="24" t="str">
        <x:v>Indian mackerel</x:v>
      </x:c>
      <x:c r="G93" s="24" t="str">
        <x:v>Medium pelagics (30 - 89 cm)</x:v>
      </x:c>
      <x:c r="H93" s="24" t="str">
        <x:v>Perch-likes</x:v>
      </x:c>
      <x:c r="I93" s="31" t="n">
        <x:v>4.7668734933</x:v>
      </x:c>
      <x:c r="J93" s="31" t="n">
        <x:v>4.7668734933</x:v>
      </x:c>
      <x:c r="K93" s="31" t="n">
        <x:v>0</x:v>
      </x:c>
      <x:c r="L93" s="31" t="n">
        <x:v>4.7668734933</x:v>
      </x:c>
      <x:c r="M93" s="31" t="n">
        <x:v>0</x:v>
      </x:c>
      <x:c r="N93" s="24" t="str">
        <x:v>rastrelliger kanagurta</x:v>
      </x:c>
      <x:c r="O93" s="32" t="n">
        <x:v>3.19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Rastrelliger kanagurta</x:v>
      </x:c>
      <x:c r="T93" s="32" t="n">
        <x:f>IF(O93="","",(1/'Metadata'!$B$5)^(O93-1))</x:f>
        <x:v>154.88166189124811</x:v>
      </x:c>
      <x:c r="U93" s="31" t="n">
        <x:f>IF(T93="","",I93*T93)</x:f>
        <x:v>738.3012886676435</x:v>
      </x:c>
    </x:row>
    <x:row r="94" ht="18" customHeight="1">
      <x:c r="A94" s="24" t="str">
        <x:v>EEZ_404</x:v>
      </x:c>
      <x:c r="B94" s="24" t="str">
        <x:v>Kenya</x:v>
      </x:c>
      <x:c r="C94" s="24" t="str">
        <x:v>EEZ</x:v>
      </x:c>
      <x:c r="D94" s="30" t="n">
        <x:v>2019</x:v>
      </x:c>
      <x:c r="E94" s="24" t="str">
        <x:v>Caranx ignobilis</x:v>
      </x:c>
      <x:c r="F94" s="24" t="str">
        <x:v>Giant trevally</x:v>
      </x:c>
      <x:c r="G94" s="24" t="str">
        <x:v>Large reef assoc. fish (&gt;=90 cm)</x:v>
      </x:c>
      <x:c r="H94" s="24" t="str">
        <x:v>Perch-likes</x:v>
      </x:c>
      <x:c r="I94" s="31" t="n">
        <x:v>4.5855529151</x:v>
      </x:c>
      <x:c r="J94" s="31" t="n">
        <x:v>4.5855529151</x:v>
      </x:c>
      <x:c r="K94" s="31" t="n">
        <x:v>0</x:v>
      </x:c>
      <x:c r="L94" s="31" t="n">
        <x:v>3.8426622591</x:v>
      </x:c>
      <x:c r="M94" s="31" t="n">
        <x:v>0.742890656</x:v>
      </x:c>
      <x:c r="N94" s="24" t="str">
        <x:v>caranx ignobilis</x:v>
      </x:c>
      <x:c r="O94" s="32" t="n">
        <x:v>4.22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Caranx ignobilis</x:v>
      </x:c>
      <x:c r="T94" s="32" t="n">
        <x:f>IF(O94="","",(1/'Metadata'!$B$5)^(O94-1))</x:f>
        <x:v>1659.5869074375596</x:v>
      </x:c>
      <x:c r="U94" s="31" t="n">
        <x:f>IF(T94="","",I94*T94)</x:f>
        <x:v>7610.123581262095</x:v>
      </x:c>
    </x:row>
    <x:row r="95" ht="18" customHeight="1">
      <x:c r="A95" s="24" t="str">
        <x:v>EEZ_404</x:v>
      </x:c>
      <x:c r="B95" s="24" t="str">
        <x:v>Kenya</x:v>
      </x:c>
      <x:c r="C95" s="24" t="str">
        <x:v>EEZ</x:v>
      </x:c>
      <x:c r="D95" s="30" t="n">
        <x:v>2019</x:v>
      </x:c>
      <x:c r="E95" s="24" t="str">
        <x:v>Penaeidae</x:v>
      </x:c>
      <x:c r="F95" s="24" t="str">
        <x:v>Commercial shrimps and prawns</x:v>
      </x:c>
      <x:c r="G95" s="24" t="str">
        <x:v>Shrimps</x:v>
      </x:c>
      <x:c r="H95" s="24" t="str">
        <x:v>Crustaceans</x:v>
      </x:c>
      <x:c r="I95" s="31" t="n">
        <x:v>4.4892543465</x:v>
      </x:c>
      <x:c r="J95" s="31" t="n">
        <x:v>4.4892543465</x:v>
      </x:c>
      <x:c r="K95" s="31" t="n">
        <x:v>0</x:v>
      </x:c>
      <x:c r="L95" s="31" t="n">
        <x:v>4.4892543465</x:v>
      </x:c>
      <x:c r="M95" s="31" t="n">
        <x:v>0</x:v>
      </x:c>
      <x:c r="N95" s="24" t="str">
        <x:v>penaeidae</x:v>
      </x:c>
      <x:c r="O95" s="32" t="n">
        <x:v>3.31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Penaeidae</x:v>
      </x:c>
      <x:c r="T95" s="32" t="n">
        <x:f>IF(O95="","",(1/'Metadata'!$B$5)^(O95-1))</x:f>
        <x:v>204.17379446695296</x:v>
      </x:c>
      <x:c r="U95" s="31" t="n">
        <x:f>IF(T95="","",I95*T95)</x:f>
        <x:v>916.5880942521662</x:v>
      </x:c>
    </x:row>
    <x:row r="96" ht="18" customHeight="1">
      <x:c r="A96" s="24" t="str">
        <x:v>EEZ_404</x:v>
      </x:c>
      <x:c r="B96" s="24" t="str">
        <x:v>Kenya</x:v>
      </x:c>
      <x:c r="C96" s="24" t="str">
        <x:v>EEZ</x:v>
      </x:c>
      <x:c r="D96" s="30" t="n">
        <x:v>2019</x:v>
      </x:c>
      <x:c r="E96" s="24" t="str">
        <x:v>Pelates quadrilineatus</x:v>
      </x:c>
      <x:c r="F96" s="24" t="str">
        <x:v>Fourlined terapon</x:v>
      </x:c>
      <x:c r="G96" s="24" t="str">
        <x:v>Small pelagics (&lt;30 cm)</x:v>
      </x:c>
      <x:c r="H96" s="24" t="str">
        <x:v>Perch-likes</x:v>
      </x:c>
      <x:c r="I96" s="31" t="n">
        <x:v>4.1875002837</x:v>
      </x:c>
      <x:c r="J96" s="31" t="n">
        <x:v>1.632903464</x:v>
      </x:c>
      <x:c r="K96" s="31" t="n">
        <x:v>2.5545968197</x:v>
      </x:c>
      <x:c r="L96" s="31" t="n">
        <x:v>1.632903464</x:v>
      </x:c>
      <x:c r="M96" s="31" t="n">
        <x:v>2.5545968197</x:v>
      </x:c>
      <x:c r="N96" s="24" t="str">
        <x:v>pelates quadrilineatus</x:v>
      </x:c>
      <x:c r="O96" s="32" t="n">
        <x:v>3.5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Pelates quadrilineatus</x:v>
      </x:c>
      <x:c r="T96" s="32" t="n">
        <x:f>IF(O96="","",(1/'Metadata'!$B$5)^(O96-1))</x:f>
        <x:v>316.22776601683796</x:v>
      </x:c>
      <x:c r="U96" s="31" t="n">
        <x:f>IF(T96="","",I96*T96)</x:f>
        <x:v>1324.2038599093264</x:v>
      </x:c>
    </x:row>
    <x:row r="97" ht="18" customHeight="1">
      <x:c r="A97" s="24" t="str">
        <x:v>EEZ_404</x:v>
      </x:c>
      <x:c r="B97" s="24" t="str">
        <x:v>Kenya</x:v>
      </x:c>
      <x:c r="C97" s="24" t="str">
        <x:v>EEZ</x:v>
      </x:c>
      <x:c r="D97" s="30" t="n">
        <x:v>2019</x:v>
      </x:c>
      <x:c r="E97" s="24" t="str">
        <x:v>Terapon theraps</x:v>
      </x:c>
      <x:c r="F97" s="24" t="str">
        <x:v>Largescaled terapon</x:v>
      </x:c>
      <x:c r="G97" s="24" t="str">
        <x:v>Small pelagics (&lt;30 cm)</x:v>
      </x:c>
      <x:c r="H97" s="24" t="str">
        <x:v>Perch-likes</x:v>
      </x:c>
      <x:c r="I97" s="31" t="n">
        <x:v>4.1575449314</x:v>
      </x:c>
      <x:c r="J97" s="31" t="n">
        <x:v>1.6647728169</x:v>
      </x:c>
      <x:c r="K97" s="31" t="n">
        <x:v>2.4927721145</x:v>
      </x:c>
      <x:c r="L97" s="31" t="n">
        <x:v>1.6647728169</x:v>
      </x:c>
      <x:c r="M97" s="31" t="n">
        <x:v>2.4927721145</x:v>
      </x:c>
      <x:c r="N97" s="24" t="str">
        <x:v>terapon theraps</x:v>
      </x:c>
      <x:c r="O97" s="32" t="n">
        <x:v>3.49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Terapon theraps</x:v>
      </x:c>
      <x:c r="T97" s="32" t="n">
        <x:f>IF(O97="","",(1/'Metadata'!$B$5)^(O97-1))</x:f>
        <x:v>309.0295432513592</x:v>
      </x:c>
      <x:c r="U97" s="31" t="n">
        <x:f>IF(T97="","",I97*T97)</x:f>
        <x:v>1284.8042111975456</x:v>
      </x:c>
    </x:row>
    <x:row r="98" ht="18" customHeight="1">
      <x:c r="A98" s="24" t="str">
        <x:v>EEZ_404</x:v>
      </x:c>
      <x:c r="B98" s="24" t="str">
        <x:v>Kenya</x:v>
      </x:c>
      <x:c r="C98" s="24" t="str">
        <x:v>EEZ</x:v>
      </x:c>
      <x:c r="D98" s="30" t="n">
        <x:v>2019</x:v>
      </x:c>
      <x:c r="E98" s="24" t="str">
        <x:v>Isurus</x:v>
      </x:c>
      <x:c r="F98" s="24" t="str">
        <x:v>Mako sharks</x:v>
      </x:c>
      <x:c r="G98" s="24" t="str">
        <x:v>Large sharks (&gt;=90 cm)</x:v>
      </x:c>
      <x:c r="H98" s="24" t="str">
        <x:v>Sharks &amp; rays</x:v>
      </x:c>
      <x:c r="I98" s="31" t="n">
        <x:v>3.6003838915000004</x:v>
      </x:c>
      <x:c r="J98" s="31" t="n">
        <x:v>3.6003838915000004</x:v>
      </x:c>
      <x:c r="K98" s="31" t="n">
        <x:v>0</x:v>
      </x:c>
      <x:c r="L98" s="31" t="n">
        <x:v>3.6003838915000004</x:v>
      </x:c>
      <x:c r="M98" s="31" t="n">
        <x:v>0</x:v>
      </x:c>
      <x:c r="N98" s="24" t="str">
        <x:v>isurus</x:v>
      </x:c>
      <x:c r="O98" s="32" t="n">
        <x:v>4.5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Isurus</x:v>
      </x:c>
      <x:c r="T98" s="32" t="n">
        <x:f>IF(O98="","",(1/'Metadata'!$B$5)^(O98-1))</x:f>
        <x:v>3162.2776601683795</x:v>
      </x:c>
      <x:c r="U98" s="31" t="n">
        <x:f>IF(T98="","",I98*T98)</x:f>
        <x:v>11385.413548120547</x:v>
      </x:c>
    </x:row>
    <x:row r="99" ht="18" customHeight="1">
      <x:c r="A99" s="24" t="str">
        <x:v>EEZ_404</x:v>
      </x:c>
      <x:c r="B99" s="24" t="str">
        <x:v>Kenya</x:v>
      </x:c>
      <x:c r="C99" s="24" t="str">
        <x:v>EEZ</x:v>
      </x:c>
      <x:c r="D99" s="30" t="n">
        <x:v>2019</x:v>
      </x:c>
      <x:c r="E99" s="24" t="str">
        <x:v>Sillago sihama</x:v>
      </x:c>
      <x:c r="F99" s="24" t="str">
        <x:v>Silver sillago</x:v>
      </x:c>
      <x:c r="G99" s="24" t="str">
        <x:v>Medium demersals (30 - 89 cm)</x:v>
      </x:c>
      <x:c r="H99" s="24" t="str">
        <x:v>Perch-likes</x:v>
      </x:c>
      <x:c r="I99" s="31" t="n">
        <x:v>3.4908967601</x:v>
      </x:c>
      <x:c r="J99" s="31" t="n">
        <x:v>3.4908967601</x:v>
      </x:c>
      <x:c r="K99" s="31" t="n">
        <x:v>0</x:v>
      </x:c>
      <x:c r="L99" s="31" t="n">
        <x:v>3.4908967601</x:v>
      </x:c>
      <x:c r="M99" s="31" t="n">
        <x:v>0</x:v>
      </x:c>
      <x:c r="N99" s="24" t="str">
        <x:v>sillago sihama</x:v>
      </x:c>
      <x:c r="O99" s="32" t="n">
        <x:v>3.33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Sillago sihama</x:v>
      </x:c>
      <x:c r="T99" s="32" t="n">
        <x:f>IF(O99="","",(1/'Metadata'!$B$5)^(O99-1))</x:f>
        <x:v>213.79620895022325</x:v>
      </x:c>
      <x:c r="U99" s="31" t="n">
        <x:f>IF(T99="","",I99*T99)</x:f>
        <x:v>746.340493145997</x:v>
      </x:c>
    </x:row>
    <x:row r="100" ht="18" customHeight="1">
      <x:c r="A100" s="24" t="str">
        <x:v>EEZ_404</x:v>
      </x:c>
      <x:c r="B100" s="24" t="str">
        <x:v>Kenya</x:v>
      </x:c>
      <x:c r="C100" s="24" t="str">
        <x:v>EEZ</x:v>
      </x:c>
      <x:c r="D100" s="30" t="n">
        <x:v>2019</x:v>
      </x:c>
      <x:c r="E100" s="24" t="str">
        <x:v>Congridae</x:v>
      </x:c>
      <x:c r="F100" s="24" t="str">
        <x:v>Conger, garden eels</x:v>
      </x:c>
      <x:c r="G100" s="24" t="str">
        <x:v>Large demersals (&gt;=90 cm)</x:v>
      </x:c>
      <x:c r="H100" s="24" t="str">
        <x:v>Other fishes &amp; inverts</x:v>
      </x:c>
      <x:c r="I100" s="31" t="n">
        <x:v>2.9738487581</x:v>
      </x:c>
      <x:c r="J100" s="31" t="n">
        <x:v>2.9738487581</x:v>
      </x:c>
      <x:c r="K100" s="31" t="n">
        <x:v>0</x:v>
      </x:c>
      <x:c r="L100" s="31" t="n">
        <x:v>2.9738487581</x:v>
      </x:c>
      <x:c r="M100" s="31" t="n">
        <x:v>0</x:v>
      </x:c>
      <x:c r="N100" s="24" t="str">
        <x:v>congridae</x:v>
      </x:c>
      <x:c r="O100" s="32" t="n">
        <x:v>4.18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Congridae</x:v>
      </x:c>
      <x:c r="T100" s="32" t="n">
        <x:f>IF(O100="","",(1/'Metadata'!$B$5)^(O100-1))</x:f>
        <x:v>1513.5612484362073</x:v>
      </x:c>
      <x:c r="U100" s="31" t="n">
        <x:f>IF(T100="","",I100*T100)</x:f>
        <x:v>4501.1022389703</x:v>
      </x:c>
    </x:row>
    <x:row r="101" ht="18" customHeight="1">
      <x:c r="A101" s="24" t="str">
        <x:v>EEZ_404</x:v>
      </x:c>
      <x:c r="B101" s="24" t="str">
        <x:v>Kenya</x:v>
      </x:c>
      <x:c r="C101" s="24" t="str">
        <x:v>EEZ</x:v>
      </x:c>
      <x:c r="D101" s="30" t="n">
        <x:v>2019</x:v>
      </x:c>
      <x:c r="E101" s="24" t="str">
        <x:v>Pomadasys stridens</x:v>
      </x:c>
      <x:c r="F101" s="24" t="str">
        <x:v>Striped piggy</x:v>
      </x:c>
      <x:c r="G101" s="24" t="str">
        <x:v>Small reef assoc. fish (&lt;30 cm)</x:v>
      </x:c>
      <x:c r="H101" s="24" t="str">
        <x:v>Perch-likes</x:v>
      </x:c>
      <x:c r="I101" s="31" t="n">
        <x:v>2.8637203458</x:v>
      </x:c>
      <x:c r="J101" s="31" t="n">
        <x:v>0</x:v>
      </x:c>
      <x:c r="K101" s="31" t="n">
        <x:v>2.8637203458</x:v>
      </x:c>
      <x:c r="L101" s="31" t="n">
        <x:v>0</x:v>
      </x:c>
      <x:c r="M101" s="31" t="n">
        <x:v>2.8637203458</x:v>
      </x:c>
      <x:c r="N101" s="24" t="str">
        <x:v>pomadasys stridens</x:v>
      </x:c>
      <x:c r="O101" s="32" t="n">
        <x:v>4.02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Pomadasys stridens</x:v>
      </x:c>
      <x:c r="T101" s="32" t="n">
        <x:f>IF(O101="","",(1/'Metadata'!$B$5)^(O101-1))</x:f>
        <x:v>1047.1285480508984</x:v>
      </x:c>
      <x:c r="U101" s="31" t="n">
        <x:f>IF(T101="","",I101*T101)</x:f>
        <x:v>2998.683327721371</x:v>
      </x:c>
    </x:row>
    <x:row r="102" ht="18" customHeight="1">
      <x:c r="A102" s="24" t="str">
        <x:v>EEZ_404</x:v>
      </x:c>
      <x:c r="B102" s="24" t="str">
        <x:v>Kenya</x:v>
      </x:c>
      <x:c r="C102" s="24" t="str">
        <x:v>EEZ</x:v>
      </x:c>
      <x:c r="D102" s="30" t="n">
        <x:v>2019</x:v>
      </x:c>
      <x:c r="E102" s="24" t="str">
        <x:v>Gerres</x:v>
      </x:c>
      <x:c r="F102" s="24" t="str">
        <x:v>Silver biddies</x:v>
      </x:c>
      <x:c r="G102" s="24" t="str">
        <x:v>Small benthopelagics (&lt;30 cm)</x:v>
      </x:c>
      <x:c r="H102" s="24" t="str">
        <x:v>Perch-likes</x:v>
      </x:c>
      <x:c r="I102" s="31" t="n">
        <x:v>2.7785215155</x:v>
      </x:c>
      <x:c r="J102" s="31" t="n">
        <x:v>2.7785215155</x:v>
      </x:c>
      <x:c r="K102" s="31" t="n">
        <x:v>0</x:v>
      </x:c>
      <x:c r="L102" s="31" t="n">
        <x:v>2.7785215155</x:v>
      </x:c>
      <x:c r="M102" s="31" t="n">
        <x:v>0</x:v>
      </x:c>
      <x:c r="N102" s="24" t="str">
        <x:v>gerres</x:v>
      </x:c>
      <x:c r="O102" s="32" t="n">
        <x:v>3.27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Gerres</x:v>
      </x:c>
      <x:c r="T102" s="32" t="n">
        <x:f>IF(O102="","",(1/'Metadata'!$B$5)^(O102-1))</x:f>
        <x:v>186.20871366628674</x:v>
      </x:c>
      <x:c r="U102" s="31" t="n">
        <x:f>IF(T102="","",I102*T102)</x:f>
        <x:v>517.3849172953566</x:v>
      </x:c>
    </x:row>
    <x:row r="103" ht="18" customHeight="1">
      <x:c r="A103" s="24" t="str">
        <x:v>EEZ_404</x:v>
      </x:c>
      <x:c r="B103" s="24" t="str">
        <x:v>Kenya</x:v>
      </x:c>
      <x:c r="C103" s="24" t="str">
        <x:v>EEZ</x:v>
      </x:c>
      <x:c r="D103" s="30" t="n">
        <x:v>2019</x:v>
      </x:c>
      <x:c r="E103" s="24" t="str">
        <x:v>Sphyraena obtusata</x:v>
      </x:c>
      <x:c r="F103" s="24" t="str">
        <x:v>Obtuse barracuda</x:v>
      </x:c>
      <x:c r="G103" s="24" t="str">
        <x:v>Medium reef assoc. fish (30 - 89 cm)</x:v>
      </x:c>
      <x:c r="H103" s="24" t="str">
        <x:v>Perch-likes</x:v>
      </x:c>
      <x:c r="I103" s="31" t="n">
        <x:v>2.5416310031</x:v>
      </x:c>
      <x:c r="J103" s="31" t="n">
        <x:v>2.5416310031</x:v>
      </x:c>
      <x:c r="K103" s="31" t="n">
        <x:v>0</x:v>
      </x:c>
      <x:c r="L103" s="31" t="n">
        <x:v>2.5416310031</x:v>
      </x:c>
      <x:c r="M103" s="31" t="n">
        <x:v>0</x:v>
      </x:c>
      <x:c r="N103" s="24" t="str">
        <x:v>sphyraena obtusata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Sphyraena obtusata</x:v>
      </x:c>
      <x:c r="T103" s="32" t="n">
        <x:f>IF(O103="","",(1/'Metadata'!$B$5)^(O103-1))</x:f>
        <x:v>3162.2776601683795</x:v>
      </x:c>
      <x:c r="U103" s="31" t="n">
        <x:f>IF(T103="","",I103*T103)</x:f>
        <x:v>8037.342941494479</x:v>
      </x:c>
    </x:row>
    <x:row r="104" ht="18" customHeight="1">
      <x:c r="A104" s="24" t="str">
        <x:v>EEZ_404</x:v>
      </x:c>
      <x:c r="B104" s="24" t="str">
        <x:v>Kenya</x:v>
      </x:c>
      <x:c r="C104" s="24" t="str">
        <x:v>EEZ</x:v>
      </x:c>
      <x:c r="D104" s="30" t="n">
        <x:v>2019</x:v>
      </x:c>
      <x:c r="E104" s="24" t="str">
        <x:v>Equulites berbis</x:v>
      </x:c>
      <x:c r="F104" s="24" t="str">
        <x:v>Berbis ponyfish</x:v>
      </x:c>
      <x:c r="G104" s="24" t="str">
        <x:v>Small demersals (&lt;30 cm)</x:v>
      </x:c>
      <x:c r="H104" s="24" t="str">
        <x:v>Perch-likes</x:v>
      </x:c>
      <x:c r="I104" s="31" t="n">
        <x:v>2.4184629694</x:v>
      </x:c>
      <x:c r="J104" s="31" t="n">
        <x:v>2.4184629694</x:v>
      </x:c>
      <x:c r="K104" s="31" t="n">
        <x:v>0</x:v>
      </x:c>
      <x:c r="L104" s="31" t="n">
        <x:v>2.4184629694</x:v>
      </x:c>
      <x:c r="M104" s="31" t="n">
        <x:v>0</x:v>
      </x:c>
      <x:c r="N104" s="24" t="str">
        <x:v>equulites berbis</x:v>
      </x:c>
      <x:c r="O104" s="32" t="n">
        <x:v>3.31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Equulites berbis</x:v>
      </x:c>
      <x:c r="T104" s="32" t="n">
        <x:f>IF(O104="","",(1/'Metadata'!$B$5)^(O104-1))</x:f>
        <x:v>204.17379446695296</x:v>
      </x:c>
      <x:c r="U104" s="31" t="n">
        <x:f>IF(T104="","",I104*T104)</x:f>
        <x:v>493.78676124021234</x:v>
      </x:c>
    </x:row>
    <x:row r="105" ht="18" customHeight="1">
      <x:c r="A105" s="24" t="str">
        <x:v>EEZ_404</x:v>
      </x:c>
      <x:c r="B105" s="24" t="str">
        <x:v>Kenya</x:v>
      </x:c>
      <x:c r="C105" s="24" t="str">
        <x:v>EEZ</x:v>
      </x:c>
      <x:c r="D105" s="30" t="n">
        <x:v>2019</x:v>
      </x:c>
      <x:c r="E105" s="24" t="str">
        <x:v>Carcharhinus falciformis</x:v>
      </x:c>
      <x:c r="F105" s="24" t="str">
        <x:v>Silky shark</x:v>
      </x:c>
      <x:c r="G105" s="24" t="str">
        <x:v>Large sharks (&gt;=90 cm)</x:v>
      </x:c>
      <x:c r="H105" s="24" t="str">
        <x:v>Sharks &amp; rays</x:v>
      </x:c>
      <x:c r="I105" s="31" t="n">
        <x:v>2.3142909208</x:v>
      </x:c>
      <x:c r="J105" s="31" t="n">
        <x:v>2.3142909208</x:v>
      </x:c>
      <x:c r="K105" s="31" t="n">
        <x:v>0</x:v>
      </x:c>
      <x:c r="L105" s="31" t="n">
        <x:v>2.3142909208</x:v>
      </x:c>
      <x:c r="M105" s="31" t="n">
        <x:v>0</x:v>
      </x:c>
      <x:c r="N105" s="24" t="str">
        <x:v>carcharhinus falciformis</x:v>
      </x:c>
      <x:c r="O105" s="32" t="n">
        <x:v>4.51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Carcharhinus falciformis</x:v>
      </x:c>
      <x:c r="T105" s="32" t="n">
        <x:f>IF(O105="","",(1/'Metadata'!$B$5)^(O105-1))</x:f>
        <x:v>3235.936569296281</x:v>
      </x:c>
      <x:c r="U105" s="31" t="n">
        <x:f>IF(T105="","",I105*T105)</x:f>
        <x:v>7488.898622607083</x:v>
      </x:c>
    </x:row>
    <x:row r="106" ht="18" customHeight="1">
      <x:c r="A106" s="24" t="str">
        <x:v>EEZ_404</x:v>
      </x:c>
      <x:c r="B106" s="24" t="str">
        <x:v>Kenya</x:v>
      </x:c>
      <x:c r="C106" s="24" t="str">
        <x:v>EEZ</x:v>
      </x:c>
      <x:c r="D106" s="30" t="n">
        <x:v>2019</x:v>
      </x:c>
      <x:c r="E106" s="24" t="str">
        <x:v>Atule mate</x:v>
      </x:c>
      <x:c r="F106" s="24" t="str">
        <x:v>Yellowtail scad</x:v>
      </x:c>
      <x:c r="G106" s="24" t="str">
        <x:v>Small pelagics (&lt;30 cm)</x:v>
      </x:c>
      <x:c r="H106" s="24" t="str">
        <x:v>Perch-likes</x:v>
      </x:c>
      <x:c r="I106" s="31" t="n">
        <x:v>2.2384712782</x:v>
      </x:c>
      <x:c r="J106" s="31" t="n">
        <x:v>2.2384712782</x:v>
      </x:c>
      <x:c r="K106" s="31" t="n">
        <x:v>0</x:v>
      </x:c>
      <x:c r="L106" s="31" t="n">
        <x:v>2.2384712782</x:v>
      </x:c>
      <x:c r="M106" s="31" t="n">
        <x:v>0</x:v>
      </x:c>
      <x:c r="N106" s="24" t="str">
        <x:v>atule mate</x:v>
      </x:c>
      <x:c r="O106" s="32" t="n">
        <x:v>4.22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Atule mate</x:v>
      </x:c>
      <x:c r="T106" s="32" t="n">
        <x:f>IF(O106="","",(1/'Metadata'!$B$5)^(O106-1))</x:f>
        <x:v>1659.5869074375596</x:v>
      </x:c>
      <x:c r="U106" s="31" t="n">
        <x:f>IF(T106="","",I106*T106)</x:f>
        <x:v>3714.937625975739</x:v>
      </x:c>
    </x:row>
    <x:row r="107" ht="18" customHeight="1">
      <x:c r="A107" s="24" t="str">
        <x:v>EEZ_404</x:v>
      </x:c>
      <x:c r="B107" s="24" t="str">
        <x:v>Kenya</x:v>
      </x:c>
      <x:c r="C107" s="24" t="str">
        <x:v>EEZ</x:v>
      </x:c>
      <x:c r="D107" s="30" t="n">
        <x:v>2019</x:v>
      </x:c>
      <x:c r="E107" s="24" t="str">
        <x:v>Portunus pelagicus</x:v>
      </x:c>
      <x:c r="F107" s="24" t="str">
        <x:v>Blue swimming crab</x:v>
      </x:c>
      <x:c r="G107" s="24" t="str">
        <x:v>Lobsters, crabs</x:v>
      </x:c>
      <x:c r="H107" s="24" t="str">
        <x:v>Crustaceans</x:v>
      </x:c>
      <x:c r="I107" s="31" t="n">
        <x:v>2.1836485884</x:v>
      </x:c>
      <x:c r="J107" s="31" t="n">
        <x:v>0</x:v>
      </x:c>
      <x:c r="K107" s="31" t="n">
        <x:v>2.1836485884</x:v>
      </x:c>
      <x:c r="L107" s="31" t="n">
        <x:v>0</x:v>
      </x:c>
      <x:c r="M107" s="31" t="n">
        <x:v>2.1836485884</x:v>
      </x:c>
      <x:c r="N107" s="24" t="str">
        <x:v>portunus pelagicus</x:v>
      </x:c>
      <x:c r="O107" s="32" t="n">
        <x:v>2.48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Portunus pelagicus</x:v>
      </x:c>
      <x:c r="T107" s="32" t="n">
        <x:f>IF(O107="","",(1/'Metadata'!$B$5)^(O107-1))</x:f>
        <x:v>30.19951720402016</x:v>
      </x:c>
      <x:c r="U107" s="31" t="n">
        <x:f>IF(T107="","",I107*T107)</x:f>
        <x:v>65.94513311292015</x:v>
      </x:c>
    </x:row>
    <x:row r="108" ht="18" customHeight="1">
      <x:c r="A108" s="24" t="str">
        <x:v>EEZ_404</x:v>
      </x:c>
      <x:c r="B108" s="24" t="str">
        <x:v>Kenya</x:v>
      </x:c>
      <x:c r="C108" s="24" t="str">
        <x:v>EEZ</x:v>
      </x:c>
      <x:c r="D108" s="30" t="n">
        <x:v>2019</x:v>
      </x:c>
      <x:c r="E108" s="24" t="str">
        <x:v>Decapoda</x:v>
      </x:c>
      <x:c r="F108" s="24" t="str">
        <x:v>Crabs, lobsters, shrimps</x:v>
      </x:c>
      <x:c r="G108" s="24" t="str">
        <x:v>Lobsters, crabs</x:v>
      </x:c>
      <x:c r="H108" s="24" t="str">
        <x:v>Crustaceans</x:v>
      </x:c>
      <x:c r="I108" s="31" t="n">
        <x:v>2.1561779151</x:v>
      </x:c>
      <x:c r="J108" s="31" t="n">
        <x:v>2.1561779151</x:v>
      </x:c>
      <x:c r="K108" s="31" t="n">
        <x:v>0</x:v>
      </x:c>
      <x:c r="L108" s="31" t="n">
        <x:v>2.1561779151</x:v>
      </x:c>
      <x:c r="M108" s="31" t="n">
        <x:v>0</x:v>
      </x:c>
      <x:c r="N108" s="24" t="str">
        <x:v>decapoda</x:v>
      </x:c>
      <x:c r="O108" s="32" t="n">
        <x:v>3.43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Decapoda</x:v>
      </x:c>
      <x:c r="T108" s="32" t="n">
        <x:f>IF(O108="","",(1/'Metadata'!$B$5)^(O108-1))</x:f>
        <x:v>269.1534803926917</x:v>
      </x:c>
      <x:c r="U108" s="31" t="n">
        <x:f>IF(T108="","",I108*T108)</x:f>
        <x:v>580.3427901950226</x:v>
      </x:c>
    </x:row>
    <x:row r="109" ht="18" customHeight="1">
      <x:c r="A109" s="24" t="str">
        <x:v>EEZ_404</x:v>
      </x:c>
      <x:c r="B109" s="24" t="str">
        <x:v>Kenya</x:v>
      </x:c>
      <x:c r="C109" s="24" t="str">
        <x:v>EEZ</x:v>
      </x:c>
      <x:c r="D109" s="30" t="n">
        <x:v>2019</x:v>
      </x:c>
      <x:c r="E109" s="24" t="str">
        <x:v>Platycephalus indicus</x:v>
      </x:c>
      <x:c r="F109" s="24" t="str">
        <x:v>Bartail flathead</x:v>
      </x:c>
      <x:c r="G109" s="24" t="str">
        <x:v>Medium demersals (30 - 89 cm)</x:v>
      </x:c>
      <x:c r="H109" s="24" t="str">
        <x:v>Scorpionfishes</x:v>
      </x:c>
      <x:c r="I109" s="31" t="n">
        <x:v>2.0599991779</x:v>
      </x:c>
      <x:c r="J109" s="31" t="n">
        <x:v>0</x:v>
      </x:c>
      <x:c r="K109" s="31" t="n">
        <x:v>2.0599991779</x:v>
      </x:c>
      <x:c r="L109" s="31" t="n">
        <x:v>0</x:v>
      </x:c>
      <x:c r="M109" s="31" t="n">
        <x:v>2.0599991779</x:v>
      </x:c>
      <x:c r="N109" s="24" t="str">
        <x:v>platycephalus indicus</x:v>
      </x:c>
      <x:c r="O109" s="32" t="n">
        <x:v>3.6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Platycephalus indicus</x:v>
      </x:c>
      <x:c r="T109" s="32" t="n">
        <x:f>IF(O109="","",(1/'Metadata'!$B$5)^(O109-1))</x:f>
        <x:v>398.1071705534973</x:v>
      </x:c>
      <x:c r="U109" s="31" t="n">
        <x:f>IF(T109="","",I109*T109)</x:f>
        <x:v>820.1004440562996</x:v>
      </x:c>
    </x:row>
    <x:row r="110" ht="18" customHeight="1">
      <x:c r="A110" s="24" t="str">
        <x:v>EEZ_404</x:v>
      </x:c>
      <x:c r="B110" s="24" t="str">
        <x:v>Kenya</x:v>
      </x:c>
      <x:c r="C110" s="24" t="str">
        <x:v>EEZ</x:v>
      </x:c>
      <x:c r="D110" s="30" t="n">
        <x:v>2019</x:v>
      </x:c>
      <x:c r="E110" s="24" t="str">
        <x:v>Sphyrna</x:v>
      </x:c>
      <x:c r="F110" s="24" t="str">
        <x:v>Hammerhead sharks</x:v>
      </x:c>
      <x:c r="G110" s="24" t="str">
        <x:v>Large sharks (&gt;=90 cm)</x:v>
      </x:c>
      <x:c r="H110" s="24" t="str">
        <x:v>Sharks &amp; rays</x:v>
      </x:c>
      <x:c r="I110" s="31" t="n">
        <x:v>2.0140595088</x:v>
      </x:c>
      <x:c r="J110" s="31" t="n">
        <x:v>2.0140595088</x:v>
      </x:c>
      <x:c r="K110" s="31" t="n">
        <x:v>0</x:v>
      </x:c>
      <x:c r="L110" s="31" t="n">
        <x:v>2.0140595088</x:v>
      </x:c>
      <x:c r="M110" s="31" t="n">
        <x:v>0</x:v>
      </x:c>
      <x:c r="N110" s="24" t="str">
        <x:v>sphyrna</x:v>
      </x:c>
      <x:c r="O110" s="32" t="n">
        <x:v>4.2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Sphyrna</x:v>
      </x:c>
      <x:c r="T110" s="32" t="n">
        <x:f>IF(O110="","",(1/'Metadata'!$B$5)^(O110-1))</x:f>
        <x:v>1584.893192461114</x:v>
      </x:c>
      <x:c r="U110" s="31" t="n">
        <x:f>IF(T110="","",I110*T110)</x:f>
        <x:v>3192.069204708695</x:v>
      </x:c>
    </x:row>
    <x:row r="111" ht="18" customHeight="1">
      <x:c r="A111" s="24" t="str">
        <x:v>EEZ_404</x:v>
      </x:c>
      <x:c r="B111" s="24" t="str">
        <x:v>Kenya</x:v>
      </x:c>
      <x:c r="C111" s="24" t="str">
        <x:v>EEZ</x:v>
      </x:c>
      <x:c r="D111" s="30" t="n">
        <x:v>2019</x:v>
      </x:c>
      <x:c r="E111" s="24" t="str">
        <x:v>Sphyraena putnamae</x:v>
      </x:c>
      <x:c r="F111" s="24" t="str">
        <x:v>Sawtooth barracuda</x:v>
      </x:c>
      <x:c r="G111" s="24" t="str">
        <x:v>Medium reef assoc. fish (30 - 89 cm)</x:v>
      </x:c>
      <x:c r="H111" s="24" t="str">
        <x:v>Perch-likes</x:v>
      </x:c>
      <x:c r="I111" s="31" t="n">
        <x:v>2.0013803296</x:v>
      </x:c>
      <x:c r="J111" s="31" t="n">
        <x:v>2.0013803296</x:v>
      </x:c>
      <x:c r="K111" s="31" t="n">
        <x:v>0</x:v>
      </x:c>
      <x:c r="L111" s="31" t="n">
        <x:v>2.0013803296</x:v>
      </x:c>
      <x:c r="M111" s="31" t="n">
        <x:v>0</x:v>
      </x:c>
      <x:c r="N111" s="24" t="str">
        <x:v>sphyraena putnamae</x:v>
      </x:c>
      <x:c r="O111" s="32" t="n">
        <x:v>4.5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Sphyraena putnamae</x:v>
      </x:c>
      <x:c r="T111" s="32" t="n">
        <x:f>IF(O111="","",(1/'Metadata'!$B$5)^(O111-1))</x:f>
        <x:v>3162.2776601683795</x:v>
      </x:c>
      <x:c r="U111" s="31" t="n">
        <x:f>IF(T111="","",I111*T111)</x:f>
        <x:v>6328.920305794508</x:v>
      </x:c>
    </x:row>
    <x:row r="112" ht="18" customHeight="1">
      <x:c r="A112" s="24" t="str">
        <x:v>EEZ_404</x:v>
      </x:c>
      <x:c r="B112" s="24" t="str">
        <x:v>Kenya</x:v>
      </x:c>
      <x:c r="C112" s="24" t="str">
        <x:v>EEZ</x:v>
      </x:c>
      <x:c r="D112" s="30" t="n">
        <x:v>2019</x:v>
      </x:c>
      <x:c r="E112" s="24" t="str">
        <x:v>Gerres oyena</x:v>
      </x:c>
      <x:c r="F112" s="24" t="str">
        <x:v>Common silver-biddy</x:v>
      </x:c>
      <x:c r="G112" s="24" t="str">
        <x:v>Small demersals (&lt;30 cm)</x:v>
      </x:c>
      <x:c r="H112" s="24" t="str">
        <x:v>Perch-likes</x:v>
      </x:c>
      <x:c r="I112" s="31" t="n">
        <x:v>1.7388840951</x:v>
      </x:c>
      <x:c r="J112" s="31" t="n">
        <x:v>1.7388840951</x:v>
      </x:c>
      <x:c r="K112" s="31" t="n">
        <x:v>0</x:v>
      </x:c>
      <x:c r="L112" s="31" t="n">
        <x:v>1.7388840951</x:v>
      </x:c>
      <x:c r="M112" s="31" t="n">
        <x:v>0</x:v>
      </x:c>
      <x:c r="N112" s="24" t="str">
        <x:v>gerres oyena</x:v>
      </x:c>
      <x:c r="O112" s="32" t="n">
        <x:v>3.07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Gerres oyena</x:v>
      </x:c>
      <x:c r="T112" s="32" t="n">
        <x:f>IF(O112="","",(1/'Metadata'!$B$5)^(O112-1))</x:f>
        <x:v>117.48975549395291</x:v>
      </x:c>
      <x:c r="U112" s="31" t="n">
        <x:f>IF(T112="","",I112*T112)</x:f>
        <x:v>204.30106716562256</x:v>
      </x:c>
    </x:row>
    <x:row r="113" ht="18" customHeight="1">
      <x:c r="A113" s="24" t="str">
        <x:v>EEZ_404</x:v>
      </x:c>
      <x:c r="B113" s="24" t="str">
        <x:v>Kenya</x:v>
      </x:c>
      <x:c r="C113" s="24" t="str">
        <x:v>EEZ</x:v>
      </x:c>
      <x:c r="D113" s="30" t="n">
        <x:v>2019</x:v>
      </x:c>
      <x:c r="E113" s="24" t="str">
        <x:v>Hilsa kelee</x:v>
      </x:c>
      <x:c r="F113" s="24" t="str">
        <x:v>Kelee shad</x:v>
      </x:c>
      <x:c r="G113" s="24" t="str">
        <x:v>Small pelagics (&lt;30 cm)</x:v>
      </x:c>
      <x:c r="H113" s="24" t="str">
        <x:v>Herring-likes</x:v>
      </x:c>
      <x:c r="I113" s="31" t="n">
        <x:v>1.6983208228</x:v>
      </x:c>
      <x:c r="J113" s="31" t="n">
        <x:v>1.6983208228</x:v>
      </x:c>
      <x:c r="K113" s="31" t="n">
        <x:v>0</x:v>
      </x:c>
      <x:c r="L113" s="31" t="n">
        <x:v>1.6983208228</x:v>
      </x:c>
      <x:c r="M113" s="31" t="n">
        <x:v>0</x:v>
      </x:c>
      <x:c r="N113" s="24" t="str">
        <x:v>hilsa kelee</x:v>
      </x:c>
      <x:c r="O113" s="32" t="n">
        <x:v>3.25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Hilsa kelee</x:v>
      </x:c>
      <x:c r="T113" s="32" t="n">
        <x:f>IF(O113="","",(1/'Metadata'!$B$5)^(O113-1))</x:f>
        <x:v>177.82794100389228</x:v>
      </x:c>
      <x:c r="U113" s="31" t="n">
        <x:f>IF(T113="","",I113*T113)</x:f>
        <x:v>302.0088950825602</x:v>
      </x:c>
    </x:row>
    <x:row r="114" ht="18" customHeight="1">
      <x:c r="A114" s="24" t="str">
        <x:v>EEZ_404</x:v>
      </x:c>
      <x:c r="B114" s="24" t="str">
        <x:v>Kenya</x:v>
      </x:c>
      <x:c r="C114" s="24" t="str">
        <x:v>EEZ</x:v>
      </x:c>
      <x:c r="D114" s="30" t="n">
        <x:v>2019</x:v>
      </x:c>
      <x:c r="E114" s="24" t="str">
        <x:v>Atropus armatus</x:v>
      </x:c>
      <x:c r="F114" s="24" t="str">
        <x:v>Longfin trevally</x:v>
      </x:c>
      <x:c r="G114" s="24" t="str">
        <x:v>Medium reef assoc. fish (30 - 89 cm)</x:v>
      </x:c>
      <x:c r="H114" s="24" t="str">
        <x:v>Perch-likes</x:v>
      </x:c>
      <x:c r="I114" s="31" t="n">
        <x:v>1.6157160614</x:v>
      </x:c>
      <x:c r="J114" s="31" t="n">
        <x:v>1.6157160614</x:v>
      </x:c>
      <x:c r="K114" s="31" t="n">
        <x:v>0</x:v>
      </x:c>
      <x:c r="L114" s="31" t="n">
        <x:v>1.6157160614</x:v>
      </x:c>
      <x:c r="M114" s="31" t="n">
        <x:v>0</x:v>
      </x:c>
      <x:c r="N114" s="24" t="str">
        <x:v>atropus armatus</x:v>
      </x:c>
      <x:c r="O114" s="32" t="n">
        <x:v>4.15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Atropus armatus</x:v>
      </x:c>
      <x:c r="T114" s="32" t="n">
        <x:f>IF(O114="","",(1/'Metadata'!$B$5)^(O114-1))</x:f>
        <x:v>1412.5375446227554</x:v>
      </x:c>
      <x:c r="U114" s="31" t="n">
        <x:f>IF(T114="","",I114*T114)</x:f>
        <x:v>2282.259598177505</x:v>
      </x:c>
    </x:row>
    <x:row r="115" ht="18" customHeight="1">
      <x:c r="A115" s="24" t="str">
        <x:v>EEZ_404</x:v>
      </x:c>
      <x:c r="B115" s="24" t="str">
        <x:v>Kenya</x:v>
      </x:c>
      <x:c r="C115" s="24" t="str">
        <x:v>EEZ</x:v>
      </x:c>
      <x:c r="D115" s="30" t="n">
        <x:v>2019</x:v>
      </x:c>
      <x:c r="E115" s="24" t="str">
        <x:v>Tetraodontidae</x:v>
      </x:c>
      <x:c r="F115" s="24" t="str">
        <x:v>Puffers, tobies</x:v>
      </x:c>
      <x:c r="G115" s="24" t="str">
        <x:v>Large reef assoc. fish (&gt;=90 cm)</x:v>
      </x:c>
      <x:c r="H115" s="24" t="str">
        <x:v>Other fishes &amp; inverts</x:v>
      </x:c>
      <x:c r="I115" s="31" t="n">
        <x:v>1.3799274205</x:v>
      </x:c>
      <x:c r="J115" s="31" t="n">
        <x:v>0</x:v>
      </x:c>
      <x:c r="K115" s="31" t="n">
        <x:v>1.3799274205</x:v>
      </x:c>
      <x:c r="L115" s="31" t="n">
        <x:v>0</x:v>
      </x:c>
      <x:c r="M115" s="31" t="n">
        <x:v>1.3799274205</x:v>
      </x:c>
      <x:c r="N115" s="24" t="str">
        <x:v>tetraodontidae</x:v>
      </x:c>
      <x:c r="O115" s="32" t="n">
        <x:v>3.5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Tetraodontidae</x:v>
      </x:c>
      <x:c r="T115" s="32" t="n">
        <x:f>IF(O115="","",(1/'Metadata'!$B$5)^(O115-1))</x:f>
        <x:v>316.22776601683796</x:v>
      </x:c>
      <x:c r="U115" s="31" t="n">
        <x:f>IF(T115="","",I115*T115)</x:f>
        <x:v>436.3713654500928</x:v>
      </x:c>
    </x:row>
    <x:row r="116" ht="18" customHeight="1">
      <x:c r="A116" s="24" t="str">
        <x:v>EEZ_404</x:v>
      </x:c>
      <x:c r="B116" s="24" t="str">
        <x:v>Kenya</x:v>
      </x:c>
      <x:c r="C116" s="24" t="str">
        <x:v>EEZ</x:v>
      </x:c>
      <x:c r="D116" s="30" t="n">
        <x:v>2019</x:v>
      </x:c>
      <x:c r="E116" s="24" t="str">
        <x:v>Arothron hispidus</x:v>
      </x:c>
      <x:c r="F116" s="24" t="str">
        <x:v>White-spotted puffer</x:v>
      </x:c>
      <x:c r="G116" s="24" t="str">
        <x:v>Medium reef assoc. fish (30 - 89 cm)</x:v>
      </x:c>
      <x:c r="H116" s="24" t="str">
        <x:v>Other fishes &amp; inverts</x:v>
      </x:c>
      <x:c r="I116" s="31" t="n">
        <x:v>1.1326285996</x:v>
      </x:c>
      <x:c r="J116" s="31" t="n">
        <x:v>0</x:v>
      </x:c>
      <x:c r="K116" s="31" t="n">
        <x:v>1.1326285996</x:v>
      </x:c>
      <x:c r="L116" s="31" t="n">
        <x:v>0</x:v>
      </x:c>
      <x:c r="M116" s="31" t="n">
        <x:v>1.1326285996</x:v>
      </x:c>
      <x:c r="N116" s="24" t="str">
        <x:v>arothron hispidus</x:v>
      </x:c>
      <x:c r="O116" s="32" t="n">
        <x:v>3.24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Arothron hispidus</x:v>
      </x:c>
      <x:c r="T116" s="32" t="n">
        <x:f>IF(O116="","",(1/'Metadata'!$B$5)^(O116-1))</x:f>
        <x:v>173.78008287493762</x:v>
      </x:c>
      <x:c r="U116" s="31" t="n">
        <x:f>IF(T116="","",I116*T116)</x:f>
        <x:v>196.82829190501255</x:v>
      </x:c>
    </x:row>
    <x:row r="117" ht="18" customHeight="1">
      <x:c r="A117" s="24" t="str">
        <x:v>EEZ_404</x:v>
      </x:c>
      <x:c r="B117" s="24" t="str">
        <x:v>Kenya</x:v>
      </x:c>
      <x:c r="C117" s="24" t="str">
        <x:v>EEZ</x:v>
      </x:c>
      <x:c r="D117" s="30" t="n">
        <x:v>2019</x:v>
      </x:c>
      <x:c r="E117" s="24" t="str">
        <x:v>Isurus paucus</x:v>
      </x:c>
      <x:c r="F117" s="24" t="str">
        <x:v>Longfin mako</x:v>
      </x:c>
      <x:c r="G117" s="24" t="str">
        <x:v>Large sharks (&gt;=90 cm)</x:v>
      </x:c>
      <x:c r="H117" s="24" t="str">
        <x:v>Sharks &amp; rays</x:v>
      </x:c>
      <x:c r="I117" s="31" t="n">
        <x:v>0.8131758586</x:v>
      </x:c>
      <x:c r="J117" s="31" t="n">
        <x:v>0.8131758586</x:v>
      </x:c>
      <x:c r="K117" s="31" t="n">
        <x:v>0</x:v>
      </x:c>
      <x:c r="L117" s="31" t="n">
        <x:v>0.8131758586</x:v>
      </x:c>
      <x:c r="M117" s="31" t="n">
        <x:v>0</x:v>
      </x:c>
      <x:c r="N117" s="24" t="str">
        <x:v>isurus paucus</x:v>
      </x:c>
      <x:c r="O117" s="32" t="n">
        <x:v>4.51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Isurus paucus</x:v>
      </x:c>
      <x:c r="T117" s="32" t="n">
        <x:f>IF(O117="","",(1/'Metadata'!$B$5)^(O117-1))</x:f>
        <x:v>3235.936569296281</x:v>
      </x:c>
      <x:c r="U117" s="31" t="n">
        <x:f>IF(T117="","",I117*T117)</x:f>
        <x:v>2631.3854981126415</x:v>
      </x:c>
    </x:row>
    <x:row r="118" ht="18" customHeight="1">
      <x:c r="A118" s="24" t="str">
        <x:v>EEZ_404</x:v>
      </x:c>
      <x:c r="B118" s="24" t="str">
        <x:v>Kenya</x:v>
      </x:c>
      <x:c r="C118" s="24" t="str">
        <x:v>EEZ</x:v>
      </x:c>
      <x:c r="D118" s="30" t="n">
        <x:v>2019</x:v>
      </x:c>
      <x:c r="E118" s="24" t="str">
        <x:v>Penaeus</x:v>
      </x:c>
      <x:c r="F118" s="24" t="str">
        <x:v>Tiger prawns</x:v>
      </x:c>
      <x:c r="G118" s="24" t="str">
        <x:v>Shrimps</x:v>
      </x:c>
      <x:c r="H118" s="24" t="str">
        <x:v>Crustaceans</x:v>
      </x:c>
      <x:c r="I118" s="31" t="n">
        <x:v>0.477715094</x:v>
      </x:c>
      <x:c r="J118" s="31" t="n">
        <x:v>0.477715094</x:v>
      </x:c>
      <x:c r="K118" s="31" t="n">
        <x:v>0</x:v>
      </x:c>
      <x:c r="L118" s="31" t="n">
        <x:v>0.477715094</x:v>
      </x:c>
      <x:c r="M118" s="31" t="n">
        <x:v>0</x:v>
      </x:c>
      <x:c r="N118" s="24" t="str">
        <x:v>penaeus</x:v>
      </x:c>
      <x:c r="O118" s="32" t="n">
        <x:v>2.7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Penaeus</x:v>
      </x:c>
      <x:c r="T118" s="32" t="n">
        <x:f>IF(O118="","",(1/'Metadata'!$B$5)^(O118-1))</x:f>
        <x:v>50.11872336272725</x:v>
      </x:c>
      <x:c r="U118" s="31" t="n">
        <x:f>IF(T118="","",I118*T118)</x:f>
        <x:v>23.942470642385246</x:v>
      </x:c>
    </x:row>
    <x:row r="119" ht="18" customHeight="1">
      <x:c r="A119" s="24" t="str">
        <x:v>EEZ_404</x:v>
      </x:c>
      <x:c r="B119" s="24" t="str">
        <x:v>Kenya</x:v>
      </x:c>
      <x:c r="C119" s="24" t="str">
        <x:v>EEZ</x:v>
      </x:c>
      <x:c r="D119" s="30" t="n">
        <x:v>2019</x:v>
      </x:c>
      <x:c r="E119" s="24" t="str">
        <x:v>Trachysalambria curvirostris</x:v>
      </x:c>
      <x:c r="F119" s="24" t="str">
        <x:v>Southern rough shrimp</x:v>
      </x:c>
      <x:c r="G119" s="24" t="str">
        <x:v>Shrimps</x:v>
      </x:c>
      <x:c r="H119" s="24" t="str">
        <x:v>Crustaceans</x:v>
      </x:c>
      <x:c r="I119" s="31" t="n">
        <x:v>0.1767358947</x:v>
      </x:c>
      <x:c r="J119" s="31" t="n">
        <x:v>0.1767358947</x:v>
      </x:c>
      <x:c r="K119" s="31" t="n">
        <x:v>0</x:v>
      </x:c>
      <x:c r="L119" s="31" t="n">
        <x:v>0.1767358947</x:v>
      </x:c>
      <x:c r="M119" s="31" t="n">
        <x:v>0</x:v>
      </x:c>
      <x:c r="N119" s="24" t="str">
        <x:v>trachysalambria curvirostris</x:v>
      </x:c>
      <x:c r="O119" s="32" t="n">
        <x:v>2.7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Trachysalambria curvirostris</x:v>
      </x:c>
      <x:c r="T119" s="32" t="n">
        <x:f>IF(O119="","",(1/'Metadata'!$B$5)^(O119-1))</x:f>
        <x:v>50.11872336272725</x:v>
      </x:c>
      <x:c r="U119" s="31" t="n">
        <x:f>IF(T119="","",I119*T119)</x:f>
        <x:v>8.857777414733393</x:v>
      </x:c>
    </x:row>
    <x:row r="120" ht="18" customHeight="1">
      <x:c r="A120" s="24" t="str">
        <x:v>EEZ_404</x:v>
      </x:c>
      <x:c r="B120" s="24" t="str">
        <x:v>Kenya</x:v>
      </x:c>
      <x:c r="C120" s="24" t="str">
        <x:v>EEZ</x:v>
      </x:c>
      <x:c r="D120" s="30" t="n">
        <x:v>2019</x:v>
      </x:c>
      <x:c r="E120" s="24" t="str">
        <x:v>Sphyrnidae</x:v>
      </x:c>
      <x:c r="F120" s="24" t="str">
        <x:v>Hammer, bonnet, scoophead sharks</x:v>
      </x:c>
      <x:c r="G120" s="24" t="str">
        <x:v>Large sharks (&gt;=90 cm)</x:v>
      </x:c>
      <x:c r="H120" s="24" t="str">
        <x:v>Sharks &amp; rays</x:v>
      </x:c>
      <x:c r="I120" s="31" t="n">
        <x:v>0.124537926</x:v>
      </x:c>
      <x:c r="J120" s="31" t="n">
        <x:v>0.124537926</x:v>
      </x:c>
      <x:c r="K120" s="31" t="n">
        <x:v>0</x:v>
      </x:c>
      <x:c r="L120" s="31" t="n">
        <x:v>0</x:v>
      </x:c>
      <x:c r="M120" s="31" t="n">
        <x:v>0.124537926</x:v>
      </x:c>
      <x:c r="N120" s="24" t="str">
        <x:v>sphyrnidae</x:v>
      </x:c>
      <x:c r="O120" s="32" t="n">
        <x:v>4.19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Sphyrnidae</x:v>
      </x:c>
      <x:c r="T120" s="32" t="n">
        <x:f>IF(O120="","",(1/'Metadata'!$B$5)^(O120-1))</x:f>
        <x:v>1548.8166189124827</x:v>
      </x:c>
      <x:c r="U120" s="31" t="n">
        <x:f>IF(T120="","",I120*T120)</x:f>
        <x:v>192.88640947369296</x:v>
      </x:c>
    </x:row>
    <x:row r="121" ht="18" customHeight="1">
      <x:c r="A121" s="24" t="str">
        <x:v>EEZ_404</x:v>
      </x:c>
      <x:c r="B121" s="24" t="str">
        <x:v>Kenya</x:v>
      </x:c>
      <x:c r="C121" s="24" t="str">
        <x:v>EEZ</x:v>
      </x:c>
      <x:c r="D121" s="30" t="n">
        <x:v>2019</x:v>
      </x:c>
      <x:c r="E121" s="24" t="str">
        <x:v>Penaeus latisulcatus</x:v>
      </x:c>
      <x:c r="F121" s="24" t="str">
        <x:v>Western king prawn</x:v>
      </x:c>
      <x:c r="G121" s="24" t="str">
        <x:v>Shrimps</x:v>
      </x:c>
      <x:c r="H121" s="24" t="str">
        <x:v>Crustaceans</x:v>
      </x:c>
      <x:c r="I121" s="31" t="n">
        <x:v>0.0148160209</x:v>
      </x:c>
      <x:c r="J121" s="31" t="n">
        <x:v>0.0148160209</x:v>
      </x:c>
      <x:c r="K121" s="31" t="n">
        <x:v>0</x:v>
      </x:c>
      <x:c r="L121" s="31" t="n">
        <x:v>0.0148160209</x:v>
      </x:c>
      <x:c r="M121" s="31" t="n">
        <x:v>0</x:v>
      </x:c>
      <x:c r="N121" s="24" t="str">
        <x:v>penaeus latisulcatus</x:v>
      </x:c>
      <x:c r="O121" s="32" t="n">
        <x:v>2.7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Penaeus latisulcatus</x:v>
      </x:c>
      <x:c r="T121" s="32" t="n">
        <x:f>IF(O121="","",(1/'Metadata'!$B$5)^(O121-1))</x:f>
        <x:v>50.11872336272725</x:v>
      </x:c>
      <x:c r="U121" s="31" t="n">
        <x:f>IF(T121="","",I121*T121)</x:f>
        <x:v>0.7425600528234853</x:v>
      </x:c>
    </x:row>
  </x:sheetData>
  <x:conditionalFormatting sqref="R2:R12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be169aca0444a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282.21993222730003</x:v>
      </x:c>
      <x:c r="E2" s="31" t="n">
        <x:v>282.21993222730003</x:v>
      </x:c>
      <x:c r="F2" s="32" t="n">
        <x:v>0</x:v>
      </x:c>
      <x:c r="G2" s="34" t="n">
        <x:v>1</x:v>
      </x:c>
      <x:c r="H2" s="32" t="n">
        <x:f>IF(E2=0,"",I2/E2)</x:f>
        <x:v>163.0847501063954</x:v>
      </x:c>
      <x:c r="I2" s="31" t="n">
        <x:f>IF(C2=0,"",SUMIF('Species'!$H$2:$H$121,A2,'Species'!$U$2:$U$121))</x:f>
        <x:v>46025.767122333076</x:v>
      </x:c>
      <x:c r="J2" s="32" t="n">
        <x:v>3.2106716538275415</x:v>
      </x:c>
      <x:c r="K2" s="32" t="n">
        <x:f>IF(J2="","",(1/'Metadata'!$B$5)^(J2-1))</x:f>
        <x:v>162.43202322061808</x:v>
      </x:c>
      <x:c r="L2" s="31" t="n">
        <x:f>IF(E2=0,"",E2*K2)</x:f>
        <x:v>45841.55458486606</x:v>
      </x:c>
      <x:c r="M2" s="31" t="n">
        <x:f>IF(E2=0,"",I2-L2)</x:f>
        <x:v>184.21253746701404</x:v>
      </x:c>
      <x:c r="N2" s="32" t="n">
        <x:f>IF(L2=0,"",I2/L2)</x:f>
        <x:v>1.0040184618330512</x:v>
      </x:c>
      <x:c r="O2" s="34" t="n">
        <x:f>IF(L2=0,"",M2/L2)</x:f>
        <x:v>0.004018461833051124</x:v>
      </x:c>
    </x:row>
    <x:row r="3" ht="18" customHeight="1">
      <x:c r="A3" s="24" t="str">
        <x:v>Crustaceans</x:v>
      </x:c>
      <x:c r="B3" s="33" t="n">
        <x:v>14</x:v>
      </x:c>
      <x:c r="C3" s="33" t="n">
        <x:v>14</x:v>
      </x:c>
      <x:c r="D3" s="31" t="n">
        <x:v>1048.3587953452</x:v>
      </x:c>
      <x:c r="E3" s="31" t="n">
        <x:v>1048.3587953452</x:v>
      </x:c>
      <x:c r="F3" s="32" t="n">
        <x:v>0</x:v>
      </x:c>
      <x:c r="G3" s="34" t="n">
        <x:v>1</x:v>
      </x:c>
      <x:c r="H3" s="32" t="n">
        <x:f>IF(E3=0,"",I3/E3)</x:f>
        <x:v>112.77598676842321</x:v>
      </x:c>
      <x:c r="I3" s="31" t="n">
        <x:f>IF(C3=0,"",SUMIF('Species'!$H$2:$H$121,A3,'Species'!$U$2:$U$121))</x:f>
        <x:v>118229.69763241036</x:v>
      </x:c>
      <x:c r="J3" s="32" t="n">
        <x:v>2.986860868648432</x:v>
      </x:c>
      <x:c r="K3" s="32" t="n">
        <x:f>IF(J3="","",(1/'Metadata'!$B$5)^(J3-1))</x:f>
        <x:v>97.01991027458813</x:v>
      </x:c>
      <x:c r="L3" s="31" t="n">
        <x:f>IF(E3=0,"",E3*K3)</x:f>
        <x:v>101711.6762599666</x:v>
      </x:c>
      <x:c r="M3" s="31" t="n">
        <x:f>IF(E3=0,"",I3-L3)</x:f>
        <x:v>16518.021372443764</x:v>
      </x:c>
      <x:c r="N3" s="32" t="n">
        <x:f>IF(L3=0,"",I3/L3)</x:f>
        <x:v>1.1624004438804556</x:v>
      </x:c>
      <x:c r="O3" s="34" t="n">
        <x:f>IF(L3=0,"",M3/L3)</x:f>
        <x:v>0.1624004438804555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90.5291171133</x:v>
      </x:c>
      <x:c r="E4" s="31" t="n">
        <x:v>90.5291171133</x:v>
      </x:c>
      <x:c r="F4" s="32" t="n">
        <x:v>0</x:v>
      </x:c>
      <x:c r="G4" s="34" t="n">
        <x:v>1</x:v>
      </x:c>
      <x:c r="H4" s="32" t="n">
        <x:f>IF(E4=0,"",I4/E4)</x:f>
        <x:v>538.6268528487958</x:v>
      </x:c>
      <x:c r="I4" s="31" t="n">
        <x:f>IF(C4=0,"",SUMIF('Species'!$H$2:$H$121,A4,'Species'!$U$2:$U$121))</x:f>
        <x:v>48761.41344191684</x:v>
      </x:c>
      <x:c r="J4" s="32" t="n">
        <x:v>3.635772303269035</x:v>
      </x:c>
      <x:c r="K4" s="32" t="n">
        <x:f>IF(J4="","",(1/'Metadata'!$B$5)^(J4-1))</x:f>
        <x:v>432.2871273180068</x:v>
      </x:c>
      <x:c r="L4" s="31" t="n">
        <x:f>IF(E4=0,"",E4*K4)</x:f>
        <x:v>39134.57197554387</x:v>
      </x:c>
      <x:c r="M4" s="31" t="n">
        <x:f>IF(E4=0,"",I4-L4)</x:f>
        <x:v>9626.84146637297</x:v>
      </x:c>
      <x:c r="N4" s="32" t="n">
        <x:f>IF(L4=0,"",I4/L4)</x:f>
        <x:v>1.245993273476685</x:v>
      </x:c>
      <x:c r="O4" s="34" t="n">
        <x:f>IF(L4=0,"",M4/L4)</x:f>
        <x:v>0.24599327347668487</x:v>
      </x:c>
    </x:row>
    <x:row r="5" ht="18" customHeight="1">
      <x:c r="A5" s="24" t="str">
        <x:v>Herring-likes</x:v>
      </x:c>
      <x:c r="B5" s="33" t="n">
        <x:v>4</x:v>
      </x:c>
      <x:c r="C5" s="33" t="n">
        <x:v>4</x:v>
      </x:c>
      <x:c r="D5" s="31" t="n">
        <x:v>1069.0966517503002</x:v>
      </x:c>
      <x:c r="E5" s="31" t="n">
        <x:v>1069.0966517503002</x:v>
      </x:c>
      <x:c r="F5" s="32" t="n">
        <x:v>0</x:v>
      </x:c>
      <x:c r="G5" s="34" t="n">
        <x:v>1</x:v>
      </x:c>
      <x:c r="H5" s="32" t="n">
        <x:f>IF(E5=0,"",I5/E5)</x:f>
        <x:v>550.3035933104736</x:v>
      </x:c>
      <x:c r="I5" s="31" t="n">
        <x:f>IF(C5=0,"",SUMIF('Species'!$H$2:$H$121,A5,'Species'!$U$2:$U$121))</x:f>
        <x:v>588327.7290543863</x:v>
      </x:c>
      <x:c r="J5" s="32" t="n">
        <x:v>3.4164322976011423</x:v>
      </x:c>
      <x:c r="K5" s="32" t="n">
        <x:f>IF(J5="","",(1/'Metadata'!$B$5)^(J5-1))</x:f>
        <x:v>260.87490120362406</x:v>
      </x:c>
      <x:c r="L5" s="31" t="n">
        <x:f>IF(E5=0,"",E5*K5)</x:f>
        <x:v>278900.48340248485</x:v>
      </x:c>
      <x:c r="M5" s="31" t="n">
        <x:f>IF(E5=0,"",I5-L5)</x:f>
        <x:v>309427.2456519014</x:v>
      </x:c>
      <x:c r="N5" s="32" t="n">
        <x:f>IF(L5=0,"",I5/L5)</x:f>
        <x:v>2.1094539596238815</x:v>
      </x:c>
      <x:c r="O5" s="34" t="n">
        <x:f>IF(L5=0,"",M5/L5)</x:f>
        <x:v>1.1094539596238813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223.3383008566</x:v>
      </x:c>
      <x:c r="E6" s="31" t="n">
        <x:v>223.3383008566</x:v>
      </x:c>
      <x:c r="F6" s="32" t="n">
        <x:v>0</x:v>
      </x:c>
      <x:c r="G6" s="34" t="n">
        <x:v>1</x:v>
      </x:c>
      <x:c r="H6" s="32" t="n">
        <x:f>IF(E6=0,"",I6/E6)</x:f>
        <x:v>12.589254117941675</x:v>
      </x:c>
      <x:c r="I6" s="31" t="n">
        <x:f>IF(C6=0,"",SUMIF('Species'!$H$2:$H$121,A6,'Species'!$U$2:$U$121))</x:f>
        <x:v>2811.662623753048</x:v>
      </x:c>
      <x:c r="J6" s="32" t="n">
        <x:v>2.1</x:v>
      </x:c>
      <x:c r="K6" s="32" t="n">
        <x:f>IF(J6="","",(1/'Metadata'!$B$5)^(J6-1))</x:f>
        <x:v>12.589254117941675</x:v>
      </x:c>
      <x:c r="L6" s="31" t="n">
        <x:f>IF(E6=0,"",E6*K6)</x:f>
        <x:v>2811.662623753048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13</x:v>
      </x:c>
      <x:c r="C7" s="33" t="n">
        <x:v>13</x:v>
      </x:c>
      <x:c r="D7" s="31" t="n">
        <x:v>9702.1606912912</x:v>
      </x:c>
      <x:c r="E7" s="31" t="n">
        <x:v>9702.1606912912</x:v>
      </x:c>
      <x:c r="F7" s="32" t="n">
        <x:v>0</x:v>
      </x:c>
      <x:c r="G7" s="34" t="n">
        <x:v>1</x:v>
      </x:c>
      <x:c r="H7" s="32" t="n">
        <x:f>IF(E7=0,"",I7/E7)</x:f>
        <x:v>261.72047538071917</x:v>
      </x:c>
      <x:c r="I7" s="31" t="n">
        <x:f>IF(C7=0,"",SUMIF('Species'!$H$2:$H$121,A7,'Species'!$U$2:$U$121))</x:f>
        <x:v>2539254.1083448594</x:v>
      </x:c>
      <x:c r="J7" s="32" t="n">
        <x:v>3.330928950508252</x:v>
      </x:c>
      <x:c r="K7" s="32" t="n">
        <x:f>IF(J7="","",(1/'Metadata'!$B$5)^(J7-1))</x:f>
        <x:v>214.25400582484855</x:v>
      </x:c>
      <x:c r="L7" s="31" t="n">
        <x:f>IF(E7=0,"",E7*K7)</x:f>
        <x:v>2078726.7932655213</x:v>
      </x:c>
      <x:c r="M7" s="31" t="n">
        <x:f>IF(E7=0,"",I7-L7)</x:f>
        <x:v>460527.31507933815</x:v>
      </x:c>
      <x:c r="N7" s="32" t="n">
        <x:f>IF(L7=0,"",I7/L7)</x:f>
        <x:v>1.2215429735987022</x:v>
      </x:c>
      <x:c r="O7" s="34" t="n">
        <x:f>IF(L7=0,"",M7/L7)</x:f>
        <x:v>0.22154297359870215</x:v>
      </x:c>
    </x:row>
    <x:row r="8" ht="18" customHeight="1">
      <x:c r="A8" s="24" t="str">
        <x:v>Perch-likes</x:v>
      </x:c>
      <x:c r="B8" s="33" t="n">
        <x:v>60</x:v>
      </x:c>
      <x:c r="C8" s="33" t="n">
        <x:v>60</x:v>
      </x:c>
      <x:c r="D8" s="31" t="n">
        <x:v>13985.522787458103</x:v>
      </x:c>
      <x:c r="E8" s="31" t="n">
        <x:v>13985.522787458103</x:v>
      </x:c>
      <x:c r="F8" s="32" t="n">
        <x:v>0</x:v>
      </x:c>
      <x:c r="G8" s="34" t="n">
        <x:v>1</x:v>
      </x:c>
      <x:c r="H8" s="32" t="n">
        <x:f>IF(E8=0,"",I8/E8)</x:f>
        <x:v>829.5016139234444</x:v>
      </x:c>
      <x:c r="I8" s="31" t="n">
        <x:f>IF(C8=0,"",SUMIF('Species'!$H$2:$H$121,A8,'Species'!$U$2:$U$121))</x:f>
        <x:v>11601013.723759606</x:v>
      </x:c>
      <x:c r="J8" s="32" t="n">
        <x:v>3.3775776296719733</x:v>
      </x:c>
      <x:c r="K8" s="32" t="n">
        <x:f>IF(J8="","",(1/'Metadata'!$B$5)^(J8-1))</x:f>
        <x:v>238.54901611607673</x:v>
      </x:c>
      <x:c r="L8" s="31" t="n">
        <x:f>IF(E8=0,"",E8*K8)</x:f>
        <x:v>3336232.7008171016</x:v>
      </x:c>
      <x:c r="M8" s="31" t="n">
        <x:f>IF(E8=0,"",I8-L8)</x:f>
        <x:v>8264781.022942505</x:v>
      </x:c>
      <x:c r="N8" s="32" t="n">
        <x:f>IF(L8=0,"",I8/L8)</x:f>
        <x:v>3.477279543755541</x:v>
      </x:c>
      <x:c r="O8" s="34" t="n">
        <x:f>IF(L8=0,"",M8/L8)</x:f>
        <x:v>2.477279543755541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32.789769679</x:v>
      </x:c>
      <x:c r="E9" s="31" t="n">
        <x:v>32.789769679</x:v>
      </x:c>
      <x:c r="F9" s="32" t="n">
        <x:v>0</x:v>
      </x:c>
      <x:c r="G9" s="34" t="n">
        <x:v>1</x:v>
      </x:c>
      <x:c r="H9" s="32" t="n">
        <x:f>IF(E9=0,"",I9/E9)</x:f>
        <x:v>769.4358651087296</x:v>
      </x:c>
      <x:c r="I9" s="31" t="n">
        <x:f>IF(C9=0,"",SUMIF('Species'!$H$2:$H$121,A9,'Species'!$U$2:$U$121))</x:f>
        <x:v>25229.624799677356</x:v>
      </x:c>
      <x:c r="J9" s="32" t="n">
        <x:v>3.881152665620405</x:v>
      </x:c>
      <x:c r="K9" s="32" t="n">
        <x:f>IF(J9="","",(1/'Metadata'!$B$5)^(J9-1))</x:f>
        <x:v>760.5935980593621</x:v>
      </x:c>
      <x:c r="L9" s="31" t="n">
        <x:f>IF(E9=0,"",E9*K9)</x:f>
        <x:v>24939.688899688386</x:v>
      </x:c>
      <x:c r="M9" s="31" t="n">
        <x:f>IF(E9=0,"",I9-L9)</x:f>
        <x:v>289.93589998897005</x:v>
      </x:c>
      <x:c r="N9" s="32" t="n">
        <x:f>IF(L9=0,"",I9/L9)</x:f>
        <x:v>1.0116254818235761</x:v>
      </x:c>
      <x:c r="O9" s="34" t="n">
        <x:f>IF(L9=0,"",M9/L9)</x:f>
        <x:v>0.011625481823576103</x:v>
      </x:c>
    </x:row>
    <x:row r="10" ht="18" customHeight="1">
      <x:c r="A10" s="24" t="str">
        <x:v>Sharks &amp; rays</x:v>
      </x:c>
      <x:c r="B10" s="33" t="n">
        <x:v>11</x:v>
      </x:c>
      <x:c r="C10" s="33" t="n">
        <x:v>11</x:v>
      </x:c>
      <x:c r="D10" s="31" t="n">
        <x:v>2498.1564505325</x:v>
      </x:c>
      <x:c r="E10" s="31" t="n">
        <x:v>2498.1564505325</x:v>
      </x:c>
      <x:c r="F10" s="32" t="n">
        <x:v>0</x:v>
      </x:c>
      <x:c r="G10" s="34" t="n">
        <x:v>1</x:v>
      </x:c>
      <x:c r="H10" s="32" t="n">
        <x:f>IF(E10=0,"",I10/E10)</x:f>
        <x:v>1015.4715866124831</x:v>
      </x:c>
      <x:c r="I10" s="31" t="n">
        <x:f>IF(C10=0,"",SUMIF('Species'!$H$2:$H$121,A10,'Species'!$U$2:$U$121))</x:f>
        <x:v>2536806.894428447</x:v>
      </x:c>
      <x:c r="J10" s="32" t="n">
        <x:v>3.9563345657928624</x:v>
      </x:c>
      <x:c r="K10" s="32" t="n">
        <x:f>IF(J10="","",(1/'Metadata'!$B$5)^(J10-1))</x:f>
        <x:v>904.3458829507018</x:v>
      </x:c>
      <x:c r="L10" s="31" t="n">
        <x:f>IF(E10=0,"",E10*K10)</x:f>
        <x:v>2259197.501005805</x:v>
      </x:c>
      <x:c r="M10" s="31" t="n">
        <x:f>IF(E10=0,"",I10-L10)</x:f>
        <x:v>277609.3934226418</x:v>
      </x:c>
      <x:c r="N10" s="32" t="n">
        <x:f>IF(L10=0,"",I10/L10)</x:f>
        <x:v>1.1228796478833962</x:v>
      </x:c>
      <x:c r="O10" s="34" t="n">
        <x:f>IF(L10=0,"",M10/L10)</x:f>
        <x:v>0.12287964788339613</x:v>
      </x:c>
    </x:row>
    <x:row r="11" ht="18" customHeight="1">
      <x:c r="A11" s="24" t="str">
        <x:v>Tuna &amp; billfishes</x:v>
      </x:c>
      <x:c r="B11" s="33" t="n">
        <x:v>11</x:v>
      </x:c>
      <x:c r="C11" s="33" t="n">
        <x:v>11</x:v>
      </x:c>
      <x:c r="D11" s="31" t="n">
        <x:v>1402.1633563349</x:v>
      </x:c>
      <x:c r="E11" s="31" t="n">
        <x:v>1402.1633563349</x:v>
      </x:c>
      <x:c r="F11" s="32" t="n">
        <x:v>0</x:v>
      </x:c>
      <x:c r="G11" s="34" t="n">
        <x:v>1</x:v>
      </x:c>
      <x:c r="H11" s="32" t="n">
        <x:f>IF(E11=0,"",I11/E11)</x:f>
        <x:v>2990.2943609076715</x:v>
      </x:c>
      <x:c r="I11" s="31" t="n">
        <x:f>IF(C11=0,"",SUMIF('Species'!$H$2:$H$121,A11,'Species'!$U$2:$U$121))</x:f>
        <x:v>4192881.1775196255</x:v>
      </x:c>
      <x:c r="J11" s="32" t="n">
        <x:v>4.471436308676833</x:v>
      </x:c>
      <x:c r="K11" s="32" t="n">
        <x:f>IF(J11="","",(1/'Metadata'!$B$5)^(J11-1))</x:f>
        <x:v>2960.985691108555</x:v>
      </x:c>
      <x:c r="L11" s="31" t="n">
        <x:f>IF(E11=0,"",E11*K11)</x:f>
        <x:v>4151785.634704385</x:v>
      </x:c>
      <x:c r="M11" s="31" t="n">
        <x:f>IF(E11=0,"",I11-L11)</x:f>
        <x:v>41095.542815240566</x:v>
      </x:c>
      <x:c r="N11" s="32" t="n">
        <x:f>IF(L11=0,"",I11/L11)</x:f>
        <x:v>1.00989828146996</x:v>
      </x:c>
      <x:c r="O11" s="34" t="n">
        <x:f>IF(L11=0,"",M11/L11)</x:f>
        <x:v>0.009898281469960009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071c42a793a40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1942.8722358303003</x:v>
      </x:c>
      <x:c r="E2" s="31" t="n">
        <x:v>1942.8722358303003</x:v>
      </x:c>
      <x:c r="F2" s="32" t="n">
        <x:v>0</x:v>
      </x:c>
      <x:c r="G2" s="34" t="n">
        <x:v>1</x:v>
      </x:c>
      <x:c r="H2" s="32" t="n">
        <x:f>IF(E2=0,"",I2/E2)</x:f>
        <x:v>583.3632694098642</x:v>
      </x:c>
      <x:c r="I2" s="31" t="n">
        <x:f>IF(C2=0,"",SUMIF('Species'!$G$2:$G$121,A2,'Species'!$U$2:$U$121))</x:f>
        <x:v>1133400.2995396166</x:v>
      </x:c>
      <x:c r="J2" s="32" t="n">
        <x:v>3.70083000117579</x:v>
      </x:c>
      <x:c r="K2" s="32" t="n">
        <x:f>IF(J2="","",(1/'Metadata'!$B$5)^(J2-1))</x:f>
        <x:v>502.1459926476437</x:v>
      </x:c>
      <x:c r="L2" s="31" t="n">
        <x:f>IF(E2=0,"",E2*K2)</x:f>
        <x:v>975605.5074485531</x:v>
      </x:c>
      <x:c r="M2" s="31" t="n">
        <x:f>IF(E2=0,"",I2-L2)</x:f>
        <x:v>157794.79209106346</x:v>
      </x:c>
      <x:c r="N2" s="32" t="n">
        <x:f>IF(L2=0,"",I2/L2)</x:f>
        <x:v>1.1617403662508379</x:v>
      </x:c>
      <x:c r="O2" s="34" t="n">
        <x:f>IF(L2=0,"",M2/L2)</x:f>
        <x:v>0.16174036625083782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6.2022544277</x:v>
      </x:c>
      <x:c r="E3" s="31" t="n">
        <x:v>6.2022544277</x:v>
      </x:c>
      <x:c r="F3" s="32" t="n">
        <x:v>0</x:v>
      </x:c>
      <x:c r="G3" s="34" t="n">
        <x:v>1</x:v>
      </x:c>
      <x:c r="H3" s="32" t="n">
        <x:f>IF(E3=0,"",I3/E3)</x:f>
        <x:v>31.622776601683793</x:v>
      </x:c>
      <x:c r="I3" s="31" t="n">
        <x:f>IF(C3=0,"",SUMIF('Species'!$G$2:$G$121,A3,'Species'!$U$2:$U$121))</x:f>
        <x:v>196.13250619396126</x:v>
      </x:c>
      <x:c r="J3" s="32" t="n">
        <x:v>2.5</x:v>
      </x:c>
      <x:c r="K3" s="32" t="n">
        <x:f>IF(J3="","",(1/'Metadata'!$B$5)^(J3-1))</x:f>
        <x:v>31.622776601683793</x:v>
      </x:c>
      <x:c r="L3" s="31" t="n">
        <x:f>IF(E3=0,"",E3*K3)</x:f>
        <x:v>196.13250619396126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226.00430391180004</x:v>
      </x:c>
      <x:c r="E4" s="31" t="n">
        <x:v>226.00430391180004</x:v>
      </x:c>
      <x:c r="F4" s="32" t="n">
        <x:v>0</x:v>
      </x:c>
      <x:c r="G4" s="34" t="n">
        <x:v>1</x:v>
      </x:c>
      <x:c r="H4" s="32" t="n">
        <x:f>IF(E4=0,"",I4/E4)</x:f>
        <x:v>2393.0821498112396</x:v>
      </x:c>
      <x:c r="I4" s="31" t="n">
        <x:f>IF(C4=0,"",SUMIF('Species'!$G$2:$G$121,A4,'Species'!$U$2:$U$121))</x:f>
        <x:v>540846.8654718432</x:v>
      </x:c>
      <x:c r="J4" s="32" t="n">
        <x:v>4.372812929229105</x:v>
      </x:c>
      <x:c r="K4" s="32" t="n">
        <x:f>IF(J4="","",(1/'Metadata'!$B$5)^(J4-1))</x:f>
        <x:v>2359.4616847069515</x:v>
      </x:c>
      <x:c r="L4" s="31" t="n">
        <x:f>IF(E4=0,"",E4*K4)</x:f>
        <x:v>533248.4956587576</x:v>
      </x:c>
      <x:c r="M4" s="31" t="n">
        <x:f>IF(E4=0,"",I4-L4)</x:f>
        <x:v>7598.369813085534</x:v>
      </x:c>
      <x:c r="N4" s="32" t="n">
        <x:f>IF(L4=0,"",I4/L4)</x:f>
        <x:v>1.014249210030492</x:v>
      </x:c>
      <x:c r="O4" s="34" t="n">
        <x:f>IF(L4=0,"",M4/L4)</x:f>
        <x:v>0.014249210030491991</x:v>
      </x:c>
    </x:row>
    <x:row r="5" ht="18" customHeight="1">
      <x:c r="A5" s="24" t="str">
        <x:v>Large demersals (&gt;=90 cm)</x:v>
      </x:c>
      <x:c r="B5" s="33" t="n">
        <x:v>1</x:v>
      </x:c>
      <x:c r="C5" s="33" t="n">
        <x:v>1</x:v>
      </x:c>
      <x:c r="D5" s="31" t="n">
        <x:v>2.9738487581</x:v>
      </x:c>
      <x:c r="E5" s="31" t="n">
        <x:v>2.9738487581</x:v>
      </x:c>
      <x:c r="F5" s="32" t="n">
        <x:v>0</x:v>
      </x:c>
      <x:c r="G5" s="34" t="n">
        <x:v>1</x:v>
      </x:c>
      <x:c r="H5" s="32" t="n">
        <x:f>IF(E5=0,"",I5/E5)</x:f>
        <x:v>1513.5612484362073</x:v>
      </x:c>
      <x:c r="I5" s="31" t="n">
        <x:f>IF(C5=0,"",SUMIF('Species'!$G$2:$G$121,A5,'Species'!$U$2:$U$121))</x:f>
        <x:v>4501.1022389703</x:v>
      </x:c>
      <x:c r="J5" s="32" t="n">
        <x:v>4.18</x:v>
      </x:c>
      <x:c r="K5" s="32" t="n">
        <x:f>IF(J5="","",(1/'Metadata'!$B$5)^(J5-1))</x:f>
        <x:v>1513.5612484362073</x:v>
      </x:c>
      <x:c r="L5" s="31" t="n">
        <x:f>IF(E5=0,"",E5*K5)</x:f>
        <x:v>4501.1022389703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pelagics (&gt;=90 cm)</x:v>
      </x:c>
      <x:c r="B6" s="33" t="n">
        <x:v>17</x:v>
      </x:c>
      <x:c r="C6" s="33" t="n">
        <x:v>17</x:v>
      </x:c>
      <x:c r="D6" s="31" t="n">
        <x:v>2497.5863529462</x:v>
      </x:c>
      <x:c r="E6" s="31" t="n">
        <x:v>2497.5863529462</x:v>
      </x:c>
      <x:c r="F6" s="32" t="n">
        <x:v>0</x:v>
      </x:c>
      <x:c r="G6" s="34" t="n">
        <x:v>1</x:v>
      </x:c>
      <x:c r="H6" s="32" t="n">
        <x:f>IF(E6=0,"",I6/E6)</x:f>
        <x:v>2908.247894522194</x:v>
      </x:c>
      <x:c r="I6" s="31" t="n">
        <x:f>IF(C6=0,"",SUMIF('Species'!$G$2:$G$121,A6,'Species'!$U$2:$U$121))</x:f>
        <x:v>7263600.252343152</x:v>
      </x:c>
      <x:c r="J6" s="32" t="n">
        <x:v>4.456823782896467</x:v>
      </x:c>
      <x:c r="K6" s="32" t="n">
        <x:f>IF(J6="","",(1/'Metadata'!$B$5)^(J6-1))</x:f>
        <x:v>2863.0160514733193</x:v>
      </x:c>
      <x:c r="L6" s="31" t="n">
        <x:f>IF(E6=0,"",E6*K6)</x:f>
        <x:v>7150629.818425677</x:v>
      </x:c>
      <x:c r="M6" s="31" t="n">
        <x:f>IF(E6=0,"",I6-L6)</x:f>
        <x:v>112970.43391747493</x:v>
      </x:c>
      <x:c r="N6" s="32" t="n">
        <x:f>IF(L6=0,"",I6/L6)</x:f>
        <x:v>1.0157986690384075</x:v>
      </x:c>
      <x:c r="O6" s="34" t="n">
        <x:f>IF(L6=0,"",M6/L6)</x:f>
        <x:v>0.015798669038407466</x:v>
      </x:c>
    </x:row>
    <x:row r="7" ht="18" customHeight="1">
      <x:c r="A7" s="24" t="str">
        <x:v>Large rays (&gt;=90 cm)</x:v>
      </x:c>
      <x:c r="B7" s="33" t="n">
        <x:v>1</x:v>
      </x:c>
      <x:c r="C7" s="33" t="n">
        <x:v>1</x:v>
      </x:c>
      <x:c r="D7" s="31" t="n">
        <x:v>1012.9104541319999</x:v>
      </x:c>
      <x:c r="E7" s="31" t="n">
        <x:v>1012.9104541319999</x:v>
      </x:c>
      <x:c r="F7" s="32" t="n">
        <x:v>0</x:v>
      </x:c>
      <x:c r="G7" s="34" t="n">
        <x:v>1</x:v>
      </x:c>
      <x:c r="H7" s="32" t="n">
        <x:f>IF(E7=0,"",I7/E7)</x:f>
        <x:v>524.8074602497728</x:v>
      </x:c>
      <x:c r="I7" s="31" t="n">
        <x:f>IF(C7=0,"",SUMIF('Species'!$G$2:$G$121,A7,'Species'!$U$2:$U$121))</x:f>
        <x:v>531582.9628934589</x:v>
      </x:c>
      <x:c r="J7" s="32" t="n">
        <x:v>3.72</x:v>
      </x:c>
      <x:c r="K7" s="32" t="n">
        <x:f>IF(J7="","",(1/'Metadata'!$B$5)^(J7-1))</x:f>
        <x:v>524.8074602497728</x:v>
      </x:c>
      <x:c r="L7" s="31" t="n">
        <x:f>IF(E7=0,"",E7*K7)</x:f>
        <x:v>531582.9628934589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Large reef assoc. fish (&gt;=90 cm)</x:v>
      </x:c>
      <x:c r="B8" s="33" t="n">
        <x:v>4</x:v>
      </x:c>
      <x:c r="C8" s="33" t="n">
        <x:v>4</x:v>
      </x:c>
      <x:c r="D8" s="31" t="n">
        <x:v>34.4394762697</x:v>
      </x:c>
      <x:c r="E8" s="31" t="n">
        <x:v>34.4394762697</x:v>
      </x:c>
      <x:c r="F8" s="32" t="n">
        <x:v>0</x:v>
      </x:c>
      <x:c r="G8" s="34" t="n">
        <x:v>1</x:v>
      </x:c>
      <x:c r="H8" s="32" t="n">
        <x:f>IF(E8=0,"",I8/E8)</x:f>
        <x:v>1309.3918584504224</x:v>
      </x:c>
      <x:c r="I8" s="31" t="n">
        <x:f>IF(C8=0,"",SUMIF('Species'!$G$2:$G$121,A8,'Species'!$U$2:$U$121))</x:f>
        <x:v>45094.769836841704</x:v>
      </x:c>
      <x:c r="J8" s="32" t="n">
        <x:v>3.637554763951649</x:v>
      </x:c>
      <x:c r="K8" s="32" t="n">
        <x:f>IF(J8="","",(1/'Metadata'!$B$5)^(J8-1))</x:f>
        <x:v>434.0649952075673</x:v>
      </x:c>
      <x:c r="L8" s="31" t="n">
        <x:f>IF(E8=0,"",E8*K8)</x:f>
        <x:v>14948.971101958457</x:v>
      </x:c>
      <x:c r="M8" s="31" t="n">
        <x:f>IF(E8=0,"",I8-L8)</x:f>
        <x:v>30145.798734883247</x:v>
      </x:c>
      <x:c r="N8" s="32" t="n">
        <x:f>IF(L8=0,"",I8/L8)</x:f>
        <x:v>3.0165801732624837</x:v>
      </x:c>
      <x:c r="O8" s="34" t="n">
        <x:f>IF(L8=0,"",M8/L8)</x:f>
        <x:v>2.0165801732624837</x:v>
      </x:c>
    </x:row>
    <x:row r="9" ht="18" customHeight="1">
      <x:c r="A9" s="24" t="str">
        <x:v>Large sharks (&gt;=90 cm)</x:v>
      </x:c>
      <x:c r="B9" s="33" t="n">
        <x:v>10</x:v>
      </x:c>
      <x:c r="C9" s="33" t="n">
        <x:v>10</x:v>
      </x:c>
      <x:c r="D9" s="31" t="n">
        <x:v>1485.2459964005002</x:v>
      </x:c>
      <x:c r="E9" s="31" t="n">
        <x:v>1485.2459964005002</x:v>
      </x:c>
      <x:c r="F9" s="32" t="n">
        <x:v>0</x:v>
      </x:c>
      <x:c r="G9" s="34" t="n">
        <x:v>1</x:v>
      </x:c>
      <x:c r="H9" s="32" t="n">
        <x:f>IF(E9=0,"",I9/E9)</x:f>
        <x:v>1350.0954969039853</x:v>
      </x:c>
      <x:c r="I9" s="31" t="n">
        <x:f>IF(C9=0,"",SUMIF('Species'!$G$2:$G$121,A9,'Species'!$U$2:$U$121))</x:f>
        <x:v>2005223.931534988</x:v>
      </x:c>
      <x:c r="J9" s="32" t="n">
        <x:v>4.1175103931941734</x:v>
      </x:c>
      <x:c r="K9" s="32" t="n">
        <x:f>IF(J9="","",(1/'Metadata'!$B$5)^(J9-1))</x:f>
        <x:v>1310.7214091452531</x:v>
      </x:c>
      <x:c r="L9" s="31" t="n">
        <x:f>IF(E9=0,"",E9*K9)</x:f>
        <x:v>1946743.7253294091</x:v>
      </x:c>
      <x:c r="M9" s="31" t="n">
        <x:f>IF(E9=0,"",I9-L9)</x:f>
        <x:v>58480.20620557899</x:v>
      </x:c>
      <x:c r="N9" s="32" t="n">
        <x:f>IF(L9=0,"",I9/L9)</x:f>
        <x:v>1.0300400126861504</x:v>
      </x:c>
      <x:c r="O9" s="34" t="n">
        <x:f>IF(L9=0,"",M9/L9)</x:f>
        <x:v>0.030040012686150322</x:v>
      </x:c>
    </x:row>
    <x:row r="10" ht="18" customHeight="1">
      <x:c r="A10" s="24" t="str">
        <x:v>Lobsters, crabs</x:v>
      </x:c>
      <x:c r="B10" s="33" t="n">
        <x:v>4</x:v>
      </x:c>
      <x:c r="C10" s="33" t="n">
        <x:v>4</x:v>
      </x:c>
      <x:c r="D10" s="31" t="n">
        <x:v>666.7290165505</x:v>
      </x:c>
      <x:c r="E10" s="31" t="n">
        <x:v>666.7290165505</x:v>
      </x:c>
      <x:c r="F10" s="32" t="n">
        <x:v>0</x:v>
      </x:c>
      <x:c r="G10" s="34" t="n">
        <x:v>1</x:v>
      </x:c>
      <x:c r="H10" s="32" t="n">
        <x:f>IF(E10=0,"",I10/E10)</x:f>
        <x:v>149.21313841377273</x:v>
      </x:c>
      <x:c r="I10" s="31" t="n">
        <x:f>IF(C10=0,"",SUMIF('Species'!$G$2:$G$121,A10,'Species'!$U$2:$U$121))</x:f>
        <x:v>99484.72903102831</x:v>
      </x:c>
      <x:c r="J10" s="32" t="n">
        <x:v>3.1691066604284694</x:v>
      </x:c>
      <x:c r="K10" s="32" t="n">
        <x:f>IF(J10="","",(1/'Metadata'!$B$5)^(J10-1))</x:f>
        <x:v>147.60690035063894</x:v>
      </x:c>
      <x:c r="L10" s="31" t="n">
        <x:f>IF(E10=0,"",E10*K10)</x:f>
        <x:v>98413.80350684914</x:v>
      </x:c>
      <x:c r="M10" s="31" t="n">
        <x:f>IF(E10=0,"",I10-L10)</x:f>
        <x:v>1070.9255241791689</x:v>
      </x:c>
      <x:c r="N10" s="32" t="n">
        <x:f>IF(L10=0,"",I10/L10)</x:f>
        <x:v>1.010881862970621</x:v>
      </x:c>
      <x:c r="O10" s="34" t="n">
        <x:f>IF(L10=0,"",M10/L10)</x:f>
        <x:v>0.010881862970621162</x:v>
      </x:c>
    </x:row>
    <x:row r="11" ht="18" customHeight="1">
      <x:c r="A11" s="24" t="str">
        <x:v>Medium benthopelagics (30 - 89 cm)</x:v>
      </x:c>
      <x:c r="B11" s="33" t="n">
        <x:v>2</x:v>
      </x:c>
      <x:c r="C11" s="33" t="n">
        <x:v>2</x:v>
      </x:c>
      <x:c r="D11" s="31" t="n">
        <x:v>59.148048444699995</x:v>
      </x:c>
      <x:c r="E11" s="31" t="n">
        <x:v>59.148048444699995</x:v>
      </x:c>
      <x:c r="F11" s="32" t="n">
        <x:v>0</x:v>
      </x:c>
      <x:c r="G11" s="34" t="n">
        <x:v>1</x:v>
      </x:c>
      <x:c r="H11" s="32" t="n">
        <x:f>IF(E11=0,"",I11/E11)</x:f>
        <x:v>355.92917939960347</x:v>
      </x:c>
      <x:c r="I11" s="31" t="n">
        <x:f>IF(C11=0,"",SUMIF('Species'!$G$2:$G$121,A11,'Species'!$U$2:$U$121))</x:f>
        <x:v>21052.516346010063</x:v>
      </x:c>
      <x:c r="J11" s="32" t="n">
        <x:v>3.5369287655304325</x:v>
      </x:c>
      <x:c r="K11" s="32" t="n">
        <x:f>IF(J11="","",(1/'Metadata'!$B$5)^(J11-1))</x:f>
        <x:v>344.2934539392426</x:v>
      </x:c>
      <x:c r="L11" s="31" t="n">
        <x:f>IF(E11=0,"",E11*K11)</x:f>
        <x:v>20364.28589279141</x:v>
      </x:c>
      <x:c r="M11" s="31" t="n">
        <x:f>IF(E11=0,"",I11-L11)</x:f>
        <x:v>688.2304532186536</x:v>
      </x:c>
      <x:c r="N11" s="32" t="n">
        <x:f>IF(L11=0,"",I11/L11)</x:f>
        <x:v>1.033795953211513</x:v>
      </x:c>
      <x:c r="O11" s="34" t="n">
        <x:f>IF(L11=0,"",M11/L11)</x:f>
        <x:v>0.03379595321151304</x:v>
      </x:c>
    </x:row>
    <x:row r="12" ht="18" customHeight="1">
      <x:c r="A12" s="24" t="str">
        <x:v>Medium demersals (30 - 89 cm)</x:v>
      </x:c>
      <x:c r="B12" s="33" t="n">
        <x:v>11</x:v>
      </x:c>
      <x:c r="C12" s="33" t="n">
        <x:v>11</x:v>
      </x:c>
      <x:c r="D12" s="31" t="n">
        <x:v>7109.3996051673</x:v>
      </x:c>
      <x:c r="E12" s="31" t="n">
        <x:v>7109.3996051673</x:v>
      </x:c>
      <x:c r="F12" s="32" t="n">
        <x:v>0</x:v>
      </x:c>
      <x:c r="G12" s="34" t="n">
        <x:v>1</x:v>
      </x:c>
      <x:c r="H12" s="32" t="n">
        <x:f>IF(E12=0,"",I12/E12)</x:f>
        <x:v>207.17949974970966</x:v>
      </x:c>
      <x:c r="I12" s="31" t="n">
        <x:f>IF(C12=0,"",SUMIF('Species'!$G$2:$G$121,A12,'Species'!$U$2:$U$121))</x:f>
        <x:v>1472921.8537193446</x:v>
      </x:c>
      <x:c r="J12" s="32" t="n">
        <x:v>3.2983481881288337</x:v>
      </x:c>
      <x:c r="K12" s="32" t="n">
        <x:f>IF(J12="","",(1/'Metadata'!$B$5)^(J12-1))</x:f>
        <x:v>198.76878732637888</x:v>
      </x:c>
      <x:c r="L12" s="31" t="n">
        <x:f>IF(E12=0,"",E12*K12)</x:f>
        <x:v>1413126.738137741</x:v>
      </x:c>
      <x:c r="M12" s="31" t="n">
        <x:f>IF(E12=0,"",I12-L12)</x:f>
        <x:v>59795.11558160349</x:v>
      </x:c>
      <x:c r="N12" s="32" t="n">
        <x:f>IF(L12=0,"",I12/L12)</x:f>
        <x:v>1.0423140500903714</x:v>
      </x:c>
      <x:c r="O12" s="34" t="n">
        <x:f>IF(L12=0,"",M12/L12)</x:f>
        <x:v>0.042314050090371376</x:v>
      </x:c>
    </x:row>
    <x:row r="13" ht="18" customHeight="1">
      <x:c r="A13" s="24" t="str">
        <x:v>Medium pelagics (30 - 89 cm)</x:v>
      </x:c>
      <x:c r="B13" s="33" t="n">
        <x:v>5</x:v>
      </x:c>
      <x:c r="C13" s="33" t="n">
        <x:v>5</x:v>
      </x:c>
      <x:c r="D13" s="31" t="n">
        <x:v>3442.2293539828</x:v>
      </x:c>
      <x:c r="E13" s="31" t="n">
        <x:v>3442.2293539828</x:v>
      </x:c>
      <x:c r="F13" s="32" t="n">
        <x:v>0</x:v>
      </x:c>
      <x:c r="G13" s="34" t="n">
        <x:v>1</x:v>
      </x:c>
      <x:c r="H13" s="32" t="n">
        <x:f>IF(E13=0,"",I13/E13)</x:f>
        <x:v>908.7553933969239</x:v>
      </x:c>
      <x:c r="I13" s="31" t="n">
        <x:f>IF(C13=0,"",SUMIF('Species'!$G$2:$G$121,A13,'Species'!$U$2:$U$121))</x:f>
        <x:v>3128144.4907410787</x:v>
      </x:c>
      <x:c r="J13" s="32" t="n">
        <x:v>3.7047892332821335</x:v>
      </x:c>
      <x:c r="K13" s="32" t="n">
        <x:f>IF(J13="","",(1/'Metadata'!$B$5)^(J13-1))</x:f>
        <x:v>506.74472116922817</x:v>
      </x:c>
      <x:c r="L13" s="31" t="n">
        <x:f>IF(E13=0,"",E13*K13)</x:f>
        <x:v>1744331.5541845465</x:v>
      </x:c>
      <x:c r="M13" s="31" t="n">
        <x:f>IF(E13=0,"",I13-L13)</x:f>
        <x:v>1383812.9365565323</x:v>
      </x:c>
      <x:c r="N13" s="32" t="n">
        <x:f>IF(L13=0,"",I13/L13)</x:f>
        <x:v>1.793319901389646</x:v>
      </x:c>
      <x:c r="O13" s="34" t="n">
        <x:f>IF(L13=0,"",M13/L13)</x:f>
        <x:v>0.7933199013896459</x:v>
      </x:c>
    </x:row>
    <x:row r="14" ht="18" customHeight="1">
      <x:c r="A14" s="24" t="str">
        <x:v>Medium reef assoc. fish (30 - 89 cm)</x:v>
      </x:c>
      <x:c r="B14" s="33" t="n">
        <x:v>18</x:v>
      </x:c>
      <x:c r="C14" s="33" t="n">
        <x:v>18</x:v>
      </x:c>
      <x:c r="D14" s="31" t="n">
        <x:v>9045.674081684001</x:v>
      </x:c>
      <x:c r="E14" s="31" t="n">
        <x:v>9045.674081684001</x:v>
      </x:c>
      <x:c r="F14" s="32" t="n">
        <x:v>0</x:v>
      </x:c>
      <x:c r="G14" s="34" t="n">
        <x:v>1</x:v>
      </x:c>
      <x:c r="H14" s="32" t="n">
        <x:f>IF(E14=0,"",I14/E14)</x:f>
        <x:v>562.154639266451</x:v>
      </x:c>
      <x:c r="I14" s="31" t="n">
        <x:f>IF(C14=0,"",SUMIF('Species'!$G$2:$G$121,A14,'Species'!$U$2:$U$121))</x:f>
        <x:v>5085067.650310955</x:v>
      </x:c>
      <x:c r="J14" s="32" t="n">
        <x:v>3.1270380103758044</x:v>
      </x:c>
      <x:c r="K14" s="32" t="n">
        <x:f>IF(J14="","",(1/'Metadata'!$B$5)^(J14-1))</x:f>
        <x:v>133.97939439072314</x:v>
      </x:c>
      <x:c r="L14" s="31" t="n">
        <x:f>IF(E14=0,"",E14*K14)</x:f>
        <x:v>1211933.9353198833</x:v>
      </x:c>
      <x:c r="M14" s="31" t="n">
        <x:f>IF(E14=0,"",I14-L14)</x:f>
        <x:v>3873133.7149910717</x:v>
      </x:c>
      <x:c r="N14" s="32" t="n">
        <x:f>IF(L14=0,"",I14/L14)</x:f>
        <x:v>4.195829081202169</x:v>
      </x:c>
      <x:c r="O14" s="34" t="n">
        <x:f>IF(L14=0,"",M14/L14)</x:f>
        <x:v>3.1958290812021692</x:v>
      </x:c>
    </x:row>
    <x:row r="15" ht="18" customHeight="1">
      <x:c r="A15" s="24" t="str">
        <x:v>Other demersal invertebrates</x:v>
      </x:c>
      <x:c r="B15" s="33" t="n">
        <x:v>1</x:v>
      </x:c>
      <x:c r="C15" s="33" t="n">
        <x:v>1</x:v>
      </x:c>
      <x:c r="D15" s="31" t="n">
        <x:v>223.3383008566</x:v>
      </x:c>
      <x:c r="E15" s="31" t="n">
        <x:v>223.3383008566</x:v>
      </x:c>
      <x:c r="F15" s="32" t="n">
        <x:v>0</x:v>
      </x:c>
      <x:c r="G15" s="34" t="n">
        <x:v>1</x:v>
      </x:c>
      <x:c r="H15" s="32" t="n">
        <x:f>IF(E15=0,"",I15/E15)</x:f>
        <x:v>12.589254117941675</x:v>
      </x:c>
      <x:c r="I15" s="31" t="n">
        <x:f>IF(C15=0,"",SUMIF('Species'!$G$2:$G$121,A15,'Species'!$U$2:$U$121))</x:f>
        <x:v>2811.662623753048</x:v>
      </x:c>
      <x:c r="J15" s="32" t="n">
        <x:v>2.1</x:v>
      </x:c>
      <x:c r="K15" s="32" t="n">
        <x:f>IF(J15="","",(1/'Metadata'!$B$5)^(J15-1))</x:f>
        <x:v>12.589254117941675</x:v>
      </x:c>
      <x:c r="L15" s="31" t="n">
        <x:f>IF(E15=0,"",E15*K15)</x:f>
        <x:v>2811.662623753048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Shrimps</x:v>
      </x:c>
      <x:c r="B16" s="33" t="n">
        <x:v>10</x:v>
      </x:c>
      <x:c r="C16" s="33" t="n">
        <x:v>10</x:v>
      </x:c>
      <x:c r="D16" s="31" t="n">
        <x:v>381.6297787947</x:v>
      </x:c>
      <x:c r="E16" s="31" t="n">
        <x:v>381.6297787947</x:v>
      </x:c>
      <x:c r="F16" s="32" t="n">
        <x:v>0</x:v>
      </x:c>
      <x:c r="G16" s="34" t="n">
        <x:v>1</x:v>
      </x:c>
      <x:c r="H16" s="32" t="n">
        <x:f>IF(E16=0,"",I16/E16)</x:f>
        <x:v>49.11820209781382</x:v>
      </x:c>
      <x:c r="I16" s="31" t="n">
        <x:f>IF(C16=0,"",SUMIF('Species'!$G$2:$G$121,A16,'Species'!$U$2:$U$121))</x:f>
        <x:v>18744.968601382057</x:v>
      </x:c>
      <x:c r="J16" s="32" t="n">
        <x:v>2.668467063249568</x:v>
      </x:c>
      <x:c r="K16" s="32" t="n">
        <x:f>IF(J16="","",(1/'Metadata'!$B$5)^(J16-1))</x:f>
        <x:v>46.60870787709624</x:v>
      </x:c>
      <x:c r="L16" s="31" t="n">
        <x:f>IF(E16=0,"",E16*K16)</x:f>
        <x:v>17787.27087704303</x:v>
      </x:c>
      <x:c r="M16" s="31" t="n">
        <x:f>IF(E16=0,"",I16-L16)</x:f>
        <x:v>957.6977243390284</x:v>
      </x:c>
      <x:c r="N16" s="32" t="n">
        <x:f>IF(L16=0,"",I16/L16)</x:f>
        <x:v>1.053841746210492</x:v>
      </x:c>
      <x:c r="O16" s="34" t="n">
        <x:f>IF(L16=0,"",M16/L16)</x:f>
        <x:v>0.05384174621049212</x:v>
      </x:c>
    </x:row>
    <x:row r="17" ht="18" customHeight="1">
      <x:c r="A17" s="24" t="str">
        <x:v>Small benthopelagics (&lt;30 cm)</x:v>
      </x:c>
      <x:c r="B17" s="33" t="n">
        <x:v>6</x:v>
      </x:c>
      <x:c r="C17" s="33" t="n">
        <x:v>6</x:v>
      </x:c>
      <x:c r="D17" s="31" t="n">
        <x:v>420.61130967919996</x:v>
      </x:c>
      <x:c r="E17" s="31" t="n">
        <x:v>420.61130967919996</x:v>
      </x:c>
      <x:c r="F17" s="32" t="n">
        <x:v>0</x:v>
      </x:c>
      <x:c r="G17" s="34" t="n">
        <x:v>1</x:v>
      </x:c>
      <x:c r="H17" s="32" t="n">
        <x:f>IF(E17=0,"",I17/E17)</x:f>
        <x:v>124.61570228718402</x:v>
      </x:c>
      <x:c r="I17" s="31" t="n">
        <x:f>IF(C17=0,"",SUMIF('Species'!$G$2:$G$121,A17,'Species'!$U$2:$U$121))</x:f>
        <x:v>52414.773745605744</x:v>
      </x:c>
      <x:c r="J17" s="32" t="n">
        <x:v>3.075543544552552</x:v>
      </x:c>
      <x:c r="K17" s="32" t="n">
        <x:f>IF(J17="","",(1/'Metadata'!$B$5)^(J17-1))</x:f>
        <x:v>118.99906376347175</x:v>
      </x:c>
      <x:c r="L17" s="31" t="n">
        <x:f>IF(E17=0,"",E17*K17)</x:f>
        <x:v>50052.35206015248</x:v>
      </x:c>
      <x:c r="M17" s="31" t="n">
        <x:f>IF(E17=0,"",I17-L17)</x:f>
        <x:v>2362.421685453264</x:v>
      </x:c>
      <x:c r="N17" s="32" t="n">
        <x:f>IF(L17=0,"",I17/L17)</x:f>
        <x:v>1.047199014396249</x:v>
      </x:c>
      <x:c r="O17" s="34" t="n">
        <x:f>IF(L17=0,"",M17/L17)</x:f>
        <x:v>0.04719901439624908</x:v>
      </x:c>
    </x:row>
    <x:row r="18" ht="18" customHeight="1">
      <x:c r="A18" s="24" t="str">
        <x:v>Small demersals (&lt;30 cm)</x:v>
      </x:c>
      <x:c r="B18" s="33" t="n">
        <x:v>6</x:v>
      </x:c>
      <x:c r="C18" s="33" t="n">
        <x:v>6</x:v>
      </x:c>
      <x:c r="D18" s="31" t="n">
        <x:v>92.28234510380001</x:v>
      </x:c>
      <x:c r="E18" s="31" t="n">
        <x:v>92.28234510380001</x:v>
      </x:c>
      <x:c r="F18" s="32" t="n">
        <x:v>0</x:v>
      </x:c>
      <x:c r="G18" s="34" t="n">
        <x:v>1</x:v>
      </x:c>
      <x:c r="H18" s="32" t="n">
        <x:f>IF(E18=0,"",I18/E18)</x:f>
        <x:v>446.4530927693907</x:v>
      </x:c>
      <x:c r="I18" s="31" t="n">
        <x:f>IF(C18=0,"",SUMIF('Species'!$G$2:$G$121,A18,'Species'!$U$2:$U$121))</x:f>
        <x:v>41199.738379603754</x:v>
      </x:c>
      <x:c r="J18" s="32" t="n">
        <x:v>3.5123997549118506</x:v>
      </x:c>
      <x:c r="K18" s="32" t="n">
        <x:f>IF(J18="","",(1/'Metadata'!$B$5)^(J18-1))</x:f>
        <x:v>325.3866681525412</x:v>
      </x:c>
      <x:c r="L18" s="31" t="n">
        <x:f>IF(E18=0,"",E18*K18)</x:f>
        <x:v>30027.44480262846</x:v>
      </x:c>
      <x:c r="M18" s="31" t="n">
        <x:f>IF(E18=0,"",I18-L18)</x:f>
        <x:v>11172.293576975295</x:v>
      </x:c>
      <x:c r="N18" s="32" t="n">
        <x:f>IF(L18=0,"",I18/L18)</x:f>
        <x:v>1.372069406851339</x:v>
      </x:c>
      <x:c r="O18" s="34" t="n">
        <x:f>IF(L18=0,"",M18/L18)</x:f>
        <x:v>0.37206940685133905</x:v>
      </x:c>
    </x:row>
    <x:row r="19" ht="18" customHeight="1">
      <x:c r="A19" s="24" t="str">
        <x:v>Small pelagics (&lt;30 cm)</x:v>
      </x:c>
      <x:c r="B19" s="33" t="n">
        <x:v>9</x:v>
      </x:c>
      <x:c r="C19" s="33" t="n">
        <x:v>9</x:v>
      </x:c>
      <x:c r="D19" s="31" t="n">
        <x:v>1156.9840929606</x:v>
      </x:c>
      <x:c r="E19" s="31" t="n">
        <x:v>1156.9840929606</x:v>
      </x:c>
      <x:c r="F19" s="32" t="n">
        <x:v>0</x:v>
      </x:c>
      <x:c r="G19" s="34" t="n">
        <x:v>1</x:v>
      </x:c>
      <x:c r="H19" s="32" t="n">
        <x:f>IF(E19=0,"",I19/E19)</x:f>
        <x:v>154.98591289456306</x:v>
      </x:c>
      <x:c r="I19" s="31" t="n">
        <x:f>IF(C19=0,"",SUMIF('Species'!$G$2:$G$121,A19,'Species'!$U$2:$U$121))</x:f>
        <x:v>179316.2358519866</x:v>
      </x:c>
      <x:c r="J19" s="32" t="n">
        <x:v>3.177889994929107</x:v>
      </x:c>
      <x:c r="K19" s="32" t="n">
        <x:f>IF(J19="","",(1/'Metadata'!$B$5)^(J19-1))</x:f>
        <x:v>150.62254969155092</x:v>
      </x:c>
      <x:c r="L19" s="31" t="n">
        <x:f>IF(E19=0,"",E19*K19)</x:f>
        <x:v>174267.89403429194</x:v>
      </x:c>
      <x:c r="M19" s="31" t="n">
        <x:f>IF(E19=0,"",I19-L19)</x:f>
        <x:v>5048.341817694658</x:v>
      </x:c>
      <x:c r="N19" s="32" t="n">
        <x:f>IF(L19=0,"",I19/L19)</x:f>
        <x:v>1.0289688576640585</x:v>
      </x:c>
      <x:c r="O19" s="34" t="n">
        <x:f>IF(L19=0,"",M19/L19)</x:f>
        <x:v>0.028968857664058646</x:v>
      </x:c>
    </x:row>
    <x:row r="20" ht="18" customHeight="1">
      <x:c r="A20" s="24" t="str">
        <x:v>Small reef assoc. fish (&lt;30 cm)</x:v>
      </x:c>
      <x:c r="B20" s="33" t="n">
        <x:v>5</x:v>
      </x:c>
      <x:c r="C20" s="33" t="n">
        <x:v>5</x:v>
      </x:c>
      <x:c r="D20" s="31" t="n">
        <x:v>437.54587957459995</x:v>
      </x:c>
      <x:c r="E20" s="31" t="n">
        <x:v>437.54587957459995</x:v>
      </x:c>
      <x:c r="F20" s="32" t="n">
        <x:v>0</x:v>
      </x:c>
      <x:c r="G20" s="34" t="n">
        <x:v>1</x:v>
      </x:c>
      <x:c r="H20" s="32" t="n">
        <x:f>IF(E20=0,"",I20/E20)</x:f>
        <x:v>57.08075595080992</x:v>
      </x:c>
      <x:c r="I20" s="31" t="n">
        <x:f>IF(C20=0,"",SUMIF('Species'!$G$2:$G$121,A20,'Species'!$U$2:$U$121))</x:f>
        <x:v>24975.44956928021</x:v>
      </x:c>
      <x:c r="J20" s="32" t="n">
        <x:v>2.4112642852131887</x:v>
      </x:c>
      <x:c r="K20" s="32" t="n">
        <x:f>IF(J20="","",(1/'Metadata'!$B$5)^(J20-1))</x:f>
        <x:v>25.7788942652661</x:v>
      </x:c>
      <x:c r="L20" s="31" t="n">
        <x:f>IF(E20=0,"",E20*K20)</x:f>
        <x:v>11279.448965756466</x:v>
      </x:c>
      <x:c r="M20" s="31" t="n">
        <x:f>IF(E20=0,"",I20-L20)</x:f>
        <x:v>13696.000603523742</x:v>
      </x:c>
      <x:c r="N20" s="32" t="n">
        <x:f>IF(L20=0,"",I20/L20)</x:f>
        <x:v>2.214243767147113</x:v>
      </x:c>
      <x:c r="O20" s="34" t="n">
        <x:f>IF(L20=0,"",M20/L20)</x:f>
        <x:v>1.2142437671471134</x:v>
      </x:c>
    </x:row>
    <x:row r="21" ht="18" customHeight="1">
      <x:c r="A21" s="24" t="str">
        <x:v>Small to medium flatfishes (&lt;90 cm)</x:v>
      </x:c>
      <x:c r="B21" s="33" t="n">
        <x:v>2</x:v>
      </x:c>
      <x:c r="C21" s="33" t="n">
        <x:v>2</x:v>
      </x:c>
      <x:c r="D21" s="31" t="n">
        <x:v>90.5291171133</x:v>
      </x:c>
      <x:c r="E21" s="31" t="n">
        <x:v>90.5291171133</x:v>
      </x:c>
      <x:c r="F21" s="32" t="n">
        <x:v>0</x:v>
      </x:c>
      <x:c r="G21" s="34" t="n">
        <x:v>1</x:v>
      </x:c>
      <x:c r="H21" s="32" t="n">
        <x:f>IF(E21=0,"",I21/E21)</x:f>
        <x:v>538.6268528487958</x:v>
      </x:c>
      <x:c r="I21" s="31" t="n">
        <x:f>IF(C21=0,"",SUMIF('Species'!$G$2:$G$121,A21,'Species'!$U$2:$U$121))</x:f>
        <x:v>48761.41344191684</x:v>
      </x:c>
      <x:c r="J21" s="32" t="n">
        <x:v>3.635772303269035</x:v>
      </x:c>
      <x:c r="K21" s="32" t="n">
        <x:f>IF(J21="","",(1/'Metadata'!$B$5)^(J21-1))</x:f>
        <x:v>432.2871273180068</x:v>
      </x:c>
      <x:c r="L21" s="31" t="n">
        <x:f>IF(E21=0,"",E21*K21)</x:f>
        <x:v>39134.57197554387</x:v>
      </x:c>
      <x:c r="M21" s="31" t="n">
        <x:f>IF(E21=0,"",I21-L21)</x:f>
        <x:v>9626.84146637297</x:v>
      </x:c>
      <x:c r="N21" s="32" t="n">
        <x:f>IF(L21=0,"",I21/L21)</x:f>
        <x:v>1.245993273476685</x:v>
      </x:c>
      <x:c r="O21" s="34" t="n">
        <x:f>IF(L21=0,"",M21/L21)</x:f>
        <x:v>0.24599327347668487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42ecdcc7fa646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EEZ_404</x:v>
      </x:c>
      <x:c r="B2" s="24" t="str">
        <x:v>raw_filtered_tonnes</x:v>
      </x:c>
      <x:c r="C2" s="24" t="n">
        <x:v>30334.3358525884</x:v>
      </x:c>
      <x:c r="D2" s="24" t="str">
        <x:v>tonnes</x:v>
      </x:c>
    </x:row>
    <x:row r="3" ht="18" customHeight="1">
      <x:c r="A3" s="24" t="str">
        <x:v>EEZ_404</x:v>
      </x:c>
      <x:c r="B3" s="24" t="str">
        <x:v>species_catch_tonnes</x:v>
      </x:c>
      <x:c r="C3" s="24" t="n">
        <x:v>30334.335852588403</x:v>
      </x:c>
      <x:c r="D3" s="24" t="str">
        <x:v>tonnes</x:v>
      </x:c>
    </x:row>
    <x:row r="4" ht="18" customHeight="1">
      <x:c r="A4" s="24" t="str">
        <x:v>EEZ_404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EEZ_404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EEZ_404</x:v>
      </x:c>
      <x:c r="B6" s="24" t="str">
        <x:v>matched_catch_tonnes</x:v>
      </x:c>
      <x:c r="C6" s="24" t="n">
        <x:v>30334.335852588403</x:v>
      </x:c>
      <x:c r="D6" s="24" t="str">
        <x:v>tonnes</x:v>
      </x:c>
    </x:row>
    <x:row r="7" ht="18" customHeight="1">
      <x:c r="A7" s="24" t="str">
        <x:v>EEZ_404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EEZ_404</x:v>
      </x:c>
      <x:c r="B8" s="24" t="str">
        <x:v>taxa_count</x:v>
      </x:c>
      <x:c r="C8" s="24" t="n">
        <x:v>120</x:v>
      </x:c>
      <x:c r="D8" s="24" t="str">
        <x:v>count</x:v>
      </x:c>
    </x:row>
    <x:row r="9" ht="18" customHeight="1">
      <x:c r="A9" s="24" t="str">
        <x:v>EEZ_404</x:v>
      </x:c>
      <x:c r="B9" s="24" t="str">
        <x:v>matched_taxa_count</x:v>
      </x:c>
      <x:c r="C9" s="24" t="n">
        <x:v>120</x:v>
      </x:c>
      <x:c r="D9" s="24" t="str">
        <x:v>count</x:v>
      </x:c>
    </x:row>
    <x:row r="10" ht="18" customHeight="1">
      <x:c r="A10" s="24" t="str">
        <x:v>EEZ_404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EEZ_404</x:v>
      </x:c>
      <x:c r="B11" s="24" t="str">
        <x:v>species_ppr</x:v>
      </x:c>
      <x:c r="C11" s="24" t="n">
        <x:v>21699341.79872701</x:v>
      </x:c>
      <x:c r="D11" s="24" t="str">
        <x:v>tonnes_primary_production_equivalent</x:v>
      </x:c>
    </x:row>
    <x:row r="12" ht="18" customHeight="1">
      <x:c r="A12" s="24" t="str">
        <x:v>EEZ_404</x:v>
      </x:c>
      <x:c r="B12" s="24" t="str">
        <x:v>commercial_ppr</x:v>
      </x:c>
      <x:c r="C12" s="24" t="n">
        <x:v>21699341.798727013</x:v>
      </x:c>
      <x:c r="D12" s="24" t="str">
        <x:v>tonnes_primary_production_equivalent</x:v>
      </x:c>
    </x:row>
    <x:row r="13" ht="18" customHeight="1">
      <x:c r="A13" s="24" t="str">
        <x:v>EEZ_404</x:v>
      </x:c>
      <x:c r="B13" s="24" t="str">
        <x:v>functional_ppr</x:v>
      </x:c>
      <x:c r="C13" s="24" t="n">
        <x:v>21699341.798727013</x:v>
      </x:c>
      <x:c r="D13" s="24" t="str">
        <x:v>tonnes_primary_production_equivalent</x:v>
      </x:c>
    </x:row>
    <x:row r="14" ht="18" customHeight="1">
      <x:c r="A14" s="24" t="str">
        <x:v>EEZ_404</x:v>
      </x:c>
      <x:c r="B14" s="24" t="str">
        <x:v>commercial_ppr_difference</x:v>
      </x:c>
      <x:c r="C14" s="24" t="n">
        <x:v>3.725290298461914e-9</x:v>
      </x:c>
      <x:c r="D14" s="24" t="str">
        <x:v>tonnes_primary_production_equivalent</x:v>
      </x:c>
    </x:row>
    <x:row r="15" ht="18" customHeight="1">
      <x:c r="A15" s="24" t="str">
        <x:v>EEZ_404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EEZ_404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EEZ_404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EEZ_404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EEZ_404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b581569878e4d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EEZ_404 - Kenya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EEZ_404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