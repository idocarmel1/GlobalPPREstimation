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3e8eed285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ca97f47c6e346b2"/>
    <x:sheet xmlns:r="http://schemas.openxmlformats.org/officeDocument/2006/relationships" name="Commercial" sheetId="2" r:id="Rb8c818185e474189"/>
    <x:sheet xmlns:r="http://schemas.openxmlformats.org/officeDocument/2006/relationships" name="Functional" sheetId="3" r:id="Rcc9b9e906ff5489f"/>
    <x:sheet xmlns:r="http://schemas.openxmlformats.org/officeDocument/2006/relationships" name="Missing TL" sheetId="4" r:id="Rd223710eff3f4d22"/>
    <x:sheet xmlns:r="http://schemas.openxmlformats.org/officeDocument/2006/relationships" name="Validation" sheetId="5" r:id="R559a29e2e0c04574"/>
    <x:sheet xmlns:r="http://schemas.openxmlformats.org/officeDocument/2006/relationships" name="Metadata" sheetId="6" r:id="Rba0d38b4d06c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1ee1cac364a2b" /><Relationship Type="http://schemas.openxmlformats.org/officeDocument/2006/relationships/theme" Target="/xl/theme/theme1.xml" Id="R01cc9ea0df2346f8" /><Relationship Type="http://schemas.microsoft.com/office/2022/11/relationships/FeaturePropertyBag" Target="/xl/featurePropertyBag/featurePropertyBag.xml" Id="Rcd6257dd83bb41e0" /><Relationship Type="http://schemas.openxmlformats.org/officeDocument/2006/relationships/sharedStrings" Target="/xl/sharedStrings.xml" Id="Rd17f9626f3754bca" /><Relationship Type="http://schemas.openxmlformats.org/officeDocument/2006/relationships/worksheet" Target="/xl/worksheets/sheet1.xml" Id="R3ca97f47c6e346b2" /><Relationship Type="http://schemas.openxmlformats.org/officeDocument/2006/relationships/worksheet" Target="/xl/worksheets/sheet2.xml" Id="Rb8c818185e474189" /><Relationship Type="http://schemas.openxmlformats.org/officeDocument/2006/relationships/worksheet" Target="/xl/worksheets/sheet3.xml" Id="Rcc9b9e906ff5489f" /><Relationship Type="http://schemas.openxmlformats.org/officeDocument/2006/relationships/worksheet" Target="/xl/worksheets/sheet4.xml" Id="Rd223710eff3f4d22" /><Relationship Type="http://schemas.openxmlformats.org/officeDocument/2006/relationships/worksheet" Target="/xl/worksheets/sheet5.xml" Id="R559a29e2e0c04574" /><Relationship Type="http://schemas.openxmlformats.org/officeDocument/2006/relationships/worksheet" Target="/xl/worksheets/sheet6.xml" Id="Rba0d38b4d06c4b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42SpeciesTable" displayName="EEZ642SpeciesTable" ref="A1:U17" headerRowCount="1" totalsRowCount="0" totalsRowShown="0">
  <x:autoFilter ref="A1:U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42CommercialTable" displayName="EEZ642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42FunctionalTable" displayName="EEZ642FunctionalTable" ref="A1:O11" headerRowCount="1" totalsRowCount="0" totalsRowShown="0">
  <x:autoFilter ref="A1:O1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42ValidationTable" displayName="EEZ64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198b0d0e354a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ca7fcc354446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f55f8578194c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78c433d77740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EEZ_642</x:v>
      </x:c>
      <x:c r="B2" s="24" t="str">
        <x:v>Romania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6818.893495030799</x:v>
      </x:c>
      <x:c r="J2" s="31" t="n">
        <x:v>6818.8900000001995</x:v>
      </x:c>
      <x:c r="K2" s="31" t="n">
        <x:v>0.0034950306</x:v>
      </x:c>
      <x:c r="L2" s="31" t="n">
        <x:v>6818.8900000001995</x:v>
      </x:c>
      <x:c r="M2" s="31" t="n">
        <x:v>0.0034950306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1299313.3694756296</x:v>
      </x:c>
    </x:row>
    <x:row r="3" ht="18" customHeight="1">
      <x:c r="A3" s="24" t="str">
        <x:v>EEZ_642</x:v>
      </x:c>
      <x:c r="B3" s="24" t="str">
        <x:v>Romania</x:v>
      </x:c>
      <x:c r="C3" s="24" t="str">
        <x:v>EEZ</x:v>
      </x:c>
      <x:c r="D3" s="30" t="n">
        <x:v>2019</x:v>
      </x:c>
      <x:c r="E3" s="24" t="str">
        <x:v>Scophthalmus maximus</x:v>
      </x:c>
      <x:c r="F3" s="24" t="str">
        <x:v>Turbot</x:v>
      </x:c>
      <x:c r="G3" s="24" t="str">
        <x:v>Large flatfishes (&gt;=90 cm)</x:v>
      </x:c>
      <x:c r="H3" s="24" t="str">
        <x:v>Flatfishes</x:v>
      </x:c>
      <x:c r="I3" s="31" t="n">
        <x:v>392.78063118079996</x:v>
      </x:c>
      <x:c r="J3" s="31" t="n">
        <x:v>392.78063118079996</x:v>
      </x:c>
      <x:c r="K3" s="31" t="n">
        <x:v>0</x:v>
      </x:c>
      <x:c r="L3" s="31" t="n">
        <x:v>53.68</x:v>
      </x:c>
      <x:c r="M3" s="31" t="n">
        <x:v>339.1006311808</x:v>
      </x:c>
      <x:c r="N3" s="24" t="str">
        <x:v>scophthalmus maximus</x:v>
      </x:c>
      <x:c r="O3" s="32" t="n">
        <x:v>4.36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Scophthalmus maximus</x:v>
      </x:c>
      <x:c r="T3" s="32" t="n">
        <x:f>IF(O3="","",(1/'Metadata'!$B$5)^(O3-1))</x:f>
        <x:v>2290.867652767775</x:v>
      </x:c>
      <x:c r="U3" s="31" t="n">
        <x:f>IF(T3="","",I3*T3)</x:f>
        <x:v>899808.4426058043</x:v>
      </x:c>
    </x:row>
    <x:row r="4" ht="18" customHeight="1">
      <x:c r="A4" s="24" t="str">
        <x:v>EEZ_642</x:v>
      </x:c>
      <x:c r="B4" s="24" t="str">
        <x:v>Romania</x:v>
      </x:c>
      <x:c r="C4" s="24" t="str">
        <x:v>EEZ</x:v>
      </x:c>
      <x:c r="D4" s="30" t="n">
        <x:v>2019</x:v>
      </x:c>
      <x:c r="E4" s="24" t="str">
        <x:v>Gobiidae</x:v>
      </x:c>
      <x:c r="F4" s="24" t="str">
        <x:v>Gobies</x:v>
      </x:c>
      <x:c r="G4" s="24" t="str">
        <x:v>Small reef assoc. fish (&lt;30 cm)</x:v>
      </x:c>
      <x:c r="H4" s="24" t="str">
        <x:v>Perch-likes</x:v>
      </x:c>
      <x:c r="I4" s="31" t="n">
        <x:v>230.1273194682</x:v>
      </x:c>
      <x:c r="J4" s="31" t="n">
        <x:v>230.1273194682</x:v>
      </x:c>
      <x:c r="K4" s="31" t="n">
        <x:v>0</x:v>
      </x:c>
      <x:c r="L4" s="31" t="n">
        <x:v>10.97</x:v>
      </x:c>
      <x:c r="M4" s="31" t="n">
        <x:v>219.1573194682</x:v>
      </x:c>
      <x:c r="N4" s="24" t="str">
        <x:v>gobiidae</x:v>
      </x:c>
      <x:c r="O4" s="32" t="n">
        <x:v>3.11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Gobiidae</x:v>
      </x:c>
      <x:c r="T4" s="32" t="n">
        <x:f>IF(O4="","",(1/'Metadata'!$B$5)^(O4-1))</x:f>
        <x:v>128.82495516931337</x:v>
      </x:c>
      <x:c r="U4" s="31" t="n">
        <x:f>IF(T4="","",I4*T4)</x:f>
        <x:v>29646.14161372512</x:v>
      </x:c>
    </x:row>
    <x:row r="5" ht="18" customHeight="1">
      <x:c r="A5" s="24" t="str">
        <x:v>EEZ_642</x:v>
      </x:c>
      <x:c r="B5" s="24" t="str">
        <x:v>Romania</x:v>
      </x:c>
      <x:c r="C5" s="24" t="str">
        <x:v>EEZ</x:v>
      </x:c>
      <x:c r="D5" s="30" t="n">
        <x:v>2019</x:v>
      </x:c>
      <x:c r="E5" s="24" t="str">
        <x:v>Mugilidae</x:v>
      </x:c>
      <x:c r="F5" s="24" t="str">
        <x:v>Mullets, grey mullets</x:v>
      </x:c>
      <x:c r="G5" s="24" t="str">
        <x:v>Medium reef assoc. fish (30 - 89 cm)</x:v>
      </x:c>
      <x:c r="H5" s="24" t="str">
        <x:v>Perch-likes</x:v>
      </x:c>
      <x:c r="I5" s="31" t="n">
        <x:v>220.2173194682</x:v>
      </x:c>
      <x:c r="J5" s="31" t="n">
        <x:v>220.2173194682</x:v>
      </x:c>
      <x:c r="K5" s="31" t="n">
        <x:v>0</x:v>
      </x:c>
      <x:c r="L5" s="31" t="n">
        <x:v>1.06</x:v>
      </x:c>
      <x:c r="M5" s="31" t="n">
        <x:v>219.1573194682</x:v>
      </x:c>
      <x:c r="N5" s="24" t="str">
        <x:v>mugilidae</x:v>
      </x:c>
      <x:c r="O5" s="32" t="n">
        <x:v>2.53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Mugilidae</x:v>
      </x:c>
      <x:c r="T5" s="32" t="n">
        <x:f>IF(O5="","",(1/'Metadata'!$B$5)^(O5-1))</x:f>
        <x:v>33.88441561392024</x:v>
      </x:c>
      <x:c r="U5" s="31" t="n">
        <x:f>IF(T5="","",I5*T5)</x:f>
        <x:v>7461.935178243938</x:v>
      </x:c>
    </x:row>
    <x:row r="6" ht="18" customHeight="1">
      <x:c r="A6" s="24" t="str">
        <x:v>EEZ_642</x:v>
      </x:c>
      <x:c r="B6" s="24" t="str">
        <x:v>Romania</x:v>
      </x:c>
      <x:c r="C6" s="24" t="str">
        <x:v>EEZ</x:v>
      </x:c>
      <x:c r="D6" s="30" t="n">
        <x:v>2019</x:v>
      </x:c>
      <x:c r="E6" s="24" t="str">
        <x:v>Mytilus galloprovincialis</x:v>
      </x:c>
      <x:c r="F6" s="24" t="str">
        <x:v>Mediterranean mussel</x:v>
      </x:c>
      <x:c r="G6" s="24" t="str">
        <x:v>Other demersal invertebrates</x:v>
      </x:c>
      <x:c r="H6" s="24" t="str">
        <x:v>Molluscs</x:v>
      </x:c>
      <x:c r="I6" s="31" t="n">
        <x:v>158.5</x:v>
      </x:c>
      <x:c r="J6" s="31" t="n">
        <x:v>158.5</x:v>
      </x:c>
      <x:c r="K6" s="31" t="n">
        <x:v>0</x:v>
      </x:c>
      <x:c r="L6" s="31" t="n">
        <x:v>158.5</x:v>
      </x:c>
      <x:c r="M6" s="31" t="n">
        <x:v>0</x:v>
      </x:c>
      <x:c r="N6" s="24" t="str">
        <x:v>mytilus galloprovincialis</x:v>
      </x:c>
      <x:c r="O6" s="32" t="n">
        <x:v>2.69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Mytilus galloprovincialis</x:v>
      </x:c>
      <x:c r="T6" s="32" t="n">
        <x:f>IF(O6="","",(1/'Metadata'!$B$5)^(O6-1))</x:f>
        <x:v>48.97788193684461</x:v>
      </x:c>
      <x:c r="U6" s="31" t="n">
        <x:f>IF(T6="","",I6*T6)</x:f>
        <x:v>7762.9942869898705</x:v>
      </x:c>
    </x:row>
    <x:row r="7" ht="18" customHeight="1">
      <x:c r="A7" s="24" t="str">
        <x:v>EEZ_642</x:v>
      </x:c>
      <x:c r="B7" s="24" t="str">
        <x:v>Romania</x:v>
      </x:c>
      <x:c r="C7" s="24" t="str">
        <x:v>EEZ</x:v>
      </x:c>
      <x:c r="D7" s="30" t="n">
        <x:v>2019</x:v>
      </x:c>
      <x:c r="E7" s="24" t="str">
        <x:v>Trachurus mediterraneus</x:v>
      </x:c>
      <x:c r="F7" s="24" t="str">
        <x:v>Mediterranean horse mackerel</x:v>
      </x:c>
      <x:c r="G7" s="24" t="str">
        <x:v>Medium pelagics (30 - 89 cm)</x:v>
      </x:c>
      <x:c r="H7" s="24" t="str">
        <x:v>Perch-likes</x:v>
      </x:c>
      <x:c r="I7" s="31" t="n">
        <x:v>138.7132554956</x:v>
      </x:c>
      <x:c r="J7" s="31" t="n">
        <x:v>138.7132554956</x:v>
      </x:c>
      <x:c r="K7" s="31" t="n">
        <x:v>0</x:v>
      </x:c>
      <x:c r="L7" s="31" t="n">
        <x:v>17.599999999999998</x:v>
      </x:c>
      <x:c r="M7" s="31" t="n">
        <x:v>121.1132554956</x:v>
      </x:c>
      <x:c r="N7" s="24" t="str">
        <x:v>trachurus mediterraneus</x:v>
      </x:c>
      <x:c r="O7" s="32" t="n">
        <x:v>3.77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Trachurus mediterraneus</x:v>
      </x:c>
      <x:c r="T7" s="32" t="n">
        <x:f>IF(O7="","",(1/'Metadata'!$B$5)^(O7-1))</x:f>
        <x:v>588.843655355589</x:v>
      </x:c>
      <x:c r="U7" s="31" t="n">
        <x:f>IF(T7="","",I7*T7)</x:f>
        <x:v>81680.42041230286</x:v>
      </x:c>
    </x:row>
    <x:row r="8" ht="18" customHeight="1">
      <x:c r="A8" s="24" t="str">
        <x:v>EEZ_642</x:v>
      </x:c>
      <x:c r="B8" s="24" t="str">
        <x:v>Romania</x:v>
      </x:c>
      <x:c r="C8" s="24" t="str">
        <x:v>EEZ</x:v>
      </x:c>
      <x:c r="D8" s="30" t="n">
        <x:v>2019</x:v>
      </x:c>
      <x:c r="E8" s="24" t="str">
        <x:v>Engraulis encrasicolus</x:v>
      </x:c>
      <x:c r="F8" s="24" t="str">
        <x:v>European anchovy</x:v>
      </x:c>
      <x:c r="G8" s="24" t="str">
        <x:v>Small pelagics (&lt;30 cm)</x:v>
      </x:c>
      <x:c r="H8" s="24" t="str">
        <x:v>Anchovies</x:v>
      </x:c>
      <x:c r="I8" s="31" t="n">
        <x:v>71.0762269602</x:v>
      </x:c>
      <x:c r="J8" s="31" t="n">
        <x:v>47.44</x:v>
      </x:c>
      <x:c r="K8" s="31" t="n">
        <x:v>23.6362269602</x:v>
      </x:c>
      <x:c r="L8" s="31" t="n">
        <x:v>47.44</x:v>
      </x:c>
      <x:c r="M8" s="31" t="n">
        <x:v>23.6362269602</x:v>
      </x:c>
      <x:c r="N8" s="24" t="str">
        <x:v>engraulis encrasicolus</x:v>
      </x:c>
      <x:c r="O8" s="32" t="n">
        <x:v>3.11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Engraulis encrasicolus</x:v>
      </x:c>
      <x:c r="T8" s="32" t="n">
        <x:f>IF(O8="","",(1/'Metadata'!$B$5)^(O8-1))</x:f>
        <x:v>128.82495516931337</x:v>
      </x:c>
      <x:c r="U8" s="31" t="n">
        <x:f>IF(T8="","",I8*T8)</x:f>
        <x:v>9156.391751751707</x:v>
      </x:c>
    </x:row>
    <x:row r="9" ht="18" customHeight="1">
      <x:c r="A9" s="24" t="str">
        <x:v>EEZ_642</x:v>
      </x:c>
      <x:c r="B9" s="24" t="str">
        <x:v>Romania</x:v>
      </x:c>
      <x:c r="C9" s="24" t="str">
        <x:v>EEZ</x:v>
      </x:c>
      <x:c r="D9" s="30" t="n">
        <x:v>2019</x:v>
      </x:c>
      <x:c r="E9" s="24" t="str">
        <x:v>Sprattus sprattus</x:v>
      </x:c>
      <x:c r="F9" s="24" t="str">
        <x:v>European sprat</x:v>
      </x:c>
      <x:c r="G9" s="24" t="str">
        <x:v>Small pelagics (&lt;30 cm)</x:v>
      </x:c>
      <x:c r="H9" s="24" t="str">
        <x:v>Herring-likes</x:v>
      </x:c>
      <x:c r="I9" s="31" t="n">
        <x:v>36.1406616402</x:v>
      </x:c>
      <x:c r="J9" s="31" t="n">
        <x:v>8.9200000001</x:v>
      </x:c>
      <x:c r="K9" s="31" t="n">
        <x:v>27.2206616401</x:v>
      </x:c>
      <x:c r="L9" s="31" t="n">
        <x:v>8.9200000001</x:v>
      </x:c>
      <x:c r="M9" s="31" t="n">
        <x:v>27.2206616401</x:v>
      </x:c>
      <x:c r="N9" s="24" t="str">
        <x:v>sprattus sprattus</x:v>
      </x:c>
      <x:c r="O9" s="32" t="n">
        <x:v>3.01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Sprattus sprattus</x:v>
      </x:c>
      <x:c r="T9" s="32" t="n">
        <x:f>IF(O9="","",(1/'Metadata'!$B$5)^(O9-1))</x:f>
        <x:v>102.32929922807536</x:v>
      </x:c>
      <x:c r="U9" s="31" t="n">
        <x:f>IF(T9="","",I9*T9)</x:f>
        <x:v>3698.2485792806506</x:v>
      </x:c>
    </x:row>
    <x:row r="10" ht="18" customHeight="1">
      <x:c r="A10" s="24" t="str">
        <x:v>EEZ_642</x:v>
      </x:c>
      <x:c r="B10" s="24" t="str">
        <x:v>Romania</x:v>
      </x:c>
      <x:c r="C10" s="24" t="str">
        <x:v>EEZ</x:v>
      </x:c>
      <x:c r="D10" s="30" t="n">
        <x:v>2019</x:v>
      </x:c>
      <x:c r="E10" s="24" t="str">
        <x:v>Alosa immaculata</x:v>
      </x:c>
      <x:c r="F10" s="24" t="str">
        <x:v>Pontic shad</x:v>
      </x:c>
      <x:c r="G10" s="24" t="str">
        <x:v>Medium pelagics (30 - 89 cm)</x:v>
      </x:c>
      <x:c r="H10" s="24" t="str">
        <x:v>Herring-likes</x:v>
      </x:c>
      <x:c r="I10" s="31" t="n">
        <x:v>19.659999999999997</x:v>
      </x:c>
      <x:c r="J10" s="31" t="n">
        <x:v>19.659999999999997</x:v>
      </x:c>
      <x:c r="K10" s="31" t="n">
        <x:v>0</x:v>
      </x:c>
      <x:c r="L10" s="31" t="n">
        <x:v>19.659999999999997</x:v>
      </x:c>
      <x:c r="M10" s="31" t="n">
        <x:v>0</x:v>
      </x:c>
      <x:c r="N10" s="24" t="str">
        <x:v>alosa immaculata</x:v>
      </x:c>
      <x:c r="O10" s="32" t="n">
        <x:v>3.98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Alosa immaculata</x:v>
      </x:c>
      <x:c r="T10" s="32" t="n">
        <x:f>IF(O10="","",(1/'Metadata'!$B$5)^(O10-1))</x:f>
        <x:v>954.992586021436</x:v>
      </x:c>
      <x:c r="U10" s="31" t="n">
        <x:f>IF(T10="","",I10*T10)</x:f>
        <x:v>18775.154241181426</x:v>
      </x:c>
    </x:row>
    <x:row r="11" ht="18" customHeight="1">
      <x:c r="A11" s="24" t="str">
        <x:v>EEZ_642</x:v>
      </x:c>
      <x:c r="B11" s="24" t="str">
        <x:v>Romania</x:v>
      </x:c>
      <x:c r="C11" s="24" t="str">
        <x:v>EEZ</x:v>
      </x:c>
      <x:c r="D11" s="30" t="n">
        <x:v>2019</x:v>
      </x:c>
      <x:c r="E11" s="24" t="str">
        <x:v>Sarda sarda</x:v>
      </x:c>
      <x:c r="F11" s="24" t="str">
        <x:v>Atlantic bonito</x:v>
      </x:c>
      <x:c r="G11" s="24" t="str">
        <x:v>Medium pelagics (30 - 89 cm)</x:v>
      </x:c>
      <x:c r="H11" s="24" t="str">
        <x:v>Tuna &amp; billfishes</x:v>
      </x:c>
      <x:c r="I11" s="31" t="n">
        <x:v>12.5347741948</x:v>
      </x:c>
      <x:c r="J11" s="31" t="n">
        <x:v>12.5347741948</x:v>
      </x:c>
      <x:c r="K11" s="31" t="n">
        <x:v>0</x:v>
      </x:c>
      <x:c r="L11" s="31" t="n">
        <x:v>6.7674763141</x:v>
      </x:c>
      <x:c r="M11" s="31" t="n">
        <x:v>5.7672978807</x:v>
      </x:c>
      <x:c r="N11" s="24" t="str">
        <x:v>sarda sarda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Sarda sarda</x:v>
      </x:c>
      <x:c r="T11" s="32" t="n">
        <x:f>IF(O11="","",(1/'Metadata'!$B$5)^(O11-1))</x:f>
        <x:v>3162.2776601683795</x:v>
      </x:c>
      <x:c r="U11" s="31" t="n">
        <x:f>IF(T11="","",I11*T11)</x:f>
        <x:v>39638.43641147113</x:v>
      </x:c>
    </x:row>
    <x:row r="12" ht="18" customHeight="1">
      <x:c r="A12" s="24" t="str">
        <x:v>EEZ_642</x:v>
      </x:c>
      <x:c r="B12" s="24" t="str">
        <x:v>Romania</x:v>
      </x:c>
      <x:c r="C12" s="24" t="str">
        <x:v>EEZ</x:v>
      </x:c>
      <x:c r="D12" s="30" t="n">
        <x:v>2019</x:v>
      </x:c>
      <x:c r="E12" s="24" t="str">
        <x:v>Pomatomus saltatrix</x:v>
      </x:c>
      <x:c r="F12" s="24" t="str">
        <x:v>Bluefish</x:v>
      </x:c>
      <x:c r="G12" s="24" t="str">
        <x:v>Large pelagics (&gt;=90 cm)</x:v>
      </x:c>
      <x:c r="H12" s="24" t="str">
        <x:v>Perch-likes</x:v>
      </x:c>
      <x:c r="I12" s="31" t="n">
        <x:v>6.2972978807</x:v>
      </x:c>
      <x:c r="J12" s="31" t="n">
        <x:v>6.2972978807</x:v>
      </x:c>
      <x:c r="K12" s="31" t="n">
        <x:v>0</x:v>
      </x:c>
      <x:c r="L12" s="31" t="n">
        <x:v>0.53</x:v>
      </x:c>
      <x:c r="M12" s="31" t="n">
        <x:v>5.7672978807</x:v>
      </x:c>
      <x:c r="N12" s="24" t="str">
        <x:v>pomatomus saltatrix</x:v>
      </x:c>
      <x:c r="O12" s="32" t="n">
        <x:v>4.53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Pomatomus saltatrix</x:v>
      </x:c>
      <x:c r="T12" s="32" t="n">
        <x:f>IF(O12="","",(1/'Metadata'!$B$5)^(O12-1))</x:f>
        <x:v>3388.4415613920273</x:v>
      </x:c>
      <x:c r="U12" s="31" t="n">
        <x:f>IF(T12="","",I12*T12)</x:f>
        <x:v>21338.025863429815</x:v>
      </x:c>
    </x:row>
    <x:row r="13" ht="18" customHeight="1">
      <x:c r="A13" s="24" t="str">
        <x:v>EEZ_642</x:v>
      </x:c>
      <x:c r="B13" s="24" t="str">
        <x:v>Romania</x:v>
      </x:c>
      <x:c r="C13" s="24" t="str">
        <x:v>EEZ</x:v>
      </x:c>
      <x:c r="D13" s="30" t="n">
        <x:v>2019</x:v>
      </x:c>
      <x:c r="E13" s="24" t="str">
        <x:v>Belone belone</x:v>
      </x:c>
      <x:c r="F13" s="24" t="str">
        <x:v>Garfish</x:v>
      </x:c>
      <x:c r="G13" s="24" t="str">
        <x:v>Medium pelagics (30 - 89 cm)</x:v>
      </x:c>
      <x:c r="H13" s="24" t="str">
        <x:v>Other fishes &amp; inverts</x:v>
      </x:c>
      <x:c r="I13" s="31" t="n">
        <x:v>4.56</x:v>
      </x:c>
      <x:c r="J13" s="31" t="n">
        <x:v>4.56</x:v>
      </x:c>
      <x:c r="K13" s="31" t="n">
        <x:v>0</x:v>
      </x:c>
      <x:c r="L13" s="31" t="n">
        <x:v>4.56</x:v>
      </x:c>
      <x:c r="M13" s="31" t="n">
        <x:v>0</x:v>
      </x:c>
      <x:c r="N13" s="24" t="str">
        <x:v>belone belone</x:v>
      </x:c>
      <x:c r="O13" s="32" t="n">
        <x:v>4.16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Belone belone</x:v>
      </x:c>
      <x:c r="T13" s="32" t="n">
        <x:f>IF(O13="","",(1/'Metadata'!$B$5)^(O13-1))</x:f>
        <x:v>1445.439770745928</x:v>
      </x:c>
      <x:c r="U13" s="31" t="n">
        <x:f>IF(T13="","",I13*T13)</x:f>
        <x:v>6591.205354601431</x:v>
      </x:c>
    </x:row>
    <x:row r="14" ht="18" customHeight="1">
      <x:c r="A14" s="24" t="str">
        <x:v>EEZ_642</x:v>
      </x:c>
      <x:c r="B14" s="24" t="str">
        <x:v>Romania</x:v>
      </x:c>
      <x:c r="C14" s="24" t="str">
        <x:v>EEZ</x:v>
      </x:c>
      <x:c r="D14" s="30" t="n">
        <x:v>2019</x:v>
      </x:c>
      <x:c r="E14" s="24" t="str">
        <x:v>Mullidae</x:v>
      </x:c>
      <x:c r="F14" s="24" t="str">
        <x:v>Goatfishes</x:v>
      </x:c>
      <x:c r="G14" s="24" t="str">
        <x:v>Medium reef assoc. fish (30 - 89 cm)</x:v>
      </x:c>
      <x:c r="H14" s="24" t="str">
        <x:v>Perch-likes</x:v>
      </x:c>
      <x:c r="I14" s="31" t="n">
        <x:v>4</x:v>
      </x:c>
      <x:c r="J14" s="31" t="n">
        <x:v>4</x:v>
      </x:c>
      <x:c r="K14" s="31" t="n">
        <x:v>0</x:v>
      </x:c>
      <x:c r="L14" s="31" t="n">
        <x:v>4</x:v>
      </x:c>
      <x:c r="M14" s="31" t="n">
        <x:v>0</x:v>
      </x:c>
      <x:c r="N14" s="24" t="str">
        <x:v>mullidae</x:v>
      </x:c>
      <x:c r="O14" s="32" t="n">
        <x:v>3.46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Mullidae</x:v>
      </x:c>
      <x:c r="T14" s="32" t="n">
        <x:f>IF(O14="","",(1/'Metadata'!$B$5)^(O14-1))</x:f>
        <x:v>288.40315031266056</x:v>
      </x:c>
      <x:c r="U14" s="31" t="n">
        <x:f>IF(T14="","",I14*T14)</x:f>
        <x:v>1153.6126012506422</x:v>
      </x:c>
    </x:row>
    <x:row r="15" ht="18" customHeight="1">
      <x:c r="A15" s="24" t="str">
        <x:v>EEZ_642</x:v>
      </x:c>
      <x:c r="B15" s="24" t="str">
        <x:v>Romania</x:v>
      </x:c>
      <x:c r="C15" s="24" t="str">
        <x:v>EEZ</x:v>
      </x:c>
      <x:c r="D15" s="30" t="n">
        <x:v>2019</x:v>
      </x:c>
      <x:c r="E15" s="24" t="str">
        <x:v>Merlangius merlangus</x:v>
      </x:c>
      <x:c r="F15" s="24" t="str">
        <x:v>Whiting</x:v>
      </x:c>
      <x:c r="G15" s="24" t="str">
        <x:v>Medium benthopelagics (30 - 89 cm)</x:v>
      </x:c>
      <x:c r="H15" s="24" t="str">
        <x:v>Cod-likes</x:v>
      </x:c>
      <x:c r="I15" s="31" t="n">
        <x:v>1.8599999998</x:v>
      </x:c>
      <x:c r="J15" s="31" t="n">
        <x:v>1.8599999998</x:v>
      </x:c>
      <x:c r="K15" s="31" t="n">
        <x:v>0</x:v>
      </x:c>
      <x:c r="L15" s="31" t="n">
        <x:v>1.8599999998</x:v>
      </x:c>
      <x:c r="M15" s="31" t="n">
        <x:v>0</x:v>
      </x:c>
      <x:c r="N15" s="24" t="str">
        <x:v>merlangius merlangus</x:v>
      </x:c>
      <x:c r="O15" s="32" t="n">
        <x:v>4.36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Merlangius merlangus</x:v>
      </x:c>
      <x:c r="T15" s="32" t="n">
        <x:f>IF(O15="","",(1/'Metadata'!$B$5)^(O15-1))</x:f>
        <x:v>2290.867652767775</x:v>
      </x:c>
      <x:c r="U15" s="31" t="n">
        <x:f>IF(T15="","",I15*T15)</x:f>
        <x:v>4261.013833689888</x:v>
      </x:c>
    </x:row>
    <x:row r="16" ht="18" customHeight="1">
      <x:c r="A16" s="24" t="str">
        <x:v>EEZ_642</x:v>
      </x:c>
      <x:c r="B16" s="24" t="str">
        <x:v>Romania</x:v>
      </x:c>
      <x:c r="C16" s="24" t="str">
        <x:v>EEZ</x:v>
      </x:c>
      <x:c r="D16" s="30" t="n">
        <x:v>2019</x:v>
      </x:c>
      <x:c r="E16" s="24" t="str">
        <x:v>Dasyatis pastinaca</x:v>
      </x:c>
      <x:c r="F16" s="24" t="str">
        <x:v>Common stingray</x:v>
      </x:c>
      <x:c r="G16" s="24" t="str">
        <x:v>Large rays (&gt;=90 cm)</x:v>
      </x:c>
      <x:c r="H16" s="24" t="str">
        <x:v>Sharks &amp; rays</x:v>
      </x:c>
      <x:c r="I16" s="31" t="n">
        <x:v>1.01</x:v>
      </x:c>
      <x:c r="J16" s="31" t="n">
        <x:v>1.01</x:v>
      </x:c>
      <x:c r="K16" s="31" t="n">
        <x:v>0</x:v>
      </x:c>
      <x:c r="L16" s="31" t="n">
        <x:v>1.01</x:v>
      </x:c>
      <x:c r="M16" s="31" t="n">
        <x:v>0</x:v>
      </x:c>
      <x:c r="N16" s="24" t="str">
        <x:v>dasyatis pastinaca</x:v>
      </x:c>
      <x:c r="O16" s="32" t="n">
        <x:v>4.05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Dasyatis pastinaca</x:v>
      </x:c>
      <x:c r="T16" s="32" t="n">
        <x:f>IF(O16="","",(1/'Metadata'!$B$5)^(O16-1))</x:f>
        <x:v>1122.018454301963</x:v>
      </x:c>
      <x:c r="U16" s="31" t="n">
        <x:f>IF(T16="","",I16*T16)</x:f>
        <x:v>1133.2386388449827</x:v>
      </x:c>
    </x:row>
    <x:row r="17" ht="18" customHeight="1">
      <x:c r="A17" s="24" t="str">
        <x:v>EEZ_642</x:v>
      </x:c>
      <x:c r="B17" s="24" t="str">
        <x:v>Romania</x:v>
      </x:c>
      <x:c r="C17" s="24" t="str">
        <x:v>EEZ</x:v>
      </x:c>
      <x:c r="D17" s="30" t="n">
        <x:v>2019</x:v>
      </x:c>
      <x:c r="E17" s="24" t="str">
        <x:v>Alosa</x:v>
      </x:c>
      <x:c r="F17" s="24" t="str">
        <x:v>Shads</x:v>
      </x:c>
      <x:c r="G17" s="24" t="str">
        <x:v>Medium pelagics (30 - 89 cm)</x:v>
      </x:c>
      <x:c r="H17" s="24" t="str">
        <x:v>Herring-likes</x:v>
      </x:c>
      <x:c r="I17" s="31" t="n">
        <x:v>0.14</x:v>
      </x:c>
      <x:c r="J17" s="31" t="n">
        <x:v>0.14</x:v>
      </x:c>
      <x:c r="K17" s="31" t="n">
        <x:v>0</x:v>
      </x:c>
      <x:c r="L17" s="31" t="n">
        <x:v>0.14</x:v>
      </x:c>
      <x:c r="M17" s="31" t="n">
        <x:v>0</x:v>
      </x:c>
      <x:c r="N17" s="24" t="str">
        <x:v>alosa</x:v>
      </x:c>
      <x:c r="O17" s="32" t="n">
        <x:v>3.89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Alosa</x:v>
      </x:c>
      <x:c r="T17" s="32" t="n">
        <x:f>IF(O17="","",(1/'Metadata'!$B$5)^(O17-1))</x:f>
        <x:v>776.247116628692</x:v>
      </x:c>
      <x:c r="U17" s="31" t="n">
        <x:f>IF(T17="","",I17*T17)</x:f>
        <x:v>108.67459632801689</x:v>
      </x:c>
    </x:row>
  </x:sheetData>
  <x:conditionalFormatting sqref="R2:R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f198b0d0e354a9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71.0762269602</x:v>
      </x:c>
      <x:c r="E2" s="31" t="n">
        <x:v>71.0762269602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IF(C2=0,"",SUMIF('Species'!$H$2:$H$17,A2,'Species'!$U$2:$U$17))</x:f>
        <x:v>9156.391751751707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9156.391751751707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</x:v>
      </x:c>
      <x:c r="C3" s="33" t="n">
        <x:v>1</x:v>
      </x:c>
      <x:c r="D3" s="31" t="n">
        <x:v>1.8599999998</x:v>
      </x:c>
      <x:c r="E3" s="31" t="n">
        <x:v>1.8599999998</x:v>
      </x:c>
      <x:c r="F3" s="32" t="n">
        <x:v>0</x:v>
      </x:c>
      <x:c r="G3" s="34" t="n">
        <x:v>1</x:v>
      </x:c>
      <x:c r="H3" s="32" t="n">
        <x:f>IF(E3=0,"",I3/E3)</x:f>
        <x:v>2290.867652767775</x:v>
      </x:c>
      <x:c r="I3" s="31" t="n">
        <x:f>IF(C3=0,"",SUMIF('Species'!$H$2:$H$17,A3,'Species'!$U$2:$U$17))</x:f>
        <x:v>4261.013833689888</x:v>
      </x:c>
      <x:c r="J3" s="32" t="n">
        <x:v>4.36</x:v>
      </x:c>
      <x:c r="K3" s="32" t="n">
        <x:f>IF(J3="","",(1/'Metadata'!$B$5)^(J3-1))</x:f>
        <x:v>2290.867652767775</x:v>
      </x:c>
      <x:c r="L3" s="31" t="n">
        <x:f>IF(E3=0,"",E3*K3)</x:f>
        <x:v>4261.013833689888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392.78063118079996</x:v>
      </x:c>
      <x:c r="E4" s="31" t="n">
        <x:v>392.78063118079996</x:v>
      </x:c>
      <x:c r="F4" s="32" t="n">
        <x:v>0</x:v>
      </x:c>
      <x:c r="G4" s="34" t="n">
        <x:v>1</x:v>
      </x:c>
      <x:c r="H4" s="32" t="n">
        <x:f>IF(E4=0,"",I4/E4)</x:f>
        <x:v>2290.867652767775</x:v>
      </x:c>
      <x:c r="I4" s="31" t="n">
        <x:f>IF(C4=0,"",SUMIF('Species'!$H$2:$H$17,A4,'Species'!$U$2:$U$17))</x:f>
        <x:v>899808.4426058043</x:v>
      </x:c>
      <x:c r="J4" s="32" t="n">
        <x:v>4.36</x:v>
      </x:c>
      <x:c r="K4" s="32" t="n">
        <x:f>IF(J4="","",(1/'Metadata'!$B$5)^(J4-1))</x:f>
        <x:v>2290.867652767775</x:v>
      </x:c>
      <x:c r="L4" s="31" t="n">
        <x:f>IF(E4=0,"",E4*K4)</x:f>
        <x:v>899808.4426058043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Herring-likes</x:v>
      </x:c>
      <x:c r="B5" s="33" t="n">
        <x:v>3</x:v>
      </x:c>
      <x:c r="C5" s="33" t="n">
        <x:v>3</x:v>
      </x:c>
      <x:c r="D5" s="31" t="n">
        <x:v>55.9406616402</x:v>
      </x:c>
      <x:c r="E5" s="31" t="n">
        <x:v>55.9406616402</x:v>
      </x:c>
      <x:c r="F5" s="32" t="n">
        <x:v>0</x:v>
      </x:c>
      <x:c r="G5" s="34" t="n">
        <x:v>1</x:v>
      </x:c>
      <x:c r="H5" s="32" t="n">
        <x:f>IF(E5=0,"",I5/E5)</x:f>
        <x:v>403.67912632199176</x:v>
      </x:c>
      <x:c r="I5" s="31" t="n">
        <x:f>IF(C5=0,"",SUMIF('Species'!$H$2:$H$17,A5,'Species'!$U$2:$U$17))</x:f>
        <x:v>22582.077416790093</x:v>
      </x:c>
      <x:c r="J5" s="32" t="n">
        <x:v>3.3531028421409883</x:v>
      </x:c>
      <x:c r="K5" s="32" t="n">
        <x:f>IF(J5="","",(1/'Metadata'!$B$5)^(J5-1))</x:f>
        <x:v>225.47730854752396</x:v>
      </x:c>
      <x:c r="L5" s="31" t="n">
        <x:f>IF(E5=0,"",E5*K5)</x:f>
        <x:v>12613.349825000012</x:v>
      </x:c>
      <x:c r="M5" s="31" t="n">
        <x:f>IF(E5=0,"",I5-L5)</x:f>
        <x:v>9968.72759179008</x:v>
      </x:c>
      <x:c r="N5" s="32" t="n">
        <x:f>IF(L5=0,"",I5/L5)</x:f>
        <x:v>1.7903314924344509</x:v>
      </x:c>
      <x:c r="O5" s="34" t="n">
        <x:f>IF(L5=0,"",M5/L5)</x:f>
        <x:v>0.790331492434451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158.5</x:v>
      </x:c>
      <x:c r="E6" s="31" t="n">
        <x:v>158.5</x:v>
      </x:c>
      <x:c r="F6" s="32" t="n">
        <x:v>0</x:v>
      </x:c>
      <x:c r="G6" s="34" t="n">
        <x:v>1</x:v>
      </x:c>
      <x:c r="H6" s="32" t="n">
        <x:f>IF(E6=0,"",I6/E6)</x:f>
        <x:v>48.97788193684461</x:v>
      </x:c>
      <x:c r="I6" s="31" t="n">
        <x:f>IF(C6=0,"",SUMIF('Species'!$H$2:$H$17,A6,'Species'!$U$2:$U$17))</x:f>
        <x:v>7762.9942869898705</x:v>
      </x:c>
      <x:c r="J6" s="32" t="n">
        <x:v>2.69</x:v>
      </x:c>
      <x:c r="K6" s="32" t="n">
        <x:f>IF(J6="","",(1/'Metadata'!$B$5)^(J6-1))</x:f>
        <x:v>48.97788193684461</x:v>
      </x:c>
      <x:c r="L6" s="31" t="n">
        <x:f>IF(E6=0,"",E6*K6)</x:f>
        <x:v>7762.9942869898705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2</x:v>
      </x:c>
      <x:c r="C7" s="33" t="n">
        <x:v>2</x:v>
      </x:c>
      <x:c r="D7" s="31" t="n">
        <x:v>6823.4534950308</x:v>
      </x:c>
      <x:c r="E7" s="31" t="n">
        <x:v>6823.4534950308</x:v>
      </x:c>
      <x:c r="F7" s="32" t="n">
        <x:v>0</x:v>
      </x:c>
      <x:c r="G7" s="34" t="n">
        <x:v>1</x:v>
      </x:c>
      <x:c r="H7" s="32" t="n">
        <x:f>IF(E7=0,"",I7/E7)</x:f>
        <x:v>191.38469629510334</x:v>
      </x:c>
      <x:c r="I7" s="31" t="n">
        <x:f>IF(C7=0,"",SUMIF('Species'!$H$2:$H$17,A7,'Species'!$U$2:$U$17))</x:f>
        <x:v>1305904.574830231</x:v>
      </x:c>
      <x:c r="J7" s="32" t="n">
        <x:v>3.280588089301542</x:v>
      </x:c>
      <x:c r="K7" s="32" t="n">
        <x:f>IF(J7="","",(1/'Metadata'!$B$5)^(J7-1))</x:f>
        <x:v>190.8042698982646</x:v>
      </x:c>
      <x:c r="L7" s="31" t="n">
        <x:f>IF(E7=0,"",E7*K7)</x:f>
        <x:v>1301944.0623041138</x:v>
      </x:c>
      <x:c r="M7" s="31" t="n">
        <x:f>IF(E7=0,"",I7-L7)</x:f>
        <x:v>3960.512526117265</x:v>
      </x:c>
      <x:c r="N7" s="32" t="n">
        <x:f>IF(L7=0,"",I7/L7)</x:f>
        <x:v>1.003041998992728</x:v>
      </x:c>
      <x:c r="O7" s="34" t="n">
        <x:f>IF(L7=0,"",M7/L7)</x:f>
        <x:v>0.003041998992727962</x:v>
      </x:c>
    </x:row>
    <x:row r="8" ht="18" customHeight="1">
      <x:c r="A8" s="24" t="str">
        <x:v>Perch-likes</x:v>
      </x:c>
      <x:c r="B8" s="33" t="n">
        <x:v>5</x:v>
      </x:c>
      <x:c r="C8" s="33" t="n">
        <x:v>5</x:v>
      </x:c>
      <x:c r="D8" s="31" t="n">
        <x:v>599.3551923127</x:v>
      </x:c>
      <x:c r="E8" s="31" t="n">
        <x:v>599.3551923127</x:v>
      </x:c>
      <x:c r="F8" s="32" t="n">
        <x:v>0</x:v>
      </x:c>
      <x:c r="G8" s="34" t="n">
        <x:v>1</x:v>
      </x:c>
      <x:c r="H8" s="32" t="n">
        <x:f>IF(E8=0,"",I8/E8)</x:f>
        <x:v>235.72021646096408</x:v>
      </x:c>
      <x:c r="I8" s="31" t="n">
        <x:f>IF(C8=0,"",SUMIF('Species'!$H$2:$H$17,A8,'Species'!$U$2:$U$17))</x:f>
        <x:v>141280.1356689524</x:v>
      </x:c>
      <x:c r="J8" s="32" t="n">
        <x:v>3.066898456866311</x:v>
      </x:c>
      <x:c r="K8" s="32" t="n">
        <x:f>IF(J8="","",(1/'Metadata'!$B$5)^(J8-1))</x:f>
        <x:v>116.65368352049427</x:v>
      </x:c>
      <x:c r="L8" s="31" t="n">
        <x:f>IF(E8=0,"",E8*K8)</x:f>
        <x:v>69916.99092041068</x:v>
      </x:c>
      <x:c r="M8" s="31" t="n">
        <x:f>IF(E8=0,"",I8-L8)</x:f>
        <x:v>71363.14474854172</x:v>
      </x:c>
      <x:c r="N8" s="32" t="n">
        <x:f>IF(L8=0,"",I8/L8)</x:f>
        <x:v>2.020683868242803</x:v>
      </x:c>
      <x:c r="O8" s="34" t="n">
        <x:f>IF(L8=0,"",M8/L8)</x:f>
        <x:v>1.020683868242803</x:v>
      </x:c>
    </x:row>
    <x:row r="9" ht="18" customHeight="1">
      <x:c r="A9" s="24" t="str">
        <x:v>Sharks &amp; rays</x:v>
      </x:c>
      <x:c r="B9" s="33" t="n">
        <x:v>1</x:v>
      </x:c>
      <x:c r="C9" s="33" t="n">
        <x:v>1</x:v>
      </x:c>
      <x:c r="D9" s="31" t="n">
        <x:v>1.01</x:v>
      </x:c>
      <x:c r="E9" s="31" t="n">
        <x:v>1.01</x:v>
      </x:c>
      <x:c r="F9" s="32" t="n">
        <x:v>0</x:v>
      </x:c>
      <x:c r="G9" s="34" t="n">
        <x:v>1</x:v>
      </x:c>
      <x:c r="H9" s="32" t="n">
        <x:f>IF(E9=0,"",I9/E9)</x:f>
        <x:v>1122.018454301963</x:v>
      </x:c>
      <x:c r="I9" s="31" t="n">
        <x:f>IF(C9=0,"",SUMIF('Species'!$H$2:$H$17,A9,'Species'!$U$2:$U$17))</x:f>
        <x:v>1133.2386388449827</x:v>
      </x:c>
      <x:c r="J9" s="32" t="n">
        <x:v>4.05</x:v>
      </x:c>
      <x:c r="K9" s="32" t="n">
        <x:f>IF(J9="","",(1/'Metadata'!$B$5)^(J9-1))</x:f>
        <x:v>1122.018454301963</x:v>
      </x:c>
      <x:c r="L9" s="31" t="n">
        <x:f>IF(E9=0,"",E9*K9)</x:f>
        <x:v>1133.2386388449827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Tuna &amp; billfishes</x:v>
      </x:c>
      <x:c r="B10" s="33" t="n">
        <x:v>1</x:v>
      </x:c>
      <x:c r="C10" s="33" t="n">
        <x:v>1</x:v>
      </x:c>
      <x:c r="D10" s="31" t="n">
        <x:v>12.5347741948</x:v>
      </x:c>
      <x:c r="E10" s="31" t="n">
        <x:v>12.5347741948</x:v>
      </x:c>
      <x:c r="F10" s="32" t="n">
        <x:v>0</x:v>
      </x:c>
      <x:c r="G10" s="34" t="n">
        <x:v>1</x:v>
      </x:c>
      <x:c r="H10" s="32" t="n">
        <x:f>IF(E10=0,"",I10/E10)</x:f>
        <x:v>3162.2776601683795</x:v>
      </x:c>
      <x:c r="I10" s="31" t="n">
        <x:f>IF(C10=0,"",SUMIF('Species'!$H$2:$H$17,A10,'Species'!$U$2:$U$17))</x:f>
        <x:v>39638.43641147113</x:v>
      </x:c>
      <x:c r="J10" s="32" t="n">
        <x:v>4.5</x:v>
      </x:c>
      <x:c r="K10" s="32" t="n">
        <x:f>IF(J10="","",(1/'Metadata'!$B$5)^(J10-1))</x:f>
        <x:v>3162.2776601683795</x:v>
      </x:c>
      <x:c r="L10" s="31" t="n">
        <x:f>IF(E10=0,"",E10*K10)</x:f>
        <x:v>39638.43641147113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cca7fcc354446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flatfishes (&gt;=90 cm)</x:v>
      </x:c>
      <x:c r="B2" s="33" t="n">
        <x:v>1</x:v>
      </x:c>
      <x:c r="C2" s="33" t="n">
        <x:v>1</x:v>
      </x:c>
      <x:c r="D2" s="31" t="n">
        <x:v>392.78063118079996</x:v>
      </x:c>
      <x:c r="E2" s="31" t="n">
        <x:v>392.78063118079996</x:v>
      </x:c>
      <x:c r="F2" s="32" t="n">
        <x:v>0</x:v>
      </x:c>
      <x:c r="G2" s="34" t="n">
        <x:v>1</x:v>
      </x:c>
      <x:c r="H2" s="32" t="n">
        <x:f>IF(E2=0,"",I2/E2)</x:f>
        <x:v>2290.867652767775</x:v>
      </x:c>
      <x:c r="I2" s="31" t="n">
        <x:f>IF(C2=0,"",SUMIF('Species'!$G$2:$G$17,A2,'Species'!$U$2:$U$17))</x:f>
        <x:v>899808.4426058043</x:v>
      </x:c>
      <x:c r="J2" s="32" t="n">
        <x:v>4.36</x:v>
      </x:c>
      <x:c r="K2" s="32" t="n">
        <x:f>IF(J2="","",(1/'Metadata'!$B$5)^(J2-1))</x:f>
        <x:v>2290.867652767775</x:v>
      </x:c>
      <x:c r="L2" s="31" t="n">
        <x:f>IF(E2=0,"",E2*K2)</x:f>
        <x:v>899808.4426058043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1</x:v>
      </x:c>
      <x:c r="C3" s="33" t="n">
        <x:v>1</x:v>
      </x:c>
      <x:c r="D3" s="31" t="n">
        <x:v>6.2972978807</x:v>
      </x:c>
      <x:c r="E3" s="31" t="n">
        <x:v>6.2972978807</x:v>
      </x:c>
      <x:c r="F3" s="32" t="n">
        <x:v>0</x:v>
      </x:c>
      <x:c r="G3" s="34" t="n">
        <x:v>1</x:v>
      </x:c>
      <x:c r="H3" s="32" t="n">
        <x:f>IF(E3=0,"",I3/E3)</x:f>
        <x:v>3388.4415613920273</x:v>
      </x:c>
      <x:c r="I3" s="31" t="n">
        <x:f>IF(C3=0,"",SUMIF('Species'!$G$2:$G$17,A3,'Species'!$U$2:$U$17))</x:f>
        <x:v>21338.025863429815</x:v>
      </x:c>
      <x:c r="J3" s="32" t="n">
        <x:v>4.53</x:v>
      </x:c>
      <x:c r="K3" s="32" t="n">
        <x:f>IF(J3="","",(1/'Metadata'!$B$5)^(J3-1))</x:f>
        <x:v>3388.4415613920273</x:v>
      </x:c>
      <x:c r="L3" s="31" t="n">
        <x:f>IF(E3=0,"",E3*K3)</x:f>
        <x:v>21338.025863429815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rays (&gt;=90 cm)</x:v>
      </x:c>
      <x:c r="B4" s="33" t="n">
        <x:v>1</x:v>
      </x:c>
      <x:c r="C4" s="33" t="n">
        <x:v>1</x:v>
      </x:c>
      <x:c r="D4" s="31" t="n">
        <x:v>1.01</x:v>
      </x:c>
      <x:c r="E4" s="31" t="n">
        <x:v>1.01</x:v>
      </x:c>
      <x:c r="F4" s="32" t="n">
        <x:v>0</x:v>
      </x:c>
      <x:c r="G4" s="34" t="n">
        <x:v>1</x:v>
      </x:c>
      <x:c r="H4" s="32" t="n">
        <x:f>IF(E4=0,"",I4/E4)</x:f>
        <x:v>1122.018454301963</x:v>
      </x:c>
      <x:c r="I4" s="31" t="n">
        <x:f>IF(C4=0,"",SUMIF('Species'!$G$2:$G$17,A4,'Species'!$U$2:$U$17))</x:f>
        <x:v>1133.2386388449827</x:v>
      </x:c>
      <x:c r="J4" s="32" t="n">
        <x:v>4.05</x:v>
      </x:c>
      <x:c r="K4" s="32" t="n">
        <x:f>IF(J4="","",(1/'Metadata'!$B$5)^(J4-1))</x:f>
        <x:v>1122.018454301963</x:v>
      </x:c>
      <x:c r="L4" s="31" t="n">
        <x:f>IF(E4=0,"",E4*K4)</x:f>
        <x:v>1133.2386388449827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benthopelagics (30 - 89 cm)</x:v>
      </x:c>
      <x:c r="B5" s="33" t="n">
        <x:v>1</x:v>
      </x:c>
      <x:c r="C5" s="33" t="n">
        <x:v>1</x:v>
      </x:c>
      <x:c r="D5" s="31" t="n">
        <x:v>1.8599999998</x:v>
      </x:c>
      <x:c r="E5" s="31" t="n">
        <x:v>1.8599999998</x:v>
      </x:c>
      <x:c r="F5" s="32" t="n">
        <x:v>0</x:v>
      </x:c>
      <x:c r="G5" s="34" t="n">
        <x:v>1</x:v>
      </x:c>
      <x:c r="H5" s="32" t="n">
        <x:f>IF(E5=0,"",I5/E5)</x:f>
        <x:v>2290.867652767775</x:v>
      </x:c>
      <x:c r="I5" s="31" t="n">
        <x:f>IF(C5=0,"",SUMIF('Species'!$G$2:$G$17,A5,'Species'!$U$2:$U$17))</x:f>
        <x:v>4261.013833689888</x:v>
      </x:c>
      <x:c r="J5" s="32" t="n">
        <x:v>4.36</x:v>
      </x:c>
      <x:c r="K5" s="32" t="n">
        <x:f>IF(J5="","",(1/'Metadata'!$B$5)^(J5-1))</x:f>
        <x:v>2290.867652767775</x:v>
      </x:c>
      <x:c r="L5" s="31" t="n">
        <x:f>IF(E5=0,"",E5*K5)</x:f>
        <x:v>4261.013833689888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demersals (30 - 89 cm)</x:v>
      </x:c>
      <x:c r="B6" s="33" t="n">
        <x:v>1</x:v>
      </x:c>
      <x:c r="C6" s="33" t="n">
        <x:v>1</x:v>
      </x:c>
      <x:c r="D6" s="31" t="n">
        <x:v>6818.893495030799</x:v>
      </x:c>
      <x:c r="E6" s="31" t="n">
        <x:v>6818.893495030799</x:v>
      </x:c>
      <x:c r="F6" s="32" t="n">
        <x:v>0</x:v>
      </x:c>
      <x:c r="G6" s="34" t="n">
        <x:v>1</x:v>
      </x:c>
      <x:c r="H6" s="32" t="n">
        <x:f>IF(E6=0,"",I6/E6)</x:f>
        <x:v>190.5460717963246</x:v>
      </x:c>
      <x:c r="I6" s="31" t="n">
        <x:f>IF(C6=0,"",SUMIF('Species'!$G$2:$G$17,A6,'Species'!$U$2:$U$17))</x:f>
        <x:v>1299313.3694756296</x:v>
      </x:c>
      <x:c r="J6" s="32" t="n">
        <x:v>3.28</x:v>
      </x:c>
      <x:c r="K6" s="32" t="n">
        <x:f>IF(J6="","",(1/'Metadata'!$B$5)^(J6-1))</x:f>
        <x:v>190.54607179632464</x:v>
      </x:c>
      <x:c r="L6" s="31" t="n">
        <x:f>IF(E6=0,"",E6*K6)</x:f>
        <x:v>1299313.3694756296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pelagics (30 - 89 cm)</x:v>
      </x:c>
      <x:c r="B7" s="33" t="n">
        <x:v>5</x:v>
      </x:c>
      <x:c r="C7" s="33" t="n">
        <x:v>5</x:v>
      </x:c>
      <x:c r="D7" s="31" t="n">
        <x:v>175.6080296904</x:v>
      </x:c>
      <x:c r="E7" s="31" t="n">
        <x:v>175.6080296904</x:v>
      </x:c>
      <x:c r="F7" s="32" t="n">
        <x:v>0</x:v>
      </x:c>
      <x:c r="G7" s="34" t="n">
        <x:v>1</x:v>
      </x:c>
      <x:c r="H7" s="32" t="n">
        <x:f>IF(E7=0,"",I7/E7)</x:f>
        <x:v>835.9178750236254</x:v>
      </x:c>
      <x:c r="I7" s="31" t="n">
        <x:f>IF(C7=0,"",SUMIF('Species'!$G$2:$G$17,A7,'Species'!$U$2:$U$17))</x:f>
        <x:v>146793.89101588487</x:v>
      </x:c>
      <x:c r="J7" s="32" t="n">
        <x:v>3.8558399538379877</x:v>
      </x:c>
      <x:c r="K7" s="32" t="n">
        <x:f>IF(J7="","",(1/'Metadata'!$B$5)^(J7-1))</x:f>
        <x:v>717.5298185207416</x:v>
      </x:c>
      <x:c r="L7" s="31" t="n">
        <x:f>IF(E7=0,"",E7*K7)</x:f>
        <x:v>126003.99767453772</x:v>
      </x:c>
      <x:c r="M7" s="31" t="n">
        <x:f>IF(E7=0,"",I7-L7)</x:f>
        <x:v>20789.893341347153</x:v>
      </x:c>
      <x:c r="N7" s="32" t="n">
        <x:f>IF(L7=0,"",I7/L7)</x:f>
        <x:v>1.164993918645712</x:v>
      </x:c>
      <x:c r="O7" s="34" t="n">
        <x:f>IF(L7=0,"",M7/L7)</x:f>
        <x:v>0.16499391864571195</x:v>
      </x:c>
    </x:row>
    <x:row r="8" ht="18" customHeight="1">
      <x:c r="A8" s="24" t="str">
        <x:v>Medium reef assoc. fish (30 - 89 cm)</x:v>
      </x:c>
      <x:c r="B8" s="33" t="n">
        <x:v>2</x:v>
      </x:c>
      <x:c r="C8" s="33" t="n">
        <x:v>2</x:v>
      </x:c>
      <x:c r="D8" s="31" t="n">
        <x:v>224.2173194682</x:v>
      </x:c>
      <x:c r="E8" s="31" t="n">
        <x:v>224.2173194682</x:v>
      </x:c>
      <x:c r="F8" s="32" t="n">
        <x:v>0</x:v>
      </x:c>
      <x:c r="G8" s="34" t="n">
        <x:v>1</x:v>
      </x:c>
      <x:c r="H8" s="32" t="n">
        <x:f>IF(E8=0,"",I8/E8)</x:f>
        <x:v>38.42498786413551</x:v>
      </x:c>
      <x:c r="I8" s="31" t="n">
        <x:f>IF(C8=0,"",SUMIF('Species'!$G$2:$G$17,A8,'Species'!$U$2:$U$17))</x:f>
        <x:v>8615.54777949458</x:v>
      </x:c>
      <x:c r="J8" s="32" t="n">
        <x:v>2.546591046618625</x:v>
      </x:c>
      <x:c r="K8" s="32" t="n">
        <x:f>IF(J8="","",(1/'Metadata'!$B$5)^(J8-1))</x:f>
        <x:v>35.203921720139576</x:v>
      </x:c>
      <x:c r="L8" s="31" t="n">
        <x:f>IF(E8=0,"",E8*K8)</x:f>
        <x:v>7893.3289628580405</x:v>
      </x:c>
      <x:c r="M8" s="31" t="n">
        <x:f>IF(E8=0,"",I8-L8)</x:f>
        <x:v>722.2188166365395</x:v>
      </x:c>
      <x:c r="N8" s="32" t="n">
        <x:f>IF(L8=0,"",I8/L8)</x:f>
        <x:v>1.0914973669582164</x:v>
      </x:c>
      <x:c r="O8" s="34" t="n">
        <x:f>IF(L8=0,"",M8/L8)</x:f>
        <x:v>0.09149736695821636</x:v>
      </x:c>
    </x:row>
    <x:row r="9" ht="18" customHeight="1">
      <x:c r="A9" s="24" t="str">
        <x:v>Other demersal invertebrates</x:v>
      </x:c>
      <x:c r="B9" s="33" t="n">
        <x:v>1</x:v>
      </x:c>
      <x:c r="C9" s="33" t="n">
        <x:v>1</x:v>
      </x:c>
      <x:c r="D9" s="31" t="n">
        <x:v>158.5</x:v>
      </x:c>
      <x:c r="E9" s="31" t="n">
        <x:v>158.5</x:v>
      </x:c>
      <x:c r="F9" s="32" t="n">
        <x:v>0</x:v>
      </x:c>
      <x:c r="G9" s="34" t="n">
        <x:v>1</x:v>
      </x:c>
      <x:c r="H9" s="32" t="n">
        <x:f>IF(E9=0,"",I9/E9)</x:f>
        <x:v>48.97788193684461</x:v>
      </x:c>
      <x:c r="I9" s="31" t="n">
        <x:f>IF(C9=0,"",SUMIF('Species'!$G$2:$G$17,A9,'Species'!$U$2:$U$17))</x:f>
        <x:v>7762.9942869898705</x:v>
      </x:c>
      <x:c r="J9" s="32" t="n">
        <x:v>2.69</x:v>
      </x:c>
      <x:c r="K9" s="32" t="n">
        <x:f>IF(J9="","",(1/'Metadata'!$B$5)^(J9-1))</x:f>
        <x:v>48.97788193684461</x:v>
      </x:c>
      <x:c r="L9" s="31" t="n">
        <x:f>IF(E9=0,"",E9*K9)</x:f>
        <x:v>7762.9942869898705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Small pelagics (&lt;30 cm)</x:v>
      </x:c>
      <x:c r="B10" s="33" t="n">
        <x:v>2</x:v>
      </x:c>
      <x:c r="C10" s="33" t="n">
        <x:v>2</x:v>
      </x:c>
      <x:c r="D10" s="31" t="n">
        <x:v>107.21688860040001</x:v>
      </x:c>
      <x:c r="E10" s="31" t="n">
        <x:v>107.21688860040001</x:v>
      </x:c>
      <x:c r="F10" s="32" t="n">
        <x:v>0</x:v>
      </x:c>
      <x:c r="G10" s="34" t="n">
        <x:v>1</x:v>
      </x:c>
      <x:c r="H10" s="32" t="n">
        <x:f>IF(E10=0,"",I10/E10)</x:f>
        <x:v>119.8938012363138</x:v>
      </x:c>
      <x:c r="I10" s="31" t="n">
        <x:f>IF(C10=0,"",SUMIF('Species'!$G$2:$G$17,A10,'Species'!$U$2:$U$17))</x:f>
        <x:v>12854.640331032359</x:v>
      </x:c>
      <x:c r="J10" s="32" t="n">
        <x:v>3.0762920066866544</x:v>
      </x:c>
      <x:c r="K10" s="32" t="n">
        <x:f>IF(J10="","",(1/'Metadata'!$B$5)^(J10-1))</x:f>
        <x:v>119.20432330364137</x:v>
      </x:c>
      <x:c r="L10" s="31" t="n">
        <x:f>IF(E10=0,"",E10*K10)</x:f>
        <x:v>12780.716652332585</x:v>
      </x:c>
      <x:c r="M10" s="31" t="n">
        <x:f>IF(E10=0,"",I10-L10)</x:f>
        <x:v>73.92367869977352</x:v>
      </x:c>
      <x:c r="N10" s="32" t="n">
        <x:f>IF(L10=0,"",I10/L10)</x:f>
        <x:v>1.0057840010627481</x:v>
      </x:c>
      <x:c r="O10" s="34" t="n">
        <x:f>IF(L10=0,"",M10/L10)</x:f>
        <x:v>0.0057840010627480615</x:v>
      </x:c>
    </x:row>
    <x:row r="11" ht="18" customHeight="1">
      <x:c r="A11" s="24" t="str">
        <x:v>Small reef assoc. fish (&lt;30 cm)</x:v>
      </x:c>
      <x:c r="B11" s="33" t="n">
        <x:v>1</x:v>
      </x:c>
      <x:c r="C11" s="33" t="n">
        <x:v>1</x:v>
      </x:c>
      <x:c r="D11" s="31" t="n">
        <x:v>230.1273194682</x:v>
      </x:c>
      <x:c r="E11" s="31" t="n">
        <x:v>230.1273194682</x:v>
      </x:c>
      <x:c r="F11" s="32" t="n">
        <x:v>0</x:v>
      </x:c>
      <x:c r="G11" s="34" t="n">
        <x:v>1</x:v>
      </x:c>
      <x:c r="H11" s="32" t="n">
        <x:f>IF(E11=0,"",I11/E11)</x:f>
        <x:v>128.82495516931337</x:v>
      </x:c>
      <x:c r="I11" s="31" t="n">
        <x:f>IF(C11=0,"",SUMIF('Species'!$G$2:$G$17,A11,'Species'!$U$2:$U$17))</x:f>
        <x:v>29646.14161372512</x:v>
      </x:c>
      <x:c r="J11" s="32" t="n">
        <x:v>3.11</x:v>
      </x:c>
      <x:c r="K11" s="32" t="n">
        <x:f>IF(J11="","",(1/'Metadata'!$B$5)^(J11-1))</x:f>
        <x:v>128.82495516931337</x:v>
      </x:c>
      <x:c r="L11" s="31" t="n">
        <x:f>IF(E11=0,"",E11*K11)</x:f>
        <x:v>29646.14161372512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</x:sheetData>
  <x:conditionalFormatting sqref="G2:G11">
    <x:cfRule type="cellIs" dxfId="2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9f55f8578194c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EEZ_642</x:v>
      </x:c>
      <x:c r="B2" s="24" t="str">
        <x:v>raw_filtered_tonnes</x:v>
      </x:c>
      <x:c r="C2" s="24" t="n">
        <x:v>8116.5109813193</x:v>
      </x:c>
      <x:c r="D2" s="24" t="str">
        <x:v>tonnes</x:v>
      </x:c>
    </x:row>
    <x:row r="3" ht="18" customHeight="1">
      <x:c r="A3" s="24" t="str">
        <x:v>EEZ_642</x:v>
      </x:c>
      <x:c r="B3" s="24" t="str">
        <x:v>species_catch_tonnes</x:v>
      </x:c>
      <x:c r="C3" s="24" t="n">
        <x:v>8116.5109813192985</x:v>
      </x:c>
      <x:c r="D3" s="24" t="str">
        <x:v>tonnes</x:v>
      </x:c>
    </x:row>
    <x:row r="4" ht="18" customHeight="1">
      <x:c r="A4" s="24" t="str">
        <x:v>EEZ_642</x:v>
      </x:c>
      <x:c r="B4" s="24" t="str">
        <x:v>catch_difference_tonnes</x:v>
      </x:c>
      <x:c r="C4" s="24" t="n">
        <x:v>-1.8189894035458565e-12</x:v>
      </x:c>
      <x:c r="D4" s="24" t="str">
        <x:v>tonnes</x:v>
      </x:c>
    </x:row>
    <x:row r="5" ht="18" customHeight="1">
      <x:c r="A5" s="24" t="str">
        <x:v>EEZ_642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EEZ_642</x:v>
      </x:c>
      <x:c r="B6" s="24" t="str">
        <x:v>matched_catch_tonnes</x:v>
      </x:c>
      <x:c r="C6" s="24" t="n">
        <x:v>8116.5109813192985</x:v>
      </x:c>
      <x:c r="D6" s="24" t="str">
        <x:v>tonnes</x:v>
      </x:c>
    </x:row>
    <x:row r="7" ht="18" customHeight="1">
      <x:c r="A7" s="24" t="str">
        <x:v>EEZ_642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EEZ_642</x:v>
      </x:c>
      <x:c r="B8" s="24" t="str">
        <x:v>taxa_count</x:v>
      </x:c>
      <x:c r="C8" s="24" t="n">
        <x:v>16</x:v>
      </x:c>
      <x:c r="D8" s="24" t="str">
        <x:v>count</x:v>
      </x:c>
    </x:row>
    <x:row r="9" ht="18" customHeight="1">
      <x:c r="A9" s="24" t="str">
        <x:v>EEZ_642</x:v>
      </x:c>
      <x:c r="B9" s="24" t="str">
        <x:v>matched_taxa_count</x:v>
      </x:c>
      <x:c r="C9" s="24" t="n">
        <x:v>16</x:v>
      </x:c>
      <x:c r="D9" s="24" t="str">
        <x:v>count</x:v>
      </x:c>
    </x:row>
    <x:row r="10" ht="18" customHeight="1">
      <x:c r="A10" s="24" t="str">
        <x:v>EEZ_642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EEZ_642</x:v>
      </x:c>
      <x:c r="B11" s="24" t="str">
        <x:v>species_ppr</x:v>
      </x:c>
      <x:c r="C11" s="24" t="n">
        <x:v>2431527.305444525</x:v>
      </x:c>
      <x:c r="D11" s="24" t="str">
        <x:v>tonnes_primary_production_equivalent</x:v>
      </x:c>
    </x:row>
    <x:row r="12" ht="18" customHeight="1">
      <x:c r="A12" s="24" t="str">
        <x:v>EEZ_642</x:v>
      </x:c>
      <x:c r="B12" s="24" t="str">
        <x:v>commercial_ppr</x:v>
      </x:c>
      <x:c r="C12" s="24" t="n">
        <x:v>2431527.305444525</x:v>
      </x:c>
      <x:c r="D12" s="24" t="str">
        <x:v>tonnes_primary_production_equivalent</x:v>
      </x:c>
    </x:row>
    <x:row r="13" ht="18" customHeight="1">
      <x:c r="A13" s="24" t="str">
        <x:v>EEZ_642</x:v>
      </x:c>
      <x:c r="B13" s="24" t="str">
        <x:v>functional_ppr</x:v>
      </x:c>
      <x:c r="C13" s="24" t="n">
        <x:v>2431527.3054445256</x:v>
      </x:c>
      <x:c r="D13" s="24" t="str">
        <x:v>tonnes_primary_production_equivalent</x:v>
      </x:c>
    </x:row>
    <x:row r="14" ht="18" customHeight="1">
      <x:c r="A14" s="24" t="str">
        <x:v>EEZ_642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EEZ_642</x:v>
      </x:c>
      <x:c r="B15" s="24" t="str">
        <x:v>functional_ppr_difference</x:v>
      </x:c>
      <x:c r="C15" s="24" t="n">
        <x:v>4.656612873077393e-10</x:v>
      </x:c>
      <x:c r="D15" s="24" t="str">
        <x:v>tonnes_primary_production_equivalent</x:v>
      </x:c>
    </x:row>
    <x:row r="16" ht="18" customHeight="1">
      <x:c r="A16" s="24" t="str">
        <x:v>EEZ_642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EEZ_642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EEZ_642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EEZ_642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078c433d77740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EEZ_642 - Romania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EEZ_642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raw_data/SAU_downloads/EEZ_642-catch.zip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