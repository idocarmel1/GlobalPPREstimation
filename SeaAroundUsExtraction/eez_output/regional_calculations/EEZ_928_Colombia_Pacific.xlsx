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646612a76b4b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f3a5271d0a594e70"/>
    <x:sheet xmlns:r="http://schemas.openxmlformats.org/officeDocument/2006/relationships" name="Commercial" sheetId="2" r:id="R8cc35acc436b4805"/>
    <x:sheet xmlns:r="http://schemas.openxmlformats.org/officeDocument/2006/relationships" name="Functional" sheetId="3" r:id="R63de0a6062b14914"/>
    <x:sheet xmlns:r="http://schemas.openxmlformats.org/officeDocument/2006/relationships" name="Missing TL" sheetId="4" r:id="R12448438d3804eb6"/>
    <x:sheet xmlns:r="http://schemas.openxmlformats.org/officeDocument/2006/relationships" name="Validation" sheetId="5" r:id="R8be4194258224893"/>
    <x:sheet xmlns:r="http://schemas.openxmlformats.org/officeDocument/2006/relationships" name="Metadata" sheetId="6" r:id="Rb0c6cd612bb54d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5bfa9cf4fb4e3f" /><Relationship Type="http://schemas.openxmlformats.org/officeDocument/2006/relationships/theme" Target="/xl/theme/theme1.xml" Id="Raf24aa6767484c54" /><Relationship Type="http://schemas.microsoft.com/office/2022/11/relationships/FeaturePropertyBag" Target="/xl/featurePropertyBag/featurePropertyBag.xml" Id="R985294e22c654846" /><Relationship Type="http://schemas.openxmlformats.org/officeDocument/2006/relationships/sharedStrings" Target="/xl/sharedStrings.xml" Id="R0fe8292553534abd" /><Relationship Type="http://schemas.openxmlformats.org/officeDocument/2006/relationships/worksheet" Target="/xl/worksheets/sheet1.xml" Id="Rf3a5271d0a594e70" /><Relationship Type="http://schemas.openxmlformats.org/officeDocument/2006/relationships/worksheet" Target="/xl/worksheets/sheet2.xml" Id="R8cc35acc436b4805" /><Relationship Type="http://schemas.openxmlformats.org/officeDocument/2006/relationships/worksheet" Target="/xl/worksheets/sheet3.xml" Id="R63de0a6062b14914" /><Relationship Type="http://schemas.openxmlformats.org/officeDocument/2006/relationships/worksheet" Target="/xl/worksheets/sheet4.xml" Id="R12448438d3804eb6" /><Relationship Type="http://schemas.openxmlformats.org/officeDocument/2006/relationships/worksheet" Target="/xl/worksheets/sheet5.xml" Id="R8be4194258224893" /><Relationship Type="http://schemas.openxmlformats.org/officeDocument/2006/relationships/worksheet" Target="/xl/worksheets/sheet6.xml" Id="Rb0c6cd612bb54d2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928SpeciesTable" displayName="EEZ928SpeciesTable" ref="A1:U88" headerRowCount="1" totalsRowCount="0" totalsRowShown="0">
  <x:autoFilter ref="A1:U88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928CommercialTable" displayName="EEZ928CommercialTable" ref="A1:E10" headerRowCount="1" totalsRowCount="0" totalsRowShown="0">
  <x:autoFilter ref="A1:E10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928FunctionalTable" displayName="EEZ928FunctionalTable" ref="A1:E18" headerRowCount="1" totalsRowCount="0" totalsRowShown="0">
  <x:autoFilter ref="A1:E18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928ValidationTable" displayName="EEZ928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e985193b91d429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6febd874cac459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2317e5739a641c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73eed7d6f43485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EEZ_928</x:v>
      </x:c>
      <x:c r="B2" s="24" t="str">
        <x:v>Colombia (Pacific)</x:v>
      </x:c>
      <x:c r="C2" s="24" t="str">
        <x:v>EEZ</x:v>
      </x:c>
      <x:c r="D2" s="30" t="n">
        <x:v>2019</x:v>
      </x:c>
      <x:c r="E2" s="24" t="str">
        <x:v>Thunnus albacares</x:v>
      </x:c>
      <x:c r="F2" s="24" t="str">
        <x:v>Yellowfin tuna</x:v>
      </x:c>
      <x:c r="G2" s="24" t="str">
        <x:v>Large pelagics (&gt;=90 cm)</x:v>
      </x:c>
      <x:c r="H2" s="24" t="str">
        <x:v>Tuna &amp; billfishes</x:v>
      </x:c>
      <x:c r="I2" s="31" t="n">
        <x:v>11359.195604312099</x:v>
      </x:c>
      <x:c r="J2" s="31" t="n">
        <x:v>11213.2457065776</x:v>
      </x:c>
      <x:c r="K2" s="31" t="n">
        <x:v>145.94989773449998</x:v>
      </x:c>
      <x:c r="L2" s="31" t="n">
        <x:v>11213.2457065776</x:v>
      </x:c>
      <x:c r="M2" s="31" t="n">
        <x:v>145.94989773449998</x:v>
      </x:c>
      <x:c r="N2" s="24" t="str">
        <x:v>thunnus albacares</x:v>
      </x:c>
      <x:c r="O2" s="32" t="n">
        <x:v>4.41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Thunnus albacares</x:v>
      </x:c>
      <x:c r="T2" s="32" t="n">
        <x:f>IF(O2="","",(1/'Metadata'!$B$5)^(O2-1))</x:f>
        <x:v>2570.3957827688646</x:v>
      </x:c>
      <x:c r="U2" s="31" t="n">
        <x:f>IF(T2="","",I2*T2)</x:f>
        <x:v>29197628.476970445</x:v>
      </x:c>
    </x:row>
    <x:row r="3" ht="18" customHeight="1">
      <x:c r="A3" s="24" t="str">
        <x:v>EEZ_928</x:v>
      </x:c>
      <x:c r="B3" s="24" t="str">
        <x:v>Colombia (Pacific)</x:v>
      </x:c>
      <x:c r="C3" s="24" t="str">
        <x:v>EEZ</x:v>
      </x:c>
      <x:c r="D3" s="30" t="n">
        <x:v>2019</x:v>
      </x:c>
      <x:c r="E3" s="24" t="str">
        <x:v>Katsuwonus pelamis</x:v>
      </x:c>
      <x:c r="F3" s="24" t="str">
        <x:v>Skipjack tuna</x:v>
      </x:c>
      <x:c r="G3" s="24" t="str">
        <x:v>Large pelagics (&gt;=90 cm)</x:v>
      </x:c>
      <x:c r="H3" s="24" t="str">
        <x:v>Tuna &amp; billfishes</x:v>
      </x:c>
      <x:c r="I3" s="31" t="n">
        <x:v>9297.1976190598</x:v>
      </x:c>
      <x:c r="J3" s="31" t="n">
        <x:v>9231.5773898111</x:v>
      </x:c>
      <x:c r="K3" s="31" t="n">
        <x:v>65.6202292487</x:v>
      </x:c>
      <x:c r="L3" s="31" t="n">
        <x:v>9231.5773898111</x:v>
      </x:c>
      <x:c r="M3" s="31" t="n">
        <x:v>65.6202292487</x:v>
      </x:c>
      <x:c r="N3" s="24" t="str">
        <x:v>katsuwonus pelamis</x:v>
      </x:c>
      <x:c r="O3" s="32" t="n">
        <x:v>4.43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Katsuwonus pelamis</x:v>
      </x:c>
      <x:c r="T3" s="32" t="n">
        <x:f>IF(O3="","",(1/'Metadata'!$B$5)^(O3-1))</x:f>
        <x:v>2691.534803926914</x:v>
      </x:c>
      <x:c r="U3" s="31" t="n">
        <x:f>IF(T3="","",I3*T3)</x:f>
        <x:v>25023730.970685888</x:v>
      </x:c>
    </x:row>
    <x:row r="4" ht="18" customHeight="1">
      <x:c r="A4" s="24" t="str">
        <x:v>EEZ_928</x:v>
      </x:c>
      <x:c r="B4" s="24" t="str">
        <x:v>Colombia (Pacific)</x:v>
      </x:c>
      <x:c r="C4" s="24" t="str">
        <x:v>EEZ</x:v>
      </x:c>
      <x:c r="D4" s="30" t="n">
        <x:v>2019</x:v>
      </x:c>
      <x:c r="E4" s="24" t="str">
        <x:v>Marine fishes not identified</x:v>
      </x:c>
      <x:c r="F4" s="24" t="str">
        <x:v>Marine fishes nei</x:v>
      </x:c>
      <x:c r="G4" s="24" t="str">
        <x:v>Medium demersals (30 - 89 cm)</x:v>
      </x:c>
      <x:c r="H4" s="24" t="str">
        <x:v>Other fishes &amp; inverts</x:v>
      </x:c>
      <x:c r="I4" s="31" t="n">
        <x:v>9068.024178563599</x:v>
      </x:c>
      <x:c r="J4" s="31" t="n">
        <x:v>8336.2643213085</x:v>
      </x:c>
      <x:c r="K4" s="31" t="n">
        <x:v>731.7598572551</x:v>
      </x:c>
      <x:c r="L4" s="31" t="n">
        <x:v>6267.2782169596</x:v>
      </x:c>
      <x:c r="M4" s="31" t="n">
        <x:v>2800.745961604</x:v>
      </x:c>
      <x:c r="N4" s="24" t="str">
        <x:v>marine fishes not identified</x:v>
      </x:c>
      <x:c r="O4" s="32" t="n">
        <x:v>3.28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Marine fishes not identified</x:v>
      </x:c>
      <x:c r="T4" s="32" t="n">
        <x:f>IF(O4="","",(1/'Metadata'!$B$5)^(O4-1))</x:f>
        <x:v>190.54607179632464</x:v>
      </x:c>
      <x:c r="U4" s="31" t="n">
        <x:f>IF(T4="","",I4*T4)</x:f>
        <x:v>1727876.3861793873</x:v>
      </x:c>
    </x:row>
    <x:row r="5" ht="18" customHeight="1">
      <x:c r="A5" s="24" t="str">
        <x:v>EEZ_928</x:v>
      </x:c>
      <x:c r="B5" s="24" t="str">
        <x:v>Colombia (Pacific)</x:v>
      </x:c>
      <x:c r="C5" s="24" t="str">
        <x:v>EEZ</x:v>
      </x:c>
      <x:c r="D5" s="30" t="n">
        <x:v>2019</x:v>
      </x:c>
      <x:c r="E5" s="24" t="str">
        <x:v>Sciaenidae</x:v>
      </x:c>
      <x:c r="F5" s="24" t="str">
        <x:v>Drums, croakers</x:v>
      </x:c>
      <x:c r="G5" s="24" t="str">
        <x:v>Medium demersals (30 - 89 cm)</x:v>
      </x:c>
      <x:c r="H5" s="24" t="str">
        <x:v>Perch-likes</x:v>
      </x:c>
      <x:c r="I5" s="31" t="n">
        <x:v>2355.2003476026</x:v>
      </x:c>
      <x:c r="J5" s="31" t="n">
        <x:v>2111.8690230027</x:v>
      </x:c>
      <x:c r="K5" s="31" t="n">
        <x:v>243.3313245999</x:v>
      </x:c>
      <x:c r="L5" s="31" t="n">
        <x:v>805.1807243162</x:v>
      </x:c>
      <x:c r="M5" s="31" t="n">
        <x:v>1550.0196232864</x:v>
      </x:c>
      <x:c r="N5" s="24" t="str">
        <x:v>sciaenidae</x:v>
      </x:c>
      <x:c r="O5" s="32" t="n">
        <x:v>3.76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Sciaenidae</x:v>
      </x:c>
      <x:c r="T5" s="32" t="n">
        <x:f>IF(O5="","",(1/'Metadata'!$B$5)^(O5-1))</x:f>
        <x:v>575.4399373371566</x:v>
      </x:c>
      <x:c r="U5" s="31" t="n">
        <x:f>IF(T5="","",I5*T5)</x:f>
        <x:v>1355276.3404408896</x:v>
      </x:c>
    </x:row>
    <x:row r="6" ht="18" customHeight="1">
      <x:c r="A6" s="24" t="str">
        <x:v>EEZ_928</x:v>
      </x:c>
      <x:c r="B6" s="24" t="str">
        <x:v>Colombia (Pacific)</x:v>
      </x:c>
      <x:c r="C6" s="24" t="str">
        <x:v>EEZ</x:v>
      </x:c>
      <x:c r="D6" s="30" t="n">
        <x:v>2019</x:v>
      </x:c>
      <x:c r="E6" s="24" t="str">
        <x:v>Scomberomorus sierra</x:v>
      </x:c>
      <x:c r="F6" s="24" t="str">
        <x:v>Pacific sierra</x:v>
      </x:c>
      <x:c r="G6" s="24" t="str">
        <x:v>Large pelagics (&gt;=90 cm)</x:v>
      </x:c>
      <x:c r="H6" s="24" t="str">
        <x:v>Perch-likes</x:v>
      </x:c>
      <x:c r="I6" s="31" t="n">
        <x:v>1912.3500103357</x:v>
      </x:c>
      <x:c r="J6" s="31" t="n">
        <x:v>1912.3500103357</x:v>
      </x:c>
      <x:c r="K6" s="31" t="n">
        <x:v>0</x:v>
      </x:c>
      <x:c r="L6" s="31" t="n">
        <x:v>1912.3500103357</x:v>
      </x:c>
      <x:c r="M6" s="31" t="n">
        <x:v>0</x:v>
      </x:c>
      <x:c r="N6" s="24" t="str">
        <x:v>scomberomorus sierra</x:v>
      </x:c>
      <x:c r="O6" s="32" t="n">
        <x:v>4.49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Scomberomorus sierra</x:v>
      </x:c>
      <x:c r="T6" s="32" t="n">
        <x:f>IF(O6="","",(1/'Metadata'!$B$5)^(O6-1))</x:f>
        <x:v>3090.295432513592</x:v>
      </x:c>
      <x:c r="U6" s="31" t="n">
        <x:f>IF(T6="","",I6*T6)</x:f>
        <x:v>5909726.502307734</x:v>
      </x:c>
    </x:row>
    <x:row r="7" ht="18" customHeight="1">
      <x:c r="A7" s="24" t="str">
        <x:v>EEZ_928</x:v>
      </x:c>
      <x:c r="B7" s="24" t="str">
        <x:v>Colombia (Pacific)</x:v>
      </x:c>
      <x:c r="C7" s="24" t="str">
        <x:v>EEZ</x:v>
      </x:c>
      <x:c r="D7" s="30" t="n">
        <x:v>2019</x:v>
      </x:c>
      <x:c r="E7" s="24" t="str">
        <x:v>Cetengraulis mysticetus</x:v>
      </x:c>
      <x:c r="F7" s="24" t="str">
        <x:v>Pacific anchoveta</x:v>
      </x:c>
      <x:c r="G7" s="24" t="str">
        <x:v>Small pelagics (&lt;30 cm)</x:v>
      </x:c>
      <x:c r="H7" s="24" t="str">
        <x:v>Anchovies</x:v>
      </x:c>
      <x:c r="I7" s="31" t="n">
        <x:v>1473.5074735714002</x:v>
      </x:c>
      <x:c r="J7" s="31" t="n">
        <x:v>1473.5074735714002</x:v>
      </x:c>
      <x:c r="K7" s="31" t="n">
        <x:v>0</x:v>
      </x:c>
      <x:c r="L7" s="31" t="n">
        <x:v>1473.5074735714002</x:v>
      </x:c>
      <x:c r="M7" s="31" t="n">
        <x:v>0</x:v>
      </x:c>
      <x:c r="N7" s="24" t="str">
        <x:v>cetengraulis mysticetus</x:v>
      </x:c>
      <x:c r="O7" s="32" t="n">
        <x:v>2.47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Cetengraulis mysticetus</x:v>
      </x:c>
      <x:c r="T7" s="32" t="n">
        <x:f>IF(O7="","",(1/'Metadata'!$B$5)^(O7-1))</x:f>
        <x:v>29.51209226666387</x:v>
      </x:c>
      <x:c r="U7" s="31" t="n">
        <x:f>IF(T7="","",I7*T7)</x:f>
        <x:v>43486.288515657936</x:v>
      </x:c>
    </x:row>
    <x:row r="8" ht="18" customHeight="1">
      <x:c r="A8" s="24" t="str">
        <x:v>EEZ_928</x:v>
      </x:c>
      <x:c r="B8" s="24" t="str">
        <x:v>Colombia (Pacific)</x:v>
      </x:c>
      <x:c r="C8" s="24" t="str">
        <x:v>EEZ</x:v>
      </x:c>
      <x:c r="D8" s="30" t="n">
        <x:v>2019</x:v>
      </x:c>
      <x:c r="E8" s="24" t="str">
        <x:v>Portunidae</x:v>
      </x:c>
      <x:c r="F8" s="24" t="str">
        <x:v>Swimming crabs</x:v>
      </x:c>
      <x:c r="G8" s="24" t="str">
        <x:v>Lobsters, crabs</x:v>
      </x:c>
      <x:c r="H8" s="24" t="str">
        <x:v>Crustaceans</x:v>
      </x:c>
      <x:c r="I8" s="31" t="n">
        <x:v>1181.8809656548</x:v>
      </x:c>
      <x:c r="J8" s="31" t="n">
        <x:v>772.3722314315</x:v>
      </x:c>
      <x:c r="K8" s="31" t="n">
        <x:v>409.5087342233</x:v>
      </x:c>
      <x:c r="L8" s="31" t="n">
        <x:v>0</x:v>
      </x:c>
      <x:c r="M8" s="31" t="n">
        <x:v>1181.8809656548</x:v>
      </x:c>
      <x:c r="N8" s="24" t="str">
        <x:v>portunidae</x:v>
      </x:c>
      <x:c r="O8" s="32" t="n">
        <x:v>3.56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Portunidae</x:v>
      </x:c>
      <x:c r="T8" s="32" t="n">
        <x:f>IF(O8="","",(1/'Metadata'!$B$5)^(O8-1))</x:f>
        <x:v>363.0780547701014</x:v>
      </x:c>
      <x:c r="U8" s="31" t="n">
        <x:f>IF(T8="","",I8*T8)</x:f>
        <x:v>429115.0419797538</x:v>
      </x:c>
    </x:row>
    <x:row r="9" ht="18" customHeight="1">
      <x:c r="A9" s="24" t="str">
        <x:v>EEZ_928</x:v>
      </x:c>
      <x:c r="B9" s="24" t="str">
        <x:v>Colombia (Pacific)</x:v>
      </x:c>
      <x:c r="C9" s="24" t="str">
        <x:v>EEZ</x:v>
      </x:c>
      <x:c r="D9" s="30" t="n">
        <x:v>2019</x:v>
      </x:c>
      <x:c r="E9" s="24" t="str">
        <x:v>Cynoscion albus</x:v>
      </x:c>
      <x:c r="F9" s="24" t="str">
        <x:v>Whitefin weakfish</x:v>
      </x:c>
      <x:c r="G9" s="24" t="str">
        <x:v>Large demersals (&gt;=90 cm)</x:v>
      </x:c>
      <x:c r="H9" s="24" t="str">
        <x:v>Perch-likes</x:v>
      </x:c>
      <x:c r="I9" s="31" t="n">
        <x:v>1126.64</x:v>
      </x:c>
      <x:c r="J9" s="31" t="n">
        <x:v>1126.64</x:v>
      </x:c>
      <x:c r="K9" s="31" t="n">
        <x:v>0</x:v>
      </x:c>
      <x:c r="L9" s="31" t="n">
        <x:v>1126.64</x:v>
      </x:c>
      <x:c r="M9" s="31" t="n">
        <x:v>0</x:v>
      </x:c>
      <x:c r="N9" s="24" t="str">
        <x:v>cynoscion albus</x:v>
      </x:c>
      <x:c r="O9" s="32" t="n">
        <x:v>4.19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Cynoscion albus</x:v>
      </x:c>
      <x:c r="T9" s="32" t="n">
        <x:f>IF(O9="","",(1/'Metadata'!$B$5)^(O9-1))</x:f>
        <x:v>1548.8166189124827</x:v>
      </x:c>
      <x:c r="U9" s="31" t="n">
        <x:f>IF(T9="","",I9*T9)</x:f>
        <x:v>1744958.7555315597</x:v>
      </x:c>
    </x:row>
    <x:row r="10" ht="18" customHeight="1">
      <x:c r="A10" s="24" t="str">
        <x:v>EEZ_928</x:v>
      </x:c>
      <x:c r="B10" s="24" t="str">
        <x:v>Colombia (Pacific)</x:v>
      </x:c>
      <x:c r="C10" s="24" t="str">
        <x:v>EEZ</x:v>
      </x:c>
      <x:c r="D10" s="30" t="n">
        <x:v>2019</x:v>
      </x:c>
      <x:c r="E10" s="24" t="str">
        <x:v>Cynoscion</x:v>
      </x:c>
      <x:c r="F10" s="24" t="str">
        <x:v>Weakfishes</x:v>
      </x:c>
      <x:c r="G10" s="24" t="str">
        <x:v>Medium demersals (30 - 89 cm)</x:v>
      </x:c>
      <x:c r="H10" s="24" t="str">
        <x:v>Perch-likes</x:v>
      </x:c>
      <x:c r="I10" s="31" t="n">
        <x:v>1089.62</x:v>
      </x:c>
      <x:c r="J10" s="31" t="n">
        <x:v>1089.62</x:v>
      </x:c>
      <x:c r="K10" s="31" t="n">
        <x:v>0</x:v>
      </x:c>
      <x:c r="L10" s="31" t="n">
        <x:v>1089.62</x:v>
      </x:c>
      <x:c r="M10" s="31" t="n">
        <x:v>0</x:v>
      </x:c>
      <x:c r="N10" s="24" t="str">
        <x:v>cynoscion</x:v>
      </x:c>
      <x:c r="O10" s="32" t="n">
        <x:v>4.21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Cynoscion</x:v>
      </x:c>
      <x:c r="T10" s="32" t="n">
        <x:f>IF(O10="","",(1/'Metadata'!$B$5)^(O10-1))</x:f>
        <x:v>1621.8100973589299</x:v>
      </x:c>
      <x:c r="U10" s="31" t="n">
        <x:f>IF(T10="","",I10*T10)</x:f>
        <x:v>1767156.718284237</x:v>
      </x:c>
    </x:row>
    <x:row r="11" ht="18" customHeight="1">
      <x:c r="A11" s="24" t="str">
        <x:v>EEZ_928</x:v>
      </x:c>
      <x:c r="B11" s="24" t="str">
        <x:v>Colombia (Pacific)</x:v>
      </x:c>
      <x:c r="C11" s="24" t="str">
        <x:v>EEZ</x:v>
      </x:c>
      <x:c r="D11" s="30" t="n">
        <x:v>2019</x:v>
      </x:c>
      <x:c r="E11" s="24" t="str">
        <x:v>Notarius troschelii</x:v>
      </x:c>
      <x:c r="F11" s="24" t="str">
        <x:v>Chili sea catfish</x:v>
      </x:c>
      <x:c r="G11" s="24" t="str">
        <x:v>Medium demersals (30 - 89 cm)</x:v>
      </x:c>
      <x:c r="H11" s="24" t="str">
        <x:v>Other fishes &amp; inverts</x:v>
      </x:c>
      <x:c r="I11" s="31" t="n">
        <x:v>996.1899999999999</x:v>
      </x:c>
      <x:c r="J11" s="31" t="n">
        <x:v>996.1899999999999</x:v>
      </x:c>
      <x:c r="K11" s="31" t="n">
        <x:v>0</x:v>
      </x:c>
      <x:c r="L11" s="31" t="n">
        <x:v>996.1899999999999</x:v>
      </x:c>
      <x:c r="M11" s="31" t="n">
        <x:v>0</x:v>
      </x:c>
      <x:c r="N11" s="24" t="str">
        <x:v>notarius troschelii</x:v>
      </x:c>
      <x:c r="O11" s="32" t="n">
        <x:v>4.5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Notarius troschelii</x:v>
      </x:c>
      <x:c r="T11" s="32" t="n">
        <x:f>IF(O11="","",(1/'Metadata'!$B$5)^(O11-1))</x:f>
        <x:v>3162.2776601683795</x:v>
      </x:c>
      <x:c r="U11" s="31" t="n">
        <x:f>IF(T11="","",I11*T11)</x:f>
        <x:v>3150229.3822831376</x:v>
      </x:c>
    </x:row>
    <x:row r="12" ht="18" customHeight="1">
      <x:c r="A12" s="24" t="str">
        <x:v>EEZ_928</x:v>
      </x:c>
      <x:c r="B12" s="24" t="str">
        <x:v>Colombia (Pacific)</x:v>
      </x:c>
      <x:c r="C12" s="24" t="str">
        <x:v>EEZ</x:v>
      </x:c>
      <x:c r="D12" s="30" t="n">
        <x:v>2019</x:v>
      </x:c>
      <x:c r="E12" s="24" t="str">
        <x:v>Haemulidae</x:v>
      </x:c>
      <x:c r="F12" s="24" t="str">
        <x:v>Grunts, sweetlips, bonnetmouths</x:v>
      </x:c>
      <x:c r="G12" s="24" t="str">
        <x:v>Medium demersals (30 - 89 cm)</x:v>
      </x:c>
      <x:c r="H12" s="24" t="str">
        <x:v>Perch-likes</x:v>
      </x:c>
      <x:c r="I12" s="31" t="n">
        <x:v>973.2924999999999</x:v>
      </x:c>
      <x:c r="J12" s="31" t="n">
        <x:v>973.2924999999999</x:v>
      </x:c>
      <x:c r="K12" s="31" t="n">
        <x:v>0</x:v>
      </x:c>
      <x:c r="L12" s="31" t="n">
        <x:v>125.55000000000001</x:v>
      </x:c>
      <x:c r="M12" s="31" t="n">
        <x:v>847.7425</x:v>
      </x:c>
      <x:c r="N12" s="24" t="str">
        <x:v>haemulidae</x:v>
      </x:c>
      <x:c r="O12" s="32" t="n">
        <x:v>3.36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Haemulidae</x:v>
      </x:c>
      <x:c r="T12" s="32" t="n">
        <x:f>IF(O12="","",(1/'Metadata'!$B$5)^(O12-1))</x:f>
        <x:v>229.08676527677724</x:v>
      </x:c>
      <x:c r="U12" s="31" t="n">
        <x:f>IF(T12="","",I12*T12)</x:f>
        <x:v>222968.4304931477</x:v>
      </x:c>
    </x:row>
    <x:row r="13" ht="18" customHeight="1">
      <x:c r="A13" s="24" t="str">
        <x:v>EEZ_928</x:v>
      </x:c>
      <x:c r="B13" s="24" t="str">
        <x:v>Colombia (Pacific)</x:v>
      </x:c>
      <x:c r="C13" s="24" t="str">
        <x:v>EEZ</x:v>
      </x:c>
      <x:c r="D13" s="30" t="n">
        <x:v>2019</x:v>
      </x:c>
      <x:c r="E13" s="24" t="str">
        <x:v>Brotula clarkae</x:v>
      </x:c>
      <x:c r="F13" s="24" t="str">
        <x:v>Pacific bearded brotula</x:v>
      </x:c>
      <x:c r="G13" s="24" t="str">
        <x:v>Large benthopelagics (&gt;=90 cm)</x:v>
      </x:c>
      <x:c r="H13" s="24" t="str">
        <x:v>Other fishes &amp; inverts</x:v>
      </x:c>
      <x:c r="I13" s="31" t="n">
        <x:v>920.2299999999999</x:v>
      </x:c>
      <x:c r="J13" s="31" t="n">
        <x:v>920.2299999999999</x:v>
      </x:c>
      <x:c r="K13" s="31" t="n">
        <x:v>0</x:v>
      </x:c>
      <x:c r="L13" s="31" t="n">
        <x:v>920.2299999999999</x:v>
      </x:c>
      <x:c r="M13" s="31" t="n">
        <x:v>0</x:v>
      </x:c>
      <x:c r="N13" s="24" t="str">
        <x:v>brotula clarkae</x:v>
      </x:c>
      <x:c r="O13" s="32" t="n">
        <x:v>3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Brotula clarkae</x:v>
      </x:c>
      <x:c r="T13" s="32" t="n">
        <x:f>IF(O13="","",(1/'Metadata'!$B$5)^(O13-1))</x:f>
        <x:v>100</x:v>
      </x:c>
      <x:c r="U13" s="31" t="n">
        <x:f>IF(T13="","",I13*T13)</x:f>
        <x:v>92022.99999999999</x:v>
      </x:c>
    </x:row>
    <x:row r="14" ht="18" customHeight="1">
      <x:c r="A14" s="24" t="str">
        <x:v>EEZ_928</x:v>
      </x:c>
      <x:c r="B14" s="24" t="str">
        <x:v>Colombia (Pacific)</x:v>
      </x:c>
      <x:c r="C14" s="24" t="str">
        <x:v>EEZ</x:v>
      </x:c>
      <x:c r="D14" s="30" t="n">
        <x:v>2019</x:v>
      </x:c>
      <x:c r="E14" s="24" t="str">
        <x:v>Penaeus occidentalis</x:v>
      </x:c>
      <x:c r="F14" s="24" t="str">
        <x:v>Western white shrimp</x:v>
      </x:c>
      <x:c r="G14" s="24" t="str">
        <x:v>Shrimps</x:v>
      </x:c>
      <x:c r="H14" s="24" t="str">
        <x:v>Crustaceans</x:v>
      </x:c>
      <x:c r="I14" s="31" t="n">
        <x:v>696.98</x:v>
      </x:c>
      <x:c r="J14" s="31" t="n">
        <x:v>696.98</x:v>
      </x:c>
      <x:c r="K14" s="31" t="n">
        <x:v>0</x:v>
      </x:c>
      <x:c r="L14" s="31" t="n">
        <x:v>696.98</x:v>
      </x:c>
      <x:c r="M14" s="31" t="n">
        <x:v>0</x:v>
      </x:c>
      <x:c r="N14" s="24" t="str">
        <x:v>penaeus occidentalis</x:v>
      </x:c>
      <x:c r="O14" s="32" t="n">
        <x:v>2.7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Penaeus occidentalis</x:v>
      </x:c>
      <x:c r="T14" s="32" t="n">
        <x:f>IF(O14="","",(1/'Metadata'!$B$5)^(O14-1))</x:f>
        <x:v>50.11872336272725</x:v>
      </x:c>
      <x:c r="U14" s="31" t="n">
        <x:f>IF(T14="","",I14*T14)</x:f>
        <x:v>34931.74780935364</x:v>
      </x:c>
    </x:row>
    <x:row r="15" ht="18" customHeight="1">
      <x:c r="A15" s="24" t="str">
        <x:v>EEZ_928</x:v>
      </x:c>
      <x:c r="B15" s="24" t="str">
        <x:v>Colombia (Pacific)</x:v>
      </x:c>
      <x:c r="C15" s="24" t="str">
        <x:v>EEZ</x:v>
      </x:c>
      <x:c r="D15" s="30" t="n">
        <x:v>2019</x:v>
      </x:c>
      <x:c r="E15" s="24" t="str">
        <x:v>Lutjanus guttatus</x:v>
      </x:c>
      <x:c r="F15" s="24" t="str">
        <x:v>Spotted rose snapper</x:v>
      </x:c>
      <x:c r="G15" s="24" t="str">
        <x:v>Medium reef assoc. fish (30 - 89 cm)</x:v>
      </x:c>
      <x:c r="H15" s="24" t="str">
        <x:v>Perch-likes</x:v>
      </x:c>
      <x:c r="I15" s="31" t="n">
        <x:v>669.5</x:v>
      </x:c>
      <x:c r="J15" s="31" t="n">
        <x:v>669.5</x:v>
      </x:c>
      <x:c r="K15" s="31" t="n">
        <x:v>0</x:v>
      </x:c>
      <x:c r="L15" s="31" t="n">
        <x:v>669.5</x:v>
      </x:c>
      <x:c r="M15" s="31" t="n">
        <x:v>0</x:v>
      </x:c>
      <x:c r="N15" s="24" t="str">
        <x:v>lutjanus guttatus</x:v>
      </x:c>
      <x:c r="O15" s="32" t="n">
        <x:v>4.04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Lutjanus guttatus</x:v>
      </x:c>
      <x:c r="T15" s="32" t="n">
        <x:f>IF(O15="","",(1/'Metadata'!$B$5)^(O15-1))</x:f>
        <x:v>1096.4781961431852</x:v>
      </x:c>
      <x:c r="U15" s="31" t="n">
        <x:f>IF(T15="","",I15*T15)</x:f>
        <x:v>734092.1523178625</x:v>
      </x:c>
    </x:row>
    <x:row r="16" ht="18" customHeight="1">
      <x:c r="A16" s="24" t="str">
        <x:v>EEZ_928</x:v>
      </x:c>
      <x:c r="B16" s="24" t="str">
        <x:v>Colombia (Pacific)</x:v>
      </x:c>
      <x:c r="C16" s="24" t="str">
        <x:v>EEZ</x:v>
      </x:c>
      <x:c r="D16" s="30" t="n">
        <x:v>2019</x:v>
      </x:c>
      <x:c r="E16" s="24" t="str">
        <x:v>Lobotes pacifica</x:v>
      </x:c>
      <x:c r="F16" s="24" t="str">
        <x:v>Pacific tripletail</x:v>
      </x:c>
      <x:c r="G16" s="24" t="str">
        <x:v>Medium benthopelagics (30 - 89 cm)</x:v>
      </x:c>
      <x:c r="H16" s="24" t="str">
        <x:v>Perch-likes</x:v>
      </x:c>
      <x:c r="I16" s="31" t="n">
        <x:v>661.5500000000001</x:v>
      </x:c>
      <x:c r="J16" s="31" t="n">
        <x:v>661.5500000000001</x:v>
      </x:c>
      <x:c r="K16" s="31" t="n">
        <x:v>0</x:v>
      </x:c>
      <x:c r="L16" s="31" t="n">
        <x:v>661.5500000000001</x:v>
      </x:c>
      <x:c r="M16" s="31" t="n">
        <x:v>0</x:v>
      </x:c>
      <x:c r="N16" s="24" t="str">
        <x:v>lobotes pacifica</x:v>
      </x:c>
      <x:c r="O16" s="32" t="n">
        <x:v>3.7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Lobotes pacifica</x:v>
      </x:c>
      <x:c r="T16" s="32" t="n">
        <x:f>IF(O16="","",(1/'Metadata'!$B$5)^(O16-1))</x:f>
        <x:v>501.18723362727246</x:v>
      </x:c>
      <x:c r="U16" s="31" t="n">
        <x:f>IF(T16="","",I16*T16)</x:f>
        <x:v>331560.4144061221</x:v>
      </x:c>
    </x:row>
    <x:row r="17" ht="18" customHeight="1">
      <x:c r="A17" s="24" t="str">
        <x:v>EEZ_928</x:v>
      </x:c>
      <x:c r="B17" s="24" t="str">
        <x:v>Colombia (Pacific)</x:v>
      </x:c>
      <x:c r="C17" s="24" t="str">
        <x:v>EEZ</x:v>
      </x:c>
      <x:c r="D17" s="30" t="n">
        <x:v>2019</x:v>
      </x:c>
      <x:c r="E17" s="24" t="str">
        <x:v>Engraulidae</x:v>
      </x:c>
      <x:c r="F17" s="24" t="str">
        <x:v>Anchovies, round herrings</x:v>
      </x:c>
      <x:c r="G17" s="24" t="str">
        <x:v>Small pelagics (&lt;30 cm)</x:v>
      </x:c>
      <x:c r="H17" s="24" t="str">
        <x:v>Anchovies</x:v>
      </x:c>
      <x:c r="I17" s="31" t="n">
        <x:v>622.6284645462</x:v>
      </x:c>
      <x:c r="J17" s="31" t="n">
        <x:v>406.8945804173</x:v>
      </x:c>
      <x:c r="K17" s="31" t="n">
        <x:v>215.7338841289</x:v>
      </x:c>
      <x:c r="L17" s="31" t="n">
        <x:v>0</x:v>
      </x:c>
      <x:c r="M17" s="31" t="n">
        <x:v>622.6284645462</x:v>
      </x:c>
      <x:c r="N17" s="24" t="str">
        <x:v>engraulidae</x:v>
      </x:c>
      <x:c r="O17" s="32" t="n">
        <x:v>3.2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Engraulidae</x:v>
      </x:c>
      <x:c r="T17" s="32" t="n">
        <x:f>IF(O17="","",(1/'Metadata'!$B$5)^(O17-1))</x:f>
        <x:v>158.48931924611142</x:v>
      </x:c>
      <x:c r="U17" s="31" t="n">
        <x:f>IF(T17="","",I17*T17)</x:f>
        <x:v>98679.96148917887</x:v>
      </x:c>
    </x:row>
    <x:row r="18" ht="18" customHeight="1">
      <x:c r="A18" s="24" t="str">
        <x:v>EEZ_928</x:v>
      </x:c>
      <x:c r="B18" s="24" t="str">
        <x:v>Colombia (Pacific)</x:v>
      </x:c>
      <x:c r="C18" s="24" t="str">
        <x:v>EEZ</x:v>
      </x:c>
      <x:c r="D18" s="30" t="n">
        <x:v>2019</x:v>
      </x:c>
      <x:c r="E18" s="24" t="str">
        <x:v>Lutjanus peru</x:v>
      </x:c>
      <x:c r="F18" s="24" t="str">
        <x:v>Pacific red snapper</x:v>
      </x:c>
      <x:c r="G18" s="24" t="str">
        <x:v>Medium reef assoc. fish (30 - 89 cm)</x:v>
      </x:c>
      <x:c r="H18" s="24" t="str">
        <x:v>Perch-likes</x:v>
      </x:c>
      <x:c r="I18" s="31" t="n">
        <x:v>608.29</x:v>
      </x:c>
      <x:c r="J18" s="31" t="n">
        <x:v>608.29</x:v>
      </x:c>
      <x:c r="K18" s="31" t="n">
        <x:v>0</x:v>
      </x:c>
      <x:c r="L18" s="31" t="n">
        <x:v>608.29</x:v>
      </x:c>
      <x:c r="M18" s="31" t="n">
        <x:v>0</x:v>
      </x:c>
      <x:c r="N18" s="24" t="str">
        <x:v>lutjanus peru</x:v>
      </x:c>
      <x:c r="O18" s="32" t="n">
        <x:v>4.02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Lutjanus peru</x:v>
      </x:c>
      <x:c r="T18" s="32" t="n">
        <x:f>IF(O18="","",(1/'Metadata'!$B$5)^(O18-1))</x:f>
        <x:v>1047.1285480508984</x:v>
      </x:c>
      <x:c r="U18" s="31" t="n">
        <x:f>IF(T18="","",I18*T18)</x:f>
        <x:v>636957.824493881</x:v>
      </x:c>
    </x:row>
    <x:row r="19" ht="18" customHeight="1">
      <x:c r="A19" s="24" t="str">
        <x:v>EEZ_928</x:v>
      </x:c>
      <x:c r="B19" s="24" t="str">
        <x:v>Colombia (Pacific)</x:v>
      </x:c>
      <x:c r="C19" s="24" t="str">
        <x:v>EEZ</x:v>
      </x:c>
      <x:c r="D19" s="30" t="n">
        <x:v>2019</x:v>
      </x:c>
      <x:c r="E19" s="24" t="str">
        <x:v>Mugil cephalus</x:v>
      </x:c>
      <x:c r="F19" s="24" t="str">
        <x:v>Flathead grey mullet</x:v>
      </x:c>
      <x:c r="G19" s="24" t="str">
        <x:v>Large benthopelagics (&gt;=90 cm)</x:v>
      </x:c>
      <x:c r="H19" s="24" t="str">
        <x:v>Perch-likes</x:v>
      </x:c>
      <x:c r="I19" s="31" t="n">
        <x:v>458.09999999999997</x:v>
      </x:c>
      <x:c r="J19" s="31" t="n">
        <x:v>458.09999999999997</x:v>
      </x:c>
      <x:c r="K19" s="31" t="n">
        <x:v>0</x:v>
      </x:c>
      <x:c r="L19" s="31" t="n">
        <x:v>458.09999999999997</x:v>
      </x:c>
      <x:c r="M19" s="31" t="n">
        <x:v>0</x:v>
      </x:c>
      <x:c r="N19" s="24" t="str">
        <x:v>mugil cephalus</x:v>
      </x:c>
      <x:c r="O19" s="32" t="n">
        <x:v>2.14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Mugil cephalus</x:v>
      </x:c>
      <x:c r="T19" s="32" t="n">
        <x:f>IF(O19="","",(1/'Metadata'!$B$5)^(O19-1))</x:f>
        <x:v>13.803842646028853</x:v>
      </x:c>
      <x:c r="U19" s="31" t="n">
        <x:f>IF(T19="","",I19*T19)</x:f>
        <x:v>6323.540316145817</x:v>
      </x:c>
    </x:row>
    <x:row r="20" ht="18" customHeight="1">
      <x:c r="A20" s="24" t="str">
        <x:v>EEZ_928</x:v>
      </x:c>
      <x:c r="B20" s="24" t="str">
        <x:v>Colombia (Pacific)</x:v>
      </x:c>
      <x:c r="C20" s="24" t="str">
        <x:v>EEZ</x:v>
      </x:c>
      <x:c r="D20" s="30" t="n">
        <x:v>2019</x:v>
      </x:c>
      <x:c r="E20" s="24" t="str">
        <x:v>Anadara tuberculosa</x:v>
      </x:c>
      <x:c r="F20" s="24" t="str">
        <x:v>Pustulose ark</x:v>
      </x:c>
      <x:c r="G20" s="24" t="str">
        <x:v>Other demersal invertebrates</x:v>
      </x:c>
      <x:c r="H20" s="24" t="str">
        <x:v>Molluscs</x:v>
      </x:c>
      <x:c r="I20" s="31" t="n">
        <x:v>451.49</x:v>
      </x:c>
      <x:c r="J20" s="31" t="n">
        <x:v>451.49</x:v>
      </x:c>
      <x:c r="K20" s="31" t="n">
        <x:v>0</x:v>
      </x:c>
      <x:c r="L20" s="31" t="n">
        <x:v>451.49</x:v>
      </x:c>
      <x:c r="M20" s="31" t="n">
        <x:v>0</x:v>
      </x:c>
      <x:c r="N20" s="24" t="str">
        <x:v>anadara tuberculosa</x:v>
      </x:c>
      <x:c r="O20" s="32" t="n">
        <x:v>2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Anadara tuberculosa</x:v>
      </x:c>
      <x:c r="T20" s="32" t="n">
        <x:f>IF(O20="","",(1/'Metadata'!$B$5)^(O20-1))</x:f>
        <x:v>10</x:v>
      </x:c>
      <x:c r="U20" s="31" t="n">
        <x:f>IF(T20="","",I20*T20)</x:f>
        <x:v>4514.9</x:v>
      </x:c>
    </x:row>
    <x:row r="21" ht="18" customHeight="1">
      <x:c r="A21" s="24" t="str">
        <x:v>EEZ_928</x:v>
      </x:c>
      <x:c r="B21" s="24" t="str">
        <x:v>Colombia (Pacific)</x:v>
      </x:c>
      <x:c r="C21" s="24" t="str">
        <x:v>EEZ</x:v>
      </x:c>
      <x:c r="D21" s="30" t="n">
        <x:v>2019</x:v>
      </x:c>
      <x:c r="E21" s="24" t="str">
        <x:v>Muraenidae</x:v>
      </x:c>
      <x:c r="F21" s="24" t="str">
        <x:v>Moray eels</x:v>
      </x:c>
      <x:c r="G21" s="24" t="str">
        <x:v>Large reef assoc. fish (&gt;=90 cm)</x:v>
      </x:c>
      <x:c r="H21" s="24" t="str">
        <x:v>Other fishes &amp; inverts</x:v>
      </x:c>
      <x:c r="I21" s="31" t="n">
        <x:v>423.87125</x:v>
      </x:c>
      <x:c r="J21" s="31" t="n">
        <x:v>423.87125</x:v>
      </x:c>
      <x:c r="K21" s="31" t="n">
        <x:v>0</x:v>
      </x:c>
      <x:c r="L21" s="31" t="n">
        <x:v>0</x:v>
      </x:c>
      <x:c r="M21" s="31" t="n">
        <x:v>423.87125</x:v>
      </x:c>
      <x:c r="N21" s="24" t="str">
        <x:v>muraenidae</x:v>
      </x:c>
      <x:c r="O21" s="32" t="n">
        <x:v>4.07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Muraenidae</x:v>
      </x:c>
      <x:c r="T21" s="32" t="n">
        <x:f>IF(O21="","",(1/'Metadata'!$B$5)^(O21-1))</x:f>
        <x:v>1174.8975549395302</x:v>
      </x:c>
      <x:c r="U21" s="31" t="n">
        <x:f>IF(T21="","",I21*T21)</x:f>
        <x:v>498005.2952341623</x:v>
      </x:c>
    </x:row>
    <x:row r="22" ht="18" customHeight="1">
      <x:c r="A22" s="24" t="str">
        <x:v>EEZ_928</x:v>
      </x:c>
      <x:c r="B22" s="24" t="str">
        <x:v>Colombia (Pacific)</x:v>
      </x:c>
      <x:c r="C22" s="24" t="str">
        <x:v>EEZ</x:v>
      </x:c>
      <x:c r="D22" s="30" t="n">
        <x:v>2019</x:v>
      </x:c>
      <x:c r="E22" s="24" t="str">
        <x:v>Labridae</x:v>
      </x:c>
      <x:c r="F22" s="24" t="str">
        <x:v>Wrasses, gropers, tuskfishes</x:v>
      </x:c>
      <x:c r="G22" s="24" t="str">
        <x:v>Medium reef assoc. fish (30 - 89 cm)</x:v>
      </x:c>
      <x:c r="H22" s="24" t="str">
        <x:v>Perch-likes</x:v>
      </x:c>
      <x:c r="I22" s="31" t="n">
        <x:v>423.87125</x:v>
      </x:c>
      <x:c r="J22" s="31" t="n">
        <x:v>423.87125</x:v>
      </x:c>
      <x:c r="K22" s="31" t="n">
        <x:v>0</x:v>
      </x:c>
      <x:c r="L22" s="31" t="n">
        <x:v>0</x:v>
      </x:c>
      <x:c r="M22" s="31" t="n">
        <x:v>423.87125</x:v>
      </x:c>
      <x:c r="N22" s="24" t="str">
        <x:v>labridae</x:v>
      </x:c>
      <x:c r="O22" s="32" t="n">
        <x:v>3.46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Labridae</x:v>
      </x:c>
      <x:c r="T22" s="32" t="n">
        <x:f>IF(O22="","",(1/'Metadata'!$B$5)^(O22-1))</x:f>
        <x:v>288.40315031266056</x:v>
      </x:c>
      <x:c r="U22" s="31" t="n">
        <x:f>IF(T22="","",I22*T22)</x:f>
        <x:v>122245.80382696532</x:v>
      </x:c>
    </x:row>
    <x:row r="23" ht="18" customHeight="1">
      <x:c r="A23" s="24" t="str">
        <x:v>EEZ_928</x:v>
      </x:c>
      <x:c r="B23" s="24" t="str">
        <x:v>Colombia (Pacific)</x:v>
      </x:c>
      <x:c r="C23" s="24" t="str">
        <x:v>EEZ</x:v>
      </x:c>
      <x:c r="D23" s="30" t="n">
        <x:v>2019</x:v>
      </x:c>
      <x:c r="E23" s="24" t="str">
        <x:v>Synodontidae</x:v>
      </x:c>
      <x:c r="F23" s="24" t="str">
        <x:v>Lizardfishes, sauries</x:v>
      </x:c>
      <x:c r="G23" s="24" t="str">
        <x:v>Medium demersals (30 - 89 cm)</x:v>
      </x:c>
      <x:c r="H23" s="24" t="str">
        <x:v>Other fishes &amp; inverts</x:v>
      </x:c>
      <x:c r="I23" s="31" t="n">
        <x:v>423.87125</x:v>
      </x:c>
      <x:c r="J23" s="31" t="n">
        <x:v>423.87125</x:v>
      </x:c>
      <x:c r="K23" s="31" t="n">
        <x:v>0</x:v>
      </x:c>
      <x:c r="L23" s="31" t="n">
        <x:v>0</x:v>
      </x:c>
      <x:c r="M23" s="31" t="n">
        <x:v>423.87125</x:v>
      </x:c>
      <x:c r="N23" s="24" t="str">
        <x:v>synodontidae</x:v>
      </x:c>
      <x:c r="O23" s="32" t="n">
        <x:v>4.3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Synodontidae</x:v>
      </x:c>
      <x:c r="T23" s="32" t="n">
        <x:f>IF(O23="","",(1/'Metadata'!$B$5)^(O23-1))</x:f>
        <x:v>1995.2623149688789</x:v>
      </x:c>
      <x:c r="U23" s="31" t="n">
        <x:f>IF(T23="","",I23*T23)</x:f>
        <x:v>845734.3315237523</x:v>
      </x:c>
    </x:row>
    <x:row r="24" ht="18" customHeight="1">
      <x:c r="A24" s="24" t="str">
        <x:v>EEZ_928</x:v>
      </x:c>
      <x:c r="B24" s="24" t="str">
        <x:v>Colombia (Pacific)</x:v>
      </x:c>
      <x:c r="C24" s="24" t="str">
        <x:v>EEZ</x:v>
      </x:c>
      <x:c r="D24" s="30" t="n">
        <x:v>2019</x:v>
      </x:c>
      <x:c r="E24" s="24" t="str">
        <x:v>Scaridae</x:v>
      </x:c>
      <x:c r="F24" s="24" t="str">
        <x:v>Parrotfishes</x:v>
      </x:c>
      <x:c r="G24" s="24" t="str">
        <x:v>Medium reef assoc. fish (30 - 89 cm)</x:v>
      </x:c>
      <x:c r="H24" s="24" t="str">
        <x:v>Perch-likes</x:v>
      </x:c>
      <x:c r="I24" s="31" t="n">
        <x:v>423.87125</x:v>
      </x:c>
      <x:c r="J24" s="31" t="n">
        <x:v>423.87125</x:v>
      </x:c>
      <x:c r="K24" s="31" t="n">
        <x:v>0</x:v>
      </x:c>
      <x:c r="L24" s="31" t="n">
        <x:v>0</x:v>
      </x:c>
      <x:c r="M24" s="31" t="n">
        <x:v>423.87125</x:v>
      </x:c>
      <x:c r="N24" s="24" t="str">
        <x:v>scaridae</x:v>
      </x:c>
      <x:c r="O24" s="32" t="n">
        <x:v>2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Scaridae</x:v>
      </x:c>
      <x:c r="T24" s="32" t="n">
        <x:f>IF(O24="","",(1/'Metadata'!$B$5)^(O24-1))</x:f>
        <x:v>10</x:v>
      </x:c>
      <x:c r="U24" s="31" t="n">
        <x:f>IF(T24="","",I24*T24)</x:f>
        <x:v>4238.7125</x:v>
      </x:c>
    </x:row>
    <x:row r="25" ht="18" customHeight="1">
      <x:c r="A25" s="24" t="str">
        <x:v>EEZ_928</x:v>
      </x:c>
      <x:c r="B25" s="24" t="str">
        <x:v>Colombia (Pacific)</x:v>
      </x:c>
      <x:c r="C25" s="24" t="str">
        <x:v>EEZ</x:v>
      </x:c>
      <x:c r="D25" s="30" t="n">
        <x:v>2019</x:v>
      </x:c>
      <x:c r="E25" s="24" t="str">
        <x:v>Protrachypene precipua</x:v>
      </x:c>
      <x:c r="F25" s="24" t="str">
        <x:v>Titi shrimp</x:v>
      </x:c>
      <x:c r="G25" s="24" t="str">
        <x:v>Shrimps</x:v>
      </x:c>
      <x:c r="H25" s="24" t="str">
        <x:v>Crustaceans</x:v>
      </x:c>
      <x:c r="I25" s="31" t="n">
        <x:v>411.5</x:v>
      </x:c>
      <x:c r="J25" s="31" t="n">
        <x:v>411.5</x:v>
      </x:c>
      <x:c r="K25" s="31" t="n">
        <x:v>0</x:v>
      </x:c>
      <x:c r="L25" s="31" t="n">
        <x:v>411.5</x:v>
      </x:c>
      <x:c r="M25" s="31" t="n">
        <x:v>0</x:v>
      </x:c>
      <x:c r="N25" s="24" t="str">
        <x:v>protrachypene precipua</x:v>
      </x:c>
      <x:c r="O25" s="32" t="n">
        <x:v>2.75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Protrachypene precipua</x:v>
      </x:c>
      <x:c r="T25" s="32" t="n">
        <x:f>IF(O25="","",(1/'Metadata'!$B$5)^(O25-1))</x:f>
        <x:v>56.23413251903491</x:v>
      </x:c>
      <x:c r="U25" s="31" t="n">
        <x:f>IF(T25="","",I25*T25)</x:f>
        <x:v>23140.345531582865</x:v>
      </x:c>
    </x:row>
    <x:row r="26" ht="18" customHeight="1">
      <x:c r="A26" s="24" t="str">
        <x:v>EEZ_928</x:v>
      </x:c>
      <x:c r="B26" s="24" t="str">
        <x:v>Colombia (Pacific)</x:v>
      </x:c>
      <x:c r="C26" s="24" t="str">
        <x:v>EEZ</x:v>
      </x:c>
      <x:c r="D26" s="30" t="n">
        <x:v>2019</x:v>
      </x:c>
      <x:c r="E26" s="24" t="str">
        <x:v>Carangidae</x:v>
      </x:c>
      <x:c r="F26" s="24" t="str">
        <x:v>Jacks, pompanos</x:v>
      </x:c>
      <x:c r="G26" s="24" t="str">
        <x:v>Medium pelagics (30 - 89 cm)</x:v>
      </x:c>
      <x:c r="H26" s="24" t="str">
        <x:v>Perch-likes</x:v>
      </x:c>
      <x:c r="I26" s="31" t="n">
        <x:v>406.1941111697</x:v>
      </x:c>
      <x:c r="J26" s="31" t="n">
        <x:v>340.7156704553</x:v>
      </x:c>
      <x:c r="K26" s="31" t="n">
        <x:v>65.4784407144</x:v>
      </x:c>
      <x:c r="L26" s="31" t="n">
        <x:v>231.57609682650002</x:v>
      </x:c>
      <x:c r="M26" s="31" t="n">
        <x:v>174.6180143432</x:v>
      </x:c>
      <x:c r="N26" s="24" t="str">
        <x:v>carangidae</x:v>
      </x:c>
      <x:c r="O26" s="32" t="n">
        <x:v>4.05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Carangidae</x:v>
      </x:c>
      <x:c r="T26" s="32" t="n">
        <x:f>IF(O26="","",(1/'Metadata'!$B$5)^(O26-1))</x:f>
        <x:v>1122.018454301963</x:v>
      </x:c>
      <x:c r="U26" s="31" t="n">
        <x:f>IF(T26="","",I26*T26)</x:f>
        <x:v>455757.28876118653</x:v>
      </x:c>
    </x:row>
    <x:row r="27" ht="18" customHeight="1">
      <x:c r="A27" s="24" t="str">
        <x:v>EEZ_928</x:v>
      </x:c>
      <x:c r="B27" s="24" t="str">
        <x:v>Colombia (Pacific)</x:v>
      </x:c>
      <x:c r="C27" s="24" t="str">
        <x:v>EEZ</x:v>
      </x:c>
      <x:c r="D27" s="30" t="n">
        <x:v>2019</x:v>
      </x:c>
      <x:c r="E27" s="24" t="str">
        <x:v>Penaeidae</x:v>
      </x:c>
      <x:c r="F27" s="24" t="str">
        <x:v>Commercial shrimps and prawns</x:v>
      </x:c>
      <x:c r="G27" s="24" t="str">
        <x:v>Shrimps</x:v>
      </x:c>
      <x:c r="H27" s="24" t="str">
        <x:v>Crustaceans</x:v>
      </x:c>
      <x:c r="I27" s="31" t="n">
        <x:v>369.46999999999997</x:v>
      </x:c>
      <x:c r="J27" s="31" t="n">
        <x:v>369.46999999999997</x:v>
      </x:c>
      <x:c r="K27" s="31" t="n">
        <x:v>0</x:v>
      </x:c>
      <x:c r="L27" s="31" t="n">
        <x:v>369.46999999999997</x:v>
      </x:c>
      <x:c r="M27" s="31" t="n">
        <x:v>0</x:v>
      </x:c>
      <x:c r="N27" s="24" t="str">
        <x:v>penaeidae</x:v>
      </x:c>
      <x:c r="O27" s="32" t="n">
        <x:v>3.31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Penaeidae</x:v>
      </x:c>
      <x:c r="T27" s="32" t="n">
        <x:f>IF(O27="","",(1/'Metadata'!$B$5)^(O27-1))</x:f>
        <x:v>204.17379446695296</x:v>
      </x:c>
      <x:c r="U27" s="31" t="n">
        <x:f>IF(T27="","",I27*T27)</x:f>
        <x:v>75436.0918417051</x:v>
      </x:c>
    </x:row>
    <x:row r="28" ht="18" customHeight="1">
      <x:c r="A28" s="24" t="str">
        <x:v>EEZ_928</x:v>
      </x:c>
      <x:c r="B28" s="24" t="str">
        <x:v>Colombia (Pacific)</x:v>
      </x:c>
      <x:c r="C28" s="24" t="str">
        <x:v>EEZ</x:v>
      </x:c>
      <x:c r="D28" s="30" t="n">
        <x:v>2019</x:v>
      </x:c>
      <x:c r="E28" s="24" t="str">
        <x:v>Selene peruviana</x:v>
      </x:c>
      <x:c r="F28" s="24" t="str">
        <x:v>Peruvian moonfish</x:v>
      </x:c>
      <x:c r="G28" s="24" t="str">
        <x:v>Small pelagics (&lt;30 cm)</x:v>
      </x:c>
      <x:c r="H28" s="24" t="str">
        <x:v>Perch-likes</x:v>
      </x:c>
      <x:c r="I28" s="31" t="n">
        <x:v>336.02</x:v>
      </x:c>
      <x:c r="J28" s="31" t="n">
        <x:v>336.02</x:v>
      </x:c>
      <x:c r="K28" s="31" t="n">
        <x:v>0</x:v>
      </x:c>
      <x:c r="L28" s="31" t="n">
        <x:v>336.02</x:v>
      </x:c>
      <x:c r="M28" s="31" t="n">
        <x:v>0</x:v>
      </x:c>
      <x:c r="N28" s="24" t="str">
        <x:v>selene peruviana</x:v>
      </x:c>
      <x:c r="O28" s="32" t="n">
        <x:v>4.26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Selene peruviana</x:v>
      </x:c>
      <x:c r="T28" s="32" t="n">
        <x:f>IF(O28="","",(1/'Metadata'!$B$5)^(O28-1))</x:f>
        <x:v>1819.7008586099826</x:v>
      </x:c>
      <x:c r="U28" s="31" t="n">
        <x:f>IF(T28="","",I28*T28)</x:f>
        <x:v>611455.8825101263</x:v>
      </x:c>
    </x:row>
    <x:row r="29" ht="18" customHeight="1">
      <x:c r="A29" s="24" t="str">
        <x:v>EEZ_928</x:v>
      </x:c>
      <x:c r="B29" s="24" t="str">
        <x:v>Colombia (Pacific)</x:v>
      </x:c>
      <x:c r="C29" s="24" t="str">
        <x:v>EEZ</x:v>
      </x:c>
      <x:c r="D29" s="30" t="n">
        <x:v>2019</x:v>
      </x:c>
      <x:c r="E29" s="24" t="str">
        <x:v>Hyporthodus acanthistius</x:v>
      </x:c>
      <x:c r="F29" s="24" t="str">
        <x:v>Rooster hind</x:v>
      </x:c>
      <x:c r="G29" s="24" t="str">
        <x:v>Large demersals (&gt;=90 cm)</x:v>
      </x:c>
      <x:c r="H29" s="24" t="str">
        <x:v>Perch-likes</x:v>
      </x:c>
      <x:c r="I29" s="31" t="n">
        <x:v>331.98999999999995</x:v>
      </x:c>
      <x:c r="J29" s="31" t="n">
        <x:v>331.98999999999995</x:v>
      </x:c>
      <x:c r="K29" s="31" t="n">
        <x:v>0</x:v>
      </x:c>
      <x:c r="L29" s="31" t="n">
        <x:v>331.98999999999995</x:v>
      </x:c>
      <x:c r="M29" s="31" t="n">
        <x:v>0</x:v>
      </x:c>
      <x:c r="N29" s="24" t="str">
        <x:v>hyporthodus acanthistius</x:v>
      </x:c>
      <x:c r="O29" s="32" t="n">
        <x:v>3.93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Hyporthodus acanthistius</x:v>
      </x:c>
      <x:c r="T29" s="32" t="n">
        <x:f>IF(O29="","",(1/'Metadata'!$B$5)^(O29-1))</x:f>
        <x:v>851.1380382023768</x:v>
      </x:c>
      <x:c r="U29" s="31" t="n">
        <x:f>IF(T29="","",I29*T29)</x:f>
        <x:v>282569.31730280706</x:v>
      </x:c>
    </x:row>
    <x:row r="30" ht="18" customHeight="1">
      <x:c r="A30" s="24" t="str">
        <x:v>EEZ_928</x:v>
      </x:c>
      <x:c r="B30" s="24" t="str">
        <x:v>Colombia (Pacific)</x:v>
      </x:c>
      <x:c r="C30" s="24" t="str">
        <x:v>EEZ</x:v>
      </x:c>
      <x:c r="D30" s="30" t="n">
        <x:v>2019</x:v>
      </x:c>
      <x:c r="E30" s="24" t="str">
        <x:v>Sphyraena</x:v>
      </x:c>
      <x:c r="F30" s="24" t="str">
        <x:v>Barracudas, sennets</x:v>
      </x:c>
      <x:c r="G30" s="24" t="str">
        <x:v>Large pelagics (&gt;=90 cm)</x:v>
      </x:c>
      <x:c r="H30" s="24" t="str">
        <x:v>Perch-likes</x:v>
      </x:c>
      <x:c r="I30" s="31" t="n">
        <x:v>329.10999999999996</x:v>
      </x:c>
      <x:c r="J30" s="31" t="n">
        <x:v>329.10999999999996</x:v>
      </x:c>
      <x:c r="K30" s="31" t="n">
        <x:v>0</x:v>
      </x:c>
      <x:c r="L30" s="31" t="n">
        <x:v>329.10999999999996</x:v>
      </x:c>
      <x:c r="M30" s="31" t="n">
        <x:v>0</x:v>
      </x:c>
      <x:c r="N30" s="24" t="str">
        <x:v>sphyraena</x:v>
      </x:c>
      <x:c r="O30" s="32" t="n">
        <x:v>4.4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Sphyraena</x:v>
      </x:c>
      <x:c r="T30" s="32" t="n">
        <x:f>IF(O30="","",(1/'Metadata'!$B$5)^(O30-1))</x:f>
        <x:v>2511.886431509582</x:v>
      </x:c>
      <x:c r="U30" s="31" t="n">
        <x:f>IF(T30="","",I30*T30)</x:f>
        <x:v>826686.9434741185</x:v>
      </x:c>
    </x:row>
    <x:row r="31" ht="18" customHeight="1">
      <x:c r="A31" s="24" t="str">
        <x:v>EEZ_928</x:v>
      </x:c>
      <x:c r="B31" s="24" t="str">
        <x:v>Colombia (Pacific)</x:v>
      </x:c>
      <x:c r="C31" s="24" t="str">
        <x:v>EEZ</x:v>
      </x:c>
      <x:c r="D31" s="30" t="n">
        <x:v>2019</x:v>
      </x:c>
      <x:c r="E31" s="24" t="str">
        <x:v>Sciades dowii</x:v>
      </x:c>
      <x:c r="F31" s="24" t="str">
        <x:v>Brown sea catfish</x:v>
      </x:c>
      <x:c r="G31" s="24" t="str">
        <x:v>Medium demersals (30 - 89 cm)</x:v>
      </x:c>
      <x:c r="H31" s="24" t="str">
        <x:v>Other fishes &amp; inverts</x:v>
      </x:c>
      <x:c r="I31" s="31" t="n">
        <x:v>294.86</x:v>
      </x:c>
      <x:c r="J31" s="31" t="n">
        <x:v>294.86</x:v>
      </x:c>
      <x:c r="K31" s="31" t="n">
        <x:v>0</x:v>
      </x:c>
      <x:c r="L31" s="31" t="n">
        <x:v>294.86</x:v>
      </x:c>
      <x:c r="M31" s="31" t="n">
        <x:v>0</x:v>
      </x:c>
      <x:c r="N31" s="24" t="str">
        <x:v>sciades dowii</x:v>
      </x:c>
      <x:c r="O31" s="32" t="n">
        <x:v>4.03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Sciades dowii</x:v>
      </x:c>
      <x:c r="T31" s="32" t="n">
        <x:f>IF(O31="","",(1/'Metadata'!$B$5)^(O31-1))</x:f>
        <x:v>1071.519305237607</x:v>
      </x:c>
      <x:c r="U31" s="31" t="n">
        <x:f>IF(T31="","",I31*T31)</x:f>
        <x:v>315948.18234236084</x:v>
      </x:c>
    </x:row>
    <x:row r="32" ht="18" customHeight="1">
      <x:c r="A32" s="24" t="str">
        <x:v>EEZ_928</x:v>
      </x:c>
      <x:c r="B32" s="24" t="str">
        <x:v>Colombia (Pacific)</x:v>
      </x:c>
      <x:c r="C32" s="24" t="str">
        <x:v>EEZ</x:v>
      </x:c>
      <x:c r="D32" s="30" t="n">
        <x:v>2019</x:v>
      </x:c>
      <x:c r="E32" s="24" t="str">
        <x:v>Epinephelus</x:v>
      </x:c>
      <x:c r="F32" s="24" t="str">
        <x:v>Seabasses, hinds</x:v>
      </x:c>
      <x:c r="G32" s="24" t="str">
        <x:v>Medium reef assoc. fish (30 - 89 cm)</x:v>
      </x:c>
      <x:c r="H32" s="24" t="str">
        <x:v>Perch-likes</x:v>
      </x:c>
      <x:c r="I32" s="31" t="n">
        <x:v>291.73</x:v>
      </x:c>
      <x:c r="J32" s="31" t="n">
        <x:v>291.73</x:v>
      </x:c>
      <x:c r="K32" s="31" t="n">
        <x:v>0</x:v>
      </x:c>
      <x:c r="L32" s="31" t="n">
        <x:v>291.73</x:v>
      </x:c>
      <x:c r="M32" s="31" t="n">
        <x:v>0</x:v>
      </x:c>
      <x:c r="N32" s="24" t="str">
        <x:v>epinephelus</x:v>
      </x:c>
      <x:c r="O32" s="32" t="n">
        <x:v>3.84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Epinephelus</x:v>
      </x:c>
      <x:c r="T32" s="32" t="n">
        <x:f>IF(O32="","",(1/'Metadata'!$B$5)^(O32-1))</x:f>
        <x:v>691.8309709189363</x:v>
      </x:c>
      <x:c r="U32" s="31" t="n">
        <x:f>IF(T32="","",I32*T32)</x:f>
        <x:v>201827.84914618128</x:v>
      </x:c>
    </x:row>
    <x:row r="33" ht="18" customHeight="1">
      <x:c r="A33" s="24" t="str">
        <x:v>EEZ_928</x:v>
      </x:c>
      <x:c r="B33" s="24" t="str">
        <x:v>Colombia (Pacific)</x:v>
      </x:c>
      <x:c r="C33" s="24" t="str">
        <x:v>EEZ</x:v>
      </x:c>
      <x:c r="D33" s="30" t="n">
        <x:v>2019</x:v>
      </x:c>
      <x:c r="E33" s="24" t="str">
        <x:v>Gerreidae</x:v>
      </x:c>
      <x:c r="F33" s="24" t="str">
        <x:v>Mojarras, silverbellies</x:v>
      </x:c>
      <x:c r="G33" s="24" t="str">
        <x:v>Small benthopelagics (&lt;30 cm)</x:v>
      </x:c>
      <x:c r="H33" s="24" t="str">
        <x:v>Perch-likes</x:v>
      </x:c>
      <x:c r="I33" s="31" t="n">
        <x:v>281.5657366139</x:v>
      </x:c>
      <x:c r="J33" s="31" t="n">
        <x:v>224.8873558884</x:v>
      </x:c>
      <x:c r="K33" s="31" t="n">
        <x:v>56.6783807255</x:v>
      </x:c>
      <x:c r="L33" s="31" t="n">
        <x:v>117.9865573571</x:v>
      </x:c>
      <x:c r="M33" s="31" t="n">
        <x:v>163.57917925680002</x:v>
      </x:c>
      <x:c r="N33" s="24" t="str">
        <x:v>gerreidae</x:v>
      </x:c>
      <x:c r="O33" s="32" t="n">
        <x:v>3.03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Gerreidae</x:v>
      </x:c>
      <x:c r="T33" s="32" t="n">
        <x:f>IF(O33="","",(1/'Metadata'!$B$5)^(O33-1))</x:f>
        <x:v>107.1519305237606</x:v>
      </x:c>
      <x:c r="U33" s="31" t="n">
        <x:f>IF(T33="","",I33*T33)</x:f>
        <x:v>30170.31224752409</x:v>
      </x:c>
    </x:row>
    <x:row r="34" ht="18" customHeight="1">
      <x:c r="A34" s="24" t="str">
        <x:v>EEZ_928</x:v>
      </x:c>
      <x:c r="B34" s="24" t="str">
        <x:v>Colombia (Pacific)</x:v>
      </x:c>
      <x:c r="C34" s="24" t="str">
        <x:v>EEZ</x:v>
      </x:c>
      <x:c r="D34" s="30" t="n">
        <x:v>2019</x:v>
      </x:c>
      <x:c r="E34" s="24" t="str">
        <x:v>Caranx</x:v>
      </x:c>
      <x:c r="F34" s="24" t="str">
        <x:v>Jacks</x:v>
      </x:c>
      <x:c r="G34" s="24" t="str">
        <x:v>Medium reef assoc. fish (30 - 89 cm)</x:v>
      </x:c>
      <x:c r="H34" s="24" t="str">
        <x:v>Perch-likes</x:v>
      </x:c>
      <x:c r="I34" s="31" t="n">
        <x:v>271.52</x:v>
      </x:c>
      <x:c r="J34" s="31" t="n">
        <x:v>271.52</x:v>
      </x:c>
      <x:c r="K34" s="31" t="n">
        <x:v>0</x:v>
      </x:c>
      <x:c r="L34" s="31" t="n">
        <x:v>271.52</x:v>
      </x:c>
      <x:c r="M34" s="31" t="n">
        <x:v>0</x:v>
      </x:c>
      <x:c r="N34" s="24" t="str">
        <x:v>caranx</x:v>
      </x:c>
      <x:c r="O34" s="32" t="n">
        <x:v>4.12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Caranx</x:v>
      </x:c>
      <x:c r="T34" s="32" t="n">
        <x:f>IF(O34="","",(1/'Metadata'!$B$5)^(O34-1))</x:f>
        <x:v>1318.2567385564075</x:v>
      </x:c>
      <x:c r="U34" s="31" t="n">
        <x:f>IF(T34="","",I34*T34)</x:f>
        <x:v>357933.0696528357</x:v>
      </x:c>
    </x:row>
    <x:row r="35" ht="18" customHeight="1">
      <x:c r="A35" s="24" t="str">
        <x:v>EEZ_928</x:v>
      </x:c>
      <x:c r="B35" s="24" t="str">
        <x:v>Colombia (Pacific)</x:v>
      </x:c>
      <x:c r="C35" s="24" t="str">
        <x:v>EEZ</x:v>
      </x:c>
      <x:c r="D35" s="30" t="n">
        <x:v>2019</x:v>
      </x:c>
      <x:c r="E35" s="24" t="str">
        <x:v>Caranx caninus</x:v>
      </x:c>
      <x:c r="F35" s="24" t="str">
        <x:v>Pacific crevalle jack</x:v>
      </x:c>
      <x:c r="G35" s="24" t="str">
        <x:v>Large pelagics (&gt;=90 cm)</x:v>
      </x:c>
      <x:c r="H35" s="24" t="str">
        <x:v>Tuna &amp; billfishes</x:v>
      </x:c>
      <x:c r="I35" s="31" t="n">
        <x:v>263.05</x:v>
      </x:c>
      <x:c r="J35" s="31" t="n">
        <x:v>263.05</x:v>
      </x:c>
      <x:c r="K35" s="31" t="n">
        <x:v>0</x:v>
      </x:c>
      <x:c r="L35" s="31" t="n">
        <x:v>263.05</x:v>
      </x:c>
      <x:c r="M35" s="31" t="n">
        <x:v>0</x:v>
      </x:c>
      <x:c r="N35" s="24" t="str">
        <x:v>caranx caninus</x:v>
      </x:c>
      <x:c r="O35" s="32" t="n">
        <x:v>3.9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Caranx caninus</x:v>
      </x:c>
      <x:c r="T35" s="32" t="n">
        <x:f>IF(O35="","",(1/'Metadata'!$B$5)^(O35-1))</x:f>
        <x:v>794.3282347242813</x:v>
      </x:c>
      <x:c r="U35" s="31" t="n">
        <x:f>IF(T35="","",I35*T35)</x:f>
        <x:v>208948.0421442222</x:v>
      </x:c>
    </x:row>
    <x:row r="36" ht="18" customHeight="1">
      <x:c r="A36" s="24" t="str">
        <x:v>EEZ_928</x:v>
      </x:c>
      <x:c r="B36" s="24" t="str">
        <x:v>Colombia (Pacific)</x:v>
      </x:c>
      <x:c r="C36" s="24" t="str">
        <x:v>EEZ</x:v>
      </x:c>
      <x:c r="D36" s="30" t="n">
        <x:v>2019</x:v>
      </x:c>
      <x:c r="E36" s="24" t="str">
        <x:v>Thunnus obesus</x:v>
      </x:c>
      <x:c r="F36" s="24" t="str">
        <x:v>Bigeye tuna</x:v>
      </x:c>
      <x:c r="G36" s="24" t="str">
        <x:v>Large pelagics (&gt;=90 cm)</x:v>
      </x:c>
      <x:c r="H36" s="24" t="str">
        <x:v>Tuna &amp; billfishes</x:v>
      </x:c>
      <x:c r="I36" s="31" t="n">
        <x:v>229.722316127</x:v>
      </x:c>
      <x:c r="J36" s="31" t="n">
        <x:v>221.6985050387</x:v>
      </x:c>
      <x:c r="K36" s="31" t="n">
        <x:v>8.0238110883</x:v>
      </x:c>
      <x:c r="L36" s="31" t="n">
        <x:v>221.6985050387</x:v>
      </x:c>
      <x:c r="M36" s="31" t="n">
        <x:v>8.0238110883</x:v>
      </x:c>
      <x:c r="N36" s="24" t="str">
        <x:v>thunnus obesus</x:v>
      </x:c>
      <x:c r="O36" s="32" t="n">
        <x:v>4.49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Thunnus obesus</x:v>
      </x:c>
      <x:c r="T36" s="32" t="n">
        <x:f>IF(O36="","",(1/'Metadata'!$B$5)^(O36-1))</x:f>
        <x:v>3090.295432513592</x:v>
      </x:c>
      <x:c r="U36" s="31" t="n">
        <x:f>IF(T36="","",I36*T36)</x:f>
        <x:v>709909.8242737115</x:v>
      </x:c>
    </x:row>
    <x:row r="37" ht="18" customHeight="1">
      <x:c r="A37" s="24" t="str">
        <x:v>EEZ_928</x:v>
      </x:c>
      <x:c r="B37" s="24" t="str">
        <x:v>Colombia (Pacific)</x:v>
      </x:c>
      <x:c r="C37" s="24" t="str">
        <x:v>EEZ</x:v>
      </x:c>
      <x:c r="D37" s="30" t="n">
        <x:v>2019</x:v>
      </x:c>
      <x:c r="E37" s="24" t="str">
        <x:v>Lutjanidae</x:v>
      </x:c>
      <x:c r="F37" s="24" t="str">
        <x:v>Snappers</x:v>
      </x:c>
      <x:c r="G37" s="24" t="str">
        <x:v>Medium reef assoc. fish (30 - 89 cm)</x:v>
      </x:c>
      <x:c r="H37" s="24" t="str">
        <x:v>Perch-likes</x:v>
      </x:c>
      <x:c r="I37" s="31" t="n">
        <x:v>218.67604925269998</x:v>
      </x:c>
      <x:c r="J37" s="31" t="n">
        <x:v>218.67604925269998</x:v>
      </x:c>
      <x:c r="K37" s="31" t="n">
        <x:v>0</x:v>
      </x:c>
      <x:c r="L37" s="31" t="n">
        <x:v>218.67604925269998</x:v>
      </x:c>
      <x:c r="M37" s="31" t="n">
        <x:v>0</x:v>
      </x:c>
      <x:c r="N37" s="24" t="str">
        <x:v>lutjanidae</x:v>
      </x:c>
      <x:c r="O37" s="32" t="n">
        <x:v>4.02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Lutjanidae</x:v>
      </x:c>
      <x:c r="T37" s="32" t="n">
        <x:f>IF(O37="","",(1/'Metadata'!$B$5)^(O37-1))</x:f>
        <x:v>1047.1285480508984</x:v>
      </x:c>
      <x:c r="U37" s="31" t="n">
        <x:f>IF(T37="","",I37*T37)</x:f>
        <x:v>228981.93394748648</x:v>
      </x:c>
    </x:row>
    <x:row r="38" ht="18" customHeight="1">
      <x:c r="A38" s="24" t="str">
        <x:v>EEZ_928</x:v>
      </x:c>
      <x:c r="B38" s="24" t="str">
        <x:v>Colombia (Pacific)</x:v>
      </x:c>
      <x:c r="C38" s="24" t="str">
        <x:v>EEZ</x:v>
      </x:c>
      <x:c r="D38" s="30" t="n">
        <x:v>2019</x:v>
      </x:c>
      <x:c r="E38" s="24" t="str">
        <x:v>Euthynnus lineatus</x:v>
      </x:c>
      <x:c r="F38" s="24" t="str">
        <x:v>Black skipjack</x:v>
      </x:c>
      <x:c r="G38" s="24" t="str">
        <x:v>Medium pelagics (30 - 89 cm)</x:v>
      </x:c>
      <x:c r="H38" s="24" t="str">
        <x:v>Tuna &amp; billfishes</x:v>
      </x:c>
      <x:c r="I38" s="31" t="n">
        <x:v>217.6731494673</x:v>
      </x:c>
      <x:c r="J38" s="31" t="n">
        <x:v>217.6731494673</x:v>
      </x:c>
      <x:c r="K38" s="31" t="n">
        <x:v>0</x:v>
      </x:c>
      <x:c r="L38" s="31" t="n">
        <x:v>217.6731494673</x:v>
      </x:c>
      <x:c r="M38" s="31" t="n">
        <x:v>0</x:v>
      </x:c>
      <x:c r="N38" s="24" t="str">
        <x:v>euthynnus lineatus</x:v>
      </x:c>
      <x:c r="O38" s="32" t="n">
        <x:v>3.83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Euthynnus lineatus</x:v>
      </x:c>
      <x:c r="T38" s="32" t="n">
        <x:f>IF(O38="","",(1/'Metadata'!$B$5)^(O38-1))</x:f>
        <x:v>676.0829753919819</x:v>
      </x:c>
      <x:c r="U38" s="31" t="n">
        <x:f>IF(T38="","",I38*T38)</x:f>
        <x:v>147165.11055479577</x:v>
      </x:c>
    </x:row>
    <x:row r="39" ht="18" customHeight="1">
      <x:c r="A39" s="24" t="str">
        <x:v>EEZ_928</x:v>
      </x:c>
      <x:c r="B39" s="24" t="str">
        <x:v>Colombia (Pacific)</x:v>
      </x:c>
      <x:c r="C39" s="24" t="str">
        <x:v>EEZ</x:v>
      </x:c>
      <x:c r="D39" s="30" t="n">
        <x:v>2019</x:v>
      </x:c>
      <x:c r="E39" s="24" t="str">
        <x:v>Prionace glauca</x:v>
      </x:c>
      <x:c r="F39" s="24" t="str">
        <x:v>Blue shark</x:v>
      </x:c>
      <x:c r="G39" s="24" t="str">
        <x:v>Large sharks (&gt;=90 cm)</x:v>
      </x:c>
      <x:c r="H39" s="24" t="str">
        <x:v>Sharks &amp; rays</x:v>
      </x:c>
      <x:c r="I39" s="31" t="n">
        <x:v>201.7645238366</x:v>
      </x:c>
      <x:c r="J39" s="31" t="n">
        <x:v>188.59</x:v>
      </x:c>
      <x:c r="K39" s="31" t="n">
        <x:v>13.1745238366</x:v>
      </x:c>
      <x:c r="L39" s="31" t="n">
        <x:v>188.59</x:v>
      </x:c>
      <x:c r="M39" s="31" t="n">
        <x:v>13.1745238366</x:v>
      </x:c>
      <x:c r="N39" s="24" t="str">
        <x:v>prionace glauca</x:v>
      </x:c>
      <x:c r="O39" s="32" t="n">
        <x:v>4.35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Prionace glauca</x:v>
      </x:c>
      <x:c r="T39" s="32" t="n">
        <x:f>IF(O39="","",(1/'Metadata'!$B$5)^(O39-1))</x:f>
        <x:v>2238.7211385683377</x:v>
      </x:c>
      <x:c r="U39" s="31" t="n">
        <x:f>IF(T39="","",I39*T39)</x:f>
        <x:v>451694.50452617166</x:v>
      </x:c>
    </x:row>
    <x:row r="40" ht="18" customHeight="1">
      <x:c r="A40" s="24" t="str">
        <x:v>EEZ_928</x:v>
      </x:c>
      <x:c r="B40" s="24" t="str">
        <x:v>Colombia (Pacific)</x:v>
      </x:c>
      <x:c r="C40" s="24" t="str">
        <x:v>EEZ</x:v>
      </x:c>
      <x:c r="D40" s="30" t="n">
        <x:v>2019</x:v>
      </x:c>
      <x:c r="E40" s="24" t="str">
        <x:v>Marine pelagic fishes not identified</x:v>
      </x:c>
      <x:c r="F40" s="24" t="str">
        <x:v>Pelagic fishes</x:v>
      </x:c>
      <x:c r="G40" s="24" t="str">
        <x:v>Medium pelagics (30 - 89 cm)</x:v>
      </x:c>
      <x:c r="H40" s="24" t="str">
        <x:v>Other fishes &amp; inverts</x:v>
      </x:c>
      <x:c r="I40" s="31" t="n">
        <x:v>187.1975227652</x:v>
      </x:c>
      <x:c r="J40" s="31" t="n">
        <x:v>187.1975227652</x:v>
      </x:c>
      <x:c r="K40" s="31" t="n">
        <x:v>0</x:v>
      </x:c>
      <x:c r="L40" s="31" t="n">
        <x:v>187.1975227652</x:v>
      </x:c>
      <x:c r="M40" s="31" t="n">
        <x:v>0</x:v>
      </x:c>
      <x:c r="N40" s="24" t="str">
        <x:v>marine pelagic fishes not identified</x:v>
      </x:c>
      <x:c r="O40" s="32" t="n">
        <x:v>3.35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Marine pelagic fishes not identified</x:v>
      </x:c>
      <x:c r="T40" s="32" t="n">
        <x:f>IF(O40="","",(1/'Metadata'!$B$5)^(O40-1))</x:f>
        <x:v>223.872113856834</x:v>
      </x:c>
      <x:c r="U40" s="31" t="n">
        <x:f>IF(T40="","",I40*T40)</x:f>
        <x:v>41908.30513020813</x:v>
      </x:c>
    </x:row>
    <x:row r="41" ht="18" customHeight="1">
      <x:c r="A41" s="24" t="str">
        <x:v>EEZ_928</x:v>
      </x:c>
      <x:c r="B41" s="24" t="str">
        <x:v>Colombia (Pacific)</x:v>
      </x:c>
      <x:c r="C41" s="24" t="str">
        <x:v>EEZ</x:v>
      </x:c>
      <x:c r="D41" s="30" t="n">
        <x:v>2019</x:v>
      </x:c>
      <x:c r="E41" s="24" t="str">
        <x:v>Epinephelus quinquefasciatus</x:v>
      </x:c>
      <x:c r="F41" s="24" t="str">
        <x:v>Pacific goliath grouper</x:v>
      </x:c>
      <x:c r="G41" s="24" t="str">
        <x:v>Large reef assoc. fish (&gt;=90 cm)</x:v>
      </x:c>
      <x:c r="H41" s="24" t="str">
        <x:v>Perch-likes</x:v>
      </x:c>
      <x:c r="I41" s="31" t="n">
        <x:v>185.92</x:v>
      </x:c>
      <x:c r="J41" s="31" t="n">
        <x:v>185.92</x:v>
      </x:c>
      <x:c r="K41" s="31" t="n">
        <x:v>0</x:v>
      </x:c>
      <x:c r="L41" s="31" t="n">
        <x:v>185.92</x:v>
      </x:c>
      <x:c r="M41" s="31" t="n">
        <x:v>0</x:v>
      </x:c>
      <x:c r="N41" s="24" t="str">
        <x:v>epinephelus quinquefasciatus</x:v>
      </x:c>
      <x:c r="O41" s="32" t="n">
        <x:v>4.2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Epinephelus quinquefasciatus</x:v>
      </x:c>
      <x:c r="T41" s="32" t="n">
        <x:f>IF(O41="","",(1/'Metadata'!$B$5)^(O41-1))</x:f>
        <x:v>1584.893192461114</x:v>
      </x:c>
      <x:c r="U41" s="31" t="n">
        <x:f>IF(T41="","",I41*T41)</x:f>
        <x:v>294663.3423423703</x:v>
      </x:c>
    </x:row>
    <x:row r="42" ht="18" customHeight="1">
      <x:c r="A42" s="24" t="str">
        <x:v>EEZ_928</x:v>
      </x:c>
      <x:c r="B42" s="24" t="str">
        <x:v>Colombia (Pacific)</x:v>
      </x:c>
      <x:c r="C42" s="24" t="str">
        <x:v>EEZ</x:v>
      </x:c>
      <x:c r="D42" s="30" t="n">
        <x:v>2019</x:v>
      </x:c>
      <x:c r="E42" s="24" t="str">
        <x:v>Elasmobranchii</x:v>
      </x:c>
      <x:c r="F42" s="24" t="str">
        <x:v>Sharks, rays, skates</x:v>
      </x:c>
      <x:c r="G42" s="24" t="str">
        <x:v>Large sharks (&gt;=90 cm)</x:v>
      </x:c>
      <x:c r="H42" s="24" t="str">
        <x:v>Sharks &amp; rays</x:v>
      </x:c>
      <x:c r="I42" s="31" t="n">
        <x:v>185.4490031239</x:v>
      </x:c>
      <x:c r="J42" s="31" t="n">
        <x:v>151.7985741825</x:v>
      </x:c>
      <x:c r="K42" s="31" t="n">
        <x:v>33.6504289414</x:v>
      </x:c>
      <x:c r="L42" s="31" t="n">
        <x:v>151.7985741825</x:v>
      </x:c>
      <x:c r="M42" s="31" t="n">
        <x:v>33.6504289414</x:v>
      </x:c>
      <x:c r="N42" s="24" t="str">
        <x:v>elasmobranchii</x:v>
      </x:c>
      <x:c r="O42" s="32" t="n">
        <x:v>4.05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Elasmobranchii</x:v>
      </x:c>
      <x:c r="T42" s="32" t="n">
        <x:f>IF(O42="","",(1/'Metadata'!$B$5)^(O42-1))</x:f>
        <x:v>1122.018454301963</x:v>
      </x:c>
      <x:c r="U42" s="31" t="n">
        <x:f>IF(T42="","",I42*T42)</x:f>
        <x:v>208077.2038369182</x:v>
      </x:c>
    </x:row>
    <x:row r="43" ht="18" customHeight="1">
      <x:c r="A43" s="24" t="str">
        <x:v>EEZ_928</x:v>
      </x:c>
      <x:c r="B43" s="24" t="str">
        <x:v>Colombia (Pacific)</x:v>
      </x:c>
      <x:c r="C43" s="24" t="str">
        <x:v>EEZ</x:v>
      </x:c>
      <x:c r="D43" s="30" t="n">
        <x:v>2019</x:v>
      </x:c>
      <x:c r="E43" s="24" t="str">
        <x:v>Malacanthidae</x:v>
      </x:c>
      <x:c r="F43" s="24" t="str">
        <x:v>Tilefishes</x:v>
      </x:c>
      <x:c r="G43" s="24" t="str">
        <x:v>Medium demersals (30 - 89 cm)</x:v>
      </x:c>
      <x:c r="H43" s="24" t="str">
        <x:v>Perch-likes</x:v>
      </x:c>
      <x:c r="I43" s="31" t="n">
        <x:v>184.03</x:v>
      </x:c>
      <x:c r="J43" s="31" t="n">
        <x:v>184.03</x:v>
      </x:c>
      <x:c r="K43" s="31" t="n">
        <x:v>0</x:v>
      </x:c>
      <x:c r="L43" s="31" t="n">
        <x:v>184.03</x:v>
      </x:c>
      <x:c r="M43" s="31" t="n">
        <x:v>0</x:v>
      </x:c>
      <x:c r="N43" s="24" t="str">
        <x:v>malacanthidae</x:v>
      </x:c>
      <x:c r="O43" s="32" t="n">
        <x:v>3.62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Malacanthidae</x:v>
      </x:c>
      <x:c r="T43" s="32" t="n">
        <x:f>IF(O43="","",(1/'Metadata'!$B$5)^(O43-1))</x:f>
        <x:v>416.8693834703355</x:v>
      </x:c>
      <x:c r="U43" s="31" t="n">
        <x:f>IF(T43="","",I43*T43)</x:f>
        <x:v>76716.47264004585</x:v>
      </x:c>
    </x:row>
    <x:row r="44" ht="18" customHeight="1">
      <x:c r="A44" s="24" t="str">
        <x:v>EEZ_928</x:v>
      </x:c>
      <x:c r="B44" s="24" t="str">
        <x:v>Colombia (Pacific)</x:v>
      </x:c>
      <x:c r="C44" s="24" t="str">
        <x:v>EEZ</x:v>
      </x:c>
      <x:c r="D44" s="30" t="n">
        <x:v>2019</x:v>
      </x:c>
      <x:c r="E44" s="24" t="str">
        <x:v>Coryphaena hippurus</x:v>
      </x:c>
      <x:c r="F44" s="24" t="str">
        <x:v>Common dolphinfish</x:v>
      </x:c>
      <x:c r="G44" s="24" t="str">
        <x:v>Large pelagics (&gt;=90 cm)</x:v>
      </x:c>
      <x:c r="H44" s="24" t="str">
        <x:v>Perch-likes</x:v>
      </x:c>
      <x:c r="I44" s="31" t="n">
        <x:v>168.52857163290003</x:v>
      </x:c>
      <x:c r="J44" s="31" t="n">
        <x:v>133.13000000000002</x:v>
      </x:c>
      <x:c r="K44" s="31" t="n">
        <x:v>35.3985716329</x:v>
      </x:c>
      <x:c r="L44" s="31" t="n">
        <x:v>133.13000000000002</x:v>
      </x:c>
      <x:c r="M44" s="31" t="n">
        <x:v>35.3985716329</x:v>
      </x:c>
      <x:c r="N44" s="24" t="str">
        <x:v>coryphaena hippurus</x:v>
      </x:c>
      <x:c r="O44" s="32" t="n">
        <x:v>4.37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Coryphaena hippurus</x:v>
      </x:c>
      <x:c r="T44" s="32" t="n">
        <x:f>IF(O44="","",(1/'Metadata'!$B$5)^(O44-1))</x:f>
        <x:v>2344.228815319923</x:v>
      </x:c>
      <x:c r="U44" s="31" t="n">
        <x:f>IF(T44="","",I44*T44)</x:f>
        <x:v>395069.533826552</x:v>
      </x:c>
    </x:row>
    <x:row r="45" ht="18" customHeight="1">
      <x:c r="A45" s="24" t="str">
        <x:v>EEZ_928</x:v>
      </x:c>
      <x:c r="B45" s="24" t="str">
        <x:v>Colombia (Pacific)</x:v>
      </x:c>
      <x:c r="C45" s="24" t="str">
        <x:v>EEZ</x:v>
      </x:c>
      <x:c r="D45" s="30" t="n">
        <x:v>2019</x:v>
      </x:c>
      <x:c r="E45" s="24" t="str">
        <x:v>Ariopsis seemanni</x:v>
      </x:c>
      <x:c r="F45" s="24" t="str">
        <x:v>Tete sea catfish</x:v>
      </x:c>
      <x:c r="G45" s="24" t="str">
        <x:v>Medium reef assoc. fish (30 - 89 cm)</x:v>
      </x:c>
      <x:c r="H45" s="24" t="str">
        <x:v>Other fishes &amp; inverts</x:v>
      </x:c>
      <x:c r="I45" s="31" t="n">
        <x:v>168.36</x:v>
      </x:c>
      <x:c r="J45" s="31" t="n">
        <x:v>168.36</x:v>
      </x:c>
      <x:c r="K45" s="31" t="n">
        <x:v>0</x:v>
      </x:c>
      <x:c r="L45" s="31" t="n">
        <x:v>168.36</x:v>
      </x:c>
      <x:c r="M45" s="31" t="n">
        <x:v>0</x:v>
      </x:c>
      <x:c r="N45" s="24" t="str">
        <x:v>ariopsis seemanni</x:v>
      </x:c>
      <x:c r="O45" s="32" t="n">
        <x:v>3.57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Ariopsis seemanni</x:v>
      </x:c>
      <x:c r="T45" s="32" t="n">
        <x:f>IF(O45="","",(1/'Metadata'!$B$5)^(O45-1))</x:f>
        <x:v>371.5352290971724</x:v>
      </x:c>
      <x:c r="U45" s="31" t="n">
        <x:f>IF(T45="","",I45*T45)</x:f>
        <x:v>62551.67117079996</x:v>
      </x:c>
    </x:row>
    <x:row r="46" ht="18" customHeight="1">
      <x:c r="A46" s="24" t="str">
        <x:v>EEZ_928</x:v>
      </x:c>
      <x:c r="B46" s="24" t="str">
        <x:v>Colombia (Pacific)</x:v>
      </x:c>
      <x:c r="C46" s="24" t="str">
        <x:v>EEZ</x:v>
      </x:c>
      <x:c r="D46" s="30" t="n">
        <x:v>2019</x:v>
      </x:c>
      <x:c r="E46" s="24" t="str">
        <x:v>Polynemidae</x:v>
      </x:c>
      <x:c r="F46" s="24" t="str">
        <x:v>Threadfins</x:v>
      </x:c>
      <x:c r="G46" s="24" t="str">
        <x:v>Small demersals (&lt;30 cm)</x:v>
      </x:c>
      <x:c r="H46" s="24" t="str">
        <x:v>Perch-likes</x:v>
      </x:c>
      <x:c r="I46" s="31" t="n">
        <x:v>156.8912691696</x:v>
      </x:c>
      <x:c r="J46" s="31" t="n">
        <x:v>156.8912691696</x:v>
      </x:c>
      <x:c r="K46" s="31" t="n">
        <x:v>0</x:v>
      </x:c>
      <x:c r="L46" s="31" t="n">
        <x:v>156.8912691696</x:v>
      </x:c>
      <x:c r="M46" s="31" t="n">
        <x:v>0</x:v>
      </x:c>
      <x:c r="N46" s="24" t="str">
        <x:v>polynemidae</x:v>
      </x:c>
      <x:c r="O46" s="32" t="n">
        <x:v>3.62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Polynemidae</x:v>
      </x:c>
      <x:c r="T46" s="32" t="n">
        <x:f>IF(O46="","",(1/'Metadata'!$B$5)^(O46-1))</x:f>
        <x:v>416.8693834703355</x:v>
      </x:c>
      <x:c r="U46" s="31" t="n">
        <x:f>IF(T46="","",I46*T46)</x:f>
        <x:v>65403.16665060961</x:v>
      </x:c>
    </x:row>
    <x:row r="47" ht="18" customHeight="1">
      <x:c r="A47" s="24" t="str">
        <x:v>EEZ_928</x:v>
      </x:c>
      <x:c r="B47" s="24" t="str">
        <x:v>Colombia (Pacific)</x:v>
      </x:c>
      <x:c r="C47" s="24" t="str">
        <x:v>EEZ</x:v>
      </x:c>
      <x:c r="D47" s="30" t="n">
        <x:v>2019</x:v>
      </x:c>
      <x:c r="E47" s="24" t="str">
        <x:v>Hemiramphus</x:v>
      </x:c>
      <x:c r="F47" s="24" t="str">
        <x:v>Halfbeaks</x:v>
      </x:c>
      <x:c r="G47" s="24" t="str">
        <x:v>Medium pelagics (30 - 89 cm)</x:v>
      </x:c>
      <x:c r="H47" s="24" t="str">
        <x:v>Other fishes &amp; inverts</x:v>
      </x:c>
      <x:c r="I47" s="31" t="n">
        <x:v>145.64999999999998</x:v>
      </x:c>
      <x:c r="J47" s="31" t="n">
        <x:v>145.64999999999998</x:v>
      </x:c>
      <x:c r="K47" s="31" t="n">
        <x:v>0</x:v>
      </x:c>
      <x:c r="L47" s="31" t="n">
        <x:v>145.64999999999998</x:v>
      </x:c>
      <x:c r="M47" s="31" t="n">
        <x:v>0</x:v>
      </x:c>
      <x:c r="N47" s="24" t="str">
        <x:v>hemiramphus</x:v>
      </x:c>
      <x:c r="O47" s="32" t="n">
        <x:v>3.05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Hemiramphus</x:v>
      </x:c>
      <x:c r="T47" s="32" t="n">
        <x:f>IF(O47="","",(1/'Metadata'!$B$5)^(O47-1))</x:f>
        <x:v>112.2018454301963</x:v>
      </x:c>
      <x:c r="U47" s="31" t="n">
        <x:f>IF(T47="","",I47*T47)</x:f>
        <x:v>16342.19878690809</x:v>
      </x:c>
    </x:row>
    <x:row r="48" ht="18" customHeight="1">
      <x:c r="A48" s="24" t="str">
        <x:v>EEZ_928</x:v>
      </x:c>
      <x:c r="B48" s="24" t="str">
        <x:v>Colombia (Pacific)</x:v>
      </x:c>
      <x:c r="C48" s="24" t="str">
        <x:v>EEZ</x:v>
      </x:c>
      <x:c r="D48" s="30" t="n">
        <x:v>2019</x:v>
      </x:c>
      <x:c r="E48" s="24" t="str">
        <x:v>Callinectes toxotes</x:v>
      </x:c>
      <x:c r="F48" s="24" t="str">
        <x:v>Giant swimcrab</x:v>
      </x:c>
      <x:c r="G48" s="24" t="str">
        <x:v>Lobsters, crabs</x:v>
      </x:c>
      <x:c r="H48" s="24" t="str">
        <x:v>Crustaceans</x:v>
      </x:c>
      <x:c r="I48" s="31" t="n">
        <x:v>145.52</x:v>
      </x:c>
      <x:c r="J48" s="31" t="n">
        <x:v>145.52</x:v>
      </x:c>
      <x:c r="K48" s="31" t="n">
        <x:v>0</x:v>
      </x:c>
      <x:c r="L48" s="31" t="n">
        <x:v>145.52</x:v>
      </x:c>
      <x:c r="M48" s="31" t="n">
        <x:v>0</x:v>
      </x:c>
      <x:c r="N48" s="24" t="str">
        <x:v>callinectes toxotes</x:v>
      </x:c>
      <x:c r="O48" s="32" t="n">
        <x:v>3.63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Callinectes toxotes</x:v>
      </x:c>
      <x:c r="T48" s="32" t="n">
        <x:f>IF(O48="","",(1/'Metadata'!$B$5)^(O48-1))</x:f>
        <x:v>426.57951880159254</x:v>
      </x:c>
      <x:c r="U48" s="31" t="n">
        <x:f>IF(T48="","",I48*T48)</x:f>
        <x:v>62075.85157600775</x:v>
      </x:c>
    </x:row>
    <x:row r="49" ht="18" customHeight="1">
      <x:c r="A49" s="24" t="str">
        <x:v>EEZ_928</x:v>
      </x:c>
      <x:c r="B49" s="24" t="str">
        <x:v>Colombia (Pacific)</x:v>
      </x:c>
      <x:c r="C49" s="24" t="str">
        <x:v>EEZ</x:v>
      </x:c>
      <x:c r="D49" s="30" t="n">
        <x:v>2019</x:v>
      </x:c>
      <x:c r="E49" s="24" t="str">
        <x:v>Clupeidae</x:v>
      </x:c>
      <x:c r="F49" s="24" t="str">
        <x:v>Herrings, sardines, menhadens</x:v>
      </x:c>
      <x:c r="G49" s="24" t="str">
        <x:v>Small pelagics (&lt;30 cm)</x:v>
      </x:c>
      <x:c r="H49" s="24" t="str">
        <x:v>Herring-likes</x:v>
      </x:c>
      <x:c r="I49" s="31" t="n">
        <x:v>143.8811844988</x:v>
      </x:c>
      <x:c r="J49" s="31" t="n">
        <x:v>94.0279429557</x:v>
      </x:c>
      <x:c r="K49" s="31" t="n">
        <x:v>49.8532415431</x:v>
      </x:c>
      <x:c r="L49" s="31" t="n">
        <x:v>0</x:v>
      </x:c>
      <x:c r="M49" s="31" t="n">
        <x:v>143.8811844988</x:v>
      </x:c>
      <x:c r="N49" s="24" t="str">
        <x:v>clupeidae</x:v>
      </x:c>
      <x:c r="O49" s="32" t="n">
        <x:v>3.16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Clupeidae</x:v>
      </x:c>
      <x:c r="T49" s="32" t="n">
        <x:f>IF(O49="","",(1/'Metadata'!$B$5)^(O49-1))</x:f>
        <x:v>144.5439770745928</x:v>
      </x:c>
      <x:c r="U49" s="31" t="n">
        <x:f>IF(T49="","",I49*T49)</x:f>
        <x:v>20797.1586336598</x:v>
      </x:c>
    </x:row>
    <x:row r="50" ht="18" customHeight="1">
      <x:c r="A50" s="24" t="str">
        <x:v>EEZ_928</x:v>
      </x:c>
      <x:c r="B50" s="24" t="str">
        <x:v>Colombia (Pacific)</x:v>
      </x:c>
      <x:c r="C50" s="24" t="str">
        <x:v>EEZ</x:v>
      </x:c>
      <x:c r="D50" s="30" t="n">
        <x:v>2019</x:v>
      </x:c>
      <x:c r="E50" s="24" t="str">
        <x:v>Lutjanus</x:v>
      </x:c>
      <x:c r="F50" s="24" t="str">
        <x:v>Snappers</x:v>
      </x:c>
      <x:c r="G50" s="24" t="str">
        <x:v>Medium reef assoc. fish (30 - 89 cm)</x:v>
      </x:c>
      <x:c r="H50" s="24" t="str">
        <x:v>Perch-likes</x:v>
      </x:c>
      <x:c r="I50" s="31" t="n">
        <x:v>138.38</x:v>
      </x:c>
      <x:c r="J50" s="31" t="n">
        <x:v>138.38</x:v>
      </x:c>
      <x:c r="K50" s="31" t="n">
        <x:v>0</x:v>
      </x:c>
      <x:c r="L50" s="31" t="n">
        <x:v>138.38</x:v>
      </x:c>
      <x:c r="M50" s="31" t="n">
        <x:v>0</x:v>
      </x:c>
      <x:c r="N50" s="24" t="str">
        <x:v>lutjanus</x:v>
      </x:c>
      <x:c r="O50" s="32" t="n">
        <x:v>4.02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Lutjanus</x:v>
      </x:c>
      <x:c r="T50" s="32" t="n">
        <x:f>IF(O50="","",(1/'Metadata'!$B$5)^(O50-1))</x:f>
        <x:v>1047.1285480508984</x:v>
      </x:c>
      <x:c r="U50" s="31" t="n">
        <x:f>IF(T50="","",I50*T50)</x:f>
        <x:v>144901.64847928332</x:v>
      </x:c>
    </x:row>
    <x:row r="51" ht="18" customHeight="1">
      <x:c r="A51" s="24" t="str">
        <x:v>EEZ_928</x:v>
      </x:c>
      <x:c r="B51" s="24" t="str">
        <x:v>Colombia (Pacific)</x:v>
      </x:c>
      <x:c r="C51" s="24" t="str">
        <x:v>EEZ</x:v>
      </x:c>
      <x:c r="D51" s="30" t="n">
        <x:v>2019</x:v>
      </x:c>
      <x:c r="E51" s="24" t="str">
        <x:v>Seriola</x:v>
      </x:c>
      <x:c r="F51" s="24" t="str">
        <x:v>Amberjacks</x:v>
      </x:c>
      <x:c r="G51" s="24" t="str">
        <x:v>Large benthopelagics (&gt;=90 cm)</x:v>
      </x:c>
      <x:c r="H51" s="24" t="str">
        <x:v>Perch-likes</x:v>
      </x:c>
      <x:c r="I51" s="31" t="n">
        <x:v>120.35000000000001</x:v>
      </x:c>
      <x:c r="J51" s="31" t="n">
        <x:v>120.35000000000001</x:v>
      </x:c>
      <x:c r="K51" s="31" t="n">
        <x:v>0</x:v>
      </x:c>
      <x:c r="L51" s="31" t="n">
        <x:v>120.35000000000001</x:v>
      </x:c>
      <x:c r="M51" s="31" t="n">
        <x:v>0</x:v>
      </x:c>
      <x:c r="N51" s="24" t="str">
        <x:v>seriola</x:v>
      </x:c>
      <x:c r="O51" s="32" t="n">
        <x:v>4.39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Seriola</x:v>
      </x:c>
      <x:c r="T51" s="32" t="n">
        <x:f>IF(O51="","",(1/'Metadata'!$B$5)^(O51-1))</x:f>
        <x:v>2454.7089156850284</x:v>
      </x:c>
      <x:c r="U51" s="31" t="n">
        <x:f>IF(T51="","",I51*T51)</x:f>
        <x:v>295424.2180026932</x:v>
      </x:c>
    </x:row>
    <x:row r="52" ht="18" customHeight="1">
      <x:c r="A52" s="24" t="str">
        <x:v>EEZ_928</x:v>
      </x:c>
      <x:c r="B52" s="24" t="str">
        <x:v>Colombia (Pacific)</x:v>
      </x:c>
      <x:c r="C52" s="24" t="str">
        <x:v>EEZ</x:v>
      </x:c>
      <x:c r="D52" s="30" t="n">
        <x:v>2019</x:v>
      </x:c>
      <x:c r="E52" s="24" t="str">
        <x:v>Cyclopsetta querna</x:v>
      </x:c>
      <x:c r="F52" s="24" t="str">
        <x:v>Toothed flounder</x:v>
      </x:c>
      <x:c r="G52" s="24" t="str">
        <x:v>Small to medium flatfishes (&lt;90 cm)</x:v>
      </x:c>
      <x:c r="H52" s="24" t="str">
        <x:v>Flatfishes</x:v>
      </x:c>
      <x:c r="I52" s="31" t="n">
        <x:v>117.78999999999999</x:v>
      </x:c>
      <x:c r="J52" s="31" t="n">
        <x:v>117.78999999999999</x:v>
      </x:c>
      <x:c r="K52" s="31" t="n">
        <x:v>0</x:v>
      </x:c>
      <x:c r="L52" s="31" t="n">
        <x:v>117.78999999999999</x:v>
      </x:c>
      <x:c r="M52" s="31" t="n">
        <x:v>0</x:v>
      </x:c>
      <x:c r="N52" s="24" t="str">
        <x:v>cyclopsetta querna</x:v>
      </x:c>
      <x:c r="O52" s="32" t="n">
        <x:v>3.97</x:v>
      </x:c>
      <x:c r="P52" s="24" t="str">
        <x:v>exact_2020_supplement</x:v>
      </x:c>
      <x:c r="Q52" s="32" t="str">
        <x:v>2020 supplement MeanTL</x:v>
      </x:c>
      <x:c r="R52" s="24" t="str">
        <x:v>high</x:v>
      </x:c>
      <x:c r="S52" s="24" t="str">
        <x:v>Cyclopsetta querna</x:v>
      </x:c>
      <x:c r="T52" s="32" t="n">
        <x:f>IF(O52="","",(1/'Metadata'!$B$5)^(O52-1))</x:f>
        <x:v>933.2543007969915</x:v>
      </x:c>
      <x:c r="U52" s="31" t="n">
        <x:f>IF(T52="","",I52*T52)</x:f>
        <x:v>109928.02409087762</x:v>
      </x:c>
    </x:row>
    <x:row r="53" ht="18" customHeight="1">
      <x:c r="A53" s="24" t="str">
        <x:v>EEZ_928</x:v>
      </x:c>
      <x:c r="B53" s="24" t="str">
        <x:v>Colombia (Pacific)</x:v>
      </x:c>
      <x:c r="C53" s="24" t="str">
        <x:v>EEZ</x:v>
      </x:c>
      <x:c r="D53" s="30" t="n">
        <x:v>2019</x:v>
      </x:c>
      <x:c r="E53" s="24" t="str">
        <x:v>Xiphias gladius</x:v>
      </x:c>
      <x:c r="F53" s="24" t="str">
        <x:v>Swordfish</x:v>
      </x:c>
      <x:c r="G53" s="24" t="str">
        <x:v>Large pelagics (&gt;=90 cm)</x:v>
      </x:c>
      <x:c r="H53" s="24" t="str">
        <x:v>Tuna &amp; billfishes</x:v>
      </x:c>
      <x:c r="I53" s="31" t="n">
        <x:v>101.1451334226</x:v>
      </x:c>
      <x:c r="J53" s="31" t="n">
        <x:v>101.0348506501</x:v>
      </x:c>
      <x:c r="K53" s="31" t="n">
        <x:v>0.1102827725</x:v>
      </x:c>
      <x:c r="L53" s="31" t="n">
        <x:v>101.0348506501</x:v>
      </x:c>
      <x:c r="M53" s="31" t="n">
        <x:v>0.1102827725</x:v>
      </x:c>
      <x:c r="N53" s="24" t="str">
        <x:v>xiphias gladius</x:v>
      </x:c>
      <x:c r="O53" s="32" t="n">
        <x:v>4.53</x:v>
      </x:c>
      <x:c r="P53" s="24" t="str">
        <x:v>exact_2020_supplement</x:v>
      </x:c>
      <x:c r="Q53" s="32" t="str">
        <x:v>2020 supplement MeanTL</x:v>
      </x:c>
      <x:c r="R53" s="24" t="str">
        <x:v>high</x:v>
      </x:c>
      <x:c r="S53" s="24" t="str">
        <x:v>Xiphias gladius</x:v>
      </x:c>
      <x:c r="T53" s="32" t="n">
        <x:f>IF(O53="","",(1/'Metadata'!$B$5)^(O53-1))</x:f>
        <x:v>3388.4415613920273</x:v>
      </x:c>
      <x:c r="U53" s="31" t="n">
        <x:f>IF(T53="","",I53*T53)</x:f>
        <x:v>342724.3738216797</x:v>
      </x:c>
    </x:row>
    <x:row r="54" ht="18" customHeight="1">
      <x:c r="A54" s="24" t="str">
        <x:v>EEZ_928</x:v>
      </x:c>
      <x:c r="B54" s="24" t="str">
        <x:v>Colombia (Pacific)</x:v>
      </x:c>
      <x:c r="C54" s="24" t="str">
        <x:v>EEZ</x:v>
      </x:c>
      <x:c r="D54" s="30" t="n">
        <x:v>2019</x:v>
      </x:c>
      <x:c r="E54" s="24" t="str">
        <x:v>Coryphaena</x:v>
      </x:c>
      <x:c r="F54" s="24" t="str">
        <x:v>Dolphinfishes</x:v>
      </x:c>
      <x:c r="G54" s="24" t="str">
        <x:v>Large pelagics (&gt;=90 cm)</x:v>
      </x:c>
      <x:c r="H54" s="24" t="str">
        <x:v>Perch-likes</x:v>
      </x:c>
      <x:c r="I54" s="31" t="n">
        <x:v>86.2842995149</x:v>
      </x:c>
      <x:c r="J54" s="31" t="n">
        <x:v>86.2842995149</x:v>
      </x:c>
      <x:c r="K54" s="31" t="n">
        <x:v>0</x:v>
      </x:c>
      <x:c r="L54" s="31" t="n">
        <x:v>86.2842995149</x:v>
      </x:c>
      <x:c r="M54" s="31" t="n">
        <x:v>0</x:v>
      </x:c>
      <x:c r="N54" s="24" t="str">
        <x:v>coryphaena</x:v>
      </x:c>
      <x:c r="O54" s="32" t="n">
        <x:v>4.49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Coryphaena</x:v>
      </x:c>
      <x:c r="T54" s="32" t="n">
        <x:f>IF(O54="","",(1/'Metadata'!$B$5)^(O54-1))</x:f>
        <x:v>3090.295432513592</x:v>
      </x:c>
      <x:c r="U54" s="31" t="n">
        <x:f>IF(T54="","",I54*T54)</x:f>
        <x:v>266643.97668853024</x:v>
      </x:c>
    </x:row>
    <x:row r="55" ht="18" customHeight="1">
      <x:c r="A55" s="24" t="str">
        <x:v>EEZ_928</x:v>
      </x:c>
      <x:c r="B55" s="24" t="str">
        <x:v>Colombia (Pacific)</x:v>
      </x:c>
      <x:c r="C55" s="24" t="str">
        <x:v>EEZ</x:v>
      </x:c>
      <x:c r="D55" s="30" t="n">
        <x:v>2019</x:v>
      </x:c>
      <x:c r="E55" s="24" t="str">
        <x:v>Isurus oxyrinchus</x:v>
      </x:c>
      <x:c r="F55" s="24" t="str">
        <x:v>Shortfin mako</x:v>
      </x:c>
      <x:c r="G55" s="24" t="str">
        <x:v>Large sharks (&gt;=90 cm)</x:v>
      </x:c>
      <x:c r="H55" s="24" t="str">
        <x:v>Sharks &amp; rays</x:v>
      </x:c>
      <x:c r="I55" s="31" t="n">
        <x:v>70.5</x:v>
      </x:c>
      <x:c r="J55" s="31" t="n">
        <x:v>70.5</x:v>
      </x:c>
      <x:c r="K55" s="31" t="n">
        <x:v>0</x:v>
      </x:c>
      <x:c r="L55" s="31" t="n">
        <x:v>70.5</x:v>
      </x:c>
      <x:c r="M55" s="31" t="n">
        <x:v>0</x:v>
      </x:c>
      <x:c r="N55" s="24" t="str">
        <x:v>isurus oxyrinchus</x:v>
      </x:c>
      <x:c r="O55" s="32" t="n">
        <x:v>4.5</x:v>
      </x:c>
      <x:c r="P55" s="24" t="str">
        <x:v>exact_2020_supplement</x:v>
      </x:c>
      <x:c r="Q55" s="32" t="str">
        <x:v>2020 supplement MeanTL</x:v>
      </x:c>
      <x:c r="R55" s="24" t="str">
        <x:v>high</x:v>
      </x:c>
      <x:c r="S55" s="24" t="str">
        <x:v>Isurus oxyrinchus</x:v>
      </x:c>
      <x:c r="T55" s="32" t="n">
        <x:f>IF(O55="","",(1/'Metadata'!$B$5)^(O55-1))</x:f>
        <x:v>3162.2776601683795</x:v>
      </x:c>
      <x:c r="U55" s="31" t="n">
        <x:f>IF(T55="","",I55*T55)</x:f>
        <x:v>222940.57504187076</x:v>
      </x:c>
    </x:row>
    <x:row r="56" ht="18" customHeight="1">
      <x:c r="A56" s="24" t="str">
        <x:v>EEZ_928</x:v>
      </x:c>
      <x:c r="B56" s="24" t="str">
        <x:v>Colombia (Pacific)</x:v>
      </x:c>
      <x:c r="C56" s="24" t="str">
        <x:v>EEZ</x:v>
      </x:c>
      <x:c r="D56" s="30" t="n">
        <x:v>2019</x:v>
      </x:c>
      <x:c r="E56" s="24" t="str">
        <x:v>Carcharhinus longimanus</x:v>
      </x:c>
      <x:c r="F56" s="24" t="str">
        <x:v>Oceanic whitetip shark</x:v>
      </x:c>
      <x:c r="G56" s="24" t="str">
        <x:v>Large sharks (&gt;=90 cm)</x:v>
      </x:c>
      <x:c r="H56" s="24" t="str">
        <x:v>Sharks &amp; rays</x:v>
      </x:c>
      <x:c r="I56" s="31" t="n">
        <x:v>52.1103547277</x:v>
      </x:c>
      <x:c r="J56" s="31" t="n">
        <x:v>52</x:v>
      </x:c>
      <x:c r="K56" s="31" t="n">
        <x:v>0.1103547277</x:v>
      </x:c>
      <x:c r="L56" s="31" t="n">
        <x:v>52</x:v>
      </x:c>
      <x:c r="M56" s="31" t="n">
        <x:v>0.1103547277</x:v>
      </x:c>
      <x:c r="N56" s="24" t="str">
        <x:v>carcharhinus longimanus</x:v>
      </x:c>
      <x:c r="O56" s="32" t="n">
        <x:v>4.16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Carcharhinus longimanus</x:v>
      </x:c>
      <x:c r="T56" s="32" t="n">
        <x:f>IF(O56="","",(1/'Metadata'!$B$5)^(O56-1))</x:f>
        <x:v>1445.439770745928</x:v>
      </x:c>
      <x:c r="U56" s="31" t="n">
        <x:f>IF(T56="","",I56*T56)</x:f>
        <x:v>75322.37919109566</x:v>
      </x:c>
    </x:row>
    <x:row r="57" ht="18" customHeight="1">
      <x:c r="A57" s="24" t="str">
        <x:v>EEZ_928</x:v>
      </x:c>
      <x:c r="B57" s="24" t="str">
        <x:v>Colombia (Pacific)</x:v>
      </x:c>
      <x:c r="C57" s="24" t="str">
        <x:v>EEZ</x:v>
      </x:c>
      <x:c r="D57" s="30" t="n">
        <x:v>2019</x:v>
      </x:c>
      <x:c r="E57" s="24" t="str">
        <x:v>Kajikia audax</x:v>
      </x:c>
      <x:c r="F57" s="24" t="str">
        <x:v>Striped marlin</x:v>
      </x:c>
      <x:c r="G57" s="24" t="str">
        <x:v>Large pelagics (&gt;=90 cm)</x:v>
      </x:c>
      <x:c r="H57" s="24" t="str">
        <x:v>Tuna &amp; billfishes</x:v>
      </x:c>
      <x:c r="I57" s="31" t="n">
        <x:v>48.9166896915</x:v>
      </x:c>
      <x:c r="J57" s="31" t="n">
        <x:v>48.9166896915</x:v>
      </x:c>
      <x:c r="K57" s="31" t="n">
        <x:v>0</x:v>
      </x:c>
      <x:c r="L57" s="31" t="n">
        <x:v>48.9166896915</x:v>
      </x:c>
      <x:c r="M57" s="31" t="n">
        <x:v>0</x:v>
      </x:c>
      <x:c r="N57" s="24" t="str">
        <x:v>kajikia audax</x:v>
      </x:c>
      <x:c r="O57" s="32" t="n">
        <x:v>4.58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Kajikia audax</x:v>
      </x:c>
      <x:c r="T57" s="32" t="n">
        <x:f>IF(O57="","",(1/'Metadata'!$B$5)^(O57-1))</x:f>
        <x:v>3801.8939632056126</x:v>
      </x:c>
      <x:c r="U57" s="31" t="n">
        <x:f>IF(T57="","",I57*T57)</x:f>
        <x:v>185976.06723811605</x:v>
      </x:c>
    </x:row>
    <x:row r="58" ht="18" customHeight="1">
      <x:c r="A58" s="24" t="str">
        <x:v>EEZ_928</x:v>
      </x:c>
      <x:c r="B58" s="24" t="str">
        <x:v>Colombia (Pacific)</x:v>
      </x:c>
      <x:c r="C58" s="24" t="str">
        <x:v>EEZ</x:v>
      </x:c>
      <x:c r="D58" s="30" t="n">
        <x:v>2019</x:v>
      </x:c>
      <x:c r="E58" s="24" t="str">
        <x:v>Scombridae</x:v>
      </x:c>
      <x:c r="F58" s="24" t="str">
        <x:v>Mackerels, tunas, bonitos</x:v>
      </x:c>
      <x:c r="G58" s="24" t="str">
        <x:v>Medium pelagics (30 - 89 cm)</x:v>
      </x:c>
      <x:c r="H58" s="24" t="str">
        <x:v>Perch-likes</x:v>
      </x:c>
      <x:c r="I58" s="31" t="n">
        <x:v>39.8816480638</x:v>
      </x:c>
      <x:c r="J58" s="31" t="n">
        <x:v>4.3082203643</x:v>
      </x:c>
      <x:c r="K58" s="31" t="n">
        <x:v>35.5734276995</x:v>
      </x:c>
      <x:c r="L58" s="31" t="n">
        <x:v>4.3082203643</x:v>
      </x:c>
      <x:c r="M58" s="31" t="n">
        <x:v>35.5734276995</x:v>
      </x:c>
      <x:c r="N58" s="24" t="str">
        <x:v>scombridae</x:v>
      </x:c>
      <x:c r="O58" s="32" t="n">
        <x:v>4.26</x:v>
      </x:c>
      <x:c r="P58" s="24" t="str">
        <x:v>exact_sea_around_us</x:v>
      </x:c>
      <x:c r="Q58" s="32" t="str">
        <x:v>Sea Around Us exploited organisms</x:v>
      </x:c>
      <x:c r="R58" s="24" t="str">
        <x:v>high</x:v>
      </x:c>
      <x:c r="S58" s="24" t="str">
        <x:v>Scombridae</x:v>
      </x:c>
      <x:c r="T58" s="32" t="n">
        <x:f>IF(O58="","",(1/'Metadata'!$B$5)^(O58-1))</x:f>
        <x:v>1819.7008586099826</x:v>
      </x:c>
      <x:c r="U58" s="31" t="n">
        <x:f>IF(T58="","",I58*T58)</x:f>
        <x:v>72572.66922447801</x:v>
      </x:c>
    </x:row>
    <x:row r="59" ht="18" customHeight="1">
      <x:c r="A59" s="24" t="str">
        <x:v>EEZ_928</x:v>
      </x:c>
      <x:c r="B59" s="24" t="str">
        <x:v>Colombia (Pacific)</x:v>
      </x:c>
      <x:c r="C59" s="24" t="str">
        <x:v>EEZ</x:v>
      </x:c>
      <x:c r="D59" s="30" t="n">
        <x:v>2019</x:v>
      </x:c>
      <x:c r="E59" s="24" t="str">
        <x:v>Tetrapturus angustirostris</x:v>
      </x:c>
      <x:c r="F59" s="24" t="str">
        <x:v>Shortbill spearfish</x:v>
      </x:c>
      <x:c r="G59" s="24" t="str">
        <x:v>Large pelagics (&gt;=90 cm)</x:v>
      </x:c>
      <x:c r="H59" s="24" t="str">
        <x:v>Tuna &amp; billfishes</x:v>
      </x:c>
      <x:c r="I59" s="31" t="n">
        <x:v>37.1479710144</x:v>
      </x:c>
      <x:c r="J59" s="31" t="n">
        <x:v>37.1479710144</x:v>
      </x:c>
      <x:c r="K59" s="31" t="n">
        <x:v>0</x:v>
      </x:c>
      <x:c r="L59" s="31" t="n">
        <x:v>37.1479710144</x:v>
      </x:c>
      <x:c r="M59" s="31" t="n">
        <x:v>0</x:v>
      </x:c>
      <x:c r="N59" s="24" t="str">
        <x:v>tetrapturus angustirostris</x:v>
      </x:c>
      <x:c r="O59" s="32" t="n">
        <x:v>4.5</x:v>
      </x:c>
      <x:c r="P59" s="24" t="str">
        <x:v>exact_2020_supplement</x:v>
      </x:c>
      <x:c r="Q59" s="32" t="str">
        <x:v>2020 supplement MeanTL</x:v>
      </x:c>
      <x:c r="R59" s="24" t="str">
        <x:v>high</x:v>
      </x:c>
      <x:c r="S59" s="24" t="str">
        <x:v>Tetrapturus angustirostris</x:v>
      </x:c>
      <x:c r="T59" s="32" t="n">
        <x:f>IF(O59="","",(1/'Metadata'!$B$5)^(O59-1))</x:f>
        <x:v>3162.2776601683795</x:v>
      </x:c>
      <x:c r="U59" s="31" t="n">
        <x:f>IF(T59="","",I59*T59)</x:f>
        <x:v>117472.19885941962</x:v>
      </x:c>
    </x:row>
    <x:row r="60" ht="18" customHeight="1">
      <x:c r="A60" s="24" t="str">
        <x:v>EEZ_928</x:v>
      </x:c>
      <x:c r="B60" s="24" t="str">
        <x:v>Colombia (Pacific)</x:v>
      </x:c>
      <x:c r="C60" s="24" t="str">
        <x:v>EEZ</x:v>
      </x:c>
      <x:c r="D60" s="30" t="n">
        <x:v>2019</x:v>
      </x:c>
      <x:c r="E60" s="24" t="str">
        <x:v>Acanthocybium solandri</x:v>
      </x:c>
      <x:c r="F60" s="24" t="str">
        <x:v>Wahoo</x:v>
      </x:c>
      <x:c r="G60" s="24" t="str">
        <x:v>Large pelagics (&gt;=90 cm)</x:v>
      </x:c>
      <x:c r="H60" s="24" t="str">
        <x:v>Perch-likes</x:v>
      </x:c>
      <x:c r="I60" s="31" t="n">
        <x:v>34.42</x:v>
      </x:c>
      <x:c r="J60" s="31" t="n">
        <x:v>34.42</x:v>
      </x:c>
      <x:c r="K60" s="31" t="n">
        <x:v>0</x:v>
      </x:c>
      <x:c r="L60" s="31" t="n">
        <x:v>34.42</x:v>
      </x:c>
      <x:c r="M60" s="31" t="n">
        <x:v>0</x:v>
      </x:c>
      <x:c r="N60" s="24" t="str">
        <x:v>acanthocybium solandri</x:v>
      </x:c>
      <x:c r="O60" s="32" t="n">
        <x:v>4.26</x:v>
      </x:c>
      <x:c r="P60" s="24" t="str">
        <x:v>exact_2020_supplement</x:v>
      </x:c>
      <x:c r="Q60" s="32" t="str">
        <x:v>2020 supplement MeanTL</x:v>
      </x:c>
      <x:c r="R60" s="24" t="str">
        <x:v>high</x:v>
      </x:c>
      <x:c r="S60" s="24" t="str">
        <x:v>Acanthocybium solandri</x:v>
      </x:c>
      <x:c r="T60" s="32" t="n">
        <x:f>IF(O60="","",(1/'Metadata'!$B$5)^(O60-1))</x:f>
        <x:v>1819.7008586099826</x:v>
      </x:c>
      <x:c r="U60" s="31" t="n">
        <x:f>IF(T60="","",I60*T60)</x:f>
        <x:v>62634.103553355606</x:v>
      </x:c>
    </x:row>
    <x:row r="61" ht="18" customHeight="1">
      <x:c r="A61" s="24" t="str">
        <x:v>EEZ_928</x:v>
      </x:c>
      <x:c r="B61" s="24" t="str">
        <x:v>Colombia (Pacific)</x:v>
      </x:c>
      <x:c r="C61" s="24" t="str">
        <x:v>EEZ</x:v>
      </x:c>
      <x:c r="D61" s="30" t="n">
        <x:v>2019</x:v>
      </x:c>
      <x:c r="E61" s="24" t="str">
        <x:v>Alopias pelagicus</x:v>
      </x:c>
      <x:c r="F61" s="24" t="str">
        <x:v>Pelagic thresher</x:v>
      </x:c>
      <x:c r="G61" s="24" t="str">
        <x:v>Large sharks (&gt;=90 cm)</x:v>
      </x:c>
      <x:c r="H61" s="24" t="str">
        <x:v>Sharks &amp; rays</x:v>
      </x:c>
      <x:c r="I61" s="31" t="n">
        <x:v>30.4</x:v>
      </x:c>
      <x:c r="J61" s="31" t="n">
        <x:v>30.4</x:v>
      </x:c>
      <x:c r="K61" s="31" t="n">
        <x:v>0</x:v>
      </x:c>
      <x:c r="L61" s="31" t="n">
        <x:v>30.4</x:v>
      </x:c>
      <x:c r="M61" s="31" t="n">
        <x:v>0</x:v>
      </x:c>
      <x:c r="N61" s="24" t="str">
        <x:v>alopias pelagicus</x:v>
      </x:c>
      <x:c r="O61" s="32" t="n">
        <x:v>4.5</x:v>
      </x:c>
      <x:c r="P61" s="24" t="str">
        <x:v>exact_2020_supplement</x:v>
      </x:c>
      <x:c r="Q61" s="32" t="str">
        <x:v>2020 supplement MeanTL</x:v>
      </x:c>
      <x:c r="R61" s="24" t="str">
        <x:v>high</x:v>
      </x:c>
      <x:c r="S61" s="24" t="str">
        <x:v>Alopias pelagicus</x:v>
      </x:c>
      <x:c r="T61" s="32" t="n">
        <x:f>IF(O61="","",(1/'Metadata'!$B$5)^(O61-1))</x:f>
        <x:v>3162.2776601683795</x:v>
      </x:c>
      <x:c r="U61" s="31" t="n">
        <x:f>IF(T61="","",I61*T61)</x:f>
        <x:v>96133.24086911873</x:v>
      </x:c>
    </x:row>
    <x:row r="62" ht="18" customHeight="1">
      <x:c r="A62" s="24" t="str">
        <x:v>EEZ_928</x:v>
      </x:c>
      <x:c r="B62" s="24" t="str">
        <x:v>Colombia (Pacific)</x:v>
      </x:c>
      <x:c r="C62" s="24" t="str">
        <x:v>EEZ</x:v>
      </x:c>
      <x:c r="D62" s="30" t="n">
        <x:v>2019</x:v>
      </x:c>
      <x:c r="E62" s="24" t="str">
        <x:v>Istiophorus platypterus</x:v>
      </x:c>
      <x:c r="F62" s="24" t="str">
        <x:v>Indo-Pacific sailfish</x:v>
      </x:c>
      <x:c r="G62" s="24" t="str">
        <x:v>Large pelagics (&gt;=90 cm)</x:v>
      </x:c>
      <x:c r="H62" s="24" t="str">
        <x:v>Tuna &amp; billfishes</x:v>
      </x:c>
      <x:c r="I62" s="31" t="n">
        <x:v>28.9232163457</x:v>
      </x:c>
      <x:c r="J62" s="31" t="n">
        <x:v>28.9232163457</x:v>
      </x:c>
      <x:c r="K62" s="31" t="n">
        <x:v>0</x:v>
      </x:c>
      <x:c r="L62" s="31" t="n">
        <x:v>28.9232163457</x:v>
      </x:c>
      <x:c r="M62" s="31" t="n">
        <x:v>0</x:v>
      </x:c>
      <x:c r="N62" s="24" t="str">
        <x:v>istiophorus platypterus</x:v>
      </x:c>
      <x:c r="O62" s="32" t="n">
        <x:v>4.5</x:v>
      </x:c>
      <x:c r="P62" s="24" t="str">
        <x:v>exact_2020_supplement</x:v>
      </x:c>
      <x:c r="Q62" s="32" t="str">
        <x:v>2020 supplement MeanTL</x:v>
      </x:c>
      <x:c r="R62" s="24" t="str">
        <x:v>high</x:v>
      </x:c>
      <x:c r="S62" s="24" t="str">
        <x:v>Istiophorus platypterus</x:v>
      </x:c>
      <x:c r="T62" s="32" t="n">
        <x:f>IF(O62="","",(1/'Metadata'!$B$5)^(O62-1))</x:f>
        <x:v>3162.2776601683795</x:v>
      </x:c>
      <x:c r="U62" s="31" t="n">
        <x:f>IF(T62="","",I62*T62)</x:f>
        <x:v>91463.24091022402</x:v>
      </x:c>
    </x:row>
    <x:row r="63" ht="18" customHeight="1">
      <x:c r="A63" s="24" t="str">
        <x:v>EEZ_928</x:v>
      </x:c>
      <x:c r="B63" s="24" t="str">
        <x:v>Colombia (Pacific)</x:v>
      </x:c>
      <x:c r="C63" s="24" t="str">
        <x:v>EEZ</x:v>
      </x:c>
      <x:c r="D63" s="30" t="n">
        <x:v>2019</x:v>
      </x:c>
      <x:c r="E63" s="24" t="str">
        <x:v>Opisthonema libertate</x:v>
      </x:c>
      <x:c r="F63" s="24" t="str">
        <x:v>Pacific thread herring</x:v>
      </x:c>
      <x:c r="G63" s="24" t="str">
        <x:v>Small pelagics (&lt;30 cm)</x:v>
      </x:c>
      <x:c r="H63" s="24" t="str">
        <x:v>Herring-likes</x:v>
      </x:c>
      <x:c r="I63" s="31" t="n">
        <x:v>27.5978263474</x:v>
      </x:c>
      <x:c r="J63" s="31" t="n">
        <x:v>27.5978263474</x:v>
      </x:c>
      <x:c r="K63" s="31" t="n">
        <x:v>0</x:v>
      </x:c>
      <x:c r="L63" s="31" t="n">
        <x:v>27.5978263474</x:v>
      </x:c>
      <x:c r="M63" s="31" t="n">
        <x:v>0</x:v>
      </x:c>
      <x:c r="N63" s="24" t="str">
        <x:v>opisthonema libertate</x:v>
      </x:c>
      <x:c r="O63" s="32" t="n">
        <x:v>2.89</x:v>
      </x:c>
      <x:c r="P63" s="24" t="str">
        <x:v>exact_2020_supplement</x:v>
      </x:c>
      <x:c r="Q63" s="32" t="str">
        <x:v>2020 supplement MeanTL</x:v>
      </x:c>
      <x:c r="R63" s="24" t="str">
        <x:v>high</x:v>
      </x:c>
      <x:c r="S63" s="24" t="str">
        <x:v>Opisthonema libertate</x:v>
      </x:c>
      <x:c r="T63" s="32" t="n">
        <x:f>IF(O63="","",(1/'Metadata'!$B$5)^(O63-1))</x:f>
        <x:v>77.6247116628692</x:v>
      </x:c>
      <x:c r="U63" s="31" t="n">
        <x:f>IF(T63="","",I63*T63)</x:f>
        <x:v>2142.2733127388597</x:v>
      </x:c>
    </x:row>
    <x:row r="64" ht="18" customHeight="1">
      <x:c r="A64" s="24" t="str">
        <x:v>EEZ_928</x:v>
      </x:c>
      <x:c r="B64" s="24" t="str">
        <x:v>Colombia (Pacific)</x:v>
      </x:c>
      <x:c r="C64" s="24" t="str">
        <x:v>EEZ</x:v>
      </x:c>
      <x:c r="D64" s="30" t="n">
        <x:v>2019</x:v>
      </x:c>
      <x:c r="E64" s="24" t="str">
        <x:v>Pleuronectiformes</x:v>
      </x:c>
      <x:c r="F64" s="24" t="str">
        <x:v>Flatfishes</x:v>
      </x:c>
      <x:c r="G64" s="24" t="str">
        <x:v>Small to medium flatfishes (&lt;90 cm)</x:v>
      </x:c>
      <x:c r="H64" s="24" t="str">
        <x:v>Flatfishes</x:v>
      </x:c>
      <x:c r="I64" s="31" t="n">
        <x:v>24.3571127323</x:v>
      </x:c>
      <x:c r="J64" s="31" t="n">
        <x:v>24.3571127323</x:v>
      </x:c>
      <x:c r="K64" s="31" t="n">
        <x:v>0</x:v>
      </x:c>
      <x:c r="L64" s="31" t="n">
        <x:v>24.3571127323</x:v>
      </x:c>
      <x:c r="M64" s="31" t="n">
        <x:v>0</x:v>
      </x:c>
      <x:c r="N64" s="24" t="str">
        <x:v>pleuronectiformes</x:v>
      </x:c>
      <x:c r="O64" s="32" t="n">
        <x:v>3.57</x:v>
      </x:c>
      <x:c r="P64" s="24" t="str">
        <x:v>exact_sea_around_us</x:v>
      </x:c>
      <x:c r="Q64" s="32" t="str">
        <x:v>Sea Around Us exploited organisms</x:v>
      </x:c>
      <x:c r="R64" s="24" t="str">
        <x:v>high</x:v>
      </x:c>
      <x:c r="S64" s="24" t="str">
        <x:v>Pleuronectiformes</x:v>
      </x:c>
      <x:c r="T64" s="32" t="n">
        <x:f>IF(O64="","",(1/'Metadata'!$B$5)^(O64-1))</x:f>
        <x:v>371.5352290971724</x:v>
      </x:c>
      <x:c r="U64" s="31" t="n">
        <x:f>IF(T64="","",I64*T64)</x:f>
        <x:v>9049.525459140736</x:v>
      </x:c>
    </x:row>
    <x:row r="65" ht="18" customHeight="1">
      <x:c r="A65" s="24" t="str">
        <x:v>EEZ_928</x:v>
      </x:c>
      <x:c r="B65" s="24" t="str">
        <x:v>Colombia (Pacific)</x:v>
      </x:c>
      <x:c r="C65" s="24" t="str">
        <x:v>EEZ</x:v>
      </x:c>
      <x:c r="D65" s="30" t="n">
        <x:v>2019</x:v>
      </x:c>
      <x:c r="E65" s="24" t="str">
        <x:v>Carcharhinus falciformis</x:v>
      </x:c>
      <x:c r="F65" s="24" t="str">
        <x:v>Silky shark</x:v>
      </x:c>
      <x:c r="G65" s="24" t="str">
        <x:v>Large sharks (&gt;=90 cm)</x:v>
      </x:c>
      <x:c r="H65" s="24" t="str">
        <x:v>Sharks &amp; rays</x:v>
      </x:c>
      <x:c r="I65" s="31" t="n">
        <x:v>21.5080495787</x:v>
      </x:c>
      <x:c r="J65" s="31" t="n">
        <x:v>21.400000000000002</x:v>
      </x:c>
      <x:c r="K65" s="31" t="n">
        <x:v>0.1080495787</x:v>
      </x:c>
      <x:c r="L65" s="31" t="n">
        <x:v>21.400000000000002</x:v>
      </x:c>
      <x:c r="M65" s="31" t="n">
        <x:v>0.1080495787</x:v>
      </x:c>
      <x:c r="N65" s="24" t="str">
        <x:v>carcharhinus falciformis</x:v>
      </x:c>
      <x:c r="O65" s="32" t="n">
        <x:v>4.51</x:v>
      </x:c>
      <x:c r="P65" s="24" t="str">
        <x:v>exact_2020_supplement</x:v>
      </x:c>
      <x:c r="Q65" s="32" t="str">
        <x:v>2020 supplement MeanTL</x:v>
      </x:c>
      <x:c r="R65" s="24" t="str">
        <x:v>high</x:v>
      </x:c>
      <x:c r="S65" s="24" t="str">
        <x:v>Carcharhinus falciformis</x:v>
      </x:c>
      <x:c r="T65" s="32" t="n">
        <x:f>IF(O65="","",(1/'Metadata'!$B$5)^(O65-1))</x:f>
        <x:v>3235.936569296281</x:v>
      </x:c>
      <x:c r="U65" s="31" t="n">
        <x:f>IF(T65="","",I65*T65)</x:f>
        <x:v>69598.6841659528</x:v>
      </x:c>
    </x:row>
    <x:row r="66" ht="18" customHeight="1">
      <x:c r="A66" s="24" t="str">
        <x:v>EEZ_928</x:v>
      </x:c>
      <x:c r="B66" s="24" t="str">
        <x:v>Colombia (Pacific)</x:v>
      </x:c>
      <x:c r="C66" s="24" t="str">
        <x:v>EEZ</x:v>
      </x:c>
      <x:c r="D66" s="30" t="n">
        <x:v>2019</x:v>
      </x:c>
      <x:c r="E66" s="24" t="str">
        <x:v>Istiophoridae</x:v>
      </x:c>
      <x:c r="F66" s="24" t="str">
        <x:v>Billfishes</x:v>
      </x:c>
      <x:c r="G66" s="24" t="str">
        <x:v>Large pelagics (&gt;=90 cm)</x:v>
      </x:c>
      <x:c r="H66" s="24" t="str">
        <x:v>Tuna &amp; billfishes</x:v>
      </x:c>
      <x:c r="I66" s="31" t="n">
        <x:v>14.7045956976</x:v>
      </x:c>
      <x:c r="J66" s="31" t="n">
        <x:v>14.7045875508</x:v>
      </x:c>
      <x:c r="K66" s="31" t="n">
        <x:v>0.0000081468</x:v>
      </x:c>
      <x:c r="L66" s="31" t="n">
        <x:v>14.7045875508</x:v>
      </x:c>
      <x:c r="M66" s="31" t="n">
        <x:v>0.0000081468</x:v>
      </x:c>
      <x:c r="N66" s="24" t="str">
        <x:v>istiophoridae</x:v>
      </x:c>
      <x:c r="O66" s="32" t="n">
        <x:v>4.48</x:v>
      </x:c>
      <x:c r="P66" s="24" t="str">
        <x:v>exact_sea_around_us</x:v>
      </x:c>
      <x:c r="Q66" s="32" t="str">
        <x:v>Sea Around Us exploited organisms</x:v>
      </x:c>
      <x:c r="R66" s="24" t="str">
        <x:v>high</x:v>
      </x:c>
      <x:c r="S66" s="24" t="str">
        <x:v>Istiophoridae</x:v>
      </x:c>
      <x:c r="T66" s="32" t="n">
        <x:f>IF(O66="","",(1/'Metadata'!$B$5)^(O66-1))</x:f>
        <x:v>3019.951720402019</x:v>
      </x:c>
      <x:c r="U66" s="31" t="n">
        <x:f>IF(T66="","",I66*T66)</x:f>
        <x:v>44407.16907478325</x:v>
      </x:c>
    </x:row>
    <x:row r="67" ht="18" customHeight="1">
      <x:c r="A67" s="24" t="str">
        <x:v>EEZ_928</x:v>
      </x:c>
      <x:c r="B67" s="24" t="str">
        <x:v>Colombia (Pacific)</x:v>
      </x:c>
      <x:c r="C67" s="24" t="str">
        <x:v>EEZ</x:v>
      </x:c>
      <x:c r="D67" s="30" t="n">
        <x:v>2019</x:v>
      </x:c>
      <x:c r="E67" s="24" t="str">
        <x:v>Solenocera agassizii</x:v>
      </x:c>
      <x:c r="F67" s="24" t="str">
        <x:v>Kolibri shrimp</x:v>
      </x:c>
      <x:c r="G67" s="24" t="str">
        <x:v>Shrimps</x:v>
      </x:c>
      <x:c r="H67" s="24" t="str">
        <x:v>Crustaceans</x:v>
      </x:c>
      <x:c r="I67" s="31" t="n">
        <x:v>14.51</x:v>
      </x:c>
      <x:c r="J67" s="31" t="n">
        <x:v>14.51</x:v>
      </x:c>
      <x:c r="K67" s="31" t="n">
        <x:v>0</x:v>
      </x:c>
      <x:c r="L67" s="31" t="n">
        <x:v>14.51</x:v>
      </x:c>
      <x:c r="M67" s="31" t="n">
        <x:v>0</x:v>
      </x:c>
      <x:c r="N67" s="24" t="str">
        <x:v>solenocera agassizii</x:v>
      </x:c>
      <x:c r="O67" s="32" t="n">
        <x:v>2.2</x:v>
      </x:c>
      <x:c r="P67" s="24" t="str">
        <x:v>exact_sea_around_us</x:v>
      </x:c>
      <x:c r="Q67" s="32" t="str">
        <x:v>Sea Around Us exploited organisms</x:v>
      </x:c>
      <x:c r="R67" s="24" t="str">
        <x:v>high</x:v>
      </x:c>
      <x:c r="S67" s="24" t="str">
        <x:v>Solenocera agassizii</x:v>
      </x:c>
      <x:c r="T67" s="32" t="n">
        <x:f>IF(O67="","",(1/'Metadata'!$B$5)^(O67-1))</x:f>
        <x:v>15.848931924611142</x:v>
      </x:c>
      <x:c r="U67" s="31" t="n">
        <x:f>IF(T67="","",I67*T67)</x:f>
        <x:v>229.96800222610767</x:v>
      </x:c>
    </x:row>
    <x:row r="68" ht="18" customHeight="1">
      <x:c r="A68" s="24" t="str">
        <x:v>EEZ_928</x:v>
      </x:c>
      <x:c r="B68" s="24" t="str">
        <x:v>Colombia (Pacific)</x:v>
      </x:c>
      <x:c r="C68" s="24" t="str">
        <x:v>EEZ</x:v>
      </x:c>
      <x:c r="D68" s="30" t="n">
        <x:v>2019</x:v>
      </x:c>
      <x:c r="E68" s="24" t="str">
        <x:v>Sphyrna media</x:v>
      </x:c>
      <x:c r="F68" s="24" t="str">
        <x:v>Scoophead</x:v>
      </x:c>
      <x:c r="G68" s="24" t="str">
        <x:v>Large sharks (&gt;=90 cm)</x:v>
      </x:c>
      <x:c r="H68" s="24" t="str">
        <x:v>Sharks &amp; rays</x:v>
      </x:c>
      <x:c r="I68" s="31" t="n">
        <x:v>13.01</x:v>
      </x:c>
      <x:c r="J68" s="31" t="n">
        <x:v>13.01</x:v>
      </x:c>
      <x:c r="K68" s="31" t="n">
        <x:v>0</x:v>
      </x:c>
      <x:c r="L68" s="31" t="n">
        <x:v>13.01</x:v>
      </x:c>
      <x:c r="M68" s="31" t="n">
        <x:v>0</x:v>
      </x:c>
      <x:c r="N68" s="24" t="str">
        <x:v>sphyrna media</x:v>
      </x:c>
      <x:c r="O68" s="32" t="n">
        <x:v>4</x:v>
      </x:c>
      <x:c r="P68" s="24" t="str">
        <x:v>exact_sea_around_us</x:v>
      </x:c>
      <x:c r="Q68" s="32" t="str">
        <x:v>Sea Around Us exploited organisms</x:v>
      </x:c>
      <x:c r="R68" s="24" t="str">
        <x:v>high</x:v>
      </x:c>
      <x:c r="S68" s="24" t="str">
        <x:v>Sphyrna media</x:v>
      </x:c>
      <x:c r="T68" s="32" t="n">
        <x:f>IF(O68="","",(1/'Metadata'!$B$5)^(O68-1))</x:f>
        <x:v>1000</x:v>
      </x:c>
      <x:c r="U68" s="31" t="n">
        <x:f>IF(T68="","",I68*T68)</x:f>
        <x:v>13010</x:v>
      </x:c>
    </x:row>
    <x:row r="69" ht="18" customHeight="1">
      <x:c r="A69" s="24" t="str">
        <x:v>EEZ_928</x:v>
      </x:c>
      <x:c r="B69" s="24" t="str">
        <x:v>Colombia (Pacific)</x:v>
      </x:c>
      <x:c r="C69" s="24" t="str">
        <x:v>EEZ</x:v>
      </x:c>
      <x:c r="D69" s="30" t="n">
        <x:v>2019</x:v>
      </x:c>
      <x:c r="E69" s="24" t="str">
        <x:v>Scombroidei</x:v>
      </x:c>
      <x:c r="F69" s="24" t="str">
        <x:v>Tunas, bonitos, billfishes</x:v>
      </x:c>
      <x:c r="G69" s="24" t="str">
        <x:v>Large pelagics (&gt;=90 cm)</x:v>
      </x:c>
      <x:c r="H69" s="24" t="str">
        <x:v>Tuna &amp; billfishes</x:v>
      </x:c>
      <x:c r="I69" s="31" t="n">
        <x:v>10.46</x:v>
      </x:c>
      <x:c r="J69" s="31" t="n">
        <x:v>10.46</x:v>
      </x:c>
      <x:c r="K69" s="31" t="n">
        <x:v>0</x:v>
      </x:c>
      <x:c r="L69" s="31" t="n">
        <x:v>10.46</x:v>
      </x:c>
      <x:c r="M69" s="31" t="n">
        <x:v>0</x:v>
      </x:c>
      <x:c r="N69" s="24" t="str">
        <x:v>scombroidei</x:v>
      </x:c>
      <x:c r="O69" s="32" t="n">
        <x:v>4.2</x:v>
      </x:c>
      <x:c r="P69" s="24" t="str">
        <x:v>exact_sea_around_us</x:v>
      </x:c>
      <x:c r="Q69" s="32" t="str">
        <x:v>Sea Around Us exploited organisms</x:v>
      </x:c>
      <x:c r="R69" s="24" t="str">
        <x:v>high</x:v>
      </x:c>
      <x:c r="S69" s="24" t="str">
        <x:v>Scombroidei</x:v>
      </x:c>
      <x:c r="T69" s="32" t="n">
        <x:f>IF(O69="","",(1/'Metadata'!$B$5)^(O69-1))</x:f>
        <x:v>1584.893192461114</x:v>
      </x:c>
      <x:c r="U69" s="31" t="n">
        <x:f>IF(T69="","",I69*T69)</x:f>
        <x:v>16577.982793143256</x:v>
      </x:c>
    </x:row>
    <x:row r="70" ht="18" customHeight="1">
      <x:c r="A70" s="24" t="str">
        <x:v>EEZ_928</x:v>
      </x:c>
      <x:c r="B70" s="24" t="str">
        <x:v>Colombia (Pacific)</x:v>
      </x:c>
      <x:c r="C70" s="24" t="str">
        <x:v>EEZ</x:v>
      </x:c>
      <x:c r="D70" s="30" t="n">
        <x:v>2019</x:v>
      </x:c>
      <x:c r="E70" s="24" t="str">
        <x:v>Triakidae</x:v>
      </x:c>
      <x:c r="F70" s="24" t="str">
        <x:v>Houndsharks</x:v>
      </x:c>
      <x:c r="G70" s="24" t="str">
        <x:v>Large sharks (&gt;=90 cm)</x:v>
      </x:c>
      <x:c r="H70" s="24" t="str">
        <x:v>Sharks &amp; rays</x:v>
      </x:c>
      <x:c r="I70" s="31" t="n">
        <x:v>10.1036911385</x:v>
      </x:c>
      <x:c r="J70" s="31" t="n">
        <x:v>10.1036911385</x:v>
      </x:c>
      <x:c r="K70" s="31" t="n">
        <x:v>0</x:v>
      </x:c>
      <x:c r="L70" s="31" t="n">
        <x:v>10.1036911385</x:v>
      </x:c>
      <x:c r="M70" s="31" t="n">
        <x:v>0</x:v>
      </x:c>
      <x:c r="N70" s="24" t="str">
        <x:v>triakidae</x:v>
      </x:c>
      <x:c r="O70" s="32" t="n">
        <x:v>3.82</x:v>
      </x:c>
      <x:c r="P70" s="24" t="str">
        <x:v>exact_sea_around_us</x:v>
      </x:c>
      <x:c r="Q70" s="32" t="str">
        <x:v>Sea Around Us exploited organisms</x:v>
      </x:c>
      <x:c r="R70" s="24" t="str">
        <x:v>high</x:v>
      </x:c>
      <x:c r="S70" s="24" t="str">
        <x:v>Triakidae</x:v>
      </x:c>
      <x:c r="T70" s="32" t="n">
        <x:f>IF(O70="","",(1/'Metadata'!$B$5)^(O70-1))</x:f>
        <x:v>660.6934480075957</x:v>
      </x:c>
      <x:c r="U70" s="31" t="n">
        <x:f>IF(T70="","",I70*T70)</x:f>
        <x:v>6675.442535899356</x:v>
      </x:c>
    </x:row>
    <x:row r="71" ht="18" customHeight="1">
      <x:c r="A71" s="24" t="str">
        <x:v>EEZ_928</x:v>
      </x:c>
      <x:c r="B71" s="24" t="str">
        <x:v>Colombia (Pacific)</x:v>
      </x:c>
      <x:c r="C71" s="24" t="str">
        <x:v>EEZ</x:v>
      </x:c>
      <x:c r="D71" s="30" t="n">
        <x:v>2019</x:v>
      </x:c>
      <x:c r="E71" s="24" t="str">
        <x:v>Kyphosidae</x:v>
      </x:c>
      <x:c r="F71" s="24" t="str">
        <x:v>Sea chubs, knifefishes, niblers</x:v>
      </x:c>
      <x:c r="G71" s="24" t="str">
        <x:v>Medium reef assoc. fish (30 - 89 cm)</x:v>
      </x:c>
      <x:c r="H71" s="24" t="str">
        <x:v>Perch-likes</x:v>
      </x:c>
      <x:c r="I71" s="31" t="n">
        <x:v>9.92</x:v>
      </x:c>
      <x:c r="J71" s="31" t="n">
        <x:v>9.92</x:v>
      </x:c>
      <x:c r="K71" s="31" t="n">
        <x:v>0</x:v>
      </x:c>
      <x:c r="L71" s="31" t="n">
        <x:v>9.92</x:v>
      </x:c>
      <x:c r="M71" s="31" t="n">
        <x:v>0</x:v>
      </x:c>
      <x:c r="N71" s="24" t="str">
        <x:v>kyphosidae</x:v>
      </x:c>
      <x:c r="O71" s="32" t="n">
        <x:v>2.19</x:v>
      </x:c>
      <x:c r="P71" s="24" t="str">
        <x:v>exact_sea_around_us</x:v>
      </x:c>
      <x:c r="Q71" s="32" t="str">
        <x:v>Sea Around Us exploited organisms</x:v>
      </x:c>
      <x:c r="R71" s="24" t="str">
        <x:v>high</x:v>
      </x:c>
      <x:c r="S71" s="24" t="str">
        <x:v>Kyphosidae</x:v>
      </x:c>
      <x:c r="T71" s="32" t="n">
        <x:f>IF(O71="","",(1/'Metadata'!$B$5)^(O71-1))</x:f>
        <x:v>15.488166189124811</x:v>
      </x:c>
      <x:c r="U71" s="31" t="n">
        <x:f>IF(T71="","",I71*T71)</x:f>
        <x:v>153.64260859611812</x:v>
      </x:c>
    </x:row>
    <x:row r="72" ht="18" customHeight="1">
      <x:c r="A72" s="24" t="str">
        <x:v>EEZ_928</x:v>
      </x:c>
      <x:c r="B72" s="24" t="str">
        <x:v>Colombia (Pacific)</x:v>
      </x:c>
      <x:c r="C72" s="24" t="str">
        <x:v>EEZ</x:v>
      </x:c>
      <x:c r="D72" s="30" t="n">
        <x:v>2019</x:v>
      </x:c>
      <x:c r="E72" s="24" t="str">
        <x:v>Mustelus henlei</x:v>
      </x:c>
      <x:c r="F72" s="24" t="str">
        <x:v>Brown smooth-hound</x:v>
      </x:c>
      <x:c r="G72" s="24" t="str">
        <x:v>Small to medium sharks (&lt;90 cm)</x:v>
      </x:c>
      <x:c r="H72" s="24" t="str">
        <x:v>Sharks &amp; rays</x:v>
      </x:c>
      <x:c r="I72" s="31" t="n">
        <x:v>9.13</x:v>
      </x:c>
      <x:c r="J72" s="31" t="n">
        <x:v>9.13</x:v>
      </x:c>
      <x:c r="K72" s="31" t="n">
        <x:v>0</x:v>
      </x:c>
      <x:c r="L72" s="31" t="n">
        <x:v>9.13</x:v>
      </x:c>
      <x:c r="M72" s="31" t="n">
        <x:v>0</x:v>
      </x:c>
      <x:c r="N72" s="24" t="str">
        <x:v>mustelus henlei</x:v>
      </x:c>
      <x:c r="O72" s="32" t="n">
        <x:v>3.61</x:v>
      </x:c>
      <x:c r="P72" s="24" t="str">
        <x:v>exact_2020_supplement</x:v>
      </x:c>
      <x:c r="Q72" s="32" t="str">
        <x:v>2020 supplement MeanTL</x:v>
      </x:c>
      <x:c r="R72" s="24" t="str">
        <x:v>high</x:v>
      </x:c>
      <x:c r="S72" s="24" t="str">
        <x:v>Mustelus henlei</x:v>
      </x:c>
      <x:c r="T72" s="32" t="n">
        <x:f>IF(O72="","",(1/'Metadata'!$B$5)^(O72-1))</x:f>
        <x:v>407.3802778041126</x:v>
      </x:c>
      <x:c r="U72" s="31" t="n">
        <x:f>IF(T72="","",I72*T72)</x:f>
        <x:v>3719.3819363515486</x:v>
      </x:c>
    </x:row>
    <x:row r="73" ht="18" customHeight="1">
      <x:c r="A73" s="24" t="str">
        <x:v>EEZ_928</x:v>
      </x:c>
      <x:c r="B73" s="24" t="str">
        <x:v>Colombia (Pacific)</x:v>
      </x:c>
      <x:c r="C73" s="24" t="str">
        <x:v>EEZ</x:v>
      </x:c>
      <x:c r="D73" s="30" t="n">
        <x:v>2019</x:v>
      </x:c>
      <x:c r="E73" s="24" t="str">
        <x:v>Thunnus alalunga</x:v>
      </x:c>
      <x:c r="F73" s="24" t="str">
        <x:v>Albacore</x:v>
      </x:c>
      <x:c r="G73" s="24" t="str">
        <x:v>Large pelagics (&gt;=90 cm)</x:v>
      </x:c>
      <x:c r="H73" s="24" t="str">
        <x:v>Tuna &amp; billfishes</x:v>
      </x:c>
      <x:c r="I73" s="31" t="n">
        <x:v>9.0093591366</x:v>
      </x:c>
      <x:c r="J73" s="31" t="n">
        <x:v>9.0093591366</x:v>
      </x:c>
      <x:c r="K73" s="31" t="n">
        <x:v>0</x:v>
      </x:c>
      <x:c r="L73" s="31" t="n">
        <x:v>9.0093591366</x:v>
      </x:c>
      <x:c r="M73" s="31" t="n">
        <x:v>0</x:v>
      </x:c>
      <x:c r="N73" s="24" t="str">
        <x:v>thunnus alalunga</x:v>
      </x:c>
      <x:c r="O73" s="32" t="n">
        <x:v>4.3</x:v>
      </x:c>
      <x:c r="P73" s="24" t="str">
        <x:v>exact_2020_supplement</x:v>
      </x:c>
      <x:c r="Q73" s="32" t="str">
        <x:v>2020 supplement MeanTL</x:v>
      </x:c>
      <x:c r="R73" s="24" t="str">
        <x:v>high</x:v>
      </x:c>
      <x:c r="S73" s="24" t="str">
        <x:v>Thunnus alalunga</x:v>
      </x:c>
      <x:c r="T73" s="32" t="n">
        <x:f>IF(O73="","",(1/'Metadata'!$B$5)^(O73-1))</x:f>
        <x:v>1995.2623149688789</x:v>
      </x:c>
      <x:c r="U73" s="31" t="n">
        <x:f>IF(T73="","",I73*T73)</x:f>
        <x:v>17976.034767278536</x:v>
      </x:c>
    </x:row>
    <x:row r="74" ht="18" customHeight="1">
      <x:c r="A74" s="24" t="str">
        <x:v>EEZ_928</x:v>
      </x:c>
      <x:c r="B74" s="24" t="str">
        <x:v>Colombia (Pacific)</x:v>
      </x:c>
      <x:c r="C74" s="24" t="str">
        <x:v>EEZ</x:v>
      </x:c>
      <x:c r="D74" s="30" t="n">
        <x:v>2019</x:v>
      </x:c>
      <x:c r="E74" s="24" t="str">
        <x:v>Mollusca</x:v>
      </x:c>
      <x:c r="F74" s="24" t="str">
        <x:v>Clams, seasnails, squids, octopuses</x:v>
      </x:c>
      <x:c r="G74" s="24" t="str">
        <x:v>Other demersal invertebrates</x:v>
      </x:c>
      <x:c r="H74" s="24" t="str">
        <x:v>Molluscs</x:v>
      </x:c>
      <x:c r="I74" s="31" t="n">
        <x:v>6.66</x:v>
      </x:c>
      <x:c r="J74" s="31" t="n">
        <x:v>6.66</x:v>
      </x:c>
      <x:c r="K74" s="31" t="n">
        <x:v>0</x:v>
      </x:c>
      <x:c r="L74" s="31" t="n">
        <x:v>6.66</x:v>
      </x:c>
      <x:c r="M74" s="31" t="n">
        <x:v>0</x:v>
      </x:c>
      <x:c r="N74" s="24" t="str">
        <x:v>mollusca</x:v>
      </x:c>
      <x:c r="O74" s="32" t="n">
        <x:v>2.1</x:v>
      </x:c>
      <x:c r="P74" s="24" t="str">
        <x:v>exact_sea_around_us</x:v>
      </x:c>
      <x:c r="Q74" s="32" t="str">
        <x:v>Sea Around Us exploited organisms</x:v>
      </x:c>
      <x:c r="R74" s="24" t="str">
        <x:v>high</x:v>
      </x:c>
      <x:c r="S74" s="24" t="str">
        <x:v>Mollusca</x:v>
      </x:c>
      <x:c r="T74" s="32" t="n">
        <x:f>IF(O74="","",(1/'Metadata'!$B$5)^(O74-1))</x:f>
        <x:v>12.589254117941675</x:v>
      </x:c>
      <x:c r="U74" s="31" t="n">
        <x:f>IF(T74="","",I74*T74)</x:f>
        <x:v>83.84443242549156</x:v>
      </x:c>
    </x:row>
    <x:row r="75" ht="18" customHeight="1">
      <x:c r="A75" s="24" t="str">
        <x:v>EEZ_928</x:v>
      </x:c>
      <x:c r="B75" s="24" t="str">
        <x:v>Colombia (Pacific)</x:v>
      </x:c>
      <x:c r="C75" s="24" t="str">
        <x:v>EEZ</x:v>
      </x:c>
      <x:c r="D75" s="30" t="n">
        <x:v>2019</x:v>
      </x:c>
      <x:c r="E75" s="24" t="str">
        <x:v>Panulirus gracilis</x:v>
      </x:c>
      <x:c r="F75" s="24" t="str">
        <x:v>Blue spiny lobster</x:v>
      </x:c>
      <x:c r="G75" s="24" t="str">
        <x:v>Lobsters, crabs</x:v>
      </x:c>
      <x:c r="H75" s="24" t="str">
        <x:v>Crustaceans</x:v>
      </x:c>
      <x:c r="I75" s="31" t="n">
        <x:v>6.64</x:v>
      </x:c>
      <x:c r="J75" s="31" t="n">
        <x:v>6.64</x:v>
      </x:c>
      <x:c r="K75" s="31" t="n">
        <x:v>0</x:v>
      </x:c>
      <x:c r="L75" s="31" t="n">
        <x:v>6.64</x:v>
      </x:c>
      <x:c r="M75" s="31" t="n">
        <x:v>0</x:v>
      </x:c>
      <x:c r="N75" s="24" t="str">
        <x:v>panulirus gracilis</x:v>
      </x:c>
      <x:c r="O75" s="32" t="n">
        <x:v>2.6</x:v>
      </x:c>
      <x:c r="P75" s="24" t="str">
        <x:v>exact_sea_around_us</x:v>
      </x:c>
      <x:c r="Q75" s="32" t="str">
        <x:v>Sea Around Us exploited organisms</x:v>
      </x:c>
      <x:c r="R75" s="24" t="str">
        <x:v>high</x:v>
      </x:c>
      <x:c r="S75" s="24" t="str">
        <x:v>Panulirus gracilis</x:v>
      </x:c>
      <x:c r="T75" s="32" t="n">
        <x:f>IF(O75="","",(1/'Metadata'!$B$5)^(O75-1))</x:f>
        <x:v>39.810717055349734</x:v>
      </x:c>
      <x:c r="U75" s="31" t="n">
        <x:f>IF(T75="","",I75*T75)</x:f>
        <x:v>264.34316124752223</x:v>
      </x:c>
    </x:row>
    <x:row r="76" ht="18" customHeight="1">
      <x:c r="A76" s="24" t="str">
        <x:v>EEZ_928</x:v>
      </x:c>
      <x:c r="B76" s="24" t="str">
        <x:v>Colombia (Pacific)</x:v>
      </x:c>
      <x:c r="C76" s="24" t="str">
        <x:v>EEZ</x:v>
      </x:c>
      <x:c r="D76" s="30" t="n">
        <x:v>2019</x:v>
      </x:c>
      <x:c r="E76" s="24" t="str">
        <x:v>Carcharhinus leucas</x:v>
      </x:c>
      <x:c r="F76" s="24" t="str">
        <x:v>Bull shark</x:v>
      </x:c>
      <x:c r="G76" s="24" t="str">
        <x:v>Large sharks (&gt;=90 cm)</x:v>
      </x:c>
      <x:c r="H76" s="24" t="str">
        <x:v>Sharks &amp; rays</x:v>
      </x:c>
      <x:c r="I76" s="31" t="n">
        <x:v>6.21</x:v>
      </x:c>
      <x:c r="J76" s="31" t="n">
        <x:v>6.21</x:v>
      </x:c>
      <x:c r="K76" s="31" t="n">
        <x:v>0</x:v>
      </x:c>
      <x:c r="L76" s="31" t="n">
        <x:v>6.21</x:v>
      </x:c>
      <x:c r="M76" s="31" t="n">
        <x:v>0</x:v>
      </x:c>
      <x:c r="N76" s="24" t="str">
        <x:v>carcharhinus leucas</x:v>
      </x:c>
      <x:c r="O76" s="32" t="n">
        <x:v>4.31</x:v>
      </x:c>
      <x:c r="P76" s="24" t="str">
        <x:v>exact_2020_supplement</x:v>
      </x:c>
      <x:c r="Q76" s="32" t="str">
        <x:v>2020 supplement MeanTL</x:v>
      </x:c>
      <x:c r="R76" s="24" t="str">
        <x:v>high</x:v>
      </x:c>
      <x:c r="S76" s="24" t="str">
        <x:v>Carcharhinus leucas</x:v>
      </x:c>
      <x:c r="T76" s="32" t="n">
        <x:f>IF(O76="","",(1/'Metadata'!$B$5)^(O76-1))</x:f>
        <x:v>2041.7379446695275</x:v>
      </x:c>
      <x:c r="U76" s="31" t="n">
        <x:f>IF(T76="","",I76*T76)</x:f>
        <x:v>12679.192636397765</x:v>
      </x:c>
    </x:row>
    <x:row r="77" ht="18" customHeight="1">
      <x:c r="A77" s="24" t="str">
        <x:v>EEZ_928</x:v>
      </x:c>
      <x:c r="B77" s="24" t="str">
        <x:v>Colombia (Pacific)</x:v>
      </x:c>
      <x:c r="C77" s="24" t="str">
        <x:v>EEZ</x:v>
      </x:c>
      <x:c r="D77" s="30" t="n">
        <x:v>2019</x:v>
      </x:c>
      <x:c r="E77" s="24" t="str">
        <x:v>Carcharhinus limbatus</x:v>
      </x:c>
      <x:c r="F77" s="24" t="str">
        <x:v>Blacktip shark</x:v>
      </x:c>
      <x:c r="G77" s="24" t="str">
        <x:v>Large sharks (&gt;=90 cm)</x:v>
      </x:c>
      <x:c r="H77" s="24" t="str">
        <x:v>Sharks &amp; rays</x:v>
      </x:c>
      <x:c r="I77" s="31" t="n">
        <x:v>4.140000000000001</x:v>
      </x:c>
      <x:c r="J77" s="31" t="n">
        <x:v>4.140000000000001</x:v>
      </x:c>
      <x:c r="K77" s="31" t="n">
        <x:v>0</x:v>
      </x:c>
      <x:c r="L77" s="31" t="n">
        <x:v>4.140000000000001</x:v>
      </x:c>
      <x:c r="M77" s="31" t="n">
        <x:v>0</x:v>
      </x:c>
      <x:c r="N77" s="24" t="str">
        <x:v>carcharhinus limbatus</x:v>
      </x:c>
      <x:c r="O77" s="32" t="n">
        <x:v>4.37</x:v>
      </x:c>
      <x:c r="P77" s="24" t="str">
        <x:v>exact_2020_supplement</x:v>
      </x:c>
      <x:c r="Q77" s="32" t="str">
        <x:v>2020 supplement MeanTL</x:v>
      </x:c>
      <x:c r="R77" s="24" t="str">
        <x:v>high</x:v>
      </x:c>
      <x:c r="S77" s="24" t="str">
        <x:v>Carcharhinus limbatus</x:v>
      </x:c>
      <x:c r="T77" s="32" t="n">
        <x:f>IF(O77="","",(1/'Metadata'!$B$5)^(O77-1))</x:f>
        <x:v>2344.228815319923</x:v>
      </x:c>
      <x:c r="U77" s="31" t="n">
        <x:f>IF(T77="","",I77*T77)</x:f>
        <x:v>9705.107295424483</x:v>
      </x:c>
    </x:row>
    <x:row r="78" ht="18" customHeight="1">
      <x:c r="A78" s="24" t="str">
        <x:v>EEZ_928</x:v>
      </x:c>
      <x:c r="B78" s="24" t="str">
        <x:v>Colombia (Pacific)</x:v>
      </x:c>
      <x:c r="C78" s="24" t="str">
        <x:v>EEZ</x:v>
      </x:c>
      <x:c r="D78" s="30" t="n">
        <x:v>2019</x:v>
      </x:c>
      <x:c r="E78" s="24" t="str">
        <x:v>Sphyrna lewini</x:v>
      </x:c>
      <x:c r="F78" s="24" t="str">
        <x:v>Scalloped hammerhead</x:v>
      </x:c>
      <x:c r="G78" s="24" t="str">
        <x:v>Large sharks (&gt;=90 cm)</x:v>
      </x:c>
      <x:c r="H78" s="24" t="str">
        <x:v>Sharks &amp; rays</x:v>
      </x:c>
      <x:c r="I78" s="31" t="n">
        <x:v>3.0100000000000002</x:v>
      </x:c>
      <x:c r="J78" s="31" t="n">
        <x:v>3.0100000000000002</x:v>
      </x:c>
      <x:c r="K78" s="31" t="n">
        <x:v>0</x:v>
      </x:c>
      <x:c r="L78" s="31" t="n">
        <x:v>3.0100000000000002</x:v>
      </x:c>
      <x:c r="M78" s="31" t="n">
        <x:v>0</x:v>
      </x:c>
      <x:c r="N78" s="24" t="str">
        <x:v>sphyrna lewini</x:v>
      </x:c>
      <x:c r="O78" s="32" t="n">
        <x:v>4.08</x:v>
      </x:c>
      <x:c r="P78" s="24" t="str">
        <x:v>exact_2020_supplement</x:v>
      </x:c>
      <x:c r="Q78" s="32" t="str">
        <x:v>2020 supplement MeanTL</x:v>
      </x:c>
      <x:c r="R78" s="24" t="str">
        <x:v>high</x:v>
      </x:c>
      <x:c r="S78" s="24" t="str">
        <x:v>Sphyrna lewini</x:v>
      </x:c>
      <x:c r="T78" s="32" t="n">
        <x:f>IF(O78="","",(1/'Metadata'!$B$5)^(O78-1))</x:f>
        <x:v>1202.2644346174131</x:v>
      </x:c>
      <x:c r="U78" s="31" t="n">
        <x:f>IF(T78="","",I78*T78)</x:f>
        <x:v>3618.815948198414</x:v>
      </x:c>
    </x:row>
    <x:row r="79" ht="18" customHeight="1">
      <x:c r="A79" s="24" t="str">
        <x:v>EEZ_928</x:v>
      </x:c>
      <x:c r="B79" s="24" t="str">
        <x:v>Colombia (Pacific)</x:v>
      </x:c>
      <x:c r="C79" s="24" t="str">
        <x:v>EEZ</x:v>
      </x:c>
      <x:c r="D79" s="30" t="n">
        <x:v>2019</x:v>
      </x:c>
      <x:c r="E79" s="24" t="str">
        <x:v>Istiompax indica</x:v>
      </x:c>
      <x:c r="F79" s="24" t="str">
        <x:v>Black marlin</x:v>
      </x:c>
      <x:c r="G79" s="24" t="str">
        <x:v>Large pelagics (&gt;=90 cm)</x:v>
      </x:c>
      <x:c r="H79" s="24" t="str">
        <x:v>Tuna &amp; billfishes</x:v>
      </x:c>
      <x:c r="I79" s="31" t="n">
        <x:v>1.4835430313</x:v>
      </x:c>
      <x:c r="J79" s="31" t="n">
        <x:v>1.4835430313</x:v>
      </x:c>
      <x:c r="K79" s="31" t="n">
        <x:v>0</x:v>
      </x:c>
      <x:c r="L79" s="31" t="n">
        <x:v>1.4835430313</x:v>
      </x:c>
      <x:c r="M79" s="31" t="n">
        <x:v>0</x:v>
      </x:c>
      <x:c r="N79" s="24" t="str">
        <x:v>istiompax indica</x:v>
      </x:c>
      <x:c r="O79" s="32" t="n">
        <x:v>4.5</x:v>
      </x:c>
      <x:c r="P79" s="24" t="str">
        <x:v>exact_2020_supplement</x:v>
      </x:c>
      <x:c r="Q79" s="32" t="str">
        <x:v>2020 supplement MeanTL</x:v>
      </x:c>
      <x:c r="R79" s="24" t="str">
        <x:v>high</x:v>
      </x:c>
      <x:c r="S79" s="24" t="str">
        <x:v>Istiompax indica</x:v>
      </x:c>
      <x:c r="T79" s="32" t="n">
        <x:f>IF(O79="","",(1/'Metadata'!$B$5)^(O79-1))</x:f>
        <x:v>3162.2776601683795</x:v>
      </x:c>
      <x:c r="U79" s="31" t="n">
        <x:f>IF(T79="","",I79*T79)</x:f>
        <x:v>4691.374985778469</x:v>
      </x:c>
    </x:row>
    <x:row r="80" ht="18" customHeight="1">
      <x:c r="A80" s="24" t="str">
        <x:v>EEZ_928</x:v>
      </x:c>
      <x:c r="B80" s="24" t="str">
        <x:v>Colombia (Pacific)</x:v>
      </x:c>
      <x:c r="C80" s="24" t="str">
        <x:v>EEZ</x:v>
      </x:c>
      <x:c r="D80" s="30" t="n">
        <x:v>2019</x:v>
      </x:c>
      <x:c r="E80" s="24" t="str">
        <x:v>Serranidae</x:v>
      </x:c>
      <x:c r="F80" s="24" t="str">
        <x:v>Basses, groupers, hinds</x:v>
      </x:c>
      <x:c r="G80" s="24" t="str">
        <x:v>Medium reef assoc. fish (30 - 89 cm)</x:v>
      </x:c>
      <x:c r="H80" s="24" t="str">
        <x:v>Perch-likes</x:v>
      </x:c>
      <x:c r="I80" s="31" t="n">
        <x:v>1.2629613921</x:v>
      </x:c>
      <x:c r="J80" s="31" t="n">
        <x:v>1.2629613921</x:v>
      </x:c>
      <x:c r="K80" s="31" t="n">
        <x:v>0</x:v>
      </x:c>
      <x:c r="L80" s="31" t="n">
        <x:v>1.2629613921</x:v>
      </x:c>
      <x:c r="M80" s="31" t="n">
        <x:v>0</x:v>
      </x:c>
      <x:c r="N80" s="24" t="str">
        <x:v>serranidae</x:v>
      </x:c>
      <x:c r="O80" s="32" t="n">
        <x:v>3.98</x:v>
      </x:c>
      <x:c r="P80" s="24" t="str">
        <x:v>exact_sea_around_us</x:v>
      </x:c>
      <x:c r="Q80" s="32" t="str">
        <x:v>Sea Around Us exploited organisms</x:v>
      </x:c>
      <x:c r="R80" s="24" t="str">
        <x:v>high</x:v>
      </x:c>
      <x:c r="S80" s="24" t="str">
        <x:v>Serranidae</x:v>
      </x:c>
      <x:c r="T80" s="32" t="n">
        <x:f>IF(O80="","",(1/'Metadata'!$B$5)^(O80-1))</x:f>
        <x:v>954.992586021436</x:v>
      </x:c>
      <x:c r="U80" s="31" t="n">
        <x:f>IF(T80="","",I80*T80)</x:f>
        <x:v>1206.1187658868118</x:v>
      </x:c>
    </x:row>
    <x:row r="81" ht="18" customHeight="1">
      <x:c r="A81" s="24" t="str">
        <x:v>EEZ_928</x:v>
      </x:c>
      <x:c r="B81" s="24" t="str">
        <x:v>Colombia (Pacific)</x:v>
      </x:c>
      <x:c r="C81" s="24" t="str">
        <x:v>EEZ</x:v>
      </x:c>
      <x:c r="D81" s="30" t="n">
        <x:v>2019</x:v>
      </x:c>
      <x:c r="E81" s="24" t="str">
        <x:v>Mycteroperca xenarcha</x:v>
      </x:c>
      <x:c r="F81" s="24" t="str">
        <x:v>Broomtail grouper</x:v>
      </x:c>
      <x:c r="G81" s="24" t="str">
        <x:v>Large demersals (&gt;=90 cm)</x:v>
      </x:c>
      <x:c r="H81" s="24" t="str">
        <x:v>Perch-likes</x:v>
      </x:c>
      <x:c r="I81" s="31" t="n">
        <x:v>1.07</x:v>
      </x:c>
      <x:c r="J81" s="31" t="n">
        <x:v>1.07</x:v>
      </x:c>
      <x:c r="K81" s="31" t="n">
        <x:v>0</x:v>
      </x:c>
      <x:c r="L81" s="31" t="n">
        <x:v>1.07</x:v>
      </x:c>
      <x:c r="M81" s="31" t="n">
        <x:v>0</x:v>
      </x:c>
      <x:c r="N81" s="24" t="str">
        <x:v>mycteroperca xenarcha</x:v>
      </x:c>
      <x:c r="O81" s="32" t="n">
        <x:v>4.35</x:v>
      </x:c>
      <x:c r="P81" s="24" t="str">
        <x:v>exact_sea_around_us</x:v>
      </x:c>
      <x:c r="Q81" s="32" t="str">
        <x:v>Sea Around Us exploited organisms</x:v>
      </x:c>
      <x:c r="R81" s="24" t="str">
        <x:v>high</x:v>
      </x:c>
      <x:c r="S81" s="24" t="str">
        <x:v>Mycteroperca xenarcha</x:v>
      </x:c>
      <x:c r="T81" s="32" t="n">
        <x:f>IF(O81="","",(1/'Metadata'!$B$5)^(O81-1))</x:f>
        <x:v>2238.7211385683377</x:v>
      </x:c>
      <x:c r="U81" s="31" t="n">
        <x:f>IF(T81="","",I81*T81)</x:f>
        <x:v>2395.4316182681214</x:v>
      </x:c>
    </x:row>
    <x:row r="82" ht="18" customHeight="1">
      <x:c r="A82" s="24" t="str">
        <x:v>EEZ_928</x:v>
      </x:c>
      <x:c r="B82" s="24" t="str">
        <x:v>Colombia (Pacific)</x:v>
      </x:c>
      <x:c r="C82" s="24" t="str">
        <x:v>EEZ</x:v>
      </x:c>
      <x:c r="D82" s="30" t="n">
        <x:v>2019</x:v>
      </x:c>
      <x:c r="E82" s="24" t="str">
        <x:v>Mugilidae</x:v>
      </x:c>
      <x:c r="F82" s="24" t="str">
        <x:v>Mullets, grey mullets</x:v>
      </x:c>
      <x:c r="G82" s="24" t="str">
        <x:v>Medium reef assoc. fish (30 - 89 cm)</x:v>
      </x:c>
      <x:c r="H82" s="24" t="str">
        <x:v>Perch-likes</x:v>
      </x:c>
      <x:c r="I82" s="31" t="n">
        <x:v>0.9923268068000001</x:v>
      </x:c>
      <x:c r="J82" s="31" t="n">
        <x:v>0.9923268068000001</x:v>
      </x:c>
      <x:c r="K82" s="31" t="n">
        <x:v>0</x:v>
      </x:c>
      <x:c r="L82" s="31" t="n">
        <x:v>0.9923268068000001</x:v>
      </x:c>
      <x:c r="M82" s="31" t="n">
        <x:v>0</x:v>
      </x:c>
      <x:c r="N82" s="24" t="str">
        <x:v>mugilidae</x:v>
      </x:c>
      <x:c r="O82" s="32" t="n">
        <x:v>2.53</x:v>
      </x:c>
      <x:c r="P82" s="24" t="str">
        <x:v>exact_sea_around_us</x:v>
      </x:c>
      <x:c r="Q82" s="32" t="str">
        <x:v>Sea Around Us exploited organisms</x:v>
      </x:c>
      <x:c r="R82" s="24" t="str">
        <x:v>high</x:v>
      </x:c>
      <x:c r="S82" s="24" t="str">
        <x:v>Mugilidae</x:v>
      </x:c>
      <x:c r="T82" s="32" t="n">
        <x:f>IF(O82="","",(1/'Metadata'!$B$5)^(O82-1))</x:f>
        <x:v>33.88441561392024</x:v>
      </x:c>
      <x:c r="U82" s="31" t="n">
        <x:f>IF(T82="","",I82*T82)</x:f>
        <x:v>33.624413946445536</x:v>
      </x:c>
    </x:row>
    <x:row r="83" ht="18" customHeight="1">
      <x:c r="A83" s="24" t="str">
        <x:v>EEZ_928</x:v>
      </x:c>
      <x:c r="B83" s="24" t="str">
        <x:v>Colombia (Pacific)</x:v>
      </x:c>
      <x:c r="C83" s="24" t="str">
        <x:v>EEZ</x:v>
      </x:c>
      <x:c r="D83" s="30" t="n">
        <x:v>2019</x:v>
      </x:c>
      <x:c r="E83" s="24" t="str">
        <x:v>Galeocerdo cuvier</x:v>
      </x:c>
      <x:c r="F83" s="24" t="str">
        <x:v>Tiger shark</x:v>
      </x:c>
      <x:c r="G83" s="24" t="str">
        <x:v>Large sharks (&gt;=90 cm)</x:v>
      </x:c>
      <x:c r="H83" s="24" t="str">
        <x:v>Sharks &amp; rays</x:v>
      </x:c>
      <x:c r="I83" s="31" t="n">
        <x:v>0.77</x:v>
      </x:c>
      <x:c r="J83" s="31" t="n">
        <x:v>0.77</x:v>
      </x:c>
      <x:c r="K83" s="31" t="n">
        <x:v>0</x:v>
      </x:c>
      <x:c r="L83" s="31" t="n">
        <x:v>0.77</x:v>
      </x:c>
      <x:c r="M83" s="31" t="n">
        <x:v>0</x:v>
      </x:c>
      <x:c r="N83" s="24" t="str">
        <x:v>galeocerdo cuvier</x:v>
      </x:c>
      <x:c r="O83" s="32" t="n">
        <x:v>4.54</x:v>
      </x:c>
      <x:c r="P83" s="24" t="str">
        <x:v>exact_2020_supplement</x:v>
      </x:c>
      <x:c r="Q83" s="32" t="str">
        <x:v>2020 supplement MeanTL</x:v>
      </x:c>
      <x:c r="R83" s="24" t="str">
        <x:v>high</x:v>
      </x:c>
      <x:c r="S83" s="24" t="str">
        <x:v>Galeocerdo cuvier</x:v>
      </x:c>
      <x:c r="T83" s="32" t="n">
        <x:f>IF(O83="","",(1/'Metadata'!$B$5)^(O83-1))</x:f>
        <x:v>3467.368504525317</x:v>
      </x:c>
      <x:c r="U83" s="31" t="n">
        <x:f>IF(T83="","",I83*T83)</x:f>
        <x:v>2669.873748484494</x:v>
      </x:c>
    </x:row>
    <x:row r="84" ht="18" customHeight="1">
      <x:c r="A84" s="24" t="str">
        <x:v>EEZ_928</x:v>
      </x:c>
      <x:c r="B84" s="24" t="str">
        <x:v>Colombia (Pacific)</x:v>
      </x:c>
      <x:c r="C84" s="24" t="str">
        <x:v>EEZ</x:v>
      </x:c>
      <x:c r="D84" s="30" t="n">
        <x:v>2019</x:v>
      </x:c>
      <x:c r="E84" s="24" t="str">
        <x:v>Gastropoda</x:v>
      </x:c>
      <x:c r="F84" s="24" t="str">
        <x:v>Sea snails</x:v>
      </x:c>
      <x:c r="G84" s="24" t="str">
        <x:v>Other demersal invertebrates</x:v>
      </x:c>
      <x:c r="H84" s="24" t="str">
        <x:v>Molluscs</x:v>
      </x:c>
      <x:c r="I84" s="31" t="n">
        <x:v>0.72</x:v>
      </x:c>
      <x:c r="J84" s="31" t="n">
        <x:v>0.72</x:v>
      </x:c>
      <x:c r="K84" s="31" t="n">
        <x:v>0</x:v>
      </x:c>
      <x:c r="L84" s="31" t="n">
        <x:v>0.72</x:v>
      </x:c>
      <x:c r="M84" s="31" t="n">
        <x:v>0</x:v>
      </x:c>
      <x:c r="N84" s="24" t="str">
        <x:v>gastropoda</x:v>
      </x:c>
      <x:c r="O84" s="32" t="n">
        <x:v>3.06</x:v>
      </x:c>
      <x:c r="P84" s="24" t="str">
        <x:v>exact_sea_around_us</x:v>
      </x:c>
      <x:c r="Q84" s="32" t="str">
        <x:v>Sea Around Us exploited organisms</x:v>
      </x:c>
      <x:c r="R84" s="24" t="str">
        <x:v>high</x:v>
      </x:c>
      <x:c r="S84" s="24" t="str">
        <x:v>Gastropoda</x:v>
      </x:c>
      <x:c r="T84" s="32" t="n">
        <x:f>IF(O84="","",(1/'Metadata'!$B$5)^(O84-1))</x:f>
        <x:v>114.81536214968828</x:v>
      </x:c>
      <x:c r="U84" s="31" t="n">
        <x:f>IF(T84="","",I84*T84)</x:f>
        <x:v>82.66706074777557</x:v>
      </x:c>
    </x:row>
    <x:row r="85" ht="18" customHeight="1">
      <x:c r="A85" s="24" t="str">
        <x:v>EEZ_928</x:v>
      </x:c>
      <x:c r="B85" s="24" t="str">
        <x:v>Colombia (Pacific)</x:v>
      </x:c>
      <x:c r="C85" s="24" t="str">
        <x:v>EEZ</x:v>
      </x:c>
      <x:c r="D85" s="30" t="n">
        <x:v>2019</x:v>
      </x:c>
      <x:c r="E85" s="24" t="str">
        <x:v>Sphyrna tiburo</x:v>
      </x:c>
      <x:c r="F85" s="24" t="str">
        <x:v>Bonnethead</x:v>
      </x:c>
      <x:c r="G85" s="24" t="str">
        <x:v>Large sharks (&gt;=90 cm)</x:v>
      </x:c>
      <x:c r="H85" s="24" t="str">
        <x:v>Sharks &amp; rays</x:v>
      </x:c>
      <x:c r="I85" s="31" t="n">
        <x:v>0.61</x:v>
      </x:c>
      <x:c r="J85" s="31" t="n">
        <x:v>0.61</x:v>
      </x:c>
      <x:c r="K85" s="31" t="n">
        <x:v>0</x:v>
      </x:c>
      <x:c r="L85" s="31" t="n">
        <x:v>0.61</x:v>
      </x:c>
      <x:c r="M85" s="31" t="n">
        <x:v>0</x:v>
      </x:c>
      <x:c r="N85" s="24" t="str">
        <x:v>sphyrna tiburo</x:v>
      </x:c>
      <x:c r="O85" s="32" t="n">
        <x:v>3.88</x:v>
      </x:c>
      <x:c r="P85" s="24" t="str">
        <x:v>exact_2020_supplement</x:v>
      </x:c>
      <x:c r="Q85" s="32" t="str">
        <x:v>2020 supplement MeanTL</x:v>
      </x:c>
      <x:c r="R85" s="24" t="str">
        <x:v>high</x:v>
      </x:c>
      <x:c r="S85" s="24" t="str">
        <x:v>Sphyrna tiburo</x:v>
      </x:c>
      <x:c r="T85" s="32" t="n">
        <x:f>IF(O85="","",(1/'Metadata'!$B$5)^(O85-1))</x:f>
        <x:v>758.5775750291835</x:v>
      </x:c>
      <x:c r="U85" s="31" t="n">
        <x:f>IF(T85="","",I85*T85)</x:f>
        <x:v>462.732320767802</x:v>
      </x:c>
    </x:row>
    <x:row r="86" ht="18" customHeight="1">
      <x:c r="A86" s="24" t="str">
        <x:v>EEZ_928</x:v>
      </x:c>
      <x:c r="B86" s="24" t="str">
        <x:v>Colombia (Pacific)</x:v>
      </x:c>
      <x:c r="C86" s="24" t="str">
        <x:v>EEZ</x:v>
      </x:c>
      <x:c r="D86" s="30" t="n">
        <x:v>2019</x:v>
      </x:c>
      <x:c r="E86" s="24" t="str">
        <x:v>Isurus</x:v>
      </x:c>
      <x:c r="F86" s="24" t="str">
        <x:v>Mako sharks</x:v>
      </x:c>
      <x:c r="G86" s="24" t="str">
        <x:v>Large sharks (&gt;=90 cm)</x:v>
      </x:c>
      <x:c r="H86" s="24" t="str">
        <x:v>Sharks &amp; rays</x:v>
      </x:c>
      <x:c r="I86" s="31" t="n">
        <x:v>0.1102817286</x:v>
      </x:c>
      <x:c r="J86" s="31" t="n">
        <x:v>0</x:v>
      </x:c>
      <x:c r="K86" s="31" t="n">
        <x:v>0.1102817286</x:v>
      </x:c>
      <x:c r="L86" s="31" t="n">
        <x:v>0</x:v>
      </x:c>
      <x:c r="M86" s="31" t="n">
        <x:v>0.1102817286</x:v>
      </x:c>
      <x:c r="N86" s="24" t="str">
        <x:v>isurus</x:v>
      </x:c>
      <x:c r="O86" s="32" t="n">
        <x:v>4.5</x:v>
      </x:c>
      <x:c r="P86" s="24" t="str">
        <x:v>exact_sea_around_us</x:v>
      </x:c>
      <x:c r="Q86" s="32" t="str">
        <x:v>Sea Around Us exploited organisms</x:v>
      </x:c>
      <x:c r="R86" s="24" t="str">
        <x:v>high</x:v>
      </x:c>
      <x:c r="S86" s="24" t="str">
        <x:v>Isurus</x:v>
      </x:c>
      <x:c r="T86" s="32" t="n">
        <x:f>IF(O86="","",(1/'Metadata'!$B$5)^(O86-1))</x:f>
        <x:v>3162.2776601683795</x:v>
      </x:c>
      <x:c r="U86" s="31" t="n">
        <x:f>IF(T86="","",I86*T86)</x:f>
        <x:v>348.7414466765323</x:v>
      </x:c>
    </x:row>
    <x:row r="87" ht="18" customHeight="1">
      <x:c r="A87" s="24" t="str">
        <x:v>EEZ_928</x:v>
      </x:c>
      <x:c r="B87" s="24" t="str">
        <x:v>Colombia (Pacific)</x:v>
      </x:c>
      <x:c r="C87" s="24" t="str">
        <x:v>EEZ</x:v>
      </x:c>
      <x:c r="D87" s="30" t="n">
        <x:v>2019</x:v>
      </x:c>
      <x:c r="E87" s="24" t="str">
        <x:v>Clupeiformes</x:v>
      </x:c>
      <x:c r="F87" s="24" t="str">
        <x:v>Herrings, shads, anchovies</x:v>
      </x:c>
      <x:c r="G87" s="24" t="str">
        <x:v>Small pelagics (&lt;30 cm)</x:v>
      </x:c>
      <x:c r="H87" s="24" t="str">
        <x:v>Other fishes &amp; inverts</x:v>
      </x:c>
      <x:c r="I87" s="31" t="n">
        <x:v>0.10999999999999999</x:v>
      </x:c>
      <x:c r="J87" s="31" t="n">
        <x:v>0.10999999999999999</x:v>
      </x:c>
      <x:c r="K87" s="31" t="n">
        <x:v>0</x:v>
      </x:c>
      <x:c r="L87" s="31" t="n">
        <x:v>0.10999999999999999</x:v>
      </x:c>
      <x:c r="M87" s="31" t="n">
        <x:v>0</x:v>
      </x:c>
      <x:c r="N87" s="24" t="str">
        <x:v>clupeiformes</x:v>
      </x:c>
      <x:c r="O87" s="32" t="n">
        <x:v>3.24</x:v>
      </x:c>
      <x:c r="P87" s="24" t="str">
        <x:v>exact_sea_around_us</x:v>
      </x:c>
      <x:c r="Q87" s="32" t="str">
        <x:v>Sea Around Us exploited organisms</x:v>
      </x:c>
      <x:c r="R87" s="24" t="str">
        <x:v>high</x:v>
      </x:c>
      <x:c r="S87" s="24" t="str">
        <x:v>Clupeiformes</x:v>
      </x:c>
      <x:c r="T87" s="32" t="n">
        <x:f>IF(O87="","",(1/'Metadata'!$B$5)^(O87-1))</x:f>
        <x:v>173.78008287493762</x:v>
      </x:c>
      <x:c r="U87" s="31" t="n">
        <x:f>IF(T87="","",I87*T87)</x:f>
        <x:v>19.115809116243135</x:v>
      </x:c>
    </x:row>
    <x:row r="88" ht="18" customHeight="1">
      <x:c r="A88" s="24" t="str">
        <x:v>EEZ_928</x:v>
      </x:c>
      <x:c r="B88" s="24" t="str">
        <x:v>Colombia (Pacific)</x:v>
      </x:c>
      <x:c r="C88" s="24" t="str">
        <x:v>EEZ</x:v>
      </x:c>
      <x:c r="D88" s="30" t="n">
        <x:v>2019</x:v>
      </x:c>
      <x:c r="E88" s="24" t="str">
        <x:v>Xiphiidae</x:v>
      </x:c>
      <x:c r="F88" s="24" t="str">
        <x:v>Swordfishes</x:v>
      </x:c>
      <x:c r="G88" s="24" t="str">
        <x:v>Large pelagics (&gt;=90 cm)</x:v>
      </x:c>
      <x:c r="H88" s="24" t="str">
        <x:v>Tuna &amp; billfishes</x:v>
      </x:c>
      <x:c r="I88" s="31" t="n">
        <x:v>0.0005412692</x:v>
      </x:c>
      <x:c r="J88" s="31" t="n">
        <x:v>0.0005412692</x:v>
      </x:c>
      <x:c r="K88" s="31" t="n">
        <x:v>0</x:v>
      </x:c>
      <x:c r="L88" s="31" t="n">
        <x:v>0.0005412692</x:v>
      </x:c>
      <x:c r="M88" s="31" t="n">
        <x:v>0</x:v>
      </x:c>
      <x:c r="N88" s="24" t="str">
        <x:v>xiphiidae</x:v>
      </x:c>
      <x:c r="O88" s="32" t="n">
        <x:v>4.5</x:v>
      </x:c>
      <x:c r="P88" s="24" t="str">
        <x:v>exact_sea_around_us</x:v>
      </x:c>
      <x:c r="Q88" s="32" t="str">
        <x:v>Sea Around Us exploited organisms</x:v>
      </x:c>
      <x:c r="R88" s="24" t="str">
        <x:v>high</x:v>
      </x:c>
      <x:c r="S88" s="24" t="str">
        <x:v>Xiphiidae</x:v>
      </x:c>
      <x:c r="T88" s="32" t="n">
        <x:f>IF(O88="","",(1/'Metadata'!$B$5)^(O88-1))</x:f>
        <x:v>3162.2776601683795</x:v>
      </x:c>
      <x:c r="U88" s="31" t="n">
        <x:f>IF(T88="","",I88*T88)</x:f>
        <x:v>1.7116434992972107</x:v>
      </x:c>
    </x:row>
  </x:sheetData>
  <x:conditionalFormatting sqref="R2:R88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0e985193b91d4292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Anchovies</x:v>
      </x:c>
      <x:c r="B2" s="31" t="n">
        <x:v>2096.1359381176003</x:v>
      </x:c>
      <x:c r="C2" s="32" t="n">
        <x:v>2.68683649941468</x:v>
      </x:c>
      <x:c r="D2" s="32" t="n">
        <x:f>IF(C2="","",(1/'Metadata'!$B$5)^(C2-1))</x:f>
        <x:v>48.62241204855945</x:v>
      </x:c>
      <x:c r="E2" s="31" t="n">
        <x:f>IF(B2=0,"",B2*D2)</x:f>
        <x:v>101919.18529294767</x:v>
      </x:c>
    </x:row>
    <x:row r="3" ht="18" customHeight="1">
      <x:c r="A3" s="24" t="str">
        <x:v>Crustaceans</x:v>
      </x:c>
      <x:c r="B3" s="31" t="n">
        <x:v>2826.5009656548</x:v>
      </x:c>
      <x:c r="C3" s="32" t="n">
        <x:v>3.191697666956631</x:v>
      </x:c>
      <x:c r="D3" s="32" t="n">
        <x:f>IF(C3="","",(1/'Metadata'!$B$5)^(C3-1))</x:f>
        <x:v>155.4882826868751</x:v>
      </x:c>
      <x:c r="E3" s="31" t="n">
        <x:f>IF(B3=0,"",B3*D3)</x:f>
        <x:v>439487.781162459</x:v>
      </x:c>
    </x:row>
    <x:row r="4" ht="18" customHeight="1">
      <x:c r="A4" s="24" t="str">
        <x:v>Flatfishes</x:v>
      </x:c>
      <x:c r="B4" s="31" t="n">
        <x:v>142.1471127323</x:v>
      </x:c>
      <x:c r="C4" s="32" t="n">
        <x:v>3.9014594232295923</x:v>
      </x:c>
      <x:c r="D4" s="32" t="n">
        <x:f>IF(C4="","",(1/'Metadata'!$B$5)^(C4-1))</x:f>
        <x:v>797.0020220436456</x:v>
      </x:c>
      <x:c r="E4" s="31" t="n">
        <x:f>IF(B4=0,"",B4*D4)</x:f>
        <x:v>113291.53627530915</x:v>
      </x:c>
    </x:row>
    <x:row r="5" ht="18" customHeight="1">
      <x:c r="A5" s="24" t="str">
        <x:v>Herring-likes</x:v>
      </x:c>
      <x:c r="B5" s="31" t="n">
        <x:v>171.4790108462</x:v>
      </x:c>
      <x:c r="C5" s="32" t="n">
        <x:v>3.116546208909024</x:v>
      </x:c>
      <x:c r="D5" s="32" t="n">
        <x:f>IF(C5="","",(1/'Metadata'!$B$5)^(C5-1))</x:f>
        <x:v>130.7814682928072</x:v>
      </x:c>
      <x:c r="E5" s="31" t="n">
        <x:f>IF(B5=0,"",B5*D5)</x:f>
        <x:v>22426.276819864248</x:v>
      </x:c>
    </x:row>
    <x:row r="6" ht="18" customHeight="1">
      <x:c r="A6" s="24" t="str">
        <x:v>Molluscs</x:v>
      </x:c>
      <x:c r="B6" s="31" t="n">
        <x:v>458.87000000000006</x:v>
      </x:c>
      <x:c r="C6" s="32" t="n">
        <x:v>2.0031146076230737</x:v>
      </x:c>
      <x:c r="D6" s="32" t="n">
        <x:f>IF(C6="","",(1/'Metadata'!$B$5)^(C6-1))</x:f>
        <x:v>10.071974269451164</x:v>
      </x:c>
      <x:c r="E6" s="31" t="n">
        <x:f>IF(B6=0,"",B6*D6)</x:f>
        <x:v>4621.726833023056</x:v>
      </x:c>
    </x:row>
    <x:row r="7" ht="18" customHeight="1">
      <x:c r="A7" s="24" t="str">
        <x:v>Other fishes &amp; inverts</x:v>
      </x:c>
      <x:c r="B7" s="31" t="n">
        <x:v>12628.364201328799</x:v>
      </x:c>
      <x:c r="C7" s="32" t="n">
        <x:v>3.4363515002905762</x:v>
      </x:c>
      <x:c r="D7" s="32" t="n">
        <x:f>IF(C7="","",(1/'Metadata'!$B$5)^(C7-1))</x:f>
        <x:v>273.11874005026385</x:v>
      </x:c>
      <x:c r="E7" s="31" t="n">
        <x:f>IF(B7=0,"",B7*D7)</x:f>
        <x:v>3449042.919562778</x:v>
      </x:c>
    </x:row>
    <x:row r="8" ht="18" customHeight="1">
      <x:c r="A8" s="24" t="str">
        <x:v>Perch-likes</x:v>
      </x:c>
      <x:c r="B8" s="31" t="n">
        <x:v>14297.022331554701</x:v>
      </x:c>
      <x:c r="C8" s="32" t="n">
        <x:v>3.8670371002854416</x:v>
      </x:c>
      <x:c r="D8" s="32" t="n">
        <x:f>IF(C8="","",(1/'Metadata'!$B$5)^(C8-1))</x:f>
        <x:v>736.2699918240023</x:v>
      </x:c>
      <x:c r="E8" s="31" t="n">
        <x:f>IF(B8=0,"",B8*D8)</x:f>
        <x:v>10526468.515161358</x:v>
      </x:c>
    </x:row>
    <x:row r="9" ht="18" customHeight="1">
      <x:c r="A9" s="24" t="str">
        <x:v>Sharks &amp; rays</x:v>
      </x:c>
      <x:c r="B9" s="31" t="n">
        <x:v>608.825904134</x:v>
      </x:c>
      <x:c r="C9" s="32" t="n">
        <x:v>4.243686858579017</x:v>
      </x:c>
      <x:c r="D9" s="32" t="n">
        <x:f>IF(C9="","",(1/'Metadata'!$B$5)^(C9-1))</x:f>
        <x:v>1752.6163488250031</x:v>
      </x:c>
      <x:c r="E9" s="31" t="n">
        <x:f>IF(B9=0,"",B9*D9)</x:f>
        <x:v>1067038.2331734125</x:v>
      </x:c>
    </x:row>
    <x:row r="10" ht="18" customHeight="1">
      <x:c r="A10" s="24" t="str">
        <x:v>Tuna &amp; billfishes</x:v>
      </x:c>
      <x:c r="B10" s="31" t="n">
        <x:v>21618.6297385751</x:v>
      </x:c>
      <x:c r="C10" s="32" t="n">
        <x:v>4.408533243341434</x:v>
      </x:c>
      <x:c r="D10" s="32" t="n">
        <x:f>IF(C10="","",(1/'Metadata'!$B$5)^(C10-1))</x:f>
        <x:v>2561.729345750518</x:v>
      </x:c>
      <x:c r="E10" s="31" t="n">
        <x:f>IF(B10=0,"",B10*D10)</x:f>
        <x:v>55381078.21622268</x:v>
      </x:c>
    </x:row>
  </x:sheetData>
  <x:pageMargins left="0.7" right="0.7" top="0.75" bottom="0.75" header="0.3" footer="0.3"/>
  <x:tableParts count="1">
    <x:tablePart xmlns:r="http://schemas.openxmlformats.org/officeDocument/2006/relationships" r:id="R06febd874cac459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Large benthopelagics (&gt;=90 cm)</x:v>
      </x:c>
      <x:c r="B2" s="31" t="n">
        <x:v>1498.6799999999998</x:v>
      </x:c>
      <x:c r="C2" s="32" t="n">
        <x:v>2.8487472308965223</x:v>
      </x:c>
      <x:c r="D2" s="32" t="n">
        <x:f>IF(C2="","",(1/'Metadata'!$B$5)^(C2-1))</x:f>
        <x:v>70.59065812556567</x:v>
      </x:c>
      <x:c r="E2" s="31" t="n">
        <x:f>IF(B2=0,"",B2*D2)</x:f>
        <x:v>105792.80751962274</x:v>
      </x:c>
    </x:row>
    <x:row r="3" ht="18" customHeight="1">
      <x:c r="A3" s="24" t="str">
        <x:v>Large demersals (&gt;=90 cm)</x:v>
      </x:c>
      <x:c r="B3" s="31" t="n">
        <x:v>1459.7</x:v>
      </x:c>
      <x:c r="C3" s="32" t="n">
        <x:v>4.1309836267726245</x:v>
      </x:c>
      <x:c r="D3" s="32" t="n">
        <x:f>IF(C3="","",(1/'Metadata'!$B$5)^(C3-1))</x:f>
        <x:v>1352.021590006435</x:v>
      </x:c>
      <x:c r="E3" s="31" t="n">
        <x:f>IF(B3=0,"",B3*D3)</x:f>
        <x:v>1973545.9149323932</x:v>
      </x:c>
    </x:row>
    <x:row r="4" ht="18" customHeight="1">
      <x:c r="A4" s="24" t="str">
        <x:v>Large pelagics (&gt;=90 cm)</x:v>
      </x:c>
      <x:c r="B4" s="31" t="n">
        <x:v>23931.6494705913</x:v>
      </x:c>
      <x:c r="C4" s="32" t="n">
        <x:v>4.419996664032272</x:v>
      </x:c>
      <x:c r="D4" s="32" t="n">
        <x:f>IF(C4="","",(1/'Metadata'!$B$5)^(C4-1))</x:f>
        <x:v>2630.2477879650937</x:v>
      </x:c>
      <x:c r="E4" s="31" t="n">
        <x:f>IF(B4=0,"",B4*D4)</x:f>
        <x:v>62946168.08237877</x:v>
      </x:c>
    </x:row>
    <x:row r="5" ht="18" customHeight="1">
      <x:c r="A5" s="24" t="str">
        <x:v>Large reef assoc. fish (&gt;=90 cm)</x:v>
      </x:c>
      <x:c r="B5" s="31" t="n">
        <x:v>609.79125</x:v>
      </x:c>
      <x:c r="C5" s="32" t="n">
        <x:v>4.109635858992728</x:v>
      </x:c>
      <x:c r="D5" s="32" t="n">
        <x:f>IF(C5="","",(1/'Metadata'!$B$5)^(C5-1))</x:f>
        <x:v>1287.1698513979147</x:v>
      </x:c>
      <x:c r="E5" s="31" t="n">
        <x:f>IF(B5=0,"",B5*D5)</x:f>
        <x:v>784904.9126462487</x:v>
      </x:c>
    </x:row>
    <x:row r="6" ht="18" customHeight="1">
      <x:c r="A6" s="24" t="str">
        <x:v>Large sharks (&gt;=90 cm)</x:v>
      </x:c>
      <x:c r="B6" s="31" t="n">
        <x:v>599.695904134</x:v>
      </x:c>
      <x:c r="C6" s="32" t="n">
        <x:v>4.253334349880765</x:v>
      </x:c>
      <x:c r="D6" s="32" t="n">
        <x:f>IF(C6="","",(1/'Metadata'!$B$5)^(C6-1))</x:f>
        <x:v>1791.9849168461565</x:v>
      </x:c>
      <x:c r="E6" s="31" t="n">
        <x:f>IF(B6=0,"",B6*D6)</x:f>
        <x:v>1074646.0149025465</x:v>
      </x:c>
    </x:row>
    <x:row r="7" ht="18" customHeight="1">
      <x:c r="A7" s="24" t="str">
        <x:v>Lobsters, crabs</x:v>
      </x:c>
      <x:c r="B7" s="31" t="n">
        <x:v>1334.0409656548002</x:v>
      </x:c>
      <x:c r="C7" s="32" t="n">
        <x:v>3.5628574834642572</x:v>
      </x:c>
      <x:c r="D7" s="32" t="n">
        <x:f>IF(C7="","",(1/'Metadata'!$B$5)^(C7-1))</x:f>
        <x:v>365.4748390065996</x:v>
      </x:c>
      <x:c r="E7" s="31" t="n">
        <x:f>IF(B7=0,"",B7*D7)</x:f>
        <x:v>487558.4071508968</x:v>
      </x:c>
    </x:row>
    <x:row r="8" ht="18" customHeight="1">
      <x:c r="A8" s="24" t="str">
        <x:v>Medium benthopelagics (30 - 89 cm)</x:v>
      </x:c>
      <x:c r="B8" s="31" t="n">
        <x:v>661.5500000000001</x:v>
      </x:c>
      <x:c r="C8" s="32" t="n">
        <x:v>3.7000000000000006</x:v>
      </x:c>
      <x:c r="D8" s="32" t="n">
        <x:f>IF(C8="","",(1/'Metadata'!$B$5)^(C8-1))</x:f>
        <x:v>501.18723362727303</x:v>
      </x:c>
      <x:c r="E8" s="31" t="n">
        <x:f>IF(B8=0,"",B8*D8)</x:f>
        <x:v>331560.4144061225</x:v>
      </x:c>
    </x:row>
    <x:row r="9" ht="18" customHeight="1">
      <x:c r="A9" s="24" t="str">
        <x:v>Medium demersals (30 - 89 cm)</x:v>
      </x:c>
      <x:c r="B9" s="31" t="n">
        <x:v>15385.0882761662</x:v>
      </x:c>
      <x:c r="C9" s="32" t="n">
        <x:v>3.5499446221756847</x:v>
      </x:c>
      <x:c r="D9" s="32" t="n">
        <x:f>IF(C9="","",(1/'Metadata'!$B$5)^(C9-1))</x:f>
        <x:v>354.7681490988843</x:v>
      </x:c>
      <x:c r="E9" s="31" t="n">
        <x:f>IF(B9=0,"",B9*D9)</x:f>
        <x:v>5458139.291458427</x:v>
      </x:c>
    </x:row>
    <x:row r="10" ht="18" customHeight="1">
      <x:c r="A10" s="24" t="str">
        <x:v>Medium pelagics (30 - 89 cm)</x:v>
      </x:c>
      <x:c r="B10" s="31" t="n">
        <x:v>996.596431466</x:v>
      </x:c>
      <x:c r="C10" s="32" t="n">
        <x:v>3.732718899304191</x:v>
      </x:c>
      <x:c r="D10" s="32" t="n">
        <x:f>IF(C10="","",(1/'Metadata'!$B$5)^(C10-1))</x:f>
        <x:v>540.4044284852998</x:v>
      </x:c>
      <x:c r="E10" s="31" t="n">
        <x:f>IF(B10=0,"",B10*D10)</x:f>
        <x:v>538565.124976873</x:v>
      </x:c>
    </x:row>
    <x:row r="11" ht="18" customHeight="1">
      <x:c r="A11" s="24" t="str">
        <x:v>Medium reef assoc. fish (30 - 89 cm)</x:v>
      </x:c>
      <x:c r="B11" s="31" t="n">
        <x:v>3226.3738374516</x:v>
      </x:c>
      <x:c r="C11" s="32" t="n">
        <x:v>3.6477548818253354</x:v>
      </x:c>
      <x:c r="D11" s="32" t="n">
        <x:f>IF(C11="","",(1/'Metadata'!$B$5)^(C11-1))</x:f>
        <x:v>444.38038596238886</x:v>
      </x:c>
      <x:c r="E11" s="31" t="n">
        <x:f>IF(B11=0,"",B11*D11)</x:f>
        <x:v>1433737.2511456958</x:v>
      </x:c>
    </x:row>
    <x:row r="12" ht="18" customHeight="1">
      <x:c r="A12" s="24" t="str">
        <x:v>Other demersal invertebrates</x:v>
      </x:c>
      <x:c r="B12" s="31" t="n">
        <x:v>458.87000000000006</x:v>
      </x:c>
      <x:c r="C12" s="32" t="n">
        <x:v>2.0031146076230737</x:v>
      </x:c>
      <x:c r="D12" s="32" t="n">
        <x:f>IF(C12="","",(1/'Metadata'!$B$5)^(C12-1))</x:f>
        <x:v>10.071974269451164</x:v>
      </x:c>
      <x:c r="E12" s="31" t="n">
        <x:f>IF(B12=0,"",B12*D12)</x:f>
        <x:v>4621.726833023056</x:v>
      </x:c>
    </x:row>
    <x:row r="13" ht="18" customHeight="1">
      <x:c r="A13" s="24" t="str">
        <x:v>Shrimps</x:v>
      </x:c>
      <x:c r="B13" s="31" t="n">
        <x:v>1492.46</x:v>
      </x:c>
      <x:c r="C13" s="32" t="n">
        <x:v>2.8599350736368145</x:v>
      </x:c>
      <x:c r="D13" s="32" t="n">
        <x:f>IF(C13="","",(1/'Metadata'!$B$5)^(C13-1))</x:f>
        <x:v>72.43276660980837</x:v>
      </x:c>
      <x:c r="E13" s="31" t="n">
        <x:f>IF(B13=0,"",B13*D13)</x:f>
        <x:v>108103.0068544746</x:v>
      </x:c>
    </x:row>
    <x:row r="14" ht="18" customHeight="1">
      <x:c r="A14" s="24" t="str">
        <x:v>Small benthopelagics (&lt;30 cm)</x:v>
      </x:c>
      <x:c r="B14" s="31" t="n">
        <x:v>281.5657366139</x:v>
      </x:c>
      <x:c r="C14" s="32" t="n">
        <x:v>3.03</x:v>
      </x:c>
      <x:c r="D14" s="32" t="n">
        <x:f>IF(C14="","",(1/'Metadata'!$B$5)^(C14-1))</x:f>
        <x:v>107.1519305237606</x:v>
      </x:c>
      <x:c r="E14" s="31" t="n">
        <x:f>IF(B14=0,"",B14*D14)</x:f>
        <x:v>30170.31224752409</x:v>
      </x:c>
    </x:row>
    <x:row r="15" ht="18" customHeight="1">
      <x:c r="A15" s="24" t="str">
        <x:v>Small demersals (&lt;30 cm)</x:v>
      </x:c>
      <x:c r="B15" s="31" t="n">
        <x:v>156.8912691696</x:v>
      </x:c>
      <x:c r="C15" s="32" t="n">
        <x:v>3.6199999999999997</x:v>
      </x:c>
      <x:c r="D15" s="32" t="n">
        <x:f>IF(C15="","",(1/'Metadata'!$B$5)^(C15-1))</x:f>
        <x:v>416.8693834703351</x:v>
      </x:c>
      <x:c r="E15" s="31" t="n">
        <x:f>IF(B15=0,"",B15*D15)</x:f>
        <x:v>65403.16665060955</x:v>
      </x:c>
    </x:row>
    <x:row r="16" ht="18" customHeight="1">
      <x:c r="A16" s="24" t="str">
        <x:v>Small pelagics (&lt;30 cm)</x:v>
      </x:c>
      <x:c r="B16" s="31" t="n">
        <x:v>2603.7449489638</x:v>
      </x:c>
      <x:c r="C16" s="32" t="n">
        <x:v>2.918180757471353</x:v>
      </x:c>
      <x:c r="D16" s="32" t="n">
        <x:f>IF(C16="","",(1/'Metadata'!$B$5)^(C16-1))</x:f>
        <x:v>82.82868327946544</x:v>
      </x:c>
      <x:c r="E16" s="31" t="n">
        <x:f>IF(B16=0,"",B16*D16)</x:f>
        <x:v>215664.7657182305</x:v>
      </x:c>
    </x:row>
    <x:row r="17" ht="18" customHeight="1">
      <x:c r="A17" s="24" t="str">
        <x:v>Small to medium flatfishes (&lt;90 cm)</x:v>
      </x:c>
      <x:c r="B17" s="31" t="n">
        <x:v>142.1471127323</x:v>
      </x:c>
      <x:c r="C17" s="32" t="n">
        <x:v>3.9014594232295923</x:v>
      </x:c>
      <x:c r="D17" s="32" t="n">
        <x:f>IF(C17="","",(1/'Metadata'!$B$5)^(C17-1))</x:f>
        <x:v>797.0020220436456</x:v>
      </x:c>
      <x:c r="E17" s="31" t="n">
        <x:f>IF(B17=0,"",B17*D17)</x:f>
        <x:v>113291.53627530915</x:v>
      </x:c>
    </x:row>
    <x:row r="18" ht="18" customHeight="1">
      <x:c r="A18" s="24" t="str">
        <x:v>Small to medium sharks (&lt;90 cm)</x:v>
      </x:c>
      <x:c r="B18" s="31" t="n">
        <x:v>9.13</x:v>
      </x:c>
      <x:c r="C18" s="32" t="n">
        <x:v>3.6099999999999994</x:v>
      </x:c>
      <x:c r="D18" s="32" t="n">
        <x:f>IF(C18="","",(1/'Metadata'!$B$5)^(C18-1))</x:f>
        <x:v>407.3802778041122</x:v>
      </x:c>
      <x:c r="E18" s="31" t="n">
        <x:f>IF(B18=0,"",B18*D18)</x:f>
        <x:v>3719.381936351545</x:v>
      </x:c>
    </x:row>
  </x:sheetData>
  <x:pageMargins left="0.7" right="0.7" top="0.75" bottom="0.75" header="0.3" footer="0.3"/>
  <x:tableParts count="1">
    <x:tablePart xmlns:r="http://schemas.openxmlformats.org/officeDocument/2006/relationships" r:id="Re2317e5739a641c0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EEZ_928</x:v>
      </x:c>
      <x:c r="B2" s="24" t="str">
        <x:v>raw_filtered_tonnes</x:v>
      </x:c>
      <x:c r="C2" s="24" t="n">
        <x:v>54847.975202943504</x:v>
      </x:c>
      <x:c r="D2" s="24" t="str">
        <x:v>tonnes</x:v>
      </x:c>
    </x:row>
    <x:row r="3" ht="18" customHeight="1">
      <x:c r="A3" s="24" t="str">
        <x:v>EEZ_928</x:v>
      </x:c>
      <x:c r="B3" s="24" t="str">
        <x:v>species_catch_tonnes</x:v>
      </x:c>
      <x:c r="C3" s="24" t="n">
        <x:v>54847.9752029435</x:v>
      </x:c>
      <x:c r="D3" s="24" t="str">
        <x:v>tonnes</x:v>
      </x:c>
    </x:row>
    <x:row r="4" ht="18" customHeight="1">
      <x:c r="A4" s="24" t="str">
        <x:v>EEZ_928</x:v>
      </x:c>
      <x:c r="B4" s="24" t="str">
        <x:v>catch_difference_tonnes</x:v>
      </x:c>
      <x:c r="C4" s="24" t="n">
        <x:v>-7.275957614183426e-12</x:v>
      </x:c>
      <x:c r="D4" s="24" t="str">
        <x:v>tonnes</x:v>
      </x:c>
    </x:row>
    <x:row r="5" ht="18" customHeight="1">
      <x:c r="A5" s="24" t="str">
        <x:v>EEZ_928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EEZ_928</x:v>
      </x:c>
      <x:c r="B6" s="24" t="str">
        <x:v>matched_catch_tonnes</x:v>
      </x:c>
      <x:c r="C6" s="24" t="n">
        <x:v>54847.9752029435</x:v>
      </x:c>
      <x:c r="D6" s="24" t="str">
        <x:v>tonnes</x:v>
      </x:c>
    </x:row>
    <x:row r="7" ht="18" customHeight="1">
      <x:c r="A7" s="24" t="str">
        <x:v>EEZ_928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EEZ_928</x:v>
      </x:c>
      <x:c r="B8" s="24" t="str">
        <x:v>taxa_count</x:v>
      </x:c>
      <x:c r="C8" s="24" t="n">
        <x:v>87</x:v>
      </x:c>
      <x:c r="D8" s="24" t="str">
        <x:v>count</x:v>
      </x:c>
    </x:row>
    <x:row r="9" ht="18" customHeight="1">
      <x:c r="A9" s="24" t="str">
        <x:v>EEZ_928</x:v>
      </x:c>
      <x:c r="B9" s="24" t="str">
        <x:v>matched_taxa_count</x:v>
      </x:c>
      <x:c r="C9" s="24" t="n">
        <x:v>87</x:v>
      </x:c>
      <x:c r="D9" s="24" t="str">
        <x:v>count</x:v>
      </x:c>
    </x:row>
    <x:row r="10" ht="18" customHeight="1">
      <x:c r="A10" s="24" t="str">
        <x:v>EEZ_928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EEZ_928</x:v>
      </x:c>
      <x:c r="B11" s="24" t="str">
        <x:v>species_ppr</x:v>
      </x:c>
      <x:c r="C11" s="24" t="n">
        <x:v>82458630.09635389</x:v>
      </x:c>
      <x:c r="D11" s="24" t="str">
        <x:v>tonnes_primary_production_equivalent</x:v>
      </x:c>
    </x:row>
    <x:row r="12" ht="18" customHeight="1">
      <x:c r="A12" s="24" t="str">
        <x:v>EEZ_928</x:v>
      </x:c>
      <x:c r="B12" s="24" t="str">
        <x:v>commercial_ppr</x:v>
      </x:c>
      <x:c r="C12" s="24" t="n">
        <x:v>71105374.39050384</x:v>
      </x:c>
      <x:c r="D12" s="24" t="str">
        <x:v>tonnes_primary_production_equivalent</x:v>
      </x:c>
    </x:row>
    <x:row r="13" ht="18" customHeight="1">
      <x:c r="A13" s="24" t="str">
        <x:v>EEZ_928</x:v>
      </x:c>
      <x:c r="B13" s="24" t="str">
        <x:v>functional_ppr</x:v>
      </x:c>
      <x:c r="C13" s="24" t="n">
        <x:v>75675592.11803311</x:v>
      </x:c>
      <x:c r="D13" s="24" t="str">
        <x:v>tonnes_primary_production_equivalent</x:v>
      </x:c>
    </x:row>
    <x:row r="14" ht="18" customHeight="1">
      <x:c r="A14" s="24" t="str">
        <x:v>EEZ_928</x:v>
      </x:c>
      <x:c r="B14" s="24" t="str">
        <x:v>commercial_ppr_difference</x:v>
      </x:c>
      <x:c r="C14" s="24" t="n">
        <x:v>-11353255.70585005</x:v>
      </x:c>
      <x:c r="D14" s="24" t="str">
        <x:v>tonnes_primary_production_equivalent</x:v>
      </x:c>
    </x:row>
    <x:row r="15" ht="18" customHeight="1">
      <x:c r="A15" s="24" t="str">
        <x:v>EEZ_928</x:v>
      </x:c>
      <x:c r="B15" s="24" t="str">
        <x:v>functional_ppr_difference</x:v>
      </x:c>
      <x:c r="C15" s="24" t="n">
        <x:v>-6783037.978320777</x:v>
      </x:c>
      <x:c r="D15" s="24" t="str">
        <x:v>tonnes_primary_production_equivalent</x:v>
      </x:c>
    </x:row>
    <x:row r="16" ht="18" customHeight="1">
      <x:c r="A16" s="24" t="str">
        <x:v>EEZ_928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EEZ_928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673eed7d6f43485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EEZ_928 - Colombia (Pacific)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EEZ_928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raw_data/SAU_downloads/EEZ_928-catch.zip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