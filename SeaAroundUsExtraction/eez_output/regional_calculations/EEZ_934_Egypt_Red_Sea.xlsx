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6dfe6e784b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a25a9cd1241483b"/>
    <x:sheet xmlns:r="http://schemas.openxmlformats.org/officeDocument/2006/relationships" name="Commercial" sheetId="2" r:id="Rf485ec4c2a1d4938"/>
    <x:sheet xmlns:r="http://schemas.openxmlformats.org/officeDocument/2006/relationships" name="Functional" sheetId="3" r:id="R2043be3ff1ce4cdc"/>
    <x:sheet xmlns:r="http://schemas.openxmlformats.org/officeDocument/2006/relationships" name="Missing TL" sheetId="4" r:id="R3dfdffa770534d4e"/>
    <x:sheet xmlns:r="http://schemas.openxmlformats.org/officeDocument/2006/relationships" name="Validation" sheetId="5" r:id="R6eb55628b0f94b78"/>
    <x:sheet xmlns:r="http://schemas.openxmlformats.org/officeDocument/2006/relationships" name="Metadata" sheetId="6" r:id="R196701afa930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3ef72e33ff4bd9" /><Relationship Type="http://schemas.openxmlformats.org/officeDocument/2006/relationships/theme" Target="/xl/theme/theme1.xml" Id="Re4a4fbff397441eb" /><Relationship Type="http://schemas.microsoft.com/office/2022/11/relationships/FeaturePropertyBag" Target="/xl/featurePropertyBag/featurePropertyBag.xml" Id="R14cf6cd5cb514257" /><Relationship Type="http://schemas.openxmlformats.org/officeDocument/2006/relationships/sharedStrings" Target="/xl/sharedStrings.xml" Id="Rf78ed2ccfc684304" /><Relationship Type="http://schemas.openxmlformats.org/officeDocument/2006/relationships/worksheet" Target="/xl/worksheets/sheet1.xml" Id="R9a25a9cd1241483b" /><Relationship Type="http://schemas.openxmlformats.org/officeDocument/2006/relationships/worksheet" Target="/xl/worksheets/sheet2.xml" Id="Rf485ec4c2a1d4938" /><Relationship Type="http://schemas.openxmlformats.org/officeDocument/2006/relationships/worksheet" Target="/xl/worksheets/sheet3.xml" Id="R2043be3ff1ce4cdc" /><Relationship Type="http://schemas.openxmlformats.org/officeDocument/2006/relationships/worksheet" Target="/xl/worksheets/sheet4.xml" Id="R3dfdffa770534d4e" /><Relationship Type="http://schemas.openxmlformats.org/officeDocument/2006/relationships/worksheet" Target="/xl/worksheets/sheet5.xml" Id="R6eb55628b0f94b78" /><Relationship Type="http://schemas.openxmlformats.org/officeDocument/2006/relationships/worksheet" Target="/xl/worksheets/sheet6.xml" Id="R196701afa9304a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4SpeciesTable" displayName="EEZ934SpeciesTable" ref="A1:U58" headerRowCount="1" totalsRowCount="0" totalsRowShown="0">
  <x:autoFilter ref="A1:U5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4CommercialTable" displayName="EEZ93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4FunctionalTable" displayName="EEZ934FunctionalTable" ref="A1:O16" headerRowCount="1" totalsRowCount="0" totalsRowShown="0">
  <x:autoFilter ref="A1:O1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4ValidationTable" displayName="EEZ93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2d2e89f1c244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adeb09cf9d49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b6163c00d0f4e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ceb053aeac4a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EEZ_934</x:v>
      </x:c>
      <x:c r="B2" s="24" t="str">
        <x:v>Egypt (Red Sea)</x:v>
      </x:c>
      <x:c r="C2" s="24" t="str">
        <x:v>EEZ</x:v>
      </x:c>
      <x:c r="D2" s="30" t="n">
        <x:v>2019</x:v>
      </x:c>
      <x:c r="E2" s="24" t="str">
        <x:v>Decapterus</x:v>
      </x:c>
      <x:c r="F2" s="24" t="str">
        <x:v>Scads</x:v>
      </x:c>
      <x:c r="G2" s="24" t="str">
        <x:v>Medium pelagics (30 - 89 cm)</x:v>
      </x:c>
      <x:c r="H2" s="24" t="str">
        <x:v>Perch-likes</x:v>
      </x:c>
      <x:c r="I2" s="31" t="n">
        <x:v>10790</x:v>
      </x:c>
      <x:c r="J2" s="31" t="n">
        <x:v>10790</x:v>
      </x:c>
      <x:c r="K2" s="31" t="n">
        <x:v>0</x:v>
      </x:c>
      <x:c r="L2" s="31" t="n">
        <x:v>10790</x:v>
      </x:c>
      <x:c r="M2" s="31" t="n">
        <x:v>0</x:v>
      </x:c>
      <x:c r="N2" s="24" t="str">
        <x:v>decapterus</x:v>
      </x:c>
      <x:c r="O2" s="32" t="n">
        <x:v>3.63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Decapterus</x:v>
      </x:c>
      <x:c r="T2" s="32" t="n">
        <x:f>IF(O2="","",(1/'Metadata'!$B$5)^(O2-1))</x:f>
        <x:v>426.57951880159254</x:v>
      </x:c>
      <x:c r="U2" s="31" t="n">
        <x:f>IF(T2="","",I2*T2)</x:f>
        <x:v>4602793.007869183</x:v>
      </x:c>
    </x:row>
    <x:row r="3" ht="18" customHeight="1">
      <x:c r="A3" s="24" t="str">
        <x:v>EEZ_934</x:v>
      </x:c>
      <x:c r="B3" s="24" t="str">
        <x:v>Egypt (Red Sea)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8187.1893368</x:v>
      </x:c>
      <x:c r="J3" s="31" t="n">
        <x:v>8187.1893368</x:v>
      </x:c>
      <x:c r="K3" s="31" t="n">
        <x:v>0</x:v>
      </x:c>
      <x:c r="L3" s="31" t="n">
        <x:v>7969</x:v>
      </x:c>
      <x:c r="M3" s="31" t="n">
        <x:v>218.1893368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482097.44961696124</x:v>
      </x:c>
    </x:row>
    <x:row r="4" ht="18" customHeight="1">
      <x:c r="A4" s="24" t="str">
        <x:v>EEZ_934</x:v>
      </x:c>
      <x:c r="B4" s="24" t="str">
        <x:v>Egypt (Red Sea)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7417.9352898</x:v>
      </x:c>
      <x:c r="J4" s="31" t="n">
        <x:v>5040.6723468</x:v>
      </x:c>
      <x:c r="K4" s="31" t="n">
        <x:v>2377.262943</x:v>
      </x:c>
      <x:c r="L4" s="31" t="n">
        <x:v>1578.99999985</x:v>
      </x:c>
      <x:c r="M4" s="31" t="n">
        <x:v>5838.93528995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1413458.430310721</x:v>
      </x:c>
    </x:row>
    <x:row r="5" ht="18" customHeight="1">
      <x:c r="A5" s="24" t="str">
        <x:v>EEZ_934</x:v>
      </x:c>
      <x:c r="B5" s="24" t="str">
        <x:v>Egypt (Red Sea)</x:v>
      </x:c>
      <x:c r="C5" s="24" t="str">
        <x:v>EEZ</x:v>
      </x:c>
      <x:c r="D5" s="30" t="n">
        <x:v>2019</x:v>
      </x:c>
      <x:c r="E5" s="24" t="str">
        <x:v>Encrasicholina punctifer</x:v>
      </x:c>
      <x:c r="F5" s="24" t="str">
        <x:v>Buccaneer anchovy</x:v>
      </x:c>
      <x:c r="G5" s="24" t="str">
        <x:v>Small pelagics (&lt;30 cm)</x:v>
      </x:c>
      <x:c r="H5" s="24" t="str">
        <x:v>Anchovies</x:v>
      </x:c>
      <x:c r="I5" s="31" t="n">
        <x:v>6660</x:v>
      </x:c>
      <x:c r="J5" s="31" t="n">
        <x:v>6660</x:v>
      </x:c>
      <x:c r="K5" s="31" t="n">
        <x:v>0</x:v>
      </x:c>
      <x:c r="L5" s="31" t="n">
        <x:v>6660</x:v>
      </x:c>
      <x:c r="M5" s="31" t="n">
        <x:v>0</x:v>
      </x:c>
      <x:c r="N5" s="24" t="str">
        <x:v>encrasicholina punctifer</x:v>
      </x:c>
      <x:c r="O5" s="32" t="n">
        <x:v>3.25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Encrasicholina punctifer</x:v>
      </x:c>
      <x:c r="T5" s="32" t="n">
        <x:f>IF(O5="","",(1/'Metadata'!$B$5)^(O5-1))</x:f>
        <x:v>177.82794100389228</x:v>
      </x:c>
      <x:c r="U5" s="31" t="n">
        <x:f>IF(T5="","",I5*T5)</x:f>
        <x:v>1184334.0870859225</x:v>
      </x:c>
    </x:row>
    <x:row r="6" ht="18" customHeight="1">
      <x:c r="A6" s="24" t="str">
        <x:v>EEZ_934</x:v>
      </x:c>
      <x:c r="B6" s="24" t="str">
        <x:v>Egypt (Red Sea)</x:v>
      </x:c>
      <x:c r="C6" s="24" t="str">
        <x:v>EEZ</x:v>
      </x:c>
      <x:c r="D6" s="30" t="n">
        <x:v>2019</x:v>
      </x:c>
      <x:c r="E6" s="24" t="str">
        <x:v>Serranidae</x:v>
      </x:c>
      <x:c r="F6" s="24" t="str">
        <x:v>Basses, groupers, hinds</x:v>
      </x:c>
      <x:c r="G6" s="24" t="str">
        <x:v>Medium reef assoc. fish (30 - 89 cm)</x:v>
      </x:c>
      <x:c r="H6" s="24" t="str">
        <x:v>Perch-likes</x:v>
      </x:c>
      <x:c r="I6" s="31" t="n">
        <x:v>3859.8315678</x:v>
      </x:c>
      <x:c r="J6" s="31" t="n">
        <x:v>3859.8315678</x:v>
      </x:c>
      <x:c r="K6" s="31" t="n">
        <x:v>0</x:v>
      </x:c>
      <x:c r="L6" s="31" t="n">
        <x:v>3020</x:v>
      </x:c>
      <x:c r="M6" s="31" t="n">
        <x:v>839.8315678</x:v>
      </x:c>
      <x:c r="N6" s="24" t="str">
        <x:v>serranidae</x:v>
      </x:c>
      <x:c r="O6" s="32" t="n">
        <x:v>3.98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Serranidae</x:v>
      </x:c>
      <x:c r="T6" s="32" t="n">
        <x:f>IF(O6="","",(1/'Metadata'!$B$5)^(O6-1))</x:f>
        <x:v>954.992586021436</x:v>
      </x:c>
      <x:c r="U6" s="31" t="n">
        <x:f>IF(T6="","",I6*T6)</x:f>
        <x:v>3686110.530540495</x:v>
      </x:c>
    </x:row>
    <x:row r="7" ht="18" customHeight="1">
      <x:c r="A7" s="24" t="str">
        <x:v>EEZ_934</x:v>
      </x:c>
      <x:c r="B7" s="24" t="str">
        <x:v>Egypt (Red Sea)</x:v>
      </x:c>
      <x:c r="C7" s="24" t="str">
        <x:v>EEZ</x:v>
      </x:c>
      <x:c r="D7" s="30" t="n">
        <x:v>2019</x:v>
      </x:c>
      <x:c r="E7" s="24" t="str">
        <x:v>Saurida</x:v>
      </x:c>
      <x:c r="F7" s="24" t="str">
        <x:v>Lizardfishes</x:v>
      </x:c>
      <x:c r="G7" s="24" t="str">
        <x:v>Medium demersals (30 - 89 cm)</x:v>
      </x:c>
      <x:c r="H7" s="24" t="str">
        <x:v>Other fishes &amp; inverts</x:v>
      </x:c>
      <x:c r="I7" s="31" t="n">
        <x:v>3274.0000004000003</x:v>
      </x:c>
      <x:c r="J7" s="31" t="n">
        <x:v>3274.0000004000003</x:v>
      </x:c>
      <x:c r="K7" s="31" t="n">
        <x:v>0</x:v>
      </x:c>
      <x:c r="L7" s="31" t="n">
        <x:v>3274.0000004000003</x:v>
      </x:c>
      <x:c r="M7" s="31" t="n">
        <x:v>0</x:v>
      </x:c>
      <x:c r="N7" s="24" t="str">
        <x:v>saurida</x:v>
      </x:c>
      <x:c r="O7" s="32" t="n">
        <x:v>4.35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Saurida</x:v>
      </x:c>
      <x:c r="T7" s="32" t="n">
        <x:f>IF(O7="","",(1/'Metadata'!$B$5)^(O7-1))</x:f>
        <x:v>2238.7211385683377</x:v>
      </x:c>
      <x:c r="U7" s="31" t="n">
        <x:f>IF(T7="","",I7*T7)</x:f>
        <x:v>7329573.008568226</x:v>
      </x:c>
    </x:row>
    <x:row r="8" ht="18" customHeight="1">
      <x:c r="A8" s="24" t="str">
        <x:v>EEZ_934</x:v>
      </x:c>
      <x:c r="B8" s="24" t="str">
        <x:v>Egypt (Red Sea)</x:v>
      </x:c>
      <x:c r="C8" s="24" t="str">
        <x:v>EEZ</x:v>
      </x:c>
      <x:c r="D8" s="30" t="n">
        <x:v>2019</x:v>
      </x:c>
      <x:c r="E8" s="24" t="str">
        <x:v>Rastrelliger kanagurta</x:v>
      </x:c>
      <x:c r="F8" s="24" t="str">
        <x:v>Indian mackerel</x:v>
      </x:c>
      <x:c r="G8" s="24" t="str">
        <x:v>Medium pelagics (30 - 89 cm)</x:v>
      </x:c>
      <x:c r="H8" s="24" t="str">
        <x:v>Perch-likes</x:v>
      </x:c>
      <x:c r="I8" s="31" t="n">
        <x:v>2738.91954754</x:v>
      </x:c>
      <x:c r="J8" s="31" t="n">
        <x:v>2738.91954754</x:v>
      </x:c>
      <x:c r="K8" s="31" t="n">
        <x:v>0</x:v>
      </x:c>
      <x:c r="L8" s="31" t="n">
        <x:v>2660.0000001999997</x:v>
      </x:c>
      <x:c r="M8" s="31" t="n">
        <x:v>78.91954734</x:v>
      </x:c>
      <x:c r="N8" s="24" t="str">
        <x:v>rastrelliger kanagurta</x:v>
      </x:c>
      <x:c r="O8" s="32" t="n">
        <x:v>3.19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Rastrelliger kanagurta</x:v>
      </x:c>
      <x:c r="T8" s="32" t="n">
        <x:f>IF(O8="","",(1/'Metadata'!$B$5)^(O8-1))</x:f>
        <x:v>154.88166189124811</x:v>
      </x:c>
      <x:c r="U8" s="31" t="n">
        <x:f>IF(T8="","",I8*T8)</x:f>
        <x:v>424208.4113094206</x:v>
      </x:c>
    </x:row>
    <x:row r="9" ht="18" customHeight="1">
      <x:c r="A9" s="24" t="str">
        <x:v>EEZ_934</x:v>
      </x:c>
      <x:c r="B9" s="24" t="str">
        <x:v>Egypt (Red Sea)</x:v>
      </x:c>
      <x:c r="C9" s="24" t="str">
        <x:v>EEZ</x:v>
      </x:c>
      <x:c r="D9" s="30" t="n">
        <x:v>2019</x:v>
      </x:c>
      <x:c r="E9" s="24" t="str">
        <x:v>Nemipterus</x:v>
      </x:c>
      <x:c r="F9" s="24" t="str">
        <x:v>Threadfin breams</x:v>
      </x:c>
      <x:c r="G9" s="24" t="str">
        <x:v>Small demersals (&lt;30 cm)</x:v>
      </x:c>
      <x:c r="H9" s="24" t="str">
        <x:v>Perch-likes</x:v>
      </x:c>
      <x:c r="I9" s="31" t="n">
        <x:v>2636.0000002</x:v>
      </x:c>
      <x:c r="J9" s="31" t="n">
        <x:v>2636.0000002</x:v>
      </x:c>
      <x:c r="K9" s="31" t="n">
        <x:v>0</x:v>
      </x:c>
      <x:c r="L9" s="31" t="n">
        <x:v>2636.0000002</x:v>
      </x:c>
      <x:c r="M9" s="31" t="n">
        <x:v>0</x:v>
      </x:c>
      <x:c r="N9" s="24" t="str">
        <x:v>nemipterus</x:v>
      </x:c>
      <x:c r="O9" s="32" t="n">
        <x:v>3.72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Nemipterus</x:v>
      </x:c>
      <x:c r="T9" s="32" t="n">
        <x:f>IF(O9="","",(1/'Metadata'!$B$5)^(O9-1))</x:f>
        <x:v>524.8074602497728</x:v>
      </x:c>
      <x:c r="U9" s="31" t="n">
        <x:f>IF(T9="","",I9*T9)</x:f>
        <x:v>1383392.4653233627</x:v>
      </x:c>
    </x:row>
    <x:row r="10" ht="18" customHeight="1">
      <x:c r="A10" s="24" t="str">
        <x:v>EEZ_934</x:v>
      </x:c>
      <x:c r="B10" s="24" t="str">
        <x:v>Egypt (Red Sea)</x:v>
      </x:c>
      <x:c r="C10" s="24" t="str">
        <x:v>EEZ</x:v>
      </x:c>
      <x:c r="D10" s="30" t="n">
        <x:v>2019</x:v>
      </x:c>
      <x:c r="E10" s="24" t="str">
        <x:v>Caranx</x:v>
      </x:c>
      <x:c r="F10" s="24" t="str">
        <x:v>Jacks</x:v>
      </x:c>
      <x:c r="G10" s="24" t="str">
        <x:v>Medium reef assoc. fish (30 - 89 cm)</x:v>
      </x:c>
      <x:c r="H10" s="24" t="str">
        <x:v>Perch-likes</x:v>
      </x:c>
      <x:c r="I10" s="31" t="n">
        <x:v>2354</x:v>
      </x:c>
      <x:c r="J10" s="31" t="n">
        <x:v>2354</x:v>
      </x:c>
      <x:c r="K10" s="31" t="n">
        <x:v>0</x:v>
      </x:c>
      <x:c r="L10" s="31" t="n">
        <x:v>2354</x:v>
      </x:c>
      <x:c r="M10" s="31" t="n">
        <x:v>0</x:v>
      </x:c>
      <x:c r="N10" s="24" t="str">
        <x:v>caranx</x:v>
      </x:c>
      <x:c r="O10" s="32" t="n">
        <x:v>4.12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Caranx</x:v>
      </x:c>
      <x:c r="T10" s="32" t="n">
        <x:f>IF(O10="","",(1/'Metadata'!$B$5)^(O10-1))</x:f>
        <x:v>1318.2567385564075</x:v>
      </x:c>
      <x:c r="U10" s="31" t="n">
        <x:f>IF(T10="","",I10*T10)</x:f>
        <x:v>3103176.3625617833</x:v>
      </x:c>
    </x:row>
    <x:row r="11" ht="18" customHeight="1">
      <x:c r="A11" s="24" t="str">
        <x:v>EEZ_934</x:v>
      </x:c>
      <x:c r="B11" s="24" t="str">
        <x:v>Egypt (Red Sea)</x:v>
      </x:c>
      <x:c r="C11" s="24" t="str">
        <x:v>EEZ</x:v>
      </x:c>
      <x:c r="D11" s="30" t="n">
        <x:v>2019</x:v>
      </x:c>
      <x:c r="E11" s="24" t="str">
        <x:v>Lethrinidae</x:v>
      </x:c>
      <x:c r="F11" s="24" t="str">
        <x:v>Emperors, scavengers</x:v>
      </x:c>
      <x:c r="G11" s="24" t="str">
        <x:v>Medium reef assoc. fish (30 - 89 cm)</x:v>
      </x:c>
      <x:c r="H11" s="24" t="str">
        <x:v>Perch-likes</x:v>
      </x:c>
      <x:c r="I11" s="31" t="n">
        <x:v>1857.1449676000002</x:v>
      </x:c>
      <x:c r="J11" s="31" t="n">
        <x:v>1857.1449676000002</x:v>
      </x:c>
      <x:c r="K11" s="31" t="n">
        <x:v>0</x:v>
      </x:c>
      <x:c r="L11" s="31" t="n">
        <x:v>1724</x:v>
      </x:c>
      <x:c r="M11" s="31" t="n">
        <x:v>133.1449676</x:v>
      </x:c>
      <x:c r="N11" s="24" t="str">
        <x:v>lethrinidae</x:v>
      </x:c>
      <x:c r="O11" s="32" t="n">
        <x:v>3.59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Lethrinidae</x:v>
      </x:c>
      <x:c r="T11" s="32" t="n">
        <x:f>IF(O11="","",(1/'Metadata'!$B$5)^(O11-1))</x:f>
        <x:v>389.04514499428046</x:v>
      </x:c>
      <x:c r="U11" s="31" t="n">
        <x:f>IF(T11="","",I11*T11)</x:f>
        <x:v>722513.2331953404</x:v>
      </x:c>
    </x:row>
    <x:row r="12" ht="18" customHeight="1">
      <x:c r="A12" s="24" t="str">
        <x:v>EEZ_934</x:v>
      </x:c>
      <x:c r="B12" s="24" t="str">
        <x:v>Egypt (Red Sea)</x:v>
      </x:c>
      <x:c r="C12" s="24" t="str">
        <x:v>EEZ</x:v>
      </x:c>
      <x:c r="D12" s="30" t="n">
        <x:v>2019</x:v>
      </x:c>
      <x:c r="E12" s="24" t="str">
        <x:v>Carangidae</x:v>
      </x:c>
      <x:c r="F12" s="24" t="str">
        <x:v>Jacks, pompanos</x:v>
      </x:c>
      <x:c r="G12" s="24" t="str">
        <x:v>Medium pelagics (30 - 89 cm)</x:v>
      </x:c>
      <x:c r="H12" s="24" t="str">
        <x:v>Perch-likes</x:v>
      </x:c>
      <x:c r="I12" s="31" t="n">
        <x:v>1528.0618442</x:v>
      </x:c>
      <x:c r="J12" s="31" t="n">
        <x:v>1528.0618442</x:v>
      </x:c>
      <x:c r="K12" s="31" t="n">
        <x:v>0</x:v>
      </x:c>
      <x:c r="L12" s="31" t="n">
        <x:v>0</x:v>
      </x:c>
      <x:c r="M12" s="31" t="n">
        <x:v>1528.0618442</x:v>
      </x:c>
      <x:c r="N12" s="24" t="str">
        <x:v>carangidae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Carangidae</x:v>
      </x:c>
      <x:c r="T12" s="32" t="n">
        <x:f>IF(O12="","",(1/'Metadata'!$B$5)^(O12-1))</x:f>
        <x:v>1122.018454301963</x:v>
      </x:c>
      <x:c r="U12" s="31" t="n">
        <x:f>IF(T12="","",I12*T12)</x:f>
        <x:v>1714513.588507091</x:v>
      </x:c>
    </x:row>
    <x:row r="13" ht="18" customHeight="1">
      <x:c r="A13" s="24" t="str">
        <x:v>EEZ_934</x:v>
      </x:c>
      <x:c r="B13" s="24" t="str">
        <x:v>Egypt (Red Sea)</x:v>
      </x:c>
      <x:c r="C13" s="24" t="str">
        <x:v>EEZ</x:v>
      </x:c>
      <x:c r="D13" s="30" t="n">
        <x:v>2019</x:v>
      </x:c>
      <x:c r="E13" s="24" t="str">
        <x:v>Equulites berbis</x:v>
      </x:c>
      <x:c r="F13" s="24" t="str">
        <x:v>Berbis ponyfish</x:v>
      </x:c>
      <x:c r="G13" s="24" t="str">
        <x:v>Small demersals (&lt;30 cm)</x:v>
      </x:c>
      <x:c r="H13" s="24" t="str">
        <x:v>Perch-likes</x:v>
      </x:c>
      <x:c r="I13" s="31" t="n">
        <x:v>1507.532598</x:v>
      </x:c>
      <x:c r="J13" s="31" t="n">
        <x:v>0</x:v>
      </x:c>
      <x:c r="K13" s="31" t="n">
        <x:v>1507.532598</x:v>
      </x:c>
      <x:c r="L13" s="31" t="n">
        <x:v>0</x:v>
      </x:c>
      <x:c r="M13" s="31" t="n">
        <x:v>1507.532598</x:v>
      </x:c>
      <x:c r="N13" s="24" t="str">
        <x:v>equulites berbis</x:v>
      </x:c>
      <x:c r="O13" s="32" t="n">
        <x:v>3.31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Equulites berbis</x:v>
      </x:c>
      <x:c r="T13" s="32" t="n">
        <x:f>IF(O13="","",(1/'Metadata'!$B$5)^(O13-1))</x:f>
        <x:v>204.17379446695296</x:v>
      </x:c>
      <x:c r="U13" s="31" t="n">
        <x:f>IF(T13="","",I13*T13)</x:f>
        <x:v>307798.6508162836</x:v>
      </x:c>
    </x:row>
    <x:row r="14" ht="18" customHeight="1">
      <x:c r="A14" s="24" t="str">
        <x:v>EEZ_934</x:v>
      </x:c>
      <x:c r="B14" s="24" t="str">
        <x:v>Egypt (Red Sea)</x:v>
      </x:c>
      <x:c r="C14" s="24" t="str">
        <x:v>EEZ</x:v>
      </x:c>
      <x:c r="D14" s="30" t="n">
        <x:v>2019</x:v>
      </x:c>
      <x:c r="E14" s="24" t="str">
        <x:v>Spratelloides gracilis</x:v>
      </x:c>
      <x:c r="F14" s="24" t="str">
        <x:v>Silver-stripe round herring</x:v>
      </x:c>
      <x:c r="G14" s="24" t="str">
        <x:v>Small pelagics (&lt;30 cm)</x:v>
      </x:c>
      <x:c r="H14" s="24" t="str">
        <x:v>Herring-likes</x:v>
      </x:c>
      <x:c r="I14" s="31" t="n">
        <x:v>1258.070431</x:v>
      </x:c>
      <x:c r="J14" s="31" t="n">
        <x:v>1258.070431</x:v>
      </x:c>
      <x:c r="K14" s="31" t="n">
        <x:v>0</x:v>
      </x:c>
      <x:c r="L14" s="31" t="n">
        <x:v>0</x:v>
      </x:c>
      <x:c r="M14" s="31" t="n">
        <x:v>1258.070431</x:v>
      </x:c>
      <x:c r="N14" s="24" t="str">
        <x:v>spratelloides gracilis</x:v>
      </x:c>
      <x:c r="O14" s="32" t="n">
        <x:v>3.06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Spratelloides gracilis</x:v>
      </x:c>
      <x:c r="T14" s="32" t="n">
        <x:f>IF(O14="","",(1/'Metadata'!$B$5)^(O14-1))</x:f>
        <x:v>114.81536214968828</x:v>
      </x:c>
      <x:c r="U14" s="31" t="n">
        <x:f>IF(T14="","",I14*T14)</x:f>
        <x:v>144445.81214507943</x:v>
      </x:c>
    </x:row>
    <x:row r="15" ht="18" customHeight="1">
      <x:c r="A15" s="24" t="str">
        <x:v>EEZ_934</x:v>
      </x:c>
      <x:c r="B15" s="24" t="str">
        <x:v>Egypt (Red Sea)</x:v>
      </x:c>
      <x:c r="C15" s="24" t="str">
        <x:v>EEZ</x:v>
      </x:c>
      <x:c r="D15" s="30" t="n">
        <x:v>2019</x:v>
      </x:c>
      <x:c r="E15" s="24" t="str">
        <x:v>Scaridae</x:v>
      </x:c>
      <x:c r="F15" s="24" t="str">
        <x:v>Parrotfishes</x:v>
      </x:c>
      <x:c r="G15" s="24" t="str">
        <x:v>Medium reef assoc. fish (30 - 89 cm)</x:v>
      </x:c>
      <x:c r="H15" s="24" t="str">
        <x:v>Perch-likes</x:v>
      </x:c>
      <x:c r="I15" s="31" t="n">
        <x:v>1234.61499204</x:v>
      </x:c>
      <x:c r="J15" s="31" t="n">
        <x:v>1234.61499204</x:v>
      </x:c>
      <x:c r="K15" s="31" t="n">
        <x:v>0</x:v>
      </x:c>
      <x:c r="L15" s="31" t="n">
        <x:v>1140</x:v>
      </x:c>
      <x:c r="M15" s="31" t="n">
        <x:v>94.61499204</x:v>
      </x:c>
      <x:c r="N15" s="24" t="str">
        <x:v>scaridae</x:v>
      </x:c>
      <x:c r="O15" s="32" t="n">
        <x:v>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Scaridae</x:v>
      </x:c>
      <x:c r="T15" s="32" t="n">
        <x:f>IF(O15="","",(1/'Metadata'!$B$5)^(O15-1))</x:f>
        <x:v>10</x:v>
      </x:c>
      <x:c r="U15" s="31" t="n">
        <x:f>IF(T15="","",I15*T15)</x:f>
        <x:v>12346.149920400001</x:v>
      </x:c>
    </x:row>
    <x:row r="16" ht="18" customHeight="1">
      <x:c r="A16" s="24" t="str">
        <x:v>EEZ_934</x:v>
      </x:c>
      <x:c r="B16" s="24" t="str">
        <x:v>Egypt (Red Sea)</x:v>
      </x:c>
      <x:c r="C16" s="24" t="str">
        <x:v>EEZ</x:v>
      </x:c>
      <x:c r="D16" s="30" t="n">
        <x:v>2019</x:v>
      </x:c>
      <x:c r="E16" s="24" t="str">
        <x:v>Sphyraena</x:v>
      </x:c>
      <x:c r="F16" s="24" t="str">
        <x:v>Barracudas, sennets</x:v>
      </x:c>
      <x:c r="G16" s="24" t="str">
        <x:v>Large pelagics (&gt;=90 cm)</x:v>
      </x:c>
      <x:c r="H16" s="24" t="str">
        <x:v>Perch-likes</x:v>
      </x:c>
      <x:c r="I16" s="31" t="n">
        <x:v>943</x:v>
      </x:c>
      <x:c r="J16" s="31" t="n">
        <x:v>943</x:v>
      </x:c>
      <x:c r="K16" s="31" t="n">
        <x:v>0</x:v>
      </x:c>
      <x:c r="L16" s="31" t="n">
        <x:v>943</x:v>
      </x:c>
      <x:c r="M16" s="31" t="n">
        <x:v>0</x:v>
      </x:c>
      <x:c r="N16" s="24" t="str">
        <x:v>sphyraena</x:v>
      </x:c>
      <x:c r="O16" s="32" t="n">
        <x:v>4.4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Sphyraena</x:v>
      </x:c>
      <x:c r="T16" s="32" t="n">
        <x:f>IF(O16="","",(1/'Metadata'!$B$5)^(O16-1))</x:f>
        <x:v>2511.886431509582</x:v>
      </x:c>
      <x:c r="U16" s="31" t="n">
        <x:f>IF(T16="","",I16*T16)</x:f>
        <x:v>2368708.904913536</x:v>
      </x:c>
    </x:row>
    <x:row r="17" ht="18" customHeight="1">
      <x:c r="A17" s="24" t="str">
        <x:v>EEZ_934</x:v>
      </x:c>
      <x:c r="B17" s="24" t="str">
        <x:v>Egypt (Red Sea)</x:v>
      </x:c>
      <x:c r="C17" s="24" t="str">
        <x:v>EEZ</x:v>
      </x:c>
      <x:c r="D17" s="30" t="n">
        <x:v>2019</x:v>
      </x:c>
      <x:c r="E17" s="24" t="str">
        <x:v>Decapoda</x:v>
      </x:c>
      <x:c r="F17" s="24" t="str">
        <x:v>Crabs, lobsters, shrimps</x:v>
      </x:c>
      <x:c r="G17" s="24" t="str">
        <x:v>Lobsters, crabs</x:v>
      </x:c>
      <x:c r="H17" s="24" t="str">
        <x:v>Crustaceans</x:v>
      </x:c>
      <x:c r="I17" s="31" t="n">
        <x:v>864.69472736</x:v>
      </x:c>
      <x:c r="J17" s="31" t="n">
        <x:v>864.69472736</x:v>
      </x:c>
      <x:c r="K17" s="31" t="n">
        <x:v>0</x:v>
      </x:c>
      <x:c r="L17" s="31" t="n">
        <x:v>761</x:v>
      </x:c>
      <x:c r="M17" s="31" t="n">
        <x:v>103.69472736</x:v>
      </x:c>
      <x:c r="N17" s="24" t="str">
        <x:v>decapoda</x:v>
      </x:c>
      <x:c r="O17" s="32" t="n">
        <x:v>3.43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Decapoda</x:v>
      </x:c>
      <x:c r="T17" s="32" t="n">
        <x:f>IF(O17="","",(1/'Metadata'!$B$5)^(O17-1))</x:f>
        <x:v>269.1534803926917</x:v>
      </x:c>
      <x:c r="U17" s="31" t="n">
        <x:f>IF(T17="","",I17*T17)</x:f>
        <x:v>232735.59534615363</x:v>
      </x:c>
    </x:row>
    <x:row r="18" ht="18" customHeight="1">
      <x:c r="A18" s="24" t="str">
        <x:v>EEZ_934</x:v>
      </x:c>
      <x:c r="B18" s="24" t="str">
        <x:v>Egypt (Red Sea)</x:v>
      </x:c>
      <x:c r="C18" s="24" t="str">
        <x:v>EEZ</x:v>
      </x:c>
      <x:c r="D18" s="30" t="n">
        <x:v>2019</x:v>
      </x:c>
      <x:c r="E18" s="24" t="str">
        <x:v>Leiognathus</x:v>
      </x:c>
      <x:c r="F18" s="24" t="str">
        <x:v>Ponyfishes</x:v>
      </x:c>
      <x:c r="G18" s="24" t="str">
        <x:v>Small benthopelagics (&lt;30 cm)</x:v>
      </x:c>
      <x:c r="H18" s="24" t="str">
        <x:v>Perch-likes</x:v>
      </x:c>
      <x:c r="I18" s="31" t="n">
        <x:v>637.8022532</x:v>
      </x:c>
      <x:c r="J18" s="31" t="n">
        <x:v>0</x:v>
      </x:c>
      <x:c r="K18" s="31" t="n">
        <x:v>637.8022532</x:v>
      </x:c>
      <x:c r="L18" s="31" t="n">
        <x:v>0</x:v>
      </x:c>
      <x:c r="M18" s="31" t="n">
        <x:v>637.8022532</x:v>
      </x:c>
      <x:c r="N18" s="24" t="str">
        <x:v>leiognathus</x:v>
      </x:c>
      <x:c r="O18" s="32" t="n">
        <x:v>3.22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Leiognathus</x:v>
      </x:c>
      <x:c r="T18" s="32" t="n">
        <x:f>IF(O18="","",(1/'Metadata'!$B$5)^(O18-1))</x:f>
        <x:v>165.95869074375614</x:v>
      </x:c>
      <x:c r="U18" s="31" t="n">
        <x:f>IF(T18="","",I18*T18)</x:f>
        <x:v>105848.82689448964</x:v>
      </x:c>
    </x:row>
    <x:row r="19" ht="18" customHeight="1">
      <x:c r="A19" s="24" t="str">
        <x:v>EEZ_934</x:v>
      </x:c>
      <x:c r="B19" s="24" t="str">
        <x:v>Egypt (Red Sea)</x:v>
      </x:c>
      <x:c r="C19" s="24" t="str">
        <x:v>EEZ</x:v>
      </x:c>
      <x:c r="D19" s="30" t="n">
        <x:v>2019</x:v>
      </x:c>
      <x:c r="E19" s="24" t="str">
        <x:v>Loligo</x:v>
      </x:c>
      <x:c r="F19" s="24" t="str">
        <x:v>Common squids</x:v>
      </x:c>
      <x:c r="G19" s="24" t="str">
        <x:v>Cephalopods</x:v>
      </x:c>
      <x:c r="H19" s="24" t="str">
        <x:v>Other fishes &amp; inverts</x:v>
      </x:c>
      <x:c r="I19" s="31" t="n">
        <x:v>629.9999999700001</x:v>
      </x:c>
      <x:c r="J19" s="31" t="n">
        <x:v>629.9999999700001</x:v>
      </x:c>
      <x:c r="K19" s="31" t="n">
        <x:v>0</x:v>
      </x:c>
      <x:c r="L19" s="31" t="n">
        <x:v>629.9999999700001</x:v>
      </x:c>
      <x:c r="M19" s="31" t="n">
        <x:v>0</x:v>
      </x:c>
      <x:c r="N19" s="24" t="str">
        <x:v>loligo</x:v>
      </x:c>
      <x:c r="O19" s="32" t="n">
        <x:v>3.99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Loligo</x:v>
      </x:c>
      <x:c r="T19" s="32" t="n">
        <x:f>IF(O19="","",(1/'Metadata'!$B$5)^(O19-1))</x:f>
        <x:v>977.2372209558112</x:v>
      </x:c>
      <x:c r="U19" s="31" t="n">
        <x:f>IF(T19="","",I19*T19)</x:f>
        <x:v>615659.449172844</x:v>
      </x:c>
    </x:row>
    <x:row r="20" ht="18" customHeight="1">
      <x:c r="A20" s="24" t="str">
        <x:v>EEZ_934</x:v>
      </x:c>
      <x:c r="B20" s="24" t="str">
        <x:v>Egypt (Red Sea)</x:v>
      </x:c>
      <x:c r="C20" s="24" t="str">
        <x:v>EEZ</x:v>
      </x:c>
      <x:c r="D20" s="30" t="n">
        <x:v>2019</x:v>
      </x:c>
      <x:c r="E20" s="24" t="str">
        <x:v>Mullidae</x:v>
      </x:c>
      <x:c r="F20" s="24" t="str">
        <x:v>Goatfishes</x:v>
      </x:c>
      <x:c r="G20" s="24" t="str">
        <x:v>Medium reef assoc. fish (30 - 89 cm)</x:v>
      </x:c>
      <x:c r="H20" s="24" t="str">
        <x:v>Perch-likes</x:v>
      </x:c>
      <x:c r="I20" s="31" t="n">
        <x:v>620.63891217</x:v>
      </x:c>
      <x:c r="J20" s="31" t="n">
        <x:v>620.63891217</x:v>
      </x:c>
      <x:c r="K20" s="31" t="n">
        <x:v>0</x:v>
      </x:c>
      <x:c r="L20" s="31" t="n">
        <x:v>594.99999996</x:v>
      </x:c>
      <x:c r="M20" s="31" t="n">
        <x:v>25.63891221</x:v>
      </x:c>
      <x:c r="N20" s="24" t="str">
        <x:v>mullidae</x:v>
      </x:c>
      <x:c r="O20" s="32" t="n">
        <x:v>3.46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Mullidae</x:v>
      </x:c>
      <x:c r="T20" s="32" t="n">
        <x:f>IF(O20="","",(1/'Metadata'!$B$5)^(O20-1))</x:f>
        <x:v>288.40315031266056</x:v>
      </x:c>
      <x:c r="U20" s="31" t="n">
        <x:f>IF(T20="","",I20*T20)</x:f>
        <x:v>178994.21747645066</x:v>
      </x:c>
    </x:row>
    <x:row r="21" ht="18" customHeight="1">
      <x:c r="A21" s="24" t="str">
        <x:v>EEZ_934</x:v>
      </x:c>
      <x:c r="B21" s="24" t="str">
        <x:v>Egypt (Red Sea)</x:v>
      </x:c>
      <x:c r="C21" s="24" t="str">
        <x:v>EEZ</x:v>
      </x:c>
      <x:c r="D21" s="30" t="n">
        <x:v>2019</x:v>
      </x:c>
      <x:c r="E21" s="24" t="str">
        <x:v>Lethrinus nebulosus</x:v>
      </x:c>
      <x:c r="F21" s="24" t="str">
        <x:v>Spangled emperor</x:v>
      </x:c>
      <x:c r="G21" s="24" t="str">
        <x:v>Medium demersals (30 - 89 cm)</x:v>
      </x:c>
      <x:c r="H21" s="24" t="str">
        <x:v>Perch-likes</x:v>
      </x:c>
      <x:c r="I21" s="31" t="n">
        <x:v>544.0362042</x:v>
      </x:c>
      <x:c r="J21" s="31" t="n">
        <x:v>544.0362042</x:v>
      </x:c>
      <x:c r="K21" s="31" t="n">
        <x:v>0</x:v>
      </x:c>
      <x:c r="L21" s="31" t="n">
        <x:v>0</x:v>
      </x:c>
      <x:c r="M21" s="31" t="n">
        <x:v>544.0362042</x:v>
      </x:c>
      <x:c r="N21" s="24" t="str">
        <x:v>lethrinus nebulosus</x:v>
      </x:c>
      <x:c r="O21" s="32" t="n">
        <x:v>3.76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Lethrinus nebulosus</x:v>
      </x:c>
      <x:c r="T21" s="32" t="n">
        <x:f>IF(O21="","",(1/'Metadata'!$B$5)^(O21-1))</x:f>
        <x:v>575.4399373371566</x:v>
      </x:c>
      <x:c r="U21" s="31" t="n">
        <x:f>IF(T21="","",I21*T21)</x:f>
        <x:v>313060.15925399255</x:v>
      </x:c>
    </x:row>
    <x:row r="22" ht="18" customHeight="1">
      <x:c r="A22" s="24" t="str">
        <x:v>EEZ_934</x:v>
      </x:c>
      <x:c r="B22" s="24" t="str">
        <x:v>Egypt (Red Sea)</x:v>
      </x:c>
      <x:c r="C22" s="24" t="str">
        <x:v>EEZ</x:v>
      </x:c>
      <x:c r="D22" s="30" t="n">
        <x:v>2019</x:v>
      </x:c>
      <x:c r="E22" s="24" t="str">
        <x:v>Mugilidae</x:v>
      </x:c>
      <x:c r="F22" s="24" t="str">
        <x:v>Mullets, grey mullets</x:v>
      </x:c>
      <x:c r="G22" s="24" t="str">
        <x:v>Medium reef assoc. fish (30 - 89 cm)</x:v>
      </x:c>
      <x:c r="H22" s="24" t="str">
        <x:v>Perch-likes</x:v>
      </x:c>
      <x:c r="I22" s="31" t="n">
        <x:v>542.55175258</x:v>
      </x:c>
      <x:c r="J22" s="31" t="n">
        <x:v>542.55175258</x:v>
      </x:c>
      <x:c r="K22" s="31" t="n">
        <x:v>0</x:v>
      </x:c>
      <x:c r="L22" s="31" t="n">
        <x:v>329.99999998</x:v>
      </x:c>
      <x:c r="M22" s="31" t="n">
        <x:v>212.5517526</x:v>
      </x:c>
      <x:c r="N22" s="24" t="str">
        <x:v>mugilidae</x:v>
      </x:c>
      <x:c r="O22" s="32" t="n">
        <x:v>2.53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Mugilidae</x:v>
      </x:c>
      <x:c r="T22" s="32" t="n">
        <x:f>IF(O22="","",(1/'Metadata'!$B$5)^(O22-1))</x:f>
        <x:v>33.88441561392024</x:v>
      </x:c>
      <x:c r="U22" s="31" t="n">
        <x:f>IF(T22="","",I22*T22)</x:f>
        <x:v>18384.04907648154</x:v>
      </x:c>
    </x:row>
    <x:row r="23" ht="18" customHeight="1">
      <x:c r="A23" s="24" t="str">
        <x:v>EEZ_934</x:v>
      </x:c>
      <x:c r="B23" s="24" t="str">
        <x:v>Egypt (Red Sea)</x:v>
      </x:c>
      <x:c r="C23" s="24" t="str">
        <x:v>EEZ</x:v>
      </x:c>
      <x:c r="D23" s="30" t="n">
        <x:v>2019</x:v>
      </x:c>
      <x:c r="E23" s="24" t="str">
        <x:v>Variola louti</x:v>
      </x:c>
      <x:c r="F23" s="24" t="str">
        <x:v>Yellow-edged lyretail</x:v>
      </x:c>
      <x:c r="G23" s="24" t="str">
        <x:v>Medium reef assoc. fish (30 - 89 cm)</x:v>
      </x:c>
      <x:c r="H23" s="24" t="str">
        <x:v>Perch-likes</x:v>
      </x:c>
      <x:c r="I23" s="31" t="n">
        <x:v>501.00000005000004</x:v>
      </x:c>
      <x:c r="J23" s="31" t="n">
        <x:v>501.00000005000004</x:v>
      </x:c>
      <x:c r="K23" s="31" t="n">
        <x:v>0</x:v>
      </x:c>
      <x:c r="L23" s="31" t="n">
        <x:v>501.00000005000004</x:v>
      </x:c>
      <x:c r="M23" s="31" t="n">
        <x:v>0</x:v>
      </x:c>
      <x:c r="N23" s="24" t="str">
        <x:v>variola louti</x:v>
      </x:c>
      <x:c r="O23" s="32" t="n">
        <x:v>4.33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Variola louti</x:v>
      </x:c>
      <x:c r="T23" s="32" t="n">
        <x:f>IF(O23="","",(1/'Metadata'!$B$5)^(O23-1))</x:f>
        <x:v>2137.9620895022326</x:v>
      </x:c>
      <x:c r="U23" s="31" t="n">
        <x:f>IF(T23="","",I23*T23)</x:f>
        <x:v>1071119.0069475167</x:v>
      </x:c>
    </x:row>
    <x:row r="24" ht="18" customHeight="1">
      <x:c r="A24" s="24" t="str">
        <x:v>EEZ_934</x:v>
      </x:c>
      <x:c r="B24" s="24" t="str">
        <x:v>Egypt (Red Sea)</x:v>
      </x:c>
      <x:c r="C24" s="24" t="str">
        <x:v>EEZ</x:v>
      </x:c>
      <x:c r="D24" s="30" t="n">
        <x:v>2019</x:v>
      </x:c>
      <x:c r="E24" s="24" t="str">
        <x:v>Lutjanidae</x:v>
      </x:c>
      <x:c r="F24" s="24" t="str">
        <x:v>Snappers</x:v>
      </x:c>
      <x:c r="G24" s="24" t="str">
        <x:v>Medium reef assoc. fish (30 - 89 cm)</x:v>
      </x:c>
      <x:c r="H24" s="24" t="str">
        <x:v>Perch-likes</x:v>
      </x:c>
      <x:c r="I24" s="31" t="n">
        <x:v>491.52662349</x:v>
      </x:c>
      <x:c r="J24" s="31" t="n">
        <x:v>491.52662349</x:v>
      </x:c>
      <x:c r="K24" s="31" t="n">
        <x:v>0</x:v>
      </x:c>
      <x:c r="L24" s="31" t="n">
        <x:v>313.99999999</x:v>
      </x:c>
      <x:c r="M24" s="31" t="n">
        <x:v>177.5266235</x:v>
      </x:c>
      <x:c r="N24" s="24" t="str">
        <x:v>lutjanidae</x:v>
      </x:c>
      <x:c r="O24" s="32" t="n">
        <x:v>4.02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Lutjanidae</x:v>
      </x:c>
      <x:c r="T24" s="32" t="n">
        <x:f>IF(O24="","",(1/'Metadata'!$B$5)^(O24-1))</x:f>
        <x:v>1047.1285480508984</x:v>
      </x:c>
      <x:c r="U24" s="31" t="n">
        <x:f>IF(T24="","",I24*T24)</x:f>
        <x:v>514691.5595834443</x:v>
      </x:c>
    </x:row>
    <x:row r="25" ht="18" customHeight="1">
      <x:c r="A25" s="24" t="str">
        <x:v>EEZ_934</x:v>
      </x:c>
      <x:c r="B25" s="24" t="str">
        <x:v>Egypt (Red Sea)</x:v>
      </x:c>
      <x:c r="C25" s="24" t="str">
        <x:v>EEZ</x:v>
      </x:c>
      <x:c r="D25" s="30" t="n">
        <x:v>2019</x:v>
      </x:c>
      <x:c r="E25" s="24" t="str">
        <x:v>Pomadasys stridens</x:v>
      </x:c>
      <x:c r="F25" s="24" t="str">
        <x:v>Striped piggy</x:v>
      </x:c>
      <x:c r="G25" s="24" t="str">
        <x:v>Small reef assoc. fish (&lt;30 cm)</x:v>
      </x:c>
      <x:c r="H25" s="24" t="str">
        <x:v>Perch-likes</x:v>
      </x:c>
      <x:c r="I25" s="31" t="n">
        <x:v>470.00000005000004</x:v>
      </x:c>
      <x:c r="J25" s="31" t="n">
        <x:v>470.00000005000004</x:v>
      </x:c>
      <x:c r="K25" s="31" t="n">
        <x:v>0</x:v>
      </x:c>
      <x:c r="L25" s="31" t="n">
        <x:v>470.00000005000004</x:v>
      </x:c>
      <x:c r="M25" s="31" t="n">
        <x:v>0</x:v>
      </x:c>
      <x:c r="N25" s="24" t="str">
        <x:v>pomadasys stridens</x:v>
      </x:c>
      <x:c r="O25" s="32" t="n">
        <x:v>4.02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Pomadasys stridens</x:v>
      </x:c>
      <x:c r="T25" s="32" t="n">
        <x:f>IF(O25="","",(1/'Metadata'!$B$5)^(O25-1))</x:f>
        <x:v>1047.1285480508984</x:v>
      </x:c>
      <x:c r="U25" s="31" t="n">
        <x:f>IF(T25="","",I25*T25)</x:f>
        <x:v>492150.4176362787</x:v>
      </x:c>
    </x:row>
    <x:row r="26" ht="18" customHeight="1">
      <x:c r="A26" s="24" t="str">
        <x:v>EEZ_934</x:v>
      </x:c>
      <x:c r="B26" s="24" t="str">
        <x:v>Egypt (Red Sea)</x:v>
      </x:c>
      <x:c r="C26" s="24" t="str">
        <x:v>EEZ</x:v>
      </x:c>
      <x:c r="D26" s="30" t="n">
        <x:v>2019</x:v>
      </x:c>
      <x:c r="E26" s="24" t="str">
        <x:v>Pseudorhombus arsius</x:v>
      </x:c>
      <x:c r="F26" s="24" t="str">
        <x:v>Largetooth flounder</x:v>
      </x:c>
      <x:c r="G26" s="24" t="str">
        <x:v>Small to medium flatfishes (&lt;90 cm)</x:v>
      </x:c>
      <x:c r="H26" s="24" t="str">
        <x:v>Flatfishes</x:v>
      </x:c>
      <x:c r="I26" s="31" t="n">
        <x:v>463.8561842</x:v>
      </x:c>
      <x:c r="J26" s="31" t="n">
        <x:v>0</x:v>
      </x:c>
      <x:c r="K26" s="31" t="n">
        <x:v>463.8561842</x:v>
      </x:c>
      <x:c r="L26" s="31" t="n">
        <x:v>0</x:v>
      </x:c>
      <x:c r="M26" s="31" t="n">
        <x:v>463.8561842</x:v>
      </x:c>
      <x:c r="N26" s="24" t="str">
        <x:v>pseudorhombus arsius</x:v>
      </x:c>
      <x:c r="O26" s="32" t="n">
        <x:v>4.16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Pseudorhombus arsius</x:v>
      </x:c>
      <x:c r="T26" s="32" t="n">
        <x:f>IF(O26="","",(1/'Metadata'!$B$5)^(O26-1))</x:f>
        <x:v>1445.439770745928</x:v>
      </x:c>
      <x:c r="U26" s="31" t="n">
        <x:f>IF(T26="","",I26*T26)</x:f>
        <x:v>670476.1765491288</x:v>
      </x:c>
    </x:row>
    <x:row r="27" ht="18" customHeight="1">
      <x:c r="A27" s="24" t="str">
        <x:v>EEZ_934</x:v>
      </x:c>
      <x:c r="B27" s="24" t="str">
        <x:v>Egypt (Red Sea)</x:v>
      </x:c>
      <x:c r="C27" s="24" t="str">
        <x:v>EEZ</x:v>
      </x:c>
      <x:c r="D27" s="30" t="n">
        <x:v>2019</x:v>
      </x:c>
      <x:c r="E27" s="24" t="str">
        <x:v>Lethrinus borbonicus</x:v>
      </x:c>
      <x:c r="F27" s="24" t="str">
        <x:v>Snubnose emperor</x:v>
      </x:c>
      <x:c r="G27" s="24" t="str">
        <x:v>Medium reef assoc. fish (30 - 89 cm)</x:v>
      </x:c>
      <x:c r="H27" s="24" t="str">
        <x:v>Perch-likes</x:v>
      </x:c>
      <x:c r="I27" s="31" t="n">
        <x:v>349.99999994999996</x:v>
      </x:c>
      <x:c r="J27" s="31" t="n">
        <x:v>349.99999994999996</x:v>
      </x:c>
      <x:c r="K27" s="31" t="n">
        <x:v>0</x:v>
      </x:c>
      <x:c r="L27" s="31" t="n">
        <x:v>349.99999994999996</x:v>
      </x:c>
      <x:c r="M27" s="31" t="n">
        <x:v>0</x:v>
      </x:c>
      <x:c r="N27" s="24" t="str">
        <x:v>lethrinus borbonicus</x:v>
      </x:c>
      <x:c r="O27" s="32" t="n">
        <x:v>3.47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Lethrinus borbonicus</x:v>
      </x:c>
      <x:c r="T27" s="32" t="n">
        <x:f>IF(O27="","",(1/'Metadata'!$B$5)^(O27-1))</x:f>
        <x:v>295.1209226666387</x:v>
      </x:c>
      <x:c r="U27" s="31" t="n">
        <x:f>IF(T27="","",I27*T27)</x:f>
        <x:v>103292.32291856749</x:v>
      </x:c>
    </x:row>
    <x:row r="28" ht="18" customHeight="1">
      <x:c r="A28" s="24" t="str">
        <x:v>EEZ_934</x:v>
      </x:c>
      <x:c r="B28" s="24" t="str">
        <x:v>Egypt (Red Sea)</x:v>
      </x:c>
      <x:c r="C28" s="24" t="str">
        <x:v>EEZ</x:v>
      </x:c>
      <x:c r="D28" s="30" t="n">
        <x:v>2019</x:v>
      </x:c>
      <x:c r="E28" s="24" t="str">
        <x:v>Argyrops spinifer</x:v>
      </x:c>
      <x:c r="F28" s="24" t="str">
        <x:v>King soldier bream</x:v>
      </x:c>
      <x:c r="G28" s="24" t="str">
        <x:v>Medium demersals (30 - 89 cm)</x:v>
      </x:c>
      <x:c r="H28" s="24" t="str">
        <x:v>Perch-likes</x:v>
      </x:c>
      <x:c r="I28" s="31" t="n">
        <x:v>289.99999995999997</x:v>
      </x:c>
      <x:c r="J28" s="31" t="n">
        <x:v>289.99999995999997</x:v>
      </x:c>
      <x:c r="K28" s="31" t="n">
        <x:v>0</x:v>
      </x:c>
      <x:c r="L28" s="31" t="n">
        <x:v>289.99999995999997</x:v>
      </x:c>
      <x:c r="M28" s="31" t="n">
        <x:v>0</x:v>
      </x:c>
      <x:c r="N28" s="24" t="str">
        <x:v>argyrops spinifer</x:v>
      </x:c>
      <x:c r="O28" s="32" t="n">
        <x:v>4.49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Argyrops spinifer</x:v>
      </x:c>
      <x:c r="T28" s="32" t="n">
        <x:f>IF(O28="","",(1/'Metadata'!$B$5)^(O28-1))</x:f>
        <x:v>3090.295432513592</x:v>
      </x:c>
      <x:c r="U28" s="31" t="n">
        <x:f>IF(T28="","",I28*T28)</x:f>
        <x:v>896185.6753053297</x:v>
      </x:c>
    </x:row>
    <x:row r="29" ht="18" customHeight="1">
      <x:c r="A29" s="24" t="str">
        <x:v>EEZ_934</x:v>
      </x:c>
      <x:c r="B29" s="24" t="str">
        <x:v>Egypt (Red Sea)</x:v>
      </x:c>
      <x:c r="C29" s="24" t="str">
        <x:v>EEZ</x:v>
      </x:c>
      <x:c r="D29" s="30" t="n">
        <x:v>2019</x:v>
      </x:c>
      <x:c r="E29" s="24" t="str">
        <x:v>Charybdis hellerii</x:v>
      </x:c>
      <x:c r="F29" s="24" t="str">
        <x:v>Spiny hands</x:v>
      </x:c>
      <x:c r="G29" s="24" t="str">
        <x:v>Lobsters, crabs</x:v>
      </x:c>
      <x:c r="H29" s="24" t="str">
        <x:v>Crustaceans</x:v>
      </x:c>
      <x:c r="I29" s="31" t="n">
        <x:v>289.9101151</x:v>
      </x:c>
      <x:c r="J29" s="31" t="n">
        <x:v>0</x:v>
      </x:c>
      <x:c r="K29" s="31" t="n">
        <x:v>289.9101151</x:v>
      </x:c>
      <x:c r="L29" s="31" t="n">
        <x:v>0</x:v>
      </x:c>
      <x:c r="M29" s="31" t="n">
        <x:v>289.9101151</x:v>
      </x:c>
      <x:c r="N29" s="24" t="str">
        <x:v>charybdis hellerii</x:v>
      </x:c>
      <x:c r="O29" s="32" t="n">
        <x:v>3.33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Charybdis hellerii</x:v>
      </x:c>
      <x:c r="T29" s="32" t="n">
        <x:f>IF(O29="","",(1/'Metadata'!$B$5)^(O29-1))</x:f>
        <x:v>213.79620895022325</x:v>
      </x:c>
      <x:c r="U29" s="31" t="n">
        <x:f>IF(T29="","",I29*T29)</x:f>
        <x:v>61981.68354470287</x:v>
      </x:c>
    </x:row>
    <x:row r="30" ht="18" customHeight="1">
      <x:c r="A30" s="24" t="str">
        <x:v>EEZ_934</x:v>
      </x:c>
      <x:c r="B30" s="24" t="str">
        <x:v>Egypt (Red Sea)</x:v>
      </x:c>
      <x:c r="C30" s="24" t="str">
        <x:v>EEZ</x:v>
      </x:c>
      <x:c r="D30" s="30" t="n">
        <x:v>2019</x:v>
      </x:c>
      <x:c r="E30" s="24" t="str">
        <x:v>Belonidae</x:v>
      </x:c>
      <x:c r="F30" s="24" t="str">
        <x:v>Needlefishes, garfishes</x:v>
      </x:c>
      <x:c r="G30" s="24" t="str">
        <x:v>Medium pelagics (30 - 89 cm)</x:v>
      </x:c>
      <x:c r="H30" s="24" t="str">
        <x:v>Other fishes &amp; inverts</x:v>
      </x:c>
      <x:c r="I30" s="31" t="n">
        <x:v>216.00000003</x:v>
      </x:c>
      <x:c r="J30" s="31" t="n">
        <x:v>216.00000003</x:v>
      </x:c>
      <x:c r="K30" s="31" t="n">
        <x:v>0</x:v>
      </x:c>
      <x:c r="L30" s="31" t="n">
        <x:v>216.00000003</x:v>
      </x:c>
      <x:c r="M30" s="31" t="n">
        <x:v>0</x:v>
      </x:c>
      <x:c r="N30" s="24" t="str">
        <x:v>belonidae</x:v>
      </x:c>
      <x:c r="O30" s="32" t="n">
        <x:v>4.38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Belonidae</x:v>
      </x:c>
      <x:c r="T30" s="32" t="n">
        <x:f>IF(O30="","",(1/'Metadata'!$B$5)^(O30-1))</x:f>
        <x:v>2398.83291901949</x:v>
      </x:c>
      <x:c r="U30" s="31" t="n">
        <x:f>IF(T30="","",I30*T30)</x:f>
        <x:v>518147.9105801748</x:v>
      </x:c>
    </x:row>
    <x:row r="31" ht="18" customHeight="1">
      <x:c r="A31" s="24" t="str">
        <x:v>EEZ_934</x:v>
      </x:c>
      <x:c r="B31" s="24" t="str">
        <x:v>Egypt (Red Sea)</x:v>
      </x:c>
      <x:c r="C31" s="24" t="str">
        <x:v>EEZ</x:v>
      </x:c>
      <x:c r="D31" s="30" t="n">
        <x:v>2019</x:v>
      </x:c>
      <x:c r="E31" s="24" t="str">
        <x:v>Lethrinus mahsena</x:v>
      </x:c>
      <x:c r="F31" s="24" t="str">
        <x:v>Sky emperor</x:v>
      </x:c>
      <x:c r="G31" s="24" t="str">
        <x:v>Medium reef assoc. fish (30 - 89 cm)</x:v>
      </x:c>
      <x:c r="H31" s="24" t="str">
        <x:v>Perch-likes</x:v>
      </x:c>
      <x:c r="I31" s="31" t="n">
        <x:v>210.99999997999998</x:v>
      </x:c>
      <x:c r="J31" s="31" t="n">
        <x:v>210.99999997999998</x:v>
      </x:c>
      <x:c r="K31" s="31" t="n">
        <x:v>0</x:v>
      </x:c>
      <x:c r="L31" s="31" t="n">
        <x:v>210.99999997999998</x:v>
      </x:c>
      <x:c r="M31" s="31" t="n">
        <x:v>0</x:v>
      </x:c>
      <x:c r="N31" s="24" t="str">
        <x:v>lethrinus mahsena</x:v>
      </x:c>
      <x:c r="O31" s="32" t="n">
        <x:v>3.43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Lethrinus mahsena</x:v>
      </x:c>
      <x:c r="T31" s="32" t="n">
        <x:f>IF(O31="","",(1/'Metadata'!$B$5)^(O31-1))</x:f>
        <x:v>269.1534803926917</x:v>
      </x:c>
      <x:c r="U31" s="31" t="n">
        <x:f>IF(T31="","",I31*T31)</x:f>
        <x:v>56791.38435747487</x:v>
      </x:c>
    </x:row>
    <x:row r="32" ht="18" customHeight="1">
      <x:c r="A32" s="24" t="str">
        <x:v>EEZ_934</x:v>
      </x:c>
      <x:c r="B32" s="24" t="str">
        <x:v>Egypt (Red Sea)</x:v>
      </x:c>
      <x:c r="C32" s="24" t="str">
        <x:v>EEZ</x:v>
      </x:c>
      <x:c r="D32" s="30" t="n">
        <x:v>2019</x:v>
      </x:c>
      <x:c r="E32" s="24" t="str">
        <x:v>Sepiida</x:v>
      </x:c>
      <x:c r="F32" s="24" t="str">
        <x:v>Cuttlefishes, bobtail squids</x:v>
      </x:c>
      <x:c r="G32" s="24" t="str">
        <x:v>Cephalopods</x:v>
      </x:c>
      <x:c r="H32" s="24" t="str">
        <x:v>Other fishes &amp; inverts</x:v>
      </x:c>
      <x:c r="I32" s="31" t="n">
        <x:v>205.839083228</x:v>
      </x:c>
      <x:c r="J32" s="31" t="n">
        <x:v>205.839083228</x:v>
      </x:c>
      <x:c r="K32" s="31" t="n">
        <x:v>0</x:v>
      </x:c>
      <x:c r="L32" s="31" t="n">
        <x:v>187.99999996</x:v>
      </x:c>
      <x:c r="M32" s="31" t="n">
        <x:v>17.839083268</x:v>
      </x:c>
      <x:c r="N32" s="24" t="str">
        <x:v>sepiida</x:v>
      </x:c>
      <x:c r="O32" s="32" t="n">
        <x:v>3.7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Sepiida</x:v>
      </x:c>
      <x:c r="T32" s="32" t="n">
        <x:f>IF(O32="","",(1/'Metadata'!$B$5)^(O32-1))</x:f>
        <x:v>501.18723362727246</x:v>
      </x:c>
      <x:c r="U32" s="31" t="n">
        <x:f>IF(T32="","",I32*T32)</x:f>
        <x:v>103163.92069541522</x:v>
      </x:c>
    </x:row>
    <x:row r="33" ht="18" customHeight="1">
      <x:c r="A33" s="24" t="str">
        <x:v>EEZ_934</x:v>
      </x:c>
      <x:c r="B33" s="24" t="str">
        <x:v>Egypt (Red Sea)</x:v>
      </x:c>
      <x:c r="C33" s="24" t="str">
        <x:v>EEZ</x:v>
      </x:c>
      <x:c r="D33" s="30" t="n">
        <x:v>2019</x:v>
      </x:c>
      <x:c r="E33" s="24" t="str">
        <x:v>Sparidae</x:v>
      </x:c>
      <x:c r="F33" s="24" t="str">
        <x:v>Porgies, seabreams</x:v>
      </x:c>
      <x:c r="G33" s="24" t="str">
        <x:v>Medium benthopelagics (30 - 89 cm)</x:v>
      </x:c>
      <x:c r="H33" s="24" t="str">
        <x:v>Perch-likes</x:v>
      </x:c>
      <x:c r="I33" s="31" t="n">
        <x:v>184</x:v>
      </x:c>
      <x:c r="J33" s="31" t="n">
        <x:v>184</x:v>
      </x:c>
      <x:c r="K33" s="31" t="n">
        <x:v>0</x:v>
      </x:c>
      <x:c r="L33" s="31" t="n">
        <x:v>184</x:v>
      </x:c>
      <x:c r="M33" s="31" t="n">
        <x:v>0</x:v>
      </x:c>
      <x:c r="N33" s="24" t="str">
        <x:v>sparidae</x:v>
      </x:c>
      <x:c r="O33" s="32" t="n">
        <x:v>3.31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Sparidae</x:v>
      </x:c>
      <x:c r="T33" s="32" t="n">
        <x:f>IF(O33="","",(1/'Metadata'!$B$5)^(O33-1))</x:f>
        <x:v>204.17379446695296</x:v>
      </x:c>
      <x:c r="U33" s="31" t="n">
        <x:f>IF(T33="","",I33*T33)</x:f>
        <x:v>37567.978181919345</x:v>
      </x:c>
    </x:row>
    <x:row r="34" ht="18" customHeight="1">
      <x:c r="A34" s="24" t="str">
        <x:v>EEZ_934</x:v>
      </x:c>
      <x:c r="B34" s="24" t="str">
        <x:v>Egypt (Red Sea)</x:v>
      </x:c>
      <x:c r="C34" s="24" t="str">
        <x:v>EEZ</x:v>
      </x:c>
      <x:c r="D34" s="30" t="n">
        <x:v>2019</x:v>
      </x:c>
      <x:c r="E34" s="24" t="str">
        <x:v>Euthynnus affinis</x:v>
      </x:c>
      <x:c r="F34" s="24" t="str">
        <x:v>Kawakawa</x:v>
      </x:c>
      <x:c r="G34" s="24" t="str">
        <x:v>Large pelagics (&gt;=90 cm)</x:v>
      </x:c>
      <x:c r="H34" s="24" t="str">
        <x:v>Tuna &amp; billfishes</x:v>
      </x:c>
      <x:c r="I34" s="31" t="n">
        <x:v>182.2913302</x:v>
      </x:c>
      <x:c r="J34" s="31" t="n">
        <x:v>182.2913302</x:v>
      </x:c>
      <x:c r="K34" s="31" t="n">
        <x:v>0</x:v>
      </x:c>
      <x:c r="L34" s="31" t="n">
        <x:v>182.2913302</x:v>
      </x:c>
      <x:c r="M34" s="31" t="n">
        <x:v>0</x:v>
      </x:c>
      <x:c r="N34" s="24" t="str">
        <x:v>euthynnus affinis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Euthynnus affinis</x:v>
      </x:c>
      <x:c r="T34" s="32" t="n">
        <x:f>IF(O34="","",(1/'Metadata'!$B$5)^(O34-1))</x:f>
        <x:v>3162.2776601683795</x:v>
      </x:c>
      <x:c r="U34" s="31" t="n">
        <x:f>IF(T34="","",I34*T34)</x:f>
        <x:v>576455.8011338374</x:v>
      </x:c>
    </x:row>
    <x:row r="35" ht="18" customHeight="1">
      <x:c r="A35" s="24" t="str">
        <x:v>EEZ_934</x:v>
      </x:c>
      <x:c r="B35" s="24" t="str">
        <x:v>Egypt (Red Sea)</x:v>
      </x:c>
      <x:c r="C35" s="24" t="str">
        <x:v>EEZ</x:v>
      </x:c>
      <x:c r="D35" s="30" t="n">
        <x:v>2019</x:v>
      </x:c>
      <x:c r="E35" s="24" t="str">
        <x:v>Nemipteridae</x:v>
      </x:c>
      <x:c r="F35" s="24" t="str">
        <x:v>Threadfins, whiptail breams</x:v>
      </x:c>
      <x:c r="G35" s="24" t="str">
        <x:v>Small demersals (&lt;30 cm)</x:v>
      </x:c>
      <x:c r="H35" s="24" t="str">
        <x:v>Perch-likes</x:v>
      </x:c>
      <x:c r="I35" s="31" t="n">
        <x:v>169.77198505</x:v>
      </x:c>
      <x:c r="J35" s="31" t="n">
        <x:v>169.77198505</x:v>
      </x:c>
      <x:c r="K35" s="31" t="n">
        <x:v>0</x:v>
      </x:c>
      <x:c r="L35" s="31" t="n">
        <x:v>0</x:v>
      </x:c>
      <x:c r="M35" s="31" t="n">
        <x:v>169.77198505</x:v>
      </x:c>
      <x:c r="N35" s="24" t="str">
        <x:v>nemipteridae</x:v>
      </x:c>
      <x:c r="O35" s="32" t="n">
        <x:v>3.51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Nemipteridae</x:v>
      </x:c>
      <x:c r="T35" s="32" t="n">
        <x:f>IF(O35="","",(1/'Metadata'!$B$5)^(O35-1))</x:f>
        <x:v>323.5936569296281</x:v>
      </x:c>
      <x:c r="U35" s="31" t="n">
        <x:f>IF(T35="","",I35*T35)</x:f>
        <x:v>54937.137486531654</x:v>
      </x:c>
    </x:row>
    <x:row r="36" ht="18" customHeight="1">
      <x:c r="A36" s="24" t="str">
        <x:v>EEZ_934</x:v>
      </x:c>
      <x:c r="B36" s="24" t="str">
        <x:v>Egypt (Red Sea)</x:v>
      </x:c>
      <x:c r="C36" s="24" t="str">
        <x:v>EEZ</x:v>
      </x:c>
      <x:c r="D36" s="30" t="n">
        <x:v>2019</x:v>
      </x:c>
      <x:c r="E36" s="24" t="str">
        <x:v>Scomberomorus commerson</x:v>
      </x:c>
      <x:c r="F36" s="24" t="str">
        <x:v>Narrow-barred Spanish mackerel</x:v>
      </x:c>
      <x:c r="G36" s="24" t="str">
        <x:v>Large pelagics (&gt;=90 cm)</x:v>
      </x:c>
      <x:c r="H36" s="24" t="str">
        <x:v>Perch-likes</x:v>
      </x:c>
      <x:c r="I36" s="31" t="n">
        <x:v>135</x:v>
      </x:c>
      <x:c r="J36" s="31" t="n">
        <x:v>135</x:v>
      </x:c>
      <x:c r="K36" s="31" t="n">
        <x:v>0</x:v>
      </x:c>
      <x:c r="L36" s="31" t="n">
        <x:v>135</x:v>
      </x:c>
      <x:c r="M36" s="31" t="n">
        <x:v>0</x:v>
      </x:c>
      <x:c r="N36" s="24" t="str">
        <x:v>scomberomorus commerson</x:v>
      </x:c>
      <x:c r="O36" s="32" t="n">
        <x:v>4.5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commerson</x:v>
      </x:c>
      <x:c r="T36" s="32" t="n">
        <x:f>IF(O36="","",(1/'Metadata'!$B$5)^(O36-1))</x:f>
        <x:v>3162.2776601683795</x:v>
      </x:c>
      <x:c r="U36" s="31" t="n">
        <x:f>IF(T36="","",I36*T36)</x:f>
        <x:v>426907.48412273126</x:v>
      </x:c>
    </x:row>
    <x:row r="37" ht="18" customHeight="1">
      <x:c r="A37" s="24" t="str">
        <x:v>EEZ_934</x:v>
      </x:c>
      <x:c r="B37" s="24" t="str">
        <x:v>Egypt (Red Sea)</x:v>
      </x:c>
      <x:c r="C37" s="24" t="str">
        <x:v>EEZ</x:v>
      </x:c>
      <x:c r="D37" s="30" t="n">
        <x:v>2019</x:v>
      </x:c>
      <x:c r="E37" s="24" t="str">
        <x:v>Lutjanus kasmira</x:v>
      </x:c>
      <x:c r="F37" s="24" t="str">
        <x:v>Common bluestripe snapper</x:v>
      </x:c>
      <x:c r="G37" s="24" t="str">
        <x:v>Medium reef assoc. fish (30 - 89 cm)</x:v>
      </x:c>
      <x:c r="H37" s="24" t="str">
        <x:v>Perch-likes</x:v>
      </x:c>
      <x:c r="I37" s="31" t="n">
        <x:v>117.98501673</x:v>
      </x:c>
      <x:c r="J37" s="31" t="n">
        <x:v>117.98501673</x:v>
      </x:c>
      <x:c r="K37" s="31" t="n">
        <x:v>0</x:v>
      </x:c>
      <x:c r="L37" s="31" t="n">
        <x:v>0</x:v>
      </x:c>
      <x:c r="M37" s="31" t="n">
        <x:v>117.98501673</x:v>
      </x:c>
      <x:c r="N37" s="24" t="str">
        <x:v>lutjanus kasmira</x:v>
      </x:c>
      <x:c r="O37" s="32" t="n">
        <x:v>3.87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Lutjanus kasmira</x:v>
      </x:c>
      <x:c r="T37" s="32" t="n">
        <x:f>IF(O37="","",(1/'Metadata'!$B$5)^(O37-1))</x:f>
        <x:v>741.3102413009177</x:v>
      </x:c>
      <x:c r="U37" s="31" t="n">
        <x:f>IF(T37="","",I37*T37)</x:f>
        <x:v>87463.50122200912</x:v>
      </x:c>
    </x:row>
    <x:row r="38" ht="18" customHeight="1">
      <x:c r="A38" s="24" t="str">
        <x:v>EEZ_934</x:v>
      </x:c>
      <x:c r="B38" s="24" t="str">
        <x:v>Egypt (Red Sea)</x:v>
      </x:c>
      <x:c r="C38" s="24" t="str">
        <x:v>EEZ</x:v>
      </x:c>
      <x:c r="D38" s="30" t="n">
        <x:v>2019</x:v>
      </x:c>
      <x:c r="E38" s="24" t="str">
        <x:v>Synodontidae</x:v>
      </x:c>
      <x:c r="F38" s="24" t="str">
        <x:v>Lizardfishes, sauries</x:v>
      </x:c>
      <x:c r="G38" s="24" t="str">
        <x:v>Medium demersals (30 - 89 cm)</x:v>
      </x:c>
      <x:c r="H38" s="24" t="str">
        <x:v>Other fishes &amp; inverts</x:v>
      </x:c>
      <x:c r="I38" s="31" t="n">
        <x:v>98.89294711</x:v>
      </x:c>
      <x:c r="J38" s="31" t="n">
        <x:v>98.89294711</x:v>
      </x:c>
      <x:c r="K38" s="31" t="n">
        <x:v>0</x:v>
      </x:c>
      <x:c r="L38" s="31" t="n">
        <x:v>0</x:v>
      </x:c>
      <x:c r="M38" s="31" t="n">
        <x:v>98.89294711</x:v>
      </x:c>
      <x:c r="N38" s="24" t="str">
        <x:v>synodontidae</x:v>
      </x:c>
      <x:c r="O38" s="32" t="n">
        <x:v>4.3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Synodontidae</x:v>
      </x:c>
      <x:c r="T38" s="32" t="n">
        <x:f>IF(O38="","",(1/'Metadata'!$B$5)^(O38-1))</x:f>
        <x:v>1995.2623149688789</x:v>
      </x:c>
      <x:c r="U38" s="31" t="n">
        <x:f>IF(T38="","",I38*T38)</x:f>
        <x:v>197317.37058479348</x:v>
      </x:c>
    </x:row>
    <x:row r="39" ht="18" customHeight="1">
      <x:c r="A39" s="24" t="str">
        <x:v>EEZ_934</x:v>
      </x:c>
      <x:c r="B39" s="24" t="str">
        <x:v>Egypt (Red Sea)</x:v>
      </x:c>
      <x:c r="C39" s="24" t="str">
        <x:v>EEZ</x:v>
      </x:c>
      <x:c r="D39" s="30" t="n">
        <x:v>2019</x:v>
      </x:c>
      <x:c r="E39" s="24" t="str">
        <x:v>Caranx lugubris</x:v>
      </x:c>
      <x:c r="F39" s="24" t="str">
        <x:v>Black jack</x:v>
      </x:c>
      <x:c r="G39" s="24" t="str">
        <x:v>Large benthopelagics (&gt;=90 cm)</x:v>
      </x:c>
      <x:c r="H39" s="24" t="str">
        <x:v>Perch-likes</x:v>
      </x:c>
      <x:c r="I39" s="31" t="n">
        <x:v>94.61499204</x:v>
      </x:c>
      <x:c r="J39" s="31" t="n">
        <x:v>94.61499204</x:v>
      </x:c>
      <x:c r="K39" s="31" t="n">
        <x:v>0</x:v>
      </x:c>
      <x:c r="L39" s="31" t="n">
        <x:v>0</x:v>
      </x:c>
      <x:c r="M39" s="31" t="n">
        <x:v>94.61499204</x:v>
      </x:c>
      <x:c r="N39" s="24" t="str">
        <x:v>caranx lugubris</x:v>
      </x:c>
      <x:c r="O39" s="32" t="n">
        <x:v>4.5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Caranx lugubris</x:v>
      </x:c>
      <x:c r="T39" s="32" t="n">
        <x:f>IF(O39="","",(1/'Metadata'!$B$5)^(O39-1))</x:f>
        <x:v>3162.2776601683795</x:v>
      </x:c>
      <x:c r="U39" s="31" t="n">
        <x:f>IF(T39="","",I39*T39)</x:f>
        <x:v>299198.87564510107</x:v>
      </x:c>
    </x:row>
    <x:row r="40" ht="18" customHeight="1">
      <x:c r="A40" s="24" t="str">
        <x:v>EEZ_934</x:v>
      </x:c>
      <x:c r="B40" s="24" t="str">
        <x:v>Egypt (Red Sea)</x:v>
      </x:c>
      <x:c r="C40" s="24" t="str">
        <x:v>EEZ</x:v>
      </x:c>
      <x:c r="D40" s="30" t="n">
        <x:v>2019</x:v>
      </x:c>
      <x:c r="E40" s="24" t="str">
        <x:v>Platycephalidae</x:v>
      </x:c>
      <x:c r="F40" s="24" t="str">
        <x:v>Flatheads</x:v>
      </x:c>
      <x:c r="G40" s="24" t="str">
        <x:v>Medium demersals (30 - 89 cm)</x:v>
      </x:c>
      <x:c r="H40" s="24" t="str">
        <x:v>Scorpionfishes</x:v>
      </x:c>
      <x:c r="I40" s="31" t="n">
        <x:v>94</x:v>
      </x:c>
      <x:c r="J40" s="31" t="n">
        <x:v>94</x:v>
      </x:c>
      <x:c r="K40" s="31" t="n">
        <x:v>0</x:v>
      </x:c>
      <x:c r="L40" s="31" t="n">
        <x:v>94</x:v>
      </x:c>
      <x:c r="M40" s="31" t="n">
        <x:v>0</x:v>
      </x:c>
      <x:c r="N40" s="24" t="str">
        <x:v>platycephalidae</x:v>
      </x:c>
      <x:c r="O40" s="32" t="n">
        <x:v>3.9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Platycephalidae</x:v>
      </x:c>
      <x:c r="T40" s="32" t="n">
        <x:f>IF(O40="","",(1/'Metadata'!$B$5)^(O40-1))</x:f>
        <x:v>794.3282347242813</x:v>
      </x:c>
      <x:c r="U40" s="31" t="n">
        <x:f>IF(T40="","",I40*T40)</x:f>
        <x:v>74666.85406408244</x:v>
      </x:c>
    </x:row>
    <x:row r="41" ht="18" customHeight="1">
      <x:c r="A41" s="24" t="str">
        <x:v>EEZ_934</x:v>
      </x:c>
      <x:c r="B41" s="24" t="str">
        <x:v>Egypt (Red Sea)</x:v>
      </x:c>
      <x:c r="C41" s="24" t="str">
        <x:v>EEZ</x:v>
      </x:c>
      <x:c r="D41" s="30" t="n">
        <x:v>2019</x:v>
      </x:c>
      <x:c r="E41" s="24" t="str">
        <x:v>Holocentridae</x:v>
      </x:c>
      <x:c r="F41" s="24" t="str">
        <x:v>Squirrel-, soldierfishes</x:v>
      </x:c>
      <x:c r="G41" s="24" t="str">
        <x:v>Small reef assoc. fish (&lt;30 cm)</x:v>
      </x:c>
      <x:c r="H41" s="24" t="str">
        <x:v>Other fishes &amp; inverts</x:v>
      </x:c>
      <x:c r="I41" s="31" t="n">
        <x:v>85</x:v>
      </x:c>
      <x:c r="J41" s="31" t="n">
        <x:v>85</x:v>
      </x:c>
      <x:c r="K41" s="31" t="n">
        <x:v>0</x:v>
      </x:c>
      <x:c r="L41" s="31" t="n">
        <x:v>85</x:v>
      </x:c>
      <x:c r="M41" s="31" t="n">
        <x:v>0</x:v>
      </x:c>
      <x:c r="N41" s="24" t="str">
        <x:v>holocentridae</x:v>
      </x:c>
      <x:c r="O41" s="32" t="n">
        <x:v>3.49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Holocentridae</x:v>
      </x:c>
      <x:c r="T41" s="32" t="n">
        <x:f>IF(O41="","",(1/'Metadata'!$B$5)^(O41-1))</x:f>
        <x:v>309.0295432513592</x:v>
      </x:c>
      <x:c r="U41" s="31" t="n">
        <x:f>IF(T41="","",I41*T41)</x:f>
        <x:v>26267.511176365533</x:v>
      </x:c>
    </x:row>
    <x:row r="42" ht="18" customHeight="1">
      <x:c r="A42" s="24" t="str">
        <x:v>EEZ_934</x:v>
      </x:c>
      <x:c r="B42" s="24" t="str">
        <x:v>Egypt (Red Sea)</x:v>
      </x:c>
      <x:c r="C42" s="24" t="str">
        <x:v>EEZ</x:v>
      </x:c>
      <x:c r="D42" s="30" t="n">
        <x:v>2019</x:v>
      </x:c>
      <x:c r="E42" s="24" t="str">
        <x:v>Epinephelus areolatus</x:v>
      </x:c>
      <x:c r="F42" s="24" t="str">
        <x:v>Areolate grouper</x:v>
      </x:c>
      <x:c r="G42" s="24" t="str">
        <x:v>Medium reef assoc. fish (30 - 89 cm)</x:v>
      </x:c>
      <x:c r="H42" s="24" t="str">
        <x:v>Perch-likes</x:v>
      </x:c>
      <x:c r="I42" s="31" t="n">
        <x:v>79</x:v>
      </x:c>
      <x:c r="J42" s="31" t="n">
        <x:v>79</x:v>
      </x:c>
      <x:c r="K42" s="31" t="n">
        <x:v>0</x:v>
      </x:c>
      <x:c r="L42" s="31" t="n">
        <x:v>79</x:v>
      </x:c>
      <x:c r="M42" s="31" t="n">
        <x:v>0</x:v>
      </x:c>
      <x:c r="N42" s="24" t="str">
        <x:v>epinephelus areolatus</x:v>
      </x:c>
      <x:c r="O42" s="32" t="n">
        <x:v>3.74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Epinephelus areolatus</x:v>
      </x:c>
      <x:c r="T42" s="32" t="n">
        <x:f>IF(O42="","",(1/'Metadata'!$B$5)^(O42-1))</x:f>
        <x:v>549.5408738576248</x:v>
      </x:c>
      <x:c r="U42" s="31" t="n">
        <x:f>IF(T42="","",I42*T42)</x:f>
        <x:v>43413.72903475236</x:v>
      </x:c>
    </x:row>
    <x:row r="43" ht="18" customHeight="1">
      <x:c r="A43" s="24" t="str">
        <x:v>EEZ_934</x:v>
      </x:c>
      <x:c r="B43" s="24" t="str">
        <x:v>Egypt (Red Sea)</x:v>
      </x:c>
      <x:c r="C43" s="24" t="str">
        <x:v>EEZ</x:v>
      </x:c>
      <x:c r="D43" s="30" t="n">
        <x:v>2019</x:v>
      </x:c>
      <x:c r="E43" s="24" t="str">
        <x:v>Plectorhinchus schotaf</x:v>
      </x:c>
      <x:c r="F43" s="24" t="str">
        <x:v>Minstrel sweetlips</x:v>
      </x:c>
      <x:c r="G43" s="24" t="str">
        <x:v>Medium reef assoc. fish (30 - 89 cm)</x:v>
      </x:c>
      <x:c r="H43" s="24" t="str">
        <x:v>Perch-likes</x:v>
      </x:c>
      <x:c r="I43" s="31" t="n">
        <x:v>59.999999997</x:v>
      </x:c>
      <x:c r="J43" s="31" t="n">
        <x:v>59.999999997</x:v>
      </x:c>
      <x:c r="K43" s="31" t="n">
        <x:v>0</x:v>
      </x:c>
      <x:c r="L43" s="31" t="n">
        <x:v>59.999999997</x:v>
      </x:c>
      <x:c r="M43" s="31" t="n">
        <x:v>0</x:v>
      </x:c>
      <x:c r="N43" s="24" t="str">
        <x:v>plectorhinchus schotaf</x:v>
      </x:c>
      <x:c r="O43" s="32" t="n">
        <x:v>3.82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Plectorhinchus schotaf</x:v>
      </x:c>
      <x:c r="T43" s="32" t="n">
        <x:f>IF(O43="","",(1/'Metadata'!$B$5)^(O43-1))</x:f>
        <x:v>660.6934480075957</x:v>
      </x:c>
      <x:c r="U43" s="31" t="n">
        <x:f>IF(T43="","",I43*T43)</x:f>
        <x:v>39641.60687847366</x:v>
      </x:c>
    </x:row>
    <x:row r="44" ht="18" customHeight="1">
      <x:c r="A44" s="24" t="str">
        <x:v>EEZ_934</x:v>
      </x:c>
      <x:c r="B44" s="24" t="str">
        <x:v>Egypt (Red Sea)</x:v>
      </x:c>
      <x:c r="C44" s="24" t="str">
        <x:v>EEZ</x:v>
      </x:c>
      <x:c r="D44" s="30" t="n">
        <x:v>2019</x:v>
      </x:c>
      <x:c r="E44" s="24" t="str">
        <x:v>Gerres oyena</x:v>
      </x:c>
      <x:c r="F44" s="24" t="str">
        <x:v>Common silver-biddy</x:v>
      </x:c>
      <x:c r="G44" s="24" t="str">
        <x:v>Small demersals (&lt;30 cm)</x:v>
      </x:c>
      <x:c r="H44" s="24" t="str">
        <x:v>Perch-likes</x:v>
      </x:c>
      <x:c r="I44" s="31" t="n">
        <x:v>53.000000004</x:v>
      </x:c>
      <x:c r="J44" s="31" t="n">
        <x:v>53.000000004</x:v>
      </x:c>
      <x:c r="K44" s="31" t="n">
        <x:v>0</x:v>
      </x:c>
      <x:c r="L44" s="31" t="n">
        <x:v>53.000000004</x:v>
      </x:c>
      <x:c r="M44" s="31" t="n">
        <x:v>0</x:v>
      </x:c>
      <x:c r="N44" s="24" t="str">
        <x:v>gerres oyena</x:v>
      </x:c>
      <x:c r="O44" s="32" t="n">
        <x:v>3.07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Gerres oyena</x:v>
      </x:c>
      <x:c r="T44" s="32" t="n">
        <x:f>IF(O44="","",(1/'Metadata'!$B$5)^(O44-1))</x:f>
        <x:v>117.48975549395291</x:v>
      </x:c>
      <x:c r="U44" s="31" t="n">
        <x:f>IF(T44="","",I44*T44)</x:f>
        <x:v>6226.9570416494635</x:v>
      </x:c>
    </x:row>
    <x:row r="45" ht="18" customHeight="1">
      <x:c r="A45" s="24" t="str">
        <x:v>EEZ_934</x:v>
      </x:c>
      <x:c r="B45" s="24" t="str">
        <x:v>Egypt (Red Sea)</x:v>
      </x:c>
      <x:c r="C45" s="24" t="str">
        <x:v>EEZ</x:v>
      </x:c>
      <x:c r="D45" s="30" t="n">
        <x:v>2019</x:v>
      </x:c>
      <x:c r="E45" s="24" t="str">
        <x:v>Engraulidae</x:v>
      </x:c>
      <x:c r="F45" s="24" t="str">
        <x:v>Anchovies, round herrings</x:v>
      </x:c>
      <x:c r="G45" s="24" t="str">
        <x:v>Small pelagics (&lt;30 cm)</x:v>
      </x:c>
      <x:c r="H45" s="24" t="str">
        <x:v>Anchovies</x:v>
      </x:c>
      <x:c r="I45" s="31" t="n">
        <x:v>46.76138556</x:v>
      </x:c>
      <x:c r="J45" s="31" t="n">
        <x:v>46.76138556</x:v>
      </x:c>
      <x:c r="K45" s="31" t="n">
        <x:v>0</x:v>
      </x:c>
      <x:c r="L45" s="31" t="n">
        <x:v>0</x:v>
      </x:c>
      <x:c r="M45" s="31" t="n">
        <x:v>46.76138556</x:v>
      </x:c>
      <x:c r="N45" s="24" t="str">
        <x:v>engraulidae</x:v>
      </x:c>
      <x:c r="O45" s="32" t="n">
        <x:v>3.2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Engraulidae</x:v>
      </x:c>
      <x:c r="T45" s="32" t="n">
        <x:f>IF(O45="","",(1/'Metadata'!$B$5)^(O45-1))</x:f>
        <x:v>158.48931924611142</x:v>
      </x:c>
      <x:c r="U45" s="31" t="n">
        <x:f>IF(T45="","",I45*T45)</x:f>
        <x:v>7411.180164409345</x:v>
      </x:c>
    </x:row>
    <x:row r="46" ht="18" customHeight="1">
      <x:c r="A46" s="24" t="str">
        <x:v>EEZ_934</x:v>
      </x:c>
      <x:c r="B46" s="24" t="str">
        <x:v>Egypt (Red Sea)</x:v>
      </x:c>
      <x:c r="C46" s="24" t="str">
        <x:v>EEZ</x:v>
      </x:c>
      <x:c r="D46" s="30" t="n">
        <x:v>2019</x:v>
      </x:c>
      <x:c r="E46" s="24" t="str">
        <x:v>Clupeidae</x:v>
      </x:c>
      <x:c r="F46" s="24" t="str">
        <x:v>Herrings, sardines, menhadens</x:v>
      </x:c>
      <x:c r="G46" s="24" t="str">
        <x:v>Small pelagics (&lt;30 cm)</x:v>
      </x:c>
      <x:c r="H46" s="24" t="str">
        <x:v>Herring-likes</x:v>
      </x:c>
      <x:c r="I46" s="31" t="n">
        <x:v>46.76138556</x:v>
      </x:c>
      <x:c r="J46" s="31" t="n">
        <x:v>46.76138556</x:v>
      </x:c>
      <x:c r="K46" s="31" t="n">
        <x:v>0</x:v>
      </x:c>
      <x:c r="L46" s="31" t="n">
        <x:v>0</x:v>
      </x:c>
      <x:c r="M46" s="31" t="n">
        <x:v>46.76138556</x:v>
      </x:c>
      <x:c r="N46" s="24" t="str">
        <x:v>clupeidae</x:v>
      </x:c>
      <x:c r="O46" s="32" t="n">
        <x:v>3.16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Clupeidae</x:v>
      </x:c>
      <x:c r="T46" s="32" t="n">
        <x:f>IF(O46="","",(1/'Metadata'!$B$5)^(O46-1))</x:f>
        <x:v>144.5439770745928</x:v>
      </x:c>
      <x:c r="U46" s="31" t="n">
        <x:f>IF(T46="","",I46*T46)</x:f>
        <x:v>6759.076642360835</x:v>
      </x:c>
    </x:row>
    <x:row r="47" ht="18" customHeight="1">
      <x:c r="A47" s="24" t="str">
        <x:v>EEZ_934</x:v>
      </x:c>
      <x:c r="B47" s="24" t="str">
        <x:v>Egypt (Red Sea)</x:v>
      </x:c>
      <x:c r="C47" s="24" t="str">
        <x:v>EEZ</x:v>
      </x:c>
      <x:c r="D47" s="30" t="n">
        <x:v>2019</x:v>
      </x:c>
      <x:c r="E47" s="24" t="str">
        <x:v>Octopodidae</x:v>
      </x:c>
      <x:c r="F47" s="24" t="str">
        <x:v>Octopuses</x:v>
      </x:c>
      <x:c r="G47" s="24" t="str">
        <x:v>Cephalopods</x:v>
      </x:c>
      <x:c r="H47" s="24" t="str">
        <x:v>Other fishes &amp; inverts</x:v>
      </x:c>
      <x:c r="I47" s="31" t="n">
        <x:v>45.000000008</x:v>
      </x:c>
      <x:c r="J47" s="31" t="n">
        <x:v>45.000000008</x:v>
      </x:c>
      <x:c r="K47" s="31" t="n">
        <x:v>0</x:v>
      </x:c>
      <x:c r="L47" s="31" t="n">
        <x:v>45.000000008</x:v>
      </x:c>
      <x:c r="M47" s="31" t="n">
        <x:v>0</x:v>
      </x:c>
      <x:c r="N47" s="24" t="str">
        <x:v>octopodidae</x:v>
      </x:c>
      <x:c r="O47" s="32" t="n">
        <x:v>3.59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Octopodidae</x:v>
      </x:c>
      <x:c r="T47" s="32" t="n">
        <x:f>IF(O47="","",(1/'Metadata'!$B$5)^(O47-1))</x:f>
        <x:v>389.04514499428046</x:v>
      </x:c>
      <x:c r="U47" s="31" t="n">
        <x:f>IF(T47="","",I47*T47)</x:f>
        <x:v>17507.031527854982</x:v>
      </x:c>
    </x:row>
    <x:row r="48" ht="18" customHeight="1">
      <x:c r="A48" s="24" t="str">
        <x:v>EEZ_934</x:v>
      </x:c>
      <x:c r="B48" s="24" t="str">
        <x:v>Egypt (Red Sea)</x:v>
      </x:c>
      <x:c r="C48" s="24" t="str">
        <x:v>EEZ</x:v>
      </x:c>
      <x:c r="D48" s="30" t="n">
        <x:v>2019</x:v>
      </x:c>
      <x:c r="E48" s="24" t="str">
        <x:v>Epinephelus tauvina</x:v>
      </x:c>
      <x:c r="F48" s="24" t="str">
        <x:v>Greasy grouper</x:v>
      </x:c>
      <x:c r="G48" s="24" t="str">
        <x:v>Medium reef assoc. fish (30 - 89 cm)</x:v>
      </x:c>
      <x:c r="H48" s="24" t="str">
        <x:v>Perch-likes</x:v>
      </x:c>
      <x:c r="I48" s="31" t="n">
        <x:v>28.999999996</x:v>
      </x:c>
      <x:c r="J48" s="31" t="n">
        <x:v>28.999999996</x:v>
      </x:c>
      <x:c r="K48" s="31" t="n">
        <x:v>0</x:v>
      </x:c>
      <x:c r="L48" s="31" t="n">
        <x:v>28.999999996</x:v>
      </x:c>
      <x:c r="M48" s="31" t="n">
        <x:v>0</x:v>
      </x:c>
      <x:c r="N48" s="24" t="str">
        <x:v>epinephelus tauvina</x:v>
      </x:c>
      <x:c r="O48" s="32" t="n">
        <x:v>4.13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Epinephelus tauvina</x:v>
      </x:c>
      <x:c r="T48" s="32" t="n">
        <x:f>IF(O48="","",(1/'Metadata'!$B$5)^(O48-1))</x:f>
        <x:v>1348.9628825916532</x:v>
      </x:c>
      <x:c r="U48" s="31" t="n">
        <x:f>IF(T48="","",I48*T48)</x:f>
        <x:v>39119.92358976209</x:v>
      </x:c>
    </x:row>
    <x:row r="49" ht="18" customHeight="1">
      <x:c r="A49" s="24" t="str">
        <x:v>EEZ_934</x:v>
      </x:c>
      <x:c r="B49" s="24" t="str">
        <x:v>Egypt (Red Sea)</x:v>
      </x:c>
      <x:c r="C49" s="24" t="str">
        <x:v>EEZ</x:v>
      </x:c>
      <x:c r="D49" s="30" t="n">
        <x:v>2019</x:v>
      </x:c>
      <x:c r="E49" s="24" t="str">
        <x:v>Elasmobranchii</x:v>
      </x:c>
      <x:c r="F49" s="24" t="str">
        <x:v>Sharks, rays, skates</x:v>
      </x:c>
      <x:c r="G49" s="24" t="str">
        <x:v>Large sharks (&gt;=90 cm)</x:v>
      </x:c>
      <x:c r="H49" s="24" t="str">
        <x:v>Sharks &amp; rays</x:v>
      </x:c>
      <x:c r="I49" s="31" t="n">
        <x:v>23.65374801</x:v>
      </x:c>
      <x:c r="J49" s="31" t="n">
        <x:v>23.65374801</x:v>
      </x:c>
      <x:c r="K49" s="31" t="n">
        <x:v>0</x:v>
      </x:c>
      <x:c r="L49" s="31" t="n">
        <x:v>0</x:v>
      </x:c>
      <x:c r="M49" s="31" t="n">
        <x:v>23.65374801</x:v>
      </x:c>
      <x:c r="N49" s="24" t="str">
        <x:v>elasmobranchii</x:v>
      </x:c>
      <x:c r="O49" s="32" t="n">
        <x:v>4.05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Elasmobranchii</x:v>
      </x:c>
      <x:c r="T49" s="32" t="n">
        <x:f>IF(O49="","",(1/'Metadata'!$B$5)^(O49-1))</x:f>
        <x:v>1122.018454301963</x:v>
      </x:c>
      <x:c r="U49" s="31" t="n">
        <x:f>IF(T49="","",I49*T49)</x:f>
        <x:v>26539.941780628335</x:v>
      </x:c>
    </x:row>
    <x:row r="50" ht="18" customHeight="1">
      <x:c r="A50" s="24" t="str">
        <x:v>EEZ_934</x:v>
      </x:c>
      <x:c r="B50" s="24" t="str">
        <x:v>Egypt (Red Sea)</x:v>
      </x:c>
      <x:c r="C50" s="24" t="str">
        <x:v>EEZ</x:v>
      </x:c>
      <x:c r="D50" s="30" t="n">
        <x:v>2019</x:v>
      </x:c>
      <x:c r="E50" s="24" t="str">
        <x:v>Decapterus macarellus</x:v>
      </x:c>
      <x:c r="F50" s="24" t="str">
        <x:v>Mackerel scad</x:v>
      </x:c>
      <x:c r="G50" s="24" t="str">
        <x:v>Medium pelagics (30 - 89 cm)</x:v>
      </x:c>
      <x:c r="H50" s="24" t="str">
        <x:v>Perch-likes</x:v>
      </x:c>
      <x:c r="I50" s="31" t="n">
        <x:v>18.31350872</x:v>
      </x:c>
      <x:c r="J50" s="31" t="n">
        <x:v>18.31350872</x:v>
      </x:c>
      <x:c r="K50" s="31" t="n">
        <x:v>0</x:v>
      </x:c>
      <x:c r="L50" s="31" t="n">
        <x:v>0</x:v>
      </x:c>
      <x:c r="M50" s="31" t="n">
        <x:v>18.31350872</x:v>
      </x:c>
      <x:c r="N50" s="24" t="str">
        <x:v>decapterus macarellus</x:v>
      </x:c>
      <x:c r="O50" s="32" t="n">
        <x:v>3.96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Decapterus macarellus</x:v>
      </x:c>
      <x:c r="T50" s="32" t="n">
        <x:f>IF(O50="","",(1/'Metadata'!$B$5)^(O50-1))</x:f>
        <x:v>912.0108393559096</x:v>
      </x:c>
      <x:c r="U50" s="31" t="n">
        <x:f>IF(T50="","",I50*T50)</x:f>
        <x:v>16702.118459278972</x:v>
      </x:c>
    </x:row>
    <x:row r="51" ht="18" customHeight="1">
      <x:c r="A51" s="24" t="str">
        <x:v>EEZ_934</x:v>
      </x:c>
      <x:c r="B51" s="24" t="str">
        <x:v>Egypt (Red Sea)</x:v>
      </x:c>
      <x:c r="C51" s="24" t="str">
        <x:v>EEZ</x:v>
      </x:c>
      <x:c r="D51" s="30" t="n">
        <x:v>2019</x:v>
      </x:c>
      <x:c r="E51" s="24" t="str">
        <x:v>Balistidae</x:v>
      </x:c>
      <x:c r="F51" s="24" t="str">
        <x:v>Triggerfishes</x:v>
      </x:c>
      <x:c r="G51" s="24" t="str">
        <x:v>Medium reef assoc. fish (30 - 89 cm)</x:v>
      </x:c>
      <x:c r="H51" s="24" t="str">
        <x:v>Other fishes &amp; inverts</x:v>
      </x:c>
      <x:c r="I51" s="31" t="n">
        <x:v>13</x:v>
      </x:c>
      <x:c r="J51" s="31" t="n">
        <x:v>13</x:v>
      </x:c>
      <x:c r="K51" s="31" t="n">
        <x:v>0</x:v>
      </x:c>
      <x:c r="L51" s="31" t="n">
        <x:v>13</x:v>
      </x:c>
      <x:c r="M51" s="31" t="n">
        <x:v>0</x:v>
      </x:c>
      <x:c r="N51" s="24" t="str">
        <x:v>balistidae</x:v>
      </x:c>
      <x:c r="O51" s="32" t="n">
        <x:v>3.25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Balistidae</x:v>
      </x:c>
      <x:c r="T51" s="32" t="n">
        <x:f>IF(O51="","",(1/'Metadata'!$B$5)^(O51-1))</x:f>
        <x:v>177.82794100389228</x:v>
      </x:c>
      <x:c r="U51" s="31" t="n">
        <x:f>IF(T51="","",I51*T51)</x:f>
        <x:v>2311.7632330505994</x:v>
      </x:c>
    </x:row>
    <x:row r="52" ht="18" customHeight="1">
      <x:c r="A52" s="24" t="str">
        <x:v>EEZ_934</x:v>
      </x:c>
      <x:c r="B52" s="24" t="str">
        <x:v>Egypt (Red Sea)</x:v>
      </x:c>
      <x:c r="C52" s="24" t="str">
        <x:v>EEZ</x:v>
      </x:c>
      <x:c r="D52" s="30" t="n">
        <x:v>2019</x:v>
      </x:c>
      <x:c r="E52" s="24" t="str">
        <x:v>Sphyraenidae</x:v>
      </x:c>
      <x:c r="F52" s="24" t="str">
        <x:v>Barracudas</x:v>
      </x:c>
      <x:c r="G52" s="24" t="str">
        <x:v>Medium reef assoc. fish (30 - 89 cm)</x:v>
      </x:c>
      <x:c r="H52" s="24" t="str">
        <x:v>Perch-likes</x:v>
      </x:c>
      <x:c r="I52" s="31" t="n">
        <x:v>10.62758763</x:v>
      </x:c>
      <x:c r="J52" s="31" t="n">
        <x:v>10.62758763</x:v>
      </x:c>
      <x:c r="K52" s="31" t="n">
        <x:v>0</x:v>
      </x:c>
      <x:c r="L52" s="31" t="n">
        <x:v>0</x:v>
      </x:c>
      <x:c r="M52" s="31" t="n">
        <x:v>10.62758763</x:v>
      </x:c>
      <x:c r="N52" s="24" t="str">
        <x:v>sphyraenidae</x:v>
      </x:c>
      <x:c r="O52" s="32" t="n">
        <x:v>4.4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Sphyraenidae</x:v>
      </x:c>
      <x:c r="T52" s="32" t="n">
        <x:f>IF(O52="","",(1/'Metadata'!$B$5)^(O52-1))</x:f>
        <x:v>2511.886431509582</x:v>
      </x:c>
      <x:c r="U52" s="31" t="n">
        <x:f>IF(T52="","",I52*T52)</x:f>
        <x:v>26695.293167476077</x:v>
      </x:c>
    </x:row>
    <x:row r="53" ht="18" customHeight="1">
      <x:c r="A53" s="24" t="str">
        <x:v>EEZ_934</x:v>
      </x:c>
      <x:c r="B53" s="24" t="str">
        <x:v>Egypt (Red Sea)</x:v>
      </x:c>
      <x:c r="C53" s="24" t="str">
        <x:v>EEZ</x:v>
      </x:c>
      <x:c r="D53" s="30" t="n">
        <x:v>2019</x:v>
      </x:c>
      <x:c r="E53" s="24" t="str">
        <x:v>Thunnus albacares</x:v>
      </x:c>
      <x:c r="F53" s="24" t="str">
        <x:v>Yellowfin tuna</x:v>
      </x:c>
      <x:c r="G53" s="24" t="str">
        <x:v>Large pelagics (&gt;=90 cm)</x:v>
      </x:c>
      <x:c r="H53" s="24" t="str">
        <x:v>Tuna &amp; billfishes</x:v>
      </x:c>
      <x:c r="I53" s="31" t="n">
        <x:v>7.444430705</x:v>
      </x:c>
      <x:c r="J53" s="31" t="n">
        <x:v>7.444430705</x:v>
      </x:c>
      <x:c r="K53" s="31" t="n">
        <x:v>0</x:v>
      </x:c>
      <x:c r="L53" s="31" t="n">
        <x:v>7.444430705</x:v>
      </x:c>
      <x:c r="M53" s="31" t="n">
        <x:v>0</x:v>
      </x:c>
      <x:c r="N53" s="24" t="str">
        <x:v>thunnus albacares</x:v>
      </x:c>
      <x:c r="O53" s="32" t="n">
        <x:v>4.41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albacares</x:v>
      </x:c>
      <x:c r="T53" s="32" t="n">
        <x:f>IF(O53="","",(1/'Metadata'!$B$5)^(O53-1))</x:f>
        <x:v>2570.3957827688646</x:v>
      </x:c>
      <x:c r="U53" s="31" t="n">
        <x:f>IF(T53="","",I53*T53)</x:f>
        <x:v>19135.133289247045</x:v>
      </x:c>
    </x:row>
    <x:row r="54" ht="18" customHeight="1">
      <x:c r="A54" s="24" t="str">
        <x:v>EEZ_934</x:v>
      </x:c>
      <x:c r="B54" s="24" t="str">
        <x:v>Egypt (Red Sea)</x:v>
      </x:c>
      <x:c r="C54" s="24" t="str">
        <x:v>EEZ</x:v>
      </x:c>
      <x:c r="D54" s="30" t="n">
        <x:v>2019</x:v>
      </x:c>
      <x:c r="E54" s="24" t="str">
        <x:v>Ariidae</x:v>
      </x:c>
      <x:c r="F54" s="24" t="str">
        <x:v>Sea catfishes, coblers</x:v>
      </x:c>
      <x:c r="G54" s="24" t="str">
        <x:v>Medium demersals (30 - 89 cm)</x:v>
      </x:c>
      <x:c r="H54" s="24" t="str">
        <x:v>Other fishes &amp; inverts</x:v>
      </x:c>
      <x:c r="I54" s="31" t="n">
        <x:v>5</x:v>
      </x:c>
      <x:c r="J54" s="31" t="n">
        <x:v>5</x:v>
      </x:c>
      <x:c r="K54" s="31" t="n">
        <x:v>0</x:v>
      </x:c>
      <x:c r="L54" s="31" t="n">
        <x:v>5</x:v>
      </x:c>
      <x:c r="M54" s="31" t="n">
        <x:v>0</x:v>
      </x:c>
      <x:c r="N54" s="24" t="str">
        <x:v>ariidae</x:v>
      </x:c>
      <x:c r="O54" s="32" t="n">
        <x:v>3.48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Ariidae</x:v>
      </x:c>
      <x:c r="T54" s="32" t="n">
        <x:f>IF(O54="","",(1/'Metadata'!$B$5)^(O54-1))</x:f>
        <x:v>301.9951720402016</x:v>
      </x:c>
      <x:c r="U54" s="31" t="n">
        <x:f>IF(T54="","",I54*T54)</x:f>
        <x:v>1509.9758602010081</x:v>
      </x:c>
    </x:row>
    <x:row r="55" ht="18" customHeight="1">
      <x:c r="A55" s="24" t="str">
        <x:v>EEZ_934</x:v>
      </x:c>
      <x:c r="B55" s="24" t="str">
        <x:v>Egypt (Red Sea)</x:v>
      </x:c>
      <x:c r="C55" s="24" t="str">
        <x:v>EEZ</x:v>
      </x:c>
      <x:c r="D55" s="30" t="n">
        <x:v>2019</x:v>
      </x:c>
      <x:c r="E55" s="24" t="str">
        <x:v>Sciaenidae</x:v>
      </x:c>
      <x:c r="F55" s="24" t="str">
        <x:v>Drums, croakers</x:v>
      </x:c>
      <x:c r="G55" s="24" t="str">
        <x:v>Medium demersals (30 - 89 cm)</x:v>
      </x:c>
      <x:c r="H55" s="24" t="str">
        <x:v>Perch-likes</x:v>
      </x:c>
      <x:c r="I55" s="31" t="n">
        <x:v>3.188276289</x:v>
      </x:c>
      <x:c r="J55" s="31" t="n">
        <x:v>3.188276289</x:v>
      </x:c>
      <x:c r="K55" s="31" t="n">
        <x:v>0</x:v>
      </x:c>
      <x:c r="L55" s="31" t="n">
        <x:v>0</x:v>
      </x:c>
      <x:c r="M55" s="31" t="n">
        <x:v>3.188276289</x:v>
      </x:c>
      <x:c r="N55" s="24" t="str">
        <x:v>sciaenidae</x:v>
      </x:c>
      <x:c r="O55" s="32" t="n">
        <x:v>3.76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Sciaenidae</x:v>
      </x:c>
      <x:c r="T55" s="32" t="n">
        <x:f>IF(O55="","",(1/'Metadata'!$B$5)^(O55-1))</x:f>
        <x:v>575.4399373371566</x:v>
      </x:c>
      <x:c r="U55" s="31" t="n">
        <x:f>IF(T55="","",I55*T55)</x:f>
        <x:v>1834.6615079557023</x:v>
      </x:c>
    </x:row>
    <x:row r="56" ht="18" customHeight="1">
      <x:c r="A56" s="24" t="str">
        <x:v>EEZ_934</x:v>
      </x:c>
      <x:c r="B56" s="24" t="str">
        <x:v>Egypt (Red Sea)</x:v>
      </x:c>
      <x:c r="C56" s="24" t="str">
        <x:v>EEZ</x:v>
      </x:c>
      <x:c r="D56" s="30" t="n">
        <x:v>2019</x:v>
      </x:c>
      <x:c r="E56" s="24" t="str">
        <x:v>Chondrichthyes</x:v>
      </x:c>
      <x:c r="F56" s="24" t="str">
        <x:v>Sharks, rays, chimaeras</x:v>
      </x:c>
      <x:c r="G56" s="24" t="str">
        <x:v>Large sharks (&gt;=90 cm)</x:v>
      </x:c>
      <x:c r="H56" s="24" t="str">
        <x:v>Sharks &amp; rays</x:v>
      </x:c>
      <x:c r="I56" s="31" t="n">
        <x:v>3</x:v>
      </x:c>
      <x:c r="J56" s="31" t="n">
        <x:v>3</x:v>
      </x:c>
      <x:c r="K56" s="31" t="n">
        <x:v>0</x:v>
      </x:c>
      <x:c r="L56" s="31" t="n">
        <x:v>3</x:v>
      </x:c>
      <x:c r="M56" s="31" t="n">
        <x:v>0</x:v>
      </x:c>
      <x:c r="N56" s="24" t="str">
        <x:v>chondrichthyes</x:v>
      </x:c>
      <x:c r="O56" s="32" t="n">
        <x:v>4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Chondrichthyes</x:v>
      </x:c>
      <x:c r="T56" s="32" t="n">
        <x:f>IF(O56="","",(1/'Metadata'!$B$5)^(O56-1))</x:f>
        <x:v>1000</x:v>
      </x:c>
      <x:c r="U56" s="31" t="n">
        <x:f>IF(T56="","",I56*T56)</x:f>
        <x:v>3000</x:v>
      </x:c>
    </x:row>
    <x:row r="57" ht="18" customHeight="1">
      <x:c r="A57" s="24" t="str">
        <x:v>EEZ_934</x:v>
      </x:c>
      <x:c r="B57" s="24" t="str">
        <x:v>Egypt (Red Sea)</x:v>
      </x:c>
      <x:c r="C57" s="24" t="str">
        <x:v>EEZ</x:v>
      </x:c>
      <x:c r="D57" s="30" t="n">
        <x:v>2019</x:v>
      </x:c>
      <x:c r="E57" s="24" t="str">
        <x:v>Panulirus</x:v>
      </x:c>
      <x:c r="F57" s="24" t="str">
        <x:v>Spiny lobsters</x:v>
      </x:c>
      <x:c r="G57" s="24" t="str">
        <x:v>Lobsters, crabs</x:v>
      </x:c>
      <x:c r="H57" s="24" t="str">
        <x:v>Crustaceans</x:v>
      </x:c>
      <x:c r="I57" s="31" t="n">
        <x:v>3</x:v>
      </x:c>
      <x:c r="J57" s="31" t="n">
        <x:v>3</x:v>
      </x:c>
      <x:c r="K57" s="31" t="n">
        <x:v>0</x:v>
      </x:c>
      <x:c r="L57" s="31" t="n">
        <x:v>3</x:v>
      </x:c>
      <x:c r="M57" s="31" t="n">
        <x:v>0</x:v>
      </x:c>
      <x:c r="N57" s="24" t="str">
        <x:v>panulirus</x:v>
      </x:c>
      <x:c r="O57" s="32" t="n">
        <x:v>2.6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Panulirus</x:v>
      </x:c>
      <x:c r="T57" s="32" t="n">
        <x:f>IF(O57="","",(1/'Metadata'!$B$5)^(O57-1))</x:f>
        <x:v>39.810717055349734</x:v>
      </x:c>
      <x:c r="U57" s="31" t="n">
        <x:f>IF(T57="","",I57*T57)</x:f>
        <x:v>119.43215116604921</x:v>
      </x:c>
    </x:row>
    <x:row r="58" ht="18" customHeight="1">
      <x:c r="A58" s="24" t="str">
        <x:v>EEZ_934</x:v>
      </x:c>
      <x:c r="B58" s="24" t="str">
        <x:v>Egypt (Red Sea)</x:v>
      </x:c>
      <x:c r="C58" s="24" t="str">
        <x:v>EEZ</x:v>
      </x:c>
      <x:c r="D58" s="30" t="n">
        <x:v>2019</x:v>
      </x:c>
      <x:c r="E58" s="24" t="str">
        <x:v>Rapana</x:v>
      </x:c>
      <x:c r="F58" s="24" t="str">
        <x:v>Rapa whelks</x:v>
      </x:c>
      <x:c r="G58" s="24" t="str">
        <x:v>Other demersal invertebrates</x:v>
      </x:c>
      <x:c r="H58" s="24" t="str">
        <x:v>Molluscs</x:v>
      </x:c>
      <x:c r="I58" s="31" t="n">
        <x:v>1</x:v>
      </x:c>
      <x:c r="J58" s="31" t="n">
        <x:v>1</x:v>
      </x:c>
      <x:c r="K58" s="31" t="n">
        <x:v>0</x:v>
      </x:c>
      <x:c r="L58" s="31" t="n">
        <x:v>1</x:v>
      </x:c>
      <x:c r="M58" s="31" t="n">
        <x:v>0</x:v>
      </x:c>
      <x:c r="N58" s="24" t="str">
        <x:v>rapana</x:v>
      </x:c>
      <x:c r="O58" s="32" t="n">
        <x:v>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Rapana</x:v>
      </x:c>
      <x:c r="T58" s="32" t="n">
        <x:f>IF(O58="","",(1/'Metadata'!$B$5)^(O58-1))</x:f>
        <x:v>100</x:v>
      </x:c>
      <x:c r="U58" s="31" t="n">
        <x:f>IF(T58="","",I58*T58)</x:f>
        <x:v>100</x:v>
      </x:c>
    </x:row>
  </x:sheetData>
  <x:conditionalFormatting sqref="R2:R5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42d2e89f1c244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6706.76138556</x:v>
      </x:c>
      <x:c r="E2" s="31" t="n">
        <x:v>6706.76138556</x:v>
      </x:c>
      <x:c r="F2" s="32" t="n">
        <x:v>0</x:v>
      </x:c>
      <x:c r="G2" s="34" t="n">
        <x:v>1</x:v>
      </x:c>
      <x:c r="H2" s="32" t="n">
        <x:f>IF(E2=0,"",I2/E2)</x:f>
        <x:v>177.69310681251017</x:v>
      </x:c>
      <x:c r="I2" s="31" t="n">
        <x:f>IF(C2=0,"",SUMIF('Species'!$H$2:$H$58,A2,'Species'!$U$2:$U$58))</x:f>
        <x:v>1191745.2672503318</x:v>
      </x:c>
      <x:c r="J2" s="32" t="n">
        <x:v>3.2496513862438827</x:v>
      </x:c>
      <x:c r="K2" s="32" t="n">
        <x:f>IF(J2="","",(1/'Metadata'!$B$5)^(J2-1))</x:f>
        <x:v>177.68525350888848</x:v>
      </x:c>
      <x:c r="L2" s="31" t="n">
        <x:f>IF(E2=0,"",E2*K2)</x:f>
        <x:v>1191692.5970168528</x:v>
      </x:c>
      <x:c r="M2" s="31" t="n">
        <x:f>IF(E2=0,"",I2-L2)</x:f>
        <x:v>52.67023347900249</x:v>
      </x:c>
      <x:c r="N2" s="32" t="n">
        <x:f>IF(L2=0,"",I2/L2)</x:f>
        <x:v>1.0000441978355918</x:v>
      </x:c>
      <x:c r="O2" s="34" t="n">
        <x:f>IF(L2=0,"",M2/L2)</x:f>
        <x:v>0.000044197835591872554</x:v>
      </x:c>
    </x:row>
    <x:row r="3" ht="18" customHeight="1">
      <x:c r="A3" s="24" t="str">
        <x:v>Crustaceans</x:v>
      </x:c>
      <x:c r="B3" s="33" t="n">
        <x:v>3</x:v>
      </x:c>
      <x:c r="C3" s="33" t="n">
        <x:v>3</x:v>
      </x:c>
      <x:c r="D3" s="31" t="n">
        <x:v>1157.6048424599999</x:v>
      </x:c>
      <x:c r="E3" s="31" t="n">
        <x:v>1157.6048424599999</x:v>
      </x:c>
      <x:c r="F3" s="32" t="n">
        <x:v>0</x:v>
      </x:c>
      <x:c r="G3" s="34" t="n">
        <x:v>1</x:v>
      </x:c>
      <x:c r="H3" s="32" t="n">
        <x:f>IF(E3=0,"",I3/E3)</x:f>
        <x:v>254.69547139719256</x:v>
      </x:c>
      <x:c r="I3" s="31" t="n">
        <x:f>IF(C3=0,"",SUMIF('Species'!$H$2:$H$58,A3,'Species'!$U$2:$U$58))</x:f>
        <x:v>294836.7110420225</x:v>
      </x:c>
      <x:c r="J3" s="32" t="n">
        <x:v>3.402805045076436</x:v>
      </x:c>
      <x:c r="K3" s="32" t="n">
        <x:f>IF(J3="","",(1/'Metadata'!$B$5)^(J3-1))</x:f>
        <x:v>252.81628486178803</x:v>
      </x:c>
      <x:c r="L3" s="31" t="n">
        <x:f>IF(E3=0,"",E3*K3)</x:f>
        <x:v>292661.3556087526</x:v>
      </x:c>
      <x:c r="M3" s="31" t="n">
        <x:f>IF(E3=0,"",I3-L3)</x:f>
        <x:v>2175.3554332699277</x:v>
      </x:c>
      <x:c r="N3" s="32" t="n">
        <x:f>IF(L3=0,"",I3/L3)</x:f>
        <x:v>1.0074330122224202</x:v>
      </x:c>
      <x:c r="O3" s="34" t="n">
        <x:f>IF(L3=0,"",M3/L3)</x:f>
        <x:v>0.007433012222420218</x:v>
      </x:c>
    </x:row>
    <x:row r="4" ht="18" customHeight="1">
      <x:c r="A4" s="24" t="str">
        <x:v>Flatfishes</x:v>
      </x:c>
      <x:c r="B4" s="33" t="n">
        <x:v>1</x:v>
      </x:c>
      <x:c r="C4" s="33" t="n">
        <x:v>1</x:v>
      </x:c>
      <x:c r="D4" s="31" t="n">
        <x:v>463.8561842</x:v>
      </x:c>
      <x:c r="E4" s="31" t="n">
        <x:v>463.8561842</x:v>
      </x:c>
      <x:c r="F4" s="32" t="n">
        <x:v>0</x:v>
      </x:c>
      <x:c r="G4" s="34" t="n">
        <x:v>1</x:v>
      </x:c>
      <x:c r="H4" s="32" t="n">
        <x:f>IF(E4=0,"",I4/E4)</x:f>
        <x:v>1445.439770745928</x:v>
      </x:c>
      <x:c r="I4" s="31" t="n">
        <x:f>IF(C4=0,"",SUMIF('Species'!$H$2:$H$58,A4,'Species'!$U$2:$U$58))</x:f>
        <x:v>670476.1765491288</x:v>
      </x:c>
      <x:c r="J4" s="32" t="n">
        <x:v>4.16</x:v>
      </x:c>
      <x:c r="K4" s="32" t="n">
        <x:f>IF(J4="","",(1/'Metadata'!$B$5)^(J4-1))</x:f>
        <x:v>1445.439770745928</x:v>
      </x:c>
      <x:c r="L4" s="31" t="n">
        <x:f>IF(E4=0,"",E4*K4)</x:f>
        <x:v>670476.1765491288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9492.02115336</x:v>
      </x:c>
      <x:c r="E5" s="31" t="n">
        <x:v>9492.02115336</x:v>
      </x:c>
      <x:c r="F5" s="32" t="n">
        <x:v>0</x:v>
      </x:c>
      <x:c r="G5" s="34" t="n">
        <x:v>1</x:v>
      </x:c>
      <x:c r="H5" s="32" t="n">
        <x:f>IF(E5=0,"",I5/E5)</x:f>
        <x:v>66.71944027223583</x:v>
      </x:c>
      <x:c r="I5" s="31" t="n">
        <x:f>IF(C5=0,"",SUMIF('Species'!$H$2:$H$58,A5,'Species'!$U$2:$U$58))</x:f>
        <x:v>633302.3384044016</x:v>
      </x:c>
      <x:c r="J5" s="32" t="n">
        <x:v>2.8103578288721787</x:v>
      </x:c>
      <x:c r="K5" s="32" t="n">
        <x:f>IF(J5="","",(1/'Metadata'!$B$5)^(J5-1))</x:f>
        <x:v>64.61864230604662</x:v>
      </x:c>
      <x:c r="L5" s="31" t="n">
        <x:f>IF(E5=0,"",E5*K5)</x:f>
        <x:v>613361.519670398</x:v>
      </x:c>
      <x:c r="M5" s="31" t="n">
        <x:f>IF(E5=0,"",I5-L5)</x:f>
        <x:v>19940.81873400358</x:v>
      </x:c>
      <x:c r="N5" s="32" t="n">
        <x:f>IF(L5=0,"",I5/L5)</x:f>
        <x:v>1.0325107103959166</x:v>
      </x:c>
      <x:c r="O5" s="34" t="n">
        <x:f>IF(L5=0,"",M5/L5)</x:f>
        <x:v>0.03251071039591655</x:v>
      </x:c>
    </x:row>
    <x:row r="6" ht="18" customHeight="1">
      <x:c r="A6" s="24" t="str">
        <x:v>Molluscs</x:v>
      </x:c>
      <x:c r="B6" s="33" t="n">
        <x:v>1</x:v>
      </x:c>
      <x:c r="C6" s="33" t="n">
        <x:v>1</x:v>
      </x:c>
      <x:c r="D6" s="31" t="n">
        <x:v>1</x:v>
      </x:c>
      <x:c r="E6" s="31" t="n">
        <x:v>1</x:v>
      </x:c>
      <x:c r="F6" s="32" t="n">
        <x:v>0</x:v>
      </x:c>
      <x:c r="G6" s="34" t="n">
        <x:v>1</x:v>
      </x:c>
      <x:c r="H6" s="32" t="n">
        <x:f>IF(E6=0,"",I6/E6)</x:f>
        <x:v>100</x:v>
      </x:c>
      <x:c r="I6" s="31" t="n">
        <x:f>IF(C6=0,"",SUMIF('Species'!$H$2:$H$58,A6,'Species'!$U$2:$U$58))</x:f>
        <x:v>100</x:v>
      </x:c>
      <x:c r="J6" s="32" t="n">
        <x:v>3</x:v>
      </x:c>
      <x:c r="K6" s="32" t="n">
        <x:f>IF(J6="","",(1/'Metadata'!$B$5)^(J6-1))</x:f>
        <x:v>100</x:v>
      </x:c>
      <x:c r="L6" s="31" t="n">
        <x:f>IF(E6=0,"",E6*K6)</x:f>
        <x:v>100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Other fishes &amp; inverts</x:v>
      </x:c>
      <x:c r="B7" s="33" t="n">
        <x:v>10</x:v>
      </x:c>
      <x:c r="C7" s="33" t="n">
        <x:v>10</x:v>
      </x:c>
      <x:c r="D7" s="31" t="n">
        <x:v>11990.667320546</x:v>
      </x:c>
      <x:c r="E7" s="31" t="n">
        <x:v>11990.667320546</x:v>
      </x:c>
      <x:c r="F7" s="32" t="n">
        <x:v>0</x:v>
      </x:c>
      <x:c r="G7" s="34" t="n">
        <x:v>1</x:v>
      </x:c>
      <x:c r="H7" s="32" t="n">
        <x:f>IF(E7=0,"",I7/E7)</x:f>
        <x:v>852.7395597231907</x:v>
      </x:c>
      <x:c r="I7" s="31" t="n">
        <x:f>IF(C7=0,"",SUMIF('Species'!$H$2:$H$58,A7,'Species'!$U$2:$U$58))</x:f>
        <x:v>10224916.371709647</x:v>
      </x:c>
      <x:c r="J7" s="32" t="n">
        <x:v>3.6476036623831067</x:v>
      </x:c>
      <x:c r="K7" s="32" t="n">
        <x:f>IF(J7="","",(1/'Metadata'!$B$5)^(J7-1))</x:f>
        <x:v>444.22568158766444</x:v>
      </x:c>
      <x:c r="L7" s="31" t="n">
        <x:f>IF(E7=0,"",E7*K7)</x:f>
        <x:v>5326562.363160481</x:v>
      </x:c>
      <x:c r="M7" s="31" t="n">
        <x:f>IF(E7=0,"",I7-L7)</x:f>
        <x:v>4898354.008549166</x:v>
      </x:c>
      <x:c r="N7" s="32" t="n">
        <x:f>IF(L7=0,"",I7/L7)</x:f>
        <x:v>1.919608872399038</x:v>
      </x:c>
      <x:c r="O7" s="34" t="n">
        <x:f>IF(L7=0,"",M7/L7)</x:f>
        <x:v>0.9196088723990382</x:v>
      </x:c>
    </x:row>
    <x:row r="8" ht="18" customHeight="1">
      <x:c r="A8" s="24" t="str">
        <x:v>Perch-likes</x:v>
      </x:c>
      <x:c r="B8" s="33" t="n">
        <x:v>32</x:v>
      </x:c>
      <x:c r="C8" s="33" t="n">
        <x:v>32</x:v>
      </x:c>
      <x:c r="D8" s="31" t="n">
        <x:v>35062.162629466</x:v>
      </x:c>
      <x:c r="E8" s="31" t="n">
        <x:v>35062.162629466</x:v>
      </x:c>
      <x:c r="F8" s="32" t="n">
        <x:v>0</x:v>
      </x:c>
      <x:c r="G8" s="34" t="n">
        <x:v>1</x:v>
      </x:c>
      <x:c r="H8" s="32" t="n">
        <x:f>IF(E8=0,"",I8/E8)</x:f>
        <x:v>660.420991011108</x:v>
      </x:c>
      <x:c r="I8" s="31" t="n">
        <x:f>IF(C8=0,"",SUMIF('Species'!$H$2:$H$58,A8,'Species'!$U$2:$U$58))</x:f>
        <x:v>23155788.19074457</x:v>
      </x:c>
      <x:c r="J8" s="32" t="n">
        <x:v>3.643903288528622</x:v>
      </x:c>
      <x:c r="K8" s="32" t="n">
        <x:f>IF(J8="","",(1/'Metadata'!$B$5)^(J8-1))</x:f>
        <x:v>440.45676885595907</x:v>
      </x:c>
      <x:c r="L8" s="31" t="n">
        <x:f>IF(E8=0,"",E8*K8)</x:f>
        <x:v>15443366.860876752</x:v>
      </x:c>
      <x:c r="M8" s="31" t="n">
        <x:f>IF(E8=0,"",I8-L8)</x:f>
        <x:v>7712421.329867819</x:v>
      </x:c>
      <x:c r="N8" s="32" t="n">
        <x:f>IF(L8=0,"",I8/L8)</x:f>
        <x:v>1.49940025380126</x:v>
      </x:c>
      <x:c r="O8" s="34" t="n">
        <x:f>IF(L8=0,"",M8/L8)</x:f>
        <x:v>0.4994002538012601</x:v>
      </x:c>
    </x:row>
    <x:row r="9" ht="18" customHeight="1">
      <x:c r="A9" s="24" t="str">
        <x:v>Scorpionfishes</x:v>
      </x:c>
      <x:c r="B9" s="33" t="n">
        <x:v>1</x:v>
      </x:c>
      <x:c r="C9" s="33" t="n">
        <x:v>1</x:v>
      </x:c>
      <x:c r="D9" s="31" t="n">
        <x:v>94</x:v>
      </x:c>
      <x:c r="E9" s="31" t="n">
        <x:v>94</x:v>
      </x:c>
      <x:c r="F9" s="32" t="n">
        <x:v>0</x:v>
      </x:c>
      <x:c r="G9" s="34" t="n">
        <x:v>1</x:v>
      </x:c>
      <x:c r="H9" s="32" t="n">
        <x:f>IF(E9=0,"",I9/E9)</x:f>
        <x:v>794.3282347242813</x:v>
      </x:c>
      <x:c r="I9" s="31" t="n">
        <x:f>IF(C9=0,"",SUMIF('Species'!$H$2:$H$58,A9,'Species'!$U$2:$U$58))</x:f>
        <x:v>74666.85406408244</x:v>
      </x:c>
      <x:c r="J9" s="32" t="n">
        <x:v>3.8999999999999995</x:v>
      </x:c>
      <x:c r="K9" s="32" t="n">
        <x:f>IF(J9="","",(1/'Metadata'!$B$5)^(J9-1))</x:f>
        <x:v>794.3282347242805</x:v>
      </x:c>
      <x:c r="L9" s="31" t="n">
        <x:f>IF(E9=0,"",E9*K9)</x:f>
        <x:v>74666.85406408236</x:v>
      </x:c>
      <x:c r="M9" s="31" t="n">
        <x:f>IF(E9=0,"",I9-L9)</x:f>
        <x:v>7.275957614183426e-11</x:v>
      </x:c>
      <x:c r="N9" s="32" t="n">
        <x:f>IF(L9=0,"",I9/L9)</x:f>
        <x:v>1.0000000000000009</x:v>
      </x:c>
      <x:c r="O9" s="34" t="n">
        <x:f>IF(L9=0,"",M9/L9)</x:f>
        <x:v>9.744561633651903e-16</x:v>
      </x:c>
    </x:row>
    <x:row r="10" ht="18" customHeight="1">
      <x:c r="A10" s="24" t="str">
        <x:v>Sharks &amp; rays</x:v>
      </x:c>
      <x:c r="B10" s="33" t="n">
        <x:v>2</x:v>
      </x:c>
      <x:c r="C10" s="33" t="n">
        <x:v>2</x:v>
      </x:c>
      <x:c r="D10" s="31" t="n">
        <x:v>26.65374801</x:v>
      </x:c>
      <x:c r="E10" s="31" t="n">
        <x:v>26.65374801</x:v>
      </x:c>
      <x:c r="F10" s="32" t="n">
        <x:v>0</x:v>
      </x:c>
      <x:c r="G10" s="34" t="n">
        <x:v>1</x:v>
      </x:c>
      <x:c r="H10" s="32" t="n">
        <x:f>IF(E10=0,"",I10/E10)</x:f>
        <x:v>1108.2847248929302</x:v>
      </x:c>
      <x:c r="I10" s="31" t="n">
        <x:f>IF(C10=0,"",SUMIF('Species'!$H$2:$H$58,A10,'Species'!$U$2:$U$58))</x:f>
        <x:v>29539.941780628335</x:v>
      </x:c>
      <x:c r="J10" s="32" t="n">
        <x:v>4.0443722736500805</x:v>
      </x:c>
      <x:c r="K10" s="32" t="n">
        <x:f>IF(J10="","",(1/'Metadata'!$B$5)^(J10-1))</x:f>
        <x:v>1107.5727794410382</x:v>
      </x:c>
      <x:c r="L10" s="31" t="n">
        <x:f>IF(E10=0,"",E10*K10)</x:f>
        <x:v>29520.965765956742</x:v>
      </x:c>
      <x:c r="M10" s="31" t="n">
        <x:f>IF(E10=0,"",I10-L10)</x:f>
        <x:v>18.976014671592566</x:v>
      </x:c>
      <x:c r="N10" s="32" t="n">
        <x:f>IF(L10=0,"",I10/L10)</x:f>
        <x:v>1.0006427978956391</x:v>
      </x:c>
      <x:c r="O10" s="34" t="n">
        <x:f>IF(L10=0,"",M10/L10)</x:f>
        <x:v>0.0006427978956391562</x:v>
      </x:c>
    </x:row>
    <x:row r="11" ht="18" customHeight="1">
      <x:c r="A11" s="24" t="str">
        <x:v>Tuna &amp; billfishes</x:v>
      </x:c>
      <x:c r="B11" s="33" t="n">
        <x:v>2</x:v>
      </x:c>
      <x:c r="C11" s="33" t="n">
        <x:v>2</x:v>
      </x:c>
      <x:c r="D11" s="31" t="n">
        <x:v>189.735760905</x:v>
      </x:c>
      <x:c r="E11" s="31" t="n">
        <x:v>189.735760905</x:v>
      </x:c>
      <x:c r="F11" s="32" t="n">
        <x:v>0</x:v>
      </x:c>
      <x:c r="G11" s="34" t="n">
        <x:v>1</x:v>
      </x:c>
      <x:c r="H11" s="32" t="n">
        <x:f>IF(E11=0,"",I11/E11)</x:f>
        <x:v>3139.054712628974</x:v>
      </x:c>
      <x:c r="I11" s="31" t="n">
        <x:f>IF(C11=0,"",SUMIF('Species'!$H$2:$H$58,A11,'Species'!$U$2:$U$58))</x:f>
        <x:v>595590.9344230845</x:v>
      </x:c>
      <x:c r="J11" s="32" t="n">
        <x:v>4.496468779737387</x:v>
      </x:c>
      <x:c r="K11" s="32" t="n">
        <x:f>IF(J11="","",(1/'Metadata'!$B$5)^(J11-1))</x:f>
        <x:v>3136.669635306869</x:v>
      </x:c>
      <x:c r="L11" s="31" t="n">
        <x:f>IF(E11=0,"",E11*K11)</x:f>
        <x:v>595138.3999625577</x:v>
      </x:c>
      <x:c r="M11" s="31" t="n">
        <x:f>IF(E11=0,"",I11-L11)</x:f>
        <x:v>452.53446052677464</x:v>
      </x:c>
      <x:c r="N11" s="32" t="n">
        <x:f>IF(L11=0,"",I11/L11)</x:f>
        <x:v>1.0007603852491374</x:v>
      </x:c>
      <x:c r="O11" s="34" t="n">
        <x:f>IF(L11=0,"",M11/L11)</x:f>
        <x:v>0.0007603852491374195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4adeb09cf9d49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880.839083206</x:v>
      </x:c>
      <x:c r="E2" s="31" t="n">
        <x:v>880.839083206</x:v>
      </x:c>
      <x:c r="F2" s="32" t="n">
        <x:v>0</x:v>
      </x:c>
      <x:c r="G2" s="34" t="n">
        <x:v>1</x:v>
      </x:c>
      <x:c r="H2" s="32" t="n">
        <x:f>IF(E2=0,"",I2/E2)</x:f>
        <x:v>835.9420187352314</x:v>
      </x:c>
      <x:c r="I2" s="31" t="n">
        <x:f>IF(C2=0,"",SUMIF('Species'!$G$2:$G$58,A2,'Species'!$U$2:$U$58))</x:f>
        <x:v>736330.4013961141</x:v>
      </x:c>
      <x:c r="J2" s="32" t="n">
        <x:v>3.9017962229190166</x:v>
      </x:c>
      <x:c r="K2" s="32" t="n">
        <x:f>IF(J2="","",(1/'Metadata'!$B$5)^(J2-1))</x:f>
        <x:v>797.620344764003</x:v>
      </x:c>
      <x:c r="L2" s="31" t="n">
        <x:f>IF(E2=0,"",E2*K2)</x:f>
        <x:v>702575.1732283781</x:v>
      </x:c>
      <x:c r="M2" s="31" t="n">
        <x:f>IF(E2=0,"",I2-L2)</x:f>
        <x:v>33755.22816773609</x:v>
      </x:c>
      <x:c r="N2" s="32" t="n">
        <x:f>IF(L2=0,"",I2/L2)</x:f>
        <x:v>1.0480450056506105</x:v>
      </x:c>
      <x:c r="O2" s="34" t="n">
        <x:f>IF(L2=0,"",M2/L2)</x:f>
        <x:v>0.04804500565061052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94.61499204</x:v>
      </x:c>
      <x:c r="E3" s="31" t="n">
        <x:v>94.61499204</x:v>
      </x:c>
      <x:c r="F3" s="32" t="n">
        <x:v>0</x:v>
      </x:c>
      <x:c r="G3" s="34" t="n">
        <x:v>1</x:v>
      </x:c>
      <x:c r="H3" s="32" t="n">
        <x:f>IF(E3=0,"",I3/E3)</x:f>
        <x:v>3162.2776601683795</x:v>
      </x:c>
      <x:c r="I3" s="31" t="n">
        <x:f>IF(C3=0,"",SUMIF('Species'!$G$2:$G$58,A3,'Species'!$U$2:$U$58))</x:f>
        <x:v>299198.87564510107</x:v>
      </x:c>
      <x:c r="J3" s="32" t="n">
        <x:v>4.5</x:v>
      </x:c>
      <x:c r="K3" s="32" t="n">
        <x:f>IF(J3="","",(1/'Metadata'!$B$5)^(J3-1))</x:f>
        <x:v>3162.2776601683795</x:v>
      </x:c>
      <x:c r="L3" s="31" t="n">
        <x:f>IF(E3=0,"",E3*K3)</x:f>
        <x:v>299198.87564510107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4</x:v>
      </x:c>
      <x:c r="C4" s="33" t="n">
        <x:v>4</x:v>
      </x:c>
      <x:c r="D4" s="31" t="n">
        <x:v>1267.735760905</x:v>
      </x:c>
      <x:c r="E4" s="31" t="n">
        <x:v>1267.735760905</x:v>
      </x:c>
      <x:c r="F4" s="32" t="n">
        <x:v>0</x:v>
      </x:c>
      <x:c r="G4" s="34" t="n">
        <x:v>1</x:v>
      </x:c>
      <x:c r="H4" s="32" t="n">
        <x:f>IF(E4=0,"",I4/E4)</x:f>
        <x:v>2675.0111719168244</x:v>
      </x:c>
      <x:c r="I4" s="31" t="n">
        <x:f>IF(C4=0,"",SUMIF('Species'!$G$2:$G$58,A4,'Species'!$U$2:$U$58))</x:f>
        <x:v>3391207.3234593514</x:v>
      </x:c>
      <x:c r="J4" s="32" t="n">
        <x:v>4.425086913462429</x:v>
      </x:c>
      <x:c r="K4" s="32" t="n">
        <x:f>IF(J4="","",(1/'Metadata'!$B$5)^(J4-1))</x:f>
        <x:v>2661.2575923971017</x:v>
      </x:c>
      <x:c r="L4" s="31" t="n">
        <x:f>IF(E4=0,"",E4*K4)</x:f>
        <x:v>3373771.418861748</x:v>
      </x:c>
      <x:c r="M4" s="31" t="n">
        <x:f>IF(E4=0,"",I4-L4)</x:f>
        <x:v>17435.90459760325</x:v>
      </x:c>
      <x:c r="N4" s="32" t="n">
        <x:f>IF(L4=0,"",I4/L4)</x:f>
        <x:v>1.005168075258485</x:v>
      </x:c>
      <x:c r="O4" s="34" t="n">
        <x:f>IF(L4=0,"",M4/L4)</x:f>
        <x:v>0.0051680752584850045</x:v>
      </x:c>
    </x:row>
    <x:row r="5" ht="18" customHeight="1">
      <x:c r="A5" s="24" t="str">
        <x:v>Large sharks (&gt;=90 cm)</x:v>
      </x:c>
      <x:c r="B5" s="33" t="n">
        <x:v>2</x:v>
      </x:c>
      <x:c r="C5" s="33" t="n">
        <x:v>2</x:v>
      </x:c>
      <x:c r="D5" s="31" t="n">
        <x:v>26.65374801</x:v>
      </x:c>
      <x:c r="E5" s="31" t="n">
        <x:v>26.65374801</x:v>
      </x:c>
      <x:c r="F5" s="32" t="n">
        <x:v>0</x:v>
      </x:c>
      <x:c r="G5" s="34" t="n">
        <x:v>1</x:v>
      </x:c>
      <x:c r="H5" s="32" t="n">
        <x:f>IF(E5=0,"",I5/E5)</x:f>
        <x:v>1108.2847248929302</x:v>
      </x:c>
      <x:c r="I5" s="31" t="n">
        <x:f>IF(C5=0,"",SUMIF('Species'!$G$2:$G$58,A5,'Species'!$U$2:$U$58))</x:f>
        <x:v>29539.941780628335</x:v>
      </x:c>
      <x:c r="J5" s="32" t="n">
        <x:v>4.0443722736500805</x:v>
      </x:c>
      <x:c r="K5" s="32" t="n">
        <x:f>IF(J5="","",(1/'Metadata'!$B$5)^(J5-1))</x:f>
        <x:v>1107.5727794410382</x:v>
      </x:c>
      <x:c r="L5" s="31" t="n">
        <x:f>IF(E5=0,"",E5*K5)</x:f>
        <x:v>29520.965765956742</x:v>
      </x:c>
      <x:c r="M5" s="31" t="n">
        <x:f>IF(E5=0,"",I5-L5)</x:f>
        <x:v>18.976014671592566</x:v>
      </x:c>
      <x:c r="N5" s="32" t="n">
        <x:f>IF(L5=0,"",I5/L5)</x:f>
        <x:v>1.0006427978956391</x:v>
      </x:c>
      <x:c r="O5" s="34" t="n">
        <x:f>IF(L5=0,"",M5/L5)</x:f>
        <x:v>0.0006427978956391562</x:v>
      </x:c>
    </x:row>
    <x:row r="6" ht="18" customHeight="1">
      <x:c r="A6" s="24" t="str">
        <x:v>Lobsters, crabs</x:v>
      </x:c>
      <x:c r="B6" s="33" t="n">
        <x:v>3</x:v>
      </x:c>
      <x:c r="C6" s="33" t="n">
        <x:v>3</x:v>
      </x:c>
      <x:c r="D6" s="31" t="n">
        <x:v>1157.6048424599999</x:v>
      </x:c>
      <x:c r="E6" s="31" t="n">
        <x:v>1157.6048424599999</x:v>
      </x:c>
      <x:c r="F6" s="32" t="n">
        <x:v>0</x:v>
      </x:c>
      <x:c r="G6" s="34" t="n">
        <x:v>1</x:v>
      </x:c>
      <x:c r="H6" s="32" t="n">
        <x:f>IF(E6=0,"",I6/E6)</x:f>
        <x:v>254.69547139719256</x:v>
      </x:c>
      <x:c r="I6" s="31" t="n">
        <x:f>IF(C6=0,"",SUMIF('Species'!$G$2:$G$58,A6,'Species'!$U$2:$U$58))</x:f>
        <x:v>294836.7110420225</x:v>
      </x:c>
      <x:c r="J6" s="32" t="n">
        <x:v>3.402805045076436</x:v>
      </x:c>
      <x:c r="K6" s="32" t="n">
        <x:f>IF(J6="","",(1/'Metadata'!$B$5)^(J6-1))</x:f>
        <x:v>252.81628486178803</x:v>
      </x:c>
      <x:c r="L6" s="31" t="n">
        <x:f>IF(E6=0,"",E6*K6)</x:f>
        <x:v>292661.3556087526</x:v>
      </x:c>
      <x:c r="M6" s="31" t="n">
        <x:f>IF(E6=0,"",I6-L6)</x:f>
        <x:v>2175.3554332699277</x:v>
      </x:c>
      <x:c r="N6" s="32" t="n">
        <x:f>IF(L6=0,"",I6/L6)</x:f>
        <x:v>1.0074330122224202</x:v>
      </x:c>
      <x:c r="O6" s="34" t="n">
        <x:f>IF(L6=0,"",M6/L6)</x:f>
        <x:v>0.007433012222420218</x:v>
      </x:c>
    </x:row>
    <x:row r="7" ht="18" customHeight="1">
      <x:c r="A7" s="24" t="str">
        <x:v>Medium benthopelagics (30 - 89 cm)</x:v>
      </x:c>
      <x:c r="B7" s="33" t="n">
        <x:v>1</x:v>
      </x:c>
      <x:c r="C7" s="33" t="n">
        <x:v>1</x:v>
      </x:c>
      <x:c r="D7" s="31" t="n">
        <x:v>184</x:v>
      </x:c>
      <x:c r="E7" s="31" t="n">
        <x:v>184</x:v>
      </x:c>
      <x:c r="F7" s="32" t="n">
        <x:v>0</x:v>
      </x:c>
      <x:c r="G7" s="34" t="n">
        <x:v>1</x:v>
      </x:c>
      <x:c r="H7" s="32" t="n">
        <x:f>IF(E7=0,"",I7/E7)</x:f>
        <x:v>204.17379446695296</x:v>
      </x:c>
      <x:c r="I7" s="31" t="n">
        <x:f>IF(C7=0,"",SUMIF('Species'!$G$2:$G$58,A7,'Species'!$U$2:$U$58))</x:f>
        <x:v>37567.978181919345</x:v>
      </x:c>
      <x:c r="J7" s="32" t="n">
        <x:v>3.3099999999999996</x:v>
      </x:c>
      <x:c r="K7" s="32" t="n">
        <x:f>IF(J7="","",(1/'Metadata'!$B$5)^(J7-1))</x:f>
        <x:v>204.17379446695276</x:v>
      </x:c>
      <x:c r="L7" s="31" t="n">
        <x:f>IF(E7=0,"",E7*K7)</x:f>
        <x:v>37567.97818191931</x:v>
      </x:c>
      <x:c r="M7" s="31" t="n">
        <x:f>IF(E7=0,"",I7-L7)</x:f>
        <x:v>3.637978807091713e-11</x:v>
      </x:c>
      <x:c r="N7" s="32" t="n">
        <x:f>IF(L7=0,"",I7/L7)</x:f>
        <x:v>1.0000000000000009</x:v>
      </x:c>
      <x:c r="O7" s="34" t="n">
        <x:f>IF(L7=0,"",M7/L7)</x:f>
        <x:v>9.683722636004396e-16</x:v>
      </x:c>
    </x:row>
    <x:row r="8" ht="18" customHeight="1">
      <x:c r="A8" s="24" t="str">
        <x:v>Medium demersals (30 - 89 cm)</x:v>
      </x:c>
      <x:c r="B8" s="33" t="n">
        <x:v>8</x:v>
      </x:c>
      <x:c r="C8" s="33" t="n">
        <x:v>8</x:v>
      </x:c>
      <x:c r="D8" s="31" t="n">
        <x:v>11727.052717759</x:v>
      </x:c>
      <x:c r="E8" s="31" t="n">
        <x:v>11727.052717759</x:v>
      </x:c>
      <x:c r="F8" s="32" t="n">
        <x:v>0</x:v>
      </x:c>
      <x:c r="G8" s="34" t="n">
        <x:v>1</x:v>
      </x:c>
      <x:c r="H8" s="32" t="n">
        <x:f>IF(E8=0,"",I8/E8)</x:f>
        <x:v>872.1378151534193</x:v>
      </x:c>
      <x:c r="I8" s="31" t="n">
        <x:f>IF(C8=0,"",SUMIF('Species'!$G$2:$G$58,A8,'Species'!$U$2:$U$58))</x:f>
        <x:v>10227606.135455301</x:v>
      </x:c>
      <x:c r="J8" s="32" t="n">
        <x:v>3.644703618206624</x:v>
      </x:c>
      <x:c r="K8" s="32" t="n">
        <x:f>IF(J8="","",(1/'Metadata'!$B$5)^(J8-1))</x:f>
        <x:v>441.2692029217574</x:v>
      </x:c>
      <x:c r="L8" s="31" t="n">
        <x:f>IF(E8=0,"",E8*K8)</x:f>
        <x:v>5174787.205386943</x:v>
      </x:c>
      <x:c r="M8" s="31" t="n">
        <x:f>IF(E8=0,"",I8-L8)</x:f>
        <x:v>5052818.930068358</x:v>
      </x:c>
      <x:c r="N8" s="32" t="n">
        <x:f>IF(L8=0,"",I8/L8)</x:f>
        <x:v>1.9764302819656785</x:v>
      </x:c>
      <x:c r="O8" s="34" t="n">
        <x:f>IF(L8=0,"",M8/L8)</x:f>
        <x:v>0.9764302819656784</x:v>
      </x:c>
    </x:row>
    <x:row r="9" ht="18" customHeight="1">
      <x:c r="A9" s="24" t="str">
        <x:v>Medium pelagics (30 - 89 cm)</x:v>
      </x:c>
      <x:c r="B9" s="33" t="n">
        <x:v>5</x:v>
      </x:c>
      <x:c r="C9" s="33" t="n">
        <x:v>5</x:v>
      </x:c>
      <x:c r="D9" s="31" t="n">
        <x:v>15291.294900490002</x:v>
      </x:c>
      <x:c r="E9" s="31" t="n">
        <x:v>15291.294900490002</x:v>
      </x:c>
      <x:c r="F9" s="32" t="n">
        <x:v>0</x:v>
      </x:c>
      <x:c r="G9" s="34" t="n">
        <x:v>1</x:v>
      </x:c>
      <x:c r="H9" s="32" t="n">
        <x:f>IF(E9=0,"",I9/E9)</x:f>
        <x:v>475.8501542267673</x:v>
      </x:c>
      <x:c r="I9" s="31" t="n">
        <x:f>IF(C9=0,"",SUMIF('Species'!$G$2:$G$58,A9,'Species'!$U$2:$U$58))</x:f>
        <x:v>7276365.036725148</x:v>
      </x:c>
      <x:c r="J9" s="32" t="n">
        <x:v>3.6041490062793278</x:v>
      </x:c>
      <x:c r="K9" s="32" t="n">
        <x:f>IF(J9="","",(1/'Metadata'!$B$5)^(J9-1))</x:f>
        <x:v>401.9286887820921</x:v>
      </x:c>
      <x:c r="L9" s="31" t="n">
        <x:f>IF(E9=0,"",E9*K9)</x:f>
        <x:v>6146010.109134237</x:v>
      </x:c>
      <x:c r="M9" s="31" t="n">
        <x:f>IF(E9=0,"",I9-L9)</x:f>
        <x:v>1130354.9275909103</x:v>
      </x:c>
      <x:c r="N9" s="32" t="n">
        <x:f>IF(L9=0,"",I9/L9)</x:f>
        <x:v>1.1839168676131804</x:v>
      </x:c>
      <x:c r="O9" s="34" t="n">
        <x:f>IF(L9=0,"",M9/L9)</x:f>
        <x:v>0.18391686761318046</x:v>
      </x:c>
    </x:row>
    <x:row r="10" ht="18" customHeight="1">
      <x:c r="A10" s="24" t="str">
        <x:v>Medium reef assoc. fish (30 - 89 cm)</x:v>
      </x:c>
      <x:c r="B10" s="33" t="n">
        <x:v>16</x:v>
      </x:c>
      <x:c r="C10" s="33" t="n">
        <x:v>16</x:v>
      </x:c>
      <x:c r="D10" s="31" t="n">
        <x:v>12331.921420013</x:v>
      </x:c>
      <x:c r="E10" s="31" t="n">
        <x:v>12331.921420013</x:v>
      </x:c>
      <x:c r="F10" s="32" t="n">
        <x:v>0</x:v>
      </x:c>
      <x:c r="G10" s="34" t="n">
        <x:v>1</x:v>
      </x:c>
      <x:c r="H10" s="32" t="n">
        <x:f>IF(E10=0,"",I10/E10)</x:f>
        <x:v>787.0683166981489</x:v>
      </x:c>
      <x:c r="I10" s="31" t="n">
        <x:f>IF(C10=0,"",SUMIF('Species'!$G$2:$G$58,A10,'Species'!$U$2:$U$58))</x:f>
        <x:v>9706064.63370348</x:v>
      </x:c>
      <x:c r="J10" s="32" t="n">
        <x:v>3.64830390351202</x:v>
      </x:c>
      <x:c r="K10" s="32" t="n">
        <x:f>IF(J10="","",(1/'Metadata'!$B$5)^(J10-1))</x:f>
        <x:v>444.9425131749284</x:v>
      </x:c>
      <x:c r="L10" s="31" t="n">
        <x:f>IF(E10=0,"",E10*K10)</x:f>
        <x:v>5486996.108896317</x:v>
      </x:c>
      <x:c r="M10" s="31" t="n">
        <x:f>IF(E10=0,"",I10-L10)</x:f>
        <x:v>4219068.524807163</x:v>
      </x:c>
      <x:c r="N10" s="32" t="n">
        <x:f>IF(L10=0,"",I10/L10)</x:f>
        <x:v>1.7689213626316582</x:v>
      </x:c>
      <x:c r="O10" s="34" t="n">
        <x:f>IF(L10=0,"",M10/L10)</x:f>
        <x:v>0.7689213626316582</x:v>
      </x:c>
    </x:row>
    <x:row r="11" ht="18" customHeight="1">
      <x:c r="A11" s="24" t="str">
        <x:v>Other demersal invertebrates</x:v>
      </x:c>
      <x:c r="B11" s="33" t="n">
        <x:v>1</x:v>
      </x:c>
      <x:c r="C11" s="33" t="n">
        <x:v>1</x:v>
      </x:c>
      <x:c r="D11" s="31" t="n">
        <x:v>1</x:v>
      </x:c>
      <x:c r="E11" s="31" t="n">
        <x:v>1</x:v>
      </x:c>
      <x:c r="F11" s="32" t="n">
        <x:v>0</x:v>
      </x:c>
      <x:c r="G11" s="34" t="n">
        <x:v>1</x:v>
      </x:c>
      <x:c r="H11" s="32" t="n">
        <x:f>IF(E11=0,"",I11/E11)</x:f>
        <x:v>100</x:v>
      </x:c>
      <x:c r="I11" s="31" t="n">
        <x:f>IF(C11=0,"",SUMIF('Species'!$G$2:$G$58,A11,'Species'!$U$2:$U$58))</x:f>
        <x:v>100</x:v>
      </x:c>
      <x:c r="J11" s="32" t="n">
        <x:v>3</x:v>
      </x:c>
      <x:c r="K11" s="32" t="n">
        <x:f>IF(J11="","",(1/'Metadata'!$B$5)^(J11-1))</x:f>
        <x:v>100</x:v>
      </x:c>
      <x:c r="L11" s="31" t="n">
        <x:f>IF(E11=0,"",E11*K11)</x:f>
        <x:v>100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Small benthopelagics (&lt;30 cm)</x:v>
      </x:c>
      <x:c r="B12" s="33" t="n">
        <x:v>1</x:v>
      </x:c>
      <x:c r="C12" s="33" t="n">
        <x:v>1</x:v>
      </x:c>
      <x:c r="D12" s="31" t="n">
        <x:v>637.8022532</x:v>
      </x:c>
      <x:c r="E12" s="31" t="n">
        <x:v>637.8022532</x:v>
      </x:c>
      <x:c r="F12" s="32" t="n">
        <x:v>0</x:v>
      </x:c>
      <x:c r="G12" s="34" t="n">
        <x:v>1</x:v>
      </x:c>
      <x:c r="H12" s="32" t="n">
        <x:f>IF(E12=0,"",I12/E12)</x:f>
        <x:v>165.95869074375614</x:v>
      </x:c>
      <x:c r="I12" s="31" t="n">
        <x:f>IF(C12=0,"",SUMIF('Species'!$G$2:$G$58,A12,'Species'!$U$2:$U$58))</x:f>
        <x:v>105848.82689448964</x:v>
      </x:c>
      <x:c r="J12" s="32" t="n">
        <x:v>3.2200000000000006</x:v>
      </x:c>
      <x:c r="K12" s="32" t="n">
        <x:f>IF(J12="","",(1/'Metadata'!$B$5)^(J12-1))</x:f>
        <x:v>165.9586907437563</x:v>
      </x:c>
      <x:c r="L12" s="31" t="n">
        <x:f>IF(E12=0,"",E12*K12)</x:f>
        <x:v>105848.82689448976</x:v>
      </x:c>
      <x:c r="M12" s="31" t="n">
        <x:f>IF(E12=0,"",I12-L12)</x:f>
        <x:v>-1.1641532182693481e-10</x:v>
      </x:c>
      <x:c r="N12" s="32" t="n">
        <x:f>IF(L12=0,"",I12/L12)</x:f>
        <x:v>0.9999999999999989</x:v>
      </x:c>
      <x:c r="O12" s="34" t="n">
        <x:f>IF(L12=0,"",M12/L12)</x:f>
        <x:v>-1.0998262828456073e-15</x:v>
      </x:c>
    </x:row>
    <x:row r="13" ht="18" customHeight="1">
      <x:c r="A13" s="24" t="str">
        <x:v>Small demersals (&lt;30 cm)</x:v>
      </x:c>
      <x:c r="B13" s="33" t="n">
        <x:v>4</x:v>
      </x:c>
      <x:c r="C13" s="33" t="n">
        <x:v>4</x:v>
      </x:c>
      <x:c r="D13" s="31" t="n">
        <x:v>4366.304583254</x:v>
      </x:c>
      <x:c r="E13" s="31" t="n">
        <x:v>4366.304583254</x:v>
      </x:c>
      <x:c r="F13" s="32" t="n">
        <x:v>0</x:v>
      </x:c>
      <x:c r="G13" s="34" t="n">
        <x:v>1</x:v>
      </x:c>
      <x:c r="H13" s="32" t="n">
        <x:f>IF(E13=0,"",I13/E13)</x:f>
        <x:v>401.33599872729906</x:v>
      </x:c>
      <x:c r="I13" s="31" t="n">
        <x:f>IF(C13=0,"",SUMIF('Species'!$G$2:$G$58,A13,'Species'!$U$2:$U$58))</x:f>
        <x:v>1752355.2106678274</x:v>
      </x:c>
      <x:c r="J13" s="32" t="n">
        <x:v>3.562386056922712</x:v>
      </x:c>
      <x:c r="K13" s="32" t="n">
        <x:f>IF(J13="","",(1/'Metadata'!$B$5)^(J13-1))</x:f>
        <x:v>365.078331412008</x:v>
      </x:c>
      <x:c r="L13" s="31" t="n">
        <x:f>IF(E13=0,"",E13*K13)</x:f>
        <x:v>1594043.1916909735</x:v>
      </x:c>
      <x:c r="M13" s="31" t="n">
        <x:f>IF(E13=0,"",I13-L13)</x:f>
        <x:v>158312.01897685393</x:v>
      </x:c>
      <x:c r="N13" s="32" t="n">
        <x:f>IF(L13=0,"",I13/L13)</x:f>
        <x:v>1.0993147612323575</x:v>
      </x:c>
      <x:c r="O13" s="34" t="n">
        <x:f>IF(L13=0,"",M13/L13)</x:f>
        <x:v>0.09931476123235738</x:v>
      </x:c>
    </x:row>
    <x:row r="14" ht="18" customHeight="1">
      <x:c r="A14" s="24" t="str">
        <x:v>Small pelagics (&lt;30 cm)</x:v>
      </x:c>
      <x:c r="B14" s="33" t="n">
        <x:v>5</x:v>
      </x:c>
      <x:c r="C14" s="33" t="n">
        <x:v>5</x:v>
      </x:c>
      <x:c r="D14" s="31" t="n">
        <x:v>16198.782538919999</x:v>
      </x:c>
      <x:c r="E14" s="31" t="n">
        <x:v>16198.782538919999</x:v>
      </x:c>
      <x:c r="F14" s="32" t="n">
        <x:v>0</x:v>
      </x:c>
      <x:c r="G14" s="34" t="n">
        <x:v>1</x:v>
      </x:c>
      <x:c r="H14" s="32" t="n">
        <x:f>IF(E14=0,"",I14/E14)</x:f>
        <x:v>112.6657266538262</x:v>
      </x:c>
      <x:c r="I14" s="31" t="n">
        <x:f>IF(C14=0,"",SUMIF('Species'!$G$2:$G$58,A14,'Species'!$U$2:$U$58))</x:f>
        <x:v>1825047.6056547333</x:v>
      </x:c>
      <x:c r="J14" s="32" t="n">
        <x:v>2.992237983163222</x:v>
      </x:c>
      <x:c r="K14" s="32" t="n">
        <x:f>IF(J14="","",(1/'Metadata'!$B$5)^(J14-1))</x:f>
        <x:v>98.22860652316866</x:v>
      </x:c>
      <x:c r="L14" s="31" t="n">
        <x:f>IF(E14=0,"",E14*K14)</x:f>
        <x:v>1591183.8361699476</x:v>
      </x:c>
      <x:c r="M14" s="31" t="n">
        <x:f>IF(E14=0,"",I14-L14)</x:f>
        <x:v>233863.76948478562</x:v>
      </x:c>
      <x:c r="N14" s="32" t="n">
        <x:f>IF(L14=0,"",I14/L14)</x:f>
        <x:v>1.146974701583009</x:v>
      </x:c>
      <x:c r="O14" s="34" t="n">
        <x:f>IF(L14=0,"",M14/L14)</x:f>
        <x:v>0.14697470158300904</x:v>
      </x:c>
    </x:row>
    <x:row r="15" ht="18" customHeight="1">
      <x:c r="A15" s="24" t="str">
        <x:v>Small reef assoc. fish (&lt;30 cm)</x:v>
      </x:c>
      <x:c r="B15" s="33" t="n">
        <x:v>2</x:v>
      </x:c>
      <x:c r="C15" s="33" t="n">
        <x:v>2</x:v>
      </x:c>
      <x:c r="D15" s="31" t="n">
        <x:v>555.00000005</x:v>
      </x:c>
      <x:c r="E15" s="31" t="n">
        <x:v>555.00000005</x:v>
      </x:c>
      <x:c r="F15" s="32" t="n">
        <x:v>0</x:v>
      </x:c>
      <x:c r="G15" s="34" t="n">
        <x:v>1</x:v>
      </x:c>
      <x:c r="H15" s="32" t="n">
        <x:f>IF(E15=0,"",I15/E15)</x:f>
        <x:v>934.0863581368287</x:v>
      </x:c>
      <x:c r="I15" s="31" t="n">
        <x:f>IF(C15=0,"",SUMIF('Species'!$G$2:$G$58,A15,'Species'!$U$2:$U$58))</x:f>
        <x:v>518417.92881264427</x:v>
      </x:c>
      <x:c r="J15" s="32" t="n">
        <x:v>3.938828828836141</x:v>
      </x:c>
      <x:c r="K15" s="32" t="n">
        <x:f>IF(J15="","",(1/'Metadata'!$B$5)^(J15-1))</x:f>
        <x:v>868.6180080353353</x:v>
      </x:c>
      <x:c r="L15" s="31" t="n">
        <x:f>IF(E15=0,"",E15*K15)</x:f>
        <x:v>482082.994503042</x:v>
      </x:c>
      <x:c r="M15" s="31" t="n">
        <x:f>IF(E15=0,"",I15-L15)</x:f>
        <x:v>36334.93430960225</x:v>
      </x:c>
      <x:c r="N15" s="32" t="n">
        <x:f>IF(L15=0,"",I15/L15)</x:f>
        <x:v>1.0753707032272697</x:v>
      </x:c>
      <x:c r="O15" s="34" t="n">
        <x:f>IF(L15=0,"",M15/L15)</x:f>
        <x:v>0.07537070322726966</x:v>
      </x:c>
    </x:row>
    <x:row r="16" ht="18" customHeight="1">
      <x:c r="A16" s="24" t="str">
        <x:v>Small to medium flatfishes (&lt;90 cm)</x:v>
      </x:c>
      <x:c r="B16" s="33" t="n">
        <x:v>1</x:v>
      </x:c>
      <x:c r="C16" s="33" t="n">
        <x:v>1</x:v>
      </x:c>
      <x:c r="D16" s="31" t="n">
        <x:v>463.8561842</x:v>
      </x:c>
      <x:c r="E16" s="31" t="n">
        <x:v>463.8561842</x:v>
      </x:c>
      <x:c r="F16" s="32" t="n">
        <x:v>0</x:v>
      </x:c>
      <x:c r="G16" s="34" t="n">
        <x:v>1</x:v>
      </x:c>
      <x:c r="H16" s="32" t="n">
        <x:f>IF(E16=0,"",I16/E16)</x:f>
        <x:v>1445.439770745928</x:v>
      </x:c>
      <x:c r="I16" s="31" t="n">
        <x:f>IF(C16=0,"",SUMIF('Species'!$G$2:$G$58,A16,'Species'!$U$2:$U$58))</x:f>
        <x:v>670476.1765491288</x:v>
      </x:c>
      <x:c r="J16" s="32" t="n">
        <x:v>4.16</x:v>
      </x:c>
      <x:c r="K16" s="32" t="n">
        <x:f>IF(J16="","",(1/'Metadata'!$B$5)^(J16-1))</x:f>
        <x:v>1445.439770745928</x:v>
      </x:c>
      <x:c r="L16" s="31" t="n">
        <x:f>IF(E16=0,"",E16*K16)</x:f>
        <x:v>670476.1765491288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</x:sheetData>
  <x:conditionalFormatting sqref="G2:G16">
    <x:cfRule type="cellIs" dxfId="2" priority="1" operator="lessThan">
      <x:formula>0.9</x:formula>
    </x:cfRule>
  </x:conditionalFormatting>
  <x:conditionalFormatting sqref="O2:O1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b6163c00d0f4e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EEZ_934</x:v>
      </x:c>
      <x:c r="B2" s="24" t="str">
        <x:v>raw_filtered_tonnes</x:v>
      </x:c>
      <x:c r="C2" s="24" t="n">
        <x:v>65184.463024507</x:v>
      </x:c>
      <x:c r="D2" s="24" t="str">
        <x:v>tonnes</x:v>
      </x:c>
    </x:row>
    <x:row r="3" ht="18" customHeight="1">
      <x:c r="A3" s="24" t="str">
        <x:v>EEZ_934</x:v>
      </x:c>
      <x:c r="B3" s="24" t="str">
        <x:v>species_catch_tonnes</x:v>
      </x:c>
      <x:c r="C3" s="24" t="n">
        <x:v>65184.46302450699</x:v>
      </x:c>
      <x:c r="D3" s="24" t="str">
        <x:v>tonnes</x:v>
      </x:c>
    </x:row>
    <x:row r="4" ht="18" customHeight="1">
      <x:c r="A4" s="24" t="str">
        <x:v>EEZ_934</x:v>
      </x:c>
      <x:c r="B4" s="24" t="str">
        <x:v>catch_difference_tonnes</x:v>
      </x:c>
      <x:c r="C4" s="24" t="n">
        <x:v>-7.275957614183426e-12</x:v>
      </x:c>
      <x:c r="D4" s="24" t="str">
        <x:v>tonnes</x:v>
      </x:c>
    </x:row>
    <x:row r="5" ht="18" customHeight="1">
      <x:c r="A5" s="24" t="str">
        <x:v>EEZ_934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EEZ_934</x:v>
      </x:c>
      <x:c r="B6" s="24" t="str">
        <x:v>matched_catch_tonnes</x:v>
      </x:c>
      <x:c r="C6" s="24" t="n">
        <x:v>65184.46302450699</x:v>
      </x:c>
      <x:c r="D6" s="24" t="str">
        <x:v>tonnes</x:v>
      </x:c>
    </x:row>
    <x:row r="7" ht="18" customHeight="1">
      <x:c r="A7" s="24" t="str">
        <x:v>EEZ_934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EEZ_934</x:v>
      </x:c>
      <x:c r="B8" s="24" t="str">
        <x:v>taxa_count</x:v>
      </x:c>
      <x:c r="C8" s="24" t="n">
        <x:v>57</x:v>
      </x:c>
      <x:c r="D8" s="24" t="str">
        <x:v>count</x:v>
      </x:c>
    </x:row>
    <x:row r="9" ht="18" customHeight="1">
      <x:c r="A9" s="24" t="str">
        <x:v>EEZ_934</x:v>
      </x:c>
      <x:c r="B9" s="24" t="str">
        <x:v>matched_taxa_count</x:v>
      </x:c>
      <x:c r="C9" s="24" t="n">
        <x:v>57</x:v>
      </x:c>
      <x:c r="D9" s="24" t="str">
        <x:v>count</x:v>
      </x:c>
    </x:row>
    <x:row r="10" ht="18" customHeight="1">
      <x:c r="A10" s="24" t="str">
        <x:v>EEZ_934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EEZ_934</x:v>
      </x:c>
      <x:c r="B11" s="24" t="str">
        <x:v>species_ppr</x:v>
      </x:c>
      <x:c r="C11" s="24" t="n">
        <x:v>36870962.78596789</x:v>
      </x:c>
      <x:c r="D11" s="24" t="str">
        <x:v>tonnes_primary_production_equivalent</x:v>
      </x:c>
    </x:row>
    <x:row r="12" ht="18" customHeight="1">
      <x:c r="A12" s="24" t="str">
        <x:v>EEZ_934</x:v>
      </x:c>
      <x:c r="B12" s="24" t="str">
        <x:v>commercial_ppr</x:v>
      </x:c>
      <x:c r="C12" s="24" t="n">
        <x:v>36870962.78596789</x:v>
      </x:c>
      <x:c r="D12" s="24" t="str">
        <x:v>tonnes_primary_production_equivalent</x:v>
      </x:c>
    </x:row>
    <x:row r="13" ht="18" customHeight="1">
      <x:c r="A13" s="24" t="str">
        <x:v>EEZ_934</x:v>
      </x:c>
      <x:c r="B13" s="24" t="str">
        <x:v>functional_ppr</x:v>
      </x:c>
      <x:c r="C13" s="24" t="n">
        <x:v>36870962.78596789</x:v>
      </x:c>
      <x:c r="D13" s="24" t="str">
        <x:v>tonnes_primary_production_equivalent</x:v>
      </x:c>
    </x:row>
    <x:row r="14" ht="18" customHeight="1">
      <x:c r="A14" s="24" t="str">
        <x:v>EEZ_934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EEZ_934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EEZ_934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EEZ_934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EEZ_934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EEZ_934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cceb053aeac4a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EEZ_934 - Egypt (Red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