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ee9d7a502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6e73563af234665"/>
    <x:sheet xmlns:r="http://schemas.openxmlformats.org/officeDocument/2006/relationships" name="Commercial" sheetId="2" r:id="R87a9ca13b57541d0"/>
    <x:sheet xmlns:r="http://schemas.openxmlformats.org/officeDocument/2006/relationships" name="Functional" sheetId="3" r:id="Rdb5365f2db604213"/>
    <x:sheet xmlns:r="http://schemas.openxmlformats.org/officeDocument/2006/relationships" name="Missing TL" sheetId="4" r:id="R6cdbe2df3fff4b5a"/>
    <x:sheet xmlns:r="http://schemas.openxmlformats.org/officeDocument/2006/relationships" name="Validation" sheetId="5" r:id="Ra68e9cc62c4b49fe"/>
    <x:sheet xmlns:r="http://schemas.openxmlformats.org/officeDocument/2006/relationships" name="Metadata" sheetId="6" r:id="R398da5484dd0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b94d3519c4563" /><Relationship Type="http://schemas.openxmlformats.org/officeDocument/2006/relationships/theme" Target="/xl/theme/theme1.xml" Id="R61d61a40f2ab48ff" /><Relationship Type="http://schemas.microsoft.com/office/2022/11/relationships/FeaturePropertyBag" Target="/xl/featurePropertyBag/featurePropertyBag.xml" Id="R1a79eeff49a04017" /><Relationship Type="http://schemas.openxmlformats.org/officeDocument/2006/relationships/sharedStrings" Target="/xl/sharedStrings.xml" Id="R3c419dc3f149412b" /><Relationship Type="http://schemas.openxmlformats.org/officeDocument/2006/relationships/worksheet" Target="/xl/worksheets/sheet1.xml" Id="R36e73563af234665" /><Relationship Type="http://schemas.openxmlformats.org/officeDocument/2006/relationships/worksheet" Target="/xl/worksheets/sheet2.xml" Id="R87a9ca13b57541d0" /><Relationship Type="http://schemas.openxmlformats.org/officeDocument/2006/relationships/worksheet" Target="/xl/worksheets/sheet3.xml" Id="Rdb5365f2db604213" /><Relationship Type="http://schemas.openxmlformats.org/officeDocument/2006/relationships/worksheet" Target="/xl/worksheets/sheet4.xml" Id="R6cdbe2df3fff4b5a" /><Relationship Type="http://schemas.openxmlformats.org/officeDocument/2006/relationships/worksheet" Target="/xl/worksheets/sheet5.xml" Id="Ra68e9cc62c4b49fe" /><Relationship Type="http://schemas.openxmlformats.org/officeDocument/2006/relationships/worksheet" Target="/xl/worksheets/sheet6.xml" Id="R398da5484dd0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7SpeciesTable" displayName="EEZ037SpeciesTable" ref="A1:U2" headerRowCount="1" totalsRowCount="0" totalsRowShown="0">
  <x:autoFilter ref="A1:U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7CommercialTable" displayName="EEZ037CommercialTable" ref="A1:O2" headerRowCount="1" totalsRowCount="0" totalsRowShown="0">
  <x:autoFilter ref="A1:O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7FunctionalTable" displayName="EEZ037FunctionalTable" ref="A1:O2" headerRowCount="1" totalsRowCount="0" totalsRowShown="0">
  <x:autoFilter ref="A1:O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7ValidationTable" displayName="EEZ03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e0ef57c1af4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59ad28afca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176e9af11a47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b30ea3128649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EEZ_037</x:v>
      </x:c>
      <x:c r="B2" s="24" t="str">
        <x:v>Macquarie Isl. (Australia)</x:v>
      </x:c>
      <x:c r="C2" s="24" t="str">
        <x:v>EEZ</x:v>
      </x:c>
      <x:c r="D2" s="30" t="n">
        <x:v>2019</x:v>
      </x:c>
      <x:c r="E2" s="24" t="str">
        <x:v>Dissostichus eleginoides</x:v>
      </x:c>
      <x:c r="F2" s="24" t="str">
        <x:v>Patagonian toothfish</x:v>
      </x:c>
      <x:c r="G2" s="24" t="str">
        <x:v>Large bathydemersals (&gt;=90 cm)</x:v>
      </x:c>
      <x:c r="H2" s="24" t="str">
        <x:v>Perch-likes</x:v>
      </x:c>
      <x:c r="I2" s="31" t="n">
        <x:v>434.33</x:v>
      </x:c>
      <x:c r="J2" s="31" t="n">
        <x:v>434.33</x:v>
      </x:c>
      <x:c r="K2" s="31" t="n">
        <x:v>0</x:v>
      </x:c>
      <x:c r="L2" s="31" t="n">
        <x:v>434.33</x:v>
      </x:c>
      <x:c r="M2" s="31" t="n">
        <x:v>0</x:v>
      </x:c>
      <x:c r="N2" s="24" t="str">
        <x:v>dissostichus eleginoides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eleginoides</x:v>
      </x:c>
      <x:c r="T2" s="32" t="n">
        <x:f>IF(O2="","",(1/'Metadata'!$B$5)^(O2-1))</x:f>
        <x:v>912.0108393559096</x:v>
      </x:c>
      <x:c r="U2" s="31" t="n">
        <x:f>IF(T2="","",I2*T2)</x:f>
        <x:v>396113.66785745224</x:v>
      </x:c>
    </x:row>
  </x:sheetData>
  <x:conditionalFormatting sqref="R2:R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e0ef57c1af4d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Perch-likes</x:v>
      </x:c>
      <x:c r="B2" s="33" t="n">
        <x:v>1</x:v>
      </x:c>
      <x:c r="C2" s="33" t="n">
        <x:v>1</x:v>
      </x:c>
      <x:c r="D2" s="31" t="n">
        <x:v>434.33</x:v>
      </x:c>
      <x:c r="E2" s="31" t="n">
        <x:v>434.33</x:v>
      </x:c>
      <x:c r="F2" s="32" t="n">
        <x:v>0</x:v>
      </x:c>
      <x:c r="G2" s="34" t="n">
        <x:v>1</x:v>
      </x:c>
      <x:c r="H2" s="32" t="n">
        <x:f>IF(E2=0,"",I2/E2)</x:f>
        <x:v>912.0108393559096</x:v>
      </x:c>
      <x:c r="I2" s="31" t="n">
        <x:f>IF(C2=0,"",SUMIF('Species'!$H$2:$H$2,A2,'Species'!$U$2:$U$2))</x:f>
        <x:v>396113.66785745224</x:v>
      </x:c>
      <x:c r="J2" s="32" t="n">
        <x:v>3.96</x:v>
      </x:c>
      <x:c r="K2" s="32" t="n">
        <x:f>IF(J2="","",(1/'Metadata'!$B$5)^(J2-1))</x:f>
        <x:v>912.0108393559096</x:v>
      </x:c>
      <x:c r="L2" s="31" t="n">
        <x:f>IF(E2=0,"",E2*K2)</x:f>
        <x:v>396113.66785745224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</x:sheetData>
  <x:conditionalFormatting sqref="G2:G2">
    <x:cfRule type="cellIs" dxfId="1" priority="1" operator="lessThan">
      <x:formula>0.9</x:formula>
    </x:cfRule>
  </x:conditionalFormatting>
  <x:conditionalFormatting sqref="O2:O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a59ad28afca46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434.33</x:v>
      </x:c>
      <x:c r="E2" s="31" t="n">
        <x:v>434.33</x:v>
      </x:c>
      <x:c r="F2" s="32" t="n">
        <x:v>0</x:v>
      </x:c>
      <x:c r="G2" s="34" t="n">
        <x:v>1</x:v>
      </x:c>
      <x:c r="H2" s="32" t="n">
        <x:f>IF(E2=0,"",I2/E2)</x:f>
        <x:v>912.0108393559096</x:v>
      </x:c>
      <x:c r="I2" s="31" t="n">
        <x:f>IF(C2=0,"",SUMIF('Species'!$G$2:$G$2,A2,'Species'!$U$2:$U$2))</x:f>
        <x:v>396113.66785745224</x:v>
      </x:c>
      <x:c r="J2" s="32" t="n">
        <x:v>3.96</x:v>
      </x:c>
      <x:c r="K2" s="32" t="n">
        <x:f>IF(J2="","",(1/'Metadata'!$B$5)^(J2-1))</x:f>
        <x:v>912.0108393559096</x:v>
      </x:c>
      <x:c r="L2" s="31" t="n">
        <x:f>IF(E2=0,"",E2*K2)</x:f>
        <x:v>396113.66785745224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</x:sheetData>
  <x:conditionalFormatting sqref="G2:G2">
    <x:cfRule type="cellIs" dxfId="2" priority="1" operator="lessThan">
      <x:formula>0.9</x:formula>
    </x:cfRule>
  </x:conditionalFormatting>
  <x:conditionalFormatting sqref="O2:O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8176e9af11a47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EEZ_037</x:v>
      </x:c>
      <x:c r="B2" s="24" t="str">
        <x:v>raw_filtered_tonnes</x:v>
      </x:c>
      <x:c r="C2" s="24" t="n">
        <x:v>434.33</x:v>
      </x:c>
      <x:c r="D2" s="24" t="str">
        <x:v>tonnes</x:v>
      </x:c>
    </x:row>
    <x:row r="3" ht="18" customHeight="1">
      <x:c r="A3" s="24" t="str">
        <x:v>EEZ_037</x:v>
      </x:c>
      <x:c r="B3" s="24" t="str">
        <x:v>species_catch_tonnes</x:v>
      </x:c>
      <x:c r="C3" s="24" t="n">
        <x:v>434.33</x:v>
      </x:c>
      <x:c r="D3" s="24" t="str">
        <x:v>tonnes</x:v>
      </x:c>
    </x:row>
    <x:row r="4" ht="18" customHeight="1">
      <x:c r="A4" s="24" t="str">
        <x:v>EEZ_037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EEZ_037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EEZ_037</x:v>
      </x:c>
      <x:c r="B6" s="24" t="str">
        <x:v>matched_catch_tonnes</x:v>
      </x:c>
      <x:c r="C6" s="24" t="n">
        <x:v>434.33</x:v>
      </x:c>
      <x:c r="D6" s="24" t="str">
        <x:v>tonnes</x:v>
      </x:c>
    </x:row>
    <x:row r="7" ht="18" customHeight="1">
      <x:c r="A7" s="24" t="str">
        <x:v>EEZ_037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EEZ_037</x:v>
      </x:c>
      <x:c r="B8" s="24" t="str">
        <x:v>taxa_count</x:v>
      </x:c>
      <x:c r="C8" s="24" t="n">
        <x:v>1</x:v>
      </x:c>
      <x:c r="D8" s="24" t="str">
        <x:v>count</x:v>
      </x:c>
    </x:row>
    <x:row r="9" ht="18" customHeight="1">
      <x:c r="A9" s="24" t="str">
        <x:v>EEZ_037</x:v>
      </x:c>
      <x:c r="B9" s="24" t="str">
        <x:v>matched_taxa_count</x:v>
      </x:c>
      <x:c r="C9" s="24" t="n">
        <x:v>1</x:v>
      </x:c>
      <x:c r="D9" s="24" t="str">
        <x:v>count</x:v>
      </x:c>
    </x:row>
    <x:row r="10" ht="18" customHeight="1">
      <x:c r="A10" s="24" t="str">
        <x:v>EEZ_037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EEZ_037</x:v>
      </x:c>
      <x:c r="B11" s="24" t="str">
        <x:v>species_ppr</x:v>
      </x:c>
      <x:c r="C11" s="24" t="n">
        <x:v>396113.66785745224</x:v>
      </x:c>
      <x:c r="D11" s="24" t="str">
        <x:v>tonnes_primary_production_equivalent</x:v>
      </x:c>
    </x:row>
    <x:row r="12" ht="18" customHeight="1">
      <x:c r="A12" s="24" t="str">
        <x:v>EEZ_037</x:v>
      </x:c>
      <x:c r="B12" s="24" t="str">
        <x:v>commercial_ppr</x:v>
      </x:c>
      <x:c r="C12" s="24" t="n">
        <x:v>396113.66785745224</x:v>
      </x:c>
      <x:c r="D12" s="24" t="str">
        <x:v>tonnes_primary_production_equivalent</x:v>
      </x:c>
    </x:row>
    <x:row r="13" ht="18" customHeight="1">
      <x:c r="A13" s="24" t="str">
        <x:v>EEZ_037</x:v>
      </x:c>
      <x:c r="B13" s="24" t="str">
        <x:v>functional_ppr</x:v>
      </x:c>
      <x:c r="C13" s="24" t="n">
        <x:v>396113.66785745224</x:v>
      </x:c>
      <x:c r="D13" s="24" t="str">
        <x:v>tonnes_primary_production_equivalent</x:v>
      </x:c>
    </x:row>
    <x:row r="14" ht="18" customHeight="1">
      <x:c r="A14" s="24" t="str">
        <x:v>EEZ_037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EEZ_037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EEZ_037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EEZ_037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EEZ_037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EEZ_037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3b30ea3128649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EEZ_037 - Macquarie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