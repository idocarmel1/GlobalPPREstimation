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255139592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ce6dc0d176b4fa5"/>
    <x:sheet xmlns:r="http://schemas.openxmlformats.org/officeDocument/2006/relationships" name="Commercial" sheetId="2" r:id="R4c74006d37b04910"/>
    <x:sheet xmlns:r="http://schemas.openxmlformats.org/officeDocument/2006/relationships" name="Functional" sheetId="3" r:id="R924729db47084cb7"/>
    <x:sheet xmlns:r="http://schemas.openxmlformats.org/officeDocument/2006/relationships" name="Missing TL" sheetId="4" r:id="R18b8b99514df49be"/>
    <x:sheet xmlns:r="http://schemas.openxmlformats.org/officeDocument/2006/relationships" name="Validation" sheetId="5" r:id="R4c4ecf67bd894400"/>
    <x:sheet xmlns:r="http://schemas.openxmlformats.org/officeDocument/2006/relationships" name="Metadata" sheetId="6" r:id="R7b0d50d037c2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12245fd4b4d39" /><Relationship Type="http://schemas.openxmlformats.org/officeDocument/2006/relationships/theme" Target="/xl/theme/theme1.xml" Id="R75f59c59d2ac4243" /><Relationship Type="http://schemas.microsoft.com/office/2022/11/relationships/FeaturePropertyBag" Target="/xl/featurePropertyBag/featurePropertyBag.xml" Id="R5dbf168400414339" /><Relationship Type="http://schemas.openxmlformats.org/officeDocument/2006/relationships/sharedStrings" Target="/xl/sharedStrings.xml" Id="R0cfce541d53143d9" /><Relationship Type="http://schemas.openxmlformats.org/officeDocument/2006/relationships/worksheet" Target="/xl/worksheets/sheet1.xml" Id="R8ce6dc0d176b4fa5" /><Relationship Type="http://schemas.openxmlformats.org/officeDocument/2006/relationships/worksheet" Target="/xl/worksheets/sheet2.xml" Id="R4c74006d37b04910" /><Relationship Type="http://schemas.openxmlformats.org/officeDocument/2006/relationships/worksheet" Target="/xl/worksheets/sheet3.xml" Id="R924729db47084cb7" /><Relationship Type="http://schemas.openxmlformats.org/officeDocument/2006/relationships/worksheet" Target="/xl/worksheets/sheet4.xml" Id="R18b8b99514df49be" /><Relationship Type="http://schemas.openxmlformats.org/officeDocument/2006/relationships/worksheet" Target="/xl/worksheets/sheet5.xml" Id="R4c4ecf67bd894400" /><Relationship Type="http://schemas.openxmlformats.org/officeDocument/2006/relationships/worksheet" Target="/xl/worksheets/sheet6.xml" Id="R7b0d50d037c245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60SpeciesTable" displayName="EEZ760SpeciesTable" ref="A1:U52" headerRowCount="1" totalsRowCount="0" totalsRowShown="0">
  <x:autoFilter ref="A1:U5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60CommercialTable" displayName="EEZ760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60FunctionalTable" displayName="EEZ760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60ValidationTable" displayName="EEZ76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0c0c1672bb4d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7dc90aeb7e46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bf4b78b4ac4f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319634209847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EEZ_760</x:v>
      </x:c>
      <x:c r="B2" s="24" t="str">
        <x:v>Syria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780.945849593</x:v>
      </x:c>
      <x:c r="J2" s="31" t="n">
        <x:v>695.65305553</x:v>
      </x:c>
      <x:c r="K2" s="31" t="n">
        <x:v>85.292794063</x:v>
      </x:c>
      <x:c r="L2" s="31" t="n">
        <x:v>330.000000012</x:v>
      </x:c>
      <x:c r="M2" s="31" t="n">
        <x:v>450.945849581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148806.16392558953</x:v>
      </x:c>
    </x:row>
    <x:row r="3" ht="18" customHeight="1">
      <x:c r="A3" s="24" t="str">
        <x:v>EEZ_760</x:v>
      </x:c>
      <x:c r="B3" s="24" t="str">
        <x:v>Syria</x:v>
      </x:c>
      <x:c r="C3" s="24" t="str">
        <x:v>EEZ</x:v>
      </x:c>
      <x:c r="D3" s="30" t="n">
        <x:v>2019</x:v>
      </x:c>
      <x:c r="E3" s="24" t="str">
        <x:v>Clupeidae</x:v>
      </x:c>
      <x:c r="F3" s="24" t="str">
        <x:v>Herrings, sardines, menhadens</x:v>
      </x:c>
      <x:c r="G3" s="24" t="str">
        <x:v>Small pelagics (&lt;30 cm)</x:v>
      </x:c>
      <x:c r="H3" s="24" t="str">
        <x:v>Herring-likes</x:v>
      </x:c>
      <x:c r="I3" s="31" t="n">
        <x:v>345.1317861351</x:v>
      </x:c>
      <x:c r="J3" s="31" t="n">
        <x:v>345.1317861351</x:v>
      </x:c>
      <x:c r="K3" s="31" t="n">
        <x:v>0</x:v>
      </x:c>
      <x:c r="L3" s="31" t="n">
        <x:v>220.000000006</x:v>
      </x:c>
      <x:c r="M3" s="31" t="n">
        <x:v>125.1317861291</x:v>
      </x:c>
      <x:c r="N3" s="24" t="str">
        <x:v>clupeidae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Clupeidae</x:v>
      </x:c>
      <x:c r="T3" s="32" t="n">
        <x:f>IF(O3="","",(1/'Metadata'!$B$5)^(O3-1))</x:f>
        <x:v>144.5439770745928</x:v>
      </x:c>
      <x:c r="U3" s="31" t="n">
        <x:f>IF(T3="","",I3*T3)</x:f>
        <x:v>49886.72098282516</x:v>
      </x:c>
    </x:row>
    <x:row r="4" ht="18" customHeight="1">
      <x:c r="A4" s="24" t="str">
        <x:v>EEZ_760</x:v>
      </x:c>
      <x:c r="B4" s="24" t="str">
        <x:v>Syria</x:v>
      </x:c>
      <x:c r="C4" s="24" t="str">
        <x:v>EEZ</x:v>
      </x:c>
      <x:c r="D4" s="30" t="n">
        <x:v>2019</x:v>
      </x:c>
      <x:c r="E4" s="24" t="str">
        <x:v>Mugilidae</x:v>
      </x:c>
      <x:c r="F4" s="24" t="str">
        <x:v>Mullets, grey mullets</x:v>
      </x:c>
      <x:c r="G4" s="24" t="str">
        <x:v>Medium reef assoc. fish (30 - 89 cm)</x:v>
      </x:c>
      <x:c r="H4" s="24" t="str">
        <x:v>Perch-likes</x:v>
      </x:c>
      <x:c r="I4" s="31" t="n">
        <x:v>220.46778241500002</x:v>
      </x:c>
      <x:c r="J4" s="31" t="n">
        <x:v>217.802383303</x:v>
      </x:c>
      <x:c r="K4" s="31" t="n">
        <x:v>2.665399112</x:v>
      </x:c>
      <x:c r="L4" s="31" t="n">
        <x:v>85.000000005</x:v>
      </x:c>
      <x:c r="M4" s="31" t="n">
        <x:v>135.46778241</x:v>
      </x:c>
      <x:c r="N4" s="24" t="str">
        <x:v>mugilidae</x:v>
      </x:c>
      <x:c r="O4" s="32" t="n">
        <x:v>2.53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Mugilidae</x:v>
      </x:c>
      <x:c r="T4" s="32" t="n">
        <x:f>IF(O4="","",(1/'Metadata'!$B$5)^(O4-1))</x:f>
        <x:v>33.88441561392024</x:v>
      </x:c>
      <x:c r="U4" s="31" t="n">
        <x:f>IF(T4="","",I4*T4)</x:f>
        <x:v>7470.421968829197</x:v>
      </x:c>
    </x:row>
    <x:row r="5" ht="18" customHeight="1">
      <x:c r="A5" s="24" t="str">
        <x:v>EEZ_760</x:v>
      </x:c>
      <x:c r="B5" s="24" t="str">
        <x:v>Syria</x:v>
      </x:c>
      <x:c r="C5" s="24" t="str">
        <x:v>EEZ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218.638546875</x:v>
      </x:c>
      <x:c r="J5" s="31" t="n">
        <x:v>218.638546875</x:v>
      </x:c>
      <x:c r="K5" s="31" t="n">
        <x:v>0</x:v>
      </x:c>
      <x:c r="L5" s="31" t="n">
        <x:v>140.000000002</x:v>
      </x:c>
      <x:c r="M5" s="31" t="n">
        <x:v>78.638546873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93266.72611741694</x:v>
      </x:c>
    </x:row>
    <x:row r="6" ht="18" customHeight="1">
      <x:c r="A6" s="24" t="str">
        <x:v>EEZ_760</x:v>
      </x:c>
      <x:c r="B6" s="24" t="str">
        <x:v>Syria</x:v>
      </x:c>
      <x:c r="C6" s="24" t="str">
        <x:v>EEZ</x:v>
      </x:c>
      <x:c r="D6" s="30" t="n">
        <x:v>2019</x:v>
      </x:c>
      <x:c r="E6" s="24" t="str">
        <x:v>Miscellaneous marine crustaceans</x:v>
      </x:c>
      <x:c r="F6" s="24" t="str">
        <x:v>Marine crabs, shrimps, lobsters nei</x:v>
      </x:c>
      <x:c r="G6" s="24" t="str">
        <x:v>Shrimps</x:v>
      </x:c>
      <x:c r="H6" s="24" t="str">
        <x:v>Crustaceans</x:v>
      </x:c>
      <x:c r="I6" s="31" t="n">
        <x:v>215.00000001</x:v>
      </x:c>
      <x:c r="J6" s="31" t="n">
        <x:v>215.00000001</x:v>
      </x:c>
      <x:c r="K6" s="31" t="n">
        <x:v>0</x:v>
      </x:c>
      <x:c r="L6" s="31" t="n">
        <x:v>215.00000001</x:v>
      </x:c>
      <x:c r="M6" s="31" t="n">
        <x:v>0</x:v>
      </x:c>
      <x:c r="N6" s="24" t="str">
        <x:v>miscellaneous marine crustaceans</x:v>
      </x:c>
      <x:c r="O6" s="32" t="n">
        <x:v>2.7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Miscellaneous marine crustaceans</x:v>
      </x:c>
      <x:c r="T6" s="32" t="n">
        <x:f>IF(O6="","",(1/'Metadata'!$B$5)^(O6-1))</x:f>
        <x:v>50.11872336272725</x:v>
      </x:c>
      <x:c r="U6" s="31" t="n">
        <x:f>IF(T6="","",I6*T6)</x:f>
        <x:v>10775.525523487548</x:v>
      </x:c>
    </x:row>
    <x:row r="7" ht="18" customHeight="1">
      <x:c r="A7" s="24" t="str">
        <x:v>EEZ_760</x:v>
      </x:c>
      <x:c r="B7" s="24" t="str">
        <x:v>Syria</x:v>
      </x:c>
      <x:c r="C7" s="24" t="str">
        <x:v>EEZ</x:v>
      </x:c>
      <x:c r="D7" s="30" t="n">
        <x:v>2019</x:v>
      </x:c>
      <x:c r="E7" s="24" t="str">
        <x:v>Euthynnus alletteratus</x:v>
      </x:c>
      <x:c r="F7" s="24" t="str">
        <x:v>Little tunny </x:v>
      </x:c>
      <x:c r="G7" s="24" t="str">
        <x:v>Large pelagics (&gt;=90 cm)</x:v>
      </x:c>
      <x:c r="H7" s="24" t="str">
        <x:v>Tuna &amp; billfishes</x:v>
      </x:c>
      <x:c r="I7" s="31" t="n">
        <x:v>191.968595983</x:v>
      </x:c>
      <x:c r="J7" s="31" t="n">
        <x:v>191.968595983</x:v>
      </x:c>
      <x:c r="K7" s="31" t="n">
        <x:v>0</x:v>
      </x:c>
      <x:c r="L7" s="31" t="n">
        <x:v>0</x:v>
      </x:c>
      <x:c r="M7" s="31" t="n">
        <x:v>191.968595983</x:v>
      </x:c>
      <x:c r="N7" s="24" t="str">
        <x:v>euthynnus alletteratus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Euthynnus alletteratus</x:v>
      </x:c>
      <x:c r="T7" s="32" t="n">
        <x:f>IF(O7="","",(1/'Metadata'!$B$5)^(O7-1))</x:f>
        <x:v>3090.295432513592</x:v>
      </x:c>
      <x:c r="U7" s="31" t="n">
        <x:f>IF(T7="","",I7*T7)</x:f>
        <x:v>593239.675352312</x:v>
      </x:c>
    </x:row>
    <x:row r="8" ht="18" customHeight="1">
      <x:c r="A8" s="24" t="str">
        <x:v>EEZ_760</x:v>
      </x:c>
      <x:c r="B8" s="24" t="str">
        <x:v>Syria</x:v>
      </x:c>
      <x:c r="C8" s="24" t="str">
        <x:v>EEZ</x:v>
      </x:c>
      <x:c r="D8" s="30" t="n">
        <x:v>2019</x:v>
      </x:c>
      <x:c r="E8" s="24" t="str">
        <x:v>Thunnus thynnus</x:v>
      </x:c>
      <x:c r="F8" s="24" t="str">
        <x:v>Atlantic bluefin tuna</x:v>
      </x:c>
      <x:c r="G8" s="24" t="str">
        <x:v>Large pelagics (&gt;=90 cm)</x:v>
      </x:c>
      <x:c r="H8" s="24" t="str">
        <x:v>Tuna &amp; billfishes</x:v>
      </x:c>
      <x:c r="I8" s="31" t="n">
        <x:v>182.7793998697</x:v>
      </x:c>
      <x:c r="J8" s="31" t="n">
        <x:v>182.7793998697</x:v>
      </x:c>
      <x:c r="K8" s="31" t="n">
        <x:v>0</x:v>
      </x:c>
      <x:c r="L8" s="31" t="n">
        <x:v>143.1499362437</x:v>
      </x:c>
      <x:c r="M8" s="31" t="n">
        <x:v>39.629463626</x:v>
      </x:c>
      <x:c r="N8" s="24" t="str">
        <x:v>thunnus thynnus</x:v>
      </x:c>
      <x:c r="O8" s="32" t="n">
        <x:v>4.45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thynnus</x:v>
      </x:c>
      <x:c r="T8" s="32" t="n">
        <x:f>IF(O8="","",(1/'Metadata'!$B$5)^(O8-1))</x:f>
        <x:v>2818.382931264455</x:v>
      </x:c>
      <x:c r="U8" s="31" t="n">
        <x:f>IF(T8="","",I8*T8)</x:f>
        <x:v>515142.340779523</x:v>
      </x:c>
    </x:row>
    <x:row r="9" ht="18" customHeight="1">
      <x:c r="A9" s="24" t="str">
        <x:v>EEZ_760</x:v>
      </x:c>
      <x:c r="B9" s="24" t="str">
        <x:v>Syria</x:v>
      </x:c>
      <x:c r="C9" s="24" t="str">
        <x:v>EEZ</x:v>
      </x:c>
      <x:c r="D9" s="30" t="n">
        <x:v>2019</x:v>
      </x:c>
      <x:c r="E9" s="24" t="str">
        <x:v>Diplodus</x:v>
      </x:c>
      <x:c r="F9" s="24" t="str">
        <x:v>Two-toothed seabreams</x:v>
      </x:c>
      <x:c r="G9" s="24" t="str">
        <x:v>Medium benthopelagics (30 - 89 cm)</x:v>
      </x:c>
      <x:c r="H9" s="24" t="str">
        <x:v>Perch-likes</x:v>
      </x:c>
      <x:c r="I9" s="31" t="n">
        <x:v>142.57629875499998</x:v>
      </x:c>
      <x:c r="J9" s="31" t="n">
        <x:v>142.57629875499998</x:v>
      </x:c>
      <x:c r="K9" s="31" t="n">
        <x:v>0</x:v>
      </x:c>
      <x:c r="L9" s="31" t="n">
        <x:v>0</x:v>
      </x:c>
      <x:c r="M9" s="31" t="n">
        <x:v>142.57629875499998</x:v>
      </x:c>
      <x:c r="N9" s="24" t="str">
        <x:v>diplodus</x:v>
      </x:c>
      <x:c r="O9" s="32" t="n">
        <x:v>2.97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Diplodus</x:v>
      </x:c>
      <x:c r="T9" s="32" t="n">
        <x:f>IF(O9="","",(1/'Metadata'!$B$5)^(O9-1))</x:f>
        <x:v>93.32543007969915</x:v>
      </x:c>
      <x:c r="U9" s="31" t="n">
        <x:f>IF(T9="","",I9*T9)</x:f>
        <x:v>13305.994400482046</x:v>
      </x:c>
    </x:row>
    <x:row r="10" ht="18" customHeight="1">
      <x:c r="A10" s="24" t="str">
        <x:v>EEZ_760</x:v>
      </x:c>
      <x:c r="B10" s="24" t="str">
        <x:v>Syria</x:v>
      </x:c>
      <x:c r="C10" s="24" t="str">
        <x:v>EEZ</x:v>
      </x:c>
      <x:c r="D10" s="30" t="n">
        <x:v>2019</x:v>
      </x:c>
      <x:c r="E10" s="24" t="str">
        <x:v>Perciformes</x:v>
      </x:c>
      <x:c r="F10" s="24" t="str">
        <x:v>Perch-likes</x:v>
      </x:c>
      <x:c r="G10" s="24" t="str">
        <x:v>Medium demersals (30 - 89 cm)</x:v>
      </x:c>
      <x:c r="H10" s="24" t="str">
        <x:v>Perch-likes</x:v>
      </x:c>
      <x:c r="I10" s="31" t="n">
        <x:v>135</x:v>
      </x:c>
      <x:c r="J10" s="31" t="n">
        <x:v>135</x:v>
      </x:c>
      <x:c r="K10" s="31" t="n">
        <x:v>0</x:v>
      </x:c>
      <x:c r="L10" s="31" t="n">
        <x:v>135</x:v>
      </x:c>
      <x:c r="M10" s="31" t="n">
        <x:v>0</x:v>
      </x:c>
      <x:c r="N10" s="24" t="str">
        <x:v>perciformes</x:v>
      </x:c>
      <x:c r="O10" s="32" t="n">
        <x:v>3.53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Perciformes</x:v>
      </x:c>
      <x:c r="T10" s="32" t="n">
        <x:f>IF(O10="","",(1/'Metadata'!$B$5)^(O10-1))</x:f>
        <x:v>338.84415613920237</x:v>
      </x:c>
      <x:c r="U10" s="31" t="n">
        <x:f>IF(T10="","",I10*T10)</x:f>
        <x:v>45743.96107879232</x:v>
      </x:c>
    </x:row>
    <x:row r="11" ht="18" customHeight="1">
      <x:c r="A11" s="24" t="str">
        <x:v>EEZ_760</x:v>
      </x:c>
      <x:c r="B11" s="24" t="str">
        <x:v>Syria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118.899937092</x:v>
      </x:c>
      <x:c r="J11" s="31" t="n">
        <x:v>114.568663535</x:v>
      </x:c>
      <x:c r="K11" s="31" t="n">
        <x:v>4.331273557</x:v>
      </x:c>
      <x:c r="L11" s="31" t="n">
        <x:v>70</x:v>
      </x:c>
      <x:c r="M11" s="31" t="n">
        <x:v>48.899937092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24276.251317955644</x:v>
      </x:c>
    </x:row>
    <x:row r="12" ht="18" customHeight="1">
      <x:c r="A12" s="24" t="str">
        <x:v>EEZ_760</x:v>
      </x:c>
      <x:c r="B12" s="24" t="str">
        <x:v>Syria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113.025630225</x:v>
      </x:c>
      <x:c r="J12" s="31" t="n">
        <x:v>110.859993447</x:v>
      </x:c>
      <x:c r="K12" s="31" t="n">
        <x:v>2.165636778</x:v>
      </x:c>
      <x:c r="L12" s="31" t="n">
        <x:v>24.999999996</x:v>
      </x:c>
      <x:c r="M12" s="31" t="n">
        <x:v>88.025630229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107938.63889527532</x:v>
      </x:c>
    </x:row>
    <x:row r="13" ht="18" customHeight="1">
      <x:c r="A13" s="24" t="str">
        <x:v>EEZ_760</x:v>
      </x:c>
      <x:c r="B13" s="24" t="str">
        <x:v>Syria</x:v>
      </x:c>
      <x:c r="C13" s="24" t="str">
        <x:v>EEZ</x:v>
      </x:c>
      <x:c r="D13" s="30" t="n">
        <x:v>2019</x:v>
      </x:c>
      <x:c r="E13" s="24" t="str">
        <x:v>Boops boops</x:v>
      </x:c>
      <x:c r="F13" s="24" t="str">
        <x:v>Bogue</x:v>
      </x:c>
      <x:c r="G13" s="24" t="str">
        <x:v>Medium demersals (30 - 89 cm)</x:v>
      </x:c>
      <x:c r="H13" s="24" t="str">
        <x:v>Perch-likes</x:v>
      </x:c>
      <x:c r="I13" s="31" t="n">
        <x:v>112.821643349</x:v>
      </x:c>
      <x:c r="J13" s="31" t="n">
        <x:v>112.821643349</x:v>
      </x:c>
      <x:c r="K13" s="31" t="n">
        <x:v>0</x:v>
      </x:c>
      <x:c r="L13" s="31" t="n">
        <x:v>70.00000000200001</x:v>
      </x:c>
      <x:c r="M13" s="31" t="n">
        <x:v>42.821643347000006</x:v>
      </x:c>
      <x:c r="N13" s="24" t="str">
        <x:v>boops boops</x:v>
      </x:c>
      <x:c r="O13" s="32" t="n">
        <x:v>2.79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Boops boops</x:v>
      </x:c>
      <x:c r="T13" s="32" t="n">
        <x:f>IF(O13="","",(1/'Metadata'!$B$5)^(O13-1))</x:f>
        <x:v>61.65950018614822</x:v>
      </x:c>
      <x:c r="U13" s="31" t="n">
        <x:f>IF(T13="","",I13*T13)</x:f>
        <x:v>6956.526139079214</x:v>
      </x:c>
    </x:row>
    <x:row r="14" ht="18" customHeight="1">
      <x:c r="A14" s="24" t="str">
        <x:v>EEZ_760</x:v>
      </x:c>
      <x:c r="B14" s="24" t="str">
        <x:v>Syria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93.405961738</x:v>
      </x:c>
      <x:c r="J14" s="31" t="n">
        <x:v>93.405961738</x:v>
      </x:c>
      <x:c r="K14" s="31" t="n">
        <x:v>0</x:v>
      </x:c>
      <x:c r="L14" s="31" t="n">
        <x:v>55.000000002</x:v>
      </x:c>
      <x:c r="M14" s="31" t="n">
        <x:v>38.405961736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26938.573623223034</x:v>
      </x:c>
    </x:row>
    <x:row r="15" ht="18" customHeight="1">
      <x:c r="A15" s="24" t="str">
        <x:v>EEZ_760</x:v>
      </x:c>
      <x:c r="B15" s="24" t="str">
        <x:v>Syria</x:v>
      </x:c>
      <x:c r="C15" s="24" t="str">
        <x:v>EEZ</x:v>
      </x:c>
      <x:c r="D15" s="30" t="n">
        <x:v>2019</x:v>
      </x:c>
      <x:c r="E15" s="24" t="str">
        <x:v>Diplodus sargus</x:v>
      </x:c>
      <x:c r="F15" s="24" t="str">
        <x:v>White seabream</x:v>
      </x:c>
      <x:c r="G15" s="24" t="str">
        <x:v>Medium demersals (30 - 89 cm)</x:v>
      </x:c>
      <x:c r="H15" s="24" t="str">
        <x:v>Perch-likes</x:v>
      </x:c>
      <x:c r="I15" s="31" t="n">
        <x:v>90.471903915</x:v>
      </x:c>
      <x:c r="J15" s="31" t="n">
        <x:v>90.471903915</x:v>
      </x:c>
      <x:c r="K15" s="31" t="n">
        <x:v>0</x:v>
      </x:c>
      <x:c r="L15" s="31" t="n">
        <x:v>55.000000002</x:v>
      </x:c>
      <x:c r="M15" s="31" t="n">
        <x:v>35.471903913</x:v>
      </x:c>
      <x:c r="N15" s="24" t="str">
        <x:v>diplodus sargus</x:v>
      </x:c>
      <x:c r="O15" s="32" t="n">
        <x:v>3.38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Diplodus sargus</x:v>
      </x:c>
      <x:c r="T15" s="32" t="n">
        <x:f>IF(O15="","",(1/'Metadata'!$B$5)^(O15-1))</x:f>
        <x:v>239.88329190194898</x:v>
      </x:c>
      <x:c r="U15" s="31" t="n">
        <x:f>IF(T15="","",I15*T15)</x:f>
        <x:v>21702.698135767027</x:v>
      </x:c>
    </x:row>
    <x:row r="16" ht="18" customHeight="1">
      <x:c r="A16" s="24" t="str">
        <x:v>EEZ_760</x:v>
      </x:c>
      <x:c r="B16" s="24" t="str">
        <x:v>Syria</x:v>
      </x:c>
      <x:c r="C16" s="24" t="str">
        <x:v>EEZ</x:v>
      </x:c>
      <x:c r="D16" s="30" t="n">
        <x:v>2019</x:v>
      </x:c>
      <x:c r="E16" s="24" t="str">
        <x:v>Sphyraenidae</x:v>
      </x:c>
      <x:c r="F16" s="24" t="str">
        <x:v>Barracudas</x:v>
      </x:c>
      <x:c r="G16" s="24" t="str">
        <x:v>Medium reef assoc. fish (30 - 89 cm)</x:v>
      </x:c>
      <x:c r="H16" s="24" t="str">
        <x:v>Perch-likes</x:v>
      </x:c>
      <x:c r="I16" s="31" t="n">
        <x:v>83.268264649</x:v>
      </x:c>
      <x:c r="J16" s="31" t="n">
        <x:v>83.268264649</x:v>
      </x:c>
      <x:c r="K16" s="31" t="n">
        <x:v>0</x:v>
      </x:c>
      <x:c r="L16" s="31" t="n">
        <x:v>50.000000004</x:v>
      </x:c>
      <x:c r="M16" s="31" t="n">
        <x:v>33.268264645</x:v>
      </x:c>
      <x:c r="N16" s="24" t="str">
        <x:v>sphyraenidae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Sphyraenidae</x:v>
      </x:c>
      <x:c r="T16" s="32" t="n">
        <x:f>IF(O16="","",(1/'Metadata'!$B$5)^(O16-1))</x:f>
        <x:v>2511.886431509582</x:v>
      </x:c>
      <x:c r="U16" s="31" t="n">
        <x:f>IF(T16="","",I16*T16)</x:f>
        <x:v>209160.4241471721</x:v>
      </x:c>
    </x:row>
    <x:row r="17" ht="18" customHeight="1">
      <x:c r="A17" s="24" t="str">
        <x:v>EEZ_760</x:v>
      </x:c>
      <x:c r="B17" s="24" t="str">
        <x:v>Syria</x:v>
      </x:c>
      <x:c r="C17" s="24" t="str">
        <x:v>EEZ</x:v>
      </x:c>
      <x:c r="D17" s="30" t="n">
        <x:v>2019</x:v>
      </x:c>
      <x:c r="E17" s="24" t="str">
        <x:v>Squalidae</x:v>
      </x:c>
      <x:c r="F17" s="24" t="str">
        <x:v>Dogfish sharks</x:v>
      </x:c>
      <x:c r="G17" s="24" t="str">
        <x:v>Large sharks (&gt;=90 cm)</x:v>
      </x:c>
      <x:c r="H17" s="24" t="str">
        <x:v>Sharks &amp; rays</x:v>
      </x:c>
      <x:c r="I17" s="31" t="n">
        <x:v>79.12903613</x:v>
      </x:c>
      <x:c r="J17" s="31" t="n">
        <x:v>0</x:v>
      </x:c>
      <x:c r="K17" s="31" t="n">
        <x:v>79.12903613</x:v>
      </x:c>
      <x:c r="L17" s="31" t="n">
        <x:v>0</x:v>
      </x:c>
      <x:c r="M17" s="31" t="n">
        <x:v>79.12903613</x:v>
      </x:c>
      <x:c r="N17" s="24" t="str">
        <x:v>squalidae</x:v>
      </x:c>
      <x:c r="O17" s="32" t="n">
        <x:v>4.23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Squalidae</x:v>
      </x:c>
      <x:c r="T17" s="32" t="n">
        <x:f>IF(O17="","",(1/'Metadata'!$B$5)^(O17-1))</x:f>
        <x:v>1698.243652461746</x:v>
      </x:c>
      <x:c r="U17" s="31" t="n">
        <x:f>IF(T17="","",I17*T17)</x:f>
        <x:v>134380.38333318866</x:v>
      </x:c>
    </x:row>
    <x:row r="18" ht="18" customHeight="1">
      <x:c r="A18" s="24" t="str">
        <x:v>EEZ_760</x:v>
      </x:c>
      <x:c r="B18" s="24" t="str">
        <x:v>Syria</x:v>
      </x:c>
      <x:c r="C18" s="24" t="str">
        <x:v>EEZ</x:v>
      </x:c>
      <x:c r="D18" s="30" t="n">
        <x:v>2019</x:v>
      </x:c>
      <x:c r="E18" s="24" t="str">
        <x:v>Rajidae</x:v>
      </x:c>
      <x:c r="F18" s="24" t="str">
        <x:v>Stingrays</x:v>
      </x:c>
      <x:c r="G18" s="24" t="str">
        <x:v>Large rays (&gt;=90 cm)</x:v>
      </x:c>
      <x:c r="H18" s="24" t="str">
        <x:v>Sharks &amp; rays</x:v>
      </x:c>
      <x:c r="I18" s="31" t="n">
        <x:v>79.12903613</x:v>
      </x:c>
      <x:c r="J18" s="31" t="n">
        <x:v>0</x:v>
      </x:c>
      <x:c r="K18" s="31" t="n">
        <x:v>79.12903613</x:v>
      </x:c>
      <x:c r="L18" s="31" t="n">
        <x:v>0</x:v>
      </x:c>
      <x:c r="M18" s="31" t="n">
        <x:v>79.12903613</x:v>
      </x:c>
      <x:c r="N18" s="24" t="str">
        <x:v>rajidae</x:v>
      </x:c>
      <x:c r="O18" s="32" t="n">
        <x:v>3.82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Rajidae</x:v>
      </x:c>
      <x:c r="T18" s="32" t="n">
        <x:f>IF(O18="","",(1/'Metadata'!$B$5)^(O18-1))</x:f>
        <x:v>660.6934480075957</x:v>
      </x:c>
      <x:c r="U18" s="31" t="n">
        <x:f>IF(T18="","",I18*T18)</x:f>
        <x:v>52280.03571824732</x:v>
      </x:c>
    </x:row>
    <x:row r="19" ht="18" customHeight="1">
      <x:c r="A19" s="24" t="str">
        <x:v>EEZ_760</x:v>
      </x:c>
      <x:c r="B19" s="24" t="str">
        <x:v>Syria</x:v>
      </x:c>
      <x:c r="C19" s="24" t="str">
        <x:v>EEZ</x:v>
      </x:c>
      <x:c r="D19" s="30" t="n">
        <x:v>2019</x:v>
      </x:c>
      <x:c r="E19" s="24" t="str">
        <x:v>Lophiidae</x:v>
      </x:c>
      <x:c r="F19" s="24" t="str">
        <x:v>Goosefishes</x:v>
      </x:c>
      <x:c r="G19" s="24" t="str">
        <x:v>Medium bathydemersals (30 - 89 cm)</x:v>
      </x:c>
      <x:c r="H19" s="24" t="str">
        <x:v>Other fishes &amp; inverts</x:v>
      </x:c>
      <x:c r="I19" s="31" t="n">
        <x:v>79.12903613</x:v>
      </x:c>
      <x:c r="J19" s="31" t="n">
        <x:v>0</x:v>
      </x:c>
      <x:c r="K19" s="31" t="n">
        <x:v>79.12903613</x:v>
      </x:c>
      <x:c r="L19" s="31" t="n">
        <x:v>0</x:v>
      </x:c>
      <x:c r="M19" s="31" t="n">
        <x:v>79.12903613</x:v>
      </x:c>
      <x:c r="N19" s="24" t="str">
        <x:v>lophiidae</x:v>
      </x:c>
      <x:c r="O19" s="32" t="n">
        <x:v>4.46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Lophiidae</x:v>
      </x:c>
      <x:c r="T19" s="32" t="n">
        <x:f>IF(O19="","",(1/'Metadata'!$B$5)^(O19-1))</x:f>
        <x:v>2884.031503126606</x:v>
      </x:c>
      <x:c r="U19" s="31" t="n">
        <x:f>IF(T19="","",I19*T19)</x:f>
        <x:v>228210.63301096341</x:v>
      </x:c>
    </x:row>
    <x:row r="20" ht="18" customHeight="1">
      <x:c r="A20" s="24" t="str">
        <x:v>EEZ_760</x:v>
      </x:c>
      <x:c r="B20" s="24" t="str">
        <x:v>Syria</x:v>
      </x:c>
      <x:c r="C20" s="24" t="str">
        <x:v>EEZ</x:v>
      </x:c>
      <x:c r="D20" s="30" t="n">
        <x:v>2019</x:v>
      </x:c>
      <x:c r="E20" s="24" t="str">
        <x:v>Trachurus trachurus</x:v>
      </x:c>
      <x:c r="F20" s="24" t="str">
        <x:v>Atlantic horse mackerel</x:v>
      </x:c>
      <x:c r="G20" s="24" t="str">
        <x:v>Medium pelagics (30 - 89 cm)</x:v>
      </x:c>
      <x:c r="H20" s="24" t="str">
        <x:v>Perch-likes</x:v>
      </x:c>
      <x:c r="I20" s="31" t="n">
        <x:v>67.527312095</x:v>
      </x:c>
      <x:c r="J20" s="31" t="n">
        <x:v>67.527312095</x:v>
      </x:c>
      <x:c r="K20" s="31" t="n">
        <x:v>0</x:v>
      </x:c>
      <x:c r="L20" s="31" t="n">
        <x:v>39.999999999</x:v>
      </x:c>
      <x:c r="M20" s="31" t="n">
        <x:v>27.527312096</x:v>
      </x:c>
      <x:c r="N20" s="24" t="str">
        <x:v>trachurus trachurus</x:v>
      </x:c>
      <x:c r="O20" s="32" t="n">
        <x:v>3.71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Trachurus trachurus</x:v>
      </x:c>
      <x:c r="T20" s="32" t="n">
        <x:f>IF(O20="","",(1/'Metadata'!$B$5)^(O20-1))</x:f>
        <x:v>512.8613839913648</x:v>
      </x:c>
      <x:c r="U20" s="31" t="n">
        <x:f>IF(T20="","",I20*T20)</x:f>
        <x:v>34632.15073825853</x:v>
      </x:c>
    </x:row>
    <x:row r="21" ht="18" customHeight="1">
      <x:c r="A21" s="24" t="str">
        <x:v>EEZ_760</x:v>
      </x:c>
      <x:c r="B21" s="24" t="str">
        <x:v>Syria</x:v>
      </x:c>
      <x:c r="C21" s="24" t="str">
        <x:v>EEZ</x:v>
      </x:c>
      <x:c r="D21" s="30" t="n">
        <x:v>2019</x:v>
      </x:c>
      <x:c r="E21" s="24" t="str">
        <x:v>Auxis rochei</x:v>
      </x:c>
      <x:c r="F21" s="24" t="str">
        <x:v>Bullet tuna</x:v>
      </x:c>
      <x:c r="G21" s="24" t="str">
        <x:v>Medium pelagics (30 - 89 cm)</x:v>
      </x:c>
      <x:c r="H21" s="24" t="str">
        <x:v>Tuna &amp; billfishes</x:v>
      </x:c>
      <x:c r="I21" s="31" t="n">
        <x:v>63.0441330321</x:v>
      </x:c>
      <x:c r="J21" s="31" t="n">
        <x:v>63.0441330321</x:v>
      </x:c>
      <x:c r="K21" s="31" t="n">
        <x:v>0</x:v>
      </x:c>
      <x:c r="L21" s="31" t="n">
        <x:v>0.0945068951</x:v>
      </x:c>
      <x:c r="M21" s="31" t="n">
        <x:v>62.949626136999996</x:v>
      </x:c>
      <x:c r="N21" s="24" t="str">
        <x:v>auxis rochei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Auxis rochei</x:v>
      </x:c>
      <x:c r="T21" s="32" t="n">
        <x:f>IF(O21="","",(1/'Metadata'!$B$5)^(O21-1))</x:f>
        <x:v>1348.9628825916532</x:v>
      </x:c>
      <x:c r="U21" s="31" t="n">
        <x:f>IF(T21="","",I21*T21)</x:f>
        <x:v>85044.19542547327</x:v>
      </x:c>
    </x:row>
    <x:row r="22" ht="18" customHeight="1">
      <x:c r="A22" s="24" t="str">
        <x:v>EEZ_760</x:v>
      </x:c>
      <x:c r="B22" s="24" t="str">
        <x:v>Syria</x:v>
      </x:c>
      <x:c r="C22" s="24" t="str">
        <x:v>EEZ</x:v>
      </x:c>
      <x:c r="D22" s="30" t="n">
        <x:v>2019</x:v>
      </x:c>
      <x:c r="E22" s="24" t="str">
        <x:v>Mullus barbatus</x:v>
      </x:c>
      <x:c r="F22" s="24" t="str">
        <x:v>Red mullet</x:v>
      </x:c>
      <x:c r="G22" s="24" t="str">
        <x:v>Medium demersals (30 - 89 cm)</x:v>
      </x:c>
      <x:c r="H22" s="24" t="str">
        <x:v>Perch-likes</x:v>
      </x:c>
      <x:c r="I22" s="31" t="n">
        <x:v>53.77999172</x:v>
      </x:c>
      <x:c r="J22" s="31" t="n">
        <x:v>53.77999172</x:v>
      </x:c>
      <x:c r="K22" s="31" t="n">
        <x:v>0</x:v>
      </x:c>
      <x:c r="L22" s="31" t="n">
        <x:v>0</x:v>
      </x:c>
      <x:c r="M22" s="31" t="n">
        <x:v>53.77999172</x:v>
      </x:c>
      <x:c r="N22" s="24" t="str">
        <x:v>mullus barbatus</x:v>
      </x:c>
      <x:c r="O22" s="32" t="n">
        <x:v>3.14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Mullus barbatus</x:v>
      </x:c>
      <x:c r="T22" s="32" t="n">
        <x:f>IF(O22="","",(1/'Metadata'!$B$5)^(O22-1))</x:f>
        <x:v>138.03842646028852</x:v>
      </x:c>
      <x:c r="U22" s="31" t="n">
        <x:f>IF(T22="","",I22*T22)</x:f>
        <x:v>7423.705432076145</x:v>
      </x:c>
    </x:row>
    <x:row r="23" ht="18" customHeight="1">
      <x:c r="A23" s="24" t="str">
        <x:v>EEZ_760</x:v>
      </x:c>
      <x:c r="B23" s="24" t="str">
        <x:v>Syria</x:v>
      </x:c>
      <x:c r="C23" s="24" t="str">
        <x:v>EEZ</x:v>
      </x:c>
      <x:c r="D23" s="30" t="n">
        <x:v>2019</x:v>
      </x:c>
      <x:c r="E23" s="24" t="str">
        <x:v>Sphyraena</x:v>
      </x:c>
      <x:c r="F23" s="24" t="str">
        <x:v>Barracudas, sennets</x:v>
      </x:c>
      <x:c r="G23" s="24" t="str">
        <x:v>Large pelagics (&gt;=90 cm)</x:v>
      </x:c>
      <x:c r="H23" s="24" t="str">
        <x:v>Perch-likes</x:v>
      </x:c>
      <x:c r="I23" s="31" t="n">
        <x:v>45.096005777</x:v>
      </x:c>
      <x:c r="J23" s="31" t="n">
        <x:v>43.763306221</x:v>
      </x:c>
      <x:c r="K23" s="31" t="n">
        <x:v>1.332699556</x:v>
      </x:c>
      <x:c r="L23" s="31" t="n">
        <x:v>0</x:v>
      </x:c>
      <x:c r="M23" s="31" t="n">
        <x:v>45.096005777</x:v>
      </x:c>
      <x:c r="N23" s="24" t="str">
        <x:v>sphyraena</x:v>
      </x:c>
      <x:c r="O23" s="32" t="n">
        <x:v>4.4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Sphyraena</x:v>
      </x:c>
      <x:c r="T23" s="32" t="n">
        <x:f>IF(O23="","",(1/'Metadata'!$B$5)^(O23-1))</x:f>
        <x:v>2511.886431509582</x:v>
      </x:c>
      <x:c r="U23" s="31" t="n">
        <x:f>IF(T23="","",I23*T23)</x:f>
        <x:v>113276.04502652404</x:v>
      </x:c>
    </x:row>
    <x:row r="24" ht="18" customHeight="1">
      <x:c r="A24" s="24" t="str">
        <x:v>EEZ_760</x:v>
      </x:c>
      <x:c r="B24" s="24" t="str">
        <x:v>Syria</x:v>
      </x:c>
      <x:c r="C24" s="24" t="str">
        <x:v>EEZ</x:v>
      </x:c>
      <x:c r="D24" s="30" t="n">
        <x:v>2019</x:v>
      </x:c>
      <x:c r="E24" s="24" t="str">
        <x:v>Rajiformes</x:v>
      </x:c>
      <x:c r="F24" s="24" t="str">
        <x:v>Skates and rays</x:v>
      </x:c>
      <x:c r="G24" s="24" t="str">
        <x:v>Large rays (&gt;=90 cm)</x:v>
      </x:c>
      <x:c r="H24" s="24" t="str">
        <x:v>Sharks &amp; rays</x:v>
      </x:c>
      <x:c r="I24" s="31" t="n">
        <x:v>41.105748556</x:v>
      </x:c>
      <x:c r="J24" s="31" t="n">
        <x:v>41.105748556</x:v>
      </x:c>
      <x:c r="K24" s="31" t="n">
        <x:v>0</x:v>
      </x:c>
      <x:c r="L24" s="31" t="n">
        <x:v>25.000000002</x:v>
      </x:c>
      <x:c r="M24" s="31" t="n">
        <x:v>16.105748554</x:v>
      </x:c>
      <x:c r="N24" s="24" t="str">
        <x:v>rajiformes</x:v>
      </x:c>
      <x:c r="O24" s="32" t="n">
        <x:v>3.61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Rajiformes</x:v>
      </x:c>
      <x:c r="T24" s="32" t="n">
        <x:f>IF(O24="","",(1/'Metadata'!$B$5)^(O24-1))</x:f>
        <x:v>407.3802778041126</x:v>
      </x:c>
      <x:c r="U24" s="31" t="n">
        <x:f>IF(T24="","",I24*T24)</x:f>
        <x:v>16745.67126608928</x:v>
      </x:c>
    </x:row>
    <x:row r="25" ht="18" customHeight="1">
      <x:c r="A25" s="24" t="str">
        <x:v>EEZ_760</x:v>
      </x:c>
      <x:c r="B25" s="24" t="str">
        <x:v>Syria</x:v>
      </x:c>
      <x:c r="C25" s="24" t="str">
        <x:v>EEZ</x:v>
      </x:c>
      <x:c r="D25" s="30" t="n">
        <x:v>2019</x:v>
      </x:c>
      <x:c r="E25" s="24" t="str">
        <x:v>Sarda sarda</x:v>
      </x:c>
      <x:c r="F25" s="24" t="str">
        <x:v>Atlantic bonito</x:v>
      </x:c>
      <x:c r="G25" s="24" t="str">
        <x:v>Medium pelagics (30 - 89 cm)</x:v>
      </x:c>
      <x:c r="H25" s="24" t="str">
        <x:v>Tuna &amp; billfishes</x:v>
      </x:c>
      <x:c r="I25" s="31" t="n">
        <x:v>40.619043106</x:v>
      </x:c>
      <x:c r="J25" s="31" t="n">
        <x:v>40.619043106</x:v>
      </x:c>
      <x:c r="K25" s="31" t="n">
        <x:v>0</x:v>
      </x:c>
      <x:c r="L25" s="31" t="n">
        <x:v>0.284039616</x:v>
      </x:c>
      <x:c r="M25" s="31" t="n">
        <x:v>40.33500349</x:v>
      </x:c>
      <x:c r="N25" s="24" t="str">
        <x:v>sarda sarda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Sarda sarda</x:v>
      </x:c>
      <x:c r="T25" s="32" t="n">
        <x:f>IF(O25="","",(1/'Metadata'!$B$5)^(O25-1))</x:f>
        <x:v>3162.2776601683795</x:v>
      </x:c>
      <x:c r="U25" s="31" t="n">
        <x:f>IF(T25="","",I25*T25)</x:f>
        <x:v>128448.69259152023</x:v>
      </x:c>
    </x:row>
    <x:row r="26" ht="18" customHeight="1">
      <x:c r="A26" s="24" t="str">
        <x:v>EEZ_760</x:v>
      </x:c>
      <x:c r="B26" s="24" t="str">
        <x:v>Syria</x:v>
      </x:c>
      <x:c r="C26" s="24" t="str">
        <x:v>EEZ</x:v>
      </x:c>
      <x:c r="D26" s="30" t="n">
        <x:v>2019</x:v>
      </x:c>
      <x:c r="E26" s="24" t="str">
        <x:v>Chondrichthyes</x:v>
      </x:c>
      <x:c r="F26" s="24" t="str">
        <x:v>Sharks, rays, chimaeras</x:v>
      </x:c>
      <x:c r="G26" s="24" t="str">
        <x:v>Large sharks (&gt;=90 cm)</x:v>
      </x:c>
      <x:c r="H26" s="24" t="str">
        <x:v>Sharks &amp; rays</x:v>
      </x:c>
      <x:c r="I26" s="31" t="n">
        <x:v>40</x:v>
      </x:c>
      <x:c r="J26" s="31" t="n">
        <x:v>40</x:v>
      </x:c>
      <x:c r="K26" s="31" t="n">
        <x:v>0</x:v>
      </x:c>
      <x:c r="L26" s="31" t="n">
        <x:v>40</x:v>
      </x:c>
      <x:c r="M26" s="31" t="n">
        <x:v>0</x:v>
      </x:c>
      <x:c r="N26" s="24" t="str">
        <x:v>chondrichthyes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Chondrichthyes</x:v>
      </x:c>
      <x:c r="T26" s="32" t="n">
        <x:f>IF(O26="","",(1/'Metadata'!$B$5)^(O26-1))</x:f>
        <x:v>1000</x:v>
      </x:c>
      <x:c r="U26" s="31" t="n">
        <x:f>IF(T26="","",I26*T26)</x:f>
        <x:v>40000</x:v>
      </x:c>
    </x:row>
    <x:row r="27" ht="18" customHeight="1">
      <x:c r="A27" s="24" t="str">
        <x:v>EEZ_760</x:v>
      </x:c>
      <x:c r="B27" s="24" t="str">
        <x:v>Syria</x:v>
      </x:c>
      <x:c r="C27" s="24" t="str">
        <x:v>EEZ</x:v>
      </x:c>
      <x:c r="D27" s="30" t="n">
        <x:v>2019</x:v>
      </x:c>
      <x:c r="E27" s="24" t="str">
        <x:v>Mollusca</x:v>
      </x:c>
      <x:c r="F27" s="24" t="str">
        <x:v>Clams, seasnails, squids, octopuses</x:v>
      </x:c>
      <x:c r="G27" s="24" t="str">
        <x:v>Other demersal invertebrates</x:v>
      </x:c>
      <x:c r="H27" s="24" t="str">
        <x:v>Molluscs</x:v>
      </x:c>
      <x:c r="I27" s="31" t="n">
        <x:v>40</x:v>
      </x:c>
      <x:c r="J27" s="31" t="n">
        <x:v>40</x:v>
      </x:c>
      <x:c r="K27" s="31" t="n">
        <x:v>0</x:v>
      </x:c>
      <x:c r="L27" s="31" t="n">
        <x:v>40</x:v>
      </x:c>
      <x:c r="M27" s="31" t="n">
        <x:v>0</x:v>
      </x:c>
      <x:c r="N27" s="24" t="str">
        <x:v>mollusca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Mollusca</x:v>
      </x:c>
      <x:c r="T27" s="32" t="n">
        <x:f>IF(O27="","",(1/'Metadata'!$B$5)^(O27-1))</x:f>
        <x:v>12.589254117941675</x:v>
      </x:c>
      <x:c r="U27" s="31" t="n">
        <x:f>IF(T27="","",I27*T27)</x:f>
        <x:v>503.570164717667</x:v>
      </x:c>
    </x:row>
    <x:row r="28" ht="18" customHeight="1">
      <x:c r="A28" s="24" t="str">
        <x:v>EEZ_760</x:v>
      </x:c>
      <x:c r="B28" s="24" t="str">
        <x:v>Syria</x:v>
      </x:c>
      <x:c r="C28" s="24" t="str">
        <x:v>EEZ</x:v>
      </x:c>
      <x:c r="D28" s="30" t="n">
        <x:v>2019</x:v>
      </x:c>
      <x:c r="E28" s="24" t="str">
        <x:v>Scomber</x:v>
      </x:c>
      <x:c r="F28" s="24" t="str">
        <x:v>Chub mackerels</x:v>
      </x:c>
      <x:c r="G28" s="24" t="str">
        <x:v>Medium pelagics (30 - 89 cm)</x:v>
      </x:c>
      <x:c r="H28" s="24" t="str">
        <x:v>Perch-likes</x:v>
      </x:c>
      <x:c r="I28" s="31" t="n">
        <x:v>37.835556874</x:v>
      </x:c>
      <x:c r="J28" s="31" t="n">
        <x:v>37.835556874</x:v>
      </x:c>
      <x:c r="K28" s="31" t="n">
        <x:v>0</x:v>
      </x:c>
      <x:c r="L28" s="31" t="n">
        <x:v>19.764705377</x:v>
      </x:c>
      <x:c r="M28" s="31" t="n">
        <x:v>18.070851497</x:v>
      </x:c>
      <x:c r="N28" s="24" t="str">
        <x:v>scomber</x:v>
      </x:c>
      <x:c r="O28" s="32" t="n">
        <x:v>3.65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Scomber</x:v>
      </x:c>
      <x:c r="T28" s="32" t="n">
        <x:f>IF(O28="","",(1/'Metadata'!$B$5)^(O28-1))</x:f>
        <x:v>446.683592150963</x:v>
      </x:c>
      <x:c r="U28" s="31" t="n">
        <x:f>IF(T28="","",I28*T28)</x:f>
        <x:v>16900.52245551038</x:v>
      </x:c>
    </x:row>
    <x:row r="29" ht="18" customHeight="1">
      <x:c r="A29" s="24" t="str">
        <x:v>EEZ_760</x:v>
      </x:c>
      <x:c r="B29" s="24" t="str">
        <x:v>Syria</x:v>
      </x:c>
      <x:c r="C29" s="24" t="str">
        <x:v>EEZ</x:v>
      </x:c>
      <x:c r="D29" s="30" t="n">
        <x:v>2019</x:v>
      </x:c>
      <x:c r="E29" s="24" t="str">
        <x:v>Seriola dumerili</x:v>
      </x:c>
      <x:c r="F29" s="24" t="str">
        <x:v>Greater amberjack</x:v>
      </x:c>
      <x:c r="G29" s="24" t="str">
        <x:v>Large reef assoc. fish (&gt;=90 cm)</x:v>
      </x:c>
      <x:c r="H29" s="24" t="str">
        <x:v>Perch-likes</x:v>
      </x:c>
      <x:c r="I29" s="31" t="n">
        <x:v>37.729172712</x:v>
      </x:c>
      <x:c r="J29" s="31" t="n">
        <x:v>37.729172712</x:v>
      </x:c>
      <x:c r="K29" s="31" t="n">
        <x:v>0</x:v>
      </x:c>
      <x:c r="L29" s="31" t="n">
        <x:v>23</x:v>
      </x:c>
      <x:c r="M29" s="31" t="n">
        <x:v>14.729172712</x:v>
      </x:c>
      <x:c r="N29" s="24" t="str">
        <x:v>seriola dumerili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Seriola dumerili</x:v>
      </x:c>
      <x:c r="T29" s="32" t="n">
        <x:f>IF(O29="","",(1/'Metadata'!$B$5)^(O29-1))</x:f>
        <x:v>3162.2776601683795</x:v>
      </x:c>
      <x:c r="U29" s="31" t="n">
        <x:f>IF(T29="","",I29*T29)</x:f>
        <x:v>119310.12000379204</x:v>
      </x:c>
    </x:row>
    <x:row r="30" ht="18" customHeight="1">
      <x:c r="A30" s="24" t="str">
        <x:v>EEZ_760</x:v>
      </x:c>
      <x:c r="B30" s="24" t="str">
        <x:v>Syria</x:v>
      </x:c>
      <x:c r="C30" s="24" t="str">
        <x:v>EEZ</x:v>
      </x:c>
      <x:c r="D30" s="30" t="n">
        <x:v>2019</x:v>
      </x:c>
      <x:c r="E30" s="24" t="str">
        <x:v>Trigla</x:v>
      </x:c>
      <x:c r="F30" s="24" t="str">
        <x:v>Piper gurnards</x:v>
      </x:c>
      <x:c r="G30" s="24" t="str">
        <x:v>Medium bathydemersals (30 - 89 cm)</x:v>
      </x:c>
      <x:c r="H30" s="24" t="str">
        <x:v>Scorpionfishes</x:v>
      </x:c>
      <x:c r="I30" s="31" t="n">
        <x:v>31.922276836</x:v>
      </x:c>
      <x:c r="J30" s="31" t="n">
        <x:v>31.922276836</x:v>
      </x:c>
      <x:c r="K30" s="31" t="n">
        <x:v>0</x:v>
      </x:c>
      <x:c r="L30" s="31" t="n">
        <x:v>17.647058687</x:v>
      </x:c>
      <x:c r="M30" s="31" t="n">
        <x:v>14.275218149</x:v>
      </x:c>
      <x:c r="N30" s="24" t="str">
        <x:v>trigla</x:v>
      </x:c>
      <x:c r="O30" s="32" t="n">
        <x:v>3.51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Trigla</x:v>
      </x:c>
      <x:c r="T30" s="32" t="n">
        <x:f>IF(O30="","",(1/'Metadata'!$B$5)^(O30-1))</x:f>
        <x:v>323.5936569296281</x:v>
      </x:c>
      <x:c r="U30" s="31" t="n">
        <x:f>IF(T30="","",I30*T30)</x:f>
        <x:v>10329.846298881199</x:v>
      </x:c>
    </x:row>
    <x:row r="31" ht="18" customHeight="1">
      <x:c r="A31" s="24" t="str">
        <x:v>EEZ_760</x:v>
      </x:c>
      <x:c r="B31" s="24" t="str">
        <x:v>Syria</x:v>
      </x:c>
      <x:c r="C31" s="24" t="str">
        <x:v>EEZ</x:v>
      </x:c>
      <x:c r="D31" s="30" t="n">
        <x:v>2019</x:v>
      </x:c>
      <x:c r="E31" s="24" t="str">
        <x:v>Pagellus erythrinus</x:v>
      </x:c>
      <x:c r="F31" s="24" t="str">
        <x:v>Common pandora</x:v>
      </x:c>
      <x:c r="G31" s="24" t="str">
        <x:v>Medium benthopelagics (30 - 89 cm)</x:v>
      </x:c>
      <x:c r="H31" s="24" t="str">
        <x:v>Perch-likes</x:v>
      </x:c>
      <x:c r="I31" s="31" t="n">
        <x:v>26.89000442</x:v>
      </x:c>
      <x:c r="J31" s="31" t="n">
        <x:v>26.89000442</x:v>
      </x:c>
      <x:c r="K31" s="31" t="n">
        <x:v>0</x:v>
      </x:c>
      <x:c r="L31" s="31" t="n">
        <x:v>0</x:v>
      </x:c>
      <x:c r="M31" s="31" t="n">
        <x:v>26.89000442</x:v>
      </x:c>
      <x:c r="N31" s="24" t="str">
        <x:v>pagellus erythrinus</x:v>
      </x:c>
      <x:c r="O31" s="32" t="n">
        <x:v>3.48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Pagellus erythrinus</x:v>
      </x:c>
      <x:c r="T31" s="32" t="n">
        <x:f>IF(O31="","",(1/'Metadata'!$B$5)^(O31-1))</x:f>
        <x:v>301.9951720402016</x:v>
      </x:c>
      <x:c r="U31" s="31" t="n">
        <x:f>IF(T31="","",I31*T31)</x:f>
        <x:v>8120.651510979682</x:v>
      </x:c>
    </x:row>
    <x:row r="32" ht="18" customHeight="1">
      <x:c r="A32" s="24" t="str">
        <x:v>EEZ_760</x:v>
      </x:c>
      <x:c r="B32" s="24" t="str">
        <x:v>Syria</x:v>
      </x:c>
      <x:c r="C32" s="24" t="str">
        <x:v>EEZ</x:v>
      </x:c>
      <x:c r="D32" s="30" t="n">
        <x:v>2019</x:v>
      </x:c>
      <x:c r="E32" s="24" t="str">
        <x:v>Sparus aurata</x:v>
      </x:c>
      <x:c r="F32" s="24" t="str">
        <x:v>Gilthead seabream</x:v>
      </x:c>
      <x:c r="G32" s="24" t="str">
        <x:v>Medium demersals (30 - 89 cm)</x:v>
      </x:c>
      <x:c r="H32" s="24" t="str">
        <x:v>Perch-likes</x:v>
      </x:c>
      <x:c r="I32" s="31" t="n">
        <x:v>24.618014116</x:v>
      </x:c>
      <x:c r="J32" s="31" t="n">
        <x:v>24.618014116</x:v>
      </x:c>
      <x:c r="K32" s="31" t="n">
        <x:v>0</x:v>
      </x:c>
      <x:c r="L32" s="31" t="n">
        <x:v>15.000000001</x:v>
      </x:c>
      <x:c r="M32" s="31" t="n">
        <x:v>9.618014115</x:v>
      </x:c>
      <x:c r="N32" s="24" t="str">
        <x:v>sparus aurata</x:v>
      </x:c>
      <x:c r="O32" s="32" t="n">
        <x:v>3.7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Sparus aurata</x:v>
      </x:c>
      <x:c r="T32" s="32" t="n">
        <x:f>IF(O32="","",(1/'Metadata'!$B$5)^(O32-1))</x:f>
        <x:v>501.18723362727246</x:v>
      </x:c>
      <x:c r="U32" s="31" t="n">
        <x:f>IF(T32="","",I32*T32)</x:f>
        <x:v>12338.234392195183</x:v>
      </x:c>
    </x:row>
    <x:row r="33" ht="18" customHeight="1">
      <x:c r="A33" s="24" t="str">
        <x:v>EEZ_760</x:v>
      </x:c>
      <x:c r="B33" s="24" t="str">
        <x:v>Syria</x:v>
      </x:c>
      <x:c r="C33" s="24" t="str">
        <x:v>EEZ</x:v>
      </x:c>
      <x:c r="D33" s="30" t="n">
        <x:v>2019</x:v>
      </x:c>
      <x:c r="E33" s="24" t="str">
        <x:v>Scorpaenidae</x:v>
      </x:c>
      <x:c r="F33" s="24" t="str">
        <x:v>Scorpionfishes, rockfishes</x:v>
      </x:c>
      <x:c r="G33" s="24" t="str">
        <x:v>Large reef assoc. fish (&gt;=90 cm)</x:v>
      </x:c>
      <x:c r="H33" s="24" t="str">
        <x:v>Scorpionfishes</x:v>
      </x:c>
      <x:c r="I33" s="31" t="n">
        <x:v>24.519559264999998</x:v>
      </x:c>
      <x:c r="J33" s="31" t="n">
        <x:v>24.519559264999998</x:v>
      </x:c>
      <x:c r="K33" s="31" t="n">
        <x:v>0</x:v>
      </x:c>
      <x:c r="L33" s="31" t="n">
        <x:v>15</x:v>
      </x:c>
      <x:c r="M33" s="31" t="n">
        <x:v>9.519559265</x:v>
      </x:c>
      <x:c r="N33" s="24" t="str">
        <x:v>scorpaenidae</x:v>
      </x:c>
      <x:c r="O33" s="32" t="n">
        <x:v>3.92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Scorpaenidae</x:v>
      </x:c>
      <x:c r="T33" s="32" t="n">
        <x:f>IF(O33="","",(1/'Metadata'!$B$5)^(O33-1))</x:f>
        <x:v>831.7637711026708</x:v>
      </x:c>
      <x:c r="U33" s="31" t="n">
        <x:f>IF(T33="","",I33*T33)</x:f>
        <x:v>20394.48108003183</x:v>
      </x:c>
    </x:row>
    <x:row r="34" ht="18" customHeight="1">
      <x:c r="A34" s="24" t="str">
        <x:v>EEZ_760</x:v>
      </x:c>
      <x:c r="B34" s="24" t="str">
        <x:v>Syria</x:v>
      </x:c>
      <x:c r="C34" s="24" t="str">
        <x:v>EEZ</x:v>
      </x:c>
      <x:c r="D34" s="30" t="n">
        <x:v>2019</x:v>
      </x:c>
      <x:c r="E34" s="24" t="str">
        <x:v>Carangidae</x:v>
      </x:c>
      <x:c r="F34" s="24" t="str">
        <x:v>Jacks, pompanos</x:v>
      </x:c>
      <x:c r="G34" s="24" t="str">
        <x:v>Medium pelagics (30 - 89 cm)</x:v>
      </x:c>
      <x:c r="H34" s="24" t="str">
        <x:v>Perch-likes</x:v>
      </x:c>
      <x:c r="I34" s="31" t="n">
        <x:v>19.580039818</x:v>
      </x:c>
      <x:c r="J34" s="31" t="n">
        <x:v>19.580039818</x:v>
      </x:c>
      <x:c r="K34" s="31" t="n">
        <x:v>0</x:v>
      </x:c>
      <x:c r="L34" s="31" t="n">
        <x:v>12.000000001</x:v>
      </x:c>
      <x:c r="M34" s="31" t="n">
        <x:v>7.580039817</x:v>
      </x:c>
      <x:c r="N34" s="24" t="str">
        <x:v>carangidae</x:v>
      </x:c>
      <x:c r="O34" s="32" t="n">
        <x:v>4.05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Carangidae</x:v>
      </x:c>
      <x:c r="T34" s="32" t="n">
        <x:f>IF(O34="","",(1/'Metadata'!$B$5)^(O34-1))</x:f>
        <x:v>1122.018454301963</x:v>
      </x:c>
      <x:c r="U34" s="31" t="n">
        <x:f>IF(T34="","",I34*T34)</x:f>
        <x:v>21969.16601176325</x:v>
      </x:c>
    </x:row>
    <x:row r="35" ht="18" customHeight="1">
      <x:c r="A35" s="24" t="str">
        <x:v>EEZ_760</x:v>
      </x:c>
      <x:c r="B35" s="24" t="str">
        <x:v>Syria</x:v>
      </x:c>
      <x:c r="C35" s="24" t="str">
        <x:v>EEZ</x:v>
      </x:c>
      <x:c r="D35" s="30" t="n">
        <x:v>2019</x:v>
      </x:c>
      <x:c r="E35" s="24" t="str">
        <x:v>Mustelus mustelus</x:v>
      </x:c>
      <x:c r="F35" s="24" t="str">
        <x:v>Smooth-hound</x:v>
      </x:c>
      <x:c r="G35" s="24" t="str">
        <x:v>Large sharks (&gt;=90 cm)</x:v>
      </x:c>
      <x:c r="H35" s="24" t="str">
        <x:v>Sharks &amp; rays</x:v>
      </x:c>
      <x:c r="I35" s="31" t="n">
        <x:v>13.273748726</x:v>
      </x:c>
      <x:c r="J35" s="31" t="n">
        <x:v>13.273748726</x:v>
      </x:c>
      <x:c r="K35" s="31" t="n">
        <x:v>0</x:v>
      </x:c>
      <x:c r="L35" s="31" t="n">
        <x:v>0</x:v>
      </x:c>
      <x:c r="M35" s="31" t="n">
        <x:v>13.273748726</x:v>
      </x:c>
      <x:c r="N35" s="24" t="str">
        <x:v>mustelus mustelus</x:v>
      </x:c>
      <x:c r="O35" s="32" t="n">
        <x:v>3.75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Mustelus mustelus</x:v>
      </x:c>
      <x:c r="T35" s="32" t="n">
        <x:f>IF(O35="","",(1/'Metadata'!$B$5)^(O35-1))</x:f>
        <x:v>562.341325190349</x:v>
      </x:c>
      <x:c r="U35" s="31" t="n">
        <x:f>IF(T35="","",I35*T35)</x:f>
        <x:v>7464.377448822548</x:v>
      </x:c>
    </x:row>
    <x:row r="36" ht="18" customHeight="1">
      <x:c r="A36" s="24" t="str">
        <x:v>EEZ_760</x:v>
      </x:c>
      <x:c r="B36" s="24" t="str">
        <x:v>Syria</x:v>
      </x:c>
      <x:c r="C36" s="24" t="str">
        <x:v>EEZ</x:v>
      </x:c>
      <x:c r="D36" s="30" t="n">
        <x:v>2019</x:v>
      </x:c>
      <x:c r="E36" s="24" t="str">
        <x:v>Squatina squatina</x:v>
      </x:c>
      <x:c r="F36" s="24" t="str">
        <x:v>Angelshark</x:v>
      </x:c>
      <x:c r="G36" s="24" t="str">
        <x:v>Large sharks (&gt;=90 cm)</x:v>
      </x:c>
      <x:c r="H36" s="24" t="str">
        <x:v>Sharks &amp; rays</x:v>
      </x:c>
      <x:c r="I36" s="31" t="n">
        <x:v>13.273748726</x:v>
      </x:c>
      <x:c r="J36" s="31" t="n">
        <x:v>13.273748726</x:v>
      </x:c>
      <x:c r="K36" s="31" t="n">
        <x:v>0</x:v>
      </x:c>
      <x:c r="L36" s="31" t="n">
        <x:v>0</x:v>
      </x:c>
      <x:c r="M36" s="31" t="n">
        <x:v>13.273748726</x:v>
      </x:c>
      <x:c r="N36" s="24" t="str">
        <x:v>squatina squatina</x:v>
      </x:c>
      <x:c r="O36" s="32" t="n">
        <x:v>4.05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Squatina squatina</x:v>
      </x:c>
      <x:c r="T36" s="32" t="n">
        <x:f>IF(O36="","",(1/'Metadata'!$B$5)^(O36-1))</x:f>
        <x:v>1122.018454301963</x:v>
      </x:c>
      <x:c r="U36" s="31" t="n">
        <x:f>IF(T36="","",I36*T36)</x:f>
        <x:v>14893.39102833917</x:v>
      </x:c>
    </x:row>
    <x:row r="37" ht="18" customHeight="1">
      <x:c r="A37" s="24" t="str">
        <x:v>EEZ_760</x:v>
      </x:c>
      <x:c r="B37" s="24" t="str">
        <x:v>Syria</x:v>
      </x:c>
      <x:c r="C37" s="24" t="str">
        <x:v>EEZ</x:v>
      </x:c>
      <x:c r="D37" s="30" t="n">
        <x:v>2019</x:v>
      </x:c>
      <x:c r="E37" s="24" t="str">
        <x:v>Metapenaeus monoceros</x:v>
      </x:c>
      <x:c r="F37" s="24" t="str">
        <x:v>Speckled shrimp</x:v>
      </x:c>
      <x:c r="G37" s="24" t="str">
        <x:v>Shrimps</x:v>
      </x:c>
      <x:c r="H37" s="24" t="str">
        <x:v>Crustaceans</x:v>
      </x:c>
      <x:c r="I37" s="31" t="n">
        <x:v>12.385071404</x:v>
      </x:c>
      <x:c r="J37" s="31" t="n">
        <x:v>12.385071404</x:v>
      </x:c>
      <x:c r="K37" s="31" t="n">
        <x:v>0</x:v>
      </x:c>
      <x:c r="L37" s="31" t="n">
        <x:v>0</x:v>
      </x:c>
      <x:c r="M37" s="31" t="n">
        <x:v>12.385071404</x:v>
      </x:c>
      <x:c r="N37" s="24" t="str">
        <x:v>metapenaeus monoceros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Metapenaeus monoceros</x:v>
      </x:c>
      <x:c r="T37" s="32" t="n">
        <x:f>IF(O37="","",(1/'Metadata'!$B$5)^(O37-1))</x:f>
        <x:v>50.11872336272725</x:v>
      </x:c>
      <x:c r="U37" s="31" t="n">
        <x:f>IF(T37="","",I37*T37)</x:f>
        <x:v>620.7239675247</x:v>
      </x:c>
    </x:row>
    <x:row r="38" ht="18" customHeight="1">
      <x:c r="A38" s="24" t="str">
        <x:v>EEZ_760</x:v>
      </x:c>
      <x:c r="B38" s="24" t="str">
        <x:v>Syria</x:v>
      </x:c>
      <x:c r="C38" s="24" t="str">
        <x:v>EEZ</x:v>
      </x:c>
      <x:c r="D38" s="30" t="n">
        <x:v>2019</x:v>
      </x:c>
      <x:c r="E38" s="24" t="str">
        <x:v>Penaeus japonicus</x:v>
      </x:c>
      <x:c r="F38" s="24" t="str">
        <x:v>Kuruma prawn</x:v>
      </x:c>
      <x:c r="G38" s="24" t="str">
        <x:v>Shrimps</x:v>
      </x:c>
      <x:c r="H38" s="24" t="str">
        <x:v>Crustaceans</x:v>
      </x:c>
      <x:c r="I38" s="31" t="n">
        <x:v>12.385071404</x:v>
      </x:c>
      <x:c r="J38" s="31" t="n">
        <x:v>12.385071404</x:v>
      </x:c>
      <x:c r="K38" s="31" t="n">
        <x:v>0</x:v>
      </x:c>
      <x:c r="L38" s="31" t="n">
        <x:v>0</x:v>
      </x:c>
      <x:c r="M38" s="31" t="n">
        <x:v>12.385071404</x:v>
      </x:c>
      <x:c r="N38" s="24" t="str">
        <x:v>penaeus japonicus</x:v>
      </x:c>
      <x:c r="O38" s="32" t="n">
        <x:v>2.7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Penaeus japonicus</x:v>
      </x:c>
      <x:c r="T38" s="32" t="n">
        <x:f>IF(O38="","",(1/'Metadata'!$B$5)^(O38-1))</x:f>
        <x:v>50.11872336272725</x:v>
      </x:c>
      <x:c r="U38" s="31" t="n">
        <x:f>IF(T38="","",I38*T38)</x:f>
        <x:v>620.7239675247</x:v>
      </x:c>
    </x:row>
    <x:row r="39" ht="18" customHeight="1">
      <x:c r="A39" s="24" t="str">
        <x:v>EEZ_760</x:v>
      </x:c>
      <x:c r="B39" s="24" t="str">
        <x:v>Syria</x:v>
      </x:c>
      <x:c r="C39" s="24" t="str">
        <x:v>EEZ</x:v>
      </x:c>
      <x:c r="D39" s="30" t="n">
        <x:v>2019</x:v>
      </x:c>
      <x:c r="E39" s="24" t="str">
        <x:v>Penaeus semisulcatus</x:v>
      </x:c>
      <x:c r="F39" s="24" t="str">
        <x:v>Green tiger prawn</x:v>
      </x:c>
      <x:c r="G39" s="24" t="str">
        <x:v>Shrimps</x:v>
      </x:c>
      <x:c r="H39" s="24" t="str">
        <x:v>Crustaceans</x:v>
      </x:c>
      <x:c r="I39" s="31" t="n">
        <x:v>12.385071404</x:v>
      </x:c>
      <x:c r="J39" s="31" t="n">
        <x:v>12.385071404</x:v>
      </x:c>
      <x:c r="K39" s="31" t="n">
        <x:v>0</x:v>
      </x:c>
      <x:c r="L39" s="31" t="n">
        <x:v>0</x:v>
      </x:c>
      <x:c r="M39" s="31" t="n">
        <x:v>12.385071404</x:v>
      </x:c>
      <x:c r="N39" s="24" t="str">
        <x:v>penaeus semisulcatus</x:v>
      </x:c>
      <x:c r="O39" s="32" t="n">
        <x:v>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Penaeus semisulcatus</x:v>
      </x:c>
      <x:c r="T39" s="32" t="n">
        <x:f>IF(O39="","",(1/'Metadata'!$B$5)^(O39-1))</x:f>
        <x:v>10</x:v>
      </x:c>
      <x:c r="U39" s="31" t="n">
        <x:f>IF(T39="","",I39*T39)</x:f>
        <x:v>123.85071404</x:v>
      </x:c>
    </x:row>
    <x:row r="40" ht="18" customHeight="1">
      <x:c r="A40" s="24" t="str">
        <x:v>EEZ_760</x:v>
      </x:c>
      <x:c r="B40" s="24" t="str">
        <x:v>Syria</x:v>
      </x:c>
      <x:c r="C40" s="24" t="str">
        <x:v>EEZ</x:v>
      </x:c>
      <x:c r="D40" s="30" t="n">
        <x:v>2019</x:v>
      </x:c>
      <x:c r="E40" s="24" t="str">
        <x:v>Todarodes sagittatus</x:v>
      </x:c>
      <x:c r="F40" s="24" t="str">
        <x:v>European flying squid</x:v>
      </x:c>
      <x:c r="G40" s="24" t="str">
        <x:v>Cephalopods</x:v>
      </x:c>
      <x:c r="H40" s="24" t="str">
        <x:v>Other fishes &amp; inverts</x:v>
      </x:c>
      <x:c r="I40" s="31" t="n">
        <x:v>10.613283947000001</x:v>
      </x:c>
      <x:c r="J40" s="31" t="n">
        <x:v>10.613283947000001</x:v>
      </x:c>
      <x:c r="K40" s="31" t="n">
        <x:v>0</x:v>
      </x:c>
      <x:c r="L40" s="31" t="n">
        <x:v>0</x:v>
      </x:c>
      <x:c r="M40" s="31" t="n">
        <x:v>10.613283947000001</x:v>
      </x:c>
      <x:c r="N40" s="24" t="str">
        <x:v>todarodes sagittatus</x:v>
      </x:c>
      <x:c r="O40" s="32" t="n">
        <x:v>4.01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Todarodes sagittatus</x:v>
      </x:c>
      <x:c r="T40" s="32" t="n">
        <x:f>IF(O40="","",(1/'Metadata'!$B$5)^(O40-1))</x:f>
        <x:v>1023.2929922807537</x:v>
      </x:c>
      <x:c r="U40" s="31" t="n">
        <x:f>IF(T40="","",I40*T40)</x:f>
        <x:v>10860.49908805092</x:v>
      </x:c>
    </x:row>
    <x:row r="41" ht="18" customHeight="1">
      <x:c r="A41" s="24" t="str">
        <x:v>EEZ_760</x:v>
      </x:c>
      <x:c r="B41" s="24" t="str">
        <x:v>Syria</x:v>
      </x:c>
      <x:c r="C41" s="24" t="str">
        <x:v>EEZ</x:v>
      </x:c>
      <x:c r="D41" s="30" t="n">
        <x:v>2019</x:v>
      </x:c>
      <x:c r="E41" s="24" t="str">
        <x:v>Lithognathus mormyrus</x:v>
      </x:c>
      <x:c r="F41" s="24" t="str">
        <x:v>Sand steenbras</x:v>
      </x:c>
      <x:c r="G41" s="24" t="str">
        <x:v>Medium benthopelagics (30 - 89 cm)</x:v>
      </x:c>
      <x:c r="H41" s="24" t="str">
        <x:v>Perch-likes</x:v>
      </x:c>
      <x:c r="I41" s="31" t="n">
        <x:v>9.467323353</x:v>
      </x:c>
      <x:c r="J41" s="31" t="n">
        <x:v>9.467323353</x:v>
      </x:c>
      <x:c r="K41" s="31" t="n">
        <x:v>0</x:v>
      </x:c>
      <x:c r="L41" s="31" t="n">
        <x:v>5</x:v>
      </x:c>
      <x:c r="M41" s="31" t="n">
        <x:v>4.467323353</x:v>
      </x:c>
      <x:c r="N41" s="24" t="str">
        <x:v>lithognathus mormyrus</x:v>
      </x:c>
      <x:c r="O41" s="32" t="n">
        <x:v>3.42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Lithognathus mormyrus</x:v>
      </x:c>
      <x:c r="T41" s="32" t="n">
        <x:f>IF(O41="","",(1/'Metadata'!$B$5)^(O41-1))</x:f>
        <x:v>263.02679918953817</x:v>
      </x:c>
      <x:c r="U41" s="31" t="n">
        <x:f>IF(T41="","",I41*T41)</x:f>
        <x:v>2490.159758431956</x:v>
      </x:c>
    </x:row>
    <x:row r="42" ht="18" customHeight="1">
      <x:c r="A42" s="24" t="str">
        <x:v>EEZ_760</x:v>
      </x:c>
      <x:c r="B42" s="24" t="str">
        <x:v>Syria</x:v>
      </x:c>
      <x:c r="C42" s="24" t="str">
        <x:v>EEZ</x:v>
      </x:c>
      <x:c r="D42" s="30" t="n">
        <x:v>2019</x:v>
      </x:c>
      <x:c r="E42" s="24" t="str">
        <x:v>Balistes capriscus</x:v>
      </x:c>
      <x:c r="F42" s="24" t="str">
        <x:v>Grey triggerfish</x:v>
      </x:c>
      <x:c r="G42" s="24" t="str">
        <x:v>Medium benthopelagics (30 - 89 cm)</x:v>
      </x:c>
      <x:c r="H42" s="24" t="str">
        <x:v>Other fishes &amp; inverts</x:v>
      </x:c>
      <x:c r="I42" s="31" t="n">
        <x:v>8.781347328</x:v>
      </x:c>
      <x:c r="J42" s="31" t="n">
        <x:v>8.781347328</x:v>
      </x:c>
      <x:c r="K42" s="31" t="n">
        <x:v>0</x:v>
      </x:c>
      <x:c r="L42" s="31" t="n">
        <x:v>4.999999999</x:v>
      </x:c>
      <x:c r="M42" s="31" t="n">
        <x:v>3.781347329</x:v>
      </x:c>
      <x:c r="N42" s="24" t="str">
        <x:v>balistes capriscus</x:v>
      </x:c>
      <x:c r="O42" s="32" t="n">
        <x:v>4.06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Balistes capriscus</x:v>
      </x:c>
      <x:c r="T42" s="32" t="n">
        <x:f>IF(O42="","",(1/'Metadata'!$B$5)^(O42-1))</x:f>
        <x:v>1148.1536214968817</x:v>
      </x:c>
      <x:c r="U42" s="31" t="n">
        <x:f>IF(T42="","",I42*T42)</x:f>
        <x:v>10082.335736265166</x:v>
      </x:c>
    </x:row>
    <x:row r="43" ht="18" customHeight="1">
      <x:c r="A43" s="24" t="str">
        <x:v>EEZ_760</x:v>
      </x:c>
      <x:c r="B43" s="24" t="str">
        <x:v>Syria</x:v>
      </x:c>
      <x:c r="C43" s="24" t="str">
        <x:v>EEZ</x:v>
      </x:c>
      <x:c r="D43" s="30" t="n">
        <x:v>2019</x:v>
      </x:c>
      <x:c r="E43" s="24" t="str">
        <x:v>Scombridae</x:v>
      </x:c>
      <x:c r="F43" s="24" t="str">
        <x:v>Mackerels, tunas, bonitos</x:v>
      </x:c>
      <x:c r="G43" s="24" t="str">
        <x:v>Medium pelagics (30 - 89 cm)</x:v>
      </x:c>
      <x:c r="H43" s="24" t="str">
        <x:v>Perch-likes</x:v>
      </x:c>
      <x:c r="I43" s="31" t="n">
        <x:v>8.235294624</x:v>
      </x:c>
      <x:c r="J43" s="31" t="n">
        <x:v>8.235294624</x:v>
      </x:c>
      <x:c r="K43" s="31" t="n">
        <x:v>0</x:v>
      </x:c>
      <x:c r="L43" s="31" t="n">
        <x:v>8.235294624</x:v>
      </x:c>
      <x:c r="M43" s="31" t="n">
        <x:v>0</x:v>
      </x:c>
      <x:c r="N43" s="24" t="str">
        <x:v>scombridae</x:v>
      </x:c>
      <x:c r="O43" s="32" t="n">
        <x:v>4.26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Scombridae</x:v>
      </x:c>
      <x:c r="T43" s="32" t="n">
        <x:f>IF(O43="","",(1/'Metadata'!$B$5)^(O43-1))</x:f>
        <x:v>1819.7008586099826</x:v>
      </x:c>
      <x:c r="U43" s="31" t="n">
        <x:f>IF(T43="","",I43*T43)</x:f>
        <x:v>14985.772698198973</x:v>
      </x:c>
    </x:row>
    <x:row r="44" ht="18" customHeight="1">
      <x:c r="A44" s="24" t="str">
        <x:v>EEZ_760</x:v>
      </x:c>
      <x:c r="B44" s="24" t="str">
        <x:v>Syria</x:v>
      </x:c>
      <x:c r="C44" s="24" t="str">
        <x:v>EEZ</x:v>
      </x:c>
      <x:c r="D44" s="30" t="n">
        <x:v>2019</x:v>
      </x:c>
      <x:c r="E44" s="24" t="str">
        <x:v>Loligo</x:v>
      </x:c>
      <x:c r="F44" s="24" t="str">
        <x:v>Common squids</x:v>
      </x:c>
      <x:c r="G44" s="24" t="str">
        <x:v>Cephalopods</x:v>
      </x:c>
      <x:c r="H44" s="24" t="str">
        <x:v>Other fishes &amp; inverts</x:v>
      </x:c>
      <x:c r="I44" s="31" t="n">
        <x:v>7.95996426</x:v>
      </x:c>
      <x:c r="J44" s="31" t="n">
        <x:v>7.95996426</x:v>
      </x:c>
      <x:c r="K44" s="31" t="n">
        <x:v>0</x:v>
      </x:c>
      <x:c r="L44" s="31" t="n">
        <x:v>0</x:v>
      </x:c>
      <x:c r="M44" s="31" t="n">
        <x:v>7.95996426</x:v>
      </x:c>
      <x:c r="N44" s="24" t="str">
        <x:v>loligo</x:v>
      </x:c>
      <x:c r="O44" s="32" t="n">
        <x:v>3.99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Loligo</x:v>
      </x:c>
      <x:c r="T44" s="32" t="n">
        <x:f>IF(O44="","",(1/'Metadata'!$B$5)^(O44-1))</x:f>
        <x:v>977.2372209558112</x:v>
      </x:c>
      <x:c r="U44" s="31" t="n">
        <x:f>IF(T44="","",I44*T44)</x:f>
        <x:v>7778.773352349979</x:v>
      </x:c>
    </x:row>
    <x:row r="45" ht="18" customHeight="1">
      <x:c r="A45" s="24" t="str">
        <x:v>EEZ_760</x:v>
      </x:c>
      <x:c r="B45" s="24" t="str">
        <x:v>Syria</x:v>
      </x:c>
      <x:c r="C45" s="24" t="str">
        <x:v>EEZ</x:v>
      </x:c>
      <x:c r="D45" s="30" t="n">
        <x:v>2019</x:v>
      </x:c>
      <x:c r="E45" s="24" t="str">
        <x:v>Triglidae</x:v>
      </x:c>
      <x:c r="F45" s="24" t="str">
        <x:v>Searobins, gurnards</x:v>
      </x:c>
      <x:c r="G45" s="24" t="str">
        <x:v>Medium demersals (30 - 89 cm)</x:v>
      </x:c>
      <x:c r="H45" s="24" t="str">
        <x:v>Scorpionfishes</x:v>
      </x:c>
      <x:c r="I45" s="31" t="n">
        <x:v>7.352941317</x:v>
      </x:c>
      <x:c r="J45" s="31" t="n">
        <x:v>7.352941317</x:v>
      </x:c>
      <x:c r="K45" s="31" t="n">
        <x:v>0</x:v>
      </x:c>
      <x:c r="L45" s="31" t="n">
        <x:v>7.352941317</x:v>
      </x:c>
      <x:c r="M45" s="31" t="n">
        <x:v>0</x:v>
      </x:c>
      <x:c r="N45" s="24" t="str">
        <x:v>triglidae</x:v>
      </x:c>
      <x:c r="O45" s="32" t="n">
        <x:v>3.74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Triglidae</x:v>
      </x:c>
      <x:c r="T45" s="32" t="n">
        <x:f>IF(O45="","",(1/'Metadata'!$B$5)^(O45-1))</x:f>
        <x:v>549.5408738576248</x:v>
      </x:c>
      <x:c r="U45" s="31" t="n">
        <x:f>IF(T45="","",I45*T45)</x:f>
        <x:v>4040.7417967680144</x:v>
      </x:c>
    </x:row>
    <x:row r="46" ht="18" customHeight="1">
      <x:c r="A46" s="24" t="str">
        <x:v>EEZ_760</x:v>
      </x:c>
      <x:c r="B46" s="24" t="str">
        <x:v>Syria</x:v>
      </x:c>
      <x:c r="C46" s="24" t="str">
        <x:v>EEZ</x:v>
      </x:c>
      <x:c r="D46" s="30" t="n">
        <x:v>2019</x:v>
      </x:c>
      <x:c r="E46" s="24" t="str">
        <x:v>Sepia officinalis</x:v>
      </x:c>
      <x:c r="F46" s="24" t="str">
        <x:v>Common cuttlefish</x:v>
      </x:c>
      <x:c r="G46" s="24" t="str">
        <x:v>Cephalopods</x:v>
      </x:c>
      <x:c r="H46" s="24" t="str">
        <x:v>Other fishes &amp; inverts</x:v>
      </x:c>
      <x:c r="I46" s="31" t="n">
        <x:v>5.306643499</x:v>
      </x:c>
      <x:c r="J46" s="31" t="n">
        <x:v>5.306643499</x:v>
      </x:c>
      <x:c r="K46" s="31" t="n">
        <x:v>0</x:v>
      </x:c>
      <x:c r="L46" s="31" t="n">
        <x:v>0</x:v>
      </x:c>
      <x:c r="M46" s="31" t="n">
        <x:v>5.306643499</x:v>
      </x:c>
      <x:c r="N46" s="24" t="str">
        <x:v>sepia officinalis</x:v>
      </x:c>
      <x:c r="O46" s="32" t="n">
        <x:v>4.27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Sepia officinalis</x:v>
      </x:c>
      <x:c r="T46" s="32" t="n">
        <x:f>IF(O46="","",(1/'Metadata'!$B$5)^(O46-1))</x:f>
        <x:v>1862.0871366628655</x:v>
      </x:c>
      <x:c r="U46" s="31" t="n">
        <x:f>IF(T46="","",I46*T46)</x:f>
        <x:v>9881.43259834352</x:v>
      </x:c>
    </x:row>
    <x:row r="47" ht="18" customHeight="1">
      <x:c r="A47" s="24" t="str">
        <x:v>EEZ_760</x:v>
      </x:c>
      <x:c r="B47" s="24" t="str">
        <x:v>Syria</x:v>
      </x:c>
      <x:c r="C47" s="24" t="str">
        <x:v>EEZ</x:v>
      </x:c>
      <x:c r="D47" s="30" t="n">
        <x:v>2019</x:v>
      </x:c>
      <x:c r="E47" s="24" t="str">
        <x:v>Scomberomorus commerson</x:v>
      </x:c>
      <x:c r="F47" s="24" t="str">
        <x:v>Narrow-barred Spanish mackerel</x:v>
      </x:c>
      <x:c r="G47" s="24" t="str">
        <x:v>Large pelagics (&gt;=90 cm)</x:v>
      </x:c>
      <x:c r="H47" s="24" t="str">
        <x:v>Perch-likes</x:v>
      </x:c>
      <x:c r="I47" s="31" t="n">
        <x:v>3.1737332424</x:v>
      </x:c>
      <x:c r="J47" s="31" t="n">
        <x:v>3.1737332424</x:v>
      </x:c>
      <x:c r="K47" s="31" t="n">
        <x:v>0</x:v>
      </x:c>
      <x:c r="L47" s="31" t="n">
        <x:v>3.1737332424</x:v>
      </x:c>
      <x:c r="M47" s="31" t="n">
        <x:v>0</x:v>
      </x:c>
      <x:c r="N47" s="24" t="str">
        <x:v>scomberomorus commerson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Scomberomorus commerson</x:v>
      </x:c>
      <x:c r="T47" s="32" t="n">
        <x:f>IF(O47="","",(1/'Metadata'!$B$5)^(O47-1))</x:f>
        <x:v>3162.2776601683795</x:v>
      </x:c>
      <x:c r="U47" s="31" t="n">
        <x:f>IF(T47="","",I47*T47)</x:f>
        <x:v>10036.225731775276</x:v>
      </x:c>
    </x:row>
    <x:row r="48" ht="18" customHeight="1">
      <x:c r="A48" s="24" t="str">
        <x:v>EEZ_760</x:v>
      </x:c>
      <x:c r="B48" s="24" t="str">
        <x:v>Syria</x:v>
      </x:c>
      <x:c r="C48" s="24" t="str">
        <x:v>EEZ</x:v>
      </x:c>
      <x:c r="D48" s="30" t="n">
        <x:v>2019</x:v>
      </x:c>
      <x:c r="E48" s="24" t="str">
        <x:v>Octopus vulgaris</x:v>
      </x:c>
      <x:c r="F48" s="24" t="str">
        <x:v>Common octopus</x:v>
      </x:c>
      <x:c r="G48" s="24" t="str">
        <x:v>Cephalopods</x:v>
      </x:c>
      <x:c r="H48" s="24" t="str">
        <x:v>Other fishes &amp; inverts</x:v>
      </x:c>
      <x:c r="I48" s="31" t="n">
        <x:v>2.653322404</x:v>
      </x:c>
      <x:c r="J48" s="31" t="n">
        <x:v>2.653322404</x:v>
      </x:c>
      <x:c r="K48" s="31" t="n">
        <x:v>0</x:v>
      </x:c>
      <x:c r="L48" s="31" t="n">
        <x:v>0</x:v>
      </x:c>
      <x:c r="M48" s="31" t="n">
        <x:v>2.653322404</x:v>
      </x:c>
      <x:c r="N48" s="24" t="str">
        <x:v>octopus vulgaris</x:v>
      </x:c>
      <x:c r="O48" s="32" t="n">
        <x:v>3.6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Octopus vulgaris</x:v>
      </x:c>
      <x:c r="T48" s="32" t="n">
        <x:f>IF(O48="","",(1/'Metadata'!$B$5)^(O48-1))</x:f>
        <x:v>398.1071705534973</x:v>
      </x:c>
      <x:c r="U48" s="31" t="n">
        <x:f>IF(T48="","",I48*T48)</x:f>
        <x:v>1056.3066748226436</x:v>
      </x:c>
    </x:row>
    <x:row r="49" ht="18" customHeight="1">
      <x:c r="A49" s="24" t="str">
        <x:v>EEZ_760</x:v>
      </x:c>
      <x:c r="B49" s="24" t="str">
        <x:v>Syria</x:v>
      </x:c>
      <x:c r="C49" s="24" t="str">
        <x:v>EEZ</x:v>
      </x:c>
      <x:c r="D49" s="30" t="n">
        <x:v>2019</x:v>
      </x:c>
      <x:c r="E49" s="24" t="str">
        <x:v>Xiphias gladius</x:v>
      </x:c>
      <x:c r="F49" s="24" t="str">
        <x:v>Swordfish</x:v>
      </x:c>
      <x:c r="G49" s="24" t="str">
        <x:v>Large pelagics (&gt;=90 cm)</x:v>
      </x:c>
      <x:c r="H49" s="24" t="str">
        <x:v>Tuna &amp; billfishes</x:v>
      </x:c>
      <x:c r="I49" s="31" t="n">
        <x:v>0.0254430006</x:v>
      </x:c>
      <x:c r="J49" s="31" t="n">
        <x:v>0.0254430006</x:v>
      </x:c>
      <x:c r="K49" s="31" t="n">
        <x:v>0</x:v>
      </x:c>
      <x:c r="L49" s="31" t="n">
        <x:v>0.0004444766</x:v>
      </x:c>
      <x:c r="M49" s="31" t="n">
        <x:v>0.024998524</x:v>
      </x:c>
      <x:c r="N49" s="24" t="str">
        <x:v>xiphias gladius</x:v>
      </x:c>
      <x:c r="O49" s="32" t="n">
        <x:v>4.53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Xiphias gladius</x:v>
      </x:c>
      <x:c r="T49" s="32" t="n">
        <x:f>IF(O49="","",(1/'Metadata'!$B$5)^(O49-1))</x:f>
        <x:v>3388.4415613920273</x:v>
      </x:c>
      <x:c r="U49" s="31" t="n">
        <x:f>IF(T49="","",I49*T49)</x:f>
        <x:v>86.21212067956229</x:v>
      </x:c>
    </x:row>
    <x:row r="50" ht="18" customHeight="1">
      <x:c r="A50" s="24" t="str">
        <x:v>EEZ_760</x:v>
      </x:c>
      <x:c r="B50" s="24" t="str">
        <x:v>Syria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0.0091377716</x:v>
      </x:c>
      <x:c r="J50" s="31" t="n">
        <x:v>0.0091377716</x:v>
      </x:c>
      <x:c r="K50" s="31" t="n">
        <x:v>0</x:v>
      </x:c>
      <x:c r="L50" s="31" t="n">
        <x:v>0.0091377716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2.0456922440329444</x:v>
      </x:c>
    </x:row>
    <x:row r="51" ht="18" customHeight="1">
      <x:c r="A51" s="24" t="str">
        <x:v>EEZ_760</x:v>
      </x:c>
      <x:c r="B51" s="24" t="str">
        <x:v>Syria</x:v>
      </x:c>
      <x:c r="C51" s="24" t="str">
        <x:v>EEZ</x:v>
      </x:c>
      <x:c r="D51" s="30" t="n">
        <x:v>2019</x:v>
      </x:c>
      <x:c r="E51" s="24" t="str">
        <x:v>Thunnus alalunga</x:v>
      </x:c>
      <x:c r="F51" s="24" t="str">
        <x:v>Albacore</x:v>
      </x:c>
      <x:c r="G51" s="24" t="str">
        <x:v>Large pelagics (&gt;=90 cm)</x:v>
      </x:c>
      <x:c r="H51" s="24" t="str">
        <x:v>Tuna &amp; billfishes</x:v>
      </x:c>
      <x:c r="I51" s="31" t="n">
        <x:v>0.0006575927</x:v>
      </x:c>
      <x:c r="J51" s="31" t="n">
        <x:v>0.0006575927</x:v>
      </x:c>
      <x:c r="K51" s="31" t="n">
        <x:v>0</x:v>
      </x:c>
      <x:c r="L51" s="31" t="n">
        <x:v>0.0006575927</x:v>
      </x:c>
      <x:c r="M51" s="31" t="n">
        <x:v>0</x:v>
      </x:c>
      <x:c r="N51" s="24" t="str">
        <x:v>thunnus alalunga</x:v>
      </x:c>
      <x:c r="O51" s="32" t="n">
        <x:v>4.3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alalunga</x:v>
      </x:c>
      <x:c r="T51" s="32" t="n">
        <x:f>IF(O51="","",(1/'Metadata'!$B$5)^(O51-1))</x:f>
        <x:v>1995.2623149688789</x:v>
      </x:c>
      <x:c r="U51" s="31" t="n">
        <x:f>IF(T51="","",I51*T51)</x:f>
        <x:v>1.3120699329086356</x:v>
      </x:c>
    </x:row>
    <x:row r="52" ht="18" customHeight="1">
      <x:c r="A52" s="24" t="str">
        <x:v>EEZ_760</x:v>
      </x:c>
      <x:c r="B52" s="24" t="str">
        <x:v>Syria</x:v>
      </x:c>
      <x:c r="C52" s="24" t="str">
        <x:v>EEZ</x:v>
      </x:c>
      <x:c r="D52" s="30" t="n">
        <x:v>2019</x:v>
      </x:c>
      <x:c r="E52" s="24" t="str">
        <x:v>Prionace glauca</x:v>
      </x:c>
      <x:c r="F52" s="24" t="str">
        <x:v>Blue shark</x:v>
      </x:c>
      <x:c r="G52" s="24" t="str">
        <x:v>Large sharks (&gt;=90 cm)</x:v>
      </x:c>
      <x:c r="H52" s="24" t="str">
        <x:v>Sharks &amp; rays</x:v>
      </x:c>
      <x:c r="I52" s="31" t="n">
        <x:v>0.0001071711</x:v>
      </x:c>
      <x:c r="J52" s="31" t="n">
        <x:v>0.0001071711</x:v>
      </x:c>
      <x:c r="K52" s="31" t="n">
        <x:v>0</x:v>
      </x:c>
      <x:c r="L52" s="31" t="n">
        <x:v>0.0001071711</x:v>
      </x:c>
      <x:c r="M52" s="31" t="n">
        <x:v>0</x:v>
      </x:c>
      <x:c r="N52" s="24" t="str">
        <x:v>prionace glauca</x:v>
      </x:c>
      <x:c r="O52" s="32" t="n">
        <x:v>4.35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Prionace glauca</x:v>
      </x:c>
      <x:c r="T52" s="32" t="n">
        <x:f>IF(O52="","",(1/'Metadata'!$B$5)^(O52-1))</x:f>
        <x:v>2238.7211385683377</x:v>
      </x:c>
      <x:c r="U52" s="31" t="n">
        <x:f>IF(T52="","",I52*T52)</x:f>
        <x:v>0.23992620701362116</x:v>
      </x:c>
    </x:row>
  </x:sheetData>
  <x:conditionalFormatting sqref="R2:R5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00c0c1672bb4d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4</x:v>
      </x:c>
      <x:c r="C2" s="33" t="n">
        <x:v>4</x:v>
      </x:c>
      <x:c r="D2" s="31" t="n">
        <x:v>252.155214222</x:v>
      </x:c>
      <x:c r="E2" s="31" t="n">
        <x:v>252.155214222</x:v>
      </x:c>
      <x:c r="F2" s="32" t="n">
        <x:v>0</x:v>
      </x:c>
      <x:c r="G2" s="34" t="n">
        <x:v>1</x:v>
      </x:c>
      <x:c r="H2" s="32" t="n">
        <x:f>IF(E2=0,"",I2/E2)</x:f>
        <x:v>48.148217795282406</x:v>
      </x:c>
      <x:c r="I2" s="31" t="n">
        <x:f>IF(C2=0,"",SUMIF('Species'!$H$2:$H$52,A2,'Species'!$U$2:$U$52))</x:f>
        <x:v>12140.824172576948</x:v>
      </x:c>
      <x:c r="J2" s="32" t="n">
        <x:v>2.665618200640629</x:v>
      </x:c>
      <x:c r="K2" s="32" t="n">
        <x:f>IF(J2="","",(1/'Metadata'!$B$5)^(J2-1))</x:f>
        <x:v>46.30396707627503</x:v>
      </x:c>
      <x:c r="L2" s="31" t="n">
        <x:f>IF(E2=0,"",E2*K2)</x:f>
        <x:v>11675.786737446566</x:v>
      </x:c>
      <x:c r="M2" s="31" t="n">
        <x:f>IF(E2=0,"",I2-L2)</x:f>
        <x:v>465.0374351303817</x:v>
      </x:c>
      <x:c r="N2" s="32" t="n">
        <x:f>IF(L2=0,"",I2/L2)</x:f>
        <x:v>1.0398292162736165</x:v>
      </x:c>
      <x:c r="O2" s="34" t="n">
        <x:f>IF(L2=0,"",M2/L2)</x:f>
        <x:v>0.039829216273616436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345.1317861351</x:v>
      </x:c>
      <x:c r="E3" s="31" t="n">
        <x:v>345.1317861351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IF(C3=0,"",SUMIF('Species'!$H$2:$H$52,A3,'Species'!$U$2:$U$52))</x:f>
        <x:v>49886.72098282516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49886.72098282516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1</x:v>
      </x:c>
      <x:c r="C4" s="33" t="n">
        <x:v>1</x:v>
      </x:c>
      <x:c r="D4" s="31" t="n">
        <x:v>40</x:v>
      </x:c>
      <x:c r="E4" s="31" t="n">
        <x:v>40</x:v>
      </x:c>
      <x:c r="F4" s="32" t="n">
        <x:v>0</x:v>
      </x:c>
      <x:c r="G4" s="34" t="n">
        <x:v>1</x:v>
      </x:c>
      <x:c r="H4" s="32" t="n">
        <x:f>IF(E4=0,"",I4/E4)</x:f>
        <x:v>12.589254117941675</x:v>
      </x:c>
      <x:c r="I4" s="31" t="n">
        <x:f>IF(C4=0,"",SUMIF('Species'!$H$2:$H$52,A4,'Species'!$U$2:$U$52))</x:f>
        <x:v>503.570164717667</x:v>
      </x:c>
      <x:c r="J4" s="32" t="n">
        <x:v>2.1</x:v>
      </x:c>
      <x:c r="K4" s="32" t="n">
        <x:f>IF(J4="","",(1/'Metadata'!$B$5)^(J4-1))</x:f>
        <x:v>12.589254117941675</x:v>
      </x:c>
      <x:c r="L4" s="31" t="n">
        <x:f>IF(E4=0,"",E4*K4)</x:f>
        <x:v>503.570164717667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8</x:v>
      </x:c>
      <x:c r="C5" s="33" t="n">
        <x:v>8</x:v>
      </x:c>
      <x:c r="D5" s="31" t="n">
        <x:v>895.3985849326001</x:v>
      </x:c>
      <x:c r="E5" s="31" t="n">
        <x:v>895.3985849326001</x:v>
      </x:c>
      <x:c r="F5" s="32" t="n">
        <x:v>0</x:v>
      </x:c>
      <x:c r="G5" s="34" t="n">
        <x:v>1</x:v>
      </x:c>
      <x:c r="H5" s="32" t="n">
        <x:f>IF(E5=0,"",I5/E5)</x:f>
        <x:v>465.35497943633015</x:v>
      </x:c>
      <x:c r="I5" s="31" t="n">
        <x:f>IF(C5=0,"",SUMIF('Species'!$H$2:$H$52,A5,'Species'!$U$2:$U$52))</x:f>
        <x:v>416678.19007862924</x:v>
      </x:c>
      <x:c r="J5" s="32" t="n">
        <x:v>3.4137105813512805</x:v>
      </x:c>
      <x:c r="K5" s="32" t="n">
        <x:f>IF(J5="","",(1/'Metadata'!$B$5)^(J5-1))</x:f>
        <x:v>259.2451148198652</x:v>
      </x:c>
      <x:c r="L5" s="31" t="n">
        <x:f>IF(E5=0,"",E5*K5)</x:f>
        <x:v>232127.70896039673</x:v>
      </x:c>
      <x:c r="M5" s="31" t="n">
        <x:f>IF(E5=0,"",I5-L5)</x:f>
        <x:v>184550.4811182325</x:v>
      </x:c>
      <x:c r="N5" s="32" t="n">
        <x:f>IF(L5=0,"",I5/L5)</x:f>
        <x:v>1.7950385671092746</x:v>
      </x:c>
      <x:c r="O5" s="34" t="n">
        <x:f>IF(L5=0,"",M5/L5)</x:f>
        <x:v>0.7950385671092745</x:v>
      </x:c>
    </x:row>
    <x:row r="6" ht="18" customHeight="1">
      <x:c r="A6" s="24" t="str">
        <x:v>Perch-likes</x:v>
      </x:c>
      <x:c r="B6" s="33" t="n">
        <x:v>21</x:v>
      </x:c>
      <x:c r="C6" s="33" t="n">
        <x:v>21</x:v>
      </x:c>
      <x:c r="D6" s="31" t="n">
        <x:v>1662.5084177644</x:v>
      </x:c>
      <x:c r="E6" s="31" t="n">
        <x:v>1662.5084177644</x:v>
      </x:c>
      <x:c r="F6" s="32" t="n">
        <x:v>0</x:v>
      </x:c>
      <x:c r="G6" s="34" t="n">
        <x:v>1</x:v>
      </x:c>
      <x:c r="H6" s="32" t="n">
        <x:f>IF(E6=0,"",I6/E6)</x:f>
        <x:v>552.3238016552561</x:v>
      </x:c>
      <x:c r="I6" s="31" t="n">
        <x:f>IF(C6=0,"",SUMIF('Species'!$H$2:$H$52,A6,'Species'!$U$2:$U$52))</x:f>
        <x:v>918242.9695834982</x:v>
      </x:c>
      <x:c r="J6" s="32" t="n">
        <x:v>3.4143470133121645</x:v>
      </x:c>
      <x:c r="K6" s="32" t="n">
        <x:f>IF(J6="","",(1/'Metadata'!$B$5)^(J6-1))</x:f>
        <x:v>259.6253011576482</x:v>
      </x:c>
      <x:c r="L6" s="31" t="n">
        <x:f>IF(E6=0,"",E6*K6)</x:f>
        <x:v>431629.24863920757</x:v>
      </x:c>
      <x:c r="M6" s="31" t="n">
        <x:f>IF(E6=0,"",I6-L6)</x:f>
        <x:v>486613.72094429063</x:v>
      </x:c>
      <x:c r="N6" s="32" t="n">
        <x:f>IF(L6=0,"",I6/L6)</x:f>
        <x:v>2.127388198270696</x:v>
      </x:c>
      <x:c r="O6" s="34" t="n">
        <x:f>IF(L6=0,"",M6/L6)</x:f>
        <x:v>1.1273881982706964</x:v>
      </x:c>
    </x:row>
    <x:row r="7" ht="18" customHeight="1">
      <x:c r="A7" s="24" t="str">
        <x:v>Scorpionfishes</x:v>
      </x:c>
      <x:c r="B7" s="33" t="n">
        <x:v>3</x:v>
      </x:c>
      <x:c r="C7" s="33" t="n">
        <x:v>3</x:v>
      </x:c>
      <x:c r="D7" s="31" t="n">
        <x:v>63.794777418</x:v>
      </x:c>
      <x:c r="E7" s="31" t="n">
        <x:v>63.794777418</x:v>
      </x:c>
      <x:c r="F7" s="32" t="n">
        <x:v>0</x:v>
      </x:c>
      <x:c r="G7" s="34" t="n">
        <x:v>1</x:v>
      </x:c>
      <x:c r="H7" s="32" t="n">
        <x:f>IF(E7=0,"",I7/E7)</x:f>
        <x:v>544.95164937862</x:v>
      </x:c>
      <x:c r="I7" s="31" t="n">
        <x:f>IF(C7=0,"",SUMIF('Species'!$H$2:$H$52,A7,'Species'!$U$2:$U$52))</x:f>
        <x:v>34765.06917568104</x:v>
      </x:c>
      <x:c r="J7" s="32" t="n">
        <x:v>3.694093373735109</x:v>
      </x:c>
      <x:c r="K7" s="32" t="n">
        <x:f>IF(J7="","",(1/'Metadata'!$B$5)^(J7-1))</x:f>
        <x:v>494.41697568996335</x:v>
      </x:c>
      <x:c r="L7" s="31" t="n">
        <x:f>IF(E7=0,"",E7*K7)</x:f>
        <x:v>31541.22091582193</x:v>
      </x:c>
      <x:c r="M7" s="31" t="n">
        <x:f>IF(E7=0,"",I7-L7)</x:f>
        <x:v>3223.848259859111</x:v>
      </x:c>
      <x:c r="N7" s="32" t="n">
        <x:f>IF(L7=0,"",I7/L7)</x:f>
        <x:v>1.1022106363118602</x:v>
      </x:c>
      <x:c r="O7" s="34" t="n">
        <x:f>IF(L7=0,"",M7/L7)</x:f>
        <x:v>0.10221063631186011</x:v>
      </x:c>
    </x:row>
    <x:row r="8" ht="18" customHeight="1">
      <x:c r="A8" s="24" t="str">
        <x:v>Sharks &amp; rays</x:v>
      </x:c>
      <x:c r="B8" s="33" t="n">
        <x:v>7</x:v>
      </x:c>
      <x:c r="C8" s="33" t="n">
        <x:v>7</x:v>
      </x:c>
      <x:c r="D8" s="31" t="n">
        <x:v>265.9114254391</x:v>
      </x:c>
      <x:c r="E8" s="31" t="n">
        <x:v>265.9114254391</x:v>
      </x:c>
      <x:c r="F8" s="32" t="n">
        <x:v>0</x:v>
      </x:c>
      <x:c r="G8" s="34" t="n">
        <x:v>1</x:v>
      </x:c>
      <x:c r="H8" s="32" t="n">
        <x:f>IF(E8=0,"",I8/E8)</x:f>
        <x:v>999.4459556675206</x:v>
      </x:c>
      <x:c r="I8" s="31" t="n">
        <x:f>IF(C8=0,"",SUMIF('Species'!$H$2:$H$52,A8,'Species'!$U$2:$U$52))</x:f>
        <x:v>265764.09872089396</x:v>
      </x:c>
      <x:c r="J8" s="32" t="n">
        <x:v>3.9446074859651774</x:v>
      </x:c>
      <x:c r="K8" s="32" t="n">
        <x:f>IF(J8="","",(1/'Metadata'!$B$5)^(J8-1))</x:f>
        <x:v>880.2529434437856</x:v>
      </x:c>
      <x:c r="L8" s="31" t="n">
        <x:f>IF(E8=0,"",E8*K8)</x:f>
        <x:v>234069.31493810052</x:v>
      </x:c>
      <x:c r="M8" s="31" t="n">
        <x:f>IF(E8=0,"",I8-L8)</x:f>
        <x:v>31694.78378279344</x:v>
      </x:c>
      <x:c r="N8" s="32" t="n">
        <x:f>IF(L8=0,"",I8/L8)</x:f>
        <x:v>1.135407683793047</x:v>
      </x:c>
      <x:c r="O8" s="34" t="n">
        <x:f>IF(L8=0,"",M8/L8)</x:f>
        <x:v>0.13540768379304696</x:v>
      </x:c>
    </x:row>
    <x:row r="9" ht="18" customHeight="1">
      <x:c r="A9" s="24" t="str">
        <x:v>Tuna &amp; billfishes</x:v>
      </x:c>
      <x:c r="B9" s="33" t="n">
        <x:v>6</x:v>
      </x:c>
      <x:c r="C9" s="33" t="n">
        <x:v>6</x:v>
      </x:c>
      <x:c r="D9" s="31" t="n">
        <x:v>478.43727258409996</x:v>
      </x:c>
      <x:c r="E9" s="31" t="n">
        <x:v>478.43727258409996</x:v>
      </x:c>
      <x:c r="F9" s="32" t="n">
        <x:v>0</x:v>
      </x:c>
      <x:c r="G9" s="34" t="n">
        <x:v>1</x:v>
      </x:c>
      <x:c r="H9" s="32" t="n">
        <x:f>IF(E9=0,"",I9/E9)</x:f>
        <x:v>2763.0841159162946</x:v>
      </x:c>
      <x:c r="I9" s="31" t="n">
        <x:f>IF(C9=0,"",SUMIF('Species'!$H$2:$H$52,A9,'Species'!$U$2:$U$52))</x:f>
        <x:v>1321962.428339441</x:v>
      </x:c>
      <x:c r="J9" s="32" t="n">
        <x:v>4.428131950886686</x:v>
      </x:c>
      <x:c r="K9" s="32" t="n">
        <x:f>IF(J9="","",(1/'Metadata'!$B$5)^(J9-1))</x:f>
        <x:v>2679.982455232081</x:v>
      </x:c>
      <x:c r="L9" s="31" t="n">
        <x:f>IF(E9=0,"",E9*K9)</x:f>
        <x:v>1282203.4964544766</x:v>
      </x:c>
      <x:c r="M9" s="31" t="n">
        <x:f>IF(E9=0,"",I9-L9)</x:f>
        <x:v>39758.93188496446</x:v>
      </x:c>
      <x:c r="N9" s="32" t="n">
        <x:f>IF(L9=0,"",I9/L9)</x:f>
        <x:v>1.0310082853423073</x:v>
      </x:c>
      <x:c r="O9" s="34" t="n">
        <x:f>IF(L9=0,"",M9/L9)</x:f>
        <x:v>0.03100828534230726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27dc90aeb7e46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26.53321411</x:v>
      </x:c>
      <x:c r="E2" s="31" t="n">
        <x:v>26.53321411</x:v>
      </x:c>
      <x:c r="F2" s="32" t="n">
        <x:v>0</x:v>
      </x:c>
      <x:c r="G2" s="34" t="n">
        <x:v>1</x:v>
      </x:c>
      <x:c r="H2" s="32" t="n">
        <x:f>IF(E2=0,"",I2/E2)</x:f>
        <x:v>1114.7165055446449</x:v>
      </x:c>
      <x:c r="I2" s="31" t="n">
        <x:f>IF(C2=0,"",SUMIF('Species'!$G$2:$G$52,A2,'Species'!$U$2:$U$52))</x:f>
        <x:v>29577.011713567063</x:v>
      </x:c>
      <x:c r="J2" s="32" t="n">
        <x:v>4.014999991269433</x:v>
      </x:c>
      <x:c r="K2" s="32" t="n">
        <x:f>IF(J2="","",(1/'Metadata'!$B$5)^(J2-1))</x:f>
        <x:v>1035.1421458700124</x:v>
      </x:c>
      <x:c r="L2" s="31" t="n">
        <x:f>IF(E2=0,"",E2*K2)</x:f>
        <x:v>27465.64819065389</x:v>
      </x:c>
      <x:c r="M2" s="31" t="n">
        <x:f>IF(E2=0,"",I2-L2)</x:f>
        <x:v>2111.3635229131723</x:v>
      </x:c>
      <x:c r="N2" s="32" t="n">
        <x:f>IF(L2=0,"",I2/L2)</x:f>
        <x:v>1.076872881654096</x:v>
      </x:c>
      <x:c r="O2" s="34" t="n">
        <x:f>IF(L2=0,"",M2/L2)</x:f>
        <x:v>0.076872881654096</x:v>
      </x:c>
    </x:row>
    <x:row r="3" ht="18" customHeight="1">
      <x:c r="A3" s="24" t="str">
        <x:v>Large pelagics (&gt;=90 cm)</x:v>
      </x:c>
      <x:c r="B3" s="33" t="n">
        <x:v>6</x:v>
      </x:c>
      <x:c r="C3" s="33" t="n">
        <x:v>6</x:v>
      </x:c>
      <x:c r="D3" s="31" t="n">
        <x:v>423.0438354654</x:v>
      </x:c>
      <x:c r="E3" s="31" t="n">
        <x:v>423.0438354654</x:v>
      </x:c>
      <x:c r="F3" s="32" t="n">
        <x:v>0</x:v>
      </x:c>
      <x:c r="G3" s="34" t="n">
        <x:v>1</x:v>
      </x:c>
      <x:c r="H3" s="32" t="n">
        <x:f>IF(E3=0,"",I3/E3)</x:f>
        <x:v>2911.7119972346036</x:v>
      </x:c>
      <x:c r="I3" s="31" t="n">
        <x:f>IF(C3=0,"",SUMIF('Species'!$G$2:$G$52,A3,'Species'!$U$2:$U$52))</x:f>
        <x:v>1231781.8110807468</x:v>
      </x:c>
      <x:c r="J3" s="32" t="n">
        <x:v>4.4632009180741035</x:v>
      </x:c>
      <x:c r="K3" s="32" t="n">
        <x:f>IF(J3="","",(1/'Metadata'!$B$5)^(J3-1))</x:f>
        <x:v>2905.3664560779025</x:v>
      </x:c>
      <x:c r="L3" s="31" t="n">
        <x:f>IF(E3=0,"",E3*K3)</x:f>
        <x:v>1229097.3690117125</x:v>
      </x:c>
      <x:c r="M3" s="31" t="n">
        <x:f>IF(E3=0,"",I3-L3)</x:f>
        <x:v>2684.442069034325</x:v>
      </x:c>
      <x:c r="N3" s="32" t="n">
        <x:f>IF(L3=0,"",I3/L3)</x:f>
        <x:v>1.0021840760030207</x:v>
      </x:c>
      <x:c r="O3" s="34" t="n">
        <x:f>IF(L3=0,"",M3/L3)</x:f>
        <x:v>0.002184076003020672</x:v>
      </x:c>
    </x:row>
    <x:row r="4" ht="18" customHeight="1">
      <x:c r="A4" s="24" t="str">
        <x:v>Large rays (&gt;=90 cm)</x:v>
      </x:c>
      <x:c r="B4" s="33" t="n">
        <x:v>2</x:v>
      </x:c>
      <x:c r="C4" s="33" t="n">
        <x:v>2</x:v>
      </x:c>
      <x:c r="D4" s="31" t="n">
        <x:v>120.23478468600001</x:v>
      </x:c>
      <x:c r="E4" s="31" t="n">
        <x:v>120.23478468600001</x:v>
      </x:c>
      <x:c r="F4" s="32" t="n">
        <x:v>0</x:v>
      </x:c>
      <x:c r="G4" s="34" t="n">
        <x:v>1</x:v>
      </x:c>
      <x:c r="H4" s="32" t="n">
        <x:f>IF(E4=0,"",I4/E4)</x:f>
        <x:v>574.0909934225871</x:v>
      </x:c>
      <x:c r="I4" s="31" t="n">
        <x:f>IF(C4=0,"",SUMIF('Species'!$G$2:$G$52,A4,'Species'!$U$2:$U$52))</x:f>
        <x:v>69025.7069843366</x:v>
      </x:c>
      <x:c r="J4" s="32" t="n">
        <x:v>3.7482054089479715</x:v>
      </x:c>
      <x:c r="K4" s="32" t="n">
        <x:f>IF(J4="","",(1/'Metadata'!$B$5)^(J4-1))</x:f>
        <x:v>560.0224135525356</x:v>
      </x:c>
      <x:c r="L4" s="31" t="n">
        <x:f>IF(E4=0,"",E4*K4)</x:f>
        <x:v>67334.17431282318</x:v>
      </x:c>
      <x:c r="M4" s="31" t="n">
        <x:f>IF(E4=0,"",I4-L4)</x:f>
        <x:v>1691.5326715134288</x:v>
      </x:c>
      <x:c r="N4" s="32" t="n">
        <x:f>IF(L4=0,"",I4/L4)</x:f>
        <x:v>1.0251214585873565</x:v>
      </x:c>
      <x:c r="O4" s="34" t="n">
        <x:f>IF(L4=0,"",M4/L4)</x:f>
        <x:v>0.025121458587356465</x:v>
      </x:c>
    </x:row>
    <x:row r="5" ht="18" customHeight="1">
      <x:c r="A5" s="24" t="str">
        <x:v>Large reef assoc. fish (&gt;=90 cm)</x:v>
      </x:c>
      <x:c r="B5" s="33" t="n">
        <x:v>2</x:v>
      </x:c>
      <x:c r="C5" s="33" t="n">
        <x:v>2</x:v>
      </x:c>
      <x:c r="D5" s="31" t="n">
        <x:v>62.248731977</x:v>
      </x:c>
      <x:c r="E5" s="31" t="n">
        <x:v>62.248731977</x:v>
      </x:c>
      <x:c r="F5" s="32" t="n">
        <x:v>0</x:v>
      </x:c>
      <x:c r="G5" s="34" t="n">
        <x:v>1</x:v>
      </x:c>
      <x:c r="H5" s="32" t="n">
        <x:f>IF(E5=0,"",I5/E5)</x:f>
        <x:v>2244.296335794321</x:v>
      </x:c>
      <x:c r="I5" s="31" t="n">
        <x:f>IF(C5=0,"",SUMIF('Species'!$G$2:$G$52,A5,'Species'!$U$2:$U$52))</x:f>
        <x:v>139704.60108382386</x:v>
      </x:c>
      <x:c r="J5" s="32" t="n">
        <x:v>4.271540015000554</x:v>
      </x:c>
      <x:c r="K5" s="32" t="n">
        <x:f>IF(J5="","",(1/'Metadata'!$B$5)^(J5-1))</x:f>
        <x:v>1868.701847669782</x:v>
      </x:c>
      <x:c r="L5" s="31" t="n">
        <x:f>IF(E5=0,"",E5*K5)</x:f>
        <x:v>116324.32046052093</x:v>
      </x:c>
      <x:c r="M5" s="31" t="n">
        <x:f>IF(E5=0,"",I5-L5)</x:f>
        <x:v>23380.280623302926</x:v>
      </x:c>
      <x:c r="N5" s="32" t="n">
        <x:f>IF(L5=0,"",I5/L5)</x:f>
        <x:v>1.2009921960493026</x:v>
      </x:c>
      <x:c r="O5" s="34" t="n">
        <x:f>IF(L5=0,"",M5/L5)</x:f>
        <x:v>0.2009921960493026</x:v>
      </x:c>
    </x:row>
    <x:row r="6" ht="18" customHeight="1">
      <x:c r="A6" s="24" t="str">
        <x:v>Large sharks (&gt;=90 cm)</x:v>
      </x:c>
      <x:c r="B6" s="33" t="n">
        <x:v>5</x:v>
      </x:c>
      <x:c r="C6" s="33" t="n">
        <x:v>5</x:v>
      </x:c>
      <x:c r="D6" s="31" t="n">
        <x:v>145.67664075310003</x:v>
      </x:c>
      <x:c r="E6" s="31" t="n">
        <x:v>145.67664075310003</x:v>
      </x:c>
      <x:c r="F6" s="32" t="n">
        <x:v>0</x:v>
      </x:c>
      <x:c r="G6" s="34" t="n">
        <x:v>1</x:v>
      </x:c>
      <x:c r="H6" s="32" t="n">
        <x:f>IF(E6=0,"",I6/E6)</x:f>
        <x:v>1350.5143358570392</x:v>
      </x:c>
      <x:c r="I6" s="31" t="n">
        <x:f>IF(C6=0,"",SUMIF('Species'!$G$2:$G$52,A6,'Species'!$U$2:$U$52))</x:f>
        <x:v>196738.3917365574</x:v>
      </x:c>
      <x:c r="J6" s="32" t="n">
        <x:v>4.106708707684517</x:v>
      </x:c>
      <x:c r="K6" s="32" t="n">
        <x:f>IF(J6="","",(1/'Metadata'!$B$5)^(J6-1))</x:f>
        <x:v>1278.5234784079307</x:v>
      </x:c>
      <x:c r="L6" s="31" t="n">
        <x:f>IF(E6=0,"",E6*K6)</x:f>
        <x:v>186251.00545843598</x:v>
      </x:c>
      <x:c r="M6" s="31" t="n">
        <x:f>IF(E6=0,"",I6-L6)</x:f>
        <x:v>10487.386278121412</x:v>
      </x:c>
      <x:c r="N6" s="32" t="n">
        <x:f>IF(L6=0,"",I6/L6)</x:f>
        <x:v>1.0563078102709185</x:v>
      </x:c>
      <x:c r="O6" s="34" t="n">
        <x:f>IF(L6=0,"",M6/L6)</x:f>
        <x:v>0.05630781027091846</x:v>
      </x:c>
    </x:row>
    <x:row r="7" ht="18" customHeight="1">
      <x:c r="A7" s="24" t="str">
        <x:v>Medium bathydemersals (30 - 89 cm)</x:v>
      </x:c>
      <x:c r="B7" s="33" t="n">
        <x:v>2</x:v>
      </x:c>
      <x:c r="C7" s="33" t="n">
        <x:v>2</x:v>
      </x:c>
      <x:c r="D7" s="31" t="n">
        <x:v>111.05131296600001</x:v>
      </x:c>
      <x:c r="E7" s="31" t="n">
        <x:v>111.05131296600001</x:v>
      </x:c>
      <x:c r="F7" s="32" t="n">
        <x:v>0</x:v>
      </x:c>
      <x:c r="G7" s="34" t="n">
        <x:v>1</x:v>
      </x:c>
      <x:c r="H7" s="32" t="n">
        <x:f>IF(E7=0,"",I7/E7)</x:f>
        <x:v>2148.020342477871</x:v>
      </x:c>
      <x:c r="I7" s="31" t="n">
        <x:f>IF(C7=0,"",SUMIF('Species'!$G$2:$G$52,A7,'Species'!$U$2:$U$52))</x:f>
        <x:v>238540.4793098446</x:v>
      </x:c>
      <x:c r="J7" s="32" t="n">
        <x:v>4.18691756464433</x:v>
      </x:c>
      <x:c r="K7" s="32" t="n">
        <x:f>IF(J7="","",(1/'Metadata'!$B$5)^(J7-1))</x:f>
        <x:v>1537.8627040781496</x:v>
      </x:c>
      <x:c r="L7" s="31" t="n">
        <x:f>IF(E7=0,"",E7*K7)</x:f>
        <x:v>170781.67244932166</x:v>
      </x:c>
      <x:c r="M7" s="31" t="n">
        <x:f>IF(E7=0,"",I7-L7)</x:f>
        <x:v>67758.80686052295</x:v>
      </x:c>
      <x:c r="N7" s="32" t="n">
        <x:f>IF(L7=0,"",I7/L7)</x:f>
        <x:v>1.3967568995474613</x:v>
      </x:c>
      <x:c r="O7" s="34" t="n">
        <x:f>IF(L7=0,"",M7/L7)</x:f>
        <x:v>0.3967568995474613</x:v>
      </x:c>
    </x:row>
    <x:row r="8" ht="18" customHeight="1">
      <x:c r="A8" s="24" t="str">
        <x:v>Medium benthopelagics (30 - 89 cm)</x:v>
      </x:c>
      <x:c r="B8" s="33" t="n">
        <x:v>5</x:v>
      </x:c>
      <x:c r="C8" s="33" t="n">
        <x:v>5</x:v>
      </x:c>
      <x:c r="D8" s="31" t="n">
        <x:v>306.614910948</x:v>
      </x:c>
      <x:c r="E8" s="31" t="n">
        <x:v>306.614910948</x:v>
      </x:c>
      <x:c r="F8" s="32" t="n">
        <x:v>0</x:v>
      </x:c>
      <x:c r="G8" s="34" t="n">
        <x:v>1</x:v>
      </x:c>
      <x:c r="H8" s="32" t="n">
        <x:f>IF(E8=0,"",I8/E8)</x:f>
        <x:v>190.06053079394317</x:v>
      </x:c>
      <x:c r="I8" s="31" t="n">
        <x:f>IF(C8=0,"",SUMIF('Species'!$G$2:$G$52,A8,'Species'!$U$2:$U$52))</x:f>
        <x:v>58275.39272411449</x:v>
      </x:c>
      <x:c r="J8" s="32" t="n">
        <x:v>3.1916847339605665</x:v>
      </x:c>
      <x:c r="K8" s="32" t="n">
        <x:f>IF(J8="","",(1/'Metadata'!$B$5)^(J8-1))</x:f>
        <x:v>155.4836524198787</x:v>
      </x:c>
      <x:c r="L8" s="31" t="n">
        <x:f>IF(E8=0,"",E8*K8)</x:f>
        <x:v>47673.60624059089</x:v>
      </x:c>
      <x:c r="M8" s="31" t="n">
        <x:f>IF(E8=0,"",I8-L8)</x:f>
        <x:v>10601.786483523603</x:v>
      </x:c>
      <x:c r="N8" s="32" t="n">
        <x:f>IF(L8=0,"",I8/L8)</x:f>
        <x:v>1.2223827253600315</x:v>
      </x:c>
      <x:c r="O8" s="34" t="n">
        <x:f>IF(L8=0,"",M8/L8)</x:f>
        <x:v>0.22238272536003142</x:v>
      </x:c>
    </x:row>
    <x:row r="9" ht="18" customHeight="1">
      <x:c r="A9" s="24" t="str">
        <x:v>Medium demersals (30 - 89 cm)</x:v>
      </x:c>
      <x:c r="B9" s="33" t="n">
        <x:v>7</x:v>
      </x:c>
      <x:c r="C9" s="33" t="n">
        <x:v>7</x:v>
      </x:c>
      <x:c r="D9" s="31" t="n">
        <x:v>1204.99034401</x:v>
      </x:c>
      <x:c r="E9" s="31" t="n">
        <x:v>1204.99034401</x:v>
      </x:c>
      <x:c r="F9" s="32" t="n">
        <x:v>0</x:v>
      </x:c>
      <x:c r="G9" s="34" t="n">
        <x:v>1</x:v>
      </x:c>
      <x:c r="H9" s="32" t="n">
        <x:f>IF(E9=0,"",I9/E9)</x:f>
        <x:v>204.99087990884144</x:v>
      </x:c>
      <x:c r="I9" s="31" t="n">
        <x:f>IF(C9=0,"",SUMIF('Species'!$G$2:$G$52,A9,'Species'!$U$2:$U$52))</x:f>
        <x:v>247012.03090026742</x:v>
      </x:c>
      <x:c r="J9" s="32" t="n">
        <x:v>3.274777804828851</x:v>
      </x:c>
      <x:c r="K9" s="32" t="n">
        <x:f>IF(J9="","",(1/'Metadata'!$B$5)^(J9-1))</x:f>
        <x:v>188.2685617236085</x:v>
      </x:c>
      <x:c r="L9" s="31" t="n">
        <x:f>IF(E9=0,"",E9*K9)</x:f>
        <x:v>226861.79895759892</x:v>
      </x:c>
      <x:c r="M9" s="31" t="n">
        <x:f>IF(E9=0,"",I9-L9)</x:f>
        <x:v>20150.2319426685</x:v>
      </x:c>
      <x:c r="N9" s="32" t="n">
        <x:f>IF(L9=0,"",I9/L9)</x:f>
        <x:v>1.0888216175453789</x:v>
      </x:c>
      <x:c r="O9" s="34" t="n">
        <x:f>IF(L9=0,"",M9/L9)</x:f>
        <x:v>0.08882161754537894</x:v>
      </x:c>
    </x:row>
    <x:row r="10" ht="18" customHeight="1">
      <x:c r="A10" s="24" t="str">
        <x:v>Medium pelagics (30 - 89 cm)</x:v>
      </x:c>
      <x:c r="B10" s="33" t="n">
        <x:v>8</x:v>
      </x:c>
      <x:c r="C10" s="33" t="n">
        <x:v>8</x:v>
      </x:c>
      <x:c r="D10" s="31" t="n">
        <x:v>455.4890641957</x:v>
      </x:c>
      <x:c r="E10" s="31" t="n">
        <x:v>455.4890641957</x:v>
      </x:c>
      <x:c r="F10" s="32" t="n">
        <x:v>0</x:v>
      </x:c>
      <x:c r="G10" s="34" t="n">
        <x:v>1</x:v>
      </x:c>
      <x:c r="H10" s="32" t="n">
        <x:f>IF(E10=0,"",I10/E10)</x:f>
        <x:v>867.7470060193752</x:v>
      </x:c>
      <x:c r="I10" s="31" t="n">
        <x:f>IF(C10=0,"",SUMIF('Species'!$G$2:$G$52,A10,'Species'!$U$2:$U$52))</x:f>
        <x:v>395249.27173038566</x:v>
      </x:c>
      <x:c r="J10" s="32" t="n">
        <x:v>3.8197495037265</x:v>
      </x:c>
      <x:c r="K10" s="32" t="n">
        <x:f>IF(J10="","",(1/'Metadata'!$B$5)^(J10-1))</x:f>
        <x:v>660.3124771846327</x:v>
      </x:c>
      <x:c r="L10" s="31" t="n">
        <x:f>IF(E10=0,"",E10*K10)</x:f>
        <x:v>300765.11230957287</x:v>
      </x:c>
      <x:c r="M10" s="31" t="n">
        <x:f>IF(E10=0,"",I10-L10)</x:f>
        <x:v>94484.1594208128</x:v>
      </x:c>
      <x:c r="N10" s="32" t="n">
        <x:f>IF(L10=0,"",I10/L10)</x:f>
        <x:v>1.314146008143264</x:v>
      </x:c>
      <x:c r="O10" s="34" t="n">
        <x:f>IF(L10=0,"",M10/L10)</x:f>
        <x:v>0.314146008143264</x:v>
      </x:c>
    </x:row>
    <x:row r="11" ht="18" customHeight="1">
      <x:c r="A11" s="24" t="str">
        <x:v>Medium reef assoc. fish (30 - 89 cm)</x:v>
      </x:c>
      <x:c r="B11" s="33" t="n">
        <x:v>4</x:v>
      </x:c>
      <x:c r="C11" s="33" t="n">
        <x:v>4</x:v>
      </x:c>
      <x:c r="D11" s="31" t="n">
        <x:v>510.16763902700006</x:v>
      </x:c>
      <x:c r="E11" s="31" t="n">
        <x:v>510.16763902700006</x:v>
      </x:c>
      <x:c r="F11" s="32" t="n">
        <x:v>0</x:v>
      </x:c>
      <x:c r="G11" s="34" t="n">
        <x:v>1</x:v>
      </x:c>
      <x:c r="H11" s="32" t="n">
        <x:f>IF(E11=0,"",I11/E11)</x:f>
        <x:v>689.0050088337659</x:v>
      </x:c>
      <x:c r="I11" s="31" t="n">
        <x:f>IF(C11=0,"",SUMIF('Species'!$G$2:$G$52,A11,'Species'!$U$2:$U$52))</x:f>
        <x:v>351508.05863449967</x:v>
      </x:c>
      <x:c r="J11" s="32" t="n">
        <x:v>3.326730980254724</x:v>
      </x:c>
      <x:c r="K11" s="32" t="n">
        <x:f>IF(J11="","",(1/'Metadata'!$B$5)^(J11-1))</x:f>
        <x:v>212.1929644902649</x:v>
      </x:c>
      <x:c r="L11" s="31" t="n">
        <x:f>IF(E11=0,"",E11*K11)</x:f>
        <x:v>108253.9837121385</x:v>
      </x:c>
      <x:c r="M11" s="31" t="n">
        <x:f>IF(E11=0,"",I11-L11)</x:f>
        <x:v>243254.07492236118</x:v>
      </x:c>
      <x:c r="N11" s="32" t="n">
        <x:f>IF(L11=0,"",I11/L11)</x:f>
        <x:v>3.2470681131625194</x:v>
      </x:c>
      <x:c r="O11" s="34" t="n">
        <x:f>IF(L11=0,"",M11/L11)</x:f>
        <x:v>2.2470681131625194</x:v>
      </x:c>
    </x:row>
    <x:row r="12" ht="18" customHeight="1">
      <x:c r="A12" s="24" t="str">
        <x:v>Other demersal invertebrates</x:v>
      </x:c>
      <x:c r="B12" s="33" t="n">
        <x:v>1</x:v>
      </x:c>
      <x:c r="C12" s="33" t="n">
        <x:v>1</x:v>
      </x:c>
      <x:c r="D12" s="31" t="n">
        <x:v>40</x:v>
      </x:c>
      <x:c r="E12" s="31" t="n">
        <x:v>40</x:v>
      </x:c>
      <x:c r="F12" s="32" t="n">
        <x:v>0</x:v>
      </x:c>
      <x:c r="G12" s="34" t="n">
        <x:v>1</x:v>
      </x:c>
      <x:c r="H12" s="32" t="n">
        <x:f>IF(E12=0,"",I12/E12)</x:f>
        <x:v>12.589254117941675</x:v>
      </x:c>
      <x:c r="I12" s="31" t="n">
        <x:f>IF(C12=0,"",SUMIF('Species'!$G$2:$G$52,A12,'Species'!$U$2:$U$52))</x:f>
        <x:v>503.570164717667</x:v>
      </x:c>
      <x:c r="J12" s="32" t="n">
        <x:v>2.1</x:v>
      </x:c>
      <x:c r="K12" s="32" t="n">
        <x:f>IF(J12="","",(1/'Metadata'!$B$5)^(J12-1))</x:f>
        <x:v>12.589254117941675</x:v>
      </x:c>
      <x:c r="L12" s="31" t="n">
        <x:f>IF(E12=0,"",E12*K12)</x:f>
        <x:v>503.570164717667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Shrimps</x:v>
      </x:c>
      <x:c r="B13" s="33" t="n">
        <x:v>4</x:v>
      </x:c>
      <x:c r="C13" s="33" t="n">
        <x:v>4</x:v>
      </x:c>
      <x:c r="D13" s="31" t="n">
        <x:v>252.155214222</x:v>
      </x:c>
      <x:c r="E13" s="31" t="n">
        <x:v>252.155214222</x:v>
      </x:c>
      <x:c r="F13" s="32" t="n">
        <x:v>0</x:v>
      </x:c>
      <x:c r="G13" s="34" t="n">
        <x:v>1</x:v>
      </x:c>
      <x:c r="H13" s="32" t="n">
        <x:f>IF(E13=0,"",I13/E13)</x:f>
        <x:v>48.148217795282406</x:v>
      </x:c>
      <x:c r="I13" s="31" t="n">
        <x:f>IF(C13=0,"",SUMIF('Species'!$G$2:$G$52,A13,'Species'!$U$2:$U$52))</x:f>
        <x:v>12140.824172576948</x:v>
      </x:c>
      <x:c r="J13" s="32" t="n">
        <x:v>2.665618200640629</x:v>
      </x:c>
      <x:c r="K13" s="32" t="n">
        <x:f>IF(J13="","",(1/'Metadata'!$B$5)^(J13-1))</x:f>
        <x:v>46.30396707627503</x:v>
      </x:c>
      <x:c r="L13" s="31" t="n">
        <x:f>IF(E13=0,"",E13*K13)</x:f>
        <x:v>11675.786737446566</x:v>
      </x:c>
      <x:c r="M13" s="31" t="n">
        <x:f>IF(E13=0,"",I13-L13)</x:f>
        <x:v>465.0374351303817</x:v>
      </x:c>
      <x:c r="N13" s="32" t="n">
        <x:f>IF(L13=0,"",I13/L13)</x:f>
        <x:v>1.0398292162736165</x:v>
      </x:c>
      <x:c r="O13" s="34" t="n">
        <x:f>IF(L13=0,"",M13/L13)</x:f>
        <x:v>0.039829216273616436</x:v>
      </x:c>
    </x:row>
    <x:row r="14" ht="18" customHeight="1">
      <x:c r="A14" s="24" t="str">
        <x:v>Small pelagics (&lt;30 cm)</x:v>
      </x:c>
      <x:c r="B14" s="33" t="n">
        <x:v>1</x:v>
      </x:c>
      <x:c r="C14" s="33" t="n">
        <x:v>1</x:v>
      </x:c>
      <x:c r="D14" s="31" t="n">
        <x:v>345.1317861351</x:v>
      </x:c>
      <x:c r="E14" s="31" t="n">
        <x:v>345.1317861351</x:v>
      </x:c>
      <x:c r="F14" s="32" t="n">
        <x:v>0</x:v>
      </x:c>
      <x:c r="G14" s="34" t="n">
        <x:v>1</x:v>
      </x:c>
      <x:c r="H14" s="32" t="n">
        <x:f>IF(E14=0,"",I14/E14)</x:f>
        <x:v>144.5439770745928</x:v>
      </x:c>
      <x:c r="I14" s="31" t="n">
        <x:f>IF(C14=0,"",SUMIF('Species'!$G$2:$G$52,A14,'Species'!$U$2:$U$52))</x:f>
        <x:v>49886.72098282516</x:v>
      </x:c>
      <x:c r="J14" s="32" t="n">
        <x:v>3.16</x:v>
      </x:c>
      <x:c r="K14" s="32" t="n">
        <x:f>IF(J14="","",(1/'Metadata'!$B$5)^(J14-1))</x:f>
        <x:v>144.5439770745928</x:v>
      </x:c>
      <x:c r="L14" s="31" t="n">
        <x:f>IF(E14=0,"",E14*K14)</x:f>
        <x:v>49886.72098282516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9bf4b78b4ac4f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EEZ_760</x:v>
      </x:c>
      <x:c r="B2" s="24" t="str">
        <x:v>raw_filtered_tonnes</x:v>
      </x:c>
      <x:c r="C2" s="24" t="n">
        <x:v>4003.3374784953003</x:v>
      </x:c>
      <x:c r="D2" s="24" t="str">
        <x:v>tonnes</x:v>
      </x:c>
    </x:row>
    <x:row r="3" ht="18" customHeight="1">
      <x:c r="A3" s="24" t="str">
        <x:v>EEZ_760</x:v>
      </x:c>
      <x:c r="B3" s="24" t="str">
        <x:v>species_catch_tonnes</x:v>
      </x:c>
      <x:c r="C3" s="24" t="n">
        <x:v>4003.3374784953</x:v>
      </x:c>
      <x:c r="D3" s="24" t="str">
        <x:v>tonnes</x:v>
      </x:c>
    </x:row>
    <x:row r="4" ht="18" customHeight="1">
      <x:c r="A4" s="24" t="str">
        <x:v>EEZ_760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EEZ_760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EEZ_760</x:v>
      </x:c>
      <x:c r="B6" s="24" t="str">
        <x:v>matched_catch_tonnes</x:v>
      </x:c>
      <x:c r="C6" s="24" t="n">
        <x:v>4003.3374784953</x:v>
      </x:c>
      <x:c r="D6" s="24" t="str">
        <x:v>tonnes</x:v>
      </x:c>
    </x:row>
    <x:row r="7" ht="18" customHeight="1">
      <x:c r="A7" s="24" t="str">
        <x:v>EEZ_760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EEZ_760</x:v>
      </x:c>
      <x:c r="B8" s="24" t="str">
        <x:v>taxa_count</x:v>
      </x:c>
      <x:c r="C8" s="24" t="n">
        <x:v>51</x:v>
      </x:c>
      <x:c r="D8" s="24" t="str">
        <x:v>count</x:v>
      </x:c>
    </x:row>
    <x:row r="9" ht="18" customHeight="1">
      <x:c r="A9" s="24" t="str">
        <x:v>EEZ_760</x:v>
      </x:c>
      <x:c r="B9" s="24" t="str">
        <x:v>matched_taxa_count</x:v>
      </x:c>
      <x:c r="C9" s="24" t="n">
        <x:v>51</x:v>
      </x:c>
      <x:c r="D9" s="24" t="str">
        <x:v>count</x:v>
      </x:c>
    </x:row>
    <x:row r="10" ht="18" customHeight="1">
      <x:c r="A10" s="24" t="str">
        <x:v>EEZ_760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EEZ_760</x:v>
      </x:c>
      <x:c r="B11" s="24" t="str">
        <x:v>species_ppr</x:v>
      </x:c>
      <x:c r="C11" s="24" t="n">
        <x:v>3019943.8712182636</x:v>
      </x:c>
      <x:c r="D11" s="24" t="str">
        <x:v>tonnes_primary_production_equivalent</x:v>
      </x:c>
    </x:row>
    <x:row r="12" ht="18" customHeight="1">
      <x:c r="A12" s="24" t="str">
        <x:v>EEZ_760</x:v>
      </x:c>
      <x:c r="B12" s="24" t="str">
        <x:v>commercial_ppr</x:v>
      </x:c>
      <x:c r="C12" s="24" t="n">
        <x:v>3019943.8712182636</x:v>
      </x:c>
      <x:c r="D12" s="24" t="str">
        <x:v>tonnes_primary_production_equivalent</x:v>
      </x:c>
    </x:row>
    <x:row r="13" ht="18" customHeight="1">
      <x:c r="A13" s="24" t="str">
        <x:v>EEZ_760</x:v>
      </x:c>
      <x:c r="B13" s="24" t="str">
        <x:v>functional_ppr</x:v>
      </x:c>
      <x:c r="C13" s="24" t="n">
        <x:v>3019943.8712182636</x:v>
      </x:c>
      <x:c r="D13" s="24" t="str">
        <x:v>tonnes_primary_production_equivalent</x:v>
      </x:c>
    </x:row>
    <x:row r="14" ht="18" customHeight="1">
      <x:c r="A14" s="24" t="str">
        <x:v>EEZ_760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EEZ_760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EEZ_760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EEZ_760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EEZ_760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EEZ_760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4319634209847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EEZ_760 - Syria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EEZ_760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