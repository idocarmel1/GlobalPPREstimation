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0165967de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6a8483bedde47d3"/>
    <x:sheet xmlns:r="http://schemas.openxmlformats.org/officeDocument/2006/relationships" name="Commercial" sheetId="2" r:id="R8fa719b1913540c7"/>
    <x:sheet xmlns:r="http://schemas.openxmlformats.org/officeDocument/2006/relationships" name="Functional" sheetId="3" r:id="R65a6711db55a47a5"/>
    <x:sheet xmlns:r="http://schemas.openxmlformats.org/officeDocument/2006/relationships" name="Missing TL" sheetId="4" r:id="Rb133282830314e3f"/>
    <x:sheet xmlns:r="http://schemas.openxmlformats.org/officeDocument/2006/relationships" name="Validation" sheetId="5" r:id="R3ac1c7f6d55d485d"/>
    <x:sheet xmlns:r="http://schemas.openxmlformats.org/officeDocument/2006/relationships" name="Metadata" sheetId="6" r:id="Rc04cbc221c05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a4db5dc034ee7" /><Relationship Type="http://schemas.openxmlformats.org/officeDocument/2006/relationships/theme" Target="/xl/theme/theme1.xml" Id="R303572ddd12a4e37" /><Relationship Type="http://schemas.microsoft.com/office/2022/11/relationships/FeaturePropertyBag" Target="/xl/featurePropertyBag/featurePropertyBag.xml" Id="R0c8252a0e71b489a" /><Relationship Type="http://schemas.openxmlformats.org/officeDocument/2006/relationships/sharedStrings" Target="/xl/sharedStrings.xml" Id="R3ade5a2fda6948b6" /><Relationship Type="http://schemas.openxmlformats.org/officeDocument/2006/relationships/worksheet" Target="/xl/worksheets/sheet1.xml" Id="R66a8483bedde47d3" /><Relationship Type="http://schemas.openxmlformats.org/officeDocument/2006/relationships/worksheet" Target="/xl/worksheets/sheet2.xml" Id="R8fa719b1913540c7" /><Relationship Type="http://schemas.openxmlformats.org/officeDocument/2006/relationships/worksheet" Target="/xl/worksheets/sheet3.xml" Id="R65a6711db55a47a5" /><Relationship Type="http://schemas.openxmlformats.org/officeDocument/2006/relationships/worksheet" Target="/xl/worksheets/sheet4.xml" Id="Rb133282830314e3f" /><Relationship Type="http://schemas.openxmlformats.org/officeDocument/2006/relationships/worksheet" Target="/xl/worksheets/sheet5.xml" Id="R3ac1c7f6d55d485d" /><Relationship Type="http://schemas.openxmlformats.org/officeDocument/2006/relationships/worksheet" Target="/xl/worksheets/sheet6.xml" Id="Rc04cbc221c0548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06SpeciesTable" displayName="EEZ706SpeciesTable" ref="A1:U122" headerRowCount="1" totalsRowCount="0" totalsRowShown="0">
  <x:autoFilter ref="A1:U1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06CommercialTable" displayName="EEZ706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06FunctionalTable" displayName="EEZ706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06ValidationTable" displayName="EEZ70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8bbc7ef6664b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a8abc45e0845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8344f119d441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335f83951f4c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EEZ_706</x:v>
      </x:c>
      <x:c r="B2" s="24" t="str">
        <x:v>Somalia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11780.9345640135</x:v>
      </x:c>
      <x:c r="J2" s="31" t="n">
        <x:v>9413.5612748311</x:v>
      </x:c>
      <x:c r="K2" s="31" t="n">
        <x:v>2367.3732891823997</x:v>
      </x:c>
      <x:c r="L2" s="31" t="n">
        <x:v>1921.9828895292</x:v>
      </x:c>
      <x:c r="M2" s="31" t="n">
        <x:v>9858.951674484299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2244810.803262319</x:v>
      </x:c>
    </x:row>
    <x:row r="3" ht="18" customHeight="1">
      <x:c r="A3" s="24" t="str">
        <x:v>EEZ_706</x:v>
      </x:c>
      <x:c r="B3" s="24" t="str">
        <x:v>Somalia</x:v>
      </x:c>
      <x:c r="C3" s="24" t="str">
        <x:v>EEZ</x:v>
      </x:c>
      <x:c r="D3" s="30" t="n">
        <x:v>2019</x:v>
      </x:c>
      <x:c r="E3" s="24" t="str">
        <x:v>Scomberomorus commerson</x:v>
      </x:c>
      <x:c r="F3" s="24" t="str">
        <x:v>Narrow-barred Spanish mackerel</x:v>
      </x:c>
      <x:c r="G3" s="24" t="str">
        <x:v>Large pelagics (&gt;=90 cm)</x:v>
      </x:c>
      <x:c r="H3" s="24" t="str">
        <x:v>Perch-likes</x:v>
      </x:c>
      <x:c r="I3" s="31" t="n">
        <x:v>9188.9616084</x:v>
      </x:c>
      <x:c r="J3" s="31" t="n">
        <x:v>9188.9616084</x:v>
      </x:c>
      <x:c r="K3" s="31" t="n">
        <x:v>0</x:v>
      </x:c>
      <x:c r="L3" s="31" t="n">
        <x:v>1648.3605904</x:v>
      </x:c>
      <x:c r="M3" s="31" t="n">
        <x:v>7540.601018</x:v>
      </x:c>
      <x:c r="N3" s="24" t="str">
        <x:v>scomberomorus commerson</x:v>
      </x:c>
      <x:c r="O3" s="32" t="n">
        <x:v>4.5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Scomberomorus commerson</x:v>
      </x:c>
      <x:c r="T3" s="32" t="n">
        <x:f>IF(O3="","",(1/'Metadata'!$B$5)^(O3-1))</x:f>
        <x:v>3162.2776601683795</x:v>
      </x:c>
      <x:c r="U3" s="31" t="n">
        <x:f>IF(T3="","",I3*T3)</x:f>
        <x:v>29058048.014388222</x:v>
      </x:c>
    </x:row>
    <x:row r="4" ht="18" customHeight="1">
      <x:c r="A4" s="24" t="str">
        <x:v>EEZ_706</x:v>
      </x:c>
      <x:c r="B4" s="24" t="str">
        <x:v>Somalia</x:v>
      </x:c>
      <x:c r="C4" s="24" t="str">
        <x:v>EEZ</x:v>
      </x:c>
      <x:c r="D4" s="30" t="n">
        <x:v>2019</x:v>
      </x:c>
      <x:c r="E4" s="24" t="str">
        <x:v>Cephea</x:v>
      </x:c>
      <x:c r="F4" s="24" t="str">
        <x:v>Cepheid jellyfishes</x:v>
      </x:c>
      <x:c r="G4" s="24" t="str">
        <x:v>Jellyfish</x:v>
      </x:c>
      <x:c r="H4" s="24" t="str">
        <x:v>Other fishes &amp; inverts</x:v>
      </x:c>
      <x:c r="I4" s="31" t="n">
        <x:v>7672.0013408747</x:v>
      </x:c>
      <x:c r="J4" s="31" t="n">
        <x:v>7672.0013408747</x:v>
      </x:c>
      <x:c r="K4" s="31" t="n">
        <x:v>0</x:v>
      </x:c>
      <x:c r="L4" s="31" t="n">
        <x:v>0</x:v>
      </x:c>
      <x:c r="M4" s="31" t="n">
        <x:v>7672.0013408747</x:v>
      </x:c>
      <x:c r="N4" s="24" t="str">
        <x:v>cephea</x:v>
      </x:c>
      <x:c r="O4" s="32" t="n">
        <x:v>3.46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Cephea</x:v>
      </x:c>
      <x:c r="T4" s="32" t="n">
        <x:f>IF(O4="","",(1/'Metadata'!$B$5)^(O4-1))</x:f>
        <x:v>288.40315031266056</x:v>
      </x:c>
      <x:c r="U4" s="31" t="n">
        <x:f>IF(T4="","",I4*T4)</x:f>
        <x:v>2212629.3559112195</x:v>
      </x:c>
    </x:row>
    <x:row r="5" ht="18" customHeight="1">
      <x:c r="A5" s="24" t="str">
        <x:v>EEZ_706</x:v>
      </x:c>
      <x:c r="B5" s="24" t="str">
        <x:v>Somalia</x:v>
      </x:c>
      <x:c r="C5" s="24" t="str">
        <x:v>EEZ</x:v>
      </x:c>
      <x:c r="D5" s="30" t="n">
        <x:v>2019</x:v>
      </x:c>
      <x:c r="E5" s="24" t="str">
        <x:v>Lethrinidae</x:v>
      </x:c>
      <x:c r="F5" s="24" t="str">
        <x:v>Emperors, scavengers</x:v>
      </x:c>
      <x:c r="G5" s="24" t="str">
        <x:v>Medium reef assoc. fish (30 - 89 cm)</x:v>
      </x:c>
      <x:c r="H5" s="24" t="str">
        <x:v>Perch-likes</x:v>
      </x:c>
      <x:c r="I5" s="31" t="n">
        <x:v>7180.2273833399995</x:v>
      </x:c>
      <x:c r="J5" s="31" t="n">
        <x:v>6027.79727334</x:v>
      </x:c>
      <x:c r="K5" s="31" t="n">
        <x:v>1152.4301099999998</x:v>
      </x:c>
      <x:c r="L5" s="31" t="n">
        <x:v>659.344236</x:v>
      </x:c>
      <x:c r="M5" s="31" t="n">
        <x:v>6520.8831473400005</x:v>
      </x:c>
      <x:c r="N5" s="24" t="str">
        <x:v>lethrinidae</x:v>
      </x:c>
      <x:c r="O5" s="32" t="n">
        <x:v>3.59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Lethrinidae</x:v>
      </x:c>
      <x:c r="T5" s="32" t="n">
        <x:f>IF(O5="","",(1/'Metadata'!$B$5)^(O5-1))</x:f>
        <x:v>389.04514499428046</x:v>
      </x:c>
      <x:c r="U5" s="31" t="n">
        <x:f>IF(T5="","",I5*T5)</x:f>
        <x:v>2793432.603443413</x:v>
      </x:c>
    </x:row>
    <x:row r="6" ht="18" customHeight="1">
      <x:c r="A6" s="24" t="str">
        <x:v>EEZ_706</x:v>
      </x:c>
      <x:c r="B6" s="24" t="str">
        <x:v>Somalia</x:v>
      </x:c>
      <x:c r="C6" s="24" t="str">
        <x:v>EEZ</x:v>
      </x:c>
      <x:c r="D6" s="30" t="n">
        <x:v>2019</x:v>
      </x:c>
      <x:c r="E6" s="24" t="str">
        <x:v>Auxis thazard</x:v>
      </x:c>
      <x:c r="F6" s="24" t="str">
        <x:v>Frigate tuna</x:v>
      </x:c>
      <x:c r="G6" s="24" t="str">
        <x:v>Medium pelagics (30 - 89 cm)</x:v>
      </x:c>
      <x:c r="H6" s="24" t="str">
        <x:v>Tuna &amp; billfishes</x:v>
      </x:c>
      <x:c r="I6" s="31" t="n">
        <x:v>7013.202978</x:v>
      </x:c>
      <x:c r="J6" s="31" t="n">
        <x:v>7013.202978</x:v>
      </x:c>
      <x:c r="K6" s="31" t="n">
        <x:v>0</x:v>
      </x:c>
      <x:c r="L6" s="31" t="n">
        <x:v>0</x:v>
      </x:c>
      <x:c r="M6" s="31" t="n">
        <x:v>7013.202978</x:v>
      </x:c>
      <x:c r="N6" s="24" t="str">
        <x:v>auxis thazard</x:v>
      </x:c>
      <x:c r="O6" s="32" t="n">
        <x:v>4.37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Auxis thazard</x:v>
      </x:c>
      <x:c r="T6" s="32" t="n">
        <x:f>IF(O6="","",(1/'Metadata'!$B$5)^(O6-1))</x:f>
        <x:v>2344.228815319923</x:v>
      </x:c>
      <x:c r="U6" s="31" t="n">
        <x:f>IF(T6="","",I6*T6)</x:f>
        <x:v>16440552.508715095</x:v>
      </x:c>
    </x:row>
    <x:row r="7" ht="18" customHeight="1">
      <x:c r="A7" s="24" t="str">
        <x:v>EEZ_706</x:v>
      </x:c>
      <x:c r="B7" s="24" t="str">
        <x:v>Somalia</x:v>
      </x:c>
      <x:c r="C7" s="24" t="str">
        <x:v>EEZ</x:v>
      </x:c>
      <x:c r="D7" s="30" t="n">
        <x:v>2019</x:v>
      </x:c>
      <x:c r="E7" s="24" t="str">
        <x:v>Carangidae</x:v>
      </x:c>
      <x:c r="F7" s="24" t="str">
        <x:v>Jacks, pompanos</x:v>
      </x:c>
      <x:c r="G7" s="24" t="str">
        <x:v>Medium pelagics (30 - 89 cm)</x:v>
      </x:c>
      <x:c r="H7" s="24" t="str">
        <x:v>Perch-likes</x:v>
      </x:c>
      <x:c r="I7" s="31" t="n">
        <x:v>6978.6080802284005</x:v>
      </x:c>
      <x:c r="J7" s="31" t="n">
        <x:v>6940.2663116625</x:v>
      </x:c>
      <x:c r="K7" s="31" t="n">
        <x:v>38.3417685659</x:v>
      </x:c>
      <x:c r="L7" s="31" t="n">
        <x:v>164.836059042</x:v>
      </x:c>
      <x:c r="M7" s="31" t="n">
        <x:v>6813.7720211864</x:v>
      </x:c>
      <x:c r="N7" s="24" t="str">
        <x:v>carangidae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Carangidae</x:v>
      </x:c>
      <x:c r="T7" s="32" t="n">
        <x:f>IF(O7="","",(1/'Metadata'!$B$5)^(O7-1))</x:f>
        <x:v>1122.018454301963</x:v>
      </x:c>
      <x:c r="U7" s="31" t="n">
        <x:f>IF(T7="","",I7*T7)</x:f>
        <x:v>7830127.051357059</x:v>
      </x:c>
    </x:row>
    <x:row r="8" ht="18" customHeight="1">
      <x:c r="A8" s="24" t="str">
        <x:v>EEZ_706</x:v>
      </x:c>
      <x:c r="B8" s="24" t="str">
        <x:v>Somalia</x:v>
      </x:c>
      <x:c r="C8" s="24" t="str">
        <x:v>EEZ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5643.0608000094</x:v>
      </x:c>
      <x:c r="J8" s="31" t="n">
        <x:v>4945.1170909294</x:v>
      </x:c>
      <x:c r="K8" s="31" t="n">
        <x:v>697.94370908</x:v>
      </x:c>
      <x:c r="L8" s="31" t="n">
        <x:v>946.1247962982</x:v>
      </x:c>
      <x:c r="M8" s="31" t="n">
        <x:v>4696.9360037112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6331618.356358545</x:v>
      </x:c>
    </x:row>
    <x:row r="9" ht="18" customHeight="1">
      <x:c r="A9" s="24" t="str">
        <x:v>EEZ_706</x:v>
      </x:c>
      <x:c r="B9" s="24" t="str">
        <x:v>Somalia</x:v>
      </x:c>
      <x:c r="C9" s="24" t="str">
        <x:v>EEZ</x:v>
      </x:c>
      <x:c r="D9" s="30" t="n">
        <x:v>2019</x:v>
      </x:c>
      <x:c r="E9" s="24" t="str">
        <x:v>Leiognathidae</x:v>
      </x:c>
      <x:c r="F9" s="24" t="str">
        <x:v>Slipmouths, ponyfishes</x:v>
      </x:c>
      <x:c r="G9" s="24" t="str">
        <x:v>Small benthopelagics (&lt;30 cm)</x:v>
      </x:c>
      <x:c r="H9" s="24" t="str">
        <x:v>Perch-likes</x:v>
      </x:c>
      <x:c r="I9" s="31" t="n">
        <x:v>4623.6229006551</x:v>
      </x:c>
      <x:c r="J9" s="31" t="n">
        <x:v>4542.1739034819</x:v>
      </x:c>
      <x:c r="K9" s="31" t="n">
        <x:v>81.44899717320001</x:v>
      </x:c>
      <x:c r="L9" s="31" t="n">
        <x:v>0</x:v>
      </x:c>
      <x:c r="M9" s="31" t="n">
        <x:v>4623.6229006551</x:v>
      </x:c>
      <x:c r="N9" s="24" t="str">
        <x:v>leiognathidae</x:v>
      </x:c>
      <x:c r="O9" s="32" t="n">
        <x:v>3.24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Leiognathidae</x:v>
      </x:c>
      <x:c r="T9" s="32" t="n">
        <x:f>IF(O9="","",(1/'Metadata'!$B$5)^(O9-1))</x:f>
        <x:v>173.78008287493762</x:v>
      </x:c>
      <x:c r="U9" s="31" t="n">
        <x:f>IF(T9="","",I9*T9)</x:f>
        <x:v>803493.5708583028</x:v>
      </x:c>
    </x:row>
    <x:row r="10" ht="18" customHeight="1">
      <x:c r="A10" s="24" t="str">
        <x:v>EEZ_706</x:v>
      </x:c>
      <x:c r="B10" s="24" t="str">
        <x:v>Somalia</x:v>
      </x:c>
      <x:c r="C10" s="24" t="str">
        <x:v>EEZ</x:v>
      </x:c>
      <x:c r="D10" s="30" t="n">
        <x:v>2019</x:v>
      </x:c>
      <x:c r="E10" s="24" t="str">
        <x:v>Decapterus russelli</x:v>
      </x:c>
      <x:c r="F10" s="24" t="str">
        <x:v>Indian scad</x:v>
      </x:c>
      <x:c r="G10" s="24" t="str">
        <x:v>Medium pelagics (30 - 89 cm)</x:v>
      </x:c>
      <x:c r="H10" s="24" t="str">
        <x:v>Perch-likes</x:v>
      </x:c>
      <x:c r="I10" s="31" t="n">
        <x:v>4604.610717749</x:v>
      </x:c>
      <x:c r="J10" s="31" t="n">
        <x:v>4604.610717749</x:v>
      </x:c>
      <x:c r="K10" s="31" t="n">
        <x:v>0</x:v>
      </x:c>
      <x:c r="L10" s="31" t="n">
        <x:v>0</x:v>
      </x:c>
      <x:c r="M10" s="31" t="n">
        <x:v>4604.610717749</x:v>
      </x:c>
      <x:c r="N10" s="24" t="str">
        <x:v>decapterus russelli</x:v>
      </x:c>
      <x:c r="O10" s="32" t="n">
        <x:v>3.68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Decapterus russelli</x:v>
      </x:c>
      <x:c r="T10" s="32" t="n">
        <x:f>IF(O10="","",(1/'Metadata'!$B$5)^(O10-1))</x:f>
        <x:v>478.6300923226385</x:v>
      </x:c>
      <x:c r="U10" s="31" t="n">
        <x:f>IF(T10="","",I10*T10)</x:f>
        <x:v>2203905.252946015</x:v>
      </x:c>
    </x:row>
    <x:row r="11" ht="18" customHeight="1">
      <x:c r="A11" s="24" t="str">
        <x:v>EEZ_706</x:v>
      </x:c>
      <x:c r="B11" s="24" t="str">
        <x:v>Somalia</x:v>
      </x:c>
      <x:c r="C11" s="24" t="str">
        <x:v>EEZ</x:v>
      </x:c>
      <x:c r="D11" s="30" t="n">
        <x:v>2019</x:v>
      </x:c>
      <x:c r="E11" s="24" t="str">
        <x:v>Nemipteridae</x:v>
      </x:c>
      <x:c r="F11" s="24" t="str">
        <x:v>Threadfins, whiptail breams</x:v>
      </x:c>
      <x:c r="G11" s="24" t="str">
        <x:v>Small demersals (&lt;30 cm)</x:v>
      </x:c>
      <x:c r="H11" s="24" t="str">
        <x:v>Perch-likes</x:v>
      </x:c>
      <x:c r="I11" s="31" t="n">
        <x:v>4535.8711850496</x:v>
      </x:c>
      <x:c r="J11" s="31" t="n">
        <x:v>4433.0123864994</x:v>
      </x:c>
      <x:c r="K11" s="31" t="n">
        <x:v>102.8587985502</x:v>
      </x:c>
      <x:c r="L11" s="31" t="n">
        <x:v>4.9946822387</x:v>
      </x:c>
      <x:c r="M11" s="31" t="n">
        <x:v>4530.8765028109</x:v>
      </x:c>
      <x:c r="N11" s="24" t="str">
        <x:v>nemipteridae</x:v>
      </x:c>
      <x:c r="O11" s="32" t="n">
        <x:v>3.51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Nemipteridae</x:v>
      </x:c>
      <x:c r="T11" s="32" t="n">
        <x:f>IF(O11="","",(1/'Metadata'!$B$5)^(O11-1))</x:f>
        <x:v>323.5936569296281</x:v>
      </x:c>
      <x:c r="U11" s="31" t="n">
        <x:f>IF(T11="","",I11*T11)</x:f>
        <x:v>1467779.144131926</x:v>
      </x:c>
    </x:row>
    <x:row r="12" ht="18" customHeight="1">
      <x:c r="A12" s="24" t="str">
        <x:v>EEZ_706</x:v>
      </x:c>
      <x:c r="B12" s="24" t="str">
        <x:v>Somalia</x:v>
      </x:c>
      <x:c r="C12" s="24" t="str">
        <x:v>EEZ</x:v>
      </x:c>
      <x:c r="D12" s="30" t="n">
        <x:v>2019</x:v>
      </x:c>
      <x:c r="E12" s="24" t="str">
        <x:v>Batoidea</x:v>
      </x:c>
      <x:c r="F12" s="24" t="str">
        <x:v>Batoids, skates, rays, sawfishes</x:v>
      </x:c>
      <x:c r="G12" s="24" t="str">
        <x:v>Large rays (&gt;=90 cm)</x:v>
      </x:c>
      <x:c r="H12" s="24" t="str">
        <x:v>Sharks &amp; rays</x:v>
      </x:c>
      <x:c r="I12" s="31" t="n">
        <x:v>4162.0737655206</x:v>
      </x:c>
      <x:c r="J12" s="31" t="n">
        <x:v>4162.0737655206</x:v>
      </x:c>
      <x:c r="K12" s="31" t="n">
        <x:v>0</x:v>
      </x:c>
      <x:c r="L12" s="31" t="n">
        <x:v>3147.00236153</x:v>
      </x:c>
      <x:c r="M12" s="31" t="n">
        <x:v>1015.0714039906</x:v>
      </x:c>
      <x:c r="N12" s="24" t="str">
        <x:v>batoidea</x:v>
      </x:c>
      <x:c r="O12" s="32" t="n">
        <x:v>3.72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Batoidea</x:v>
      </x:c>
      <x:c r="T12" s="32" t="n">
        <x:f>IF(O12="","",(1/'Metadata'!$B$5)^(O12-1))</x:f>
        <x:v>524.8074602497728</x:v>
      </x:c>
      <x:c r="U12" s="31" t="n">
        <x:f>IF(T12="","",I12*T12)</x:f>
        <x:v>2184287.3622550745</x:v>
      </x:c>
    </x:row>
    <x:row r="13" ht="18" customHeight="1">
      <x:c r="A13" s="24" t="str">
        <x:v>EEZ_706</x:v>
      </x:c>
      <x:c r="B13" s="24" t="str">
        <x:v>Somalia</x:v>
      </x:c>
      <x:c r="C13" s="24" t="str">
        <x:v>EEZ</x:v>
      </x:c>
      <x:c r="D13" s="30" t="n">
        <x:v>2019</x:v>
      </x:c>
      <x:c r="E13" s="24" t="str">
        <x:v>Sphyrnidae</x:v>
      </x:c>
      <x:c r="F13" s="24" t="str">
        <x:v>Hammer, bonnet, scoophead sharks</x:v>
      </x:c>
      <x:c r="G13" s="24" t="str">
        <x:v>Large sharks (&gt;=90 cm)</x:v>
      </x:c>
      <x:c r="H13" s="24" t="str">
        <x:v>Sharks &amp; rays</x:v>
      </x:c>
      <x:c r="I13" s="31" t="n">
        <x:v>3888.2246851</x:v>
      </x:c>
      <x:c r="J13" s="31" t="n">
        <x:v>2492.337267</x:v>
      </x:c>
      <x:c r="K13" s="31" t="n">
        <x:v>1395.8874180999999</x:v>
      </x:c>
      <x:c r="L13" s="31" t="n">
        <x:v>1888.201417</x:v>
      </x:c>
      <x:c r="M13" s="31" t="n">
        <x:v>2000.0232681</x:v>
      </x:c>
      <x:c r="N13" s="24" t="str">
        <x:v>sphyrnidae</x:v>
      </x:c>
      <x:c r="O13" s="32" t="n">
        <x:v>4.19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Sphyrnidae</x:v>
      </x:c>
      <x:c r="T13" s="32" t="n">
        <x:f>IF(O13="","",(1/'Metadata'!$B$5)^(O13-1))</x:f>
        <x:v>1548.8166189124827</x:v>
      </x:c>
      <x:c r="U13" s="31" t="n">
        <x:f>IF(T13="","",I13*T13)</x:f>
        <x:v>6022147.010348635</x:v>
      </x:c>
    </x:row>
    <x:row r="14" ht="18" customHeight="1">
      <x:c r="A14" s="24" t="str">
        <x:v>EEZ_706</x:v>
      </x:c>
      <x:c r="B14" s="24" t="str">
        <x:v>Somalia</x:v>
      </x:c>
      <x:c r="C14" s="24" t="str">
        <x:v>EEZ</x:v>
      </x:c>
      <x:c r="D14" s="30" t="n">
        <x:v>2019</x:v>
      </x:c>
      <x:c r="E14" s="24" t="str">
        <x:v>Carcharhinus melanopterus</x:v>
      </x:c>
      <x:c r="F14" s="24" t="str">
        <x:v>Blacktip reef shark</x:v>
      </x:c>
      <x:c r="G14" s="24" t="str">
        <x:v>Large sharks (&gt;=90 cm)</x:v>
      </x:c>
      <x:c r="H14" s="24" t="str">
        <x:v>Sharks &amp; rays</x:v>
      </x:c>
      <x:c r="I14" s="31" t="n">
        <x:v>3888.224685</x:v>
      </x:c>
      <x:c r="J14" s="31" t="n">
        <x:v>2492.3372670000003</x:v>
      </x:c>
      <x:c r="K14" s="31" t="n">
        <x:v>1395.887418</x:v>
      </x:c>
      <x:c r="L14" s="31" t="n">
        <x:v>1888.2014169000001</x:v>
      </x:c>
      <x:c r="M14" s="31" t="n">
        <x:v>2000.0232681</x:v>
      </x:c>
      <x:c r="N14" s="24" t="str">
        <x:v>carcharhinus melanopterus</x:v>
      </x:c>
      <x:c r="O14" s="32" t="n">
        <x:v>3.94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Carcharhinus melanopterus</x:v>
      </x:c>
      <x:c r="T14" s="32" t="n">
        <x:f>IF(O14="","",(1/'Metadata'!$B$5)^(O14-1))</x:f>
        <x:v>870.9635899560806</x:v>
      </x:c>
      <x:c r="U14" s="31" t="n">
        <x:f>IF(T14="","",I14*T14)</x:f>
        <x:v>3386502.1302034506</x:v>
      </x:c>
    </x:row>
    <x:row r="15" ht="18" customHeight="1">
      <x:c r="A15" s="24" t="str">
        <x:v>EEZ_706</x:v>
      </x:c>
      <x:c r="B15" s="24" t="str">
        <x:v>Somalia</x:v>
      </x:c>
      <x:c r="C15" s="24" t="str">
        <x:v>EEZ</x:v>
      </x:c>
      <x:c r="D15" s="30" t="n">
        <x:v>2019</x:v>
      </x:c>
      <x:c r="E15" s="24" t="str">
        <x:v>Alopias vulpinus</x:v>
      </x:c>
      <x:c r="F15" s="24" t="str">
        <x:v>Thresher</x:v>
      </x:c>
      <x:c r="G15" s="24" t="str">
        <x:v>Large sharks (&gt;=90 cm)</x:v>
      </x:c>
      <x:c r="H15" s="24" t="str">
        <x:v>Sharks &amp; rays</x:v>
      </x:c>
      <x:c r="I15" s="31" t="n">
        <x:v>3888.224685</x:v>
      </x:c>
      <x:c r="J15" s="31" t="n">
        <x:v>2492.3372670000003</x:v>
      </x:c>
      <x:c r="K15" s="31" t="n">
        <x:v>1395.887418</x:v>
      </x:c>
      <x:c r="L15" s="31" t="n">
        <x:v>1888.2014169000001</x:v>
      </x:c>
      <x:c r="M15" s="31" t="n">
        <x:v>2000.0232681</x:v>
      </x:c>
      <x:c r="N15" s="24" t="str">
        <x:v>alopias vulpinus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Alopias vulpinus</x:v>
      </x:c>
      <x:c r="T15" s="32" t="n">
        <x:f>IF(O15="","",(1/'Metadata'!$B$5)^(O15-1))</x:f>
        <x:v>3162.2776601683795</x:v>
      </x:c>
      <x:c r="U15" s="31" t="n">
        <x:f>IF(T15="","",I15*T15)</x:f>
        <x:v>12295646.059090735</x:v>
      </x:c>
    </x:row>
    <x:row r="16" ht="18" customHeight="1">
      <x:c r="A16" s="24" t="str">
        <x:v>EEZ_706</x:v>
      </x:c>
      <x:c r="B16" s="24" t="str">
        <x:v>Somalia</x:v>
      </x:c>
      <x:c r="C16" s="24" t="str">
        <x:v>EEZ</x:v>
      </x:c>
      <x:c r="D16" s="30" t="n">
        <x:v>2019</x:v>
      </x:c>
      <x:c r="E16" s="24" t="str">
        <x:v>Lamnidae</x:v>
      </x:c>
      <x:c r="F16" s="24" t="str">
        <x:v>Mackerel/white sharks</x:v>
      </x:c>
      <x:c r="G16" s="24" t="str">
        <x:v>Large sharks (&gt;=90 cm)</x:v>
      </x:c>
      <x:c r="H16" s="24" t="str">
        <x:v>Sharks &amp; rays</x:v>
      </x:c>
      <x:c r="I16" s="31" t="n">
        <x:v>3888.224685</x:v>
      </x:c>
      <x:c r="J16" s="31" t="n">
        <x:v>2492.3372670000003</x:v>
      </x:c>
      <x:c r="K16" s="31" t="n">
        <x:v>1395.887418</x:v>
      </x:c>
      <x:c r="L16" s="31" t="n">
        <x:v>1888.2014169000001</x:v>
      </x:c>
      <x:c r="M16" s="31" t="n">
        <x:v>2000.0232681</x:v>
      </x:c>
      <x:c r="N16" s="24" t="str">
        <x:v>lamnidae</x:v>
      </x:c>
      <x:c r="O16" s="32" t="n">
        <x:v>4.5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Lamnidae</x:v>
      </x:c>
      <x:c r="T16" s="32" t="n">
        <x:f>IF(O16="","",(1/'Metadata'!$B$5)^(O16-1))</x:f>
        <x:v>3162.2776601683795</x:v>
      </x:c>
      <x:c r="U16" s="31" t="n">
        <x:f>IF(T16="","",I16*T16)</x:f>
        <x:v>12295646.059090735</x:v>
      </x:c>
    </x:row>
    <x:row r="17" ht="18" customHeight="1">
      <x:c r="A17" s="24" t="str">
        <x:v>EEZ_706</x:v>
      </x:c>
      <x:c r="B17" s="24" t="str">
        <x:v>Somalia</x:v>
      </x:c>
      <x:c r="C17" s="24" t="str">
        <x:v>EEZ</x:v>
      </x:c>
      <x:c r="D17" s="30" t="n">
        <x:v>2019</x:v>
      </x:c>
      <x:c r="E17" s="24" t="str">
        <x:v>Thunnus albacares</x:v>
      </x:c>
      <x:c r="F17" s="24" t="str">
        <x:v>Yellowfin tuna</x:v>
      </x:c>
      <x:c r="G17" s="24" t="str">
        <x:v>Large pelagics (&gt;=90 cm)</x:v>
      </x:c>
      <x:c r="H17" s="24" t="str">
        <x:v>Tuna &amp; billfishes</x:v>
      </x:c>
      <x:c r="I17" s="31" t="n">
        <x:v>3293.9970655817997</x:v>
      </x:c>
      <x:c r="J17" s="31" t="n">
        <x:v>3293.9970655817997</x:v>
      </x:c>
      <x:c r="K17" s="31" t="n">
        <x:v>0</x:v>
      </x:c>
      <x:c r="L17" s="31" t="n">
        <x:v>2502.9000056818</x:v>
      </x:c>
      <x:c r="M17" s="31" t="n">
        <x:v>791.0970599</x:v>
      </x:c>
      <x:c r="N17" s="24" t="str">
        <x:v>thunnus albacares</x:v>
      </x:c>
      <x:c r="O17" s="32" t="n">
        <x:v>4.41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albacares</x:v>
      </x:c>
      <x:c r="T17" s="32" t="n">
        <x:f>IF(O17="","",(1/'Metadata'!$B$5)^(O17-1))</x:f>
        <x:v>2570.3957827688646</x:v>
      </x:c>
      <x:c r="U17" s="31" t="n">
        <x:f>IF(T17="","",I17*T17)</x:f>
        <x:v>8466876.165824473</x:v>
      </x:c>
    </x:row>
    <x:row r="18" ht="18" customHeight="1">
      <x:c r="A18" s="24" t="str">
        <x:v>EEZ_706</x:v>
      </x:c>
      <x:c r="B18" s="24" t="str">
        <x:v>Somalia</x:v>
      </x:c>
      <x:c r="C18" s="24" t="str">
        <x:v>EEZ</x:v>
      </x:c>
      <x:c r="D18" s="30" t="n">
        <x:v>2019</x:v>
      </x:c>
      <x:c r="E18" s="24" t="str">
        <x:v>Lethrinus nebulosus</x:v>
      </x:c>
      <x:c r="F18" s="24" t="str">
        <x:v>Spangled emperor</x:v>
      </x:c>
      <x:c r="G18" s="24" t="str">
        <x:v>Medium demersals (30 - 89 cm)</x:v>
      </x:c>
      <x:c r="H18" s="24" t="str">
        <x:v>Perch-likes</x:v>
      </x:c>
      <x:c r="I18" s="31" t="n">
        <x:v>3195.4687824</x:v>
      </x:c>
      <x:c r="J18" s="31" t="n">
        <x:v>3195.4687824</x:v>
      </x:c>
      <x:c r="K18" s="31" t="n">
        <x:v>0</x:v>
      </x:c>
      <x:c r="L18" s="31" t="n">
        <x:v>1318.6884724</x:v>
      </x:c>
      <x:c r="M18" s="31" t="n">
        <x:v>1876.7803099999999</x:v>
      </x:c>
      <x:c r="N18" s="24" t="str">
        <x:v>lethrinus nebulosus</x:v>
      </x:c>
      <x:c r="O18" s="32" t="n">
        <x:v>3.76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Lethrinus nebulosus</x:v>
      </x:c>
      <x:c r="T18" s="32" t="n">
        <x:f>IF(O18="","",(1/'Metadata'!$B$5)^(O18-1))</x:f>
        <x:v>575.4399373371566</x:v>
      </x:c>
      <x:c r="U18" s="31" t="n">
        <x:f>IF(T18="","",I18*T18)</x:f>
        <x:v>1838800.355907096</x:v>
      </x:c>
    </x:row>
    <x:row r="19" ht="18" customHeight="1">
      <x:c r="A19" s="24" t="str">
        <x:v>EEZ_706</x:v>
      </x:c>
      <x:c r="B19" s="24" t="str">
        <x:v>Somalia</x:v>
      </x:c>
      <x:c r="C19" s="24" t="str">
        <x:v>EEZ</x:v>
      </x:c>
      <x:c r="D19" s="30" t="n">
        <x:v>2019</x:v>
      </x:c>
      <x:c r="E19" s="24" t="str">
        <x:v>Sphyraena</x:v>
      </x:c>
      <x:c r="F19" s="24" t="str">
        <x:v>Barracudas, sennets</x:v>
      </x:c>
      <x:c r="G19" s="24" t="str">
        <x:v>Large pelagics (&gt;=90 cm)</x:v>
      </x:c>
      <x:c r="H19" s="24" t="str">
        <x:v>Perch-likes</x:v>
      </x:c>
      <x:c r="I19" s="31" t="n">
        <x:v>3118.8621316389</x:v>
      </x:c>
      <x:c r="J19" s="31" t="n">
        <x:v>3118.8621316389</x:v>
      </x:c>
      <x:c r="K19" s="31" t="n">
        <x:v>0</x:v>
      </x:c>
      <x:c r="L19" s="31" t="n">
        <x:v>0</x:v>
      </x:c>
      <x:c r="M19" s="31" t="n">
        <x:v>3118.8621316389</x:v>
      </x:c>
      <x:c r="N19" s="24" t="str">
        <x:v>sphyraena</x:v>
      </x:c>
      <x:c r="O19" s="32" t="n">
        <x:v>4.4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Sphyraena</x:v>
      </x:c>
      <x:c r="T19" s="32" t="n">
        <x:f>IF(O19="","",(1/'Metadata'!$B$5)^(O19-1))</x:f>
        <x:v>2511.886431509582</x:v>
      </x:c>
      <x:c r="U19" s="31" t="n">
        <x:f>IF(T19="","",I19*T19)</x:f>
        <x:v>7834227.470212804</x:v>
      </x:c>
    </x:row>
    <x:row r="20" ht="18" customHeight="1">
      <x:c r="A20" s="24" t="str">
        <x:v>EEZ_706</x:v>
      </x:c>
      <x:c r="B20" s="24" t="str">
        <x:v>Somalia</x:v>
      </x:c>
      <x:c r="C20" s="24" t="str">
        <x:v>EEZ</x:v>
      </x:c>
      <x:c r="D20" s="30" t="n">
        <x:v>2019</x:v>
      </x:c>
      <x:c r="E20" s="24" t="str">
        <x:v>Rastrelliger kanagurta</x:v>
      </x:c>
      <x:c r="F20" s="24" t="str">
        <x:v>Indian mackerel</x:v>
      </x:c>
      <x:c r="G20" s="24" t="str">
        <x:v>Medium pelagics (30 - 89 cm)</x:v>
      </x:c>
      <x:c r="H20" s="24" t="str">
        <x:v>Perch-likes</x:v>
      </x:c>
      <x:c r="I20" s="31" t="n">
        <x:v>3025.2117336068004</x:v>
      </x:c>
      <x:c r="J20" s="31" t="n">
        <x:v>3023.8491853230003</x:v>
      </x:c>
      <x:c r="K20" s="31" t="n">
        <x:v>1.3625482838</x:v>
      </x:c>
      <x:c r="L20" s="31" t="n">
        <x:v>0</x:v>
      </x:c>
      <x:c r="M20" s="31" t="n">
        <x:v>3025.2117336068004</x:v>
      </x:c>
      <x:c r="N20" s="24" t="str">
        <x:v>rastrelliger kanagurta</x:v>
      </x:c>
      <x:c r="O20" s="32" t="n">
        <x:v>3.19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Rastrelliger kanagurta</x:v>
      </x:c>
      <x:c r="T20" s="32" t="n">
        <x:f>IF(O20="","",(1/'Metadata'!$B$5)^(O20-1))</x:f>
        <x:v>154.88166189124811</x:v>
      </x:c>
      <x:c r="U20" s="31" t="n">
        <x:f>IF(T20="","",I20*T20)</x:f>
        <x:v>468549.820873925</x:v>
      </x:c>
    </x:row>
    <x:row r="21" ht="18" customHeight="1">
      <x:c r="A21" s="24" t="str">
        <x:v>EEZ_706</x:v>
      </x:c>
      <x:c r="B21" s="24" t="str">
        <x:v>Somalia</x:v>
      </x:c>
      <x:c r="C21" s="24" t="str">
        <x:v>EEZ</x:v>
      </x:c>
      <x:c r="D21" s="30" t="n">
        <x:v>2019</x:v>
      </x:c>
      <x:c r="E21" s="24" t="str">
        <x:v>Selar crumenophthalmus</x:v>
      </x:c>
      <x:c r="F21" s="24" t="str">
        <x:v>Bigeye scad</x:v>
      </x:c>
      <x:c r="G21" s="24" t="str">
        <x:v>Medium pelagics (30 - 89 cm)</x:v>
      </x:c>
      <x:c r="H21" s="24" t="str">
        <x:v>Perch-likes</x:v>
      </x:c>
      <x:c r="I21" s="31" t="n">
        <x:v>2677.3692265191</x:v>
      </x:c>
      <x:c r="J21" s="31" t="n">
        <x:v>2677.3692265191</x:v>
      </x:c>
      <x:c r="K21" s="31" t="n">
        <x:v>0</x:v>
      </x:c>
      <x:c r="L21" s="31" t="n">
        <x:v>329.672118103</x:v>
      </x:c>
      <x:c r="M21" s="31" t="n">
        <x:v>2347.6971084161</x:v>
      </x:c>
      <x:c r="N21" s="24" t="str">
        <x:v>selar crumenophthalmus</x:v>
      </x:c>
      <x:c r="O21" s="32" t="n">
        <x:v>3.81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Selar crumenophthalmus</x:v>
      </x:c>
      <x:c r="T21" s="32" t="n">
        <x:f>IF(O21="","",(1/'Metadata'!$B$5)^(O21-1))</x:f>
        <x:v>645.6542290346556</x:v>
      </x:c>
      <x:c r="U21" s="31" t="n">
        <x:f>IF(T21="","",I21*T21)</x:f>
        <x:v>1728654.7637893015</x:v>
      </x:c>
    </x:row>
    <x:row r="22" ht="18" customHeight="1">
      <x:c r="A22" s="24" t="str">
        <x:v>EEZ_706</x:v>
      </x:c>
      <x:c r="B22" s="24" t="str">
        <x:v>Somalia</x:v>
      </x:c>
      <x:c r="C22" s="24" t="str">
        <x:v>EEZ</x:v>
      </x:c>
      <x:c r="D22" s="30" t="n">
        <x:v>2019</x:v>
      </x:c>
      <x:c r="E22" s="24" t="str">
        <x:v>Engraulidae</x:v>
      </x:c>
      <x:c r="F22" s="24" t="str">
        <x:v>Anchovies, round herrings</x:v>
      </x:c>
      <x:c r="G22" s="24" t="str">
        <x:v>Small pelagics (&lt;30 cm)</x:v>
      </x:c>
      <x:c r="H22" s="24" t="str">
        <x:v>Anchovies</x:v>
      </x:c>
      <x:c r="I22" s="31" t="n">
        <x:v>2226.5570797760997</x:v>
      </x:c>
      <x:c r="J22" s="31" t="n">
        <x:v>2226.5570797760997</x:v>
      </x:c>
      <x:c r="K22" s="31" t="n">
        <x:v>0</x:v>
      </x:c>
      <x:c r="L22" s="31" t="n">
        <x:v>0</x:v>
      </x:c>
      <x:c r="M22" s="31" t="n">
        <x:v>2226.5570797760997</x:v>
      </x:c>
      <x:c r="N22" s="24" t="str">
        <x:v>engraulidae</x:v>
      </x:c>
      <x:c r="O22" s="32" t="n">
        <x:v>3.2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Engraulidae</x:v>
      </x:c>
      <x:c r="T22" s="32" t="n">
        <x:f>IF(O22="","",(1/'Metadata'!$B$5)^(O22-1))</x:f>
        <x:v>158.48931924611142</x:v>
      </x:c>
      <x:c r="U22" s="31" t="n">
        <x:f>IF(T22="","",I22*T22)</x:f>
        <x:v>352885.51583632384</x:v>
      </x:c>
    </x:row>
    <x:row r="23" ht="18" customHeight="1">
      <x:c r="A23" s="24" t="str">
        <x:v>EEZ_706</x:v>
      </x:c>
      <x:c r="B23" s="24" t="str">
        <x:v>Somalia</x:v>
      </x:c>
      <x:c r="C23" s="24" t="str">
        <x:v>EEZ</x:v>
      </x:c>
      <x:c r="D23" s="30" t="n">
        <x:v>2019</x:v>
      </x:c>
      <x:c r="E23" s="24" t="str">
        <x:v>Scombridae</x:v>
      </x:c>
      <x:c r="F23" s="24" t="str">
        <x:v>Mackerels, tunas, bonitos</x:v>
      </x:c>
      <x:c r="G23" s="24" t="str">
        <x:v>Medium pelagics (30 - 89 cm)</x:v>
      </x:c>
      <x:c r="H23" s="24" t="str">
        <x:v>Perch-likes</x:v>
      </x:c>
      <x:c r="I23" s="31" t="n">
        <x:v>1996.4374229112</x:v>
      </x:c>
      <x:c r="J23" s="31" t="n">
        <x:v>1996.4374229112</x:v>
      </x:c>
      <x:c r="K23" s="31" t="n">
        <x:v>0</x:v>
      </x:c>
      <x:c r="L23" s="31" t="n">
        <x:v>833.1613001592</x:v>
      </x:c>
      <x:c r="M23" s="31" t="n">
        <x:v>1163.276122752</x:v>
      </x:c>
      <x:c r="N23" s="24" t="str">
        <x:v>scombridae</x:v>
      </x:c>
      <x:c r="O23" s="32" t="n">
        <x:v>4.26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Scombridae</x:v>
      </x:c>
      <x:c r="T23" s="32" t="n">
        <x:f>IF(O23="","",(1/'Metadata'!$B$5)^(O23-1))</x:f>
        <x:v>1819.7008586099826</x:v>
      </x:c>
      <x:c r="U23" s="31" t="n">
        <x:f>IF(T23="","",I23*T23)</x:f>
        <x:v>3632918.8926326116</x:v>
      </x:c>
    </x:row>
    <x:row r="24" ht="18" customHeight="1">
      <x:c r="A24" s="24" t="str">
        <x:v>EEZ_706</x:v>
      </x:c>
      <x:c r="B24" s="24" t="str">
        <x:v>Somalia</x:v>
      </x:c>
      <x:c r="C24" s="24" t="str">
        <x:v>EEZ</x:v>
      </x:c>
      <x:c r="D24" s="30" t="n">
        <x:v>2019</x:v>
      </x:c>
      <x:c r="E24" s="24" t="str">
        <x:v>Carcharhinus amblyrhynchos</x:v>
      </x:c>
      <x:c r="F24" s="24" t="str">
        <x:v>Blacktail reef shark</x:v>
      </x:c>
      <x:c r="G24" s="24" t="str">
        <x:v>Large sharks (&gt;=90 cm)</x:v>
      </x:c>
      <x:c r="H24" s="24" t="str">
        <x:v>Sharks &amp; rays</x:v>
      </x:c>
      <x:c r="I24" s="31" t="n">
        <x:v>1944.1125422446</x:v>
      </x:c>
      <x:c r="J24" s="31" t="n">
        <x:v>1246.1688332446</x:v>
      </x:c>
      <x:c r="K24" s="31" t="n">
        <x:v>697.943709</x:v>
      </x:c>
      <x:c r="L24" s="31" t="n">
        <x:v>944.1009083446</x:v>
      </x:c>
      <x:c r="M24" s="31" t="n">
        <x:v>1000.0116339</x:v>
      </x:c>
      <x:c r="N24" s="24" t="str">
        <x:v>carcharhinus amblyrhynchos</x:v>
      </x:c>
      <x:c r="O24" s="32" t="n">
        <x:v>4.11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Carcharhinus amblyrhynchos</x:v>
      </x:c>
      <x:c r="T24" s="32" t="n">
        <x:f>IF(O24="","",(1/'Metadata'!$B$5)^(O24-1))</x:f>
        <x:v>1288.249551693135</x:v>
      </x:c>
      <x:c r="U24" s="31" t="n">
        <x:f>IF(T24="","",I24*T24)</x:f>
        <x:v>2504502.110987607</x:v>
      </x:c>
    </x:row>
    <x:row r="25" ht="18" customHeight="1">
      <x:c r="A25" s="24" t="str">
        <x:v>EEZ_706</x:v>
      </x:c>
      <x:c r="B25" s="24" t="str">
        <x:v>Somalia</x:v>
      </x:c>
      <x:c r="C25" s="24" t="str">
        <x:v>EEZ</x:v>
      </x:c>
      <x:c r="D25" s="30" t="n">
        <x:v>2019</x:v>
      </x:c>
      <x:c r="E25" s="24" t="str">
        <x:v>Lutjanidae</x:v>
      </x:c>
      <x:c r="F25" s="24" t="str">
        <x:v>Snappers</x:v>
      </x:c>
      <x:c r="G25" s="24" t="str">
        <x:v>Medium reef assoc. fish (30 - 89 cm)</x:v>
      </x:c>
      <x:c r="H25" s="24" t="str">
        <x:v>Perch-likes</x:v>
      </x:c>
      <x:c r="I25" s="31" t="n">
        <x:v>1671.7258089623</x:v>
      </x:c>
      <x:c r="J25" s="31" t="n">
        <x:v>1257.8248539623</x:v>
      </x:c>
      <x:c r="K25" s="31" t="n">
        <x:v>413.900955</x:v>
      </x:c>
      <x:c r="L25" s="31" t="n">
        <x:v>164.836059031</x:v>
      </x:c>
      <x:c r="M25" s="31" t="n">
        <x:v>1506.8897499313</x:v>
      </x:c>
      <x:c r="N25" s="24" t="str">
        <x:v>lutjanidae</x:v>
      </x:c>
      <x:c r="O25" s="32" t="n">
        <x:v>4.02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Lutjanidae</x:v>
      </x:c>
      <x:c r="T25" s="32" t="n">
        <x:f>IF(O25="","",(1/'Metadata'!$B$5)^(O25-1))</x:f>
        <x:v>1047.1285480508984</x:v>
      </x:c>
      <x:c r="U25" s="31" t="n">
        <x:f>IF(T25="","",I25*T25)</x:f>
        <x:v>1750511.819077907</x:v>
      </x:c>
    </x:row>
    <x:row r="26" ht="18" customHeight="1">
      <x:c r="A26" s="24" t="str">
        <x:v>EEZ_706</x:v>
      </x:c>
      <x:c r="B26" s="24" t="str">
        <x:v>Somalia</x:v>
      </x:c>
      <x:c r="C26" s="24" t="str">
        <x:v>EEZ</x:v>
      </x:c>
      <x:c r="D26" s="30" t="n">
        <x:v>2019</x:v>
      </x:c>
      <x:c r="E26" s="24" t="str">
        <x:v>Megalaspis cordyla</x:v>
      </x:c>
      <x:c r="F26" s="24" t="str">
        <x:v>Torpedo scad</x:v>
      </x:c>
      <x:c r="G26" s="24" t="str">
        <x:v>Medium pelagics (30 - 89 cm)</x:v>
      </x:c>
      <x:c r="H26" s="24" t="str">
        <x:v>Perch-likes</x:v>
      </x:c>
      <x:c r="I26" s="31" t="n">
        <x:v>1631.3525363495</x:v>
      </x:c>
      <x:c r="J26" s="31" t="n">
        <x:v>1631.3525363495</x:v>
      </x:c>
      <x:c r="K26" s="31" t="n">
        <x:v>0</x:v>
      </x:c>
      <x:c r="L26" s="31" t="n">
        <x:v>0</x:v>
      </x:c>
      <x:c r="M26" s="31" t="n">
        <x:v>1631.3525363495</x:v>
      </x:c>
      <x:c r="N26" s="24" t="str">
        <x:v>megalaspis cordyla</x:v>
      </x:c>
      <x:c r="O26" s="32" t="n">
        <x:v>4.24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Megalaspis cordyla</x:v>
      </x:c>
      <x:c r="T26" s="32" t="n">
        <x:f>IF(O26="","",(1/'Metadata'!$B$5)^(O26-1))</x:f>
        <x:v>1737.8008287493763</x:v>
      </x:c>
      <x:c r="U26" s="31" t="n">
        <x:f>IF(T26="","",I26*T26)</x:f>
        <x:v>2834965.789650558</x:v>
      </x:c>
    </x:row>
    <x:row r="27" ht="18" customHeight="1">
      <x:c r="A27" s="24" t="str">
        <x:v>EEZ_706</x:v>
      </x:c>
      <x:c r="B27" s="24" t="str">
        <x:v>Somalia</x:v>
      </x:c>
      <x:c r="C27" s="24" t="str">
        <x:v>EEZ</x:v>
      </x:c>
      <x:c r="D27" s="30" t="n">
        <x:v>2019</x:v>
      </x:c>
      <x:c r="E27" s="24" t="str">
        <x:v>Sardinella longiceps</x:v>
      </x:c>
      <x:c r="F27" s="24" t="str">
        <x:v>Indian oil sardine</x:v>
      </x:c>
      <x:c r="G27" s="24" t="str">
        <x:v>Small pelagics (&lt;30 cm)</x:v>
      </x:c>
      <x:c r="H27" s="24" t="str">
        <x:v>Herring-likes</x:v>
      </x:c>
      <x:c r="I27" s="31" t="n">
        <x:v>1600.8511586851998</x:v>
      </x:c>
      <x:c r="J27" s="31" t="n">
        <x:v>1597.734391122</x:v>
      </x:c>
      <x:c r="K27" s="31" t="n">
        <x:v>3.1167675632</x:v>
      </x:c>
      <x:c r="L27" s="31" t="n">
        <x:v>659.344236136</x:v>
      </x:c>
      <x:c r="M27" s="31" t="n">
        <x:v>941.5069225492</x:v>
      </x:c>
      <x:c r="N27" s="24" t="str">
        <x:v>sardinella longiceps</x:v>
      </x:c>
      <x:c r="O27" s="32" t="n">
        <x:v>2.41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Sardinella longiceps</x:v>
      </x:c>
      <x:c r="T27" s="32" t="n">
        <x:f>IF(O27="","",(1/'Metadata'!$B$5)^(O27-1))</x:f>
        <x:v>25.703957827688647</x:v>
      </x:c>
      <x:c r="U27" s="31" t="n">
        <x:f>IF(T27="","",I27*T27)</x:f>
        <x:v>41148.21067125088</x:v>
      </x:c>
    </x:row>
    <x:row r="28" ht="18" customHeight="1">
      <x:c r="A28" s="24" t="str">
        <x:v>EEZ_706</x:v>
      </x:c>
      <x:c r="B28" s="24" t="str">
        <x:v>Somalia</x:v>
      </x:c>
      <x:c r="C28" s="24" t="str">
        <x:v>EEZ</x:v>
      </x:c>
      <x:c r="D28" s="30" t="n">
        <x:v>2019</x:v>
      </x:c>
      <x:c r="E28" s="24" t="str">
        <x:v>Epinephelus areolatus</x:v>
      </x:c>
      <x:c r="F28" s="24" t="str">
        <x:v>Areolate grouper</x:v>
      </x:c>
      <x:c r="G28" s="24" t="str">
        <x:v>Medium reef assoc. fish (30 - 89 cm)</x:v>
      </x:c>
      <x:c r="H28" s="24" t="str">
        <x:v>Perch-likes</x:v>
      </x:c>
      <x:c r="I28" s="31" t="n">
        <x:v>1597.7343911799999</x:v>
      </x:c>
      <x:c r="J28" s="31" t="n">
        <x:v>1597.7343911799999</x:v>
      </x:c>
      <x:c r="K28" s="31" t="n">
        <x:v>0</x:v>
      </x:c>
      <x:c r="L28" s="31" t="n">
        <x:v>659.3442362</x:v>
      </x:c>
      <x:c r="M28" s="31" t="n">
        <x:v>938.39015498</x:v>
      </x:c>
      <x:c r="N28" s="24" t="str">
        <x:v>epinephelus areolatus</x:v>
      </x:c>
      <x:c r="O28" s="32" t="n">
        <x:v>3.74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Epinephelus areolatus</x:v>
      </x:c>
      <x:c r="T28" s="32" t="n">
        <x:f>IF(O28="","",(1/'Metadata'!$B$5)^(O28-1))</x:f>
        <x:v>549.5408738576248</x:v>
      </x:c>
      <x:c r="U28" s="31" t="n">
        <x:f>IF(T28="","",I28*T28)</x:f>
        <x:v>878020.3535214373</x:v>
      </x:c>
    </x:row>
    <x:row r="29" ht="18" customHeight="1">
      <x:c r="A29" s="24" t="str">
        <x:v>EEZ_706</x:v>
      </x:c>
      <x:c r="B29" s="24" t="str">
        <x:v>Somalia</x:v>
      </x:c>
      <x:c r="C29" s="24" t="str">
        <x:v>EEZ</x:v>
      </x:c>
      <x:c r="D29" s="30" t="n">
        <x:v>2019</x:v>
      </x:c>
      <x:c r="E29" s="24" t="str">
        <x:v>Lethrinus olivaceus</x:v>
      </x:c>
      <x:c r="F29" s="24" t="str">
        <x:v>Longface emperor</x:v>
      </x:c>
      <x:c r="G29" s="24" t="str">
        <x:v>Medium demersals (30 - 89 cm)</x:v>
      </x:c>
      <x:c r="H29" s="24" t="str">
        <x:v>Perch-likes</x:v>
      </x:c>
      <x:c r="I29" s="31" t="n">
        <x:v>1597.73439096</x:v>
      </x:c>
      <x:c r="J29" s="31" t="n">
        <x:v>1597.73439096</x:v>
      </x:c>
      <x:c r="K29" s="31" t="n">
        <x:v>0</x:v>
      </x:c>
      <x:c r="L29" s="31" t="n">
        <x:v>659.344236</x:v>
      </x:c>
      <x:c r="M29" s="31" t="n">
        <x:v>938.39015496</x:v>
      </x:c>
      <x:c r="N29" s="24" t="str">
        <x:v>lethrinus olivaceus</x:v>
      </x:c>
      <x:c r="O29" s="32" t="n">
        <x:v>3.95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Lethrinus olivaceus</x:v>
      </x:c>
      <x:c r="T29" s="32" t="n">
        <x:f>IF(O29="","",(1/'Metadata'!$B$5)^(O29-1))</x:f>
        <x:v>891.2509381337459</x:v>
      </x:c>
      <x:c r="U29" s="31" t="n">
        <x:f>IF(T29="","",I29*T29)</x:f>
        <x:v>1423982.2748316491</x:v>
      </x:c>
    </x:row>
    <x:row r="30" ht="18" customHeight="1">
      <x:c r="A30" s="24" t="str">
        <x:v>EEZ_706</x:v>
      </x:c>
      <x:c r="B30" s="24" t="str">
        <x:v>Somalia</x:v>
      </x:c>
      <x:c r="C30" s="24" t="str">
        <x:v>EEZ</x:v>
      </x:c>
      <x:c r="D30" s="30" t="n">
        <x:v>2019</x:v>
      </x:c>
      <x:c r="E30" s="24" t="str">
        <x:v>Lethrinus lentjan</x:v>
      </x:c>
      <x:c r="F30" s="24" t="str">
        <x:v>Pink ear emperor</x:v>
      </x:c>
      <x:c r="G30" s="24" t="str">
        <x:v>Medium demersals (30 - 89 cm)</x:v>
      </x:c>
      <x:c r="H30" s="24" t="str">
        <x:v>Perch-likes</x:v>
      </x:c>
      <x:c r="I30" s="31" t="n">
        <x:v>1597.73439096</x:v>
      </x:c>
      <x:c r="J30" s="31" t="n">
        <x:v>1597.73439096</x:v>
      </x:c>
      <x:c r="K30" s="31" t="n">
        <x:v>0</x:v>
      </x:c>
      <x:c r="L30" s="31" t="n">
        <x:v>659.344236</x:v>
      </x:c>
      <x:c r="M30" s="31" t="n">
        <x:v>938.39015496</x:v>
      </x:c>
      <x:c r="N30" s="24" t="str">
        <x:v>lethrinus lentjan</x:v>
      </x:c>
      <x:c r="O30" s="32" t="n">
        <x:v>3.94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Lethrinus lentjan</x:v>
      </x:c>
      <x:c r="T30" s="32" t="n">
        <x:f>IF(O30="","",(1/'Metadata'!$B$5)^(O30-1))</x:f>
        <x:v>870.9635899560806</x:v>
      </x:c>
      <x:c r="U30" s="31" t="n">
        <x:f>IF(T30="","",I30*T30)</x:f>
        <x:v>1391568.4809468135</x:v>
      </x:c>
    </x:row>
    <x:row r="31" ht="18" customHeight="1">
      <x:c r="A31" s="24" t="str">
        <x:v>EEZ_706</x:v>
      </x:c>
      <x:c r="B31" s="24" t="str">
        <x:v>Somalia</x:v>
      </x:c>
      <x:c r="C31" s="24" t="str">
        <x:v>EEZ</x:v>
      </x:c>
      <x:c r="D31" s="30" t="n">
        <x:v>2019</x:v>
      </x:c>
      <x:c r="E31" s="24" t="str">
        <x:v>Penaeidae</x:v>
      </x:c>
      <x:c r="F31" s="24" t="str">
        <x:v>Commercial shrimps and prawns</x:v>
      </x:c>
      <x:c r="G31" s="24" t="str">
        <x:v>Shrimps</x:v>
      </x:c>
      <x:c r="H31" s="24" t="str">
        <x:v>Crustaceans</x:v>
      </x:c>
      <x:c r="I31" s="31" t="n">
        <x:v>1579.7082759</x:v>
      </x:c>
      <x:c r="J31" s="31" t="n">
        <x:v>1579.7082759</x:v>
      </x:c>
      <x:c r="K31" s="31" t="n">
        <x:v>0</x:v>
      </x:c>
      <x:c r="L31" s="31" t="n">
        <x:v>0</x:v>
      </x:c>
      <x:c r="M31" s="31" t="n">
        <x:v>1579.7082759</x:v>
      </x:c>
      <x:c r="N31" s="24" t="str">
        <x:v>penaeidae</x:v>
      </x:c>
      <x:c r="O31" s="32" t="n">
        <x:v>3.31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Penaeidae</x:v>
      </x:c>
      <x:c r="T31" s="32" t="n">
        <x:f>IF(O31="","",(1/'Metadata'!$B$5)^(O31-1))</x:f>
        <x:v>204.17379446695296</x:v>
      </x:c>
      <x:c r="U31" s="31" t="n">
        <x:f>IF(T31="","",I31*T31)</x:f>
        <x:v>322535.03284135123</x:v>
      </x:c>
    </x:row>
    <x:row r="32" ht="18" customHeight="1">
      <x:c r="A32" s="24" t="str">
        <x:v>EEZ_706</x:v>
      </x:c>
      <x:c r="B32" s="24" t="str">
        <x:v>Somalia</x:v>
      </x:c>
      <x:c r="C32" s="24" t="str">
        <x:v>EEZ</x:v>
      </x:c>
      <x:c r="D32" s="30" t="n">
        <x:v>2019</x:v>
      </x:c>
      <x:c r="E32" s="24" t="str">
        <x:v>Mullidae</x:v>
      </x:c>
      <x:c r="F32" s="24" t="str">
        <x:v>Goatfishes</x:v>
      </x:c>
      <x:c r="G32" s="24" t="str">
        <x:v>Medium reef assoc. fish (30 - 89 cm)</x:v>
      </x:c>
      <x:c r="H32" s="24" t="str">
        <x:v>Perch-likes</x:v>
      </x:c>
      <x:c r="I32" s="31" t="n">
        <x:v>1380.02212949</x:v>
      </x:c>
      <x:c r="J32" s="31" t="n">
        <x:v>998.58399449</x:v>
      </x:c>
      <x:c r="K32" s="31" t="n">
        <x:v>381.438135</x:v>
      </x:c>
      <x:c r="L32" s="31" t="n">
        <x:v>412.09014763</x:v>
      </x:c>
      <x:c r="M32" s="31" t="n">
        <x:v>967.93198186</x:v>
      </x:c>
      <x:c r="N32" s="24" t="str">
        <x:v>mullidae</x:v>
      </x:c>
      <x:c r="O32" s="32" t="n">
        <x:v>3.46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Mullidae</x:v>
      </x:c>
      <x:c r="T32" s="32" t="n">
        <x:f>IF(O32="","",(1/'Metadata'!$B$5)^(O32-1))</x:f>
        <x:v>288.40315031266056</x:v>
      </x:c>
      <x:c r="U32" s="31" t="n">
        <x:f>IF(T32="","",I32*T32)</x:f>
        <x:v>398002.7296461024</x:v>
      </x:c>
    </x:row>
    <x:row r="33" ht="18" customHeight="1">
      <x:c r="A33" s="24" t="str">
        <x:v>EEZ_706</x:v>
      </x:c>
      <x:c r="B33" s="24" t="str">
        <x:v>Somalia</x:v>
      </x:c>
      <x:c r="C33" s="24" t="str">
        <x:v>EEZ</x:v>
      </x:c>
      <x:c r="D33" s="30" t="n">
        <x:v>2019</x:v>
      </x:c>
      <x:c r="E33" s="24" t="str">
        <x:v>Loliginidae</x:v>
      </x:c>
      <x:c r="F33" s="24" t="str">
        <x:v>Common pencil squids</x:v>
      </x:c>
      <x:c r="G33" s="24" t="str">
        <x:v>Cephalopods</x:v>
      </x:c>
      <x:c r="H33" s="24" t="str">
        <x:v>Other fishes &amp; inverts</x:v>
      </x:c>
      <x:c r="I33" s="31" t="n">
        <x:v>1282.2153046801</x:v>
      </x:c>
      <x:c r="J33" s="31" t="n">
        <x:v>1282.2153046801</x:v>
      </x:c>
      <x:c r="K33" s="31" t="n">
        <x:v>0</x:v>
      </x:c>
      <x:c r="L33" s="31" t="n">
        <x:v>0</x:v>
      </x:c>
      <x:c r="M33" s="31" t="n">
        <x:v>1282.2153046801</x:v>
      </x:c>
      <x:c r="N33" s="24" t="str">
        <x:v>loliginidae</x:v>
      </x:c>
      <x:c r="O33" s="32" t="n">
        <x:v>3.9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Loliginidae</x:v>
      </x:c>
      <x:c r="T33" s="32" t="n">
        <x:f>IF(O33="","",(1/'Metadata'!$B$5)^(O33-1))</x:f>
        <x:v>794.3282347242813</x:v>
      </x:c>
      <x:c r="U33" s="31" t="n">
        <x:f>IF(T33="","",I33*T33)</x:f>
        <x:v>1018499.8195030002</x:v>
      </x:c>
    </x:row>
    <x:row r="34" ht="18" customHeight="1">
      <x:c r="A34" s="24" t="str">
        <x:v>EEZ_706</x:v>
      </x:c>
      <x:c r="B34" s="24" t="str">
        <x:v>Somalia</x:v>
      </x:c>
      <x:c r="C34" s="24" t="str">
        <x:v>EEZ</x:v>
      </x:c>
      <x:c r="D34" s="30" t="n">
        <x:v>2019</x:v>
      </x:c>
      <x:c r="E34" s="24" t="str">
        <x:v>Sepiidae</x:v>
      </x:c>
      <x:c r="F34" s="24" t="str">
        <x:v>Cuttlefishes</x:v>
      </x:c>
      <x:c r="G34" s="24" t="str">
        <x:v>Cephalopods</x:v>
      </x:c>
      <x:c r="H34" s="24" t="str">
        <x:v>Other fishes &amp; inverts</x:v>
      </x:c>
      <x:c r="I34" s="31" t="n">
        <x:v>1234.2008741634</x:v>
      </x:c>
      <x:c r="J34" s="31" t="n">
        <x:v>1234.2008741634</x:v>
      </x:c>
      <x:c r="K34" s="31" t="n">
        <x:v>0</x:v>
      </x:c>
      <x:c r="L34" s="31" t="n">
        <x:v>0</x:v>
      </x:c>
      <x:c r="M34" s="31" t="n">
        <x:v>1234.2008741634</x:v>
      </x:c>
      <x:c r="N34" s="24" t="str">
        <x:v>sepiidae</x:v>
      </x:c>
      <x:c r="O34" s="32" t="n">
        <x:v>3.6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Sepiidae</x:v>
      </x:c>
      <x:c r="T34" s="32" t="n">
        <x:f>IF(O34="","",(1/'Metadata'!$B$5)^(O34-1))</x:f>
        <x:v>398.1071705534973</x:v>
      </x:c>
      <x:c r="U34" s="31" t="n">
        <x:f>IF(T34="","",I34*T34)</x:f>
        <x:v>491344.21790784417</x:v>
      </x:c>
    </x:row>
    <x:row r="35" ht="18" customHeight="1">
      <x:c r="A35" s="24" t="str">
        <x:v>EEZ_706</x:v>
      </x:c>
      <x:c r="B35" s="24" t="str">
        <x:v>Somalia</x:v>
      </x:c>
      <x:c r="C35" s="24" t="str">
        <x:v>EEZ</x:v>
      </x:c>
      <x:c r="D35" s="30" t="n">
        <x:v>2019</x:v>
      </x:c>
      <x:c r="E35" s="24" t="str">
        <x:v>Coryphaena</x:v>
      </x:c>
      <x:c r="F35" s="24" t="str">
        <x:v>Dolphinfishes</x:v>
      </x:c>
      <x:c r="G35" s="24" t="str">
        <x:v>Large pelagics (&gt;=90 cm)</x:v>
      </x:c>
      <x:c r="H35" s="24" t="str">
        <x:v>Perch-likes</x:v>
      </x:c>
      <x:c r="I35" s="31" t="n">
        <x:v>1087.8793152</x:v>
      </x:c>
      <x:c r="J35" s="31" t="n">
        <x:v>1087.8793152</x:v>
      </x:c>
      <x:c r="K35" s="31" t="n">
        <x:v>0</x:v>
      </x:c>
      <x:c r="L35" s="31" t="n">
        <x:v>824.1802952</x:v>
      </x:c>
      <x:c r="M35" s="31" t="n">
        <x:v>263.69902</x:v>
      </x:c>
      <x:c r="N35" s="24" t="str">
        <x:v>coryphaena</x:v>
      </x:c>
      <x:c r="O35" s="32" t="n">
        <x:v>4.49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Coryphaena</x:v>
      </x:c>
      <x:c r="T35" s="32" t="n">
        <x:f>IF(O35="","",(1/'Metadata'!$B$5)^(O35-1))</x:f>
        <x:v>3090.295432513592</x:v>
      </x:c>
      <x:c r="U35" s="31" t="n">
        <x:f>IF(T35="","",I35*T35)</x:f>
        <x:v>3361868.4788885745</x:v>
      </x:c>
    </x:row>
    <x:row r="36" ht="18" customHeight="1">
      <x:c r="A36" s="24" t="str">
        <x:v>EEZ_706</x:v>
      </x:c>
      <x:c r="B36" s="24" t="str">
        <x:v>Somalia</x:v>
      </x:c>
      <x:c r="C36" s="24" t="str">
        <x:v>EEZ</x:v>
      </x:c>
      <x:c r="D36" s="30" t="n">
        <x:v>2019</x:v>
      </x:c>
      <x:c r="E36" s="24" t="str">
        <x:v>Thunnus tonggol</x:v>
      </x:c>
      <x:c r="F36" s="24" t="str">
        <x:v>Longtail tuna</x:v>
      </x:c>
      <x:c r="G36" s="24" t="str">
        <x:v>Large pelagics (&gt;=90 cm)</x:v>
      </x:c>
      <x:c r="H36" s="24" t="str">
        <x:v>Tuna &amp; billfishes</x:v>
      </x:c>
      <x:c r="I36" s="31" t="n">
        <x:v>1087.879315041</x:v>
      </x:c>
      <x:c r="J36" s="31" t="n">
        <x:v>1087.879315041</x:v>
      </x:c>
      <x:c r="K36" s="31" t="n">
        <x:v>0</x:v>
      </x:c>
      <x:c r="L36" s="31" t="n">
        <x:v>824.1802950809999</x:v>
      </x:c>
      <x:c r="M36" s="31" t="n">
        <x:v>263.69901996</x:v>
      </x:c>
      <x:c r="N36" s="24" t="str">
        <x:v>thunnus tonggol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Thunnus tonggol</x:v>
      </x:c>
      <x:c r="T36" s="32" t="n">
        <x:f>IF(O36="","",(1/'Metadata'!$B$5)^(O36-1))</x:f>
        <x:v>3162.2776601683795</x:v>
      </x:c>
      <x:c r="U36" s="31" t="n">
        <x:f>IF(T36="","",I36*T36)</x:f>
        <x:v>3440176.4549134327</x:v>
      </x:c>
    </x:row>
    <x:row r="37" ht="18" customHeight="1">
      <x:c r="A37" s="24" t="str">
        <x:v>EEZ_706</x:v>
      </x:c>
      <x:c r="B37" s="24" t="str">
        <x:v>Somalia</x:v>
      </x:c>
      <x:c r="C37" s="24" t="str">
        <x:v>EEZ</x:v>
      </x:c>
      <x:c r="D37" s="30" t="n">
        <x:v>2019</x:v>
      </x:c>
      <x:c r="E37" s="24" t="str">
        <x:v>Euthynnus affinis</x:v>
      </x:c>
      <x:c r="F37" s="24" t="str">
        <x:v>Kawakawa</x:v>
      </x:c>
      <x:c r="G37" s="24" t="str">
        <x:v>Large pelagics (&gt;=90 cm)</x:v>
      </x:c>
      <x:c r="H37" s="24" t="str">
        <x:v>Tuna &amp; billfishes</x:v>
      </x:c>
      <x:c r="I37" s="31" t="n">
        <x:v>1087.879315041</x:v>
      </x:c>
      <x:c r="J37" s="31" t="n">
        <x:v>1087.879315041</x:v>
      </x:c>
      <x:c r="K37" s="31" t="n">
        <x:v>0</x:v>
      </x:c>
      <x:c r="L37" s="31" t="n">
        <x:v>824.1802950809999</x:v>
      </x:c>
      <x:c r="M37" s="31" t="n">
        <x:v>263.69901996</x:v>
      </x:c>
      <x:c r="N37" s="24" t="str">
        <x:v>euthynnus affinis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Euthynnus affinis</x:v>
      </x:c>
      <x:c r="T37" s="32" t="n">
        <x:f>IF(O37="","",(1/'Metadata'!$B$5)^(O37-1))</x:f>
        <x:v>3162.2776601683795</x:v>
      </x:c>
      <x:c r="U37" s="31" t="n">
        <x:f>IF(T37="","",I37*T37)</x:f>
        <x:v>3440176.4549134327</x:v>
      </x:c>
    </x:row>
    <x:row r="38" ht="18" customHeight="1">
      <x:c r="A38" s="24" t="str">
        <x:v>EEZ_706</x:v>
      </x:c>
      <x:c r="B38" s="24" t="str">
        <x:v>Somalia</x:v>
      </x:c>
      <x:c r="C38" s="24" t="str">
        <x:v>EEZ</x:v>
      </x:c>
      <x:c r="D38" s="30" t="n">
        <x:v>2019</x:v>
      </x:c>
      <x:c r="E38" s="24" t="str">
        <x:v>Serranidae</x:v>
      </x:c>
      <x:c r="F38" s="24" t="str">
        <x:v>Basses, groupers, hinds</x:v>
      </x:c>
      <x:c r="G38" s="24" t="str">
        <x:v>Medium reef assoc. fish (30 - 89 cm)</x:v>
      </x:c>
      <x:c r="H38" s="24" t="str">
        <x:v>Perch-likes</x:v>
      </x:c>
      <x:c r="I38" s="31" t="n">
        <x:v>960.9253249281</x:v>
      </x:c>
      <x:c r="J38" s="31" t="n">
        <x:v>433.4044999281</x:v>
      </x:c>
      <x:c r="K38" s="31" t="n">
        <x:v>527.520825</x:v>
      </x:c>
      <x:c r="L38" s="31" t="n">
        <x:v>164.83605904</x:v>
      </x:c>
      <x:c r="M38" s="31" t="n">
        <x:v>796.0892658881</x:v>
      </x:c>
      <x:c r="N38" s="24" t="str">
        <x:v>serranidae</x:v>
      </x:c>
      <x:c r="O38" s="32" t="n">
        <x:v>3.98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Serranidae</x:v>
      </x:c>
      <x:c r="T38" s="32" t="n">
        <x:f>IF(O38="","",(1/'Metadata'!$B$5)^(O38-1))</x:f>
        <x:v>954.992586021436</x:v>
      </x:c>
      <x:c r="U38" s="31" t="n">
        <x:f>IF(T38="","",I38*T38)</x:f>
        <x:v>917676.5610265749</x:v>
      </x:c>
    </x:row>
    <x:row r="39" ht="18" customHeight="1">
      <x:c r="A39" s="24" t="str">
        <x:v>EEZ_706</x:v>
      </x:c>
      <x:c r="B39" s="24" t="str">
        <x:v>Somalia</x:v>
      </x:c>
      <x:c r="C39" s="24" t="str">
        <x:v>EEZ</x:v>
      </x:c>
      <x:c r="D39" s="30" t="n">
        <x:v>2019</x:v>
      </x:c>
      <x:c r="E39" s="24" t="str">
        <x:v>Sardinella</x:v>
      </x:c>
      <x:c r="F39" s="24" t="str">
        <x:v>Sardinellas</x:v>
      </x:c>
      <x:c r="G39" s="24" t="str">
        <x:v>Small pelagics (&lt;30 cm)</x:v>
      </x:c>
      <x:c r="H39" s="24" t="str">
        <x:v>Herring-likes</x:v>
      </x:c>
      <x:c r="I39" s="31" t="n">
        <x:v>906.3530402340999</x:v>
      </x:c>
      <x:c r="J39" s="31" t="n">
        <x:v>906.3530402340999</x:v>
      </x:c>
      <x:c r="K39" s="31" t="n">
        <x:v>0</x:v>
      </x:c>
      <x:c r="L39" s="31" t="n">
        <x:v>0</x:v>
      </x:c>
      <x:c r="M39" s="31" t="n">
        <x:v>906.3530402340999</x:v>
      </x:c>
      <x:c r="N39" s="24" t="str">
        <x:v>sardinella</x:v>
      </x:c>
      <x:c r="O39" s="32" t="n">
        <x:v>2.77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Sardinella</x:v>
      </x:c>
      <x:c r="T39" s="32" t="n">
        <x:f>IF(O39="","",(1/'Metadata'!$B$5)^(O39-1))</x:f>
        <x:v>58.8843655355589</x:v>
      </x:c>
      <x:c r="U39" s="31" t="n">
        <x:f>IF(T39="","",I39*T39)</x:f>
        <x:v>53370.02372540986</x:v>
      </x:c>
    </x:row>
    <x:row r="40" ht="18" customHeight="1">
      <x:c r="A40" s="24" t="str">
        <x:v>EEZ_706</x:v>
      </x:c>
      <x:c r="B40" s="24" t="str">
        <x:v>Somalia</x:v>
      </x:c>
      <x:c r="C40" s="24" t="str">
        <x:v>EEZ</x:v>
      </x:c>
      <x:c r="D40" s="30" t="n">
        <x:v>2019</x:v>
      </x:c>
      <x:c r="E40" s="24" t="str">
        <x:v>Cephalopoda</x:v>
      </x:c>
      <x:c r="F40" s="24" t="str">
        <x:v>Squids, cuttlefishes, octopuses</x:v>
      </x:c>
      <x:c r="G40" s="24" t="str">
        <x:v>Cephalopods</x:v>
      </x:c>
      <x:c r="H40" s="24" t="str">
        <x:v>Other fishes &amp; inverts</x:v>
      </x:c>
      <x:c r="I40" s="31" t="n">
        <x:v>832.525734315</x:v>
      </x:c>
      <x:c r="J40" s="31" t="n">
        <x:v>832.525734315</x:v>
      </x:c>
      <x:c r="K40" s="31" t="n">
        <x:v>0</x:v>
      </x:c>
      <x:c r="L40" s="31" t="n">
        <x:v>600.00000001</x:v>
      </x:c>
      <x:c r="M40" s="31" t="n">
        <x:v>232.52573430500001</x:v>
      </x:c>
      <x:c r="N40" s="24" t="str">
        <x:v>cephalopoda</x:v>
      </x:c>
      <x:c r="O40" s="32" t="n">
        <x:v>3.81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Cephalopoda</x:v>
      </x:c>
      <x:c r="T40" s="32" t="n">
        <x:f>IF(O40="","",(1/'Metadata'!$B$5)^(O40-1))</x:f>
        <x:v>645.6542290346556</x:v>
      </x:c>
      <x:c r="U40" s="31" t="n">
        <x:f>IF(T40="","",I40*T40)</x:f>
        <x:v>537523.7611406619</x:v>
      </x:c>
    </x:row>
    <x:row r="41" ht="18" customHeight="1">
      <x:c r="A41" s="24" t="str">
        <x:v>EEZ_706</x:v>
      </x:c>
      <x:c r="B41" s="24" t="str">
        <x:v>Somalia</x:v>
      </x:c>
      <x:c r="C41" s="24" t="str">
        <x:v>EEZ</x:v>
      </x:c>
      <x:c r="D41" s="30" t="n">
        <x:v>2019</x:v>
      </x:c>
      <x:c r="E41" s="24" t="str">
        <x:v>Aprion virescens</x:v>
      </x:c>
      <x:c r="F41" s="24" t="str">
        <x:v>Green jobfish</x:v>
      </x:c>
      <x:c r="G41" s="24" t="str">
        <x:v>Large reef assoc. fish (&gt;=90 cm)</x:v>
      </x:c>
      <x:c r="H41" s="24" t="str">
        <x:v>Perch-likes</x:v>
      </x:c>
      <x:c r="I41" s="31" t="n">
        <x:v>798.867195555</x:v>
      </x:c>
      <x:c r="J41" s="31" t="n">
        <x:v>798.867195555</x:v>
      </x:c>
      <x:c r="K41" s="31" t="n">
        <x:v>0</x:v>
      </x:c>
      <x:c r="L41" s="31" t="n">
        <x:v>329.67211807</x:v>
      </x:c>
      <x:c r="M41" s="31" t="n">
        <x:v>469.19507748499996</x:v>
      </x:c>
      <x:c r="N41" s="24" t="str">
        <x:v>aprion virescens</x:v>
      </x:c>
      <x:c r="O41" s="32" t="n">
        <x:v>4.28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Aprion virescens</x:v>
      </x:c>
      <x:c r="T41" s="32" t="n">
        <x:f>IF(O41="","",(1/'Metadata'!$B$5)^(O41-1))</x:f>
        <x:v>1905.4607179632483</x:v>
      </x:c>
      <x:c r="U41" s="31" t="n">
        <x:f>IF(T41="","",I41*T41)</x:f>
        <x:v>1522210.059999517</x:v>
      </x:c>
    </x:row>
    <x:row r="42" ht="18" customHeight="1">
      <x:c r="A42" s="24" t="str">
        <x:v>EEZ_706</x:v>
      </x:c>
      <x:c r="B42" s="24" t="str">
        <x:v>Somalia</x:v>
      </x:c>
      <x:c r="C42" s="24" t="str">
        <x:v>EEZ</x:v>
      </x:c>
      <x:c r="D42" s="30" t="n">
        <x:v>2019</x:v>
      </x:c>
      <x:c r="E42" s="24" t="str">
        <x:v>Haemulidae</x:v>
      </x:c>
      <x:c r="F42" s="24" t="str">
        <x:v>Grunts, sweetlips, bonnetmouths</x:v>
      </x:c>
      <x:c r="G42" s="24" t="str">
        <x:v>Medium demersals (30 - 89 cm)</x:v>
      </x:c>
      <x:c r="H42" s="24" t="str">
        <x:v>Perch-likes</x:v>
      </x:c>
      <x:c r="I42" s="31" t="n">
        <x:v>770.991975</x:v>
      </x:c>
      <x:c r="J42" s="31" t="n">
        <x:v>0</x:v>
      </x:c>
      <x:c r="K42" s="31" t="n">
        <x:v>770.991975</x:v>
      </x:c>
      <x:c r="L42" s="31" t="n">
        <x:v>0</x:v>
      </x:c>
      <x:c r="M42" s="31" t="n">
        <x:v>770.991975</x:v>
      </x:c>
      <x:c r="N42" s="24" t="str">
        <x:v>haemulidae</x:v>
      </x:c>
      <x:c r="O42" s="32" t="n">
        <x:v>3.36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Haemulidae</x:v>
      </x:c>
      <x:c r="T42" s="32" t="n">
        <x:f>IF(O42="","",(1/'Metadata'!$B$5)^(O42-1))</x:f>
        <x:v>229.08676527677724</x:v>
      </x:c>
      <x:c r="U42" s="31" t="n">
        <x:f>IF(T42="","",I42*T42)</x:f>
        <x:v>176624.05760710392</x:v>
      </x:c>
    </x:row>
    <x:row r="43" ht="18" customHeight="1">
      <x:c r="A43" s="24" t="str">
        <x:v>EEZ_706</x:v>
      </x:c>
      <x:c r="B43" s="24" t="str">
        <x:v>Somalia</x:v>
      </x:c>
      <x:c r="C43" s="24" t="str">
        <x:v>EEZ</x:v>
      </x:c>
      <x:c r="D43" s="30" t="n">
        <x:v>2019</x:v>
      </x:c>
      <x:c r="E43" s="24" t="str">
        <x:v>Portunus pelagicus</x:v>
      </x:c>
      <x:c r="F43" s="24" t="str">
        <x:v>Blue swimming crab</x:v>
      </x:c>
      <x:c r="G43" s="24" t="str">
        <x:v>Lobsters, crabs</x:v>
      </x:c>
      <x:c r="H43" s="24" t="str">
        <x:v>Crustaceans</x:v>
      </x:c>
      <x:c r="I43" s="31" t="n">
        <x:v>655.0567420572</x:v>
      </x:c>
      <x:c r="J43" s="31" t="n">
        <x:v>655.0567420572</x:v>
      </x:c>
      <x:c r="K43" s="31" t="n">
        <x:v>0</x:v>
      </x:c>
      <x:c r="L43" s="31" t="n">
        <x:v>0</x:v>
      </x:c>
      <x:c r="M43" s="31" t="n">
        <x:v>655.0567420572</x:v>
      </x:c>
      <x:c r="N43" s="24" t="str">
        <x:v>portunus pelagicus</x:v>
      </x:c>
      <x:c r="O43" s="32" t="n">
        <x:v>2.48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Portunus pelagicus</x:v>
      </x:c>
      <x:c r="T43" s="32" t="n">
        <x:f>IF(O43="","",(1/'Metadata'!$B$5)^(O43-1))</x:f>
        <x:v>30.19951720402016</x:v>
      </x:c>
      <x:c r="U43" s="31" t="n">
        <x:f>IF(T43="","",I43*T43)</x:f>
        <x:v>19782.39735136581</x:v>
      </x:c>
    </x:row>
    <x:row r="44" ht="18" customHeight="1">
      <x:c r="A44" s="24" t="str">
        <x:v>EEZ_706</x:v>
      </x:c>
      <x:c r="B44" s="24" t="str">
        <x:v>Somalia</x:v>
      </x:c>
      <x:c r="C44" s="24" t="str">
        <x:v>EEZ</x:v>
      </x:c>
      <x:c r="D44" s="30" t="n">
        <x:v>2019</x:v>
      </x:c>
      <x:c r="E44" s="24" t="str">
        <x:v>Xiphiidae</x:v>
      </x:c>
      <x:c r="F44" s="24" t="str">
        <x:v>Swordfishes</x:v>
      </x:c>
      <x:c r="G44" s="24" t="str">
        <x:v>Large pelagics (&gt;=90 cm)</x:v>
      </x:c>
      <x:c r="H44" s="24" t="str">
        <x:v>Tuna &amp; billfishes</x:v>
      </x:c>
      <x:c r="I44" s="31" t="n">
        <x:v>543.9396576</x:v>
      </x:c>
      <x:c r="J44" s="31" t="n">
        <x:v>543.9396576</x:v>
      </x:c>
      <x:c r="K44" s="31" t="n">
        <x:v>0</x:v>
      </x:c>
      <x:c r="L44" s="31" t="n">
        <x:v>412.0901476</x:v>
      </x:c>
      <x:c r="M44" s="31" t="n">
        <x:v>131.84951</x:v>
      </x:c>
      <x:c r="N44" s="24" t="str">
        <x:v>xiphiidae</x:v>
      </x:c>
      <x:c r="O44" s="32" t="n">
        <x:v>4.5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Xiphiidae</x:v>
      </x:c>
      <x:c r="T44" s="32" t="n">
        <x:f>IF(O44="","",(1/'Metadata'!$B$5)^(O44-1))</x:f>
        <x:v>3162.2776601683795</x:v>
      </x:c>
      <x:c r="U44" s="31" t="n">
        <x:f>IF(T44="","",I44*T44)</x:f>
        <x:v>1720088.2277081176</x:v>
      </x:c>
    </x:row>
    <x:row r="45" ht="18" customHeight="1">
      <x:c r="A45" s="24" t="str">
        <x:v>EEZ_706</x:v>
      </x:c>
      <x:c r="B45" s="24" t="str">
        <x:v>Somalia</x:v>
      </x:c>
      <x:c r="C45" s="24" t="str">
        <x:v>EEZ</x:v>
      </x:c>
      <x:c r="D45" s="30" t="n">
        <x:v>2019</x:v>
      </x:c>
      <x:c r="E45" s="24" t="str">
        <x:v>Istiophoridae</x:v>
      </x:c>
      <x:c r="F45" s="24" t="str">
        <x:v>Billfishes</x:v>
      </x:c>
      <x:c r="G45" s="24" t="str">
        <x:v>Large pelagics (&gt;=90 cm)</x:v>
      </x:c>
      <x:c r="H45" s="24" t="str">
        <x:v>Tuna &amp; billfishes</x:v>
      </x:c>
      <x:c r="I45" s="31" t="n">
        <x:v>543.93965755</x:v>
      </x:c>
      <x:c r="J45" s="31" t="n">
        <x:v>543.93965755</x:v>
      </x:c>
      <x:c r="K45" s="31" t="n">
        <x:v>0</x:v>
      </x:c>
      <x:c r="L45" s="31" t="n">
        <x:v>412.09014757</x:v>
      </x:c>
      <x:c r="M45" s="31" t="n">
        <x:v>131.84950998</x:v>
      </x:c>
      <x:c r="N45" s="24" t="str">
        <x:v>istiophoridae</x:v>
      </x:c>
      <x:c r="O45" s="32" t="n">
        <x:v>4.48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Istiophoridae</x:v>
      </x:c>
      <x:c r="T45" s="32" t="n">
        <x:f>IF(O45="","",(1/'Metadata'!$B$5)^(O45-1))</x:f>
        <x:v>3019.951720402019</x:v>
      </x:c>
      <x:c r="U45" s="31" t="n">
        <x:f>IF(T45="","",I45*T45)</x:f>
        <x:v>1642671.5046130074</x:v>
      </x:c>
    </x:row>
    <x:row r="46" ht="18" customHeight="1">
      <x:c r="A46" s="24" t="str">
        <x:v>EEZ_706</x:v>
      </x:c>
      <x:c r="B46" s="24" t="str">
        <x:v>Somalia</x:v>
      </x:c>
      <x:c r="C46" s="24" t="str">
        <x:v>EEZ</x:v>
      </x:c>
      <x:c r="D46" s="30" t="n">
        <x:v>2019</x:v>
      </x:c>
      <x:c r="E46" s="24" t="str">
        <x:v>Scaridae</x:v>
      </x:c>
      <x:c r="F46" s="24" t="str">
        <x:v>Parrotfishes</x:v>
      </x:c>
      <x:c r="G46" s="24" t="str">
        <x:v>Medium reef assoc. fish (30 - 89 cm)</x:v>
      </x:c>
      <x:c r="H46" s="24" t="str">
        <x:v>Perch-likes</x:v>
      </x:c>
      <x:c r="I46" s="31" t="n">
        <x:v>519.8055172</x:v>
      </x:c>
      <x:c r="J46" s="31" t="n">
        <x:v>519.8055172</x:v>
      </x:c>
      <x:c r="K46" s="31" t="n">
        <x:v>0</x:v>
      </x:c>
      <x:c r="L46" s="31" t="n">
        <x:v>0</x:v>
      </x:c>
      <x:c r="M46" s="31" t="n">
        <x:v>519.8055172</x:v>
      </x:c>
      <x:c r="N46" s="24" t="str">
        <x:v>scaridae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Scaridae</x:v>
      </x:c>
      <x:c r="T46" s="32" t="n">
        <x:f>IF(O46="","",(1/'Metadata'!$B$5)^(O46-1))</x:f>
        <x:v>10</x:v>
      </x:c>
      <x:c r="U46" s="31" t="n">
        <x:f>IF(T46="","",I46*T46)</x:f>
        <x:v>5198.055172</x:v>
      </x:c>
    </x:row>
    <x:row r="47" ht="18" customHeight="1">
      <x:c r="A47" s="24" t="str">
        <x:v>EEZ_706</x:v>
      </x:c>
      <x:c r="B47" s="24" t="str">
        <x:v>Somalia</x:v>
      </x:c>
      <x:c r="C47" s="24" t="str">
        <x:v>EEZ</x:v>
      </x:c>
      <x:c r="D47" s="30" t="n">
        <x:v>2019</x:v>
      </x:c>
      <x:c r="E47" s="24" t="str">
        <x:v>Palinuridae</x:v>
      </x:c>
      <x:c r="F47" s="24" t="str">
        <x:v>Spiny lobsters</x:v>
      </x:c>
      <x:c r="G47" s="24" t="str">
        <x:v>Lobsters, crabs</x:v>
      </x:c>
      <x:c r="H47" s="24" t="str">
        <x:v>Crustaceans</x:v>
      </x:c>
      <x:c r="I47" s="31" t="n">
        <x:v>500.00000002</x:v>
      </x:c>
      <x:c r="J47" s="31" t="n">
        <x:v>500.00000002</x:v>
      </x:c>
      <x:c r="K47" s="31" t="n">
        <x:v>0</x:v>
      </x:c>
      <x:c r="L47" s="31" t="n">
        <x:v>500.00000002</x:v>
      </x:c>
      <x:c r="M47" s="31" t="n">
        <x:v>0</x:v>
      </x:c>
      <x:c r="N47" s="24" t="str">
        <x:v>palinuridae</x:v>
      </x:c>
      <x:c r="O47" s="32" t="n">
        <x:v>3.14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Palinuridae</x:v>
      </x:c>
      <x:c r="T47" s="32" t="n">
        <x:f>IF(O47="","",(1/'Metadata'!$B$5)^(O47-1))</x:f>
        <x:v>138.03842646028852</x:v>
      </x:c>
      <x:c r="U47" s="31" t="n">
        <x:f>IF(T47="","",I47*T47)</x:f>
        <x:v>69019.21323290504</x:v>
      </x:c>
    </x:row>
    <x:row r="48" ht="18" customHeight="1">
      <x:c r="A48" s="24" t="str">
        <x:v>EEZ_706</x:v>
      </x:c>
      <x:c r="B48" s="24" t="str">
        <x:v>Somalia</x:v>
      </x:c>
      <x:c r="C48" s="24" t="str">
        <x:v>EEZ</x:v>
      </x:c>
      <x:c r="D48" s="30" t="n">
        <x:v>2019</x:v>
      </x:c>
      <x:c r="E48" s="24" t="str">
        <x:v>Etelis</x:v>
      </x:c>
      <x:c r="F48" s="24" t="str">
        <x:v>Snappers</x:v>
      </x:c>
      <x:c r="G48" s="24" t="str">
        <x:v>Medium bathydemersals (30 - 89 cm)</x:v>
      </x:c>
      <x:c r="H48" s="24" t="str">
        <x:v>Perch-likes</x:v>
      </x:c>
      <x:c r="I48" s="31" t="n">
        <x:v>435.15172605500004</x:v>
      </x:c>
      <x:c r="J48" s="31" t="n">
        <x:v>435.15172605500004</x:v>
      </x:c>
      <x:c r="K48" s="31" t="n">
        <x:v>0</x:v>
      </x:c>
      <x:c r="L48" s="31" t="n">
        <x:v>329.67211807</x:v>
      </x:c>
      <x:c r="M48" s="31" t="n">
        <x:v>105.479607985</x:v>
      </x:c>
      <x:c r="N48" s="24" t="str">
        <x:v>etelis</x:v>
      </x:c>
      <x:c r="O48" s="32" t="n">
        <x:v>4.36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Etelis</x:v>
      </x:c>
      <x:c r="T48" s="32" t="n">
        <x:f>IF(O48="","",(1/'Metadata'!$B$5)^(O48-1))</x:f>
        <x:v>2290.867652767775</x:v>
      </x:c>
      <x:c r="U48" s="31" t="n">
        <x:f>IF(T48="","",I48*T48)</x:f>
        <x:v>996875.0132654638</x:v>
      </x:c>
    </x:row>
    <x:row r="49" ht="18" customHeight="1">
      <x:c r="A49" s="24" t="str">
        <x:v>EEZ_706</x:v>
      </x:c>
      <x:c r="B49" s="24" t="str">
        <x:v>Somalia</x:v>
      </x:c>
      <x:c r="C49" s="24" t="str">
        <x:v>EEZ</x:v>
      </x:c>
      <x:c r="D49" s="30" t="n">
        <x:v>2019</x:v>
      </x:c>
      <x:c r="E49" s="24" t="str">
        <x:v>Clupeidae</x:v>
      </x:c>
      <x:c r="F49" s="24" t="str">
        <x:v>Herrings, sardines, menhadens</x:v>
      </x:c>
      <x:c r="G49" s="24" t="str">
        <x:v>Small pelagics (&lt;30 cm)</x:v>
      </x:c>
      <x:c r="H49" s="24" t="str">
        <x:v>Herring-likes</x:v>
      </x:c>
      <x:c r="I49" s="31" t="n">
        <x:v>399.433597845</x:v>
      </x:c>
      <x:c r="J49" s="31" t="n">
        <x:v>399.433597845</x:v>
      </x:c>
      <x:c r="K49" s="31" t="n">
        <x:v>0</x:v>
      </x:c>
      <x:c r="L49" s="31" t="n">
        <x:v>164.83605905</x:v>
      </x:c>
      <x:c r="M49" s="31" t="n">
        <x:v>234.59753879500002</x:v>
      </x:c>
      <x:c r="N49" s="24" t="str">
        <x:v>clupeidae</x:v>
      </x:c>
      <x:c r="O49" s="32" t="n">
        <x:v>3.16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Clupeidae</x:v>
      </x:c>
      <x:c r="T49" s="32" t="n">
        <x:f>IF(O49="","",(1/'Metadata'!$B$5)^(O49-1))</x:f>
        <x:v>144.5439770745928</x:v>
      </x:c>
      <x:c r="U49" s="31" t="n">
        <x:f>IF(T49="","",I49*T49)</x:f>
        <x:v>57735.7208097298</x:v>
      </x:c>
    </x:row>
    <x:row r="50" ht="18" customHeight="1">
      <x:c r="A50" s="24" t="str">
        <x:v>EEZ_706</x:v>
      </x:c>
      <x:c r="B50" s="24" t="str">
        <x:v>Somalia</x:v>
      </x:c>
      <x:c r="C50" s="24" t="str">
        <x:v>EEZ</x:v>
      </x:c>
      <x:c r="D50" s="30" t="n">
        <x:v>2019</x:v>
      </x:c>
      <x:c r="E50" s="24" t="str">
        <x:v>Sciaenidae</x:v>
      </x:c>
      <x:c r="F50" s="24" t="str">
        <x:v>Drums, croakers</x:v>
      </x:c>
      <x:c r="G50" s="24" t="str">
        <x:v>Medium demersals (30 - 89 cm)</x:v>
      </x:c>
      <x:c r="H50" s="24" t="str">
        <x:v>Perch-likes</x:v>
      </x:c>
      <x:c r="I50" s="31" t="n">
        <x:v>397.4408591348</x:v>
      </x:c>
      <x:c r="J50" s="31" t="n">
        <x:v>363.4744275264</x:v>
      </x:c>
      <x:c r="K50" s="31" t="n">
        <x:v>33.9664316084</x:v>
      </x:c>
      <x:c r="L50" s="31" t="n">
        <x:v>8.6800259155</x:v>
      </x:c>
      <x:c r="M50" s="31" t="n">
        <x:v>388.7608332193</x:v>
      </x:c>
      <x:c r="N50" s="24" t="str">
        <x:v>sciaenidae</x:v>
      </x:c>
      <x:c r="O50" s="32" t="n">
        <x:v>3.76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Sciaenidae</x:v>
      </x:c>
      <x:c r="T50" s="32" t="n">
        <x:f>IF(O50="","",(1/'Metadata'!$B$5)^(O50-1))</x:f>
        <x:v>575.4399373371566</x:v>
      </x:c>
      <x:c r="U50" s="31" t="n">
        <x:f>IF(T50="","",I50*T50)</x:f>
        <x:v>228703.343075755</x:v>
      </x:c>
    </x:row>
    <x:row r="51" ht="18" customHeight="1">
      <x:c r="A51" s="24" t="str">
        <x:v>EEZ_706</x:v>
      </x:c>
      <x:c r="B51" s="24" t="str">
        <x:v>Somalia</x:v>
      </x:c>
      <x:c r="C51" s="24" t="str">
        <x:v>EEZ</x:v>
      </x:c>
      <x:c r="D51" s="30" t="n">
        <x:v>2019</x:v>
      </x:c>
      <x:c r="E51" s="24" t="str">
        <x:v>Scolopsis</x:v>
      </x:c>
      <x:c r="F51" s="24" t="str">
        <x:v>Monocle breams</x:v>
      </x:c>
      <x:c r="G51" s="24" t="str">
        <x:v>Small reef assoc. fish (&lt;30 cm)</x:v>
      </x:c>
      <x:c r="H51" s="24" t="str">
        <x:v>Perch-likes</x:v>
      </x:c>
      <x:c r="I51" s="31" t="n">
        <x:v>270.3715947382</x:v>
      </x:c>
      <x:c r="J51" s="31" t="n">
        <x:v>270.3715947382</x:v>
      </x:c>
      <x:c r="K51" s="31" t="n">
        <x:v>0</x:v>
      </x:c>
      <x:c r="L51" s="31" t="n">
        <x:v>0</x:v>
      </x:c>
      <x:c r="M51" s="31" t="n">
        <x:v>270.3715947382</x:v>
      </x:c>
      <x:c r="N51" s="24" t="str">
        <x:v>scolopsis</x:v>
      </x:c>
      <x:c r="O51" s="32" t="n">
        <x:v>3.3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Scolopsis</x:v>
      </x:c>
      <x:c r="T51" s="32" t="n">
        <x:f>IF(O51="","",(1/'Metadata'!$B$5)^(O51-1))</x:f>
        <x:v>199.52623149688787</x:v>
      </x:c>
      <x:c r="U51" s="31" t="n">
        <x:f>IF(T51="","",I51*T51)</x:f>
        <x:v>53946.22540191684</x:v>
      </x:c>
    </x:row>
    <x:row r="52" ht="18" customHeight="1">
      <x:c r="A52" s="24" t="str">
        <x:v>EEZ_706</x:v>
      </x:c>
      <x:c r="B52" s="24" t="str">
        <x:v>Somalia</x:v>
      </x:c>
      <x:c r="C52" s="24" t="str">
        <x:v>EEZ</x:v>
      </x:c>
      <x:c r="D52" s="30" t="n">
        <x:v>2019</x:v>
      </x:c>
      <x:c r="E52" s="24" t="str">
        <x:v>Sparidae</x:v>
      </x:c>
      <x:c r="F52" s="24" t="str">
        <x:v>Porgies, seabreams</x:v>
      </x:c>
      <x:c r="G52" s="24" t="str">
        <x:v>Medium benthopelagics (30 - 89 cm)</x:v>
      </x:c>
      <x:c r="H52" s="24" t="str">
        <x:v>Perch-likes</x:v>
      </x:c>
      <x:c r="I52" s="31" t="n">
        <x:v>259.9027586</x:v>
      </x:c>
      <x:c r="J52" s="31" t="n">
        <x:v>259.9027586</x:v>
      </x:c>
      <x:c r="K52" s="31" t="n">
        <x:v>0</x:v>
      </x:c>
      <x:c r="L52" s="31" t="n">
        <x:v>0</x:v>
      </x:c>
      <x:c r="M52" s="31" t="n">
        <x:v>259.9027586</x:v>
      </x:c>
      <x:c r="N52" s="24" t="str">
        <x:v>sparidae</x:v>
      </x:c>
      <x:c r="O52" s="32" t="n">
        <x:v>3.31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Sparidae</x:v>
      </x:c>
      <x:c r="T52" s="32" t="n">
        <x:f>IF(O52="","",(1/'Metadata'!$B$5)^(O52-1))</x:f>
        <x:v>204.17379446695296</x:v>
      </x:c>
      <x:c r="U52" s="31" t="n">
        <x:f>IF(T52="","",I52*T52)</x:f>
        <x:v>53065.33241579049</x:v>
      </x:c>
    </x:row>
    <x:row r="53" ht="18" customHeight="1">
      <x:c r="A53" s="24" t="str">
        <x:v>EEZ_706</x:v>
      </x:c>
      <x:c r="B53" s="24" t="str">
        <x:v>Somalia</x:v>
      </x:c>
      <x:c r="C53" s="24" t="str">
        <x:v>EEZ</x:v>
      </x:c>
      <x:c r="D53" s="30" t="n">
        <x:v>2019</x:v>
      </x:c>
      <x:c r="E53" s="24" t="str">
        <x:v>Sepioteuthis lessoniana</x:v>
      </x:c>
      <x:c r="F53" s="24" t="str">
        <x:v>Bigfin reef squid</x:v>
      </x:c>
      <x:c r="G53" s="24" t="str">
        <x:v>Cephalopods</x:v>
      </x:c>
      <x:c r="H53" s="24" t="str">
        <x:v>Other fishes &amp; inverts</x:v>
      </x:c>
      <x:c r="I53" s="31" t="n">
        <x:v>203.19337641360002</x:v>
      </x:c>
      <x:c r="J53" s="31" t="n">
        <x:v>203.19337641360002</x:v>
      </x:c>
      <x:c r="K53" s="31" t="n">
        <x:v>0</x:v>
      </x:c>
      <x:c r="L53" s="31" t="n">
        <x:v>0</x:v>
      </x:c>
      <x:c r="M53" s="31" t="n">
        <x:v>203.19337641360002</x:v>
      </x:c>
      <x:c r="N53" s="24" t="str">
        <x:v>sepioteuthis lessoniana</x:v>
      </x:c>
      <x:c r="O53" s="32" t="n">
        <x:v>3.98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Sepioteuthis lessoniana</x:v>
      </x:c>
      <x:c r="T53" s="32" t="n">
        <x:f>IF(O53="","",(1/'Metadata'!$B$5)^(O53-1))</x:f>
        <x:v>954.992586021436</x:v>
      </x:c>
      <x:c r="U53" s="31" t="n">
        <x:f>IF(T53="","",I53*T53)</x:f>
        <x:v>194048.16800365094</x:v>
      </x:c>
    </x:row>
    <x:row r="54" ht="18" customHeight="1">
      <x:c r="A54" s="24" t="str">
        <x:v>EEZ_706</x:v>
      </x:c>
      <x:c r="B54" s="24" t="str">
        <x:v>Somalia</x:v>
      </x:c>
      <x:c r="C54" s="24" t="str">
        <x:v>EEZ</x:v>
      </x:c>
      <x:c r="D54" s="30" t="n">
        <x:v>2019</x:v>
      </x:c>
      <x:c r="E54" s="24" t="str">
        <x:v>Synodontidae</x:v>
      </x:c>
      <x:c r="F54" s="24" t="str">
        <x:v>Lizardfishes, sauries</x:v>
      </x:c>
      <x:c r="G54" s="24" t="str">
        <x:v>Medium demersals (30 - 89 cm)</x:v>
      </x:c>
      <x:c r="H54" s="24" t="str">
        <x:v>Other fishes &amp; inverts</x:v>
      </x:c>
      <x:c r="I54" s="31" t="n">
        <x:v>186.1879172166</x:v>
      </x:c>
      <x:c r="J54" s="31" t="n">
        <x:v>131.7648663489</x:v>
      </x:c>
      <x:c r="K54" s="31" t="n">
        <x:v>54.4230508677</x:v>
      </x:c>
      <x:c r="L54" s="31" t="n">
        <x:v>0</x:v>
      </x:c>
      <x:c r="M54" s="31" t="n">
        <x:v>186.1879172166</x:v>
      </x:c>
      <x:c r="N54" s="24" t="str">
        <x:v>synodontidae</x:v>
      </x:c>
      <x:c r="O54" s="32" t="n">
        <x:v>4.3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Synodontidae</x:v>
      </x:c>
      <x:c r="T54" s="32" t="n">
        <x:f>IF(O54="","",(1/'Metadata'!$B$5)^(O54-1))</x:f>
        <x:v>1995.2623149688789</x:v>
      </x:c>
      <x:c r="U54" s="31" t="n">
        <x:f>IF(T54="","",I54*T54)</x:f>
        <x:v>371493.7347248273</x:v>
      </x:c>
    </x:row>
    <x:row r="55" ht="18" customHeight="1">
      <x:c r="A55" s="24" t="str">
        <x:v>EEZ_706</x:v>
      </x:c>
      <x:c r="B55" s="24" t="str">
        <x:v>Somalia</x:v>
      </x:c>
      <x:c r="C55" s="24" t="str">
        <x:v>EEZ</x:v>
      </x:c>
      <x:c r="D55" s="30" t="n">
        <x:v>2019</x:v>
      </x:c>
      <x:c r="E55" s="24" t="str">
        <x:v>Chirocentrus dorab</x:v>
      </x:c>
      <x:c r="F55" s="24" t="str">
        <x:v>Dorab wolf-herring</x:v>
      </x:c>
      <x:c r="G55" s="24" t="str">
        <x:v>Large benthopelagics (&gt;=90 cm)</x:v>
      </x:c>
      <x:c r="H55" s="24" t="str">
        <x:v>Herring-likes</x:v>
      </x:c>
      <x:c r="I55" s="31" t="n">
        <x:v>183.012265559</x:v>
      </x:c>
      <x:c r="J55" s="31" t="n">
        <x:v>183.012265559</x:v>
      </x:c>
      <x:c r="K55" s="31" t="n">
        <x:v>0</x:v>
      </x:c>
      <x:c r="L55" s="31" t="n">
        <x:v>0</x:v>
      </x:c>
      <x:c r="M55" s="31" t="n">
        <x:v>183.012265559</x:v>
      </x:c>
      <x:c r="N55" s="24" t="str">
        <x:v>chirocentrus dorab</x:v>
      </x:c>
      <x:c r="O55" s="32" t="n">
        <x:v>4.2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Chirocentrus dorab</x:v>
      </x:c>
      <x:c r="T55" s="32" t="n">
        <x:f>IF(O55="","",(1/'Metadata'!$B$5)^(O55-1))</x:f>
        <x:v>1584.893192461114</x:v>
      </x:c>
      <x:c r="U55" s="31" t="n">
        <x:f>IF(T55="","",I55*T55)</x:f>
        <x:v>290054.8938213447</x:v>
      </x:c>
    </x:row>
    <x:row r="56" ht="18" customHeight="1">
      <x:c r="A56" s="24" t="str">
        <x:v>EEZ_706</x:v>
      </x:c>
      <x:c r="B56" s="24" t="str">
        <x:v>Somalia</x:v>
      </x:c>
      <x:c r="C56" s="24" t="str">
        <x:v>EEZ</x:v>
      </x:c>
      <x:c r="D56" s="30" t="n">
        <x:v>2019</x:v>
      </x:c>
      <x:c r="E56" s="24" t="str">
        <x:v>Auxis</x:v>
      </x:c>
      <x:c r="F56" s="24" t="str">
        <x:v>Bullet and frigate tunas</x:v>
      </x:c>
      <x:c r="G56" s="24" t="str">
        <x:v>Medium pelagics (30 - 89 cm)</x:v>
      </x:c>
      <x:c r="H56" s="24" t="str">
        <x:v>Tuna &amp; billfishes</x:v>
      </x:c>
      <x:c r="I56" s="31" t="n">
        <x:v>166.5632779446</x:v>
      </x:c>
      <x:c r="J56" s="31" t="n">
        <x:v>166.5632779446</x:v>
      </x:c>
      <x:c r="K56" s="31" t="n">
        <x:v>0</x:v>
      </x:c>
      <x:c r="L56" s="31" t="n">
        <x:v>0</x:v>
      </x:c>
      <x:c r="M56" s="31" t="n">
        <x:v>166.5632779446</x:v>
      </x:c>
      <x:c r="N56" s="24" t="str">
        <x:v>auxis</x:v>
      </x:c>
      <x:c r="O56" s="32" t="n">
        <x:v>4.24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Auxis</x:v>
      </x:c>
      <x:c r="T56" s="32" t="n">
        <x:f>IF(O56="","",(1/'Metadata'!$B$5)^(O56-1))</x:f>
        <x:v>1737.8008287493763</x:v>
      </x:c>
      <x:c r="U56" s="31" t="n">
        <x:f>IF(T56="","",I56*T56)</x:f>
        <x:v>289453.80245133856</x:v>
      </x:c>
    </x:row>
    <x:row r="57" ht="18" customHeight="1">
      <x:c r="A57" s="24" t="str">
        <x:v>EEZ_706</x:v>
      </x:c>
      <x:c r="B57" s="24" t="str">
        <x:v>Somalia</x:v>
      </x:c>
      <x:c r="C57" s="24" t="str">
        <x:v>EEZ</x:v>
      </x:c>
      <x:c r="D57" s="30" t="n">
        <x:v>2019</x:v>
      </x:c>
      <x:c r="E57" s="24" t="str">
        <x:v>Scomberomorus</x:v>
      </x:c>
      <x:c r="F57" s="24" t="str">
        <x:v>Spanish mackerels</x:v>
      </x:c>
      <x:c r="G57" s="24" t="str">
        <x:v>Large pelagics (&gt;=90 cm)</x:v>
      </x:c>
      <x:c r="H57" s="24" t="str">
        <x:v>Perch-likes</x:v>
      </x:c>
      <x:c r="I57" s="31" t="n">
        <x:v>155.39234398020002</x:v>
      </x:c>
      <x:c r="J57" s="31" t="n">
        <x:v>155.39234398020002</x:v>
      </x:c>
      <x:c r="K57" s="31" t="n">
        <x:v>0</x:v>
      </x:c>
      <x:c r="L57" s="31" t="n">
        <x:v>2.5688548574</x:v>
      </x:c>
      <x:c r="M57" s="31" t="n">
        <x:v>152.82348912280003</x:v>
      </x:c>
      <x:c r="N57" s="24" t="str">
        <x:v>scomberomorus</x:v>
      </x:c>
      <x:c r="O57" s="32" t="n">
        <x:v>4.35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Scomberomorus</x:v>
      </x:c>
      <x:c r="T57" s="32" t="n">
        <x:f>IF(O57="","",(1/'Metadata'!$B$5)^(O57-1))</x:f>
        <x:v>2238.7211385683377</x:v>
      </x:c>
      <x:c r="U57" s="31" t="n">
        <x:f>IF(T57="","",I57*T57)</x:f>
        <x:v>347880.1252401562</x:v>
      </x:c>
    </x:row>
    <x:row r="58" ht="18" customHeight="1">
      <x:c r="A58" s="24" t="str">
        <x:v>EEZ_706</x:v>
      </x:c>
      <x:c r="B58" s="24" t="str">
        <x:v>Somalia</x:v>
      </x:c>
      <x:c r="C58" s="24" t="str">
        <x:v>EEZ</x:v>
      </x:c>
      <x:c r="D58" s="30" t="n">
        <x:v>2019</x:v>
      </x:c>
      <x:c r="E58" s="24" t="str">
        <x:v>Saurida</x:v>
      </x:c>
      <x:c r="F58" s="24" t="str">
        <x:v>Lizardfishes</x:v>
      </x:c>
      <x:c r="G58" s="24" t="str">
        <x:v>Medium demersals (30 - 89 cm)</x:v>
      </x:c>
      <x:c r="H58" s="24" t="str">
        <x:v>Other fishes &amp; inverts</x:v>
      </x:c>
      <x:c r="I58" s="31" t="n">
        <x:v>149.7156652581</x:v>
      </x:c>
      <x:c r="J58" s="31" t="n">
        <x:v>149.7156652581</x:v>
      </x:c>
      <x:c r="K58" s="31" t="n">
        <x:v>0</x:v>
      </x:c>
      <x:c r="L58" s="31" t="n">
        <x:v>0</x:v>
      </x:c>
      <x:c r="M58" s="31" t="n">
        <x:v>149.7156652581</x:v>
      </x:c>
      <x:c r="N58" s="24" t="str">
        <x:v>saurida</x:v>
      </x:c>
      <x:c r="O58" s="32" t="n">
        <x:v>4.35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Saurida</x:v>
      </x:c>
      <x:c r="T58" s="32" t="n">
        <x:f>IF(O58="","",(1/'Metadata'!$B$5)^(O58-1))</x:f>
        <x:v>2238.7211385683377</x:v>
      </x:c>
      <x:c r="U58" s="31" t="n">
        <x:f>IF(T58="","",I58*T58)</x:f>
        <x:v>335171.62458812975</x:v>
      </x:c>
    </x:row>
    <x:row r="59" ht="18" customHeight="1">
      <x:c r="A59" s="24" t="str">
        <x:v>EEZ_706</x:v>
      </x:c>
      <x:c r="B59" s="24" t="str">
        <x:v>Somalia</x:v>
      </x:c>
      <x:c r="C59" s="24" t="str">
        <x:v>EEZ</x:v>
      </x:c>
      <x:c r="D59" s="30" t="n">
        <x:v>2019</x:v>
      </x:c>
      <x:c r="E59" s="24" t="str">
        <x:v>Platycephalidae</x:v>
      </x:c>
      <x:c r="F59" s="24" t="str">
        <x:v>Flatheads</x:v>
      </x:c>
      <x:c r="G59" s="24" t="str">
        <x:v>Medium demersals (30 - 89 cm)</x:v>
      </x:c>
      <x:c r="H59" s="24" t="str">
        <x:v>Scorpionfishes</x:v>
      </x:c>
      <x:c r="I59" s="31" t="n">
        <x:v>131.4344888025</x:v>
      </x:c>
      <x:c r="J59" s="31" t="n">
        <x:v>93.0159599357</x:v>
      </x:c>
      <x:c r="K59" s="31" t="n">
        <x:v>38.4185288668</x:v>
      </x:c>
      <x:c r="L59" s="31" t="n">
        <x:v>0</x:v>
      </x:c>
      <x:c r="M59" s="31" t="n">
        <x:v>131.4344888025</x:v>
      </x:c>
      <x:c r="N59" s="24" t="str">
        <x:v>platycephalidae</x:v>
      </x:c>
      <x:c r="O59" s="32" t="n">
        <x:v>3.9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Platycephalidae</x:v>
      </x:c>
      <x:c r="T59" s="32" t="n">
        <x:f>IF(O59="","",(1/'Metadata'!$B$5)^(O59-1))</x:f>
        <x:v>794.3282347242813</x:v>
      </x:c>
      <x:c r="U59" s="31" t="n">
        <x:f>IF(T59="","",I59*T59)</x:f>
        <x:v>104402.12547237815</x:v>
      </x:c>
    </x:row>
    <x:row r="60" ht="18" customHeight="1">
      <x:c r="A60" s="24" t="str">
        <x:v>EEZ_706</x:v>
      </x:c>
      <x:c r="B60" s="24" t="str">
        <x:v>Somalia</x:v>
      </x:c>
      <x:c r="C60" s="24" t="str">
        <x:v>EEZ</x:v>
      </x:c>
      <x:c r="D60" s="30" t="n">
        <x:v>2019</x:v>
      </x:c>
      <x:c r="E60" s="24" t="str">
        <x:v>Trichiurus lepturus</x:v>
      </x:c>
      <x:c r="F60" s="24" t="str">
        <x:v>Largehead hairtail</x:v>
      </x:c>
      <x:c r="G60" s="24" t="str">
        <x:v>Large benthopelagics (&gt;=90 cm)</x:v>
      </x:c>
      <x:c r="H60" s="24" t="str">
        <x:v>Perch-likes</x:v>
      </x:c>
      <x:c r="I60" s="31" t="n">
        <x:v>121.28157792980001</x:v>
      </x:c>
      <x:c r="J60" s="31" t="n">
        <x:v>121.28157792980001</x:v>
      </x:c>
      <x:c r="K60" s="31" t="n">
        <x:v>0</x:v>
      </x:c>
      <x:c r="L60" s="31" t="n">
        <x:v>96.5074169486</x:v>
      </x:c>
      <x:c r="M60" s="31" t="n">
        <x:v>24.7741609812</x:v>
      </x:c>
      <x:c r="N60" s="24" t="str">
        <x:v>trichiurus lepturus</x:v>
      </x:c>
      <x:c r="O60" s="32" t="n">
        <x:v>4.42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Trichiurus lepturus</x:v>
      </x:c>
      <x:c r="T60" s="32" t="n">
        <x:f>IF(O60="","",(1/'Metadata'!$B$5)^(O60-1))</x:f>
        <x:v>2630.2679918953813</x:v>
      </x:c>
      <x:c r="U60" s="31" t="n">
        <x:f>IF(T60="","",I60*T60)</x:f>
        <x:v>319003.05243531824</x:v>
      </x:c>
    </x:row>
    <x:row r="61" ht="18" customHeight="1">
      <x:c r="A61" s="24" t="str">
        <x:v>EEZ_706</x:v>
      </x:c>
      <x:c r="B61" s="24" t="str">
        <x:v>Somalia</x:v>
      </x:c>
      <x:c r="C61" s="24" t="str">
        <x:v>EEZ</x:v>
      </x:c>
      <x:c r="D61" s="30" t="n">
        <x:v>2019</x:v>
      </x:c>
      <x:c r="E61" s="24" t="str">
        <x:v>Sepia</x:v>
      </x:c>
      <x:c r="F61" s="24" t="str">
        <x:v>Sepia cuttlefishes</x:v>
      </x:c>
      <x:c r="G61" s="24" t="str">
        <x:v>Cephalopods</x:v>
      </x:c>
      <x:c r="H61" s="24" t="str">
        <x:v>Other fishes &amp; inverts</x:v>
      </x:c>
      <x:c r="I61" s="31" t="n">
        <x:v>116.9115518474</x:v>
      </x:c>
      <x:c r="J61" s="31" t="n">
        <x:v>116.9115518474</x:v>
      </x:c>
      <x:c r="K61" s="31" t="n">
        <x:v>0</x:v>
      </x:c>
      <x:c r="L61" s="31" t="n">
        <x:v>116.9115518474</x:v>
      </x:c>
      <x:c r="M61" s="31" t="n">
        <x:v>0</x:v>
      </x:c>
      <x:c r="N61" s="24" t="str">
        <x:v>sepia</x:v>
      </x:c>
      <x:c r="O61" s="32" t="n">
        <x:v>3.69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Sepia</x:v>
      </x:c>
      <x:c r="T61" s="32" t="n">
        <x:f>IF(O61="","",(1/'Metadata'!$B$5)^(O61-1))</x:f>
        <x:v>489.77881936844614</x:v>
      </x:c>
      <x:c r="U61" s="31" t="n">
        <x:f>IF(T61="","",I61*T61)</x:f>
        <x:v>57260.80183435245</x:v>
      </x:c>
    </x:row>
    <x:row r="62" ht="18" customHeight="1">
      <x:c r="A62" s="24" t="str">
        <x:v>EEZ_706</x:v>
      </x:c>
      <x:c r="B62" s="24" t="str">
        <x:v>Somalia</x:v>
      </x:c>
      <x:c r="C62" s="24" t="str">
        <x:v>EEZ</x:v>
      </x:c>
      <x:c r="D62" s="30" t="n">
        <x:v>2019</x:v>
      </x:c>
      <x:c r="E62" s="24" t="str">
        <x:v>Polynemidae</x:v>
      </x:c>
      <x:c r="F62" s="24" t="str">
        <x:v>Threadfins</x:v>
      </x:c>
      <x:c r="G62" s="24" t="str">
        <x:v>Small demersals (&lt;30 cm)</x:v>
      </x:c>
      <x:c r="H62" s="24" t="str">
        <x:v>Perch-likes</x:v>
      </x:c>
      <x:c r="I62" s="31" t="n">
        <x:v>67.4546718978</x:v>
      </x:c>
      <x:c r="J62" s="31" t="n">
        <x:v>67.4546718978</x:v>
      </x:c>
      <x:c r="K62" s="31" t="n">
        <x:v>0</x:v>
      </x:c>
      <x:c r="L62" s="31" t="n">
        <x:v>0</x:v>
      </x:c>
      <x:c r="M62" s="31" t="n">
        <x:v>67.4546718978</x:v>
      </x:c>
      <x:c r="N62" s="24" t="str">
        <x:v>polynemidae</x:v>
      </x:c>
      <x:c r="O62" s="32" t="n">
        <x:v>3.62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Polynemidae</x:v>
      </x:c>
      <x:c r="T62" s="32" t="n">
        <x:f>IF(O62="","",(1/'Metadata'!$B$5)^(O62-1))</x:f>
        <x:v>416.8693834703355</x:v>
      </x:c>
      <x:c r="U62" s="31" t="n">
        <x:f>IF(T62="","",I62*T62)</x:f>
        <x:v>28119.78748622965</x:v>
      </x:c>
    </x:row>
    <x:row r="63" ht="18" customHeight="1">
      <x:c r="A63" s="24" t="str">
        <x:v>EEZ_706</x:v>
      </x:c>
      <x:c r="B63" s="24" t="str">
        <x:v>Somalia</x:v>
      </x:c>
      <x:c r="C63" s="24" t="str">
        <x:v>EEZ</x:v>
      </x:c>
      <x:c r="D63" s="30" t="n">
        <x:v>2019</x:v>
      </x:c>
      <x:c r="E63" s="24" t="str">
        <x:v>Miscellaneous marine crustaceans</x:v>
      </x:c>
      <x:c r="F63" s="24" t="str">
        <x:v>Marine crabs, shrimps, lobsters nei</x:v>
      </x:c>
      <x:c r="G63" s="24" t="str">
        <x:v>Shrimps</x:v>
      </x:c>
      <x:c r="H63" s="24" t="str">
        <x:v>Crustaceans</x:v>
      </x:c>
      <x:c r="I63" s="31" t="n">
        <x:v>67.206753151</x:v>
      </x:c>
      <x:c r="J63" s="31" t="n">
        <x:v>67.206753151</x:v>
      </x:c>
      <x:c r="K63" s="31" t="n">
        <x:v>0</x:v>
      </x:c>
      <x:c r="L63" s="31" t="n">
        <x:v>0</x:v>
      </x:c>
      <x:c r="M63" s="31" t="n">
        <x:v>67.206753151</x:v>
      </x:c>
      <x:c r="N63" s="24" t="str">
        <x:v>miscellaneous marine crustaceans</x:v>
      </x:c>
      <x:c r="O63" s="32" t="n">
        <x:v>2.7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Miscellaneous marine crustaceans</x:v>
      </x:c>
      <x:c r="T63" s="32" t="n">
        <x:f>IF(O63="","",(1/'Metadata'!$B$5)^(O63-1))</x:f>
        <x:v>50.11872336272725</x:v>
      </x:c>
      <x:c r="U63" s="31" t="n">
        <x:f>IF(T63="","",I63*T63)</x:f>
        <x:v>3368.3166692820673</x:v>
      </x:c>
    </x:row>
    <x:row r="64" ht="18" customHeight="1">
      <x:c r="A64" s="24" t="str">
        <x:v>EEZ_706</x:v>
      </x:c>
      <x:c r="B64" s="24" t="str">
        <x:v>Somalia</x:v>
      </x:c>
      <x:c r="C64" s="24" t="str">
        <x:v>EEZ</x:v>
      </x:c>
      <x:c r="D64" s="30" t="n">
        <x:v>2019</x:v>
      </x:c>
      <x:c r="E64" s="24" t="str">
        <x:v>Cnidaria</x:v>
      </x:c>
      <x:c r="F64" s="24" t="str">
        <x:v>Cnidarians, coelenterates</x:v>
      </x:c>
      <x:c r="G64" s="24" t="str">
        <x:v>Jellyfish</x:v>
      </x:c>
      <x:c r="H64" s="24" t="str">
        <x:v>Other fishes &amp; inverts</x:v>
      </x:c>
      <x:c r="I64" s="31" t="n">
        <x:v>60.448959875599996</x:v>
      </x:c>
      <x:c r="J64" s="31" t="n">
        <x:v>60.448959875599996</x:v>
      </x:c>
      <x:c r="K64" s="31" t="n">
        <x:v>0</x:v>
      </x:c>
      <x:c r="L64" s="31" t="n">
        <x:v>60.448959875599996</x:v>
      </x:c>
      <x:c r="M64" s="31" t="n">
        <x:v>0</x:v>
      </x:c>
      <x:c r="N64" s="24" t="str">
        <x:v>cnidaria</x:v>
      </x:c>
      <x:c r="O64" s="32" t="n">
        <x:v>2.5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Cnidaria</x:v>
      </x:c>
      <x:c r="T64" s="32" t="n">
        <x:f>IF(O64="","",(1/'Metadata'!$B$5)^(O64-1))</x:f>
        <x:v>31.622776601683793</x:v>
      </x:c>
      <x:c r="U64" s="31" t="n">
        <x:f>IF(T64="","",I64*T64)</x:f>
        <x:v>1911.563953950246</x:v>
      </x:c>
    </x:row>
    <x:row r="65" ht="18" customHeight="1">
      <x:c r="A65" s="24" t="str">
        <x:v>EEZ_706</x:v>
      </x:c>
      <x:c r="B65" s="24" t="str">
        <x:v>Somalia</x:v>
      </x:c>
      <x:c r="C65" s="24" t="str">
        <x:v>EEZ</x:v>
      </x:c>
      <x:c r="D65" s="30" t="n">
        <x:v>2019</x:v>
      </x:c>
      <x:c r="E65" s="24" t="str">
        <x:v>Miscellaneous aquatic invertebrates</x:v>
      </x:c>
      <x:c r="F65" s="24" t="str">
        <x:v>Aquatic invertebrates</x:v>
      </x:c>
      <x:c r="G65" s="24" t="str">
        <x:v>Other demersal invertebrates</x:v>
      </x:c>
      <x:c r="H65" s="24" t="str">
        <x:v>Other fishes &amp; inverts</x:v>
      </x:c>
      <x:c r="I65" s="31" t="n">
        <x:v>51.5585914301</x:v>
      </x:c>
      <x:c r="J65" s="31" t="n">
        <x:v>51.5585914301</x:v>
      </x:c>
      <x:c r="K65" s="31" t="n">
        <x:v>0</x:v>
      </x:c>
      <x:c r="L65" s="31" t="n">
        <x:v>0</x:v>
      </x:c>
      <x:c r="M65" s="31" t="n">
        <x:v>51.5585914301</x:v>
      </x:c>
      <x:c r="N65" s="24" t="str">
        <x:v>miscellaneous aquatic invertebrates</x:v>
      </x:c>
      <x:c r="O65" s="32" t="n">
        <x:v>2.43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Miscellaneous aquatic invertebrates</x:v>
      </x:c>
      <x:c r="T65" s="32" t="n">
        <x:f>IF(O65="","",(1/'Metadata'!$B$5)^(O65-1))</x:f>
        <x:v>26.915348039269166</x:v>
      </x:c>
      <x:c r="U65" s="31" t="n">
        <x:f>IF(T65="","",I65*T65)</x:f>
        <x:v>1387.717432755622</x:v>
      </x:c>
    </x:row>
    <x:row r="66" ht="18" customHeight="1">
      <x:c r="A66" s="24" t="str">
        <x:v>EEZ_706</x:v>
      </x:c>
      <x:c r="B66" s="24" t="str">
        <x:v>Somalia</x:v>
      </x:c>
      <x:c r="C66" s="24" t="str">
        <x:v>EEZ</x:v>
      </x:c>
      <x:c r="D66" s="30" t="n">
        <x:v>2019</x:v>
      </x:c>
      <x:c r="E66" s="24" t="str">
        <x:v>Parastromateus niger</x:v>
      </x:c>
      <x:c r="F66" s="24" t="str">
        <x:v>Black pomfret</x:v>
      </x:c>
      <x:c r="G66" s="24" t="str">
        <x:v>Medium benthopelagics (30 - 89 cm)</x:v>
      </x:c>
      <x:c r="H66" s="24" t="str">
        <x:v>Perch-likes</x:v>
      </x:c>
      <x:c r="I66" s="31" t="n">
        <x:v>49.7616432033</x:v>
      </x:c>
      <x:c r="J66" s="31" t="n">
        <x:v>49.7616432033</x:v>
      </x:c>
      <x:c r="K66" s="31" t="n">
        <x:v>0</x:v>
      </x:c>
      <x:c r="L66" s="31" t="n">
        <x:v>0</x:v>
      </x:c>
      <x:c r="M66" s="31" t="n">
        <x:v>49.7616432033</x:v>
      </x:c>
      <x:c r="N66" s="24" t="str">
        <x:v>parastromateus niger</x:v>
      </x:c>
      <x:c r="O66" s="32" t="n">
        <x:v>2.93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Parastromateus niger</x:v>
      </x:c>
      <x:c r="T66" s="32" t="n">
        <x:f>IF(O66="","",(1/'Metadata'!$B$5)^(O66-1))</x:f>
        <x:v>85.11380382023768</x:v>
      </x:c>
      <x:c r="U66" s="31" t="n">
        <x:f>IF(T66="","",I66*T66)</x:f>
        <x:v>4235.402737378339</x:v>
      </x:c>
    </x:row>
    <x:row r="67" ht="18" customHeight="1">
      <x:c r="A67" s="24" t="str">
        <x:v>EEZ_706</x:v>
      </x:c>
      <x:c r="B67" s="24" t="str">
        <x:v>Somalia</x:v>
      </x:c>
      <x:c r="C67" s="24" t="str">
        <x:v>EEZ</x:v>
      </x:c>
      <x:c r="D67" s="30" t="n">
        <x:v>2019</x:v>
      </x:c>
      <x:c r="E67" s="24" t="str">
        <x:v>Xiphias gladius</x:v>
      </x:c>
      <x:c r="F67" s="24" t="str">
        <x:v>Swordfish</x:v>
      </x:c>
      <x:c r="G67" s="24" t="str">
        <x:v>Large pelagics (&gt;=90 cm)</x:v>
      </x:c>
      <x:c r="H67" s="24" t="str">
        <x:v>Tuna &amp; billfishes</x:v>
      </x:c>
      <x:c r="I67" s="31" t="n">
        <x:v>47.1449793901</x:v>
      </x:c>
      <x:c r="J67" s="31" t="n">
        <x:v>47.1449793901</x:v>
      </x:c>
      <x:c r="K67" s="31" t="n">
        <x:v>0</x:v>
      </x:c>
      <x:c r="L67" s="31" t="n">
        <x:v>47.1449793901</x:v>
      </x:c>
      <x:c r="M67" s="31" t="n">
        <x:v>0</x:v>
      </x:c>
      <x:c r="N67" s="24" t="str">
        <x:v>xiphias gladius</x:v>
      </x:c>
      <x:c r="O67" s="32" t="n">
        <x:v>4.53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Xiphias gladius</x:v>
      </x:c>
      <x:c r="T67" s="32" t="n">
        <x:f>IF(O67="","",(1/'Metadata'!$B$5)^(O67-1))</x:f>
        <x:v>3388.4415613920273</x:v>
      </x:c>
      <x:c r="U67" s="31" t="n">
        <x:f>IF(T67="","",I67*T67)</x:f>
        <x:v>159748.0075763854</x:v>
      </x:c>
    </x:row>
    <x:row r="68" ht="18" customHeight="1">
      <x:c r="A68" s="24" t="str">
        <x:v>EEZ_706</x:v>
      </x:c>
      <x:c r="B68" s="24" t="str">
        <x:v>Somalia</x:v>
      </x:c>
      <x:c r="C68" s="24" t="str">
        <x:v>EEZ</x:v>
      </x:c>
      <x:c r="D68" s="30" t="n">
        <x:v>2019</x:v>
      </x:c>
      <x:c r="E68" s="24" t="str">
        <x:v>Mugilidae</x:v>
      </x:c>
      <x:c r="F68" s="24" t="str">
        <x:v>Mullets, grey mullets</x:v>
      </x:c>
      <x:c r="G68" s="24" t="str">
        <x:v>Medium reef assoc. fish (30 - 89 cm)</x:v>
      </x:c>
      <x:c r="H68" s="24" t="str">
        <x:v>Perch-likes</x:v>
      </x:c>
      <x:c r="I68" s="31" t="n">
        <x:v>37.5954634419</x:v>
      </x:c>
      <x:c r="J68" s="31" t="n">
        <x:v>36.3536448957</x:v>
      </x:c>
      <x:c r="K68" s="31" t="n">
        <x:v>1.2418185462</x:v>
      </x:c>
      <x:c r="L68" s="31" t="n">
        <x:v>0</x:v>
      </x:c>
      <x:c r="M68" s="31" t="n">
        <x:v>37.5954634419</x:v>
      </x:c>
      <x:c r="N68" s="24" t="str">
        <x:v>mugilidae</x:v>
      </x:c>
      <x:c r="O68" s="32" t="n">
        <x:v>2.53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Mugilidae</x:v>
      </x:c>
      <x:c r="T68" s="32" t="n">
        <x:f>IF(O68="","",(1/'Metadata'!$B$5)^(O68-1))</x:f>
        <x:v>33.88441561392024</x:v>
      </x:c>
      <x:c r="U68" s="31" t="n">
        <x:f>IF(T68="","",I68*T68)</x:f>
        <x:v>1273.9003084632839</x:v>
      </x:c>
    </x:row>
    <x:row r="69" ht="18" customHeight="1">
      <x:c r="A69" s="24" t="str">
        <x:v>EEZ_706</x:v>
      </x:c>
      <x:c r="B69" s="24" t="str">
        <x:v>Somalia</x:v>
      </x:c>
      <x:c r="C69" s="24" t="str">
        <x:v>EEZ</x:v>
      </x:c>
      <x:c r="D69" s="30" t="n">
        <x:v>2019</x:v>
      </x:c>
      <x:c r="E69" s="24" t="str">
        <x:v>Pampus argenteus</x:v>
      </x:c>
      <x:c r="F69" s="24" t="str">
        <x:v>Silver pomfret</x:v>
      </x:c>
      <x:c r="G69" s="24" t="str">
        <x:v>Medium benthopelagics (30 - 89 cm)</x:v>
      </x:c>
      <x:c r="H69" s="24" t="str">
        <x:v>Perch-likes</x:v>
      </x:c>
      <x:c r="I69" s="31" t="n">
        <x:v>25.157275175000002</x:v>
      </x:c>
      <x:c r="J69" s="31" t="n">
        <x:v>25.157275175000002</x:v>
      </x:c>
      <x:c r="K69" s="31" t="n">
        <x:v>0</x:v>
      </x:c>
      <x:c r="L69" s="31" t="n">
        <x:v>0</x:v>
      </x:c>
      <x:c r="M69" s="31" t="n">
        <x:v>25.157275175000002</x:v>
      </x:c>
      <x:c r="N69" s="24" t="str">
        <x:v>pampus argenteus</x:v>
      </x:c>
      <x:c r="O69" s="32" t="n">
        <x:v>3.3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Pampus argenteus</x:v>
      </x:c>
      <x:c r="T69" s="32" t="n">
        <x:f>IF(O69="","",(1/'Metadata'!$B$5)^(O69-1))</x:f>
        <x:v>199.52623149688787</x:v>
      </x:c>
      <x:c r="U69" s="31" t="n">
        <x:f>IF(T69="","",I69*T69)</x:f>
        <x:v>5019.536310397961</x:v>
      </x:c>
    </x:row>
    <x:row r="70" ht="18" customHeight="1">
      <x:c r="A70" s="24" t="str">
        <x:v>EEZ_706</x:v>
      </x:c>
      <x:c r="B70" s="24" t="str">
        <x:v>Somalia</x:v>
      </x:c>
      <x:c r="C70" s="24" t="str">
        <x:v>EEZ</x:v>
      </x:c>
      <x:c r="D70" s="30" t="n">
        <x:v>2019</x:v>
      </x:c>
      <x:c r="E70" s="24" t="str">
        <x:v>Seriolina nigrofasciata</x:v>
      </x:c>
      <x:c r="F70" s="24" t="str">
        <x:v>Blackbanded trevally</x:v>
      </x:c>
      <x:c r="G70" s="24" t="str">
        <x:v>Medium reef assoc. fish (30 - 89 cm)</x:v>
      </x:c>
      <x:c r="H70" s="24" t="str">
        <x:v>Perch-likes</x:v>
      </x:c>
      <x:c r="I70" s="31" t="n">
        <x:v>23.6367805217</x:v>
      </x:c>
      <x:c r="J70" s="31" t="n">
        <x:v>23.6367805217</x:v>
      </x:c>
      <x:c r="K70" s="31" t="n">
        <x:v>0</x:v>
      </x:c>
      <x:c r="L70" s="31" t="n">
        <x:v>0</x:v>
      </x:c>
      <x:c r="M70" s="31" t="n">
        <x:v>23.6367805217</x:v>
      </x:c>
      <x:c r="N70" s="24" t="str">
        <x:v>seriolina nigrofasciata</x:v>
      </x:c>
      <x:c r="O70" s="32" t="n">
        <x:v>4.17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Seriolina nigrofasciata</x:v>
      </x:c>
      <x:c r="T70" s="32" t="n">
        <x:f>IF(O70="","",(1/'Metadata'!$B$5)^(O70-1))</x:f>
        <x:v>1479.1083881682073</x:v>
      </x:c>
      <x:c r="U70" s="31" t="n">
        <x:f>IF(T70="","",I70*T70)</x:f>
        <x:v>34961.36033893737</x:v>
      </x:c>
    </x:row>
    <x:row r="71" ht="18" customHeight="1">
      <x:c r="A71" s="24" t="str">
        <x:v>EEZ_706</x:v>
      </x:c>
      <x:c r="B71" s="24" t="str">
        <x:v>Somalia</x:v>
      </x:c>
      <x:c r="C71" s="24" t="str">
        <x:v>EEZ</x:v>
      </x:c>
      <x:c r="D71" s="30" t="n">
        <x:v>2019</x:v>
      </x:c>
      <x:c r="E71" s="24" t="str">
        <x:v>Penaeus</x:v>
      </x:c>
      <x:c r="F71" s="24" t="str">
        <x:v>Tiger prawns</x:v>
      </x:c>
      <x:c r="G71" s="24" t="str">
        <x:v>Shrimps</x:v>
      </x:c>
      <x:c r="H71" s="24" t="str">
        <x:v>Crustaceans</x:v>
      </x:c>
      <x:c r="I71" s="31" t="n">
        <x:v>22.6441526577</x:v>
      </x:c>
      <x:c r="J71" s="31" t="n">
        <x:v>22.6441526577</x:v>
      </x:c>
      <x:c r="K71" s="31" t="n">
        <x:v>0</x:v>
      </x:c>
      <x:c r="L71" s="31" t="n">
        <x:v>0</x:v>
      </x:c>
      <x:c r="M71" s="31" t="n">
        <x:v>22.6441526577</x:v>
      </x:c>
      <x:c r="N71" s="24" t="str">
        <x:v>penaeus</x:v>
      </x:c>
      <x:c r="O71" s="32" t="n">
        <x:v>2.7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Penaeus</x:v>
      </x:c>
      <x:c r="T71" s="32" t="n">
        <x:f>IF(O71="","",(1/'Metadata'!$B$5)^(O71-1))</x:f>
        <x:v>50.11872336272725</x:v>
      </x:c>
      <x:c r="U71" s="31" t="n">
        <x:f>IF(T71="","",I71*T71)</x:f>
        <x:v>1134.8960228346314</x:v>
      </x:c>
    </x:row>
    <x:row r="72" ht="18" customHeight="1">
      <x:c r="A72" s="24" t="str">
        <x:v>EEZ_706</x:v>
      </x:c>
      <x:c r="B72" s="24" t="str">
        <x:v>Somalia</x:v>
      </x:c>
      <x:c r="C72" s="24" t="str">
        <x:v>EEZ</x:v>
      </x:c>
      <x:c r="D72" s="30" t="n">
        <x:v>2019</x:v>
      </x:c>
      <x:c r="E72" s="24" t="str">
        <x:v>Prionace glauca</x:v>
      </x:c>
      <x:c r="F72" s="24" t="str">
        <x:v>Blue shark</x:v>
      </x:c>
      <x:c r="G72" s="24" t="str">
        <x:v>Large sharks (&gt;=90 cm)</x:v>
      </x:c>
      <x:c r="H72" s="24" t="str">
        <x:v>Sharks &amp; rays</x:v>
      </x:c>
      <x:c r="I72" s="31" t="n">
        <x:v>17.0492172968</x:v>
      </x:c>
      <x:c r="J72" s="31" t="n">
        <x:v>17.0492172968</x:v>
      </x:c>
      <x:c r="K72" s="31" t="n">
        <x:v>0</x:v>
      </x:c>
      <x:c r="L72" s="31" t="n">
        <x:v>17.0492172968</x:v>
      </x:c>
      <x:c r="M72" s="31" t="n">
        <x:v>0</x:v>
      </x:c>
      <x:c r="N72" s="24" t="str">
        <x:v>prionace glauca</x:v>
      </x:c>
      <x:c r="O72" s="32" t="n">
        <x:v>4.35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Prionace glauca</x:v>
      </x:c>
      <x:c r="T72" s="32" t="n">
        <x:f>IF(O72="","",(1/'Metadata'!$B$5)^(O72-1))</x:f>
        <x:v>2238.7211385683377</x:v>
      </x:c>
      <x:c r="U72" s="31" t="n">
        <x:f>IF(T72="","",I72*T72)</x:f>
        <x:v>38168.44315839109</x:v>
      </x:c>
    </x:row>
    <x:row r="73" ht="18" customHeight="1">
      <x:c r="A73" s="24" t="str">
        <x:v>EEZ_706</x:v>
      </x:c>
      <x:c r="B73" s="24" t="str">
        <x:v>Somalia</x:v>
      </x:c>
      <x:c r="C73" s="24" t="str">
        <x:v>EEZ</x:v>
      </x:c>
      <x:c r="D73" s="30" t="n">
        <x:v>2019</x:v>
      </x:c>
      <x:c r="E73" s="24" t="str">
        <x:v>Octopodidae</x:v>
      </x:c>
      <x:c r="F73" s="24" t="str">
        <x:v>Octopuses</x:v>
      </x:c>
      <x:c r="G73" s="24" t="str">
        <x:v>Cephalopods</x:v>
      </x:c>
      <x:c r="H73" s="24" t="str">
        <x:v>Other fishes &amp; inverts</x:v>
      </x:c>
      <x:c r="I73" s="31" t="n">
        <x:v>13.0306391552</x:v>
      </x:c>
      <x:c r="J73" s="31" t="n">
        <x:v>13.0306391552</x:v>
      </x:c>
      <x:c r="K73" s="31" t="n">
        <x:v>0</x:v>
      </x:c>
      <x:c r="L73" s="31" t="n">
        <x:v>0</x:v>
      </x:c>
      <x:c r="M73" s="31" t="n">
        <x:v>13.0306391552</x:v>
      </x:c>
      <x:c r="N73" s="24" t="str">
        <x:v>octopodidae</x:v>
      </x:c>
      <x:c r="O73" s="32" t="n">
        <x:v>3.59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Octopodidae</x:v>
      </x:c>
      <x:c r="T73" s="32" t="n">
        <x:f>IF(O73="","",(1/'Metadata'!$B$5)^(O73-1))</x:f>
        <x:v>389.04514499428046</x:v>
      </x:c>
      <x:c r="U73" s="31" t="n">
        <x:f>IF(T73="","",I73*T73)</x:f>
        <x:v>5069.506899502932</x:v>
      </x:c>
    </x:row>
    <x:row r="74" ht="18" customHeight="1">
      <x:c r="A74" s="24" t="str">
        <x:v>EEZ_706</x:v>
      </x:c>
      <x:c r="B74" s="24" t="str">
        <x:v>Somalia</x:v>
      </x:c>
      <x:c r="C74" s="24" t="str">
        <x:v>EEZ</x:v>
      </x:c>
      <x:c r="D74" s="30" t="n">
        <x:v>2019</x:v>
      </x:c>
      <x:c r="E74" s="24" t="str">
        <x:v>Sphyraenidae</x:v>
      </x:c>
      <x:c r="F74" s="24" t="str">
        <x:v>Barracudas</x:v>
      </x:c>
      <x:c r="G74" s="24" t="str">
        <x:v>Medium reef assoc. fish (30 - 89 cm)</x:v>
      </x:c>
      <x:c r="H74" s="24" t="str">
        <x:v>Perch-likes</x:v>
      </x:c>
      <x:c r="I74" s="31" t="n">
        <x:v>11.55549243</x:v>
      </x:c>
      <x:c r="J74" s="31" t="n">
        <x:v>11.55549243</x:v>
      </x:c>
      <x:c r="K74" s="31" t="n">
        <x:v>0</x:v>
      </x:c>
      <x:c r="L74" s="31" t="n">
        <x:v>0</x:v>
      </x:c>
      <x:c r="M74" s="31" t="n">
        <x:v>11.55549243</x:v>
      </x:c>
      <x:c r="N74" s="24" t="str">
        <x:v>sphyraenidae</x:v>
      </x:c>
      <x:c r="O74" s="32" t="n">
        <x:v>4.4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Sphyraenidae</x:v>
      </x:c>
      <x:c r="T74" s="32" t="n">
        <x:f>IF(O74="","",(1/'Metadata'!$B$5)^(O74-1))</x:f>
        <x:v>2511.886431509582</x:v>
      </x:c>
      <x:c r="U74" s="31" t="n">
        <x:f>IF(T74="","",I74*T74)</x:f>
        <x:v>29026.084644328686</x:v>
      </x:c>
    </x:row>
    <x:row r="75" ht="18" customHeight="1">
      <x:c r="A75" s="24" t="str">
        <x:v>EEZ_706</x:v>
      </x:c>
      <x:c r="B75" s="24" t="str">
        <x:v>Somalia</x:v>
      </x:c>
      <x:c r="C75" s="24" t="str">
        <x:v>EEZ</x:v>
      </x:c>
      <x:c r="D75" s="30" t="n">
        <x:v>2019</x:v>
      </x:c>
      <x:c r="E75" s="24" t="str">
        <x:v>Penaeus semisulcatus</x:v>
      </x:c>
      <x:c r="F75" s="24" t="str">
        <x:v>Green tiger prawn</x:v>
      </x:c>
      <x:c r="G75" s="24" t="str">
        <x:v>Shrimps</x:v>
      </x:c>
      <x:c r="H75" s="24" t="str">
        <x:v>Crustaceans</x:v>
      </x:c>
      <x:c r="I75" s="31" t="n">
        <x:v>11.1056583709</x:v>
      </x:c>
      <x:c r="J75" s="31" t="n">
        <x:v>11.1056583709</x:v>
      </x:c>
      <x:c r="K75" s="31" t="n">
        <x:v>0</x:v>
      </x:c>
      <x:c r="L75" s="31" t="n">
        <x:v>0</x:v>
      </x:c>
      <x:c r="M75" s="31" t="n">
        <x:v>11.1056583709</x:v>
      </x:c>
      <x:c r="N75" s="24" t="str">
        <x:v>penaeus semisulcatus</x:v>
      </x:c>
      <x:c r="O75" s="32" t="n">
        <x:v>2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Penaeus semisulcatus</x:v>
      </x:c>
      <x:c r="T75" s="32" t="n">
        <x:f>IF(O75="","",(1/'Metadata'!$B$5)^(O75-1))</x:f>
        <x:v>10</x:v>
      </x:c>
      <x:c r="U75" s="31" t="n">
        <x:f>IF(T75="","",I75*T75)</x:f>
        <x:v>111.05658370900001</x:v>
      </x:c>
    </x:row>
    <x:row r="76" ht="18" customHeight="1">
      <x:c r="A76" s="24" t="str">
        <x:v>EEZ_706</x:v>
      </x:c>
      <x:c r="B76" s="24" t="str">
        <x:v>Somalia</x:v>
      </x:c>
      <x:c r="C76" s="24" t="str">
        <x:v>EEZ</x:v>
      </x:c>
      <x:c r="D76" s="30" t="n">
        <x:v>2019</x:v>
      </x:c>
      <x:c r="E76" s="24" t="str">
        <x:v>Thunnus obesus</x:v>
      </x:c>
      <x:c r="F76" s="24" t="str">
        <x:v>Bigeye tuna</x:v>
      </x:c>
      <x:c r="G76" s="24" t="str">
        <x:v>Large pelagics (&gt;=90 cm)</x:v>
      </x:c>
      <x:c r="H76" s="24" t="str">
        <x:v>Tuna &amp; billfishes</x:v>
      </x:c>
      <x:c r="I76" s="31" t="n">
        <x:v>8.303341012</x:v>
      </x:c>
      <x:c r="J76" s="31" t="n">
        <x:v>8.303341012</x:v>
      </x:c>
      <x:c r="K76" s="31" t="n">
        <x:v>0</x:v>
      </x:c>
      <x:c r="L76" s="31" t="n">
        <x:v>8.303341012</x:v>
      </x:c>
      <x:c r="M76" s="31" t="n">
        <x:v>0</x:v>
      </x:c>
      <x:c r="N76" s="24" t="str">
        <x:v>thunnus obesus</x:v>
      </x:c>
      <x:c r="O76" s="32" t="n">
        <x:v>4.49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obesus</x:v>
      </x:c>
      <x:c r="T76" s="32" t="n">
        <x:f>IF(O76="","",(1/'Metadata'!$B$5)^(O76-1))</x:f>
        <x:v>3090.295432513592</x:v>
      </x:c>
      <x:c r="U76" s="31" t="n">
        <x:f>IF(T76="","",I76*T76)</x:f>
        <x:v>25659.776803986388</x:v>
      </x:c>
    </x:row>
    <x:row r="77" ht="18" customHeight="1">
      <x:c r="A77" s="24" t="str">
        <x:v>EEZ_706</x:v>
      </x:c>
      <x:c r="B77" s="24" t="str">
        <x:v>Somalia</x:v>
      </x:c>
      <x:c r="C77" s="24" t="str">
        <x:v>EEZ</x:v>
      </x:c>
      <x:c r="D77" s="30" t="n">
        <x:v>2019</x:v>
      </x:c>
      <x:c r="E77" s="24" t="str">
        <x:v>Plotosidae</x:v>
      </x:c>
      <x:c r="F77" s="24" t="str">
        <x:v>Eeltail catfishes</x:v>
      </x:c>
      <x:c r="G77" s="24" t="str">
        <x:v>Medium reef assoc. fish (30 - 89 cm)</x:v>
      </x:c>
      <x:c r="H77" s="24" t="str">
        <x:v>Other fishes &amp; inverts</x:v>
      </x:c>
      <x:c r="I77" s="31" t="n">
        <x:v>8.292224917</x:v>
      </x:c>
      <x:c r="J77" s="31" t="n">
        <x:v>8.292224917</x:v>
      </x:c>
      <x:c r="K77" s="31" t="n">
        <x:v>0</x:v>
      </x:c>
      <x:c r="L77" s="31" t="n">
        <x:v>0</x:v>
      </x:c>
      <x:c r="M77" s="31" t="n">
        <x:v>8.292224917</x:v>
      </x:c>
      <x:c r="N77" s="24" t="str">
        <x:v>plotosidae</x:v>
      </x:c>
      <x:c r="O77" s="32" t="n">
        <x:v>3.49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Plotosidae</x:v>
      </x:c>
      <x:c r="T77" s="32" t="n">
        <x:f>IF(O77="","",(1/'Metadata'!$B$5)^(O77-1))</x:f>
        <x:v>309.0295432513592</x:v>
      </x:c>
      <x:c r="U77" s="31" t="n">
        <x:f>IF(T77="","",I77*T77)</x:f>
        <x:v>2562.54247863805</x:v>
      </x:c>
    </x:row>
    <x:row r="78" ht="18" customHeight="1">
      <x:c r="A78" s="24" t="str">
        <x:v>EEZ_706</x:v>
      </x:c>
      <x:c r="B78" s="24" t="str">
        <x:v>Somalia</x:v>
      </x:c>
      <x:c r="C78" s="24" t="str">
        <x:v>EEZ</x:v>
      </x:c>
      <x:c r="D78" s="30" t="n">
        <x:v>2019</x:v>
      </x:c>
      <x:c r="E78" s="24" t="str">
        <x:v>Scombroidei</x:v>
      </x:c>
      <x:c r="F78" s="24" t="str">
        <x:v>Tunas, bonitos, billfishes</x:v>
      </x:c>
      <x:c r="G78" s="24" t="str">
        <x:v>Large pelagics (&gt;=90 cm)</x:v>
      </x:c>
      <x:c r="H78" s="24" t="str">
        <x:v>Tuna &amp; billfishes</x:v>
      </x:c>
      <x:c r="I78" s="31" t="n">
        <x:v>8.1434990481</x:v>
      </x:c>
      <x:c r="J78" s="31" t="n">
        <x:v>8.1434990481</x:v>
      </x:c>
      <x:c r="K78" s="31" t="n">
        <x:v>0</x:v>
      </x:c>
      <x:c r="L78" s="31" t="n">
        <x:v>8.1434990481</x:v>
      </x:c>
      <x:c r="M78" s="31" t="n">
        <x:v>0</x:v>
      </x:c>
      <x:c r="N78" s="24" t="str">
        <x:v>scombroidei</x:v>
      </x:c>
      <x:c r="O78" s="32" t="n">
        <x:v>4.2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Scombroidei</x:v>
      </x:c>
      <x:c r="T78" s="32" t="n">
        <x:f>IF(O78="","",(1/'Metadata'!$B$5)^(O78-1))</x:f>
        <x:v>1584.893192461114</x:v>
      </x:c>
      <x:c r="U78" s="31" t="n">
        <x:f>IF(T78="","",I78*T78)</x:f>
        <x:v>12906.576204147254</x:v>
      </x:c>
    </x:row>
    <x:row r="79" ht="18" customHeight="1">
      <x:c r="A79" s="24" t="str">
        <x:v>EEZ_706</x:v>
      </x:c>
      <x:c r="B79" s="24" t="str">
        <x:v>Somalia</x:v>
      </x:c>
      <x:c r="C79" s="24" t="str">
        <x:v>EEZ</x:v>
      </x:c>
      <x:c r="D79" s="30" t="n">
        <x:v>2019</x:v>
      </x:c>
      <x:c r="E79" s="24" t="str">
        <x:v>Metapenaeus</x:v>
      </x:c>
      <x:c r="F79" s="24" t="str">
        <x:v>Indo-Pacific prawns</x:v>
      </x:c>
      <x:c r="G79" s="24" t="str">
        <x:v>Shrimps</x:v>
      </x:c>
      <x:c r="H79" s="24" t="str">
        <x:v>Crustaceans</x:v>
      </x:c>
      <x:c r="I79" s="31" t="n">
        <x:v>7.4151626660000005</x:v>
      </x:c>
      <x:c r="J79" s="31" t="n">
        <x:v>7.4151626660000005</x:v>
      </x:c>
      <x:c r="K79" s="31" t="n">
        <x:v>0</x:v>
      </x:c>
      <x:c r="L79" s="31" t="n">
        <x:v>0</x:v>
      </x:c>
      <x:c r="M79" s="31" t="n">
        <x:v>7.4151626660000005</x:v>
      </x:c>
      <x:c r="N79" s="24" t="str">
        <x:v>metapenaeus</x:v>
      </x:c>
      <x:c r="O79" s="32" t="n">
        <x:v>2.7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Metapenaeus</x:v>
      </x:c>
      <x:c r="T79" s="32" t="n">
        <x:f>IF(O79="","",(1/'Metadata'!$B$5)^(O79-1))</x:f>
        <x:v>50.11872336272725</x:v>
      </x:c>
      <x:c r="U79" s="31" t="n">
        <x:f>IF(T79="","",I79*T79)</x:f>
        <x:v>371.63848634687713</x:v>
      </x:c>
    </x:row>
    <x:row r="80" ht="18" customHeight="1">
      <x:c r="A80" s="24" t="str">
        <x:v>EEZ_706</x:v>
      </x:c>
      <x:c r="B80" s="24" t="str">
        <x:v>Somalia</x:v>
      </x:c>
      <x:c r="C80" s="24" t="str">
        <x:v>EEZ</x:v>
      </x:c>
      <x:c r="D80" s="30" t="n">
        <x:v>2019</x:v>
      </x:c>
      <x:c r="E80" s="24" t="str">
        <x:v>Muraenesocidae</x:v>
      </x:c>
      <x:c r="F80" s="24" t="str">
        <x:v>Pike congers</x:v>
      </x:c>
      <x:c r="G80" s="24" t="str">
        <x:v>Large demersals (&gt;=90 cm)</x:v>
      </x:c>
      <x:c r="H80" s="24" t="str">
        <x:v>Other fishes &amp; inverts</x:v>
      </x:c>
      <x:c r="I80" s="31" t="n">
        <x:v>6.701571997599999</x:v>
      </x:c>
      <x:c r="J80" s="31" t="n">
        <x:v>6.701571997599999</x:v>
      </x:c>
      <x:c r="K80" s="31" t="n">
        <x:v>0</x:v>
      </x:c>
      <x:c r="L80" s="31" t="n">
        <x:v>6.701571997599999</x:v>
      </x:c>
      <x:c r="M80" s="31" t="n">
        <x:v>0</x:v>
      </x:c>
      <x:c r="N80" s="24" t="str">
        <x:v>muraenesocidae</x:v>
      </x:c>
      <x:c r="O80" s="32" t="n">
        <x:v>3.9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Muraenesocidae</x:v>
      </x:c>
      <x:c r="T80" s="32" t="n">
        <x:f>IF(O80="","",(1/'Metadata'!$B$5)^(O80-1))</x:f>
        <x:v>794.3282347242813</x:v>
      </x:c>
      <x:c r="U80" s="31" t="n">
        <x:f>IF(T80="","",I80*T80)</x:f>
        <x:v>5323.247854731283</x:v>
      </x:c>
    </x:row>
    <x:row r="81" ht="18" customHeight="1">
      <x:c r="A81" s="24" t="str">
        <x:v>EEZ_706</x:v>
      </x:c>
      <x:c r="B81" s="24" t="str">
        <x:v>Somalia</x:v>
      </x:c>
      <x:c r="C81" s="24" t="str">
        <x:v>EEZ</x:v>
      </x:c>
      <x:c r="D81" s="30" t="n">
        <x:v>2019</x:v>
      </x:c>
      <x:c r="E81" s="24" t="str">
        <x:v>Otolithes ruber</x:v>
      </x:c>
      <x:c r="F81" s="24" t="str">
        <x:v>Tigertooth croaker</x:v>
      </x:c>
      <x:c r="G81" s="24" t="str">
        <x:v>Medium benthopelagics (30 - 89 cm)</x:v>
      </x:c>
      <x:c r="H81" s="24" t="str">
        <x:v>Perch-likes</x:v>
      </x:c>
      <x:c r="I81" s="31" t="n">
        <x:v>6.6885913631000005</x:v>
      </x:c>
      <x:c r="J81" s="31" t="n">
        <x:v>0</x:v>
      </x:c>
      <x:c r="K81" s="31" t="n">
        <x:v>6.6885913631000005</x:v>
      </x:c>
      <x:c r="L81" s="31" t="n">
        <x:v>0</x:v>
      </x:c>
      <x:c r="M81" s="31" t="n">
        <x:v>6.6885913631000005</x:v>
      </x:c>
      <x:c r="N81" s="24" t="str">
        <x:v>otolithes ruber</x:v>
      </x:c>
      <x:c r="O81" s="32" t="n">
        <x:v>3.6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Otolithes ruber</x:v>
      </x:c>
      <x:c r="T81" s="32" t="n">
        <x:f>IF(O81="","",(1/'Metadata'!$B$5)^(O81-1))</x:f>
        <x:v>398.1071705534973</x:v>
      </x:c>
      <x:c r="U81" s="31" t="n">
        <x:f>IF(T81="","",I81*T81)</x:f>
        <x:v>2662.776182552301</x:v>
      </x:c>
    </x:row>
    <x:row r="82" ht="18" customHeight="1">
      <x:c r="A82" s="24" t="str">
        <x:v>EEZ_706</x:v>
      </x:c>
      <x:c r="B82" s="24" t="str">
        <x:v>Somalia</x:v>
      </x:c>
      <x:c r="C82" s="24" t="str">
        <x:v>EEZ</x:v>
      </x:c>
      <x:c r="D82" s="30" t="n">
        <x:v>2019</x:v>
      </x:c>
      <x:c r="E82" s="24" t="str">
        <x:v>Sillago</x:v>
      </x:c>
      <x:c r="F82" s="24" t="str">
        <x:v>Smelt-whitings</x:v>
      </x:c>
      <x:c r="G82" s="24" t="str">
        <x:v>Medium demersals (30 - 89 cm)</x:v>
      </x:c>
      <x:c r="H82" s="24" t="str">
        <x:v>Perch-likes</x:v>
      </x:c>
      <x:c r="I82" s="31" t="n">
        <x:v>6.412805808</x:v>
      </x:c>
      <x:c r="J82" s="31" t="n">
        <x:v>6.412805808</x:v>
      </x:c>
      <x:c r="K82" s="31" t="n">
        <x:v>0</x:v>
      </x:c>
      <x:c r="L82" s="31" t="n">
        <x:v>0</x:v>
      </x:c>
      <x:c r="M82" s="31" t="n">
        <x:v>6.412805808</x:v>
      </x:c>
      <x:c r="N82" s="24" t="str">
        <x:v>sillago</x:v>
      </x:c>
      <x:c r="O82" s="32" t="n">
        <x:v>3.33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Sillago</x:v>
      </x:c>
      <x:c r="T82" s="32" t="n">
        <x:f>IF(O82="","",(1/'Metadata'!$B$5)^(O82-1))</x:f>
        <x:v>213.79620895022325</x:v>
      </x:c>
      <x:c r="U82" s="31" t="n">
        <x:f>IF(T82="","",I82*T82)</x:f>
        <x:v>1371.0335704843733</x:v>
      </x:c>
    </x:row>
    <x:row r="83" ht="18" customHeight="1">
      <x:c r="A83" s="24" t="str">
        <x:v>EEZ_706</x:v>
      </x:c>
      <x:c r="B83" s="24" t="str">
        <x:v>Somalia</x:v>
      </x:c>
      <x:c r="C83" s="24" t="str">
        <x:v>EEZ</x:v>
      </x:c>
      <x:c r="D83" s="30" t="n">
        <x:v>2019</x:v>
      </x:c>
      <x:c r="E83" s="24" t="str">
        <x:v>Platycaranx chrysophrys</x:v>
      </x:c>
      <x:c r="F83" s="24" t="str">
        <x:v>Longnose trevally</x:v>
      </x:c>
      <x:c r="G83" s="24" t="str">
        <x:v>Small pelagics (&lt;30 cm)</x:v>
      </x:c>
      <x:c r="H83" s="24" t="str">
        <x:v>Perch-likes</x:v>
      </x:c>
      <x:c r="I83" s="31" t="n">
        <x:v>6.0260274616</x:v>
      </x:c>
      <x:c r="J83" s="31" t="n">
        <x:v>0</x:v>
      </x:c>
      <x:c r="K83" s="31" t="n">
        <x:v>6.0260274616</x:v>
      </x:c>
      <x:c r="L83" s="31" t="n">
        <x:v>0</x:v>
      </x:c>
      <x:c r="M83" s="31" t="n">
        <x:v>6.0260274616</x:v>
      </x:c>
      <x:c r="N83" s="24" t="str">
        <x:v>platycaranx chrysophrys</x:v>
      </x:c>
      <x:c r="O83" s="32" t="n">
        <x:v>4.3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Platycaranx chrysophrys</x:v>
      </x:c>
      <x:c r="T83" s="32" t="n">
        <x:f>IF(O83="","",(1/'Metadata'!$B$5)^(O83-1))</x:f>
        <x:v>1995.2623149688789</x:v>
      </x:c>
      <x:c r="U83" s="31" t="n">
        <x:f>IF(T83="","",I83*T83)</x:f>
        <x:v>12023.505503098053</x:v>
      </x:c>
    </x:row>
    <x:row r="84" ht="18" customHeight="1">
      <x:c r="A84" s="24" t="str">
        <x:v>EEZ_706</x:v>
      </x:c>
      <x:c r="B84" s="24" t="str">
        <x:v>Somalia</x:v>
      </x:c>
      <x:c r="C84" s="24" t="str">
        <x:v>EEZ</x:v>
      </x:c>
      <x:c r="D84" s="30" t="n">
        <x:v>2019</x:v>
      </x:c>
      <x:c r="E84" s="24" t="str">
        <x:v>Muraenesox cinereus</x:v>
      </x:c>
      <x:c r="F84" s="24" t="str">
        <x:v>Daggertooth pike conger</x:v>
      </x:c>
      <x:c r="G84" s="24" t="str">
        <x:v>Large demersals (&gt;=90 cm)</x:v>
      </x:c>
      <x:c r="H84" s="24" t="str">
        <x:v>Other fishes &amp; inverts</x:v>
      </x:c>
      <x:c r="I84" s="31" t="n">
        <x:v>5.7749423529</x:v>
      </x:c>
      <x:c r="J84" s="31" t="n">
        <x:v>5.7749423529</x:v>
      </x:c>
      <x:c r="K84" s="31" t="n">
        <x:v>0</x:v>
      </x:c>
      <x:c r="L84" s="31" t="n">
        <x:v>0</x:v>
      </x:c>
      <x:c r="M84" s="31" t="n">
        <x:v>5.7749423529</x:v>
      </x:c>
      <x:c r="N84" s="24" t="str">
        <x:v>muraenesox cinereus</x:v>
      </x:c>
      <x:c r="O84" s="32" t="n">
        <x:v>4.38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Muraenesox cinereus</x:v>
      </x:c>
      <x:c r="T84" s="32" t="n">
        <x:f>IF(O84="","",(1/'Metadata'!$B$5)^(O84-1))</x:f>
        <x:v>2398.83291901949</x:v>
      </x:c>
      <x:c r="U84" s="31" t="n">
        <x:f>IF(T84="","",I84*T84)</x:f>
        <x:v>13853.12182157639</x:v>
      </x:c>
    </x:row>
    <x:row r="85" ht="18" customHeight="1">
      <x:c r="A85" s="24" t="str">
        <x:v>EEZ_706</x:v>
      </x:c>
      <x:c r="B85" s="24" t="str">
        <x:v>Somalia</x:v>
      </x:c>
      <x:c r="C85" s="24" t="str">
        <x:v>EEZ</x:v>
      </x:c>
      <x:c r="D85" s="30" t="n">
        <x:v>2019</x:v>
      </x:c>
      <x:c r="E85" s="24" t="str">
        <x:v>Upeneus vittatus</x:v>
      </x:c>
      <x:c r="F85" s="24" t="str">
        <x:v>Yellowstriped goatfish</x:v>
      </x:c>
      <x:c r="G85" s="24" t="str">
        <x:v>Small reef assoc. fish (&lt;30 cm)</x:v>
      </x:c>
      <x:c r="H85" s="24" t="str">
        <x:v>Perch-likes</x:v>
      </x:c>
      <x:c r="I85" s="31" t="n">
        <x:v>5.5918280517</x:v>
      </x:c>
      <x:c r="J85" s="31" t="n">
        <x:v>0</x:v>
      </x:c>
      <x:c r="K85" s="31" t="n">
        <x:v>5.5918280517</x:v>
      </x:c>
      <x:c r="L85" s="31" t="n">
        <x:v>0</x:v>
      </x:c>
      <x:c r="M85" s="31" t="n">
        <x:v>5.5918280517</x:v>
      </x:c>
      <x:c r="N85" s="24" t="str">
        <x:v>upeneus vittatus</x:v>
      </x:c>
      <x:c r="O85" s="32" t="n">
        <x:v>3.62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Upeneus vittatus</x:v>
      </x:c>
      <x:c r="T85" s="32" t="n">
        <x:f>IF(O85="","",(1/'Metadata'!$B$5)^(O85-1))</x:f>
        <x:v>416.8693834703355</x:v>
      </x:c>
      <x:c r="U85" s="31" t="n">
        <x:f>IF(T85="","",I85*T85)</x:f>
        <x:v>2331.0619123843067</x:v>
      </x:c>
    </x:row>
    <x:row r="86" ht="18" customHeight="1">
      <x:c r="A86" s="24" t="str">
        <x:v>EEZ_706</x:v>
      </x:c>
      <x:c r="B86" s="24" t="str">
        <x:v>Somalia</x:v>
      </x:c>
      <x:c r="C86" s="24" t="str">
        <x:v>EEZ</x:v>
      </x:c>
      <x:c r="D86" s="30" t="n">
        <x:v>2019</x:v>
      </x:c>
      <x:c r="E86" s="24" t="str">
        <x:v>Netuma thalassina</x:v>
      </x:c>
      <x:c r="F86" s="24" t="str">
        <x:v>Giant catfish</x:v>
      </x:c>
      <x:c r="G86" s="24" t="str">
        <x:v>Large demersals (&gt;=90 cm)</x:v>
      </x:c>
      <x:c r="H86" s="24" t="str">
        <x:v>Other fishes &amp; inverts</x:v>
      </x:c>
      <x:c r="I86" s="31" t="n">
        <x:v>5.531244088299999</x:v>
      </x:c>
      <x:c r="J86" s="31" t="n">
        <x:v>0</x:v>
      </x:c>
      <x:c r="K86" s="31" t="n">
        <x:v>5.531244088299999</x:v>
      </x:c>
      <x:c r="L86" s="31" t="n">
        <x:v>0</x:v>
      </x:c>
      <x:c r="M86" s="31" t="n">
        <x:v>5.531244088299999</x:v>
      </x:c>
      <x:c r="N86" s="24" t="str">
        <x:v>netuma thalassina</x:v>
      </x:c>
      <x:c r="O86" s="32" t="n">
        <x:v>3.54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Netuma thalassina</x:v>
      </x:c>
      <x:c r="T86" s="32" t="n">
        <x:f>IF(O86="","",(1/'Metadata'!$B$5)^(O86-1))</x:f>
        <x:v>346.73685045253166</x:v>
      </x:c>
      <x:c r="U86" s="31" t="n">
        <x:f>IF(T86="","",I86*T86)</x:f>
        <x:v>1917.8861542613267</x:v>
      </x:c>
    </x:row>
    <x:row r="87" ht="18" customHeight="1">
      <x:c r="A87" s="24" t="str">
        <x:v>EEZ_706</x:v>
      </x:c>
      <x:c r="B87" s="24" t="str">
        <x:v>Somalia</x:v>
      </x:c>
      <x:c r="C87" s="24" t="str">
        <x:v>EEZ</x:v>
      </x:c>
      <x:c r="D87" s="30" t="n">
        <x:v>2019</x:v>
      </x:c>
      <x:c r="E87" s="24" t="str">
        <x:v>Rachycentron canadum</x:v>
      </x:c>
      <x:c r="F87" s="24" t="str">
        <x:v>Cobia</x:v>
      </x:c>
      <x:c r="G87" s="24" t="str">
        <x:v>Large pelagics (&gt;=90 cm)</x:v>
      </x:c>
      <x:c r="H87" s="24" t="str">
        <x:v>Perch-likes</x:v>
      </x:c>
      <x:c r="I87" s="31" t="n">
        <x:v>5.256144125</x:v>
      </x:c>
      <x:c r="J87" s="31" t="n">
        <x:v>5.256144125</x:v>
      </x:c>
      <x:c r="K87" s="31" t="n">
        <x:v>0</x:v>
      </x:c>
      <x:c r="L87" s="31" t="n">
        <x:v>0</x:v>
      </x:c>
      <x:c r="M87" s="31" t="n">
        <x:v>5.256144125</x:v>
      </x:c>
      <x:c r="N87" s="24" t="str">
        <x:v>rachycentron canadum</x:v>
      </x:c>
      <x:c r="O87" s="32" t="n">
        <x:v>3.96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Rachycentron canadum</x:v>
      </x:c>
      <x:c r="T87" s="32" t="n">
        <x:f>IF(O87="","",(1/'Metadata'!$B$5)^(O87-1))</x:f>
        <x:v>912.0108393559096</x:v>
      </x:c>
      <x:c r="U87" s="31" t="n">
        <x:f>IF(T87="","",I87*T87)</x:f>
        <x:v>4793.660415216883</x:v>
      </x:c>
    </x:row>
    <x:row r="88" ht="18" customHeight="1">
      <x:c r="A88" s="24" t="str">
        <x:v>EEZ_706</x:v>
      </x:c>
      <x:c r="B88" s="24" t="str">
        <x:v>Somalia</x:v>
      </x:c>
      <x:c r="C88" s="24" t="str">
        <x:v>EEZ</x:v>
      </x:c>
      <x:c r="D88" s="30" t="n">
        <x:v>2019</x:v>
      </x:c>
      <x:c r="E88" s="24" t="str">
        <x:v>Ariidae</x:v>
      </x:c>
      <x:c r="F88" s="24" t="str">
        <x:v>Sea catfishes, coblers</x:v>
      </x:c>
      <x:c r="G88" s="24" t="str">
        <x:v>Medium demersals (30 - 89 cm)</x:v>
      </x:c>
      <x:c r="H88" s="24" t="str">
        <x:v>Other fishes &amp; inverts</x:v>
      </x:c>
      <x:c r="I88" s="31" t="n">
        <x:v>4.4623559195</x:v>
      </x:c>
      <x:c r="J88" s="31" t="n">
        <x:v>4.4623559195</x:v>
      </x:c>
      <x:c r="K88" s="31" t="n">
        <x:v>0</x:v>
      </x:c>
      <x:c r="L88" s="31" t="n">
        <x:v>0.5554422567999999</x:v>
      </x:c>
      <x:c r="M88" s="31" t="n">
        <x:v>3.9069136626999996</x:v>
      </x:c>
      <x:c r="N88" s="24" t="str">
        <x:v>ariidae</x:v>
      </x:c>
      <x:c r="O88" s="32" t="n">
        <x:v>3.48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Ariidae</x:v>
      </x:c>
      <x:c r="T88" s="32" t="n">
        <x:f>IF(O88="","",(1/'Metadata'!$B$5)^(O88-1))</x:f>
        <x:v>301.9951720402016</x:v>
      </x:c>
      <x:c r="U88" s="31" t="n">
        <x:f>IF(T88="","",I88*T88)</x:f>
        <x:v>1347.6099436140146</x:v>
      </x:c>
    </x:row>
    <x:row r="89" ht="18" customHeight="1">
      <x:c r="A89" s="24" t="str">
        <x:v>EEZ_706</x:v>
      </x:c>
      <x:c r="B89" s="24" t="str">
        <x:v>Somalia</x:v>
      </x:c>
      <x:c r="C89" s="24" t="str">
        <x:v>EEZ</x:v>
      </x:c>
      <x:c r="D89" s="30" t="n">
        <x:v>2019</x:v>
      </x:c>
      <x:c r="E89" s="24" t="str">
        <x:v>Mugil cephalus</x:v>
      </x:c>
      <x:c r="F89" s="24" t="str">
        <x:v>Flathead grey mullet</x:v>
      </x:c>
      <x:c r="G89" s="24" t="str">
        <x:v>Large benthopelagics (&gt;=90 cm)</x:v>
      </x:c>
      <x:c r="H89" s="24" t="str">
        <x:v>Perch-likes</x:v>
      </x:c>
      <x:c r="I89" s="31" t="n">
        <x:v>4.2319825587999995</x:v>
      </x:c>
      <x:c r="J89" s="31" t="n">
        <x:v>0</x:v>
      </x:c>
      <x:c r="K89" s="31" t="n">
        <x:v>4.2319825587999995</x:v>
      </x:c>
      <x:c r="L89" s="31" t="n">
        <x:v>0</x:v>
      </x:c>
      <x:c r="M89" s="31" t="n">
        <x:v>4.2319825587999995</x:v>
      </x:c>
      <x:c r="N89" s="24" t="str">
        <x:v>mugil cephalus</x:v>
      </x:c>
      <x:c r="O89" s="32" t="n">
        <x:v>2.14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Mugil cephalus</x:v>
      </x:c>
      <x:c r="T89" s="32" t="n">
        <x:f>IF(O89="","",(1/'Metadata'!$B$5)^(O89-1))</x:f>
        <x:v>13.803842646028853</x:v>
      </x:c>
      <x:c r="U89" s="31" t="n">
        <x:f>IF(T89="","",I89*T89)</x:f>
        <x:v>58.417621322413744</x:v>
      </x:c>
    </x:row>
    <x:row r="90" ht="18" customHeight="1">
      <x:c r="A90" s="24" t="str">
        <x:v>EEZ_706</x:v>
      </x:c>
      <x:c r="B90" s="24" t="str">
        <x:v>Somalia</x:v>
      </x:c>
      <x:c r="C90" s="24" t="str">
        <x:v>EEZ</x:v>
      </x:c>
      <x:c r="D90" s="30" t="n">
        <x:v>2019</x:v>
      </x:c>
      <x:c r="E90" s="24" t="str">
        <x:v>Isurus</x:v>
      </x:c>
      <x:c r="F90" s="24" t="str">
        <x:v>Mako sharks</x:v>
      </x:c>
      <x:c r="G90" s="24" t="str">
        <x:v>Large sharks (&gt;=90 cm)</x:v>
      </x:c>
      <x:c r="H90" s="24" t="str">
        <x:v>Sharks &amp; rays</x:v>
      </x:c>
      <x:c r="I90" s="31" t="n">
        <x:v>3.3914328676</x:v>
      </x:c>
      <x:c r="J90" s="31" t="n">
        <x:v>3.3914328676</x:v>
      </x:c>
      <x:c r="K90" s="31" t="n">
        <x:v>0</x:v>
      </x:c>
      <x:c r="L90" s="31" t="n">
        <x:v>3.3914328676</x:v>
      </x:c>
      <x:c r="M90" s="31" t="n">
        <x:v>0</x:v>
      </x:c>
      <x:c r="N90" s="24" t="str">
        <x:v>isurus</x:v>
      </x:c>
      <x:c r="O90" s="32" t="n">
        <x:v>4.5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Isurus</x:v>
      </x:c>
      <x:c r="T90" s="32" t="n">
        <x:f>IF(O90="","",(1/'Metadata'!$B$5)^(O90-1))</x:f>
        <x:v>3162.2776601683795</x:v>
      </x:c>
      <x:c r="U90" s="31" t="n">
        <x:f>IF(T90="","",I90*T90)</x:f>
        <x:v>10724.652393172266</x:v>
      </x:c>
    </x:row>
    <x:row r="91" ht="18" customHeight="1">
      <x:c r="A91" s="24" t="str">
        <x:v>EEZ_706</x:v>
      </x:c>
      <x:c r="B91" s="24" t="str">
        <x:v>Somalia</x:v>
      </x:c>
      <x:c r="C91" s="24" t="str">
        <x:v>EEZ</x:v>
      </x:c>
      <x:c r="D91" s="30" t="n">
        <x:v>2019</x:v>
      </x:c>
      <x:c r="E91" s="24" t="str">
        <x:v>Nemipterus japonicus</x:v>
      </x:c>
      <x:c r="F91" s="24" t="str">
        <x:v>Japanese threadfin bream</x:v>
      </x:c>
      <x:c r="G91" s="24" t="str">
        <x:v>Small demersals (&lt;30 cm)</x:v>
      </x:c>
      <x:c r="H91" s="24" t="str">
        <x:v>Perch-likes</x:v>
      </x:c>
      <x:c r="I91" s="31" t="n">
        <x:v>3.378649623</x:v>
      </x:c>
      <x:c r="J91" s="31" t="n">
        <x:v>0</x:v>
      </x:c>
      <x:c r="K91" s="31" t="n">
        <x:v>3.378649623</x:v>
      </x:c>
      <x:c r="L91" s="31" t="n">
        <x:v>0</x:v>
      </x:c>
      <x:c r="M91" s="31" t="n">
        <x:v>3.378649623</x:v>
      </x:c>
      <x:c r="N91" s="24" t="str">
        <x:v>nemipterus japonicus</x:v>
      </x:c>
      <x:c r="O91" s="32" t="n">
        <x:v>3.77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Nemipterus japonicus</x:v>
      </x:c>
      <x:c r="T91" s="32" t="n">
        <x:f>IF(O91="","",(1/'Metadata'!$B$5)^(O91-1))</x:f>
        <x:v>588.843655355589</x:v>
      </x:c>
      <x:c r="U91" s="31" t="n">
        <x:f>IF(T91="","",I91*T91)</x:f>
        <x:v>1989.4963941731028</x:v>
      </x:c>
    </x:row>
    <x:row r="92" ht="18" customHeight="1">
      <x:c r="A92" s="24" t="str">
        <x:v>EEZ_706</x:v>
      </x:c>
      <x:c r="B92" s="24" t="str">
        <x:v>Somalia</x:v>
      </x:c>
      <x:c r="C92" s="24" t="str">
        <x:v>EEZ</x:v>
      </x:c>
      <x:c r="D92" s="30" t="n">
        <x:v>2019</x:v>
      </x:c>
      <x:c r="E92" s="24" t="str">
        <x:v>Scomberoides lysan</x:v>
      </x:c>
      <x:c r="F92" s="24" t="str">
        <x:v>Doublespotted queenfish</x:v>
      </x:c>
      <x:c r="G92" s="24" t="str">
        <x:v>Medium reef assoc. fish (30 - 89 cm)</x:v>
      </x:c>
      <x:c r="H92" s="24" t="str">
        <x:v>Perch-likes</x:v>
      </x:c>
      <x:c r="I92" s="31" t="n">
        <x:v>3.1310206495</x:v>
      </x:c>
      <x:c r="J92" s="31" t="n">
        <x:v>0</x:v>
      </x:c>
      <x:c r="K92" s="31" t="n">
        <x:v>3.1310206495</x:v>
      </x:c>
      <x:c r="L92" s="31" t="n">
        <x:v>0</x:v>
      </x:c>
      <x:c r="M92" s="31" t="n">
        <x:v>3.1310206495</x:v>
      </x:c>
      <x:c r="N92" s="24" t="str">
        <x:v>scomberoides lysan</x:v>
      </x:c>
      <x:c r="O92" s="32" t="n">
        <x:v>4.38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Scomberoides lysan</x:v>
      </x:c>
      <x:c r="T92" s="32" t="n">
        <x:f>IF(O92="","",(1/'Metadata'!$B$5)^(O92-1))</x:f>
        <x:v>2398.83291901949</x:v>
      </x:c>
      <x:c r="U92" s="31" t="n">
        <x:f>IF(T92="","",I92*T92)</x:f>
        <x:v>7510.7954041503845</x:v>
      </x:c>
    </x:row>
    <x:row r="93" ht="18" customHeight="1">
      <x:c r="A93" s="24" t="str">
        <x:v>EEZ_706</x:v>
      </x:c>
      <x:c r="B93" s="24" t="str">
        <x:v>Somalia</x:v>
      </x:c>
      <x:c r="C93" s="24" t="str">
        <x:v>EEZ</x:v>
      </x:c>
      <x:c r="D93" s="30" t="n">
        <x:v>2019</x:v>
      </x:c>
      <x:c r="E93" s="24" t="str">
        <x:v>Terapon jarbua</x:v>
      </x:c>
      <x:c r="F93" s="24" t="str">
        <x:v>Jarbua terapon</x:v>
      </x:c>
      <x:c r="G93" s="24" t="str">
        <x:v>Medium demersals (30 - 89 cm)</x:v>
      </x:c>
      <x:c r="H93" s="24" t="str">
        <x:v>Perch-likes</x:v>
      </x:c>
      <x:c r="I93" s="31" t="n">
        <x:v>2.9720002889000003</x:v>
      </x:c>
      <x:c r="J93" s="31" t="n">
        <x:v>0</x:v>
      </x:c>
      <x:c r="K93" s="31" t="n">
        <x:v>2.9720002889000003</x:v>
      </x:c>
      <x:c r="L93" s="31" t="n">
        <x:v>0</x:v>
      </x:c>
      <x:c r="M93" s="31" t="n">
        <x:v>2.9720002889000003</x:v>
      </x:c>
      <x:c r="N93" s="24" t="str">
        <x:v>terapon jarbua</x:v>
      </x:c>
      <x:c r="O93" s="32" t="n">
        <x:v>3.93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Terapon jarbua</x:v>
      </x:c>
      <x:c r="T93" s="32" t="n">
        <x:f>IF(O93="","",(1/'Metadata'!$B$5)^(O93-1))</x:f>
        <x:v>851.1380382023768</x:v>
      </x:c>
      <x:c r="U93" s="31" t="n">
        <x:f>IF(T93="","",I93*T93)</x:f>
        <x:v>2529.5824954312434</x:v>
      </x:c>
    </x:row>
    <x:row r="94" ht="18" customHeight="1">
      <x:c r="A94" s="24" t="str">
        <x:v>EEZ_706</x:v>
      </x:c>
      <x:c r="B94" s="24" t="str">
        <x:v>Somalia</x:v>
      </x:c>
      <x:c r="C94" s="24" t="str">
        <x:v>EEZ</x:v>
      </x:c>
      <x:c r="D94" s="30" t="n">
        <x:v>2019</x:v>
      </x:c>
      <x:c r="E94" s="24" t="str">
        <x:v>Hilsa kelee</x:v>
      </x:c>
      <x:c r="F94" s="24" t="str">
        <x:v>Kelee shad</x:v>
      </x:c>
      <x:c r="G94" s="24" t="str">
        <x:v>Small pelagics (&lt;30 cm)</x:v>
      </x:c>
      <x:c r="H94" s="24" t="str">
        <x:v>Herring-likes</x:v>
      </x:c>
      <x:c r="I94" s="31" t="n">
        <x:v>2.9645968354</x:v>
      </x:c>
      <x:c r="J94" s="31" t="n">
        <x:v>0</x:v>
      </x:c>
      <x:c r="K94" s="31" t="n">
        <x:v>2.9645968354</x:v>
      </x:c>
      <x:c r="L94" s="31" t="n">
        <x:v>0</x:v>
      </x:c>
      <x:c r="M94" s="31" t="n">
        <x:v>2.9645968354</x:v>
      </x:c>
      <x:c r="N94" s="24" t="str">
        <x:v>hilsa kelee</x:v>
      </x:c>
      <x:c r="O94" s="32" t="n">
        <x:v>3.25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Hilsa kelee</x:v>
      </x:c>
      <x:c r="T94" s="32" t="n">
        <x:f>IF(O94="","",(1/'Metadata'!$B$5)^(O94-1))</x:f>
        <x:v>177.82794100389228</x:v>
      </x:c>
      <x:c r="U94" s="31" t="n">
        <x:f>IF(T94="","",I94*T94)</x:f>
        <x:v>527.188151145837</x:v>
      </x:c>
    </x:row>
    <x:row r="95" ht="18" customHeight="1">
      <x:c r="A95" s="24" t="str">
        <x:v>EEZ_706</x:v>
      </x:c>
      <x:c r="B95" s="24" t="str">
        <x:v>Somalia</x:v>
      </x:c>
      <x:c r="C95" s="24" t="str">
        <x:v>EEZ</x:v>
      </x:c>
      <x:c r="D95" s="30" t="n">
        <x:v>2019</x:v>
      </x:c>
      <x:c r="E95" s="24" t="str">
        <x:v>Scylla serrata</x:v>
      </x:c>
      <x:c r="F95" s="24" t="str">
        <x:v>Indo-Pacific swamp crab</x:v>
      </x:c>
      <x:c r="G95" s="24" t="str">
        <x:v>Lobsters, crabs</x:v>
      </x:c>
      <x:c r="H95" s="24" t="str">
        <x:v>Crustaceans</x:v>
      </x:c>
      <x:c r="I95" s="31" t="n">
        <x:v>2.8476047105999998</x:v>
      </x:c>
      <x:c r="J95" s="31" t="n">
        <x:v>2.8476047105999998</x:v>
      </x:c>
      <x:c r="K95" s="31" t="n">
        <x:v>0</x:v>
      </x:c>
      <x:c r="L95" s="31" t="n">
        <x:v>0</x:v>
      </x:c>
      <x:c r="M95" s="31" t="n">
        <x:v>2.8476047105999998</x:v>
      </x:c>
      <x:c r="N95" s="24" t="str">
        <x:v>scylla serrata</x:v>
      </x:c>
      <x:c r="O95" s="32" t="n">
        <x:v>3.17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Scylla serrata</x:v>
      </x:c>
      <x:c r="T95" s="32" t="n">
        <x:f>IF(O95="","",(1/'Metadata'!$B$5)^(O95-1))</x:f>
        <x:v>147.91083881682073</x:v>
      </x:c>
      <x:c r="U95" s="31" t="n">
        <x:f>IF(T95="","",I95*T95)</x:f>
        <x:v>421.191601363576</x:v>
      </x:c>
    </x:row>
    <x:row r="96" ht="18" customHeight="1">
      <x:c r="A96" s="24" t="str">
        <x:v>EEZ_706</x:v>
      </x:c>
      <x:c r="B96" s="24" t="str">
        <x:v>Somalia</x:v>
      </x:c>
      <x:c r="C96" s="24" t="str">
        <x:v>EEZ</x:v>
      </x:c>
      <x:c r="D96" s="30" t="n">
        <x:v>2019</x:v>
      </x:c>
      <x:c r="E96" s="24" t="str">
        <x:v>Sillago sihama</x:v>
      </x:c>
      <x:c r="F96" s="24" t="str">
        <x:v>Silver sillago</x:v>
      </x:c>
      <x:c r="G96" s="24" t="str">
        <x:v>Medium demersals (30 - 89 cm)</x:v>
      </x:c>
      <x:c r="H96" s="24" t="str">
        <x:v>Perch-likes</x:v>
      </x:c>
      <x:c r="I96" s="31" t="n">
        <x:v>2.7806016819</x:v>
      </x:c>
      <x:c r="J96" s="31" t="n">
        <x:v>0</x:v>
      </x:c>
      <x:c r="K96" s="31" t="n">
        <x:v>2.7806016819</x:v>
      </x:c>
      <x:c r="L96" s="31" t="n">
        <x:v>0</x:v>
      </x:c>
      <x:c r="M96" s="31" t="n">
        <x:v>2.7806016819</x:v>
      </x:c>
      <x:c r="N96" s="24" t="str">
        <x:v>sillago sihama</x:v>
      </x:c>
      <x:c r="O96" s="32" t="n">
        <x:v>3.33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Sillago sihama</x:v>
      </x:c>
      <x:c r="T96" s="32" t="n">
        <x:f>IF(O96="","",(1/'Metadata'!$B$5)^(O96-1))</x:f>
        <x:v>213.79620895022325</x:v>
      </x:c>
      <x:c r="U96" s="31" t="n">
        <x:f>IF(T96="","",I96*T96)</x:f>
        <x:v>594.4820981908346</x:v>
      </x:c>
    </x:row>
    <x:row r="97" ht="18" customHeight="1">
      <x:c r="A97" s="24" t="str">
        <x:v>EEZ_706</x:v>
      </x:c>
      <x:c r="B97" s="24" t="str">
        <x:v>Somalia</x:v>
      </x:c>
      <x:c r="C97" s="24" t="str">
        <x:v>EEZ</x:v>
      </x:c>
      <x:c r="D97" s="30" t="n">
        <x:v>2019</x:v>
      </x:c>
      <x:c r="E97" s="24" t="str">
        <x:v>Glaucostegus granulatus</x:v>
      </x:c>
      <x:c r="F97" s="24" t="str">
        <x:v>Granulated guitarfish</x:v>
      </x:c>
      <x:c r="G97" s="24" t="str">
        <x:v>Large rays (&gt;=90 cm)</x:v>
      </x:c>
      <x:c r="H97" s="24" t="str">
        <x:v>Sharks &amp; rays</x:v>
      </x:c>
      <x:c r="I97" s="31" t="n">
        <x:v>2.7516745182</x:v>
      </x:c>
      <x:c r="J97" s="31" t="n">
        <x:v>0</x:v>
      </x:c>
      <x:c r="K97" s="31" t="n">
        <x:v>2.7516745182</x:v>
      </x:c>
      <x:c r="L97" s="31" t="n">
        <x:v>0</x:v>
      </x:c>
      <x:c r="M97" s="31" t="n">
        <x:v>2.7516745182</x:v>
      </x:c>
      <x:c r="N97" s="24" t="str">
        <x:v>glaucostegus granulatus</x:v>
      </x:c>
      <x:c r="O97" s="32" t="n">
        <x:v>3.5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Glaucostegus granulatus</x:v>
      </x:c>
      <x:c r="T97" s="32" t="n">
        <x:f>IF(O97="","",(1/'Metadata'!$B$5)^(O97-1))</x:f>
        <x:v>316.22776601683796</x:v>
      </x:c>
      <x:c r="U97" s="31" t="n">
        <x:f>IF(T97="","",I97*T97)</x:f>
        <x:v>870.155885695845</x:v>
      </x:c>
    </x:row>
    <x:row r="98" ht="18" customHeight="1">
      <x:c r="A98" s="24" t="str">
        <x:v>EEZ_706</x:v>
      </x:c>
      <x:c r="B98" s="24" t="str">
        <x:v>Somalia</x:v>
      </x:c>
      <x:c r="C98" s="24" t="str">
        <x:v>EEZ</x:v>
      </x:c>
      <x:c r="D98" s="30" t="n">
        <x:v>2019</x:v>
      </x:c>
      <x:c r="E98" s="24" t="str">
        <x:v>Harpadon nehereus</x:v>
      </x:c>
      <x:c r="F98" s="24" t="str">
        <x:v>Bombay-duck</x:v>
      </x:c>
      <x:c r="G98" s="24" t="str">
        <x:v>Medium benthopelagics (30 - 89 cm)</x:v>
      </x:c>
      <x:c r="H98" s="24" t="str">
        <x:v>Other fishes &amp; inverts</x:v>
      </x:c>
      <x:c r="I98" s="31" t="n">
        <x:v>2.6409703667</x:v>
      </x:c>
      <x:c r="J98" s="31" t="n">
        <x:v>0</x:v>
      </x:c>
      <x:c r="K98" s="31" t="n">
        <x:v>2.6409703667</x:v>
      </x:c>
      <x:c r="L98" s="31" t="n">
        <x:v>0</x:v>
      </x:c>
      <x:c r="M98" s="31" t="n">
        <x:v>2.6409703667</x:v>
      </x:c>
      <x:c r="N98" s="24" t="str">
        <x:v>harpadon nehereus</x:v>
      </x:c>
      <x:c r="O98" s="32" t="n">
        <x:v>4.2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Harpadon nehereus</x:v>
      </x:c>
      <x:c r="T98" s="32" t="n">
        <x:f>IF(O98="","",(1/'Metadata'!$B$5)^(O98-1))</x:f>
        <x:v>1584.893192461114</x:v>
      </x:c>
      <x:c r="U98" s="31" t="n">
        <x:f>IF(T98="","",I98*T98)</x:f>
        <x:v>4185.655955674362</x:v>
      </x:c>
    </x:row>
    <x:row r="99" ht="18" customHeight="1">
      <x:c r="A99" s="24" t="str">
        <x:v>EEZ_706</x:v>
      </x:c>
      <x:c r="B99" s="24" t="str">
        <x:v>Somalia</x:v>
      </x:c>
      <x:c r="C99" s="24" t="str">
        <x:v>EEZ</x:v>
      </x:c>
      <x:c r="D99" s="30" t="n">
        <x:v>2019</x:v>
      </x:c>
      <x:c r="E99" s="24" t="str">
        <x:v>Lactarius lactarius</x:v>
      </x:c>
      <x:c r="F99" s="24" t="str">
        <x:v>False trevally</x:v>
      </x:c>
      <x:c r="G99" s="24" t="str">
        <x:v>Medium pelagics (30 - 89 cm)</x:v>
      </x:c>
      <x:c r="H99" s="24" t="str">
        <x:v>Perch-likes</x:v>
      </x:c>
      <x:c r="I99" s="31" t="n">
        <x:v>1.9271280332</x:v>
      </x:c>
      <x:c r="J99" s="31" t="n">
        <x:v>0</x:v>
      </x:c>
      <x:c r="K99" s="31" t="n">
        <x:v>1.9271280332</x:v>
      </x:c>
      <x:c r="L99" s="31" t="n">
        <x:v>0</x:v>
      </x:c>
      <x:c r="M99" s="31" t="n">
        <x:v>1.9271280332</x:v>
      </x:c>
      <x:c r="N99" s="24" t="str">
        <x:v>lactarius lactarius</x:v>
      </x:c>
      <x:c r="O99" s="32" t="n">
        <x:v>3.97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Lactarius lactarius</x:v>
      </x:c>
      <x:c r="T99" s="32" t="n">
        <x:f>IF(O99="","",(1/'Metadata'!$B$5)^(O99-1))</x:f>
        <x:v>933.2543007969915</x:v>
      </x:c>
      <x:c r="U99" s="31" t="n">
        <x:f>IF(T99="","",I99*T99)</x:f>
        <x:v>1798.5005251703474</x:v>
      </x:c>
    </x:row>
    <x:row r="100" ht="18" customHeight="1">
      <x:c r="A100" s="24" t="str">
        <x:v>EEZ_706</x:v>
      </x:c>
      <x:c r="B100" s="24" t="str">
        <x:v>Somalia</x:v>
      </x:c>
      <x:c r="C100" s="24" t="str">
        <x:v>EEZ</x:v>
      </x:c>
      <x:c r="D100" s="30" t="n">
        <x:v>2019</x:v>
      </x:c>
      <x:c r="E100" s="24" t="str">
        <x:v>Thryssa</x:v>
      </x:c>
      <x:c r="F100" s="24" t="str">
        <x:v>Thryssas</x:v>
      </x:c>
      <x:c r="G100" s="24" t="str">
        <x:v>Small pelagics (&lt;30 cm)</x:v>
      </x:c>
      <x:c r="H100" s="24" t="str">
        <x:v>Anchovies</x:v>
      </x:c>
      <x:c r="I100" s="31" t="n">
        <x:v>1.8230720709000001</x:v>
      </x:c>
      <x:c r="J100" s="31" t="n">
        <x:v>0</x:v>
      </x:c>
      <x:c r="K100" s="31" t="n">
        <x:v>1.8230720709000001</x:v>
      </x:c>
      <x:c r="L100" s="31" t="n">
        <x:v>0</x:v>
      </x:c>
      <x:c r="M100" s="31" t="n">
        <x:v>1.8230720709000001</x:v>
      </x:c>
      <x:c r="N100" s="24" t="str">
        <x:v>thryssa</x:v>
      </x:c>
      <x:c r="O100" s="32" t="n">
        <x:v>3.34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Thryssa</x:v>
      </x:c>
      <x:c r="T100" s="32" t="n">
        <x:f>IF(O100="","",(1/'Metadata'!$B$5)^(O100-1))</x:f>
        <x:v>218.77616239495518</x:v>
      </x:c>
      <x:c r="U100" s="31" t="n">
        <x:f>IF(T100="","",I100*T100)</x:f>
        <x:v>398.84471144092566</x:v>
      </x:c>
    </x:row>
    <x:row r="101" ht="18" customHeight="1">
      <x:c r="A101" s="24" t="str">
        <x:v>EEZ_706</x:v>
      </x:c>
      <x:c r="B101" s="24" t="str">
        <x:v>Somalia</x:v>
      </x:c>
      <x:c r="C101" s="24" t="str">
        <x:v>EEZ</x:v>
      </x:c>
      <x:c r="D101" s="30" t="n">
        <x:v>2019</x:v>
      </x:c>
      <x:c r="E101" s="24" t="str">
        <x:v>Soleidae</x:v>
      </x:c>
      <x:c r="F101" s="24" t="str">
        <x:v>Soles</x:v>
      </x:c>
      <x:c r="G101" s="24" t="str">
        <x:v>Small to medium flatfishes (&lt;90 cm)</x:v>
      </x:c>
      <x:c r="H101" s="24" t="str">
        <x:v>Flatfishes</x:v>
      </x:c>
      <x:c r="I101" s="31" t="n">
        <x:v>1.7073195512</x:v>
      </x:c>
      <x:c r="J101" s="31" t="n">
        <x:v>0</x:v>
      </x:c>
      <x:c r="K101" s="31" t="n">
        <x:v>1.7073195512</x:v>
      </x:c>
      <x:c r="L101" s="31" t="n">
        <x:v>0</x:v>
      </x:c>
      <x:c r="M101" s="31" t="n">
        <x:v>1.7073195512</x:v>
      </x:c>
      <x:c r="N101" s="24" t="str">
        <x:v>soleidae</x:v>
      </x:c>
      <x:c r="O101" s="32" t="n">
        <x:v>3.15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Soleidae</x:v>
      </x:c>
      <x:c r="T101" s="32" t="n">
        <x:f>IF(O101="","",(1/'Metadata'!$B$5)^(O101-1))</x:f>
        <x:v>141.2537544622754</x:v>
      </x:c>
      <x:c r="U101" s="31" t="n">
        <x:f>IF(T101="","",I101*T101)</x:f>
        <x:v>241.16529667384702</x:v>
      </x:c>
    </x:row>
    <x:row r="102" ht="18" customHeight="1">
      <x:c r="A102" s="24" t="str">
        <x:v>EEZ_706</x:v>
      </x:c>
      <x:c r="B102" s="24" t="str">
        <x:v>Somalia</x:v>
      </x:c>
      <x:c r="C102" s="24" t="str">
        <x:v>EEZ</x:v>
      </x:c>
      <x:c r="D102" s="30" t="n">
        <x:v>2019</x:v>
      </x:c>
      <x:c r="E102" s="24" t="str">
        <x:v>Istiompax indica</x:v>
      </x:c>
      <x:c r="F102" s="24" t="str">
        <x:v>Black marlin</x:v>
      </x:c>
      <x:c r="G102" s="24" t="str">
        <x:v>Large pelagics (&gt;=90 cm)</x:v>
      </x:c>
      <x:c r="H102" s="24" t="str">
        <x:v>Tuna &amp; billfishes</x:v>
      </x:c>
      <x:c r="I102" s="31" t="n">
        <x:v>1.6638243849</x:v>
      </x:c>
      <x:c r="J102" s="31" t="n">
        <x:v>1.6638243849</x:v>
      </x:c>
      <x:c r="K102" s="31" t="n">
        <x:v>0</x:v>
      </x:c>
      <x:c r="L102" s="31" t="n">
        <x:v>1.6638243849</x:v>
      </x:c>
      <x:c r="M102" s="31" t="n">
        <x:v>0</x:v>
      </x:c>
      <x:c r="N102" s="24" t="str">
        <x:v>istiompax indica</x:v>
      </x:c>
      <x:c r="O102" s="32" t="n">
        <x:v>4.5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Istiompax indica</x:v>
      </x:c>
      <x:c r="T102" s="32" t="n">
        <x:f>IF(O102="","",(1/'Metadata'!$B$5)^(O102-1))</x:f>
        <x:v>3162.2776601683795</x:v>
      </x:c>
      <x:c r="U102" s="31" t="n">
        <x:f>IF(T102="","",I102*T102)</x:f>
        <x:v>5261.474682812665</x:v>
      </x:c>
    </x:row>
    <x:row r="103" ht="18" customHeight="1">
      <x:c r="A103" s="24" t="str">
        <x:v>EEZ_706</x:v>
      </x:c>
      <x:c r="B103" s="24" t="str">
        <x:v>Somalia</x:v>
      </x:c>
      <x:c r="C103" s="24" t="str">
        <x:v>EEZ</x:v>
      </x:c>
      <x:c r="D103" s="30" t="n">
        <x:v>2019</x:v>
      </x:c>
      <x:c r="E103" s="24" t="str">
        <x:v>Himantura uarnak</x:v>
      </x:c>
      <x:c r="F103" s="24" t="str">
        <x:v>Honeycomb stingray</x:v>
      </x:c>
      <x:c r="G103" s="24" t="str">
        <x:v>Large rays (&gt;=90 cm)</x:v>
      </x:c>
      <x:c r="H103" s="24" t="str">
        <x:v>Sharks &amp; rays</x:v>
      </x:c>
      <x:c r="I103" s="31" t="n">
        <x:v>1.5825240996</x:v>
      </x:c>
      <x:c r="J103" s="31" t="n">
        <x:v>0</x:v>
      </x:c>
      <x:c r="K103" s="31" t="n">
        <x:v>1.5825240996</x:v>
      </x:c>
      <x:c r="L103" s="31" t="n">
        <x:v>0</x:v>
      </x:c>
      <x:c r="M103" s="31" t="n">
        <x:v>1.5825240996</x:v>
      </x:c>
      <x:c r="N103" s="24" t="str">
        <x:v>himantura uarnak</x:v>
      </x:c>
      <x:c r="O103" s="32" t="n">
        <x:v>3.6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Himantura uarnak</x:v>
      </x:c>
      <x:c r="T103" s="32" t="n">
        <x:f>IF(O103="","",(1/'Metadata'!$B$5)^(O103-1))</x:f>
        <x:v>398.1071705534973</x:v>
      </x:c>
      <x:c r="U103" s="31" t="n">
        <x:f>IF(T103="","",I103*T103)</x:f>
        <x:v>630.014191624477</x:v>
      </x:c>
    </x:row>
    <x:row r="104" ht="18" customHeight="1">
      <x:c r="A104" s="24" t="str">
        <x:v>EEZ_706</x:v>
      </x:c>
      <x:c r="B104" s="24" t="str">
        <x:v>Somalia</x:v>
      </x:c>
      <x:c r="C104" s="24" t="str">
        <x:v>EEZ</x:v>
      </x:c>
      <x:c r="D104" s="30" t="n">
        <x:v>2019</x:v>
      </x:c>
      <x:c r="E104" s="24" t="str">
        <x:v>Carcharhinus falciformis</x:v>
      </x:c>
      <x:c r="F104" s="24" t="str">
        <x:v>Silky shark</x:v>
      </x:c>
      <x:c r="G104" s="24" t="str">
        <x:v>Large sharks (&gt;=90 cm)</x:v>
      </x:c>
      <x:c r="H104" s="24" t="str">
        <x:v>Sharks &amp; rays</x:v>
      </x:c>
      <x:c r="I104" s="31" t="n">
        <x:v>1.477864056</x:v>
      </x:c>
      <x:c r="J104" s="31" t="n">
        <x:v>1.477864056</x:v>
      </x:c>
      <x:c r="K104" s="31" t="n">
        <x:v>0</x:v>
      </x:c>
      <x:c r="L104" s="31" t="n">
        <x:v>1.477864056</x:v>
      </x:c>
      <x:c r="M104" s="31" t="n">
        <x:v>0</x:v>
      </x:c>
      <x:c r="N104" s="24" t="str">
        <x:v>carcharhinus falciformis</x:v>
      </x:c>
      <x:c r="O104" s="32" t="n">
        <x:v>4.51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Carcharhinus falciformis</x:v>
      </x:c>
      <x:c r="T104" s="32" t="n">
        <x:f>IF(O104="","",(1/'Metadata'!$B$5)^(O104-1))</x:f>
        <x:v>3235.936569296281</x:v>
      </x:c>
      <x:c r="U104" s="31" t="n">
        <x:f>IF(T104="","",I104*T104)</x:f>
        <x:v>4782.274343258927</x:v>
      </x:c>
    </x:row>
    <x:row r="105" ht="18" customHeight="1">
      <x:c r="A105" s="24" t="str">
        <x:v>EEZ_706</x:v>
      </x:c>
      <x:c r="B105" s="24" t="str">
        <x:v>Somalia</x:v>
      </x:c>
      <x:c r="C105" s="24" t="str">
        <x:v>EEZ</x:v>
      </x:c>
      <x:c r="D105" s="30" t="n">
        <x:v>2019</x:v>
      </x:c>
      <x:c r="E105" s="24" t="str">
        <x:v>Saurida tumbil</x:v>
      </x:c>
      <x:c r="F105" s="24" t="str">
        <x:v>Greater lizardfish</x:v>
      </x:c>
      <x:c r="G105" s="24" t="str">
        <x:v>Medium demersals (30 - 89 cm)</x:v>
      </x:c>
      <x:c r="H105" s="24" t="str">
        <x:v>Other fishes &amp; inverts</x:v>
      </x:c>
      <x:c r="I105" s="31" t="n">
        <x:v>1.3596874584</x:v>
      </x:c>
      <x:c r="J105" s="31" t="n">
        <x:v>0</x:v>
      </x:c>
      <x:c r="K105" s="31" t="n">
        <x:v>1.3596874584</x:v>
      </x:c>
      <x:c r="L105" s="31" t="n">
        <x:v>0</x:v>
      </x:c>
      <x:c r="M105" s="31" t="n">
        <x:v>1.3596874584</x:v>
      </x:c>
      <x:c r="N105" s="24" t="str">
        <x:v>saurida tumbil</x:v>
      </x:c>
      <x:c r="O105" s="32" t="n">
        <x:v>4.4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Saurida tumbil</x:v>
      </x:c>
      <x:c r="T105" s="32" t="n">
        <x:f>IF(O105="","",(1/'Metadata'!$B$5)^(O105-1))</x:f>
        <x:v>2511.886431509582</x:v>
      </x:c>
      <x:c r="U105" s="31" t="n">
        <x:f>IF(T105="","",I105*T105)</x:f>
        <x:v>3415.3804778487092</x:v>
      </x:c>
    </x:row>
    <x:row r="106" ht="18" customHeight="1">
      <x:c r="A106" s="24" t="str">
        <x:v>EEZ_706</x:v>
      </x:c>
      <x:c r="B106" s="24" t="str">
        <x:v>Somalia</x:v>
      </x:c>
      <x:c r="C106" s="24" t="str">
        <x:v>EEZ</x:v>
      </x:c>
      <x:c r="D106" s="30" t="n">
        <x:v>2019</x:v>
      </x:c>
      <x:c r="E106" s="24" t="str">
        <x:v>Thenus orientalis</x:v>
      </x:c>
      <x:c r="F106" s="24" t="str">
        <x:v>Flathead lobster</x:v>
      </x:c>
      <x:c r="G106" s="24" t="str">
        <x:v>Lobsters, crabs</x:v>
      </x:c>
      <x:c r="H106" s="24" t="str">
        <x:v>Crustaceans</x:v>
      </x:c>
      <x:c r="I106" s="31" t="n">
        <x:v>1.2871173292</x:v>
      </x:c>
      <x:c r="J106" s="31" t="n">
        <x:v>1.2871173292</x:v>
      </x:c>
      <x:c r="K106" s="31" t="n">
        <x:v>0</x:v>
      </x:c>
      <x:c r="L106" s="31" t="n">
        <x:v>0</x:v>
      </x:c>
      <x:c r="M106" s="31" t="n">
        <x:v>1.2871173292</x:v>
      </x:c>
      <x:c r="N106" s="24" t="str">
        <x:v>thenus orientalis</x:v>
      </x:c>
      <x:c r="O106" s="32" t="n">
        <x:v>2.5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Thenus orientalis</x:v>
      </x:c>
      <x:c r="T106" s="32" t="n">
        <x:f>IF(O106="","",(1/'Metadata'!$B$5)^(O106-1))</x:f>
        <x:v>31.622776601683793</x:v>
      </x:c>
      <x:c r="U106" s="31" t="n">
        <x:f>IF(T106="","",I106*T106)</x:f>
        <x:v>40.70222376144749</x:v>
      </x:c>
    </x:row>
    <x:row r="107" ht="18" customHeight="1">
      <x:c r="A107" s="24" t="str">
        <x:v>EEZ_706</x:v>
      </x:c>
      <x:c r="B107" s="24" t="str">
        <x:v>Somalia</x:v>
      </x:c>
      <x:c r="C107" s="24" t="str">
        <x:v>EEZ</x:v>
      </x:c>
      <x:c r="D107" s="30" t="n">
        <x:v>2019</x:v>
      </x:c>
      <x:c r="E107" s="24" t="str">
        <x:v>Psettodes erumei</x:v>
      </x:c>
      <x:c r="F107" s="24" t="str">
        <x:v>Indian halibut</x:v>
      </x:c>
      <x:c r="G107" s="24" t="str">
        <x:v>Small to medium flatfishes (&lt;90 cm)</x:v>
      </x:c>
      <x:c r="H107" s="24" t="str">
        <x:v>Flatfishes</x:v>
      </x:c>
      <x:c r="I107" s="31" t="n">
        <x:v>1.1390418840999998</x:v>
      </x:c>
      <x:c r="J107" s="31" t="n">
        <x:v>1.1390418840999998</x:v>
      </x:c>
      <x:c r="K107" s="31" t="n">
        <x:v>0</x:v>
      </x:c>
      <x:c r="L107" s="31" t="n">
        <x:v>0</x:v>
      </x:c>
      <x:c r="M107" s="31" t="n">
        <x:v>1.1390418840999998</x:v>
      </x:c>
      <x:c r="N107" s="24" t="str">
        <x:v>psettodes erumei</x:v>
      </x:c>
      <x:c r="O107" s="32" t="n">
        <x:v>4.39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Psettodes erumei</x:v>
      </x:c>
      <x:c r="T107" s="32" t="n">
        <x:f>IF(O107="","",(1/'Metadata'!$B$5)^(O107-1))</x:f>
        <x:v>2454.7089156850284</x:v>
      </x:c>
      <x:c r="U107" s="31" t="n">
        <x:f>IF(T107="","",I107*T107)</x:f>
        <x:v>2796.0162682389423</x:v>
      </x:c>
    </x:row>
    <x:row r="108" ht="18" customHeight="1">
      <x:c r="A108" s="24" t="str">
        <x:v>EEZ_706</x:v>
      </x:c>
      <x:c r="B108" s="24" t="str">
        <x:v>Somalia</x:v>
      </x:c>
      <x:c r="C108" s="24" t="str">
        <x:v>EEZ</x:v>
      </x:c>
      <x:c r="D108" s="30" t="n">
        <x:v>2019</x:v>
      </x:c>
      <x:c r="E108" s="24" t="str">
        <x:v>Pomadasys</x:v>
      </x:c>
      <x:c r="F108" s="24" t="str">
        <x:v>Grunters</x:v>
      </x:c>
      <x:c r="G108" s="24" t="str">
        <x:v>Medium demersals (30 - 89 cm)</x:v>
      </x:c>
      <x:c r="H108" s="24" t="str">
        <x:v>Perch-likes</x:v>
      </x:c>
      <x:c r="I108" s="31" t="n">
        <x:v>1.0422668462</x:v>
      </x:c>
      <x:c r="J108" s="31" t="n">
        <x:v>1.0422668462</x:v>
      </x:c>
      <x:c r="K108" s="31" t="n">
        <x:v>0</x:v>
      </x:c>
      <x:c r="L108" s="31" t="n">
        <x:v>1.0422668462</x:v>
      </x:c>
      <x:c r="M108" s="31" t="n">
        <x:v>0</x:v>
      </x:c>
      <x:c r="N108" s="24" t="str">
        <x:v>pomadasys</x:v>
      </x:c>
      <x:c r="O108" s="32" t="n">
        <x:v>3.59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Pomadasys</x:v>
      </x:c>
      <x:c r="T108" s="32" t="n">
        <x:f>IF(O108="","",(1/'Metadata'!$B$5)^(O108-1))</x:f>
        <x:v>389.04514499428046</x:v>
      </x:c>
      <x:c r="U108" s="31" t="n">
        <x:f>IF(T108="","",I108*T108)</x:f>
        <x:v>405.48885630261043</x:v>
      </x:c>
    </x:row>
    <x:row r="109" ht="18" customHeight="1">
      <x:c r="A109" s="24" t="str">
        <x:v>EEZ_706</x:v>
      </x:c>
      <x:c r="B109" s="24" t="str">
        <x:v>Somalia</x:v>
      </x:c>
      <x:c r="C109" s="24" t="str">
        <x:v>EEZ</x:v>
      </x:c>
      <x:c r="D109" s="30" t="n">
        <x:v>2019</x:v>
      </x:c>
      <x:c r="E109" s="24" t="str">
        <x:v>Sardinella gibbosa</x:v>
      </x:c>
      <x:c r="F109" s="24" t="str">
        <x:v>Goldstripe sardinella</x:v>
      </x:c>
      <x:c r="G109" s="24" t="str">
        <x:v>Small pelagics (&lt;30 cm)</x:v>
      </x:c>
      <x:c r="H109" s="24" t="str">
        <x:v>Herring-likes</x:v>
      </x:c>
      <x:c r="I109" s="31" t="n">
        <x:v>1.0128735301999998</x:v>
      </x:c>
      <x:c r="J109" s="31" t="n">
        <x:v>0</x:v>
      </x:c>
      <x:c r="K109" s="31" t="n">
        <x:v>1.0128735301999998</x:v>
      </x:c>
      <x:c r="L109" s="31" t="n">
        <x:v>0</x:v>
      </x:c>
      <x:c r="M109" s="31" t="n">
        <x:v>1.0128735301999998</x:v>
      </x:c>
      <x:c r="N109" s="24" t="str">
        <x:v>sardinella gibbosa</x:v>
      </x:c>
      <x:c r="O109" s="32" t="n">
        <x:v>2.85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Sardinella gibbosa</x:v>
      </x:c>
      <x:c r="T109" s="32" t="n">
        <x:f>IF(O109="","",(1/'Metadata'!$B$5)^(O109-1))</x:f>
        <x:v>70.79457843841381</x:v>
      </x:c>
      <x:c r="U109" s="31" t="n">
        <x:f>IF(T109="","",I109*T109)</x:f>
        <x:v>71.70595458193698</x:v>
      </x:c>
    </x:row>
    <x:row r="110" ht="18" customHeight="1">
      <x:c r="A110" s="24" t="str">
        <x:v>EEZ_706</x:v>
      </x:c>
      <x:c r="B110" s="24" t="str">
        <x:v>Somalia</x:v>
      </x:c>
      <x:c r="C110" s="24" t="str">
        <x:v>EEZ</x:v>
      </x:c>
      <x:c r="D110" s="30" t="n">
        <x:v>2019</x:v>
      </x:c>
      <x:c r="E110" s="24" t="str">
        <x:v>Penaeus monodon</x:v>
      </x:c>
      <x:c r="F110" s="24" t="str">
        <x:v>Giant tiger prawn</x:v>
      </x:c>
      <x:c r="G110" s="24" t="str">
        <x:v>Shrimps</x:v>
      </x:c>
      <x:c r="H110" s="24" t="str">
        <x:v>Crustaceans</x:v>
      </x:c>
      <x:c r="I110" s="31" t="n">
        <x:v>0.9909664391999999</x:v>
      </x:c>
      <x:c r="J110" s="31" t="n">
        <x:v>0.9909664391999999</x:v>
      </x:c>
      <x:c r="K110" s="31" t="n">
        <x:v>0</x:v>
      </x:c>
      <x:c r="L110" s="31" t="n">
        <x:v>0</x:v>
      </x:c>
      <x:c r="M110" s="31" t="n">
        <x:v>0.9909664391999999</x:v>
      </x:c>
      <x:c r="N110" s="24" t="str">
        <x:v>penaeus monodon</x:v>
      </x:c>
      <x:c r="O110" s="32" t="n">
        <x:v>2.6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Penaeus monodon</x:v>
      </x:c>
      <x:c r="T110" s="32" t="n">
        <x:f>IF(O110="","",(1/'Metadata'!$B$5)^(O110-1))</x:f>
        <x:v>39.810717055349734</x:v>
      </x:c>
      <x:c r="U110" s="31" t="n">
        <x:f>IF(T110="","",I110*T110)</x:f>
        <x:v>39.45108452233863</x:v>
      </x:c>
    </x:row>
    <x:row r="111" ht="18" customHeight="1">
      <x:c r="A111" s="24" t="str">
        <x:v>EEZ_706</x:v>
      </x:c>
      <x:c r="B111" s="24" t="str">
        <x:v>Somalia</x:v>
      </x:c>
      <x:c r="C111" s="24" t="str">
        <x:v>EEZ</x:v>
      </x:c>
      <x:c r="D111" s="30" t="n">
        <x:v>2019</x:v>
      </x:c>
      <x:c r="E111" s="24" t="str">
        <x:v>Scomberoides</x:v>
      </x:c>
      <x:c r="F111" s="24" t="str">
        <x:v>Queenfishes</x:v>
      </x:c>
      <x:c r="G111" s="24" t="str">
        <x:v>Medium pelagics (30 - 89 cm)</x:v>
      </x:c>
      <x:c r="H111" s="24" t="str">
        <x:v>Perch-likes</x:v>
      </x:c>
      <x:c r="I111" s="31" t="n">
        <x:v>0.9692758199999999</x:v>
      </x:c>
      <x:c r="J111" s="31" t="n">
        <x:v>0.9692758199999999</x:v>
      </x:c>
      <x:c r="K111" s="31" t="n">
        <x:v>0</x:v>
      </x:c>
      <x:c r="L111" s="31" t="n">
        <x:v>0.9692758199999999</x:v>
      </x:c>
      <x:c r="M111" s="31" t="n">
        <x:v>0</x:v>
      </x:c>
      <x:c r="N111" s="24" t="str">
        <x:v>scomberoides</x:v>
      </x:c>
      <x:c r="O111" s="32" t="n">
        <x:v>4.47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Scomberoides</x:v>
      </x:c>
      <x:c r="T111" s="32" t="n">
        <x:f>IF(O111="","",(1/'Metadata'!$B$5)^(O111-1))</x:f>
        <x:v>2951.209226666384</x:v>
      </x:c>
      <x:c r="U111" s="31" t="n">
        <x:f>IF(T111="","",I111*T111)</x:f>
        <x:v>2860.535743168625</x:v>
      </x:c>
    </x:row>
    <x:row r="112" ht="18" customHeight="1">
      <x:c r="A112" s="24" t="str">
        <x:v>EEZ_706</x:v>
      </x:c>
      <x:c r="B112" s="24" t="str">
        <x:v>Somalia</x:v>
      </x:c>
      <x:c r="C112" s="24" t="str">
        <x:v>EEZ</x:v>
      </x:c>
      <x:c r="D112" s="30" t="n">
        <x:v>2019</x:v>
      </x:c>
      <x:c r="E112" s="24" t="str">
        <x:v>Sardinella sindensis</x:v>
      </x:c>
      <x:c r="F112" s="24" t="str">
        <x:v>Sind sardinella</x:v>
      </x:c>
      <x:c r="G112" s="24" t="str">
        <x:v>Small pelagics (&lt;30 cm)</x:v>
      </x:c>
      <x:c r="H112" s="24" t="str">
        <x:v>Herring-likes</x:v>
      </x:c>
      <x:c r="I112" s="31" t="n">
        <x:v>0.8211800406</x:v>
      </x:c>
      <x:c r="J112" s="31" t="n">
        <x:v>0</x:v>
      </x:c>
      <x:c r="K112" s="31" t="n">
        <x:v>0.8211800406</x:v>
      </x:c>
      <x:c r="L112" s="31" t="n">
        <x:v>0</x:v>
      </x:c>
      <x:c r="M112" s="31" t="n">
        <x:v>0.8211800406</x:v>
      </x:c>
      <x:c r="N112" s="24" t="str">
        <x:v>sardinella sindensis</x:v>
      </x:c>
      <x:c r="O112" s="32" t="n">
        <x:v>2.9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Sardinella sindensis</x:v>
      </x:c>
      <x:c r="T112" s="32" t="n">
        <x:f>IF(O112="","",(1/'Metadata'!$B$5)^(O112-1))</x:f>
        <x:v>79.43282347242814</x:v>
      </x:c>
      <x:c r="U112" s="31" t="n">
        <x:f>IF(T112="","",I112*T112)</x:f>
        <x:v>65.22864920406117</x:v>
      </x:c>
    </x:row>
    <x:row r="113" ht="18" customHeight="1">
      <x:c r="A113" s="24" t="str">
        <x:v>EEZ_706</x:v>
      </x:c>
      <x:c r="B113" s="24" t="str">
        <x:v>Somalia</x:v>
      </x:c>
      <x:c r="C113" s="24" t="str">
        <x:v>EEZ</x:v>
      </x:c>
      <x:c r="D113" s="30" t="n">
        <x:v>2019</x:v>
      </x:c>
      <x:c r="E113" s="24" t="str">
        <x:v>Isurus paucus</x:v>
      </x:c>
      <x:c r="F113" s="24" t="str">
        <x:v>Longfin mako</x:v>
      </x:c>
      <x:c r="G113" s="24" t="str">
        <x:v>Large sharks (&gt;=90 cm)</x:v>
      </x:c>
      <x:c r="H113" s="24" t="str">
        <x:v>Sharks &amp; rays</x:v>
      </x:c>
      <x:c r="I113" s="31" t="n">
        <x:v>0.7188052795</x:v>
      </x:c>
      <x:c r="J113" s="31" t="n">
        <x:v>0.7188052795</x:v>
      </x:c>
      <x:c r="K113" s="31" t="n">
        <x:v>0</x:v>
      </x:c>
      <x:c r="L113" s="31" t="n">
        <x:v>0.7188052795</x:v>
      </x:c>
      <x:c r="M113" s="31" t="n">
        <x:v>0</x:v>
      </x:c>
      <x:c r="N113" s="24" t="str">
        <x:v>isurus paucus</x:v>
      </x:c>
      <x:c r="O113" s="32" t="n">
        <x:v>4.51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Isurus paucus</x:v>
      </x:c>
      <x:c r="T113" s="32" t="n">
        <x:f>IF(O113="","",(1/'Metadata'!$B$5)^(O113-1))</x:f>
        <x:v>3235.936569296281</x:v>
      </x:c>
      <x:c r="U113" s="31" t="n">
        <x:f>IF(T113="","",I113*T113)</x:f>
        <x:v>2326.0082901372843</x:v>
      </x:c>
    </x:row>
    <x:row r="114" ht="18" customHeight="1">
      <x:c r="A114" s="24" t="str">
        <x:v>EEZ_706</x:v>
      </x:c>
      <x:c r="B114" s="24" t="str">
        <x:v>Somalia</x:v>
      </x:c>
      <x:c r="C114" s="24" t="str">
        <x:v>EEZ</x:v>
      </x:c>
      <x:c r="D114" s="30" t="n">
        <x:v>2019</x:v>
      </x:c>
      <x:c r="E114" s="24" t="str">
        <x:v>Sphyraena barracuda</x:v>
      </x:c>
      <x:c r="F114" s="24" t="str">
        <x:v>Great barracuda</x:v>
      </x:c>
      <x:c r="G114" s="24" t="str">
        <x:v>Large pelagics (&gt;=90 cm)</x:v>
      </x:c>
      <x:c r="H114" s="24" t="str">
        <x:v>Perch-likes</x:v>
      </x:c>
      <x:c r="I114" s="31" t="n">
        <x:v>0.6996001969000001</x:v>
      </x:c>
      <x:c r="J114" s="31" t="n">
        <x:v>0.6109948470000001</x:v>
      </x:c>
      <x:c r="K114" s="31" t="n">
        <x:v>0.0886053499</x:v>
      </x:c>
      <x:c r="L114" s="31" t="n">
        <x:v>0.6109948470000001</x:v>
      </x:c>
      <x:c r="M114" s="31" t="n">
        <x:v>0.0886053499</x:v>
      </x:c>
      <x:c r="N114" s="24" t="str">
        <x:v>sphyraena barracuda</x:v>
      </x:c>
      <x:c r="O114" s="32" t="n">
        <x:v>4.49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Sphyraena barracuda</x:v>
      </x:c>
      <x:c r="T114" s="32" t="n">
        <x:f>IF(O114="","",(1/'Metadata'!$B$5)^(O114-1))</x:f>
        <x:v>3090.295432513592</x:v>
      </x:c>
      <x:c r="U114" s="31" t="n">
        <x:f>IF(T114="","",I114*T114)</x:f>
        <x:v>2161.9712930656797</x:v>
      </x:c>
    </x:row>
    <x:row r="115" ht="18" customHeight="1">
      <x:c r="A115" s="24" t="str">
        <x:v>EEZ_706</x:v>
      </x:c>
      <x:c r="B115" s="24" t="str">
        <x:v>Somalia</x:v>
      </x:c>
      <x:c r="C115" s="24" t="str">
        <x:v>EEZ</x:v>
      </x:c>
      <x:c r="D115" s="30" t="n">
        <x:v>2019</x:v>
      </x:c>
      <x:c r="E115" s="24" t="str">
        <x:v>Epinephelus</x:v>
      </x:c>
      <x:c r="F115" s="24" t="str">
        <x:v>Seabasses, hinds</x:v>
      </x:c>
      <x:c r="G115" s="24" t="str">
        <x:v>Medium reef assoc. fish (30 - 89 cm)</x:v>
      </x:c>
      <x:c r="H115" s="24" t="str">
        <x:v>Perch-likes</x:v>
      </x:c>
      <x:c r="I115" s="31" t="n">
        <x:v>0.6963404888</x:v>
      </x:c>
      <x:c r="J115" s="31" t="n">
        <x:v>0.6963404888</x:v>
      </x:c>
      <x:c r="K115" s="31" t="n">
        <x:v>0</x:v>
      </x:c>
      <x:c r="L115" s="31" t="n">
        <x:v>0.6963404888</x:v>
      </x:c>
      <x:c r="M115" s="31" t="n">
        <x:v>0</x:v>
      </x:c>
      <x:c r="N115" s="24" t="str">
        <x:v>epinephelus</x:v>
      </x:c>
      <x:c r="O115" s="32" t="n">
        <x:v>3.84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Epinephelus</x:v>
      </x:c>
      <x:c r="T115" s="32" t="n">
        <x:f>IF(O115="","",(1/'Metadata'!$B$5)^(O115-1))</x:f>
        <x:v>691.8309709189363</x:v>
      </x:c>
      <x:c r="U115" s="31" t="n">
        <x:f>IF(T115="","",I115*T115)</x:f>
        <x:v>481.74991645667063</x:v>
      </x:c>
    </x:row>
    <x:row r="116" ht="18" customHeight="1">
      <x:c r="A116" s="24" t="str">
        <x:v>EEZ_706</x:v>
      </x:c>
      <x:c r="B116" s="24" t="str">
        <x:v>Somalia</x:v>
      </x:c>
      <x:c r="C116" s="24" t="str">
        <x:v>EEZ</x:v>
      </x:c>
      <x:c r="D116" s="30" t="n">
        <x:v>2019</x:v>
      </x:c>
      <x:c r="E116" s="24" t="str">
        <x:v>Penaeus latisulcatus</x:v>
      </x:c>
      <x:c r="F116" s="24" t="str">
        <x:v>Western king prawn</x:v>
      </x:c>
      <x:c r="G116" s="24" t="str">
        <x:v>Shrimps</x:v>
      </x:c>
      <x:c r="H116" s="24" t="str">
        <x:v>Crustaceans</x:v>
      </x:c>
      <x:c r="I116" s="31" t="n">
        <x:v>0.6492538739</x:v>
      </x:c>
      <x:c r="J116" s="31" t="n">
        <x:v>0.6492538739</x:v>
      </x:c>
      <x:c r="K116" s="31" t="n">
        <x:v>0</x:v>
      </x:c>
      <x:c r="L116" s="31" t="n">
        <x:v>0</x:v>
      </x:c>
      <x:c r="M116" s="31" t="n">
        <x:v>0.6492538739</x:v>
      </x:c>
      <x:c r="N116" s="24" t="str">
        <x:v>penaeus latisulcatus</x:v>
      </x:c>
      <x:c r="O116" s="32" t="n">
        <x:v>2.7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Penaeus latisulcatus</x:v>
      </x:c>
      <x:c r="T116" s="32" t="n">
        <x:f>IF(O116="","",(1/'Metadata'!$B$5)^(O116-1))</x:f>
        <x:v>50.11872336272725</x:v>
      </x:c>
      <x:c r="U116" s="31" t="n">
        <x:f>IF(T116="","",I116*T116)</x:f>
        <x:v>32.539775298173105</x:v>
      </x:c>
    </x:row>
    <x:row r="117" ht="18" customHeight="1">
      <x:c r="A117" s="24" t="str">
        <x:v>EEZ_706</x:v>
      </x:c>
      <x:c r="B117" s="24" t="str">
        <x:v>Somalia</x:v>
      </x:c>
      <x:c r="C117" s="24" t="str">
        <x:v>EEZ</x:v>
      </x:c>
      <x:c r="D117" s="30" t="n">
        <x:v>2019</x:v>
      </x:c>
      <x:c r="E117" s="24" t="str">
        <x:v>Istiophorus platypterus</x:v>
      </x:c>
      <x:c r="F117" s="24" t="str">
        <x:v>Indo-Pacific sailfish</x:v>
      </x:c>
      <x:c r="G117" s="24" t="str">
        <x:v>Large pelagics (&gt;=90 cm)</x:v>
      </x:c>
      <x:c r="H117" s="24" t="str">
        <x:v>Tuna &amp; billfishes</x:v>
      </x:c>
      <x:c r="I117" s="31" t="n">
        <x:v>0.6483659132</x:v>
      </x:c>
      <x:c r="J117" s="31" t="n">
        <x:v>0.6483659132</x:v>
      </x:c>
      <x:c r="K117" s="31" t="n">
        <x:v>0</x:v>
      </x:c>
      <x:c r="L117" s="31" t="n">
        <x:v>0.6483659132</x:v>
      </x:c>
      <x:c r="M117" s="31" t="n">
        <x:v>0</x:v>
      </x:c>
      <x:c r="N117" s="24" t="str">
        <x:v>istiophorus platypterus</x:v>
      </x:c>
      <x:c r="O117" s="32" t="n">
        <x:v>4.5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Istiophorus platypterus</x:v>
      </x:c>
      <x:c r="T117" s="32" t="n">
        <x:f>IF(O117="","",(1/'Metadata'!$B$5)^(O117-1))</x:f>
        <x:v>3162.2776601683795</x:v>
      </x:c>
      <x:c r="U117" s="31" t="n">
        <x:f>IF(T117="","",I117*T117)</x:f>
        <x:v>2050.313042927031</x:v>
      </x:c>
    </x:row>
    <x:row r="118" ht="18" customHeight="1">
      <x:c r="A118" s="24" t="str">
        <x:v>EEZ_706</x:v>
      </x:c>
      <x:c r="B118" s="24" t="str">
        <x:v>Somalia</x:v>
      </x:c>
      <x:c r="C118" s="24" t="str">
        <x:v>EEZ</x:v>
      </x:c>
      <x:c r="D118" s="30" t="n">
        <x:v>2019</x:v>
      </x:c>
      <x:c r="E118" s="24" t="str">
        <x:v>Carcharhinidae</x:v>
      </x:c>
      <x:c r="F118" s="24" t="str">
        <x:v>Requiem sharks</x:v>
      </x:c>
      <x:c r="G118" s="24" t="str">
        <x:v>Large sharks (&gt;=90 cm)</x:v>
      </x:c>
      <x:c r="H118" s="24" t="str">
        <x:v>Sharks &amp; rays</x:v>
      </x:c>
      <x:c r="I118" s="31" t="n">
        <x:v>0.5949565339999999</x:v>
      </x:c>
      <x:c r="J118" s="31" t="n">
        <x:v>0.5949565339999999</x:v>
      </x:c>
      <x:c r="K118" s="31" t="n">
        <x:v>0</x:v>
      </x:c>
      <x:c r="L118" s="31" t="n">
        <x:v>0.5949565339999999</x:v>
      </x:c>
      <x:c r="M118" s="31" t="n">
        <x:v>0</x:v>
      </x:c>
      <x:c r="N118" s="24" t="str">
        <x:v>carcharhinidae</x:v>
      </x:c>
      <x:c r="O118" s="32" t="n">
        <x:v>4.24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Carcharhinidae</x:v>
      </x:c>
      <x:c r="T118" s="32" t="n">
        <x:f>IF(O118="","",(1/'Metadata'!$B$5)^(O118-1))</x:f>
        <x:v>1737.8008287493763</x:v>
      </x:c>
      <x:c r="U118" s="31" t="n">
        <x:f>IF(T118="","",I118*T118)</x:f>
        <x:v>1033.9159578550564</x:v>
      </x:c>
    </x:row>
    <x:row r="119" ht="18" customHeight="1">
      <x:c r="A119" s="24" t="str">
        <x:v>EEZ_706</x:v>
      </x:c>
      <x:c r="B119" s="24" t="str">
        <x:v>Somalia</x:v>
      </x:c>
      <x:c r="C119" s="24" t="str">
        <x:v>EEZ</x:v>
      </x:c>
      <x:c r="D119" s="30" t="n">
        <x:v>2019</x:v>
      </x:c>
      <x:c r="E119" s="24" t="str">
        <x:v>Mollusca</x:v>
      </x:c>
      <x:c r="F119" s="24" t="str">
        <x:v>Clams, seasnails, squids, octopuses</x:v>
      </x:c>
      <x:c r="G119" s="24" t="str">
        <x:v>Other demersal invertebrates</x:v>
      </x:c>
      <x:c r="H119" s="24" t="str">
        <x:v>Molluscs</x:v>
      </x:c>
      <x:c r="I119" s="31" t="n">
        <x:v>0.28476047099999996</x:v>
      </x:c>
      <x:c r="J119" s="31" t="n">
        <x:v>0.28476047099999996</x:v>
      </x:c>
      <x:c r="K119" s="31" t="n">
        <x:v>0</x:v>
      </x:c>
      <x:c r="L119" s="31" t="n">
        <x:v>0</x:v>
      </x:c>
      <x:c r="M119" s="31" t="n">
        <x:v>0.28476047099999996</x:v>
      </x:c>
      <x:c r="N119" s="24" t="str">
        <x:v>mollusca</x:v>
      </x:c>
      <x:c r="O119" s="32" t="n">
        <x:v>2.1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Mollusca</x:v>
      </x:c>
      <x:c r="T119" s="32" t="n">
        <x:f>IF(O119="","",(1/'Metadata'!$B$5)^(O119-1))</x:f>
        <x:v>12.589254117941675</x:v>
      </x:c>
      <x:c r="U119" s="31" t="n">
        <x:f>IF(T119="","",I119*T119)</x:f>
        <x:v>3.5849219321637604</x:v>
      </x:c>
    </x:row>
    <x:row r="120" ht="18" customHeight="1">
      <x:c r="A120" s="24" t="str">
        <x:v>EEZ_706</x:v>
      </x:c>
      <x:c r="B120" s="24" t="str">
        <x:v>Somalia</x:v>
      </x:c>
      <x:c r="C120" s="24" t="str">
        <x:v>EEZ</x:v>
      </x:c>
      <x:c r="D120" s="30" t="n">
        <x:v>2019</x:v>
      </x:c>
      <x:c r="E120" s="24" t="str">
        <x:v>Marine pelagic fishes not identified</x:v>
      </x:c>
      <x:c r="F120" s="24" t="str">
        <x:v>Pelagic fishes</x:v>
      </x:c>
      <x:c r="G120" s="24" t="str">
        <x:v>Medium pelagics (30 - 89 cm)</x:v>
      </x:c>
      <x:c r="H120" s="24" t="str">
        <x:v>Other fishes &amp; inverts</x:v>
      </x:c>
      <x:c r="I120" s="31" t="n">
        <x:v>0.22288543130000002</x:v>
      </x:c>
      <x:c r="J120" s="31" t="n">
        <x:v>0.22288543130000002</x:v>
      </x:c>
      <x:c r="K120" s="31" t="n">
        <x:v>0</x:v>
      </x:c>
      <x:c r="L120" s="31" t="n">
        <x:v>0.22288543130000002</x:v>
      </x:c>
      <x:c r="M120" s="31" t="n">
        <x:v>0</x:v>
      </x:c>
      <x:c r="N120" s="24" t="str">
        <x:v>marine pelagic fishes not identified</x:v>
      </x:c>
      <x:c r="O120" s="32" t="n">
        <x:v>3.35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Marine pelagic fishes not identified</x:v>
      </x:c>
      <x:c r="T120" s="32" t="n">
        <x:f>IF(O120="","",(1/'Metadata'!$B$5)^(O120-1))</x:f>
        <x:v>223.872113856834</x:v>
      </x:c>
      <x:c r="U120" s="31" t="n">
        <x:f>IF(T120="","",I120*T120)</x:f>
        <x:v>49.89783265302316</x:v>
      </x:c>
    </x:row>
    <x:row r="121" ht="18" customHeight="1">
      <x:c r="A121" s="24" t="str">
        <x:v>EEZ_706</x:v>
      </x:c>
      <x:c r="B121" s="24" t="str">
        <x:v>Somalia</x:v>
      </x:c>
      <x:c r="C121" s="24" t="str">
        <x:v>EEZ</x:v>
      </x:c>
      <x:c r="D121" s="30" t="n">
        <x:v>2019</x:v>
      </x:c>
      <x:c r="E121" s="24" t="str">
        <x:v>Coryphaena hippurus</x:v>
      </x:c>
      <x:c r="F121" s="24" t="str">
        <x:v>Common dolphinfish</x:v>
      </x:c>
      <x:c r="G121" s="24" t="str">
        <x:v>Large pelagics (&gt;=90 cm)</x:v>
      </x:c>
      <x:c r="H121" s="24" t="str">
        <x:v>Perch-likes</x:v>
      </x:c>
      <x:c r="I121" s="31" t="n">
        <x:v>0.0330312078</x:v>
      </x:c>
      <x:c r="J121" s="31" t="n">
        <x:v>0.0330312078</x:v>
      </x:c>
      <x:c r="K121" s="31" t="n">
        <x:v>0</x:v>
      </x:c>
      <x:c r="L121" s="31" t="n">
        <x:v>0.0330312078</x:v>
      </x:c>
      <x:c r="M121" s="31" t="n">
        <x:v>0</x:v>
      </x:c>
      <x:c r="N121" s="24" t="str">
        <x:v>coryphaena hippurus</x:v>
      </x:c>
      <x:c r="O121" s="32" t="n">
        <x:v>4.37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Coryphaena hippurus</x:v>
      </x:c>
      <x:c r="T121" s="32" t="n">
        <x:f>IF(O121="","",(1/'Metadata'!$B$5)^(O121-1))</x:f>
        <x:v>2344.228815319923</x:v>
      </x:c>
      <x:c r="U121" s="31" t="n">
        <x:f>IF(T121="","",I121*T121)</x:f>
        <x:v>77.43270912958019</x:v>
      </x:c>
    </x:row>
    <x:row r="122" ht="18" customHeight="1">
      <x:c r="A122" s="24" t="str">
        <x:v>EEZ_706</x:v>
      </x:c>
      <x:c r="B122" s="24" t="str">
        <x:v>Somalia</x:v>
      </x:c>
      <x:c r="C122" s="24" t="str">
        <x:v>EEZ</x:v>
      </x:c>
      <x:c r="D122" s="30" t="n">
        <x:v>2019</x:v>
      </x:c>
      <x:c r="E122" s="24" t="str">
        <x:v>Veneridae</x:v>
      </x:c>
      <x:c r="F122" s="24" t="str">
        <x:v>Venus clams</x:v>
      </x:c>
      <x:c r="G122" s="24" t="str">
        <x:v>Other demersal invertebrates</x:v>
      </x:c>
      <x:c r="H122" s="24" t="str">
        <x:v>Molluscs</x:v>
      </x:c>
      <x:c r="I122" s="31" t="n">
        <x:v>0.0113904188</x:v>
      </x:c>
      <x:c r="J122" s="31" t="n">
        <x:v>0.0113904188</x:v>
      </x:c>
      <x:c r="K122" s="31" t="n">
        <x:v>0</x:v>
      </x:c>
      <x:c r="L122" s="31" t="n">
        <x:v>0</x:v>
      </x:c>
      <x:c r="M122" s="31" t="n">
        <x:v>0.0113904188</x:v>
      </x:c>
      <x:c r="N122" s="24" t="str">
        <x:v>veneridae</x:v>
      </x:c>
      <x:c r="O122" s="32" t="n">
        <x:v>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Veneridae</x:v>
      </x:c>
      <x:c r="T122" s="32" t="n">
        <x:f>IF(O122="","",(1/'Metadata'!$B$5)^(O122-1))</x:f>
        <x:v>10</x:v>
      </x:c>
      <x:c r="U122" s="31" t="n">
        <x:f>IF(T122="","",I122*T122)</x:f>
        <x:v>0.11390418799999999</x:v>
      </x:c>
    </x:row>
  </x:sheetData>
  <x:conditionalFormatting sqref="R2:R1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a8bbc7ef6664b2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2228.3801518469995</x:v>
      </x:c>
      <x:c r="E2" s="31" t="n">
        <x:v>2228.3801518469995</x:v>
      </x:c>
      <x:c r="F2" s="32" t="n">
        <x:v>0</x:v>
      </x:c>
      <x:c r="G2" s="34" t="n">
        <x:v>1</x:v>
      </x:c>
      <x:c r="H2" s="32" t="n">
        <x:f>IF(E2=0,"",I2/E2)</x:f>
        <x:v>158.5386408396</x:v>
      </x:c>
      <x:c r="I2" s="31" t="n">
        <x:f>IF(C2=0,"",SUMIF('Species'!$H$2:$H$122,A2,'Species'!$U$2:$U$122))</x:f>
        <x:v>353284.36054776475</x:v>
      </x:c>
      <x:c r="J2" s="32" t="n">
        <x:v>3.200114536152961</x:v>
      </x:c>
      <x:c r="K2" s="32" t="n">
        <x:f>IF(J2="","",(1/'Metadata'!$B$5)^(J2-1))</x:f>
        <x:v>158.53112302577046</x:v>
      </x:c>
      <x:c r="L2" s="31" t="n">
        <x:f>IF(E2=0,"",E2*K2)</x:f>
        <x:v>353267.60800064175</x:v>
      </x:c>
      <x:c r="M2" s="31" t="n">
        <x:f>IF(E2=0,"",I2-L2)</x:f>
        <x:v>16.75254712300375</x:v>
      </x:c>
      <x:c r="N2" s="32" t="n">
        <x:f>IF(L2=0,"",I2/L2)</x:f>
        <x:v>1.000047421690366</x:v>
      </x:c>
      <x:c r="O2" s="34" t="n">
        <x:f>IF(L2=0,"",M2/L2)</x:f>
        <x:v>0.00004742169036616943</x:v>
      </x:c>
    </x:row>
    <x:row r="3" ht="18" customHeight="1">
      <x:c r="A3" s="24" t="str">
        <x:v>Crustaceans</x:v>
      </x:c>
      <x:c r="B3" s="33" t="n">
        <x:v>11</x:v>
      </x:c>
      <x:c r="C3" s="33" t="n">
        <x:v>11</x:v>
      </x:c>
      <x:c r="D3" s="31" t="n">
        <x:v>2848.9116871757</x:v>
      </x:c>
      <x:c r="E3" s="31" t="n">
        <x:v>2848.9116871757</x:v>
      </x:c>
      <x:c r="F3" s="32" t="n">
        <x:v>0</x:v>
      </x:c>
      <x:c r="G3" s="34" t="n">
        <x:v>1</x:v>
      </x:c>
      <x:c r="H3" s="32" t="n">
        <x:f>IF(E3=0,"",I3/E3)</x:f>
        <x:v>146.32129095092992</x:v>
      </x:c>
      <x:c r="I3" s="31" t="n">
        <x:f>IF(C3=0,"",SUMIF('Species'!$H$2:$H$122,A3,'Species'!$U$2:$U$122))</x:f>
        <x:v>416856.4358727403</x:v>
      </x:c>
      <x:c r="J3" s="32" t="n">
        <x:v>3.0624954269198854</x:v>
      </x:c>
      <x:c r="K3" s="32" t="n">
        <x:f>IF(J3="","",(1/'Metadata'!$B$5)^(J3-1))</x:f>
        <x:v>115.47698250076127</x:v>
      </x:c>
      <x:c r="L3" s="31" t="n">
        <x:f>IF(E3=0,"",E3*K3)</x:f>
        <x:v>328983.7250462026</x:v>
      </x:c>
      <x:c r="M3" s="31" t="n">
        <x:f>IF(E3=0,"",I3-L3)</x:f>
        <x:v>87872.71082653769</x:v>
      </x:c>
      <x:c r="N3" s="32" t="n">
        <x:f>IF(L3=0,"",I3/L3)</x:f>
        <x:v>1.2671035195257663</x:v>
      </x:c>
      <x:c r="O3" s="34" t="n">
        <x:f>IF(L3=0,"",M3/L3)</x:f>
        <x:v>0.2671035195257662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2.8463614352999995</x:v>
      </x:c>
      <x:c r="E4" s="31" t="n">
        <x:v>2.8463614352999995</x:v>
      </x:c>
      <x:c r="F4" s="32" t="n">
        <x:v>0</x:v>
      </x:c>
      <x:c r="G4" s="34" t="n">
        <x:v>1</x:v>
      </x:c>
      <x:c r="H4" s="32" t="n">
        <x:f>IF(E4=0,"",I4/E4)</x:f>
        <x:v>1067.0400207248022</x:v>
      </x:c>
      <x:c r="I4" s="31" t="n">
        <x:f>IF(C4=0,"",SUMIF('Species'!$H$2:$H$122,A4,'Species'!$U$2:$U$122))</x:f>
        <x:v>3037.1815649127893</x:v>
      </x:c>
      <x:c r="J4" s="32" t="n">
        <x:v>3.6462166500598103</x:v>
      </x:c>
      <x:c r="K4" s="32" t="n">
        <x:f>IF(J4="","",(1/'Metadata'!$B$5)^(J4-1))</x:f>
        <x:v>442.80921495246224</x:v>
      </x:c>
      <x:c r="L4" s="31" t="n">
        <x:f>IF(E4=0,"",E4*K4)</x:f>
        <x:v>1260.3950726361563</x:v>
      </x:c>
      <x:c r="M4" s="31" t="n">
        <x:f>IF(E4=0,"",I4-L4)</x:f>
        <x:v>1776.786492276633</x:v>
      </x:c>
      <x:c r="N4" s="32" t="n">
        <x:f>IF(L4=0,"",I4/L4)</x:f>
        <x:v>2.4097059968351253</x:v>
      </x:c>
      <x:c r="O4" s="34" t="n">
        <x:f>IF(L4=0,"",M4/L4)</x:f>
        <x:v>1.4097059968351253</x:v>
      </x:c>
    </x:row>
    <x:row r="5" ht="18" customHeight="1">
      <x:c r="A5" s="24" t="str">
        <x:v>Herring-likes</x:v>
      </x:c>
      <x:c r="B5" s="33" t="n">
        <x:v>7</x:v>
      </x:c>
      <x:c r="C5" s="33" t="n">
        <x:v>7</x:v>
      </x:c>
      <x:c r="D5" s="31" t="n">
        <x:v>3094.4487127294997</x:v>
      </x:c>
      <x:c r="E5" s="31" t="n">
        <x:v>3094.4487127294997</x:v>
      </x:c>
      <x:c r="F5" s="32" t="n">
        <x:v>0</x:v>
      </x:c>
      <x:c r="G5" s="34" t="n">
        <x:v>1</x:v>
      </x:c>
      <x:c r="H5" s="32" t="n">
        <x:f>IF(E5=0,"",I5/E5)</x:f>
        <x:v>143.15085267383117</x:v>
      </x:c>
      <x:c r="I5" s="31" t="n">
        <x:f>IF(C5=0,"",SUMIF('Species'!$H$2:$H$122,A5,'Species'!$U$2:$U$122))</x:f>
        <x:v>442972.9717826671</x:v>
      </x:c>
      <x:c r="J5" s="32" t="n">
        <x:v>2.719196448529794</x:v>
      </x:c>
      <x:c r="K5" s="32" t="n">
        <x:f>IF(J5="","",(1/'Metadata'!$B$5)^(J5-1))</x:f>
        <x:v>52.38373352978026</x:v>
      </x:c>
      <x:c r="L5" s="31" t="n">
        <x:f>IF(E5=0,"",E5*K5)</x:f>
        <x:v>162098.77678919365</x:v>
      </x:c>
      <x:c r="M5" s="31" t="n">
        <x:f>IF(E5=0,"",I5-L5)</x:f>
        <x:v>280874.1949934735</x:v>
      </x:c>
      <x:c r="N5" s="32" t="n">
        <x:f>IF(L5=0,"",I5/L5)</x:f>
        <x:v>2.732734821057564</x:v>
      </x:c>
      <x:c r="O5" s="34" t="n">
        <x:f>IF(L5=0,"",M5/L5)</x:f>
        <x:v>1.732734821057564</x:v>
      </x:c>
    </x:row>
    <x:row r="6" ht="18" customHeight="1">
      <x:c r="A6" s="24" t="str">
        <x:v>Molluscs</x:v>
      </x:c>
      <x:c r="B6" s="33" t="n">
        <x:v>2</x:v>
      </x:c>
      <x:c r="C6" s="33" t="n">
        <x:v>2</x:v>
      </x:c>
      <x:c r="D6" s="31" t="n">
        <x:v>0.2961508898</x:v>
      </x:c>
      <x:c r="E6" s="31" t="n">
        <x:v>0.2961508898</x:v>
      </x:c>
      <x:c r="F6" s="32" t="n">
        <x:v>0</x:v>
      </x:c>
      <x:c r="G6" s="34" t="n">
        <x:v>1</x:v>
      </x:c>
      <x:c r="H6" s="32" t="n">
        <x:f>IF(E6=0,"",I6/E6)</x:f>
        <x:v>12.489667421434033</x:v>
      </x:c>
      <x:c r="I6" s="31" t="n">
        <x:f>IF(C6=0,"",SUMIF('Species'!$H$2:$H$122,A6,'Species'!$U$2:$U$122))</x:f>
        <x:v>3.6988261201637602</x:v>
      </x:c>
      <x:c r="J6" s="32" t="n">
        <x:v>2.0961538461668336</x:v>
      </x:c>
      <x:c r="K6" s="32" t="n">
        <x:f>IF(J6="","",(1/'Metadata'!$B$5)^(J6-1))</x:f>
        <x:v>12.478254705073377</x:v>
      </x:c>
      <x:c r="L6" s="31" t="n">
        <x:f>IF(E6=0,"",E6*K6)</x:f>
        <x:v>3.695446234058517</x:v>
      </x:c>
      <x:c r="M6" s="31" t="n">
        <x:f>IF(E6=0,"",I6-L6)</x:f>
        <x:v>0.0033798861052432017</x:v>
      </x:c>
      <x:c r="N6" s="32" t="n">
        <x:f>IF(L6=0,"",I6/L6)</x:f>
        <x:v>1.0009146083831753</x:v>
      </x:c>
      <x:c r="O6" s="34" t="n">
        <x:f>IF(L6=0,"",M6/L6)</x:f>
        <x:v>0.0009146083831752162</x:v>
      </x:c>
    </x:row>
    <x:row r="7" ht="18" customHeight="1">
      <x:c r="A7" s="24" t="str">
        <x:v>Other fishes &amp; inverts</x:v>
      </x:c>
      <x:c r="B7" s="33" t="n">
        <x:v>20</x:v>
      </x:c>
      <x:c r="C7" s="33" t="n">
        <x:v>20</x:v>
      </x:c>
      <x:c r="D7" s="31" t="n">
        <x:v>23617.910401775</x:v>
      </x:c>
      <x:c r="E7" s="31" t="n">
        <x:v>23617.910401775</x:v>
      </x:c>
      <x:c r="F7" s="32" t="n">
        <x:v>0</x:v>
      </x:c>
      <x:c r="G7" s="34" t="n">
        <x:v>1</x:v>
      </x:c>
      <x:c r="H7" s="32" t="n">
        <x:f>IF(E7=0,"",I7/E7)</x:f>
        <x:v>317.7167789203428</x:v>
      </x:c>
      <x:c r="I7" s="31" t="n">
        <x:f>IF(C7=0,"",SUMIF('Species'!$H$2:$H$122,A7,'Species'!$U$2:$U$122))</x:f>
        <x:v>7503806.417681213</x:v>
      </x:c>
      <x:c r="J7" s="32" t="n">
        <x:v>3.4275153877519666</x:v>
      </x:c>
      <x:c r="K7" s="32" t="n">
        <x:f>IF(J7="","",(1/'Metadata'!$B$5)^(J7-1))</x:f>
        <x:v>267.6180412895626</x:v>
      </x:c>
      <x:c r="L7" s="31" t="n">
        <x:f>IF(E7=0,"",E7*K7)</x:f>
        <x:v>6320578.921075412</x:v>
      </x:c>
      <x:c r="M7" s="31" t="n">
        <x:f>IF(E7=0,"",I7-L7)</x:f>
        <x:v>1183227.4966058005</x:v>
      </x:c>
      <x:c r="N7" s="32" t="n">
        <x:f>IF(L7=0,"",I7/L7)</x:f>
        <x:v>1.1872023925942026</x:v>
      </x:c>
      <x:c r="O7" s="34" t="n">
        <x:f>IF(L7=0,"",M7/L7)</x:f>
        <x:v>0.18720239259420254</x:v>
      </x:c>
    </x:row>
    <x:row r="8" ht="18" customHeight="1">
      <x:c r="A8" s="24" t="str">
        <x:v>Perch-likes</x:v>
      </x:c>
      <x:c r="B8" s="33" t="n">
        <x:v>50</x:v>
      </x:c>
      <x:c r="C8" s="33" t="n">
        <x:v>50</x:v>
      </x:c>
      <x:c r="D8" s="31" t="n">
        <x:v>66646.5636295951</x:v>
      </x:c>
      <x:c r="E8" s="31" t="n">
        <x:v>66646.5636295951</x:v>
      </x:c>
      <x:c r="F8" s="32" t="n">
        <x:v>0</x:v>
      </x:c>
      <x:c r="G8" s="34" t="n">
        <x:v>1</x:v>
      </x:c>
      <x:c r="H8" s="32" t="n">
        <x:f>IF(E8=0,"",I8/E8)</x:f>
        <x:v>1147.3408543640755</x:v>
      </x:c>
      <x:c r="I8" s="31" t="n">
        <x:f>IF(C8=0,"",SUMIF('Species'!$H$2:$H$122,A8,'Species'!$U$2:$U$122))</x:f>
        <x:v>76466325.25520936</x:v>
      </x:c>
      <x:c r="J8" s="32" t="n">
        <x:v>3.861376722653516</x:v>
      </x:c>
      <x:c r="K8" s="32" t="n">
        <x:f>IF(J8="","",(1/'Metadata'!$B$5)^(J8-1))</x:f>
        <x:v>726.7360811143511</x:v>
      </x:c>
      <x:c r="L8" s="31" t="n">
        <x:f>IF(E8=0,"",E8*K8)</x:f>
        <x:v>48434462.471910186</x:v>
      </x:c>
      <x:c r="M8" s="31" t="n">
        <x:f>IF(E8=0,"",I8-L8)</x:f>
        <x:v>28031862.78329917</x:v>
      </x:c>
      <x:c r="N8" s="32" t="n">
        <x:f>IF(L8=0,"",I8/L8)</x:f>
        <x:v>1.5787586225315577</x:v>
      </x:c>
      <x:c r="O8" s="34" t="n">
        <x:f>IF(L8=0,"",M8/L8)</x:f>
        <x:v>0.5787586225315579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131.4344888025</x:v>
      </x:c>
      <x:c r="E9" s="31" t="n">
        <x:v>131.4344888025</x:v>
      </x:c>
      <x:c r="F9" s="32" t="n">
        <x:v>0</x:v>
      </x:c>
      <x:c r="G9" s="34" t="n">
        <x:v>1</x:v>
      </x:c>
      <x:c r="H9" s="32" t="n">
        <x:f>IF(E9=0,"",I9/E9)</x:f>
        <x:v>794.3282347242813</x:v>
      </x:c>
      <x:c r="I9" s="31" t="n">
        <x:f>IF(C9=0,"",SUMIF('Species'!$H$2:$H$122,A9,'Species'!$U$2:$U$122))</x:f>
        <x:v>104402.12547237815</x:v>
      </x:c>
      <x:c r="J9" s="32" t="n">
        <x:v>3.8999999999999995</x:v>
      </x:c>
      <x:c r="K9" s="32" t="n">
        <x:f>IF(J9="","",(1/'Metadata'!$B$5)^(J9-1))</x:f>
        <x:v>794.3282347242805</x:v>
      </x:c>
      <x:c r="L9" s="31" t="n">
        <x:f>IF(E9=0,"",E9*K9)</x:f>
        <x:v>104402.12547237803</x:v>
      </x:c>
      <x:c r="M9" s="31" t="n">
        <x:f>IF(E9=0,"",I9-L9)</x:f>
        <x:v>1.1641532182693481e-10</x:v>
      </x:c>
      <x:c r="N9" s="32" t="n">
        <x:f>IF(L9=0,"",I9/L9)</x:f>
        <x:v>1.000000000000001</x:v>
      </x:c>
      <x:c r="O9" s="34" t="n">
        <x:f>IF(L9=0,"",M9/L9)</x:f>
        <x:v>1.1150665879664984e-15</x:v>
      </x:c>
    </x:row>
    <x:row r="10" ht="18" customHeight="1">
      <x:c r="A10" s="24" t="str">
        <x:v>Sharks &amp; rays</x:v>
      </x:c>
      <x:c r="B10" s="33" t="n">
        <x:v>14</x:v>
      </x:c>
      <x:c r="C10" s="33" t="n">
        <x:v>14</x:v>
      </x:c>
      <x:c r="D10" s="31" t="n">
        <x:v>27329.7123225263</x:v>
      </x:c>
      <x:c r="E10" s="31" t="n">
        <x:v>27329.7123225263</x:v>
      </x:c>
      <x:c r="F10" s="32" t="n">
        <x:v>0</x:v>
      </x:c>
      <x:c r="G10" s="34" t="n">
        <x:v>1</x:v>
      </x:c>
      <x:c r="H10" s="32" t="n">
        <x:f>IF(E10=0,"",I10/E10)</x:f>
        <x:v>1649.4459956462474</x:v>
      </x:c>
      <x:c r="I10" s="31" t="n">
        <x:f>IF(C10=0,"",SUMIF('Species'!$H$2:$H$122,A10,'Species'!$U$2:$U$122))</x:f>
        <x:v>45078884.552554905</x:v>
      </x:c>
      <x:c r="J10" s="32" t="n">
        <x:v>4.136526715021921</x:v>
      </x:c>
      <x:c r="K10" s="32" t="n">
        <x:f>IF(J10="","",(1/'Metadata'!$B$5)^(J10-1))</x:f>
        <x:v>1369.3886218397406</x:v>
      </x:c>
      <x:c r="L10" s="31" t="n">
        <x:f>IF(E10=0,"",E10*K10)</x:f>
        <x:v>37424997.092620865</x:v>
      </x:c>
      <x:c r="M10" s="31" t="n">
        <x:f>IF(E10=0,"",I10-L10)</x:f>
        <x:v>7653887.459934041</x:v>
      </x:c>
      <x:c r="N10" s="32" t="n">
        <x:f>IF(L10=0,"",I10/L10)</x:f>
        <x:v>1.2045127068678696</x:v>
      </x:c>
      <x:c r="O10" s="34" t="n">
        <x:f>IF(L10=0,"",M10/L10)</x:f>
        <x:v>0.20451270686786954</x:v>
      </x:c>
    </x:row>
    <x:row r="11" ht="18" customHeight="1">
      <x:c r="A11" s="24" t="str">
        <x:v>Tuna &amp; billfishes</x:v>
      </x:c>
      <x:c r="B11" s="33" t="n">
        <x:v>12</x:v>
      </x:c>
      <x:c r="C11" s="33" t="n">
        <x:v>12</x:v>
      </x:c>
      <x:c r="D11" s="31" t="n">
        <x:v>13803.3052765067</x:v>
      </x:c>
      <x:c r="E11" s="31" t="n">
        <x:v>13803.3052765067</x:v>
      </x:c>
      <x:c r="F11" s="32" t="n">
        <x:v>0</x:v>
      </x:c>
      <x:c r="G11" s="34" t="n">
        <x:v>1</x:v>
      </x:c>
      <x:c r="H11" s="32" t="n">
        <x:f>IF(E11=0,"",I11/E11)</x:f>
        <x:v>2582.397516638148</x:v>
      </x:c>
      <x:c r="I11" s="31" t="n">
        <x:f>IF(C11=0,"",SUMIF('Species'!$H$2:$H$122,A11,'Species'!$U$2:$U$122))</x:f>
        <x:v>35645621.26744915</x:v>
      </x:c>
      <x:c r="J11" s="32" t="n">
        <x:v>4.408465901688617</x:v>
      </x:c>
      <x:c r="K11" s="32" t="n">
        <x:f>IF(J11="","",(1/'Metadata'!$B$5)^(J11-1))</x:f>
        <x:v>2561.3321550853852</x:v>
      </x:c>
      <x:c r="L11" s="31" t="n">
        <x:f>IF(E11=0,"",E11*K11)</x:f>
        <x:v>35354849.65117638</x:v>
      </x:c>
      <x:c r="M11" s="31" t="n">
        <x:f>IF(E11=0,"",I11-L11)</x:f>
        <x:v>290771.61627276987</x:v>
      </x:c>
      <x:c r="N11" s="32" t="n">
        <x:f>IF(L11=0,"",I11/L11)</x:f>
        <x:v>1.0082243771120971</x:v>
      </x:c>
      <x:c r="O11" s="34" t="n">
        <x:f>IF(L11=0,"",M11/L11)</x:f>
        <x:v>0.008224377112097121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ba8abc45e0845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3682.0774805747</x:v>
      </x:c>
      <x:c r="E2" s="31" t="n">
        <x:v>3682.0774805747</x:v>
      </x:c>
      <x:c r="F2" s="32" t="n">
        <x:v>0</x:v>
      </x:c>
      <x:c r="G2" s="34" t="n">
        <x:v>1</x:v>
      </x:c>
      <x:c r="H2" s="32" t="n">
        <x:f>IF(E2=0,"",I2/E2)</x:f>
        <x:v>625.6648013092444</x:v>
      </x:c>
      <x:c r="I2" s="31" t="n">
        <x:f>IF(C2=0,"",SUMIF('Species'!$G$2:$G$122,A2,'Species'!$U$2:$U$122))</x:f>
        <x:v>2303746.2752890126</x:v>
      </x:c>
      <x:c r="J2" s="32" t="n">
        <x:v>3.775743236076896</x:v>
      </x:c>
      <x:c r="K2" s="32" t="n">
        <x:f>IF(J2="","",(1/'Metadata'!$B$5)^(J2-1))</x:f>
        <x:v>596.6824112388632</x:v>
      </x:c>
      <x:c r="L2" s="31" t="n">
        <x:f>IF(E2=0,"",E2*K2)</x:f>
        <x:v>2197030.8694776306</x:v>
      </x:c>
      <x:c r="M2" s="31" t="n">
        <x:f>IF(E2=0,"",I2-L2)</x:f>
        <x:v>106715.40581138199</x:v>
      </x:c>
      <x:c r="N2" s="32" t="n">
        <x:f>IF(L2=0,"",I2/L2)</x:f>
        <x:v>1.0485725563959667</x:v>
      </x:c>
      <x:c r="O2" s="34" t="n">
        <x:f>IF(L2=0,"",M2/L2)</x:f>
        <x:v>0.048572556395966714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7732.4503007503</x:v>
      </x:c>
      <x:c r="E3" s="31" t="n">
        <x:v>7732.4503007503</x:v>
      </x:c>
      <x:c r="F3" s="32" t="n">
        <x:v>0</x:v>
      </x:c>
      <x:c r="G3" s="34" t="n">
        <x:v>1</x:v>
      </x:c>
      <x:c r="H3" s="32" t="n">
        <x:f>IF(E3=0,"",I3/E3)</x:f>
        <x:v>286.39575215249516</x:v>
      </x:c>
      <x:c r="I3" s="31" t="n">
        <x:f>IF(C3=0,"",SUMIF('Species'!$G$2:$G$122,A3,'Species'!$U$2:$U$122))</x:f>
        <x:v>2214540.9198651696</x:v>
      </x:c>
      <x:c r="J3" s="32" t="n">
        <x:v>3.4524951342429</x:v>
      </x:c>
      <x:c r="K3" s="32" t="n">
        <x:f>IF(J3="","",(1/'Metadata'!$B$5)^(J3-1))</x:f>
        <x:v>283.4621874719174</x:v>
      </x:c>
      <x:c r="L3" s="31" t="n">
        <x:f>IF(E3=0,"",E3*K3)</x:f>
        <x:v>2191857.2767685656</x:v>
      </x:c>
      <x:c r="M3" s="31" t="n">
        <x:f>IF(E3=0,"",I3-L3)</x:f>
        <x:v>22683.64309660392</x:v>
      </x:c>
      <x:c r="N3" s="32" t="n">
        <x:f>IF(L3=0,"",I3/L3)</x:f>
        <x:v>1.0103490511617828</x:v>
      </x:c>
      <x:c r="O3" s="34" t="n">
        <x:f>IF(L3=0,"",M3/L3)</x:f>
        <x:v>0.01034905116178285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308.5258260476</x:v>
      </x:c>
      <x:c r="E4" s="31" t="n">
        <x:v>308.5258260476</x:v>
      </x:c>
      <x:c r="F4" s="32" t="n">
        <x:v>0</x:v>
      </x:c>
      <x:c r="G4" s="34" t="n">
        <x:v>1</x:v>
      </x:c>
      <x:c r="H4" s="32" t="n">
        <x:f>IF(E4=0,"",I4/E4)</x:f>
        <x:v>1974.2799871282402</x:v>
      </x:c>
      <x:c r="I4" s="31" t="n">
        <x:f>IF(C4=0,"",SUMIF('Species'!$G$2:$G$122,A4,'Species'!$U$2:$U$122))</x:f>
        <x:v>609116.3638779854</x:v>
      </x:c>
      <x:c r="J4" s="32" t="n">
        <x:v>4.258225475978976</x:v>
      </x:c>
      <x:c r="K4" s="32" t="n">
        <x:f>IF(J4="","",(1/'Metadata'!$B$5)^(J4-1))</x:f>
        <x:v>1812.2807440338781</x:v>
      </x:c>
      <x:c r="L4" s="31" t="n">
        <x:f>IF(E4=0,"",E4*K4)</x:f>
        <x:v>559135.4135832114</x:v>
      </x:c>
      <x:c r="M4" s="31" t="n">
        <x:f>IF(E4=0,"",I4-L4)</x:f>
        <x:v>49980.950294774026</x:v>
      </x:c>
      <x:c r="N4" s="32" t="n">
        <x:f>IF(L4=0,"",I4/L4)</x:f>
        <x:v>1.0893897061079925</x:v>
      </x:c>
      <x:c r="O4" s="34" t="n">
        <x:f>IF(L4=0,"",M4/L4)</x:f>
        <x:v>0.08938970610799236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18.0077584388</x:v>
      </x:c>
      <x:c r="E5" s="31" t="n">
        <x:v>18.0077584388</x:v>
      </x:c>
      <x:c r="F5" s="32" t="n">
        <x:v>0</x:v>
      </x:c>
      <x:c r="G5" s="34" t="n">
        <x:v>1</x:v>
      </x:c>
      <x:c r="H5" s="32" t="n">
        <x:f>IF(E5=0,"",I5/E5)</x:f>
        <x:v>1171.3982005177695</x:v>
      </x:c>
      <x:c r="I5" s="31" t="n">
        <x:f>IF(C5=0,"",SUMIF('Species'!$G$2:$G$122,A5,'Species'!$U$2:$U$122))</x:f>
        <x:v>21094.255830569</x:v>
      </x:c>
      <x:c r="J5" s="32" t="n">
        <x:v>3.9433548939618066</x:v>
      </x:c>
      <x:c r="K5" s="32" t="n">
        <x:f>IF(J5="","",(1/'Metadata'!$B$5)^(J5-1))</x:f>
        <x:v>877.7177759128757</x:v>
      </x:c>
      <x:c r="L5" s="31" t="n">
        <x:f>IF(E5=0,"",E5*K5)</x:f>
        <x:v>15805.729686079854</x:v>
      </x:c>
      <x:c r="M5" s="31" t="n">
        <x:f>IF(E5=0,"",I5-L5)</x:f>
        <x:v>5288.526144489146</x:v>
      </x:c>
      <x:c r="N5" s="32" t="n">
        <x:f>IF(L5=0,"",I5/L5)</x:f>
        <x:v>1.3345955074220182</x:v>
      </x:c>
      <x:c r="O5" s="34" t="n">
        <x:f>IF(L5=0,"",M5/L5)</x:f>
        <x:v>0.3345955074220182</x:v>
      </x:c>
    </x:row>
    <x:row r="6" ht="18" customHeight="1">
      <x:c r="A6" s="24" t="str">
        <x:v>Large pelagics (&gt;=90 cm)</x:v>
      </x:c>
      <x:c r="B6" s="33" t="n">
        <x:v>17</x:v>
      </x:c>
      <x:c r="C6" s="33" t="n">
        <x:v>17</x:v>
      </x:c>
      <x:c r="D6" s="31" t="n">
        <x:v>20180.623195310898</x:v>
      </x:c>
      <x:c r="E6" s="31" t="n">
        <x:v>20180.623195310898</x:v>
      </x:c>
      <x:c r="F6" s="32" t="n">
        <x:v>0</x:v>
      </x:c>
      <x:c r="G6" s="34" t="n">
        <x:v>1</x:v>
      </x:c>
      <x:c r="H6" s="32" t="n">
        <x:f>IF(E6=0,"",I6/E6)</x:f>
        <x:v>2949.5953387237723</x:v>
      </x:c>
      <x:c r="I6" s="31" t="n">
        <x:f>IF(C6=0,"",SUMIF('Species'!$G$2:$G$122,A6,'Species'!$U$2:$U$122))</x:f>
        <x:v>59524672.109429866</x:v>
      </x:c>
      <x:c r="J6" s="32" t="n">
        <x:v>4.467425499092202</x:v>
      </x:c>
      <x:c r="K6" s="32" t="n">
        <x:f>IF(J6="","",(1/'Metadata'!$B$5)^(J6-1))</x:f>
        <x:v>2933.76618880548</x:v>
      </x:c>
      <x:c r="L6" s="31" t="n">
        <x:f>IF(E6=0,"",E6*K6)</x:f>
        <x:v>59205229.99942672</x:v>
      </x:c>
      <x:c r="M6" s="31" t="n">
        <x:f>IF(E6=0,"",I6-L6)</x:f>
        <x:v>319442.11000314355</x:v>
      </x:c>
      <x:c r="N6" s="32" t="n">
        <x:f>IF(L6=0,"",I6/L6)</x:f>
        <x:v>1.005395504924248</x:v>
      </x:c>
      <x:c r="O6" s="34" t="n">
        <x:f>IF(L6=0,"",M6/L6)</x:f>
        <x:v>0.005395504924248021</x:v>
      </x:c>
    </x:row>
    <x:row r="7" ht="18" customHeight="1">
      <x:c r="A7" s="24" t="str">
        <x:v>Large rays (&gt;=90 cm)</x:v>
      </x:c>
      <x:c r="B7" s="33" t="n">
        <x:v>3</x:v>
      </x:c>
      <x:c r="C7" s="33" t="n">
        <x:v>3</x:v>
      </x:c>
      <x:c r="D7" s="31" t="n">
        <x:v>4166.4079641384005</x:v>
      </x:c>
      <x:c r="E7" s="31" t="n">
        <x:v>4166.4079641384005</x:v>
      </x:c>
      <x:c r="F7" s="32" t="n">
        <x:v>0</x:v>
      </x:c>
      <x:c r="G7" s="34" t="n">
        <x:v>1</x:v>
      </x:c>
      <x:c r="H7" s="32" t="n">
        <x:f>IF(E7=0,"",I7/E7)</x:f>
        <x:v>524.6215807828144</x:v>
      </x:c>
      <x:c r="I7" s="31" t="n">
        <x:f>IF(C7=0,"",SUMIF('Species'!$G$2:$G$122,A7,'Species'!$U$2:$U$122))</x:f>
        <x:v>2185787.532332395</x:v>
      </x:c>
      <x:c r="J7" s="32" t="n">
        <x:v>3.7198091230400863</x:v>
      </x:c>
      <x:c r="K7" s="32" t="n">
        <x:f>IF(J7="","",(1/'Metadata'!$B$5)^(J7-1))</x:f>
        <x:v>524.5768525716479</x:v>
      </x:c>
      <x:c r="L7" s="31" t="n">
        <x:f>IF(E7=0,"",E7*K7)</x:f>
        <x:v>2185601.1763571696</x:v>
      </x:c>
      <x:c r="M7" s="31" t="n">
        <x:f>IF(E7=0,"",I7-L7)</x:f>
        <x:v>186.35597522556782</x:v>
      </x:c>
      <x:c r="N7" s="32" t="n">
        <x:f>IF(L7=0,"",I7/L7)</x:f>
        <x:v>1.0000852653161252</x:v>
      </x:c>
      <x:c r="O7" s="34" t="n">
        <x:f>IF(L7=0,"",M7/L7)</x:f>
        <x:v>0.00008526531612513812</x:v>
      </x:c>
    </x:row>
    <x:row r="8" ht="18" customHeight="1">
      <x:c r="A8" s="24" t="str">
        <x:v>Large reef assoc. fish (&gt;=90 cm)</x:v>
      </x:c>
      <x:c r="B8" s="33" t="n">
        <x:v>1</x:v>
      </x:c>
      <x:c r="C8" s="33" t="n">
        <x:v>1</x:v>
      </x:c>
      <x:c r="D8" s="31" t="n">
        <x:v>798.867195555</x:v>
      </x:c>
      <x:c r="E8" s="31" t="n">
        <x:v>798.867195555</x:v>
      </x:c>
      <x:c r="F8" s="32" t="n">
        <x:v>0</x:v>
      </x:c>
      <x:c r="G8" s="34" t="n">
        <x:v>1</x:v>
      </x:c>
      <x:c r="H8" s="32" t="n">
        <x:f>IF(E8=0,"",I8/E8)</x:f>
        <x:v>1905.4607179632483</x:v>
      </x:c>
      <x:c r="I8" s="31" t="n">
        <x:f>IF(C8=0,"",SUMIF('Species'!$G$2:$G$122,A8,'Species'!$U$2:$U$122))</x:f>
        <x:v>1522210.059999517</x:v>
      </x:c>
      <x:c r="J8" s="32" t="n">
        <x:v>4.28</x:v>
      </x:c>
      <x:c r="K8" s="32" t="n">
        <x:f>IF(J8="","",(1/'Metadata'!$B$5)^(J8-1))</x:f>
        <x:v>1905.4607179632483</x:v>
      </x:c>
      <x:c r="L8" s="31" t="n">
        <x:f>IF(E8=0,"",E8*K8)</x:f>
        <x:v>1522210.059999517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sharks (&gt;=90 cm)</x:v>
      </x:c>
      <x:c r="B9" s="33" t="n">
        <x:v>11</x:v>
      </x:c>
      <x:c r="C9" s="33" t="n">
        <x:v>11</x:v>
      </x:c>
      <x:c r="D9" s="31" t="n">
        <x:v>23163.3043583879</x:v>
      </x:c>
      <x:c r="E9" s="31" t="n">
        <x:v>23163.3043583879</x:v>
      </x:c>
      <x:c r="F9" s="32" t="n">
        <x:v>0</x:v>
      </x:c>
      <x:c r="G9" s="34" t="n">
        <x:v>1</x:v>
      </x:c>
      <x:c r="H9" s="32" t="n">
        <x:f>IF(E9=0,"",I9/E9)</x:f>
        <x:v>1851.7693484733775</x:v>
      </x:c>
      <x:c r="I9" s="31" t="n">
        <x:f>IF(C9=0,"",SUMIF('Species'!$G$2:$G$122,A9,'Species'!$U$2:$U$122))</x:f>
        <x:v>42893097.02022251</x:v>
      </x:c>
      <x:c r="J9" s="32" t="n">
        <x:v>4.211482147423386</x:v>
      </x:c>
      <x:c r="K9" s="32" t="n">
        <x:f>IF(J9="","",(1/'Metadata'!$B$5)^(J9-1))</x:f>
        <x:v>1627.3544184842353</x:v>
      </x:c>
      <x:c r="L9" s="31" t="n">
        <x:f>IF(E9=0,"",E9*K9)</x:f>
        <x:v>37694905.6943177</x:v>
      </x:c>
      <x:c r="M9" s="31" t="n">
        <x:f>IF(E9=0,"",I9-L9)</x:f>
        <x:v>5198191.325904809</x:v>
      </x:c>
      <x:c r="N9" s="32" t="n">
        <x:f>IF(L9=0,"",I9/L9)</x:f>
        <x:v>1.1379016933497306</x:v>
      </x:c>
      <x:c r="O9" s="34" t="n">
        <x:f>IF(L9=0,"",M9/L9)</x:f>
        <x:v>0.1379016933497305</x:v>
      </x:c>
    </x:row>
    <x:row r="10" ht="18" customHeight="1">
      <x:c r="A10" s="24" t="str">
        <x:v>Lobsters, crabs</x:v>
      </x:c>
      <x:c r="B10" s="33" t="n">
        <x:v>4</x:v>
      </x:c>
      <x:c r="C10" s="33" t="n">
        <x:v>4</x:v>
      </x:c>
      <x:c r="D10" s="31" t="n">
        <x:v>1159.1914641170001</x:v>
      </x:c>
      <x:c r="E10" s="31" t="n">
        <x:v>1159.1914641170001</x:v>
      </x:c>
      <x:c r="F10" s="32" t="n">
        <x:v>0</x:v>
      </x:c>
      <x:c r="G10" s="34" t="n">
        <x:v>1</x:v>
      </x:c>
      <x:c r="H10" s="32" t="n">
        <x:f>IF(E10=0,"",I10/E10)</x:f>
        <x:v>77.00497042340736</x:v>
      </x:c>
      <x:c r="I10" s="31" t="n">
        <x:f>IF(C10=0,"",SUMIF('Species'!$G$2:$G$122,A10,'Species'!$U$2:$U$122))</x:f>
        <x:v>89263.50440939587</x:v>
      </x:c>
      <x:c r="J10" s="32" t="n">
        <x:v>2.7663984077582797</x:v>
      </x:c>
      <x:c r="K10" s="32" t="n">
        <x:f>IF(J10="","",(1/'Metadata'!$B$5)^(J10-1))</x:f>
        <x:v>58.39805835833143</x:v>
      </x:c>
      <x:c r="L10" s="31" t="n">
        <x:f>IF(E10=0,"",E10*K10)</x:f>
        <x:v>67694.53076998422</x:v>
      </x:c>
      <x:c r="M10" s="31" t="n">
        <x:f>IF(E10=0,"",I10-L10)</x:f>
        <x:v>21568.973639411648</x:v>
      </x:c>
      <x:c r="N10" s="32" t="n">
        <x:f>IF(L10=0,"",I10/L10)</x:f>
        <x:v>1.318622101284663</x:v>
      </x:c>
      <x:c r="O10" s="34" t="n">
        <x:f>IF(L10=0,"",M10/L10)</x:f>
        <x:v>0.318622101284663</x:v>
      </x:c>
    </x:row>
    <x:row r="11" ht="18" customHeight="1">
      <x:c r="A11" s="24" t="str">
        <x:v>Medium bathydemersals (30 - 89 cm)</x:v>
      </x:c>
      <x:c r="B11" s="33" t="n">
        <x:v>1</x:v>
      </x:c>
      <x:c r="C11" s="33" t="n">
        <x:v>1</x:v>
      </x:c>
      <x:c r="D11" s="31" t="n">
        <x:v>435.15172605500004</x:v>
      </x:c>
      <x:c r="E11" s="31" t="n">
        <x:v>435.15172605500004</x:v>
      </x:c>
      <x:c r="F11" s="32" t="n">
        <x:v>0</x:v>
      </x:c>
      <x:c r="G11" s="34" t="n">
        <x:v>1</x:v>
      </x:c>
      <x:c r="H11" s="32" t="n">
        <x:f>IF(E11=0,"",I11/E11)</x:f>
        <x:v>2290.867652767775</x:v>
      </x:c>
      <x:c r="I11" s="31" t="n">
        <x:f>IF(C11=0,"",SUMIF('Species'!$G$2:$G$122,A11,'Species'!$U$2:$U$122))</x:f>
        <x:v>996875.0132654638</x:v>
      </x:c>
      <x:c r="J11" s="32" t="n">
        <x:v>4.36</x:v>
      </x:c>
      <x:c r="K11" s="32" t="n">
        <x:f>IF(J11="","",(1/'Metadata'!$B$5)^(J11-1))</x:f>
        <x:v>2290.867652767775</x:v>
      </x:c>
      <x:c r="L11" s="31" t="n">
        <x:f>IF(E11=0,"",E11*K11)</x:f>
        <x:v>996875.0132654638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benthopelagics (30 - 89 cm)</x:v>
      </x:c>
      <x:c r="B12" s="33" t="n">
        <x:v>5</x:v>
      </x:c>
      <x:c r="C12" s="33" t="n">
        <x:v>5</x:v>
      </x:c>
      <x:c r="D12" s="31" t="n">
        <x:v>344.15123870810004</x:v>
      </x:c>
      <x:c r="E12" s="31" t="n">
        <x:v>344.15123870810004</x:v>
      </x:c>
      <x:c r="F12" s="32" t="n">
        <x:v>0</x:v>
      </x:c>
      <x:c r="G12" s="34" t="n">
        <x:v>1</x:v>
      </x:c>
      <x:c r="H12" s="32" t="n">
        <x:f>IF(E12=0,"",I12/E12)</x:f>
        <x:v>200.98345094280052</x:v>
      </x:c>
      <x:c r="I12" s="31" t="n">
        <x:f>IF(C12=0,"",SUMIF('Species'!$G$2:$G$122,A12,'Species'!$U$2:$U$122))</x:f>
        <x:v>69168.70360179346</x:v>
      </x:c>
      <x:c r="J12" s="32" t="n">
        <x:v>3.2667898052520012</x:v>
      </x:c>
      <x:c r="K12" s="32" t="n">
        <x:f>IF(J12="","",(1/'Metadata'!$B$5)^(J12-1))</x:f>
        <x:v>184.8373805625798</x:v>
      </x:c>
      <x:c r="L12" s="31" t="n">
        <x:f>IF(E12=0,"",E12*K12)</x:f>
        <x:v>63612.01348017233</x:v>
      </x:c>
      <x:c r="M12" s="31" t="n">
        <x:f>IF(E12=0,"",I12-L12)</x:f>
        <x:v>5556.690121621126</x:v>
      </x:c>
      <x:c r="N12" s="32" t="n">
        <x:f>IF(L12=0,"",I12/L12)</x:f>
        <x:v>1.0873528413520999</x:v>
      </x:c>
      <x:c r="O12" s="34" t="n">
        <x:f>IF(L12=0,"",M12/L12)</x:f>
        <x:v>0.08735284135209978</x:v>
      </x:c>
    </x:row>
    <x:row r="13" ht="18" customHeight="1">
      <x:c r="A13" s="24" t="str">
        <x:v>Medium demersals (30 - 89 cm)</x:v>
      </x:c>
      <x:c r="B13" s="33" t="n">
        <x:v>15</x:v>
      </x:c>
      <x:c r="C13" s="33" t="n">
        <x:v>15</x:v>
      </x:c>
      <x:c r="D13" s="31" t="n">
        <x:v>19826.672751748403</x:v>
      </x:c>
      <x:c r="E13" s="31" t="n">
        <x:v>19826.672751748403</x:v>
      </x:c>
      <x:c r="F13" s="32" t="n">
        <x:v>0</x:v>
      </x:c>
      <x:c r="G13" s="34" t="n">
        <x:v>1</x:v>
      </x:c>
      <x:c r="H13" s="32" t="n">
        <x:f>IF(E13=0,"",I13/E13)</x:f>
        <x:v>409.8126034355122</x:v>
      </x:c>
      <x:c r="I13" s="31" t="n">
        <x:f>IF(C13=0,"",SUMIF('Species'!$G$2:$G$122,A13,'Species'!$U$2:$U$122))</x:f>
        <x:v>8125220.377857944</x:v>
      </x:c>
      <x:c r="J13" s="32" t="n">
        <x:v>3.4993000053625556</x:v>
      </x:c>
      <x:c r="K13" s="32" t="n">
        <x:f>IF(J13="","",(1/'Metadata'!$B$5)^(J13-1))</x:f>
        <x:v>315.71848152544</x:v>
      </x:c>
      <x:c r="L13" s="31" t="n">
        <x:f>IF(E13=0,"",E13*K13)</x:f>
        <x:v>6259647.014883823</x:v>
      </x:c>
      <x:c r="M13" s="31" t="n">
        <x:f>IF(E13=0,"",I13-L13)</x:f>
        <x:v>1865573.3629741212</x:v>
      </x:c>
      <x:c r="N13" s="32" t="n">
        <x:f>IF(L13=0,"",I13/L13)</x:f>
        <x:v>1.2980317194465232</x:v>
      </x:c>
      <x:c r="O13" s="34" t="n">
        <x:f>IF(L13=0,"",M13/L13)</x:f>
        <x:v>0.29803171944652307</x:v>
      </x:c>
    </x:row>
    <x:row r="14" ht="18" customHeight="1">
      <x:c r="A14" s="24" t="str">
        <x:v>Medium pelagics (30 - 89 cm)</x:v>
      </x:c>
      <x:c r="B14" s="33" t="n">
        <x:v>11</x:v>
      </x:c>
      <x:c r="C14" s="33" t="n">
        <x:v>11</x:v>
      </x:c>
      <x:c r="D14" s="31" t="n">
        <x:v>28096.4752625931</x:v>
      </x:c>
      <x:c r="E14" s="31" t="n">
        <x:v>28096.4752625931</x:v>
      </x:c>
      <x:c r="F14" s="32" t="n">
        <x:v>0</x:v>
      </x:c>
      <x:c r="G14" s="34" t="n">
        <x:v>1</x:v>
      </x:c>
      <x:c r="H14" s="32" t="n">
        <x:f>IF(E14=0,"",I14/E14)</x:f>
        <x:v>1261.148826866997</x:v>
      </x:c>
      <x:c r="I14" s="31" t="n">
        <x:f>IF(C14=0,"",SUMIF('Species'!$G$2:$G$122,A14,'Species'!$U$2:$U$122))</x:f>
        <x:v>35433836.81651689</x:v>
      </x:c>
      <x:c r="J14" s="32" t="n">
        <x:v>3.980853285674127</x:v>
      </x:c>
      <x:c r="K14" s="32" t="n">
        <x:f>IF(J14="","",(1/'Metadata'!$B$5)^(J14-1))</x:f>
        <x:v>956.8707644821992</x:v>
      </x:c>
      <x:c r="L14" s="31" t="n">
        <x:f>IF(E14=0,"",E14*K14)</x:f>
        <x:v>26884695.76377266</x:v>
      </x:c>
      <x:c r="M14" s="31" t="n">
        <x:f>IF(E14=0,"",I14-L14)</x:f>
        <x:v>8549141.052744232</x:v>
      </x:c>
      <x:c r="N14" s="32" t="n">
        <x:f>IF(L14=0,"",I14/L14)</x:f>
        <x:v>1.3179928509462349</x:v>
      </x:c>
      <x:c r="O14" s="34" t="n">
        <x:f>IF(L14=0,"",M14/L14)</x:f>
        <x:v>0.3179928509462349</x:v>
      </x:c>
    </x:row>
    <x:row r="15" ht="18" customHeight="1">
      <x:c r="A15" s="24" t="str">
        <x:v>Medium reef assoc. fish (30 - 89 cm)</x:v>
      </x:c>
      <x:c r="B15" s="33" t="n">
        <x:v>12</x:v>
      </x:c>
      <x:c r="C15" s="33" t="n">
        <x:v>12</x:v>
      </x:c>
      <x:c r="D15" s="31" t="n">
        <x:v>13395.347877549299</x:v>
      </x:c>
      <x:c r="E15" s="31" t="n">
        <x:v>13395.347877549299</x:v>
      </x:c>
      <x:c r="F15" s="32" t="n">
        <x:v>0</x:v>
      </x:c>
      <x:c r="G15" s="34" t="n">
        <x:v>1</x:v>
      </x:c>
      <x:c r="H15" s="32" t="n">
        <x:f>IF(E15=0,"",I15/E15)</x:f>
        <x:v>509.03183831504157</x:v>
      </x:c>
      <x:c r="I15" s="31" t="n">
        <x:f>IF(C15=0,"",SUMIF('Species'!$G$2:$G$122,A15,'Species'!$U$2:$U$122))</x:f>
        <x:v>6818658.55497841</x:v>
      </x:c>
      <x:c r="J15" s="32" t="n">
        <x:v>3.6133219731352195</x:v>
      </x:c>
      <x:c r="K15" s="32" t="n">
        <x:f>IF(J15="","",(1/'Metadata'!$B$5)^(J15-1))</x:f>
        <x:v>410.5083289827254</x:v>
      </x:c>
      <x:c r="L15" s="31" t="n">
        <x:f>IF(E15=0,"",E15*K15)</x:f>
        <x:v>5498901.87335506</x:v>
      </x:c>
      <x:c r="M15" s="31" t="n">
        <x:f>IF(E15=0,"",I15-L15)</x:f>
        <x:v>1319756.68162335</x:v>
      </x:c>
      <x:c r="N15" s="32" t="n">
        <x:f>IF(L15=0,"",I15/L15)</x:f>
        <x:v>1.2400036792833553</x:v>
      </x:c>
      <x:c r="O15" s="34" t="n">
        <x:f>IF(L15=0,"",M15/L15)</x:f>
        <x:v>0.2400036792833554</x:v>
      </x:c>
    </x:row>
    <x:row r="16" ht="18" customHeight="1">
      <x:c r="A16" s="24" t="str">
        <x:v>Other demersal invertebrates</x:v>
      </x:c>
      <x:c r="B16" s="33" t="n">
        <x:v>3</x:v>
      </x:c>
      <x:c r="C16" s="33" t="n">
        <x:v>3</x:v>
      </x:c>
      <x:c r="D16" s="31" t="n">
        <x:v>51.8547423199</x:v>
      </x:c>
      <x:c r="E16" s="31" t="n">
        <x:v>51.8547423199</x:v>
      </x:c>
      <x:c r="F16" s="32" t="n">
        <x:v>0</x:v>
      </x:c>
      <x:c r="G16" s="34" t="n">
        <x:v>1</x:v>
      </x:c>
      <x:c r="H16" s="32" t="n">
        <x:f>IF(E16=0,"",I16/E16)</x:f>
        <x:v>26.8329606247375</x:v>
      </x:c>
      <x:c r="I16" s="31" t="n">
        <x:f>IF(C16=0,"",SUMIF('Species'!$G$2:$G$122,A16,'Species'!$U$2:$U$122))</x:f>
        <x:v>1391.4162588757858</x:v>
      </x:c>
      <x:c r="J16" s="32" t="n">
        <x:v>2.4280933501722166</x:v>
      </x:c>
      <x:c r="K16" s="32" t="n">
        <x:f>IF(J16="","",(1/'Metadata'!$B$5)^(J16-1))</x:f>
        <x:v>26.797442651453384</x:v>
      </x:c>
      <x:c r="L16" s="31" t="n">
        <x:f>IF(E16=0,"",E16*K16)</x:f>
        <x:v>1389.574483523413</x:v>
      </x:c>
      <x:c r="M16" s="31" t="n">
        <x:f>IF(E16=0,"",I16-L16)</x:f>
        <x:v>1.8417753523729061</x:v>
      </x:c>
      <x:c r="N16" s="32" t="n">
        <x:f>IF(L16=0,"",I16/L16)</x:f>
        <x:v>1.0013254239871352</x:v>
      </x:c>
      <x:c r="O16" s="34" t="n">
        <x:f>IF(L16=0,"",M16/L16)</x:f>
        <x:v>0.0013254239871351768</x:v>
      </x:c>
    </x:row>
    <x:row r="17" ht="18" customHeight="1">
      <x:c r="A17" s="24" t="str">
        <x:v>Shrimps</x:v>
      </x:c>
      <x:c r="B17" s="33" t="n">
        <x:v>7</x:v>
      </x:c>
      <x:c r="C17" s="33" t="n">
        <x:v>7</x:v>
      </x:c>
      <x:c r="D17" s="31" t="n">
        <x:v>1689.7202230587002</x:v>
      </x:c>
      <x:c r="E17" s="31" t="n">
        <x:v>1689.7202230587002</x:v>
      </x:c>
      <x:c r="F17" s="32" t="n">
        <x:v>0</x:v>
      </x:c>
      <x:c r="G17" s="34" t="n">
        <x:v>1</x:v>
      </x:c>
      <x:c r="H17" s="32" t="n">
        <x:f>IF(E17=0,"",I17/E17)</x:f>
        <x:v>193.87406683832057</x:v>
      </x:c>
      <x:c r="I17" s="31" t="n">
        <x:f>IF(C17=0,"",SUMIF('Species'!$G$2:$G$122,A17,'Species'!$U$2:$U$122))</x:f>
        <x:v>327592.9314633444</x:v>
      </x:c>
      <x:c r="J17" s="32" t="n">
        <x:v>3.26562558567558</x:v>
      </x:c>
      <x:c r="K17" s="32" t="n">
        <x:f>IF(J17="","",(1/'Metadata'!$B$5)^(J17-1))</x:f>
        <x:v>184.34254783917865</x:v>
      </x:c>
      <x:c r="L17" s="31" t="n">
        <x:f>IF(E17=0,"",E17*K17)</x:f>
        <x:v>311487.3310540261</x:v>
      </x:c>
      <x:c r="M17" s="31" t="n">
        <x:f>IF(E17=0,"",I17-L17)</x:f>
        <x:v>16105.600409318286</x:v>
      </x:c>
      <x:c r="N17" s="32" t="n">
        <x:f>IF(L17=0,"",I17/L17)</x:f>
        <x:v>1.0517054750022075</x:v>
      </x:c>
      <x:c r="O17" s="34" t="n">
        <x:f>IF(L17=0,"",M17/L17)</x:f>
        <x:v>0.05170547500220753</x:v>
      </x:c>
    </x:row>
    <x:row r="18" ht="18" customHeight="1">
      <x:c r="A18" s="24" t="str">
        <x:v>Small benthopelagics (&lt;30 cm)</x:v>
      </x:c>
      <x:c r="B18" s="33" t="n">
        <x:v>1</x:v>
      </x:c>
      <x:c r="C18" s="33" t="n">
        <x:v>1</x:v>
      </x:c>
      <x:c r="D18" s="31" t="n">
        <x:v>4623.6229006551</x:v>
      </x:c>
      <x:c r="E18" s="31" t="n">
        <x:v>4623.6229006551</x:v>
      </x:c>
      <x:c r="F18" s="32" t="n">
        <x:v>0</x:v>
      </x:c>
      <x:c r="G18" s="34" t="n">
        <x:v>1</x:v>
      </x:c>
      <x:c r="H18" s="32" t="n">
        <x:f>IF(E18=0,"",I18/E18)</x:f>
        <x:v>173.78008287493762</x:v>
      </x:c>
      <x:c r="I18" s="31" t="n">
        <x:f>IF(C18=0,"",SUMIF('Species'!$G$2:$G$122,A18,'Species'!$U$2:$U$122))</x:f>
        <x:v>803493.5708583028</x:v>
      </x:c>
      <x:c r="J18" s="32" t="n">
        <x:v>3.24</x:v>
      </x:c>
      <x:c r="K18" s="32" t="n">
        <x:f>IF(J18="","",(1/'Metadata'!$B$5)^(J18-1))</x:f>
        <x:v>173.78008287493762</x:v>
      </x:c>
      <x:c r="L18" s="31" t="n">
        <x:f>IF(E18=0,"",E18*K18)</x:f>
        <x:v>803493.5708583028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demersals (&lt;30 cm)</x:v>
      </x:c>
      <x:c r="B19" s="33" t="n">
        <x:v>3</x:v>
      </x:c>
      <x:c r="C19" s="33" t="n">
        <x:v>3</x:v>
      </x:c>
      <x:c r="D19" s="31" t="n">
        <x:v>4606.7045065704</x:v>
      </x:c>
      <x:c r="E19" s="31" t="n">
        <x:v>4606.7045065704</x:v>
      </x:c>
      <x:c r="F19" s="32" t="n">
        <x:v>0</x:v>
      </x:c>
      <x:c r="G19" s="34" t="n">
        <x:v>1</x:v>
      </x:c>
      <x:c r="H19" s="32" t="n">
        <x:f>IF(E19=0,"",I19/E19)</x:f>
        <x:v>325.15400670391097</x:v>
      </x:c>
      <x:c r="I19" s="31" t="n">
        <x:f>IF(C19=0,"",SUMIF('Species'!$G$2:$G$122,A19,'Species'!$U$2:$U$122))</x:f>
        <x:v>1497888.4280123285</x:v>
      </x:c>
      <x:c r="J19" s="32" t="n">
        <x:v>3.5118013881287378</x:v>
      </x:c>
      <x:c r="K19" s="32" t="n">
        <x:f>IF(J19="","",(1/'Metadata'!$B$5)^(J19-1))</x:f>
        <x:v>324.9386622135239</x:v>
      </x:c>
      <x:c r="L19" s="31" t="n">
        <x:f>IF(E19=0,"",E19*K19)</x:f>
        <x:v>1496896.3995779974</x:v>
      </x:c>
      <x:c r="M19" s="31" t="n">
        <x:f>IF(E19=0,"",I19-L19)</x:f>
        <x:v>992.0284343310632</x:v>
      </x:c>
      <x:c r="N19" s="32" t="n">
        <x:f>IF(L19=0,"",I19/L19)</x:f>
        <x:v>1.0006627235088619</x:v>
      </x:c>
      <x:c r="O19" s="34" t="n">
        <x:f>IF(L19=0,"",M19/L19)</x:f>
        <x:v>0.000662723508861892</x:v>
      </x:c>
    </x:row>
    <x:row r="20" ht="18" customHeight="1">
      <x:c r="A20" s="24" t="str">
        <x:v>Small pelagics (&lt;30 cm)</x:v>
      </x:c>
      <x:c r="B20" s="33" t="n">
        <x:v>9</x:v>
      </x:c>
      <x:c r="C20" s="33" t="n">
        <x:v>9</x:v>
      </x:c>
      <x:c r="D20" s="31" t="n">
        <x:v>5145.8426264791</x:v>
      </x:c>
      <x:c r="E20" s="31" t="n">
        <x:v>5145.8426264791</x:v>
      </x:c>
      <x:c r="F20" s="32" t="n">
        <x:v>0</x:v>
      </x:c>
      <x:c r="G20" s="34" t="n">
        <x:v>1</x:v>
      </x:c>
      <x:c r="H20" s="32" t="n">
        <x:f>IF(E20=0,"",I20/E20)</x:f>
        <x:v>100.70769388584412</x:v>
      </x:c>
      <x:c r="I20" s="31" t="n">
        <x:f>IF(C20=0,"",SUMIF('Species'!$G$2:$G$122,A20,'Species'!$U$2:$U$122))</x:f>
        <x:v>518225.94401218527</x:v>
      </x:c>
      <x:c r="J20" s="32" t="n">
        <x:v>2.8766418141857213</x:v>
      </x:c>
      <x:c r="K20" s="32" t="n">
        <x:f>IF(J20="","",(1/'Metadata'!$B$5)^(J20-1))</x:f>
        <x:v>75.27344873866335</x:v>
      </x:c>
      <x:c r="L20" s="31" t="n">
        <x:f>IF(E20=0,"",E20*K20)</x:f>
        <x:v>387345.32116150326</x:v>
      </x:c>
      <x:c r="M20" s="31" t="n">
        <x:f>IF(E20=0,"",I20-L20)</x:f>
        <x:v>130880.622850682</x:v>
      </x:c>
      <x:c r="N20" s="32" t="n">
        <x:f>IF(L20=0,"",I20/L20)</x:f>
        <x:v>1.3378913225496571</x:v>
      </x:c>
      <x:c r="O20" s="34" t="n">
        <x:f>IF(L20=0,"",M20/L20)</x:f>
        <x:v>0.33789132254965704</x:v>
      </x:c>
    </x:row>
    <x:row r="21" ht="18" customHeight="1">
      <x:c r="A21" s="24" t="str">
        <x:v>Small reef assoc. fish (&lt;30 cm)</x:v>
      </x:c>
      <x:c r="B21" s="33" t="n">
        <x:v>2</x:v>
      </x:c>
      <x:c r="C21" s="33" t="n">
        <x:v>2</x:v>
      </x:c>
      <x:c r="D21" s="31" t="n">
        <x:v>275.9634227899</x:v>
      </x:c>
      <x:c r="E21" s="31" t="n">
        <x:v>275.9634227899</x:v>
      </x:c>
      <x:c r="F21" s="32" t="n">
        <x:v>0</x:v>
      </x:c>
      <x:c r="G21" s="34" t="n">
        <x:v>1</x:v>
      </x:c>
      <x:c r="H21" s="32" t="n">
        <x:f>IF(E21=0,"",I21/E21)</x:f>
        <x:v>203.93024099120154</x:v>
      </x:c>
      <x:c r="I21" s="31" t="n">
        <x:f>IF(C21=0,"",SUMIF('Species'!$G$2:$G$122,A21,'Species'!$U$2:$U$122))</x:f>
        <x:v>56277.287314301146</x:v>
      </x:c>
      <x:c r="J21" s="32" t="n">
        <x:v>3.306484138218224</x:v>
      </x:c>
      <x:c r="K21" s="32" t="n">
        <x:f>IF(J21="","",(1/'Metadata'!$B$5)^(J21-1))</x:f>
        <x:v>202.52756361249868</x:v>
      </x:c>
      <x:c r="L21" s="31" t="n">
        <x:f>IF(E21=0,"",E21*K21)</x:f>
        <x:v>55890.19966380434</x:v>
      </x:c>
      <x:c r="M21" s="31" t="n">
        <x:f>IF(E21=0,"",I21-L21)</x:f>
        <x:v>387.0876504968037</x:v>
      </x:c>
      <x:c r="N21" s="32" t="n">
        <x:f>IF(L21=0,"",I21/L21)</x:f>
        <x:v>1.0069258591457044</x:v>
      </x:c>
      <x:c r="O21" s="34" t="n">
        <x:f>IF(L21=0,"",M21/L21)</x:f>
        <x:v>0.006925859145704389</x:v>
      </x:c>
    </x:row>
    <x:row r="22" ht="18" customHeight="1">
      <x:c r="A22" s="24" t="str">
        <x:v>Small to medium flatfishes (&lt;90 cm)</x:v>
      </x:c>
      <x:c r="B22" s="33" t="n">
        <x:v>2</x:v>
      </x:c>
      <x:c r="C22" s="33" t="n">
        <x:v>2</x:v>
      </x:c>
      <x:c r="D22" s="31" t="n">
        <x:v>2.8463614352999995</x:v>
      </x:c>
      <x:c r="E22" s="31" t="n">
        <x:v>2.8463614352999995</x:v>
      </x:c>
      <x:c r="F22" s="32" t="n">
        <x:v>0</x:v>
      </x:c>
      <x:c r="G22" s="34" t="n">
        <x:v>1</x:v>
      </x:c>
      <x:c r="H22" s="32" t="n">
        <x:f>IF(E22=0,"",I22/E22)</x:f>
        <x:v>1067.0400207248022</x:v>
      </x:c>
      <x:c r="I22" s="31" t="n">
        <x:f>IF(C22=0,"",SUMIF('Species'!$G$2:$G$122,A22,'Species'!$U$2:$U$122))</x:f>
        <x:v>3037.1815649127893</x:v>
      </x:c>
      <x:c r="J22" s="32" t="n">
        <x:v>3.6462166500598103</x:v>
      </x:c>
      <x:c r="K22" s="32" t="n">
        <x:f>IF(J22="","",(1/'Metadata'!$B$5)^(J22-1))</x:f>
        <x:v>442.80921495246224</x:v>
      </x:c>
      <x:c r="L22" s="31" t="n">
        <x:f>IF(E22=0,"",E22*K22)</x:f>
        <x:v>1260.3950726361563</x:v>
      </x:c>
      <x:c r="M22" s="31" t="n">
        <x:f>IF(E22=0,"",I22-L22)</x:f>
        <x:v>1776.786492276633</x:v>
      </x:c>
      <x:c r="N22" s="32" t="n">
        <x:f>IF(L22=0,"",I22/L22)</x:f>
        <x:v>2.4097059968351253</x:v>
      </x:c>
      <x:c r="O22" s="34" t="n">
        <x:f>IF(L22=0,"",M22/L22)</x:f>
        <x:v>1.4097059968351253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38344f119d441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EEZ_706</x:v>
      </x:c>
      <x:c r="B2" s="24" t="str">
        <x:v>raw_filtered_tonnes</x:v>
      </x:c>
      <x:c r="C2" s="24" t="n">
        <x:v>139703.8091832829</x:v>
      </x:c>
      <x:c r="D2" s="24" t="str">
        <x:v>tonnes</x:v>
      </x:c>
    </x:row>
    <x:row r="3" ht="18" customHeight="1">
      <x:c r="A3" s="24" t="str">
        <x:v>EEZ_706</x:v>
      </x:c>
      <x:c r="B3" s="24" t="str">
        <x:v>species_catch_tonnes</x:v>
      </x:c>
      <x:c r="C3" s="24" t="n">
        <x:v>139703.8091832829</x:v>
      </x:c>
      <x:c r="D3" s="24" t="str">
        <x:v>tonnes</x:v>
      </x:c>
    </x:row>
    <x:row r="4" ht="18" customHeight="1">
      <x:c r="A4" s="24" t="str">
        <x:v>EEZ_706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EEZ_706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EEZ_706</x:v>
      </x:c>
      <x:c r="B6" s="24" t="str">
        <x:v>matched_catch_tonnes</x:v>
      </x:c>
      <x:c r="C6" s="24" t="n">
        <x:v>139703.8091832829</x:v>
      </x:c>
      <x:c r="D6" s="24" t="str">
        <x:v>tonnes</x:v>
      </x:c>
    </x:row>
    <x:row r="7" ht="18" customHeight="1">
      <x:c r="A7" s="24" t="str">
        <x:v>EEZ_706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EEZ_706</x:v>
      </x:c>
      <x:c r="B8" s="24" t="str">
        <x:v>taxa_count</x:v>
      </x:c>
      <x:c r="C8" s="24" t="n">
        <x:v>121</x:v>
      </x:c>
      <x:c r="D8" s="24" t="str">
        <x:v>count</x:v>
      </x:c>
    </x:row>
    <x:row r="9" ht="18" customHeight="1">
      <x:c r="A9" s="24" t="str">
        <x:v>EEZ_706</x:v>
      </x:c>
      <x:c r="B9" s="24" t="str">
        <x:v>matched_taxa_count</x:v>
      </x:c>
      <x:c r="C9" s="24" t="n">
        <x:v>121</x:v>
      </x:c>
      <x:c r="D9" s="24" t="str">
        <x:v>count</x:v>
      </x:c>
    </x:row>
    <x:row r="10" ht="18" customHeight="1">
      <x:c r="A10" s="24" t="str">
        <x:v>EEZ_706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EEZ_706</x:v>
      </x:c>
      <x:c r="B11" s="24" t="str">
        <x:v>species_ppr</x:v>
      </x:c>
      <x:c r="C11" s="24" t="n">
        <x:v>166015194.26696122</x:v>
      </x:c>
      <x:c r="D11" s="24" t="str">
        <x:v>tonnes_primary_production_equivalent</x:v>
      </x:c>
    </x:row>
    <x:row r="12" ht="18" customHeight="1">
      <x:c r="A12" s="24" t="str">
        <x:v>EEZ_706</x:v>
      </x:c>
      <x:c r="B12" s="24" t="str">
        <x:v>commercial_ppr</x:v>
      </x:c>
      <x:c r="C12" s="24" t="n">
        <x:v>166015194.26696122</x:v>
      </x:c>
      <x:c r="D12" s="24" t="str">
        <x:v>tonnes_primary_production_equivalent</x:v>
      </x:c>
    </x:row>
    <x:row r="13" ht="18" customHeight="1">
      <x:c r="A13" s="24" t="str">
        <x:v>EEZ_706</x:v>
      </x:c>
      <x:c r="B13" s="24" t="str">
        <x:v>functional_ppr</x:v>
      </x:c>
      <x:c r="C13" s="24" t="n">
        <x:v>166015194.26696122</x:v>
      </x:c>
      <x:c r="D13" s="24" t="str">
        <x:v>tonnes_primary_production_equivalent</x:v>
      </x:c>
    </x:row>
    <x:row r="14" ht="18" customHeight="1">
      <x:c r="A14" s="24" t="str">
        <x:v>EEZ_706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EEZ_706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EEZ_706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EEZ_706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EEZ_706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EEZ_706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0335f83951f4c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EEZ_706 - Somalia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EEZ_706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raw_data/SAU_downloads/EEZ_706-catch.zip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