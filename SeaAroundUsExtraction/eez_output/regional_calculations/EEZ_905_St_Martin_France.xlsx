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92ee9a3f3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f18d069187245ea"/>
    <x:sheet xmlns:r="http://schemas.openxmlformats.org/officeDocument/2006/relationships" name="Commercial" sheetId="2" r:id="R500625074a2c4e38"/>
    <x:sheet xmlns:r="http://schemas.openxmlformats.org/officeDocument/2006/relationships" name="Functional" sheetId="3" r:id="R114e7b9d4e98445a"/>
    <x:sheet xmlns:r="http://schemas.openxmlformats.org/officeDocument/2006/relationships" name="Missing TL" sheetId="4" r:id="Re119baca28a946fb"/>
    <x:sheet xmlns:r="http://schemas.openxmlformats.org/officeDocument/2006/relationships" name="Validation" sheetId="5" r:id="R56793b2813494799"/>
    <x:sheet xmlns:r="http://schemas.openxmlformats.org/officeDocument/2006/relationships" name="Metadata" sheetId="6" r:id="Rb7b148d31bf5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d9f9396a44a25" /><Relationship Type="http://schemas.openxmlformats.org/officeDocument/2006/relationships/theme" Target="/xl/theme/theme1.xml" Id="R7cc083035d684dc0" /><Relationship Type="http://schemas.microsoft.com/office/2022/11/relationships/FeaturePropertyBag" Target="/xl/featurePropertyBag/featurePropertyBag.xml" Id="R2e51d52440214885" /><Relationship Type="http://schemas.openxmlformats.org/officeDocument/2006/relationships/sharedStrings" Target="/xl/sharedStrings.xml" Id="Rcbfec0dc349b4cbf" /><Relationship Type="http://schemas.openxmlformats.org/officeDocument/2006/relationships/worksheet" Target="/xl/worksheets/sheet1.xml" Id="Rcf18d069187245ea" /><Relationship Type="http://schemas.openxmlformats.org/officeDocument/2006/relationships/worksheet" Target="/xl/worksheets/sheet2.xml" Id="R500625074a2c4e38" /><Relationship Type="http://schemas.openxmlformats.org/officeDocument/2006/relationships/worksheet" Target="/xl/worksheets/sheet3.xml" Id="R114e7b9d4e98445a" /><Relationship Type="http://schemas.openxmlformats.org/officeDocument/2006/relationships/worksheet" Target="/xl/worksheets/sheet4.xml" Id="Re119baca28a946fb" /><Relationship Type="http://schemas.openxmlformats.org/officeDocument/2006/relationships/worksheet" Target="/xl/worksheets/sheet5.xml" Id="R56793b2813494799" /><Relationship Type="http://schemas.openxmlformats.org/officeDocument/2006/relationships/worksheet" Target="/xl/worksheets/sheet6.xml" Id="Rb7b148d31bf54e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5SpeciesTable" displayName="EEZ905SpeciesTable" ref="A1:U30" headerRowCount="1" totalsRowCount="0" totalsRowShown="0">
  <x:autoFilter ref="A1:U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5CommercialTable" displayName="EEZ905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5FunctionalTable" displayName="EEZ905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5ValidationTable" displayName="EEZ90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9fccfec91944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03168b9fd64a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e775a7c61147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847974bc684e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EEZ_905</x:v>
      </x:c>
      <x:c r="B2" s="24" t="str">
        <x:v>St Martin (France)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81.49038511799999</x:v>
      </x:c>
      <x:c r="J2" s="31" t="n">
        <x:v>79.197115868</x:v>
      </x:c>
      <x:c r="K2" s="31" t="n">
        <x:v>2.29326925</x:v>
      </x:c>
      <x:c r="L2" s="31" t="n">
        <x:v>16.673076922</x:v>
      </x:c>
      <x:c r="M2" s="31" t="n">
        <x:v>64.817308196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15527.67277340457</x:v>
      </x:c>
    </x:row>
    <x:row r="3" ht="18" customHeight="1">
      <x:c r="A3" s="24" t="str">
        <x:v>EEZ_905</x:v>
      </x:c>
      <x:c r="B3" s="24" t="str">
        <x:v>St Martin (France)</x:v>
      </x:c>
      <x:c r="C3" s="24" t="str">
        <x:v>EEZ</x:v>
      </x:c>
      <x:c r="D3" s="30" t="n">
        <x:v>2019</x:v>
      </x:c>
      <x:c r="E3" s="24" t="str">
        <x:v>Aliger gigas</x:v>
      </x:c>
      <x:c r="F3" s="24" t="str">
        <x:v>Pink conch</x:v>
      </x:c>
      <x:c r="G3" s="24" t="str">
        <x:v>Other demersal invertebrates</x:v>
      </x:c>
      <x:c r="H3" s="24" t="str">
        <x:v>Molluscs</x:v>
      </x:c>
      <x:c r="I3" s="31" t="n">
        <x:v>35.625000047</x:v>
      </x:c>
      <x:c r="J3" s="31" t="n">
        <x:v>35.625000047</x:v>
      </x:c>
      <x:c r="K3" s="31" t="n">
        <x:v>0</x:v>
      </x:c>
      <x:c r="L3" s="31" t="n">
        <x:v>7.5</x:v>
      </x:c>
      <x:c r="M3" s="31" t="n">
        <x:v>28.125000047</x:v>
      </x:c>
      <x:c r="N3" s="24" t="str">
        <x:v>aliger gigas</x:v>
      </x:c>
      <x:c r="O3" s="32" t="n">
        <x:v>2.19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Aliger gigas</x:v>
      </x:c>
      <x:c r="T3" s="32" t="n">
        <x:f>IF(O3="","",(1/'Metadata'!$B$5)^(O3-1))</x:f>
        <x:v>15.488166189124811</x:v>
      </x:c>
      <x:c r="U3" s="31" t="n">
        <x:f>IF(T3="","",I3*T3)</x:f>
        <x:v>551.7659212155153</x:v>
      </x:c>
    </x:row>
    <x:row r="4" ht="18" customHeight="1">
      <x:c r="A4" s="24" t="str">
        <x:v>EEZ_905</x:v>
      </x:c>
      <x:c r="B4" s="24" t="str">
        <x:v>St Martin (France)</x:v>
      </x:c>
      <x:c r="C4" s="24" t="str">
        <x:v>EEZ</x:v>
      </x:c>
      <x:c r="D4" s="30" t="n">
        <x:v>2019</x:v>
      </x:c>
      <x:c r="E4" s="24" t="str">
        <x:v>Elasmobranchii</x:v>
      </x:c>
      <x:c r="F4" s="24" t="str">
        <x:v>Sharks, rays, skates</x:v>
      </x:c>
      <x:c r="G4" s="24" t="str">
        <x:v>Large sharks (&gt;=90 cm)</x:v>
      </x:c>
      <x:c r="H4" s="24" t="str">
        <x:v>Sharks &amp; rays</x:v>
      </x:c>
      <x:c r="I4" s="31" t="n">
        <x:v>31.87169455</x:v>
      </x:c>
      <x:c r="J4" s="31" t="n">
        <x:v>31.29477145</x:v>
      </x:c>
      <x:c r="K4" s="31" t="n">
        <x:v>0.5769231</x:v>
      </x:c>
      <x:c r="L4" s="31" t="n">
        <x:v>2.307692308</x:v>
      </x:c>
      <x:c r="M4" s="31" t="n">
        <x:v>29.564002242</x:v>
      </x:c>
      <x:c r="N4" s="24" t="str">
        <x:v>elasmobranchii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Elasmobranchii</x:v>
      </x:c>
      <x:c r="T4" s="32" t="n">
        <x:f>IF(O4="","",(1/'Metadata'!$B$5)^(O4-1))</x:f>
        <x:v>1122.018454301963</x:v>
      </x:c>
      <x:c r="U4" s="31" t="n">
        <x:f>IF(T4="","",I4*T4)</x:f>
        <x:v>35760.6294549753</x:v>
      </x:c>
    </x:row>
    <x:row r="5" ht="18" customHeight="1">
      <x:c r="A5" s="24" t="str">
        <x:v>EEZ_905</x:v>
      </x:c>
      <x:c r="B5" s="24" t="str">
        <x:v>St Martin (France)</x:v>
      </x:c>
      <x:c r="C5" s="24" t="str">
        <x:v>EEZ</x:v>
      </x:c>
      <x:c r="D5" s="30" t="n">
        <x:v>2019</x:v>
      </x:c>
      <x:c r="E5" s="24" t="str">
        <x:v>Haemulidae</x:v>
      </x:c>
      <x:c r="F5" s="24" t="str">
        <x:v>Grunts, sweetlips, bonnetmouths</x:v>
      </x:c>
      <x:c r="G5" s="24" t="str">
        <x:v>Medium demersals (30 - 89 cm)</x:v>
      </x:c>
      <x:c r="H5" s="24" t="str">
        <x:v>Perch-likes</x:v>
      </x:c>
      <x:c r="I5" s="31" t="n">
        <x:v>27.609889551000002</x:v>
      </x:c>
      <x:c r="J5" s="31" t="n">
        <x:v>26.229395151</x:v>
      </x:c>
      <x:c r="K5" s="31" t="n">
        <x:v>1.3804944</x:v>
      </x:c>
      <x:c r="L5" s="31" t="n">
        <x:v>5.521978023</x:v>
      </x:c>
      <x:c r="M5" s="31" t="n">
        <x:v>22.087911528</x:v>
      </x:c>
      <x:c r="N5" s="24" t="str">
        <x:v>haemulidae</x:v>
      </x:c>
      <x:c r="O5" s="32" t="n">
        <x:v>3.36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Haemulidae</x:v>
      </x:c>
      <x:c r="T5" s="32" t="n">
        <x:f>IF(O5="","",(1/'Metadata'!$B$5)^(O5-1))</x:f>
        <x:v>229.08676527677724</x:v>
      </x:c>
      <x:c r="U5" s="31" t="n">
        <x:f>IF(T5="","",I5*T5)</x:f>
        <x:v>6325.060286887682</x:v>
      </x:c>
    </x:row>
    <x:row r="6" ht="18" customHeight="1">
      <x:c r="A6" s="24" t="str">
        <x:v>EEZ_905</x:v>
      </x:c>
      <x:c r="B6" s="24" t="str">
        <x:v>St Martin (France)</x:v>
      </x:c>
      <x:c r="C6" s="24" t="str">
        <x:v>EEZ</x:v>
      </x:c>
      <x:c r="D6" s="30" t="n">
        <x:v>2019</x:v>
      </x:c>
      <x:c r="E6" s="24" t="str">
        <x:v>Epinephelus guttatus</x:v>
      </x:c>
      <x:c r="F6" s="24" t="str">
        <x:v>Red hind</x:v>
      </x:c>
      <x:c r="G6" s="24" t="str">
        <x:v>Medium reef assoc. fish (30 - 89 cm)</x:v>
      </x:c>
      <x:c r="H6" s="24" t="str">
        <x:v>Perch-likes</x:v>
      </x:c>
      <x:c r="I6" s="31" t="n">
        <x:v>27.321425632</x:v>
      </x:c>
      <x:c r="J6" s="31" t="n">
        <x:v>25.955354231999998</x:v>
      </x:c>
      <x:c r="K6" s="31" t="n">
        <x:v>1.3660714</x:v>
      </x:c>
      <x:c r="L6" s="31" t="n">
        <x:v>5.464285714</x:v>
      </x:c>
      <x:c r="M6" s="31" t="n">
        <x:v>21.857139917999998</x:v>
      </x:c>
      <x:c r="N6" s="24" t="str">
        <x:v>epinephelus guttatus</x:v>
      </x:c>
      <x:c r="O6" s="32" t="n">
        <x:v>3.84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Epinephelus guttatus</x:v>
      </x:c>
      <x:c r="T6" s="32" t="n">
        <x:f>IF(O6="","",(1/'Metadata'!$B$5)^(O6-1))</x:f>
        <x:v>691.8309709189363</x:v>
      </x:c>
      <x:c r="U6" s="31" t="n">
        <x:f>IF(T6="","",I6*T6)</x:f>
        <x:v>18901.80842187607</x:v>
      </x:c>
    </x:row>
    <x:row r="7" ht="18" customHeight="1">
      <x:c r="A7" s="24" t="str">
        <x:v>EEZ_905</x:v>
      </x:c>
      <x:c r="B7" s="24" t="str">
        <x:v>St Martin (France)</x:v>
      </x:c>
      <x:c r="C7" s="24" t="str">
        <x:v>EEZ</x:v>
      </x:c>
      <x:c r="D7" s="30" t="n">
        <x:v>2019</x:v>
      </x:c>
      <x:c r="E7" s="24" t="str">
        <x:v>Lutjanus vivanus</x:v>
      </x:c>
      <x:c r="F7" s="24" t="str">
        <x:v>Silk snapper</x:v>
      </x:c>
      <x:c r="G7" s="24" t="str">
        <x:v>Medium demersals (30 - 89 cm)</x:v>
      </x:c>
      <x:c r="H7" s="24" t="str">
        <x:v>Perch-likes</x:v>
      </x:c>
      <x:c r="I7" s="31" t="n">
        <x:v>22.788463903</x:v>
      </x:c>
      <x:c r="J7" s="31" t="n">
        <x:v>21.649040842999998</x:v>
      </x:c>
      <x:c r="K7" s="31" t="n">
        <x:v>1.13942306</x:v>
      </x:c>
      <x:c r="L7" s="31" t="n">
        <x:v>4.557692306</x:v>
      </x:c>
      <x:c r="M7" s="31" t="n">
        <x:v>18.230771597</x:v>
      </x:c>
      <x:c r="N7" s="24" t="str">
        <x:v>lutjanus vivanus</x:v>
      </x:c>
      <x:c r="O7" s="32" t="n">
        <x:v>3.09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Lutjanus vivanus</x:v>
      </x:c>
      <x:c r="T7" s="32" t="n">
        <x:f>IF(O7="","",(1/'Metadata'!$B$5)^(O7-1))</x:f>
        <x:v>123.02687708123811</x:v>
      </x:c>
      <x:c r="U7" s="31" t="n">
        <x:f>IF(T7="","",I7*T7)</x:f>
        <x:v>2803.5935474646126</x:v>
      </x:c>
    </x:row>
    <x:row r="8" ht="18" customHeight="1">
      <x:c r="A8" s="24" t="str">
        <x:v>EEZ_905</x:v>
      </x:c>
      <x:c r="B8" s="24" t="str">
        <x:v>St Martin (France)</x:v>
      </x:c>
      <x:c r="C8" s="24" t="str">
        <x:v>EEZ</x:v>
      </x:c>
      <x:c r="D8" s="30" t="n">
        <x:v>2019</x:v>
      </x:c>
      <x:c r="E8" s="24" t="str">
        <x:v>Mollusca</x:v>
      </x:c>
      <x:c r="F8" s="24" t="str">
        <x:v>Clams, seasnails, squids, octopuses</x:v>
      </x:c>
      <x:c r="G8" s="24" t="str">
        <x:v>Other demersal invertebrates</x:v>
      </x:c>
      <x:c r="H8" s="24" t="str">
        <x:v>Molluscs</x:v>
      </x:c>
      <x:c r="I8" s="31" t="n">
        <x:v>20.3332348</x:v>
      </x:c>
      <x:c r="J8" s="31" t="n">
        <x:v>20.3332348</x:v>
      </x:c>
      <x:c r="K8" s="31" t="n">
        <x:v>0</x:v>
      </x:c>
      <x:c r="L8" s="31" t="n">
        <x:v>0</x:v>
      </x:c>
      <x:c r="M8" s="31" t="n">
        <x:v>20.3332348</x:v>
      </x:c>
      <x:c r="N8" s="24" t="str">
        <x:v>mollusca</x:v>
      </x:c>
      <x:c r="O8" s="32" t="n">
        <x:v>2.1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Mollusca</x:v>
      </x:c>
      <x:c r="T8" s="32" t="n">
        <x:f>IF(O8="","",(1/'Metadata'!$B$5)^(O8-1))</x:f>
        <x:v>12.589254117941675</x:v>
      </x:c>
      <x:c r="U8" s="31" t="n">
        <x:f>IF(T8="","",I8*T8)</x:f>
        <x:v>255.98025993697496</x:v>
      </x:c>
    </x:row>
    <x:row r="9" ht="18" customHeight="1">
      <x:c r="A9" s="24" t="str">
        <x:v>EEZ_905</x:v>
      </x:c>
      <x:c r="B9" s="24" t="str">
        <x:v>St Martin (France)</x:v>
      </x:c>
      <x:c r="C9" s="24" t="str">
        <x:v>EEZ</x:v>
      </x:c>
      <x:c r="D9" s="30" t="n">
        <x:v>2019</x:v>
      </x:c>
      <x:c r="E9" s="24" t="str">
        <x:v>Istiophoridae</x:v>
      </x:c>
      <x:c r="F9" s="24" t="str">
        <x:v>Billfishes</x:v>
      </x:c>
      <x:c r="G9" s="24" t="str">
        <x:v>Large pelagics (&gt;=90 cm)</x:v>
      </x:c>
      <x:c r="H9" s="24" t="str">
        <x:v>Tuna &amp; billfishes</x:v>
      </x:c>
      <x:c r="I9" s="31" t="n">
        <x:v>20.33323318</x:v>
      </x:c>
      <x:c r="J9" s="31" t="n">
        <x:v>20.33323318</x:v>
      </x:c>
      <x:c r="K9" s="31" t="n">
        <x:v>0</x:v>
      </x:c>
      <x:c r="L9" s="31" t="n">
        <x:v>0</x:v>
      </x:c>
      <x:c r="M9" s="31" t="n">
        <x:v>20.33323318</x:v>
      </x:c>
      <x:c r="N9" s="24" t="str">
        <x:v>istiophoridae</x:v>
      </x:c>
      <x:c r="O9" s="32" t="n">
        <x:v>4.48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Istiophoridae</x:v>
      </x:c>
      <x:c r="T9" s="32" t="n">
        <x:f>IF(O9="","",(1/'Metadata'!$B$5)^(O9-1))</x:f>
        <x:v>3019.951720402019</x:v>
      </x:c>
      <x:c r="U9" s="31" t="n">
        <x:f>IF(T9="","",I9*T9)</x:f>
        <x:v>61405.382523276414</x:v>
      </x:c>
    </x:row>
    <x:row r="10" ht="18" customHeight="1">
      <x:c r="A10" s="24" t="str">
        <x:v>EEZ_905</x:v>
      </x:c>
      <x:c r="B10" s="24" t="str">
        <x:v>St Martin (France)</x:v>
      </x:c>
      <x:c r="C10" s="24" t="str">
        <x:v>EEZ</x:v>
      </x:c>
      <x:c r="D10" s="30" t="n">
        <x:v>2019</x:v>
      </x:c>
      <x:c r="E10" s="24" t="str">
        <x:v>Scombridae</x:v>
      </x:c>
      <x:c r="F10" s="24" t="str">
        <x:v>Mackerels, tunas, bonitos</x:v>
      </x:c>
      <x:c r="G10" s="24" t="str">
        <x:v>Medium pelagics (30 - 89 cm)</x:v>
      </x:c>
      <x:c r="H10" s="24" t="str">
        <x:v>Perch-likes</x:v>
      </x:c>
      <x:c r="I10" s="31" t="n">
        <x:v>20.33323318</x:v>
      </x:c>
      <x:c r="J10" s="31" t="n">
        <x:v>20.33323318</x:v>
      </x:c>
      <x:c r="K10" s="31" t="n">
        <x:v>0</x:v>
      </x:c>
      <x:c r="L10" s="31" t="n">
        <x:v>0</x:v>
      </x:c>
      <x:c r="M10" s="31" t="n">
        <x:v>20.33323318</x:v>
      </x:c>
      <x:c r="N10" s="24" t="str">
        <x:v>scombridae</x:v>
      </x:c>
      <x:c r="O10" s="32" t="n">
        <x:v>4.26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Scombridae</x:v>
      </x:c>
      <x:c r="T10" s="32" t="n">
        <x:f>IF(O10="","",(1/'Metadata'!$B$5)^(O10-1))</x:f>
        <x:v>1819.7008586099826</x:v>
      </x:c>
      <x:c r="U10" s="31" t="n">
        <x:f>IF(T10="","",I10*T10)</x:f>
        <x:v>37000.40187596299</x:v>
      </x:c>
    </x:row>
    <x:row r="11" ht="18" customHeight="1">
      <x:c r="A11" s="24" t="str">
        <x:v>EEZ_905</x:v>
      </x:c>
      <x:c r="B11" s="24" t="str">
        <x:v>St Martin (France)</x:v>
      </x:c>
      <x:c r="C11" s="24" t="str">
        <x:v>EEZ</x:v>
      </x:c>
      <x:c r="D11" s="30" t="n">
        <x:v>2019</x:v>
      </x:c>
      <x:c r="E11" s="24" t="str">
        <x:v>Coryphaena</x:v>
      </x:c>
      <x:c r="F11" s="24" t="str">
        <x:v>Dolphinfishes</x:v>
      </x:c>
      <x:c r="G11" s="24" t="str">
        <x:v>Large pelagics (&gt;=90 cm)</x:v>
      </x:c>
      <x:c r="H11" s="24" t="str">
        <x:v>Perch-likes</x:v>
      </x:c>
      <x:c r="I11" s="31" t="n">
        <x:v>20.33323318</x:v>
      </x:c>
      <x:c r="J11" s="31" t="n">
        <x:v>20.33323318</x:v>
      </x:c>
      <x:c r="K11" s="31" t="n">
        <x:v>0</x:v>
      </x:c>
      <x:c r="L11" s="31" t="n">
        <x:v>0</x:v>
      </x:c>
      <x:c r="M11" s="31" t="n">
        <x:v>20.33323318</x:v>
      </x:c>
      <x:c r="N11" s="24" t="str">
        <x:v>coryphaena</x:v>
      </x:c>
      <x:c r="O11" s="32" t="n">
        <x:v>4.49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Coryphaena</x:v>
      </x:c>
      <x:c r="T11" s="32" t="n">
        <x:f>IF(O11="","",(1/'Metadata'!$B$5)^(O11-1))</x:f>
        <x:v>3090.295432513592</x:v>
      </x:c>
      <x:c r="U11" s="31" t="n">
        <x:f>IF(T11="","",I11*T11)</x:f>
        <x:v>62835.69762438782</x:v>
      </x:c>
    </x:row>
    <x:row r="12" ht="18" customHeight="1">
      <x:c r="A12" s="24" t="str">
        <x:v>EEZ_905</x:v>
      </x:c>
      <x:c r="B12" s="24" t="str">
        <x:v>St Martin (France)</x:v>
      </x:c>
      <x:c r="C12" s="24" t="str">
        <x:v>EEZ</x:v>
      </x:c>
      <x:c r="D12" s="30" t="n">
        <x:v>2019</x:v>
      </x:c>
      <x:c r="E12" s="24" t="str">
        <x:v>Lutjanus</x:v>
      </x:c>
      <x:c r="F12" s="24" t="str">
        <x:v>Snappers</x:v>
      </x:c>
      <x:c r="G12" s="24" t="str">
        <x:v>Medium reef assoc. fish (30 - 89 cm)</x:v>
      </x:c>
      <x:c r="H12" s="24" t="str">
        <x:v>Perch-likes</x:v>
      </x:c>
      <x:c r="I12" s="31" t="n">
        <x:v>16.071429430000002</x:v>
      </x:c>
      <x:c r="J12" s="31" t="n">
        <x:v>15.267858010000001</x:v>
      </x:c>
      <x:c r="K12" s="31" t="n">
        <x:v>0.80357142</x:v>
      </x:c>
      <x:c r="L12" s="31" t="n">
        <x:v>3.2142857140000003</x:v>
      </x:c>
      <x:c r="M12" s="31" t="n">
        <x:v>12.857143716000001</x:v>
      </x:c>
      <x:c r="N12" s="24" t="str">
        <x:v>lutjanus</x:v>
      </x:c>
      <x:c r="O12" s="32" t="n">
        <x:v>4.02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Lutjanus</x:v>
      </x:c>
      <x:c r="T12" s="32" t="n">
        <x:f>IF(O12="","",(1/'Metadata'!$B$5)^(O12-1))</x:f>
        <x:v>1047.1285480508984</x:v>
      </x:c>
      <x:c r="U12" s="31" t="n">
        <x:f>IF(T12="","",I12*T12)</x:f>
        <x:v>16828.85256413838</x:v>
      </x:c>
    </x:row>
    <x:row r="13" ht="18" customHeight="1">
      <x:c r="A13" s="24" t="str">
        <x:v>EEZ_905</x:v>
      </x:c>
      <x:c r="B13" s="24" t="str">
        <x:v>St Martin (France)</x:v>
      </x:c>
      <x:c r="C13" s="24" t="str">
        <x:v>EEZ</x:v>
      </x:c>
      <x:c r="D13" s="30" t="n">
        <x:v>2019</x:v>
      </x:c>
      <x:c r="E13" s="24" t="str">
        <x:v>Panulirus argus</x:v>
      </x:c>
      <x:c r="F13" s="24" t="str">
        <x:v>Caribbean spiny lobster</x:v>
      </x:c>
      <x:c r="G13" s="24" t="str">
        <x:v>Lobsters, crabs</x:v>
      </x:c>
      <x:c r="H13" s="24" t="str">
        <x:v>Crustaceans</x:v>
      </x:c>
      <x:c r="I13" s="31" t="n">
        <x:v>16.071428811</x:v>
      </x:c>
      <x:c r="J13" s="31" t="n">
        <x:v>15.267857411000001</x:v>
      </x:c>
      <x:c r="K13" s="31" t="n">
        <x:v>0.8035713999999999</x:v>
      </x:c>
      <x:c r="L13" s="31" t="n">
        <x:v>3.214285715</x:v>
      </x:c>
      <x:c r="M13" s="31" t="n">
        <x:v>12.857143096000001</x:v>
      </x:c>
      <x:c r="N13" s="24" t="str">
        <x:v>panulirus argus</x:v>
      </x:c>
      <x:c r="O13" s="32" t="n">
        <x:v>3.2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Panulirus argus</x:v>
      </x:c>
      <x:c r="T13" s="32" t="n">
        <x:f>IF(O13="","",(1/'Metadata'!$B$5)^(O13-1))</x:f>
        <x:v>158.48931924611142</x:v>
      </x:c>
      <x:c r="U13" s="31" t="n">
        <x:f>IF(T13="","",I13*T13)</x:f>
        <x:v>2547.149811567732</x:v>
      </x:c>
    </x:row>
    <x:row r="14" ht="18" customHeight="1">
      <x:c r="A14" s="24" t="str">
        <x:v>EEZ_905</x:v>
      </x:c>
      <x:c r="B14" s="24" t="str">
        <x:v>St Martin (France)</x:v>
      </x:c>
      <x:c r="C14" s="24" t="str">
        <x:v>EEZ</x:v>
      </x:c>
      <x:c r="D14" s="30" t="n">
        <x:v>2019</x:v>
      </x:c>
      <x:c r="E14" s="24" t="str">
        <x:v>Epinephelus striatus</x:v>
      </x:c>
      <x:c r="F14" s="24" t="str">
        <x:v>Nassau grouper</x:v>
      </x:c>
      <x:c r="G14" s="24" t="str">
        <x:v>Large reef assoc. fish (&gt;=90 cm)</x:v>
      </x:c>
      <x:c r="H14" s="24" t="str">
        <x:v>Perch-likes</x:v>
      </x:c>
      <x:c r="I14" s="31" t="n">
        <x:v>16.07142811</x:v>
      </x:c>
      <x:c r="J14" s="31" t="n">
        <x:v>15.26785671</x:v>
      </x:c>
      <x:c r="K14" s="31" t="n">
        <x:v>0.8035714</x:v>
      </x:c>
      <x:c r="L14" s="31" t="n">
        <x:v>3.214285714</x:v>
      </x:c>
      <x:c r="M14" s="31" t="n">
        <x:v>12.857142396</x:v>
      </x:c>
      <x:c r="N14" s="24" t="str">
        <x:v>epinephelus striatus</x:v>
      </x:c>
      <x:c r="O14" s="32" t="n">
        <x:v>4.06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Epinephelus striatus</x:v>
      </x:c>
      <x:c r="T14" s="32" t="n">
        <x:f>IF(O14="","",(1/'Metadata'!$B$5)^(O14-1))</x:f>
        <x:v>1148.1536214968817</x:v>
      </x:c>
      <x:c r="U14" s="31" t="n">
        <x:f>IF(T14="","",I14*T14)</x:f>
        <x:v>18452.468387123285</x:v>
      </x:c>
    </x:row>
    <x:row r="15" ht="18" customHeight="1">
      <x:c r="A15" s="24" t="str">
        <x:v>EEZ_905</x:v>
      </x:c>
      <x:c r="B15" s="24" t="str">
        <x:v>St Martin (France)</x:v>
      </x:c>
      <x:c r="C15" s="24" t="str">
        <x:v>EEZ</x:v>
      </x:c>
      <x:c r="D15" s="30" t="n">
        <x:v>2019</x:v>
      </x:c>
      <x:c r="E15" s="24" t="str">
        <x:v>Epinephelus adscensionis</x:v>
      </x:c>
      <x:c r="F15" s="24" t="str">
        <x:v>Rock hind</x:v>
      </x:c>
      <x:c r="G15" s="24" t="str">
        <x:v>Medium reef assoc. fish (30 - 89 cm)</x:v>
      </x:c>
      <x:c r="H15" s="24" t="str">
        <x:v>Perch-likes</x:v>
      </x:c>
      <x:c r="I15" s="31" t="n">
        <x:v>16.07142811</x:v>
      </x:c>
      <x:c r="J15" s="31" t="n">
        <x:v>15.26785671</x:v>
      </x:c>
      <x:c r="K15" s="31" t="n">
        <x:v>0.8035714</x:v>
      </x:c>
      <x:c r="L15" s="31" t="n">
        <x:v>3.214285714</x:v>
      </x:c>
      <x:c r="M15" s="31" t="n">
        <x:v>12.857142396</x:v>
      </x:c>
      <x:c r="N15" s="24" t="str">
        <x:v>epinephelus adscensionis</x:v>
      </x:c>
      <x:c r="O15" s="32" t="n">
        <x:v>3.53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Epinephelus adscensionis</x:v>
      </x:c>
      <x:c r="T15" s="32" t="n">
        <x:f>IF(O15="","",(1/'Metadata'!$B$5)^(O15-1))</x:f>
        <x:v>338.84415613920237</x:v>
      </x:c>
      <x:c r="U15" s="31" t="n">
        <x:f>IF(T15="","",I15*T15)</x:f>
        <x:v>5445.709495884806</x:v>
      </x:c>
    </x:row>
    <x:row r="16" ht="18" customHeight="1">
      <x:c r="A16" s="24" t="str">
        <x:v>EEZ_905</x:v>
      </x:c>
      <x:c r="B16" s="24" t="str">
        <x:v>St Martin (France)</x:v>
      </x:c>
      <x:c r="C16" s="24" t="str">
        <x:v>EEZ</x:v>
      </x:c>
      <x:c r="D16" s="30" t="n">
        <x:v>2019</x:v>
      </x:c>
      <x:c r="E16" s="24" t="str">
        <x:v>Holocentrus adscensionis</x:v>
      </x:c>
      <x:c r="F16" s="24" t="str">
        <x:v>Squirrelfish</x:v>
      </x:c>
      <x:c r="G16" s="24" t="str">
        <x:v>Medium reef assoc. fish (30 - 89 cm)</x:v>
      </x:c>
      <x:c r="H16" s="24" t="str">
        <x:v>Other fishes &amp; inverts</x:v>
      </x:c>
      <x:c r="I16" s="31" t="n">
        <x:v>16.07142811</x:v>
      </x:c>
      <x:c r="J16" s="31" t="n">
        <x:v>15.26785671</x:v>
      </x:c>
      <x:c r="K16" s="31" t="n">
        <x:v>0.8035714</x:v>
      </x:c>
      <x:c r="L16" s="31" t="n">
        <x:v>3.214285714</x:v>
      </x:c>
      <x:c r="M16" s="31" t="n">
        <x:v>12.857142396</x:v>
      </x:c>
      <x:c r="N16" s="24" t="str">
        <x:v>holocentrus adscensionis</x:v>
      </x:c>
      <x:c r="O16" s="32" t="n">
        <x:v>3.11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Holocentrus adscensionis</x:v>
      </x:c>
      <x:c r="T16" s="32" t="n">
        <x:f>IF(O16="","",(1/'Metadata'!$B$5)^(O16-1))</x:f>
        <x:v>128.82495516931337</x:v>
      </x:c>
      <x:c r="U16" s="31" t="n">
        <x:f>IF(T16="","",I16*T16)</x:f>
        <x:v>2070.4010057775927</x:v>
      </x:c>
    </x:row>
    <x:row r="17" ht="18" customHeight="1">
      <x:c r="A17" s="24" t="str">
        <x:v>EEZ_905</x:v>
      </x:c>
      <x:c r="B17" s="24" t="str">
        <x:v>St Martin (France)</x:v>
      </x:c>
      <x:c r="C17" s="24" t="str">
        <x:v>EEZ</x:v>
      </x:c>
      <x:c r="D17" s="30" t="n">
        <x:v>2019</x:v>
      </x:c>
      <x:c r="E17" s="24" t="str">
        <x:v>Rhomboplites aurorubens</x:v>
      </x:c>
      <x:c r="F17" s="24" t="str">
        <x:v>Vermilion snapper</x:v>
      </x:c>
      <x:c r="G17" s="24" t="str">
        <x:v>Medium demersals (30 - 89 cm)</x:v>
      </x:c>
      <x:c r="H17" s="24" t="str">
        <x:v>Perch-likes</x:v>
      </x:c>
      <x:c r="I17" s="31" t="n">
        <x:v>11.538461421000001</x:v>
      </x:c>
      <x:c r="J17" s="31" t="n">
        <x:v>10.961538271</x:v>
      </x:c>
      <x:c r="K17" s="31" t="n">
        <x:v>0.5769231499999999</x:v>
      </x:c>
      <x:c r="L17" s="31" t="n">
        <x:v>2.307692308</x:v>
      </x:c>
      <x:c r="M17" s="31" t="n">
        <x:v>9.230769113000001</x:v>
      </x:c>
      <x:c r="N17" s="24" t="str">
        <x:v>rhomboplites aurorubens</x:v>
      </x:c>
      <x:c r="O17" s="32" t="n">
        <x:v>4.36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Rhomboplites aurorubens</x:v>
      </x:c>
      <x:c r="T17" s="32" t="n">
        <x:f>IF(O17="","",(1/'Metadata'!$B$5)^(O17-1))</x:f>
        <x:v>2290.867652767775</x:v>
      </x:c>
      <x:c r="U17" s="31" t="n">
        <x:f>IF(T17="","",I17*T17)</x:f>
        <x:v>26433.088032077798</x:v>
      </x:c>
    </x:row>
    <x:row r="18" ht="18" customHeight="1">
      <x:c r="A18" s="24" t="str">
        <x:v>EEZ_905</x:v>
      </x:c>
      <x:c r="B18" s="24" t="str">
        <x:v>St Martin (France)</x:v>
      </x:c>
      <x:c r="C18" s="24" t="str">
        <x:v>EEZ</x:v>
      </x:c>
      <x:c r="D18" s="30" t="n">
        <x:v>2019</x:v>
      </x:c>
      <x:c r="E18" s="24" t="str">
        <x:v>Selar crumenophthalmus</x:v>
      </x:c>
      <x:c r="F18" s="24" t="str">
        <x:v>Bigeye scad</x:v>
      </x:c>
      <x:c r="G18" s="24" t="str">
        <x:v>Medium pelagics (30 - 89 cm)</x:v>
      </x:c>
      <x:c r="H18" s="24" t="str">
        <x:v>Perch-likes</x:v>
      </x:c>
      <x:c r="I18" s="31" t="n">
        <x:v>11.538461372</x:v>
      </x:c>
      <x:c r="J18" s="31" t="n">
        <x:v>10.961538272</x:v>
      </x:c>
      <x:c r="K18" s="31" t="n">
        <x:v>0.5769231</x:v>
      </x:c>
      <x:c r="L18" s="31" t="n">
        <x:v>2.307692309</x:v>
      </x:c>
      <x:c r="M18" s="31" t="n">
        <x:v>9.230769063</x:v>
      </x:c>
      <x:c r="N18" s="24" t="str">
        <x:v>selar crumenophthalmus</x:v>
      </x:c>
      <x:c r="O18" s="32" t="n">
        <x:v>3.81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Selar crumenophthalmus</x:v>
      </x:c>
      <x:c r="T18" s="32" t="n">
        <x:f>IF(O18="","",(1/'Metadata'!$B$5)^(O18-1))</x:f>
        <x:v>645.6542290346556</x:v>
      </x:c>
      <x:c r="U18" s="31" t="n">
        <x:f>IF(T18="","",I18*T18)</x:f>
        <x:v>7449.856381384815</x:v>
      </x:c>
    </x:row>
    <x:row r="19" ht="18" customHeight="1">
      <x:c r="A19" s="24" t="str">
        <x:v>EEZ_905</x:v>
      </x:c>
      <x:c r="B19" s="24" t="str">
        <x:v>St Martin (France)</x:v>
      </x:c>
      <x:c r="C19" s="24" t="str">
        <x:v>EEZ</x:v>
      </x:c>
      <x:c r="D19" s="30" t="n">
        <x:v>2019</x:v>
      </x:c>
      <x:c r="E19" s="24" t="str">
        <x:v>Chloroscombrus chrysurus</x:v>
      </x:c>
      <x:c r="F19" s="24" t="str">
        <x:v>Atlantic bumper</x:v>
      </x:c>
      <x:c r="G19" s="24" t="str">
        <x:v>Medium pelagics (30 - 89 cm)</x:v>
      </x:c>
      <x:c r="H19" s="24" t="str">
        <x:v>Perch-likes</x:v>
      </x:c>
      <x:c r="I19" s="31" t="n">
        <x:v>11.538461372</x:v>
      </x:c>
      <x:c r="J19" s="31" t="n">
        <x:v>10.961538272</x:v>
      </x:c>
      <x:c r="K19" s="31" t="n">
        <x:v>0.5769231</x:v>
      </x:c>
      <x:c r="L19" s="31" t="n">
        <x:v>2.307692309</x:v>
      </x:c>
      <x:c r="M19" s="31" t="n">
        <x:v>9.230769063</x:v>
      </x:c>
      <x:c r="N19" s="24" t="str">
        <x:v>chloroscombrus chrysurus</x:v>
      </x:c>
      <x:c r="O19" s="32" t="n">
        <x:v>3.54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Chloroscombrus chrysurus</x:v>
      </x:c>
      <x:c r="T19" s="32" t="n">
        <x:f>IF(O19="","",(1/'Metadata'!$B$5)^(O19-1))</x:f>
        <x:v>346.73685045253166</x:v>
      </x:c>
      <x:c r="U19" s="31" t="n">
        <x:f>IF(T19="","",I19*T19)</x:f>
        <x:v>4000.8097551954775</x:v>
      </x:c>
    </x:row>
    <x:row r="20" ht="18" customHeight="1">
      <x:c r="A20" s="24" t="str">
        <x:v>EEZ_905</x:v>
      </x:c>
      <x:c r="B20" s="24" t="str">
        <x:v>St Martin (France)</x:v>
      </x:c>
      <x:c r="C20" s="24" t="str">
        <x:v>EEZ</x:v>
      </x:c>
      <x:c r="D20" s="30" t="n">
        <x:v>2019</x:v>
      </x:c>
      <x:c r="E20" s="24" t="str">
        <x:v>Lutjanus campechanus</x:v>
      </x:c>
      <x:c r="F20" s="24" t="str">
        <x:v>Northern red snapper</x:v>
      </x:c>
      <x:c r="G20" s="24" t="str">
        <x:v>Medium reef assoc. fish (30 - 89 cm)</x:v>
      </x:c>
      <x:c r="H20" s="24" t="str">
        <x:v>Perch-likes</x:v>
      </x:c>
      <x:c r="I20" s="31" t="n">
        <x:v>11.538461371</x:v>
      </x:c>
      <x:c r="J20" s="31" t="n">
        <x:v>10.961538271</x:v>
      </x:c>
      <x:c r="K20" s="31" t="n">
        <x:v>0.5769231</x:v>
      </x:c>
      <x:c r="L20" s="31" t="n">
        <x:v>2.307692308</x:v>
      </x:c>
      <x:c r="M20" s="31" t="n">
        <x:v>9.230769063</x:v>
      </x:c>
      <x:c r="N20" s="24" t="str">
        <x:v>lutjanus campechanus</x:v>
      </x:c>
      <x:c r="O20" s="32" t="n">
        <x:v>4.01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Lutjanus campechanus</x:v>
      </x:c>
      <x:c r="T20" s="32" t="n">
        <x:f>IF(O20="","",(1/'Metadata'!$B$5)^(O20-1))</x:f>
        <x:v>1023.2929922807537</x:v>
      </x:c>
      <x:c r="U20" s="31" t="n">
        <x:f>IF(T20="","",I20*T20)</x:f>
        <x:v>11807.226662646477</x:v>
      </x:c>
    </x:row>
    <x:row r="21" ht="18" customHeight="1">
      <x:c r="A21" s="24" t="str">
        <x:v>EEZ_905</x:v>
      </x:c>
      <x:c r="B21" s="24" t="str">
        <x:v>St Martin (France)</x:v>
      </x:c>
      <x:c r="C21" s="24" t="str">
        <x:v>EEZ</x:v>
      </x:c>
      <x:c r="D21" s="30" t="n">
        <x:v>2019</x:v>
      </x:c>
      <x:c r="E21" s="24" t="str">
        <x:v>Balistidae</x:v>
      </x:c>
      <x:c r="F21" s="24" t="str">
        <x:v>Triggerfishes</x:v>
      </x:c>
      <x:c r="G21" s="24" t="str">
        <x:v>Medium reef assoc. fish (30 - 89 cm)</x:v>
      </x:c>
      <x:c r="H21" s="24" t="str">
        <x:v>Other fishes &amp; inverts</x:v>
      </x:c>
      <x:c r="I21" s="31" t="n">
        <x:v>11.538461268999999</x:v>
      </x:c>
      <x:c r="J21" s="31" t="n">
        <x:v>10.961538269</x:v>
      </x:c>
      <x:c r="K21" s="31" t="n">
        <x:v>0.576923</x:v>
      </x:c>
      <x:c r="L21" s="31" t="n">
        <x:v>2.307692306</x:v>
      </x:c>
      <x:c r="M21" s="31" t="n">
        <x:v>9.230768963</x:v>
      </x:c>
      <x:c r="N21" s="24" t="str">
        <x:v>balistidae</x:v>
      </x:c>
      <x:c r="O21" s="32" t="n">
        <x:v>3.25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Balistidae</x:v>
      </x:c>
      <x:c r="T21" s="32" t="n">
        <x:f>IF(O21="","",(1/'Metadata'!$B$5)^(O21-1))</x:f>
        <x:v>177.82794100389228</x:v>
      </x:c>
      <x:c r="U21" s="31" t="n">
        <x:f>IF(T21="","",I21*T21)</x:f>
        <x:v>2051.8608098194277</x:v>
      </x:c>
    </x:row>
    <x:row r="22" ht="18" customHeight="1">
      <x:c r="A22" s="24" t="str">
        <x:v>EEZ_905</x:v>
      </x:c>
      <x:c r="B22" s="24" t="str">
        <x:v>St Martin (France)</x:v>
      </x:c>
      <x:c r="C22" s="24" t="str">
        <x:v>EEZ</x:v>
      </x:c>
      <x:c r="D22" s="30" t="n">
        <x:v>2019</x:v>
      </x:c>
      <x:c r="E22" s="24" t="str">
        <x:v>Serranidae</x:v>
      </x:c>
      <x:c r="F22" s="24" t="str">
        <x:v>Basses, groupers, hinds</x:v>
      </x:c>
      <x:c r="G22" s="24" t="str">
        <x:v>Medium reef assoc. fish (30 - 89 cm)</x:v>
      </x:c>
      <x:c r="H22" s="24" t="str">
        <x:v>Perch-likes</x:v>
      </x:c>
      <x:c r="I22" s="31" t="n">
        <x:v>11.538461268999999</x:v>
      </x:c>
      <x:c r="J22" s="31" t="n">
        <x:v>10.961538269</x:v>
      </x:c>
      <x:c r="K22" s="31" t="n">
        <x:v>0.576923</x:v>
      </x:c>
      <x:c r="L22" s="31" t="n">
        <x:v>2.307692306</x:v>
      </x:c>
      <x:c r="M22" s="31" t="n">
        <x:v>9.230768963</x:v>
      </x:c>
      <x:c r="N22" s="24" t="str">
        <x:v>serranidae</x:v>
      </x:c>
      <x:c r="O22" s="32" t="n">
        <x:v>3.98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Serranidae</x:v>
      </x:c>
      <x:c r="T22" s="32" t="n">
        <x:f>IF(O22="","",(1/'Metadata'!$B$5)^(O22-1))</x:f>
        <x:v>954.992586021436</x:v>
      </x:c>
      <x:c r="U22" s="31" t="n">
        <x:f>IF(T22="","",I22*T22)</x:f>
        <x:v>11019.144965990488</x:v>
      </x:c>
    </x:row>
    <x:row r="23" ht="18" customHeight="1">
      <x:c r="A23" s="24" t="str">
        <x:v>EEZ_905</x:v>
      </x:c>
      <x:c r="B23" s="24" t="str">
        <x:v>St Martin (France)</x:v>
      </x:c>
      <x:c r="C23" s="24" t="str">
        <x:v>EEZ</x:v>
      </x:c>
      <x:c r="D23" s="30" t="n">
        <x:v>2019</x:v>
      </x:c>
      <x:c r="E23" s="24" t="str">
        <x:v>Ocyurus chrysurus</x:v>
      </x:c>
      <x:c r="F23" s="24" t="str">
        <x:v>Yellowtail snapper</x:v>
      </x:c>
      <x:c r="G23" s="24" t="str">
        <x:v>Medium reef assoc. fish (30 - 89 cm)</x:v>
      </x:c>
      <x:c r="H23" s="24" t="str">
        <x:v>Perch-likes</x:v>
      </x:c>
      <x:c r="I23" s="31" t="n">
        <x:v>11.538461181</x:v>
      </x:c>
      <x:c r="J23" s="31" t="n">
        <x:v>10.961538071</x:v>
      </x:c>
      <x:c r="K23" s="31" t="n">
        <x:v>0.57692311</x:v>
      </x:c>
      <x:c r="L23" s="31" t="n">
        <x:v>2.307692308</x:v>
      </x:c>
      <x:c r="M23" s="31" t="n">
        <x:v>9.230768873</x:v>
      </x:c>
      <x:c r="N23" s="24" t="str">
        <x:v>ocyurus chrysurus</x:v>
      </x:c>
      <x:c r="O23" s="32" t="n">
        <x:v>4.03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Ocyurus chrysurus</x:v>
      </x:c>
      <x:c r="T23" s="32" t="n">
        <x:f>IF(O23="","",(1/'Metadata'!$B$5)^(O23-1))</x:f>
        <x:v>1071.519305237607</x:v>
      </x:c>
      <x:c r="U23" s="31" t="n">
        <x:f>IF(T23="","",I23*T23)</x:f>
        <x:v>12363.683908176221</x:v>
      </x:c>
    </x:row>
    <x:row r="24" ht="18" customHeight="1">
      <x:c r="A24" s="24" t="str">
        <x:v>EEZ_905</x:v>
      </x:c>
      <x:c r="B24" s="24" t="str">
        <x:v>St Martin (France)</x:v>
      </x:c>
      <x:c r="C24" s="24" t="str">
        <x:v>EEZ</x:v>
      </x:c>
      <x:c r="D24" s="30" t="n">
        <x:v>2019</x:v>
      </x:c>
      <x:c r="E24" s="24" t="str">
        <x:v>Pristipomoides macrophthalmus</x:v>
      </x:c>
      <x:c r="F24" s="24" t="str">
        <x:v>Cardinal snapper</x:v>
      </x:c>
      <x:c r="G24" s="24" t="str">
        <x:v>Medium benthopelagics (30 - 89 cm)</x:v>
      </x:c>
      <x:c r="H24" s="24" t="str">
        <x:v>Perch-likes</x:v>
      </x:c>
      <x:c r="I24" s="31" t="n">
        <x:v>11.250000614</x:v>
      </x:c>
      <x:c r="J24" s="31" t="n">
        <x:v>10.687500514</x:v>
      </x:c>
      <x:c r="K24" s="31" t="n">
        <x:v>0.5625001</x:v>
      </x:c>
      <x:c r="L24" s="31" t="n">
        <x:v>2.25</x:v>
      </x:c>
      <x:c r="M24" s="31" t="n">
        <x:v>9.000000614000001</x:v>
      </x:c>
      <x:c r="N24" s="24" t="str">
        <x:v>pristipomoides macrophthalmus</x:v>
      </x:c>
      <x:c r="O24" s="32" t="n">
        <x:v>3.87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Pristipomoides macrophthalmus</x:v>
      </x:c>
      <x:c r="T24" s="32" t="n">
        <x:f>IF(O24="","",(1/'Metadata'!$B$5)^(O24-1))</x:f>
        <x:v>741.3102413009177</x:v>
      </x:c>
      <x:c r="U24" s="31" t="n">
        <x:f>IF(T24="","",I24*T24)</x:f>
        <x:v>8339.740669799812</x:v>
      </x:c>
    </x:row>
    <x:row r="25" ht="18" customHeight="1">
      <x:c r="A25" s="24" t="str">
        <x:v>EEZ_905</x:v>
      </x:c>
      <x:c r="B25" s="24" t="str">
        <x:v>St Martin (France)</x:v>
      </x:c>
      <x:c r="C25" s="24" t="str">
        <x:v>EEZ</x:v>
      </x:c>
      <x:c r="D25" s="30" t="n">
        <x:v>2019</x:v>
      </x:c>
      <x:c r="E25" s="24" t="str">
        <x:v>Etelis oculatus</x:v>
      </x:c>
      <x:c r="F25" s="24" t="str">
        <x:v>Queen snapper</x:v>
      </x:c>
      <x:c r="G25" s="24" t="str">
        <x:v>Medium bathydemersals (30 - 89 cm)</x:v>
      </x:c>
      <x:c r="H25" s="24" t="str">
        <x:v>Perch-likes</x:v>
      </x:c>
      <x:c r="I25" s="31" t="n">
        <x:v>11.250000614</x:v>
      </x:c>
      <x:c r="J25" s="31" t="n">
        <x:v>10.687500514</x:v>
      </x:c>
      <x:c r="K25" s="31" t="n">
        <x:v>0.5625001</x:v>
      </x:c>
      <x:c r="L25" s="31" t="n">
        <x:v>2.25</x:v>
      </x:c>
      <x:c r="M25" s="31" t="n">
        <x:v>9.000000614000001</x:v>
      </x:c>
      <x:c r="N25" s="24" t="str">
        <x:v>etelis oculatus</x:v>
      </x:c>
      <x:c r="O25" s="32" t="n">
        <x:v>4.18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Etelis oculatus</x:v>
      </x:c>
      <x:c r="T25" s="32" t="n">
        <x:f>IF(O25="","",(1/'Metadata'!$B$5)^(O25-1))</x:f>
        <x:v>1513.5612484362073</x:v>
      </x:c>
      <x:c r="U25" s="31" t="n">
        <x:f>IF(T25="","",I25*T25)</x:f>
        <x:v>17027.564974233937</x:v>
      </x:c>
    </x:row>
    <x:row r="26" ht="18" customHeight="1">
      <x:c r="A26" s="24" t="str">
        <x:v>EEZ_905</x:v>
      </x:c>
      <x:c r="B26" s="24" t="str">
        <x:v>St Martin (France)</x:v>
      </x:c>
      <x:c r="C26" s="24" t="str">
        <x:v>EEZ</x:v>
      </x:c>
      <x:c r="D26" s="30" t="n">
        <x:v>2019</x:v>
      </x:c>
      <x:c r="E26" s="24" t="str">
        <x:v>Acanthocybium solandri</x:v>
      </x:c>
      <x:c r="F26" s="24" t="str">
        <x:v>Wahoo</x:v>
      </x:c>
      <x:c r="G26" s="24" t="str">
        <x:v>Large pelagics (&gt;=90 cm)</x:v>
      </x:c>
      <x:c r="H26" s="24" t="str">
        <x:v>Perch-likes</x:v>
      </x:c>
      <x:c r="I26" s="31" t="n">
        <x:v>11.250000014000001</x:v>
      </x:c>
      <x:c r="J26" s="31" t="n">
        <x:v>10.687500014000001</x:v>
      </x:c>
      <x:c r="K26" s="31" t="n">
        <x:v>0.5625</x:v>
      </x:c>
      <x:c r="L26" s="31" t="n">
        <x:v>2.25</x:v>
      </x:c>
      <x:c r="M26" s="31" t="n">
        <x:v>9.000000014000001</x:v>
      </x:c>
      <x:c r="N26" s="24" t="str">
        <x:v>acanthocybium solandri</x:v>
      </x:c>
      <x:c r="O26" s="32" t="n">
        <x:v>4.26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Acanthocybium solandri</x:v>
      </x:c>
      <x:c r="T26" s="32" t="n">
        <x:f>IF(O26="","",(1/'Metadata'!$B$5)^(O26-1))</x:f>
        <x:v>1819.7008586099826</x:v>
      </x:c>
      <x:c r="U26" s="31" t="n">
        <x:f>IF(T26="","",I26*T26)</x:f>
        <x:v>20471.634684838118</x:v>
      </x:c>
    </x:row>
    <x:row r="27" ht="18" customHeight="1">
      <x:c r="A27" s="24" t="str">
        <x:v>EEZ_905</x:v>
      </x:c>
      <x:c r="B27" s="24" t="str">
        <x:v>St Martin (France)</x:v>
      </x:c>
      <x:c r="C27" s="24" t="str">
        <x:v>EEZ</x:v>
      </x:c>
      <x:c r="D27" s="30" t="n">
        <x:v>2019</x:v>
      </x:c>
      <x:c r="E27" s="24" t="str">
        <x:v>Epinephelus morio</x:v>
      </x:c>
      <x:c r="F27" s="24" t="str">
        <x:v>Red grouper</x:v>
      </x:c>
      <x:c r="G27" s="24" t="str">
        <x:v>Large reef assoc. fish (&gt;=90 cm)</x:v>
      </x:c>
      <x:c r="H27" s="24" t="str">
        <x:v>Perch-likes</x:v>
      </x:c>
      <x:c r="I27" s="31" t="n">
        <x:v>11.250000014000001</x:v>
      </x:c>
      <x:c r="J27" s="31" t="n">
        <x:v>10.687500014000001</x:v>
      </x:c>
      <x:c r="K27" s="31" t="n">
        <x:v>0.5625</x:v>
      </x:c>
      <x:c r="L27" s="31" t="n">
        <x:v>2.25</x:v>
      </x:c>
      <x:c r="M27" s="31" t="n">
        <x:v>9.000000014000001</x:v>
      </x:c>
      <x:c r="N27" s="24" t="str">
        <x:v>epinephelus morio</x:v>
      </x:c>
      <x:c r="O27" s="32" t="n">
        <x:v>3.5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Epinephelus morio</x:v>
      </x:c>
      <x:c r="T27" s="32" t="n">
        <x:f>IF(O27="","",(1/'Metadata'!$B$5)^(O27-1))</x:f>
        <x:v>316.22776601683796</x:v>
      </x:c>
      <x:c r="U27" s="31" t="n">
        <x:f>IF(T27="","",I27*T27)</x:f>
        <x:v>3557.562372116616</x:v>
      </x:c>
    </x:row>
    <x:row r="28" ht="18" customHeight="1">
      <x:c r="A28" s="24" t="str">
        <x:v>EEZ_905</x:v>
      </x:c>
      <x:c r="B28" s="24" t="str">
        <x:v>St Martin (France)</x:v>
      </x:c>
      <x:c r="C28" s="24" t="str">
        <x:v>EEZ</x:v>
      </x:c>
      <x:c r="D28" s="30" t="n">
        <x:v>2019</x:v>
      </x:c>
      <x:c r="E28" s="24" t="str">
        <x:v>Coryphaena hippurus</x:v>
      </x:c>
      <x:c r="F28" s="24" t="str">
        <x:v>Common dolphinfish</x:v>
      </x:c>
      <x:c r="G28" s="24" t="str">
        <x:v>Large pelagics (&gt;=90 cm)</x:v>
      </x:c>
      <x:c r="H28" s="24" t="str">
        <x:v>Perch-likes</x:v>
      </x:c>
      <x:c r="I28" s="31" t="n">
        <x:v>11.250000014000001</x:v>
      </x:c>
      <x:c r="J28" s="31" t="n">
        <x:v>10.687500014000001</x:v>
      </x:c>
      <x:c r="K28" s="31" t="n">
        <x:v>0.5625</x:v>
      </x:c>
      <x:c r="L28" s="31" t="n">
        <x:v>2.25</x:v>
      </x:c>
      <x:c r="M28" s="31" t="n">
        <x:v>9.000000014000001</x:v>
      </x:c>
      <x:c r="N28" s="24" t="str">
        <x:v>coryphaena hippurus</x:v>
      </x:c>
      <x:c r="O28" s="32" t="n">
        <x:v>4.37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Coryphaena hippurus</x:v>
      </x:c>
      <x:c r="T28" s="32" t="n">
        <x:f>IF(O28="","",(1/'Metadata'!$B$5)^(O28-1))</x:f>
        <x:v>2344.228815319923</x:v>
      </x:c>
      <x:c r="U28" s="31" t="n">
        <x:f>IF(T28="","",I28*T28)</x:f>
        <x:v>26372.574205168337</x:v>
      </x:c>
    </x:row>
    <x:row r="29" ht="18" customHeight="1">
      <x:c r="A29" s="24" t="str">
        <x:v>EEZ_905</x:v>
      </x:c>
      <x:c r="B29" s="24" t="str">
        <x:v>St Martin (France)</x:v>
      </x:c>
      <x:c r="C29" s="24" t="str">
        <x:v>EEZ</x:v>
      </x:c>
      <x:c r="D29" s="30" t="n">
        <x:v>2019</x:v>
      </x:c>
      <x:c r="E29" s="24" t="str">
        <x:v>Katsuwonus pelamis</x:v>
      </x:c>
      <x:c r="F29" s="24" t="str">
        <x:v>Skipjack tuna</x:v>
      </x:c>
      <x:c r="G29" s="24" t="str">
        <x:v>Large pelagics (&gt;=90 cm)</x:v>
      </x:c>
      <x:c r="H29" s="24" t="str">
        <x:v>Tuna &amp; billfishes</x:v>
      </x:c>
      <x:c r="I29" s="31" t="n">
        <x:v>11.250000014000001</x:v>
      </x:c>
      <x:c r="J29" s="31" t="n">
        <x:v>10.687500014000001</x:v>
      </x:c>
      <x:c r="K29" s="31" t="n">
        <x:v>0.5625</x:v>
      </x:c>
      <x:c r="L29" s="31" t="n">
        <x:v>2.25</x:v>
      </x:c>
      <x:c r="M29" s="31" t="n">
        <x:v>9.000000014000001</x:v>
      </x:c>
      <x:c r="N29" s="24" t="str">
        <x:v>katsuwonus pelamis</x:v>
      </x:c>
      <x:c r="O29" s="32" t="n">
        <x:v>4.43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Katsuwonus pelamis</x:v>
      </x:c>
      <x:c r="T29" s="32" t="n">
        <x:f>IF(O29="","",(1/'Metadata'!$B$5)^(O29-1))</x:f>
        <x:v>2691.534803926914</x:v>
      </x:c>
      <x:c r="U29" s="31" t="n">
        <x:f>IF(T29="","",I29*T29)</x:f>
        <x:v>30279.766581859272</x:v>
      </x:c>
    </x:row>
    <x:row r="30" ht="18" customHeight="1">
      <x:c r="A30" s="24" t="str">
        <x:v>EEZ_905</x:v>
      </x:c>
      <x:c r="B30" s="24" t="str">
        <x:v>St Martin (France)</x:v>
      </x:c>
      <x:c r="C30" s="24" t="str">
        <x:v>EEZ</x:v>
      </x:c>
      <x:c r="D30" s="30" t="n">
        <x:v>2019</x:v>
      </x:c>
      <x:c r="E30" s="24" t="str">
        <x:v>Thunnus thynnus</x:v>
      </x:c>
      <x:c r="F30" s="24" t="str">
        <x:v>Atlantic bluefin tuna</x:v>
      </x:c>
      <x:c r="G30" s="24" t="str">
        <x:v>Large pelagics (&gt;=90 cm)</x:v>
      </x:c>
      <x:c r="H30" s="24" t="str">
        <x:v>Tuna &amp; billfishes</x:v>
      </x:c>
      <x:c r="I30" s="31" t="n">
        <x:v>11.250000014000001</x:v>
      </x:c>
      <x:c r="J30" s="31" t="n">
        <x:v>10.687500014000001</x:v>
      </x:c>
      <x:c r="K30" s="31" t="n">
        <x:v>0.5625</x:v>
      </x:c>
      <x:c r="L30" s="31" t="n">
        <x:v>2.25</x:v>
      </x:c>
      <x:c r="M30" s="31" t="n">
        <x:v>9.000000014000001</x:v>
      </x:c>
      <x:c r="N30" s="24" t="str">
        <x:v>thunnus thynnus</x:v>
      </x:c>
      <x:c r="O30" s="32" t="n">
        <x:v>4.45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thynnus</x:v>
      </x:c>
      <x:c r="T30" s="32" t="n">
        <x:f>IF(O30="","",(1/'Metadata'!$B$5)^(O30-1))</x:f>
        <x:v>2818.382931264455</x:v>
      </x:c>
      <x:c r="U30" s="31" t="n">
        <x:f>IF(T30="","",I30*T30)</x:f>
        <x:v>31706.80801618248</x:v>
      </x:c>
    </x:row>
  </x:sheetData>
  <x:conditionalFormatting sqref="R2:R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f9fccfec919440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16.071428811</x:v>
      </x:c>
      <x:c r="E2" s="31" t="n">
        <x:v>16.071428811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IF(C2=0,"",SUMIF('Species'!$H$2:$H$30,A2,'Species'!$U$2:$U$30))</x:f>
        <x:v>2547.149811567732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2547.149811567732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Molluscs</x:v>
      </x:c>
      <x:c r="B3" s="33" t="n">
        <x:v>2</x:v>
      </x:c>
      <x:c r="C3" s="33" t="n">
        <x:v>2</x:v>
      </x:c>
      <x:c r="D3" s="31" t="n">
        <x:v>55.958234847</x:v>
      </x:c>
      <x:c r="E3" s="31" t="n">
        <x:v>55.958234847</x:v>
      </x:c>
      <x:c r="F3" s="32" t="n">
        <x:v>0</x:v>
      </x:c>
      <x:c r="G3" s="34" t="n">
        <x:v>1</x:v>
      </x:c>
      <x:c r="H3" s="32" t="n">
        <x:f>IF(E3=0,"",I3/E3)</x:f>
        <x:v>14.434804517351472</x:v>
      </x:c>
      <x:c r="I3" s="31" t="n">
        <x:f>IF(C3=0,"",SUMIF('Species'!$H$2:$H$30,A3,'Species'!$U$2:$U$30))</x:f>
        <x:v>807.7461811524902</x:v>
      </x:c>
      <x:c r="J3" s="32" t="n">
        <x:v>2.157297196971929</x:v>
      </x:c>
      <x:c r="K3" s="32" t="n">
        <x:f>IF(J3="","",(1/'Metadata'!$B$5)^(J3-1))</x:f>
        <x:v>14.364721055670048</x:v>
      </x:c>
      <x:c r="L3" s="31" t="n">
        <x:f>IF(E3=0,"",E3*K3)</x:f>
        <x:v>803.8244343448303</x:v>
      </x:c>
      <x:c r="M3" s="31" t="n">
        <x:f>IF(E3=0,"",I3-L3)</x:f>
        <x:v>3.921746807659929</x:v>
      </x:c>
      <x:c r="N3" s="32" t="n">
        <x:f>IF(L3=0,"",I3/L3)</x:f>
        <x:v>1.0048788599103191</x:v>
      </x:c>
      <x:c r="O3" s="34" t="n">
        <x:f>IF(L3=0,"",M3/L3)</x:f>
        <x:v>0.004878859910319111</x:v>
      </x:c>
    </x:row>
    <x:row r="4" ht="18" customHeight="1">
      <x:c r="A4" s="24" t="str">
        <x:v>Other fishes &amp; inverts</x:v>
      </x:c>
      <x:c r="B4" s="33" t="n">
        <x:v>3</x:v>
      </x:c>
      <x:c r="C4" s="33" t="n">
        <x:v>3</x:v>
      </x:c>
      <x:c r="D4" s="31" t="n">
        <x:v>109.10027449699999</x:v>
      </x:c>
      <x:c r="E4" s="31" t="n">
        <x:v>109.10027449699999</x:v>
      </x:c>
      <x:c r="F4" s="32" t="n">
        <x:v>0</x:v>
      </x:c>
      <x:c r="G4" s="34" t="n">
        <x:v>1</x:v>
      </x:c>
      <x:c r="H4" s="32" t="n">
        <x:f>IF(E4=0,"",I4/E4)</x:f>
        <x:v>180.10893812684145</x:v>
      </x:c>
      <x:c r="I4" s="31" t="n">
        <x:f>IF(C4=0,"",SUMIF('Species'!$H$2:$H$30,A4,'Species'!$U$2:$U$30))</x:f>
        <x:v>19649.93458900159</x:v>
      </x:c>
      <x:c r="J4" s="32" t="n">
        <x:v>3.251784703283632</x:v>
      </x:c>
      <x:c r="K4" s="32" t="n">
        <x:f>IF(J4="","",(1/'Metadata'!$B$5)^(J4-1))</x:f>
        <x:v>178.56021627556797</x:v>
      </x:c>
      <x:c r="L4" s="31" t="n">
        <x:f>IF(E4=0,"",E4*K4)</x:f>
        <x:v>19480.96860990815</x:v>
      </x:c>
      <x:c r="M4" s="31" t="n">
        <x:f>IF(E4=0,"",I4-L4)</x:f>
        <x:v>168.965979093442</x:v>
      </x:c>
      <x:c r="N4" s="32" t="n">
        <x:f>IF(L4=0,"",I4/L4)</x:f>
        <x:v>1.0086733869591835</x:v>
      </x:c>
      <x:c r="O4" s="34" t="n">
        <x:f>IF(L4=0,"",M4/L4)</x:f>
        <x:v>0.00867338695918358</x:v>
      </x:c>
    </x:row>
    <x:row r="5" ht="18" customHeight="1">
      <x:c r="A5" s="24" t="str">
        <x:v>Perch-likes</x:v>
      </x:c>
      <x:c r="B5" s="33" t="n">
        <x:v>19</x:v>
      </x:c>
      <x:c r="C5" s="33" t="n">
        <x:v>19</x:v>
      </x:c>
      <x:c r="D5" s="31" t="n">
        <x:v>292.0813003520001</x:v>
      </x:c>
      <x:c r="E5" s="31" t="n">
        <x:v>292.0813003520001</x:v>
      </x:c>
      <x:c r="F5" s="32" t="n">
        <x:v>0</x:v>
      </x:c>
      <x:c r="G5" s="34" t="n">
        <x:v>1</x:v>
      </x:c>
      <x:c r="H5" s="32" t="n">
        <x:f>IF(E5=0,"",I5/E5)</x:f>
        <x:v>1086.8086331880781</x:v>
      </x:c>
      <x:c r="I5" s="31" t="n">
        <x:f>IF(C5=0,"",SUMIF('Species'!$H$2:$H$30,A5,'Species'!$U$2:$U$30))</x:f>
        <x:v>317436.47881535377</x:v>
      </x:c>
      <x:c r="J5" s="32" t="n">
        <x:v>3.8805552560232175</x:v>
      </x:c>
      <x:c r="K5" s="32" t="n">
        <x:f>IF(J5="","",(1/'Metadata'!$B$5)^(J5-1))</x:f>
        <x:v>759.5480551071422</x:v>
      </x:c>
      <x:c r="L5" s="31" t="n">
        <x:f>IF(E5=0,"",E5*K5)</x:f>
        <x:v>221849.7836155267</x:v>
      </x:c>
      <x:c r="M5" s="31" t="n">
        <x:f>IF(E5=0,"",I5-L5)</x:f>
        <x:v>95586.69519982705</x:v>
      </x:c>
      <x:c r="N5" s="32" t="n">
        <x:f>IF(L5=0,"",I5/L5)</x:f>
        <x:v>1.4308622421984512</x:v>
      </x:c>
      <x:c r="O5" s="34" t="n">
        <x:f>IF(L5=0,"",M5/L5)</x:f>
        <x:v>0.43086224219845115</x:v>
      </x:c>
    </x:row>
    <x:row r="6" ht="18" customHeight="1">
      <x:c r="A6" s="24" t="str">
        <x:v>Sharks &amp; rays</x:v>
      </x:c>
      <x:c r="B6" s="33" t="n">
        <x:v>1</x:v>
      </x:c>
      <x:c r="C6" s="33" t="n">
        <x:v>1</x:v>
      </x:c>
      <x:c r="D6" s="31" t="n">
        <x:v>31.87169455</x:v>
      </x:c>
      <x:c r="E6" s="31" t="n">
        <x:v>31.87169455</x:v>
      </x:c>
      <x:c r="F6" s="32" t="n">
        <x:v>0</x:v>
      </x:c>
      <x:c r="G6" s="34" t="n">
        <x:v>1</x:v>
      </x:c>
      <x:c r="H6" s="32" t="n">
        <x:f>IF(E6=0,"",I6/E6)</x:f>
        <x:v>1122.018454301963</x:v>
      </x:c>
      <x:c r="I6" s="31" t="n">
        <x:f>IF(C6=0,"",SUMIF('Species'!$H$2:$H$30,A6,'Species'!$U$2:$U$30))</x:f>
        <x:v>35760.6294549753</x:v>
      </x:c>
      <x:c r="J6" s="32" t="n">
        <x:v>4.05</x:v>
      </x:c>
      <x:c r="K6" s="32" t="n">
        <x:f>IF(J6="","",(1/'Metadata'!$B$5)^(J6-1))</x:f>
        <x:v>1122.018454301963</x:v>
      </x:c>
      <x:c r="L6" s="31" t="n">
        <x:f>IF(E6=0,"",E6*K6)</x:f>
        <x:v>35760.6294549753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Tuna &amp; billfishes</x:v>
      </x:c>
      <x:c r="B7" s="33" t="n">
        <x:v>3</x:v>
      </x:c>
      <x:c r="C7" s="33" t="n">
        <x:v>3</x:v>
      </x:c>
      <x:c r="D7" s="31" t="n">
        <x:v>42.833233208</x:v>
      </x:c>
      <x:c r="E7" s="31" t="n">
        <x:v>42.833233208</x:v>
      </x:c>
      <x:c r="F7" s="32" t="n">
        <x:v>0</x:v>
      </x:c>
      <x:c r="G7" s="34" t="n">
        <x:v>1</x:v>
      </x:c>
      <x:c r="H7" s="32" t="n">
        <x:f>IF(E7=0,"",I7/E7)</x:f>
        <x:v>2880.752814575579</x:v>
      </x:c>
      <x:c r="I7" s="31" t="n">
        <x:f>IF(C7=0,"",SUMIF('Species'!$H$2:$H$30,A7,'Species'!$U$2:$U$30))</x:f>
        <x:v>123391.95712131816</x:v>
      </x:c>
      <x:c r="J7" s="32" t="n">
        <x:v>4.458988277706015</x:v>
      </x:c>
      <x:c r="K7" s="32" t="n">
        <x:f>IF(J7="","",(1/'Metadata'!$B$5)^(J7-1))</x:f>
        <x:v>2877.3207502560836</x:v>
      </x:c>
      <x:c r="L7" s="31" t="n">
        <x:f>IF(E7=0,"",E7*K7)</x:f>
        <x:v>123244.95070993635</x:v>
      </x:c>
      <x:c r="M7" s="31" t="n">
        <x:f>IF(E7=0,"",I7-L7)</x:f>
        <x:v>147.006411381808</x:v>
      </x:c>
      <x:c r="N7" s="32" t="n">
        <x:f>IF(L7=0,"",I7/L7)</x:f>
        <x:v>1.0011927986545088</x:v>
      </x:c>
      <x:c r="O7" s="34" t="n">
        <x:f>IF(L7=0,"",M7/L7)</x:f>
        <x:v>0.0011927986545087394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803168b9fd64a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6</x:v>
      </x:c>
      <x:c r="C2" s="33" t="n">
        <x:v>6</x:v>
      </x:c>
      <x:c r="D2" s="31" t="n">
        <x:v>85.66646641599999</x:v>
      </x:c>
      <x:c r="E2" s="31" t="n">
        <x:v>85.66646641599999</x:v>
      </x:c>
      <x:c r="F2" s="32" t="n">
        <x:v>0</x:v>
      </x:c>
      <x:c r="G2" s="34" t="n">
        <x:v>1</x:v>
      </x:c>
      <x:c r="H2" s="32" t="n">
        <x:f>IF(E2=0,"",I2/E2)</x:f>
        <x:v>2720.6895928671274</x:v>
      </x:c>
      <x:c r="I2" s="31" t="n">
        <x:f>IF(C2=0,"",SUMIF('Species'!$G$2:$G$30,A2,'Species'!$U$2:$U$30))</x:f>
        <x:v>233071.86363571245</x:v>
      </x:c>
      <x:c r="J2" s="32" t="n">
        <x:v>4.428530996334916</x:v>
      </x:c>
      <x:c r="K2" s="32" t="n">
        <x:f>IF(J2="","",(1/'Metadata'!$B$5)^(J2-1))</x:f>
        <x:v>2682.446051507983</x:v>
      </x:c>
      <x:c r="L2" s="31" t="n">
        <x:f>IF(E2=0,"",E2*K2)</x:f>
        <x:v>229795.67458424042</x:v>
      </x:c>
      <x:c r="M2" s="31" t="n">
        <x:f>IF(E2=0,"",I2-L2)</x:f>
        <x:v>3276.189051472029</x:v>
      </x:c>
      <x:c r="N2" s="32" t="n">
        <x:f>IF(L2=0,"",I2/L2)</x:f>
        <x:v>1.0142569657039868</x:v>
      </x:c>
      <x:c r="O2" s="34" t="n">
        <x:f>IF(L2=0,"",M2/L2)</x:f>
        <x:v>0.01425696570398681</x:v>
      </x:c>
    </x:row>
    <x:row r="3" ht="18" customHeight="1">
      <x:c r="A3" s="24" t="str">
        <x:v>Large reef assoc. fish (&gt;=90 cm)</x:v>
      </x:c>
      <x:c r="B3" s="33" t="n">
        <x:v>2</x:v>
      </x:c>
      <x:c r="C3" s="33" t="n">
        <x:v>2</x:v>
      </x:c>
      <x:c r="D3" s="31" t="n">
        <x:v>27.321428124</x:v>
      </x:c>
      <x:c r="E3" s="31" t="n">
        <x:v>27.321428124</x:v>
      </x:c>
      <x:c r="F3" s="32" t="n">
        <x:v>0</x:v>
      </x:c>
      <x:c r="G3" s="34" t="n">
        <x:v>1</x:v>
      </x:c>
      <x:c r="H3" s="32" t="n">
        <x:f>IF(E3=0,"",I3/E3)</x:f>
        <x:v>805.5959102630363</x:v>
      </x:c>
      <x:c r="I3" s="31" t="n">
        <x:f>IF(C3=0,"",SUMIF('Species'!$G$2:$G$30,A3,'Species'!$U$2:$U$30))</x:f>
        <x:v>22010.0307592399</x:v>
      </x:c>
      <x:c r="J3" s="32" t="n">
        <x:v>3.8294117606427065</x:v>
      </x:c>
      <x:c r="K3" s="32" t="n">
        <x:f>IF(J3="","",(1/'Metadata'!$B$5)^(J3-1))</x:f>
        <x:v>675.1678603781181</x:v>
      </x:c>
      <x:c r="L3" s="31" t="n">
        <x:f>IF(E3=0,"",E3*K3)</x:f>
        <x:v>18446.550168955622</x:v>
      </x:c>
      <x:c r="M3" s="31" t="n">
        <x:f>IF(E3=0,"",I3-L3)</x:f>
        <x:v>3563.480590284278</x:v>
      </x:c>
      <x:c r="N3" s="32" t="n">
        <x:f>IF(L3=0,"",I3/L3)</x:f>
        <x:v>1.193178700496605</x:v>
      </x:c>
      <x:c r="O3" s="34" t="n">
        <x:f>IF(L3=0,"",M3/L3)</x:f>
        <x:v>0.1931787004966051</x:v>
      </x:c>
    </x:row>
    <x:row r="4" ht="18" customHeight="1">
      <x:c r="A4" s="24" t="str">
        <x:v>Large sharks (&gt;=90 cm)</x:v>
      </x:c>
      <x:c r="B4" s="33" t="n">
        <x:v>1</x:v>
      </x:c>
      <x:c r="C4" s="33" t="n">
        <x:v>1</x:v>
      </x:c>
      <x:c r="D4" s="31" t="n">
        <x:v>31.87169455</x:v>
      </x:c>
      <x:c r="E4" s="31" t="n">
        <x:v>31.87169455</x:v>
      </x:c>
      <x:c r="F4" s="32" t="n">
        <x:v>0</x:v>
      </x:c>
      <x:c r="G4" s="34" t="n">
        <x:v>1</x:v>
      </x:c>
      <x:c r="H4" s="32" t="n">
        <x:f>IF(E4=0,"",I4/E4)</x:f>
        <x:v>1122.018454301963</x:v>
      </x:c>
      <x:c r="I4" s="31" t="n">
        <x:f>IF(C4=0,"",SUMIF('Species'!$G$2:$G$30,A4,'Species'!$U$2:$U$30))</x:f>
        <x:v>35760.6294549753</x:v>
      </x:c>
      <x:c r="J4" s="32" t="n">
        <x:v>4.05</x:v>
      </x:c>
      <x:c r="K4" s="32" t="n">
        <x:f>IF(J4="","",(1/'Metadata'!$B$5)^(J4-1))</x:f>
        <x:v>1122.018454301963</x:v>
      </x:c>
      <x:c r="L4" s="31" t="n">
        <x:f>IF(E4=0,"",E4*K4)</x:f>
        <x:v>35760.6294549753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Lobsters, crabs</x:v>
      </x:c>
      <x:c r="B5" s="33" t="n">
        <x:v>1</x:v>
      </x:c>
      <x:c r="C5" s="33" t="n">
        <x:v>1</x:v>
      </x:c>
      <x:c r="D5" s="31" t="n">
        <x:v>16.071428811</x:v>
      </x:c>
      <x:c r="E5" s="31" t="n">
        <x:v>16.071428811</x:v>
      </x:c>
      <x:c r="F5" s="32" t="n">
        <x:v>0</x:v>
      </x:c>
      <x:c r="G5" s="34" t="n">
        <x:v>1</x:v>
      </x:c>
      <x:c r="H5" s="32" t="n">
        <x:f>IF(E5=0,"",I5/E5)</x:f>
        <x:v>158.48931924611142</x:v>
      </x:c>
      <x:c r="I5" s="31" t="n">
        <x:f>IF(C5=0,"",SUMIF('Species'!$G$2:$G$30,A5,'Species'!$U$2:$U$30))</x:f>
        <x:v>2547.149811567732</x:v>
      </x:c>
      <x:c r="J5" s="32" t="n">
        <x:v>3.2</x:v>
      </x:c>
      <x:c r="K5" s="32" t="n">
        <x:f>IF(J5="","",(1/'Metadata'!$B$5)^(J5-1))</x:f>
        <x:v>158.48931924611142</x:v>
      </x:c>
      <x:c r="L5" s="31" t="n">
        <x:f>IF(E5=0,"",E5*K5)</x:f>
        <x:v>2547.149811567732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bathydemersals (30 - 89 cm)</x:v>
      </x:c>
      <x:c r="B6" s="33" t="n">
        <x:v>1</x:v>
      </x:c>
      <x:c r="C6" s="33" t="n">
        <x:v>1</x:v>
      </x:c>
      <x:c r="D6" s="31" t="n">
        <x:v>11.250000614</x:v>
      </x:c>
      <x:c r="E6" s="31" t="n">
        <x:v>11.250000614</x:v>
      </x:c>
      <x:c r="F6" s="32" t="n">
        <x:v>0</x:v>
      </x:c>
      <x:c r="G6" s="34" t="n">
        <x:v>1</x:v>
      </x:c>
      <x:c r="H6" s="32" t="n">
        <x:f>IF(E6=0,"",I6/E6)</x:f>
        <x:v>1513.5612484362073</x:v>
      </x:c>
      <x:c r="I6" s="31" t="n">
        <x:f>IF(C6=0,"",SUMIF('Species'!$G$2:$G$30,A6,'Species'!$U$2:$U$30))</x:f>
        <x:v>17027.564974233937</x:v>
      </x:c>
      <x:c r="J6" s="32" t="n">
        <x:v>4.18</x:v>
      </x:c>
      <x:c r="K6" s="32" t="n">
        <x:f>IF(J6="","",(1/'Metadata'!$B$5)^(J6-1))</x:f>
        <x:v>1513.5612484362073</x:v>
      </x:c>
      <x:c r="L6" s="31" t="n">
        <x:f>IF(E6=0,"",E6*K6)</x:f>
        <x:v>17027.564974233937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benthopelagics (30 - 89 cm)</x:v>
      </x:c>
      <x:c r="B7" s="33" t="n">
        <x:v>1</x:v>
      </x:c>
      <x:c r="C7" s="33" t="n">
        <x:v>1</x:v>
      </x:c>
      <x:c r="D7" s="31" t="n">
        <x:v>11.250000614</x:v>
      </x:c>
      <x:c r="E7" s="31" t="n">
        <x:v>11.250000614</x:v>
      </x:c>
      <x:c r="F7" s="32" t="n">
        <x:v>0</x:v>
      </x:c>
      <x:c r="G7" s="34" t="n">
        <x:v>1</x:v>
      </x:c>
      <x:c r="H7" s="32" t="n">
        <x:f>IF(E7=0,"",I7/E7)</x:f>
        <x:v>741.3102413009177</x:v>
      </x:c>
      <x:c r="I7" s="31" t="n">
        <x:f>IF(C7=0,"",SUMIF('Species'!$G$2:$G$30,A7,'Species'!$U$2:$U$30))</x:f>
        <x:v>8339.740669799812</x:v>
      </x:c>
      <x:c r="J7" s="32" t="n">
        <x:v>3.87</x:v>
      </x:c>
      <x:c r="K7" s="32" t="n">
        <x:f>IF(J7="","",(1/'Metadata'!$B$5)^(J7-1))</x:f>
        <x:v>741.3102413009177</x:v>
      </x:c>
      <x:c r="L7" s="31" t="n">
        <x:f>IF(E7=0,"",E7*K7)</x:f>
        <x:v>8339.740669799812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demersals (30 - 89 cm)</x:v>
      </x:c>
      <x:c r="B8" s="33" t="n">
        <x:v>4</x:v>
      </x:c>
      <x:c r="C8" s="33" t="n">
        <x:v>4</x:v>
      </x:c>
      <x:c r="D8" s="31" t="n">
        <x:v>143.427199993</x:v>
      </x:c>
      <x:c r="E8" s="31" t="n">
        <x:v>143.427199993</x:v>
      </x:c>
      <x:c r="F8" s="32" t="n">
        <x:v>0</x:v>
      </x:c>
      <x:c r="G8" s="34" t="n">
        <x:v>1</x:v>
      </x:c>
      <x:c r="H8" s="32" t="n">
        <x:f>IF(E8=0,"",I8/E8)</x:f>
        <x:v>356.2045040433621</x:v>
      </x:c>
      <x:c r="I8" s="31" t="n">
        <x:f>IF(C8=0,"",SUMIF('Species'!$G$2:$G$30,A8,'Species'!$U$2:$U$30))</x:f>
        <x:v>51089.414639834664</x:v>
      </x:c>
      <x:c r="J8" s="32" t="n">
        <x:v>3.352095957793882</x:v>
      </x:c>
      <x:c r="K8" s="32" t="n">
        <x:f>IF(J8="","",(1/'Metadata'!$B$5)^(J8-1))</x:f>
        <x:v>224.95515915706656</x:v>
      </x:c>
      <x:c r="L8" s="31" t="n">
        <x:f>IF(E8=0,"",E8*K8)</x:f>
        <x:v>32264.68860187773</x:v>
      </x:c>
      <x:c r="M8" s="31" t="n">
        <x:f>IF(E8=0,"",I8-L8)</x:f>
        <x:v>18824.726037956934</x:v>
      </x:c>
      <x:c r="N8" s="32" t="n">
        <x:f>IF(L8=0,"",I8/L8)</x:f>
        <x:v>1.583446698346916</x:v>
      </x:c>
      <x:c r="O8" s="34" t="n">
        <x:f>IF(L8=0,"",M8/L8)</x:f>
        <x:v>0.583446698346916</x:v>
      </x:c>
    </x:row>
    <x:row r="9" ht="18" customHeight="1">
      <x:c r="A9" s="24" t="str">
        <x:v>Medium pelagics (30 - 89 cm)</x:v>
      </x:c>
      <x:c r="B9" s="33" t="n">
        <x:v>3</x:v>
      </x:c>
      <x:c r="C9" s="33" t="n">
        <x:v>3</x:v>
      </x:c>
      <x:c r="D9" s="31" t="n">
        <x:v>43.410155924</x:v>
      </x:c>
      <x:c r="E9" s="31" t="n">
        <x:v>43.410155924</x:v>
      </x:c>
      <x:c r="F9" s="32" t="n">
        <x:v>0</x:v>
      </x:c>
      <x:c r="G9" s="34" t="n">
        <x:v>1</x:v>
      </x:c>
      <x:c r="H9" s="32" t="n">
        <x:f>IF(E9=0,"",I9/E9)</x:f>
        <x:v>1116.122874503575</x:v>
      </x:c>
      <x:c r="I9" s="31" t="n">
        <x:f>IF(C9=0,"",SUMIF('Species'!$G$2:$G$30,A9,'Species'!$U$2:$U$30))</x:f>
        <x:v>48451.068012543285</x:v>
      </x:c>
      <x:c r="J9" s="32" t="n">
        <x:v>3.9490128699635396</x:v>
      </x:c>
      <x:c r="K9" s="32" t="n">
        <x:f>IF(J9="","",(1/'Metadata'!$B$5)^(J9-1))</x:f>
        <x:v>889.2274689998841</x:v>
      </x:c>
      <x:c r="L9" s="31" t="n">
        <x:f>IF(E9=0,"",E9*K9)</x:f>
        <x:v>38601.50308118884</x:v>
      </x:c>
      <x:c r="M9" s="31" t="n">
        <x:f>IF(E9=0,"",I9-L9)</x:f>
        <x:v>9849.564931354442</x:v>
      </x:c>
      <x:c r="N9" s="32" t="n">
        <x:f>IF(L9=0,"",I9/L9)</x:f>
        <x:v>1.2551601400245551</x:v>
      </x:c>
      <x:c r="O9" s="34" t="n">
        <x:f>IF(L9=0,"",M9/L9)</x:f>
        <x:v>0.2551601400245551</x:v>
      </x:c>
    </x:row>
    <x:row r="10" ht="18" customHeight="1">
      <x:c r="A10" s="24" t="str">
        <x:v>Medium reef assoc. fish (30 - 89 cm)</x:v>
      </x:c>
      <x:c r="B10" s="33" t="n">
        <x:v>8</x:v>
      </x:c>
      <x:c r="C10" s="33" t="n">
        <x:v>8</x:v>
      </x:c>
      <x:c r="D10" s="31" t="n">
        <x:v>121.689556372</x:v>
      </x:c>
      <x:c r="E10" s="31" t="n">
        <x:v>121.689556372</x:v>
      </x:c>
      <x:c r="F10" s="32" t="n">
        <x:v>0</x:v>
      </x:c>
      <x:c r="G10" s="34" t="n">
        <x:v>1</x:v>
      </x:c>
      <x:c r="H10" s="32" t="n">
        <x:f>IF(E10=0,"",I10/E10)</x:f>
        <x:v>661.4264217404067</x:v>
      </x:c>
      <x:c r="I10" s="31" t="n">
        <x:f>IF(C10=0,"",SUMIF('Species'!$G$2:$G$30,A10,'Species'!$U$2:$U$30))</x:f>
        <x:v>80488.68783430946</x:v>
      </x:c>
      <x:c r="J10" s="32" t="n">
        <x:v>3.7178868960195404</x:v>
      </x:c>
      <x:c r="K10" s="32" t="n">
        <x:f>IF(J10="","",(1/'Metadata'!$B$5)^(J10-1))</x:f>
        <x:v>522.2601582695755</x:v>
      </x:c>
      <x:c r="L10" s="31" t="n">
        <x:f>IF(E10=0,"",E10*K10)</x:f>
        <x:v>63553.60697059515</x:v>
      </x:c>
      <x:c r="M10" s="31" t="n">
        <x:f>IF(E10=0,"",I10-L10)</x:f>
        <x:v>16935.080863714305</x:v>
      </x:c>
      <x:c r="N10" s="32" t="n">
        <x:f>IF(L10=0,"",I10/L10)</x:f>
        <x:v>1.2664692323686646</x:v>
      </x:c>
      <x:c r="O10" s="34" t="n">
        <x:f>IF(L10=0,"",M10/L10)</x:f>
        <x:v>0.26646923236866465</x:v>
      </x:c>
    </x:row>
    <x:row r="11" ht="18" customHeight="1">
      <x:c r="A11" s="24" t="str">
        <x:v>Other demersal invertebrates</x:v>
      </x:c>
      <x:c r="B11" s="33" t="n">
        <x:v>2</x:v>
      </x:c>
      <x:c r="C11" s="33" t="n">
        <x:v>2</x:v>
      </x:c>
      <x:c r="D11" s="31" t="n">
        <x:v>55.958234847</x:v>
      </x:c>
      <x:c r="E11" s="31" t="n">
        <x:v>55.958234847</x:v>
      </x:c>
      <x:c r="F11" s="32" t="n">
        <x:v>0</x:v>
      </x:c>
      <x:c r="G11" s="34" t="n">
        <x:v>1</x:v>
      </x:c>
      <x:c r="H11" s="32" t="n">
        <x:f>IF(E11=0,"",I11/E11)</x:f>
        <x:v>14.434804517351472</x:v>
      </x:c>
      <x:c r="I11" s="31" t="n">
        <x:f>IF(C11=0,"",SUMIF('Species'!$G$2:$G$30,A11,'Species'!$U$2:$U$30))</x:f>
        <x:v>807.7461811524902</x:v>
      </x:c>
      <x:c r="J11" s="32" t="n">
        <x:v>2.157297196971929</x:v>
      </x:c>
      <x:c r="K11" s="32" t="n">
        <x:f>IF(J11="","",(1/'Metadata'!$B$5)^(J11-1))</x:f>
        <x:v>14.364721055670048</x:v>
      </x:c>
      <x:c r="L11" s="31" t="n">
        <x:f>IF(E11=0,"",E11*K11)</x:f>
        <x:v>803.8244343448303</x:v>
      </x:c>
      <x:c r="M11" s="31" t="n">
        <x:f>IF(E11=0,"",I11-L11)</x:f>
        <x:v>3.921746807659929</x:v>
      </x:c>
      <x:c r="N11" s="32" t="n">
        <x:f>IF(L11=0,"",I11/L11)</x:f>
        <x:v>1.0048788599103191</x:v>
      </x:c>
      <x:c r="O11" s="34" t="n">
        <x:f>IF(L11=0,"",M11/L11)</x:f>
        <x:v>0.004878859910319111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2e775a7c61147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EEZ_905</x:v>
      </x:c>
      <x:c r="B2" s="24" t="str">
        <x:v>raw_filtered_tonnes</x:v>
      </x:c>
      <x:c r="C2" s="24" t="n">
        <x:v>547.916166265</x:v>
      </x:c>
      <x:c r="D2" s="24" t="str">
        <x:v>tonnes</x:v>
      </x:c>
    </x:row>
    <x:row r="3" ht="18" customHeight="1">
      <x:c r="A3" s="24" t="str">
        <x:v>EEZ_905</x:v>
      </x:c>
      <x:c r="B3" s="24" t="str">
        <x:v>species_catch_tonnes</x:v>
      </x:c>
      <x:c r="C3" s="24" t="n">
        <x:v>547.9161662649999</x:v>
      </x:c>
      <x:c r="D3" s="24" t="str">
        <x:v>tonnes</x:v>
      </x:c>
    </x:row>
    <x:row r="4" ht="18" customHeight="1">
      <x:c r="A4" s="24" t="str">
        <x:v>EEZ_905</x:v>
      </x:c>
      <x:c r="B4" s="24" t="str">
        <x:v>catch_difference_tonnes</x:v>
      </x:c>
      <x:c r="C4" s="24" t="n">
        <x:v>-1.1368683772161603e-13</x:v>
      </x:c>
      <x:c r="D4" s="24" t="str">
        <x:v>tonnes</x:v>
      </x:c>
    </x:row>
    <x:row r="5" ht="18" customHeight="1">
      <x:c r="A5" s="24" t="str">
        <x:v>EEZ_905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EEZ_905</x:v>
      </x:c>
      <x:c r="B6" s="24" t="str">
        <x:v>matched_catch_tonnes</x:v>
      </x:c>
      <x:c r="C6" s="24" t="n">
        <x:v>547.9161662649999</x:v>
      </x:c>
      <x:c r="D6" s="24" t="str">
        <x:v>tonnes</x:v>
      </x:c>
    </x:row>
    <x:row r="7" ht="18" customHeight="1">
      <x:c r="A7" s="24" t="str">
        <x:v>EEZ_905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EEZ_905</x:v>
      </x:c>
      <x:c r="B8" s="24" t="str">
        <x:v>taxa_count</x:v>
      </x:c>
      <x:c r="C8" s="24" t="n">
        <x:v>29</x:v>
      </x:c>
      <x:c r="D8" s="24" t="str">
        <x:v>count</x:v>
      </x:c>
    </x:row>
    <x:row r="9" ht="18" customHeight="1">
      <x:c r="A9" s="24" t="str">
        <x:v>EEZ_905</x:v>
      </x:c>
      <x:c r="B9" s="24" t="str">
        <x:v>matched_taxa_count</x:v>
      </x:c>
      <x:c r="C9" s="24" t="n">
        <x:v>29</x:v>
      </x:c>
      <x:c r="D9" s="24" t="str">
        <x:v>count</x:v>
      </x:c>
    </x:row>
    <x:row r="10" ht="18" customHeight="1">
      <x:c r="A10" s="24" t="str">
        <x:v>EEZ_905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EEZ_905</x:v>
      </x:c>
      <x:c r="B11" s="24" t="str">
        <x:v>species_ppr</x:v>
      </x:c>
      <x:c r="C11" s="24" t="n">
        <x:v>499593.895973369</x:v>
      </x:c>
      <x:c r="D11" s="24" t="str">
        <x:v>tonnes_primary_production_equivalent</x:v>
      </x:c>
    </x:row>
    <x:row r="12" ht="18" customHeight="1">
      <x:c r="A12" s="24" t="str">
        <x:v>EEZ_905</x:v>
      </x:c>
      <x:c r="B12" s="24" t="str">
        <x:v>commercial_ppr</x:v>
      </x:c>
      <x:c r="C12" s="24" t="n">
        <x:v>499593.89597336896</x:v>
      </x:c>
      <x:c r="D12" s="24" t="str">
        <x:v>tonnes_primary_production_equivalent</x:v>
      </x:c>
    </x:row>
    <x:row r="13" ht="18" customHeight="1">
      <x:c r="A13" s="24" t="str">
        <x:v>EEZ_905</x:v>
      </x:c>
      <x:c r="B13" s="24" t="str">
        <x:v>functional_ppr</x:v>
      </x:c>
      <x:c r="C13" s="24" t="n">
        <x:v>499593.895973369</x:v>
      </x:c>
      <x:c r="D13" s="24" t="str">
        <x:v>tonnes_primary_production_equivalent</x:v>
      </x:c>
    </x:row>
    <x:row r="14" ht="18" customHeight="1">
      <x:c r="A14" s="24" t="str">
        <x:v>EEZ_905</x:v>
      </x:c>
      <x:c r="B14" s="24" t="str">
        <x:v>commercial_ppr_difference</x:v>
      </x:c>
      <x:c r="C14" s="24" t="n">
        <x:v>-5.820766091346741e-11</x:v>
      </x:c>
      <x:c r="D14" s="24" t="str">
        <x:v>tonnes_primary_production_equivalent</x:v>
      </x:c>
    </x:row>
    <x:row r="15" ht="18" customHeight="1">
      <x:c r="A15" s="24" t="str">
        <x:v>EEZ_905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EEZ_905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EEZ_905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EEZ_905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EEZ_905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9847974bc684e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EEZ_905 - St Martin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EEZ_905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