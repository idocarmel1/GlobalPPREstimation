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e78674d70040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ab3cebfcae7431a"/>
    <x:sheet xmlns:r="http://schemas.openxmlformats.org/officeDocument/2006/relationships" name="Commercial" sheetId="2" r:id="R6891f028b4ba4772"/>
    <x:sheet xmlns:r="http://schemas.openxmlformats.org/officeDocument/2006/relationships" name="Functional" sheetId="3" r:id="R015f7151a5684443"/>
    <x:sheet xmlns:r="http://schemas.openxmlformats.org/officeDocument/2006/relationships" name="Missing TL" sheetId="4" r:id="R83dc153f72fb491f"/>
    <x:sheet xmlns:r="http://schemas.openxmlformats.org/officeDocument/2006/relationships" name="Validation" sheetId="5" r:id="R77db5181f68b40b1"/>
    <x:sheet xmlns:r="http://schemas.openxmlformats.org/officeDocument/2006/relationships" name="Metadata" sheetId="6" r:id="R80b1aba159794f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fbb8f1885749ff" /><Relationship Type="http://schemas.openxmlformats.org/officeDocument/2006/relationships/theme" Target="/xl/theme/theme1.xml" Id="Ra1d2159d98844a6e" /><Relationship Type="http://schemas.microsoft.com/office/2022/11/relationships/FeaturePropertyBag" Target="/xl/featurePropertyBag/featurePropertyBag.xml" Id="Raaf5c113d4614cba" /><Relationship Type="http://schemas.openxmlformats.org/officeDocument/2006/relationships/sharedStrings" Target="/xl/sharedStrings.xml" Id="R124cc2452ed54279" /><Relationship Type="http://schemas.openxmlformats.org/officeDocument/2006/relationships/worksheet" Target="/xl/worksheets/sheet1.xml" Id="R2ab3cebfcae7431a" /><Relationship Type="http://schemas.openxmlformats.org/officeDocument/2006/relationships/worksheet" Target="/xl/worksheets/sheet2.xml" Id="R6891f028b4ba4772" /><Relationship Type="http://schemas.openxmlformats.org/officeDocument/2006/relationships/worksheet" Target="/xl/worksheets/sheet3.xml" Id="R015f7151a5684443" /><Relationship Type="http://schemas.openxmlformats.org/officeDocument/2006/relationships/worksheet" Target="/xl/worksheets/sheet4.xml" Id="R83dc153f72fb491f" /><Relationship Type="http://schemas.openxmlformats.org/officeDocument/2006/relationships/worksheet" Target="/xl/worksheets/sheet5.xml" Id="R77db5181f68b40b1" /><Relationship Type="http://schemas.openxmlformats.org/officeDocument/2006/relationships/worksheet" Target="/xl/worksheets/sheet6.xml" Id="R80b1aba159794f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344SpeciesTable" displayName="EEZ344SpeciesTable" ref="A1:U50" headerRowCount="1" totalsRowCount="0" totalsRowShown="0">
  <x:autoFilter ref="A1:U5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344CommercialTable" displayName="EEZ344CommercialTable" ref="A1:E7" headerRowCount="1" totalsRowCount="0" totalsRowShown="0">
  <x:autoFilter ref="A1:E7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344FunctionalTable" displayName="EEZ344FunctionalTable" ref="A1:E16" headerRowCount="1" totalsRowCount="0" totalsRowShown="0">
  <x:autoFilter ref="A1:E1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344ValidationTable" displayName="EEZ34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a90010317a47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12012a6606741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9fc29b8e6d04c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2473f9e13446a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EEZ_344</x:v>
      </x:c>
      <x:c r="B2" s="24" t="str">
        <x:v>Hong Kong (China)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4228.9923302028</x:v>
      </x:c>
      <x:c r="J2" s="31" t="n">
        <x:v>4157.9208904439</x:v>
      </x:c>
      <x:c r="K2" s="31" t="n">
        <x:v>71.0714397589</x:v>
      </x:c>
      <x:c r="L2" s="31" t="n">
        <x:v>2042.882577522</x:v>
      </x:c>
      <x:c r="M2" s="31" t="n">
        <x:v>2186.1097526808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805817.876176929</x:v>
      </x:c>
    </x:row>
    <x:row r="3" ht="18" customHeight="1">
      <x:c r="A3" s="24" t="str">
        <x:v>EEZ_344</x:v>
      </x:c>
      <x:c r="B3" s="24" t="str">
        <x:v>Hong Kong (China)</x:v>
      </x:c>
      <x:c r="C3" s="24" t="str">
        <x:v>EEZ</x:v>
      </x:c>
      <x:c r="D3" s="30" t="n">
        <x:v>2019</x:v>
      </x:c>
      <x:c r="E3" s="24" t="str">
        <x:v>Alepes</x:v>
      </x:c>
      <x:c r="F3" s="24" t="str">
        <x:v>Crevalles</x:v>
      </x:c>
      <x:c r="G3" s="24" t="str">
        <x:v>Medium reef assoc. fish (30 - 89 cm)</x:v>
      </x:c>
      <x:c r="H3" s="24" t="str">
        <x:v>Perch-likes</x:v>
      </x:c>
      <x:c r="I3" s="31" t="n">
        <x:v>1632.7264457485999</x:v>
      </x:c>
      <x:c r="J3" s="31" t="n">
        <x:v>1632.7264457485999</x:v>
      </x:c>
      <x:c r="K3" s="31" t="n">
        <x:v>0</x:v>
      </x:c>
      <x:c r="L3" s="31" t="n">
        <x:v>1632.7264457485999</x:v>
      </x:c>
      <x:c r="M3" s="31" t="n">
        <x:v>0</x:v>
      </x:c>
      <x:c r="N3" s="24" t="str">
        <x:v>alepes</x:v>
      </x:c>
      <x:c r="O3" s="32" t="n">
        <x:v>3.32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Alepes</x:v>
      </x:c>
      <x:c r="T3" s="32" t="n">
        <x:f>IF(O3="","",(1/'Metadata'!$B$5)^(O3-1))</x:f>
        <x:v>208.92961308540387</x:v>
      </x:c>
      <x:c r="U3" s="31" t="n">
        <x:f>IF(T3="","",I3*T3)</x:f>
        <x:v>341124.90458456165</x:v>
      </x:c>
    </x:row>
    <x:row r="4" ht="18" customHeight="1">
      <x:c r="A4" s="24" t="str">
        <x:v>EEZ_344</x:v>
      </x:c>
      <x:c r="B4" s="24" t="str">
        <x:v>Hong Kong (China)</x:v>
      </x:c>
      <x:c r="C4" s="24" t="str">
        <x:v>EEZ</x:v>
      </x:c>
      <x:c r="D4" s="30" t="n">
        <x:v>2019</x:v>
      </x:c>
      <x:c r="E4" s="24" t="str">
        <x:v>Marine finfishes not identified</x:v>
      </x:c>
      <x:c r="F4" s="24" t="str">
        <x:v>Finfishes</x:v>
      </x:c>
      <x:c r="G4" s="24" t="str">
        <x:v>Medium demersals (30 - 89 cm)</x:v>
      </x:c>
      <x:c r="H4" s="24" t="str">
        <x:v>Other fishes &amp; inverts</x:v>
      </x:c>
      <x:c r="I4" s="31" t="n">
        <x:v>1470.7416465410001</x:v>
      </x:c>
      <x:c r="J4" s="31" t="n">
        <x:v>1433.105886</x:v>
      </x:c>
      <x:c r="K4" s="31" t="n">
        <x:v>37.635760541</x:v>
      </x:c>
      <x:c r="L4" s="31" t="n">
        <x:v>0</x:v>
      </x:c>
      <x:c r="M4" s="31" t="n">
        <x:v>1470.7416465410001</x:v>
      </x:c>
      <x:c r="N4" s="24" t="str">
        <x:v>marine finfishes not identified</x:v>
      </x:c>
      <x:c r="O4" s="32" t="n">
        <x:v>3.23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finfishes not identified</x:v>
      </x:c>
      <x:c r="T4" s="32" t="n">
        <x:f>IF(O4="","",(1/'Metadata'!$B$5)^(O4-1))</x:f>
        <x:v>169.82436524617444</x:v>
      </x:c>
      <x:c r="U4" s="31" t="n">
        <x:f>IF(T4="","",I4*T4)</x:f>
        <x:v>249767.7665649388</x:v>
      </x:c>
    </x:row>
    <x:row r="5" ht="18" customHeight="1">
      <x:c r="A5" s="24" t="str">
        <x:v>EEZ_344</x:v>
      </x:c>
      <x:c r="B5" s="24" t="str">
        <x:v>Hong Kong (China)</x:v>
      </x:c>
      <x:c r="C5" s="24" t="str">
        <x:v>EEZ</x:v>
      </x:c>
      <x:c r="D5" s="30" t="n">
        <x:v>2019</x:v>
      </x:c>
      <x:c r="E5" s="24" t="str">
        <x:v>Dendrobranchiata</x:v>
      </x:c>
      <x:c r="F5" s="24" t="str">
        <x:v>Shrimps and prawns</x:v>
      </x:c>
      <x:c r="G5" s="24" t="str">
        <x:v>Shrimps</x:v>
      </x:c>
      <x:c r="H5" s="24" t="str">
        <x:v>Crustaceans</x:v>
      </x:c>
      <x:c r="I5" s="31" t="n">
        <x:v>1370.6354004513</x:v>
      </x:c>
      <x:c r="J5" s="31" t="n">
        <x:v>1370.6354004513</x:v>
      </x:c>
      <x:c r="K5" s="31" t="n">
        <x:v>0</x:v>
      </x:c>
      <x:c r="L5" s="31" t="n">
        <x:v>476.7346323851</x:v>
      </x:c>
      <x:c r="M5" s="31" t="n">
        <x:v>893.9007680661999</x:v>
      </x:c>
      <x:c r="N5" s="24" t="str">
        <x:v>dendrobranchiata</x:v>
      </x:c>
      <x:c r="O5" s="32" t="n">
        <x:v>3.24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Dendrobranchiata</x:v>
      </x:c>
      <x:c r="T5" s="32" t="n">
        <x:f>IF(O5="","",(1/'Metadata'!$B$5)^(O5-1))</x:f>
        <x:v>173.78008287493762</x:v>
      </x:c>
      <x:c r="U5" s="31" t="n">
        <x:f>IF(T5="","",I5*T5)</x:f>
        <x:v>238189.13348175024</x:v>
      </x:c>
    </x:row>
    <x:row r="6" ht="18" customHeight="1">
      <x:c r="A6" s="24" t="str">
        <x:v>EEZ_344</x:v>
      </x:c>
      <x:c r="B6" s="24" t="str">
        <x:v>Hong Kong (China)</x:v>
      </x:c>
      <x:c r="C6" s="24" t="str">
        <x:v>EEZ</x:v>
      </x:c>
      <x:c r="D6" s="30" t="n">
        <x:v>2019</x:v>
      </x:c>
      <x:c r="E6" s="24" t="str">
        <x:v>Portunus trituberculatus</x:v>
      </x:c>
      <x:c r="F6" s="24" t="str">
        <x:v>Gazami crab</x:v>
      </x:c>
      <x:c r="G6" s="24" t="str">
        <x:v>Lobsters, crabs</x:v>
      </x:c>
      <x:c r="H6" s="24" t="str">
        <x:v>Crustaceans</x:v>
      </x:c>
      <x:c r="I6" s="31" t="n">
        <x:v>775.3874514329</x:v>
      </x:c>
      <x:c r="J6" s="31" t="n">
        <x:v>775.3874514329</x:v>
      </x:c>
      <x:c r="K6" s="31" t="n">
        <x:v>0</x:v>
      </x:c>
      <x:c r="L6" s="31" t="n">
        <x:v>775.3874514329</x:v>
      </x:c>
      <x:c r="M6" s="31" t="n">
        <x:v>0</x:v>
      </x:c>
      <x:c r="N6" s="24" t="str">
        <x:v>portunus trituberculatus</x:v>
      </x:c>
      <x:c r="O6" s="32" t="n">
        <x:v>3.73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Portunus trituberculatus</x:v>
      </x:c>
      <x:c r="T6" s="32" t="n">
        <x:f>IF(O6="","",(1/'Metadata'!$B$5)^(O6-1))</x:f>
        <x:v>537.0317963702527</x:v>
      </x:c>
      <x:c r="U6" s="31" t="n">
        <x:f>IF(T6="","",I6*T6)</x:f>
        <x:v>416407.7159259623</x:v>
      </x:c>
    </x:row>
    <x:row r="7" ht="18" customHeight="1">
      <x:c r="A7" s="24" t="str">
        <x:v>EEZ_344</x:v>
      </x:c>
      <x:c r="B7" s="24" t="str">
        <x:v>Hong Kong (China)</x:v>
      </x:c>
      <x:c r="C7" s="24" t="str">
        <x:v>EEZ</x:v>
      </x:c>
      <x:c r="D7" s="30" t="n">
        <x:v>2019</x:v>
      </x:c>
      <x:c r="E7" s="24" t="str">
        <x:v>Nemipteridae</x:v>
      </x:c>
      <x:c r="F7" s="24" t="str">
        <x:v>Threadfins, whiptail breams</x:v>
      </x:c>
      <x:c r="G7" s="24" t="str">
        <x:v>Small demersals (&lt;30 cm)</x:v>
      </x:c>
      <x:c r="H7" s="24" t="str">
        <x:v>Perch-likes</x:v>
      </x:c>
      <x:c r="I7" s="31" t="n">
        <x:v>500.3350354876</x:v>
      </x:c>
      <x:c r="J7" s="31" t="n">
        <x:v>500.3350354876</x:v>
      </x:c>
      <x:c r="K7" s="31" t="n">
        <x:v>0</x:v>
      </x:c>
      <x:c r="L7" s="31" t="n">
        <x:v>173.9358498082</x:v>
      </x:c>
      <x:c r="M7" s="31" t="n">
        <x:v>326.3991856794</x:v>
      </x:c>
      <x:c r="N7" s="24" t="str">
        <x:v>nemipteridae</x:v>
      </x:c>
      <x:c r="O7" s="32" t="n">
        <x:v>3.51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Nemipteridae</x:v>
      </x:c>
      <x:c r="T7" s="32" t="n">
        <x:f>IF(O7="","",(1/'Metadata'!$B$5)^(O7-1))</x:f>
        <x:v>323.5936569296281</x:v>
      </x:c>
      <x:c r="U7" s="31" t="n">
        <x:f>IF(T7="","",I7*T7)</x:f>
        <x:v>161905.24382344773</x:v>
      </x:c>
    </x:row>
    <x:row r="8" ht="18" customHeight="1">
      <x:c r="A8" s="24" t="str">
        <x:v>EEZ_344</x:v>
      </x:c>
      <x:c r="B8" s="24" t="str">
        <x:v>Hong Kong (China)</x:v>
      </x:c>
      <x:c r="C8" s="24" t="str">
        <x:v>EEZ</x:v>
      </x:c>
      <x:c r="D8" s="30" t="n">
        <x:v>2019</x:v>
      </x:c>
      <x:c r="E8" s="24" t="str">
        <x:v>Trichiurus lepturus</x:v>
      </x:c>
      <x:c r="F8" s="24" t="str">
        <x:v>Largehead hairtail</x:v>
      </x:c>
      <x:c r="G8" s="24" t="str">
        <x:v>Large benthopelagics (&gt;=90 cm)</x:v>
      </x:c>
      <x:c r="H8" s="24" t="str">
        <x:v>Perch-likes</x:v>
      </x:c>
      <x:c r="I8" s="31" t="n">
        <x:v>460.6987622221</x:v>
      </x:c>
      <x:c r="J8" s="31" t="n">
        <x:v>460.6987622221</x:v>
      </x:c>
      <x:c r="K8" s="31" t="n">
        <x:v>0</x:v>
      </x:c>
      <x:c r="L8" s="31" t="n">
        <x:v>460.6987622221</x:v>
      </x:c>
      <x:c r="M8" s="31" t="n">
        <x:v>0</x:v>
      </x:c>
      <x:c r="N8" s="24" t="str">
        <x:v>trichiurus lepturus</x:v>
      </x:c>
      <x:c r="O8" s="32" t="n">
        <x:v>4.42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Trichiurus lepturus</x:v>
      </x:c>
      <x:c r="T8" s="32" t="n">
        <x:f>IF(O8="","",(1/'Metadata'!$B$5)^(O8-1))</x:f>
        <x:v>2630.2679918953813</x:v>
      </x:c>
      <x:c r="U8" s="31" t="n">
        <x:f>IF(T8="","",I8*T8)</x:f>
        <x:v>1211761.2081786108</x:v>
      </x:c>
    </x:row>
    <x:row r="9" ht="18" customHeight="1">
      <x:c r="A9" s="24" t="str">
        <x:v>EEZ_344</x:v>
      </x:c>
      <x:c r="B9" s="24" t="str">
        <x:v>Hong Kong (China)</x:v>
      </x:c>
      <x:c r="C9" s="24" t="str">
        <x:v>EEZ</x:v>
      </x:c>
      <x:c r="D9" s="30" t="n">
        <x:v>2019</x:v>
      </x:c>
      <x:c r="E9" s="24" t="str">
        <x:v>Nemipterus</x:v>
      </x:c>
      <x:c r="F9" s="24" t="str">
        <x:v>Threadfin breams</x:v>
      </x:c>
      <x:c r="G9" s="24" t="str">
        <x:v>Small demersals (&lt;30 cm)</x:v>
      </x:c>
      <x:c r="H9" s="24" t="str">
        <x:v>Perch-likes</x:v>
      </x:c>
      <x:c r="I9" s="31" t="n">
        <x:v>310.7262200576</x:v>
      </x:c>
      <x:c r="J9" s="31" t="n">
        <x:v>310.7262200576</x:v>
      </x:c>
      <x:c r="K9" s="31" t="n">
        <x:v>0</x:v>
      </x:c>
      <x:c r="L9" s="31" t="n">
        <x:v>297.2163200004</x:v>
      </x:c>
      <x:c r="M9" s="31" t="n">
        <x:v>13.5099000572</x:v>
      </x:c>
      <x:c r="N9" s="24" t="str">
        <x:v>nemipterus</x:v>
      </x:c>
      <x:c r="O9" s="32" t="n">
        <x:v>3.72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Nemipterus</x:v>
      </x:c>
      <x:c r="T9" s="32" t="n">
        <x:f>IF(O9="","",(1/'Metadata'!$B$5)^(O9-1))</x:f>
        <x:v>524.8074602497728</x:v>
      </x:c>
      <x:c r="U9" s="31" t="n">
        <x:f>IF(T9="","",I9*T9)</x:f>
        <x:v>163071.43838144108</x:v>
      </x:c>
    </x:row>
    <x:row r="10" ht="18" customHeight="1">
      <x:c r="A10" s="24" t="str">
        <x:v>EEZ_344</x:v>
      </x:c>
      <x:c r="B10" s="24" t="str">
        <x:v>Hong Kong (China)</x:v>
      </x:c>
      <x:c r="C10" s="24" t="str">
        <x:v>EEZ</x:v>
      </x:c>
      <x:c r="D10" s="30" t="n">
        <x:v>2019</x:v>
      </x:c>
      <x:c r="E10" s="24" t="str">
        <x:v>Portunus</x:v>
      </x:c>
      <x:c r="F10" s="24" t="str">
        <x:v>Swimmer crabs</x:v>
      </x:c>
      <x:c r="G10" s="24" t="str">
        <x:v>Lobsters, crabs</x:v>
      </x:c>
      <x:c r="H10" s="24" t="str">
        <x:v>Crustaceans</x:v>
      </x:c>
      <x:c r="I10" s="31" t="n">
        <x:v>294.59474901</x:v>
      </x:c>
      <x:c r="J10" s="31" t="n">
        <x:v>294.59474901</x:v>
      </x:c>
      <x:c r="K10" s="31" t="n">
        <x:v>0</x:v>
      </x:c>
      <x:c r="L10" s="31" t="n">
        <x:v>102.27064439</x:v>
      </x:c>
      <x:c r="M10" s="31" t="n">
        <x:v>192.32410461999999</x:v>
      </x:c>
      <x:c r="N10" s="24" t="str">
        <x:v>portunus</x:v>
      </x:c>
      <x:c r="O10" s="32" t="n">
        <x:v>3.26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Portunus</x:v>
      </x:c>
      <x:c r="T10" s="32" t="n">
        <x:f>IF(O10="","",(1/'Metadata'!$B$5)^(O10-1))</x:f>
        <x:v>181.97008586099827</x:v>
      </x:c>
      <x:c r="U10" s="31" t="n">
        <x:f>IF(T10="","",I10*T10)</x:f>
        <x:v>53607.43177154893</x:v>
      </x:c>
    </x:row>
    <x:row r="11" ht="18" customHeight="1">
      <x:c r="A11" s="24" t="str">
        <x:v>EEZ_344</x:v>
      </x:c>
      <x:c r="B11" s="24" t="str">
        <x:v>Hong Kong (China)</x:v>
      </x:c>
      <x:c r="C11" s="24" t="str">
        <x:v>EEZ</x:v>
      </x:c>
      <x:c r="D11" s="30" t="n">
        <x:v>2019</x:v>
      </x:c>
      <x:c r="E11" s="24" t="str">
        <x:v>Larimichthys crocea</x:v>
      </x:c>
      <x:c r="F11" s="24" t="str">
        <x:v>Large yellow croaker</x:v>
      </x:c>
      <x:c r="G11" s="24" t="str">
        <x:v>Medium benthopelagics (30 - 89 cm)</x:v>
      </x:c>
      <x:c r="H11" s="24" t="str">
        <x:v>Perch-likes</x:v>
      </x:c>
      <x:c r="I11" s="31" t="n">
        <x:v>215.04167361650002</x:v>
      </x:c>
      <x:c r="J11" s="31" t="n">
        <x:v>215.04167361650002</x:v>
      </x:c>
      <x:c r="K11" s="31" t="n">
        <x:v>0</x:v>
      </x:c>
      <x:c r="L11" s="31" t="n">
        <x:v>215.04167361650002</x:v>
      </x:c>
      <x:c r="M11" s="31" t="n">
        <x:v>0</x:v>
      </x:c>
      <x:c r="N11" s="24" t="str">
        <x:v>larimichthys crocea</x:v>
      </x:c>
      <x:c r="O11" s="32" t="n">
        <x:v>3.72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Larimichthys crocea</x:v>
      </x:c>
      <x:c r="T11" s="32" t="n">
        <x:f>IF(O11="","",(1/'Metadata'!$B$5)^(O11-1))</x:f>
        <x:v>524.8074602497728</x:v>
      </x:c>
      <x:c r="U11" s="31" t="n">
        <x:f>IF(T11="","",I11*T11)</x:f>
        <x:v>112855.47457853596</x:v>
      </x:c>
    </x:row>
    <x:row r="12" ht="18" customHeight="1">
      <x:c r="A12" s="24" t="str">
        <x:v>EEZ_344</x:v>
      </x:c>
      <x:c r="B12" s="24" t="str">
        <x:v>Hong Kong (China)</x:v>
      </x:c>
      <x:c r="C12" s="24" t="str">
        <x:v>EEZ</x:v>
      </x:c>
      <x:c r="D12" s="30" t="n">
        <x:v>2019</x:v>
      </x:c>
      <x:c r="E12" s="24" t="str">
        <x:v>Stolephorus</x:v>
      </x:c>
      <x:c r="F12" s="24" t="str">
        <x:v>Garment anchovies</x:v>
      </x:c>
      <x:c r="G12" s="24" t="str">
        <x:v>Small pelagics (&lt;30 cm)</x:v>
      </x:c>
      <x:c r="H12" s="24" t="str">
        <x:v>Anchovies</x:v>
      </x:c>
      <x:c r="I12" s="31" t="n">
        <x:v>194.563267043</x:v>
      </x:c>
      <x:c r="J12" s="31" t="n">
        <x:v>194.563267043</x:v>
      </x:c>
      <x:c r="K12" s="31" t="n">
        <x:v>0</x:v>
      </x:c>
      <x:c r="L12" s="31" t="n">
        <x:v>11.627121236799999</x:v>
      </x:c>
      <x:c r="M12" s="31" t="n">
        <x:v>182.9361458062</x:v>
      </x:c>
      <x:c r="N12" s="24" t="str">
        <x:v>stolephorus</x:v>
      </x:c>
      <x:c r="O12" s="32" t="n">
        <x:v>3.44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Stolephorus</x:v>
      </x:c>
      <x:c r="T12" s="32" t="n">
        <x:f>IF(O12="","",(1/'Metadata'!$B$5)^(O12-1))</x:f>
        <x:v>275.4228703338166</x:v>
      </x:c>
      <x:c r="U12" s="31" t="n">
        <x:f>IF(T12="","",I12*T12)</x:f>
        <x:v>53587.17347050792</x:v>
      </x:c>
    </x:row>
    <x:row r="13" ht="18" customHeight="1">
      <x:c r="A13" s="24" t="str">
        <x:v>EEZ_344</x:v>
      </x:c>
      <x:c r="B13" s="24" t="str">
        <x:v>Hong Kong (China)</x:v>
      </x:c>
      <x:c r="C13" s="24" t="str">
        <x:v>EEZ</x:v>
      </x:c>
      <x:c r="D13" s="30" t="n">
        <x:v>2019</x:v>
      </x:c>
      <x:c r="E13" s="24" t="str">
        <x:v>Trachysalambria curvirostris</x:v>
      </x:c>
      <x:c r="F13" s="24" t="str">
        <x:v>Southern rough shrimp</x:v>
      </x:c>
      <x:c r="G13" s="24" t="str">
        <x:v>Shrimps</x:v>
      </x:c>
      <x:c r="H13" s="24" t="str">
        <x:v>Crustaceans</x:v>
      </x:c>
      <x:c r="I13" s="31" t="n">
        <x:v>186.8400857301</x:v>
      </x:c>
      <x:c r="J13" s="31" t="n">
        <x:v>186.8400857301</x:v>
      </x:c>
      <x:c r="K13" s="31" t="n">
        <x:v>0</x:v>
      </x:c>
      <x:c r="L13" s="31" t="n">
        <x:v>186.8400857301</x:v>
      </x:c>
      <x:c r="M13" s="31" t="n">
        <x:v>0</x:v>
      </x:c>
      <x:c r="N13" s="24" t="str">
        <x:v>trachysalambria curvirostris</x:v>
      </x:c>
      <x:c r="O13" s="32" t="n">
        <x:v>2.7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Trachysalambria curvirostris</x:v>
      </x:c>
      <x:c r="T13" s="32" t="n">
        <x:f>IF(O13="","",(1/'Metadata'!$B$5)^(O13-1))</x:f>
        <x:v>50.11872336272725</x:v>
      </x:c>
      <x:c r="U13" s="31" t="n">
        <x:f>IF(T13="","",I13*T13)</x:f>
        <x:v>9364.186569775125</x:v>
      </x:c>
    </x:row>
    <x:row r="14" ht="18" customHeight="1">
      <x:c r="A14" s="24" t="str">
        <x:v>EEZ_344</x:v>
      </x:c>
      <x:c r="B14" s="24" t="str">
        <x:v>Hong Kong (China)</x:v>
      </x:c>
      <x:c r="C14" s="24" t="str">
        <x:v>EEZ</x:v>
      </x:c>
      <x:c r="D14" s="30" t="n">
        <x:v>2019</x:v>
      </x:c>
      <x:c r="E14" s="24" t="str">
        <x:v>Mollusca</x:v>
      </x:c>
      <x:c r="F14" s="24" t="str">
        <x:v>Clams, seasnails, squids, octopuses</x:v>
      </x:c>
      <x:c r="G14" s="24" t="str">
        <x:v>Other demersal invertebrates</x:v>
      </x:c>
      <x:c r="H14" s="24" t="str">
        <x:v>Molluscs</x:v>
      </x:c>
      <x:c r="I14" s="31" t="n">
        <x:v>177.0478079177</x:v>
      </x:c>
      <x:c r="J14" s="31" t="n">
        <x:v>177.0478079177</x:v>
      </x:c>
      <x:c r="K14" s="31" t="n">
        <x:v>0</x:v>
      </x:c>
      <x:c r="L14" s="31" t="n">
        <x:v>61.4780347511</x:v>
      </x:c>
      <x:c r="M14" s="31" t="n">
        <x:v>115.5697731666</x:v>
      </x:c>
      <x:c r="N14" s="24" t="str">
        <x:v>mollusca</x:v>
      </x:c>
      <x:c r="O14" s="32" t="n">
        <x:v>2.1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Mollusca</x:v>
      </x:c>
      <x:c r="T14" s="32" t="n">
        <x:f>IF(O14="","",(1/'Metadata'!$B$5)^(O14-1))</x:f>
        <x:v>12.589254117941675</x:v>
      </x:c>
      <x:c r="U14" s="31" t="n">
        <x:f>IF(T14="","",I14*T14)</x:f>
        <x:v>2228.899844900451</x:v>
      </x:c>
    </x:row>
    <x:row r="15" ht="18" customHeight="1">
      <x:c r="A15" s="24" t="str">
        <x:v>EEZ_344</x:v>
      </x:c>
      <x:c r="B15" s="24" t="str">
        <x:v>Hong Kong (China)</x:v>
      </x:c>
      <x:c r="C15" s="24" t="str">
        <x:v>EEZ</x:v>
      </x:c>
      <x:c r="D15" s="30" t="n">
        <x:v>2019</x:v>
      </x:c>
      <x:c r="E15" s="24" t="str">
        <x:v>Muraenesox cinereus</x:v>
      </x:c>
      <x:c r="F15" s="24" t="str">
        <x:v>Daggertooth pike conger</x:v>
      </x:c>
      <x:c r="G15" s="24" t="str">
        <x:v>Large demersals (&gt;=90 cm)</x:v>
      </x:c>
      <x:c r="H15" s="24" t="str">
        <x:v>Other fishes &amp; inverts</x:v>
      </x:c>
      <x:c r="I15" s="31" t="n">
        <x:v>171.52801789830002</x:v>
      </x:c>
      <x:c r="J15" s="31" t="n">
        <x:v>171.52801789830002</x:v>
      </x:c>
      <x:c r="K15" s="31" t="n">
        <x:v>0</x:v>
      </x:c>
      <x:c r="L15" s="31" t="n">
        <x:v>171.52801789830002</x:v>
      </x:c>
      <x:c r="M15" s="31" t="n">
        <x:v>0</x:v>
      </x:c>
      <x:c r="N15" s="24" t="str">
        <x:v>muraenesox cinereus</x:v>
      </x:c>
      <x:c r="O15" s="32" t="n">
        <x:v>4.38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Muraenesox cinereus</x:v>
      </x:c>
      <x:c r="T15" s="32" t="n">
        <x:f>IF(O15="","",(1/'Metadata'!$B$5)^(O15-1))</x:f>
        <x:v>2398.83291901949</x:v>
      </x:c>
      <x:c r="U15" s="31" t="n">
        <x:f>IF(T15="","",I15*T15)</x:f>
        <x:v>411467.0558686064</x:v>
      </x:c>
    </x:row>
    <x:row r="16" ht="18" customHeight="1">
      <x:c r="A16" s="24" t="str">
        <x:v>EEZ_344</x:v>
      </x:c>
      <x:c r="B16" s="24" t="str">
        <x:v>Hong Kong (China)</x:v>
      </x:c>
      <x:c r="C16" s="24" t="str">
        <x:v>EEZ</x:v>
      </x:c>
      <x:c r="D16" s="30" t="n">
        <x:v>2019</x:v>
      </x:c>
      <x:c r="E16" s="24" t="str">
        <x:v>Squillidae</x:v>
      </x:c>
      <x:c r="F16" s="24" t="str">
        <x:v>Squilla mantis shrimps</x:v>
      </x:c>
      <x:c r="G16" s="24" t="str">
        <x:v>Shrimps</x:v>
      </x:c>
      <x:c r="H16" s="24" t="str">
        <x:v>Crustaceans</x:v>
      </x:c>
      <x:c r="I16" s="31" t="n">
        <x:v>155.2207195049</x:v>
      </x:c>
      <x:c r="J16" s="31" t="n">
        <x:v>155.2207195049</x:v>
      </x:c>
      <x:c r="K16" s="31" t="n">
        <x:v>0</x:v>
      </x:c>
      <x:c r="L16" s="31" t="n">
        <x:v>155.2207195049</x:v>
      </x:c>
      <x:c r="M16" s="31" t="n">
        <x:v>0</x:v>
      </x:c>
      <x:c r="N16" s="24" t="str">
        <x:v>squillidae</x:v>
      </x:c>
      <x:c r="O16" s="32" t="n">
        <x:v>3.5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Squillidae</x:v>
      </x:c>
      <x:c r="T16" s="32" t="n">
        <x:f>IF(O16="","",(1/'Metadata'!$B$5)^(O16-1))</x:f>
        <x:v>316.22776601683796</x:v>
      </x:c>
      <x:c r="U16" s="31" t="n">
        <x:f>IF(T16="","",I16*T16)</x:f>
        <x:v>49085.10136856075</x:v>
      </x:c>
    </x:row>
    <x:row r="17" ht="18" customHeight="1">
      <x:c r="A17" s="24" t="str">
        <x:v>EEZ_344</x:v>
      </x:c>
      <x:c r="B17" s="24" t="str">
        <x:v>Hong Kong (China)</x:v>
      </x:c>
      <x:c r="C17" s="24" t="str">
        <x:v>EEZ</x:v>
      </x:c>
      <x:c r="D17" s="30" t="n">
        <x:v>2019</x:v>
      </x:c>
      <x:c r="E17" s="24" t="str">
        <x:v>Portunus pelagicus</x:v>
      </x:c>
      <x:c r="F17" s="24" t="str">
        <x:v>Blue swimming crab</x:v>
      </x:c>
      <x:c r="G17" s="24" t="str">
        <x:v>Lobsters, crabs</x:v>
      </x:c>
      <x:c r="H17" s="24" t="str">
        <x:v>Crustaceans</x:v>
      </x:c>
      <x:c r="I17" s="31" t="n">
        <x:v>129.7079673816</x:v>
      </x:c>
      <x:c r="J17" s="31" t="n">
        <x:v>129.7079673816</x:v>
      </x:c>
      <x:c r="K17" s="31" t="n">
        <x:v>0</x:v>
      </x:c>
      <x:c r="L17" s="31" t="n">
        <x:v>129.7079673816</x:v>
      </x:c>
      <x:c r="M17" s="31" t="n">
        <x:v>0</x:v>
      </x:c>
      <x:c r="N17" s="24" t="str">
        <x:v>portunus pelagicus</x:v>
      </x:c>
      <x:c r="O17" s="32" t="n">
        <x:v>2.48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Portunus pelagicus</x:v>
      </x:c>
      <x:c r="T17" s="32" t="n">
        <x:f>IF(O17="","",(1/'Metadata'!$B$5)^(O17-1))</x:f>
        <x:v>30.19951720402016</x:v>
      </x:c>
      <x:c r="U17" s="31" t="n">
        <x:f>IF(T17="","",I17*T17)</x:f>
        <x:v>3917.1179924391154</x:v>
      </x:c>
    </x:row>
    <x:row r="18" ht="18" customHeight="1">
      <x:c r="A18" s="24" t="str">
        <x:v>EEZ_344</x:v>
      </x:c>
      <x:c r="B18" s="24" t="str">
        <x:v>Hong Kong (China)</x:v>
      </x:c>
      <x:c r="C18" s="24" t="str">
        <x:v>EEZ</x:v>
      </x:c>
      <x:c r="D18" s="30" t="n">
        <x:v>2019</x:v>
      </x:c>
      <x:c r="E18" s="24" t="str">
        <x:v>Engraulis japonicus</x:v>
      </x:c>
      <x:c r="F18" s="24" t="str">
        <x:v>Japanese anchovy</x:v>
      </x:c>
      <x:c r="G18" s="24" t="str">
        <x:v>Small pelagics (&lt;30 cm)</x:v>
      </x:c>
      <x:c r="H18" s="24" t="str">
        <x:v>Anchovies</x:v>
      </x:c>
      <x:c r="I18" s="31" t="n">
        <x:v>116.3374479959</x:v>
      </x:c>
      <x:c r="J18" s="31" t="n">
        <x:v>116.3374479959</x:v>
      </x:c>
      <x:c r="K18" s="31" t="n">
        <x:v>0</x:v>
      </x:c>
      <x:c r="L18" s="31" t="n">
        <x:v>116.3374479959</x:v>
      </x:c>
      <x:c r="M18" s="31" t="n">
        <x:v>0</x:v>
      </x:c>
      <x:c r="N18" s="24" t="str">
        <x:v>engraulis japonicus</x:v>
      </x:c>
      <x:c r="O18" s="32" t="n">
        <x:v>3.14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Engraulis japonicus</x:v>
      </x:c>
      <x:c r="T18" s="32" t="n">
        <x:f>IF(O18="","",(1/'Metadata'!$B$5)^(O18-1))</x:f>
        <x:v>138.03842646028852</x:v>
      </x:c>
      <x:c r="U18" s="31" t="n">
        <x:f>IF(T18="","",I18*T18)</x:f>
        <x:v>16059.038259759684</x:v>
      </x:c>
    </x:row>
    <x:row r="19" ht="18" customHeight="1">
      <x:c r="A19" s="24" t="str">
        <x:v>EEZ_344</x:v>
      </x:c>
      <x:c r="B19" s="24" t="str">
        <x:v>Hong Kong (China)</x:v>
      </x:c>
      <x:c r="C19" s="24" t="str">
        <x:v>EEZ</x:v>
      </x:c>
      <x:c r="D19" s="30" t="n">
        <x:v>2019</x:v>
      </x:c>
      <x:c r="E19" s="24" t="str">
        <x:v>Sciaenidae</x:v>
      </x:c>
      <x:c r="F19" s="24" t="str">
        <x:v>Drums, croakers</x:v>
      </x:c>
      <x:c r="G19" s="24" t="str">
        <x:v>Medium demersals (30 - 89 cm)</x:v>
      </x:c>
      <x:c r="H19" s="24" t="str">
        <x:v>Perch-likes</x:v>
      </x:c>
      <x:c r="I19" s="31" t="n">
        <x:v>107.7316112245</x:v>
      </x:c>
      <x:c r="J19" s="31" t="n">
        <x:v>107.7316112245</x:v>
      </x:c>
      <x:c r="K19" s="31" t="n">
        <x:v>0</x:v>
      </x:c>
      <x:c r="L19" s="31" t="n">
        <x:v>107.7316112245</x:v>
      </x:c>
      <x:c r="M19" s="31" t="n">
        <x:v>0</x:v>
      </x:c>
      <x:c r="N19" s="24" t="str">
        <x:v>sciaenidae</x:v>
      </x:c>
      <x:c r="O19" s="32" t="n">
        <x:v>3.76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Sciaenidae</x:v>
      </x:c>
      <x:c r="T19" s="32" t="n">
        <x:f>IF(O19="","",(1/'Metadata'!$B$5)^(O19-1))</x:f>
        <x:v>575.4399373371566</x:v>
      </x:c>
      <x:c r="U19" s="31" t="n">
        <x:f>IF(T19="","",I19*T19)</x:f>
        <x:v>61993.0716122572</x:v>
      </x:c>
    </x:row>
    <x:row r="20" ht="18" customHeight="1">
      <x:c r="A20" s="24" t="str">
        <x:v>EEZ_344</x:v>
      </x:c>
      <x:c r="B20" s="24" t="str">
        <x:v>Hong Kong (China)</x:v>
      </x:c>
      <x:c r="C20" s="24" t="str">
        <x:v>EEZ</x:v>
      </x:c>
      <x:c r="D20" s="30" t="n">
        <x:v>2019</x:v>
      </x:c>
      <x:c r="E20" s="24" t="str">
        <x:v>Priacanthus</x:v>
      </x:c>
      <x:c r="F20" s="24" t="str">
        <x:v>Bigeyes</x:v>
      </x:c>
      <x:c r="G20" s="24" t="str">
        <x:v>Medium reef assoc. fish (30 - 89 cm)</x:v>
      </x:c>
      <x:c r="H20" s="24" t="str">
        <x:v>Perch-likes</x:v>
      </x:c>
      <x:c r="I20" s="31" t="n">
        <x:v>106.8380248553</x:v>
      </x:c>
      <x:c r="J20" s="31" t="n">
        <x:v>106.8380248553</x:v>
      </x:c>
      <x:c r="K20" s="31" t="n">
        <x:v>0</x:v>
      </x:c>
      <x:c r="L20" s="31" t="n">
        <x:v>37.126940555299996</x:v>
      </x:c>
      <x:c r="M20" s="31" t="n">
        <x:v>69.71108430000001</x:v>
      </x:c>
      <x:c r="N20" s="24" t="str">
        <x:v>priacanthus</x:v>
      </x:c>
      <x:c r="O20" s="32" t="n">
        <x:v>3.81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Priacanthus</x:v>
      </x:c>
      <x:c r="T20" s="32" t="n">
        <x:f>IF(O20="","",(1/'Metadata'!$B$5)^(O20-1))</x:f>
        <x:v>645.6542290346556</x:v>
      </x:c>
      <x:c r="U20" s="31" t="n">
        <x:f>IF(T20="","",I20*T20)</x:f>
        <x:v>68980.4225695341</x:v>
      </x:c>
    </x:row>
    <x:row r="21" ht="18" customHeight="1">
      <x:c r="A21" s="24" t="str">
        <x:v>EEZ_344</x:v>
      </x:c>
      <x:c r="B21" s="24" t="str">
        <x:v>Hong Kong (China)</x:v>
      </x:c>
      <x:c r="C21" s="24" t="str">
        <x:v>EEZ</x:v>
      </x:c>
      <x:c r="D21" s="30" t="n">
        <x:v>2019</x:v>
      </x:c>
      <x:c r="E21" s="24" t="str">
        <x:v>Monacanthidae</x:v>
      </x:c>
      <x:c r="F21" s="24" t="str">
        <x:v>Filefishes</x:v>
      </x:c>
      <x:c r="G21" s="24" t="str">
        <x:v>Medium reef assoc. fish (30 - 89 cm)</x:v>
      </x:c>
      <x:c r="H21" s="24" t="str">
        <x:v>Other fishes &amp; inverts</x:v>
      </x:c>
      <x:c r="I21" s="31" t="n">
        <x:v>88.304604113</x:v>
      </x:c>
      <x:c r="J21" s="31" t="n">
        <x:v>88.304604113</x:v>
      </x:c>
      <x:c r="K21" s="31" t="n">
        <x:v>0</x:v>
      </x:c>
      <x:c r="L21" s="31" t="n">
        <x:v>88.304604113</x:v>
      </x:c>
      <x:c r="M21" s="31" t="n">
        <x:v>0</x:v>
      </x:c>
      <x:c r="N21" s="24" t="str">
        <x:v>monacanthidae</x:v>
      </x:c>
      <x:c r="O21" s="32" t="n">
        <x:v>3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Monacanthidae</x:v>
      </x:c>
      <x:c r="T21" s="32" t="n">
        <x:f>IF(O21="","",(1/'Metadata'!$B$5)^(O21-1))</x:f>
        <x:v>100</x:v>
      </x:c>
      <x:c r="U21" s="31" t="n">
        <x:f>IF(T21="","",I21*T21)</x:f>
        <x:v>8830.4604113</x:v>
      </x:c>
    </x:row>
    <x:row r="22" ht="18" customHeight="1">
      <x:c r="A22" s="24" t="str">
        <x:v>EEZ_344</x:v>
      </x:c>
      <x:c r="B22" s="24" t="str">
        <x:v>Hong Kong (China)</x:v>
      </x:c>
      <x:c r="C22" s="24" t="str">
        <x:v>EEZ</x:v>
      </x:c>
      <x:c r="D22" s="30" t="n">
        <x:v>2019</x:v>
      </x:c>
      <x:c r="E22" s="24" t="str">
        <x:v>Carangidae</x:v>
      </x:c>
      <x:c r="F22" s="24" t="str">
        <x:v>Jacks, pompanos</x:v>
      </x:c>
      <x:c r="G22" s="24" t="str">
        <x:v>Medium pelagics (30 - 89 cm)</x:v>
      </x:c>
      <x:c r="H22" s="24" t="str">
        <x:v>Perch-likes</x:v>
      </x:c>
      <x:c r="I22" s="31" t="n">
        <x:v>76.8474291051</x:v>
      </x:c>
      <x:c r="J22" s="31" t="n">
        <x:v>76.8474291051</x:v>
      </x:c>
      <x:c r="K22" s="31" t="n">
        <x:v>0</x:v>
      </x:c>
      <x:c r="L22" s="31" t="n">
        <x:v>26.7704167301</x:v>
      </x:c>
      <x:c r="M22" s="31" t="n">
        <x:v>50.077012375</x:v>
      </x:c>
      <x:c r="N22" s="24" t="str">
        <x:v>carangidae</x:v>
      </x:c>
      <x:c r="O22" s="32" t="n">
        <x:v>4.05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Carangidae</x:v>
      </x:c>
      <x:c r="T22" s="32" t="n">
        <x:f>IF(O22="","",(1/'Metadata'!$B$5)^(O22-1))</x:f>
        <x:v>1122.018454301963</x:v>
      </x:c>
      <x:c r="U22" s="31" t="n">
        <x:f>IF(T22="","",I22*T22)</x:f>
        <x:v>86224.23362158399</x:v>
      </x:c>
    </x:row>
    <x:row r="23" ht="18" customHeight="1">
      <x:c r="A23" s="24" t="str">
        <x:v>EEZ_344</x:v>
      </x:c>
      <x:c r="B23" s="24" t="str">
        <x:v>Hong Kong (China)</x:v>
      </x:c>
      <x:c r="C23" s="24" t="str">
        <x:v>EEZ</x:v>
      </x:c>
      <x:c r="D23" s="30" t="n">
        <x:v>2019</x:v>
      </x:c>
      <x:c r="E23" s="24" t="str">
        <x:v>Sepiida</x:v>
      </x:c>
      <x:c r="F23" s="24" t="str">
        <x:v>Cuttlefishes, bobtail squids</x:v>
      </x:c>
      <x:c r="G23" s="24" t="str">
        <x:v>Cephalopods</x:v>
      </x:c>
      <x:c r="H23" s="24" t="str">
        <x:v>Other fishes &amp; inverts</x:v>
      </x:c>
      <x:c r="I23" s="31" t="n">
        <x:v>63.7407777006</x:v>
      </x:c>
      <x:c r="J23" s="31" t="n">
        <x:v>63.7407777006</x:v>
      </x:c>
      <x:c r="K23" s="31" t="n">
        <x:v>0</x:v>
      </x:c>
      <x:c r="L23" s="31" t="n">
        <x:v>63.7407777006</x:v>
      </x:c>
      <x:c r="M23" s="31" t="n">
        <x:v>0</x:v>
      </x:c>
      <x:c r="N23" s="24" t="str">
        <x:v>sepiida</x:v>
      </x:c>
      <x:c r="O23" s="32" t="n">
        <x:v>3.7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Sepiida</x:v>
      </x:c>
      <x:c r="T23" s="32" t="n">
        <x:f>IF(O23="","",(1/'Metadata'!$B$5)^(O23-1))</x:f>
        <x:v>501.18723362727246</x:v>
      </x:c>
      <x:c r="U23" s="31" t="n">
        <x:f>IF(T23="","",I23*T23)</x:f>
        <x:v>31946.06404501465</x:v>
      </x:c>
    </x:row>
    <x:row r="24" ht="18" customHeight="1">
      <x:c r="A24" s="24" t="str">
        <x:v>EEZ_344</x:v>
      </x:c>
      <x:c r="B24" s="24" t="str">
        <x:v>Hong Kong (China)</x:v>
      </x:c>
      <x:c r="C24" s="24" t="str">
        <x:v>EEZ</x:v>
      </x:c>
      <x:c r="D24" s="30" t="n">
        <x:v>2019</x:v>
      </x:c>
      <x:c r="E24" s="24" t="str">
        <x:v>Muraenesocidae</x:v>
      </x:c>
      <x:c r="F24" s="24" t="str">
        <x:v>Pike congers</x:v>
      </x:c>
      <x:c r="G24" s="24" t="str">
        <x:v>Large demersals (&gt;=90 cm)</x:v>
      </x:c>
      <x:c r="H24" s="24" t="str">
        <x:v>Other fishes &amp; inverts</x:v>
      </x:c>
      <x:c r="I24" s="31" t="n">
        <x:v>61.6083748561</x:v>
      </x:c>
      <x:c r="J24" s="31" t="n">
        <x:v>61.6083748561</x:v>
      </x:c>
      <x:c r="K24" s="31" t="n">
        <x:v>0</x:v>
      </x:c>
      <x:c r="L24" s="31" t="n">
        <x:v>21.438938682800003</x:v>
      </x:c>
      <x:c r="M24" s="31" t="n">
        <x:v>40.1694361733</x:v>
      </x:c>
      <x:c r="N24" s="24" t="str">
        <x:v>muraenesocidae</x:v>
      </x:c>
      <x:c r="O24" s="32" t="n">
        <x:v>3.9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Muraenesocidae</x:v>
      </x:c>
      <x:c r="T24" s="32" t="n">
        <x:f>IF(O24="","",(1/'Metadata'!$B$5)^(O24-1))</x:f>
        <x:v>794.3282347242813</x:v>
      </x:c>
      <x:c r="U24" s="31" t="n">
        <x:f>IF(T24="","",I24*T24)</x:f>
        <x:v>48937.27164367771</x:v>
      </x:c>
    </x:row>
    <x:row r="25" ht="18" customHeight="1">
      <x:c r="A25" s="24" t="str">
        <x:v>EEZ_344</x:v>
      </x:c>
      <x:c r="B25" s="24" t="str">
        <x:v>Hong Kong (China)</x:v>
      </x:c>
      <x:c r="C25" s="24" t="str">
        <x:v>EEZ</x:v>
      </x:c>
      <x:c r="D25" s="30" t="n">
        <x:v>2019</x:v>
      </x:c>
      <x:c r="E25" s="24" t="str">
        <x:v>Stromateidae</x:v>
      </x:c>
      <x:c r="F25" s="24" t="str">
        <x:v>Butterfishes</x:v>
      </x:c>
      <x:c r="G25" s="24" t="str">
        <x:v>Small benthopelagics (&lt;30 cm)</x:v>
      </x:c>
      <x:c r="H25" s="24" t="str">
        <x:v>Perch-likes</x:v>
      </x:c>
      <x:c r="I25" s="31" t="n">
        <x:v>55.865085500099994</x:v>
      </x:c>
      <x:c r="J25" s="31" t="n">
        <x:v>55.865085500099994</x:v>
      </x:c>
      <x:c r="K25" s="31" t="n">
        <x:v>0</x:v>
      </x:c>
      <x:c r="L25" s="31" t="n">
        <x:v>19.365130141999998</x:v>
      </x:c>
      <x:c r="M25" s="31" t="n">
        <x:v>36.499955358099996</x:v>
      </x:c>
      <x:c r="N25" s="24" t="str">
        <x:v>stromateidae</x:v>
      </x:c>
      <x:c r="O25" s="32" t="n">
        <x:v>3.62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Stromateidae</x:v>
      </x:c>
      <x:c r="T25" s="32" t="n">
        <x:f>IF(O25="","",(1/'Metadata'!$B$5)^(O25-1))</x:f>
        <x:v>416.8693834703355</x:v>
      </x:c>
      <x:c r="U25" s="31" t="n">
        <x:f>IF(T25="","",I25*T25)</x:f>
        <x:v>23288.443749944265</x:v>
      </x:c>
    </x:row>
    <x:row r="26" ht="18" customHeight="1">
      <x:c r="A26" s="24" t="str">
        <x:v>EEZ_344</x:v>
      </x:c>
      <x:c r="B26" s="24" t="str">
        <x:v>Hong Kong (China)</x:v>
      </x:c>
      <x:c r="C26" s="24" t="str">
        <x:v>EEZ</x:v>
      </x:c>
      <x:c r="D26" s="30" t="n">
        <x:v>2019</x:v>
      </x:c>
      <x:c r="E26" s="24" t="str">
        <x:v>Sardinops sagax</x:v>
      </x:c>
      <x:c r="F26" s="24" t="str">
        <x:v>South American pilchard</x:v>
      </x:c>
      <x:c r="G26" s="24" t="str">
        <x:v>Medium pelagics (30 - 89 cm)</x:v>
      </x:c>
      <x:c r="H26" s="24" t="str">
        <x:v>Herring-likes</x:v>
      </x:c>
      <x:c r="I26" s="31" t="n">
        <x:v>45.8462126954</x:v>
      </x:c>
      <x:c r="J26" s="31" t="n">
        <x:v>45.8462126954</x:v>
      </x:c>
      <x:c r="K26" s="31" t="n">
        <x:v>0</x:v>
      </x:c>
      <x:c r="L26" s="31" t="n">
        <x:v>45.8462126954</x:v>
      </x:c>
      <x:c r="M26" s="31" t="n">
        <x:v>0</x:v>
      </x:c>
      <x:c r="N26" s="24" t="str">
        <x:v>sardinops sagax</x:v>
      </x:c>
      <x:c r="O26" s="32" t="n">
        <x:v>2.84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Sardinops sagax</x:v>
      </x:c>
      <x:c r="T26" s="32" t="n">
        <x:f>IF(O26="","",(1/'Metadata'!$B$5)^(O26-1))</x:f>
        <x:v>69.18309709189363</x:v>
      </x:c>
      <x:c r="U26" s="31" t="n">
        <x:f>IF(T26="","",I26*T26)</x:f>
        <x:v>3171.7829842014644</x:v>
      </x:c>
    </x:row>
    <x:row r="27" ht="18" customHeight="1">
      <x:c r="A27" s="24" t="str">
        <x:v>EEZ_344</x:v>
      </x:c>
      <x:c r="B27" s="24" t="str">
        <x:v>Hong Kong (China)</x:v>
      </x:c>
      <x:c r="C27" s="24" t="str">
        <x:v>EEZ</x:v>
      </x:c>
      <x:c r="D27" s="30" t="n">
        <x:v>2019</x:v>
      </x:c>
      <x:c r="E27" s="24" t="str">
        <x:v>Trichiuridae</x:v>
      </x:c>
      <x:c r="F27" s="24" t="str">
        <x:v>Cutlassfishes</x:v>
      </x:c>
      <x:c r="G27" s="24" t="str">
        <x:v>Large benthopelagics (&gt;=90 cm)</x:v>
      </x:c>
      <x:c r="H27" s="24" t="str">
        <x:v>Perch-likes</x:v>
      </x:c>
      <x:c r="I27" s="31" t="n">
        <x:v>44.7561653557</x:v>
      </x:c>
      <x:c r="J27" s="31" t="n">
        <x:v>44.7561653557</x:v>
      </x:c>
      <x:c r="K27" s="31" t="n">
        <x:v>0</x:v>
      </x:c>
      <x:c r="L27" s="31" t="n">
        <x:v>15.5137750838</x:v>
      </x:c>
      <x:c r="M27" s="31" t="n">
        <x:v>29.2423902719</x:v>
      </x:c>
      <x:c r="N27" s="24" t="str">
        <x:v>trichiuridae</x:v>
      </x:c>
      <x:c r="O27" s="32" t="n">
        <x:v>4.15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Trichiuridae</x:v>
      </x:c>
      <x:c r="T27" s="32" t="n">
        <x:f>IF(O27="","",(1/'Metadata'!$B$5)^(O27-1))</x:f>
        <x:v>1412.5375446227554</x:v>
      </x:c>
      <x:c r="U27" s="31" t="n">
        <x:f>IF(T27="","",I27*T27)</x:f>
        <x:v>63219.7639182705</x:v>
      </x:c>
    </x:row>
    <x:row r="28" ht="18" customHeight="1">
      <x:c r="A28" s="24" t="str">
        <x:v>EEZ_344</x:v>
      </x:c>
      <x:c r="B28" s="24" t="str">
        <x:v>Hong Kong (China)</x:v>
      </x:c>
      <x:c r="C28" s="24" t="str">
        <x:v>EEZ</x:v>
      </x:c>
      <x:c r="D28" s="30" t="n">
        <x:v>2019</x:v>
      </x:c>
      <x:c r="E28" s="24" t="str">
        <x:v>Scomberomorus guttatus</x:v>
      </x:c>
      <x:c r="F28" s="24" t="str">
        <x:v>Indo-Pacific king mackerel</x:v>
      </x:c>
      <x:c r="G28" s="24" t="str">
        <x:v>Medium pelagics (30 - 89 cm)</x:v>
      </x:c>
      <x:c r="H28" s="24" t="str">
        <x:v>Perch-likes</x:v>
      </x:c>
      <x:c r="I28" s="31" t="n">
        <x:v>44.5339630339</x:v>
      </x:c>
      <x:c r="J28" s="31" t="n">
        <x:v>44.5339630339</x:v>
      </x:c>
      <x:c r="K28" s="31" t="n">
        <x:v>0</x:v>
      </x:c>
      <x:c r="L28" s="31" t="n">
        <x:v>15.5327109088</x:v>
      </x:c>
      <x:c r="M28" s="31" t="n">
        <x:v>29.0012521251</x:v>
      </x:c>
      <x:c r="N28" s="24" t="str">
        <x:v>scomberomorus guttatus</x:v>
      </x:c>
      <x:c r="O28" s="32" t="n">
        <x:v>4.28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Scomberomorus guttatus</x:v>
      </x:c>
      <x:c r="T28" s="32" t="n">
        <x:f>IF(O28="","",(1/'Metadata'!$B$5)^(O28-1))</x:f>
        <x:v>1905.4607179632483</x:v>
      </x:c>
      <x:c r="U28" s="31" t="n">
        <x:f>IF(T28="","",I28*T28)</x:f>
        <x:v>84857.71717632386</x:v>
      </x:c>
    </x:row>
    <x:row r="29" ht="18" customHeight="1">
      <x:c r="A29" s="24" t="str">
        <x:v>EEZ_344</x:v>
      </x:c>
      <x:c r="B29" s="24" t="str">
        <x:v>Hong Kong (China)</x:v>
      </x:c>
      <x:c r="C29" s="24" t="str">
        <x:v>EEZ</x:v>
      </x:c>
      <x:c r="D29" s="30" t="n">
        <x:v>2019</x:v>
      </x:c>
      <x:c r="E29" s="24" t="str">
        <x:v>Scomberomorus</x:v>
      </x:c>
      <x:c r="F29" s="24" t="str">
        <x:v>Spanish mackerels</x:v>
      </x:c>
      <x:c r="G29" s="24" t="str">
        <x:v>Large pelagics (&gt;=90 cm)</x:v>
      </x:c>
      <x:c r="H29" s="24" t="str">
        <x:v>Perch-likes</x:v>
      </x:c>
      <x:c r="I29" s="31" t="n">
        <x:v>40.4100983382</x:v>
      </x:c>
      <x:c r="J29" s="31" t="n">
        <x:v>40.4100983382</x:v>
      </x:c>
      <x:c r="K29" s="31" t="n">
        <x:v>0</x:v>
      </x:c>
      <x:c r="L29" s="31" t="n">
        <x:v>40.4100983382</x:v>
      </x:c>
      <x:c r="M29" s="31" t="n">
        <x:v>0</x:v>
      </x:c>
      <x:c r="N29" s="24" t="str">
        <x:v>scomberomorus</x:v>
      </x:c>
      <x:c r="O29" s="32" t="n">
        <x:v>4.35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Scomberomorus</x:v>
      </x:c>
      <x:c r="T29" s="32" t="n">
        <x:f>IF(O29="","",(1/'Metadata'!$B$5)^(O29-1))</x:f>
        <x:v>2238.7211385683377</x:v>
      </x:c>
      <x:c r="U29" s="31" t="n">
        <x:f>IF(T29="","",I29*T29)</x:f>
        <x:v>90466.9413613536</x:v>
      </x:c>
    </x:row>
    <x:row r="30" ht="18" customHeight="1">
      <x:c r="A30" s="24" t="str">
        <x:v>EEZ_344</x:v>
      </x:c>
      <x:c r="B30" s="24" t="str">
        <x:v>Hong Kong (China)</x:v>
      </x:c>
      <x:c r="C30" s="24" t="str">
        <x:v>EEZ</x:v>
      </x:c>
      <x:c r="D30" s="30" t="n">
        <x:v>2019</x:v>
      </x:c>
      <x:c r="E30" s="24" t="str">
        <x:v>Epinephelus</x:v>
      </x:c>
      <x:c r="F30" s="24" t="str">
        <x:v>Seabasses, hinds</x:v>
      </x:c>
      <x:c r="G30" s="24" t="str">
        <x:v>Medium reef assoc. fish (30 - 89 cm)</x:v>
      </x:c>
      <x:c r="H30" s="24" t="str">
        <x:v>Perch-likes</x:v>
      </x:c>
      <x:c r="I30" s="31" t="n">
        <x:v>37.3854417921</x:v>
      </x:c>
      <x:c r="J30" s="31" t="n">
        <x:v>37.3854417921</x:v>
      </x:c>
      <x:c r="K30" s="31" t="n">
        <x:v>0</x:v>
      </x:c>
      <x:c r="L30" s="31" t="n">
        <x:v>37.3854417921</x:v>
      </x:c>
      <x:c r="M30" s="31" t="n">
        <x:v>0</x:v>
      </x:c>
      <x:c r="N30" s="24" t="str">
        <x:v>epinephelus</x:v>
      </x:c>
      <x:c r="O30" s="32" t="n">
        <x:v>3.84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Epinephelus</x:v>
      </x:c>
      <x:c r="T30" s="32" t="n">
        <x:f>IF(O30="","",(1/'Metadata'!$B$5)^(O30-1))</x:f>
        <x:v>691.8309709189363</x:v>
      </x:c>
      <x:c r="U30" s="31" t="n">
        <x:f>IF(T30="","",I30*T30)</x:f>
        <x:v>25864.406493261922</x:v>
      </x:c>
    </x:row>
    <x:row r="31" ht="18" customHeight="1">
      <x:c r="A31" s="24" t="str">
        <x:v>EEZ_344</x:v>
      </x:c>
      <x:c r="B31" s="24" t="str">
        <x:v>Hong Kong (China)</x:v>
      </x:c>
      <x:c r="C31" s="24" t="str">
        <x:v>EEZ</x:v>
      </x:c>
      <x:c r="D31" s="30" t="n">
        <x:v>2019</x:v>
      </x:c>
      <x:c r="E31" s="24" t="str">
        <x:v>Cephalopoda</x:v>
      </x:c>
      <x:c r="F31" s="24" t="str">
        <x:v>Squids, cuttlefishes, octopuses</x:v>
      </x:c>
      <x:c r="G31" s="24" t="str">
        <x:v>Cephalopods</x:v>
      </x:c>
      <x:c r="H31" s="24" t="str">
        <x:v>Other fishes &amp; inverts</x:v>
      </x:c>
      <x:c r="I31" s="31" t="n">
        <x:v>35.1205215828</x:v>
      </x:c>
      <x:c r="J31" s="31" t="n">
        <x:v>35.1205215828</x:v>
      </x:c>
      <x:c r="K31" s="31" t="n">
        <x:v>0</x:v>
      </x:c>
      <x:c r="L31" s="31" t="n">
        <x:v>13.7899526656</x:v>
      </x:c>
      <x:c r="M31" s="31" t="n">
        <x:v>21.3305689172</x:v>
      </x:c>
      <x:c r="N31" s="24" t="str">
        <x:v>cephalopoda</x:v>
      </x:c>
      <x:c r="O31" s="32" t="n">
        <x:v>3.81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Cephalopoda</x:v>
      </x:c>
      <x:c r="T31" s="32" t="n">
        <x:f>IF(O31="","",(1/'Metadata'!$B$5)^(O31-1))</x:f>
        <x:v>645.6542290346556</x:v>
      </x:c>
      <x:c r="U31" s="31" t="n">
        <x:f>IF(T31="","",I31*T31)</x:f>
        <x:v>22675.71328583772</x:v>
      </x:c>
    </x:row>
    <x:row r="32" ht="18" customHeight="1">
      <x:c r="A32" s="24" t="str">
        <x:v>EEZ_344</x:v>
      </x:c>
      <x:c r="B32" s="24" t="str">
        <x:v>Hong Kong (China)</x:v>
      </x:c>
      <x:c r="C32" s="24" t="str">
        <x:v>EEZ</x:v>
      </x:c>
      <x:c r="D32" s="30" t="n">
        <x:v>2019</x:v>
      </x:c>
      <x:c r="E32" s="24" t="str">
        <x:v>Dussumieria elopsoides</x:v>
      </x:c>
      <x:c r="F32" s="24" t="str">
        <x:v>Slender rainbow sardine</x:v>
      </x:c>
      <x:c r="G32" s="24" t="str">
        <x:v>Small pelagics (&lt;30 cm)</x:v>
      </x:c>
      <x:c r="H32" s="24" t="str">
        <x:v>Herring-likes</x:v>
      </x:c>
      <x:c r="I32" s="31" t="n">
        <x:v>32.6282482089</x:v>
      </x:c>
      <x:c r="J32" s="31" t="n">
        <x:v>32.6282482089</x:v>
      </x:c>
      <x:c r="K32" s="31" t="n">
        <x:v>0</x:v>
      </x:c>
      <x:c r="L32" s="31" t="n">
        <x:v>11.2960664189</x:v>
      </x:c>
      <x:c r="M32" s="31" t="n">
        <x:v>21.33218179</x:v>
      </x:c>
      <x:c r="N32" s="24" t="str">
        <x:v>dussumieria elopsoides</x:v>
      </x:c>
      <x:c r="O32" s="32" t="n">
        <x:v>3.4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Dussumieria elopsoides</x:v>
      </x:c>
      <x:c r="T32" s="32" t="n">
        <x:f>IF(O32="","",(1/'Metadata'!$B$5)^(O32-1))</x:f>
        <x:v>251.18864315095797</x:v>
      </x:c>
      <x:c r="U32" s="31" t="n">
        <x:f>IF(T32="","",I32*T32)</x:f>
        <x:v>8195.845395986265</x:v>
      </x:c>
    </x:row>
    <x:row r="33" ht="18" customHeight="1">
      <x:c r="A33" s="24" t="str">
        <x:v>EEZ_344</x:v>
      </x:c>
      <x:c r="B33" s="24" t="str">
        <x:v>Hong Kong (China)</x:v>
      </x:c>
      <x:c r="C33" s="24" t="str">
        <x:v>EEZ</x:v>
      </x:c>
      <x:c r="D33" s="30" t="n">
        <x:v>2019</x:v>
      </x:c>
      <x:c r="E33" s="24" t="str">
        <x:v>Miscellaneous marine crustaceans</x:v>
      </x:c>
      <x:c r="F33" s="24" t="str">
        <x:v>Marine crabs, shrimps, lobsters nei</x:v>
      </x:c>
      <x:c r="G33" s="24" t="str">
        <x:v>Shrimps</x:v>
      </x:c>
      <x:c r="H33" s="24" t="str">
        <x:v>Crustaceans</x:v>
      </x:c>
      <x:c r="I33" s="31" t="n">
        <x:v>31.5030304454</x:v>
      </x:c>
      <x:c r="J33" s="31" t="n">
        <x:v>31.5030304454</x:v>
      </x:c>
      <x:c r="K33" s="31" t="n">
        <x:v>0</x:v>
      </x:c>
      <x:c r="L33" s="31" t="n">
        <x:v>31.5030304454</x:v>
      </x:c>
      <x:c r="M33" s="31" t="n">
        <x:v>0</x:v>
      </x:c>
      <x:c r="N33" s="24" t="str">
        <x:v>miscellaneous marine crustaceans</x:v>
      </x:c>
      <x:c r="O33" s="32" t="n">
        <x:v>2.7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Miscellaneous marine crustaceans</x:v>
      </x:c>
      <x:c r="T33" s="32" t="n">
        <x:f>IF(O33="","",(1/'Metadata'!$B$5)^(O33-1))</x:f>
        <x:v>50.11872336272725</x:v>
      </x:c>
      <x:c r="U33" s="31" t="n">
        <x:f>IF(T33="","",I33*T33)</x:f>
        <x:v>1578.8916679805768</x:v>
      </x:c>
    </x:row>
    <x:row r="34" ht="18" customHeight="1">
      <x:c r="A34" s="24" t="str">
        <x:v>EEZ_344</x:v>
      </x:c>
      <x:c r="B34" s="24" t="str">
        <x:v>Hong Kong (China)</x:v>
      </x:c>
      <x:c r="C34" s="24" t="str">
        <x:v>EEZ</x:v>
      </x:c>
      <x:c r="D34" s="30" t="n">
        <x:v>2019</x:v>
      </x:c>
      <x:c r="E34" s="24" t="str">
        <x:v>Epinephelus coioides</x:v>
      </x:c>
      <x:c r="F34" s="24" t="str">
        <x:v>Orange-spotted grouper</x:v>
      </x:c>
      <x:c r="G34" s="24" t="str">
        <x:v>Large reef assoc. fish (&gt;=90 cm)</x:v>
      </x:c>
      <x:c r="H34" s="24" t="str">
        <x:v>Perch-likes</x:v>
      </x:c>
      <x:c r="I34" s="31" t="n">
        <x:v>28.936373997</x:v>
      </x:c>
      <x:c r="J34" s="31" t="n">
        <x:v>28.936373997</x:v>
      </x:c>
      <x:c r="K34" s="31" t="n">
        <x:v>0</x:v>
      </x:c>
      <x:c r="L34" s="31" t="n">
        <x:v>10.0150777486</x:v>
      </x:c>
      <x:c r="M34" s="31" t="n">
        <x:v>18.9212962484</x:v>
      </x:c>
      <x:c r="N34" s="24" t="str">
        <x:v>epinephelus coioides</x:v>
      </x:c>
      <x:c r="O34" s="32" t="n">
        <x:v>4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Epinephelus coioides</x:v>
      </x:c>
      <x:c r="T34" s="32" t="n">
        <x:f>IF(O34="","",(1/'Metadata'!$B$5)^(O34-1))</x:f>
        <x:v>1000</x:v>
      </x:c>
      <x:c r="U34" s="31" t="n">
        <x:f>IF(T34="","",I34*T34)</x:f>
        <x:v>28936.373997</x:v>
      </x:c>
    </x:row>
    <x:row r="35" ht="18" customHeight="1">
      <x:c r="A35" s="24" t="str">
        <x:v>EEZ_344</x:v>
      </x:c>
      <x:c r="B35" s="24" t="str">
        <x:v>Hong Kong (China)</x:v>
      </x:c>
      <x:c r="C35" s="24" t="str">
        <x:v>EEZ</x:v>
      </x:c>
      <x:c r="D35" s="30" t="n">
        <x:v>2019</x:v>
      </x:c>
      <x:c r="E35" s="24" t="str">
        <x:v>Octopoda</x:v>
      </x:c>
      <x:c r="F35" s="24" t="str">
        <x:v>Octopuses, argonauts</x:v>
      </x:c>
      <x:c r="G35" s="24" t="str">
        <x:v>Cephalopods</x:v>
      </x:c>
      <x:c r="H35" s="24" t="str">
        <x:v>Other fishes &amp; inverts</x:v>
      </x:c>
      <x:c r="I35" s="31" t="n">
        <x:v>23.5605674639</x:v>
      </x:c>
      <x:c r="J35" s="31" t="n">
        <x:v>23.5605674639</x:v>
      </x:c>
      <x:c r="K35" s="31" t="n">
        <x:v>0</x:v>
      </x:c>
      <x:c r="L35" s="31" t="n">
        <x:v>23.5605674639</x:v>
      </x:c>
      <x:c r="M35" s="31" t="n">
        <x:v>0</x:v>
      </x:c>
      <x:c r="N35" s="24" t="str">
        <x:v>octopoda</x:v>
      </x:c>
      <x:c r="O35" s="32" t="n">
        <x:v>3.58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Octopoda</x:v>
      </x:c>
      <x:c r="T35" s="32" t="n">
        <x:f>IF(O35="","",(1/'Metadata'!$B$5)^(O35-1))</x:f>
        <x:v>380.1893963205613</x:v>
      </x:c>
      <x:c r="U35" s="31" t="n">
        <x:f>IF(T35="","",I35*T35)</x:f>
        <x:v>8957.477921069998</x:v>
      </x:c>
    </x:row>
    <x:row r="36" ht="18" customHeight="1">
      <x:c r="A36" s="24" t="str">
        <x:v>EEZ_344</x:v>
      </x:c>
      <x:c r="B36" s="24" t="str">
        <x:v>Hong Kong (China)</x:v>
      </x:c>
      <x:c r="C36" s="24" t="str">
        <x:v>EEZ</x:v>
      </x:c>
      <x:c r="D36" s="30" t="n">
        <x:v>2019</x:v>
      </x:c>
      <x:c r="E36" s="24" t="str">
        <x:v>Ilisha elongata</x:v>
      </x:c>
      <x:c r="F36" s="24" t="str">
        <x:v>Elongate ilisha</x:v>
      </x:c>
      <x:c r="G36" s="24" t="str">
        <x:v>Medium pelagics (30 - 89 cm)</x:v>
      </x:c>
      <x:c r="H36" s="24" t="str">
        <x:v>Herring-likes</x:v>
      </x:c>
      <x:c r="I36" s="31" t="n">
        <x:v>19.3539287143</x:v>
      </x:c>
      <x:c r="J36" s="31" t="n">
        <x:v>19.3539287143</x:v>
      </x:c>
      <x:c r="K36" s="31" t="n">
        <x:v>0</x:v>
      </x:c>
      <x:c r="L36" s="31" t="n">
        <x:v>19.3539287143</x:v>
      </x:c>
      <x:c r="M36" s="31" t="n">
        <x:v>0</x:v>
      </x:c>
      <x:c r="N36" s="24" t="str">
        <x:v>ilisha elongata</x:v>
      </x:c>
      <x:c r="O36" s="32" t="n">
        <x:v>3.79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Ilisha elongata</x:v>
      </x:c>
      <x:c r="T36" s="32" t="n">
        <x:f>IF(O36="","",(1/'Metadata'!$B$5)^(O36-1))</x:f>
        <x:v>616.5950018614822</x:v>
      </x:c>
      <x:c r="U36" s="31" t="n">
        <x:f>IF(T36="","",I36*T36)</x:f>
        <x:v>11933.535711620802</x:v>
      </x:c>
    </x:row>
    <x:row r="37" ht="18" customHeight="1">
      <x:c r="A37" s="24" t="str">
        <x:v>EEZ_344</x:v>
      </x:c>
      <x:c r="B37" s="24" t="str">
        <x:v>Hong Kong (China)</x:v>
      </x:c>
      <x:c r="C37" s="24" t="str">
        <x:v>EEZ</x:v>
      </x:c>
      <x:c r="D37" s="30" t="n">
        <x:v>2019</x:v>
      </x:c>
      <x:c r="E37" s="24" t="str">
        <x:v>Decapoda</x:v>
      </x:c>
      <x:c r="F37" s="24" t="str">
        <x:v>Crabs, lobsters, shrimps</x:v>
      </x:c>
      <x:c r="G37" s="24" t="str">
        <x:v>Lobsters, crabs</x:v>
      </x:c>
      <x:c r="H37" s="24" t="str">
        <x:v>Crustaceans</x:v>
      </x:c>
      <x:c r="I37" s="31" t="n">
        <x:v>17.0421771375</x:v>
      </x:c>
      <x:c r="J37" s="31" t="n">
        <x:v>17.0421771375</x:v>
      </x:c>
      <x:c r="K37" s="31" t="n">
        <x:v>0</x:v>
      </x:c>
      <x:c r="L37" s="31" t="n">
        <x:v>17.0421771375</x:v>
      </x:c>
      <x:c r="M37" s="31" t="n">
        <x:v>0</x:v>
      </x:c>
      <x:c r="N37" s="24" t="str">
        <x:v>decapoda</x:v>
      </x:c>
      <x:c r="O37" s="32" t="n">
        <x:v>3.43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Decapoda</x:v>
      </x:c>
      <x:c r="T37" s="32" t="n">
        <x:f>IF(O37="","",(1/'Metadata'!$B$5)^(O37-1))</x:f>
        <x:v>269.1534803926917</x:v>
      </x:c>
      <x:c r="U37" s="31" t="n">
        <x:f>IF(T37="","",I37*T37)</x:f>
        <x:v>4586.961290026885</x:v>
      </x:c>
    </x:row>
    <x:row r="38" ht="18" customHeight="1">
      <x:c r="A38" s="24" t="str">
        <x:v>EEZ_344</x:v>
      </x:c>
      <x:c r="B38" s="24" t="str">
        <x:v>Hong Kong (China)</x:v>
      </x:c>
      <x:c r="C38" s="24" t="str">
        <x:v>EEZ</x:v>
      </x:c>
      <x:c r="D38" s="30" t="n">
        <x:v>2019</x:v>
      </x:c>
      <x:c r="E38" s="24" t="str">
        <x:v>Sparidae</x:v>
      </x:c>
      <x:c r="F38" s="24" t="str">
        <x:v>Porgies, seabreams</x:v>
      </x:c>
      <x:c r="G38" s="24" t="str">
        <x:v>Medium benthopelagics (30 - 89 cm)</x:v>
      </x:c>
      <x:c r="H38" s="24" t="str">
        <x:v>Perch-likes</x:v>
      </x:c>
      <x:c r="I38" s="31" t="n">
        <x:v>16.228952585</x:v>
      </x:c>
      <x:c r="J38" s="31" t="n">
        <x:v>16.228952585</x:v>
      </x:c>
      <x:c r="K38" s="31" t="n">
        <x:v>0</x:v>
      </x:c>
      <x:c r="L38" s="31" t="n">
        <x:v>16.228952585</x:v>
      </x:c>
      <x:c r="M38" s="31" t="n">
        <x:v>0</x:v>
      </x:c>
      <x:c r="N38" s="24" t="str">
        <x:v>sparidae</x:v>
      </x:c>
      <x:c r="O38" s="32" t="n">
        <x:v>3.31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Sparidae</x:v>
      </x:c>
      <x:c r="T38" s="32" t="n">
        <x:f>IF(O38="","",(1/'Metadata'!$B$5)^(O38-1))</x:f>
        <x:v>204.17379446695296</x:v>
      </x:c>
      <x:c r="U38" s="31" t="n">
        <x:f>IF(T38="","",I38*T38)</x:f>
        <x:v>3313.5268295037145</x:v>
      </x:c>
    </x:row>
    <x:row r="39" ht="18" customHeight="1">
      <x:c r="A39" s="24" t="str">
        <x:v>EEZ_344</x:v>
      </x:c>
      <x:c r="B39" s="24" t="str">
        <x:v>Hong Kong (China)</x:v>
      </x:c>
      <x:c r="C39" s="24" t="str">
        <x:v>EEZ</x:v>
      </x:c>
      <x:c r="D39" s="30" t="n">
        <x:v>2019</x:v>
      </x:c>
      <x:c r="E39" s="24" t="str">
        <x:v>Teuthida</x:v>
      </x:c>
      <x:c r="F39" s="24" t="str">
        <x:v>Squids</x:v>
      </x:c>
      <x:c r="G39" s="24" t="str">
        <x:v>Cephalopods</x:v>
      </x:c>
      <x:c r="H39" s="24" t="str">
        <x:v>Other fishes &amp; inverts</x:v>
      </x:c>
      <x:c r="I39" s="31" t="n">
        <x:v>15.0944006388</x:v>
      </x:c>
      <x:c r="J39" s="31" t="n">
        <x:v>15.0944006388</x:v>
      </x:c>
      <x:c r="K39" s="31" t="n">
        <x:v>0</x:v>
      </x:c>
      <x:c r="L39" s="31" t="n">
        <x:v>15.0944006388</x:v>
      </x:c>
      <x:c r="M39" s="31" t="n">
        <x:v>0</x:v>
      </x:c>
      <x:c r="N39" s="24" t="str">
        <x:v>teuthida</x:v>
      </x:c>
      <x:c r="O39" s="32" t="n">
        <x:v>4.13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Teuthida</x:v>
      </x:c>
      <x:c r="T39" s="32" t="n">
        <x:f>IF(O39="","",(1/'Metadata'!$B$5)^(O39-1))</x:f>
        <x:v>1348.9628825916532</x:v>
      </x:c>
      <x:c r="U39" s="31" t="n">
        <x:f>IF(T39="","",I39*T39)</x:f>
        <x:v>20361.786196708937</x:v>
      </x:c>
    </x:row>
    <x:row r="40" ht="18" customHeight="1">
      <x:c r="A40" s="24" t="str">
        <x:v>EEZ_344</x:v>
      </x:c>
      <x:c r="B40" s="24" t="str">
        <x:v>Hong Kong (China)</x:v>
      </x:c>
      <x:c r="C40" s="24" t="str">
        <x:v>EEZ</x:v>
      </x:c>
      <x:c r="D40" s="30" t="n">
        <x:v>2019</x:v>
      </x:c>
      <x:c r="E40" s="24" t="str">
        <x:v>Mugil cephalus</x:v>
      </x:c>
      <x:c r="F40" s="24" t="str">
        <x:v>Flathead grey mullet</x:v>
      </x:c>
      <x:c r="G40" s="24" t="str">
        <x:v>Large benthopelagics (&gt;=90 cm)</x:v>
      </x:c>
      <x:c r="H40" s="24" t="str">
        <x:v>Perch-likes</x:v>
      </x:c>
      <x:c r="I40" s="31" t="n">
        <x:v>15.0496215734</x:v>
      </x:c>
      <x:c r="J40" s="31" t="n">
        <x:v>15.0496215734</x:v>
      </x:c>
      <x:c r="K40" s="31" t="n">
        <x:v>0</x:v>
      </x:c>
      <x:c r="L40" s="31" t="n">
        <x:v>15.0496215734</x:v>
      </x:c>
      <x:c r="M40" s="31" t="n">
        <x:v>0</x:v>
      </x:c>
      <x:c r="N40" s="24" t="str">
        <x:v>mugil cephalus</x:v>
      </x:c>
      <x:c r="O40" s="32" t="n">
        <x:v>2.14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Mugil cephalus</x:v>
      </x:c>
      <x:c r="T40" s="32" t="n">
        <x:f>IF(O40="","",(1/'Metadata'!$B$5)^(O40-1))</x:f>
        <x:v>13.803842646028853</x:v>
      </x:c>
      <x:c r="U40" s="31" t="n">
        <x:f>IF(T40="","",I40*T40)</x:f>
        <x:v>207.74260808149475</x:v>
      </x:c>
    </x:row>
    <x:row r="41" ht="18" customHeight="1">
      <x:c r="A41" s="24" t="str">
        <x:v>EEZ_344</x:v>
      </x:c>
      <x:c r="B41" s="24" t="str">
        <x:v>Hong Kong (China)</x:v>
      </x:c>
      <x:c r="C41" s="24" t="str">
        <x:v>EEZ</x:v>
      </x:c>
      <x:c r="D41" s="30" t="n">
        <x:v>2019</x:v>
      </x:c>
      <x:c r="E41" s="24" t="str">
        <x:v>Sepia</x:v>
      </x:c>
      <x:c r="F41" s="24" t="str">
        <x:v>Sepia cuttlefishes</x:v>
      </x:c>
      <x:c r="G41" s="24" t="str">
        <x:v>Cephalopods</x:v>
      </x:c>
      <x:c r="H41" s="24" t="str">
        <x:v>Other fishes &amp; inverts</x:v>
      </x:c>
      <x:c r="I41" s="31" t="n">
        <x:v>13.568886750999999</x:v>
      </x:c>
      <x:c r="J41" s="31" t="n">
        <x:v>13.568886750999999</x:v>
      </x:c>
      <x:c r="K41" s="31" t="n">
        <x:v>0</x:v>
      </x:c>
      <x:c r="L41" s="31" t="n">
        <x:v>4.7424187129</x:v>
      </x:c>
      <x:c r="M41" s="31" t="n">
        <x:v>8.8264680381</x:v>
      </x:c>
      <x:c r="N41" s="24" t="str">
        <x:v>sepia</x:v>
      </x:c>
      <x:c r="O41" s="32" t="n">
        <x:v>3.69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Sepia</x:v>
      </x:c>
      <x:c r="T41" s="32" t="n">
        <x:f>IF(O41="","",(1/'Metadata'!$B$5)^(O41-1))</x:f>
        <x:v>489.77881936844614</x:v>
      </x:c>
      <x:c r="U41" s="31" t="n">
        <x:f>IF(T41="","",I41*T41)</x:f>
        <x:v>6645.7533330489305</x:v>
      </x:c>
    </x:row>
    <x:row r="42" ht="18" customHeight="1">
      <x:c r="A42" s="24" t="str">
        <x:v>EEZ_344</x:v>
      </x:c>
      <x:c r="B42" s="24" t="str">
        <x:v>Hong Kong (China)</x:v>
      </x:c>
      <x:c r="C42" s="24" t="str">
        <x:v>EEZ</x:v>
      </x:c>
      <x:c r="D42" s="30" t="n">
        <x:v>2019</x:v>
      </x:c>
      <x:c r="E42" s="24" t="str">
        <x:v>Mullidae</x:v>
      </x:c>
      <x:c r="F42" s="24" t="str">
        <x:v>Goatfishes</x:v>
      </x:c>
      <x:c r="G42" s="24" t="str">
        <x:v>Medium reef assoc. fish (30 - 89 cm)</x:v>
      </x:c>
      <x:c r="H42" s="24" t="str">
        <x:v>Perch-likes</x:v>
      </x:c>
      <x:c r="I42" s="31" t="n">
        <x:v>10.6647681618</x:v>
      </x:c>
      <x:c r="J42" s="31" t="n">
        <x:v>10.6647681618</x:v>
      </x:c>
      <x:c r="K42" s="31" t="n">
        <x:v>0</x:v>
      </x:c>
      <x:c r="L42" s="31" t="n">
        <x:v>3.6095821531</x:v>
      </x:c>
      <x:c r="M42" s="31" t="n">
        <x:v>7.0551860087</x:v>
      </x:c>
      <x:c r="N42" s="24" t="str">
        <x:v>mullidae</x:v>
      </x:c>
      <x:c r="O42" s="32" t="n">
        <x:v>3.46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Mullidae</x:v>
      </x:c>
      <x:c r="T42" s="32" t="n">
        <x:f>IF(O42="","",(1/'Metadata'!$B$5)^(O42-1))</x:f>
        <x:v>288.40315031266056</x:v>
      </x:c>
      <x:c r="U42" s="31" t="n">
        <x:f>IF(T42="","",I42*T42)</x:f>
        <x:v>3075.752735217282</x:v>
      </x:c>
    </x:row>
    <x:row r="43" ht="18" customHeight="1">
      <x:c r="A43" s="24" t="str">
        <x:v>EEZ_344</x:v>
      </x:c>
      <x:c r="B43" s="24" t="str">
        <x:v>Hong Kong (China)</x:v>
      </x:c>
      <x:c r="C43" s="24" t="str">
        <x:v>EEZ</x:v>
      </x:c>
      <x:c r="D43" s="30" t="n">
        <x:v>2019</x:v>
      </x:c>
      <x:c r="E43" s="24" t="str">
        <x:v>Charybdis</x:v>
      </x:c>
      <x:c r="F43" s="24" t="str">
        <x:v>Whirlpool swimming crabs</x:v>
      </x:c>
      <x:c r="G43" s="24" t="str">
        <x:v>Lobsters, crabs</x:v>
      </x:c>
      <x:c r="H43" s="24" t="str">
        <x:v>Crustaceans</x:v>
      </x:c>
      <x:c r="I43" s="31" t="n">
        <x:v>10.3047529637</x:v>
      </x:c>
      <x:c r="J43" s="31" t="n">
        <x:v>10.3047529637</x:v>
      </x:c>
      <x:c r="K43" s="31" t="n">
        <x:v>0</x:v>
      </x:c>
      <x:c r="L43" s="31" t="n">
        <x:v>10.3047529637</x:v>
      </x:c>
      <x:c r="M43" s="31" t="n">
        <x:v>0</x:v>
      </x:c>
      <x:c r="N43" s="24" t="str">
        <x:v>charybdis</x:v>
      </x:c>
      <x:c r="O43" s="32" t="n">
        <x:v>2.7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Charybdis</x:v>
      </x:c>
      <x:c r="T43" s="32" t="n">
        <x:f>IF(O43="","",(1/'Metadata'!$B$5)^(O43-1))</x:f>
        <x:v>50.11872336272725</x:v>
      </x:c>
      <x:c r="U43" s="31" t="n">
        <x:f>IF(T43="","",I43*T43)</x:f>
        <x:v>516.4610631089241</x:v>
      </x:c>
    </x:row>
    <x:row r="44" ht="18" customHeight="1">
      <x:c r="A44" s="24" t="str">
        <x:v>EEZ_344</x:v>
      </x:c>
      <x:c r="B44" s="24" t="str">
        <x:v>Hong Kong (China)</x:v>
      </x:c>
      <x:c r="C44" s="24" t="str">
        <x:v>EEZ</x:v>
      </x:c>
      <x:c r="D44" s="30" t="n">
        <x:v>2019</x:v>
      </x:c>
      <x:c r="E44" s="24" t="str">
        <x:v>Lethrinidae</x:v>
      </x:c>
      <x:c r="F44" s="24" t="str">
        <x:v>Emperors, scavengers</x:v>
      </x:c>
      <x:c r="G44" s="24" t="str">
        <x:v>Medium reef assoc. fish (30 - 89 cm)</x:v>
      </x:c>
      <x:c r="H44" s="24" t="str">
        <x:v>Perch-likes</x:v>
      </x:c>
      <x:c r="I44" s="31" t="n">
        <x:v>8.139961446900001</x:v>
      </x:c>
      <x:c r="J44" s="31" t="n">
        <x:v>8.139961446900001</x:v>
      </x:c>
      <x:c r="K44" s="31" t="n">
        <x:v>0</x:v>
      </x:c>
      <x:c r="L44" s="31" t="n">
        <x:v>2.8260674237</x:v>
      </x:c>
      <x:c r="M44" s="31" t="n">
        <x:v>5.3138940232000005</x:v>
      </x:c>
      <x:c r="N44" s="24" t="str">
        <x:v>lethrinidae</x:v>
      </x:c>
      <x:c r="O44" s="32" t="n">
        <x:v>3.59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Lethrinidae</x:v>
      </x:c>
      <x:c r="T44" s="32" t="n">
        <x:f>IF(O44="","",(1/'Metadata'!$B$5)^(O44-1))</x:f>
        <x:v>389.04514499428046</x:v>
      </x:c>
      <x:c r="U44" s="31" t="n">
        <x:f>IF(T44="","",I44*T44)</x:f>
        <x:v>3166.812481357064</x:v>
      </x:c>
    </x:row>
    <x:row r="45" ht="18" customHeight="1">
      <x:c r="A45" s="24" t="str">
        <x:v>EEZ_344</x:v>
      </x:c>
      <x:c r="B45" s="24" t="str">
        <x:v>Hong Kong (China)</x:v>
      </x:c>
      <x:c r="C45" s="24" t="str">
        <x:v>EEZ</x:v>
      </x:c>
      <x:c r="D45" s="30" t="n">
        <x:v>2019</x:v>
      </x:c>
      <x:c r="E45" s="24" t="str">
        <x:v>Platycaranx talamparoides</x:v>
      </x:c>
      <x:c r="F45" s="24" t="str">
        <x:v>Imposter trevally</x:v>
      </x:c>
      <x:c r="G45" s="24" t="str">
        <x:v>Medium pelagics (30 - 89 cm)</x:v>
      </x:c>
      <x:c r="H45" s="24" t="str">
        <x:v>Perch-likes</x:v>
      </x:c>
      <x:c r="I45" s="31" t="n">
        <x:v>6.7279357217</x:v>
      </x:c>
      <x:c r="J45" s="31" t="n">
        <x:v>6.7279357217</x:v>
      </x:c>
      <x:c r="K45" s="31" t="n">
        <x:v>0</x:v>
      </x:c>
      <x:c r="L45" s="31" t="n">
        <x:v>2.3292361443000003</x:v>
      </x:c>
      <x:c r="M45" s="31" t="n">
        <x:v>4.3986995774</x:v>
      </x:c>
      <x:c r="N45" s="24" t="str">
        <x:v>platycaranx talamparoides</x:v>
      </x:c>
      <x:c r="O45" s="32" t="n">
        <x:v>4.4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Platycaranx talamparoides</x:v>
      </x:c>
      <x:c r="T45" s="32" t="n">
        <x:f>IF(O45="","",(1/'Metadata'!$B$5)^(O45-1))</x:f>
        <x:v>2511.886431509582</x:v>
      </x:c>
      <x:c r="U45" s="31" t="n">
        <x:f>IF(T45="","",I45*T45)</x:f>
        <x:v>16899.81045140686</x:v>
      </x:c>
    </x:row>
    <x:row r="46" ht="18" customHeight="1">
      <x:c r="A46" s="24" t="str">
        <x:v>EEZ_344</x:v>
      </x:c>
      <x:c r="B46" s="24" t="str">
        <x:v>Hong Kong (China)</x:v>
      </x:c>
      <x:c r="C46" s="24" t="str">
        <x:v>EEZ</x:v>
      </x:c>
      <x:c r="D46" s="30" t="n">
        <x:v>2019</x:v>
      </x:c>
      <x:c r="E46" s="24" t="str">
        <x:v>Miscellaneous aquatic invertebrates</x:v>
      </x:c>
      <x:c r="F46" s="24" t="str">
        <x:v>Aquatic invertebrates</x:v>
      </x:c>
      <x:c r="G46" s="24" t="str">
        <x:v>Other demersal invertebrates</x:v>
      </x:c>
      <x:c r="H46" s="24" t="str">
        <x:v>Other fishes &amp; inverts</x:v>
      </x:c>
      <x:c r="I46" s="31" t="n">
        <x:v>4.7882532414</x:v>
      </x:c>
      <x:c r="J46" s="31" t="n">
        <x:v>4.7882532414</x:v>
      </x:c>
      <x:c r="K46" s="31" t="n">
        <x:v>0</x:v>
      </x:c>
      <x:c r="L46" s="31" t="n">
        <x:v>4.7882532414</x:v>
      </x:c>
      <x:c r="M46" s="31" t="n">
        <x:v>0</x:v>
      </x:c>
      <x:c r="N46" s="24" t="str">
        <x:v>miscellaneous aquatic invertebrates</x:v>
      </x:c>
      <x:c r="O46" s="32" t="n">
        <x:v>2.43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Miscellaneous aquatic invertebrates</x:v>
      </x:c>
      <x:c r="T46" s="32" t="n">
        <x:f>IF(O46="","",(1/'Metadata'!$B$5)^(O46-1))</x:f>
        <x:v>26.915348039269166</x:v>
      </x:c>
      <x:c r="U46" s="31" t="n">
        <x:f>IF(T46="","",I46*T46)</x:f>
        <x:v>128.8775024924397</x:v>
      </x:c>
    </x:row>
    <x:row r="47" ht="18" customHeight="1">
      <x:c r="A47" s="24" t="str">
        <x:v>EEZ_344</x:v>
      </x:c>
      <x:c r="B47" s="24" t="str">
        <x:v>Hong Kong (China)</x:v>
      </x:c>
      <x:c r="C47" s="24" t="str">
        <x:v>EEZ</x:v>
      </x:c>
      <x:c r="D47" s="30" t="n">
        <x:v>2019</x:v>
      </x:c>
      <x:c r="E47" s="24" t="str">
        <x:v>Gymnocranius</x:v>
      </x:c>
      <x:c r="F47" s="24" t="str">
        <x:v>Largeeye breams</x:v>
      </x:c>
      <x:c r="G47" s="24" t="str">
        <x:v>Medium reef assoc. fish (30 - 89 cm)</x:v>
      </x:c>
      <x:c r="H47" s="24" t="str">
        <x:v>Perch-likes</x:v>
      </x:c>
      <x:c r="I47" s="31" t="n">
        <x:v>3.3098121681</x:v>
      </x:c>
      <x:c r="J47" s="31" t="n">
        <x:v>3.3098121681</x:v>
      </x:c>
      <x:c r="K47" s="31" t="n">
        <x:v>0</x:v>
      </x:c>
      <x:c r="L47" s="31" t="n">
        <x:v>1.1482281602</x:v>
      </x:c>
      <x:c r="M47" s="31" t="n">
        <x:v>2.1615840079</x:v>
      </x:c>
      <x:c r="N47" s="24" t="str">
        <x:v>gymnocranius</x:v>
      </x:c>
      <x:c r="O47" s="32" t="n">
        <x:v>3.4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Gymnocranius</x:v>
      </x:c>
      <x:c r="T47" s="32" t="n">
        <x:f>IF(O47="","",(1/'Metadata'!$B$5)^(O47-1))</x:f>
        <x:v>251.18864315095797</x:v>
      </x:c>
      <x:c r="U47" s="31" t="n">
        <x:f>IF(T47="","",I47*T47)</x:f>
        <x:v>831.3872275895694</x:v>
      </x:c>
    </x:row>
    <x:row r="48" ht="18" customHeight="1">
      <x:c r="A48" s="24" t="str">
        <x:v>EEZ_344</x:v>
      </x:c>
      <x:c r="B48" s="24" t="str">
        <x:v>Hong Kong (China)</x:v>
      </x:c>
      <x:c r="C48" s="24" t="str">
        <x:v>EEZ</x:v>
      </x:c>
      <x:c r="D48" s="30" t="n">
        <x:v>2019</x:v>
      </x:c>
      <x:c r="E48" s="24" t="str">
        <x:v>Scombridae</x:v>
      </x:c>
      <x:c r="F48" s="24" t="str">
        <x:v>Mackerels, tunas, bonitos</x:v>
      </x:c>
      <x:c r="G48" s="24" t="str">
        <x:v>Medium pelagics (30 - 89 cm)</x:v>
      </x:c>
      <x:c r="H48" s="24" t="str">
        <x:v>Perch-likes</x:v>
      </x:c>
      <x:c r="I48" s="31" t="n">
        <x:v>2.648615144</x:v>
      </x:c>
      <x:c r="J48" s="31" t="n">
        <x:v>2.648615144</x:v>
      </x:c>
      <x:c r="K48" s="31" t="n">
        <x:v>0</x:v>
      </x:c>
      <x:c r="L48" s="31" t="n">
        <x:v>2.648615144</x:v>
      </x:c>
      <x:c r="M48" s="31" t="n">
        <x:v>0</x:v>
      </x:c>
      <x:c r="N48" s="24" t="str">
        <x:v>scombridae</x:v>
      </x:c>
      <x:c r="O48" s="32" t="n">
        <x:v>4.26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Scombridae</x:v>
      </x:c>
      <x:c r="T48" s="32" t="n">
        <x:f>IF(O48="","",(1/'Metadata'!$B$5)^(O48-1))</x:f>
        <x:v>1819.7008586099826</x:v>
      </x:c>
      <x:c r="U48" s="31" t="n">
        <x:f>IF(T48="","",I48*T48)</x:f>
        <x:v>4819.687251664202</x:v>
      </x:c>
    </x:row>
    <x:row r="49" ht="18" customHeight="1">
      <x:c r="A49" s="24" t="str">
        <x:v>EEZ_344</x:v>
      </x:c>
      <x:c r="B49" s="24" t="str">
        <x:v>Hong Kong (China)</x:v>
      </x:c>
      <x:c r="C49" s="24" t="str">
        <x:v>EEZ</x:v>
      </x:c>
      <x:c r="D49" s="30" t="n">
        <x:v>2019</x:v>
      </x:c>
      <x:c r="E49" s="24" t="str">
        <x:v>Ariomma indica</x:v>
      </x:c>
      <x:c r="F49" s="24" t="str">
        <x:v>Indian driftfish</x:v>
      </x:c>
      <x:c r="G49" s="24" t="str">
        <x:v>Small benthopelagics (&lt;30 cm)</x:v>
      </x:c>
      <x:c r="H49" s="24" t="str">
        <x:v>Perch-likes</x:v>
      </x:c>
      <x:c r="I49" s="31" t="n">
        <x:v>1.163514843</x:v>
      </x:c>
      <x:c r="J49" s="31" t="n">
        <x:v>1.163514843</x:v>
      </x:c>
      <x:c r="K49" s="31" t="n">
        <x:v>0</x:v>
      </x:c>
      <x:c r="L49" s="31" t="n">
        <x:v>0.406960439</x:v>
      </x:c>
      <x:c r="M49" s="31" t="n">
        <x:v>0.7565544040000001</x:v>
      </x:c>
      <x:c r="N49" s="24" t="str">
        <x:v>ariomma indica</x:v>
      </x:c>
      <x:c r="O49" s="32" t="n">
        <x:v>3.63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Ariomma indica</x:v>
      </x:c>
      <x:c r="T49" s="32" t="n">
        <x:f>IF(O49="","",(1/'Metadata'!$B$5)^(O49-1))</x:f>
        <x:v>426.57951880159254</x:v>
      </x:c>
      <x:c r="U49" s="31" t="n">
        <x:f>IF(T49="","",I49*T49)</x:f>
        <x:v>496.3316018454505</x:v>
      </x:c>
    </x:row>
    <x:row r="50" ht="18" customHeight="1">
      <x:c r="A50" s="24" t="str">
        <x:v>EEZ_344</x:v>
      </x:c>
      <x:c r="B50" s="24" t="str">
        <x:v>Hong Kong (China)</x:v>
      </x:c>
      <x:c r="C50" s="24" t="str">
        <x:v>EEZ</x:v>
      </x:c>
      <x:c r="D50" s="30" t="n">
        <x:v>2019</x:v>
      </x:c>
      <x:c r="E50" s="24" t="str">
        <x:v>Echinoidea</x:v>
      </x:c>
      <x:c r="F50" s="24" t="str">
        <x:v>Sea urchins, sea hedgehogs</x:v>
      </x:c>
      <x:c r="G50" s="24" t="str">
        <x:v>Other demersal invertebrates</x:v>
      </x:c>
      <x:c r="H50" s="24" t="str">
        <x:v>Other fishes &amp; inverts</x:v>
      </x:c>
      <x:c r="I50" s="31" t="n">
        <x:v>0.0237908207</x:v>
      </x:c>
      <x:c r="J50" s="31" t="n">
        <x:v>0.0237908207</x:v>
      </x:c>
      <x:c r="K50" s="31" t="n">
        <x:v>0</x:v>
      </x:c>
      <x:c r="L50" s="31" t="n">
        <x:v>0.0237908207</x:v>
      </x:c>
      <x:c r="M50" s="31" t="n">
        <x:v>0</x:v>
      </x:c>
      <x:c r="N50" s="24" t="str">
        <x:v>echinoidea</x:v>
      </x:c>
      <x:c r="O50" s="32" t="n">
        <x:v>2.51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Echinoidea</x:v>
      </x:c>
      <x:c r="T50" s="32" t="n">
        <x:f>IF(O50="","",(1/'Metadata'!$B$5)^(O50-1))</x:f>
        <x:v>32.35936569296281</x:v>
      </x:c>
      <x:c r="U50" s="31" t="n">
        <x:f>IF(T50="","",I50*T50)</x:f>
        <x:v>0.7698558671670095</x:v>
      </x:c>
    </x:row>
  </x:sheetData>
  <x:conditionalFormatting sqref="R2:R5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0a90010317a473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310.9007150389</x:v>
      </x:c>
      <x:c r="C2" s="32" t="n">
        <x:v>3.3277415434879165</x:v>
      </x:c>
      <x:c r="D2" s="32" t="n">
        <x:f>IF(C2="","",(1/'Metadata'!$B$5)^(C2-1))</x:f>
        <x:v>212.68729286738224</x:v>
      </x:c>
      <x:c r="E2" s="31" t="n">
        <x:f>IF(B2=0,"",B2*D2)</x:f>
        <x:v>66124.63143215707</x:v>
      </x:c>
    </x:row>
    <x:row r="3" ht="18" customHeight="1">
      <x:c r="A3" s="24" t="str">
        <x:v>Crustaceans</x:v>
      </x:c>
      <x:c r="B3" s="31" t="n">
        <x:v>2971.2363340574</x:v>
      </x:c>
      <x:c r="C3" s="32" t="n">
        <x:v>3.309795606625928</x:v>
      </x:c>
      <x:c r="D3" s="32" t="n">
        <x:f>IF(C3="","",(1/'Metadata'!$B$5)^(C3-1))</x:f>
        <x:v>204.0777261219704</x:v>
      </x:c>
      <x:c r="E3" s="31" t="n">
        <x:f>IF(B3=0,"",B3*D3)</x:f>
        <x:v>606363.1548254135</x:v>
      </x:c>
    </x:row>
    <x:row r="4" ht="18" customHeight="1">
      <x:c r="A4" s="24" t="str">
        <x:v>Herring-likes</x:v>
      </x:c>
      <x:c r="B4" s="31" t="n">
        <x:v>97.8283896186</x:v>
      </x:c>
      <x:c r="C4" s="32" t="n">
        <x:v>3.214717926140729</x:v>
      </x:c>
      <x:c r="D4" s="32" t="n">
        <x:f>IF(C4="","",(1/'Metadata'!$B$5)^(C4-1))</x:f>
        <x:v>163.9524557643989</x:v>
      </x:c>
      <x:c r="E4" s="31" t="n">
        <x:f>IF(B4=0,"",B4*D4)</x:f>
        <x:v>16039.204721445898</x:v>
      </x:c>
    </x:row>
    <x:row r="5" ht="18" customHeight="1">
      <x:c r="A5" s="24" t="str">
        <x:v>Molluscs</x:v>
      </x:c>
      <x:c r="B5" s="31" t="n">
        <x:v>177.0478079177</x:v>
      </x:c>
      <x:c r="C5" s="32" t="n">
        <x:v>2.1</x:v>
      </x:c>
      <x:c r="D5" s="32" t="n">
        <x:f>IF(C5="","",(1/'Metadata'!$B$5)^(C5-1))</x:f>
        <x:v>12.589254117941675</x:v>
      </x:c>
      <x:c r="E5" s="31" t="n">
        <x:f>IF(B5=0,"",B5*D5)</x:f>
        <x:v>2228.899844900451</x:v>
      </x:c>
    </x:row>
    <x:row r="6" ht="18" customHeight="1">
      <x:c r="A6" s="24" t="str">
        <x:v>Other fishes &amp; inverts</x:v>
      </x:c>
      <x:c r="B6" s="31" t="n">
        <x:v>6177.0721718104005</x:v>
      </x:c>
      <x:c r="C6" s="32" t="n">
        <x:v>3.311628894470085</x:v>
      </x:c>
      <x:c r="D6" s="32" t="n">
        <x:f>IF(C6="","",(1/'Metadata'!$B$5)^(C6-1))</x:f>
        <x:v>204.94102051552477</x:v>
      </x:c>
      <x:c r="E6" s="31" t="n">
        <x:f>IF(B6=0,"",B6*D6)</x:f>
        <x:v>1265935.4746888725</x:v>
      </x:c>
    </x:row>
    <x:row r="7" ht="18" customHeight="1">
      <x:c r="A7" s="24" t="str">
        <x:v>Perch-likes</x:v>
      </x:c>
      <x:c r="B7" s="31" t="n">
        <x:v>3726.7655119782</x:v>
      </x:c>
      <x:c r="C7" s="32" t="n">
        <x:v>3.6263088578121145</x:v>
      </x:c>
      <x:c r="D7" s="32" t="n">
        <x:f>IF(C7="","",(1/'Metadata'!$B$5)^(C7-1))</x:f>
        <x:v>422.96931100400866</x:v>
      </x:c>
      <x:c r="E7" s="31" t="n">
        <x:f>IF(B7=0,"",B7*D7)</x:f>
        <x:v>1576307.4408749207</x:v>
      </x:c>
    </x:row>
  </x:sheetData>
  <x:pageMargins left="0.7" right="0.7" top="0.75" bottom="0.75" header="0.3" footer="0.3"/>
  <x:tableParts count="1">
    <x:tablePart xmlns:r="http://schemas.openxmlformats.org/officeDocument/2006/relationships" r:id="Rd12012a66067412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151.0851541371</x:v>
      </x:c>
      <x:c r="C2" s="32" t="n">
        <x:v>3.748918722212159</x:v>
      </x:c>
      <x:c r="D2" s="32" t="n">
        <x:f>IF(C2="","",(1/'Metadata'!$B$5)^(C2-1))</x:f>
        <x:v>560.9429862767544</x:v>
      </x:c>
      <x:c r="E2" s="31" t="n">
        <x:f>IF(B2=0,"",B2*D2)</x:f>
        <x:v>84750.1575437486</x:v>
      </x:c>
    </x:row>
    <x:row r="3" ht="18" customHeight="1">
      <x:c r="A3" s="24" t="str">
        <x:v>Large benthopelagics (&gt;=90 cm)</x:v>
      </x:c>
      <x:c r="B3" s="31" t="n">
        <x:v>520.5045491512</x:v>
      </x:c>
      <x:c r="C3" s="32" t="n">
        <x:v>4.330860910036133</x:v>
      </x:c>
      <x:c r="D3" s="32" t="n">
        <x:f>IF(C3="","",(1/'Metadata'!$B$5)^(C3-1))</x:f>
        <x:v>2142.20441498289</x:v>
      </x:c>
      <x:c r="E3" s="31" t="n">
        <x:f>IF(B3=0,"",B3*D3)</x:f>
        <x:v>1115027.1432103792</x:v>
      </x:c>
    </x:row>
    <x:row r="4" ht="18" customHeight="1">
      <x:c r="A4" s="24" t="str">
        <x:v>Large demersals (&gt;=90 cm)</x:v>
      </x:c>
      <x:c r="B4" s="31" t="n">
        <x:v>233.13639275440002</x:v>
      </x:c>
      <x:c r="C4" s="32" t="n">
        <x:v>4.253155711206011</x:v>
      </x:c>
      <x:c r="D4" s="32" t="n">
        <x:f>IF(C4="","",(1/'Metadata'!$B$5)^(C4-1))</x:f>
        <x:v>1791.2479699220362</x:v>
      </x:c>
      <x:c r="E4" s="31" t="n">
        <x:f>IF(B4=0,"",B4*D4)</x:f>
        <x:v>417605.09023626556</x:v>
      </x:c>
    </x:row>
    <x:row r="5" ht="18" customHeight="1">
      <x:c r="A5" s="24" t="str">
        <x:v>Large pelagics (&gt;=90 cm)</x:v>
      </x:c>
      <x:c r="B5" s="31" t="n">
        <x:v>40.4100983382</x:v>
      </x:c>
      <x:c r="C5" s="32" t="n">
        <x:v>4.35</x:v>
      </x:c>
      <x:c r="D5" s="32" t="n">
        <x:f>IF(C5="","",(1/'Metadata'!$B$5)^(C5-1))</x:f>
        <x:v>2238.7211385683377</x:v>
      </x:c>
      <x:c r="E5" s="31" t="n">
        <x:f>IF(B5=0,"",B5*D5)</x:f>
        <x:v>90466.9413613536</x:v>
      </x:c>
    </x:row>
    <x:row r="6" ht="18" customHeight="1">
      <x:c r="A6" s="24" t="str">
        <x:v>Large reef assoc. fish (&gt;=90 cm)</x:v>
      </x:c>
      <x:c r="B6" s="31" t="n">
        <x:v>28.936373997</x:v>
      </x:c>
      <x:c r="C6" s="32" t="n">
        <x:v>4</x:v>
      </x:c>
      <x:c r="D6" s="32" t="n">
        <x:f>IF(C6="","",(1/'Metadata'!$B$5)^(C6-1))</x:f>
        <x:v>1000</x:v>
      </x:c>
      <x:c r="E6" s="31" t="n">
        <x:f>IF(B6=0,"",B6*D6)</x:f>
        <x:v>28936.373997</x:v>
      </x:c>
    </x:row>
    <x:row r="7" ht="18" customHeight="1">
      <x:c r="A7" s="24" t="str">
        <x:v>Lobsters, crabs</x:v>
      </x:c>
      <x:c r="B7" s="31" t="n">
        <x:v>1227.0370979256998</x:v>
      </x:c>
      <x:c r="C7" s="32" t="n">
        <x:v>3.4722074357080976</x:v>
      </x:c>
      <x:c r="D7" s="32" t="n">
        <x:f>IF(C7="","",(1/'Metadata'!$B$5)^(C7-1))</x:f>
        <x:v>296.6247845004062</x:v>
      </x:c>
      <x:c r="E7" s="31" t="n">
        <x:f>IF(B7=0,"",B7*D7)</x:f>
        <x:v>363969.6147462145</x:v>
      </x:c>
    </x:row>
    <x:row r="8" ht="18" customHeight="1">
      <x:c r="A8" s="24" t="str">
        <x:v>Medium benthopelagics (30 - 89 cm)</x:v>
      </x:c>
      <x:c r="B8" s="31" t="n">
        <x:v>231.27062620150002</x:v>
      </x:c>
      <x:c r="C8" s="32" t="n">
        <x:v>3.6912290718923697</x:v>
      </x:c>
      <x:c r="D8" s="32" t="n">
        <x:f>IF(C8="","",(1/'Metadata'!$B$5)^(C8-1))</x:f>
        <x:v>491.166877505864</x:v>
      </x:c>
      <x:c r="E8" s="31" t="n">
        <x:f>IF(B8=0,"",B8*D8)</x:f>
        <x:v>113592.47133021663</x:v>
      </x:c>
    </x:row>
    <x:row r="9" ht="18" customHeight="1">
      <x:c r="A9" s="24" t="str">
        <x:v>Medium demersals (30 - 89 cm)</x:v>
      </x:c>
      <x:c r="B9" s="31" t="n">
        <x:v>5807.4655879683005</x:v>
      </x:c>
      <x:c r="C9" s="32" t="n">
        <x:v>3.2762417497600826</x:v>
      </x:c>
      <x:c r="D9" s="32" t="n">
        <x:f>IF(C9="","",(1/'Metadata'!$B$5)^(C9-1))</x:f>
        <x:v>188.90425908956803</x:v>
      </x:c>
      <x:c r="E9" s="31" t="n">
        <x:f>IF(B9=0,"",B9*D9)</x:f>
        <x:v>1097054.9840833144</x:v>
      </x:c>
    </x:row>
    <x:row r="10" ht="18" customHeight="1">
      <x:c r="A10" s="24" t="str">
        <x:v>Medium pelagics (30 - 89 cm)</x:v>
      </x:c>
      <x:c r="B10" s="31" t="n">
        <x:v>195.9580844144</x:v>
      </x:c>
      <x:c r="C10" s="32" t="n">
        <x:v>3.808355768847063</x:v>
      </x:c>
      <x:c r="D10" s="32" t="n">
        <x:f>IF(C10="","",(1/'Metadata'!$B$5)^(C10-1))</x:f>
        <x:v>643.2144151137569</x:v>
      </x:c>
      <x:c r="E10" s="31" t="n">
        <x:f>IF(B10=0,"",B10*D10)</x:f>
        <x:v>126043.06465342049</x:v>
      </x:c>
    </x:row>
    <x:row r="11" ht="18" customHeight="1">
      <x:c r="A11" s="24" t="str">
        <x:v>Medium reef assoc. fish (30 - 89 cm)</x:v>
      </x:c>
      <x:c r="B11" s="31" t="n">
        <x:v>1887.3690582858003</x:v>
      </x:c>
      <x:c r="C11" s="32" t="n">
        <x:v>3.3451616028635773</x:v>
      </x:c>
      <x:c r="D11" s="32" t="n">
        <x:f>IF(C11="","",(1/'Metadata'!$B$5)^(C11-1))</x:f>
        <x:v>221.3918364995593</x:v>
      </x:c>
      <x:c r="E11" s="31" t="n">
        <x:f>IF(B11=0,"",B11*D11)</x:f>
        <x:v>417848.1019663371</x:v>
      </x:c>
    </x:row>
    <x:row r="12" ht="18" customHeight="1">
      <x:c r="A12" s="24" t="str">
        <x:v>Other demersal invertebrates</x:v>
      </x:c>
      <x:c r="B12" s="31" t="n">
        <x:v>181.85985197979997</x:v>
      </x:c>
      <x:c r="C12" s="32" t="n">
        <x:v>2.1087423243164505</x:v>
      </x:c>
      <x:c r="D12" s="32" t="n">
        <x:f>IF(C12="","",(1/'Metadata'!$B$5)^(C12-1))</x:f>
        <x:v>12.845242996054557</x:v>
      </x:c>
      <x:c r="E12" s="31" t="n">
        <x:f>IF(B12=0,"",B12*D12)</x:f>
        <x:v>2336.033989907044</x:v>
      </x:c>
    </x:row>
    <x:row r="13" ht="18" customHeight="1">
      <x:c r="A13" s="24" t="str">
        <x:v>Shrimps</x:v>
      </x:c>
      <x:c r="B13" s="31" t="n">
        <x:v>1744.1992361317</x:v>
      </x:c>
      <x:c r="C13" s="32" t="n">
        <x:v>3.195539542698412</x:v>
      </x:c>
      <x:c r="D13" s="32" t="n">
        <x:f>IF(C13="","",(1/'Metadata'!$B$5)^(C13-1))</x:f>
        <x:v>156.8698721867965</x:v>
      </x:c>
      <x:c r="E13" s="31" t="n">
        <x:f>IF(B13=0,"",B13*D13)</x:f>
        <x:v>273612.31124028785</x:v>
      </x:c>
    </x:row>
    <x:row r="14" ht="18" customHeight="1">
      <x:c r="A14" s="24" t="str">
        <x:v>Small benthopelagics (&lt;30 cm)</x:v>
      </x:c>
      <x:c r="B14" s="31" t="n">
        <x:v>57.028600343099995</x:v>
      </x:c>
      <x:c r="C14" s="32" t="n">
        <x:v>3.620204023040369</x:v>
      </x:c>
      <x:c r="D14" s="32" t="n">
        <x:f>IF(C14="","",(1/'Metadata'!$B$5)^(C14-1))</x:f>
        <x:v>417.0652665482081</x:v>
      </x:c>
      <x:c r="E14" s="31" t="n">
        <x:f>IF(B14=0,"",B14*D14)</x:f>
        <x:v>23784.64840296623</x:v>
      </x:c>
    </x:row>
    <x:row r="15" ht="18" customHeight="1">
      <x:c r="A15" s="24" t="str">
        <x:v>Small demersals (&lt;30 cm)</x:v>
      </x:c>
      <x:c r="B15" s="31" t="n">
        <x:v>811.0612555452001</x:v>
      </x:c>
      <x:c r="C15" s="32" t="n">
        <x:v>3.590453240450048</x:v>
      </x:c>
      <x:c r="D15" s="32" t="n">
        <x:f>IF(C15="","",(1/'Metadata'!$B$5)^(C15-1))</x:f>
        <x:v>389.45137405697096</x:v>
      </x:c>
      <x:c r="E15" s="31" t="n">
        <x:f>IF(B15=0,"",B15*D15)</x:f>
        <x:v>315868.92041645024</x:v>
      </x:c>
    </x:row>
    <x:row r="16" ht="18" customHeight="1">
      <x:c r="A16" s="24" t="str">
        <x:v>Small pelagics (&lt;30 cm)</x:v>
      </x:c>
      <x:c r="B16" s="31" t="n">
        <x:v>343.5289632478</x:v>
      </x:c>
      <x:c r="C16" s="32" t="n">
        <x:v>3.3346046237708085</x:v>
      </x:c>
      <x:c r="D16" s="32" t="n">
        <x:f>IF(C16="","",(1/'Metadata'!$B$5)^(C16-1))</x:f>
        <x:v>216.07505079727957</x:v>
      </x:c>
      <x:c r="E16" s="31" t="n">
        <x:f>IF(B16=0,"",B16*D16)</x:f>
        <x:v>74228.03818410517</x:v>
      </x:c>
    </x:row>
  </x:sheetData>
  <x:pageMargins left="0.7" right="0.7" top="0.75" bottom="0.75" header="0.3" footer="0.3"/>
  <x:tableParts count="1">
    <x:tablePart xmlns:r="http://schemas.openxmlformats.org/officeDocument/2006/relationships" r:id="Rc9fc29b8e6d04ca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EEZ_344</x:v>
      </x:c>
      <x:c r="B2" s="24" t="str">
        <x:v>raw_filtered_tonnes</x:v>
      </x:c>
      <x:c r="C2" s="24" t="n">
        <x:v>13460.850930421202</x:v>
      </x:c>
      <x:c r="D2" s="24" t="str">
        <x:v>tonnes</x:v>
      </x:c>
    </x:row>
    <x:row r="3" ht="18" customHeight="1">
      <x:c r="A3" s="24" t="str">
        <x:v>EEZ_344</x:v>
      </x:c>
      <x:c r="B3" s="24" t="str">
        <x:v>species_catch_tonnes</x:v>
      </x:c>
      <x:c r="C3" s="24" t="n">
        <x:v>13460.850930421202</x:v>
      </x:c>
      <x:c r="D3" s="24" t="str">
        <x:v>tonnes</x:v>
      </x:c>
    </x:row>
    <x:row r="4" ht="18" customHeight="1">
      <x:c r="A4" s="24" t="str">
        <x:v>EEZ_344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EEZ_344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EEZ_344</x:v>
      </x:c>
      <x:c r="B6" s="24" t="str">
        <x:v>matched_catch_tonnes</x:v>
      </x:c>
      <x:c r="C6" s="24" t="n">
        <x:v>13460.850930421202</x:v>
      </x:c>
      <x:c r="D6" s="24" t="str">
        <x:v>tonnes</x:v>
      </x:c>
    </x:row>
    <x:row r="7" ht="18" customHeight="1">
      <x:c r="A7" s="24" t="str">
        <x:v>EEZ_344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EEZ_344</x:v>
      </x:c>
      <x:c r="B8" s="24" t="str">
        <x:v>taxa_count</x:v>
      </x:c>
      <x:c r="C8" s="24" t="n">
        <x:v>49</x:v>
      </x:c>
      <x:c r="D8" s="24" t="str">
        <x:v>count</x:v>
      </x:c>
    </x:row>
    <x:row r="9" ht="18" customHeight="1">
      <x:c r="A9" s="24" t="str">
        <x:v>EEZ_344</x:v>
      </x:c>
      <x:c r="B9" s="24" t="str">
        <x:v>matched_taxa_count</x:v>
      </x:c>
      <x:c r="C9" s="24" t="n">
        <x:v>49</x:v>
      </x:c>
      <x:c r="D9" s="24" t="str">
        <x:v>count</x:v>
      </x:c>
    </x:row>
    <x:row r="10" ht="18" customHeight="1">
      <x:c r="A10" s="24" t="str">
        <x:v>EEZ_344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EEZ_344</x:v>
      </x:c>
      <x:c r="B11" s="24" t="str">
        <x:v>species_ppr</x:v>
      </x:c>
      <x:c r="C11" s="24" t="n">
        <x:v>5045326.844836413</x:v>
      </x:c>
      <x:c r="D11" s="24" t="str">
        <x:v>tonnes_primary_production_equivalent</x:v>
      </x:c>
    </x:row>
    <x:row r="12" ht="18" customHeight="1">
      <x:c r="A12" s="24" t="str">
        <x:v>EEZ_344</x:v>
      </x:c>
      <x:c r="B12" s="24" t="str">
        <x:v>commercial_ppr</x:v>
      </x:c>
      <x:c r="C12" s="24" t="n">
        <x:v>3532998.8063877104</x:v>
      </x:c>
      <x:c r="D12" s="24" t="str">
        <x:v>tonnes_primary_production_equivalent</x:v>
      </x:c>
    </x:row>
    <x:row r="13" ht="18" customHeight="1">
      <x:c r="A13" s="24" t="str">
        <x:v>EEZ_344</x:v>
      </x:c>
      <x:c r="B13" s="24" t="str">
        <x:v>functional_ppr</x:v>
      </x:c>
      <x:c r="C13" s="24" t="n">
        <x:v>4545123.895361967</x:v>
      </x:c>
      <x:c r="D13" s="24" t="str">
        <x:v>tonnes_primary_production_equivalent</x:v>
      </x:c>
    </x:row>
    <x:row r="14" ht="18" customHeight="1">
      <x:c r="A14" s="24" t="str">
        <x:v>EEZ_344</x:v>
      </x:c>
      <x:c r="B14" s="24" t="str">
        <x:v>commercial_ppr_difference</x:v>
      </x:c>
      <x:c r="C14" s="24" t="n">
        <x:v>-1512328.0384487025</x:v>
      </x:c>
      <x:c r="D14" s="24" t="str">
        <x:v>tonnes_primary_production_equivalent</x:v>
      </x:c>
    </x:row>
    <x:row r="15" ht="18" customHeight="1">
      <x:c r="A15" s="24" t="str">
        <x:v>EEZ_344</x:v>
      </x:c>
      <x:c r="B15" s="24" t="str">
        <x:v>functional_ppr_difference</x:v>
      </x:c>
      <x:c r="C15" s="24" t="n">
        <x:v>-500202.94947444554</x:v>
      </x:c>
      <x:c r="D15" s="24" t="str">
        <x:v>tonnes_primary_production_equivalent</x:v>
      </x:c>
    </x:row>
    <x:row r="16" ht="18" customHeight="1">
      <x:c r="A16" s="24" t="str">
        <x:v>EEZ_344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EEZ_344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e72473f9e13446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EEZ_344 - Hong Kong (China)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EEZ_344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raw_data/SAU_downloads/EEZ_344-catch.zip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