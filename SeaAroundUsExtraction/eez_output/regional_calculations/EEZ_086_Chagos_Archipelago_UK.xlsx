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b0906352d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75beeb6126d4363"/>
    <x:sheet xmlns:r="http://schemas.openxmlformats.org/officeDocument/2006/relationships" name="Commercial" sheetId="2" r:id="R27a8f6431fdf4c11"/>
    <x:sheet xmlns:r="http://schemas.openxmlformats.org/officeDocument/2006/relationships" name="Functional" sheetId="3" r:id="Rbd8e3cb5d487483f"/>
    <x:sheet xmlns:r="http://schemas.openxmlformats.org/officeDocument/2006/relationships" name="Missing TL" sheetId="4" r:id="R9a97afb4d84a4232"/>
    <x:sheet xmlns:r="http://schemas.openxmlformats.org/officeDocument/2006/relationships" name="Validation" sheetId="5" r:id="Re2f862701ac64d88"/>
    <x:sheet xmlns:r="http://schemas.openxmlformats.org/officeDocument/2006/relationships" name="Metadata" sheetId="6" r:id="R01383508ab1c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ff12dca2c4613" /><Relationship Type="http://schemas.openxmlformats.org/officeDocument/2006/relationships/theme" Target="/xl/theme/theme1.xml" Id="R9568c886ede840b5" /><Relationship Type="http://schemas.microsoft.com/office/2022/11/relationships/FeaturePropertyBag" Target="/xl/featurePropertyBag/featurePropertyBag.xml" Id="R84a3eb46ffe245e5" /><Relationship Type="http://schemas.openxmlformats.org/officeDocument/2006/relationships/sharedStrings" Target="/xl/sharedStrings.xml" Id="Rfc2cd3d573c740df" /><Relationship Type="http://schemas.openxmlformats.org/officeDocument/2006/relationships/worksheet" Target="/xl/worksheets/sheet1.xml" Id="Ra75beeb6126d4363" /><Relationship Type="http://schemas.openxmlformats.org/officeDocument/2006/relationships/worksheet" Target="/xl/worksheets/sheet2.xml" Id="R27a8f6431fdf4c11" /><Relationship Type="http://schemas.openxmlformats.org/officeDocument/2006/relationships/worksheet" Target="/xl/worksheets/sheet3.xml" Id="Rbd8e3cb5d487483f" /><Relationship Type="http://schemas.openxmlformats.org/officeDocument/2006/relationships/worksheet" Target="/xl/worksheets/sheet4.xml" Id="R9a97afb4d84a4232" /><Relationship Type="http://schemas.openxmlformats.org/officeDocument/2006/relationships/worksheet" Target="/xl/worksheets/sheet5.xml" Id="Re2f862701ac64d88" /><Relationship Type="http://schemas.openxmlformats.org/officeDocument/2006/relationships/worksheet" Target="/xl/worksheets/sheet6.xml" Id="R01383508ab1c45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86SpeciesTable" displayName="EEZ086SpeciesTable" ref="A1:U23" headerRowCount="1" totalsRowCount="0" totalsRowShown="0">
  <x:autoFilter ref="A1:U2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86CommercialTable" displayName="EEZ086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86FunctionalTable" displayName="EEZ086FunctionalTable" ref="A1:E7" headerRowCount="1" totalsRowCount="0" totalsRowShown="0">
  <x:autoFilter ref="A1:E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86ValidationTable" displayName="EEZ08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a39444aa7141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c1d01627c245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ee4bbcf2dc742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047b56ed6d436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EEZ_086</x:v>
      </x:c>
      <x:c r="B2" s="24" t="str">
        <x:v>Chagos Archipelago (UK)</x:v>
      </x:c>
      <x:c r="C2" s="24" t="str">
        <x:v>EEZ</x:v>
      </x:c>
      <x:c r="D2" s="30" t="n">
        <x:v>2019</x:v>
      </x:c>
      <x:c r="E2" s="24" t="str">
        <x:v>Thunnus albacares</x:v>
      </x:c>
      <x:c r="F2" s="24" t="str">
        <x:v>Yellowfin tuna</x:v>
      </x:c>
      <x:c r="G2" s="24" t="str">
        <x:v>Large pelagics (&gt;=90 cm)</x:v>
      </x:c>
      <x:c r="H2" s="24" t="str">
        <x:v>Tuna &amp; billfishes</x:v>
      </x:c>
      <x:c r="I2" s="31" t="n">
        <x:v>39.2548208992</x:v>
      </x:c>
      <x:c r="J2" s="31" t="n">
        <x:v>39.2548208992</x:v>
      </x:c>
      <x:c r="K2" s="31" t="n">
        <x:v>0</x:v>
      </x:c>
      <x:c r="L2" s="31" t="n">
        <x:v>39.2548208992</x:v>
      </x:c>
      <x:c r="M2" s="31" t="n">
        <x:v>0</x:v>
      </x:c>
      <x:c r="N2" s="24" t="str">
        <x:v>thunnus albacares</x:v>
      </x:c>
      <x:c r="O2" s="32" t="n">
        <x:v>4.41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albacares</x:v>
      </x:c>
      <x:c r="T2" s="32" t="n">
        <x:f>IF(O2="","",(1/'Metadata'!$B$5)^(O2-1))</x:f>
        <x:v>2570.3957827688646</x:v>
      </x:c>
      <x:c r="U2" s="31" t="n">
        <x:f>IF(T2="","",I2*T2)</x:f>
        <x:v>100900.42609265077</x:v>
      </x:c>
    </x:row>
    <x:row r="3" ht="18" customHeight="1">
      <x:c r="A3" s="24" t="str">
        <x:v>EEZ_086</x:v>
      </x:c>
      <x:c r="B3" s="24" t="str">
        <x:v>Chagos Archipelago (UK)</x:v>
      </x:c>
      <x:c r="C3" s="24" t="str">
        <x:v>EEZ</x:v>
      </x:c>
      <x:c r="D3" s="30" t="n">
        <x:v>2019</x:v>
      </x:c>
      <x:c r="E3" s="24" t="str">
        <x:v>Carangidae</x:v>
      </x:c>
      <x:c r="F3" s="24" t="str">
        <x:v>Jacks, pompanos</x:v>
      </x:c>
      <x:c r="G3" s="24" t="str">
        <x:v>Medium pelagics (30 - 89 cm)</x:v>
      </x:c>
      <x:c r="H3" s="24" t="str">
        <x:v>Perch-likes</x:v>
      </x:c>
      <x:c r="I3" s="31" t="n">
        <x:v>17.9443930854</x:v>
      </x:c>
      <x:c r="J3" s="31" t="n">
        <x:v>17.9443930854</x:v>
      </x:c>
      <x:c r="K3" s="31" t="n">
        <x:v>0</x:v>
      </x:c>
      <x:c r="L3" s="31" t="n">
        <x:v>0</x:v>
      </x:c>
      <x:c r="M3" s="31" t="n">
        <x:v>17.9443930854</x:v>
      </x:c>
      <x:c r="N3" s="24" t="str">
        <x:v>carangidae</x:v>
      </x:c>
      <x:c r="O3" s="32" t="n">
        <x:v>4.05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Carangidae</x:v>
      </x:c>
      <x:c r="T3" s="32" t="n">
        <x:f>IF(O3="","",(1/'Metadata'!$B$5)^(O3-1))</x:f>
        <x:v>1122.018454301963</x:v>
      </x:c>
      <x:c r="U3" s="31" t="n">
        <x:f>IF(T3="","",I3*T3)</x:f>
        <x:v>20133.94019306734</x:v>
      </x:c>
    </x:row>
    <x:row r="4" ht="18" customHeight="1">
      <x:c r="A4" s="24" t="str">
        <x:v>EEZ_086</x:v>
      </x:c>
      <x:c r="B4" s="24" t="str">
        <x:v>Chagos Archipelago (UK)</x:v>
      </x:c>
      <x:c r="C4" s="24" t="str">
        <x:v>EEZ</x:v>
      </x:c>
      <x:c r="D4" s="30" t="n">
        <x:v>2019</x:v>
      </x:c>
      <x:c r="E4" s="24" t="str">
        <x:v>Scombridae</x:v>
      </x:c>
      <x:c r="F4" s="24" t="str">
        <x:v>Mackerels, tunas, bonitos</x:v>
      </x:c>
      <x:c r="G4" s="24" t="str">
        <x:v>Medium pelagics (30 - 89 cm)</x:v>
      </x:c>
      <x:c r="H4" s="24" t="str">
        <x:v>Perch-likes</x:v>
      </x:c>
      <x:c r="I4" s="31" t="n">
        <x:v>17.347924583</x:v>
      </x:c>
      <x:c r="J4" s="31" t="n">
        <x:v>17.347924583</x:v>
      </x:c>
      <x:c r="K4" s="31" t="n">
        <x:v>0</x:v>
      </x:c>
      <x:c r="L4" s="31" t="n">
        <x:v>0</x:v>
      </x:c>
      <x:c r="M4" s="31" t="n">
        <x:v>17.347924583</x:v>
      </x:c>
      <x:c r="N4" s="24" t="str">
        <x:v>scombridae</x:v>
      </x:c>
      <x:c r="O4" s="32" t="n">
        <x:v>4.26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Scombridae</x:v>
      </x:c>
      <x:c r="T4" s="32" t="n">
        <x:f>IF(O4="","",(1/'Metadata'!$B$5)^(O4-1))</x:f>
        <x:v>1819.7008586099826</x:v>
      </x:c>
      <x:c r="U4" s="31" t="n">
        <x:f>IF(T4="","",I4*T4)</x:f>
        <x:v>31568.033258786327</x:v>
      </x:c>
    </x:row>
    <x:row r="5" ht="18" customHeight="1">
      <x:c r="A5" s="24" t="str">
        <x:v>EEZ_086</x:v>
      </x:c>
      <x:c r="B5" s="24" t="str">
        <x:v>Chagos Archipelago (UK)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14.5681530817</x:v>
      </x:c>
      <x:c r="J5" s="31" t="n">
        <x:v>14.5681530817</x:v>
      </x:c>
      <x:c r="K5" s="31" t="n">
        <x:v>0</x:v>
      </x:c>
      <x:c r="L5" s="31" t="n">
        <x:v>0</x:v>
      </x:c>
      <x:c r="M5" s="31" t="n">
        <x:v>14.5681530817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2775.9043430454562</x:v>
      </x:c>
    </x:row>
    <x:row r="6" ht="18" customHeight="1">
      <x:c r="A6" s="24" t="str">
        <x:v>EEZ_086</x:v>
      </x:c>
      <x:c r="B6" s="24" t="str">
        <x:v>Chagos Archipelago (UK)</x:v>
      </x:c>
      <x:c r="C6" s="24" t="str">
        <x:v>EEZ</x:v>
      </x:c>
      <x:c r="D6" s="30" t="n">
        <x:v>2019</x:v>
      </x:c>
      <x:c r="E6" s="24" t="str">
        <x:v>Xiphias gladius</x:v>
      </x:c>
      <x:c r="F6" s="24" t="str">
        <x:v>Swordfish</x:v>
      </x:c>
      <x:c r="G6" s="24" t="str">
        <x:v>Large pelagics (&gt;=90 cm)</x:v>
      </x:c>
      <x:c r="H6" s="24" t="str">
        <x:v>Tuna &amp; billfishes</x:v>
      </x:c>
      <x:c r="I6" s="31" t="n">
        <x:v>10.6762820769</x:v>
      </x:c>
      <x:c r="J6" s="31" t="n">
        <x:v>10.6762820769</x:v>
      </x:c>
      <x:c r="K6" s="31" t="n">
        <x:v>0</x:v>
      </x:c>
      <x:c r="L6" s="31" t="n">
        <x:v>10.6762820769</x:v>
      </x:c>
      <x:c r="M6" s="31" t="n">
        <x:v>0</x:v>
      </x:c>
      <x:c r="N6" s="24" t="str">
        <x:v>xiphias gladius</x:v>
      </x:c>
      <x:c r="O6" s="32" t="n">
        <x:v>4.53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Xiphias gladius</x:v>
      </x:c>
      <x:c r="T6" s="32" t="n">
        <x:f>IF(O6="","",(1/'Metadata'!$B$5)^(O6-1))</x:f>
        <x:v>3388.4415613920273</x:v>
      </x:c>
      <x:c r="U6" s="31" t="n">
        <x:f>IF(T6="","",I6*T6)</x:f>
        <x:v>36175.95791051275</x:v>
      </x:c>
    </x:row>
    <x:row r="7" ht="18" customHeight="1">
      <x:c r="A7" s="24" t="str">
        <x:v>EEZ_086</x:v>
      </x:c>
      <x:c r="B7" s="24" t="str">
        <x:v>Chagos Archipelago (UK)</x:v>
      </x:c>
      <x:c r="C7" s="24" t="str">
        <x:v>EEZ</x:v>
      </x:c>
      <x:c r="D7" s="30" t="n">
        <x:v>2019</x:v>
      </x:c>
      <x:c r="E7" s="24" t="str">
        <x:v>Thunnus obesus</x:v>
      </x:c>
      <x:c r="F7" s="24" t="str">
        <x:v>Bigeye tuna</x:v>
      </x:c>
      <x:c r="G7" s="24" t="str">
        <x:v>Large pelagics (&gt;=90 cm)</x:v>
      </x:c>
      <x:c r="H7" s="24" t="str">
        <x:v>Tuna &amp; billfishes</x:v>
      </x:c>
      <x:c r="I7" s="31" t="n">
        <x:v>9.9140952694</x:v>
      </x:c>
      <x:c r="J7" s="31" t="n">
        <x:v>9.9140952694</x:v>
      </x:c>
      <x:c r="K7" s="31" t="n">
        <x:v>0</x:v>
      </x:c>
      <x:c r="L7" s="31" t="n">
        <x:v>9.9140952694</x:v>
      </x:c>
      <x:c r="M7" s="31" t="n">
        <x:v>0</x:v>
      </x:c>
      <x:c r="N7" s="24" t="str">
        <x:v>thunnus obesus</x:v>
      </x:c>
      <x:c r="O7" s="32" t="n">
        <x:v>4.49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obesus</x:v>
      </x:c>
      <x:c r="T7" s="32" t="n">
        <x:f>IF(O7="","",(1/'Metadata'!$B$5)^(O7-1))</x:f>
        <x:v>3090.295432513592</x:v>
      </x:c>
      <x:c r="U7" s="31" t="n">
        <x:f>IF(T7="","",I7*T7)</x:f>
        <x:v>30637.48332853143</x:v>
      </x:c>
    </x:row>
    <x:row r="8" ht="18" customHeight="1">
      <x:c r="A8" s="24" t="str">
        <x:v>EEZ_086</x:v>
      </x:c>
      <x:c r="B8" s="24" t="str">
        <x:v>Chagos Archipelago (UK)</x:v>
      </x:c>
      <x:c r="C8" s="24" t="str">
        <x:v>EEZ</x:v>
      </x:c>
      <x:c r="D8" s="30" t="n">
        <x:v>2019</x:v>
      </x:c>
      <x:c r="E8" s="24" t="str">
        <x:v>Lutjanidae</x:v>
      </x:c>
      <x:c r="F8" s="24" t="str">
        <x:v>Snappers</x:v>
      </x:c>
      <x:c r="G8" s="24" t="str">
        <x:v>Medium reef assoc. fish (30 - 89 cm)</x:v>
      </x:c>
      <x:c r="H8" s="24" t="str">
        <x:v>Perch-likes</x:v>
      </x:c>
      <x:c r="I8" s="31" t="n">
        <x:v>7.1777572342</x:v>
      </x:c>
      <x:c r="J8" s="31" t="n">
        <x:v>7.1777572342</x:v>
      </x:c>
      <x:c r="K8" s="31" t="n">
        <x:v>0</x:v>
      </x:c>
      <x:c r="L8" s="31" t="n">
        <x:v>0</x:v>
      </x:c>
      <x:c r="M8" s="31" t="n">
        <x:v>7.1777572342</x:v>
      </x:c>
      <x:c r="N8" s="24" t="str">
        <x:v>lutjanidae</x:v>
      </x:c>
      <x:c r="O8" s="32" t="n">
        <x:v>4.02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Lutjanidae</x:v>
      </x:c>
      <x:c r="T8" s="32" t="n">
        <x:f>IF(O8="","",(1/'Metadata'!$B$5)^(O8-1))</x:f>
        <x:v>1047.1285480508984</x:v>
      </x:c>
      <x:c r="U8" s="31" t="n">
        <x:f>IF(T8="","",I8*T8)</x:f>
        <x:v>7516.034510909678</x:v>
      </x:c>
    </x:row>
    <x:row r="9" ht="18" customHeight="1">
      <x:c r="A9" s="24" t="str">
        <x:v>EEZ_086</x:v>
      </x:c>
      <x:c r="B9" s="24" t="str">
        <x:v>Chagos Archipelago (UK)</x:v>
      </x:c>
      <x:c r="C9" s="24" t="str">
        <x:v>EEZ</x:v>
      </x:c>
      <x:c r="D9" s="30" t="n">
        <x:v>2019</x:v>
      </x:c>
      <x:c r="E9" s="24" t="str">
        <x:v>Acanthocybium solandri</x:v>
      </x:c>
      <x:c r="F9" s="24" t="str">
        <x:v>Wahoo</x:v>
      </x:c>
      <x:c r="G9" s="24" t="str">
        <x:v>Large pelagics (&gt;=90 cm)</x:v>
      </x:c>
      <x:c r="H9" s="24" t="str">
        <x:v>Perch-likes</x:v>
      </x:c>
      <x:c r="I9" s="31" t="n">
        <x:v>5</x:v>
      </x:c>
      <x:c r="J9" s="31" t="n">
        <x:v>5</x:v>
      </x:c>
      <x:c r="K9" s="31" t="n">
        <x:v>0</x:v>
      </x:c>
      <x:c r="L9" s="31" t="n">
        <x:v>5</x:v>
      </x:c>
      <x:c r="M9" s="31" t="n">
        <x:v>0</x:v>
      </x:c>
      <x:c r="N9" s="24" t="str">
        <x:v>acanthocybium solandri</x:v>
      </x:c>
      <x:c r="O9" s="32" t="n">
        <x:v>4.26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Acanthocybium solandri</x:v>
      </x:c>
      <x:c r="T9" s="32" t="n">
        <x:f>IF(O9="","",(1/'Metadata'!$B$5)^(O9-1))</x:f>
        <x:v>1819.7008586099826</x:v>
      </x:c>
      <x:c r="U9" s="31" t="n">
        <x:f>IF(T9="","",I9*T9)</x:f>
        <x:v>9098.504293049913</x:v>
      </x:c>
    </x:row>
    <x:row r="10" ht="18" customHeight="1">
      <x:c r="A10" s="24" t="str">
        <x:v>EEZ_086</x:v>
      </x:c>
      <x:c r="B10" s="24" t="str">
        <x:v>Chagos Archipelago (UK)</x:v>
      </x:c>
      <x:c r="C10" s="24" t="str">
        <x:v>EEZ</x:v>
      </x:c>
      <x:c r="D10" s="30" t="n">
        <x:v>2019</x:v>
      </x:c>
      <x:c r="E10" s="24" t="str">
        <x:v>Serranidae</x:v>
      </x:c>
      <x:c r="F10" s="24" t="str">
        <x:v>Basses, groupers, hinds</x:v>
      </x:c>
      <x:c r="G10" s="24" t="str">
        <x:v>Medium reef assoc. fish (30 - 89 cm)</x:v>
      </x:c>
      <x:c r="H10" s="24" t="str">
        <x:v>Perch-likes</x:v>
      </x:c>
      <x:c r="I10" s="31" t="n">
        <x:v>4.9937720155</x:v>
      </x:c>
      <x:c r="J10" s="31" t="n">
        <x:v>4.9937720155</x:v>
      </x:c>
      <x:c r="K10" s="31" t="n">
        <x:v>0</x:v>
      </x:c>
      <x:c r="L10" s="31" t="n">
        <x:v>0</x:v>
      </x:c>
      <x:c r="M10" s="31" t="n">
        <x:v>4.9937720155</x:v>
      </x:c>
      <x:c r="N10" s="24" t="str">
        <x:v>serranidae</x:v>
      </x:c>
      <x:c r="O10" s="32" t="n">
        <x:v>3.98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Serranidae</x:v>
      </x:c>
      <x:c r="T10" s="32" t="n">
        <x:f>IF(O10="","",(1/'Metadata'!$B$5)^(O10-1))</x:f>
        <x:v>954.992586021436</x:v>
      </x:c>
      <x:c r="U10" s="31" t="n">
        <x:f>IF(T10="","",I10*T10)</x:f>
        <x:v>4769.015251083823</x:v>
      </x:c>
    </x:row>
    <x:row r="11" ht="18" customHeight="1">
      <x:c r="A11" s="24" t="str">
        <x:v>EEZ_086</x:v>
      </x:c>
      <x:c r="B11" s="24" t="str">
        <x:v>Chagos Archipelago (UK)</x:v>
      </x:c>
      <x:c r="C11" s="24" t="str">
        <x:v>EEZ</x:v>
      </x:c>
      <x:c r="D11" s="30" t="n">
        <x:v>2019</x:v>
      </x:c>
      <x:c r="E11" s="24" t="str">
        <x:v>Istiompax indica</x:v>
      </x:c>
      <x:c r="F11" s="24" t="str">
        <x:v>Black marlin</x:v>
      </x:c>
      <x:c r="G11" s="24" t="str">
        <x:v>Large pelagics (&gt;=90 cm)</x:v>
      </x:c>
      <x:c r="H11" s="24" t="str">
        <x:v>Tuna &amp; billfishes</x:v>
      </x:c>
      <x:c r="I11" s="31" t="n">
        <x:v>2.9616087518</x:v>
      </x:c>
      <x:c r="J11" s="31" t="n">
        <x:v>2.9616087518</x:v>
      </x:c>
      <x:c r="K11" s="31" t="n">
        <x:v>0</x:v>
      </x:c>
      <x:c r="L11" s="31" t="n">
        <x:v>2.9616087518</x:v>
      </x:c>
      <x:c r="M11" s="31" t="n">
        <x:v>0</x:v>
      </x:c>
      <x:c r="N11" s="24" t="str">
        <x:v>istiompax indica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Istiompax indica</x:v>
      </x:c>
      <x:c r="T11" s="32" t="n">
        <x:f>IF(O11="","",(1/'Metadata'!$B$5)^(O11-1))</x:f>
        <x:v>3162.2776601683795</x:v>
      </x:c>
      <x:c r="U11" s="31" t="n">
        <x:f>IF(T11="","",I11*T11)</x:f>
        <x:v>9365.429193976299</x:v>
      </x:c>
    </x:row>
    <x:row r="12" ht="18" customHeight="1">
      <x:c r="A12" s="24" t="str">
        <x:v>EEZ_086</x:v>
      </x:c>
      <x:c r="B12" s="24" t="str">
        <x:v>Chagos Archipelago (UK)</x:v>
      </x:c>
      <x:c r="C12" s="24" t="str">
        <x:v>EEZ</x:v>
      </x:c>
      <x:c r="D12" s="30" t="n">
        <x:v>2019</x:v>
      </x:c>
      <x:c r="E12" s="24" t="str">
        <x:v>Marine pelagic fishes not identified</x:v>
      </x:c>
      <x:c r="F12" s="24" t="str">
        <x:v>Pelagic fishes</x:v>
      </x:c>
      <x:c r="G12" s="24" t="str">
        <x:v>Medium pelagics (30 - 89 cm)</x:v>
      </x:c>
      <x:c r="H12" s="24" t="str">
        <x:v>Other fishes &amp; inverts</x:v>
      </x:c>
      <x:c r="I12" s="31" t="n">
        <x:v>1.7957002295</x:v>
      </x:c>
      <x:c r="J12" s="31" t="n">
        <x:v>1.7957002295</x:v>
      </x:c>
      <x:c r="K12" s="31" t="n">
        <x:v>0</x:v>
      </x:c>
      <x:c r="L12" s="31" t="n">
        <x:v>1.7957002295</x:v>
      </x:c>
      <x:c r="M12" s="31" t="n">
        <x:v>0</x:v>
      </x:c>
      <x:c r="N12" s="24" t="str">
        <x:v>marine pelagic fishes not identified</x:v>
      </x:c>
      <x:c r="O12" s="32" t="n">
        <x:v>3.35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pelagic fishes not identified</x:v>
      </x:c>
      <x:c r="T12" s="32" t="n">
        <x:f>IF(O12="","",(1/'Metadata'!$B$5)^(O12-1))</x:f>
        <x:v>223.872113856834</x:v>
      </x:c>
      <x:c r="U12" s="31" t="n">
        <x:f>IF(T12="","",I12*T12)</x:f>
        <x:v>402.0072062313669</x:v>
      </x:c>
    </x:row>
    <x:row r="13" ht="18" customHeight="1">
      <x:c r="A13" s="24" t="str">
        <x:v>EEZ_086</x:v>
      </x:c>
      <x:c r="B13" s="24" t="str">
        <x:v>Chagos Archipelago (UK)</x:v>
      </x:c>
      <x:c r="C13" s="24" t="str">
        <x:v>EEZ</x:v>
      </x:c>
      <x:c r="D13" s="30" t="n">
        <x:v>2019</x:v>
      </x:c>
      <x:c r="E13" s="24" t="str">
        <x:v>Prionace glauca</x:v>
      </x:c>
      <x:c r="F13" s="24" t="str">
        <x:v>Blue shark</x:v>
      </x:c>
      <x:c r="G13" s="24" t="str">
        <x:v>Large sharks (&gt;=90 cm)</x:v>
      </x:c>
      <x:c r="H13" s="24" t="str">
        <x:v>Sharks &amp; rays</x:v>
      </x:c>
      <x:c r="I13" s="31" t="n">
        <x:v>1.4641064929</x:v>
      </x:c>
      <x:c r="J13" s="31" t="n">
        <x:v>1.4641064929</x:v>
      </x:c>
      <x:c r="K13" s="31" t="n">
        <x:v>0</x:v>
      </x:c>
      <x:c r="L13" s="31" t="n">
        <x:v>1.4641064929</x:v>
      </x:c>
      <x:c r="M13" s="31" t="n">
        <x:v>0</x:v>
      </x:c>
      <x:c r="N13" s="24" t="str">
        <x:v>prionace glauca</x:v>
      </x:c>
      <x:c r="O13" s="32" t="n">
        <x:v>4.35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Prionace glauca</x:v>
      </x:c>
      <x:c r="T13" s="32" t="n">
        <x:f>IF(O13="","",(1/'Metadata'!$B$5)^(O13-1))</x:f>
        <x:v>2238.7211385683377</x:v>
      </x:c>
      <x:c r="U13" s="31" t="n">
        <x:f>IF(T13="","",I13*T13)</x:f>
        <x:v>3277.726154770384</x:v>
      </x:c>
    </x:row>
    <x:row r="14" ht="18" customHeight="1">
      <x:c r="A14" s="24" t="str">
        <x:v>EEZ_086</x:v>
      </x:c>
      <x:c r="B14" s="24" t="str">
        <x:v>Chagos Archipelago (UK)</x:v>
      </x:c>
      <x:c r="C14" s="24" t="str">
        <x:v>EEZ</x:v>
      </x:c>
      <x:c r="D14" s="30" t="n">
        <x:v>2019</x:v>
      </x:c>
      <x:c r="E14" s="24" t="str">
        <x:v>Euthynnus affinis</x:v>
      </x:c>
      <x:c r="F14" s="24" t="str">
        <x:v>Kawakawa</x:v>
      </x:c>
      <x:c r="G14" s="24" t="str">
        <x:v>Large pelagics (&gt;=90 cm)</x:v>
      </x:c>
      <x:c r="H14" s="24" t="str">
        <x:v>Tuna &amp; billfishes</x:v>
      </x:c>
      <x:c r="I14" s="31" t="n">
        <x:v>1</x:v>
      </x:c>
      <x:c r="J14" s="31" t="n">
        <x:v>1</x:v>
      </x:c>
      <x:c r="K14" s="31" t="n">
        <x:v>0</x:v>
      </x:c>
      <x:c r="L14" s="31" t="n">
        <x:v>1</x:v>
      </x:c>
      <x:c r="M14" s="31" t="n">
        <x:v>0</x:v>
      </x:c>
      <x:c r="N14" s="24" t="str">
        <x:v>euthynnus affinis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Euthynnus affinis</x:v>
      </x:c>
      <x:c r="T14" s="32" t="n">
        <x:f>IF(O14="","",(1/'Metadata'!$B$5)^(O14-1))</x:f>
        <x:v>3162.2776601683795</x:v>
      </x:c>
      <x:c r="U14" s="31" t="n">
        <x:f>IF(T14="","",I14*T14)</x:f>
        <x:v>3162.2776601683795</x:v>
      </x:c>
    </x:row>
    <x:row r="15" ht="18" customHeight="1">
      <x:c r="A15" s="24" t="str">
        <x:v>EEZ_086</x:v>
      </x:c>
      <x:c r="B15" s="24" t="str">
        <x:v>Chagos Archipelago (UK)</x:v>
      </x:c>
      <x:c r="C15" s="24" t="str">
        <x:v>EEZ</x:v>
      </x:c>
      <x:c r="D15" s="30" t="n">
        <x:v>2019</x:v>
      </x:c>
      <x:c r="E15" s="24" t="str">
        <x:v>Istiophorus platypterus</x:v>
      </x:c>
      <x:c r="F15" s="24" t="str">
        <x:v>Indo-Pacific sailfish</x:v>
      </x:c>
      <x:c r="G15" s="24" t="str">
        <x:v>Large pelagics (&gt;=90 cm)</x:v>
      </x:c>
      <x:c r="H15" s="24" t="str">
        <x:v>Tuna &amp; billfishes</x:v>
      </x:c>
      <x:c r="I15" s="31" t="n">
        <x:v>0.5974486983</x:v>
      </x:c>
      <x:c r="J15" s="31" t="n">
        <x:v>0.5974486983</x:v>
      </x:c>
      <x:c r="K15" s="31" t="n">
        <x:v>0</x:v>
      </x:c>
      <x:c r="L15" s="31" t="n">
        <x:v>0.5974486983</x:v>
      </x:c>
      <x:c r="M15" s="31" t="n">
        <x:v>0</x:v>
      </x:c>
      <x:c r="N15" s="24" t="str">
        <x:v>istiophorus platypterus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Istiophorus platypterus</x:v>
      </x:c>
      <x:c r="T15" s="32" t="n">
        <x:f>IF(O15="","",(1/'Metadata'!$B$5)^(O15-1))</x:f>
        <x:v>3162.2776601683795</x:v>
      </x:c>
      <x:c r="U15" s="31" t="n">
        <x:f>IF(T15="","",I15*T15)</x:f>
        <x:v>1889.298671730768</x:v>
      </x:c>
    </x:row>
    <x:row r="16" ht="18" customHeight="1">
      <x:c r="A16" s="24" t="str">
        <x:v>EEZ_086</x:v>
      </x:c>
      <x:c r="B16" s="24" t="str">
        <x:v>Chagos Archipelago (UK)</x:v>
      </x:c>
      <x:c r="C16" s="24" t="str">
        <x:v>EEZ</x:v>
      </x:c>
      <x:c r="D16" s="30" t="n">
        <x:v>2019</x:v>
      </x:c>
      <x:c r="E16" s="24" t="str">
        <x:v>Thunnus alalunga</x:v>
      </x:c>
      <x:c r="F16" s="24" t="str">
        <x:v>Albacore</x:v>
      </x:c>
      <x:c r="G16" s="24" t="str">
        <x:v>Large pelagics (&gt;=90 cm)</x:v>
      </x:c>
      <x:c r="H16" s="24" t="str">
        <x:v>Tuna &amp; billfishes</x:v>
      </x:c>
      <x:c r="I16" s="31" t="n">
        <x:v>0.311711193</x:v>
      </x:c>
      <x:c r="J16" s="31" t="n">
        <x:v>0.311711193</x:v>
      </x:c>
      <x:c r="K16" s="31" t="n">
        <x:v>0</x:v>
      </x:c>
      <x:c r="L16" s="31" t="n">
        <x:v>0.311711193</x:v>
      </x:c>
      <x:c r="M16" s="31" t="n">
        <x:v>0</x:v>
      </x:c>
      <x:c r="N16" s="24" t="str">
        <x:v>thunnus alalunga</x:v>
      </x:c>
      <x:c r="O16" s="32" t="n">
        <x:v>4.3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Thunnus alalunga</x:v>
      </x:c>
      <x:c r="T16" s="32" t="n">
        <x:f>IF(O16="","",(1/'Metadata'!$B$5)^(O16-1))</x:f>
        <x:v>1995.2623149688789</x:v>
      </x:c>
      <x:c r="U16" s="31" t="n">
        <x:f>IF(T16="","",I16*T16)</x:f>
        <x:v>621.945596546891</x:v>
      </x:c>
    </x:row>
    <x:row r="17" ht="18" customHeight="1">
      <x:c r="A17" s="24" t="str">
        <x:v>EEZ_086</x:v>
      </x:c>
      <x:c r="B17" s="24" t="str">
        <x:v>Chagos Archipelago (UK)</x:v>
      </x:c>
      <x:c r="C17" s="24" t="str">
        <x:v>EEZ</x:v>
      </x:c>
      <x:c r="D17" s="30" t="n">
        <x:v>2019</x:v>
      </x:c>
      <x:c r="E17" s="24" t="str">
        <x:v>Kajikia audax</x:v>
      </x:c>
      <x:c r="F17" s="24" t="str">
        <x:v>Striped marlin</x:v>
      </x:c>
      <x:c r="G17" s="24" t="str">
        <x:v>Large pelagics (&gt;=90 cm)</x:v>
      </x:c>
      <x:c r="H17" s="24" t="str">
        <x:v>Tuna &amp; billfishes</x:v>
      </x:c>
      <x:c r="I17" s="31" t="n">
        <x:v>0.1097186974</x:v>
      </x:c>
      <x:c r="J17" s="31" t="n">
        <x:v>0.1097186974</x:v>
      </x:c>
      <x:c r="K17" s="31" t="n">
        <x:v>0</x:v>
      </x:c>
      <x:c r="L17" s="31" t="n">
        <x:v>0.1097186974</x:v>
      </x:c>
      <x:c r="M17" s="31" t="n">
        <x:v>0</x:v>
      </x:c>
      <x:c r="N17" s="24" t="str">
        <x:v>kajikia audax</x:v>
      </x:c>
      <x:c r="O17" s="32" t="n">
        <x:v>4.58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Kajikia audax</x:v>
      </x:c>
      <x:c r="T17" s="32" t="n">
        <x:f>IF(O17="","",(1/'Metadata'!$B$5)^(O17-1))</x:f>
        <x:v>3801.8939632056126</x:v>
      </x:c>
      <x:c r="U17" s="31" t="n">
        <x:f>IF(T17="","",I17*T17)</x:f>
        <x:v>417.1388532958433</x:v>
      </x:c>
    </x:row>
    <x:row r="18" ht="18" customHeight="1">
      <x:c r="A18" s="24" t="str">
        <x:v>EEZ_086</x:v>
      </x:c>
      <x:c r="B18" s="24" t="str">
        <x:v>Chagos Archipelago (UK)</x:v>
      </x:c>
      <x:c r="C18" s="24" t="str">
        <x:v>EEZ</x:v>
      </x:c>
      <x:c r="D18" s="30" t="n">
        <x:v>2019</x:v>
      </x:c>
      <x:c r="E18" s="24" t="str">
        <x:v>Katsuwonus pelamis</x:v>
      </x:c>
      <x:c r="F18" s="24" t="str">
        <x:v>Skipjack tuna</x:v>
      </x:c>
      <x:c r="G18" s="24" t="str">
        <x:v>Large pelagics (&gt;=90 cm)</x:v>
      </x:c>
      <x:c r="H18" s="24" t="str">
        <x:v>Tuna &amp; billfishes</x:v>
      </x:c>
      <x:c r="I18" s="31" t="n">
        <x:v>0.0804818908</x:v>
      </x:c>
      <x:c r="J18" s="31" t="n">
        <x:v>0.0804818908</x:v>
      </x:c>
      <x:c r="K18" s="31" t="n">
        <x:v>0</x:v>
      </x:c>
      <x:c r="L18" s="31" t="n">
        <x:v>0.0804818908</x:v>
      </x:c>
      <x:c r="M18" s="31" t="n">
        <x:v>0</x:v>
      </x:c>
      <x:c r="N18" s="24" t="str">
        <x:v>katsuwonus pelamis</x:v>
      </x:c>
      <x:c r="O18" s="32" t="n">
        <x:v>4.43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Katsuwonus pelamis</x:v>
      </x:c>
      <x:c r="T18" s="32" t="n">
        <x:f>IF(O18="","",(1/'Metadata'!$B$5)^(O18-1))</x:f>
        <x:v>2691.534803926914</x:v>
      </x:c>
      <x:c r="U18" s="31" t="n">
        <x:f>IF(T18="","",I18*T18)</x:f>
        <x:v>216.61981017404528</x:v>
      </x:c>
    </x:row>
    <x:row r="19" ht="18" customHeight="1">
      <x:c r="A19" s="24" t="str">
        <x:v>EEZ_086</x:v>
      </x:c>
      <x:c r="B19" s="24" t="str">
        <x:v>Chagos Archipelago (UK)</x:v>
      </x:c>
      <x:c r="C19" s="24" t="str">
        <x:v>EEZ</x:v>
      </x:c>
      <x:c r="D19" s="30" t="n">
        <x:v>2019</x:v>
      </x:c>
      <x:c r="E19" s="24" t="str">
        <x:v>Decapterus macarellus</x:v>
      </x:c>
      <x:c r="F19" s="24" t="str">
        <x:v>Mackerel scad</x:v>
      </x:c>
      <x:c r="G19" s="24" t="str">
        <x:v>Medium pelagics (30 - 89 cm)</x:v>
      </x:c>
      <x:c r="H19" s="24" t="str">
        <x:v>Perch-likes</x:v>
      </x:c>
      <x:c r="I19" s="31" t="n">
        <x:v>0.0225777587</x:v>
      </x:c>
      <x:c r="J19" s="31" t="n">
        <x:v>0.0225777587</x:v>
      </x:c>
      <x:c r="K19" s="31" t="n">
        <x:v>0</x:v>
      </x:c>
      <x:c r="L19" s="31" t="n">
        <x:v>0.0225777587</x:v>
      </x:c>
      <x:c r="M19" s="31" t="n">
        <x:v>0</x:v>
      </x:c>
      <x:c r="N19" s="24" t="str">
        <x:v>decapterus macarellus</x:v>
      </x:c>
      <x:c r="O19" s="32" t="n">
        <x:v>3.96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Decapterus macarellus</x:v>
      </x:c>
      <x:c r="T19" s="32" t="n">
        <x:f>IF(O19="","",(1/'Metadata'!$B$5)^(O19-1))</x:f>
        <x:v>912.0108393559096</x:v>
      </x:c>
      <x:c r="U19" s="31" t="n">
        <x:f>IF(T19="","",I19*T19)</x:f>
        <x:v>20.59116066276219</x:v>
      </x:c>
    </x:row>
    <x:row r="20" ht="18" customHeight="1">
      <x:c r="A20" s="24" t="str">
        <x:v>EEZ_086</x:v>
      </x:c>
      <x:c r="B20" s="24" t="str">
        <x:v>Chagos Archipelago (UK)</x:v>
      </x:c>
      <x:c r="C20" s="24" t="str">
        <x:v>EEZ</x:v>
      </x:c>
      <x:c r="D20" s="30" t="n">
        <x:v>2019</x:v>
      </x:c>
      <x:c r="E20" s="24" t="str">
        <x:v>Carcharhinus falciformis</x:v>
      </x:c>
      <x:c r="F20" s="24" t="str">
        <x:v>Silky shark</x:v>
      </x:c>
      <x:c r="G20" s="24" t="str">
        <x:v>Large sharks (&gt;=90 cm)</x:v>
      </x:c>
      <x:c r="H20" s="24" t="str">
        <x:v>Sharks &amp; rays</x:v>
      </x:c>
      <x:c r="I20" s="31" t="n">
        <x:v>0.0189596401</x:v>
      </x:c>
      <x:c r="J20" s="31" t="n">
        <x:v>0.0189596401</x:v>
      </x:c>
      <x:c r="K20" s="31" t="n">
        <x:v>0</x:v>
      </x:c>
      <x:c r="L20" s="31" t="n">
        <x:v>0.0189596401</x:v>
      </x:c>
      <x:c r="M20" s="31" t="n">
        <x:v>0</x:v>
      </x:c>
      <x:c r="N20" s="24" t="str">
        <x:v>carcharhinus falciformis</x:v>
      </x:c>
      <x:c r="O20" s="32" t="n">
        <x:v>4.51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Carcharhinus falciformis</x:v>
      </x:c>
      <x:c r="T20" s="32" t="n">
        <x:f>IF(O20="","",(1/'Metadata'!$B$5)^(O20-1))</x:f>
        <x:v>3235.936569296281</x:v>
      </x:c>
      <x:c r="U20" s="31" t="n">
        <x:f>IF(T20="","",I20*T20)</x:f>
        <x:v>61.352192740286206</x:v>
      </x:c>
    </x:row>
    <x:row r="21" ht="18" customHeight="1">
      <x:c r="A21" s="24" t="str">
        <x:v>EEZ_086</x:v>
      </x:c>
      <x:c r="B21" s="24" t="str">
        <x:v>Chagos Archipelago (UK)</x:v>
      </x:c>
      <x:c r="C21" s="24" t="str">
        <x:v>EEZ</x:v>
      </x:c>
      <x:c r="D21" s="30" t="n">
        <x:v>2019</x:v>
      </x:c>
      <x:c r="E21" s="24" t="str">
        <x:v>Coryphaena hippurus</x:v>
      </x:c>
      <x:c r="F21" s="24" t="str">
        <x:v>Common dolphinfish</x:v>
      </x:c>
      <x:c r="G21" s="24" t="str">
        <x:v>Large pelagics (&gt;=90 cm)</x:v>
      </x:c>
      <x:c r="H21" s="24" t="str">
        <x:v>Perch-likes</x:v>
      </x:c>
      <x:c r="I21" s="31" t="n">
        <x:v>0.0034741956</x:v>
      </x:c>
      <x:c r="J21" s="31" t="n">
        <x:v>0.0034741956</x:v>
      </x:c>
      <x:c r="K21" s="31" t="n">
        <x:v>0</x:v>
      </x:c>
      <x:c r="L21" s="31" t="n">
        <x:v>0.0034741956</x:v>
      </x:c>
      <x:c r="M21" s="31" t="n">
        <x:v>0</x:v>
      </x:c>
      <x:c r="N21" s="24" t="str">
        <x:v>coryphaena hippurus</x:v>
      </x:c>
      <x:c r="O21" s="32" t="n">
        <x:v>4.37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Coryphaena hippurus</x:v>
      </x:c>
      <x:c r="T21" s="32" t="n">
        <x:f>IF(O21="","",(1/'Metadata'!$B$5)^(O21-1))</x:f>
        <x:v>2344.228815319923</x:v>
      </x:c>
      <x:c r="U21" s="31" t="n">
        <x:f>IF(T21="","",I21*T21)</x:f>
        <x:v>8.14430943557769</x:v>
      </x:c>
    </x:row>
    <x:row r="22" ht="18" customHeight="1">
      <x:c r="A22" s="24" t="str">
        <x:v>EEZ_086</x:v>
      </x:c>
      <x:c r="B22" s="24" t="str">
        <x:v>Chagos Archipelago (UK)</x:v>
      </x:c>
      <x:c r="C22" s="24" t="str">
        <x:v>EEZ</x:v>
      </x:c>
      <x:c r="D22" s="30" t="n">
        <x:v>2019</x:v>
      </x:c>
      <x:c r="E22" s="24" t="str">
        <x:v>Rajiformes</x:v>
      </x:c>
      <x:c r="F22" s="24" t="str">
        <x:v>Skates and rays</x:v>
      </x:c>
      <x:c r="G22" s="24" t="str">
        <x:v>Large rays (&gt;=90 cm)</x:v>
      </x:c>
      <x:c r="H22" s="24" t="str">
        <x:v>Sharks &amp; rays</x:v>
      </x:c>
      <x:c r="I22" s="31" t="n">
        <x:v>0.0031575438</x:v>
      </x:c>
      <x:c r="J22" s="31" t="n">
        <x:v>0.0031575438</x:v>
      </x:c>
      <x:c r="K22" s="31" t="n">
        <x:v>0</x:v>
      </x:c>
      <x:c r="L22" s="31" t="n">
        <x:v>0.0031575438</x:v>
      </x:c>
      <x:c r="M22" s="31" t="n">
        <x:v>0</x:v>
      </x:c>
      <x:c r="N22" s="24" t="str">
        <x:v>rajiformes</x:v>
      </x:c>
      <x:c r="O22" s="32" t="n">
        <x:v>3.61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Rajiformes</x:v>
      </x:c>
      <x:c r="T22" s="32" t="n">
        <x:f>IF(O22="","",(1/'Metadata'!$B$5)^(O22-1))</x:f>
        <x:v>407.3802778041126</x:v>
      </x:c>
      <x:c r="U22" s="31" t="n">
        <x:f>IF(T22="","",I22*T22)</x:f>
        <x:v>1.2863210704226533</x:v>
      </x:c>
    </x:row>
    <x:row r="23" ht="18" customHeight="1">
      <x:c r="A23" s="24" t="str">
        <x:v>EEZ_086</x:v>
      </x:c>
      <x:c r="B23" s="24" t="str">
        <x:v>Chagos Archipelago (UK)</x:v>
      </x:c>
      <x:c r="C23" s="24" t="str">
        <x:v>EEZ</x:v>
      </x:c>
      <x:c r="D23" s="30" t="n">
        <x:v>2019</x:v>
      </x:c>
      <x:c r="E23" s="24" t="str">
        <x:v>Auxis thazard</x:v>
      </x:c>
      <x:c r="F23" s="24" t="str">
        <x:v>Frigate tuna</x:v>
      </x:c>
      <x:c r="G23" s="24" t="str">
        <x:v>Medium pelagics (30 - 89 cm)</x:v>
      </x:c>
      <x:c r="H23" s="24" t="str">
        <x:v>Tuna &amp; billfishes</x:v>
      </x:c>
      <x:c r="I23" s="31" t="n">
        <x:v>0.0028322954</x:v>
      </x:c>
      <x:c r="J23" s="31" t="n">
        <x:v>0.0028322954</x:v>
      </x:c>
      <x:c r="K23" s="31" t="n">
        <x:v>0</x:v>
      </x:c>
      <x:c r="L23" s="31" t="n">
        <x:v>0.0028322954</x:v>
      </x:c>
      <x:c r="M23" s="31" t="n">
        <x:v>0</x:v>
      </x:c>
      <x:c r="N23" s="24" t="str">
        <x:v>auxis thazard</x:v>
      </x:c>
      <x:c r="O23" s="32" t="n">
        <x:v>4.37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Auxis thazard</x:v>
      </x:c>
      <x:c r="T23" s="32" t="n">
        <x:f>IF(O23="","",(1/'Metadata'!$B$5)^(O23-1))</x:f>
        <x:v>2344.228815319923</x:v>
      </x:c>
      <x:c r="U23" s="31" t="n">
        <x:f>IF(T23="","",I23*T23)</x:f>
        <x:v>6.6395484901780675</x:v>
      </x:c>
    </x:row>
  </x:sheetData>
  <x:conditionalFormatting sqref="R2:R2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fa39444aa7141f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16.3638533112</x:v>
      </x:c>
      <x:c r="C2" s="32" t="n">
        <x:v>3.287681504696633</x:v>
      </x:c>
      <x:c r="D2" s="32" t="n">
        <x:f>IF(C2="","",(1/'Metadata'!$B$5)^(C2-1))</x:f>
        <x:v>193.94630263968108</x:v>
      </x:c>
      <x:c r="E2" s="31" t="n">
        <x:f>IF(B2=0,"",B2*D2)</x:f>
        <x:v>3173.7088466453424</x:v>
      </x:c>
    </x:row>
    <x:row r="3" ht="18" customHeight="1">
      <x:c r="A3" s="24" t="str">
        <x:v>Perch-likes</x:v>
      </x:c>
      <x:c r="B3" s="31" t="n">
        <x:v>52.489898872400005</x:v>
      </x:c>
      <x:c r="C3" s="32" t="n">
        <x:v>4.128629359882386</x:v>
      </x:c>
      <x:c r="D3" s="32" t="n">
        <x:f>IF(C3="","",(1/'Metadata'!$B$5)^(C3-1))</x:f>
        <x:v>1344.7122458875072</x:v>
      </x:c>
      <x:c r="E3" s="31" t="n">
        <x:f>IF(B3=0,"",B3*D3)</x:f>
        <x:v>70583.80979911314</x:v>
      </x:c>
    </x:row>
    <x:row r="4" ht="18" customHeight="1">
      <x:c r="A4" s="24" t="str">
        <x:v>Sharks &amp; rays</x:v>
      </x:c>
      <x:c r="B4" s="31" t="n">
        <x:v>1.4862236768000001</x:v>
      </x:c>
      <x:c r="C4" s="32" t="n">
        <x:v>4.35046894691215</x:v>
      </x:c>
      <x:c r="D4" s="32" t="n">
        <x:f>IF(C4="","",(1/'Metadata'!$B$5)^(C4-1))</x:f>
        <x:v>2241.1397932303803</x:v>
      </x:c>
      <x:c r="E4" s="31" t="n">
        <x:f>IF(B4=0,"",B4*D4)</x:f>
        <x:v>3330.835023717648</x:v>
      </x:c>
    </x:row>
    <x:row r="5" ht="18" customHeight="1">
      <x:c r="A5" s="24" t="str">
        <x:v>Tuna &amp; billfishes</x:v>
      </x:c>
      <x:c r="B5" s="31" t="n">
        <x:v>64.9089997722</x:v>
      </x:c>
      <x:c r="C5" s="32" t="n">
        <x:v>4.4480603143367965</x:v>
      </x:c>
      <x:c r="D5" s="32" t="n">
        <x:f>IF(C5="","",(1/'Metadata'!$B$5)^(C5-1))</x:f>
        <x:v>2805.8232805251187</x:v>
      </x:c>
      <x:c r="E5" s="31" t="n">
        <x:f>IF(B5=0,"",B5*D5)</x:f>
        <x:v>182123.1826764384</x:v>
      </x:c>
    </x:row>
  </x:sheetData>
  <x:pageMargins left="0.7" right="0.7" top="0.75" bottom="0.75" header="0.3" footer="0.3"/>
  <x:tableParts count="1">
    <x:tablePart xmlns:r="http://schemas.openxmlformats.org/officeDocument/2006/relationships" r:id="Ra4c1d01627c2457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69.90964167240001</x:v>
      </x:c>
      <x:c r="C2" s="32" t="n">
        <x:v>4.434609355983699</x:v>
      </x:c>
      <x:c r="D2" s="32" t="n">
        <x:f>IF(C2="","",(1/'Metadata'!$B$5)^(C2-1))</x:f>
        <x:v>2720.2533636315306</x:v>
      </x:c>
      <x:c r="E2" s="31" t="n">
        <x:f>IF(B2=0,"",B2*D2)</x:f>
        <x:v>190171.93790962116</x:v>
      </x:c>
    </x:row>
    <x:row r="3" ht="18" customHeight="1">
      <x:c r="A3" s="24" t="str">
        <x:v>Large rays (&gt;=90 cm)</x:v>
      </x:c>
      <x:c r="B3" s="31" t="n">
        <x:v>0.0031575438</x:v>
      </x:c>
      <x:c r="C3" s="32" t="n">
        <x:v>3.61</x:v>
      </x:c>
      <x:c r="D3" s="32" t="n">
        <x:f>IF(C3="","",(1/'Metadata'!$B$5)^(C3-1))</x:f>
        <x:v>407.3802778041126</x:v>
      </x:c>
      <x:c r="E3" s="31" t="n">
        <x:f>IF(B3=0,"",B3*D3)</x:f>
        <x:v>1.2863210704226533</x:v>
      </x:c>
    </x:row>
    <x:row r="4" ht="18" customHeight="1">
      <x:c r="A4" s="24" t="str">
        <x:v>Large sharks (&gt;=90 cm)</x:v>
      </x:c>
      <x:c r="B4" s="31" t="n">
        <x:v>1.4830661330000001</x:v>
      </x:c>
      <x:c r="C4" s="32" t="n">
        <x:v>4.352045453232663</x:v>
      </x:c>
      <x:c r="D4" s="32" t="n">
        <x:f>IF(C4="","",(1/'Metadata'!$B$5)^(C4-1))</x:f>
        <x:v>2249.290004064963</x:v>
      </x:c>
      <x:c r="E4" s="31" t="n">
        <x:f>IF(B4=0,"",B4*D4)</x:f>
        <x:v>3335.845828324179</x:v>
      </x:c>
    </x:row>
    <x:row r="5" ht="18" customHeight="1">
      <x:c r="A5" s="24" t="str">
        <x:v>Medium demersals (30 - 89 cm)</x:v>
      </x:c>
      <x:c r="B5" s="31" t="n">
        <x:v>14.5681530817</x:v>
      </x:c>
      <x:c r="C5" s="32" t="n">
        <x:v>3.28</x:v>
      </x:c>
      <x:c r="D5" s="32" t="n">
        <x:f>IF(C5="","",(1/'Metadata'!$B$5)^(C5-1))</x:f>
        <x:v>190.54607179632464</x:v>
      </x:c>
      <x:c r="E5" s="31" t="n">
        <x:f>IF(B5=0,"",B5*D5)</x:f>
        <x:v>2775.9043430454562</x:v>
      </x:c>
    </x:row>
    <x:row r="6" ht="18" customHeight="1">
      <x:c r="A6" s="24" t="str">
        <x:v>Medium pelagics (30 - 89 cm)</x:v>
      </x:c>
      <x:c r="B6" s="31" t="n">
        <x:v>37.113427952</x:v>
      </x:c>
      <x:c r="C6" s="32" t="n">
        <x:v>4.114261063168551</x:v>
      </x:c>
      <x:c r="D6" s="32" t="n">
        <x:f>IF(C6="","",(1/'Metadata'!$B$5)^(C6-1))</x:f>
        <x:v>1300.951371130626</x:v>
      </x:c>
      <x:c r="E6" s="31" t="n">
        <x:f>IF(B6=0,"",B6*D6)</x:f>
        <x:v>48282.764981512104</x:v>
      </x:c>
    </x:row>
    <x:row r="7" ht="18" customHeight="1">
      <x:c r="A7" s="24" t="str">
        <x:v>Medium reef assoc. fish (30 - 89 cm)</x:v>
      </x:c>
      <x:c r="B7" s="31" t="n">
        <x:v>12.1715292497</x:v>
      </x:c>
      <x:c r="C7" s="32" t="n">
        <x:v>4.003588678421413</x:v>
      </x:c>
      <x:c r="D7" s="32" t="n">
        <x:f>IF(C7="","",(1/'Metadata'!$B$5)^(C7-1))</x:f>
        <x:v>1008.297472214894</x:v>
      </x:c>
      <x:c r="E7" s="31" t="n">
        <x:f>IF(B7=0,"",B7*D7)</x:f>
        <x:v>12272.522175462156</x:v>
      </x:c>
    </x:row>
  </x:sheetData>
  <x:pageMargins left="0.7" right="0.7" top="0.75" bottom="0.75" header="0.3" footer="0.3"/>
  <x:tableParts count="1">
    <x:tablePart xmlns:r="http://schemas.openxmlformats.org/officeDocument/2006/relationships" r:id="Rcee4bbcf2dc7425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EEZ_086</x:v>
      </x:c>
      <x:c r="B2" s="24" t="str">
        <x:v>raw_filtered_tonnes</x:v>
      </x:c>
      <x:c r="C2" s="24" t="n">
        <x:v>135.2489756326</x:v>
      </x:c>
      <x:c r="D2" s="24" t="str">
        <x:v>tonnes</x:v>
      </x:c>
    </x:row>
    <x:row r="3" ht="18" customHeight="1">
      <x:c r="A3" s="24" t="str">
        <x:v>EEZ_086</x:v>
      </x:c>
      <x:c r="B3" s="24" t="str">
        <x:v>species_catch_tonnes</x:v>
      </x:c>
      <x:c r="C3" s="24" t="n">
        <x:v>135.2489756326</x:v>
      </x:c>
      <x:c r="D3" s="24" t="str">
        <x:v>tonnes</x:v>
      </x:c>
    </x:row>
    <x:row r="4" ht="18" customHeight="1">
      <x:c r="A4" s="24" t="str">
        <x:v>EEZ_086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EEZ_086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EEZ_086</x:v>
      </x:c>
      <x:c r="B6" s="24" t="str">
        <x:v>matched_catch_tonnes</x:v>
      </x:c>
      <x:c r="C6" s="24" t="n">
        <x:v>135.2489756326</x:v>
      </x:c>
      <x:c r="D6" s="24" t="str">
        <x:v>tonnes</x:v>
      </x:c>
    </x:row>
    <x:row r="7" ht="18" customHeight="1">
      <x:c r="A7" s="24" t="str">
        <x:v>EEZ_086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EEZ_086</x:v>
      </x:c>
      <x:c r="B8" s="24" t="str">
        <x:v>taxa_count</x:v>
      </x:c>
      <x:c r="C8" s="24" t="n">
        <x:v>22</x:v>
      </x:c>
      <x:c r="D8" s="24" t="str">
        <x:v>count</x:v>
      </x:c>
    </x:row>
    <x:row r="9" ht="18" customHeight="1">
      <x:c r="A9" s="24" t="str">
        <x:v>EEZ_086</x:v>
      </x:c>
      <x:c r="B9" s="24" t="str">
        <x:v>matched_taxa_count</x:v>
      </x:c>
      <x:c r="C9" s="24" t="n">
        <x:v>22</x:v>
      </x:c>
      <x:c r="D9" s="24" t="str">
        <x:v>count</x:v>
      </x:c>
    </x:row>
    <x:row r="10" ht="18" customHeight="1">
      <x:c r="A10" s="24" t="str">
        <x:v>EEZ_086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EEZ_086</x:v>
      </x:c>
      <x:c r="B11" s="24" t="str">
        <x:v>species_ppr</x:v>
      </x:c>
      <x:c r="C11" s="24" t="n">
        <x:v>263025.75586093066</x:v>
      </x:c>
      <x:c r="D11" s="24" t="str">
        <x:v>tonnes_primary_production_equivalent</x:v>
      </x:c>
    </x:row>
    <x:row r="12" ht="18" customHeight="1">
      <x:c r="A12" s="24" t="str">
        <x:v>EEZ_086</x:v>
      </x:c>
      <x:c r="B12" s="24" t="str">
        <x:v>commercial_ppr</x:v>
      </x:c>
      <x:c r="C12" s="24" t="n">
        <x:v>259211.53634591453</x:v>
      </x:c>
      <x:c r="D12" s="24" t="str">
        <x:v>tonnes_primary_production_equivalent</x:v>
      </x:c>
    </x:row>
    <x:row r="13" ht="18" customHeight="1">
      <x:c r="A13" s="24" t="str">
        <x:v>EEZ_086</x:v>
      </x:c>
      <x:c r="B13" s="24" t="str">
        <x:v>functional_ppr</x:v>
      </x:c>
      <x:c r="C13" s="24" t="n">
        <x:v>256840.26155903548</x:v>
      </x:c>
      <x:c r="D13" s="24" t="str">
        <x:v>tonnes_primary_production_equivalent</x:v>
      </x:c>
    </x:row>
    <x:row r="14" ht="18" customHeight="1">
      <x:c r="A14" s="24" t="str">
        <x:v>EEZ_086</x:v>
      </x:c>
      <x:c r="B14" s="24" t="str">
        <x:v>commercial_ppr_difference</x:v>
      </x:c>
      <x:c r="C14" s="24" t="n">
        <x:v>-3814.219515016128</x:v>
      </x:c>
      <x:c r="D14" s="24" t="str">
        <x:v>tonnes_primary_production_equivalent</x:v>
      </x:c>
    </x:row>
    <x:row r="15" ht="18" customHeight="1">
      <x:c r="A15" s="24" t="str">
        <x:v>EEZ_086</x:v>
      </x:c>
      <x:c r="B15" s="24" t="str">
        <x:v>functional_ppr_difference</x:v>
      </x:c>
      <x:c r="C15" s="24" t="n">
        <x:v>-6185.494301895174</x:v>
      </x:c>
      <x:c r="D15" s="24" t="str">
        <x:v>tonnes_primary_production_equivalent</x:v>
      </x:c>
    </x:row>
    <x:row r="16" ht="18" customHeight="1">
      <x:c r="A16" s="24" t="str">
        <x:v>EEZ_086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EEZ_086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e047b56ed6d43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EEZ_086 - Chagos Archipelago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EEZ_086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raw_data/SAU_downloads/EEZ_086-catch.zip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