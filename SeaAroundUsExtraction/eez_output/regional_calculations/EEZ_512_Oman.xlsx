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0e811bb27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37ce49b6c704e30"/>
    <x:sheet xmlns:r="http://schemas.openxmlformats.org/officeDocument/2006/relationships" name="Commercial" sheetId="2" r:id="R893063f1a08b4013"/>
    <x:sheet xmlns:r="http://schemas.openxmlformats.org/officeDocument/2006/relationships" name="Functional" sheetId="3" r:id="R2d3394b5b0e041a0"/>
    <x:sheet xmlns:r="http://schemas.openxmlformats.org/officeDocument/2006/relationships" name="Missing TL" sheetId="4" r:id="R7848226a781446c3"/>
    <x:sheet xmlns:r="http://schemas.openxmlformats.org/officeDocument/2006/relationships" name="Validation" sheetId="5" r:id="R9952c3228c664b06"/>
    <x:sheet xmlns:r="http://schemas.openxmlformats.org/officeDocument/2006/relationships" name="Metadata" sheetId="6" r:id="Rfa423a6c175d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1b80c53544106" /><Relationship Type="http://schemas.openxmlformats.org/officeDocument/2006/relationships/theme" Target="/xl/theme/theme1.xml" Id="R84eb8979feb64393" /><Relationship Type="http://schemas.microsoft.com/office/2022/11/relationships/FeaturePropertyBag" Target="/xl/featurePropertyBag/featurePropertyBag.xml" Id="R0e65202119d64bd1" /><Relationship Type="http://schemas.openxmlformats.org/officeDocument/2006/relationships/sharedStrings" Target="/xl/sharedStrings.xml" Id="R2c0ea62cc96d4f42" /><Relationship Type="http://schemas.openxmlformats.org/officeDocument/2006/relationships/worksheet" Target="/xl/worksheets/sheet1.xml" Id="Re37ce49b6c704e30" /><Relationship Type="http://schemas.openxmlformats.org/officeDocument/2006/relationships/worksheet" Target="/xl/worksheets/sheet2.xml" Id="R893063f1a08b4013" /><Relationship Type="http://schemas.openxmlformats.org/officeDocument/2006/relationships/worksheet" Target="/xl/worksheets/sheet3.xml" Id="R2d3394b5b0e041a0" /><Relationship Type="http://schemas.openxmlformats.org/officeDocument/2006/relationships/worksheet" Target="/xl/worksheets/sheet4.xml" Id="R7848226a781446c3" /><Relationship Type="http://schemas.openxmlformats.org/officeDocument/2006/relationships/worksheet" Target="/xl/worksheets/sheet5.xml" Id="R9952c3228c664b06" /><Relationship Type="http://schemas.openxmlformats.org/officeDocument/2006/relationships/worksheet" Target="/xl/worksheets/sheet6.xml" Id="Rfa423a6c175d45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12SpeciesTable" displayName="EEZ512SpeciesTable" ref="A1:U67" headerRowCount="1" totalsRowCount="0" totalsRowShown="0">
  <x:autoFilter ref="A1:U6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12CommercialTable" displayName="EEZ512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12FunctionalTable" displayName="EEZ512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12ValidationTable" displayName="EEZ51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d8a8f2a51549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572968e58147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0086c3c31143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fd457af83448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EEZ_512</x:v>
      </x:c>
      <x:c r="B2" s="24" t="str">
        <x:v>Oman</x:v>
      </x:c>
      <x:c r="C2" s="24" t="str">
        <x:v>EEZ</x:v>
      </x:c>
      <x:c r="D2" s="30" t="n">
        <x:v>2019</x:v>
      </x:c>
      <x:c r="E2" s="24" t="str">
        <x:v>Sardinella longiceps</x:v>
      </x:c>
      <x:c r="F2" s="24" t="str">
        <x:v>Indian oil sardine</x:v>
      </x:c>
      <x:c r="G2" s="24" t="str">
        <x:v>Small pelagics (&lt;30 cm)</x:v>
      </x:c>
      <x:c r="H2" s="24" t="str">
        <x:v>Herring-likes</x:v>
      </x:c>
      <x:c r="I2" s="31" t="n">
        <x:v>134225.02617344307</x:v>
      </x:c>
      <x:c r="J2" s="31" t="n">
        <x:v>134225.02617344307</x:v>
      </x:c>
      <x:c r="K2" s="31" t="n">
        <x:v>0</x:v>
      </x:c>
      <x:c r="L2" s="31" t="n">
        <x:v>134225.02617344307</x:v>
      </x:c>
      <x:c r="M2" s="31" t="n">
        <x:v>0</x:v>
      </x:c>
      <x:c r="N2" s="24" t="str">
        <x:v>sardinella longiceps</x:v>
      </x:c>
      <x:c r="O2" s="32" t="n">
        <x:v>2.41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longiceps</x:v>
      </x:c>
      <x:c r="T2" s="32" t="n">
        <x:f>IF(O2="","",(1/'Metadata'!$B$5)^(O2-1))</x:f>
        <x:v>25.703957827688647</x:v>
      </x:c>
      <x:c r="U2" s="31" t="n">
        <x:f>IF(T2="","",I2*T2)</x:f>
        <x:v>3450114.4121825853</x:v>
      </x:c>
    </x:row>
    <x:row r="3" ht="18" customHeight="1">
      <x:c r="A3" s="24" t="str">
        <x:v>EEZ_512</x:v>
      </x:c>
      <x:c r="B3" s="24" t="str">
        <x:v>Oman</x:v>
      </x:c>
      <x:c r="C3" s="24" t="str">
        <x:v>EEZ</x:v>
      </x:c>
      <x:c r="D3" s="30" t="n">
        <x:v>2019</x:v>
      </x:c>
      <x:c r="E3" s="24" t="str">
        <x:v>Carangidae</x:v>
      </x:c>
      <x:c r="F3" s="24" t="str">
        <x:v>Jacks, pompanos</x:v>
      </x:c>
      <x:c r="G3" s="24" t="str">
        <x:v>Medium pelagics (30 - 89 cm)</x:v>
      </x:c>
      <x:c r="H3" s="24" t="str">
        <x:v>Perch-likes</x:v>
      </x:c>
      <x:c r="I3" s="31" t="n">
        <x:v>25027.2487643437</x:v>
      </x:c>
      <x:c r="J3" s="31" t="n">
        <x:v>24846.7917036998</x:v>
      </x:c>
      <x:c r="K3" s="31" t="n">
        <x:v>180.4570606439</x:v>
      </x:c>
      <x:c r="L3" s="31" t="n">
        <x:v>22724.674779255503</x:v>
      </x:c>
      <x:c r="M3" s="31" t="n">
        <x:v>2302.5739850882</x:v>
      </x:c>
      <x:c r="N3" s="24" t="str">
        <x:v>carangidae</x:v>
      </x:c>
      <x:c r="O3" s="32" t="n">
        <x:v>4.05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Carangidae</x:v>
      </x:c>
      <x:c r="T3" s="32" t="n">
        <x:f>IF(O3="","",(1/'Metadata'!$B$5)^(O3-1))</x:f>
        <x:v>1122.018454301963</x:v>
      </x:c>
      <x:c r="U3" s="31" t="n">
        <x:f>IF(T3="","",I3*T3)</x:f>
        <x:v>28081034.97399963</x:v>
      </x:c>
    </x:row>
    <x:row r="4" ht="18" customHeight="1">
      <x:c r="A4" s="24" t="str">
        <x:v>EEZ_512</x:v>
      </x:c>
      <x:c r="B4" s="24" t="str">
        <x:v>Oman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24253.9906542628</x:v>
      </x:c>
      <x:c r="J4" s="31" t="n">
        <x:v>24085.1463998139</x:v>
      </x:c>
      <x:c r="K4" s="31" t="n">
        <x:v>168.8442544489</x:v>
      </x:c>
      <x:c r="L4" s="31" t="n">
        <x:v>22419.345024241302</x:v>
      </x:c>
      <x:c r="M4" s="31" t="n">
        <x:v>1834.6456300215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4621502.644554547</x:v>
      </x:c>
    </x:row>
    <x:row r="5" ht="18" customHeight="1">
      <x:c r="A5" s="24" t="str">
        <x:v>EEZ_512</x:v>
      </x:c>
      <x:c r="B5" s="24" t="str">
        <x:v>Oman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18690.6226612429</x:v>
      </x:c>
      <x:c r="J5" s="31" t="n">
        <x:v>18690.6226612429</x:v>
      </x:c>
      <x:c r="K5" s="31" t="n">
        <x:v>0</x:v>
      </x:c>
      <x:c r="L5" s="31" t="n">
        <x:v>18687.4119268901</x:v>
      </x:c>
      <x:c r="M5" s="31" t="n">
        <x:v>3.2107343528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48042297.66578293</x:v>
      </x:c>
    </x:row>
    <x:row r="6" ht="18" customHeight="1">
      <x:c r="A6" s="24" t="str">
        <x:v>EEZ_512</x:v>
      </x:c>
      <x:c r="B6" s="24" t="str">
        <x:v>Oman</x:v>
      </x:c>
      <x:c r="C6" s="24" t="str">
        <x:v>EEZ</x:v>
      </x:c>
      <x:c r="D6" s="30" t="n">
        <x:v>2019</x:v>
      </x:c>
      <x:c r="E6" s="24" t="str">
        <x:v>Clupeidae</x:v>
      </x:c>
      <x:c r="F6" s="24" t="str">
        <x:v>Herrings, sardines, menhadens</x:v>
      </x:c>
      <x:c r="G6" s="24" t="str">
        <x:v>Small pelagics (&lt;30 cm)</x:v>
      </x:c>
      <x:c r="H6" s="24" t="str">
        <x:v>Herring-likes</x:v>
      </x:c>
      <x:c r="I6" s="31" t="n">
        <x:v>11746.2874634295</x:v>
      </x:c>
      <x:c r="J6" s="31" t="n">
        <x:v>10575.9947551229</x:v>
      </x:c>
      <x:c r="K6" s="31" t="n">
        <x:v>1170.2927083066002</x:v>
      </x:c>
      <x:c r="L6" s="31" t="n">
        <x:v>0</x:v>
      </x:c>
      <x:c r="M6" s="31" t="n">
        <x:v>11746.2874634295</x:v>
      </x:c>
      <x:c r="N6" s="24" t="str">
        <x:v>clupeidae</x:v>
      </x:c>
      <x:c r="O6" s="32" t="n">
        <x:v>3.16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Clupeidae</x:v>
      </x:c>
      <x:c r="T6" s="32" t="n">
        <x:f>IF(O6="","",(1/'Metadata'!$B$5)^(O6-1))</x:f>
        <x:v>144.5439770745928</x:v>
      </x:c>
      <x:c r="U6" s="31" t="n">
        <x:f>IF(T6="","",I6*T6)</x:f>
        <x:v>1697855.1058255304</x:v>
      </x:c>
    </x:row>
    <x:row r="7" ht="18" customHeight="1">
      <x:c r="A7" s="24" t="str">
        <x:v>EEZ_512</x:v>
      </x:c>
      <x:c r="B7" s="24" t="str">
        <x:v>Oman</x:v>
      </x:c>
      <x:c r="C7" s="24" t="str">
        <x:v>EEZ</x:v>
      </x:c>
      <x:c r="D7" s="30" t="n">
        <x:v>2019</x:v>
      </x:c>
      <x:c r="E7" s="24" t="str">
        <x:v>Engraulidae</x:v>
      </x:c>
      <x:c r="F7" s="24" t="str">
        <x:v>Anchovies, round herrings</x:v>
      </x:c>
      <x:c r="G7" s="24" t="str">
        <x:v>Small pelagics (&lt;30 cm)</x:v>
      </x:c>
      <x:c r="H7" s="24" t="str">
        <x:v>Anchovies</x:v>
      </x:c>
      <x:c r="I7" s="31" t="n">
        <x:v>10014.8563276919</x:v>
      </x:c>
      <x:c r="J7" s="31" t="n">
        <x:v>9867.8689667597</x:v>
      </x:c>
      <x:c r="K7" s="31" t="n">
        <x:v>146.9873609322</x:v>
      </x:c>
      <x:c r="L7" s="31" t="n">
        <x:v>8741.0000000001</x:v>
      </x:c>
      <x:c r="M7" s="31" t="n">
        <x:v>1273.8563276917998</x:v>
      </x:c>
      <x:c r="N7" s="24" t="str">
        <x:v>engraulidae</x:v>
      </x:c>
      <x:c r="O7" s="32" t="n">
        <x:v>3.2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Engraulidae</x:v>
      </x:c>
      <x:c r="T7" s="32" t="n">
        <x:f>IF(O7="","",(1/'Metadata'!$B$5)^(O7-1))</x:f>
        <x:v>158.48931924611142</x:v>
      </x:c>
      <x:c r="U7" s="31" t="n">
        <x:f>IF(T7="","",I7*T7)</x:f>
        <x:v>1587247.7617235004</x:v>
      </x:c>
    </x:row>
    <x:row r="8" ht="18" customHeight="1">
      <x:c r="A8" s="24" t="str">
        <x:v>EEZ_512</x:v>
      </x:c>
      <x:c r="B8" s="24" t="str">
        <x:v>Oman</x:v>
      </x:c>
      <x:c r="C8" s="24" t="str">
        <x:v>EEZ</x:v>
      </x:c>
      <x:c r="D8" s="30" t="n">
        <x:v>2019</x:v>
      </x:c>
      <x:c r="E8" s="24" t="str">
        <x:v>Lethrinus nebulosus</x:v>
      </x:c>
      <x:c r="F8" s="24" t="str">
        <x:v>Spangled emperor</x:v>
      </x:c>
      <x:c r="G8" s="24" t="str">
        <x:v>Medium demersals (30 - 89 cm)</x:v>
      </x:c>
      <x:c r="H8" s="24" t="str">
        <x:v>Perch-likes</x:v>
      </x:c>
      <x:c r="I8" s="31" t="n">
        <x:v>7891.2225518027</x:v>
      </x:c>
      <x:c r="J8" s="31" t="n">
        <x:v>7891.2225518027</x:v>
      </x:c>
      <x:c r="K8" s="31" t="n">
        <x:v>0</x:v>
      </x:c>
      <x:c r="L8" s="31" t="n">
        <x:v>7891.2225518027</x:v>
      </x:c>
      <x:c r="M8" s="31" t="n">
        <x:v>0</x:v>
      </x:c>
      <x:c r="N8" s="24" t="str">
        <x:v>lethrinus nebulosus</x:v>
      </x:c>
      <x:c r="O8" s="32" t="n">
        <x:v>3.76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Lethrinus nebulosus</x:v>
      </x:c>
      <x:c r="T8" s="32" t="n">
        <x:f>IF(O8="","",(1/'Metadata'!$B$5)^(O8-1))</x:f>
        <x:v>575.4399373371566</x:v>
      </x:c>
      <x:c r="U8" s="31" t="n">
        <x:f>IF(T8="","",I8*T8)</x:f>
        <x:v>4540924.610722902</x:v>
      </x:c>
    </x:row>
    <x:row r="9" ht="18" customHeight="1">
      <x:c r="A9" s="24" t="str">
        <x:v>EEZ_512</x:v>
      </x:c>
      <x:c r="B9" s="24" t="str">
        <x:v>Oman</x:v>
      </x:c>
      <x:c r="C9" s="24" t="str">
        <x:v>EEZ</x:v>
      </x:c>
      <x:c r="D9" s="30" t="n">
        <x:v>2019</x:v>
      </x:c>
      <x:c r="E9" s="24" t="str">
        <x:v>Thunnus tonggol</x:v>
      </x:c>
      <x:c r="F9" s="24" t="str">
        <x:v>Longtail tuna</x:v>
      </x:c>
      <x:c r="G9" s="24" t="str">
        <x:v>Large pelagics (&gt;=90 cm)</x:v>
      </x:c>
      <x:c r="H9" s="24" t="str">
        <x:v>Tuna &amp; billfishes</x:v>
      </x:c>
      <x:c r="I9" s="31" t="n">
        <x:v>7019.4373892864005</x:v>
      </x:c>
      <x:c r="J9" s="31" t="n">
        <x:v>7019.4373892864005</x:v>
      </x:c>
      <x:c r="K9" s="31" t="n">
        <x:v>0</x:v>
      </x:c>
      <x:c r="L9" s="31" t="n">
        <x:v>7019.4373892864005</x:v>
      </x:c>
      <x:c r="M9" s="31" t="n">
        <x:v>0</x:v>
      </x:c>
      <x:c r="N9" s="24" t="str">
        <x:v>thunnus tonggol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tonggol</x:v>
      </x:c>
      <x:c r="T9" s="32" t="n">
        <x:f>IF(O9="","",(1/'Metadata'!$B$5)^(O9-1))</x:f>
        <x:v>3162.2776601683795</x:v>
      </x:c>
      <x:c r="U9" s="31" t="n">
        <x:f>IF(T9="","",I9*T9)</x:f>
        <x:v>22197410.043091036</x:v>
      </x:c>
    </x:row>
    <x:row r="10" ht="18" customHeight="1">
      <x:c r="A10" s="24" t="str">
        <x:v>EEZ_512</x:v>
      </x:c>
      <x:c r="B10" s="24" t="str">
        <x:v>Oman</x:v>
      </x:c>
      <x:c r="C10" s="24" t="str">
        <x:v>EEZ</x:v>
      </x:c>
      <x:c r="D10" s="30" t="n">
        <x:v>2019</x:v>
      </x:c>
      <x:c r="E10" s="24" t="str">
        <x:v>Sepia pharaonis</x:v>
      </x:c>
      <x:c r="F10" s="24" t="str">
        <x:v>Pharaoh cuttlefish</x:v>
      </x:c>
      <x:c r="G10" s="24" t="str">
        <x:v>Cephalopods</x:v>
      </x:c>
      <x:c r="H10" s="24" t="str">
        <x:v>Other fishes &amp; inverts</x:v>
      </x:c>
      <x:c r="I10" s="31" t="n">
        <x:v>6518.9052152611</x:v>
      </x:c>
      <x:c r="J10" s="31" t="n">
        <x:v>6518.9052152611</x:v>
      </x:c>
      <x:c r="K10" s="31" t="n">
        <x:v>0</x:v>
      </x:c>
      <x:c r="L10" s="31" t="n">
        <x:v>6518.9052152611</x:v>
      </x:c>
      <x:c r="M10" s="31" t="n">
        <x:v>0</x:v>
      </x:c>
      <x:c r="N10" s="24" t="str">
        <x:v>sepia pharaonis</x:v>
      </x:c>
      <x:c r="O10" s="32" t="n">
        <x:v>3.8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Sepia pharaonis</x:v>
      </x:c>
      <x:c r="T10" s="32" t="n">
        <x:f>IF(O10="","",(1/'Metadata'!$B$5)^(O10-1))</x:f>
        <x:v>630.957344480193</x:v>
      </x:c>
      <x:c r="U10" s="31" t="n">
        <x:f>IF(T10="","",I10*T10)</x:f>
        <x:v>4113151.1235392247</x:v>
      </x:c>
    </x:row>
    <x:row r="11" ht="18" customHeight="1">
      <x:c r="A11" s="24" t="str">
        <x:v>EEZ_512</x:v>
      </x:c>
      <x:c r="B11" s="24" t="str">
        <x:v>Oman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6240.9830741338</x:v>
      </x:c>
      <x:c r="J11" s="31" t="n">
        <x:v>5718.355793782101</x:v>
      </x:c>
      <x:c r="K11" s="31" t="n">
        <x:v>522.6272803516999</x:v>
      </x:c>
      <x:c r="L11" s="31" t="n">
        <x:v>493.2480351978</x:v>
      </x:c>
      <x:c r="M11" s="31" t="n">
        <x:v>5747.735038936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11356722.258571645</x:v>
      </x:c>
    </x:row>
    <x:row r="12" ht="18" customHeight="1">
      <x:c r="A12" s="24" t="str">
        <x:v>EEZ_512</x:v>
      </x:c>
      <x:c r="B12" s="24" t="str">
        <x:v>Oman</x:v>
      </x:c>
      <x:c r="C12" s="24" t="str">
        <x:v>EEZ</x:v>
      </x:c>
      <x:c r="D12" s="30" t="n">
        <x:v>2019</x:v>
      </x:c>
      <x:c r="E12" s="24" t="str">
        <x:v>Sciaenidae</x:v>
      </x:c>
      <x:c r="F12" s="24" t="str">
        <x:v>Drums, croakers</x:v>
      </x:c>
      <x:c r="G12" s="24" t="str">
        <x:v>Medium demersals (30 - 89 cm)</x:v>
      </x:c>
      <x:c r="H12" s="24" t="str">
        <x:v>Perch-likes</x:v>
      </x:c>
      <x:c r="I12" s="31" t="n">
        <x:v>4959.4008955227</x:v>
      </x:c>
      <x:c r="J12" s="31" t="n">
        <x:v>4912.9440870434</x:v>
      </x:c>
      <x:c r="K12" s="31" t="n">
        <x:v>46.4568084793</x:v>
      </x:c>
      <x:c r="L12" s="31" t="n">
        <x:v>4501.9615384614</x:v>
      </x:c>
      <x:c r="M12" s="31" t="n">
        <x:v>457.43935706130003</x:v>
      </x:c>
      <x:c r="N12" s="24" t="str">
        <x:v>sciaenidae</x:v>
      </x:c>
      <x:c r="O12" s="32" t="n">
        <x:v>3.76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Sciaenidae</x:v>
      </x:c>
      <x:c r="T12" s="32" t="n">
        <x:f>IF(O12="","",(1/'Metadata'!$B$5)^(O12-1))</x:f>
        <x:v>575.4399373371566</x:v>
      </x:c>
      <x:c r="U12" s="31" t="n">
        <x:f>IF(T12="","",I12*T12)</x:f>
        <x:v>2853837.340549421</x:v>
      </x:c>
    </x:row>
    <x:row r="13" ht="18" customHeight="1">
      <x:c r="A13" s="24" t="str">
        <x:v>EEZ_512</x:v>
      </x:c>
      <x:c r="B13" s="24" t="str">
        <x:v>Oman</x:v>
      </x:c>
      <x:c r="C13" s="24" t="str">
        <x:v>EEZ</x:v>
      </x:c>
      <x:c r="D13" s="30" t="n">
        <x:v>2019</x:v>
      </x:c>
      <x:c r="E13" s="24" t="str">
        <x:v>Sparidae</x:v>
      </x:c>
      <x:c r="F13" s="24" t="str">
        <x:v>Porgies, seabreams</x:v>
      </x:c>
      <x:c r="G13" s="24" t="str">
        <x:v>Medium benthopelagics (30 - 89 cm)</x:v>
      </x:c>
      <x:c r="H13" s="24" t="str">
        <x:v>Perch-likes</x:v>
      </x:c>
      <x:c r="I13" s="31" t="n">
        <x:v>4881.6432054599</x:v>
      </x:c>
      <x:c r="J13" s="31" t="n">
        <x:v>4771.2405427844</x:v>
      </x:c>
      <x:c r="K13" s="31" t="n">
        <x:v>110.4026626755</x:v>
      </x:c>
      <x:c r="L13" s="31" t="n">
        <x:v>3750.8219281542997</x:v>
      </x:c>
      <x:c r="M13" s="31" t="n">
        <x:v>1130.8212773056</x:v>
      </x:c>
      <x:c r="N13" s="24" t="str">
        <x:v>sparidae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Sparidae</x:v>
      </x:c>
      <x:c r="T13" s="32" t="n">
        <x:f>IF(O13="","",(1/'Metadata'!$B$5)^(O13-1))</x:f>
        <x:v>204.17379446695296</x:v>
      </x:c>
      <x:c r="U13" s="31" t="n">
        <x:f>IF(T13="","",I13*T13)</x:f>
        <x:v>996703.616492567</x:v>
      </x:c>
    </x:row>
    <x:row r="14" ht="18" customHeight="1">
      <x:c r="A14" s="24" t="str">
        <x:v>EEZ_512</x:v>
      </x:c>
      <x:c r="B14" s="24" t="str">
        <x:v>Oman</x:v>
      </x:c>
      <x:c r="C14" s="24" t="str">
        <x:v>EEZ</x:v>
      </x:c>
      <x:c r="D14" s="30" t="n">
        <x:v>2019</x:v>
      </x:c>
      <x:c r="E14" s="24" t="str">
        <x:v>Siganus canaliculatus</x:v>
      </x:c>
      <x:c r="F14" s="24" t="str">
        <x:v>White-spotted spinefoot</x:v>
      </x:c>
      <x:c r="G14" s="24" t="str">
        <x:v>Small reef assoc. fish (&lt;30 cm)</x:v>
      </x:c>
      <x:c r="H14" s="24" t="str">
        <x:v>Perch-likes</x:v>
      </x:c>
      <x:c r="I14" s="31" t="n">
        <x:v>3999.6632556148998</x:v>
      </x:c>
      <x:c r="J14" s="31" t="n">
        <x:v>3999.6632556148998</x:v>
      </x:c>
      <x:c r="K14" s="31" t="n">
        <x:v>0</x:v>
      </x:c>
      <x:c r="L14" s="31" t="n">
        <x:v>3999.6632556148998</x:v>
      </x:c>
      <x:c r="M14" s="31" t="n">
        <x:v>0</x:v>
      </x:c>
      <x:c r="N14" s="24" t="str">
        <x:v>siganus canaliculatus</x:v>
      </x:c>
      <x:c r="O14" s="32" t="n">
        <x:v>2.76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Siganus canaliculatus</x:v>
      </x:c>
      <x:c r="T14" s="32" t="n">
        <x:f>IF(O14="","",(1/'Metadata'!$B$5)^(O14-1))</x:f>
        <x:v>57.543993733715666</x:v>
      </x:c>
      <x:c r="U14" s="31" t="n">
        <x:f>IF(T14="","",I14*T14)</x:f>
        <x:v>230156.5973180766</x:v>
      </x:c>
    </x:row>
    <x:row r="15" ht="18" customHeight="1">
      <x:c r="A15" s="24" t="str">
        <x:v>EEZ_512</x:v>
      </x:c>
      <x:c r="B15" s="24" t="str">
        <x:v>Oman</x:v>
      </x:c>
      <x:c r="C15" s="24" t="str">
        <x:v>EEZ</x:v>
      </x:c>
      <x:c r="D15" s="30" t="n">
        <x:v>2019</x:v>
      </x:c>
      <x:c r="E15" s="24" t="str">
        <x:v>Sphyraena</x:v>
      </x:c>
      <x:c r="F15" s="24" t="str">
        <x:v>Barracudas, sennets</x:v>
      </x:c>
      <x:c r="G15" s="24" t="str">
        <x:v>Large pelagics (&gt;=90 cm)</x:v>
      </x:c>
      <x:c r="H15" s="24" t="str">
        <x:v>Perch-likes</x:v>
      </x:c>
      <x:c r="I15" s="31" t="n">
        <x:v>3916.9960752192</x:v>
      </x:c>
      <x:c r="J15" s="31" t="n">
        <x:v>3916.9960752192</x:v>
      </x:c>
      <x:c r="K15" s="31" t="n">
        <x:v>0</x:v>
      </x:c>
      <x:c r="L15" s="31" t="n">
        <x:v>3916.9960752192</x:v>
      </x:c>
      <x:c r="M15" s="31" t="n">
        <x:v>0</x:v>
      </x:c>
      <x:c r="N15" s="24" t="str">
        <x:v>sphyraena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Sphyraena</x:v>
      </x:c>
      <x:c r="T15" s="32" t="n">
        <x:f>IF(O15="","",(1/'Metadata'!$B$5)^(O15-1))</x:f>
        <x:v>2511.886431509582</x:v>
      </x:c>
      <x:c r="U15" s="31" t="n">
        <x:f>IF(T15="","",I15*T15)</x:f>
        <x:v>9839049.293619394</x:v>
      </x:c>
    </x:row>
    <x:row r="16" ht="18" customHeight="1">
      <x:c r="A16" s="24" t="str">
        <x:v>EEZ_512</x:v>
      </x:c>
      <x:c r="B16" s="24" t="str">
        <x:v>Oman</x:v>
      </x:c>
      <x:c r="C16" s="24" t="str">
        <x:v>EEZ</x:v>
      </x:c>
      <x:c r="D16" s="30" t="n">
        <x:v>2019</x:v>
      </x:c>
      <x:c r="E16" s="24" t="str">
        <x:v>Elasmobranchii</x:v>
      </x:c>
      <x:c r="F16" s="24" t="str">
        <x:v>Sharks, rays, skates</x:v>
      </x:c>
      <x:c r="G16" s="24" t="str">
        <x:v>Large sharks (&gt;=90 cm)</x:v>
      </x:c>
      <x:c r="H16" s="24" t="str">
        <x:v>Sharks &amp; rays</x:v>
      </x:c>
      <x:c r="I16" s="31" t="n">
        <x:v>3674.2144928555</x:v>
      </x:c>
      <x:c r="J16" s="31" t="n">
        <x:v>3603.0820112883002</x:v>
      </x:c>
      <x:c r="K16" s="31" t="n">
        <x:v>71.1324815672</x:v>
      </x:c>
      <x:c r="L16" s="31" t="n">
        <x:v>2963.7903840205</x:v>
      </x:c>
      <x:c r="M16" s="31" t="n">
        <x:v>710.424108835</x:v>
      </x:c>
      <x:c r="N16" s="24" t="str">
        <x:v>elasmobranchii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Elasmobranchii</x:v>
      </x:c>
      <x:c r="T16" s="32" t="n">
        <x:f>IF(O16="","",(1/'Metadata'!$B$5)^(O16-1))</x:f>
        <x:v>1122.018454301963</x:v>
      </x:c>
      <x:c r="U16" s="31" t="n">
        <x:f>IF(T16="","",I16*T16)</x:f>
        <x:v>4122536.4660475985</x:v>
      </x:c>
    </x:row>
    <x:row r="17" ht="18" customHeight="1">
      <x:c r="A17" s="24" t="str">
        <x:v>EEZ_512</x:v>
      </x:c>
      <x:c r="B17" s="24" t="str">
        <x:v>Oman</x:v>
      </x:c>
      <x:c r="C17" s="24" t="str">
        <x:v>EEZ</x:v>
      </x:c>
      <x:c r="D17" s="30" t="n">
        <x:v>2019</x:v>
      </x:c>
      <x:c r="E17" s="24" t="str">
        <x:v>Netuma thalassina</x:v>
      </x:c>
      <x:c r="F17" s="24" t="str">
        <x:v>Giant catfish</x:v>
      </x:c>
      <x:c r="G17" s="24" t="str">
        <x:v>Large demersals (&gt;=90 cm)</x:v>
      </x:c>
      <x:c r="H17" s="24" t="str">
        <x:v>Other fishes &amp; inverts</x:v>
      </x:c>
      <x:c r="I17" s="31" t="n">
        <x:v>3662.557102725</x:v>
      </x:c>
      <x:c r="J17" s="31" t="n">
        <x:v>3662.557102725</x:v>
      </x:c>
      <x:c r="K17" s="31" t="n">
        <x:v>0</x:v>
      </x:c>
      <x:c r="L17" s="31" t="n">
        <x:v>3662.557102725</x:v>
      </x:c>
      <x:c r="M17" s="31" t="n">
        <x:v>0</x:v>
      </x:c>
      <x:c r="N17" s="24" t="str">
        <x:v>netuma thalassina</x:v>
      </x:c>
      <x:c r="O17" s="32" t="n">
        <x:v>3.54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Netuma thalassina</x:v>
      </x:c>
      <x:c r="T17" s="32" t="n">
        <x:f>IF(O17="","",(1/'Metadata'!$B$5)^(O17-1))</x:f>
        <x:v>346.73685045253166</x:v>
      </x:c>
      <x:c r="U17" s="31" t="n">
        <x:f>IF(T17="","",I17*T17)</x:f>
        <x:v>1269943.5144014158</x:v>
      </x:c>
    </x:row>
    <x:row r="18" ht="18" customHeight="1">
      <x:c r="A18" s="24" t="str">
        <x:v>EEZ_512</x:v>
      </x:c>
      <x:c r="B18" s="24" t="str">
        <x:v>Oman</x:v>
      </x:c>
      <x:c r="C18" s="24" t="str">
        <x:v>EEZ</x:v>
      </x:c>
      <x:c r="D18" s="30" t="n">
        <x:v>2019</x:v>
      </x:c>
      <x:c r="E18" s="24" t="str">
        <x:v>Euthynnus affinis</x:v>
      </x:c>
      <x:c r="F18" s="24" t="str">
        <x:v>Kawakawa</x:v>
      </x:c>
      <x:c r="G18" s="24" t="str">
        <x:v>Large pelagics (&gt;=90 cm)</x:v>
      </x:c>
      <x:c r="H18" s="24" t="str">
        <x:v>Tuna &amp; billfishes</x:v>
      </x:c>
      <x:c r="I18" s="31" t="n">
        <x:v>3017.3983281497</x:v>
      </x:c>
      <x:c r="J18" s="31" t="n">
        <x:v>3017.3983281497</x:v>
      </x:c>
      <x:c r="K18" s="31" t="n">
        <x:v>0</x:v>
      </x:c>
      <x:c r="L18" s="31" t="n">
        <x:v>3017.3983281497</x:v>
      </x:c>
      <x:c r="M18" s="31" t="n">
        <x:v>0</x:v>
      </x:c>
      <x:c r="N18" s="24" t="str">
        <x:v>euthynnus affinis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Euthynnus affinis</x:v>
      </x:c>
      <x:c r="T18" s="32" t="n">
        <x:f>IF(O18="","",(1/'Metadata'!$B$5)^(O18-1))</x:f>
        <x:v>3162.2776601683795</x:v>
      </x:c>
      <x:c r="U18" s="31" t="n">
        <x:f>IF(T18="","",I18*T18)</x:f>
        <x:v>9541851.324937213</x:v>
      </x:c>
    </x:row>
    <x:row r="19" ht="18" customHeight="1">
      <x:c r="A19" s="24" t="str">
        <x:v>EEZ_512</x:v>
      </x:c>
      <x:c r="B19" s="24" t="str">
        <x:v>Oman</x:v>
      </x:c>
      <x:c r="C19" s="24" t="str">
        <x:v>EEZ</x:v>
      </x:c>
      <x:c r="D19" s="30" t="n">
        <x:v>2019</x:v>
      </x:c>
      <x:c r="E19" s="24" t="str">
        <x:v>Scomberoides</x:v>
      </x:c>
      <x:c r="F19" s="24" t="str">
        <x:v>Queenfishes</x:v>
      </x:c>
      <x:c r="G19" s="24" t="str">
        <x:v>Medium pelagics (30 - 89 cm)</x:v>
      </x:c>
      <x:c r="H19" s="24" t="str">
        <x:v>Perch-likes</x:v>
      </x:c>
      <x:c r="I19" s="31" t="n">
        <x:v>2670.6348691066</x:v>
      </x:c>
      <x:c r="J19" s="31" t="n">
        <x:v>2670.6348691066</x:v>
      </x:c>
      <x:c r="K19" s="31" t="n">
        <x:v>0</x:v>
      </x:c>
      <x:c r="L19" s="31" t="n">
        <x:v>2670.6348691066</x:v>
      </x:c>
      <x:c r="M19" s="31" t="n">
        <x:v>0</x:v>
      </x:c>
      <x:c r="N19" s="24" t="str">
        <x:v>scomberoides</x:v>
      </x:c>
      <x:c r="O19" s="32" t="n">
        <x:v>4.47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Scomberoides</x:v>
      </x:c>
      <x:c r="T19" s="32" t="n">
        <x:f>IF(O19="","",(1/'Metadata'!$B$5)^(O19-1))</x:f>
        <x:v>2951.209226666384</x:v>
      </x:c>
      <x:c r="U19" s="31" t="n">
        <x:f>IF(T19="","",I19*T19)</x:f>
        <x:v>7881602.266764369</x:v>
      </x:c>
    </x:row>
    <x:row r="20" ht="18" customHeight="1">
      <x:c r="A20" s="24" t="str">
        <x:v>EEZ_512</x:v>
      </x:c>
      <x:c r="B20" s="24" t="str">
        <x:v>Oman</x:v>
      </x:c>
      <x:c r="C20" s="24" t="str">
        <x:v>EEZ</x:v>
      </x:c>
      <x:c r="D20" s="30" t="n">
        <x:v>2019</x:v>
      </x:c>
      <x:c r="E20" s="24" t="str">
        <x:v>Mugilidae</x:v>
      </x:c>
      <x:c r="F20" s="24" t="str">
        <x:v>Mullets, grey mullets</x:v>
      </x:c>
      <x:c r="G20" s="24" t="str">
        <x:v>Medium reef assoc. fish (30 - 89 cm)</x:v>
      </x:c>
      <x:c r="H20" s="24" t="str">
        <x:v>Perch-likes</x:v>
      </x:c>
      <x:c r="I20" s="31" t="n">
        <x:v>2354.2067518411</x:v>
      </x:c>
      <x:c r="J20" s="31" t="n">
        <x:v>2335.7999217835</x:v>
      </x:c>
      <x:c r="K20" s="31" t="n">
        <x:v>18.4068300576</x:v>
      </x:c>
      <x:c r="L20" s="31" t="n">
        <x:v>2148.5093588771</x:v>
      </x:c>
      <x:c r="M20" s="31" t="n">
        <x:v>205.697392964</x:v>
      </x:c>
      <x:c r="N20" s="24" t="str">
        <x:v>mugilidae</x:v>
      </x:c>
      <x:c r="O20" s="32" t="n">
        <x:v>2.53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Mugilidae</x:v>
      </x:c>
      <x:c r="T20" s="32" t="n">
        <x:f>IF(O20="","",(1/'Metadata'!$B$5)^(O20-1))</x:f>
        <x:v>33.88441561392024</x:v>
      </x:c>
      <x:c r="U20" s="31" t="n">
        <x:f>IF(T20="","",I20*T20)</x:f>
        <x:v>79770.92002048102</x:v>
      </x:c>
    </x:row>
    <x:row r="21" ht="18" customHeight="1">
      <x:c r="A21" s="24" t="str">
        <x:v>EEZ_512</x:v>
      </x:c>
      <x:c r="B21" s="24" t="str">
        <x:v>Oman</x:v>
      </x:c>
      <x:c r="C21" s="24" t="str">
        <x:v>EEZ</x:v>
      </x:c>
      <x:c r="D21" s="30" t="n">
        <x:v>2019</x:v>
      </x:c>
      <x:c r="E21" s="24" t="str">
        <x:v>Lutjanus</x:v>
      </x:c>
      <x:c r="F21" s="24" t="str">
        <x:v>Snappers</x:v>
      </x:c>
      <x:c r="G21" s="24" t="str">
        <x:v>Medium reef assoc. fish (30 - 89 cm)</x:v>
      </x:c>
      <x:c r="H21" s="24" t="str">
        <x:v>Perch-likes</x:v>
      </x:c>
      <x:c r="I21" s="31" t="n">
        <x:v>2221.1760521676997</x:v>
      </x:c>
      <x:c r="J21" s="31" t="n">
        <x:v>2221.1760521676997</x:v>
      </x:c>
      <x:c r="K21" s="31" t="n">
        <x:v>0</x:v>
      </x:c>
      <x:c r="L21" s="31" t="n">
        <x:v>2221.1760521676997</x:v>
      </x:c>
      <x:c r="M21" s="31" t="n">
        <x:v>0</x:v>
      </x:c>
      <x:c r="N21" s="24" t="str">
        <x:v>lutjanus</x:v>
      </x:c>
      <x:c r="O21" s="32" t="n">
        <x:v>4.02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Lutjanus</x:v>
      </x:c>
      <x:c r="T21" s="32" t="n">
        <x:f>IF(O21="","",(1/'Metadata'!$B$5)^(O21-1))</x:f>
        <x:v>1047.1285480508984</x:v>
      </x:c>
      <x:c r="U21" s="31" t="n">
        <x:f>IF(T21="","",I21*T21)</x:f>
        <x:v>2325856.85447179</x:v>
      </x:c>
    </x:row>
    <x:row r="22" ht="18" customHeight="1">
      <x:c r="A22" s="24" t="str">
        <x:v>EEZ_512</x:v>
      </x:c>
      <x:c r="B22" s="24" t="str">
        <x:v>Oman</x:v>
      </x:c>
      <x:c r="C22" s="24" t="str">
        <x:v>EEZ</x:v>
      </x:c>
      <x:c r="D22" s="30" t="n">
        <x:v>2019</x:v>
      </x:c>
      <x:c r="E22" s="24" t="str">
        <x:v>Palinuridae</x:v>
      </x:c>
      <x:c r="F22" s="24" t="str">
        <x:v>Spiny lobsters</x:v>
      </x:c>
      <x:c r="G22" s="24" t="str">
        <x:v>Lobsters, crabs</x:v>
      </x:c>
      <x:c r="H22" s="24" t="str">
        <x:v>Crustaceans</x:v>
      </x:c>
      <x:c r="I22" s="31" t="n">
        <x:v>1914.5896714717</x:v>
      </x:c>
      <x:c r="J22" s="31" t="n">
        <x:v>1908.0386727738</x:v>
      </x:c>
      <x:c r="K22" s="31" t="n">
        <x:v>6.5509986979</x:v>
      </x:c>
      <x:c r="L22" s="31" t="n">
        <x:v>0</x:v>
      </x:c>
      <x:c r="M22" s="31" t="n">
        <x:v>1914.5896714717</x:v>
      </x:c>
      <x:c r="N22" s="24" t="str">
        <x:v>palinuridae</x:v>
      </x:c>
      <x:c r="O22" s="32" t="n">
        <x:v>3.14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Palinuridae</x:v>
      </x:c>
      <x:c r="T22" s="32" t="n">
        <x:f>IF(O22="","",(1/'Metadata'!$B$5)^(O22-1))</x:f>
        <x:v>138.03842646028852</x:v>
      </x:c>
      <x:c r="U22" s="31" t="n">
        <x:f>IF(T22="","",I22*T22)</x:f>
        <x:v>264286.94556707423</x:v>
      </x:c>
    </x:row>
    <x:row r="23" ht="18" customHeight="1">
      <x:c r="A23" s="24" t="str">
        <x:v>EEZ_512</x:v>
      </x:c>
      <x:c r="B23" s="24" t="str">
        <x:v>Oman</x:v>
      </x:c>
      <x:c r="C23" s="24" t="str">
        <x:v>EEZ</x:v>
      </x:c>
      <x:c r="D23" s="30" t="n">
        <x:v>2019</x:v>
      </x:c>
      <x:c r="E23" s="24" t="str">
        <x:v>Plectorhinchus</x:v>
      </x:c>
      <x:c r="F23" s="24" t="str">
        <x:v>Sweetlips</x:v>
      </x:c>
      <x:c r="G23" s="24" t="str">
        <x:v>Medium reef assoc. fish (30 - 89 cm)</x:v>
      </x:c>
      <x:c r="H23" s="24" t="str">
        <x:v>Perch-likes</x:v>
      </x:c>
      <x:c r="I23" s="31" t="n">
        <x:v>1595.6004385382</x:v>
      </x:c>
      <x:c r="J23" s="31" t="n">
        <x:v>1595.6004385382</x:v>
      </x:c>
      <x:c r="K23" s="31" t="n">
        <x:v>0</x:v>
      </x:c>
      <x:c r="L23" s="31" t="n">
        <x:v>1595.6004385382</x:v>
      </x:c>
      <x:c r="M23" s="31" t="n">
        <x:v>0</x:v>
      </x:c>
      <x:c r="N23" s="24" t="str">
        <x:v>plectorhinchus</x:v>
      </x:c>
      <x:c r="O23" s="32" t="n">
        <x:v>3.43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Plectorhinchus</x:v>
      </x:c>
      <x:c r="T23" s="32" t="n">
        <x:f>IF(O23="","",(1/'Metadata'!$B$5)^(O23-1))</x:f>
        <x:v>269.1534803926917</x:v>
      </x:c>
      <x:c r="U23" s="31" t="n">
        <x:f>IF(T23="","",I23*T23)</x:f>
        <x:v>429461.41134866164</x:v>
      </x:c>
    </x:row>
    <x:row r="24" ht="18" customHeight="1">
      <x:c r="A24" s="24" t="str">
        <x:v>EEZ_512</x:v>
      </x:c>
      <x:c r="B24" s="24" t="str">
        <x:v>Oman</x:v>
      </x:c>
      <x:c r="C24" s="24" t="str">
        <x:v>EEZ</x:v>
      </x:c>
      <x:c r="D24" s="30" t="n">
        <x:v>2019</x:v>
      </x:c>
      <x:c r="E24" s="24" t="str">
        <x:v>Pristipomoides filamentosus</x:v>
      </x:c>
      <x:c r="F24" s="24" t="str">
        <x:v>Crimson jobfish</x:v>
      </x:c>
      <x:c r="G24" s="24" t="str">
        <x:v>Medium demersals (30 - 89 cm)</x:v>
      </x:c>
      <x:c r="H24" s="24" t="str">
        <x:v>Perch-likes</x:v>
      </x:c>
      <x:c r="I24" s="31" t="n">
        <x:v>1354.3239478323</x:v>
      </x:c>
      <x:c r="J24" s="31" t="n">
        <x:v>1354.3239478323</x:v>
      </x:c>
      <x:c r="K24" s="31" t="n">
        <x:v>0</x:v>
      </x:c>
      <x:c r="L24" s="31" t="n">
        <x:v>1354.3239478323</x:v>
      </x:c>
      <x:c r="M24" s="31" t="n">
        <x:v>0</x:v>
      </x:c>
      <x:c r="N24" s="24" t="str">
        <x:v>pristipomoides filamentosus</x:v>
      </x:c>
      <x:c r="O24" s="32" t="n">
        <x:v>4.19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Pristipomoides filamentosus</x:v>
      </x:c>
      <x:c r="T24" s="32" t="n">
        <x:f>IF(O24="","",(1/'Metadata'!$B$5)^(O24-1))</x:f>
        <x:v>1548.8166189124827</x:v>
      </x:c>
      <x:c r="U24" s="31" t="n">
        <x:f>IF(T24="","",I24*T24)</x:f>
        <x:v>2097599.4377938285</x:v>
      </x:c>
    </x:row>
    <x:row r="25" ht="18" customHeight="1">
      <x:c r="A25" s="24" t="str">
        <x:v>EEZ_512</x:v>
      </x:c>
      <x:c r="B25" s="24" t="str">
        <x:v>Oman</x:v>
      </x:c>
      <x:c r="C25" s="24" t="str">
        <x:v>EEZ</x:v>
      </x:c>
      <x:c r="D25" s="30" t="n">
        <x:v>2019</x:v>
      </x:c>
      <x:c r="E25" s="24" t="str">
        <x:v>Serranidae</x:v>
      </x:c>
      <x:c r="F25" s="24" t="str">
        <x:v>Basses, groupers, hinds</x:v>
      </x:c>
      <x:c r="G25" s="24" t="str">
        <x:v>Medium reef assoc. fish (30 - 89 cm)</x:v>
      </x:c>
      <x:c r="H25" s="24" t="str">
        <x:v>Perch-likes</x:v>
      </x:c>
      <x:c r="I25" s="31" t="n">
        <x:v>1330.0524118757</x:v>
      </x:c>
      <x:c r="J25" s="31" t="n">
        <x:v>1316.0930197521</x:v>
      </x:c>
      <x:c r="K25" s="31" t="n">
        <x:v>13.9593921236</x:v>
      </x:c>
      <x:c r="L25" s="31" t="n">
        <x:v>1158.2016806462</x:v>
      </x:c>
      <x:c r="M25" s="31" t="n">
        <x:v>171.8507312295</x:v>
      </x:c>
      <x:c r="N25" s="24" t="str">
        <x:v>serranidae</x:v>
      </x:c>
      <x:c r="O25" s="32" t="n">
        <x:v>3.98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Serranidae</x:v>
      </x:c>
      <x:c r="T25" s="32" t="n">
        <x:f>IF(O25="","",(1/'Metadata'!$B$5)^(O25-1))</x:f>
        <x:v>954.992586021436</x:v>
      </x:c>
      <x:c r="U25" s="31" t="n">
        <x:f>IF(T25="","",I25*T25)</x:f>
        <x:v>1270190.1923612228</x:v>
      </x:c>
    </x:row>
    <x:row r="26" ht="18" customHeight="1">
      <x:c r="A26" s="24" t="str">
        <x:v>EEZ_512</x:v>
      </x:c>
      <x:c r="B26" s="24" t="str">
        <x:v>Oman</x:v>
      </x:c>
      <x:c r="C26" s="24" t="str">
        <x:v>EEZ</x:v>
      </x:c>
      <x:c r="D26" s="30" t="n">
        <x:v>2019</x:v>
      </x:c>
      <x:c r="E26" s="24" t="str">
        <x:v>Ariidae</x:v>
      </x:c>
      <x:c r="F26" s="24" t="str">
        <x:v>Sea catfishes, coblers</x:v>
      </x:c>
      <x:c r="G26" s="24" t="str">
        <x:v>Medium demersals (30 - 89 cm)</x:v>
      </x:c>
      <x:c r="H26" s="24" t="str">
        <x:v>Other fishes &amp; inverts</x:v>
      </x:c>
      <x:c r="I26" s="31" t="n">
        <x:v>1294.0336892961</x:v>
      </x:c>
      <x:c r="J26" s="31" t="n">
        <x:v>1164.6631288079</x:v>
      </x:c>
      <x:c r="K26" s="31" t="n">
        <x:v>129.3705604882</x:v>
      </x:c>
      <x:c r="L26" s="31" t="n">
        <x:v>0</x:v>
      </x:c>
      <x:c r="M26" s="31" t="n">
        <x:v>1294.0336892961</x:v>
      </x:c>
      <x:c r="N26" s="24" t="str">
        <x:v>ariidae</x:v>
      </x:c>
      <x:c r="O26" s="32" t="n">
        <x:v>3.48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Ariidae</x:v>
      </x:c>
      <x:c r="T26" s="32" t="n">
        <x:f>IF(O26="","",(1/'Metadata'!$B$5)^(O26-1))</x:f>
        <x:v>301.9951720402016</x:v>
      </x:c>
      <x:c r="U26" s="31" t="n">
        <x:f>IF(T26="","",I26*T26)</x:f>
        <x:v>390791.9266247925</x:v>
      </x:c>
    </x:row>
    <x:row r="27" ht="18" customHeight="1">
      <x:c r="A27" s="24" t="str">
        <x:v>EEZ_512</x:v>
      </x:c>
      <x:c r="B27" s="24" t="str">
        <x:v>Oman</x:v>
      </x:c>
      <x:c r="C27" s="24" t="str">
        <x:v>EEZ</x:v>
      </x:c>
      <x:c r="D27" s="30" t="n">
        <x:v>2019</x:v>
      </x:c>
      <x:c r="E27" s="24" t="str">
        <x:v>Rastrelliger kanagurta</x:v>
      </x:c>
      <x:c r="F27" s="24" t="str">
        <x:v>Indian mackerel</x:v>
      </x:c>
      <x:c r="G27" s="24" t="str">
        <x:v>Medium pelagics (30 - 89 cm)</x:v>
      </x:c>
      <x:c r="H27" s="24" t="str">
        <x:v>Perch-likes</x:v>
      </x:c>
      <x:c r="I27" s="31" t="n">
        <x:v>1021.2893583637001</x:v>
      </x:c>
      <x:c r="J27" s="31" t="n">
        <x:v>1020.3482987547001</x:v>
      </x:c>
      <x:c r="K27" s="31" t="n">
        <x:v>0.941059609</x:v>
      </x:c>
      <x:c r="L27" s="31" t="n">
        <x:v>1010.7139497988001</x:v>
      </x:c>
      <x:c r="M27" s="31" t="n">
        <x:v>10.5754085649</x:v>
      </x:c>
      <x:c r="N27" s="24" t="str">
        <x:v>rastrelliger kanagurta</x:v>
      </x:c>
      <x:c r="O27" s="32" t="n">
        <x:v>3.19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Rastrelliger kanagurta</x:v>
      </x:c>
      <x:c r="T27" s="32" t="n">
        <x:f>IF(O27="","",(1/'Metadata'!$B$5)^(O27-1))</x:f>
        <x:v>154.88166189124811</x:v>
      </x:c>
      <x:c r="U27" s="31" t="n">
        <x:f>IF(T27="","",I27*T27)</x:f>
        <x:v>158178.99309521634</x:v>
      </x:c>
    </x:row>
    <x:row r="28" ht="18" customHeight="1">
      <x:c r="A28" s="24" t="str">
        <x:v>EEZ_512</x:v>
      </x:c>
      <x:c r="B28" s="24" t="str">
        <x:v>Oman</x:v>
      </x:c>
      <x:c r="C28" s="24" t="str">
        <x:v>EEZ</x:v>
      </x:c>
      <x:c r="D28" s="30" t="n">
        <x:v>2019</x:v>
      </x:c>
      <x:c r="E28" s="24" t="str">
        <x:v>Katsuwonus pelamis</x:v>
      </x:c>
      <x:c r="F28" s="24" t="str">
        <x:v>Skipjack tuna</x:v>
      </x:c>
      <x:c r="G28" s="24" t="str">
        <x:v>Large pelagics (&gt;=90 cm)</x:v>
      </x:c>
      <x:c r="H28" s="24" t="str">
        <x:v>Tuna &amp; billfishes</x:v>
      </x:c>
      <x:c r="I28" s="31" t="n">
        <x:v>939.3116173407</x:v>
      </x:c>
      <x:c r="J28" s="31" t="n">
        <x:v>939.3116173407</x:v>
      </x:c>
      <x:c r="K28" s="31" t="n">
        <x:v>0</x:v>
      </x:c>
      <x:c r="L28" s="31" t="n">
        <x:v>939.3116173407</x:v>
      </x:c>
      <x:c r="M28" s="31" t="n">
        <x:v>0</x:v>
      </x:c>
      <x:c r="N28" s="24" t="str">
        <x:v>katsuwonus pelamis</x:v>
      </x:c>
      <x:c r="O28" s="32" t="n">
        <x:v>4.43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Katsuwonus pelamis</x:v>
      </x:c>
      <x:c r="T28" s="32" t="n">
        <x:f>IF(O28="","",(1/'Metadata'!$B$5)^(O28-1))</x:f>
        <x:v>2691.534803926914</x:v>
      </x:c>
      <x:c r="U28" s="31" t="n">
        <x:f>IF(T28="","",I28*T28)</x:f>
        <x:v>2528189.9098053733</x:v>
      </x:c>
    </x:row>
    <x:row r="29" ht="18" customHeight="1">
      <x:c r="A29" s="24" t="str">
        <x:v>EEZ_512</x:v>
      </x:c>
      <x:c r="B29" s="24" t="str">
        <x:v>Oman</x:v>
      </x:c>
      <x:c r="C29" s="24" t="str">
        <x:v>EEZ</x:v>
      </x:c>
      <x:c r="D29" s="30" t="n">
        <x:v>2019</x:v>
      </x:c>
      <x:c r="E29" s="24" t="str">
        <x:v>Sphyraenidae</x:v>
      </x:c>
      <x:c r="F29" s="24" t="str">
        <x:v>Barracudas</x:v>
      </x:c>
      <x:c r="G29" s="24" t="str">
        <x:v>Medium reef assoc. fish (30 - 89 cm)</x:v>
      </x:c>
      <x:c r="H29" s="24" t="str">
        <x:v>Perch-likes</x:v>
      </x:c>
      <x:c r="I29" s="31" t="n">
        <x:v>931.9613489806</x:v>
      </x:c>
      <x:c r="J29" s="31" t="n">
        <x:v>855.4681576697</x:v>
      </x:c>
      <x:c r="K29" s="31" t="n">
        <x:v>76.4931913109</x:v>
      </x:c>
      <x:c r="L29" s="31" t="n">
        <x:v>0</x:v>
      </x:c>
      <x:c r="M29" s="31" t="n">
        <x:v>931.9613489806</x:v>
      </x:c>
      <x:c r="N29" s="24" t="str">
        <x:v>sphyraenidae</x:v>
      </x:c>
      <x:c r="O29" s="32" t="n">
        <x:v>4.4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Sphyraenidae</x:v>
      </x:c>
      <x:c r="T29" s="32" t="n">
        <x:f>IF(O29="","",(1/'Metadata'!$B$5)^(O29-1))</x:f>
        <x:v>2511.886431509582</x:v>
      </x:c>
      <x:c r="U29" s="31" t="n">
        <x:f>IF(T29="","",I29*T29)</x:f>
        <x:v>2340981.0671957354</x:v>
      </x:c>
    </x:row>
    <x:row r="30" ht="18" customHeight="1">
      <x:c r="A30" s="24" t="str">
        <x:v>EEZ_512</x:v>
      </x:c>
      <x:c r="B30" s="24" t="str">
        <x:v>Oman</x:v>
      </x:c>
      <x:c r="C30" s="24" t="str">
        <x:v>EEZ</x:v>
      </x:c>
      <x:c r="D30" s="30" t="n">
        <x:v>2019</x:v>
      </x:c>
      <x:c r="E30" s="24" t="str">
        <x:v>Scomberomorus commerson</x:v>
      </x:c>
      <x:c r="F30" s="24" t="str">
        <x:v>Narrow-barred Spanish mackerel</x:v>
      </x:c>
      <x:c r="G30" s="24" t="str">
        <x:v>Large pelagics (&gt;=90 cm)</x:v>
      </x:c>
      <x:c r="H30" s="24" t="str">
        <x:v>Perch-likes</x:v>
      </x:c>
      <x:c r="I30" s="31" t="n">
        <x:v>840.1734133524001</x:v>
      </x:c>
      <x:c r="J30" s="31" t="n">
        <x:v>840.1734133524001</x:v>
      </x:c>
      <x:c r="K30" s="31" t="n">
        <x:v>0</x:v>
      </x:c>
      <x:c r="L30" s="31" t="n">
        <x:v>840.1734133524001</x:v>
      </x:c>
      <x:c r="M30" s="31" t="n">
        <x:v>0</x:v>
      </x:c>
      <x:c r="N30" s="24" t="str">
        <x:v>scomberomorus commerson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Scomberomorus commerson</x:v>
      </x:c>
      <x:c r="T30" s="32" t="n">
        <x:f>IF(O30="","",(1/'Metadata'!$B$5)^(O30-1))</x:f>
        <x:v>3162.2776601683795</x:v>
      </x:c>
      <x:c r="U30" s="31" t="n">
        <x:f>IF(T30="","",I30*T30)</x:f>
        <x:v>2656861.6157117086</x:v>
      </x:c>
    </x:row>
    <x:row r="31" ht="18" customHeight="1">
      <x:c r="A31" s="24" t="str">
        <x:v>EEZ_512</x:v>
      </x:c>
      <x:c r="B31" s="24" t="str">
        <x:v>Oman</x:v>
      </x:c>
      <x:c r="C31" s="24" t="str">
        <x:v>EEZ</x:v>
      </x:c>
      <x:c r="D31" s="30" t="n">
        <x:v>2019</x:v>
      </x:c>
      <x:c r="E31" s="24" t="str">
        <x:v>Lethrinidae</x:v>
      </x:c>
      <x:c r="F31" s="24" t="str">
        <x:v>Emperors, scavengers</x:v>
      </x:c>
      <x:c r="G31" s="24" t="str">
        <x:v>Medium reef assoc. fish (30 - 89 cm)</x:v>
      </x:c>
      <x:c r="H31" s="24" t="str">
        <x:v>Perch-likes</x:v>
      </x:c>
      <x:c r="I31" s="31" t="n">
        <x:v>835.8012711071001</x:v>
      </x:c>
      <x:c r="J31" s="31" t="n">
        <x:v>756.7251548199</x:v>
      </x:c>
      <x:c r="K31" s="31" t="n">
        <x:v>79.0761162872</x:v>
      </x:c>
      <x:c r="L31" s="31" t="n">
        <x:v>0</x:v>
      </x:c>
      <x:c r="M31" s="31" t="n">
        <x:v>835.8012711071001</x:v>
      </x:c>
      <x:c r="N31" s="24" t="str">
        <x:v>lethrinidae</x:v>
      </x:c>
      <x:c r="O31" s="32" t="n">
        <x:v>3.59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Lethrinidae</x:v>
      </x:c>
      <x:c r="T31" s="32" t="n">
        <x:f>IF(O31="","",(1/'Metadata'!$B$5)^(O31-1))</x:f>
        <x:v>389.04514499428046</x:v>
      </x:c>
      <x:c r="U31" s="31" t="n">
        <x:f>IF(T31="","",I31*T31)</x:f>
        <x:v>325164.42670426564</x:v>
      </x:c>
    </x:row>
    <x:row r="32" ht="18" customHeight="1">
      <x:c r="A32" s="24" t="str">
        <x:v>EEZ_512</x:v>
      </x:c>
      <x:c r="B32" s="24" t="str">
        <x:v>Oman</x:v>
      </x:c>
      <x:c r="C32" s="24" t="str">
        <x:v>EEZ</x:v>
      </x:c>
      <x:c r="D32" s="30" t="n">
        <x:v>2019</x:v>
      </x:c>
      <x:c r="E32" s="24" t="str">
        <x:v>Istiophorus platypterus</x:v>
      </x:c>
      <x:c r="F32" s="24" t="str">
        <x:v>Indo-Pacific sailfish</x:v>
      </x:c>
      <x:c r="G32" s="24" t="str">
        <x:v>Large pelagics (&gt;=90 cm)</x:v>
      </x:c>
      <x:c r="H32" s="24" t="str">
        <x:v>Tuna &amp; billfishes</x:v>
      </x:c>
      <x:c r="I32" s="31" t="n">
        <x:v>637.8816296438999</x:v>
      </x:c>
      <x:c r="J32" s="31" t="n">
        <x:v>637.8816296438999</x:v>
      </x:c>
      <x:c r="K32" s="31" t="n">
        <x:v>0</x:v>
      </x:c>
      <x:c r="L32" s="31" t="n">
        <x:v>621.8391139722</x:v>
      </x:c>
      <x:c r="M32" s="31" t="n">
        <x:v>16.0425156717</x:v>
      </x:c>
      <x:c r="N32" s="24" t="str">
        <x:v>istiophorus platypterus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Istiophorus platypterus</x:v>
      </x:c>
      <x:c r="T32" s="32" t="n">
        <x:f>IF(O32="","",(1/'Metadata'!$B$5)^(O32-1))</x:f>
        <x:v>3162.2776601683795</x:v>
      </x:c>
      <x:c r="U32" s="31" t="n">
        <x:f>IF(T32="","",I32*T32)</x:f>
        <x:v>2017158.8272547047</x:v>
      </x:c>
    </x:row>
    <x:row r="33" ht="18" customHeight="1">
      <x:c r="A33" s="24" t="str">
        <x:v>EEZ_512</x:v>
      </x:c>
      <x:c r="B33" s="24" t="str">
        <x:v>Oman</x:v>
      </x:c>
      <x:c r="C33" s="24" t="str">
        <x:v>EEZ</x:v>
      </x:c>
      <x:c r="D33" s="30" t="n">
        <x:v>2019</x:v>
      </x:c>
      <x:c r="E33" s="24" t="str">
        <x:v>Siganidae</x:v>
      </x:c>
      <x:c r="F33" s="24" t="str">
        <x:v>Rabbitfishes</x:v>
      </x:c>
      <x:c r="G33" s="24" t="str">
        <x:v>Medium reef assoc. fish (30 - 89 cm)</x:v>
      </x:c>
      <x:c r="H33" s="24" t="str">
        <x:v>Perch-likes</x:v>
      </x:c>
      <x:c r="I33" s="31" t="n">
        <x:v>569.4496412748</x:v>
      </x:c>
      <x:c r="J33" s="31" t="n">
        <x:v>512.9205133515</x:v>
      </x:c>
      <x:c r="K33" s="31" t="n">
        <x:v>56.529127923299995</x:v>
      </x:c>
      <x:c r="L33" s="31" t="n">
        <x:v>0</x:v>
      </x:c>
      <x:c r="M33" s="31" t="n">
        <x:v>569.4496412748</x:v>
      </x:c>
      <x:c r="N33" s="24" t="str">
        <x:v>siganidae</x:v>
      </x:c>
      <x:c r="O33" s="32" t="n">
        <x:v>2.11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Siganidae</x:v>
      </x:c>
      <x:c r="T33" s="32" t="n">
        <x:f>IF(O33="","",(1/'Metadata'!$B$5)^(O33-1))</x:f>
        <x:v>12.882495516931336</x:v>
      </x:c>
      <x:c r="U33" s="31" t="n">
        <x:f>IF(T33="","",I33*T33)</x:f>
        <x:v>7335.932450840768</x:v>
      </x:c>
    </x:row>
    <x:row r="34" ht="18" customHeight="1">
      <x:c r="A34" s="24" t="str">
        <x:v>EEZ_512</x:v>
      </x:c>
      <x:c r="B34" s="24" t="str">
        <x:v>Oman</x:v>
      </x:c>
      <x:c r="C34" s="24" t="str">
        <x:v>EEZ</x:v>
      </x:c>
      <x:c r="D34" s="30" t="n">
        <x:v>2019</x:v>
      </x:c>
      <x:c r="E34" s="24" t="str">
        <x:v>Nemipteridae</x:v>
      </x:c>
      <x:c r="F34" s="24" t="str">
        <x:v>Threadfins, whiptail breams</x:v>
      </x:c>
      <x:c r="G34" s="24" t="str">
        <x:v>Small demersals (&lt;30 cm)</x:v>
      </x:c>
      <x:c r="H34" s="24" t="str">
        <x:v>Perch-likes</x:v>
      </x:c>
      <x:c r="I34" s="31" t="n">
        <x:v>557.9877797652</x:v>
      </x:c>
      <x:c r="J34" s="31" t="n">
        <x:v>557.9877797652</x:v>
      </x:c>
      <x:c r="K34" s="31" t="n">
        <x:v>0</x:v>
      </x:c>
      <x:c r="L34" s="31" t="n">
        <x:v>557.9877797652</x:v>
      </x:c>
      <x:c r="M34" s="31" t="n">
        <x:v>0</x:v>
      </x:c>
      <x:c r="N34" s="24" t="str">
        <x:v>nemipteridae</x:v>
      </x:c>
      <x:c r="O34" s="32" t="n">
        <x:v>3.51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Nemipteridae</x:v>
      </x:c>
      <x:c r="T34" s="32" t="n">
        <x:f>IF(O34="","",(1/'Metadata'!$B$5)^(O34-1))</x:f>
        <x:v>323.5936569296281</x:v>
      </x:c>
      <x:c r="U34" s="31" t="n">
        <x:f>IF(T34="","",I34*T34)</x:f>
        <x:v>180561.306176265</x:v>
      </x:c>
    </x:row>
    <x:row r="35" ht="18" customHeight="1">
      <x:c r="A35" s="24" t="str">
        <x:v>EEZ_512</x:v>
      </x:c>
      <x:c r="B35" s="24" t="str">
        <x:v>Oman</x:v>
      </x:c>
      <x:c r="C35" s="24" t="str">
        <x:v>EEZ</x:v>
      </x:c>
      <x:c r="D35" s="30" t="n">
        <x:v>2019</x:v>
      </x:c>
      <x:c r="E35" s="24" t="str">
        <x:v>Sarda orientalis</x:v>
      </x:c>
      <x:c r="F35" s="24" t="str">
        <x:v>Striped bonito</x:v>
      </x:c>
      <x:c r="G35" s="24" t="str">
        <x:v>Large pelagics (&gt;=90 cm)</x:v>
      </x:c>
      <x:c r="H35" s="24" t="str">
        <x:v>Tuna &amp; billfishes</x:v>
      </x:c>
      <x:c r="I35" s="31" t="n">
        <x:v>538.5255281687</x:v>
      </x:c>
      <x:c r="J35" s="31" t="n">
        <x:v>538.5255281687</x:v>
      </x:c>
      <x:c r="K35" s="31" t="n">
        <x:v>0</x:v>
      </x:c>
      <x:c r="L35" s="31" t="n">
        <x:v>538.5255281687</x:v>
      </x:c>
      <x:c r="M35" s="31" t="n">
        <x:v>0</x:v>
      </x:c>
      <x:c r="N35" s="24" t="str">
        <x:v>sarda orientalis</x:v>
      </x:c>
      <x:c r="O35" s="32" t="n">
        <x:v>4.21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Sarda orientalis</x:v>
      </x:c>
      <x:c r="T35" s="32" t="n">
        <x:f>IF(O35="","",(1/'Metadata'!$B$5)^(O35-1))</x:f>
        <x:v>1621.8100973589299</x:v>
      </x:c>
      <x:c r="U35" s="31" t="n">
        <x:f>IF(T35="","",I35*T35)</x:f>
        <x:v>873386.1392695485</x:v>
      </x:c>
    </x:row>
    <x:row r="36" ht="18" customHeight="1">
      <x:c r="A36" s="24" t="str">
        <x:v>EEZ_512</x:v>
      </x:c>
      <x:c r="B36" s="24" t="str">
        <x:v>Oman</x:v>
      </x:c>
      <x:c r="C36" s="24" t="str">
        <x:v>EEZ</x:v>
      </x:c>
      <x:c r="D36" s="30" t="n">
        <x:v>2019</x:v>
      </x:c>
      <x:c r="E36" s="24" t="str">
        <x:v>Panulirus homarus</x:v>
      </x:c>
      <x:c r="F36" s="24" t="str">
        <x:v>Scalloped spiny lobster</x:v>
      </x:c>
      <x:c r="G36" s="24" t="str">
        <x:v>Lobsters, crabs</x:v>
      </x:c>
      <x:c r="H36" s="24" t="str">
        <x:v>Crustaceans</x:v>
      </x:c>
      <x:c r="I36" s="31" t="n">
        <x:v>508.9667307693</x:v>
      </x:c>
      <x:c r="J36" s="31" t="n">
        <x:v>508.9667307693</x:v>
      </x:c>
      <x:c r="K36" s="31" t="n">
        <x:v>0</x:v>
      </x:c>
      <x:c r="L36" s="31" t="n">
        <x:v>508.9667307693</x:v>
      </x:c>
      <x:c r="M36" s="31" t="n">
        <x:v>0</x:v>
      </x:c>
      <x:c r="N36" s="24" t="str">
        <x:v>panulirus homarus</x:v>
      </x:c>
      <x:c r="O36" s="32" t="n">
        <x:v>3.33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Panulirus homarus</x:v>
      </x:c>
      <x:c r="T36" s="32" t="n">
        <x:f>IF(O36="","",(1/'Metadata'!$B$5)^(O36-1))</x:f>
        <x:v>213.79620895022325</x:v>
      </x:c>
      <x:c r="U36" s="31" t="n">
        <x:f>IF(T36="","",I36*T36)</x:f>
        <x:v>108815.15752026527</x:v>
      </x:c>
    </x:row>
    <x:row r="37" ht="18" customHeight="1">
      <x:c r="A37" s="24" t="str">
        <x:v>EEZ_512</x:v>
      </x:c>
      <x:c r="B37" s="24" t="str">
        <x:v>Oman</x:v>
      </x:c>
      <x:c r="C37" s="24" t="str">
        <x:v>EEZ</x:v>
      </x:c>
      <x:c r="D37" s="30" t="n">
        <x:v>2019</x:v>
      </x:c>
      <x:c r="E37" s="24" t="str">
        <x:v>Auxis thazard</x:v>
      </x:c>
      <x:c r="F37" s="24" t="str">
        <x:v>Frigate tuna</x:v>
      </x:c>
      <x:c r="G37" s="24" t="str">
        <x:v>Medium pelagics (30 - 89 cm)</x:v>
      </x:c>
      <x:c r="H37" s="24" t="str">
        <x:v>Tuna &amp; billfishes</x:v>
      </x:c>
      <x:c r="I37" s="31" t="n">
        <x:v>434.2110155136</x:v>
      </x:c>
      <x:c r="J37" s="31" t="n">
        <x:v>434.2110155136</x:v>
      </x:c>
      <x:c r="K37" s="31" t="n">
        <x:v>0</x:v>
      </x:c>
      <x:c r="L37" s="31" t="n">
        <x:v>434.2110155136</x:v>
      </x:c>
      <x:c r="M37" s="31" t="n">
        <x:v>0</x:v>
      </x:c>
      <x:c r="N37" s="24" t="str">
        <x:v>auxis thazard</x:v>
      </x:c>
      <x:c r="O37" s="32" t="n">
        <x:v>4.37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Auxis thazard</x:v>
      </x:c>
      <x:c r="T37" s="32" t="n">
        <x:f>IF(O37="","",(1/'Metadata'!$B$5)^(O37-1))</x:f>
        <x:v>2344.228815319923</x:v>
      </x:c>
      <x:c r="U37" s="31" t="n">
        <x:f>IF(T37="","",I37*T37)</x:f>
        <x:v>1017889.9744963072</x:v>
      </x:c>
    </x:row>
    <x:row r="38" ht="18" customHeight="1">
      <x:c r="A38" s="24" t="str">
        <x:v>EEZ_512</x:v>
      </x:c>
      <x:c r="B38" s="24" t="str">
        <x:v>Oman</x:v>
      </x:c>
      <x:c r="C38" s="24" t="str">
        <x:v>EEZ</x:v>
      </x:c>
      <x:c r="D38" s="30" t="n">
        <x:v>2019</x:v>
      </x:c>
      <x:c r="E38" s="24" t="str">
        <x:v>Penaeidae</x:v>
      </x:c>
      <x:c r="F38" s="24" t="str">
        <x:v>Commercial shrimps and prawns</x:v>
      </x:c>
      <x:c r="G38" s="24" t="str">
        <x:v>Shrimps</x:v>
      </x:c>
      <x:c r="H38" s="24" t="str">
        <x:v>Crustaceans</x:v>
      </x:c>
      <x:c r="I38" s="31" t="n">
        <x:v>431.50000000010004</x:v>
      </x:c>
      <x:c r="J38" s="31" t="n">
        <x:v>431.50000000010004</x:v>
      </x:c>
      <x:c r="K38" s="31" t="n">
        <x:v>0</x:v>
      </x:c>
      <x:c r="L38" s="31" t="n">
        <x:v>431.50000000010004</x:v>
      </x:c>
      <x:c r="M38" s="31" t="n">
        <x:v>0</x:v>
      </x:c>
      <x:c r="N38" s="24" t="str">
        <x:v>penaeidae</x:v>
      </x:c>
      <x:c r="O38" s="32" t="n">
        <x:v>3.31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Penaeidae</x:v>
      </x:c>
      <x:c r="T38" s="32" t="n">
        <x:f>IF(O38="","",(1/'Metadata'!$B$5)^(O38-1))</x:f>
        <x:v>204.17379446695296</x:v>
      </x:c>
      <x:c r="U38" s="31" t="n">
        <x:f>IF(T38="","",I38*T38)</x:f>
        <x:v>88100.99231251063</x:v>
      </x:c>
    </x:row>
    <x:row r="39" ht="18" customHeight="1">
      <x:c r="A39" s="24" t="str">
        <x:v>EEZ_512</x:v>
      </x:c>
      <x:c r="B39" s="24" t="str">
        <x:v>Oman</x:v>
      </x:c>
      <x:c r="C39" s="24" t="str">
        <x:v>EEZ</x:v>
      </x:c>
      <x:c r="D39" s="30" t="n">
        <x:v>2019</x:v>
      </x:c>
      <x:c r="E39" s="24" t="str">
        <x:v>Haemulidae</x:v>
      </x:c>
      <x:c r="F39" s="24" t="str">
        <x:v>Grunts, sweetlips, bonnetmouths</x:v>
      </x:c>
      <x:c r="G39" s="24" t="str">
        <x:v>Medium demersals (30 - 89 cm)</x:v>
      </x:c>
      <x:c r="H39" s="24" t="str">
        <x:v>Perch-likes</x:v>
      </x:c>
      <x:c r="I39" s="31" t="n">
        <x:v>398.7842543719</x:v>
      </x:c>
      <x:c r="J39" s="31" t="n">
        <x:v>359.3437988425</x:v>
      </x:c>
      <x:c r="K39" s="31" t="n">
        <x:v>39.4404555294</x:v>
      </x:c>
      <x:c r="L39" s="31" t="n">
        <x:v>0</x:v>
      </x:c>
      <x:c r="M39" s="31" t="n">
        <x:v>398.7842543719</x:v>
      </x:c>
      <x:c r="N39" s="24" t="str">
        <x:v>haemulidae</x:v>
      </x:c>
      <x:c r="O39" s="32" t="n">
        <x:v>3.36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Haemulidae</x:v>
      </x:c>
      <x:c r="T39" s="32" t="n">
        <x:f>IF(O39="","",(1/'Metadata'!$B$5)^(O39-1))</x:f>
        <x:v>229.08676527677724</x:v>
      </x:c>
      <x:c r="U39" s="31" t="n">
        <x:f>IF(T39="","",I39*T39)</x:f>
        <x:v>91356.19487737009</x:v>
      </x:c>
    </x:row>
    <x:row r="40" ht="18" customHeight="1">
      <x:c r="A40" s="24" t="str">
        <x:v>EEZ_512</x:v>
      </x:c>
      <x:c r="B40" s="24" t="str">
        <x:v>Oman</x:v>
      </x:c>
      <x:c r="C40" s="24" t="str">
        <x:v>EEZ</x:v>
      </x:c>
      <x:c r="D40" s="30" t="n">
        <x:v>2019</x:v>
      </x:c>
      <x:c r="E40" s="24" t="str">
        <x:v>Sepiidae</x:v>
      </x:c>
      <x:c r="F40" s="24" t="str">
        <x:v>Cuttlefishes</x:v>
      </x:c>
      <x:c r="G40" s="24" t="str">
        <x:v>Cephalopods</x:v>
      </x:c>
      <x:c r="H40" s="24" t="str">
        <x:v>Other fishes &amp; inverts</x:v>
      </x:c>
      <x:c r="I40" s="31" t="n">
        <x:v>353.97683543159997</x:v>
      </x:c>
      <x:c r="J40" s="31" t="n">
        <x:v>320.1226090993</x:v>
      </x:c>
      <x:c r="K40" s="31" t="n">
        <x:v>33.8542263323</x:v>
      </x:c>
      <x:c r="L40" s="31" t="n">
        <x:v>0</x:v>
      </x:c>
      <x:c r="M40" s="31" t="n">
        <x:v>353.97683543159997</x:v>
      </x:c>
      <x:c r="N40" s="24" t="str">
        <x:v>sepiidae</x:v>
      </x:c>
      <x:c r="O40" s="32" t="n">
        <x:v>3.6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Sepiidae</x:v>
      </x:c>
      <x:c r="T40" s="32" t="n">
        <x:f>IF(O40="","",(1/'Metadata'!$B$5)^(O40-1))</x:f>
        <x:v>398.1071705534973</x:v>
      </x:c>
      <x:c r="U40" s="31" t="n">
        <x:f>IF(T40="","",I40*T40)</x:f>
        <x:v>140920.71639515524</x:v>
      </x:c>
    </x:row>
    <x:row r="41" ht="18" customHeight="1">
      <x:c r="A41" s="24" t="str">
        <x:v>EEZ_512</x:v>
      </x:c>
      <x:c r="B41" s="24" t="str">
        <x:v>Oman</x:v>
      </x:c>
      <x:c r="C41" s="24" t="str">
        <x:v>EEZ</x:v>
      </x:c>
      <x:c r="D41" s="30" t="n">
        <x:v>2019</x:v>
      </x:c>
      <x:c r="E41" s="24" t="str">
        <x:v>Lutjanidae</x:v>
      </x:c>
      <x:c r="F41" s="24" t="str">
        <x:v>Snappers</x:v>
      </x:c>
      <x:c r="G41" s="24" t="str">
        <x:v>Medium reef assoc. fish (30 - 89 cm)</x:v>
      </x:c>
      <x:c r="H41" s="24" t="str">
        <x:v>Perch-likes</x:v>
      </x:c>
      <x:c r="I41" s="31" t="n">
        <x:v>199.9134544954</x:v>
      </x:c>
      <x:c r="J41" s="31" t="n">
        <x:v>182.06979147570001</x:v>
      </x:c>
      <x:c r="K41" s="31" t="n">
        <x:v>17.843663019700003</x:v>
      </x:c>
      <x:c r="L41" s="31" t="n">
        <x:v>0</x:v>
      </x:c>
      <x:c r="M41" s="31" t="n">
        <x:v>199.9134544954</x:v>
      </x:c>
      <x:c r="N41" s="24" t="str">
        <x:v>lutjanidae</x:v>
      </x:c>
      <x:c r="O41" s="32" t="n">
        <x:v>4.02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Lutjanidae</x:v>
      </x:c>
      <x:c r="T41" s="32" t="n">
        <x:f>IF(O41="","",(1/'Metadata'!$B$5)^(O41-1))</x:f>
        <x:v>1047.1285480508984</x:v>
      </x:c>
      <x:c r="U41" s="31" t="n">
        <x:f>IF(T41="","",I41*T41)</x:f>
        <x:v>209335.08534160757</x:v>
      </x:c>
    </x:row>
    <x:row r="42" ht="18" customHeight="1">
      <x:c r="A42" s="24" t="str">
        <x:v>EEZ_512</x:v>
      </x:c>
      <x:c r="B42" s="24" t="str">
        <x:v>Oman</x:v>
      </x:c>
      <x:c r="C42" s="24" t="str">
        <x:v>EEZ</x:v>
      </x:c>
      <x:c r="D42" s="30" t="n">
        <x:v>2019</x:v>
      </x:c>
      <x:c r="E42" s="24" t="str">
        <x:v>Istiophoridae</x:v>
      </x:c>
      <x:c r="F42" s="24" t="str">
        <x:v>Billfishes</x:v>
      </x:c>
      <x:c r="G42" s="24" t="str">
        <x:v>Large pelagics (&gt;=90 cm)</x:v>
      </x:c>
      <x:c r="H42" s="24" t="str">
        <x:v>Tuna &amp; billfishes</x:v>
      </x:c>
      <x:c r="I42" s="31" t="n">
        <x:v>140.6611709745</x:v>
      </x:c>
      <x:c r="J42" s="31" t="n">
        <x:v>128.4530237523</x:v>
      </x:c>
      <x:c r="K42" s="31" t="n">
        <x:v>12.2081472222</x:v>
      </x:c>
      <x:c r="L42" s="31" t="n">
        <x:v>8.7049508068</x:v>
      </x:c>
      <x:c r="M42" s="31" t="n">
        <x:v>131.9562201677</x:v>
      </x:c>
      <x:c r="N42" s="24" t="str">
        <x:v>istiophoridae</x:v>
      </x:c>
      <x:c r="O42" s="32" t="n">
        <x:v>4.48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Istiophoridae</x:v>
      </x:c>
      <x:c r="T42" s="32" t="n">
        <x:f>IF(O42="","",(1/'Metadata'!$B$5)^(O42-1))</x:f>
        <x:v>3019.951720402019</x:v>
      </x:c>
      <x:c r="U42" s="31" t="n">
        <x:f>IF(T42="","",I42*T42)</x:f>
        <x:v>424789.9452782038</x:v>
      </x:c>
    </x:row>
    <x:row r="43" ht="18" customHeight="1">
      <x:c r="A43" s="24" t="str">
        <x:v>EEZ_512</x:v>
      </x:c>
      <x:c r="B43" s="24" t="str">
        <x:v>Oman</x:v>
      </x:c>
      <x:c r="C43" s="24" t="str">
        <x:v>EEZ</x:v>
      </x:c>
      <x:c r="D43" s="30" t="n">
        <x:v>2019</x:v>
      </x:c>
      <x:c r="E43" s="24" t="str">
        <x:v>Rachycentron canadum</x:v>
      </x:c>
      <x:c r="F43" s="24" t="str">
        <x:v>Cobia</x:v>
      </x:c>
      <x:c r="G43" s="24" t="str">
        <x:v>Large pelagics (&gt;=90 cm)</x:v>
      </x:c>
      <x:c r="H43" s="24" t="str">
        <x:v>Perch-likes</x:v>
      </x:c>
      <x:c r="I43" s="31" t="n">
        <x:v>120.7587387386</x:v>
      </x:c>
      <x:c r="J43" s="31" t="n">
        <x:v>120.7587387386</x:v>
      </x:c>
      <x:c r="K43" s="31" t="n">
        <x:v>0</x:v>
      </x:c>
      <x:c r="L43" s="31" t="n">
        <x:v>120.7587387386</x:v>
      </x:c>
      <x:c r="M43" s="31" t="n">
        <x:v>0</x:v>
      </x:c>
      <x:c r="N43" s="24" t="str">
        <x:v>rachycentron canadum</x:v>
      </x:c>
      <x:c r="O43" s="32" t="n">
        <x:v>3.96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Rachycentron canadum</x:v>
      </x:c>
      <x:c r="T43" s="32" t="n">
        <x:f>IF(O43="","",(1/'Metadata'!$B$5)^(O43-1))</x:f>
        <x:v>912.0108393559096</x:v>
      </x:c>
      <x:c r="U43" s="31" t="n">
        <x:f>IF(T43="","",I43*T43)</x:f>
        <x:v>110133.27867655159</x:v>
      </x:c>
    </x:row>
    <x:row r="44" ht="18" customHeight="1">
      <x:c r="A44" s="24" t="str">
        <x:v>EEZ_512</x:v>
      </x:c>
      <x:c r="B44" s="24" t="str">
        <x:v>Oman</x:v>
      </x:c>
      <x:c r="C44" s="24" t="str">
        <x:v>EEZ</x:v>
      </x:c>
      <x:c r="D44" s="30" t="n">
        <x:v>2019</x:v>
      </x:c>
      <x:c r="E44" s="24" t="str">
        <x:v>Marine pelagic fishes not identified</x:v>
      </x:c>
      <x:c r="F44" s="24" t="str">
        <x:v>Pelagic fishes</x:v>
      </x:c>
      <x:c r="G44" s="24" t="str">
        <x:v>Medium pelagics (30 - 89 cm)</x:v>
      </x:c>
      <x:c r="H44" s="24" t="str">
        <x:v>Other fishes &amp; inverts</x:v>
      </x:c>
      <x:c r="I44" s="31" t="n">
        <x:v>114.0329625417</x:v>
      </x:c>
      <x:c r="J44" s="31" t="n">
        <x:v>114.0329625417</x:v>
      </x:c>
      <x:c r="K44" s="31" t="n">
        <x:v>0</x:v>
      </x:c>
      <x:c r="L44" s="31" t="n">
        <x:v>114.0329625417</x:v>
      </x:c>
      <x:c r="M44" s="31" t="n">
        <x:v>0</x:v>
      </x:c>
      <x:c r="N44" s="24" t="str">
        <x:v>marine pelagic fishes not identified</x:v>
      </x:c>
      <x:c r="O44" s="32" t="n">
        <x:v>3.35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Marine pelagic fishes not identified</x:v>
      </x:c>
      <x:c r="T44" s="32" t="n">
        <x:f>IF(O44="","",(1/'Metadata'!$B$5)^(O44-1))</x:f>
        <x:v>223.872113856834</x:v>
      </x:c>
      <x:c r="U44" s="31" t="n">
        <x:f>IF(T44="","",I44*T44)</x:f>
        <x:v>25528.80037356755</x:v>
      </x:c>
    </x:row>
    <x:row r="45" ht="18" customHeight="1">
      <x:c r="A45" s="24" t="str">
        <x:v>EEZ_512</x:v>
      </x:c>
      <x:c r="B45" s="24" t="str">
        <x:v>Oman</x:v>
      </x:c>
      <x:c r="C45" s="24" t="str">
        <x:v>EEZ</x:v>
      </x:c>
      <x:c r="D45" s="30" t="n">
        <x:v>2019</x:v>
      </x:c>
      <x:c r="E45" s="24" t="str">
        <x:v>Penaeus</x:v>
      </x:c>
      <x:c r="F45" s="24" t="str">
        <x:v>Tiger prawns</x:v>
      </x:c>
      <x:c r="G45" s="24" t="str">
        <x:v>Shrimps</x:v>
      </x:c>
      <x:c r="H45" s="24" t="str">
        <x:v>Crustaceans</x:v>
      </x:c>
      <x:c r="I45" s="31" t="n">
        <x:v>99.1444829109</x:v>
      </x:c>
      <x:c r="J45" s="31" t="n">
        <x:v>89.0910668013</x:v>
      </x:c>
      <x:c r="K45" s="31" t="n">
        <x:v>10.0534161096</x:v>
      </x:c>
      <x:c r="L45" s="31" t="n">
        <x:v>0</x:v>
      </x:c>
      <x:c r="M45" s="31" t="n">
        <x:v>99.1444829109</x:v>
      </x:c>
      <x:c r="N45" s="24" t="str">
        <x:v>penaeus</x:v>
      </x:c>
      <x:c r="O45" s="32" t="n">
        <x:v>2.7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Penaeus</x:v>
      </x:c>
      <x:c r="T45" s="32" t="n">
        <x:f>IF(O45="","",(1/'Metadata'!$B$5)^(O45-1))</x:f>
        <x:v>50.11872336272725</x:v>
      </x:c>
      <x:c r="U45" s="31" t="n">
        <x:f>IF(T45="","",I45*T45)</x:f>
        <x:v>4968.994911952036</x:v>
      </x:c>
    </x:row>
    <x:row r="46" ht="18" customHeight="1">
      <x:c r="A46" s="24" t="str">
        <x:v>EEZ_512</x:v>
      </x:c>
      <x:c r="B46" s="24" t="str">
        <x:v>Oman</x:v>
      </x:c>
      <x:c r="C46" s="24" t="str">
        <x:v>EEZ</x:v>
      </x:c>
      <x:c r="D46" s="30" t="n">
        <x:v>2019</x:v>
      </x:c>
      <x:c r="E46" s="24" t="str">
        <x:v>Istiompax indica</x:v>
      </x:c>
      <x:c r="F46" s="24" t="str">
        <x:v>Black marlin</x:v>
      </x:c>
      <x:c r="G46" s="24" t="str">
        <x:v>Large pelagics (&gt;=90 cm)</x:v>
      </x:c>
      <x:c r="H46" s="24" t="str">
        <x:v>Tuna &amp; billfishes</x:v>
      </x:c>
      <x:c r="I46" s="31" t="n">
        <x:v>50.3229339701</x:v>
      </x:c>
      <x:c r="J46" s="31" t="n">
        <x:v>50.3229339701</x:v>
      </x:c>
      <x:c r="K46" s="31" t="n">
        <x:v>0</x:v>
      </x:c>
      <x:c r="L46" s="31" t="n">
        <x:v>50.3229339701</x:v>
      </x:c>
      <x:c r="M46" s="31" t="n">
        <x:v>0</x:v>
      </x:c>
      <x:c r="N46" s="24" t="str">
        <x:v>istiompax indica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Istiompax indica</x:v>
      </x:c>
      <x:c r="T46" s="32" t="n">
        <x:f>IF(O46="","",(1/'Metadata'!$B$5)^(O46-1))</x:f>
        <x:v>3162.2776601683795</x:v>
      </x:c>
      <x:c r="U46" s="31" t="n">
        <x:f>IF(T46="","",I46*T46)</x:f>
        <x:v>159135.08988777568</x:v>
      </x:c>
    </x:row>
    <x:row r="47" ht="18" customHeight="1">
      <x:c r="A47" s="24" t="str">
        <x:v>EEZ_512</x:v>
      </x:c>
      <x:c r="B47" s="24" t="str">
        <x:v>Oman</x:v>
      </x:c>
      <x:c r="C47" s="24" t="str">
        <x:v>EEZ</x:v>
      </x:c>
      <x:c r="D47" s="30" t="n">
        <x:v>2019</x:v>
      </x:c>
      <x:c r="E47" s="24" t="str">
        <x:v>Thunnus obesus</x:v>
      </x:c>
      <x:c r="F47" s="24" t="str">
        <x:v>Bigeye tuna</x:v>
      </x:c>
      <x:c r="G47" s="24" t="str">
        <x:v>Large pelagics (&gt;=90 cm)</x:v>
      </x:c>
      <x:c r="H47" s="24" t="str">
        <x:v>Tuna &amp; billfishes</x:v>
      </x:c>
      <x:c r="I47" s="31" t="n">
        <x:v>41.6145964009</x:v>
      </x:c>
      <x:c r="J47" s="31" t="n">
        <x:v>41.6145964009</x:v>
      </x:c>
      <x:c r="K47" s="31" t="n">
        <x:v>0</x:v>
      </x:c>
      <x:c r="L47" s="31" t="n">
        <x:v>41.6145964009</x:v>
      </x:c>
      <x:c r="M47" s="31" t="n">
        <x:v>0</x:v>
      </x:c>
      <x:c r="N47" s="24" t="str">
        <x:v>thunnus obesus</x:v>
      </x:c>
      <x:c r="O47" s="32" t="n">
        <x:v>4.49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obesus</x:v>
      </x:c>
      <x:c r="T47" s="32" t="n">
        <x:f>IF(O47="","",(1/'Metadata'!$B$5)^(O47-1))</x:f>
        <x:v>3090.295432513592</x:v>
      </x:c>
      <x:c r="U47" s="31" t="n">
        <x:f>IF(T47="","",I47*T47)</x:f>
        <x:v>128601.39718359783</x:v>
      </x:c>
    </x:row>
    <x:row r="48" ht="18" customHeight="1">
      <x:c r="A48" s="24" t="str">
        <x:v>EEZ_512</x:v>
      </x:c>
      <x:c r="B48" s="24" t="str">
        <x:v>Oman</x:v>
      </x:c>
      <x:c r="C48" s="24" t="str">
        <x:v>EEZ</x:v>
      </x:c>
      <x:c r="D48" s="30" t="n">
        <x:v>2019</x:v>
      </x:c>
      <x:c r="E48" s="24" t="str">
        <x:v>Rachycentridae</x:v>
      </x:c>
      <x:c r="F48" s="24" t="str">
        <x:v>Cobias</x:v>
      </x:c>
      <x:c r="G48" s="24" t="str">
        <x:v>Large pelagics (&gt;=90 cm)</x:v>
      </x:c>
      <x:c r="H48" s="24" t="str">
        <x:v>Perch-likes</x:v>
      </x:c>
      <x:c r="I48" s="31" t="n">
        <x:v>20.6486243574</x:v>
      </x:c>
      <x:c r="J48" s="31" t="n">
        <x:v>19.3344049172</x:v>
      </x:c>
      <x:c r="K48" s="31" t="n">
        <x:v>1.3142194402</x:v>
      </x:c>
      <x:c r="L48" s="31" t="n">
        <x:v>0</x:v>
      </x:c>
      <x:c r="M48" s="31" t="n">
        <x:v>20.6486243574</x:v>
      </x:c>
      <x:c r="N48" s="24" t="str">
        <x:v>rachycentridae</x:v>
      </x:c>
      <x:c r="O48" s="32" t="n">
        <x:v>3.96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Rachycentridae</x:v>
      </x:c>
      <x:c r="T48" s="32" t="n">
        <x:f>IF(O48="","",(1/'Metadata'!$B$5)^(O48-1))</x:f>
        <x:v>912.0108393559096</x:v>
      </x:c>
      <x:c r="U48" s="31" t="n">
        <x:f>IF(T48="","",I48*T48)</x:f>
        <x:v>18831.769231737253</x:v>
      </x:c>
    </x:row>
    <x:row r="49" ht="18" customHeight="1">
      <x:c r="A49" s="24" t="str">
        <x:v>EEZ_512</x:v>
      </x:c>
      <x:c r="B49" s="24" t="str">
        <x:v>Oman</x:v>
      </x:c>
      <x:c r="C49" s="24" t="str">
        <x:v>EEZ</x:v>
      </x:c>
      <x:c r="D49" s="30" t="n">
        <x:v>2019</x:v>
      </x:c>
      <x:c r="E49" s="24" t="str">
        <x:v>Prionace glauca</x:v>
      </x:c>
      <x:c r="F49" s="24" t="str">
        <x:v>Blue shark</x:v>
      </x:c>
      <x:c r="G49" s="24" t="str">
        <x:v>Large sharks (&gt;=90 cm)</x:v>
      </x:c>
      <x:c r="H49" s="24" t="str">
        <x:v>Sharks &amp; rays</x:v>
      </x:c>
      <x:c r="I49" s="31" t="n">
        <x:v>12.3785629802</x:v>
      </x:c>
      <x:c r="J49" s="31" t="n">
        <x:v>12.3785629802</x:v>
      </x:c>
      <x:c r="K49" s="31" t="n">
        <x:v>0</x:v>
      </x:c>
      <x:c r="L49" s="31" t="n">
        <x:v>12.3785629802</x:v>
      </x:c>
      <x:c r="M49" s="31" t="n">
        <x:v>0</x:v>
      </x:c>
      <x:c r="N49" s="24" t="str">
        <x:v>prionace glauca</x:v>
      </x:c>
      <x:c r="O49" s="32" t="n">
        <x:v>4.35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Prionace glauca</x:v>
      </x:c>
      <x:c r="T49" s="32" t="n">
        <x:f>IF(O49="","",(1/'Metadata'!$B$5)^(O49-1))</x:f>
        <x:v>2238.7211385683377</x:v>
      </x:c>
      <x:c r="U49" s="31" t="n">
        <x:f>IF(T49="","",I49*T49)</x:f>
        <x:v>27712.15060887322</x:v>
      </x:c>
    </x:row>
    <x:row r="50" ht="18" customHeight="1">
      <x:c r="A50" s="24" t="str">
        <x:v>EEZ_512</x:v>
      </x:c>
      <x:c r="B50" s="24" t="str">
        <x:v>Oman</x:v>
      </x:c>
      <x:c r="C50" s="24" t="str">
        <x:v>EEZ</x:v>
      </x:c>
      <x:c r="D50" s="30" t="n">
        <x:v>2019</x:v>
      </x:c>
      <x:c r="E50" s="24" t="str">
        <x:v>Haliotis</x:v>
      </x:c>
      <x:c r="F50" s="24" t="str">
        <x:v>Abalones</x:v>
      </x:c>
      <x:c r="G50" s="24" t="str">
        <x:v>Other demersal invertebrates</x:v>
      </x:c>
      <x:c r="H50" s="24" t="str">
        <x:v>Molluscs</x:v>
      </x:c>
      <x:c r="I50" s="31" t="n">
        <x:v>12</x:v>
      </x:c>
      <x:c r="J50" s="31" t="n">
        <x:v>12</x:v>
      </x:c>
      <x:c r="K50" s="31" t="n">
        <x:v>0</x:v>
      </x:c>
      <x:c r="L50" s="31" t="n">
        <x:v>12</x:v>
      </x:c>
      <x:c r="M50" s="31" t="n">
        <x:v>0</x:v>
      </x:c>
      <x:c r="N50" s="24" t="str">
        <x:v>haliotis</x:v>
      </x:c>
      <x:c r="O50" s="32" t="n">
        <x:v>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Haliotis</x:v>
      </x:c>
      <x:c r="T50" s="32" t="n">
        <x:f>IF(O50="","",(1/'Metadata'!$B$5)^(O50-1))</x:f>
        <x:v>10</x:v>
      </x:c>
      <x:c r="U50" s="31" t="n">
        <x:f>IF(T50="","",I50*T50)</x:f>
        <x:v>120</x:v>
      </x:c>
    </x:row>
    <x:row r="51" ht="18" customHeight="1">
      <x:c r="A51" s="24" t="str">
        <x:v>EEZ_512</x:v>
      </x:c>
      <x:c r="B51" s="24" t="str">
        <x:v>Oman</x:v>
      </x:c>
      <x:c r="C51" s="24" t="str">
        <x:v>EEZ</x:v>
      </x:c>
      <x:c r="D51" s="30" t="n">
        <x:v>2019</x:v>
      </x:c>
      <x:c r="E51" s="24" t="str">
        <x:v>Xiphias gladius</x:v>
      </x:c>
      <x:c r="F51" s="24" t="str">
        <x:v>Swordfish</x:v>
      </x:c>
      <x:c r="G51" s="24" t="str">
        <x:v>Large pelagics (&gt;=90 cm)</x:v>
      </x:c>
      <x:c r="H51" s="24" t="str">
        <x:v>Tuna &amp; billfishes</x:v>
      </x:c>
      <x:c r="I51" s="31" t="n">
        <x:v>9.2077925086</x:v>
      </x:c>
      <x:c r="J51" s="31" t="n">
        <x:v>9.2077925086</x:v>
      </x:c>
      <x:c r="K51" s="31" t="n">
        <x:v>0</x:v>
      </x:c>
      <x:c r="L51" s="31" t="n">
        <x:v>9.2077925086</x:v>
      </x:c>
      <x:c r="M51" s="31" t="n">
        <x:v>0</x:v>
      </x:c>
      <x:c r="N51" s="24" t="str">
        <x:v>xiphias gladius</x:v>
      </x:c>
      <x:c r="O51" s="32" t="n">
        <x:v>4.53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Xiphias gladius</x:v>
      </x:c>
      <x:c r="T51" s="32" t="n">
        <x:f>IF(O51="","",(1/'Metadata'!$B$5)^(O51-1))</x:f>
        <x:v>3388.4415613920273</x:v>
      </x:c>
      <x:c r="U51" s="31" t="n">
        <x:f>IF(T51="","",I51*T51)</x:f>
        <x:v>31200.0668248144</x:v>
      </x:c>
    </x:row>
    <x:row r="52" ht="18" customHeight="1">
      <x:c r="A52" s="24" t="str">
        <x:v>EEZ_512</x:v>
      </x:c>
      <x:c r="B52" s="24" t="str">
        <x:v>Oman</x:v>
      </x:c>
      <x:c r="C52" s="24" t="str">
        <x:v>EEZ</x:v>
      </x:c>
      <x:c r="D52" s="30" t="n">
        <x:v>2019</x:v>
      </x:c>
      <x:c r="E52" s="24" t="str">
        <x:v>Kajikia audax</x:v>
      </x:c>
      <x:c r="F52" s="24" t="str">
        <x:v>Striped marlin</x:v>
      </x:c>
      <x:c r="G52" s="24" t="str">
        <x:v>Large pelagics (&gt;=90 cm)</x:v>
      </x:c>
      <x:c r="H52" s="24" t="str">
        <x:v>Tuna &amp; billfishes</x:v>
      </x:c>
      <x:c r="I52" s="31" t="n">
        <x:v>7.106970072</x:v>
      </x:c>
      <x:c r="J52" s="31" t="n">
        <x:v>7.106970072</x:v>
      </x:c>
      <x:c r="K52" s="31" t="n">
        <x:v>0</x:v>
      </x:c>
      <x:c r="L52" s="31" t="n">
        <x:v>7.106970072</x:v>
      </x:c>
      <x:c r="M52" s="31" t="n">
        <x:v>0</x:v>
      </x:c>
      <x:c r="N52" s="24" t="str">
        <x:v>kajikia audax</x:v>
      </x:c>
      <x:c r="O52" s="32" t="n">
        <x:v>4.58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Kajikia audax</x:v>
      </x:c>
      <x:c r="T52" s="32" t="n">
        <x:f>IF(O52="","",(1/'Metadata'!$B$5)^(O52-1))</x:f>
        <x:v>3801.8939632056126</x:v>
      </x:c>
      <x:c r="U52" s="31" t="n">
        <x:f>IF(T52="","",I52*T52)</x:f>
        <x:v>27019.946613419757</x:v>
      </x:c>
    </x:row>
    <x:row r="53" ht="18" customHeight="1">
      <x:c r="A53" s="24" t="str">
        <x:v>EEZ_512</x:v>
      </x:c>
      <x:c r="B53" s="24" t="str">
        <x:v>Oman</x:v>
      </x:c>
      <x:c r="C53" s="24" t="str">
        <x:v>EEZ</x:v>
      </x:c>
      <x:c r="D53" s="30" t="n">
        <x:v>2019</x:v>
      </x:c>
      <x:c r="E53" s="24" t="str">
        <x:v>Carcharhinus longimanus</x:v>
      </x:c>
      <x:c r="F53" s="24" t="str">
        <x:v>Oceanic whitetip shark</x:v>
      </x:c>
      <x:c r="G53" s="24" t="str">
        <x:v>Large sharks (&gt;=90 cm)</x:v>
      </x:c>
      <x:c r="H53" s="24" t="str">
        <x:v>Sharks &amp; rays</x:v>
      </x:c>
      <x:c r="I53" s="31" t="n">
        <x:v>4.2077349631</x:v>
      </x:c>
      <x:c r="J53" s="31" t="n">
        <x:v>4.2077349631</x:v>
      </x:c>
      <x:c r="K53" s="31" t="n">
        <x:v>0</x:v>
      </x:c>
      <x:c r="L53" s="31" t="n">
        <x:v>4.2077349631</x:v>
      </x:c>
      <x:c r="M53" s="31" t="n">
        <x:v>0</x:v>
      </x:c>
      <x:c r="N53" s="24" t="str">
        <x:v>carcharhinus longimanus</x:v>
      </x:c>
      <x:c r="O53" s="32" t="n">
        <x:v>4.16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Carcharhinus longimanus</x:v>
      </x:c>
      <x:c r="T53" s="32" t="n">
        <x:f>IF(O53="","",(1/'Metadata'!$B$5)^(O53-1))</x:f>
        <x:v>1445.439770745928</x:v>
      </x:c>
      <x:c r="U53" s="31" t="n">
        <x:f>IF(T53="","",I53*T53)</x:f>
        <x:v>6082.02746042289</x:v>
      </x:c>
    </x:row>
    <x:row r="54" ht="18" customHeight="1">
      <x:c r="A54" s="24" t="str">
        <x:v>EEZ_512</x:v>
      </x:c>
      <x:c r="B54" s="24" t="str">
        <x:v>Oman</x:v>
      </x:c>
      <x:c r="C54" s="24" t="str">
        <x:v>EEZ</x:v>
      </x:c>
      <x:c r="D54" s="30" t="n">
        <x:v>2019</x:v>
      </x:c>
      <x:c r="E54" s="24" t="str">
        <x:v>Haliotidae</x:v>
      </x:c>
      <x:c r="F54" s="24" t="str">
        <x:v>Abalones, ear shells</x:v>
      </x:c>
      <x:c r="G54" s="24" t="str">
        <x:v>Other demersal invertebrates</x:v>
      </x:c>
      <x:c r="H54" s="24" t="str">
        <x:v>Molluscs</x:v>
      </x:c>
      <x:c r="I54" s="31" t="n">
        <x:v>3.6414576048000002</x:v>
      </x:c>
      <x:c r="J54" s="31" t="n">
        <x:v>3.2734401216</x:v>
      </x:c>
      <x:c r="K54" s="31" t="n">
        <x:v>0.3680174832</x:v>
      </x:c>
      <x:c r="L54" s="31" t="n">
        <x:v>0</x:v>
      </x:c>
      <x:c r="M54" s="31" t="n">
        <x:v>3.6414576048000002</x:v>
      </x:c>
      <x:c r="N54" s="24" t="str">
        <x:v>haliotidae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Haliotidae</x:v>
      </x:c>
      <x:c r="T54" s="32" t="n">
        <x:f>IF(O54="","",(1/'Metadata'!$B$5)^(O54-1))</x:f>
        <x:v>10</x:v>
      </x:c>
      <x:c r="U54" s="31" t="n">
        <x:f>IF(T54="","",I54*T54)</x:f>
        <x:v>36.414576048</x:v>
      </x:c>
    </x:row>
    <x:row r="55" ht="18" customHeight="1">
      <x:c r="A55" s="24" t="str">
        <x:v>EEZ_512</x:v>
      </x:c>
      <x:c r="B55" s="24" t="str">
        <x:v>Oman</x:v>
      </x:c>
      <x:c r="C55" s="24" t="str">
        <x:v>EEZ</x:v>
      </x:c>
      <x:c r="D55" s="30" t="n">
        <x:v>2019</x:v>
      </x:c>
      <x:c r="E55" s="24" t="str">
        <x:v>Isurus oxyrinchus</x:v>
      </x:c>
      <x:c r="F55" s="24" t="str">
        <x:v>Shortfin mako</x:v>
      </x:c>
      <x:c r="G55" s="24" t="str">
        <x:v>Large sharks (&gt;=90 cm)</x:v>
      </x:c>
      <x:c r="H55" s="24" t="str">
        <x:v>Sharks &amp; rays</x:v>
      </x:c>
      <x:c r="I55" s="31" t="n">
        <x:v>2.477787464</x:v>
      </x:c>
      <x:c r="J55" s="31" t="n">
        <x:v>2.477787464</x:v>
      </x:c>
      <x:c r="K55" s="31" t="n">
        <x:v>0</x:v>
      </x:c>
      <x:c r="L55" s="31" t="n">
        <x:v>2.477787464</x:v>
      </x:c>
      <x:c r="M55" s="31" t="n">
        <x:v>0</x:v>
      </x:c>
      <x:c r="N55" s="24" t="str">
        <x:v>isurus oxyrinchus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Isurus oxyrinchus</x:v>
      </x:c>
      <x:c r="T55" s="32" t="n">
        <x:f>IF(O55="","",(1/'Metadata'!$B$5)^(O55-1))</x:f>
        <x:v>3162.2776601683795</x:v>
      </x:c>
      <x:c r="U55" s="31" t="n">
        <x:f>IF(T55="","",I55*T55)</x:f>
        <x:v>7835.451944052463</x:v>
      </x:c>
    </x:row>
    <x:row r="56" ht="18" customHeight="1">
      <x:c r="A56" s="24" t="str">
        <x:v>EEZ_512</x:v>
      </x:c>
      <x:c r="B56" s="24" t="str">
        <x:v>Oman</x:v>
      </x:c>
      <x:c r="C56" s="24" t="str">
        <x:v>EEZ</x:v>
      </x:c>
      <x:c r="D56" s="30" t="n">
        <x:v>2019</x:v>
      </x:c>
      <x:c r="E56" s="24" t="str">
        <x:v>Carcharhinus falciformis</x:v>
      </x:c>
      <x:c r="F56" s="24" t="str">
        <x:v>Silky shark</x:v>
      </x:c>
      <x:c r="G56" s="24" t="str">
        <x:v>Large sharks (&gt;=90 cm)</x:v>
      </x:c>
      <x:c r="H56" s="24" t="str">
        <x:v>Sharks &amp; rays</x:v>
      </x:c>
      <x:c r="I56" s="31" t="n">
        <x:v>1.5721010490999998</x:v>
      </x:c>
      <x:c r="J56" s="31" t="n">
        <x:v>1.5721010490999998</x:v>
      </x:c>
      <x:c r="K56" s="31" t="n">
        <x:v>0</x:v>
      </x:c>
      <x:c r="L56" s="31" t="n">
        <x:v>1.5721010490999998</x:v>
      </x:c>
      <x:c r="M56" s="31" t="n">
        <x:v>0</x:v>
      </x:c>
      <x:c r="N56" s="24" t="str">
        <x:v>carcharhinus falciformis</x:v>
      </x:c>
      <x:c r="O56" s="32" t="n">
        <x:v>4.51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Carcharhinus falciformis</x:v>
      </x:c>
      <x:c r="T56" s="32" t="n">
        <x:f>IF(O56="","",(1/'Metadata'!$B$5)^(O56-1))</x:f>
        <x:v>3235.936569296281</x:v>
      </x:c>
      <x:c r="U56" s="31" t="n">
        <x:f>IF(T56="","",I56*T56)</x:f>
        <x:v>5087.219275411738</x:v>
      </x:c>
    </x:row>
    <x:row r="57" ht="18" customHeight="1">
      <x:c r="A57" s="24" t="str">
        <x:v>EEZ_512</x:v>
      </x:c>
      <x:c r="B57" s="24" t="str">
        <x:v>Oman</x:v>
      </x:c>
      <x:c r="C57" s="24" t="str">
        <x:v>EEZ</x:v>
      </x:c>
      <x:c r="D57" s="30" t="n">
        <x:v>2019</x:v>
      </x:c>
      <x:c r="E57" s="24" t="str">
        <x:v>Himantura uarnak</x:v>
      </x:c>
      <x:c r="F57" s="24" t="str">
        <x:v>Honeycomb stingray</x:v>
      </x:c>
      <x:c r="G57" s="24" t="str">
        <x:v>Large rays (&gt;=90 cm)</x:v>
      </x:c>
      <x:c r="H57" s="24" t="str">
        <x:v>Sharks &amp; rays</x:v>
      </x:c>
      <x:c r="I57" s="31" t="n">
        <x:v>1.0283113148</x:v>
      </x:c>
      <x:c r="J57" s="31" t="n">
        <x:v>0</x:v>
      </x:c>
      <x:c r="K57" s="31" t="n">
        <x:v>1.0283113148</x:v>
      </x:c>
      <x:c r="L57" s="31" t="n">
        <x:v>0</x:v>
      </x:c>
      <x:c r="M57" s="31" t="n">
        <x:v>1.0283113148</x:v>
      </x:c>
      <x:c r="N57" s="24" t="str">
        <x:v>himantura uarnak</x:v>
      </x:c>
      <x:c r="O57" s="32" t="n">
        <x:v>3.6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Himantura uarnak</x:v>
      </x:c>
      <x:c r="T57" s="32" t="n">
        <x:f>IF(O57="","",(1/'Metadata'!$B$5)^(O57-1))</x:f>
        <x:v>398.1071705534973</x:v>
      </x:c>
      <x:c r="U57" s="31" t="n">
        <x:f>IF(T57="","",I57*T57)</x:f>
        <x:v>409.3781079831747</x:v>
      </x:c>
    </x:row>
    <x:row r="58" ht="18" customHeight="1">
      <x:c r="A58" s="24" t="str">
        <x:v>EEZ_512</x:v>
      </x:c>
      <x:c r="B58" s="24" t="str">
        <x:v>Oman</x:v>
      </x:c>
      <x:c r="C58" s="24" t="str">
        <x:v>EEZ</x:v>
      </x:c>
      <x:c r="D58" s="30" t="n">
        <x:v>2019</x:v>
      </x:c>
      <x:c r="E58" s="24" t="str">
        <x:v>Scomberomorus guttatus</x:v>
      </x:c>
      <x:c r="F58" s="24" t="str">
        <x:v>Indo-Pacific king mackerel</x:v>
      </x:c>
      <x:c r="G58" s="24" t="str">
        <x:v>Medium pelagics (30 - 89 cm)</x:v>
      </x:c>
      <x:c r="H58" s="24" t="str">
        <x:v>Perch-likes</x:v>
      </x:c>
      <x:c r="I58" s="31" t="n">
        <x:v>0.7148959153</x:v>
      </x:c>
      <x:c r="J58" s="31" t="n">
        <x:v>0.7148959153</x:v>
      </x:c>
      <x:c r="K58" s="31" t="n">
        <x:v>0</x:v>
      </x:c>
      <x:c r="L58" s="31" t="n">
        <x:v>0.7148959153</x:v>
      </x:c>
      <x:c r="M58" s="31" t="n">
        <x:v>0</x:v>
      </x:c>
      <x:c r="N58" s="24" t="str">
        <x:v>scomberomorus guttatus</x:v>
      </x:c>
      <x:c r="O58" s="32" t="n">
        <x:v>4.28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Scomberomorus guttatus</x:v>
      </x:c>
      <x:c r="T58" s="32" t="n">
        <x:f>IF(O58="","",(1/'Metadata'!$B$5)^(O58-1))</x:f>
        <x:v>1905.4607179632483</x:v>
      </x:c>
      <x:c r="U58" s="31" t="n">
        <x:f>IF(T58="","",I58*T58)</x:f>
        <x:v>1362.2060840365314</x:v>
      </x:c>
    </x:row>
    <x:row r="59" ht="18" customHeight="1">
      <x:c r="A59" s="24" t="str">
        <x:v>EEZ_512</x:v>
      </x:c>
      <x:c r="B59" s="24" t="str">
        <x:v>Oman</x:v>
      </x:c>
      <x:c r="C59" s="24" t="str">
        <x:v>EEZ</x:v>
      </x:c>
      <x:c r="D59" s="30" t="n">
        <x:v>2019</x:v>
      </x:c>
      <x:c r="E59" s="24" t="str">
        <x:v>Sphyraena barracuda</x:v>
      </x:c>
      <x:c r="F59" s="24" t="str">
        <x:v>Great barracuda</x:v>
      </x:c>
      <x:c r="G59" s="24" t="str">
        <x:v>Large pelagics (&gt;=90 cm)</x:v>
      </x:c>
      <x:c r="H59" s="24" t="str">
        <x:v>Perch-likes</x:v>
      </x:c>
      <x:c r="I59" s="31" t="n">
        <x:v>0.5537816254</x:v>
      </x:c>
      <x:c r="J59" s="31" t="n">
        <x:v>0.4836444029</x:v>
      </x:c>
      <x:c r="K59" s="31" t="n">
        <x:v>0.0701372225</x:v>
      </x:c>
      <x:c r="L59" s="31" t="n">
        <x:v>0.4836444029</x:v>
      </x:c>
      <x:c r="M59" s="31" t="n">
        <x:v>0.0701372225</x:v>
      </x:c>
      <x:c r="N59" s="24" t="str">
        <x:v>sphyraena barracuda</x:v>
      </x:c>
      <x:c r="O59" s="32" t="n">
        <x:v>4.49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Sphyraena barracuda</x:v>
      </x:c>
      <x:c r="T59" s="32" t="n">
        <x:f>IF(O59="","",(1/'Metadata'!$B$5)^(O59-1))</x:f>
        <x:v>3090.295432513592</x:v>
      </x:c>
      <x:c r="U59" s="31" t="n">
        <x:f>IF(T59="","",I59*T59)</x:f>
        <x:v>1711.348827583573</x:v>
      </x:c>
    </x:row>
    <x:row r="60" ht="18" customHeight="1">
      <x:c r="A60" s="24" t="str">
        <x:v>EEZ_512</x:v>
      </x:c>
      <x:c r="B60" s="24" t="str">
        <x:v>Oman</x:v>
      </x:c>
      <x:c r="C60" s="24" t="str">
        <x:v>EEZ</x:v>
      </x:c>
      <x:c r="D60" s="30" t="n">
        <x:v>2019</x:v>
      </x:c>
      <x:c r="E60" s="24" t="str">
        <x:v>Lactarius lactarius</x:v>
      </x:c>
      <x:c r="F60" s="24" t="str">
        <x:v>False trevally</x:v>
      </x:c>
      <x:c r="G60" s="24" t="str">
        <x:v>Medium pelagics (30 - 89 cm)</x:v>
      </x:c>
      <x:c r="H60" s="24" t="str">
        <x:v>Perch-likes</x:v>
      </x:c>
      <x:c r="I60" s="31" t="n">
        <x:v>0.4189335659</x:v>
      </x:c>
      <x:c r="J60" s="31" t="n">
        <x:v>0</x:v>
      </x:c>
      <x:c r="K60" s="31" t="n">
        <x:v>0.4189335659</x:v>
      </x:c>
      <x:c r="L60" s="31" t="n">
        <x:v>0</x:v>
      </x:c>
      <x:c r="M60" s="31" t="n">
        <x:v>0.4189335659</x:v>
      </x:c>
      <x:c r="N60" s="24" t="str">
        <x:v>lactarius lactarius</x:v>
      </x:c>
      <x:c r="O60" s="32" t="n">
        <x:v>3.97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Lactarius lactarius</x:v>
      </x:c>
      <x:c r="T60" s="32" t="n">
        <x:f>IF(O60="","",(1/'Metadata'!$B$5)^(O60-1))</x:f>
        <x:v>933.2543007969915</x:v>
      </x:c>
      <x:c r="U60" s="31" t="n">
        <x:f>IF(T60="","",I60*T60)</x:f>
        <x:v>390.9715521243949</x:v>
      </x:c>
    </x:row>
    <x:row r="61" ht="18" customHeight="1">
      <x:c r="A61" s="24" t="str">
        <x:v>EEZ_512</x:v>
      </x:c>
      <x:c r="B61" s="24" t="str">
        <x:v>Oman</x:v>
      </x:c>
      <x:c r="C61" s="24" t="str">
        <x:v>EEZ</x:v>
      </x:c>
      <x:c r="D61" s="30" t="n">
        <x:v>2019</x:v>
      </x:c>
      <x:c r="E61" s="24" t="str">
        <x:v>Glaucostegus granulatus</x:v>
      </x:c>
      <x:c r="F61" s="24" t="str">
        <x:v>Granulated guitarfish</x:v>
      </x:c>
      <x:c r="G61" s="24" t="str">
        <x:v>Large rays (&gt;=90 cm)</x:v>
      </x:c>
      <x:c r="H61" s="24" t="str">
        <x:v>Sharks &amp; rays</x:v>
      </x:c>
      <x:c r="I61" s="31" t="n">
        <x:v>0.3061081243</x:v>
      </x:c>
      <x:c r="J61" s="31" t="n">
        <x:v>0</x:v>
      </x:c>
      <x:c r="K61" s="31" t="n">
        <x:v>0.3061081243</x:v>
      </x:c>
      <x:c r="L61" s="31" t="n">
        <x:v>0</x:v>
      </x:c>
      <x:c r="M61" s="31" t="n">
        <x:v>0.3061081243</x:v>
      </x:c>
      <x:c r="N61" s="24" t="str">
        <x:v>glaucostegus granulatus</x:v>
      </x:c>
      <x:c r="O61" s="32" t="n">
        <x:v>3.5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Glaucostegus granulatus</x:v>
      </x:c>
      <x:c r="T61" s="32" t="n">
        <x:f>IF(O61="","",(1/'Metadata'!$B$5)^(O61-1))</x:f>
        <x:v>316.22776601683796</x:v>
      </x:c>
      <x:c r="U61" s="31" t="n">
        <x:f>IF(T61="","",I61*T61)</x:f>
        <x:v>96.79988830699355</x:v>
      </x:c>
    </x:row>
    <x:row r="62" ht="18" customHeight="1">
      <x:c r="A62" s="24" t="str">
        <x:v>EEZ_512</x:v>
      </x:c>
      <x:c r="B62" s="24" t="str">
        <x:v>Oman</x:v>
      </x:c>
      <x:c r="C62" s="24" t="str">
        <x:v>EEZ</x:v>
      </x:c>
      <x:c r="D62" s="30" t="n">
        <x:v>2019</x:v>
      </x:c>
      <x:c r="E62" s="24" t="str">
        <x:v>Carcharhinidae</x:v>
      </x:c>
      <x:c r="F62" s="24" t="str">
        <x:v>Requiem sharks</x:v>
      </x:c>
      <x:c r="G62" s="24" t="str">
        <x:v>Large sharks (&gt;=90 cm)</x:v>
      </x:c>
      <x:c r="H62" s="24" t="str">
        <x:v>Sharks &amp; rays</x:v>
      </x:c>
      <x:c r="I62" s="31" t="n">
        <x:v>0.2791113271</x:v>
      </x:c>
      <x:c r="J62" s="31" t="n">
        <x:v>0.2791113271</x:v>
      </x:c>
      <x:c r="K62" s="31" t="n">
        <x:v>0</x:v>
      </x:c>
      <x:c r="L62" s="31" t="n">
        <x:v>0.2791113271</x:v>
      </x:c>
      <x:c r="M62" s="31" t="n">
        <x:v>0</x:v>
      </x:c>
      <x:c r="N62" s="24" t="str">
        <x:v>carcharhinidae</x:v>
      </x:c>
      <x:c r="O62" s="32" t="n">
        <x:v>4.24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Carcharhinidae</x:v>
      </x:c>
      <x:c r="T62" s="32" t="n">
        <x:f>IF(O62="","",(1/'Metadata'!$B$5)^(O62-1))</x:f>
        <x:v>1737.8008287493763</x:v>
      </x:c>
      <x:c r="U62" s="31" t="n">
        <x:f>IF(T62="","",I62*T62)</x:f>
        <x:v>485.0398955477182</x:v>
      </x:c>
    </x:row>
    <x:row r="63" ht="18" customHeight="1">
      <x:c r="A63" s="24" t="str">
        <x:v>EEZ_512</x:v>
      </x:c>
      <x:c r="B63" s="24" t="str">
        <x:v>Oman</x:v>
      </x:c>
      <x:c r="C63" s="24" t="str">
        <x:v>EEZ</x:v>
      </x:c>
      <x:c r="D63" s="30" t="n">
        <x:v>2019</x:v>
      </x:c>
      <x:c r="E63" s="24" t="str">
        <x:v>Carcharhinus sorrah</x:v>
      </x:c>
      <x:c r="F63" s="24" t="str">
        <x:v>Spottail shark</x:v>
      </x:c>
      <x:c r="G63" s="24" t="str">
        <x:v>Large sharks (&gt;=90 cm)</x:v>
      </x:c>
      <x:c r="H63" s="24" t="str">
        <x:v>Sharks &amp; rays</x:v>
      </x:c>
      <x:c r="I63" s="31" t="n">
        <x:v>0.2602703624</x:v>
      </x:c>
      <x:c r="J63" s="31" t="n">
        <x:v>0.2602703624</x:v>
      </x:c>
      <x:c r="K63" s="31" t="n">
        <x:v>0</x:v>
      </x:c>
      <x:c r="L63" s="31" t="n">
        <x:v>0.2602703624</x:v>
      </x:c>
      <x:c r="M63" s="31" t="n">
        <x:v>0</x:v>
      </x:c>
      <x:c r="N63" s="24" t="str">
        <x:v>carcharhinus sorrah</x:v>
      </x:c>
      <x:c r="O63" s="32" t="n">
        <x:v>4.15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Carcharhinus sorrah</x:v>
      </x:c>
      <x:c r="T63" s="32" t="n">
        <x:f>IF(O63="","",(1/'Metadata'!$B$5)^(O63-1))</x:f>
        <x:v>1412.5375446227554</x:v>
      </x:c>
      <x:c r="U63" s="31" t="n">
        <x:f>IF(T63="","",I63*T63)</x:f>
        <x:v>367.64165864257075</x:v>
      </x:c>
    </x:row>
    <x:row r="64" ht="18" customHeight="1">
      <x:c r="A64" s="24" t="str">
        <x:v>EEZ_512</x:v>
      </x:c>
      <x:c r="B64" s="24" t="str">
        <x:v>Oman</x:v>
      </x:c>
      <x:c r="C64" s="24" t="str">
        <x:v>EEZ</x:v>
      </x:c>
      <x:c r="D64" s="30" t="n">
        <x:v>2019</x:v>
      </x:c>
      <x:c r="E64" s="24" t="str">
        <x:v>Sphyrna</x:v>
      </x:c>
      <x:c r="F64" s="24" t="str">
        <x:v>Hammerhead sharks</x:v>
      </x:c>
      <x:c r="G64" s="24" t="str">
        <x:v>Large sharks (&gt;=90 cm)</x:v>
      </x:c>
      <x:c r="H64" s="24" t="str">
        <x:v>Sharks &amp; rays</x:v>
      </x:c>
      <x:c r="I64" s="31" t="n">
        <x:v>0.1774977263</x:v>
      </x:c>
      <x:c r="J64" s="31" t="n">
        <x:v>0.1774977263</x:v>
      </x:c>
      <x:c r="K64" s="31" t="n">
        <x:v>0</x:v>
      </x:c>
      <x:c r="L64" s="31" t="n">
        <x:v>0.1774977263</x:v>
      </x:c>
      <x:c r="M64" s="31" t="n">
        <x:v>0</x:v>
      </x:c>
      <x:c r="N64" s="24" t="str">
        <x:v>sphyrna</x:v>
      </x:c>
      <x:c r="O64" s="32" t="n">
        <x:v>4.2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Sphyrna</x:v>
      </x:c>
      <x:c r="T64" s="32" t="n">
        <x:f>IF(O64="","",(1/'Metadata'!$B$5)^(O64-1))</x:f>
        <x:v>1584.893192461114</x:v>
      </x:c>
      <x:c r="U64" s="31" t="n">
        <x:f>IF(T64="","",I64*T64)</x:f>
        <x:v>281.31493809019605</x:v>
      </x:c>
    </x:row>
    <x:row r="65" ht="18" customHeight="1">
      <x:c r="A65" s="24" t="str">
        <x:v>EEZ_512</x:v>
      </x:c>
      <x:c r="B65" s="24" t="str">
        <x:v>Oman</x:v>
      </x:c>
      <x:c r="C65" s="24" t="str">
        <x:v>EEZ</x:v>
      </x:c>
      <x:c r="D65" s="30" t="n">
        <x:v>2019</x:v>
      </x:c>
      <x:c r="E65" s="24" t="str">
        <x:v>Carcharhinus dussumieri</x:v>
      </x:c>
      <x:c r="F65" s="24" t="str">
        <x:v>Whitecheek shark</x:v>
      </x:c>
      <x:c r="G65" s="24" t="str">
        <x:v>Small to medium sharks (&lt;90 cm)</x:v>
      </x:c>
      <x:c r="H65" s="24" t="str">
        <x:v>Sharks &amp; rays</x:v>
      </x:c>
      <x:c r="I65" s="31" t="n">
        <x:v>0.1204771814</x:v>
      </x:c>
      <x:c r="J65" s="31" t="n">
        <x:v>0.1204771814</x:v>
      </x:c>
      <x:c r="K65" s="31" t="n">
        <x:v>0</x:v>
      </x:c>
      <x:c r="L65" s="31" t="n">
        <x:v>0.1204771814</x:v>
      </x:c>
      <x:c r="M65" s="31" t="n">
        <x:v>0</x:v>
      </x:c>
      <x:c r="N65" s="24" t="str">
        <x:v>carcharhinus dussumieri</x:v>
      </x:c>
      <x:c r="O65" s="32" t="n">
        <x:v>3.9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Carcharhinus dussumieri</x:v>
      </x:c>
      <x:c r="T65" s="32" t="n">
        <x:f>IF(O65="","",(1/'Metadata'!$B$5)^(O65-1))</x:f>
        <x:v>794.3282347242813</x:v>
      </x:c>
      <x:c r="U65" s="31" t="n">
        <x:f>IF(T65="","",I65*T65)</x:f>
        <x:v>95.69842682601902</x:v>
      </x:c>
    </x:row>
    <x:row r="66" ht="18" customHeight="1">
      <x:c r="A66" s="24" t="str">
        <x:v>EEZ_512</x:v>
      </x:c>
      <x:c r="B66" s="24" t="str">
        <x:v>Oman</x:v>
      </x:c>
      <x:c r="C66" s="24" t="str">
        <x:v>EEZ</x:v>
      </x:c>
      <x:c r="D66" s="30" t="n">
        <x:v>2019</x:v>
      </x:c>
      <x:c r="E66" s="24" t="str">
        <x:v>Rhizoprionodon acutus</x:v>
      </x:c>
      <x:c r="F66" s="24" t="str">
        <x:v>Milk shark</x:v>
      </x:c>
      <x:c r="G66" s="24" t="str">
        <x:v>Large sharks (&gt;=90 cm)</x:v>
      </x:c>
      <x:c r="H66" s="24" t="str">
        <x:v>Sharks &amp; rays</x:v>
      </x:c>
      <x:c r="I66" s="31" t="n">
        <x:v>0.0009249285</x:v>
      </x:c>
      <x:c r="J66" s="31" t="n">
        <x:v>0.0009249285</x:v>
      </x:c>
      <x:c r="K66" s="31" t="n">
        <x:v>0</x:v>
      </x:c>
      <x:c r="L66" s="31" t="n">
        <x:v>0.0009249285</x:v>
      </x:c>
      <x:c r="M66" s="31" t="n">
        <x:v>0</x:v>
      </x:c>
      <x:c r="N66" s="24" t="str">
        <x:v>rhizoprionodon acutus</x:v>
      </x:c>
      <x:c r="O66" s="32" t="n">
        <x:v>4.25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Rhizoprionodon acutus</x:v>
      </x:c>
      <x:c r="T66" s="32" t="n">
        <x:f>IF(O66="","",(1/'Metadata'!$B$5)^(O66-1))</x:f>
        <x:v>1778.2794100389228</x:v>
      </x:c>
      <x:c r="U66" s="31" t="n">
        <x:f>IF(T66="","",I66*T66)</x:f>
        <x:v>1.6447813073081858</x:v>
      </x:c>
    </x:row>
    <x:row r="67" ht="18" customHeight="1">
      <x:c r="A67" s="24" t="str">
        <x:v>EEZ_512</x:v>
      </x:c>
      <x:c r="B67" s="24" t="str">
        <x:v>Oman</x:v>
      </x:c>
      <x:c r="C67" s="24" t="str">
        <x:v>EEZ</x:v>
      </x:c>
      <x:c r="D67" s="30" t="n">
        <x:v>2019</x:v>
      </x:c>
      <x:c r="E67" s="24" t="str">
        <x:v>Scombroidei</x:v>
      </x:c>
      <x:c r="F67" s="24" t="str">
        <x:v>Tunas, bonitos, billfishes</x:v>
      </x:c>
      <x:c r="G67" s="24" t="str">
        <x:v>Large pelagics (&gt;=90 cm)</x:v>
      </x:c>
      <x:c r="H67" s="24" t="str">
        <x:v>Tuna &amp; billfishes</x:v>
      </x:c>
      <x:c r="I67" s="31" t="n">
        <x:v>0.0001463474</x:v>
      </x:c>
      <x:c r="J67" s="31" t="n">
        <x:v>0.0001463474</x:v>
      </x:c>
      <x:c r="K67" s="31" t="n">
        <x:v>0</x:v>
      </x:c>
      <x:c r="L67" s="31" t="n">
        <x:v>0.0001463474</x:v>
      </x:c>
      <x:c r="M67" s="31" t="n">
        <x:v>0</x:v>
      </x:c>
      <x:c r="N67" s="24" t="str">
        <x:v>scombroidei</x:v>
      </x:c>
      <x:c r="O67" s="32" t="n">
        <x:v>4.2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Scombroidei</x:v>
      </x:c>
      <x:c r="T67" s="32" t="n">
        <x:f>IF(O67="","",(1/'Metadata'!$B$5)^(O67-1))</x:f>
        <x:v>1584.893192461114</x:v>
      </x:c>
      <x:c r="U67" s="31" t="n">
        <x:f>IF(T67="","",I67*T67)</x:f>
        <x:v>0.23194499799438362</x:v>
      </x:c>
    </x:row>
  </x:sheetData>
  <x:conditionalFormatting sqref="R2:R6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5d8a8f2a51549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10014.8563276919</x:v>
      </x:c>
      <x:c r="E2" s="31" t="n">
        <x:v>10014.8563276919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IF(C2=0,"",SUMIF('Species'!$H$2:$H$67,A2,'Species'!$U$2:$U$67))</x:f>
        <x:v>1587247.7617235004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1587247.7617235004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4</x:v>
      </x:c>
      <x:c r="C3" s="33" t="n">
        <x:v>4</x:v>
      </x:c>
      <x:c r="D3" s="31" t="n">
        <x:v>2954.200885152</x:v>
      </x:c>
      <x:c r="E3" s="31" t="n">
        <x:v>2954.200885152</x:v>
      </x:c>
      <x:c r="F3" s="32" t="n">
        <x:v>0</x:v>
      </x:c>
      <x:c r="G3" s="34" t="n">
        <x:v>1</x:v>
      </x:c>
      <x:c r="H3" s="32" t="n">
        <x:f>IF(E3=0,"",I3/E3)</x:f>
        <x:v>157.7997260290634</x:v>
      </x:c>
      <x:c r="I3" s="31" t="n">
        <x:f>IF(C3=0,"",SUMIF('Species'!$H$2:$H$67,A3,'Species'!$U$2:$U$67))</x:f>
        <x:v>466172.09031180217</x:v>
      </x:c>
      <x:c r="J3" s="32" t="n">
        <x:v>3.182798411916014</x:v>
      </x:c>
      <x:c r="K3" s="32" t="n">
        <x:f>IF(J3="","",(1/'Metadata'!$B$5)^(J3-1))</x:f>
        <x:v>152.33454927241874</x:v>
      </x:c>
      <x:c r="L3" s="31" t="n">
        <x:f>IF(E3=0,"",E3*K3)</x:f>
        <x:v>450026.8602998104</x:v>
      </x:c>
      <x:c r="M3" s="31" t="n">
        <x:f>IF(E3=0,"",I3-L3)</x:f>
        <x:v>16145.230011991749</x:v>
      </x:c>
      <x:c r="N3" s="32" t="n">
        <x:f>IF(L3=0,"",I3/L3)</x:f>
        <x:v>1.035876147484254</x:v>
      </x:c>
      <x:c r="O3" s="34" t="n">
        <x:f>IF(L3=0,"",M3/L3)</x:f>
        <x:v>0.035876147484253954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145971.31363687257</x:v>
      </x:c>
      <x:c r="E4" s="31" t="n">
        <x:v>145971.31363687257</x:v>
      </x:c>
      <x:c r="F4" s="32" t="n">
        <x:v>0</x:v>
      </x:c>
      <x:c r="G4" s="34" t="n">
        <x:v>1</x:v>
      </x:c>
      <x:c r="H4" s="32" t="n">
        <x:f>IF(E4=0,"",I4/E4)</x:f>
        <x:v>35.266994519310344</x:v>
      </x:c>
      <x:c r="I4" s="31" t="n">
        <x:f>IF(C4=0,"",SUMIF('Species'!$H$2:$H$67,A4,'Species'!$U$2:$U$67))</x:f>
        <x:v>5147969.518008116</x:v>
      </x:c>
      <x:c r="J4" s="32" t="n">
        <x:v>2.470352375943453</x:v>
      </x:c>
      <x:c r="K4" s="32" t="n">
        <x:f>IF(J4="","",(1/'Metadata'!$B$5)^(J4-1))</x:f>
        <x:v>29.53604737505334</x:v>
      </x:c>
      <x:c r="L4" s="31" t="n">
        <x:f>IF(E4=0,"",E4*K4)</x:f>
        <x:v>4311415.634977438</x:v>
      </x:c>
      <x:c r="M4" s="31" t="n">
        <x:f>IF(E4=0,"",I4-L4)</x:f>
        <x:v>836553.8830306781</x:v>
      </x:c>
      <x:c r="N4" s="32" t="n">
        <x:f>IF(L4=0,"",I4/L4)</x:f>
        <x:v>1.1940322979403621</x:v>
      </x:c>
      <x:c r="O4" s="34" t="n">
        <x:f>IF(L4=0,"",M4/L4)</x:f>
        <x:v>0.19403229794036222</x:v>
      </x:c>
    </x:row>
    <x:row r="5" ht="18" customHeight="1">
      <x:c r="A5" s="24" t="str">
        <x:v>Molluscs</x:v>
      </x:c>
      <x:c r="B5" s="33" t="n">
        <x:v>2</x:v>
      </x:c>
      <x:c r="C5" s="33" t="n">
        <x:v>2</x:v>
      </x:c>
      <x:c r="D5" s="31" t="n">
        <x:v>15.6414576048</x:v>
      </x:c>
      <x:c r="E5" s="31" t="n">
        <x:v>15.6414576048</x:v>
      </x:c>
      <x:c r="F5" s="32" t="n">
        <x:v>0</x:v>
      </x:c>
      <x:c r="G5" s="34" t="n">
        <x:v>1</x:v>
      </x:c>
      <x:c r="H5" s="32" t="n">
        <x:f>IF(E5=0,"",I5/E5)</x:f>
        <x:v>10.000000000000002</x:v>
      </x:c>
      <x:c r="I5" s="31" t="n">
        <x:f>IF(C5=0,"",SUMIF('Species'!$H$2:$H$67,A5,'Species'!$U$2:$U$67))</x:f>
        <x:v>156.41457604800001</x:v>
      </x:c>
      <x:c r="J5" s="32" t="n">
        <x:v>2</x:v>
      </x:c>
      <x:c r="K5" s="32" t="n">
        <x:f>IF(J5="","",(1/'Metadata'!$B$5)^(J5-1))</x:f>
        <x:v>10</x:v>
      </x:c>
      <x:c r="L5" s="31" t="n">
        <x:f>IF(E5=0,"",E5*K5)</x:f>
        <x:v>156.414576048</x:v>
      </x:c>
      <x:c r="M5" s="31" t="n">
        <x:f>IF(E5=0,"",I5-L5)</x:f>
        <x:v>2.842170943040401e-14</x:v>
      </x:c>
      <x:c r="N5" s="32" t="n">
        <x:f>IF(L5=0,"",I5/L5)</x:f>
        <x:v>1.0000000000000002</x:v>
      </x:c>
      <x:c r="O5" s="34" t="n">
        <x:f>IF(L5=0,"",M5/L5)</x:f>
        <x:v>1.8170755020735438e-16</x:v>
      </x:c>
    </x:row>
    <x:row r="6" ht="18" customHeight="1">
      <x:c r="A6" s="24" t="str">
        <x:v>Other fishes &amp; inverts</x:v>
      </x:c>
      <x:c r="B6" s="33" t="n">
        <x:v>6</x:v>
      </x:c>
      <x:c r="C6" s="33" t="n">
        <x:v>6</x:v>
      </x:c>
      <x:c r="D6" s="31" t="n">
        <x:v>36197.4964595183</x:v>
      </x:c>
      <x:c r="E6" s="31" t="n">
        <x:v>36197.4964595183</x:v>
      </x:c>
      <x:c r="F6" s="32" t="n">
        <x:v>0</x:v>
      </x:c>
      <x:c r="G6" s="34" t="n">
        <x:v>1</x:v>
      </x:c>
      <x:c r="H6" s="32" t="n">
        <x:f>IF(E6=0,"",I6/E6)</x:f>
        <x:v>291.7836800592163</x:v>
      </x:c>
      <x:c r="I6" s="31" t="n">
        <x:f>IF(C6=0,"",SUMIF('Species'!$H$2:$H$67,A6,'Species'!$U$2:$U$67))</x:f>
        <x:v>10561838.725888701</x:v>
      </x:c>
      <x:c r="J6" s="32" t="n">
        <x:v>3.410455353355738</x:v>
      </x:c>
      <x:c r="K6" s="32" t="n">
        <x:f>IF(J6="","",(1/'Metadata'!$B$5)^(J6-1))</x:f>
        <x:v>257.3092230006678</x:v>
      </x:c>
      <x:c r="L6" s="31" t="n">
        <x:f>IF(E6=0,"",E6*K6)</x:f>
        <x:v>9313949.688568078</x:v>
      </x:c>
      <x:c r="M6" s="31" t="n">
        <x:f>IF(E6=0,"",I6-L6)</x:f>
        <x:v>1247889.0373206232</x:v>
      </x:c>
      <x:c r="N6" s="32" t="n">
        <x:f>IF(L6=0,"",I6/L6)</x:f>
        <x:v>1.1339806504272059</x:v>
      </x:c>
      <x:c r="O6" s="34" t="n">
        <x:f>IF(L6=0,"",M6/L6)</x:f>
        <x:v>0.13398065042720592</x:v>
      </x:c>
    </x:row>
    <x:row r="7" ht="18" customHeight="1">
      <x:c r="A7" s="24" t="str">
        <x:v>Perch-likes</x:v>
      </x:c>
      <x:c r="B7" s="33" t="n">
        <x:v>26</x:v>
      </x:c>
      <x:c r="C7" s="33" t="n">
        <x:v>26</x:v>
      </x:c>
      <x:c r="D7" s="31" t="n">
        <x:v>73941.6077893722</x:v>
      </x:c>
      <x:c r="E7" s="31" t="n">
        <x:v>73941.6077893722</x:v>
      </x:c>
      <x:c r="F7" s="32" t="n">
        <x:v>0</x:v>
      </x:c>
      <x:c r="G7" s="34" t="n">
        <x:v>1</x:v>
      </x:c>
      <x:c r="H7" s="32" t="n">
        <x:f>IF(E7=0,"",I7/E7)</x:f>
        <x:v>1056.0375450908496</x:v>
      </x:c>
      <x:c r="I7" s="31" t="n">
        <x:f>IF(C7=0,"",SUMIF('Species'!$H$2:$H$67,A7,'Species'!$U$2:$U$67))</x:f>
        <x:v>78085113.96995905</x:v>
      </x:c>
      <x:c r="J7" s="32" t="n">
        <x:v>3.8404926535064723</x:v>
      </x:c>
      <x:c r="K7" s="32" t="n">
        <x:f>IF(J7="","",(1/'Metadata'!$B$5)^(J7-1))</x:f>
        <x:v>692.6162130933258</x:v>
      </x:c>
      <x:c r="L7" s="31" t="n">
        <x:f>IF(E7=0,"",E7*K7)</x:f>
        <x:v>51213156.37710693</x:v>
      </x:c>
      <x:c r="M7" s="31" t="n">
        <x:f>IF(E7=0,"",I7-L7)</x:f>
        <x:v>26871957.592852123</x:v>
      </x:c>
      <x:c r="N7" s="32" t="n">
        <x:f>IF(L7=0,"",I7/L7)</x:f>
        <x:v>1.5247080924866467</x:v>
      </x:c>
      <x:c r="O7" s="34" t="n">
        <x:f>IF(L7=0,"",M7/L7)</x:f>
        <x:v>0.5247080924866467</x:v>
      </x:c>
    </x:row>
    <x:row r="8" ht="18" customHeight="1">
      <x:c r="A8" s="24" t="str">
        <x:v>Sharks &amp; rays</x:v>
      </x:c>
      <x:c r="B8" s="33" t="n">
        <x:v>12</x:v>
      </x:c>
      <x:c r="C8" s="33" t="n">
        <x:v>12</x:v>
      </x:c>
      <x:c r="D8" s="31" t="n">
        <x:v>3697.0233802766998</x:v>
      </x:c>
      <x:c r="E8" s="31" t="n">
        <x:v>3697.0233802766998</x:v>
      </x:c>
      <x:c r="F8" s="32" t="n">
        <x:v>0</x:v>
      </x:c>
      <x:c r="G8" s="34" t="n">
        <x:v>1</x:v>
      </x:c>
      <x:c r="H8" s="32" t="n">
        <x:f>IF(E8=0,"",I8/E8)</x:f>
        <x:v>1128.2024493772308</x:v>
      </x:c>
      <x:c r="I8" s="31" t="n">
        <x:f>IF(C8=0,"",SUMIF('Species'!$H$2:$H$67,A8,'Species'!$U$2:$U$67))</x:f>
        <x:v>4170990.833033062</x:v>
      </x:c>
      <x:c r="J8" s="32" t="n">
        <x:v>4.051479916872144</x:v>
      </x:c>
      <x:c r="K8" s="32" t="n">
        <x:f>IF(J8="","",(1/'Metadata'!$B$5)^(J8-1))</x:f>
        <x:v>1125.848404958591</x:v>
      </x:c>
      <x:c r="L8" s="31" t="n">
        <x:f>IF(E8=0,"",E8*K8)</x:f>
        <x:v>4162287.8757791403</x:v>
      </x:c>
      <x:c r="M8" s="31" t="n">
        <x:f>IF(E8=0,"",I8-L8)</x:f>
        <x:v>8702.957253921777</x:v>
      </x:c>
      <x:c r="N8" s="32" t="n">
        <x:f>IF(L8=0,"",I8/L8)</x:f>
        <x:v>1.0020909070957262</x:v>
      </x:c>
      <x:c r="O8" s="34" t="n">
        <x:f>IF(L8=0,"",M8/L8)</x:f>
        <x:v>0.00209090709572621</x:v>
      </x:c>
    </x:row>
    <x:row r="9" ht="18" customHeight="1">
      <x:c r="A9" s="24" t="str">
        <x:v>Tuna &amp; billfishes</x:v>
      </x:c>
      <x:c r="B9" s="33" t="n">
        <x:v>13</x:v>
      </x:c>
      <x:c r="C9" s="33" t="n">
        <x:v>13</x:v>
      </x:c>
      <x:c r="D9" s="31" t="n">
        <x:v>31526.301779619407</x:v>
      </x:c>
      <x:c r="E9" s="31" t="n">
        <x:v>31526.301779619407</x:v>
      </x:c>
      <x:c r="F9" s="32" t="n">
        <x:v>0</x:v>
      </x:c>
      <x:c r="G9" s="34" t="n">
        <x:v>1</x:v>
      </x:c>
      <x:c r="H9" s="32" t="n">
        <x:f>IF(E9=0,"",I9/E9)</x:f>
        <x:v>2759.249441005003</x:v>
      </x:c>
      <x:c r="I9" s="31" t="n">
        <x:f>IF(C9=0,"",SUMIF('Species'!$H$2:$H$67,A9,'Species'!$U$2:$U$67))</x:f>
        <x:v>86988930.56236988</x:v>
      </x:c>
      <x:c r="J9" s="32" t="n">
        <x:v>4.437737311418903</x:v>
      </x:c>
      <x:c r="K9" s="32" t="n">
        <x:f>IF(J9="","",(1/'Metadata'!$B$5)^(J9-1))</x:f>
        <x:v>2739.916397081589</x:v>
      </x:c>
      <x:c r="L9" s="31" t="n">
        <x:f>IF(E9=0,"",E9*K9)</x:f>
        <x:v>86379431.18532169</x:v>
      </x:c>
      <x:c r="M9" s="31" t="n">
        <x:f>IF(E9=0,"",I9-L9)</x:f>
        <x:v>609499.3770481944</x:v>
      </x:c>
      <x:c r="N9" s="32" t="n">
        <x:f>IF(L9=0,"",I9/L9)</x:f>
        <x:v>1.0070560707414309</x:v>
      </x:c>
      <x:c r="O9" s="34" t="n">
        <x:f>IF(L9=0,"",M9/L9)</x:f>
        <x:v>0.0070560707414309256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7572968e58147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6872.8820506927</x:v>
      </x:c>
      <x:c r="E2" s="31" t="n">
        <x:v>6872.8820506927</x:v>
      </x:c>
      <x:c r="F2" s="32" t="n">
        <x:v>0</x:v>
      </x:c>
      <x:c r="G2" s="34" t="n">
        <x:v>1</x:v>
      </x:c>
      <x:c r="H2" s="32" t="n">
        <x:f>IF(E2=0,"",I2/E2)</x:f>
        <x:v>618.9647674086917</x:v>
      </x:c>
      <x:c r="I2" s="31" t="n">
        <x:f>IF(C2=0,"",SUMIF('Species'!$G$2:$G$67,A2,'Species'!$U$2:$U$67))</x:f>
        <x:v>4254071.83993438</x:v>
      </x:c>
      <x:c r="J2" s="32" t="n">
        <x:v>3.7896993187771657</x:v>
      </x:c>
      <x:c r="K2" s="32" t="n">
        <x:f>IF(J2="","",(1/'Metadata'!$B$5)^(J2-1))</x:f>
        <x:v>616.1682536942997</x:v>
      </x:c>
      <x:c r="L2" s="31" t="n">
        <x:f>IF(E2=0,"",E2*K2)</x:f>
        <x:v>4234851.731022218</x:v>
      </x:c>
      <x:c r="M2" s="31" t="n">
        <x:f>IF(E2=0,"",I2-L2)</x:f>
        <x:v>19220.10891216155</x:v>
      </x:c>
      <x:c r="N2" s="32" t="n">
        <x:f>IF(L2=0,"",I2/L2)</x:f>
        <x:v>1.004538555333913</x:v>
      </x:c>
      <x:c r="O2" s="34" t="n">
        <x:f>IF(L2=0,"",M2/L2)</x:f>
        <x:v>0.004538555333912991</x:v>
      </x:c>
    </x:row>
    <x:row r="3" ht="18" customHeight="1">
      <x:c r="A3" s="24" t="str">
        <x:v>Large demersals (&gt;=90 cm)</x:v>
      </x:c>
      <x:c r="B3" s="33" t="n">
        <x:v>1</x:v>
      </x:c>
      <x:c r="C3" s="33" t="n">
        <x:v>1</x:v>
      </x:c>
      <x:c r="D3" s="31" t="n">
        <x:v>3662.557102725</x:v>
      </x:c>
      <x:c r="E3" s="31" t="n">
        <x:v>3662.557102725</x:v>
      </x:c>
      <x:c r="F3" s="32" t="n">
        <x:v>0</x:v>
      </x:c>
      <x:c r="G3" s="34" t="n">
        <x:v>1</x:v>
      </x:c>
      <x:c r="H3" s="32" t="n">
        <x:f>IF(E3=0,"",I3/E3)</x:f>
        <x:v>346.73685045253166</x:v>
      </x:c>
      <x:c r="I3" s="31" t="n">
        <x:f>IF(C3=0,"",SUMIF('Species'!$G$2:$G$67,A3,'Species'!$U$2:$U$67))</x:f>
        <x:v>1269943.5144014158</x:v>
      </x:c>
      <x:c r="J3" s="32" t="n">
        <x:v>3.54</x:v>
      </x:c>
      <x:c r="K3" s="32" t="n">
        <x:f>IF(J3="","",(1/'Metadata'!$B$5)^(J3-1))</x:f>
        <x:v>346.73685045253166</x:v>
      </x:c>
      <x:c r="L3" s="31" t="n">
        <x:f>IF(E3=0,"",E3*K3)</x:f>
        <x:v>1269943.5144014158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17</x:v>
      </x:c>
      <x:c r="C4" s="33" t="n">
        <x:v>17</x:v>
      </x:c>
      <x:c r="D4" s="31" t="n">
        <x:v>35991.221397398804</x:v>
      </x:c>
      <x:c r="E4" s="31" t="n">
        <x:v>35991.221397398804</x:v>
      </x:c>
      <x:c r="F4" s="32" t="n">
        <x:v>0</x:v>
      </x:c>
      <x:c r="G4" s="34" t="n">
        <x:v>1</x:v>
      </x:c>
      <x:c r="H4" s="32" t="n">
        <x:f>IF(E4=0,"",I4/E4)</x:f>
        <x:v>2739.491022137596</x:v>
      </x:c>
      <x:c r="I4" s="31" t="n">
        <x:f>IF(C4=0,"",SUMIF('Species'!$G$2:$G$67,A4,'Species'!$U$2:$U$67))</x:f>
        <x:v>98597627.89394055</x:v>
      </x:c>
      <x:c r="J4" s="32" t="n">
        <x:v>4.434024745284611</x:v>
      </x:c>
      <x:c r="K4" s="32" t="n">
        <x:f>IF(J4="","",(1/'Metadata'!$B$5)^(J4-1))</x:f>
        <x:v>2716.5940508606855</x:v>
      </x:c>
      <x:c r="L4" s="31" t="n">
        <x:f>IF(E4=0,"",E4*K4)</x:f>
        <x:v>97773537.9313834</x:v>
      </x:c>
      <x:c r="M4" s="31" t="n">
        <x:f>IF(E4=0,"",I4-L4)</x:f>
        <x:v>824089.9625571519</x:v>
      </x:c>
      <x:c r="N4" s="32" t="n">
        <x:f>IF(L4=0,"",I4/L4)</x:f>
        <x:v>1.0084285582785752</x:v>
      </x:c>
      <x:c r="O4" s="34" t="n">
        <x:f>IF(L4=0,"",M4/L4)</x:f>
        <x:v>0.00842855827857524</x:v>
      </x:c>
    </x:row>
    <x:row r="5" ht="18" customHeight="1">
      <x:c r="A5" s="24" t="str">
        <x:v>Large rays (&gt;=90 cm)</x:v>
      </x:c>
      <x:c r="B5" s="33" t="n">
        <x:v>2</x:v>
      </x:c>
      <x:c r="C5" s="33" t="n">
        <x:v>2</x:v>
      </x:c>
      <x:c r="D5" s="31" t="n">
        <x:v>1.3344194391</x:v>
      </x:c>
      <x:c r="E5" s="31" t="n">
        <x:v>1.3344194391</x:v>
      </x:c>
      <x:c r="F5" s="32" t="n">
        <x:v>0</x:v>
      </x:c>
      <x:c r="G5" s="34" t="n">
        <x:v>1</x:v>
      </x:c>
      <x:c r="H5" s="32" t="n">
        <x:f>IF(E5=0,"",I5/E5)</x:f>
        <x:v>379.3245073165004</x:v>
      </x:c>
      <x:c r="I5" s="31" t="n">
        <x:f>IF(C5=0,"",SUMIF('Species'!$G$2:$G$67,A5,'Species'!$U$2:$U$67))</x:f>
        <x:v>506.17799629016827</x:v>
      </x:c>
      <x:c r="J5" s="32" t="n">
        <x:v>3.5770605766574826</x:v>
      </x:c>
      <x:c r="K5" s="32" t="n">
        <x:f>IF(J5="","",(1/'Metadata'!$B$5)^(J5-1))</x:f>
        <x:v>377.6248594658713</x:v>
      </x:c>
      <x:c r="L5" s="31" t="n">
        <x:f>IF(E5=0,"",E5*K5)</x:f>
        <x:v>503.9099531586643</x:v>
      </x:c>
      <x:c r="M5" s="31" t="n">
        <x:f>IF(E5=0,"",I5-L5)</x:f>
        <x:v>2.268043131503987</x:v>
      </x:c>
      <x:c r="N5" s="32" t="n">
        <x:f>IF(L5=0,"",I5/L5)</x:f>
        <x:v>1.0045008897269982</x:v>
      </x:c>
      <x:c r="O5" s="34" t="n">
        <x:f>IF(L5=0,"",M5/L5)</x:f>
        <x:v>0.004500889726998221</x:v>
      </x:c>
    </x:row>
    <x:row r="6" ht="18" customHeight="1">
      <x:c r="A6" s="24" t="str">
        <x:v>Large sharks (&gt;=90 cm)</x:v>
      </x:c>
      <x:c r="B6" s="33" t="n">
        <x:v>9</x:v>
      </x:c>
      <x:c r="C6" s="33" t="n">
        <x:v>9</x:v>
      </x:c>
      <x:c r="D6" s="31" t="n">
        <x:v>3695.5684836561995</x:v>
      </x:c>
      <x:c r="E6" s="31" t="n">
        <x:v>3695.5684836561995</x:v>
      </x:c>
      <x:c r="F6" s="32" t="n">
        <x:v>0</x:v>
      </x:c>
      <x:c r="G6" s="34" t="n">
        <x:v>1</x:v>
      </x:c>
      <x:c r="H6" s="32" t="n">
        <x:f>IF(E6=0,"",I6/E6)</x:f>
        <x:v>1128.4837434493934</x:v>
      </x:c>
      <x:c r="I6" s="31" t="n">
        <x:f>IF(C6=0,"",SUMIF('Species'!$G$2:$G$67,A6,'Species'!$U$2:$U$67))</x:f>
        <x:v>4170388.956609946</x:v>
      </x:c>
      <x:c r="J6" s="32" t="n">
        <x:v>4.05165616154632</x:v>
      </x:c>
      <x:c r="K6" s="32" t="n">
        <x:f>IF(J6="","",(1/'Metadata'!$B$5)^(J6-1))</x:f>
        <x:v>1126.3053876310182</x:v>
      </x:c>
      <x:c r="L6" s="31" t="n">
        <x:f>IF(E6=0,"",E6*K6)</x:f>
        <x:v>4162338.69350137</x:v>
      </x:c>
      <x:c r="M6" s="31" t="n">
        <x:f>IF(E6=0,"",I6-L6)</x:f>
        <x:v>8050.263108576182</x:v>
      </x:c>
      <x:c r="N6" s="32" t="n">
        <x:f>IF(L6=0,"",I6/L6)</x:f>
        <x:v>1.0019340720929666</x:v>
      </x:c>
      <x:c r="O6" s="34" t="n">
        <x:f>IF(L6=0,"",M6/L6)</x:f>
        <x:v>0.0019340720929666298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2423.556402241</x:v>
      </x:c>
      <x:c r="E7" s="31" t="n">
        <x:v>2423.556402241</x:v>
      </x:c>
      <x:c r="F7" s="32" t="n">
        <x:v>0</x:v>
      </x:c>
      <x:c r="G7" s="34" t="n">
        <x:v>1</x:v>
      </x:c>
      <x:c r="H7" s="32" t="n">
        <x:f>IF(E7=0,"",I7/E7)</x:f>
        <x:v>153.94818240761455</x:v>
      </x:c>
      <x:c r="I7" s="31" t="n">
        <x:f>IF(C7=0,"",SUMIF('Species'!$G$2:$G$67,A7,'Species'!$U$2:$U$67))</x:f>
        <x:v>373102.1030873395</x:v>
      </x:c>
      <x:c r="J7" s="32" t="n">
        <x:v>3.179901559029841</x:v>
      </x:c>
      <x:c r="K7" s="32" t="n">
        <x:f>IF(J7="","",(1/'Metadata'!$B$5)^(J7-1))</x:f>
        <x:v>151.3218210339342</x:v>
      </x:c>
      <x:c r="L7" s="31" t="n">
        <x:f>IF(E7=0,"",E7*K7)</x:f>
        <x:v>366736.96816555806</x:v>
      </x:c>
      <x:c r="M7" s="31" t="n">
        <x:f>IF(E7=0,"",I7-L7)</x:f>
        <x:v>6365.134921781428</x:v>
      </x:c>
      <x:c r="N7" s="32" t="n">
        <x:f>IF(L7=0,"",I7/L7)</x:f>
        <x:v>1.0173561311629429</x:v>
      </x:c>
      <x:c r="O7" s="34" t="n">
        <x:f>IF(L7=0,"",M7/L7)</x:f>
        <x:v>0.017356131162942864</x:v>
      </x:c>
    </x:row>
    <x:row r="8" ht="18" customHeight="1">
      <x:c r="A8" s="24" t="str">
        <x:v>Medium benthopelagics (30 - 89 cm)</x:v>
      </x:c>
      <x:c r="B8" s="33" t="n">
        <x:v>1</x:v>
      </x:c>
      <x:c r="C8" s="33" t="n">
        <x:v>1</x:v>
      </x:c>
      <x:c r="D8" s="31" t="n">
        <x:v>4881.6432054599</x:v>
      </x:c>
      <x:c r="E8" s="31" t="n">
        <x:v>4881.6432054599</x:v>
      </x:c>
      <x:c r="F8" s="32" t="n">
        <x:v>0</x:v>
      </x:c>
      <x:c r="G8" s="34" t="n">
        <x:v>1</x:v>
      </x:c>
      <x:c r="H8" s="32" t="n">
        <x:f>IF(E8=0,"",I8/E8)</x:f>
        <x:v>204.17379446695296</x:v>
      </x:c>
      <x:c r="I8" s="31" t="n">
        <x:f>IF(C8=0,"",SUMIF('Species'!$G$2:$G$67,A8,'Species'!$U$2:$U$67))</x:f>
        <x:v>996703.616492567</x:v>
      </x:c>
      <x:c r="J8" s="32" t="n">
        <x:v>3.31</x:v>
      </x:c>
      <x:c r="K8" s="32" t="n">
        <x:f>IF(J8="","",(1/'Metadata'!$B$5)^(J8-1))</x:f>
        <x:v>204.17379446695296</x:v>
      </x:c>
      <x:c r="L8" s="31" t="n">
        <x:f>IF(E8=0,"",E8*K8)</x:f>
        <x:v>996703.616492567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demersals (30 - 89 cm)</x:v>
      </x:c>
      <x:c r="B9" s="33" t="n">
        <x:v>6</x:v>
      </x:c>
      <x:c r="C9" s="33" t="n">
        <x:v>6</x:v>
      </x:c>
      <x:c r="D9" s="31" t="n">
        <x:v>40151.7559930885</x:v>
      </x:c>
      <x:c r="E9" s="31" t="n">
        <x:v>40151.7559930885</x:v>
      </x:c>
      <x:c r="F9" s="32" t="n">
        <x:v>0</x:v>
      </x:c>
      <x:c r="G9" s="34" t="n">
        <x:v>1</x:v>
      </x:c>
      <x:c r="H9" s="32" t="n">
        <x:f>IF(E9=0,"",I9/E9)</x:f>
        <x:v>363.5211410837258</x:v>
      </x:c>
      <x:c r="I9" s="31" t="n">
        <x:f>IF(C9=0,"",SUMIF('Species'!$G$2:$G$67,A9,'Species'!$U$2:$U$67))</x:f>
        <x:v>14596012.15512286</x:v>
      </x:c>
      <x:c r="J9" s="32" t="n">
        <x:v>3.4715593312226862</x:v>
      </x:c>
      <x:c r="K9" s="32" t="n">
        <x:f>IF(J9="","",(1/'Metadata'!$B$5)^(J9-1))</x:f>
        <x:v>296.1824567979166</x:v>
      </x:c>
      <x:c r="L9" s="31" t="n">
        <x:f>IF(E9=0,"",E9*K9)</x:f>
        <x:v>11892245.734783424</x:v>
      </x:c>
      <x:c r="M9" s="31" t="n">
        <x:f>IF(E9=0,"",I9-L9)</x:f>
        <x:v>2703766.4203394353</x:v>
      </x:c>
      <x:c r="N9" s="32" t="n">
        <x:f>IF(L9=0,"",I9/L9)</x:f>
        <x:v>1.227355411302277</x:v>
      </x:c>
      <x:c r="O9" s="34" t="n">
        <x:f>IF(L9=0,"",M9/L9)</x:f>
        <x:v>0.22735541130227704</x:v>
      </x:c>
    </x:row>
    <x:row r="10" ht="18" customHeight="1">
      <x:c r="A10" s="24" t="str">
        <x:v>Medium pelagics (30 - 89 cm)</x:v>
      </x:c>
      <x:c r="B10" s="33" t="n">
        <x:v>8</x:v>
      </x:c>
      <x:c r="C10" s="33" t="n">
        <x:v>8</x:v>
      </x:c>
      <x:c r="D10" s="31" t="n">
        <x:v>35509.5338734843</x:v>
      </x:c>
      <x:c r="E10" s="31" t="n">
        <x:v>35509.5338734843</x:v>
      </x:c>
      <x:c r="F10" s="32" t="n">
        <x:v>0</x:v>
      </x:c>
      <x:c r="G10" s="34" t="n">
        <x:v>1</x:v>
      </x:c>
      <x:c r="H10" s="32" t="n">
        <x:f>IF(E10=0,"",I10/E10)</x:f>
        <x:v>1366.4699350269366</x:v>
      </x:c>
      <x:c r="I10" s="31" t="n">
        <x:f>IF(C10=0,"",SUMIF('Species'!$G$2:$G$67,A10,'Species'!$U$2:$U$67))</x:f>
        <x:v>48522710.4449369</x:v>
      </x:c>
      <x:c r="J10" s="32" t="n">
        <x:v>4.095430604938611</x:v>
      </x:c>
      <x:c r="K10" s="32" t="n">
        <x:f>IF(J10="","",(1/'Metadata'!$B$5)^(J10-1))</x:f>
        <x:v>1245.7491655566569</x:v>
      </x:c>
      <x:c r="L10" s="31" t="n">
        <x:f>IF(E10=0,"",E10*K10)</x:f>
        <x:v>44235972.19219891</x:v>
      </x:c>
      <x:c r="M10" s="31" t="n">
        <x:f>IF(E10=0,"",I10-L10)</x:f>
        <x:v>4286738.2527379915</x:v>
      </x:c>
      <x:c r="N10" s="32" t="n">
        <x:f>IF(L10=0,"",I10/L10)</x:f>
        <x:v>1.0969061612145141</x:v>
      </x:c>
      <x:c r="O10" s="34" t="n">
        <x:f>IF(L10=0,"",M10/L10)</x:f>
        <x:v>0.09690616121451413</x:v>
      </x:c>
    </x:row>
    <x:row r="11" ht="18" customHeight="1">
      <x:c r="A11" s="24" t="str">
        <x:v>Medium reef assoc. fish (30 - 89 cm)</x:v>
      </x:c>
      <x:c r="B11" s="33" t="n">
        <x:v>8</x:v>
      </x:c>
      <x:c r="C11" s="33" t="n">
        <x:v>8</x:v>
      </x:c>
      <x:c r="D11" s="31" t="n">
        <x:v>10038.161370280599</x:v>
      </x:c>
      <x:c r="E11" s="31" t="n">
        <x:v>10038.161370280599</x:v>
      </x:c>
      <x:c r="F11" s="32" t="n">
        <x:v>0</x:v>
      </x:c>
      <x:c r="G11" s="34" t="n">
        <x:v>1</x:v>
      </x:c>
      <x:c r="H11" s="32" t="n">
        <x:f>IF(E11=0,"",I11/E11)</x:f>
        <x:v>696.1529738487621</x:v>
      </x:c>
      <x:c r="I11" s="31" t="n">
        <x:f>IF(C11=0,"",SUMIF('Species'!$G$2:$G$67,A11,'Species'!$U$2:$U$67))</x:f>
        <x:v>6988095.889894605</x:v>
      </x:c>
      <x:c r="J11" s="32" t="n">
        <x:v>3.4625998688545003</x:v>
      </x:c>
      <x:c r="K11" s="32" t="n">
        <x:f>IF(J11="","",(1/'Metadata'!$B$5)^(J11-1))</x:f>
        <x:v>290.1348305992465</x:v>
      </x:c>
      <x:c r="L11" s="31" t="n">
        <x:f>IF(E11=0,"",E11*K11)</x:f>
        <x:v>2912420.248694262</x:v>
      </x:c>
      <x:c r="M11" s="31" t="n">
        <x:f>IF(E11=0,"",I11-L11)</x:f>
        <x:v>4075675.6412003427</x:v>
      </x:c>
      <x:c r="N11" s="32" t="n">
        <x:f>IF(L11=0,"",I11/L11)</x:f>
        <x:v>2.3994119300013823</x:v>
      </x:c>
      <x:c r="O11" s="34" t="n">
        <x:f>IF(L11=0,"",M11/L11)</x:f>
        <x:v>1.399411930001382</x:v>
      </x:c>
    </x:row>
    <x:row r="12" ht="18" customHeight="1">
      <x:c r="A12" s="24" t="str">
        <x:v>Other demersal invertebrates</x:v>
      </x:c>
      <x:c r="B12" s="33" t="n">
        <x:v>2</x:v>
      </x:c>
      <x:c r="C12" s="33" t="n">
        <x:v>2</x:v>
      </x:c>
      <x:c r="D12" s="31" t="n">
        <x:v>15.6414576048</x:v>
      </x:c>
      <x:c r="E12" s="31" t="n">
        <x:v>15.6414576048</x:v>
      </x:c>
      <x:c r="F12" s="32" t="n">
        <x:v>0</x:v>
      </x:c>
      <x:c r="G12" s="34" t="n">
        <x:v>1</x:v>
      </x:c>
      <x:c r="H12" s="32" t="n">
        <x:f>IF(E12=0,"",I12/E12)</x:f>
        <x:v>10.000000000000002</x:v>
      </x:c>
      <x:c r="I12" s="31" t="n">
        <x:f>IF(C12=0,"",SUMIF('Species'!$G$2:$G$67,A12,'Species'!$U$2:$U$67))</x:f>
        <x:v>156.41457604800001</x:v>
      </x:c>
      <x:c r="J12" s="32" t="n">
        <x:v>2</x:v>
      </x:c>
      <x:c r="K12" s="32" t="n">
        <x:f>IF(J12="","",(1/'Metadata'!$B$5)^(J12-1))</x:f>
        <x:v>10</x:v>
      </x:c>
      <x:c r="L12" s="31" t="n">
        <x:f>IF(E12=0,"",E12*K12)</x:f>
        <x:v>156.414576048</x:v>
      </x:c>
      <x:c r="M12" s="31" t="n">
        <x:f>IF(E12=0,"",I12-L12)</x:f>
        <x:v>2.842170943040401e-14</x:v>
      </x:c>
      <x:c r="N12" s="32" t="n">
        <x:f>IF(L12=0,"",I12/L12)</x:f>
        <x:v>1.0000000000000002</x:v>
      </x:c>
      <x:c r="O12" s="34" t="n">
        <x:f>IF(L12=0,"",M12/L12)</x:f>
        <x:v>1.8170755020735438e-16</x:v>
      </x:c>
    </x:row>
    <x:row r="13" ht="18" customHeight="1">
      <x:c r="A13" s="24" t="str">
        <x:v>Shrimps</x:v>
      </x:c>
      <x:c r="B13" s="33" t="n">
        <x:v>2</x:v>
      </x:c>
      <x:c r="C13" s="33" t="n">
        <x:v>2</x:v>
      </x:c>
      <x:c r="D13" s="31" t="n">
        <x:v>530.6444829110001</x:v>
      </x:c>
      <x:c r="E13" s="31" t="n">
        <x:v>530.6444829110001</x:v>
      </x:c>
      <x:c r="F13" s="32" t="n">
        <x:v>0</x:v>
      </x:c>
      <x:c r="G13" s="34" t="n">
        <x:v>1</x:v>
      </x:c>
      <x:c r="H13" s="32" t="n">
        <x:f>IF(E13=0,"",I13/E13)</x:f>
        <x:v>175.39047370077415</x:v>
      </x:c>
      <x:c r="I13" s="31" t="n">
        <x:f>IF(C13=0,"",SUMIF('Species'!$G$2:$G$67,A13,'Species'!$U$2:$U$67))</x:f>
        <x:v>93069.98722446266</x:v>
      </x:c>
      <x:c r="J13" s="32" t="n">
        <x:v>3.1960289016030483</x:v>
      </x:c>
      <x:c r="K13" s="32" t="n">
        <x:f>IF(J13="","",(1/'Metadata'!$B$5)^(J13-1))</x:f>
        <x:v>157.04673129435403</x:v>
      </x:c>
      <x:c r="L13" s="31" t="n">
        <x:f>IF(E13=0,"",E13*K13)</x:f>
        <x:v>83335.98152055527</x:v>
      </x:c>
      <x:c r="M13" s="31" t="n">
        <x:f>IF(E13=0,"",I13-L13)</x:f>
        <x:v>9734.005703907387</x:v>
      </x:c>
      <x:c r="N13" s="32" t="n">
        <x:f>IF(L13=0,"",I13/L13)</x:f>
        <x:v>1.116804356609233</x:v>
      </x:c>
      <x:c r="O13" s="34" t="n">
        <x:f>IF(L13=0,"",M13/L13)</x:f>
        <x:v>0.11680435660923297</x:v>
      </x:c>
    </x:row>
    <x:row r="14" ht="18" customHeight="1">
      <x:c r="A14" s="24" t="str">
        <x:v>Small demersals (&lt;30 cm)</x:v>
      </x:c>
      <x:c r="B14" s="33" t="n">
        <x:v>1</x:v>
      </x:c>
      <x:c r="C14" s="33" t="n">
        <x:v>1</x:v>
      </x:c>
      <x:c r="D14" s="31" t="n">
        <x:v>557.9877797652</x:v>
      </x:c>
      <x:c r="E14" s="31" t="n">
        <x:v>557.9877797652</x:v>
      </x:c>
      <x:c r="F14" s="32" t="n">
        <x:v>0</x:v>
      </x:c>
      <x:c r="G14" s="34" t="n">
        <x:v>1</x:v>
      </x:c>
      <x:c r="H14" s="32" t="n">
        <x:f>IF(E14=0,"",I14/E14)</x:f>
        <x:v>323.5936569296281</x:v>
      </x:c>
      <x:c r="I14" s="31" t="n">
        <x:f>IF(C14=0,"",SUMIF('Species'!$G$2:$G$67,A14,'Species'!$U$2:$U$67))</x:f>
        <x:v>180561.306176265</x:v>
      </x:c>
      <x:c r="J14" s="32" t="n">
        <x:v>3.51</x:v>
      </x:c>
      <x:c r="K14" s="32" t="n">
        <x:f>IF(J14="","",(1/'Metadata'!$B$5)^(J14-1))</x:f>
        <x:v>323.5936569296281</x:v>
      </x:c>
      <x:c r="L14" s="31" t="n">
        <x:f>IF(E14=0,"",E14*K14)</x:f>
        <x:v>180561.306176265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pelagics (&lt;30 cm)</x:v>
      </x:c>
      <x:c r="B15" s="33" t="n">
        <x:v>3</x:v>
      </x:c>
      <x:c r="C15" s="33" t="n">
        <x:v>3</x:v>
      </x:c>
      <x:c r="D15" s="31" t="n">
        <x:v>155986.16996456447</x:v>
      </x:c>
      <x:c r="E15" s="31" t="n">
        <x:v>155986.16996456447</x:v>
      </x:c>
      <x:c r="F15" s="32" t="n">
        <x:v>0</x:v>
      </x:c>
      <x:c r="G15" s="34" t="n">
        <x:v>1</x:v>
      </x:c>
      <x:c r="H15" s="32" t="n">
        <x:f>IF(E15=0,"",I15/E15)</x:f>
        <x:v>43.17829767383648</x:v>
      </x:c>
      <x:c r="I15" s="31" t="n">
        <x:f>IF(C15=0,"",SUMIF('Species'!$G$2:$G$67,A15,'Species'!$U$2:$U$67))</x:f>
        <x:v>6735217.279731616</x:v>
      </x:c>
      <x:c r="J15" s="32" t="n">
        <x:v>2.517198299055919</x:v>
      </x:c>
      <x:c r="K15" s="32" t="n">
        <x:f>IF(J15="","",(1/'Metadata'!$B$5)^(J15-1))</x:f>
        <x:v>32.900181896402685</x:v>
      </x:c>
      <x:c r="L15" s="31" t="n">
        <x:f>IF(E15=0,"",E15*K15)</x:f>
        <x:v>5131973.3651573565</x:v>
      </x:c>
      <x:c r="M15" s="31" t="n">
        <x:f>IF(E15=0,"",I15-L15)</x:f>
        <x:v>1603243.91457426</x:v>
      </x:c>
      <x:c r="N15" s="32" t="n">
        <x:f>IF(L15=0,"",I15/L15)</x:f>
        <x:v>1.3124030076732678</x:v>
      </x:c>
      <x:c r="O15" s="34" t="n">
        <x:f>IF(L15=0,"",M15/L15)</x:f>
        <x:v>0.31240300767326784</x:v>
      </x:c>
    </x:row>
    <x:row r="16" ht="18" customHeight="1">
      <x:c r="A16" s="24" t="str">
        <x:v>Small reef assoc. fish (&lt;30 cm)</x:v>
      </x:c>
      <x:c r="B16" s="33" t="n">
        <x:v>1</x:v>
      </x:c>
      <x:c r="C16" s="33" t="n">
        <x:v>1</x:v>
      </x:c>
      <x:c r="D16" s="31" t="n">
        <x:v>3999.6632556148998</x:v>
      </x:c>
      <x:c r="E16" s="31" t="n">
        <x:v>3999.6632556148998</x:v>
      </x:c>
      <x:c r="F16" s="32" t="n">
        <x:v>0</x:v>
      </x:c>
      <x:c r="G16" s="34" t="n">
        <x:v>1</x:v>
      </x:c>
      <x:c r="H16" s="32" t="n">
        <x:f>IF(E16=0,"",I16/E16)</x:f>
        <x:v>57.543993733715666</x:v>
      </x:c>
      <x:c r="I16" s="31" t="n">
        <x:f>IF(C16=0,"",SUMIF('Species'!$G$2:$G$67,A16,'Species'!$U$2:$U$67))</x:f>
        <x:v>230156.5973180766</x:v>
      </x:c>
      <x:c r="J16" s="32" t="n">
        <x:v>2.76</x:v>
      </x:c>
      <x:c r="K16" s="32" t="n">
        <x:f>IF(J16="","",(1/'Metadata'!$B$5)^(J16-1))</x:f>
        <x:v>57.543993733715666</x:v>
      </x:c>
      <x:c r="L16" s="31" t="n">
        <x:f>IF(E16=0,"",E16*K16)</x:f>
        <x:v>230156.5973180766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to medium sharks (&lt;90 cm)</x:v>
      </x:c>
      <x:c r="B17" s="33" t="n">
        <x:v>1</x:v>
      </x:c>
      <x:c r="C17" s="33" t="n">
        <x:v>1</x:v>
      </x:c>
      <x:c r="D17" s="31" t="n">
        <x:v>0.1204771814</x:v>
      </x:c>
      <x:c r="E17" s="31" t="n">
        <x:v>0.1204771814</x:v>
      </x:c>
      <x:c r="F17" s="32" t="n">
        <x:v>0</x:v>
      </x:c>
      <x:c r="G17" s="34" t="n">
        <x:v>1</x:v>
      </x:c>
      <x:c r="H17" s="32" t="n">
        <x:f>IF(E17=0,"",I17/E17)</x:f>
        <x:v>794.3282347242813</x:v>
      </x:c>
      <x:c r="I17" s="31" t="n">
        <x:f>IF(C17=0,"",SUMIF('Species'!$G$2:$G$67,A17,'Species'!$U$2:$U$67))</x:f>
        <x:v>95.69842682601902</x:v>
      </x:c>
      <x:c r="J17" s="32" t="n">
        <x:v>3.9</x:v>
      </x:c>
      <x:c r="K17" s="32" t="n">
        <x:f>IF(J17="","",(1/'Metadata'!$B$5)^(J17-1))</x:f>
        <x:v>794.3282347242813</x:v>
      </x:c>
      <x:c r="L17" s="31" t="n">
        <x:f>IF(E17=0,"",E17*K17)</x:f>
        <x:v>95.69842682601902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40086c3c31143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EEZ_512</x:v>
      </x:c>
      <x:c r="B2" s="24" t="str">
        <x:v>raw_filtered_tonnes</x:v>
      </x:c>
      <x:c r="C2" s="24" t="n">
        <x:v>304318.44171610783</x:v>
      </x:c>
      <x:c r="D2" s="24" t="str">
        <x:v>tonnes</x:v>
      </x:c>
    </x:row>
    <x:row r="3" ht="18" customHeight="1">
      <x:c r="A3" s="24" t="str">
        <x:v>EEZ_512</x:v>
      </x:c>
      <x:c r="B3" s="24" t="str">
        <x:v>species_catch_tonnes</x:v>
      </x:c>
      <x:c r="C3" s="24" t="n">
        <x:v>304318.44171610783</x:v>
      </x:c>
      <x:c r="D3" s="24" t="str">
        <x:v>tonnes</x:v>
      </x:c>
    </x:row>
    <x:row r="4" ht="18" customHeight="1">
      <x:c r="A4" s="24" t="str">
        <x:v>EEZ_512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EEZ_512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EEZ_512</x:v>
      </x:c>
      <x:c r="B6" s="24" t="str">
        <x:v>matched_catch_tonnes</x:v>
      </x:c>
      <x:c r="C6" s="24" t="n">
        <x:v>304318.44171610783</x:v>
      </x:c>
      <x:c r="D6" s="24" t="str">
        <x:v>tonnes</x:v>
      </x:c>
    </x:row>
    <x:row r="7" ht="18" customHeight="1">
      <x:c r="A7" s="24" t="str">
        <x:v>EEZ_512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EEZ_512</x:v>
      </x:c>
      <x:c r="B8" s="24" t="str">
        <x:v>taxa_count</x:v>
      </x:c>
      <x:c r="C8" s="24" t="n">
        <x:v>66</x:v>
      </x:c>
      <x:c r="D8" s="24" t="str">
        <x:v>count</x:v>
      </x:c>
    </x:row>
    <x:row r="9" ht="18" customHeight="1">
      <x:c r="A9" s="24" t="str">
        <x:v>EEZ_512</x:v>
      </x:c>
      <x:c r="B9" s="24" t="str">
        <x:v>matched_taxa_count</x:v>
      </x:c>
      <x:c r="C9" s="24" t="n">
        <x:v>66</x:v>
      </x:c>
      <x:c r="D9" s="24" t="str">
        <x:v>count</x:v>
      </x:c>
    </x:row>
    <x:row r="10" ht="18" customHeight="1">
      <x:c r="A10" s="24" t="str">
        <x:v>EEZ_512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EEZ_512</x:v>
      </x:c>
      <x:c r="B11" s="24" t="str">
        <x:v>species_ppr</x:v>
      </x:c>
      <x:c r="C11" s="24" t="n">
        <x:v>187008419.87587023</x:v>
      </x:c>
      <x:c r="D11" s="24" t="str">
        <x:v>tonnes_primary_production_equivalent</x:v>
      </x:c>
    </x:row>
    <x:row r="12" ht="18" customHeight="1">
      <x:c r="A12" s="24" t="str">
        <x:v>EEZ_512</x:v>
      </x:c>
      <x:c r="B12" s="24" t="str">
        <x:v>commercial_ppr</x:v>
      </x:c>
      <x:c r="C12" s="24" t="n">
        <x:v>187008419.87587017</x:v>
      </x:c>
      <x:c r="D12" s="24" t="str">
        <x:v>tonnes_primary_production_equivalent</x:v>
      </x:c>
    </x:row>
    <x:row r="13" ht="18" customHeight="1">
      <x:c r="A13" s="24" t="str">
        <x:v>EEZ_512</x:v>
      </x:c>
      <x:c r="B13" s="24" t="str">
        <x:v>functional_ppr</x:v>
      </x:c>
      <x:c r="C13" s="24" t="n">
        <x:v>187008419.87587017</x:v>
      </x:c>
      <x:c r="D13" s="24" t="str">
        <x:v>tonnes_primary_production_equivalent</x:v>
      </x:c>
    </x:row>
    <x:row r="14" ht="18" customHeight="1">
      <x:c r="A14" s="24" t="str">
        <x:v>EEZ_512</x:v>
      </x:c>
      <x:c r="B14" s="24" t="str">
        <x:v>commercial_ppr_difference</x:v>
      </x:c>
      <x:c r="C14" s="24" t="n">
        <x:v>-5.960464477539063e-8</x:v>
      </x:c>
      <x:c r="D14" s="24" t="str">
        <x:v>tonnes_primary_production_equivalent</x:v>
      </x:c>
    </x:row>
    <x:row r="15" ht="18" customHeight="1">
      <x:c r="A15" s="24" t="str">
        <x:v>EEZ_512</x:v>
      </x:c>
      <x:c r="B15" s="24" t="str">
        <x:v>functional_ppr_difference</x:v>
      </x:c>
      <x:c r="C15" s="24" t="n">
        <x:v>-5.960464477539063e-8</x:v>
      </x:c>
      <x:c r="D15" s="24" t="str">
        <x:v>tonnes_primary_production_equivalent</x:v>
      </x:c>
    </x:row>
    <x:row r="16" ht="18" customHeight="1">
      <x:c r="A16" s="24" t="str">
        <x:v>EEZ_512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EEZ_512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EEZ_512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EEZ_512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7fd457af83448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EEZ_512 - Oman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EEZ_512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