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d3c733a3b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ebae1b198f14467"/>
    <x:sheet xmlns:r="http://schemas.openxmlformats.org/officeDocument/2006/relationships" name="Commercial" sheetId="2" r:id="R878906b88a2a4ffe"/>
    <x:sheet xmlns:r="http://schemas.openxmlformats.org/officeDocument/2006/relationships" name="Functional" sheetId="3" r:id="R0b7f3f266f5445ee"/>
    <x:sheet xmlns:r="http://schemas.openxmlformats.org/officeDocument/2006/relationships" name="Missing TL" sheetId="4" r:id="R235c0b91b7f34cb0"/>
    <x:sheet xmlns:r="http://schemas.openxmlformats.org/officeDocument/2006/relationships" name="Validation" sheetId="5" r:id="R9306957c70c1498a"/>
    <x:sheet xmlns:r="http://schemas.openxmlformats.org/officeDocument/2006/relationships" name="Metadata" sheetId="6" r:id="R5a6e997e564c4b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9bf2258af42ad" /><Relationship Type="http://schemas.openxmlformats.org/officeDocument/2006/relationships/theme" Target="/xl/theme/theme1.xml" Id="R0b2c69b55cae4525" /><Relationship Type="http://schemas.microsoft.com/office/2022/11/relationships/FeaturePropertyBag" Target="/xl/featurePropertyBag/featurePropertyBag.xml" Id="Re80b6756f46b4e03" /><Relationship Type="http://schemas.openxmlformats.org/officeDocument/2006/relationships/sharedStrings" Target="/xl/sharedStrings.xml" Id="R1b28e8d5ecef4549" /><Relationship Type="http://schemas.openxmlformats.org/officeDocument/2006/relationships/worksheet" Target="/xl/worksheets/sheet1.xml" Id="R1ebae1b198f14467" /><Relationship Type="http://schemas.openxmlformats.org/officeDocument/2006/relationships/worksheet" Target="/xl/worksheets/sheet2.xml" Id="R878906b88a2a4ffe" /><Relationship Type="http://schemas.openxmlformats.org/officeDocument/2006/relationships/worksheet" Target="/xl/worksheets/sheet3.xml" Id="R0b7f3f266f5445ee" /><Relationship Type="http://schemas.openxmlformats.org/officeDocument/2006/relationships/worksheet" Target="/xl/worksheets/sheet4.xml" Id="R235c0b91b7f34cb0" /><Relationship Type="http://schemas.openxmlformats.org/officeDocument/2006/relationships/worksheet" Target="/xl/worksheets/sheet5.xml" Id="R9306957c70c1498a" /><Relationship Type="http://schemas.openxmlformats.org/officeDocument/2006/relationships/worksheet" Target="/xl/worksheets/sheet6.xml" Id="R5a6e997e564c4b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98SpeciesTable" displayName="EEZ798SpeciesTable" ref="A1:U47" headerRowCount="1" totalsRowCount="0" totalsRowShown="0">
  <x:autoFilter ref="A1:U4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98CommercialTable" displayName="EEZ798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98FunctionalTable" displayName="EEZ798FunctionalTable" ref="A1:O13" headerRowCount="1" totalsRowCount="0" totalsRowShown="0">
  <x:autoFilter ref="A1:O1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98ValidationTable" displayName="EEZ79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c8d664b95542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7aeb361ab846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f2f5176fbf42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57578ea16541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EEZ_798</x:v>
      </x:c>
      <x:c r="B2" s="24" t="str">
        <x:v>Tuvalu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108030.064583422</x:v>
      </x:c>
      <x:c r="J2" s="31" t="n">
        <x:v>107606.4532682525</x:v>
      </x:c>
      <x:c r="K2" s="31" t="n">
        <x:v>423.6113151695</x:v>
      </x:c>
      <x:c r="L2" s="31" t="n">
        <x:v>107606.4532682525</x:v>
      </x:c>
      <x:c r="M2" s="31" t="n">
        <x:v>423.6113151695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290766678.6967526</x:v>
      </x:c>
    </x:row>
    <x:row r="3" ht="18" customHeight="1">
      <x:c r="A3" s="24" t="str">
        <x:v>EEZ_798</x:v>
      </x:c>
      <x:c r="B3" s="24" t="str">
        <x:v>Tuvalu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14375.8501574979</x:v>
      </x:c>
      <x:c r="J3" s="31" t="n">
        <x:v>14311.846746477</x:v>
      </x:c>
      <x:c r="K3" s="31" t="n">
        <x:v>64.0034110209</x:v>
      </x:c>
      <x:c r="L3" s="31" t="n">
        <x:v>14311.846746477</x:v>
      </x:c>
      <x:c r="M3" s="31" t="n">
        <x:v>64.0034110209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36951624.61854972</x:v>
      </x:c>
    </x:row>
    <x:row r="4" ht="18" customHeight="1">
      <x:c r="A4" s="24" t="str">
        <x:v>EEZ_798</x:v>
      </x:c>
      <x:c r="B4" s="24" t="str">
        <x:v>Tuvalu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4713.6834565695</x:v>
      </x:c>
      <x:c r="J4" s="31" t="n">
        <x:v>4621.3539023333</x:v>
      </x:c>
      <x:c r="K4" s="31" t="n">
        <x:v>92.3295542362</x:v>
      </x:c>
      <x:c r="L4" s="31" t="n">
        <x:v>4621.3539023333</x:v>
      </x:c>
      <x:c r="M4" s="31" t="n">
        <x:v>92.3295542362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14566674.456151607</x:v>
      </x:c>
    </x:row>
    <x:row r="5" ht="18" customHeight="1">
      <x:c r="A5" s="24" t="str">
        <x:v>EEZ_798</x:v>
      </x:c>
      <x:c r="B5" s="24" t="str">
        <x:v>Tuvalu</x:v>
      </x:c>
      <x:c r="C5" s="24" t="str">
        <x:v>EEZ</x:v>
      </x:c>
      <x:c r="D5" s="30" t="n">
        <x:v>2019</x:v>
      </x:c>
      <x:c r="E5" s="24" t="str">
        <x:v>Prionace glauca</x:v>
      </x:c>
      <x:c r="F5" s="24" t="str">
        <x:v>Blue shark</x:v>
      </x:c>
      <x:c r="G5" s="24" t="str">
        <x:v>Large sharks (&gt;=90 cm)</x:v>
      </x:c>
      <x:c r="H5" s="24" t="str">
        <x:v>Sharks &amp; rays</x:v>
      </x:c>
      <x:c r="I5" s="31" t="n">
        <x:v>4356.844617837</x:v>
      </x:c>
      <x:c r="J5" s="31" t="n">
        <x:v>2193.5695095283</x:v>
      </x:c>
      <x:c r="K5" s="31" t="n">
        <x:v>2163.2751083087</x:v>
      </x:c>
      <x:c r="L5" s="31" t="n">
        <x:v>2193.5695095283</x:v>
      </x:c>
      <x:c r="M5" s="31" t="n">
        <x:v>2163.2751083087</x:v>
      </x:c>
      <x:c r="N5" s="24" t="str">
        <x:v>prionace glauca</x:v>
      </x:c>
      <x:c r="O5" s="32" t="n">
        <x:v>4.35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Prionace glauca</x:v>
      </x:c>
      <x:c r="T5" s="32" t="n">
        <x:f>IF(O5="","",(1/'Metadata'!$B$5)^(O5-1))</x:f>
        <x:v>2238.7211385683377</x:v>
      </x:c>
      <x:c r="U5" s="31" t="n">
        <x:f>IF(T5="","",I5*T5)</x:f>
        <x:v>9753760.143409384</x:v>
      </x:c>
    </x:row>
    <x:row r="6" ht="18" customHeight="1">
      <x:c r="A6" s="24" t="str">
        <x:v>EEZ_798</x:v>
      </x:c>
      <x:c r="B6" s="24" t="str">
        <x:v>Tuvalu</x:v>
      </x:c>
      <x:c r="C6" s="24" t="str">
        <x:v>EEZ</x:v>
      </x:c>
      <x:c r="D6" s="30" t="n">
        <x:v>2019</x:v>
      </x:c>
      <x:c r="E6" s="24" t="str">
        <x:v>Thunnus alalunga</x:v>
      </x:c>
      <x:c r="F6" s="24" t="str">
        <x:v>Albacore</x:v>
      </x:c>
      <x:c r="G6" s="24" t="str">
        <x:v>Large pelagics (&gt;=90 cm)</x:v>
      </x:c>
      <x:c r="H6" s="24" t="str">
        <x:v>Tuna &amp; billfishes</x:v>
      </x:c>
      <x:c r="I6" s="31" t="n">
        <x:v>3353.3709514979</x:v>
      </x:c>
      <x:c r="J6" s="31" t="n">
        <x:v>3348.7700328971</x:v>
      </x:c>
      <x:c r="K6" s="31" t="n">
        <x:v>4.6009186008</x:v>
      </x:c>
      <x:c r="L6" s="31" t="n">
        <x:v>3348.7700328971</x:v>
      </x:c>
      <x:c r="M6" s="31" t="n">
        <x:v>4.6009186008</x:v>
      </x:c>
      <x:c r="N6" s="24" t="str">
        <x:v>thunnus alalunga</x:v>
      </x:c>
      <x:c r="O6" s="32" t="n">
        <x:v>4.3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alalunga</x:v>
      </x:c>
      <x:c r="T6" s="32" t="n">
        <x:f>IF(O6="","",(1/'Metadata'!$B$5)^(O6-1))</x:f>
        <x:v>1995.2623149688789</x:v>
      </x:c>
      <x:c r="U6" s="31" t="n">
        <x:f>IF(T6="","",I6*T6)</x:f>
        <x:v>6690854.687635092</x:v>
      </x:c>
    </x:row>
    <x:row r="7" ht="18" customHeight="1">
      <x:c r="A7" s="24" t="str">
        <x:v>EEZ_798</x:v>
      </x:c>
      <x:c r="B7" s="24" t="str">
        <x:v>Tuvalu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3350.9505584281</x:v>
      </x:c>
      <x:c r="J7" s="31" t="n">
        <x:v>962.740750768</x:v>
      </x:c>
      <x:c r="K7" s="31" t="n">
        <x:v>2388.2098076601</x:v>
      </x:c>
      <x:c r="L7" s="31" t="n">
        <x:v>814.830860004</x:v>
      </x:c>
      <x:c r="M7" s="31" t="n">
        <x:v>2536.1196984241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638510.4656921749</x:v>
      </x:c>
    </x:row>
    <x:row r="8" ht="18" customHeight="1">
      <x:c r="A8" s="24" t="str">
        <x:v>EEZ_798</x:v>
      </x:c>
      <x:c r="B8" s="24" t="str">
        <x:v>Tuvalu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1175.962661605</x:v>
      </x:c>
      <x:c r="J8" s="31" t="n">
        <x:v>0.3035207428</x:v>
      </x:c>
      <x:c r="K8" s="31" t="n">
        <x:v>1175.6591408622</x:v>
      </x:c>
      <x:c r="L8" s="31" t="n">
        <x:v>0.3035207428</x:v>
      </x:c>
      <x:c r="M8" s="31" t="n">
        <x:v>1175.6591408622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2139900.2650158987</x:v>
      </x:c>
    </x:row>
    <x:row r="9" ht="18" customHeight="1">
      <x:c r="A9" s="24" t="str">
        <x:v>EEZ_798</x:v>
      </x:c>
      <x:c r="B9" s="24" t="str">
        <x:v>Tuvalu</x:v>
      </x:c>
      <x:c r="C9" s="24" t="str">
        <x:v>EEZ</x:v>
      </x:c>
      <x:c r="D9" s="30" t="n">
        <x:v>2019</x:v>
      </x:c>
      <x:c r="E9" s="24" t="str">
        <x:v>Coryphaena hippurus</x:v>
      </x:c>
      <x:c r="F9" s="24" t="str">
        <x:v>Common dolphinfish</x:v>
      </x:c>
      <x:c r="G9" s="24" t="str">
        <x:v>Large pelagics (&gt;=90 cm)</x:v>
      </x:c>
      <x:c r="H9" s="24" t="str">
        <x:v>Perch-likes</x:v>
      </x:c>
      <x:c r="I9" s="31" t="n">
        <x:v>1103.6277197561</x:v>
      </x:c>
      <x:c r="J9" s="31" t="n">
        <x:v>0</x:v>
      </x:c>
      <x:c r="K9" s="31" t="n">
        <x:v>1103.6277197561</x:v>
      </x:c>
      <x:c r="L9" s="31" t="n">
        <x:v>0</x:v>
      </x:c>
      <x:c r="M9" s="31" t="n">
        <x:v>1103.6277197561</x:v>
      </x:c>
      <x:c r="N9" s="24" t="str">
        <x:v>coryphaena hippurus</x:v>
      </x:c>
      <x:c r="O9" s="32" t="n">
        <x:v>4.37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Coryphaena hippurus</x:v>
      </x:c>
      <x:c r="T9" s="32" t="n">
        <x:f>IF(O9="","",(1/'Metadata'!$B$5)^(O9-1))</x:f>
        <x:v>2344.228815319923</x:v>
      </x:c>
      <x:c r="U9" s="31" t="n">
        <x:f>IF(T9="","",I9*T9)</x:f>
        <x:v>2587155.9020380704</x:v>
      </x:c>
    </x:row>
    <x:row r="10" ht="18" customHeight="1">
      <x:c r="A10" s="24" t="str">
        <x:v>EEZ_798</x:v>
      </x:c>
      <x:c r="B10" s="24" t="str">
        <x:v>Tuvalu</x:v>
      </x:c>
      <x:c r="C10" s="24" t="str">
        <x:v>EEZ</x:v>
      </x:c>
      <x:c r="D10" s="30" t="n">
        <x:v>2019</x:v>
      </x:c>
      <x:c r="E10" s="24" t="str">
        <x:v>Marine pelagic fishes not identified</x:v>
      </x:c>
      <x:c r="F10" s="24" t="str">
        <x:v>Pelagic fishes</x:v>
      </x:c>
      <x:c r="G10" s="24" t="str">
        <x:v>Medium pelagics (30 - 89 cm)</x:v>
      </x:c>
      <x:c r="H10" s="24" t="str">
        <x:v>Other fishes &amp; inverts</x:v>
      </x:c>
      <x:c r="I10" s="31" t="n">
        <x:v>927.0131423785</x:v>
      </x:c>
      <x:c r="J10" s="31" t="n">
        <x:v>727.5414897744</x:v>
      </x:c>
      <x:c r="K10" s="31" t="n">
        <x:v>199.4716526041</x:v>
      </x:c>
      <x:c r="L10" s="31" t="n">
        <x:v>727.5414897744</x:v>
      </x:c>
      <x:c r="M10" s="31" t="n">
        <x:v>199.4716526041</x:v>
      </x:c>
      <x:c r="N10" s="24" t="str">
        <x:v>marine pelagic fishes not identified</x:v>
      </x:c>
      <x:c r="O10" s="32" t="n">
        <x:v>3.35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pelagic fishes not identified</x:v>
      </x:c>
      <x:c r="T10" s="32" t="n">
        <x:f>IF(O10="","",(1/'Metadata'!$B$5)^(O10-1))</x:f>
        <x:v>223.872113856834</x:v>
      </x:c>
      <x:c r="U10" s="31" t="n">
        <x:f>IF(T10="","",I10*T10)</x:f>
        <x:v>207532.391757341</x:v>
      </x:c>
    </x:row>
    <x:row r="11" ht="18" customHeight="1">
      <x:c r="A11" s="24" t="str">
        <x:v>EEZ_798</x:v>
      </x:c>
      <x:c r="B11" s="24" t="str">
        <x:v>Tuvalu</x:v>
      </x:c>
      <x:c r="C11" s="24" t="str">
        <x:v>EEZ</x:v>
      </x:c>
      <x:c r="D11" s="30" t="n">
        <x:v>2019</x:v>
      </x:c>
      <x:c r="E11" s="24" t="str">
        <x:v>Elasmobranchii</x:v>
      </x:c>
      <x:c r="F11" s="24" t="str">
        <x:v>Sharks, rays, skates</x:v>
      </x:c>
      <x:c r="G11" s="24" t="str">
        <x:v>Large sharks (&gt;=90 cm)</x:v>
      </x:c>
      <x:c r="H11" s="24" t="str">
        <x:v>Sharks &amp; rays</x:v>
      </x:c>
      <x:c r="I11" s="31" t="n">
        <x:v>903.1555580101999</x:v>
      </x:c>
      <x:c r="J11" s="31" t="n">
        <x:v>0.5900641941</x:v>
      </x:c>
      <x:c r="K11" s="31" t="n">
        <x:v>902.5654938160999</x:v>
      </x:c>
      <x:c r="L11" s="31" t="n">
        <x:v>0.5900641941</x:v>
      </x:c>
      <x:c r="M11" s="31" t="n">
        <x:v>902.5654938160999</x:v>
      </x:c>
      <x:c r="N11" s="24" t="str">
        <x:v>elasmobranchii</x:v>
      </x:c>
      <x:c r="O11" s="32" t="n">
        <x:v>4.05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Elasmobranchii</x:v>
      </x:c>
      <x:c r="T11" s="32" t="n">
        <x:f>IF(O11="","",(1/'Metadata'!$B$5)^(O11-1))</x:f>
        <x:v>1122.018454301963</x:v>
      </x:c>
      <x:c r="U11" s="31" t="n">
        <x:f>IF(T11="","",I11*T11)</x:f>
        <x:v>1013357.2031928314</x:v>
      </x:c>
    </x:row>
    <x:row r="12" ht="18" customHeight="1">
      <x:c r="A12" s="24" t="str">
        <x:v>EEZ_798</x:v>
      </x:c>
      <x:c r="B12" s="24" t="str">
        <x:v>Tuvalu</x:v>
      </x:c>
      <x:c r="C12" s="24" t="str">
        <x:v>EEZ</x:v>
      </x:c>
      <x:c r="D12" s="30" t="n">
        <x:v>2019</x:v>
      </x:c>
      <x:c r="E12" s="24" t="str">
        <x:v>Thunnus orientalis</x:v>
      </x:c>
      <x:c r="F12" s="24" t="str">
        <x:v>Pacific bluefin tuna</x:v>
      </x:c>
      <x:c r="G12" s="24" t="str">
        <x:v>Large pelagics (&gt;=90 cm)</x:v>
      </x:c>
      <x:c r="H12" s="24" t="str">
        <x:v>Tuna &amp; billfishes</x:v>
      </x:c>
      <x:c r="I12" s="31" t="n">
        <x:v>569.9096007252</x:v>
      </x:c>
      <x:c r="J12" s="31" t="n">
        <x:v>568.8707863561</x:v>
      </x:c>
      <x:c r="K12" s="31" t="n">
        <x:v>1.0388143691</x:v>
      </x:c>
      <x:c r="L12" s="31" t="n">
        <x:v>568.8707863561</x:v>
      </x:c>
      <x:c r="M12" s="31" t="n">
        <x:v>1.0388143691</x:v>
      </x:c>
      <x:c r="N12" s="24" t="str">
        <x:v>thunnus orientalis</x:v>
      </x:c>
      <x:c r="O12" s="32" t="n">
        <x:v>4.05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orientalis</x:v>
      </x:c>
      <x:c r="T12" s="32" t="n">
        <x:f>IF(O12="","",(1/'Metadata'!$B$5)^(O12-1))</x:f>
        <x:v>1122.018454301963</x:v>
      </x:c>
      <x:c r="U12" s="31" t="n">
        <x:f>IF(T12="","",I12*T12)</x:f>
        <x:v>639449.0892975378</x:v>
      </x:c>
    </x:row>
    <x:row r="13" ht="18" customHeight="1">
      <x:c r="A13" s="24" t="str">
        <x:v>EEZ_798</x:v>
      </x:c>
      <x:c r="B13" s="24" t="str">
        <x:v>Tuvalu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401.3739002039</x:v>
      </x:c>
      <x:c r="J13" s="31" t="n">
        <x:v>67.36054299199999</x:v>
      </x:c>
      <x:c r="K13" s="31" t="n">
        <x:v>334.01335721190003</x:v>
      </x:c>
      <x:c r="L13" s="31" t="n">
        <x:v>61.874055032</x:v>
      </x:c>
      <x:c r="M13" s="31" t="n">
        <x:v>339.4998451719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450348.9231039302</x:v>
      </x:c>
    </x:row>
    <x:row r="14" ht="18" customHeight="1">
      <x:c r="A14" s="24" t="str">
        <x:v>EEZ_798</x:v>
      </x:c>
      <x:c r="B14" s="24" t="str">
        <x:v>Tuvalu</x:v>
      </x:c>
      <x:c r="C14" s="24" t="str">
        <x:v>EEZ</x:v>
      </x:c>
      <x:c r="D14" s="30" t="n">
        <x:v>2019</x:v>
      </x:c>
      <x:c r="E14" s="24" t="str">
        <x:v>Xiphias gladius</x:v>
      </x:c>
      <x:c r="F14" s="24" t="str">
        <x:v>Swordfish</x:v>
      </x:c>
      <x:c r="G14" s="24" t="str">
        <x:v>Large pelagics (&gt;=90 cm)</x:v>
      </x:c>
      <x:c r="H14" s="24" t="str">
        <x:v>Tuna &amp; billfishes</x:v>
      </x:c>
      <x:c r="I14" s="31" t="n">
        <x:v>376.9949760847</x:v>
      </x:c>
      <x:c r="J14" s="31" t="n">
        <x:v>100.87763672</x:v>
      </x:c>
      <x:c r="K14" s="31" t="n">
        <x:v>276.1173393647</x:v>
      </x:c>
      <x:c r="L14" s="31" t="n">
        <x:v>100.87763672</x:v>
      </x:c>
      <x:c r="M14" s="31" t="n">
        <x:v>276.1173393647</x:v>
      </x:c>
      <x:c r="N14" s="24" t="str">
        <x:v>xiphias gladius</x:v>
      </x:c>
      <x:c r="O14" s="32" t="n">
        <x:v>4.53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Xiphias gladius</x:v>
      </x:c>
      <x:c r="T14" s="32" t="n">
        <x:f>IF(O14="","",(1/'Metadata'!$B$5)^(O14-1))</x:f>
        <x:v>3388.4415613920273</x:v>
      </x:c>
      <x:c r="U14" s="31" t="n">
        <x:f>IF(T14="","",I14*T14)</x:f>
        <x:v>1277425.4454013908</x:v>
      </x:c>
    </x:row>
    <x:row r="15" ht="18" customHeight="1">
      <x:c r="A15" s="24" t="str">
        <x:v>EEZ_798</x:v>
      </x:c>
      <x:c r="B15" s="24" t="str">
        <x:v>Tuvalu</x:v>
      </x:c>
      <x:c r="C15" s="24" t="str">
        <x:v>EEZ</x:v>
      </x:c>
      <x:c r="D15" s="30" t="n">
        <x:v>2019</x:v>
      </x:c>
      <x:c r="E15" s="24" t="str">
        <x:v>Isurus</x:v>
      </x:c>
      <x:c r="F15" s="24" t="str">
        <x:v>Mako sharks</x:v>
      </x:c>
      <x:c r="G15" s="24" t="str">
        <x:v>Large sharks (&gt;=90 cm)</x:v>
      </x:c>
      <x:c r="H15" s="24" t="str">
        <x:v>Sharks &amp; rays</x:v>
      </x:c>
      <x:c r="I15" s="31" t="n">
        <x:v>320.7509475166</x:v>
      </x:c>
      <x:c r="J15" s="31" t="n">
        <x:v>99.73203743149999</x:v>
      </x:c>
      <x:c r="K15" s="31" t="n">
        <x:v>221.0189100851</x:v>
      </x:c>
      <x:c r="L15" s="31" t="n">
        <x:v>99.73203743149999</x:v>
      </x:c>
      <x:c r="M15" s="31" t="n">
        <x:v>221.0189100851</x:v>
      </x:c>
      <x:c r="N15" s="24" t="str">
        <x:v>isurus</x:v>
      </x:c>
      <x:c r="O15" s="32" t="n">
        <x:v>4.5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Isurus</x:v>
      </x:c>
      <x:c r="T15" s="32" t="n">
        <x:f>IF(O15="","",(1/'Metadata'!$B$5)^(O15-1))</x:f>
        <x:v>3162.2776601683795</x:v>
      </x:c>
      <x:c r="U15" s="31" t="n">
        <x:f>IF(T15="","",I15*T15)</x:f>
        <x:v>1014303.5558095844</x:v>
      </x:c>
    </x:row>
    <x:row r="16" ht="18" customHeight="1">
      <x:c r="A16" s="24" t="str">
        <x:v>EEZ_798</x:v>
      </x:c>
      <x:c r="B16" s="24" t="str">
        <x:v>Tuvalu</x:v>
      </x:c>
      <x:c r="C16" s="24" t="str">
        <x:v>EEZ</x:v>
      </x:c>
      <x:c r="D16" s="30" t="n">
        <x:v>2019</x:v>
      </x:c>
      <x:c r="E16" s="24" t="str">
        <x:v>Istiophoridae</x:v>
      </x:c>
      <x:c r="F16" s="24" t="str">
        <x:v>Billfishes</x:v>
      </x:c>
      <x:c r="G16" s="24" t="str">
        <x:v>Large pelagics (&gt;=90 cm)</x:v>
      </x:c>
      <x:c r="H16" s="24" t="str">
        <x:v>Tuna &amp; billfishes</x:v>
      </x:c>
      <x:c r="I16" s="31" t="n">
        <x:v>270.6585978952</x:v>
      </x:c>
      <x:c r="J16" s="31" t="n">
        <x:v>4.175414265000001</x:v>
      </x:c>
      <x:c r="K16" s="31" t="n">
        <x:v>266.4831836302</x:v>
      </x:c>
      <x:c r="L16" s="31" t="n">
        <x:v>3.870700659</x:v>
      </x:c>
      <x:c r="M16" s="31" t="n">
        <x:v>266.7878972362</x:v>
      </x:c>
      <x:c r="N16" s="24" t="str">
        <x:v>istiophoridae</x:v>
      </x:c>
      <x:c r="O16" s="32" t="n">
        <x:v>4.48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Istiophoridae</x:v>
      </x:c>
      <x:c r="T16" s="32" t="n">
        <x:f>IF(O16="","",(1/'Metadata'!$B$5)^(O16-1))</x:f>
        <x:v>3019.951720402019</x:v>
      </x:c>
      <x:c r="U16" s="31" t="n">
        <x:f>IF(T16="","",I16*T16)</x:f>
        <x:v>817375.8983552075</x:v>
      </x:c>
    </x:row>
    <x:row r="17" ht="18" customHeight="1">
      <x:c r="A17" s="24" t="str">
        <x:v>EEZ_798</x:v>
      </x:c>
      <x:c r="B17" s="24" t="str">
        <x:v>Tuvalu</x:v>
      </x:c>
      <x:c r="C17" s="24" t="str">
        <x:v>EEZ</x:v>
      </x:c>
      <x:c r="D17" s="30" t="n">
        <x:v>2019</x:v>
      </x:c>
      <x:c r="E17" s="24" t="str">
        <x:v>Alopias</x:v>
      </x:c>
      <x:c r="F17" s="24" t="str">
        <x:v>Thresher sharks</x:v>
      </x:c>
      <x:c r="G17" s="24" t="str">
        <x:v>Large sharks (&gt;=90 cm)</x:v>
      </x:c>
      <x:c r="H17" s="24" t="str">
        <x:v>Sharks &amp; rays</x:v>
      </x:c>
      <x:c r="I17" s="31" t="n">
        <x:v>261.6555769333</x:v>
      </x:c>
      <x:c r="J17" s="31" t="n">
        <x:v>240.9086761929</x:v>
      </x:c>
      <x:c r="K17" s="31" t="n">
        <x:v>20.7469007404</x:v>
      </x:c>
      <x:c r="L17" s="31" t="n">
        <x:v>240.9086761929</x:v>
      </x:c>
      <x:c r="M17" s="31" t="n">
        <x:v>20.7469007404</x:v>
      </x:c>
      <x:c r="N17" s="24" t="str">
        <x:v>alopias</x:v>
      </x:c>
      <x:c r="O17" s="32" t="n">
        <x:v>4.5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Alopias</x:v>
      </x:c>
      <x:c r="T17" s="32" t="n">
        <x:f>IF(O17="","",(1/'Metadata'!$B$5)^(O17-1))</x:f>
        <x:v>3162.2776601683795</x:v>
      </x:c>
      <x:c r="U17" s="31" t="n">
        <x:f>IF(T17="","",I17*T17)</x:f>
        <x:v>827427.5855946433</x:v>
      </x:c>
    </x:row>
    <x:row r="18" ht="18" customHeight="1">
      <x:c r="A18" s="24" t="str">
        <x:v>EEZ_798</x:v>
      </x:c>
      <x:c r="B18" s="24" t="str">
        <x:v>Tuvalu</x:v>
      </x:c>
      <x:c r="C18" s="24" t="str">
        <x:v>EEZ</x:v>
      </x:c>
      <x:c r="D18" s="30" t="n">
        <x:v>2019</x:v>
      </x:c>
      <x:c r="E18" s="24" t="str">
        <x:v>Istiompax indica</x:v>
      </x:c>
      <x:c r="F18" s="24" t="str">
        <x:v>Black marlin</x:v>
      </x:c>
      <x:c r="G18" s="24" t="str">
        <x:v>Large pelagics (&gt;=90 cm)</x:v>
      </x:c>
      <x:c r="H18" s="24" t="str">
        <x:v>Tuna &amp; billfishes</x:v>
      </x:c>
      <x:c r="I18" s="31" t="n">
        <x:v>110.2769363589</x:v>
      </x:c>
      <x:c r="J18" s="31" t="n">
        <x:v>110.2769363589</x:v>
      </x:c>
      <x:c r="K18" s="31" t="n">
        <x:v>0</x:v>
      </x:c>
      <x:c r="L18" s="31" t="n">
        <x:v>110.2769363589</x:v>
      </x:c>
      <x:c r="M18" s="31" t="n">
        <x:v>0</x:v>
      </x:c>
      <x:c r="N18" s="24" t="str">
        <x:v>istiompax indica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Istiompax indica</x:v>
      </x:c>
      <x:c r="T18" s="32" t="n">
        <x:f>IF(O18="","",(1/'Metadata'!$B$5)^(O18-1))</x:f>
        <x:v>3162.2776601683795</x:v>
      </x:c>
      <x:c r="U18" s="31" t="n">
        <x:f>IF(T18="","",I18*T18)</x:f>
        <x:v>348726.2922795596</x:v>
      </x:c>
    </x:row>
    <x:row r="19" ht="18" customHeight="1">
      <x:c r="A19" s="24" t="str">
        <x:v>EEZ_798</x:v>
      </x:c>
      <x:c r="B19" s="24" t="str">
        <x:v>Tuvalu</x:v>
      </x:c>
      <x:c r="C19" s="24" t="str">
        <x:v>EEZ</x:v>
      </x:c>
      <x:c r="D19" s="30" t="n">
        <x:v>2019</x:v>
      </x:c>
      <x:c r="E19" s="24" t="str">
        <x:v>Carcharhinus longimanus</x:v>
      </x:c>
      <x:c r="F19" s="24" t="str">
        <x:v>Oceanic whitetip shark</x:v>
      </x:c>
      <x:c r="G19" s="24" t="str">
        <x:v>Large sharks (&gt;=90 cm)</x:v>
      </x:c>
      <x:c r="H19" s="24" t="str">
        <x:v>Sharks &amp; rays</x:v>
      </x:c>
      <x:c r="I19" s="31" t="n">
        <x:v>91.3068873229</x:v>
      </x:c>
      <x:c r="J19" s="31" t="n">
        <x:v>9.6517391383</x:v>
      </x:c>
      <x:c r="K19" s="31" t="n">
        <x:v>81.6551481846</x:v>
      </x:c>
      <x:c r="L19" s="31" t="n">
        <x:v>9.6517391383</x:v>
      </x:c>
      <x:c r="M19" s="31" t="n">
        <x:v>81.6551481846</x:v>
      </x:c>
      <x:c r="N19" s="24" t="str">
        <x:v>carcharhinus longimanus</x:v>
      </x:c>
      <x:c r="O19" s="32" t="n">
        <x:v>4.16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Carcharhinus longimanus</x:v>
      </x:c>
      <x:c r="T19" s="32" t="n">
        <x:f>IF(O19="","",(1/'Metadata'!$B$5)^(O19-1))</x:f>
        <x:v>1445.439770745928</x:v>
      </x:c>
      <x:c r="U19" s="31" t="n">
        <x:f>IF(T19="","",I19*T19)</x:f>
        <x:v>131978.60627953685</x:v>
      </x:c>
    </x:row>
    <x:row r="20" ht="18" customHeight="1">
      <x:c r="A20" s="24" t="str">
        <x:v>EEZ_798</x:v>
      </x:c>
      <x:c r="B20" s="24" t="str">
        <x:v>Tuvalu</x:v>
      </x:c>
      <x:c r="C20" s="24" t="str">
        <x:v>EEZ</x:v>
      </x:c>
      <x:c r="D20" s="30" t="n">
        <x:v>2019</x:v>
      </x:c>
      <x:c r="E20" s="24" t="str">
        <x:v>Moolgarda seheli</x:v>
      </x:c>
      <x:c r="F20" s="24" t="str">
        <x:v>Bluespot mullet</x:v>
      </x:c>
      <x:c r="G20" s="24" t="str">
        <x:v>Medium reef assoc. fish (30 - 89 cm)</x:v>
      </x:c>
      <x:c r="H20" s="24" t="str">
        <x:v>Perch-likes</x:v>
      </x:c>
      <x:c r="I20" s="31" t="n">
        <x:v>86.55250636</x:v>
      </x:c>
      <x:c r="J20" s="31" t="n">
        <x:v>86.55250636</x:v>
      </x:c>
      <x:c r="K20" s="31" t="n">
        <x:v>0</x:v>
      </x:c>
      <x:c r="L20" s="31" t="n">
        <x:v>70.69359299</x:v>
      </x:c>
      <x:c r="M20" s="31" t="n">
        <x:v>15.85891337</x:v>
      </x:c>
      <x:c r="N20" s="24" t="str">
        <x:v>moolgarda seheli</x:v>
      </x:c>
      <x:c r="O20" s="32" t="n">
        <x:v>2.32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Moolgarda seheli</x:v>
      </x:c>
      <x:c r="T20" s="32" t="n">
        <x:f>IF(O20="","",(1/'Metadata'!$B$5)^(O20-1))</x:f>
        <x:v>20.892961308540386</x:v>
      </x:c>
      <x:c r="U20" s="31" t="n">
        <x:f>IF(T20="","",I20*T20)</x:f>
        <x:v>1808.3381665366755</x:v>
      </x:c>
    </x:row>
    <x:row r="21" ht="18" customHeight="1">
      <x:c r="A21" s="24" t="str">
        <x:v>EEZ_798</x:v>
      </x:c>
      <x:c r="B21" s="24" t="str">
        <x:v>Tuvalu</x:v>
      </x:c>
      <x:c r="C21" s="24" t="str">
        <x:v>EEZ</x:v>
      </x:c>
      <x:c r="D21" s="30" t="n">
        <x:v>2019</x:v>
      </x:c>
      <x:c r="E21" s="24" t="str">
        <x:v>Acanthocybium solandri</x:v>
      </x:c>
      <x:c r="F21" s="24" t="str">
        <x:v>Wahoo</x:v>
      </x:c>
      <x:c r="G21" s="24" t="str">
        <x:v>Large pelagics (&gt;=90 cm)</x:v>
      </x:c>
      <x:c r="H21" s="24" t="str">
        <x:v>Perch-likes</x:v>
      </x:c>
      <x:c r="I21" s="31" t="n">
        <x:v>57.2908787125</x:v>
      </x:c>
      <x:c r="J21" s="31" t="n">
        <x:v>0</x:v>
      </x:c>
      <x:c r="K21" s="31" t="n">
        <x:v>57.2908787125</x:v>
      </x:c>
      <x:c r="L21" s="31" t="n">
        <x:v>0</x:v>
      </x:c>
      <x:c r="M21" s="31" t="n">
        <x:v>57.2908787125</x:v>
      </x:c>
      <x:c r="N21" s="24" t="str">
        <x:v>acanthocybium solandri</x:v>
      </x:c>
      <x:c r="O21" s="32" t="n">
        <x:v>4.26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Acanthocybium solandri</x:v>
      </x:c>
      <x:c r="T21" s="32" t="n">
        <x:f>IF(O21="","",(1/'Metadata'!$B$5)^(O21-1))</x:f>
        <x:v>1819.7008586099826</x:v>
      </x:c>
      <x:c r="U21" s="31" t="n">
        <x:f>IF(T21="","",I21*T21)</x:f>
        <x:v>104252.26118365662</x:v>
      </x:c>
    </x:row>
    <x:row r="22" ht="18" customHeight="1">
      <x:c r="A22" s="24" t="str">
        <x:v>EEZ_798</x:v>
      </x:c>
      <x:c r="B22" s="24" t="str">
        <x:v>Tuvalu</x:v>
      </x:c>
      <x:c r="C22" s="24" t="str">
        <x:v>EEZ</x:v>
      </x:c>
      <x:c r="D22" s="30" t="n">
        <x:v>2019</x:v>
      </x:c>
      <x:c r="E22" s="24" t="str">
        <x:v>Mugilidae</x:v>
      </x:c>
      <x:c r="F22" s="24" t="str">
        <x:v>Mullets, grey mullets</x:v>
      </x:c>
      <x:c r="G22" s="24" t="str">
        <x:v>Medium reef assoc. fish (30 - 89 cm)</x:v>
      </x:c>
      <x:c r="H22" s="24" t="str">
        <x:v>Perch-likes</x:v>
      </x:c>
      <x:c r="I22" s="31" t="n">
        <x:v>48.404225595</x:v>
      </x:c>
      <x:c r="J22" s="31" t="n">
        <x:v>48.404225595</x:v>
      </x:c>
      <x:c r="K22" s="31" t="n">
        <x:v>0</x:v>
      </x:c>
      <x:c r="L22" s="31" t="n">
        <x:v>39.53517659</x:v>
      </x:c>
      <x:c r="M22" s="31" t="n">
        <x:v>8.869049005</x:v>
      </x:c>
      <x:c r="N22" s="24" t="str">
        <x:v>mugilidae</x:v>
      </x:c>
      <x:c r="O22" s="32" t="n">
        <x:v>2.53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Mugilidae</x:v>
      </x:c>
      <x:c r="T22" s="32" t="n">
        <x:f>IF(O22="","",(1/'Metadata'!$B$5)^(O22-1))</x:f>
        <x:v>33.88441561392024</x:v>
      </x:c>
      <x:c r="U22" s="31" t="n">
        <x:f>IF(T22="","",I22*T22)</x:f>
        <x:v>1640.1488975309358</x:v>
      </x:c>
    </x:row>
    <x:row r="23" ht="18" customHeight="1">
      <x:c r="A23" s="24" t="str">
        <x:v>EEZ_798</x:v>
      </x:c>
      <x:c r="B23" s="24" t="str">
        <x:v>Tuvalu</x:v>
      </x:c>
      <x:c r="C23" s="24" t="str">
        <x:v>EEZ</x:v>
      </x:c>
      <x:c r="D23" s="30" t="n">
        <x:v>2019</x:v>
      </x:c>
      <x:c r="E23" s="24" t="str">
        <x:v>Carcharhinus falciformis</x:v>
      </x:c>
      <x:c r="F23" s="24" t="str">
        <x:v>Silky shark</x:v>
      </x:c>
      <x:c r="G23" s="24" t="str">
        <x:v>Large sharks (&gt;=90 cm)</x:v>
      </x:c>
      <x:c r="H23" s="24" t="str">
        <x:v>Sharks &amp; rays</x:v>
      </x:c>
      <x:c r="I23" s="31" t="n">
        <x:v>42.701405173800005</x:v>
      </x:c>
      <x:c r="J23" s="31" t="n">
        <x:v>0.4241774737</x:v>
      </x:c>
      <x:c r="K23" s="31" t="n">
        <x:v>42.2772277001</x:v>
      </x:c>
      <x:c r="L23" s="31" t="n">
        <x:v>0.4241774737</x:v>
      </x:c>
      <x:c r="M23" s="31" t="n">
        <x:v>42.2772277001</x:v>
      </x:c>
      <x:c r="N23" s="24" t="str">
        <x:v>carcharhinus falciformis</x:v>
      </x:c>
      <x:c r="O23" s="32" t="n">
        <x:v>4.51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Carcharhinus falciformis</x:v>
      </x:c>
      <x:c r="T23" s="32" t="n">
        <x:f>IF(O23="","",(1/'Metadata'!$B$5)^(O23-1))</x:f>
        <x:v>3235.936569296281</x:v>
      </x:c>
      <x:c r="U23" s="31" t="n">
        <x:f>IF(T23="","",I23*T23)</x:f>
        <x:v>138179.03856223685</x:v>
      </x:c>
    </x:row>
    <x:row r="24" ht="18" customHeight="1">
      <x:c r="A24" s="24" t="str">
        <x:v>EEZ_798</x:v>
      </x:c>
      <x:c r="B24" s="24" t="str">
        <x:v>Tuvalu</x:v>
      </x:c>
      <x:c r="C24" s="24" t="str">
        <x:v>EEZ</x:v>
      </x:c>
      <x:c r="D24" s="30" t="n">
        <x:v>2019</x:v>
      </x:c>
      <x:c r="E24" s="24" t="str">
        <x:v>Gerres</x:v>
      </x:c>
      <x:c r="F24" s="24" t="str">
        <x:v>Silver biddies</x:v>
      </x:c>
      <x:c r="G24" s="24" t="str">
        <x:v>Small benthopelagics (&lt;30 cm)</x:v>
      </x:c>
      <x:c r="H24" s="24" t="str">
        <x:v>Perch-likes</x:v>
      </x:c>
      <x:c r="I24" s="31" t="n">
        <x:v>28.9466854</x:v>
      </x:c>
      <x:c r="J24" s="31" t="n">
        <x:v>28.9466854</x:v>
      </x:c>
      <x:c r="K24" s="31" t="n">
        <x:v>0</x:v>
      </x:c>
      <x:c r="L24" s="31" t="n">
        <x:v>23.64281847</x:v>
      </x:c>
      <x:c r="M24" s="31" t="n">
        <x:v>5.30386693</x:v>
      </x:c>
      <x:c r="N24" s="24" t="str">
        <x:v>gerres</x:v>
      </x:c>
      <x:c r="O24" s="32" t="n">
        <x:v>3.27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Gerres</x:v>
      </x:c>
      <x:c r="T24" s="32" t="n">
        <x:f>IF(O24="","",(1/'Metadata'!$B$5)^(O24-1))</x:f>
        <x:v>186.20871366628674</x:v>
      </x:c>
      <x:c r="U24" s="31" t="n">
        <x:f>IF(T24="","",I24*T24)</x:f>
        <x:v>5390.125053236683</x:v>
      </x:c>
    </x:row>
    <x:row r="25" ht="18" customHeight="1">
      <x:c r="A25" s="24" t="str">
        <x:v>EEZ_798</x:v>
      </x:c>
      <x:c r="B25" s="24" t="str">
        <x:v>Tuvalu</x:v>
      </x:c>
      <x:c r="C25" s="24" t="str">
        <x:v>EEZ</x:v>
      </x:c>
      <x:c r="D25" s="30" t="n">
        <x:v>2019</x:v>
      </x:c>
      <x:c r="E25" s="24" t="str">
        <x:v>Exocoetidae</x:v>
      </x:c>
      <x:c r="F25" s="24" t="str">
        <x:v>Flyingfishes</x:v>
      </x:c>
      <x:c r="G25" s="24" t="str">
        <x:v>Small pelagics (&lt;30 cm)</x:v>
      </x:c>
      <x:c r="H25" s="24" t="str">
        <x:v>Other fishes &amp; inverts</x:v>
      </x:c>
      <x:c r="I25" s="31" t="n">
        <x:v>27.221386271</x:v>
      </x:c>
      <x:c r="J25" s="31" t="n">
        <x:v>27.221386271</x:v>
      </x:c>
      <x:c r="K25" s="31" t="n">
        <x:v>0</x:v>
      </x:c>
      <x:c r="L25" s="31" t="n">
        <x:v>22.23364386</x:v>
      </x:c>
      <x:c r="M25" s="31" t="n">
        <x:v>4.987742411</x:v>
      </x:c>
      <x:c r="N25" s="24" t="str">
        <x:v>exocoetidae</x:v>
      </x:c>
      <x:c r="O25" s="32" t="n">
        <x:v>3.57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Exocoetidae</x:v>
      </x:c>
      <x:c r="T25" s="32" t="n">
        <x:f>IF(O25="","",(1/'Metadata'!$B$5)^(O25-1))</x:f>
        <x:v>371.5352290971724</x:v>
      </x:c>
      <x:c r="U25" s="31" t="n">
        <x:f>IF(T25="","",I25*T25)</x:f>
        <x:v>10113.70398453861</x:v>
      </x:c>
    </x:row>
    <x:row r="26" ht="18" customHeight="1">
      <x:c r="A26" s="24" t="str">
        <x:v>EEZ_798</x:v>
      </x:c>
      <x:c r="B26" s="24" t="str">
        <x:v>Tuvalu</x:v>
      </x:c>
      <x:c r="C26" s="24" t="str">
        <x:v>EEZ</x:v>
      </x:c>
      <x:c r="D26" s="30" t="n">
        <x:v>2019</x:v>
      </x:c>
      <x:c r="E26" s="24" t="str">
        <x:v>Caranx lugubris</x:v>
      </x:c>
      <x:c r="F26" s="24" t="str">
        <x:v>Black jack</x:v>
      </x:c>
      <x:c r="G26" s="24" t="str">
        <x:v>Large benthopelagics (&gt;=90 cm)</x:v>
      </x:c>
      <x:c r="H26" s="24" t="str">
        <x:v>Perch-likes</x:v>
      </x:c>
      <x:c r="I26" s="31" t="n">
        <x:v>24.058337873</x:v>
      </x:c>
      <x:c r="J26" s="31" t="n">
        <x:v>24.058337873</x:v>
      </x:c>
      <x:c r="K26" s="31" t="n">
        <x:v>0</x:v>
      </x:c>
      <x:c r="L26" s="31" t="n">
        <x:v>19.65015708</x:v>
      </x:c>
      <x:c r="M26" s="31" t="n">
        <x:v>4.408180793</x:v>
      </x:c>
      <x:c r="N26" s="24" t="str">
        <x:v>caranx lugubris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Caranx lugubris</x:v>
      </x:c>
      <x:c r="T26" s="32" t="n">
        <x:f>IF(O26="","",(1/'Metadata'!$B$5)^(O26-1))</x:f>
        <x:v>3162.2776601683795</x:v>
      </x:c>
      <x:c r="U26" s="31" t="n">
        <x:f>IF(T26="","",I26*T26)</x:f>
        <x:v>76079.14439657074</x:v>
      </x:c>
    </x:row>
    <x:row r="27" ht="18" customHeight="1">
      <x:c r="A27" s="24" t="str">
        <x:v>EEZ_798</x:v>
      </x:c>
      <x:c r="B27" s="24" t="str">
        <x:v>Tuvalu</x:v>
      </x:c>
      <x:c r="C27" s="24" t="str">
        <x:v>EEZ</x:v>
      </x:c>
      <x:c r="D27" s="30" t="n">
        <x:v>2019</x:v>
      </x:c>
      <x:c r="E27" s="24" t="str">
        <x:v>Chondrichthyes</x:v>
      </x:c>
      <x:c r="F27" s="24" t="str">
        <x:v>Sharks, rays, chimaeras</x:v>
      </x:c>
      <x:c r="G27" s="24" t="str">
        <x:v>Large sharks (&gt;=90 cm)</x:v>
      </x:c>
      <x:c r="H27" s="24" t="str">
        <x:v>Sharks &amp; rays</x:v>
      </x:c>
      <x:c r="I27" s="31" t="n">
        <x:v>22.283761696000003</x:v>
      </x:c>
      <x:c r="J27" s="31" t="n">
        <x:v>22.283761696000003</x:v>
      </x:c>
      <x:c r="K27" s="31" t="n">
        <x:v>0</x:v>
      </x:c>
      <x:c r="L27" s="31" t="n">
        <x:v>20.65753614</x:v>
      </x:c>
      <x:c r="M27" s="31" t="n">
        <x:v>1.626225556</x:v>
      </x:c>
      <x:c r="N27" s="24" t="str">
        <x:v>chondrichthyes</x:v>
      </x:c>
      <x:c r="O27" s="32" t="n">
        <x:v>4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Chondrichthyes</x:v>
      </x:c>
      <x:c r="T27" s="32" t="n">
        <x:f>IF(O27="","",(1/'Metadata'!$B$5)^(O27-1))</x:f>
        <x:v>1000</x:v>
      </x:c>
      <x:c r="U27" s="31" t="n">
        <x:f>IF(T27="","",I27*T27)</x:f>
        <x:v>22283.761696</x:v>
      </x:c>
    </x:row>
    <x:row r="28" ht="18" customHeight="1">
      <x:c r="A28" s="24" t="str">
        <x:v>EEZ_798</x:v>
      </x:c>
      <x:c r="B28" s="24" t="str">
        <x:v>Tuvalu</x:v>
      </x:c>
      <x:c r="C28" s="24" t="str">
        <x:v>EEZ</x:v>
      </x:c>
      <x:c r="D28" s="30" t="n">
        <x:v>2019</x:v>
      </x:c>
      <x:c r="E28" s="24" t="str">
        <x:v>Strombus luhuanus</x:v>
      </x:c>
      <x:c r="F28" s="24" t="str">
        <x:v>Strawberry conch</x:v>
      </x:c>
      <x:c r="G28" s="24" t="str">
        <x:v>Other demersal invertebrates</x:v>
      </x:c>
      <x:c r="H28" s="24" t="str">
        <x:v>Molluscs</x:v>
      </x:c>
      <x:c r="I28" s="31" t="n">
        <x:v>17.76053309</x:v>
      </x:c>
      <x:c r="J28" s="31" t="n">
        <x:v>17.76053309</x:v>
      </x:c>
      <x:c r="K28" s="31" t="n">
        <x:v>0</x:v>
      </x:c>
      <x:c r="L28" s="31" t="n">
        <x:v>0</x:v>
      </x:c>
      <x:c r="M28" s="31" t="n">
        <x:v>17.76053309</x:v>
      </x:c>
      <x:c r="N28" s="24" t="str">
        <x:v>strombus luhuanus</x:v>
      </x:c>
      <x:c r="O28" s="32" t="n">
        <x:v>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Strombus luhuanus</x:v>
      </x:c>
      <x:c r="T28" s="32" t="n">
        <x:f>IF(O28="","",(1/'Metadata'!$B$5)^(O28-1))</x:f>
        <x:v>10</x:v>
      </x:c>
      <x:c r="U28" s="31" t="n">
        <x:f>IF(T28="","",I28*T28)</x:f>
        <x:v>177.60533089999998</x:v>
      </x:c>
    </x:row>
    <x:row r="29" ht="18" customHeight="1">
      <x:c r="A29" s="24" t="str">
        <x:v>EEZ_798</x:v>
      </x:c>
      <x:c r="B29" s="24" t="str">
        <x:v>Tuvalu</x:v>
      </x:c>
      <x:c r="C29" s="24" t="str">
        <x:v>EEZ</x:v>
      </x:c>
      <x:c r="D29" s="30" t="n">
        <x:v>2019</x:v>
      </x:c>
      <x:c r="E29" s="24" t="str">
        <x:v>Kajikia audax</x:v>
      </x:c>
      <x:c r="F29" s="24" t="str">
        <x:v>Striped marlin</x:v>
      </x:c>
      <x:c r="G29" s="24" t="str">
        <x:v>Large pelagics (&gt;=90 cm)</x:v>
      </x:c>
      <x:c r="H29" s="24" t="str">
        <x:v>Tuna &amp; billfishes</x:v>
      </x:c>
      <x:c r="I29" s="31" t="n">
        <x:v>12.9969300413</x:v>
      </x:c>
      <x:c r="J29" s="31" t="n">
        <x:v>12.9969300413</x:v>
      </x:c>
      <x:c r="K29" s="31" t="n">
        <x:v>0</x:v>
      </x:c>
      <x:c r="L29" s="31" t="n">
        <x:v>12.9969300413</x:v>
      </x:c>
      <x:c r="M29" s="31" t="n">
        <x:v>0</x:v>
      </x:c>
      <x:c r="N29" s="24" t="str">
        <x:v>kajikia audax</x:v>
      </x:c>
      <x:c r="O29" s="32" t="n">
        <x:v>4.58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Kajikia audax</x:v>
      </x:c>
      <x:c r="T29" s="32" t="n">
        <x:f>IF(O29="","",(1/'Metadata'!$B$5)^(O29-1))</x:f>
        <x:v>3801.8939632056126</x:v>
      </x:c>
      <x:c r="U29" s="31" t="n">
        <x:f>IF(T29="","",I29*T29)</x:f>
        <x:v>49412.949864224145</x:v>
      </x:c>
    </x:row>
    <x:row r="30" ht="18" customHeight="1">
      <x:c r="A30" s="24" t="str">
        <x:v>EEZ_798</x:v>
      </x:c>
      <x:c r="B30" s="24" t="str">
        <x:v>Tuvalu</x:v>
      </x:c>
      <x:c r="C30" s="24" t="str">
        <x:v>EEZ</x:v>
      </x:c>
      <x:c r="D30" s="30" t="n">
        <x:v>2019</x:v>
      </x:c>
      <x:c r="E30" s="24" t="str">
        <x:v>Acanthuridae</x:v>
      </x:c>
      <x:c r="F30" s="24" t="str">
        <x:v>Surgeons, tangs, unicornfishes</x:v>
      </x:c>
      <x:c r="G30" s="24" t="str">
        <x:v>Small reef assoc. fish (&lt;30 cm)</x:v>
      </x:c>
      <x:c r="H30" s="24" t="str">
        <x:v>Perch-likes</x:v>
      </x:c>
      <x:c r="I30" s="31" t="n">
        <x:v>10.831044538</x:v>
      </x:c>
      <x:c r="J30" s="31" t="n">
        <x:v>10.831044538</x:v>
      </x:c>
      <x:c r="K30" s="31" t="n">
        <x:v>0</x:v>
      </x:c>
      <x:c r="L30" s="31" t="n">
        <x:v>8.846485058</x:v>
      </x:c>
      <x:c r="M30" s="31" t="n">
        <x:v>1.98455948</x:v>
      </x:c>
      <x:c r="N30" s="24" t="str">
        <x:v>acanthuridae</x:v>
      </x:c>
      <x:c r="O30" s="32" t="n">
        <x:v>2.28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Acanthuridae</x:v>
      </x:c>
      <x:c r="T30" s="32" t="n">
        <x:f>IF(O30="","",(1/'Metadata'!$B$5)^(O30-1))</x:f>
        <x:v>19.054607179632463</x:v>
      </x:c>
      <x:c r="U30" s="31" t="n">
        <x:f>IF(T30="","",I30*T30)</x:f>
        <x:v>206.3812990166938</x:v>
      </x:c>
    </x:row>
    <x:row r="31" ht="18" customHeight="1">
      <x:c r="A31" s="24" t="str">
        <x:v>EEZ_798</x:v>
      </x:c>
      <x:c r="B31" s="24" t="str">
        <x:v>Tuvalu</x:v>
      </x:c>
      <x:c r="C31" s="24" t="str">
        <x:v>EEZ</x:v>
      </x:c>
      <x:c r="D31" s="30" t="n">
        <x:v>2019</x:v>
      </x:c>
      <x:c r="E31" s="24" t="str">
        <x:v>Sphyrna</x:v>
      </x:c>
      <x:c r="F31" s="24" t="str">
        <x:v>Hammerhead sharks</x:v>
      </x:c>
      <x:c r="G31" s="24" t="str">
        <x:v>Large sharks (&gt;=90 cm)</x:v>
      </x:c>
      <x:c r="H31" s="24" t="str">
        <x:v>Sharks &amp; rays</x:v>
      </x:c>
      <x:c r="I31" s="31" t="n">
        <x:v>10.1997587302</x:v>
      </x:c>
      <x:c r="J31" s="31" t="n">
        <x:v>10.1997587302</x:v>
      </x:c>
      <x:c r="K31" s="31" t="n">
        <x:v>0</x:v>
      </x:c>
      <x:c r="L31" s="31" t="n">
        <x:v>10.1997587302</x:v>
      </x:c>
      <x:c r="M31" s="31" t="n">
        <x:v>0</x:v>
      </x:c>
      <x:c r="N31" s="24" t="str">
        <x:v>sphyrna</x:v>
      </x:c>
      <x:c r="O31" s="32" t="n">
        <x:v>4.2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Sphyrna</x:v>
      </x:c>
      <x:c r="T31" s="32" t="n">
        <x:f>IF(O31="","",(1/'Metadata'!$B$5)^(O31-1))</x:f>
        <x:v>1584.893192461114</x:v>
      </x:c>
      <x:c r="U31" s="31" t="n">
        <x:f>IF(T31="","",I31*T31)</x:f>
        <x:v>16165.528176239795</x:v>
      </x:c>
    </x:row>
    <x:row r="32" ht="18" customHeight="1">
      <x:c r="A32" s="24" t="str">
        <x:v>EEZ_798</x:v>
      </x:c>
      <x:c r="B32" s="24" t="str">
        <x:v>Tuvalu</x:v>
      </x:c>
      <x:c r="C32" s="24" t="str">
        <x:v>EEZ</x:v>
      </x:c>
      <x:c r="D32" s="30" t="n">
        <x:v>2019</x:v>
      </x:c>
      <x:c r="E32" s="24" t="str">
        <x:v>Monotaxis grandoculis</x:v>
      </x:c>
      <x:c r="F32" s="24" t="str">
        <x:v>Humpnose big-eye bream</x:v>
      </x:c>
      <x:c r="G32" s="24" t="str">
        <x:v>Medium reef assoc. fish (30 - 89 cm)</x:v>
      </x:c>
      <x:c r="H32" s="24" t="str">
        <x:v>Perch-likes</x:v>
      </x:c>
      <x:c r="I32" s="31" t="n">
        <x:v>8.338945795</x:v>
      </x:c>
      <x:c r="J32" s="31" t="n">
        <x:v>8.338945795</x:v>
      </x:c>
      <x:c r="K32" s="31" t="n">
        <x:v>0</x:v>
      </x:c>
      <x:c r="L32" s="31" t="n">
        <x:v>6.81101062</x:v>
      </x:c>
      <x:c r="M32" s="31" t="n">
        <x:v>1.527935175</x:v>
      </x:c>
      <x:c r="N32" s="24" t="str">
        <x:v>monotaxis grandoculis</x:v>
      </x:c>
      <x:c r="O32" s="32" t="n">
        <x:v>3.37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Monotaxis grandoculis</x:v>
      </x:c>
      <x:c r="T32" s="32" t="n">
        <x:f>IF(O32="","",(1/'Metadata'!$B$5)^(O32-1))</x:f>
        <x:v>234.42288153199226</x:v>
      </x:c>
      <x:c r="U32" s="31" t="n">
        <x:f>IF(T32="","",I32*T32)</x:f>
        <x:v>1954.83970220299</x:v>
      </x:c>
    </x:row>
    <x:row r="33" ht="18" customHeight="1">
      <x:c r="A33" s="24" t="str">
        <x:v>EEZ_798</x:v>
      </x:c>
      <x:c r="B33" s="24" t="str">
        <x:v>Tuvalu</x:v>
      </x:c>
      <x:c r="C33" s="24" t="str">
        <x:v>EEZ</x:v>
      </x:c>
      <x:c r="D33" s="30" t="n">
        <x:v>2019</x:v>
      </x:c>
      <x:c r="E33" s="24" t="str">
        <x:v>Mollusca</x:v>
      </x:c>
      <x:c r="F33" s="24" t="str">
        <x:v>Clams, seasnails, squids, octopuses</x:v>
      </x:c>
      <x:c r="G33" s="24" t="str">
        <x:v>Other demersal invertebrates</x:v>
      </x:c>
      <x:c r="H33" s="24" t="str">
        <x:v>Molluscs</x:v>
      </x:c>
      <x:c r="I33" s="31" t="n">
        <x:v>4.917895244</x:v>
      </x:c>
      <x:c r="J33" s="31" t="n">
        <x:v>4.917895244</x:v>
      </x:c>
      <x:c r="K33" s="31" t="n">
        <x:v>0</x:v>
      </x:c>
      <x:c r="L33" s="31" t="n">
        <x:v>0</x:v>
      </x:c>
      <x:c r="M33" s="31" t="n">
        <x:v>4.917895244</x:v>
      </x:c>
      <x:c r="N33" s="24" t="str">
        <x:v>mollusca</x:v>
      </x:c>
      <x:c r="O33" s="32" t="n">
        <x:v>2.1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Mollusca</x:v>
      </x:c>
      <x:c r="T33" s="32" t="n">
        <x:f>IF(O33="","",(1/'Metadata'!$B$5)^(O33-1))</x:f>
        <x:v>12.589254117941675</x:v>
      </x:c>
      <x:c r="U33" s="31" t="n">
        <x:f>IF(T33="","",I33*T33)</x:f>
        <x:v>61.91263295213278</x:v>
      </x:c>
    </x:row>
    <x:row r="34" ht="18" customHeight="1">
      <x:c r="A34" s="24" t="str">
        <x:v>EEZ_798</x:v>
      </x:c>
      <x:c r="B34" s="24" t="str">
        <x:v>Tuvalu</x:v>
      </x:c>
      <x:c r="C34" s="24" t="str">
        <x:v>EEZ</x:v>
      </x:c>
      <x:c r="D34" s="30" t="n">
        <x:v>2019</x:v>
      </x:c>
      <x:c r="E34" s="24" t="str">
        <x:v>Caranx sexfasciatus</x:v>
      </x:c>
      <x:c r="F34" s="24" t="str">
        <x:v>Bigeye trevally</x:v>
      </x:c>
      <x:c r="G34" s="24" t="str">
        <x:v>Large reef assoc. fish (&gt;=90 cm)</x:v>
      </x:c>
      <x:c r="H34" s="24" t="str">
        <x:v>Perch-likes</x:v>
      </x:c>
      <x:c r="I34" s="31" t="n">
        <x:v>4.504947727999999</x:v>
      </x:c>
      <x:c r="J34" s="31" t="n">
        <x:v>4.504947727999999</x:v>
      </x:c>
      <x:c r="K34" s="31" t="n">
        <x:v>0</x:v>
      </x:c>
      <x:c r="L34" s="31" t="n">
        <x:v>3.679511484</x:v>
      </x:c>
      <x:c r="M34" s="31" t="n">
        <x:v>0.825436244</x:v>
      </x:c>
      <x:c r="N34" s="24" t="str">
        <x:v>caranx sexfasciatus</x:v>
      </x:c>
      <x:c r="O34" s="32" t="n">
        <x:v>4.5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Caranx sexfasciatus</x:v>
      </x:c>
      <x:c r="T34" s="32" t="n">
        <x:f>IF(O34="","",(1/'Metadata'!$B$5)^(O34-1))</x:f>
        <x:v>3162.2776601683795</x:v>
      </x:c>
      <x:c r="U34" s="31" t="n">
        <x:f>IF(T34="","",I34*T34)</x:f>
        <x:v>14245.895560480696</x:v>
      </x:c>
    </x:row>
    <x:row r="35" ht="18" customHeight="1">
      <x:c r="A35" s="24" t="str">
        <x:v>EEZ_798</x:v>
      </x:c>
      <x:c r="B35" s="24" t="str">
        <x:v>Tuvalu</x:v>
      </x:c>
      <x:c r="C35" s="24" t="str">
        <x:v>EEZ</x:v>
      </x:c>
      <x:c r="D35" s="30" t="n">
        <x:v>2019</x:v>
      </x:c>
      <x:c r="E35" s="24" t="str">
        <x:v>Tridacna maxima</x:v>
      </x:c>
      <x:c r="F35" s="24" t="str">
        <x:v>Maxima clam</x:v>
      </x:c>
      <x:c r="G35" s="24" t="str">
        <x:v>Other demersal invertebrates</x:v>
      </x:c>
      <x:c r="H35" s="24" t="str">
        <x:v>Molluscs</x:v>
      </x:c>
      <x:c r="I35" s="31" t="n">
        <x:v>2.102482732</x:v>
      </x:c>
      <x:c r="J35" s="31" t="n">
        <x:v>2.102482732</x:v>
      </x:c>
      <x:c r="K35" s="31" t="n">
        <x:v>0</x:v>
      </x:c>
      <x:c r="L35" s="31" t="n">
        <x:v>0</x:v>
      </x:c>
      <x:c r="M35" s="31" t="n">
        <x:v>2.102482732</x:v>
      </x:c>
      <x:c r="N35" s="24" t="str">
        <x:v>tridacna maxima</x:v>
      </x:c>
      <x:c r="O35" s="32" t="n">
        <x:v>2.15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Tridacna maxima</x:v>
      </x:c>
      <x:c r="T35" s="32" t="n">
        <x:f>IF(O35="","",(1/'Metadata'!$B$5)^(O35-1))</x:f>
        <x:v>14.12537544622754</x:v>
      </x:c>
      <x:c r="U35" s="31" t="n">
        <x:f>IF(T35="","",I35*T35)</x:f>
        <x:v>29.698357958710197</x:v>
      </x:c>
    </x:row>
    <x:row r="36" ht="18" customHeight="1">
      <x:c r="A36" s="24" t="str">
        <x:v>EEZ_798</x:v>
      </x:c>
      <x:c r="B36" s="24" t="str">
        <x:v>Tuvalu</x:v>
      </x:c>
      <x:c r="C36" s="24" t="str">
        <x:v>EEZ</x:v>
      </x:c>
      <x:c r="D36" s="30" t="n">
        <x:v>2019</x:v>
      </x:c>
      <x:c r="E36" s="24" t="str">
        <x:v>Coryphaena</x:v>
      </x:c>
      <x:c r="F36" s="24" t="str">
        <x:v>Dolphinfishes</x:v>
      </x:c>
      <x:c r="G36" s="24" t="str">
        <x:v>Large pelagics (&gt;=90 cm)</x:v>
      </x:c>
      <x:c r="H36" s="24" t="str">
        <x:v>Perch-likes</x:v>
      </x:c>
      <x:c r="I36" s="31" t="n">
        <x:v>2.076542923</x:v>
      </x:c>
      <x:c r="J36" s="31" t="n">
        <x:v>2.076542923</x:v>
      </x:c>
      <x:c r="K36" s="31" t="n">
        <x:v>0</x:v>
      </x:c>
      <x:c r="L36" s="31" t="n">
        <x:v>1.925000862</x:v>
      </x:c>
      <x:c r="M36" s="31" t="n">
        <x:v>0.151542061</x:v>
      </x:c>
      <x:c r="N36" s="24" t="str">
        <x:v>coryphaena</x:v>
      </x:c>
      <x:c r="O36" s="32" t="n">
        <x:v>4.49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Coryphaena</x:v>
      </x:c>
      <x:c r="T36" s="32" t="n">
        <x:f>IF(O36="","",(1/'Metadata'!$B$5)^(O36-1))</x:f>
        <x:v>3090.295432513592</x:v>
      </x:c>
      <x:c r="U36" s="31" t="n">
        <x:f>IF(T36="","",I36*T36)</x:f>
        <x:v>6417.131110365323</x:v>
      </x:c>
    </x:row>
    <x:row r="37" ht="18" customHeight="1">
      <x:c r="A37" s="24" t="str">
        <x:v>EEZ_798</x:v>
      </x:c>
      <x:c r="B37" s="24" t="str">
        <x:v>Tuvalu</x:v>
      </x:c>
      <x:c r="C37" s="24" t="str">
        <x:v>EEZ</x:v>
      </x:c>
      <x:c r="D37" s="30" t="n">
        <x:v>2019</x:v>
      </x:c>
      <x:c r="E37" s="24" t="str">
        <x:v>Asaphis violascens</x:v>
      </x:c>
      <x:c r="F37" s="24" t="str">
        <x:v>Pacific asaphis</x:v>
      </x:c>
      <x:c r="G37" s="24" t="str">
        <x:v>Other demersal invertebrates</x:v>
      </x:c>
      <x:c r="H37" s="24" t="str">
        <x:v>Molluscs</x:v>
      </x:c>
      <x:c r="I37" s="31" t="n">
        <x:v>1.670104022</x:v>
      </x:c>
      <x:c r="J37" s="31" t="n">
        <x:v>1.670104022</x:v>
      </x:c>
      <x:c r="K37" s="31" t="n">
        <x:v>0</x:v>
      </x:c>
      <x:c r="L37" s="31" t="n">
        <x:v>0</x:v>
      </x:c>
      <x:c r="M37" s="31" t="n">
        <x:v>1.670104022</x:v>
      </x:c>
      <x:c r="N37" s="24" t="str">
        <x:v>asaphis violascens</x:v>
      </x:c>
      <x:c r="O37" s="32" t="n">
        <x:v>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Asaphis violascens</x:v>
      </x:c>
      <x:c r="T37" s="32" t="n">
        <x:f>IF(O37="","",(1/'Metadata'!$B$5)^(O37-1))</x:f>
        <x:v>10</x:v>
      </x:c>
      <x:c r="U37" s="31" t="n">
        <x:f>IF(T37="","",I37*T37)</x:f>
        <x:v>16.70104022</x:v>
      </x:c>
    </x:row>
    <x:row r="38" ht="18" customHeight="1">
      <x:c r="A38" s="24" t="str">
        <x:v>EEZ_798</x:v>
      </x:c>
      <x:c r="B38" s="24" t="str">
        <x:v>Tuvalu</x:v>
      </x:c>
      <x:c r="C38" s="24" t="str">
        <x:v>EEZ</x:v>
      </x:c>
      <x:c r="D38" s="30" t="n">
        <x:v>2019</x:v>
      </x:c>
      <x:c r="E38" s="24" t="str">
        <x:v>Lambis truncata</x:v>
      </x:c>
      <x:c r="F38" s="24" t="str">
        <x:v>Giant spider conch</x:v>
      </x:c>
      <x:c r="G38" s="24" t="str">
        <x:v>Other demersal invertebrates</x:v>
      </x:c>
      <x:c r="H38" s="24" t="str">
        <x:v>Molluscs</x:v>
      </x:c>
      <x:c r="I38" s="31" t="n">
        <x:v>0.930769435</x:v>
      </x:c>
      <x:c r="J38" s="31" t="n">
        <x:v>0.930769435</x:v>
      </x:c>
      <x:c r="K38" s="31" t="n">
        <x:v>0</x:v>
      </x:c>
      <x:c r="L38" s="31" t="n">
        <x:v>0</x:v>
      </x:c>
      <x:c r="M38" s="31" t="n">
        <x:v>0.930769435</x:v>
      </x:c>
      <x:c r="N38" s="24" t="str">
        <x:v>lambis truncata</x:v>
      </x:c>
      <x:c r="O38" s="32" t="n">
        <x:v>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Lambis truncata</x:v>
      </x:c>
      <x:c r="T38" s="32" t="n">
        <x:f>IF(O38="","",(1/'Metadata'!$B$5)^(O38-1))</x:f>
        <x:v>10</x:v>
      </x:c>
      <x:c r="U38" s="31" t="n">
        <x:f>IF(T38="","",I38*T38)</x:f>
        <x:v>9.30769435</x:v>
      </x:c>
    </x:row>
    <x:row r="39" ht="18" customHeight="1">
      <x:c r="A39" s="24" t="str">
        <x:v>EEZ_798</x:v>
      </x:c>
      <x:c r="B39" s="24" t="str">
        <x:v>Tuvalu</x:v>
      </x:c>
      <x:c r="C39" s="24" t="str">
        <x:v>EEZ</x:v>
      </x:c>
      <x:c r="D39" s="30" t="n">
        <x:v>2019</x:v>
      </x:c>
      <x:c r="E39" s="24" t="str">
        <x:v>Tridacna squamosa</x:v>
      </x:c>
      <x:c r="F39" s="24" t="str">
        <x:v>Fluted giant clam</x:v>
      </x:c>
      <x:c r="G39" s="24" t="str">
        <x:v>Other demersal invertebrates</x:v>
      </x:c>
      <x:c r="H39" s="24" t="str">
        <x:v>Molluscs</x:v>
      </x:c>
      <x:c r="I39" s="31" t="n">
        <x:v>0.670021969</x:v>
      </x:c>
      <x:c r="J39" s="31" t="n">
        <x:v>0.670021969</x:v>
      </x:c>
      <x:c r="K39" s="31" t="n">
        <x:v>0</x:v>
      </x:c>
      <x:c r="L39" s="31" t="n">
        <x:v>0</x:v>
      </x:c>
      <x:c r="M39" s="31" t="n">
        <x:v>0.670021969</x:v>
      </x:c>
      <x:c r="N39" s="24" t="str">
        <x:v>tridacna squamosa</x:v>
      </x:c>
      <x:c r="O39" s="32" t="n">
        <x:v>2.1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Tridacna squamosa</x:v>
      </x:c>
      <x:c r="T39" s="32" t="n">
        <x:f>IF(O39="","",(1/'Metadata'!$B$5)^(O39-1))</x:f>
        <x:v>12.589254117941675</x:v>
      </x:c>
      <x:c r="U39" s="31" t="n">
        <x:f>IF(T39="","",I39*T39)</x:f>
        <x:v>8.435076832344638</x:v>
      </x:c>
    </x:row>
    <x:row r="40" ht="18" customHeight="1">
      <x:c r="A40" s="24" t="str">
        <x:v>EEZ_798</x:v>
      </x:c>
      <x:c r="B40" s="24" t="str">
        <x:v>Tuvalu</x:v>
      </x:c>
      <x:c r="C40" s="24" t="str">
        <x:v>EEZ</x:v>
      </x:c>
      <x:c r="D40" s="30" t="n">
        <x:v>2019</x:v>
      </x:c>
      <x:c r="E40" s="24" t="str">
        <x:v>Isurus oxyrinchus</x:v>
      </x:c>
      <x:c r="F40" s="24" t="str">
        <x:v>Shortfin mako</x:v>
      </x:c>
      <x:c r="G40" s="24" t="str">
        <x:v>Large sharks (&gt;=90 cm)</x:v>
      </x:c>
      <x:c r="H40" s="24" t="str">
        <x:v>Sharks &amp; rays</x:v>
      </x:c>
      <x:c r="I40" s="31" t="n">
        <x:v>0.38254120049999996</x:v>
      </x:c>
      <x:c r="J40" s="31" t="n">
        <x:v>0.38254120049999996</x:v>
      </x:c>
      <x:c r="K40" s="31" t="n">
        <x:v>0</x:v>
      </x:c>
      <x:c r="L40" s="31" t="n">
        <x:v>0.38254120049999996</x:v>
      </x:c>
      <x:c r="M40" s="31" t="n">
        <x:v>0</x:v>
      </x:c>
      <x:c r="N40" s="24" t="str">
        <x:v>isurus oxyrinchus</x:v>
      </x:c>
      <x:c r="O40" s="32" t="n">
        <x:v>4.5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Isurus oxyrinchus</x:v>
      </x:c>
      <x:c r="T40" s="32" t="n">
        <x:f>IF(O40="","",(1/'Metadata'!$B$5)^(O40-1))</x:f>
        <x:v>3162.2776601683795</x:v>
      </x:c>
      <x:c r="U40" s="31" t="n">
        <x:f>IF(T40="","",I40*T40)</x:f>
        <x:v>1209.7014924351429</x:v>
      </x:c>
    </x:row>
    <x:row r="41" ht="18" customHeight="1">
      <x:c r="A41" s="24" t="str">
        <x:v>EEZ_798</x:v>
      </x:c>
      <x:c r="B41" s="24" t="str">
        <x:v>Tuvalu</x:v>
      </x:c>
      <x:c r="C41" s="24" t="str">
        <x:v>EEZ</x:v>
      </x:c>
      <x:c r="D41" s="30" t="n">
        <x:v>2019</x:v>
      </x:c>
      <x:c r="E41" s="24" t="str">
        <x:v>Turbo setosus</x:v>
      </x:c>
      <x:c r="F41" s="24" t="str">
        <x:v>Rough turban</x:v>
      </x:c>
      <x:c r="G41" s="24" t="str">
        <x:v>Other demersal invertebrates</x:v>
      </x:c>
      <x:c r="H41" s="24" t="str">
        <x:v>Molluscs</x:v>
      </x:c>
      <x:c r="I41" s="31" t="n">
        <x:v>0.27725047</x:v>
      </x:c>
      <x:c r="J41" s="31" t="n">
        <x:v>0.27725047</x:v>
      </x:c>
      <x:c r="K41" s="31" t="n">
        <x:v>0</x:v>
      </x:c>
      <x:c r="L41" s="31" t="n">
        <x:v>0</x:v>
      </x:c>
      <x:c r="M41" s="31" t="n">
        <x:v>0.27725047</x:v>
      </x:c>
      <x:c r="N41" s="24" t="str">
        <x:v>turbo setosus</x:v>
      </x:c>
      <x:c r="O41" s="32" t="n">
        <x:v>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Turbo setosus</x:v>
      </x:c>
      <x:c r="T41" s="32" t="n">
        <x:f>IF(O41="","",(1/'Metadata'!$B$5)^(O41-1))</x:f>
        <x:v>10</x:v>
      </x:c>
      <x:c r="U41" s="31" t="n">
        <x:f>IF(T41="","",I41*T41)</x:f>
        <x:v>2.7725047000000003</x:v>
      </x:c>
    </x:row>
    <x:row r="42" ht="18" customHeight="1">
      <x:c r="A42" s="24" t="str">
        <x:v>EEZ_798</x:v>
      </x:c>
      <x:c r="B42" s="24" t="str">
        <x:v>Tuvalu</x:v>
      </x:c>
      <x:c r="C42" s="24" t="str">
        <x:v>EEZ</x:v>
      </x:c>
      <x:c r="D42" s="30" t="n">
        <x:v>2019</x:v>
      </x:c>
      <x:c r="E42" s="24" t="str">
        <x:v>Scomberoides lysan</x:v>
      </x:c>
      <x:c r="F42" s="24" t="str">
        <x:v>Doublespotted queenfish</x:v>
      </x:c>
      <x:c r="G42" s="24" t="str">
        <x:v>Medium reef assoc. fish (30 - 89 cm)</x:v>
      </x:c>
      <x:c r="H42" s="24" t="str">
        <x:v>Perch-likes</x:v>
      </x:c>
      <x:c r="I42" s="31" t="n">
        <x:v>0.19169990399999998</x:v>
      </x:c>
      <x:c r="J42" s="31" t="n">
        <x:v>0.19169990399999998</x:v>
      </x:c>
      <x:c r="K42" s="31" t="n">
        <x:v>0</x:v>
      </x:c>
      <x:c r="L42" s="31" t="n">
        <x:v>0.156574957</x:v>
      </x:c>
      <x:c r="M42" s="31" t="n">
        <x:v>0.035124947</x:v>
      </x:c>
      <x:c r="N42" s="24" t="str">
        <x:v>scomberoides lysan</x:v>
      </x:c>
      <x:c r="O42" s="32" t="n">
        <x:v>4.38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Scomberoides lysan</x:v>
      </x:c>
      <x:c r="T42" s="32" t="n">
        <x:f>IF(O42="","",(1/'Metadata'!$B$5)^(O42-1))</x:f>
        <x:v>2398.83291901949</x:v>
      </x:c>
      <x:c r="U42" s="31" t="n">
        <x:f>IF(T42="","",I42*T42)</x:f>
        <x:v>459.8560402880759</x:v>
      </x:c>
    </x:row>
    <x:row r="43" ht="18" customHeight="1">
      <x:c r="A43" s="24" t="str">
        <x:v>EEZ_798</x:v>
      </x:c>
      <x:c r="B43" s="24" t="str">
        <x:v>Tuvalu</x:v>
      </x:c>
      <x:c r="C43" s="24" t="str">
        <x:v>EEZ</x:v>
      </x:c>
      <x:c r="D43" s="30" t="n">
        <x:v>2019</x:v>
      </x:c>
      <x:c r="E43" s="24" t="str">
        <x:v>Miscellaneous aquatic invertebrates</x:v>
      </x:c>
      <x:c r="F43" s="24" t="str">
        <x:v>Aquatic invertebrates</x:v>
      </x:c>
      <x:c r="G43" s="24" t="str">
        <x:v>Other demersal invertebrates</x:v>
      </x:c>
      <x:c r="H43" s="24" t="str">
        <x:v>Other fishes &amp; inverts</x:v>
      </x:c>
      <x:c r="I43" s="31" t="n">
        <x:v>0.178232445</x:v>
      </x:c>
      <x:c r="J43" s="31" t="n">
        <x:v>0.178232445</x:v>
      </x:c>
      <x:c r="K43" s="31" t="n">
        <x:v>0</x:v>
      </x:c>
      <x:c r="L43" s="31" t="n">
        <x:v>0</x:v>
      </x:c>
      <x:c r="M43" s="31" t="n">
        <x:v>0.178232445</x:v>
      </x:c>
      <x:c r="N43" s="24" t="str">
        <x:v>miscellaneous aquatic invertebrates</x:v>
      </x:c>
      <x:c r="O43" s="32" t="n">
        <x:v>2.43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Miscellaneous aquatic invertebrates</x:v>
      </x:c>
      <x:c r="T43" s="32" t="n">
        <x:f>IF(O43="","",(1/'Metadata'!$B$5)^(O43-1))</x:f>
        <x:v>26.915348039269166</x:v>
      </x:c>
      <x:c r="U43" s="31" t="n">
        <x:f>IF(T43="","",I43*T43)</x:f>
        <x:v>4.797188289064899</x:v>
      </x:c>
    </x:row>
    <x:row r="44" ht="18" customHeight="1">
      <x:c r="A44" s="24" t="str">
        <x:v>EEZ_798</x:v>
      </x:c>
      <x:c r="B44" s="24" t="str">
        <x:v>Tuvalu</x:v>
      </x:c>
      <x:c r="C44" s="24" t="str">
        <x:v>EEZ</x:v>
      </x:c>
      <x:c r="D44" s="30" t="n">
        <x:v>2019</x:v>
      </x:c>
      <x:c r="E44" s="24" t="str">
        <x:v>Eriphia sebana</x:v>
      </x:c>
      <x:c r="F44" s="24" t="str">
        <x:v>Smooth redeyed crab</x:v>
      </x:c>
      <x:c r="G44" s="24" t="str">
        <x:v>Lobsters, crabs</x:v>
      </x:c>
      <x:c r="H44" s="24" t="str">
        <x:v>Crustaceans</x:v>
      </x:c>
      <x:c r="I44" s="31" t="n">
        <x:v>0.105619227</x:v>
      </x:c>
      <x:c r="J44" s="31" t="n">
        <x:v>0.105619227</x:v>
      </x:c>
      <x:c r="K44" s="31" t="n">
        <x:v>0</x:v>
      </x:c>
      <x:c r="L44" s="31" t="n">
        <x:v>0</x:v>
      </x:c>
      <x:c r="M44" s="31" t="n">
        <x:v>0.105619227</x:v>
      </x:c>
      <x:c r="N44" s="24" t="str">
        <x:v>eriphia sebana</x:v>
      </x:c>
      <x:c r="O44" s="32" t="n">
        <x:v>3.37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Eriphia sebana</x:v>
      </x:c>
      <x:c r="T44" s="32" t="n">
        <x:f>IF(O44="","",(1/'Metadata'!$B$5)^(O44-1))</x:f>
        <x:v>234.42288153199226</x:v>
      </x:c>
      <x:c r="U44" s="31" t="n">
        <x:f>IF(T44="","",I44*T44)</x:f>
        <x:v>24.759563538521597</x:v>
      </x:c>
    </x:row>
    <x:row r="45" ht="18" customHeight="1">
      <x:c r="A45" s="24" t="str">
        <x:v>EEZ_798</x:v>
      </x:c>
      <x:c r="B45" s="24" t="str">
        <x:v>Tuvalu</x:v>
      </x:c>
      <x:c r="C45" s="24" t="str">
        <x:v>EEZ</x:v>
      </x:c>
      <x:c r="D45" s="30" t="n">
        <x:v>2019</x:v>
      </x:c>
      <x:c r="E45" s="24" t="str">
        <x:v>Chanos chanos</x:v>
      </x:c>
      <x:c r="F45" s="24" t="str">
        <x:v>Milkfish</x:v>
      </x:c>
      <x:c r="G45" s="24" t="str">
        <x:v>Large benthopelagics (&gt;=90 cm)</x:v>
      </x:c>
      <x:c r="H45" s="24" t="str">
        <x:v>Other fishes &amp; inverts</x:v>
      </x:c>
      <x:c r="I45" s="31" t="n">
        <x:v>0.09584995099999999</x:v>
      </x:c>
      <x:c r="J45" s="31" t="n">
        <x:v>0.09584995099999999</x:v>
      </x:c>
      <x:c r="K45" s="31" t="n">
        <x:v>0</x:v>
      </x:c>
      <x:c r="L45" s="31" t="n">
        <x:v>0.078287478</x:v>
      </x:c>
      <x:c r="M45" s="31" t="n">
        <x:v>0.017562473</x:v>
      </x:c>
      <x:c r="N45" s="24" t="str">
        <x:v>chanos chanos</x:v>
      </x:c>
      <x:c r="O45" s="32" t="n">
        <x:v>2.03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Chanos chanos</x:v>
      </x:c>
      <x:c r="T45" s="32" t="n">
        <x:f>IF(O45="","",(1/'Metadata'!$B$5)^(O45-1))</x:f>
        <x:v>10.71519305237606</x:v>
      </x:c>
      <x:c r="U45" s="31" t="n">
        <x:f>IF(T45="","",I45*T45)</x:f>
        <x:v>1.0270507290257858</x:v>
      </x:c>
    </x:row>
    <x:row r="46" ht="18" customHeight="1">
      <x:c r="A46" s="24" t="str">
        <x:v>EEZ_798</x:v>
      </x:c>
      <x:c r="B46" s="24" t="str">
        <x:v>Tuvalu</x:v>
      </x:c>
      <x:c r="C46" s="24" t="str">
        <x:v>EEZ</x:v>
      </x:c>
      <x:c r="D46" s="30" t="n">
        <x:v>2019</x:v>
      </x:c>
      <x:c r="E46" s="24" t="str">
        <x:v>Scomberomorus</x:v>
      </x:c>
      <x:c r="F46" s="24" t="str">
        <x:v>Spanish mackerels</x:v>
      </x:c>
      <x:c r="G46" s="24" t="str">
        <x:v>Large pelagics (&gt;=90 cm)</x:v>
      </x:c>
      <x:c r="H46" s="24" t="str">
        <x:v>Perch-likes</x:v>
      </x:c>
      <x:c r="I46" s="31" t="n">
        <x:v>0.0858668745</x:v>
      </x:c>
      <x:c r="J46" s="31" t="n">
        <x:v>0.0858668745</x:v>
      </x:c>
      <x:c r="K46" s="31" t="n">
        <x:v>0</x:v>
      </x:c>
      <x:c r="L46" s="31" t="n">
        <x:v>0.0858668745</x:v>
      </x:c>
      <x:c r="M46" s="31" t="n">
        <x:v>0</x:v>
      </x:c>
      <x:c r="N46" s="24" t="str">
        <x:v>scomberomorus</x:v>
      </x:c>
      <x:c r="O46" s="32" t="n">
        <x:v>4.35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Scomberomorus</x:v>
      </x:c>
      <x:c r="T46" s="32" t="n">
        <x:f>IF(O46="","",(1/'Metadata'!$B$5)^(O46-1))</x:f>
        <x:v>2238.7211385683377</x:v>
      </x:c>
      <x:c r="U46" s="31" t="n">
        <x:f>IF(T46="","",I46*T46)</x:f>
        <x:v>192.23198704594455</x:v>
      </x:c>
    </x:row>
    <x:row r="47" ht="18" customHeight="1">
      <x:c r="A47" s="24" t="str">
        <x:v>EEZ_798</x:v>
      </x:c>
      <x:c r="B47" s="24" t="str">
        <x:v>Tuvalu</x:v>
      </x:c>
      <x:c r="C47" s="24" t="str">
        <x:v>EEZ</x:v>
      </x:c>
      <x:c r="D47" s="30" t="n">
        <x:v>2019</x:v>
      </x:c>
      <x:c r="E47" s="24" t="str">
        <x:v>Spratelloides gracilis</x:v>
      </x:c>
      <x:c r="F47" s="24" t="str">
        <x:v>Silver-stripe round herring</x:v>
      </x:c>
      <x:c r="G47" s="24" t="str">
        <x:v>Small pelagics (&lt;30 cm)</x:v>
      </x:c>
      <x:c r="H47" s="24" t="str">
        <x:v>Herring-likes</x:v>
      </x:c>
      <x:c r="I47" s="31" t="n">
        <x:v>0.060225665</x:v>
      </x:c>
      <x:c r="J47" s="31" t="n">
        <x:v>0.060225665</x:v>
      </x:c>
      <x:c r="K47" s="31" t="n">
        <x:v>0</x:v>
      </x:c>
      <x:c r="L47" s="31" t="n">
        <x:v>0</x:v>
      </x:c>
      <x:c r="M47" s="31" t="n">
        <x:v>0.060225665</x:v>
      </x:c>
      <x:c r="N47" s="24" t="str">
        <x:v>spratelloides gracilis</x:v>
      </x:c>
      <x:c r="O47" s="32" t="n">
        <x:v>3.06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Spratelloides gracilis</x:v>
      </x:c>
      <x:c r="T47" s="32" t="n">
        <x:f>IF(O47="","",(1/'Metadata'!$B$5)^(O47-1))</x:f>
        <x:v>114.81536214968828</x:v>
      </x:c>
      <x:c r="U47" s="31" t="n">
        <x:f>IF(T47="","",I47*T47)</x:f>
        <x:v>6.914831537680806</x:v>
      </x:c>
    </x:row>
  </x:sheetData>
  <x:conditionalFormatting sqref="R2:R4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fc8d664b955426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0.105619227</x:v>
      </x:c>
      <x:c r="E2" s="31" t="n">
        <x:v>0.105619227</x:v>
      </x:c>
      <x:c r="F2" s="32" t="n">
        <x:v>0</x:v>
      </x:c>
      <x:c r="G2" s="34" t="n">
        <x:v>1</x:v>
      </x:c>
      <x:c r="H2" s="32" t="n">
        <x:f>IF(E2=0,"",I2/E2)</x:f>
        <x:v>234.42288153199226</x:v>
      </x:c>
      <x:c r="I2" s="31" t="n">
        <x:f>IF(C2=0,"",SUMIF('Species'!$H$2:$H$47,A2,'Species'!$U$2:$U$47))</x:f>
        <x:v>24.759563538521597</x:v>
      </x:c>
      <x:c r="J2" s="32" t="n">
        <x:v>3.3699999999999997</x:v>
      </x:c>
      <x:c r="K2" s="32" t="n">
        <x:f>IF(J2="","",(1/'Metadata'!$B$5)^(J2-1))</x:f>
        <x:v>234.42288153199203</x:v>
      </x:c>
      <x:c r="L2" s="31" t="n">
        <x:f>IF(E2=0,"",E2*K2)</x:f>
        <x:v>24.759563538521572</x:v>
      </x:c>
      <x:c r="M2" s="31" t="n">
        <x:f>IF(E2=0,"",I2-L2)</x:f>
        <x:v>2.4868995751603507e-14</x:v>
      </x:c>
      <x:c r="N2" s="32" t="n">
        <x:f>IF(L2=0,"",I2/L2)</x:f>
        <x:v>1.000000000000001</x:v>
      </x:c>
      <x:c r="O2" s="34" t="n">
        <x:f>IF(L2=0,"",M2/L2)</x:f>
        <x:v>1.004419795725061e-15</x:v>
      </x:c>
    </x:row>
    <x:row r="3" ht="18" customHeight="1">
      <x:c r="A3" s="24" t="str">
        <x:v>Herring-likes</x:v>
      </x:c>
      <x:c r="B3" s="33" t="n">
        <x:v>1</x:v>
      </x:c>
      <x:c r="C3" s="33" t="n">
        <x:v>1</x:v>
      </x:c>
      <x:c r="D3" s="31" t="n">
        <x:v>0.060225665</x:v>
      </x:c>
      <x:c r="E3" s="31" t="n">
        <x:v>0.060225665</x:v>
      </x:c>
      <x:c r="F3" s="32" t="n">
        <x:v>0</x:v>
      </x:c>
      <x:c r="G3" s="34" t="n">
        <x:v>1</x:v>
      </x:c>
      <x:c r="H3" s="32" t="n">
        <x:f>IF(E3=0,"",I3/E3)</x:f>
        <x:v>114.81536214968828</x:v>
      </x:c>
      <x:c r="I3" s="31" t="n">
        <x:f>IF(C3=0,"",SUMIF('Species'!$H$2:$H$47,A3,'Species'!$U$2:$U$47))</x:f>
        <x:v>6.914831537680806</x:v>
      </x:c>
      <x:c r="J3" s="32" t="n">
        <x:v>3.06</x:v>
      </x:c>
      <x:c r="K3" s="32" t="n">
        <x:f>IF(J3="","",(1/'Metadata'!$B$5)^(J3-1))</x:f>
        <x:v>114.81536214968828</x:v>
      </x:c>
      <x:c r="L3" s="31" t="n">
        <x:f>IF(E3=0,"",E3*K3)</x:f>
        <x:v>6.914831537680806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Molluscs</x:v>
      </x:c>
      <x:c r="B4" s="33" t="n">
        <x:v>7</x:v>
      </x:c>
      <x:c r="C4" s="33" t="n">
        <x:v>7</x:v>
      </x:c>
      <x:c r="D4" s="31" t="n">
        <x:v>28.329056961999996</x:v>
      </x:c>
      <x:c r="E4" s="31" t="n">
        <x:v>28.329056961999996</x:v>
      </x:c>
      <x:c r="F4" s="32" t="n">
        <x:v>0</x:v>
      </x:c>
      <x:c r="G4" s="34" t="n">
        <x:v>1</x:v>
      </x:c>
      <x:c r="H4" s="32" t="n">
        <x:f>IF(E4=0,"",I4/E4)</x:f>
        <x:v>10.816902176596628</x:v>
      </x:c>
      <x:c r="I4" s="31" t="n">
        <x:f>IF(C4=0,"",SUMIF('Species'!$H$2:$H$47,A4,'Species'!$U$2:$U$47))</x:f>
        <x:v>306.4326379131876</x:v>
      </x:c>
      <x:c r="J4" s="32" t="n">
        <x:v>2.0308575090329546</x:v>
      </x:c>
      <x:c r="K4" s="32" t="n">
        <x:f>IF(J4="","",(1/'Metadata'!$B$5)^(J4-1))</x:f>
        <x:v>10.736370968178512</x:v>
      </x:c>
      <x:c r="L4" s="31" t="n">
        <x:f>IF(E4=0,"",E4*K4)</x:f>
        <x:v>304.15126472269213</x:v>
      </x:c>
      <x:c r="M4" s="31" t="n">
        <x:f>IF(E4=0,"",I4-L4)</x:f>
        <x:v>2.281373190495458</x:v>
      </x:c>
      <x:c r="N4" s="32" t="n">
        <x:f>IF(L4=0,"",I4/L4)</x:f>
        <x:v>1.0075007848235498</x:v>
      </x:c>
      <x:c r="O4" s="34" t="n">
        <x:f>IF(L4=0,"",M4/L4)</x:f>
        <x:v>0.007500784823549837</x:v>
      </x:c>
    </x:row>
    <x:row r="5" ht="18" customHeight="1">
      <x:c r="A5" s="24" t="str">
        <x:v>Other fishes &amp; inverts</x:v>
      </x:c>
      <x:c r="B5" s="33" t="n">
        <x:v>5</x:v>
      </x:c>
      <x:c r="C5" s="33" t="n">
        <x:v>5</x:v>
      </x:c>
      <x:c r="D5" s="31" t="n">
        <x:v>4305.459169473599</x:v>
      </x:c>
      <x:c r="E5" s="31" t="n">
        <x:v>4305.459169473599</x:v>
      </x:c>
      <x:c r="F5" s="32" t="n">
        <x:v>0</x:v>
      </x:c>
      <x:c r="G5" s="34" t="n">
        <x:v>1</x:v>
      </x:c>
      <x:c r="H5" s="32" t="n">
        <x:f>IF(E5=0,"",I5/E5)</x:f>
        <x:v>198.85507026600138</x:v>
      </x:c>
      <x:c r="I5" s="31" t="n">
        <x:f>IF(C5=0,"",SUMIF('Species'!$H$2:$H$47,A5,'Species'!$U$2:$U$47))</x:f>
        <x:v>856162.3856730725</x:v>
      </x:c>
      <x:c r="J5" s="32" t="n">
        <x:v>3.2968422946574947</x:v>
      </x:c>
      <x:c r="K5" s="32" t="n">
        <x:f>IF(J5="","",(1/'Metadata'!$B$5)^(J5-1))</x:f>
        <x:v>198.08076045838095</x:v>
      </x:c>
      <x:c r="L5" s="31" t="n">
        <x:f>IF(E5=0,"",E5*K5)</x:f>
        <x:v>852828.6264118397</x:v>
      </x:c>
      <x:c r="M5" s="31" t="n">
        <x:f>IF(E5=0,"",I5-L5)</x:f>
        <x:v>3333.759261232801</x:v>
      </x:c>
      <x:c r="N5" s="32" t="n">
        <x:f>IF(L5=0,"",I5/L5)</x:f>
        <x:v>1.0039090611618646</x:v>
      </x:c>
      <x:c r="O5" s="34" t="n">
        <x:f>IF(L5=0,"",M5/L5)</x:f>
        <x:v>0.003909061161864534</x:v>
      </x:c>
    </x:row>
    <x:row r="6" ht="18" customHeight="1">
      <x:c r="A6" s="24" t="str">
        <x:v>Perch-likes</x:v>
      </x:c>
      <x:c r="B6" s="33" t="n">
        <x:v>14</x:v>
      </x:c>
      <x:c r="C6" s="33" t="n">
        <x:v>14</x:v>
      </x:c>
      <x:c r="D6" s="31" t="n">
        <x:v>2952.245963268</x:v>
      </x:c>
      <x:c r="E6" s="31" t="n">
        <x:v>2952.245963268</x:v>
      </x:c>
      <x:c r="F6" s="32" t="n">
        <x:v>0</x:v>
      </x:c>
      <x:c r="G6" s="34" t="n">
        <x:v>1</x:v>
      </x:c>
      <x:c r="H6" s="32" t="n">
        <x:f>IF(E6=0,"",I6/E6)</x:f>
        <x:v>1825.7460626987504</x:v>
      </x:c>
      <x:c r="I6" s="31" t="n">
        <x:f>IF(C6=0,"",SUMIF('Species'!$H$2:$H$47,A6,'Species'!$U$2:$U$47))</x:f>
        <x:v>5390051.443554831</x:v>
      </x:c>
      <x:c r="J6" s="32" t="n">
        <x:v>4.170338952497216</x:v>
      </x:c>
      <x:c r="K6" s="32" t="n">
        <x:f>IF(J6="","",(1/'Metadata'!$B$5)^(J6-1))</x:f>
        <x:v>1480.2632340071577</x:v>
      </x:c>
      <x:c r="L6" s="31" t="n">
        <x:f>IF(E6=0,"",E6*K6)</x:f>
        <x:v>4370101.157171667</x:v>
      </x:c>
      <x:c r="M6" s="31" t="n">
        <x:f>IF(E6=0,"",I6-L6)</x:f>
        <x:v>1019950.2863831641</x:v>
      </x:c>
      <x:c r="N6" s="32" t="n">
        <x:f>IF(L6=0,"",I6/L6)</x:f>
        <x:v>1.2333928322710215</x:v>
      </x:c>
      <x:c r="O6" s="34" t="n">
        <x:f>IF(L6=0,"",M6/L6)</x:f>
        <x:v>0.2333928322710216</x:v>
      </x:c>
    </x:row>
    <x:row r="7" ht="18" customHeight="1">
      <x:c r="A7" s="24" t="str">
        <x:v>Sharks &amp; rays</x:v>
      </x:c>
      <x:c r="B7" s="33" t="n">
        <x:v>9</x:v>
      </x:c>
      <x:c r="C7" s="33" t="n">
        <x:v>9</x:v>
      </x:c>
      <x:c r="D7" s="31" t="n">
        <x:v>6009.2810544205</x:v>
      </x:c>
      <x:c r="E7" s="31" t="n">
        <x:v>6009.2810544205</x:v>
      </x:c>
      <x:c r="F7" s="32" t="n">
        <x:v>0</x:v>
      </x:c>
      <x:c r="G7" s="34" t="n">
        <x:v>1</x:v>
      </x:c>
      <x:c r="H7" s="32" t="n">
        <x:f>IF(E7=0,"",I7/E7)</x:f>
        <x:v>2149.7854747049587</x:v>
      </x:c>
      <x:c r="I7" s="31" t="n">
        <x:f>IF(C7=0,"",SUMIF('Species'!$H$2:$H$47,A7,'Species'!$U$2:$U$47))</x:f>
        <x:v>12918665.12421289</x:v>
      </x:c>
      <x:c r="J7" s="32" t="n">
        <x:v>4.316156738238667</x:v>
      </x:c>
      <x:c r="K7" s="32" t="n">
        <x:f>IF(J7="","",(1/'Metadata'!$B$5)^(J7-1))</x:f>
        <x:v>2070.8886041224905</x:v>
      </x:c>
      <x:c r="L7" s="31" t="n">
        <x:f>IF(E7=0,"",E7*K7)</x:f>
        <x:v>12444551.654568598</x:v>
      </x:c>
      <x:c r="M7" s="31" t="n">
        <x:f>IF(E7=0,"",I7-L7)</x:f>
        <x:v>474113.4696442932</x:v>
      </x:c>
      <x:c r="N7" s="32" t="n">
        <x:f>IF(L7=0,"",I7/L7)</x:f>
        <x:v>1.0380980755919993</x:v>
      </x:c>
      <x:c r="O7" s="34" t="n">
        <x:f>IF(L7=0,"",M7/L7)</x:f>
        <x:v>0.0380980755919992</x:v>
      </x:c>
    </x:row>
    <x:row r="8" ht="18" customHeight="1">
      <x:c r="A8" s="24" t="str">
        <x:v>Tuna &amp; billfishes</x:v>
      </x:c>
      <x:c r="B8" s="33" t="n">
        <x:v>9</x:v>
      </x:c>
      <x:c r="C8" s="33" t="n">
        <x:v>9</x:v>
      </x:c>
      <x:c r="D8" s="31" t="n">
        <x:v>131813.8061900926</x:v>
      </x:c>
      <x:c r="E8" s="31" t="n">
        <x:v>131813.8061900926</x:v>
      </x:c>
      <x:c r="F8" s="32" t="n">
        <x:v>0</x:v>
      </x:c>
      <x:c r="G8" s="34" t="n">
        <x:v>1</x:v>
      </x:c>
      <x:c r="H8" s="32" t="n">
        <x:f>IF(E8=0,"",I8/E8)</x:f>
        <x:v>2671.254493831254</x:v>
      </x:c>
      <x:c r="I8" s="31" t="n">
        <x:f>IF(C8=0,"",SUMIF('Species'!$H$2:$H$47,A8,'Species'!$U$2:$U$47))</x:f>
        <x:v>352108222.1342868</x:v>
      </x:c>
      <x:c r="J8" s="32" t="n">
        <x:v>4.425476205927081</x:v>
      </x:c>
      <x:c r="K8" s="32" t="n">
        <x:f>IF(J8="","",(1/'Metadata'!$B$5)^(J8-1))</x:f>
        <x:v>2663.6441573590964</x:v>
      </x:c>
      <x:c r="L8" s="31" t="n">
        <x:f>IF(E8=0,"",E8*K8)</x:f>
        <x:v>351105074.7175045</x:v>
      </x:c>
      <x:c r="M8" s="31" t="n">
        <x:f>IF(E8=0,"",I8-L8)</x:f>
        <x:v>1003147.4167823195</x:v>
      </x:c>
      <x:c r="N8" s="32" t="n">
        <x:f>IF(L8=0,"",I8/L8)</x:f>
        <x:v>1.0028571145478016</x:v>
      </x:c>
      <x:c r="O8" s="34" t="n">
        <x:f>IF(L8=0,"",M8/L8)</x:f>
        <x:v>0.002857114547801514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f7aeb361ab846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2</x:v>
      </x:c>
      <x:c r="C2" s="33" t="n">
        <x:v>2</x:v>
      </x:c>
      <x:c r="D2" s="31" t="n">
        <x:v>24.154187824</x:v>
      </x:c>
      <x:c r="E2" s="31" t="n">
        <x:v>24.154187824</x:v>
      </x:c>
      <x:c r="F2" s="32" t="n">
        <x:v>0</x:v>
      </x:c>
      <x:c r="G2" s="34" t="n">
        <x:v>1</x:v>
      </x:c>
      <x:c r="H2" s="32" t="n">
        <x:f>IF(E2=0,"",I2/E2)</x:f>
        <x:v>3149.7714599911014</x:v>
      </x:c>
      <x:c r="I2" s="31" t="n">
        <x:f>IF(C2=0,"",SUMIF('Species'!$G$2:$G$47,A2,'Species'!$U$2:$U$47))</x:f>
        <x:v>76080.17144729977</x:v>
      </x:c>
      <x:c r="J2" s="32" t="n">
        <x:v>4.490198412768208</x:v>
      </x:c>
      <x:c r="K2" s="32" t="n">
        <x:f>IF(J2="","",(1/'Metadata'!$B$5)^(J2-1))</x:f>
        <x:v>3091.7075944951926</x:v>
      </x:c>
      <x:c r="L2" s="31" t="n">
        <x:f>IF(E2=0,"",E2*K2)</x:f>
        <x:v>74677.68593432411</x:v>
      </x:c>
      <x:c r="M2" s="31" t="n">
        <x:f>IF(E2=0,"",I2-L2)</x:f>
        <x:v>1402.4855129756615</x:v>
      </x:c>
      <x:c r="N2" s="32" t="n">
        <x:f>IF(L2=0,"",I2/L2)</x:f>
        <x:v>1.0187805165013963</x:v>
      </x:c>
      <x:c r="O2" s="34" t="n">
        <x:f>IF(L2=0,"",M2/L2)</x:f>
        <x:v>0.018780516501396262</x:v>
      </x:c>
    </x:row>
    <x:row r="3" ht="18" customHeight="1">
      <x:c r="A3" s="24" t="str">
        <x:v>Large pelagics (&gt;=90 cm)</x:v>
      </x:c>
      <x:c r="B3" s="33" t="n">
        <x:v>13</x:v>
      </x:c>
      <x:c r="C3" s="33" t="n">
        <x:v>13</x:v>
      </x:c>
      <x:c r="D3" s="31" t="n">
        <x:v>132976.88719835866</x:v>
      </x:c>
      <x:c r="E3" s="31" t="n">
        <x:v>132976.88719835866</x:v>
      </x:c>
      <x:c r="F3" s="32" t="n">
        <x:v>0</x:v>
      </x:c>
      <x:c r="G3" s="34" t="n">
        <x:v>1</x:v>
      </x:c>
      <x:c r="H3" s="32" t="n">
        <x:f>IF(E3=0,"",I3/E3)</x:f>
        <x:v>2668.179765189942</x:v>
      </x:c>
      <x:c r="I3" s="31" t="n">
        <x:f>IF(C3=0,"",SUMIF('Species'!$G$2:$G$47,A3,'Species'!$U$2:$U$47))</x:f>
        <x:v>354806239.660606</x:v>
      </x:c>
      <x:c r="J3" s="32" t="n">
        <x:v>4.424945453163527</x:v>
      </x:c>
      <x:c r="K3" s="32" t="n">
        <x:f>IF(J3="","",(1/'Metadata'!$B$5)^(J3-1))</x:f>
        <x:v>2660.390897089328</x:v>
      </x:c>
      <x:c r="L3" s="31" t="n">
        <x:f>IF(E3=0,"",E3*K3)</x:f>
        <x:v>353770500.22578776</x:v>
      </x:c>
      <x:c r="M3" s="31" t="n">
        <x:f>IF(E3=0,"",I3-L3)</x:f>
        <x:v>1035739.4348182678</x:v>
      </x:c>
      <x:c r="N3" s="32" t="n">
        <x:f>IF(L3=0,"",I3/L3)</x:f>
        <x:v>1.002927715663565</x:v>
      </x:c>
      <x:c r="O3" s="34" t="n">
        <x:f>IF(L3=0,"",M3/L3)</x:f>
        <x:v>0.0029277156635650102</x:v>
      </x:c>
    </x:row>
    <x:row r="4" ht="18" customHeight="1">
      <x:c r="A4" s="24" t="str">
        <x:v>Large reef assoc. fish (&gt;=90 cm)</x:v>
      </x:c>
      <x:c r="B4" s="33" t="n">
        <x:v>1</x:v>
      </x:c>
      <x:c r="C4" s="33" t="n">
        <x:v>1</x:v>
      </x:c>
      <x:c r="D4" s="31" t="n">
        <x:v>4.504947727999999</x:v>
      </x:c>
      <x:c r="E4" s="31" t="n">
        <x:v>4.504947727999999</x:v>
      </x:c>
      <x:c r="F4" s="32" t="n">
        <x:v>0</x:v>
      </x:c>
      <x:c r="G4" s="34" t="n">
        <x:v>1</x:v>
      </x:c>
      <x:c r="H4" s="32" t="n">
        <x:f>IF(E4=0,"",I4/E4)</x:f>
        <x:v>3162.2776601683795</x:v>
      </x:c>
      <x:c r="I4" s="31" t="n">
        <x:f>IF(C4=0,"",SUMIF('Species'!$G$2:$G$47,A4,'Species'!$U$2:$U$47))</x:f>
        <x:v>14245.895560480696</x:v>
      </x:c>
      <x:c r="J4" s="32" t="n">
        <x:v>4.5</x:v>
      </x:c>
      <x:c r="K4" s="32" t="n">
        <x:f>IF(J4="","",(1/'Metadata'!$B$5)^(J4-1))</x:f>
        <x:v>3162.2776601683795</x:v>
      </x:c>
      <x:c r="L4" s="31" t="n">
        <x:f>IF(E4=0,"",E4*K4)</x:f>
        <x:v>14245.895560480696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sharks (&gt;=90 cm)</x:v>
      </x:c>
      <x:c r="B5" s="33" t="n">
        <x:v>9</x:v>
      </x:c>
      <x:c r="C5" s="33" t="n">
        <x:v>9</x:v>
      </x:c>
      <x:c r="D5" s="31" t="n">
        <x:v>6009.2810544205</x:v>
      </x:c>
      <x:c r="E5" s="31" t="n">
        <x:v>6009.2810544205</x:v>
      </x:c>
      <x:c r="F5" s="32" t="n">
        <x:v>0</x:v>
      </x:c>
      <x:c r="G5" s="34" t="n">
        <x:v>1</x:v>
      </x:c>
      <x:c r="H5" s="32" t="n">
        <x:f>IF(E5=0,"",I5/E5)</x:f>
        <x:v>2149.7854747049587</x:v>
      </x:c>
      <x:c r="I5" s="31" t="n">
        <x:f>IF(C5=0,"",SUMIF('Species'!$G$2:$G$47,A5,'Species'!$U$2:$U$47))</x:f>
        <x:v>12918665.12421289</x:v>
      </x:c>
      <x:c r="J5" s="32" t="n">
        <x:v>4.316156738238667</x:v>
      </x:c>
      <x:c r="K5" s="32" t="n">
        <x:f>IF(J5="","",(1/'Metadata'!$B$5)^(J5-1))</x:f>
        <x:v>2070.8886041224905</x:v>
      </x:c>
      <x:c r="L5" s="31" t="n">
        <x:f>IF(E5=0,"",E5*K5)</x:f>
        <x:v>12444551.654568598</x:v>
      </x:c>
      <x:c r="M5" s="31" t="n">
        <x:f>IF(E5=0,"",I5-L5)</x:f>
        <x:v>474113.4696442932</x:v>
      </x:c>
      <x:c r="N5" s="32" t="n">
        <x:f>IF(L5=0,"",I5/L5)</x:f>
        <x:v>1.0380980755919993</x:v>
      </x:c>
      <x:c r="O5" s="34" t="n">
        <x:f>IF(L5=0,"",M5/L5)</x:f>
        <x:v>0.0380980755919992</x:v>
      </x:c>
    </x:row>
    <x:row r="6" ht="18" customHeight="1">
      <x:c r="A6" s="24" t="str">
        <x:v>Lobsters, crabs</x:v>
      </x:c>
      <x:c r="B6" s="33" t="n">
        <x:v>1</x:v>
      </x:c>
      <x:c r="C6" s="33" t="n">
        <x:v>1</x:v>
      </x:c>
      <x:c r="D6" s="31" t="n">
        <x:v>0.105619227</x:v>
      </x:c>
      <x:c r="E6" s="31" t="n">
        <x:v>0.105619227</x:v>
      </x:c>
      <x:c r="F6" s="32" t="n">
        <x:v>0</x:v>
      </x:c>
      <x:c r="G6" s="34" t="n">
        <x:v>1</x:v>
      </x:c>
      <x:c r="H6" s="32" t="n">
        <x:f>IF(E6=0,"",I6/E6)</x:f>
        <x:v>234.42288153199226</x:v>
      </x:c>
      <x:c r="I6" s="31" t="n">
        <x:f>IF(C6=0,"",SUMIF('Species'!$G$2:$G$47,A6,'Species'!$U$2:$U$47))</x:f>
        <x:v>24.759563538521597</x:v>
      </x:c>
      <x:c r="J6" s="32" t="n">
        <x:v>3.3699999999999997</x:v>
      </x:c>
      <x:c r="K6" s="32" t="n">
        <x:f>IF(J6="","",(1/'Metadata'!$B$5)^(J6-1))</x:f>
        <x:v>234.42288153199203</x:v>
      </x:c>
      <x:c r="L6" s="31" t="n">
        <x:f>IF(E6=0,"",E6*K6)</x:f>
        <x:v>24.759563538521572</x:v>
      </x:c>
      <x:c r="M6" s="31" t="n">
        <x:f>IF(E6=0,"",I6-L6)</x:f>
        <x:v>2.4868995751603507e-14</x:v>
      </x:c>
      <x:c r="N6" s="32" t="n">
        <x:f>IF(L6=0,"",I6/L6)</x:f>
        <x:v>1.000000000000001</x:v>
      </x:c>
      <x:c r="O6" s="34" t="n">
        <x:f>IF(L6=0,"",M6/L6)</x:f>
        <x:v>1.004419795725061e-15</x:v>
      </x:c>
    </x:row>
    <x:row r="7" ht="18" customHeight="1">
      <x:c r="A7" s="24" t="str">
        <x:v>Medium demersals (30 - 89 cm)</x:v>
      </x:c>
      <x:c r="B7" s="33" t="n">
        <x:v>1</x:v>
      </x:c>
      <x:c r="C7" s="33" t="n">
        <x:v>1</x:v>
      </x:c>
      <x:c r="D7" s="31" t="n">
        <x:v>3350.9505584281</x:v>
      </x:c>
      <x:c r="E7" s="31" t="n">
        <x:v>3350.9505584281</x:v>
      </x:c>
      <x:c r="F7" s="32" t="n">
        <x:v>0</x:v>
      </x:c>
      <x:c r="G7" s="34" t="n">
        <x:v>1</x:v>
      </x:c>
      <x:c r="H7" s="32" t="n">
        <x:f>IF(E7=0,"",I7/E7)</x:f>
        <x:v>190.54607179632464</x:v>
      </x:c>
      <x:c r="I7" s="31" t="n">
        <x:f>IF(C7=0,"",SUMIF('Species'!$G$2:$G$47,A7,'Species'!$U$2:$U$47))</x:f>
        <x:v>638510.4656921749</x:v>
      </x:c>
      <x:c r="J7" s="32" t="n">
        <x:v>3.28</x:v>
      </x:c>
      <x:c r="K7" s="32" t="n">
        <x:f>IF(J7="","",(1/'Metadata'!$B$5)^(J7-1))</x:f>
        <x:v>190.54607179632464</x:v>
      </x:c>
      <x:c r="L7" s="31" t="n">
        <x:f>IF(E7=0,"",E7*K7)</x:f>
        <x:v>638510.4656921749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Medium pelagics (30 - 89 cm)</x:v>
      </x:c>
      <x:c r="B8" s="33" t="n">
        <x:v>3</x:v>
      </x:c>
      <x:c r="C8" s="33" t="n">
        <x:v>3</x:v>
      </x:c>
      <x:c r="D8" s="31" t="n">
        <x:v>2504.3497041874</x:v>
      </x:c>
      <x:c r="E8" s="31" t="n">
        <x:v>2504.3497041874</x:v>
      </x:c>
      <x:c r="F8" s="32" t="n">
        <x:v>0</x:v>
      </x:c>
      <x:c r="G8" s="34" t="n">
        <x:v>1</x:v>
      </x:c>
      <x:c r="H8" s="32" t="n">
        <x:f>IF(E8=0,"",I8/E8)</x:f>
        <x:v>1117.1688902708502</x:v>
      </x:c>
      <x:c r="I8" s="31" t="n">
        <x:f>IF(C8=0,"",SUMIF('Species'!$G$2:$G$47,A8,'Species'!$U$2:$U$47))</x:f>
        <x:v>2797781.57987717</x:v>
      </x:c>
      <x:c r="J8" s="32" t="n">
        <x:v>3.8894964409100665</x:v>
      </x:c>
      <x:c r="K8" s="32" t="n">
        <x:f>IF(J8="","",(1/'Metadata'!$B$5)^(J8-1))</x:f>
        <x:v>775.3475892767752</x:v>
      </x:c>
      <x:c r="L8" s="31" t="n">
        <x:f>IF(E8=0,"",E8*K8)</x:f>
        <x:v>1941741.505847706</x:v>
      </x:c>
      <x:c r="M8" s="31" t="n">
        <x:f>IF(E8=0,"",I8-L8)</x:f>
        <x:v>856040.0740294638</x:v>
      </x:c>
      <x:c r="N8" s="32" t="n">
        <x:f>IF(L8=0,"",I8/L8)</x:f>
        <x:v>1.4408620155934415</x:v>
      </x:c>
      <x:c r="O8" s="34" t="n">
        <x:f>IF(L8=0,"",M8/L8)</x:f>
        <x:v>0.44086201559344146</x:v>
      </x:c>
    </x:row>
    <x:row r="9" ht="18" customHeight="1">
      <x:c r="A9" s="24" t="str">
        <x:v>Medium reef assoc. fish (30 - 89 cm)</x:v>
      </x:c>
      <x:c r="B9" s="33" t="n">
        <x:v>4</x:v>
      </x:c>
      <x:c r="C9" s="33" t="n">
        <x:v>4</x:v>
      </x:c>
      <x:c r="D9" s="31" t="n">
        <x:v>143.487377654</x:v>
      </x:c>
      <x:c r="E9" s="31" t="n">
        <x:v>143.487377654</x:v>
      </x:c>
      <x:c r="F9" s="32" t="n">
        <x:v>0</x:v>
      </x:c>
      <x:c r="G9" s="34" t="n">
        <x:v>1</x:v>
      </x:c>
      <x:c r="H9" s="32" t="n">
        <x:f>IF(E9=0,"",I9/E9)</x:f>
        <x:v>40.862011017421565</x:v>
      </x:c>
      <x:c r="I9" s="31" t="n">
        <x:f>IF(C9=0,"",SUMIF('Species'!$G$2:$G$47,A9,'Species'!$U$2:$U$47))</x:f>
        <x:v>5863.182806558677</x:v>
      </x:c>
      <x:c r="J9" s="32" t="n">
        <x:v>2.4546158984695996</x:v>
      </x:c>
      <x:c r="K9" s="32" t="n">
        <x:f>IF(J9="","",(1/'Metadata'!$B$5)^(J9-1))</x:f>
        <x:v>28.484978662346872</x:v>
      </x:c>
      <x:c r="L9" s="31" t="n">
        <x:f>IF(E9=0,"",E9*K9)</x:f>
        <x:v>4087.2348907902974</x:v>
      </x:c>
      <x:c r="M9" s="31" t="n">
        <x:f>IF(E9=0,"",I9-L9)</x:f>
        <x:v>1775.9479157683795</x:v>
      </x:c>
      <x:c r="N9" s="32" t="n">
        <x:f>IF(L9=0,"",I9/L9)</x:f>
        <x:v>1.4345108522561538</x:v>
      </x:c>
      <x:c r="O9" s="34" t="n">
        <x:f>IF(L9=0,"",M9/L9)</x:f>
        <x:v>0.4345108522561537</x:v>
      </x:c>
    </x:row>
    <x:row r="10" ht="18" customHeight="1">
      <x:c r="A10" s="24" t="str">
        <x:v>Other demersal invertebrates</x:v>
      </x:c>
      <x:c r="B10" s="33" t="n">
        <x:v>8</x:v>
      </x:c>
      <x:c r="C10" s="33" t="n">
        <x:v>8</x:v>
      </x:c>
      <x:c r="D10" s="31" t="n">
        <x:v>28.507289407</x:v>
      </x:c>
      <x:c r="E10" s="31" t="n">
        <x:v>28.507289407</x:v>
      </x:c>
      <x:c r="F10" s="32" t="n">
        <x:v>0</x:v>
      </x:c>
      <x:c r="G10" s="34" t="n">
        <x:v>1</x:v>
      </x:c>
      <x:c r="H10" s="32" t="n">
        <x:f>IF(E10=0,"",I10/E10)</x:f>
        <x:v>10.917552411202927</x:v>
      </x:c>
      <x:c r="I10" s="31" t="n">
        <x:f>IF(C10=0,"",SUMIF('Species'!$G$2:$G$47,A10,'Species'!$U$2:$U$47))</x:f>
        <x:v>311.22982620225247</x:v>
      </x:c>
      <x:c r="J10" s="32" t="n">
        <x:v>2.0333530160961755</x:v>
      </x:c>
      <x:c r="K10" s="32" t="n">
        <x:f>IF(J10="","",(1/'Metadata'!$B$5)^(J10-1))</x:f>
        <x:v>10.79824100181956</x:v>
      </x:c>
      <x:c r="L10" s="31" t="n">
        <x:f>IF(E10=0,"",E10*K10)</x:f>
        <x:v>307.82858132540383</x:v>
      </x:c>
      <x:c r="M10" s="31" t="n">
        <x:f>IF(E10=0,"",I10-L10)</x:f>
        <x:v>3.4012448768486365</x:v>
      </x:c>
      <x:c r="N10" s="32" t="n">
        <x:f>IF(L10=0,"",I10/L10)</x:f>
        <x:v>1.0110491522983476</x:v>
      </x:c>
      <x:c r="O10" s="34" t="n">
        <x:f>IF(L10=0,"",M10/L10)</x:f>
        <x:v>0.0110491522983475</x:v>
      </x:c>
    </x:row>
    <x:row r="11" ht="18" customHeight="1">
      <x:c r="A11" s="24" t="str">
        <x:v>Small benthopelagics (&lt;30 cm)</x:v>
      </x:c>
      <x:c r="B11" s="33" t="n">
        <x:v>1</x:v>
      </x:c>
      <x:c r="C11" s="33" t="n">
        <x:v>1</x:v>
      </x:c>
      <x:c r="D11" s="31" t="n">
        <x:v>28.9466854</x:v>
      </x:c>
      <x:c r="E11" s="31" t="n">
        <x:v>28.9466854</x:v>
      </x:c>
      <x:c r="F11" s="32" t="n">
        <x:v>0</x:v>
      </x:c>
      <x:c r="G11" s="34" t="n">
        <x:v>1</x:v>
      </x:c>
      <x:c r="H11" s="32" t="n">
        <x:f>IF(E11=0,"",I11/E11)</x:f>
        <x:v>186.20871366628674</x:v>
      </x:c>
      <x:c r="I11" s="31" t="n">
        <x:f>IF(C11=0,"",SUMIF('Species'!$G$2:$G$47,A11,'Species'!$U$2:$U$47))</x:f>
        <x:v>5390.125053236683</x:v>
      </x:c>
      <x:c r="J11" s="32" t="n">
        <x:v>3.27</x:v>
      </x:c>
      <x:c r="K11" s="32" t="n">
        <x:f>IF(J11="","",(1/'Metadata'!$B$5)^(J11-1))</x:f>
        <x:v>186.20871366628674</x:v>
      </x:c>
      <x:c r="L11" s="31" t="n">
        <x:f>IF(E11=0,"",E11*K11)</x:f>
        <x:v>5390.125053236683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Small pelagics (&lt;30 cm)</x:v>
      </x:c>
      <x:c r="B12" s="33" t="n">
        <x:v>2</x:v>
      </x:c>
      <x:c r="C12" s="33" t="n">
        <x:v>2</x:v>
      </x:c>
      <x:c r="D12" s="31" t="n">
        <x:v>27.281611936</x:v>
      </x:c>
      <x:c r="E12" s="31" t="n">
        <x:v>27.281611936</x:v>
      </x:c>
      <x:c r="F12" s="32" t="n">
        <x:v>0</x:v>
      </x:c>
      <x:c r="G12" s="34" t="n">
        <x:v>1</x:v>
      </x:c>
      <x:c r="H12" s="32" t="n">
        <x:f>IF(E12=0,"",I12/E12)</x:f>
        <x:v>370.9685058133029</x:v>
      </x:c>
      <x:c r="I12" s="31" t="n">
        <x:f>IF(C12=0,"",SUMIF('Species'!$G$2:$G$47,A12,'Species'!$U$2:$U$47))</x:f>
        <x:v>10120.61881607629</x:v>
      </x:c>
      <x:c r="J12" s="32" t="n">
        <x:v>3.5688741468347964</x:v>
      </x:c>
      <x:c r="K12" s="32" t="n">
        <x:f>IF(J12="","",(1/'Metadata'!$B$5)^(J12-1))</x:f>
        <x:v>370.5733186604502</x:v>
      </x:c>
      <x:c r="L12" s="31" t="n">
        <x:f>IF(E12=0,"",E12*K12)</x:f>
        <x:v>10109.83747353007</x:v>
      </x:c>
      <x:c r="M12" s="31" t="n">
        <x:f>IF(E12=0,"",I12-L12)</x:f>
        <x:v>10.781342546220912</x:v>
      </x:c>
      <x:c r="N12" s="32" t="n">
        <x:f>IF(L12=0,"",I12/L12)</x:f>
        <x:v>1.0010664209562665</x:v>
      </x:c>
      <x:c r="O12" s="34" t="n">
        <x:f>IF(L12=0,"",M12/L12)</x:f>
        <x:v>0.0010664209562665078</x:v>
      </x:c>
    </x:row>
    <x:row r="13" ht="18" customHeight="1">
      <x:c r="A13" s="24" t="str">
        <x:v>Small reef assoc. fish (&lt;30 cm)</x:v>
      </x:c>
      <x:c r="B13" s="33" t="n">
        <x:v>1</x:v>
      </x:c>
      <x:c r="C13" s="33" t="n">
        <x:v>1</x:v>
      </x:c>
      <x:c r="D13" s="31" t="n">
        <x:v>10.831044538</x:v>
      </x:c>
      <x:c r="E13" s="31" t="n">
        <x:v>10.831044538</x:v>
      </x:c>
      <x:c r="F13" s="32" t="n">
        <x:v>0</x:v>
      </x:c>
      <x:c r="G13" s="34" t="n">
        <x:v>1</x:v>
      </x:c>
      <x:c r="H13" s="32" t="n">
        <x:f>IF(E13=0,"",I13/E13)</x:f>
        <x:v>19.054607179632463</x:v>
      </x:c>
      <x:c r="I13" s="31" t="n">
        <x:f>IF(C13=0,"",SUMIF('Species'!$G$2:$G$47,A13,'Species'!$U$2:$U$47))</x:f>
        <x:v>206.3812990166938</x:v>
      </x:c>
      <x:c r="J13" s="32" t="n">
        <x:v>2.28</x:v>
      </x:c>
      <x:c r="K13" s="32" t="n">
        <x:f>IF(J13="","",(1/'Metadata'!$B$5)^(J13-1))</x:f>
        <x:v>19.054607179632463</x:v>
      </x:c>
      <x:c r="L13" s="31" t="n">
        <x:f>IF(E13=0,"",E13*K13)</x:f>
        <x:v>206.3812990166938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</x:sheetData>
  <x:conditionalFormatting sqref="G2:G13">
    <x:cfRule type="cellIs" dxfId="2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6f2f5176fbf42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EEZ_798</x:v>
      </x:c>
      <x:c r="B2" s="24" t="str">
        <x:v>raw_filtered_tonnes</x:v>
      </x:c>
      <x:c r="C2" s="24" t="n">
        <x:v>145109.28727910868</x:v>
      </x:c>
      <x:c r="D2" s="24" t="str">
        <x:v>tonnes</x:v>
      </x:c>
    </x:row>
    <x:row r="3" ht="18" customHeight="1">
      <x:c r="A3" s="24" t="str">
        <x:v>EEZ_798</x:v>
      </x:c>
      <x:c r="B3" s="24" t="str">
        <x:v>species_catch_tonnes</x:v>
      </x:c>
      <x:c r="C3" s="24" t="n">
        <x:v>145109.2872791087</x:v>
      </x:c>
      <x:c r="D3" s="24" t="str">
        <x:v>tonnes</x:v>
      </x:c>
    </x:row>
    <x:row r="4" ht="18" customHeight="1">
      <x:c r="A4" s="24" t="str">
        <x:v>EEZ_798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EEZ_798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EEZ_798</x:v>
      </x:c>
      <x:c r="B6" s="24" t="str">
        <x:v>matched_catch_tonnes</x:v>
      </x:c>
      <x:c r="C6" s="24" t="n">
        <x:v>145109.2872791087</x:v>
      </x:c>
      <x:c r="D6" s="24" t="str">
        <x:v>tonnes</x:v>
      </x:c>
    </x:row>
    <x:row r="7" ht="18" customHeight="1">
      <x:c r="A7" s="24" t="str">
        <x:v>EEZ_798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EEZ_798</x:v>
      </x:c>
      <x:c r="B8" s="24" t="str">
        <x:v>taxa_count</x:v>
      </x:c>
      <x:c r="C8" s="24" t="n">
        <x:v>46</x:v>
      </x:c>
      <x:c r="D8" s="24" t="str">
        <x:v>count</x:v>
      </x:c>
    </x:row>
    <x:row r="9" ht="18" customHeight="1">
      <x:c r="A9" s="24" t="str">
        <x:v>EEZ_798</x:v>
      </x:c>
      <x:c r="B9" s="24" t="str">
        <x:v>matched_taxa_count</x:v>
      </x:c>
      <x:c r="C9" s="24" t="n">
        <x:v>46</x:v>
      </x:c>
      <x:c r="D9" s="24" t="str">
        <x:v>count</x:v>
      </x:c>
    </x:row>
    <x:row r="10" ht="18" customHeight="1">
      <x:c r="A10" s="24" t="str">
        <x:v>EEZ_798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EEZ_798</x:v>
      </x:c>
      <x:c r="B11" s="24" t="str">
        <x:v>species_ppr</x:v>
      </x:c>
      <x:c r="C11" s="24" t="n">
        <x:v>371273439.1947608</x:v>
      </x:c>
      <x:c r="D11" s="24" t="str">
        <x:v>tonnes_primary_production_equivalent</x:v>
      </x:c>
    </x:row>
    <x:row r="12" ht="18" customHeight="1">
      <x:c r="A12" s="24" t="str">
        <x:v>EEZ_798</x:v>
      </x:c>
      <x:c r="B12" s="24" t="str">
        <x:v>commercial_ppr</x:v>
      </x:c>
      <x:c r="C12" s="24" t="n">
        <x:v>371273439.19476074</x:v>
      </x:c>
      <x:c r="D12" s="24" t="str">
        <x:v>tonnes_primary_production_equivalent</x:v>
      </x:c>
    </x:row>
    <x:row r="13" ht="18" customHeight="1">
      <x:c r="A13" s="24" t="str">
        <x:v>EEZ_798</x:v>
      </x:c>
      <x:c r="B13" s="24" t="str">
        <x:v>functional_ppr</x:v>
      </x:c>
      <x:c r="C13" s="24" t="n">
        <x:v>371273439.1947607</x:v>
      </x:c>
      <x:c r="D13" s="24" t="str">
        <x:v>tonnes_primary_production_equivalent</x:v>
      </x:c>
    </x:row>
    <x:row r="14" ht="18" customHeight="1">
      <x:c r="A14" s="24" t="str">
        <x:v>EEZ_798</x:v>
      </x:c>
      <x:c r="B14" s="24" t="str">
        <x:v>commercial_ppr_difference</x:v>
      </x:c>
      <x:c r="C14" s="24" t="n">
        <x:v>-5.960464477539063e-8</x:v>
      </x:c>
      <x:c r="D14" s="24" t="str">
        <x:v>tonnes_primary_production_equivalent</x:v>
      </x:c>
    </x:row>
    <x:row r="15" ht="18" customHeight="1">
      <x:c r="A15" s="24" t="str">
        <x:v>EEZ_798</x:v>
      </x:c>
      <x:c r="B15" s="24" t="str">
        <x:v>functional_ppr_difference</x:v>
      </x:c>
      <x:c r="C15" s="24" t="n">
        <x:v>-1.1920928955078125e-7</x:v>
      </x:c>
      <x:c r="D15" s="24" t="str">
        <x:v>tonnes_primary_production_equivalent</x:v>
      </x:c>
    </x:row>
    <x:row r="16" ht="18" customHeight="1">
      <x:c r="A16" s="24" t="str">
        <x:v>EEZ_798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EEZ_798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EEZ_798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EEZ_798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a57578ea16541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EEZ_798 - Tuvalu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EEZ_798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raw_data/SAU_downloads/EEZ_798-catch.zip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