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b0a93dfe5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55cb58994df4525"/>
    <x:sheet xmlns:r="http://schemas.openxmlformats.org/officeDocument/2006/relationships" name="Commercial" sheetId="2" r:id="R6ee8b98ef4d14370"/>
    <x:sheet xmlns:r="http://schemas.openxmlformats.org/officeDocument/2006/relationships" name="Functional" sheetId="3" r:id="Rb4de02f07f904dd1"/>
    <x:sheet xmlns:r="http://schemas.openxmlformats.org/officeDocument/2006/relationships" name="Missing TL" sheetId="4" r:id="R4a7b0df1b7254b42"/>
    <x:sheet xmlns:r="http://schemas.openxmlformats.org/officeDocument/2006/relationships" name="Validation" sheetId="5" r:id="Rdcd428938af84329"/>
    <x:sheet xmlns:r="http://schemas.openxmlformats.org/officeDocument/2006/relationships" name="Metadata" sheetId="6" r:id="R3b08a867e0d0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bd729a6444f1d" /><Relationship Type="http://schemas.openxmlformats.org/officeDocument/2006/relationships/theme" Target="/xl/theme/theme1.xml" Id="R978cdecccf17477e" /><Relationship Type="http://schemas.microsoft.com/office/2022/11/relationships/FeaturePropertyBag" Target="/xl/featurePropertyBag/featurePropertyBag.xml" Id="Re0bc5a7099d94b98" /><Relationship Type="http://schemas.openxmlformats.org/officeDocument/2006/relationships/sharedStrings" Target="/xl/sharedStrings.xml" Id="R456aaa13d0e342be" /><Relationship Type="http://schemas.openxmlformats.org/officeDocument/2006/relationships/worksheet" Target="/xl/worksheets/sheet1.xml" Id="R055cb58994df4525" /><Relationship Type="http://schemas.openxmlformats.org/officeDocument/2006/relationships/worksheet" Target="/xl/worksheets/sheet2.xml" Id="R6ee8b98ef4d14370" /><Relationship Type="http://schemas.openxmlformats.org/officeDocument/2006/relationships/worksheet" Target="/xl/worksheets/sheet3.xml" Id="Rb4de02f07f904dd1" /><Relationship Type="http://schemas.openxmlformats.org/officeDocument/2006/relationships/worksheet" Target="/xl/worksheets/sheet4.xml" Id="R4a7b0df1b7254b42" /><Relationship Type="http://schemas.openxmlformats.org/officeDocument/2006/relationships/worksheet" Target="/xl/worksheets/sheet5.xml" Id="Rdcd428938af84329" /><Relationship Type="http://schemas.openxmlformats.org/officeDocument/2006/relationships/worksheet" Target="/xl/worksheets/sheet6.xml" Id="R3b08a867e0d049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4SpeciesTable" displayName="EEZ974SpeciesTable" ref="A1:U54" headerRowCount="1" totalsRowCount="0" totalsRowShown="0">
  <x:autoFilter ref="A1:U5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4CommercialTable" displayName="EEZ97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4FunctionalTable" displayName="EEZ974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4ValidationTable" displayName="EEZ97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53aa4c7f834b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8417d99f044c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5b433a056a45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bf079300a843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EEZ_974</x:v>
      </x:c>
      <x:c r="B2" s="24" t="str">
        <x:v>Korea (North, Sea of Japan)</x:v>
      </x:c>
      <x:c r="C2" s="24" t="str">
        <x:v>EEZ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66527.3158365572</x:v>
      </x:c>
      <x:c r="J2" s="31" t="n">
        <x:v>66527.3158365572</x:v>
      </x:c>
      <x:c r="K2" s="31" t="n">
        <x:v>0</x:v>
      </x:c>
      <x:c r="L2" s="31" t="n">
        <x:v>66527.3158365572</x:v>
      </x:c>
      <x:c r="M2" s="31" t="n">
        <x:v>0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24717241.530555226</x:v>
      </x:c>
    </x:row>
    <x:row r="3" ht="18" customHeight="1">
      <x:c r="A3" s="24" t="str">
        <x:v>EEZ_974</x:v>
      </x:c>
      <x:c r="B3" s="24" t="str">
        <x:v>Korea (North, Sea of Japan)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25748.9322895598</x:v>
      </x:c>
      <x:c r="J3" s="31" t="n">
        <x:v>24093.3567805531</x:v>
      </x:c>
      <x:c r="K3" s="31" t="n">
        <x:v>1655.5755090067</x:v>
      </x:c>
      <x:c r="L3" s="31" t="n">
        <x:v>23268.3626141531</x:v>
      </x:c>
      <x:c r="M3" s="31" t="n">
        <x:v>2480.5696754067003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4906357.9007251635</x:v>
      </x:c>
    </x:row>
    <x:row r="4" ht="18" customHeight="1">
      <x:c r="A4" s="24" t="str">
        <x:v>EEZ_974</x:v>
      </x:c>
      <x:c r="B4" s="24" t="str">
        <x:v>Korea (North, Sea of Japan)</x:v>
      </x:c>
      <x:c r="C4" s="24" t="str">
        <x:v>EEZ</x:v>
      </x:c>
      <x:c r="D4" s="30" t="n">
        <x:v>2019</x:v>
      </x:c>
      <x:c r="E4" s="24" t="str">
        <x:v>Todarodes pacificus</x:v>
      </x:c>
      <x:c r="F4" s="24" t="str">
        <x:v>Japanese flying squid</x:v>
      </x:c>
      <x:c r="G4" s="24" t="str">
        <x:v>Cephalopods</x:v>
      </x:c>
      <x:c r="H4" s="24" t="str">
        <x:v>Other fishes &amp; inverts</x:v>
      </x:c>
      <x:c r="I4" s="31" t="n">
        <x:v>19247.9892215525</x:v>
      </x:c>
      <x:c r="J4" s="31" t="n">
        <x:v>19247.9892215525</x:v>
      </x:c>
      <x:c r="K4" s="31" t="n">
        <x:v>0</x:v>
      </x:c>
      <x:c r="L4" s="31" t="n">
        <x:v>19247.9892215525</x:v>
      </x:c>
      <x:c r="M4" s="31" t="n">
        <x:v>0</x:v>
      </x:c>
      <x:c r="N4" s="24" t="str">
        <x:v>todarodes pacificus</x:v>
      </x:c>
      <x:c r="O4" s="32" t="n">
        <x:v>4.28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Todarodes pacificus</x:v>
      </x:c>
      <x:c r="T4" s="32" t="n">
        <x:f>IF(O4="","",(1/'Metadata'!$B$5)^(O4-1))</x:f>
        <x:v>1905.4607179632483</x:v>
      </x:c>
      <x:c r="U4" s="31" t="n">
        <x:f>IF(T4="","",I4*T4)</x:f>
        <x:v>36676287.36144829</x:v>
      </x:c>
    </x:row>
    <x:row r="5" ht="18" customHeight="1">
      <x:c r="A5" s="24" t="str">
        <x:v>EEZ_974</x:v>
      </x:c>
      <x:c r="B5" s="24" t="str">
        <x:v>Korea (North, Sea of Japan)</x:v>
      </x:c>
      <x:c r="C5" s="24" t="str">
        <x:v>EEZ</x:v>
      </x:c>
      <x:c r="D5" s="30" t="n">
        <x:v>2019</x:v>
      </x:c>
      <x:c r="E5" s="24" t="str">
        <x:v>Miscellaneous marine crustaceans</x:v>
      </x:c>
      <x:c r="F5" s="24" t="str">
        <x:v>Marine crabs, shrimps, lobsters nei</x:v>
      </x:c>
      <x:c r="G5" s="24" t="str">
        <x:v>Shrimps</x:v>
      </x:c>
      <x:c r="H5" s="24" t="str">
        <x:v>Crustaceans</x:v>
      </x:c>
      <x:c r="I5" s="31" t="n">
        <x:v>11052.155522929701</x:v>
      </x:c>
      <x:c r="J5" s="31" t="n">
        <x:v>11052.155522929701</x:v>
      </x:c>
      <x:c r="K5" s="31" t="n">
        <x:v>0</x:v>
      </x:c>
      <x:c r="L5" s="31" t="n">
        <x:v>10593.8254305297</x:v>
      </x:c>
      <x:c r="M5" s="31" t="n">
        <x:v>458.3300924</x:v>
      </x:c>
      <x:c r="N5" s="24" t="str">
        <x:v>miscellaneous marine crustaceans</x:v>
      </x:c>
      <x:c r="O5" s="32" t="n">
        <x:v>2.7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Miscellaneous marine crustaceans</x:v>
      </x:c>
      <x:c r="T5" s="32" t="n">
        <x:f>IF(O5="","",(1/'Metadata'!$B$5)^(O5-1))</x:f>
        <x:v>50.11872336272725</x:v>
      </x:c>
      <x:c r="U5" s="31" t="n">
        <x:f>IF(T5="","",I5*T5)</x:f>
        <x:v>553919.9252155519</x:v>
      </x:c>
    </x:row>
    <x:row r="6" ht="18" customHeight="1">
      <x:c r="A6" s="24" t="str">
        <x:v>EEZ_974</x:v>
      </x:c>
      <x:c r="B6" s="24" t="str">
        <x:v>Korea (North, Sea of Japan)</x:v>
      </x:c>
      <x:c r="C6" s="24" t="str">
        <x:v>EEZ</x:v>
      </x:c>
      <x:c r="D6" s="30" t="n">
        <x:v>2019</x:v>
      </x:c>
      <x:c r="E6" s="24" t="str">
        <x:v>Sardinops sagax</x:v>
      </x:c>
      <x:c r="F6" s="24" t="str">
        <x:v>South American pilchard</x:v>
      </x:c>
      <x:c r="G6" s="24" t="str">
        <x:v>Medium pelagics (30 - 89 cm)</x:v>
      </x:c>
      <x:c r="H6" s="24" t="str">
        <x:v>Herring-likes</x:v>
      </x:c>
      <x:c r="I6" s="31" t="n">
        <x:v>10488.0830954329</x:v>
      </x:c>
      <x:c r="J6" s="31" t="n">
        <x:v>10488.0830954329</x:v>
      </x:c>
      <x:c r="K6" s="31" t="n">
        <x:v>0</x:v>
      </x:c>
      <x:c r="L6" s="31" t="n">
        <x:v>10488.0830954329</x:v>
      </x:c>
      <x:c r="M6" s="31" t="n">
        <x:v>0</x:v>
      </x:c>
      <x:c r="N6" s="24" t="str">
        <x:v>sardinops sagax</x:v>
      </x:c>
      <x:c r="O6" s="32" t="n">
        <x:v>2.84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Sardinops sagax</x:v>
      </x:c>
      <x:c r="T6" s="32" t="n">
        <x:f>IF(O6="","",(1/'Metadata'!$B$5)^(O6-1))</x:f>
        <x:v>69.18309709189363</x:v>
      </x:c>
      <x:c r="U6" s="31" t="n">
        <x:f>IF(T6="","",I6*T6)</x:f>
        <x:v>725598.0710991826</x:v>
      </x:c>
    </x:row>
    <x:row r="7" ht="18" customHeight="1">
      <x:c r="A7" s="24" t="str">
        <x:v>EEZ_974</x:v>
      </x:c>
      <x:c r="B7" s="24" t="str">
        <x:v>Korea (North, Sea of Japan)</x:v>
      </x:c>
      <x:c r="C7" s="24" t="str">
        <x:v>EEZ</x:v>
      </x:c>
      <x:c r="D7" s="30" t="n">
        <x:v>2019</x:v>
      </x:c>
      <x:c r="E7" s="24" t="str">
        <x:v>Engraulis japonicus</x:v>
      </x:c>
      <x:c r="F7" s="24" t="str">
        <x:v>Japanese anchovy</x:v>
      </x:c>
      <x:c r="G7" s="24" t="str">
        <x:v>Small pelagics (&lt;30 cm)</x:v>
      </x:c>
      <x:c r="H7" s="24" t="str">
        <x:v>Anchovies</x:v>
      </x:c>
      <x:c r="I7" s="31" t="n">
        <x:v>7687.1356810937</x:v>
      </x:c>
      <x:c r="J7" s="31" t="n">
        <x:v>7687.1356810937</x:v>
      </x:c>
      <x:c r="K7" s="31" t="n">
        <x:v>0</x:v>
      </x:c>
      <x:c r="L7" s="31" t="n">
        <x:v>7687.1356810937</x:v>
      </x:c>
      <x:c r="M7" s="31" t="n">
        <x:v>0</x:v>
      </x:c>
      <x:c r="N7" s="24" t="str">
        <x:v>engraulis japonicus</x:v>
      </x:c>
      <x:c r="O7" s="32" t="n">
        <x:v>3.14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Engraulis japonicus</x:v>
      </x:c>
      <x:c r="T7" s="32" t="n">
        <x:f>IF(O7="","",(1/'Metadata'!$B$5)^(O7-1))</x:f>
        <x:v>138.03842646028852</x:v>
      </x:c>
      <x:c r="U7" s="31" t="n">
        <x:f>IF(T7="","",I7*T7)</x:f>
        <x:v>1061120.1134049126</x:v>
      </x:c>
    </x:row>
    <x:row r="8" ht="18" customHeight="1">
      <x:c r="A8" s="24" t="str">
        <x:v>EEZ_974</x:v>
      </x:c>
      <x:c r="B8" s="24" t="str">
        <x:v>Korea (North, Sea of Japan)</x:v>
      </x:c>
      <x:c r="C8" s="24" t="str">
        <x:v>EEZ</x:v>
      </x:c>
      <x:c r="D8" s="30" t="n">
        <x:v>2019</x:v>
      </x:c>
      <x:c r="E8" s="24" t="str">
        <x:v>Teuthida</x:v>
      </x:c>
      <x:c r="F8" s="24" t="str">
        <x:v>Squids</x:v>
      </x:c>
      <x:c r="G8" s="24" t="str">
        <x:v>Cephalopods</x:v>
      </x:c>
      <x:c r="H8" s="24" t="str">
        <x:v>Other fishes &amp; inverts</x:v>
      </x:c>
      <x:c r="I8" s="31" t="n">
        <x:v>6495.8210490102</x:v>
      </x:c>
      <x:c r="J8" s="31" t="n">
        <x:v>6495.8210490102</x:v>
      </x:c>
      <x:c r="K8" s="31" t="n">
        <x:v>0</x:v>
      </x:c>
      <x:c r="L8" s="31" t="n">
        <x:v>6495.8210490102</x:v>
      </x:c>
      <x:c r="M8" s="31" t="n">
        <x:v>0</x:v>
      </x:c>
      <x:c r="N8" s="24" t="str">
        <x:v>teuthida</x:v>
      </x:c>
      <x:c r="O8" s="32" t="n">
        <x:v>4.13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Teuthida</x:v>
      </x:c>
      <x:c r="T8" s="32" t="n">
        <x:f>IF(O8="","",(1/'Metadata'!$B$5)^(O8-1))</x:f>
        <x:v>1348.9628825916532</x:v>
      </x:c>
      <x:c r="U8" s="31" t="n">
        <x:f>IF(T8="","",I8*T8)</x:f>
        <x:v>8762621.487072336</x:v>
      </x:c>
    </x:row>
    <x:row r="9" ht="18" customHeight="1">
      <x:c r="A9" s="24" t="str">
        <x:v>EEZ_974</x:v>
      </x:c>
      <x:c r="B9" s="24" t="str">
        <x:v>Korea (North, Sea of Japan)</x:v>
      </x:c>
      <x:c r="C9" s="24" t="str">
        <x:v>EEZ</x:v>
      </x:c>
      <x:c r="D9" s="30" t="n">
        <x:v>2019</x:v>
      </x:c>
      <x:c r="E9" s="24" t="str">
        <x:v>Clupea pallasii</x:v>
      </x:c>
      <x:c r="F9" s="24" t="str">
        <x:v>Pacific herring</x:v>
      </x:c>
      <x:c r="G9" s="24" t="str">
        <x:v>Medium pelagics (30 - 89 cm)</x:v>
      </x:c>
      <x:c r="H9" s="24" t="str">
        <x:v>Herring-likes</x:v>
      </x:c>
      <x:c r="I9" s="31" t="n">
        <x:v>5234.702240485601</x:v>
      </x:c>
      <x:c r="J9" s="31" t="n">
        <x:v>5234.702240485601</x:v>
      </x:c>
      <x:c r="K9" s="31" t="n">
        <x:v>0</x:v>
      </x:c>
      <x:c r="L9" s="31" t="n">
        <x:v>5234.702240485601</x:v>
      </x:c>
      <x:c r="M9" s="31" t="n">
        <x:v>0</x:v>
      </x:c>
      <x:c r="N9" s="24" t="str">
        <x:v>clupea pallasii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Clupea pallasii</x:v>
      </x:c>
      <x:c r="T9" s="32" t="n">
        <x:f>IF(O9="","",(1/'Metadata'!$B$5)^(O9-1))</x:f>
        <x:v>144.5439770745928</x:v>
      </x:c>
      <x:c r="U9" s="31" t="n">
        <x:f>IF(T9="","",I9*T9)</x:f>
        <x:v>756644.6806410701</x:v>
      </x:c>
    </x:row>
    <x:row r="10" ht="18" customHeight="1">
      <x:c r="A10" s="24" t="str">
        <x:v>EEZ_974</x:v>
      </x:c>
      <x:c r="B10" s="24" t="str">
        <x:v>Korea (North, Sea of Japan)</x:v>
      </x:c>
      <x:c r="C10" s="24" t="str">
        <x:v>EEZ</x:v>
      </x:c>
      <x:c r="D10" s="30" t="n">
        <x:v>2019</x:v>
      </x:c>
      <x:c r="E10" s="24" t="str">
        <x:v>Ammodytes personatus</x:v>
      </x:c>
      <x:c r="F10" s="24" t="str">
        <x:v>Pacific sandlance</x:v>
      </x:c>
      <x:c r="G10" s="24" t="str">
        <x:v>Small demersals (&lt;30 cm)</x:v>
      </x:c>
      <x:c r="H10" s="24" t="str">
        <x:v>Perch-likes</x:v>
      </x:c>
      <x:c r="I10" s="31" t="n">
        <x:v>3013.9445329497</x:v>
      </x:c>
      <x:c r="J10" s="31" t="n">
        <x:v>3013.9445329497</x:v>
      </x:c>
      <x:c r="K10" s="31" t="n">
        <x:v>0</x:v>
      </x:c>
      <x:c r="L10" s="31" t="n">
        <x:v>3013.9445329497</x:v>
      </x:c>
      <x:c r="M10" s="31" t="n">
        <x:v>0</x:v>
      </x:c>
      <x:c r="N10" s="24" t="str">
        <x:v>ammodytes personatus</x:v>
      </x:c>
      <x:c r="O10" s="32" t="n">
        <x:v>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Ammodytes personatus</x:v>
      </x:c>
      <x:c r="T10" s="32" t="n">
        <x:f>IF(O10="","",(1/'Metadata'!$B$5)^(O10-1))</x:f>
        <x:v>100</x:v>
      </x:c>
      <x:c r="U10" s="31" t="n">
        <x:f>IF(T10="","",I10*T10)</x:f>
        <x:v>301394.45329497</x:v>
      </x:c>
    </x:row>
    <x:row r="11" ht="18" customHeight="1">
      <x:c r="A11" s="24" t="str">
        <x:v>EEZ_974</x:v>
      </x:c>
      <x:c r="B11" s="24" t="str">
        <x:v>Korea (North, Sea of Japan)</x:v>
      </x:c>
      <x:c r="C11" s="24" t="str">
        <x:v>EEZ</x:v>
      </x:c>
      <x:c r="D11" s="30" t="n">
        <x:v>2019</x:v>
      </x:c>
      <x:c r="E11" s="24" t="str">
        <x:v>Cololabis saira</x:v>
      </x:c>
      <x:c r="F11" s="24" t="str">
        <x:v>Pacific saury</x:v>
      </x:c>
      <x:c r="G11" s="24" t="str">
        <x:v>Medium pelagics (30 - 89 cm)</x:v>
      </x:c>
      <x:c r="H11" s="24" t="str">
        <x:v>Other fishes &amp; inverts</x:v>
      </x:c>
      <x:c r="I11" s="31" t="n">
        <x:v>2542.8179079003003</x:v>
      </x:c>
      <x:c r="J11" s="31" t="n">
        <x:v>2542.8179079003003</x:v>
      </x:c>
      <x:c r="K11" s="31" t="n">
        <x:v>0</x:v>
      </x:c>
      <x:c r="L11" s="31" t="n">
        <x:v>2542.8179079003003</x:v>
      </x:c>
      <x:c r="M11" s="31" t="n">
        <x:v>0</x:v>
      </x:c>
      <x:c r="N11" s="24" t="str">
        <x:v>cololabis saira</x:v>
      </x:c>
      <x:c r="O11" s="32" t="n">
        <x:v>3.71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Cololabis saira</x:v>
      </x:c>
      <x:c r="T11" s="32" t="n">
        <x:f>IF(O11="","",(1/'Metadata'!$B$5)^(O11-1))</x:f>
        <x:v>512.8613839913648</x:v>
      </x:c>
      <x:c r="U11" s="31" t="n">
        <x:f>IF(T11="","",I11*T11)</x:f>
        <x:v>1304113.1114837748</x:v>
      </x:c>
    </x:row>
    <x:row r="12" ht="18" customHeight="1">
      <x:c r="A12" s="24" t="str">
        <x:v>EEZ_974</x:v>
      </x:c>
      <x:c r="B12" s="24" t="str">
        <x:v>Korea (North, Sea of Japan)</x:v>
      </x:c>
      <x:c r="C12" s="24" t="str">
        <x:v>EEZ</x:v>
      </x:c>
      <x:c r="D12" s="30" t="n">
        <x:v>2019</x:v>
      </x:c>
      <x:c r="E12" s="24" t="str">
        <x:v>Pleurogrammus azonus</x:v>
      </x:c>
      <x:c r="F12" s="24" t="str">
        <x:v>Okhotsk atka mackerel</x:v>
      </x:c>
      <x:c r="G12" s="24" t="str">
        <x:v>Medium demersals (30 - 89 cm)</x:v>
      </x:c>
      <x:c r="H12" s="24" t="str">
        <x:v>Scorpionfishes</x:v>
      </x:c>
      <x:c r="I12" s="31" t="n">
        <x:v>2457.3865664631003</x:v>
      </x:c>
      <x:c r="J12" s="31" t="n">
        <x:v>2457.3865664631003</x:v>
      </x:c>
      <x:c r="K12" s="31" t="n">
        <x:v>0</x:v>
      </x:c>
      <x:c r="L12" s="31" t="n">
        <x:v>2457.3865664631003</x:v>
      </x:c>
      <x:c r="M12" s="31" t="n">
        <x:v>0</x:v>
      </x:c>
      <x:c r="N12" s="24" t="str">
        <x:v>pleurogrammus azonus</x:v>
      </x:c>
      <x:c r="O12" s="32" t="n">
        <x:v>3.6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Pleurogrammus azonus</x:v>
      </x:c>
      <x:c r="T12" s="32" t="n">
        <x:f>IF(O12="","",(1/'Metadata'!$B$5)^(O12-1))</x:f>
        <x:v>398.1071705534973</x:v>
      </x:c>
      <x:c r="U12" s="31" t="n">
        <x:f>IF(T12="","",I12*T12)</x:f>
        <x:v>978303.2129307986</x:v>
      </x:c>
    </x:row>
    <x:row r="13" ht="18" customHeight="1">
      <x:c r="A13" s="24" t="str">
        <x:v>EEZ_974</x:v>
      </x:c>
      <x:c r="B13" s="24" t="str">
        <x:v>Korea (North, Sea of Japan)</x:v>
      </x:c>
      <x:c r="C13" s="24" t="str">
        <x:v>EEZ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2008.5824330670998</x:v>
      </x:c>
      <x:c r="J13" s="31" t="n">
        <x:v>2008.5824330670998</x:v>
      </x:c>
      <x:c r="K13" s="31" t="n">
        <x:v>0</x:v>
      </x:c>
      <x:c r="L13" s="31" t="n">
        <x:v>2008.5824330670998</x:v>
      </x:c>
      <x:c r="M13" s="31" t="n">
        <x:v>0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746259.134430141</x:v>
      </x:c>
    </x:row>
    <x:row r="14" ht="18" customHeight="1">
      <x:c r="A14" s="24" t="str">
        <x:v>EEZ_974</x:v>
      </x:c>
      <x:c r="B14" s="24" t="str">
        <x:v>Korea (North, Sea of Japan)</x:v>
      </x:c>
      <x:c r="C14" s="24" t="str">
        <x:v>EEZ</x:v>
      </x:c>
      <x:c r="D14" s="30" t="n">
        <x:v>2019</x:v>
      </x:c>
      <x:c r="E14" s="24" t="str">
        <x:v>Trachurus japonicus</x:v>
      </x:c>
      <x:c r="F14" s="24" t="str">
        <x:v>Japanese jack mackerel</x:v>
      </x:c>
      <x:c r="G14" s="24" t="str">
        <x:v>Medium demersals (30 - 89 cm)</x:v>
      </x:c>
      <x:c r="H14" s="24" t="str">
        <x:v>Perch-likes</x:v>
      </x:c>
      <x:c r="I14" s="31" t="n">
        <x:v>1819.4378883666002</x:v>
      </x:c>
      <x:c r="J14" s="31" t="n">
        <x:v>1819.4378883666002</x:v>
      </x:c>
      <x:c r="K14" s="31" t="n">
        <x:v>0</x:v>
      </x:c>
      <x:c r="L14" s="31" t="n">
        <x:v>1819.4378883666002</x:v>
      </x:c>
      <x:c r="M14" s="31" t="n">
        <x:v>0</x:v>
      </x:c>
      <x:c r="N14" s="24" t="str">
        <x:v>trachurus japonicus</x:v>
      </x:c>
      <x:c r="O14" s="32" t="n">
        <x:v>3.4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japonicus</x:v>
      </x:c>
      <x:c r="T14" s="32" t="n">
        <x:f>IF(O14="","",(1/'Metadata'!$B$5)^(O14-1))</x:f>
        <x:v>251.18864315095797</x:v>
      </x:c>
      <x:c r="U14" s="31" t="n">
        <x:f>IF(T14="","",I14*T14)</x:f>
        <x:v>457022.13447625045</x:v>
      </x:c>
    </x:row>
    <x:row r="15" ht="18" customHeight="1">
      <x:c r="A15" s="24" t="str">
        <x:v>EEZ_974</x:v>
      </x:c>
      <x:c r="B15" s="24" t="str">
        <x:v>Korea (North, Sea of Japan)</x:v>
      </x:c>
      <x:c r="C15" s="24" t="str">
        <x:v>EEZ</x:v>
      </x:c>
      <x:c r="D15" s="30" t="n">
        <x:v>2019</x:v>
      </x:c>
      <x:c r="E15" s="24" t="str">
        <x:v>Brachyura</x:v>
      </x:c>
      <x:c r="F15" s="24" t="str">
        <x:v>Marine crabs</x:v>
      </x:c>
      <x:c r="G15" s="24" t="str">
        <x:v>Lobsters, crabs</x:v>
      </x:c>
      <x:c r="H15" s="24" t="str">
        <x:v>Crustaceans</x:v>
      </x:c>
      <x:c r="I15" s="31" t="n">
        <x:v>1390.8496717106</x:v>
      </x:c>
      <x:c r="J15" s="31" t="n">
        <x:v>1390.8496717106</x:v>
      </x:c>
      <x:c r="K15" s="31" t="n">
        <x:v>0</x:v>
      </x:c>
      <x:c r="L15" s="31" t="n">
        <x:v>1390.8496717106</x:v>
      </x:c>
      <x:c r="M15" s="31" t="n">
        <x:v>0</x:v>
      </x:c>
      <x:c r="N15" s="24" t="str">
        <x:v>brachyura</x:v>
      </x:c>
      <x:c r="O15" s="32" t="n">
        <x:v>2.6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Brachyura</x:v>
      </x:c>
      <x:c r="T15" s="32" t="n">
        <x:f>IF(O15="","",(1/'Metadata'!$B$5)^(O15-1))</x:f>
        <x:v>39.810717055349734</x:v>
      </x:c>
      <x:c r="U15" s="31" t="n">
        <x:f>IF(T15="","",I15*T15)</x:f>
        <x:v>55370.72274699676</x:v>
      </x:c>
    </x:row>
    <x:row r="16" ht="18" customHeight="1">
      <x:c r="A16" s="24" t="str">
        <x:v>EEZ_974</x:v>
      </x:c>
      <x:c r="B16" s="24" t="str">
        <x:v>Korea (North, Sea of Japan)</x:v>
      </x:c>
      <x:c r="C16" s="24" t="str">
        <x:v>EEZ</x:v>
      </x:c>
      <x:c r="D16" s="30" t="n">
        <x:v>2019</x:v>
      </x:c>
      <x:c r="E16" s="24" t="str">
        <x:v>Octopoda</x:v>
      </x:c>
      <x:c r="F16" s="24" t="str">
        <x:v>Octopuses, argonauts</x:v>
      </x:c>
      <x:c r="G16" s="24" t="str">
        <x:v>Cephalopods</x:v>
      </x:c>
      <x:c r="H16" s="24" t="str">
        <x:v>Other fishes &amp; inverts</x:v>
      </x:c>
      <x:c r="I16" s="31" t="n">
        <x:v>1101.7548848225</x:v>
      </x:c>
      <x:c r="J16" s="31" t="n">
        <x:v>1101.7548848225</x:v>
      </x:c>
      <x:c r="K16" s="31" t="n">
        <x:v>0</x:v>
      </x:c>
      <x:c r="L16" s="31" t="n">
        <x:v>1101.7548848225</x:v>
      </x:c>
      <x:c r="M16" s="31" t="n">
        <x:v>0</x:v>
      </x:c>
      <x:c r="N16" s="24" t="str">
        <x:v>octopoda</x:v>
      </x:c>
      <x:c r="O16" s="32" t="n">
        <x:v>3.58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Octopoda</x:v>
      </x:c>
      <x:c r="T16" s="32" t="n">
        <x:f>IF(O16="","",(1/'Metadata'!$B$5)^(O16-1))</x:f>
        <x:v>380.1893963205613</x:v>
      </x:c>
      <x:c r="U16" s="31" t="n">
        <x:f>IF(T16="","",I16*T16)</x:f>
        <x:v>418875.52455389575</x:v>
      </x:c>
    </x:row>
    <x:row r="17" ht="18" customHeight="1">
      <x:c r="A17" s="24" t="str">
        <x:v>EEZ_974</x:v>
      </x:c>
      <x:c r="B17" s="24" t="str">
        <x:v>Korea (North, Sea of Japan)</x:v>
      </x:c>
      <x:c r="C17" s="24" t="str">
        <x:v>EEZ</x:v>
      </x:c>
      <x:c r="D17" s="30" t="n">
        <x:v>2019</x:v>
      </x:c>
      <x:c r="E17" s="24" t="str">
        <x:v>Scomber japonicus</x:v>
      </x:c>
      <x:c r="F17" s="24" t="str">
        <x:v>Pacific chub mackerel</x:v>
      </x:c>
      <x:c r="G17" s="24" t="str">
        <x:v>Medium pelagics (30 - 89 cm)</x:v>
      </x:c>
      <x:c r="H17" s="24" t="str">
        <x:v>Perch-likes</x:v>
      </x:c>
      <x:c r="I17" s="31" t="n">
        <x:v>1027.6954197831</x:v>
      </x:c>
      <x:c r="J17" s="31" t="n">
        <x:v>1027.6954197831</x:v>
      </x:c>
      <x:c r="K17" s="31" t="n">
        <x:v>0</x:v>
      </x:c>
      <x:c r="L17" s="31" t="n">
        <x:v>1027.6954197831</x:v>
      </x:c>
      <x:c r="M17" s="31" t="n">
        <x:v>0</x:v>
      </x:c>
      <x:c r="N17" s="24" t="str">
        <x:v>scomber japonicus</x:v>
      </x:c>
      <x:c r="O17" s="32" t="n">
        <x:v>3.38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 japonicus</x:v>
      </x:c>
      <x:c r="T17" s="32" t="n">
        <x:f>IF(O17="","",(1/'Metadata'!$B$5)^(O17-1))</x:f>
        <x:v>239.88329190194898</x:v>
      </x:c>
      <x:c r="U17" s="31" t="n">
        <x:f>IF(T17="","",I17*T17)</x:f>
        <x:v>246526.9603701254</x:v>
      </x:c>
    </x:row>
    <x:row r="18" ht="18" customHeight="1">
      <x:c r="A18" s="24" t="str">
        <x:v>EEZ_974</x:v>
      </x:c>
      <x:c r="B18" s="24" t="str">
        <x:v>Korea (North, Sea of Japan)</x:v>
      </x:c>
      <x:c r="C18" s="24" t="str">
        <x:v>EEZ</x:v>
      </x:c>
      <x:c r="D18" s="30" t="n">
        <x:v>2019</x:v>
      </x:c>
      <x:c r="E18" s="24" t="str">
        <x:v>Trichiurus lepturus</x:v>
      </x:c>
      <x:c r="F18" s="24" t="str">
        <x:v>Largehead hairtail</x:v>
      </x:c>
      <x:c r="G18" s="24" t="str">
        <x:v>Large benthopelagics (&gt;=90 cm)</x:v>
      </x:c>
      <x:c r="H18" s="24" t="str">
        <x:v>Perch-likes</x:v>
      </x:c>
      <x:c r="I18" s="31" t="n">
        <x:v>946.0665355906001</x:v>
      </x:c>
      <x:c r="J18" s="31" t="n">
        <x:v>946.0665355906001</x:v>
      </x:c>
      <x:c r="K18" s="31" t="n">
        <x:v>0</x:v>
      </x:c>
      <x:c r="L18" s="31" t="n">
        <x:v>946.0665355906001</x:v>
      </x:c>
      <x:c r="M18" s="31" t="n">
        <x:v>0</x:v>
      </x:c>
      <x:c r="N18" s="24" t="str">
        <x:v>trichiurus lepturus</x:v>
      </x:c>
      <x:c r="O18" s="32" t="n">
        <x:v>4.42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Trichiurus lepturus</x:v>
      </x:c>
      <x:c r="T18" s="32" t="n">
        <x:f>IF(O18="","",(1/'Metadata'!$B$5)^(O18-1))</x:f>
        <x:v>2630.2679918953813</x:v>
      </x:c>
      <x:c r="U18" s="31" t="n">
        <x:f>IF(T18="","",I18*T18)</x:f>
        <x:v>2488408.526767308</x:v>
      </x:c>
    </x:row>
    <x:row r="19" ht="18" customHeight="1">
      <x:c r="A19" s="24" t="str">
        <x:v>EEZ_974</x:v>
      </x:c>
      <x:c r="B19" s="24" t="str">
        <x:v>Korea (North, Sea of Japan)</x:v>
      </x:c>
      <x:c r="C19" s="24" t="str">
        <x:v>EEZ</x:v>
      </x:c>
      <x:c r="D19" s="30" t="n">
        <x:v>2019</x:v>
      </x:c>
      <x:c r="E19" s="24" t="str">
        <x:v>Decapoda</x:v>
      </x:c>
      <x:c r="F19" s="24" t="str">
        <x:v>Crabs, lobsters, shrimps</x:v>
      </x:c>
      <x:c r="G19" s="24" t="str">
        <x:v>Lobsters, crabs</x:v>
      </x:c>
      <x:c r="H19" s="24" t="str">
        <x:v>Crustaceans</x:v>
      </x:c>
      <x:c r="I19" s="31" t="n">
        <x:v>849.7677780737</x:v>
      </x:c>
      <x:c r="J19" s="31" t="n">
        <x:v>849.7677780737</x:v>
      </x:c>
      <x:c r="K19" s="31" t="n">
        <x:v>0</x:v>
      </x:c>
      <x:c r="L19" s="31" t="n">
        <x:v>849.7677780737</x:v>
      </x:c>
      <x:c r="M19" s="31" t="n">
        <x:v>0</x:v>
      </x:c>
      <x:c r="N19" s="24" t="str">
        <x:v>decapoda</x:v>
      </x:c>
      <x:c r="O19" s="32" t="n">
        <x:v>3.43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Decapoda</x:v>
      </x:c>
      <x:c r="T19" s="32" t="n">
        <x:f>IF(O19="","",(1/'Metadata'!$B$5)^(O19-1))</x:f>
        <x:v>269.1534803926917</x:v>
      </x:c>
      <x:c r="U19" s="31" t="n">
        <x:f>IF(T19="","",I19*T19)</x:f>
        <x:v>228717.9549941008</x:v>
      </x:c>
    </x:row>
    <x:row r="20" ht="18" customHeight="1">
      <x:c r="A20" s="24" t="str">
        <x:v>EEZ_974</x:v>
      </x:c>
      <x:c r="B20" s="24" t="str">
        <x:v>Korea (North, Sea of Japan)</x:v>
      </x:c>
      <x:c r="C20" s="24" t="str">
        <x:v>EEZ</x:v>
      </x:c>
      <x:c r="D20" s="30" t="n">
        <x:v>2019</x:v>
      </x:c>
      <x:c r="E20" s="24" t="str">
        <x:v>Echinoidea</x:v>
      </x:c>
      <x:c r="F20" s="24" t="str">
        <x:v>Sea urchins, sea hedgehogs</x:v>
      </x:c>
      <x:c r="G20" s="24" t="str">
        <x:v>Other demersal invertebrates</x:v>
      </x:c>
      <x:c r="H20" s="24" t="str">
        <x:v>Other fishes &amp; inverts</x:v>
      </x:c>
      <x:c r="I20" s="31" t="n">
        <x:v>668.0657310818</x:v>
      </x:c>
      <x:c r="J20" s="31" t="n">
        <x:v>668.0657310818</x:v>
      </x:c>
      <x:c r="K20" s="31" t="n">
        <x:v>0</x:v>
      </x:c>
      <x:c r="L20" s="31" t="n">
        <x:v>668.0657310818</x:v>
      </x:c>
      <x:c r="M20" s="31" t="n">
        <x:v>0</x:v>
      </x:c>
      <x:c r="N20" s="24" t="str">
        <x:v>echinoidea</x:v>
      </x:c>
      <x:c r="O20" s="32" t="n">
        <x:v>2.51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Echinoidea</x:v>
      </x:c>
      <x:c r="T20" s="32" t="n">
        <x:f>IF(O20="","",(1/'Metadata'!$B$5)^(O20-1))</x:f>
        <x:v>32.35936569296281</x:v>
      </x:c>
      <x:c r="U20" s="31" t="n">
        <x:f>IF(T20="","",I20*T20)</x:f>
        <x:v>21618.18329901252</x:v>
      </x:c>
    </x:row>
    <x:row r="21" ht="18" customHeight="1">
      <x:c r="A21" s="24" t="str">
        <x:v>EEZ_974</x:v>
      </x:c>
      <x:c r="B21" s="24" t="str">
        <x:v>Korea (North, Sea of Japan)</x:v>
      </x:c>
      <x:c r="C21" s="24" t="str">
        <x:v>EEZ</x:v>
      </x:c>
      <x:c r="D21" s="30" t="n">
        <x:v>2019</x:v>
      </x:c>
      <x:c r="E21" s="24" t="str">
        <x:v>Arctoscopus japonicus</x:v>
      </x:c>
      <x:c r="F21" s="24" t="str">
        <x:v>Japanese sandfish</x:v>
      </x:c>
      <x:c r="G21" s="24" t="str">
        <x:v>Small bathydemersals (&lt;30 cm)</x:v>
      </x:c>
      <x:c r="H21" s="24" t="str">
        <x:v>Perch-likes</x:v>
      </x:c>
      <x:c r="I21" s="31" t="n">
        <x:v>667.2636264531</x:v>
      </x:c>
      <x:c r="J21" s="31" t="n">
        <x:v>667.2636264531</x:v>
      </x:c>
      <x:c r="K21" s="31" t="n">
        <x:v>0</x:v>
      </x:c>
      <x:c r="L21" s="31" t="n">
        <x:v>667.2636264531</x:v>
      </x:c>
      <x:c r="M21" s="31" t="n">
        <x:v>0</x:v>
      </x:c>
      <x:c r="N21" s="24" t="str">
        <x:v>arctoscopus japonicus</x:v>
      </x:c>
      <x:c r="O21" s="32" t="n">
        <x:v>3.51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Arctoscopus japonicus</x:v>
      </x:c>
      <x:c r="T21" s="32" t="n">
        <x:f>IF(O21="","",(1/'Metadata'!$B$5)^(O21-1))</x:f>
        <x:v>323.5936569296281</x:v>
      </x:c>
      <x:c r="U21" s="31" t="n">
        <x:f>IF(T21="","",I21*T21)</x:f>
        <x:v>215922.27702008394</x:v>
      </x:c>
    </x:row>
    <x:row r="22" ht="18" customHeight="1">
      <x:c r="A22" s="24" t="str">
        <x:v>EEZ_974</x:v>
      </x:c>
      <x:c r="B22" s="24" t="str">
        <x:v>Korea (North, Sea of Japan)</x:v>
      </x:c>
      <x:c r="C22" s="24" t="str">
        <x:v>EEZ</x:v>
      </x:c>
      <x:c r="D22" s="30" t="n">
        <x:v>2019</x:v>
      </x:c>
      <x:c r="E22" s="24" t="str">
        <x:v>Chionoecetes opilio</x:v>
      </x:c>
      <x:c r="F22" s="24" t="str">
        <x:v>Snow crab</x:v>
      </x:c>
      <x:c r="G22" s="24" t="str">
        <x:v>Lobsters, crabs</x:v>
      </x:c>
      <x:c r="H22" s="24" t="str">
        <x:v>Crustaceans</x:v>
      </x:c>
      <x:c r="I22" s="31" t="n">
        <x:v>513.2797131654</x:v>
      </x:c>
      <x:c r="J22" s="31" t="n">
        <x:v>513.2797131654</x:v>
      </x:c>
      <x:c r="K22" s="31" t="n">
        <x:v>0</x:v>
      </x:c>
      <x:c r="L22" s="31" t="n">
        <x:v>513.2797131654</x:v>
      </x:c>
      <x:c r="M22" s="31" t="n">
        <x:v>0</x:v>
      </x:c>
      <x:c r="N22" s="24" t="str">
        <x:v>chionoecetes opilio</x:v>
      </x:c>
      <x:c r="O22" s="32" t="n">
        <x:v>3.54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Chionoecetes opilio</x:v>
      </x:c>
      <x:c r="T22" s="32" t="n">
        <x:f>IF(O22="","",(1/'Metadata'!$B$5)^(O22-1))</x:f>
        <x:v>346.73685045253166</x:v>
      </x:c>
      <x:c r="U22" s="31" t="n">
        <x:f>IF(T22="","",I22*T22)</x:f>
        <x:v>177972.99114414965</x:v>
      </x:c>
    </x:row>
    <x:row r="23" ht="18" customHeight="1">
      <x:c r="A23" s="24" t="str">
        <x:v>EEZ_974</x:v>
      </x:c>
      <x:c r="B23" s="24" t="str">
        <x:v>Korea (North, Sea of Japan)</x:v>
      </x:c>
      <x:c r="C23" s="24" t="str">
        <x:v>EEZ</x:v>
      </x:c>
      <x:c r="D23" s="30" t="n">
        <x:v>2019</x:v>
      </x:c>
      <x:c r="E23" s="24" t="str">
        <x:v>Penaeus chinensis</x:v>
      </x:c>
      <x:c r="F23" s="24" t="str">
        <x:v>Fleshy prawn</x:v>
      </x:c>
      <x:c r="G23" s="24" t="str">
        <x:v>Shrimps</x:v>
      </x:c>
      <x:c r="H23" s="24" t="str">
        <x:v>Crustaceans</x:v>
      </x:c>
      <x:c r="I23" s="31" t="n">
        <x:v>458.6538653289</x:v>
      </x:c>
      <x:c r="J23" s="31" t="n">
        <x:v>458.6538653289</x:v>
      </x:c>
      <x:c r="K23" s="31" t="n">
        <x:v>0</x:v>
      </x:c>
      <x:c r="L23" s="31" t="n">
        <x:v>458.6538653289</x:v>
      </x:c>
      <x:c r="M23" s="31" t="n">
        <x:v>0</x:v>
      </x:c>
      <x:c r="N23" s="24" t="str">
        <x:v>penaeus chinensis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chinensis</x:v>
      </x:c>
      <x:c r="T23" s="32" t="n">
        <x:f>IF(O23="","",(1/'Metadata'!$B$5)^(O23-1))</x:f>
        <x:v>10</x:v>
      </x:c>
      <x:c r="U23" s="31" t="n">
        <x:f>IF(T23="","",I23*T23)</x:f>
        <x:v>4586.538653289</x:v>
      </x:c>
    </x:row>
    <x:row r="24" ht="18" customHeight="1">
      <x:c r="A24" s="24" t="str">
        <x:v>EEZ_974</x:v>
      </x:c>
      <x:c r="B24" s="24" t="str">
        <x:v>Korea (North, Sea of Japan)</x:v>
      </x:c>
      <x:c r="C24" s="24" t="str">
        <x:v>EEZ</x:v>
      </x:c>
      <x:c r="D24" s="30" t="n">
        <x:v>2019</x:v>
      </x:c>
      <x:c r="E24" s="24" t="str">
        <x:v>Sparidae</x:v>
      </x:c>
      <x:c r="F24" s="24" t="str">
        <x:v>Porgies, seabreams</x:v>
      </x:c>
      <x:c r="G24" s="24" t="str">
        <x:v>Medium benthopelagics (30 - 89 cm)</x:v>
      </x:c>
      <x:c r="H24" s="24" t="str">
        <x:v>Perch-likes</x:v>
      </x:c>
      <x:c r="I24" s="31" t="n">
        <x:v>445.5614186991</x:v>
      </x:c>
      <x:c r="J24" s="31" t="n">
        <x:v>445.5614186991</x:v>
      </x:c>
      <x:c r="K24" s="31" t="n">
        <x:v>0</x:v>
      </x:c>
      <x:c r="L24" s="31" t="n">
        <x:v>445.5614186991</x:v>
      </x:c>
      <x:c r="M24" s="31" t="n">
        <x:v>0</x:v>
      </x:c>
      <x:c r="N24" s="24" t="str">
        <x:v>sparidae</x:v>
      </x:c>
      <x:c r="O24" s="32" t="n">
        <x:v>3.31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Sparidae</x:v>
      </x:c>
      <x:c r="T24" s="32" t="n">
        <x:f>IF(O24="","",(1/'Metadata'!$B$5)^(O24-1))</x:f>
        <x:v>204.17379446695296</x:v>
      </x:c>
      <x:c r="U24" s="31" t="n">
        <x:f>IF(T24="","",I24*T24)</x:f>
        <x:v>90971.96552387401</x:v>
      </x:c>
    </x:row>
    <x:row r="25" ht="18" customHeight="1">
      <x:c r="A25" s="24" t="str">
        <x:v>EEZ_974</x:v>
      </x:c>
      <x:c r="B25" s="24" t="str">
        <x:v>Korea (North, Sea of Japan)</x:v>
      </x:c>
      <x:c r="C25" s="24" t="str">
        <x:v>EEZ</x:v>
      </x:c>
      <x:c r="D25" s="30" t="n">
        <x:v>2019</x:v>
      </x:c>
      <x:c r="E25" s="24" t="str">
        <x:v>Gadus macrocephalus</x:v>
      </x:c>
      <x:c r="F25" s="24" t="str">
        <x:v>Pacific cod</x:v>
      </x:c>
      <x:c r="G25" s="24" t="str">
        <x:v>Large demersals (&gt;=90 cm)</x:v>
      </x:c>
      <x:c r="H25" s="24" t="str">
        <x:v>Cod-likes</x:v>
      </x:c>
      <x:c r="I25" s="31" t="n">
        <x:v>417.039766285</x:v>
      </x:c>
      <x:c r="J25" s="31" t="n">
        <x:v>417.039766285</x:v>
      </x:c>
      <x:c r="K25" s="31" t="n">
        <x:v>0</x:v>
      </x:c>
      <x:c r="L25" s="31" t="n">
        <x:v>417.039766285</x:v>
      </x:c>
      <x:c r="M25" s="31" t="n">
        <x:v>0</x:v>
      </x:c>
      <x:c r="N25" s="24" t="str">
        <x:v>gadus macrocephalus</x:v>
      </x:c>
      <x:c r="O25" s="32" t="n">
        <x:v>4.16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Gadus macrocephalus</x:v>
      </x:c>
      <x:c r="T25" s="32" t="n">
        <x:f>IF(O25="","",(1/'Metadata'!$B$5)^(O25-1))</x:f>
        <x:v>1445.439770745928</x:v>
      </x:c>
      <x:c r="U25" s="31" t="n">
        <x:f>IF(T25="","",I25*T25)</x:f>
        <x:v>602805.8641709257</x:v>
      </x:c>
    </x:row>
    <x:row r="26" ht="18" customHeight="1">
      <x:c r="A26" s="24" t="str">
        <x:v>EEZ_974</x:v>
      </x:c>
      <x:c r="B26" s="24" t="str">
        <x:v>Korea (North, Sea of Japan)</x:v>
      </x:c>
      <x:c r="C26" s="24" t="str">
        <x:v>EEZ</x:v>
      </x:c>
      <x:c r="D26" s="30" t="n">
        <x:v>2019</x:v>
      </x:c>
      <x:c r="E26" s="24" t="str">
        <x:v>Squillidae</x:v>
      </x:c>
      <x:c r="F26" s="24" t="str">
        <x:v>Squilla mantis shrimps</x:v>
      </x:c>
      <x:c r="G26" s="24" t="str">
        <x:v>Shrimps</x:v>
      </x:c>
      <x:c r="H26" s="24" t="str">
        <x:v>Crustaceans</x:v>
      </x:c>
      <x:c r="I26" s="31" t="n">
        <x:v>408.6062271614</x:v>
      </x:c>
      <x:c r="J26" s="31" t="n">
        <x:v>408.6062271614</x:v>
      </x:c>
      <x:c r="K26" s="31" t="n">
        <x:v>0</x:v>
      </x:c>
      <x:c r="L26" s="31" t="n">
        <x:v>408.6062271614</x:v>
      </x:c>
      <x:c r="M26" s="31" t="n">
        <x:v>0</x:v>
      </x:c>
      <x:c r="N26" s="24" t="str">
        <x:v>squillidae</x:v>
      </x:c>
      <x:c r="O26" s="32" t="n">
        <x:v>3.5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Squillidae</x:v>
      </x:c>
      <x:c r="T26" s="32" t="n">
        <x:f>IF(O26="","",(1/'Metadata'!$B$5)^(O26-1))</x:f>
        <x:v>316.22776601683796</x:v>
      </x:c>
      <x:c r="U26" s="31" t="n">
        <x:f>IF(T26="","",I26*T26)</x:f>
        <x:v>129212.63439581814</x:v>
      </x:c>
    </x:row>
    <x:row r="27" ht="18" customHeight="1">
      <x:c r="A27" s="24" t="str">
        <x:v>EEZ_974</x:v>
      </x:c>
      <x:c r="B27" s="24" t="str">
        <x:v>Korea (North, Sea of Japan)</x:v>
      </x:c>
      <x:c r="C27" s="24" t="str">
        <x:v>EEZ</x:v>
      </x:c>
      <x:c r="D27" s="30" t="n">
        <x:v>2019</x:v>
      </x:c>
      <x:c r="E27" s="24" t="str">
        <x:v>Mollusca</x:v>
      </x:c>
      <x:c r="F27" s="24" t="str">
        <x:v>Clams, seasnails, squids, octopuses</x:v>
      </x:c>
      <x:c r="G27" s="24" t="str">
        <x:v>Other demersal invertebrates</x:v>
      </x:c>
      <x:c r="H27" s="24" t="str">
        <x:v>Molluscs</x:v>
      </x:c>
      <x:c r="I27" s="31" t="n">
        <x:v>383.6765849292</x:v>
      </x:c>
      <x:c r="J27" s="31" t="n">
        <x:v>383.6765849292</x:v>
      </x:c>
      <x:c r="K27" s="31" t="n">
        <x:v>0</x:v>
      </x:c>
      <x:c r="L27" s="31" t="n">
        <x:v>383.6765849292</x:v>
      </x:c>
      <x:c r="M27" s="31" t="n">
        <x:v>0</x:v>
      </x:c>
      <x:c r="N27" s="24" t="str">
        <x:v>mollusca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Mollusca</x:v>
      </x:c>
      <x:c r="T27" s="32" t="n">
        <x:f>IF(O27="","",(1/'Metadata'!$B$5)^(O27-1))</x:f>
        <x:v>12.589254117941675</x:v>
      </x:c>
      <x:c r="U27" s="31" t="n">
        <x:f>IF(T27="","",I27*T27)</x:f>
        <x:v>4830.20202677773</x:v>
      </x:c>
    </x:row>
    <x:row r="28" ht="18" customHeight="1">
      <x:c r="A28" s="24" t="str">
        <x:v>EEZ_974</x:v>
      </x:c>
      <x:c r="B28" s="24" t="str">
        <x:v>Korea (North, Sea of Japan)</x:v>
      </x:c>
      <x:c r="C28" s="24" t="str">
        <x:v>EEZ</x:v>
      </x:c>
      <x:c r="D28" s="30" t="n">
        <x:v>2019</x:v>
      </x:c>
      <x:c r="E28" s="24" t="str">
        <x:v>Sciaenidae</x:v>
      </x:c>
      <x:c r="F28" s="24" t="str">
        <x:v>Drums, croakers</x:v>
      </x:c>
      <x:c r="G28" s="24" t="str">
        <x:v>Medium demersals (30 - 89 cm)</x:v>
      </x:c>
      <x:c r="H28" s="24" t="str">
        <x:v>Perch-likes</x:v>
      </x:c>
      <x:c r="I28" s="31" t="n">
        <x:v>382.3112893262</x:v>
      </x:c>
      <x:c r="J28" s="31" t="n">
        <x:v>382.3112893262</x:v>
      </x:c>
      <x:c r="K28" s="31" t="n">
        <x:v>0</x:v>
      </x:c>
      <x:c r="L28" s="31" t="n">
        <x:v>382.3112893262</x:v>
      </x:c>
      <x:c r="M28" s="31" t="n">
        <x:v>0</x:v>
      </x:c>
      <x:c r="N28" s="24" t="str">
        <x:v>sciaenidae</x:v>
      </x:c>
      <x:c r="O28" s="32" t="n">
        <x:v>3.76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Sciaenidae</x:v>
      </x:c>
      <x:c r="T28" s="32" t="n">
        <x:f>IF(O28="","",(1/'Metadata'!$B$5)^(O28-1))</x:f>
        <x:v>575.4399373371566</x:v>
      </x:c>
      <x:c r="U28" s="31" t="n">
        <x:f>IF(T28="","",I28*T28)</x:f>
        <x:v>219997.18437315608</x:v>
      </x:c>
    </x:row>
    <x:row r="29" ht="18" customHeight="1">
      <x:c r="A29" s="24" t="str">
        <x:v>EEZ_974</x:v>
      </x:c>
      <x:c r="B29" s="24" t="str">
        <x:v>Korea (North, Sea of Japan)</x:v>
      </x:c>
      <x:c r="C29" s="24" t="str">
        <x:v>EEZ</x:v>
      </x:c>
      <x:c r="D29" s="30" t="n">
        <x:v>2019</x:v>
      </x:c>
      <x:c r="E29" s="24" t="str">
        <x:v>Mugil cephalus</x:v>
      </x:c>
      <x:c r="F29" s="24" t="str">
        <x:v>Flathead grey mullet</x:v>
      </x:c>
      <x:c r="G29" s="24" t="str">
        <x:v>Large benthopelagics (&gt;=90 cm)</x:v>
      </x:c>
      <x:c r="H29" s="24" t="str">
        <x:v>Perch-likes</x:v>
      </x:c>
      <x:c r="I29" s="31" t="n">
        <x:v>368.4481034157</x:v>
      </x:c>
      <x:c r="J29" s="31" t="n">
        <x:v>368.4481034157</x:v>
      </x:c>
      <x:c r="K29" s="31" t="n">
        <x:v>0</x:v>
      </x:c>
      <x:c r="L29" s="31" t="n">
        <x:v>368.4481034157</x:v>
      </x:c>
      <x:c r="M29" s="31" t="n">
        <x:v>0</x:v>
      </x:c>
      <x:c r="N29" s="24" t="str">
        <x:v>mugil cephalus</x:v>
      </x:c>
      <x:c r="O29" s="32" t="n">
        <x:v>2.14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Mugil cephalus</x:v>
      </x:c>
      <x:c r="T29" s="32" t="n">
        <x:f>IF(O29="","",(1/'Metadata'!$B$5)^(O29-1))</x:f>
        <x:v>13.803842646028853</x:v>
      </x:c>
      <x:c r="U29" s="31" t="n">
        <x:f>IF(T29="","",I29*T29)</x:f>
        <x:v>5085.999642778089</x:v>
      </x:c>
    </x:row>
    <x:row r="30" ht="18" customHeight="1">
      <x:c r="A30" s="24" t="str">
        <x:v>EEZ_974</x:v>
      </x:c>
      <x:c r="B30" s="24" t="str">
        <x:v>Korea (North, Sea of Japan)</x:v>
      </x:c>
      <x:c r="C30" s="24" t="str">
        <x:v>EEZ</x:v>
      </x:c>
      <x:c r="D30" s="30" t="n">
        <x:v>2019</x:v>
      </x:c>
      <x:c r="E30" s="24" t="str">
        <x:v>Malacostraca</x:v>
      </x:c>
      <x:c r="F30" s="24" t="str">
        <x:v>Lobsters, crabs, shrimps, krill</x:v>
      </x:c>
      <x:c r="G30" s="24" t="str">
        <x:v>Shrimps</x:v>
      </x:c>
      <x:c r="H30" s="24" t="str">
        <x:v>Crustaceans</x:v>
      </x:c>
      <x:c r="I30" s="31" t="n">
        <x:v>333.63181289550005</x:v>
      </x:c>
      <x:c r="J30" s="31" t="n">
        <x:v>333.63181289550005</x:v>
      </x:c>
      <x:c r="K30" s="31" t="n">
        <x:v>0</x:v>
      </x:c>
      <x:c r="L30" s="31" t="n">
        <x:v>333.63181289550005</x:v>
      </x:c>
      <x:c r="M30" s="31" t="n">
        <x:v>0</x:v>
      </x:c>
      <x:c r="N30" s="24" t="str">
        <x:v>malacostraca</x:v>
      </x:c>
      <x:c r="O30" s="32" t="n">
        <x:v>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Malacostraca</x:v>
      </x:c>
      <x:c r="T30" s="32" t="n">
        <x:f>IF(O30="","",(1/'Metadata'!$B$5)^(O30-1))</x:f>
        <x:v>100</x:v>
      </x:c>
      <x:c r="U30" s="31" t="n">
        <x:f>IF(T30="","",I30*T30)</x:f>
        <x:v>33363.181289550004</x:v>
      </x:c>
    </x:row>
    <x:row r="31" ht="18" customHeight="1">
      <x:c r="A31" s="24" t="str">
        <x:v>EEZ_974</x:v>
      </x:c>
      <x:c r="B31" s="24" t="str">
        <x:v>Korea (North, Sea of Japan)</x:v>
      </x:c>
      <x:c r="C31" s="24" t="str">
        <x:v>EEZ</x:v>
      </x:c>
      <x:c r="D31" s="30" t="n">
        <x:v>2019</x:v>
      </x:c>
      <x:c r="E31" s="24" t="str">
        <x:v>Muraenesox cinereus</x:v>
      </x:c>
      <x:c r="F31" s="24" t="str">
        <x:v>Daggertooth pike conger</x:v>
      </x:c>
      <x:c r="G31" s="24" t="str">
        <x:v>Large demersals (&gt;=90 cm)</x:v>
      </x:c>
      <x:c r="H31" s="24" t="str">
        <x:v>Other fishes &amp; inverts</x:v>
      </x:c>
      <x:c r="I31" s="31" t="n">
        <x:v>308.41752940009997</x:v>
      </x:c>
      <x:c r="J31" s="31" t="n">
        <x:v>308.41752940009997</x:v>
      </x:c>
      <x:c r="K31" s="31" t="n">
        <x:v>0</x:v>
      </x:c>
      <x:c r="L31" s="31" t="n">
        <x:v>308.41752940009997</x:v>
      </x:c>
      <x:c r="M31" s="31" t="n">
        <x:v>0</x:v>
      </x:c>
      <x:c r="N31" s="24" t="str">
        <x:v>muraenesox cinereus</x:v>
      </x:c>
      <x:c r="O31" s="32" t="n">
        <x:v>4.38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Muraenesox cinereus</x:v>
      </x:c>
      <x:c r="T31" s="32" t="n">
        <x:f>IF(O31="","",(1/'Metadata'!$B$5)^(O31-1))</x:f>
        <x:v>2398.83291901949</x:v>
      </x:c>
      <x:c r="U31" s="31" t="n">
        <x:f>IF(T31="","",I31*T31)</x:f>
        <x:v>739842.1223276212</x:v>
      </x:c>
    </x:row>
    <x:row r="32" ht="18" customHeight="1">
      <x:c r="A32" s="24" t="str">
        <x:v>EEZ_974</x:v>
      </x:c>
      <x:c r="B32" s="24" t="str">
        <x:v>Korea (North, Sea of Japan)</x:v>
      </x:c>
      <x:c r="C32" s="24" t="str">
        <x:v>EEZ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200.0136278778</x:v>
      </x:c>
      <x:c r="J32" s="31" t="n">
        <x:v>200.0136278778</x:v>
      </x:c>
      <x:c r="K32" s="31" t="n">
        <x:v>0</x:v>
      </x:c>
      <x:c r="L32" s="31" t="n">
        <x:v>16.681590677800003</x:v>
      </x:c>
      <x:c r="M32" s="31" t="n">
        <x:v>183.3320372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126200.06750562618</x:v>
      </x:c>
    </x:row>
    <x:row r="33" ht="18" customHeight="1">
      <x:c r="A33" s="24" t="str">
        <x:v>EEZ_974</x:v>
      </x:c>
      <x:c r="B33" s="24" t="str">
        <x:v>Korea (North, Sea of Japan)</x:v>
      </x:c>
      <x:c r="C33" s="24" t="str">
        <x:v>EEZ</x:v>
      </x:c>
      <x:c r="D33" s="30" t="n">
        <x:v>2019</x:v>
      </x:c>
      <x:c r="E33" s="24" t="str">
        <x:v>Ostreidae</x:v>
      </x:c>
      <x:c r="F33" s="24" t="str">
        <x:v>True oysters</x:v>
      </x:c>
      <x:c r="G33" s="24" t="str">
        <x:v>Other demersal invertebrates</x:v>
      </x:c>
      <x:c r="H33" s="24" t="str">
        <x:v>Molluscs</x:v>
      </x:c>
      <x:c r="I33" s="31" t="n">
        <x:v>183.3320372</x:v>
      </x:c>
      <x:c r="J33" s="31" t="n">
        <x:v>183.3320372</x:v>
      </x:c>
      <x:c r="K33" s="31" t="n">
        <x:v>0</x:v>
      </x:c>
      <x:c r="L33" s="31" t="n">
        <x:v>0</x:v>
      </x:c>
      <x:c r="M33" s="31" t="n">
        <x:v>183.3320372</x:v>
      </x:c>
      <x:c r="N33" s="24" t="str">
        <x:v>ostreidae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Ostreidae</x:v>
      </x:c>
      <x:c r="T33" s="32" t="n">
        <x:f>IF(O33="","",(1/'Metadata'!$B$5)^(O33-1))</x:f>
        <x:v>10</x:v>
      </x:c>
      <x:c r="U33" s="31" t="n">
        <x:f>IF(T33="","",I33*T33)</x:f>
        <x:v>1833.3203720000001</x:v>
      </x:c>
    </x:row>
    <x:row r="34" ht="18" customHeight="1">
      <x:c r="A34" s="24" t="str">
        <x:v>EEZ_974</x:v>
      </x:c>
      <x:c r="B34" s="24" t="str">
        <x:v>Korea (North, Sea of Japan)</x:v>
      </x:c>
      <x:c r="C34" s="24" t="str">
        <x:v>EEZ</x:v>
      </x:c>
      <x:c r="D34" s="30" t="n">
        <x:v>2019</x:v>
      </x:c>
      <x:c r="E34" s="24" t="str">
        <x:v>Portunidae</x:v>
      </x:c>
      <x:c r="F34" s="24" t="str">
        <x:v>Swimming crabs</x:v>
      </x:c>
      <x:c r="G34" s="24" t="str">
        <x:v>Lobsters, crabs</x:v>
      </x:c>
      <x:c r="H34" s="24" t="str">
        <x:v>Crustaceans</x:v>
      </x:c>
      <x:c r="I34" s="31" t="n">
        <x:v>183.3320372</x:v>
      </x:c>
      <x:c r="J34" s="31" t="n">
        <x:v>183.3320372</x:v>
      </x:c>
      <x:c r="K34" s="31" t="n">
        <x:v>0</x:v>
      </x:c>
      <x:c r="L34" s="31" t="n">
        <x:v>0</x:v>
      </x:c>
      <x:c r="M34" s="31" t="n">
        <x:v>183.3320372</x:v>
      </x:c>
      <x:c r="N34" s="24" t="str">
        <x:v>portunidae</x:v>
      </x:c>
      <x:c r="O34" s="32" t="n">
        <x:v>3.56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Portunidae</x:v>
      </x:c>
      <x:c r="T34" s="32" t="n">
        <x:f>IF(O34="","",(1/'Metadata'!$B$5)^(O34-1))</x:f>
        <x:v>363.0780547701014</x:v>
      </x:c>
      <x:c r="U34" s="31" t="n">
        <x:f>IF(T34="","",I34*T34)</x:f>
        <x:v>66563.83944361587</x:v>
      </x:c>
    </x:row>
    <x:row r="35" ht="18" customHeight="1">
      <x:c r="A35" s="24" t="str">
        <x:v>EEZ_974</x:v>
      </x:c>
      <x:c r="B35" s="24" t="str">
        <x:v>Korea (North, Sea of Japan)</x:v>
      </x:c>
      <x:c r="C35" s="24" t="str">
        <x:v>EEZ</x:v>
      </x:c>
      <x:c r="D35" s="30" t="n">
        <x:v>2019</x:v>
      </x:c>
      <x:c r="E35" s="24" t="str">
        <x:v>Holothuroidea</x:v>
      </x:c>
      <x:c r="F35" s="24" t="str">
        <x:v>Sea cucumbers</x:v>
      </x:c>
      <x:c r="G35" s="24" t="str">
        <x:v>Other demersal invertebrates</x:v>
      </x:c>
      <x:c r="H35" s="24" t="str">
        <x:v>Other fishes &amp; inverts</x:v>
      </x:c>
      <x:c r="I35" s="31" t="n">
        <x:v>166.8159067787</x:v>
      </x:c>
      <x:c r="J35" s="31" t="n">
        <x:v>166.8159067787</x:v>
      </x:c>
      <x:c r="K35" s="31" t="n">
        <x:v>0</x:v>
      </x:c>
      <x:c r="L35" s="31" t="n">
        <x:v>166.8159067787</x:v>
      </x:c>
      <x:c r="M35" s="31" t="n">
        <x:v>0</x:v>
      </x:c>
      <x:c r="N35" s="24" t="str">
        <x:v>holothuroidea</x:v>
      </x:c>
      <x:c r="O35" s="32" t="n">
        <x:v>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Holothuroidea</x:v>
      </x:c>
      <x:c r="T35" s="32" t="n">
        <x:f>IF(O35="","",(1/'Metadata'!$B$5)^(O35-1))</x:f>
        <x:v>10</x:v>
      </x:c>
      <x:c r="U35" s="31" t="n">
        <x:f>IF(T35="","",I35*T35)</x:f>
        <x:v>1668.159067787</x:v>
      </x:c>
    </x:row>
    <x:row r="36" ht="18" customHeight="1">
      <x:c r="A36" s="24" t="str">
        <x:v>EEZ_974</x:v>
      </x:c>
      <x:c r="B36" s="24" t="str">
        <x:v>Korea (North, Sea of Japan)</x:v>
      </x:c>
      <x:c r="C36" s="24" t="str">
        <x:v>EEZ</x:v>
      </x:c>
      <x:c r="D36" s="30" t="n">
        <x:v>2019</x:v>
      </x:c>
      <x:c r="E36" s="24" t="str">
        <x:v>Oncorhynchus masou</x:v>
      </x:c>
      <x:c r="F36" s="24" t="str">
        <x:v>Masu salmon</x:v>
      </x:c>
      <x:c r="G36" s="24" t="str">
        <x:v>Medium benthopelagics (30 - 89 cm)</x:v>
      </x:c>
      <x:c r="H36" s="24" t="str">
        <x:v>Salmon, smelts, etc</x:v>
      </x:c>
      <x:c r="I36" s="31" t="n">
        <x:v>160.39991036409998</x:v>
      </x:c>
      <x:c r="J36" s="31" t="n">
        <x:v>160.39991036409998</x:v>
      </x:c>
      <x:c r="K36" s="31" t="n">
        <x:v>0</x:v>
      </x:c>
      <x:c r="L36" s="31" t="n">
        <x:v>160.39991036409998</x:v>
      </x:c>
      <x:c r="M36" s="31" t="n">
        <x:v>0</x:v>
      </x:c>
      <x:c r="N36" s="24" t="str">
        <x:v>oncorhynchus masou</x:v>
      </x:c>
      <x:c r="O36" s="32" t="n">
        <x:v>3.6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Oncorhynchus masou</x:v>
      </x:c>
      <x:c r="T36" s="32" t="n">
        <x:f>IF(O36="","",(1/'Metadata'!$B$5)^(O36-1))</x:f>
        <x:v>398.1071705534973</x:v>
      </x:c>
      <x:c r="U36" s="31" t="n">
        <x:f>IF(T36="","",I36*T36)</x:f>
        <x:v>63856.35447208644</x:v>
      </x:c>
    </x:row>
    <x:row r="37" ht="18" customHeight="1">
      <x:c r="A37" s="24" t="str">
        <x:v>EEZ_974</x:v>
      </x:c>
      <x:c r="B37" s="24" t="str">
        <x:v>Korea (North, Sea of Japan)</x:v>
      </x:c>
      <x:c r="C37" s="24" t="str">
        <x:v>EEZ</x:v>
      </x:c>
      <x:c r="D37" s="30" t="n">
        <x:v>2019</x:v>
      </x:c>
      <x:c r="E37" s="24" t="str">
        <x:v>Scomberomorus</x:v>
      </x:c>
      <x:c r="F37" s="24" t="str">
        <x:v>Spanish mackerels</x:v>
      </x:c>
      <x:c r="G37" s="24" t="str">
        <x:v>Large pelagics (&gt;=90 cm)</x:v>
      </x:c>
      <x:c r="H37" s="24" t="str">
        <x:v>Perch-likes</x:v>
      </x:c>
      <x:c r="I37" s="31" t="n">
        <x:v>157.46683416850001</x:v>
      </x:c>
      <x:c r="J37" s="31" t="n">
        <x:v>157.46683416850001</x:v>
      </x:c>
      <x:c r="K37" s="31" t="n">
        <x:v>0</x:v>
      </x:c>
      <x:c r="L37" s="31" t="n">
        <x:v>157.46683416850001</x:v>
      </x:c>
      <x:c r="M37" s="31" t="n">
        <x:v>0</x:v>
      </x:c>
      <x:c r="N37" s="24" t="str">
        <x:v>scomberomorus</x:v>
      </x:c>
      <x:c r="O37" s="32" t="n">
        <x:v>4.35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Scomberomorus</x:v>
      </x:c>
      <x:c r="T37" s="32" t="n">
        <x:f>IF(O37="","",(1/'Metadata'!$B$5)^(O37-1))</x:f>
        <x:v>2238.7211385683377</x:v>
      </x:c>
      <x:c r="U37" s="31" t="n">
        <x:f>IF(T37="","",I37*T37)</x:f>
        <x:v>352524.33027645596</x:v>
      </x:c>
    </x:row>
    <x:row r="38" ht="18" customHeight="1">
      <x:c r="A38" s="24" t="str">
        <x:v>EEZ_974</x:v>
      </x:c>
      <x:c r="B38" s="24" t="str">
        <x:v>Korea (North, Sea of Japan)</x:v>
      </x:c>
      <x:c r="C38" s="24" t="str">
        <x:v>EEZ</x:v>
      </x:c>
      <x:c r="D38" s="30" t="n">
        <x:v>2019</x:v>
      </x:c>
      <x:c r="E38" s="24" t="str">
        <x:v>Cephalopoda</x:v>
      </x:c>
      <x:c r="F38" s="24" t="str">
        <x:v>Squids, cuttlefishes, octopuses</x:v>
      </x:c>
      <x:c r="G38" s="24" t="str">
        <x:v>Cephalopods</x:v>
      </x:c>
      <x:c r="H38" s="24" t="str">
        <x:v>Other fishes &amp; inverts</x:v>
      </x:c>
      <x:c r="I38" s="31" t="n">
        <x:v>130.64837553939998</x:v>
      </x:c>
      <x:c r="J38" s="31" t="n">
        <x:v>130.64837553939998</x:v>
      </x:c>
      <x:c r="K38" s="31" t="n">
        <x:v>0</x:v>
      </x:c>
      <x:c r="L38" s="31" t="n">
        <x:v>130.64837553939998</x:v>
      </x:c>
      <x:c r="M38" s="31" t="n">
        <x:v>0</x:v>
      </x:c>
      <x:c r="N38" s="24" t="str">
        <x:v>cephalopoda</x:v>
      </x:c>
      <x:c r="O38" s="32" t="n">
        <x:v>3.81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Cephalopoda</x:v>
      </x:c>
      <x:c r="T38" s="32" t="n">
        <x:f>IF(O38="","",(1/'Metadata'!$B$5)^(O38-1))</x:f>
        <x:v>645.6542290346556</x:v>
      </x:c>
      <x:c r="U38" s="31" t="n">
        <x:f>IF(T38="","",I38*T38)</x:f>
        <x:v>84353.67618352146</x:v>
      </x:c>
    </x:row>
    <x:row r="39" ht="18" customHeight="1">
      <x:c r="A39" s="24" t="str">
        <x:v>EEZ_974</x:v>
      </x:c>
      <x:c r="B39" s="24" t="str">
        <x:v>Korea (North, Sea of Japan)</x:v>
      </x:c>
      <x:c r="C39" s="24" t="str">
        <x:v>EEZ</x:v>
      </x:c>
      <x:c r="D39" s="30" t="n">
        <x:v>2019</x:v>
      </x:c>
      <x:c r="E39" s="24" t="str">
        <x:v>Tetraodontidae</x:v>
      </x:c>
      <x:c r="F39" s="24" t="str">
        <x:v>Puffers, tobies</x:v>
      </x:c>
      <x:c r="G39" s="24" t="str">
        <x:v>Large reef assoc. fish (&gt;=90 cm)</x:v>
      </x:c>
      <x:c r="H39" s="24" t="str">
        <x:v>Other fishes &amp; inverts</x:v>
      </x:c>
      <x:c r="I39" s="31" t="n">
        <x:v>119.2178154354</x:v>
      </x:c>
      <x:c r="J39" s="31" t="n">
        <x:v>119.2178154354</x:v>
      </x:c>
      <x:c r="K39" s="31" t="n">
        <x:v>0</x:v>
      </x:c>
      <x:c r="L39" s="31" t="n">
        <x:v>119.2178154354</x:v>
      </x:c>
      <x:c r="M39" s="31" t="n">
        <x:v>0</x:v>
      </x:c>
      <x:c r="N39" s="24" t="str">
        <x:v>tetraodontidae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Tetraodontidae</x:v>
      </x:c>
      <x:c r="T39" s="32" t="n">
        <x:f>IF(O39="","",(1/'Metadata'!$B$5)^(O39-1))</x:f>
        <x:v>316.22776601683796</x:v>
      </x:c>
      <x:c r="U39" s="31" t="n">
        <x:f>IF(T39="","",I39*T39)</x:f>
        <x:v>37699.98344454425</x:v>
      </x:c>
    </x:row>
    <x:row r="40" ht="18" customHeight="1">
      <x:c r="A40" s="24" t="str">
        <x:v>EEZ_974</x:v>
      </x:c>
      <x:c r="B40" s="24" t="str">
        <x:v>Korea (North, Sea of Japan)</x:v>
      </x:c>
      <x:c r="C40" s="24" t="str">
        <x:v>EEZ</x:v>
      </x:c>
      <x:c r="D40" s="30" t="n">
        <x:v>2019</x:v>
      </x:c>
      <x:c r="E40" s="24" t="str">
        <x:v>Scombridae</x:v>
      </x:c>
      <x:c r="F40" s="24" t="str">
        <x:v>Mackerels, tunas, bonitos</x:v>
      </x:c>
      <x:c r="G40" s="24" t="str">
        <x:v>Medium pelagics (30 - 89 cm)</x:v>
      </x:c>
      <x:c r="H40" s="24" t="str">
        <x:v>Perch-likes</x:v>
      </x:c>
      <x:c r="I40" s="31" t="n">
        <x:v>118.46093256629999</x:v>
      </x:c>
      <x:c r="J40" s="31" t="n">
        <x:v>118.46093256629999</x:v>
      </x:c>
      <x:c r="K40" s="31" t="n">
        <x:v>0</x:v>
      </x:c>
      <x:c r="L40" s="31" t="n">
        <x:v>118.46093256629999</x:v>
      </x:c>
      <x:c r="M40" s="31" t="n">
        <x:v>0</x:v>
      </x:c>
      <x:c r="N40" s="24" t="str">
        <x:v>scombridae</x:v>
      </x:c>
      <x:c r="O40" s="32" t="n">
        <x:v>4.26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Scombridae</x:v>
      </x:c>
      <x:c r="T40" s="32" t="n">
        <x:f>IF(O40="","",(1/'Metadata'!$B$5)^(O40-1))</x:f>
        <x:v>1819.7008586099826</x:v>
      </x:c>
      <x:c r="U40" s="31" t="n">
        <x:f>IF(T40="","",I40*T40)</x:f>
        <x:v>215563.46070263532</x:v>
      </x:c>
    </x:row>
    <x:row r="41" ht="18" customHeight="1">
      <x:c r="A41" s="24" t="str">
        <x:v>EEZ_974</x:v>
      </x:c>
      <x:c r="B41" s="24" t="str">
        <x:v>Korea (North, Sea of Japan)</x:v>
      </x:c>
      <x:c r="C41" s="24" t="str">
        <x:v>EEZ</x:v>
      </x:c>
      <x:c r="D41" s="30" t="n">
        <x:v>2019</x:v>
      </x:c>
      <x:c r="E41" s="24" t="str">
        <x:v>Erimacrus isenbeckii</x:v>
      </x:c>
      <x:c r="F41" s="24" t="str">
        <x:v>Hair Crab</x:v>
      </x:c>
      <x:c r="G41" s="24" t="str">
        <x:v>Lobsters, crabs</x:v>
      </x:c>
      <x:c r="H41" s="24" t="str">
        <x:v>Crustaceans</x:v>
      </x:c>
      <x:c r="I41" s="31" t="n">
        <x:v>102.65594263310001</x:v>
      </x:c>
      <x:c r="J41" s="31" t="n">
        <x:v>102.65594263310001</x:v>
      </x:c>
      <x:c r="K41" s="31" t="n">
        <x:v>0</x:v>
      </x:c>
      <x:c r="L41" s="31" t="n">
        <x:v>102.65594263310001</x:v>
      </x:c>
      <x:c r="M41" s="31" t="n">
        <x:v>0</x:v>
      </x:c>
      <x:c r="N41" s="24" t="str">
        <x:v>erimacrus isenbeckii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Erimacrus isenbeckii</x:v>
      </x:c>
      <x:c r="T41" s="32" t="n">
        <x:f>IF(O41="","",(1/'Metadata'!$B$5)^(O41-1))</x:f>
        <x:v>39.810717055349734</x:v>
      </x:c>
      <x:c r="U41" s="31" t="n">
        <x:f>IF(T41="","",I41*T41)</x:f>
        <x:v>4086.8066862165583</x:v>
      </x:c>
    </x:row>
    <x:row r="42" ht="18" customHeight="1">
      <x:c r="A42" s="24" t="str">
        <x:v>EEZ_974</x:v>
      </x:c>
      <x:c r="B42" s="24" t="str">
        <x:v>Korea (North, Sea of Japan)</x:v>
      </x:c>
      <x:c r="C42" s="24" t="str">
        <x:v>EEZ</x:v>
      </x:c>
      <x:c r="D42" s="30" t="n">
        <x:v>2019</x:v>
      </x:c>
      <x:c r="E42" s="24" t="str">
        <x:v>Trachysalambria curvirostris</x:v>
      </x:c>
      <x:c r="F42" s="24" t="str">
        <x:v>Southern rough shrimp</x:v>
      </x:c>
      <x:c r="G42" s="24" t="str">
        <x:v>Shrimps</x:v>
      </x:c>
      <x:c r="H42" s="24" t="str">
        <x:v>Crustaceans</x:v>
      </x:c>
      <x:c r="I42" s="31" t="n">
        <x:v>100.1360632439</x:v>
      </x:c>
      <x:c r="J42" s="31" t="n">
        <x:v>100.1360632439</x:v>
      </x:c>
      <x:c r="K42" s="31" t="n">
        <x:v>0</x:v>
      </x:c>
      <x:c r="L42" s="31" t="n">
        <x:v>100.1360632439</x:v>
      </x:c>
      <x:c r="M42" s="31" t="n">
        <x:v>0</x:v>
      </x:c>
      <x:c r="N42" s="24" t="str">
        <x:v>trachysalambria curvirostris</x:v>
      </x:c>
      <x:c r="O42" s="32" t="n">
        <x:v>2.7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Trachysalambria curvirostris</x:v>
      </x:c>
      <x:c r="T42" s="32" t="n">
        <x:f>IF(O42="","",(1/'Metadata'!$B$5)^(O42-1))</x:f>
        <x:v>50.11872336272725</x:v>
      </x:c>
      <x:c r="U42" s="31" t="n">
        <x:f>IF(T42="","",I42*T42)</x:f>
        <x:v>5018.691652353585</x:v>
      </x:c>
    </x:row>
    <x:row r="43" ht="18" customHeight="1">
      <x:c r="A43" s="24" t="str">
        <x:v>EEZ_974</x:v>
      </x:c>
      <x:c r="B43" s="24" t="str">
        <x:v>Korea (North, Sea of Japan)</x:v>
      </x:c>
      <x:c r="C43" s="24" t="str">
        <x:v>EEZ</x:v>
      </x:c>
      <x:c r="D43" s="30" t="n">
        <x:v>2019</x:v>
      </x:c>
      <x:c r="E43" s="24" t="str">
        <x:v>Anadara</x:v>
      </x:c>
      <x:c r="F43" s="24" t="str">
        <x:v>Arks, blood cockles</x:v>
      </x:c>
      <x:c r="G43" s="24" t="str">
        <x:v>Other demersal invertebrates</x:v>
      </x:c>
      <x:c r="H43" s="24" t="str">
        <x:v>Molluscs</x:v>
      </x:c>
      <x:c r="I43" s="31" t="n">
        <x:v>94.9455150125</x:v>
      </x:c>
      <x:c r="J43" s="31" t="n">
        <x:v>94.9455150125</x:v>
      </x:c>
      <x:c r="K43" s="31" t="n">
        <x:v>0</x:v>
      </x:c>
      <x:c r="L43" s="31" t="n">
        <x:v>94.9455150125</x:v>
      </x:c>
      <x:c r="M43" s="31" t="n">
        <x:v>0</x:v>
      </x:c>
      <x:c r="N43" s="24" t="str">
        <x:v>anadara</x:v>
      </x:c>
      <x:c r="O43" s="32" t="n">
        <x:v>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Anadara</x:v>
      </x:c>
      <x:c r="T43" s="32" t="n">
        <x:f>IF(O43="","",(1/'Metadata'!$B$5)^(O43-1))</x:f>
        <x:v>10</x:v>
      </x:c>
      <x:c r="U43" s="31" t="n">
        <x:f>IF(T43="","",I43*T43)</x:f>
        <x:v>949.4551501249999</x:v>
      </x:c>
    </x:row>
    <x:row r="44" ht="18" customHeight="1">
      <x:c r="A44" s="24" t="str">
        <x:v>EEZ_974</x:v>
      </x:c>
      <x:c r="B44" s="24" t="str">
        <x:v>Korea (North, Sea of Japan)</x:v>
      </x:c>
      <x:c r="C44" s="24" t="str">
        <x:v>EEZ</x:v>
      </x:c>
      <x:c r="D44" s="30" t="n">
        <x:v>2019</x:v>
      </x:c>
      <x:c r="E44" s="24" t="str">
        <x:v>Konosirus punctatus</x:v>
      </x:c>
      <x:c r="F44" s="24" t="str">
        <x:v>Dotted gizzard shad</x:v>
      </x:c>
      <x:c r="G44" s="24" t="str">
        <x:v>Small pelagics (&lt;30 cm)</x:v>
      </x:c>
      <x:c r="H44" s="24" t="str">
        <x:v>Herring-likes</x:v>
      </x:c>
      <x:c r="I44" s="31" t="n">
        <x:v>83.4079533893</x:v>
      </x:c>
      <x:c r="J44" s="31" t="n">
        <x:v>83.4079533893</x:v>
      </x:c>
      <x:c r="K44" s="31" t="n">
        <x:v>0</x:v>
      </x:c>
      <x:c r="L44" s="31" t="n">
        <x:v>83.4079533893</x:v>
      </x:c>
      <x:c r="M44" s="31" t="n">
        <x:v>0</x:v>
      </x:c>
      <x:c r="N44" s="24" t="str">
        <x:v>konosirus punctatus</x:v>
      </x:c>
      <x:c r="O44" s="32" t="n">
        <x:v>2.87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Konosirus punctatus</x:v>
      </x:c>
      <x:c r="T44" s="32" t="n">
        <x:f>IF(O44="","",(1/'Metadata'!$B$5)^(O44-1))</x:f>
        <x:v>74.13102413009177</x:v>
      </x:c>
      <x:c r="U44" s="31" t="n">
        <x:f>IF(T44="","",I44*T44)</x:f>
        <x:v>6183.117005343769</x:v>
      </x:c>
    </x:row>
    <x:row r="45" ht="18" customHeight="1">
      <x:c r="A45" s="24" t="str">
        <x:v>EEZ_974</x:v>
      </x:c>
      <x:c r="B45" s="24" t="str">
        <x:v>Korea (North, Sea of Japan)</x:v>
      </x:c>
      <x:c r="C45" s="24" t="str">
        <x:v>EEZ</x:v>
      </x:c>
      <x:c r="D45" s="30" t="n">
        <x:v>2019</x:v>
      </x:c>
      <x:c r="E45" s="24" t="str">
        <x:v>Pectinidae</x:v>
      </x:c>
      <x:c r="F45" s="24" t="str">
        <x:v>Scallops</x:v>
      </x:c>
      <x:c r="G45" s="24" t="str">
        <x:v>Other demersal invertebrates</x:v>
      </x:c>
      <x:c r="H45" s="24" t="str">
        <x:v>Molluscs</x:v>
      </x:c>
      <x:c r="I45" s="31" t="n">
        <x:v>66.7263627114</x:v>
      </x:c>
      <x:c r="J45" s="31" t="n">
        <x:v>66.7263627114</x:v>
      </x:c>
      <x:c r="K45" s="31" t="n">
        <x:v>0</x:v>
      </x:c>
      <x:c r="L45" s="31" t="n">
        <x:v>66.7263627114</x:v>
      </x:c>
      <x:c r="M45" s="31" t="n">
        <x:v>0</x:v>
      </x:c>
      <x:c r="N45" s="24" t="str">
        <x:v>pectinidae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Pectinidae</x:v>
      </x:c>
      <x:c r="T45" s="32" t="n">
        <x:f>IF(O45="","",(1/'Metadata'!$B$5)^(O45-1))</x:f>
        <x:v>10</x:v>
      </x:c>
      <x:c r="U45" s="31" t="n">
        <x:f>IF(T45="","",I45*T45)</x:f>
        <x:v>667.263627114</x:v>
      </x:c>
    </x:row>
    <x:row r="46" ht="18" customHeight="1">
      <x:c r="A46" s="24" t="str">
        <x:v>EEZ_974</x:v>
      </x:c>
      <x:c r="B46" s="24" t="str">
        <x:v>Korea (North, Sea of Japan)</x:v>
      </x:c>
      <x:c r="C46" s="24" t="str">
        <x:v>EEZ</x:v>
      </x:c>
      <x:c r="D46" s="30" t="n">
        <x:v>2019</x:v>
      </x:c>
      <x:c r="E46" s="24" t="str">
        <x:v>Paralichthys olivaceus</x:v>
      </x:c>
      <x:c r="F46" s="24" t="str">
        <x:v>Bastard halibut</x:v>
      </x:c>
      <x:c r="G46" s="24" t="str">
        <x:v>Large flatfishes (&gt;=90 cm)</x:v>
      </x:c>
      <x:c r="H46" s="24" t="str">
        <x:v>Flatfishes</x:v>
      </x:c>
      <x:c r="I46" s="31" t="n">
        <x:v>41.7039766947</x:v>
      </x:c>
      <x:c r="J46" s="31" t="n">
        <x:v>41.7039766947</x:v>
      </x:c>
      <x:c r="K46" s="31" t="n">
        <x:v>0</x:v>
      </x:c>
      <x:c r="L46" s="31" t="n">
        <x:v>41.7039766947</x:v>
      </x:c>
      <x:c r="M46" s="31" t="n">
        <x:v>0</x:v>
      </x:c>
      <x:c r="N46" s="24" t="str">
        <x:v>paralichthys olivaceus</x:v>
      </x:c>
      <x:c r="O46" s="32" t="n">
        <x:v>4.25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Paralichthys olivaceus</x:v>
      </x:c>
      <x:c r="T46" s="32" t="n">
        <x:f>IF(O46="","",(1/'Metadata'!$B$5)^(O46-1))</x:f>
        <x:v>1778.2794100389228</x:v>
      </x:c>
      <x:c r="U46" s="31" t="n">
        <x:f>IF(T46="","",I46*T46)</x:f>
        <x:v>74161.3230729281</x:v>
      </x:c>
    </x:row>
    <x:row r="47" ht="18" customHeight="1">
      <x:c r="A47" s="24" t="str">
        <x:v>EEZ_974</x:v>
      </x:c>
      <x:c r="B47" s="24" t="str">
        <x:v>Korea (North, Sea of Japan)</x:v>
      </x:c>
      <x:c r="C47" s="24" t="str">
        <x:v>EEZ</x:v>
      </x:c>
      <x:c r="D47" s="30" t="n">
        <x:v>2019</x:v>
      </x:c>
      <x:c r="E47" s="24" t="str">
        <x:v>Sebastes</x:v>
      </x:c>
      <x:c r="F47" s="24" t="str">
        <x:v>Redfishes</x:v>
      </x:c>
      <x:c r="G47" s="24" t="str">
        <x:v>Large reef assoc. fish (&gt;=90 cm)</x:v>
      </x:c>
      <x:c r="H47" s="24" t="str">
        <x:v>Scorpionfishes</x:v>
      </x:c>
      <x:c r="I47" s="31" t="n">
        <x:v>41.7039766947</x:v>
      </x:c>
      <x:c r="J47" s="31" t="n">
        <x:v>41.7039766947</x:v>
      </x:c>
      <x:c r="K47" s="31" t="n">
        <x:v>0</x:v>
      </x:c>
      <x:c r="L47" s="31" t="n">
        <x:v>41.7039766947</x:v>
      </x:c>
      <x:c r="M47" s="31" t="n">
        <x:v>0</x:v>
      </x:c>
      <x:c r="N47" s="24" t="str">
        <x:v>sebastes</x:v>
      </x:c>
      <x:c r="O47" s="32" t="n">
        <x:v>3.79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Sebastes</x:v>
      </x:c>
      <x:c r="T47" s="32" t="n">
        <x:f>IF(O47="","",(1/'Metadata'!$B$5)^(O47-1))</x:f>
        <x:v>616.5950018614822</x:v>
      </x:c>
      <x:c r="U47" s="31" t="n">
        <x:f>IF(T47="","",I47*T47)</x:f>
        <x:v>25714.463587699756</x:v>
      </x:c>
    </x:row>
    <x:row r="48" ht="18" customHeight="1">
      <x:c r="A48" s="24" t="str">
        <x:v>EEZ_974</x:v>
      </x:c>
      <x:c r="B48" s="24" t="str">
        <x:v>Korea (North, Sea of Japan)</x:v>
      </x:c>
      <x:c r="C48" s="24" t="str">
        <x:v>EEZ</x:v>
      </x:c>
      <x:c r="D48" s="30" t="n">
        <x:v>2019</x:v>
      </x:c>
      <x:c r="E48" s="24" t="str">
        <x:v>Ilisha elongata</x:v>
      </x:c>
      <x:c r="F48" s="24" t="str">
        <x:v>Elongate ilisha</x:v>
      </x:c>
      <x:c r="G48" s="24" t="str">
        <x:v>Medium pelagics (30 - 89 cm)</x:v>
      </x:c>
      <x:c r="H48" s="24" t="str">
        <x:v>Herring-likes</x:v>
      </x:c>
      <x:c r="I48" s="31" t="n">
        <x:v>33.9134349626</x:v>
      </x:c>
      <x:c r="J48" s="31" t="n">
        <x:v>33.9134349626</x:v>
      </x:c>
      <x:c r="K48" s="31" t="n">
        <x:v>0</x:v>
      </x:c>
      <x:c r="L48" s="31" t="n">
        <x:v>33.9134349626</x:v>
      </x:c>
      <x:c r="M48" s="31" t="n">
        <x:v>0</x:v>
      </x:c>
      <x:c r="N48" s="24" t="str">
        <x:v>ilisha elongata</x:v>
      </x:c>
      <x:c r="O48" s="32" t="n">
        <x:v>3.79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Ilisha elongata</x:v>
      </x:c>
      <x:c r="T48" s="32" t="n">
        <x:f>IF(O48="","",(1/'Metadata'!$B$5)^(O48-1))</x:f>
        <x:v>616.5950018614822</x:v>
      </x:c>
      <x:c r="U48" s="31" t="n">
        <x:f>IF(T48="","",I48*T48)</x:f>
        <x:v>20910.854493893603</x:v>
      </x:c>
    </x:row>
    <x:row r="49" ht="18" customHeight="1">
      <x:c r="A49" s="24" t="str">
        <x:v>EEZ_974</x:v>
      </x:c>
      <x:c r="B49" s="24" t="str">
        <x:v>Korea (North, Sea of Japan)</x:v>
      </x:c>
      <x:c r="C49" s="24" t="str">
        <x:v>EEZ</x:v>
      </x:c>
      <x:c r="D49" s="30" t="n">
        <x:v>2019</x:v>
      </x:c>
      <x:c r="E49" s="24" t="str">
        <x:v>Haliotidae</x:v>
      </x:c>
      <x:c r="F49" s="24" t="str">
        <x:v>Abalones, ear shells</x:v>
      </x:c>
      <x:c r="G49" s="24" t="str">
        <x:v>Other demersal invertebrates</x:v>
      </x:c>
      <x:c r="H49" s="24" t="str">
        <x:v>Molluscs</x:v>
      </x:c>
      <x:c r="I49" s="31" t="n">
        <x:v>33.3631813558</x:v>
      </x:c>
      <x:c r="J49" s="31" t="n">
        <x:v>33.3631813558</x:v>
      </x:c>
      <x:c r="K49" s="31" t="n">
        <x:v>0</x:v>
      </x:c>
      <x:c r="L49" s="31" t="n">
        <x:v>33.3631813558</x:v>
      </x:c>
      <x:c r="M49" s="31" t="n">
        <x:v>0</x:v>
      </x:c>
      <x:c r="N49" s="24" t="str">
        <x:v>haliotidae</x:v>
      </x:c>
      <x:c r="O49" s="32" t="n">
        <x:v>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Haliotidae</x:v>
      </x:c>
      <x:c r="T49" s="32" t="n">
        <x:f>IF(O49="","",(1/'Metadata'!$B$5)^(O49-1))</x:f>
        <x:v>10</x:v>
      </x:c>
      <x:c r="U49" s="31" t="n">
        <x:f>IF(T49="","",I49*T49)</x:f>
        <x:v>333.63181355800003</x:v>
      </x:c>
    </x:row>
    <x:row r="50" ht="18" customHeight="1">
      <x:c r="A50" s="24" t="str">
        <x:v>EEZ_974</x:v>
      </x:c>
      <x:c r="B50" s="24" t="str">
        <x:v>Korea (North, Sea of Japan)</x:v>
      </x:c>
      <x:c r="C50" s="24" t="str">
        <x:v>EEZ</x:v>
      </x:c>
      <x:c r="D50" s="30" t="n">
        <x:v>2019</x:v>
      </x:c>
      <x:c r="E50" s="24" t="str">
        <x:v>Pleuronectidae</x:v>
      </x:c>
      <x:c r="F50" s="24" t="str">
        <x:v>Righteye flounders</x:v>
      </x:c>
      <x:c r="G50" s="24" t="str">
        <x:v>Small to medium flatfishes (&lt;90 cm)</x:v>
      </x:c>
      <x:c r="H50" s="24" t="str">
        <x:v>Flatfishes</x:v>
      </x:c>
      <x:c r="I50" s="31" t="n">
        <x:v>32.0799820729</x:v>
      </x:c>
      <x:c r="J50" s="31" t="n">
        <x:v>32.0799820729</x:v>
      </x:c>
      <x:c r="K50" s="31" t="n">
        <x:v>0</x:v>
      </x:c>
      <x:c r="L50" s="31" t="n">
        <x:v>32.0799820729</x:v>
      </x:c>
      <x:c r="M50" s="31" t="n">
        <x:v>0</x:v>
      </x:c>
      <x:c r="N50" s="24" t="str">
        <x:v>pleuronectidae</x:v>
      </x:c>
      <x:c r="O50" s="32" t="n">
        <x:v>3.49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Pleuronectidae</x:v>
      </x:c>
      <x:c r="T50" s="32" t="n">
        <x:f>IF(O50="","",(1/'Metadata'!$B$5)^(O50-1))</x:f>
        <x:v>309.0295432513592</x:v>
      </x:c>
      <x:c r="U50" s="31" t="n">
        <x:f>IF(T50="","",I50*T50)</x:f>
        <x:v>9913.66220750008</x:v>
      </x:c>
    </x:row>
    <x:row r="51" ht="18" customHeight="1">
      <x:c r="A51" s="24" t="str">
        <x:v>EEZ_974</x:v>
      </x:c>
      <x:c r="B51" s="24" t="str">
        <x:v>Korea (North, Sea of Japan)</x:v>
      </x:c>
      <x:c r="C51" s="24" t="str">
        <x:v>EEZ</x:v>
      </x:c>
      <x:c r="D51" s="30" t="n">
        <x:v>2019</x:v>
      </x:c>
      <x:c r="E51" s="24" t="str">
        <x:v>Miscellaneous aquatic invertebrates</x:v>
      </x:c>
      <x:c r="F51" s="24" t="str">
        <x:v>Aquatic invertebrates</x:v>
      </x:c>
      <x:c r="G51" s="24" t="str">
        <x:v>Other demersal invertebrates</x:v>
      </x:c>
      <x:c r="H51" s="24" t="str">
        <x:v>Other fishes &amp; inverts</x:v>
      </x:c>
      <x:c r="I51" s="31" t="n">
        <x:v>27.9108429329</x:v>
      </x:c>
      <x:c r="J51" s="31" t="n">
        <x:v>27.9108429329</x:v>
      </x:c>
      <x:c r="K51" s="31" t="n">
        <x:v>0</x:v>
      </x:c>
      <x:c r="L51" s="31" t="n">
        <x:v>27.9108429329</x:v>
      </x:c>
      <x:c r="M51" s="31" t="n">
        <x:v>0</x:v>
      </x:c>
      <x:c r="N51" s="24" t="str">
        <x:v>miscellaneous aquatic invertebrates</x:v>
      </x:c>
      <x:c r="O51" s="32" t="n">
        <x:v>2.43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aquatic invertebrates</x:v>
      </x:c>
      <x:c r="T51" s="32" t="n">
        <x:f>IF(O51="","",(1/'Metadata'!$B$5)^(O51-1))</x:f>
        <x:v>26.915348039269166</x:v>
      </x:c>
      <x:c r="U51" s="31" t="n">
        <x:f>IF(T51="","",I51*T51)</x:f>
        <x:v>751.2300516083797</x:v>
      </x:c>
    </x:row>
    <x:row r="52" ht="18" customHeight="1">
      <x:c r="A52" s="24" t="str">
        <x:v>EEZ_974</x:v>
      </x:c>
      <x:c r="B52" s="24" t="str">
        <x:v>Korea (North, Sea of Japan)</x:v>
      </x:c>
      <x:c r="C52" s="24" t="str">
        <x:v>EEZ</x:v>
      </x:c>
      <x:c r="D52" s="30" t="n">
        <x:v>2019</x:v>
      </x:c>
      <x:c r="E52" s="24" t="str">
        <x:v>Portunus pelagicus</x:v>
      </x:c>
      <x:c r="F52" s="24" t="str">
        <x:v>Blue swimming crab</x:v>
      </x:c>
      <x:c r="G52" s="24" t="str">
        <x:v>Lobsters, crabs</x:v>
      </x:c>
      <x:c r="H52" s="24" t="str">
        <x:v>Crustaceans</x:v>
      </x:c>
      <x:c r="I52" s="31" t="n">
        <x:v>10.8750991259</x:v>
      </x:c>
      <x:c r="J52" s="31" t="n">
        <x:v>10.8750991259</x:v>
      </x:c>
      <x:c r="K52" s="31" t="n">
        <x:v>0</x:v>
      </x:c>
      <x:c r="L52" s="31" t="n">
        <x:v>10.8750991259</x:v>
      </x:c>
      <x:c r="M52" s="31" t="n">
        <x:v>0</x:v>
      </x:c>
      <x:c r="N52" s="24" t="str">
        <x:v>portunus pelagicus</x:v>
      </x:c>
      <x:c r="O52" s="32" t="n">
        <x:v>2.48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Portunus pelagicus</x:v>
      </x:c>
      <x:c r="T52" s="32" t="n">
        <x:f>IF(O52="","",(1/'Metadata'!$B$5)^(O52-1))</x:f>
        <x:v>30.19951720402016</x:v>
      </x:c>
      <x:c r="U52" s="31" t="n">
        <x:f>IF(T52="","",I52*T52)</x:f>
        <x:v>328.42274314804166</x:v>
      </x:c>
    </x:row>
    <x:row r="53" ht="18" customHeight="1">
      <x:c r="A53" s="24" t="str">
        <x:v>EEZ_974</x:v>
      </x:c>
      <x:c r="B53" s="24" t="str">
        <x:v>Korea (North, Sea of Japan)</x:v>
      </x:c>
      <x:c r="C53" s="24" t="str">
        <x:v>EEZ</x:v>
      </x:c>
      <x:c r="D53" s="30" t="n">
        <x:v>2019</x:v>
      </x:c>
      <x:c r="E53" s="24" t="str">
        <x:v>Charybdis</x:v>
      </x:c>
      <x:c r="F53" s="24" t="str">
        <x:v>Whirlpool swimming crabs</x:v>
      </x:c>
      <x:c r="G53" s="24" t="str">
        <x:v>Lobsters, crabs</x:v>
      </x:c>
      <x:c r="H53" s="24" t="str">
        <x:v>Crustaceans</x:v>
      </x:c>
      <x:c r="I53" s="31" t="n">
        <x:v>0.1795928005</x:v>
      </x:c>
      <x:c r="J53" s="31" t="n">
        <x:v>0.1795928005</x:v>
      </x:c>
      <x:c r="K53" s="31" t="n">
        <x:v>0</x:v>
      </x:c>
      <x:c r="L53" s="31" t="n">
        <x:v>0.1795928005</x:v>
      </x:c>
      <x:c r="M53" s="31" t="n">
        <x:v>0</x:v>
      </x:c>
      <x:c r="N53" s="24" t="str">
        <x:v>charybdis</x:v>
      </x:c>
      <x:c r="O53" s="32" t="n">
        <x:v>2.7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Charybdis</x:v>
      </x:c>
      <x:c r="T53" s="32" t="n">
        <x:f>IF(O53="","",(1/'Metadata'!$B$5)^(O53-1))</x:f>
        <x:v>50.11872336272725</x:v>
      </x:c>
      <x:c r="U53" s="31" t="n">
        <x:f>IF(T53="","",I53*T53)</x:f>
        <x:v>9.000961886196965</x:v>
      </x:c>
    </x:row>
    <x:row r="54" ht="18" customHeight="1">
      <x:c r="A54" s="24" t="str">
        <x:v>EEZ_974</x:v>
      </x:c>
      <x:c r="B54" s="24" t="str">
        <x:v>Korea (North, Sea of Japan)</x:v>
      </x:c>
      <x:c r="C54" s="24" t="str">
        <x:v>EEZ</x:v>
      </x:c>
      <x:c r="D54" s="30" t="n">
        <x:v>2019</x:v>
      </x:c>
      <x:c r="E54" s="24" t="str">
        <x:v>Prionace glauca</x:v>
      </x:c>
      <x:c r="F54" s="24" t="str">
        <x:v>Blue shark</x:v>
      </x:c>
      <x:c r="G54" s="24" t="str">
        <x:v>Large sharks (&gt;=90 cm)</x:v>
      </x:c>
      <x:c r="H54" s="24" t="str">
        <x:v>Sharks &amp; rays</x:v>
      </x:c>
      <x:c r="I54" s="31" t="n">
        <x:v>0.0036988551</x:v>
      </x:c>
      <x:c r="J54" s="31" t="n">
        <x:v>0.0036988551</x:v>
      </x:c>
      <x:c r="K54" s="31" t="n">
        <x:v>0</x:v>
      </x:c>
      <x:c r="L54" s="31" t="n">
        <x:v>0.0036988551</x:v>
      </x:c>
      <x:c r="M54" s="31" t="n">
        <x:v>0</x:v>
      </x:c>
      <x:c r="N54" s="24" t="str">
        <x:v>prionace glauca</x:v>
      </x:c>
      <x:c r="O54" s="32" t="n">
        <x:v>4.35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Prionace glauca</x:v>
      </x:c>
      <x:c r="T54" s="32" t="n">
        <x:f>IF(O54="","",(1/'Metadata'!$B$5)^(O54-1))</x:f>
        <x:v>2238.7211385683377</x:v>
      </x:c>
      <x:c r="U54" s="31" t="n">
        <x:f>IF(T54="","",I54*T54)</x:f>
        <x:v>8.280705100871302</x:v>
      </x:c>
    </x:row>
  </x:sheetData>
  <x:conditionalFormatting sqref="R2:R5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f53aa4c7f834b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7687.1356810937</x:v>
      </x:c>
      <x:c r="E2" s="31" t="n">
        <x:v>7687.1356810937</x:v>
      </x:c>
      <x:c r="F2" s="32" t="n">
        <x:v>0</x:v>
      </x:c>
      <x:c r="G2" s="34" t="n">
        <x:v>1</x:v>
      </x:c>
      <x:c r="H2" s="32" t="n">
        <x:f>IF(E2=0,"",I2/E2)</x:f>
        <x:v>138.03842646028852</x:v>
      </x:c>
      <x:c r="I2" s="31" t="n">
        <x:f>IF(C2=0,"",SUMIF('Species'!$H$2:$H$54,A2,'Species'!$U$2:$U$54))</x:f>
        <x:v>1061120.1134049126</x:v>
      </x:c>
      <x:c r="J2" s="32" t="n">
        <x:v>3.14</x:v>
      </x:c>
      <x:c r="K2" s="32" t="n">
        <x:f>IF(J2="","",(1/'Metadata'!$B$5)^(J2-1))</x:f>
        <x:v>138.03842646028852</x:v>
      </x:c>
      <x:c r="L2" s="31" t="n">
        <x:f>IF(E2=0,"",E2*K2)</x:f>
        <x:v>1061120.1134049126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</x:v>
      </x:c>
      <x:c r="C3" s="33" t="n">
        <x:v>2</x:v>
      </x:c>
      <x:c r="D3" s="31" t="n">
        <x:v>66944.3556028422</x:v>
      </x:c>
      <x:c r="E3" s="31" t="n">
        <x:v>66944.3556028422</x:v>
      </x:c>
      <x:c r="F3" s="32" t="n">
        <x:v>0</x:v>
      </x:c>
      <x:c r="G3" s="34" t="n">
        <x:v>1</x:v>
      </x:c>
      <x:c r="H3" s="32" t="n">
        <x:f>IF(E3=0,"",I3/E3)</x:f>
        <x:v>378.22527630172834</x:v>
      </x:c>
      <x:c r="I3" s="31" t="n">
        <x:f>IF(C3=0,"",SUMIF('Species'!$H$2:$H$54,A3,'Species'!$U$2:$U$54))</x:f>
        <x:v>25320047.39472615</x:v>
      </x:c>
      <x:c r="J3" s="32" t="n">
        <x:v>3.573675492278511</x:v>
      </x:c>
      <x:c r="K3" s="32" t="n">
        <x:f>IF(J3="","",(1/'Metadata'!$B$5)^(J3-1))</x:f>
        <x:v>374.69292457858927</x:v>
      </x:c>
      <x:c r="L3" s="31" t="n">
        <x:f>IF(E3=0,"",E3*K3)</x:f>
        <x:v>25083576.384858012</x:v>
      </x:c>
      <x:c r="M3" s="31" t="n">
        <x:f>IF(E3=0,"",I3-L3)</x:f>
        <x:v>236471.00986813754</x:v>
      </x:c>
      <x:c r="N3" s="32" t="n">
        <x:f>IF(L3=0,"",I3/L3)</x:f>
        <x:v>1.009427324327279</x:v>
      </x:c>
      <x:c r="O3" s="34" t="n">
        <x:f>IF(L3=0,"",M3/L3)</x:f>
        <x:v>0.009427324327279182</x:v>
      </x:c>
    </x:row>
    <x:row r="4" ht="18" customHeight="1">
      <x:c r="A4" s="24" t="str">
        <x:v>Crustaceans</x:v>
      </x:c>
      <x:c r="B4" s="33" t="n">
        <x:v>12</x:v>
      </x:c>
      <x:c r="C4" s="33" t="n">
        <x:v>12</x:v>
      </x:c>
      <x:c r="D4" s="31" t="n">
        <x:v>15404.1233262686</x:v>
      </x:c>
      <x:c r="E4" s="31" t="n">
        <x:v>15404.1233262686</x:v>
      </x:c>
      <x:c r="F4" s="32" t="n">
        <x:v>0</x:v>
      </x:c>
      <x:c r="G4" s="34" t="n">
        <x:v>1</x:v>
      </x:c>
      <x:c r="H4" s="32" t="n">
        <x:f>IF(E4=0,"",I4/E4)</x:f>
        <x:v>81.74114704596339</x:v>
      </x:c>
      <x:c r="I4" s="31" t="n">
        <x:f>IF(C4=0,"",SUMIF('Species'!$H$2:$H$54,A4,'Species'!$U$2:$U$54))</x:f>
        <x:v>1259150.7099266762</x:v>
      </x:c>
      <x:c r="J4" s="32" t="n">
        <x:v>2.7755203461456595</x:v>
      </x:c>
      <x:c r="K4" s="32" t="n">
        <x:f>IF(J4="","",(1/'Metadata'!$B$5)^(J4-1))</x:f>
        <x:v>59.63762586510031</x:v>
      </x:c>
      <x:c r="L4" s="31" t="n">
        <x:f>IF(E4=0,"",E4*K4)</x:f>
        <x:v>918665.3437118713</x:v>
      </x:c>
      <x:c r="M4" s="31" t="n">
        <x:f>IF(E4=0,"",I4-L4)</x:f>
        <x:v>340485.36621480493</x:v>
      </x:c>
      <x:c r="N4" s="32" t="n">
        <x:f>IF(L4=0,"",I4/L4)</x:f>
        <x:v>1.3706304679341361</x:v>
      </x:c>
      <x:c r="O4" s="34" t="n">
        <x:f>IF(L4=0,"",M4/L4)</x:f>
        <x:v>0.37063046793413623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2082.3663918346997</x:v>
      </x:c>
      <x:c r="E5" s="31" t="n">
        <x:v>2082.3663918346997</x:v>
      </x:c>
      <x:c r="F5" s="32" t="n">
        <x:v>0</x:v>
      </x:c>
      <x:c r="G5" s="34" t="n">
        <x:v>1</x:v>
      </x:c>
      <x:c r="H5" s="32" t="n">
        <x:f>IF(E5=0,"",I5/E5)</x:f>
        <x:v>398.7454479511605</x:v>
      </x:c>
      <x:c r="I5" s="31" t="n">
        <x:f>IF(C5=0,"",SUMIF('Species'!$H$2:$H$54,A5,'Species'!$U$2:$U$54))</x:f>
        <x:v>830334.1197105692</x:v>
      </x:c>
      <x:c r="J5" s="32" t="n">
        <x:v>3.5823860554452374</x:v>
      </x:c>
      <x:c r="K5" s="32" t="n">
        <x:f>IF(J5="","",(1/'Metadata'!$B$5)^(J5-1))</x:f>
        <x:v>382.28394179576696</x:v>
      </x:c>
      <x:c r="L5" s="31" t="n">
        <x:f>IF(E5=0,"",E5*K5)</x:f>
        <x:v>796055.2325335976</x:v>
      </x:c>
      <x:c r="M5" s="31" t="n">
        <x:f>IF(E5=0,"",I5-L5)</x:f>
        <x:v>34278.88717697153</x:v>
      </x:c>
      <x:c r="N5" s="32" t="n">
        <x:f>IF(L5=0,"",I5/L5)</x:f>
        <x:v>1.0430609407187394</x:v>
      </x:c>
      <x:c r="O5" s="34" t="n">
        <x:f>IF(L5=0,"",M5/L5)</x:f>
        <x:v>0.04306094071873937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15840.1067242704</x:v>
      </x:c>
      <x:c r="E6" s="31" t="n">
        <x:v>15840.1067242704</x:v>
      </x:c>
      <x:c r="F6" s="32" t="n">
        <x:v>0</x:v>
      </x:c>
      <x:c r="G6" s="34" t="n">
        <x:v>1</x:v>
      </x:c>
      <x:c r="H6" s="32" t="n">
        <x:f>IF(E6=0,"",I6/E6)</x:f>
        <x:v>95.28576729390758</x:v>
      </x:c>
      <x:c r="I6" s="31" t="n">
        <x:f>IF(C6=0,"",SUMIF('Species'!$H$2:$H$54,A6,'Species'!$U$2:$U$54))</x:f>
        <x:v>1509336.72323949</x:v>
      </x:c>
      <x:c r="J6" s="32" t="n">
        <x:v>2.9479427524406594</x:v>
      </x:c>
      <x:c r="K6" s="32" t="n">
        <x:f>IF(J6="","",(1/'Metadata'!$B$5)^(J6-1))</x:f>
        <x:v>88.70390771668812</x:v>
      </x:c>
      <x:c r="L6" s="31" t="n">
        <x:f>IF(E6=0,"",E6*K6)</x:f>
        <x:v>1405079.3650921725</x:v>
      </x:c>
      <x:c r="M6" s="31" t="n">
        <x:f>IF(E6=0,"",I6-L6)</x:f>
        <x:v>104257.35814731754</x:v>
      </x:c>
      <x:c r="N6" s="32" t="n">
        <x:f>IF(L6=0,"",I6/L6)</x:f>
        <x:v>1.0742003339722226</x:v>
      </x:c>
      <x:c r="O6" s="34" t="n">
        <x:f>IF(L6=0,"",M6/L6)</x:f>
        <x:v>0.07420033397222249</x:v>
      </x:c>
    </x:row>
    <x:row r="7" ht="18" customHeight="1">
      <x:c r="A7" s="24" t="str">
        <x:v>Molluscs</x:v>
      </x:c>
      <x:c r="B7" s="33" t="n">
        <x:v>5</x:v>
      </x:c>
      <x:c r="C7" s="33" t="n">
        <x:v>5</x:v>
      </x:c>
      <x:c r="D7" s="31" t="n">
        <x:v>762.0436812088999</x:v>
      </x:c>
      <x:c r="E7" s="31" t="n">
        <x:v>762.0436812088999</x:v>
      </x:c>
      <x:c r="F7" s="32" t="n">
        <x:v>0</x:v>
      </x:c>
      <x:c r="G7" s="34" t="n">
        <x:v>1</x:v>
      </x:c>
      <x:c r="H7" s="32" t="n">
        <x:f>IF(E7=0,"",I7/E7)</x:f>
        <x:v>11.303647286871735</x:v>
      </x:c>
      <x:c r="I7" s="31" t="n">
        <x:f>IF(C7=0,"",SUMIF('Species'!$H$2:$H$54,A7,'Species'!$U$2:$U$54))</x:f>
        <x:v>8613.872989574731</x:v>
      </x:c>
      <x:c r="J7" s="32" t="n">
        <x:v>2.0503483716734636</x:v>
      </x:c>
      <x:c r="K7" s="32" t="n">
        <x:f>IF(J7="","",(1/'Metadata'!$B$5)^(J7-1))</x:f>
        <x:v>11.229188485686128</x:v>
      </x:c>
      <x:c r="L7" s="31" t="n">
        <x:f>IF(E7=0,"",E7*K7)</x:f>
        <x:v>8557.13213062085</x:v>
      </x:c>
      <x:c r="M7" s="31" t="n">
        <x:f>IF(E7=0,"",I7-L7)</x:f>
        <x:v>56.74085895388089</x:v>
      </x:c>
      <x:c r="N7" s="32" t="n">
        <x:f>IF(L7=0,"",I7/L7)</x:f>
        <x:v>1.006630826553541</x:v>
      </x:c>
      <x:c r="O7" s="34" t="n">
        <x:f>IF(L7=0,"",M7/L7)</x:f>
        <x:v>0.00663082655354115</x:v>
      </x:c>
    </x:row>
    <x:row r="8" ht="18" customHeight="1">
      <x:c r="A8" s="24" t="str">
        <x:v>Other fishes &amp; inverts</x:v>
      </x:c>
      <x:c r="B8" s="33" t="n">
        <x:v>12</x:v>
      </x:c>
      <x:c r="C8" s="33" t="n">
        <x:v>12</x:v>
      </x:c>
      <x:c r="D8" s="31" t="n">
        <x:v>56758.4051818914</x:v>
      </x:c>
      <x:c r="E8" s="31" t="n">
        <x:v>56758.4051818914</x:v>
      </x:c>
      <x:c r="F8" s="32" t="n">
        <x:v>0</x:v>
      </x:c>
      <x:c r="G8" s="34" t="n">
        <x:v>1</x:v>
      </x:c>
      <x:c r="H8" s="32" t="n">
        <x:f>IF(E8=0,"",I8/E8)</x:f>
        <x:v>935.1987364172506</x:v>
      </x:c>
      <x:c r="I8" s="31" t="n">
        <x:f>IF(C8=0,"",SUMIF('Species'!$H$2:$H$54,A8,'Species'!$U$2:$U$54))</x:f>
        <x:v>53080388.80716317</x:v>
      </x:c>
      <x:c r="J8" s="32" t="n">
        <x:v>3.7377375620925593</x:v>
      </x:c>
      <x:c r="K8" s="32" t="n">
        <x:f>IF(J8="","",(1/'Metadata'!$B$5)^(J8-1))</x:f>
        <x:v>546.6855088715962</x:v>
      </x:c>
      <x:c r="L8" s="31" t="n">
        <x:f>IF(E8=0,"",E8*K8)</x:f>
        <x:v>31028997.619602542</x:v>
      </x:c>
      <x:c r="M8" s="31" t="n">
        <x:f>IF(E8=0,"",I8-L8)</x:f>
        <x:v>22051391.18756063</x:v>
      </x:c>
      <x:c r="N8" s="32" t="n">
        <x:f>IF(L8=0,"",I8/L8)</x:f>
        <x:v>1.7106704334409333</x:v>
      </x:c>
      <x:c r="O8" s="34" t="n">
        <x:f>IF(L8=0,"",M8/L8)</x:f>
        <x:v>0.7106704334409334</x:v>
      </x:c>
    </x:row>
    <x:row r="9" ht="18" customHeight="1">
      <x:c r="A9" s="24" t="str">
        <x:v>Perch-likes</x:v>
      </x:c>
      <x:c r="B9" s="33" t="n">
        <x:v>10</x:v>
      </x:c>
      <x:c r="C9" s="33" t="n">
        <x:v>10</x:v>
      </x:c>
      <x:c r="D9" s="31" t="n">
        <x:v>8946.656581318899</x:v>
      </x:c>
      <x:c r="E9" s="31" t="n">
        <x:v>8946.656581318899</x:v>
      </x:c>
      <x:c r="F9" s="32" t="n">
        <x:v>0</x:v>
      </x:c>
      <x:c r="G9" s="34" t="n">
        <x:v>1</x:v>
      </x:c>
      <x:c r="H9" s="32" t="n">
        <x:f>IF(E9=0,"",I9/E9)</x:f>
        <x:v>513.4227798615786</x:v>
      </x:c>
      <x:c r="I9" s="31" t="n">
        <x:f>IF(C9=0,"",SUMIF('Species'!$H$2:$H$54,A9,'Species'!$U$2:$U$54))</x:f>
        <x:v>4593417.292447637</x:v>
      </x:c>
      <x:c r="J9" s="32" t="n">
        <x:v>3.3661339369661154</x:v>
      </x:c>
      <x:c r="K9" s="32" t="n">
        <x:f>IF(J9="","",(1/'Metadata'!$B$5)^(J9-1))</x:f>
        <x:v>232.3453241786076</x:v>
      </x:c>
      <x:c r="L9" s="31" t="n">
        <x:f>IF(E9=0,"",E9*K9)</x:f>
        <x:v>2078713.8237012129</x:v>
      </x:c>
      <x:c r="M9" s="31" t="n">
        <x:f>IF(E9=0,"",I9-L9)</x:f>
        <x:v>2514703.4687464237</x:v>
      </x:c>
      <x:c r="N9" s="32" t="n">
        <x:f>IF(L9=0,"",I9/L9)</x:f>
        <x:v>2.20974009989933</x:v>
      </x:c>
      <x:c r="O9" s="34" t="n">
        <x:f>IF(L9=0,"",M9/L9)</x:f>
        <x:v>1.2097400998993302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160.39991036409998</x:v>
      </x:c>
      <x:c r="E10" s="31" t="n">
        <x:v>160.39991036409998</x:v>
      </x:c>
      <x:c r="F10" s="32" t="n">
        <x:v>0</x:v>
      </x:c>
      <x:c r="G10" s="34" t="n">
        <x:v>1</x:v>
      </x:c>
      <x:c r="H10" s="32" t="n">
        <x:f>IF(E10=0,"",I10/E10)</x:f>
        <x:v>398.1071705534973</x:v>
      </x:c>
      <x:c r="I10" s="31" t="n">
        <x:f>IF(C10=0,"",SUMIF('Species'!$H$2:$H$54,A10,'Species'!$U$2:$U$54))</x:f>
        <x:v>63856.35447208644</x:v>
      </x:c>
      <x:c r="J10" s="32" t="n">
        <x:v>3.6</x:v>
      </x:c>
      <x:c r="K10" s="32" t="n">
        <x:f>IF(J10="","",(1/'Metadata'!$B$5)^(J10-1))</x:f>
        <x:v>398.1071705534973</x:v>
      </x:c>
      <x:c r="L10" s="31" t="n">
        <x:f>IF(E10=0,"",E10*K10)</x:f>
        <x:v>63856.35447208644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2</x:v>
      </x:c>
      <x:c r="C11" s="33" t="n">
        <x:v>2</x:v>
      </x:c>
      <x:c r="D11" s="31" t="n">
        <x:v>2499.0905431578003</x:v>
      </x:c>
      <x:c r="E11" s="31" t="n">
        <x:v>2499.0905431578003</x:v>
      </x:c>
      <x:c r="F11" s="32" t="n">
        <x:v>0</x:v>
      </x:c>
      <x:c r="G11" s="34" t="n">
        <x:v>1</x:v>
      </x:c>
      <x:c r="H11" s="32" t="n">
        <x:f>IF(E11=0,"",I11/E11)</x:f>
        <x:v>401.7532214938647</x:v>
      </x:c>
      <x:c r="I11" s="31" t="n">
        <x:f>IF(C11=0,"",SUMIF('Species'!$H$2:$H$54,A11,'Species'!$U$2:$U$54))</x:f>
        <x:v>1004017.6765184985</x:v>
      </x:c>
      <x:c r="J11" s="32" t="n">
        <x:v>3.60317065565859</x:v>
      </x:c>
      <x:c r="K11" s="32" t="n">
        <x:f>IF(J11="","",(1/'Metadata'!$B$5)^(J11-1))</x:f>
        <x:v>401.0242688262613</x:v>
      </x:c>
      <x:c r="L11" s="31" t="n">
        <x:f>IF(E11=0,"",E11*K11)</x:f>
        <x:v>1002195.957800481</x:v>
      </x:c>
      <x:c r="M11" s="31" t="n">
        <x:f>IF(E11=0,"",I11-L11)</x:f>
        <x:v>1821.7187180174515</x:v>
      </x:c>
      <x:c r="N11" s="32" t="n">
        <x:f>IF(L11=0,"",I11/L11)</x:f>
        <x:v>1.0018177270660875</x:v>
      </x:c>
      <x:c r="O11" s="34" t="n">
        <x:f>IF(L11=0,"",M11/L11)</x:f>
        <x:v>0.0018177270660875312</x:v>
      </x:c>
    </x:row>
    <x:row r="12" ht="18" customHeight="1">
      <x:c r="A12" s="24" t="str">
        <x:v>Sharks &amp; rays</x:v>
      </x:c>
      <x:c r="B12" s="33" t="n">
        <x:v>1</x:v>
      </x:c>
      <x:c r="C12" s="33" t="n">
        <x:v>1</x:v>
      </x:c>
      <x:c r="D12" s="31" t="n">
        <x:v>0.0036988551</x:v>
      </x:c>
      <x:c r="E12" s="31" t="n">
        <x:v>0.0036988551</x:v>
      </x:c>
      <x:c r="F12" s="32" t="n">
        <x:v>0</x:v>
      </x:c>
      <x:c r="G12" s="34" t="n">
        <x:v>1</x:v>
      </x:c>
      <x:c r="H12" s="32" t="n">
        <x:f>IF(E12=0,"",I12/E12)</x:f>
        <x:v>2238.721138568337</x:v>
      </x:c>
      <x:c r="I12" s="31" t="n">
        <x:f>IF(C12=0,"",SUMIF('Species'!$H$2:$H$54,A12,'Species'!$U$2:$U$54))</x:f>
        <x:v>8.280705100871302</x:v>
      </x:c>
      <x:c r="J12" s="32" t="n">
        <x:v>4.35</x:v>
      </x:c>
      <x:c r="K12" s="32" t="n">
        <x:f>IF(J12="","",(1/'Metadata'!$B$5)^(J12-1))</x:f>
        <x:v>2238.7211385683377</x:v>
      </x:c>
      <x:c r="L12" s="31" t="n">
        <x:f>IF(E12=0,"",E12*K12)</x:f>
        <x:v>8.280705100871302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d8417d99f044c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27176.2271588024</x:v>
      </x:c>
      <x:c r="E2" s="31" t="n">
        <x:v>27176.2271588024</x:v>
      </x:c>
      <x:c r="F2" s="32" t="n">
        <x:v>0</x:v>
      </x:c>
      <x:c r="G2" s="34" t="n">
        <x:v>1</x:v>
      </x:c>
      <x:c r="H2" s="32" t="n">
        <x:f>IF(E2=0,"",I2/E2)</x:f>
        <x:v>1695.1704829212135</x:v>
      </x:c>
      <x:c r="I2" s="31" t="n">
        <x:f>IF(C2=0,"",SUMIF('Species'!$G$2:$G$54,A2,'Species'!$U$2:$U$54))</x:f>
        <x:v>46068338.116763666</x:v>
      </x:c>
      <x:c r="J2" s="32" t="n">
        <x:v>4.20997509023265</x:v>
      </x:c>
      <x:c r="K2" s="32" t="n">
        <x:f>IF(J2="","",(1/'Metadata'!$B$5)^(J2-1))</x:f>
        <x:v>1621.7170780935708</x:v>
      </x:c>
      <x:c r="L2" s="31" t="n">
        <x:f>IF(E2=0,"",E2*K2)</x:f>
        <x:v>44072151.701580174</x:v>
      </x:c>
      <x:c r="M2" s="31" t="n">
        <x:f>IF(E2=0,"",I2-L2)</x:f>
        <x:v>1996186.415183492</x:v>
      </x:c>
      <x:c r="N2" s="32" t="n">
        <x:f>IF(L2=0,"",I2/L2)</x:f>
        <x:v>1.0452936001105642</x:v>
      </x:c>
      <x:c r="O2" s="34" t="n">
        <x:f>IF(L2=0,"",M2/L2)</x:f>
        <x:v>0.04529360011056416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1314.5146390063</x:v>
      </x:c>
      <x:c r="E3" s="31" t="n">
        <x:v>1314.5146390063</x:v>
      </x:c>
      <x:c r="F3" s="32" t="n">
        <x:v>0</x:v>
      </x:c>
      <x:c r="G3" s="34" t="n">
        <x:v>1</x:v>
      </x:c>
      <x:c r="H3" s="32" t="n">
        <x:f>IF(E3=0,"",I3/E3)</x:f>
        <x:v>1896.8936917241404</x:v>
      </x:c>
      <x:c r="I3" s="31" t="n">
        <x:f>IF(C3=0,"",SUMIF('Species'!$G$2:$G$54,A3,'Species'!$U$2:$U$54))</x:f>
        <x:v>2493494.526410086</x:v>
      </x:c>
      <x:c r="J3" s="32" t="n">
        <x:v>3.7809339516957863</x:v>
      </x:c>
      <x:c r="K3" s="32" t="n">
        <x:f>IF(J3="","",(1/'Metadata'!$B$5)^(J3-1))</x:f>
        <x:v>603.8567867411115</x:v>
      </x:c>
      <x:c r="L3" s="31" t="n">
        <x:f>IF(E3=0,"",E3*K3)</x:f>
        <x:v>793778.5860344964</x:v>
      </x:c>
      <x:c r="M3" s="31" t="n">
        <x:f>IF(E3=0,"",I3-L3)</x:f>
        <x:v>1699715.9403755898</x:v>
      </x:c>
      <x:c r="N3" s="32" t="n">
        <x:f>IF(L3=0,"",I3/L3)</x:f>
        <x:v>3.1412972966011994</x:v>
      </x:c>
      <x:c r="O3" s="34" t="n">
        <x:f>IF(L3=0,"",M3/L3)</x:f>
        <x:v>2.1412972966011994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725.4572956851</x:v>
      </x:c>
      <x:c r="E4" s="31" t="n">
        <x:v>725.4572956851</x:v>
      </x:c>
      <x:c r="F4" s="32" t="n">
        <x:v>0</x:v>
      </x:c>
      <x:c r="G4" s="34" t="n">
        <x:v>1</x:v>
      </x:c>
      <x:c r="H4" s="32" t="n">
        <x:f>IF(E4=0,"",I4/E4)</x:f>
        <x:v>1850.76088487137</x:v>
      </x:c>
      <x:c r="I4" s="31" t="n">
        <x:f>IF(C4=0,"",SUMIF('Species'!$G$2:$G$54,A4,'Species'!$U$2:$U$54))</x:f>
        <x:v>1342647.9864985468</x:v>
      </x:c>
      <x:c r="J4" s="32" t="n">
        <x:v>4.253529773387894</x:v>
      </x:c>
      <x:c r="K4" s="32" t="n">
        <x:f>IF(J4="","",(1/'Metadata'!$B$5)^(J4-1))</x:f>
        <x:v>1792.7914543317777</x:v>
      </x:c>
      <x:c r="L4" s="31" t="n">
        <x:f>IF(E4=0,"",E4*K4)</x:f>
        <x:v>1300593.6401868889</x:v>
      </x:c>
      <x:c r="M4" s="31" t="n">
        <x:f>IF(E4=0,"",I4-L4)</x:f>
        <x:v>42054.34631165792</x:v>
      </x:c>
      <x:c r="N4" s="32" t="n">
        <x:f>IF(L4=0,"",I4/L4)</x:f>
        <x:v>1.0323347316273321</x:v>
      </x:c>
      <x:c r="O4" s="34" t="n">
        <x:f>IF(L4=0,"",M4/L4)</x:f>
        <x:v>0.03233473162733205</x:v>
      </x:c>
    </x:row>
    <x:row r="5" ht="18" customHeight="1">
      <x:c r="A5" s="24" t="str">
        <x:v>Large flatfishes (&gt;=90 cm)</x:v>
      </x:c>
      <x:c r="B5" s="33" t="n">
        <x:v>1</x:v>
      </x:c>
      <x:c r="C5" s="33" t="n">
        <x:v>1</x:v>
      </x:c>
      <x:c r="D5" s="31" t="n">
        <x:v>41.7039766947</x:v>
      </x:c>
      <x:c r="E5" s="31" t="n">
        <x:v>41.7039766947</x:v>
      </x:c>
      <x:c r="F5" s="32" t="n">
        <x:v>0</x:v>
      </x:c>
      <x:c r="G5" s="34" t="n">
        <x:v>1</x:v>
      </x:c>
      <x:c r="H5" s="32" t="n">
        <x:f>IF(E5=0,"",I5/E5)</x:f>
        <x:v>1778.2794100389228</x:v>
      </x:c>
      <x:c r="I5" s="31" t="n">
        <x:f>IF(C5=0,"",SUMIF('Species'!$G$2:$G$54,A5,'Species'!$U$2:$U$54))</x:f>
        <x:v>74161.3230729281</x:v>
      </x:c>
      <x:c r="J5" s="32" t="n">
        <x:v>4.25</x:v>
      </x:c>
      <x:c r="K5" s="32" t="n">
        <x:f>IF(J5="","",(1/'Metadata'!$B$5)^(J5-1))</x:f>
        <x:v>1778.2794100389228</x:v>
      </x:c>
      <x:c r="L5" s="31" t="n">
        <x:f>IF(E5=0,"",E5*K5)</x:f>
        <x:v>74161.3230729281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1</x:v>
      </x:c>
      <x:c r="C6" s="33" t="n">
        <x:v>1</x:v>
      </x:c>
      <x:c r="D6" s="31" t="n">
        <x:v>157.46683416850001</x:v>
      </x:c>
      <x:c r="E6" s="31" t="n">
        <x:v>157.46683416850001</x:v>
      </x:c>
      <x:c r="F6" s="32" t="n">
        <x:v>0</x:v>
      </x:c>
      <x:c r="G6" s="34" t="n">
        <x:v>1</x:v>
      </x:c>
      <x:c r="H6" s="32" t="n">
        <x:f>IF(E6=0,"",I6/E6)</x:f>
        <x:v>2238.7211385683377</x:v>
      </x:c>
      <x:c r="I6" s="31" t="n">
        <x:f>IF(C6=0,"",SUMIF('Species'!$G$2:$G$54,A6,'Species'!$U$2:$U$54))</x:f>
        <x:v>352524.33027645596</x:v>
      </x:c>
      <x:c r="J6" s="32" t="n">
        <x:v>4.35</x:v>
      </x:c>
      <x:c r="K6" s="32" t="n">
        <x:f>IF(J6="","",(1/'Metadata'!$B$5)^(J6-1))</x:f>
        <x:v>2238.7211385683377</x:v>
      </x:c>
      <x:c r="L6" s="31" t="n">
        <x:f>IF(E6=0,"",E6*K6)</x:f>
        <x:v>352524.33027645596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160.92179213010002</x:v>
      </x:c>
      <x:c r="E7" s="31" t="n">
        <x:v>160.92179213010002</x:v>
      </x:c>
      <x:c r="F7" s="32" t="n">
        <x:v>0</x:v>
      </x:c>
      <x:c r="G7" s="34" t="n">
        <x:v>1</x:v>
      </x:c>
      <x:c r="H7" s="32" t="n">
        <x:f>IF(E7=0,"",I7/E7)</x:f>
        <x:v>394.0699776757115</x:v>
      </x:c>
      <x:c r="I7" s="31" t="n">
        <x:f>IF(C7=0,"",SUMIF('Species'!$G$2:$G$54,A7,'Species'!$U$2:$U$54))</x:f>
        <x:v>63414.447032244</x:v>
      </x:c>
      <x:c r="J7" s="32" t="n">
        <x:v>3.5751554719927876</x:v>
      </x:c>
      <x:c r="K7" s="32" t="n">
        <x:f>IF(J7="","",(1/'Metadata'!$B$5)^(J7-1))</x:f>
        <x:v>375.9719734641738</x:v>
      </x:c>
      <x:c r="L7" s="31" t="n">
        <x:f>IF(E7=0,"",E7*K7)</x:f>
        <x:v>60502.083760545254</x:v>
      </x:c>
      <x:c r="M7" s="31" t="n">
        <x:f>IF(E7=0,"",I7-L7)</x:f>
        <x:v>2912.3632716987486</x:v>
      </x:c>
      <x:c r="N7" s="32" t="n">
        <x:f>IF(L7=0,"",I7/L7)</x:f>
        <x:v>1.0481365779602778</x:v>
      </x:c>
      <x:c r="O7" s="34" t="n">
        <x:f>IF(L7=0,"",M7/L7)</x:f>
        <x:v>0.04813657796027787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0.0036988551</x:v>
      </x:c>
      <x:c r="E8" s="31" t="n">
        <x:v>0.0036988551</x:v>
      </x:c>
      <x:c r="F8" s="32" t="n">
        <x:v>0</x:v>
      </x:c>
      <x:c r="G8" s="34" t="n">
        <x:v>1</x:v>
      </x:c>
      <x:c r="H8" s="32" t="n">
        <x:f>IF(E8=0,"",I8/E8)</x:f>
        <x:v>2238.721138568337</x:v>
      </x:c>
      <x:c r="I8" s="31" t="n">
        <x:f>IF(C8=0,"",SUMIF('Species'!$G$2:$G$54,A8,'Species'!$U$2:$U$54))</x:f>
        <x:v>8.280705100871302</x:v>
      </x:c>
      <x:c r="J8" s="32" t="n">
        <x:v>4.35</x:v>
      </x:c>
      <x:c r="K8" s="32" t="n">
        <x:f>IF(J8="","",(1/'Metadata'!$B$5)^(J8-1))</x:f>
        <x:v>2238.7211385683377</x:v>
      </x:c>
      <x:c r="L8" s="31" t="n">
        <x:f>IF(E8=0,"",E8*K8)</x:f>
        <x:v>8.280705100871302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7</x:v>
      </x:c>
      <x:c r="C9" s="33" t="n">
        <x:v>7</x:v>
      </x:c>
      <x:c r="D9" s="31" t="n">
        <x:v>3050.9398347091997</x:v>
      </x:c>
      <x:c r="E9" s="31" t="n">
        <x:v>3050.9398347091997</x:v>
      </x:c>
      <x:c r="F9" s="32" t="n">
        <x:v>0</x:v>
      </x:c>
      <x:c r="G9" s="34" t="n">
        <x:v>1</x:v>
      </x:c>
      <x:c r="H9" s="32" t="n">
        <x:f>IF(E9=0,"",I9/E9)</x:f>
        <x:v>174.7165685326999</x:v>
      </x:c>
      <x:c r="I9" s="31" t="n">
        <x:f>IF(C9=0,"",SUMIF('Species'!$G$2:$G$54,A9,'Species'!$U$2:$U$54))</x:f>
        <x:v>533049.738720114</x:v>
      </x:c>
      <x:c r="J9" s="32" t="n">
        <x:v>3.046584319288439</x:v>
      </x:c>
      <x:c r="K9" s="32" t="n">
        <x:f>IF(J9="","",(1/'Metadata'!$B$5)^(J9-1))</x:f>
        <x:v>111.32285077374624</x:v>
      </x:c>
      <x:c r="L9" s="31" t="n">
        <x:f>IF(E9=0,"",E9*K9)</x:f>
        <x:v>339639.31993901025</x:v>
      </x:c>
      <x:c r="M9" s="31" t="n">
        <x:f>IF(E9=0,"",I9-L9)</x:f>
        <x:v>193410.41878110374</x:v>
      </x:c>
      <x:c r="N9" s="32" t="n">
        <x:f>IF(L9=0,"",I9/L9)</x:f>
        <x:v>1.569458267717162</x:v>
      </x:c>
      <x:c r="O9" s="34" t="n">
        <x:f>IF(L9=0,"",M9/L9)</x:f>
        <x:v>0.569458267717162</x:v>
      </x:c>
    </x:row>
    <x:row r="10" ht="18" customHeight="1">
      <x:c r="A10" s="24" t="str">
        <x:v>Medium benthopelagics (30 - 89 cm)</x:v>
      </x:c>
      <x:c r="B10" s="33" t="n">
        <x:v>3</x:v>
      </x:c>
      <x:c r="C10" s="33" t="n">
        <x:v>3</x:v>
      </x:c>
      <x:c r="D10" s="31" t="n">
        <x:v>67133.2771656204</x:v>
      </x:c>
      <x:c r="E10" s="31" t="n">
        <x:v>67133.2771656204</x:v>
      </x:c>
      <x:c r="F10" s="32" t="n">
        <x:v>0</x:v>
      </x:c>
      <x:c r="G10" s="34" t="n">
        <x:v>1</x:v>
      </x:c>
      <x:c r="H10" s="32" t="n">
        <x:f>IF(E10=0,"",I10/E10)</x:f>
        <x:v>370.48794429014424</x:v>
      </x:c>
      <x:c r="I10" s="31" t="n">
        <x:f>IF(C10=0,"",SUMIF('Species'!$G$2:$G$54,A10,'Species'!$U$2:$U$54))</x:f>
        <x:v>24872069.850551184</x:v>
      </x:c>
      <x:c r="J10" s="32" t="n">
        <x:v>3.568346066567301</x:v>
      </x:c>
      <x:c r="K10" s="32" t="n">
        <x:f>IF(J10="","",(1/'Metadata'!$B$5)^(J10-1))</x:f>
        <x:v>370.12299396717134</x:v>
      </x:c>
      <x:c r="L10" s="31" t="n">
        <x:f>IF(E10=0,"",E10*K10)</x:f>
        <x:v>24847569.53936736</x:v>
      </x:c>
      <x:c r="M10" s="31" t="n">
        <x:f>IF(E10=0,"",I10-L10)</x:f>
        <x:v>24500.311183825135</x:v>
      </x:c>
      <x:c r="N10" s="32" t="n">
        <x:f>IF(L10=0,"",I10/L10)</x:f>
        <x:v>1.0009860244538207</x:v>
      </x:c>
      <x:c r="O10" s="34" t="n">
        <x:f>IF(L10=0,"",M10/L10)</x:f>
        <x:v>0.0009860244538206426</x:v>
      </x:c>
    </x:row>
    <x:row r="11" ht="18" customHeight="1">
      <x:c r="A11" s="24" t="str">
        <x:v>Medium demersals (30 - 89 cm)</x:v>
      </x:c>
      <x:c r="B11" s="33" t="n">
        <x:v>4</x:v>
      </x:c>
      <x:c r="C11" s="33" t="n">
        <x:v>4</x:v>
      </x:c>
      <x:c r="D11" s="31" t="n">
        <x:v>30408.068033715703</x:v>
      </x:c>
      <x:c r="E11" s="31" t="n">
        <x:v>30408.068033715703</x:v>
      </x:c>
      <x:c r="F11" s="32" t="n">
        <x:v>0</x:v>
      </x:c>
      <x:c r="G11" s="34" t="n">
        <x:v>1</x:v>
      </x:c>
      <x:c r="H11" s="32" t="n">
        <x:f>IF(E11=0,"",I11/E11)</x:f>
        <x:v>215.7874819679416</x:v>
      </x:c>
      <x:c r="I11" s="31" t="n">
        <x:f>IF(C11=0,"",SUMIF('Species'!$G$2:$G$54,A11,'Species'!$U$2:$U$54))</x:f>
        <x:v>6561680.432505368</x:v>
      </x:c>
      <x:c r="J11" s="32" t="n">
        <x:v>3.319075342288478</x:v>
      </x:c>
      <x:c r="K11" s="32" t="n">
        <x:f>IF(J11="","",(1/'Metadata'!$B$5)^(J11-1))</x:f>
        <x:v>208.48525361771226</x:v>
      </x:c>
      <x:c r="L11" s="31" t="n">
        <x:f>IF(E11=0,"",E11*K11)</x:f>
        <x:v>6339633.776033867</x:v>
      </x:c>
      <x:c r="M11" s="31" t="n">
        <x:f>IF(E11=0,"",I11-L11)</x:f>
        <x:v>222046.6564715011</x:v>
      </x:c>
      <x:c r="N11" s="32" t="n">
        <x:f>IF(L11=0,"",I11/L11)</x:f>
        <x:v>1.0350251551297678</x:v>
      </x:c>
      <x:c r="O11" s="34" t="n">
        <x:f>IF(L11=0,"",M11/L11)</x:f>
        <x:v>0.03502515512976769</x:v>
      </x:c>
    </x:row>
    <x:row r="12" ht="18" customHeight="1">
      <x:c r="A12" s="24" t="str">
        <x:v>Medium pelagics (30 - 89 cm)</x:v>
      </x:c>
      <x:c r="B12" s="33" t="n">
        <x:v>6</x:v>
      </x:c>
      <x:c r="C12" s="33" t="n">
        <x:v>6</x:v>
      </x:c>
      <x:c r="D12" s="31" t="n">
        <x:v>19445.6730311308</x:v>
      </x:c>
      <x:c r="E12" s="31" t="n">
        <x:v>19445.6730311308</x:v>
      </x:c>
      <x:c r="F12" s="32" t="n">
        <x:v>0</x:v>
      </x:c>
      <x:c r="G12" s="34" t="n">
        <x:v>1</x:v>
      </x:c>
      <x:c r="H12" s="32" t="n">
        <x:f>IF(E12=0,"",I12/E12)</x:f>
        <x:v>168.1277440773961</x:v>
      </x:c>
      <x:c r="I12" s="31" t="n">
        <x:f>IF(C12=0,"",SUMIF('Species'!$G$2:$G$54,A12,'Species'!$U$2:$U$54))</x:f>
        <x:v>3269357.138790682</x:v>
      </x:c>
      <x:c r="J12" s="32" t="n">
        <x:v>3.078754611554844</x:v>
      </x:c>
      <x:c r="K12" s="32" t="n">
        <x:f>IF(J12="","",(1/'Metadata'!$B$5)^(J12-1))</x:f>
        <x:v>119.88217441638855</x:v>
      </x:c>
      <x:c r="L12" s="31" t="n">
        <x:f>IF(E12=0,"",E12*K12)</x:f>
        <x:v>2331189.5659620855</x:v>
      </x:c>
      <x:c r="M12" s="31" t="n">
        <x:f>IF(E12=0,"",I12-L12)</x:f>
        <x:v>938167.5728285965</x:v>
      </x:c>
      <x:c r="N12" s="32" t="n">
        <x:f>IF(L12=0,"",I12/L12)</x:f>
        <x:v>1.4024415631087528</x:v>
      </x:c>
      <x:c r="O12" s="34" t="n">
        <x:f>IF(L12=0,"",M12/L12)</x:f>
        <x:v>0.40244156310875273</x:v>
      </x:c>
    </x:row>
    <x:row r="13" ht="18" customHeight="1">
      <x:c r="A13" s="24" t="str">
        <x:v>Other demersal invertebrates</x:v>
      </x:c>
      <x:c r="B13" s="33" t="n">
        <x:v>8</x:v>
      </x:c>
      <x:c r="C13" s="33" t="n">
        <x:v>8</x:v>
      </x:c>
      <x:c r="D13" s="31" t="n">
        <x:v>1624.8361620023002</x:v>
      </x:c>
      <x:c r="E13" s="31" t="n">
        <x:v>1624.8361620023002</x:v>
      </x:c>
      <x:c r="F13" s="32" t="n">
        <x:v>0</x:v>
      </x:c>
      <x:c r="G13" s="34" t="n">
        <x:v>1</x:v>
      </x:c>
      <x:c r="H13" s="32" t="n">
        <x:f>IF(E13=0,"",I13/E13)</x:f>
        <x:v>20.095223242536623</x:v>
      </x:c>
      <x:c r="I13" s="31" t="n">
        <x:f>IF(C13=0,"",SUMIF('Species'!$G$2:$G$54,A13,'Species'!$U$2:$U$54))</x:f>
        <x:v>32651.445407982625</x:v>
      </x:c>
      <x:c r="J13" s="32" t="n">
        <x:v>2.240690632662834</x:v>
      </x:c>
      <x:c r="K13" s="32" t="n">
        <x:f>IF(J13="","",(1/'Metadata'!$B$5)^(J13-1))</x:f>
        <x:v>17.405665484601776</x:v>
      </x:c>
      <x:c r="L13" s="31" t="n">
        <x:f>IF(E13=0,"",E13*K13)</x:f>
        <x:v>28281.354703096258</x:v>
      </x:c>
      <x:c r="M13" s="31" t="n">
        <x:f>IF(E13=0,"",I13-L13)</x:f>
        <x:v>4370.090704886366</x:v>
      </x:c>
      <x:c r="N13" s="32" t="n">
        <x:f>IF(L13=0,"",I13/L13)</x:f>
        <x:v>1.1545219721885502</x:v>
      </x:c>
      <x:c r="O13" s="34" t="n">
        <x:f>IF(L13=0,"",M13/L13)</x:f>
        <x:v>0.1545219721885503</x:v>
      </x:c>
    </x:row>
    <x:row r="14" ht="18" customHeight="1">
      <x:c r="A14" s="24" t="str">
        <x:v>Shrimps</x:v>
      </x:c>
      <x:c r="B14" s="33" t="n">
        <x:v>5</x:v>
      </x:c>
      <x:c r="C14" s="33" t="n">
        <x:v>5</x:v>
      </x:c>
      <x:c r="D14" s="31" t="n">
        <x:v>12353.1834915594</x:v>
      </x:c>
      <x:c r="E14" s="31" t="n">
        <x:v>12353.1834915594</x:v>
      </x:c>
      <x:c r="F14" s="32" t="n">
        <x:v>0</x:v>
      </x:c>
      <x:c r="G14" s="34" t="n">
        <x:v>1</x:v>
      </x:c>
      <x:c r="H14" s="32" t="n">
        <x:f>IF(E14=0,"",I14/E14)</x:f>
        <x:v>58.778449433920244</x:v>
      </x:c>
      <x:c r="I14" s="31" t="n">
        <x:f>IF(C14=0,"",SUMIF('Species'!$G$2:$G$54,A14,'Species'!$U$2:$U$54))</x:f>
        <x:v>726100.9712065626</x:v>
      </x:c>
      <x:c r="J14" s="32" t="n">
        <x:v>2.708574050562749</x:v>
      </x:c>
      <x:c r="K14" s="32" t="n">
        <x:f>IF(J14="","",(1/'Metadata'!$B$5)^(J14-1))</x:f>
        <x:v>51.11802317838805</x:v>
      </x:c>
      <x:c r="L14" s="31" t="n">
        <x:f>IF(E14=0,"",E14*K14)</x:f>
        <x:v>631470.320048414</x:v>
      </x:c>
      <x:c r="M14" s="31" t="n">
        <x:f>IF(E14=0,"",I14-L14)</x:f>
        <x:v>94630.65115814854</x:v>
      </x:c>
      <x:c r="N14" s="32" t="n">
        <x:f>IF(L14=0,"",I14/L14)</x:f>
        <x:v>1.149857638837077</x:v>
      </x:c>
      <x:c r="O14" s="34" t="n">
        <x:f>IF(L14=0,"",M14/L14)</x:f>
        <x:v>0.1498576388370768</x:v>
      </x:c>
    </x:row>
    <x:row r="15" ht="18" customHeight="1">
      <x:c r="A15" s="24" t="str">
        <x:v>Small bathydemersals (&lt;30 cm)</x:v>
      </x:c>
      <x:c r="B15" s="33" t="n">
        <x:v>1</x:v>
      </x:c>
      <x:c r="C15" s="33" t="n">
        <x:v>1</x:v>
      </x:c>
      <x:c r="D15" s="31" t="n">
        <x:v>667.2636264531</x:v>
      </x:c>
      <x:c r="E15" s="31" t="n">
        <x:v>667.2636264531</x:v>
      </x:c>
      <x:c r="F15" s="32" t="n">
        <x:v>0</x:v>
      </x:c>
      <x:c r="G15" s="34" t="n">
        <x:v>1</x:v>
      </x:c>
      <x:c r="H15" s="32" t="n">
        <x:f>IF(E15=0,"",I15/E15)</x:f>
        <x:v>323.5936569296281</x:v>
      </x:c>
      <x:c r="I15" s="31" t="n">
        <x:f>IF(C15=0,"",SUMIF('Species'!$G$2:$G$54,A15,'Species'!$U$2:$U$54))</x:f>
        <x:v>215922.27702008394</x:v>
      </x:c>
      <x:c r="J15" s="32" t="n">
        <x:v>3.51</x:v>
      </x:c>
      <x:c r="K15" s="32" t="n">
        <x:f>IF(J15="","",(1/'Metadata'!$B$5)^(J15-1))</x:f>
        <x:v>323.5936569296281</x:v>
      </x:c>
      <x:c r="L15" s="31" t="n">
        <x:f>IF(E15=0,"",E15*K15)</x:f>
        <x:v>215922.27702008394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1</x:v>
      </x:c>
      <x:c r="C16" s="33" t="n">
        <x:v>1</x:v>
      </x:c>
      <x:c r="D16" s="31" t="n">
        <x:v>3013.9445329497</x:v>
      </x:c>
      <x:c r="E16" s="31" t="n">
        <x:v>3013.9445329497</x:v>
      </x:c>
      <x:c r="F16" s="32" t="n">
        <x:v>0</x:v>
      </x:c>
      <x:c r="G16" s="34" t="n">
        <x:v>1</x:v>
      </x:c>
      <x:c r="H16" s="32" t="n">
        <x:f>IF(E16=0,"",I16/E16)</x:f>
        <x:v>100</x:v>
      </x:c>
      <x:c r="I16" s="31" t="n">
        <x:f>IF(C16=0,"",SUMIF('Species'!$G$2:$G$54,A16,'Species'!$U$2:$U$54))</x:f>
        <x:v>301394.45329497</x:v>
      </x:c>
      <x:c r="J16" s="32" t="n">
        <x:v>3</x:v>
      </x:c>
      <x:c r="K16" s="32" t="n">
        <x:f>IF(J16="","",(1/'Metadata'!$B$5)^(J16-1))</x:f>
        <x:v>100</x:v>
      </x:c>
      <x:c r="L16" s="31" t="n">
        <x:f>IF(E16=0,"",E16*K16)</x:f>
        <x:v>301394.45329497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pelagics (&lt;30 cm)</x:v>
      </x:c>
      <x:c r="B17" s="33" t="n">
        <x:v>2</x:v>
      </x:c>
      <x:c r="C17" s="33" t="n">
        <x:v>2</x:v>
      </x:c>
      <x:c r="D17" s="31" t="n">
        <x:v>7770.5436344830005</x:v>
      </x:c>
      <x:c r="E17" s="31" t="n">
        <x:v>7770.5436344830005</x:v>
      </x:c>
      <x:c r="F17" s="32" t="n">
        <x:v>0</x:v>
      </x:c>
      <x:c r="G17" s="34" t="n">
        <x:v>1</x:v>
      </x:c>
      <x:c r="H17" s="32" t="n">
        <x:f>IF(E17=0,"",I17/E17)</x:f>
        <x:v>137.3524531377614</x:v>
      </x:c>
      <x:c r="I17" s="31" t="n">
        <x:f>IF(C17=0,"",SUMIF('Species'!$G$2:$G$54,A17,'Species'!$U$2:$U$54))</x:f>
        <x:v>1067303.2304102564</x:v>
      </x:c>
      <x:c r="J17" s="32" t="n">
        <x:v>3.137101856900311</x:v>
      </x:c>
      <x:c r="K17" s="32" t="n">
        <x:f>IF(J17="","",(1/'Metadata'!$B$5)^(J17-1))</x:f>
        <x:v>137.1203322502637</x:v>
      </x:c>
      <x:c r="L17" s="31" t="n">
        <x:f>IF(E17=0,"",E17*K17)</x:f>
        <x:v>1065499.5249254806</x:v>
      </x:c>
      <x:c r="M17" s="31" t="n">
        <x:f>IF(E17=0,"",I17-L17)</x:f>
        <x:v>1803.7054847758263</x:v>
      </x:c>
      <x:c r="N17" s="32" t="n">
        <x:f>IF(L17=0,"",I17/L17)</x:f>
        <x:v>1.0016928261745608</x:v>
      </x:c>
      <x:c r="O17" s="34" t="n">
        <x:f>IF(L17=0,"",M17/L17)</x:f>
        <x:v>0.0016928261745606829</x:v>
      </x:c>
    </x:row>
    <x:row r="18" ht="18" customHeight="1">
      <x:c r="A18" s="24" t="str">
        <x:v>Small to medium flatfishes (&lt;90 cm)</x:v>
      </x:c>
      <x:c r="B18" s="33" t="n">
        <x:v>2</x:v>
      </x:c>
      <x:c r="C18" s="33" t="n">
        <x:v>2</x:v>
      </x:c>
      <x:c r="D18" s="31" t="n">
        <x:v>2040.66241514</x:v>
      </x:c>
      <x:c r="E18" s="31" t="n">
        <x:v>2040.66241514</x:v>
      </x:c>
      <x:c r="F18" s="32" t="n">
        <x:v>0</x:v>
      </x:c>
      <x:c r="G18" s="34" t="n">
        <x:v>1</x:v>
      </x:c>
      <x:c r="H18" s="32" t="n">
        <x:f>IF(E18=0,"",I18/E18)</x:f>
        <x:v>370.55261616398406</x:v>
      </x:c>
      <x:c r="I18" s="31" t="n">
        <x:f>IF(C18=0,"",SUMIF('Species'!$G$2:$G$54,A18,'Species'!$U$2:$U$54))</x:f>
        <x:v>756172.796637641</x:v>
      </x:c>
      <x:c r="J18" s="32" t="n">
        <x:v>3.568742369856576</x:v>
      </x:c>
      <x:c r="K18" s="32" t="n">
        <x:f>IF(J18="","",(1/'Metadata'!$B$5)^(J18-1))</x:f>
        <x:v>370.4608935059097</x:v>
      </x:c>
      <x:c r="L18" s="31" t="n">
        <x:f>IF(E18=0,"",E18*K18)</x:f>
        <x:v>755985.621656692</x:v>
      </x:c>
      <x:c r="M18" s="31" t="n">
        <x:f>IF(E18=0,"",I18-L18)</x:f>
        <x:v>187.1749809490284</x:v>
      </x:c>
      <x:c r="N18" s="32" t="n">
        <x:f>IF(L18=0,"",I18/L18)</x:f>
        <x:v>1.0002475906625563</x:v>
      </x:c>
      <x:c r="O18" s="34" t="n">
        <x:f>IF(L18=0,"",M18/L18)</x:f>
        <x:v>0.00024759066255631543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85b433a056a45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EEZ_974</x:v>
      </x:c>
      <x:c r="B2" s="24" t="str">
        <x:v>raw_filtered_tonnes</x:v>
      </x:c>
      <x:c r="C2" s="24" t="n">
        <x:v>177084.6873231058</x:v>
      </x:c>
      <x:c r="D2" s="24" t="str">
        <x:v>tonnes</x:v>
      </x:c>
    </x:row>
    <x:row r="3" ht="18" customHeight="1">
      <x:c r="A3" s="24" t="str">
        <x:v>EEZ_974</x:v>
      </x:c>
      <x:c r="B3" s="24" t="str">
        <x:v>species_catch_tonnes</x:v>
      </x:c>
      <x:c r="C3" s="24" t="n">
        <x:v>177084.68732310578</x:v>
      </x:c>
      <x:c r="D3" s="24" t="str">
        <x:v>tonnes</x:v>
      </x:c>
    </x:row>
    <x:row r="4" ht="18" customHeight="1">
      <x:c r="A4" s="24" t="str">
        <x:v>EEZ_974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EEZ_974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EEZ_974</x:v>
      </x:c>
      <x:c r="B6" s="24" t="str">
        <x:v>matched_catch_tonnes</x:v>
      </x:c>
      <x:c r="C6" s="24" t="n">
        <x:v>177084.68732310578</x:v>
      </x:c>
      <x:c r="D6" s="24" t="str">
        <x:v>tonnes</x:v>
      </x:c>
    </x:row>
    <x:row r="7" ht="18" customHeight="1">
      <x:c r="A7" s="24" t="str">
        <x:v>EEZ_974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EEZ_974</x:v>
      </x:c>
      <x:c r="B8" s="24" t="str">
        <x:v>taxa_count</x:v>
      </x:c>
      <x:c r="C8" s="24" t="n">
        <x:v>53</x:v>
      </x:c>
      <x:c r="D8" s="24" t="str">
        <x:v>count</x:v>
      </x:c>
    </x:row>
    <x:row r="9" ht="18" customHeight="1">
      <x:c r="A9" s="24" t="str">
        <x:v>EEZ_974</x:v>
      </x:c>
      <x:c r="B9" s="24" t="str">
        <x:v>matched_taxa_count</x:v>
      </x:c>
      <x:c r="C9" s="24" t="n">
        <x:v>53</x:v>
      </x:c>
      <x:c r="D9" s="24" t="str">
        <x:v>count</x:v>
      </x:c>
    </x:row>
    <x:row r="10" ht="18" customHeight="1">
      <x:c r="A10" s="24" t="str">
        <x:v>EEZ_974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EEZ_974</x:v>
      </x:c>
      <x:c r="B11" s="24" t="str">
        <x:v>species_ppr</x:v>
      </x:c>
      <x:c r="C11" s="24" t="n">
        <x:v>88730291.34530385</x:v>
      </x:c>
      <x:c r="D11" s="24" t="str">
        <x:v>tonnes_primary_production_equivalent</x:v>
      </x:c>
    </x:row>
    <x:row r="12" ht="18" customHeight="1">
      <x:c r="A12" s="24" t="str">
        <x:v>EEZ_974</x:v>
      </x:c>
      <x:c r="B12" s="24" t="str">
        <x:v>commercial_ppr</x:v>
      </x:c>
      <x:c r="C12" s="24" t="n">
        <x:v>88730291.34530385</x:v>
      </x:c>
      <x:c r="D12" s="24" t="str">
        <x:v>tonnes_primary_production_equivalent</x:v>
      </x:c>
    </x:row>
    <x:row r="13" ht="18" customHeight="1">
      <x:c r="A13" s="24" t="str">
        <x:v>EEZ_974</x:v>
      </x:c>
      <x:c r="B13" s="24" t="str">
        <x:v>functional_ppr</x:v>
      </x:c>
      <x:c r="C13" s="24" t="n">
        <x:v>88730291.34530388</x:v>
      </x:c>
      <x:c r="D13" s="24" t="str">
        <x:v>tonnes_primary_production_equivalent</x:v>
      </x:c>
    </x:row>
    <x:row r="14" ht="18" customHeight="1">
      <x:c r="A14" s="24" t="str">
        <x:v>EEZ_974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EEZ_974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EEZ_974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EEZ_974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EEZ_974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EEZ_974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3bf079300a843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EEZ_974 - Korea (North, Sea of Japan)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