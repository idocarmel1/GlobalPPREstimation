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984f15004e4a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816f387fa3dd4fb7"/>
    <x:sheet xmlns:r="http://schemas.openxmlformats.org/officeDocument/2006/relationships" name="Commercial" sheetId="2" r:id="R8e1b85b83c044a70"/>
    <x:sheet xmlns:r="http://schemas.openxmlformats.org/officeDocument/2006/relationships" name="Functional" sheetId="3" r:id="R48ab202838154939"/>
    <x:sheet xmlns:r="http://schemas.openxmlformats.org/officeDocument/2006/relationships" name="Missing TL" sheetId="4" r:id="R357a85e680eb4174"/>
    <x:sheet xmlns:r="http://schemas.openxmlformats.org/officeDocument/2006/relationships" name="Validation" sheetId="5" r:id="Re39eede6b1214191"/>
    <x:sheet xmlns:r="http://schemas.openxmlformats.org/officeDocument/2006/relationships" name="Metadata" sheetId="6" r:id="Re0c59734bb9842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ab69abc41d4fb2" /><Relationship Type="http://schemas.openxmlformats.org/officeDocument/2006/relationships/theme" Target="/xl/theme/theme1.xml" Id="R86b74012aac9405b" /><Relationship Type="http://schemas.microsoft.com/office/2022/11/relationships/FeaturePropertyBag" Target="/xl/featurePropertyBag/featurePropertyBag.xml" Id="Re26c0827acfe4caa" /><Relationship Type="http://schemas.openxmlformats.org/officeDocument/2006/relationships/sharedStrings" Target="/xl/sharedStrings.xml" Id="R7b6de044c7984a36" /><Relationship Type="http://schemas.openxmlformats.org/officeDocument/2006/relationships/worksheet" Target="/xl/worksheets/sheet1.xml" Id="R816f387fa3dd4fb7" /><Relationship Type="http://schemas.openxmlformats.org/officeDocument/2006/relationships/worksheet" Target="/xl/worksheets/sheet2.xml" Id="R8e1b85b83c044a70" /><Relationship Type="http://schemas.openxmlformats.org/officeDocument/2006/relationships/worksheet" Target="/xl/worksheets/sheet3.xml" Id="R48ab202838154939" /><Relationship Type="http://schemas.openxmlformats.org/officeDocument/2006/relationships/worksheet" Target="/xl/worksheets/sheet4.xml" Id="R357a85e680eb4174" /><Relationship Type="http://schemas.openxmlformats.org/officeDocument/2006/relationships/worksheet" Target="/xl/worksheets/sheet5.xml" Id="Re39eede6b1214191" /><Relationship Type="http://schemas.openxmlformats.org/officeDocument/2006/relationships/worksheet" Target="/xl/worksheets/sheet6.xml" Id="Re0c59734bb98426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54SpeciesTable" displayName="EEZ254SpeciesTable" ref="A1:U66" headerRowCount="1" totalsRowCount="0" totalsRowShown="0">
  <x:autoFilter ref="A1:U6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54CommercialTable" displayName="EEZ254CommercialTable" ref="A1:O8" headerRowCount="1" totalsRowCount="0" totalsRowShown="0">
  <x:autoFilter ref="A1:O8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54FunctionalTable" displayName="EEZ254FunctionalTable" ref="A1:O18" headerRowCount="1" totalsRowCount="0" totalsRowShown="0">
  <x:autoFilter ref="A1:O18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54ValidationTable" displayName="EEZ25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3cb4eed0ad4d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aa43dabe5af4d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6bcbb3eb81b4e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2ee6f999d34c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EEZ_254</x:v>
      </x:c>
      <x:c r="B2" s="24" t="str">
        <x:v>French Guiana</x:v>
      </x:c>
      <x:c r="C2" s="24" t="str">
        <x:v>EEZ</x:v>
      </x:c>
      <x:c r="D2" s="30" t="n">
        <x:v>2019</x:v>
      </x:c>
      <x:c r="E2" s="24" t="str">
        <x:v>Lutjanus purpureus</x:v>
      </x:c>
      <x:c r="F2" s="24" t="str">
        <x:v>Southern red snapper</x:v>
      </x:c>
      <x:c r="G2" s="24" t="str">
        <x:v>Medium demersals (30 - 89 cm)</x:v>
      </x:c>
      <x:c r="H2" s="24" t="str">
        <x:v>Perch-likes</x:v>
      </x:c>
      <x:c r="I2" s="31" t="n">
        <x:v>1182.4391698473</x:v>
      </x:c>
      <x:c r="J2" s="31" t="n">
        <x:v>1182.4391698473</x:v>
      </x:c>
      <x:c r="K2" s="31" t="n">
        <x:v>0</x:v>
      </x:c>
      <x:c r="L2" s="31" t="n">
        <x:v>1182.4391698473</x:v>
      </x:c>
      <x:c r="M2" s="31" t="n">
        <x:v>0</x:v>
      </x:c>
      <x:c r="N2" s="24" t="str">
        <x:v>lutjanus purpureus</x:v>
      </x:c>
      <x:c r="O2" s="32" t="n">
        <x:v>3.58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Lutjanus purpureus</x:v>
      </x:c>
      <x:c r="T2" s="32" t="n">
        <x:f>IF(O2="","",(1/'Metadata'!$B$5)^(O2-1))</x:f>
        <x:v>380.1893963205613</x:v>
      </x:c>
      <x:c r="U2" s="31" t="n">
        <x:f>IF(T2="","",I2*T2)</x:f>
        <x:v>449550.83417003066</x:v>
      </x:c>
    </x:row>
    <x:row r="3" ht="18" customHeight="1">
      <x:c r="A3" s="24" t="str">
        <x:v>EEZ_254</x:v>
      </x:c>
      <x:c r="B3" s="24" t="str">
        <x:v>French Guiana</x:v>
      </x:c>
      <x:c r="C3" s="24" t="str">
        <x:v>EEZ</x:v>
      </x:c>
      <x:c r="D3" s="30" t="n">
        <x:v>2019</x:v>
      </x:c>
      <x:c r="E3" s="24" t="str">
        <x:v>Cynoscion</x:v>
      </x:c>
      <x:c r="F3" s="24" t="str">
        <x:v>Weakfishes</x:v>
      </x:c>
      <x:c r="G3" s="24" t="str">
        <x:v>Medium demersals (30 - 89 cm)</x:v>
      </x:c>
      <x:c r="H3" s="24" t="str">
        <x:v>Perch-likes</x:v>
      </x:c>
      <x:c r="I3" s="31" t="n">
        <x:v>849.9999999999001</x:v>
      </x:c>
      <x:c r="J3" s="31" t="n">
        <x:v>849.9999999999001</x:v>
      </x:c>
      <x:c r="K3" s="31" t="n">
        <x:v>0</x:v>
      </x:c>
      <x:c r="L3" s="31" t="n">
        <x:v>849.9999999999001</x:v>
      </x:c>
      <x:c r="M3" s="31" t="n">
        <x:v>0</x:v>
      </x:c>
      <x:c r="N3" s="24" t="str">
        <x:v>cynoscion</x:v>
      </x:c>
      <x:c r="O3" s="32" t="n">
        <x:v>4.21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Cynoscion</x:v>
      </x:c>
      <x:c r="T3" s="32" t="n">
        <x:f>IF(O3="","",(1/'Metadata'!$B$5)^(O3-1))</x:f>
        <x:v>1621.8100973589299</x:v>
      </x:c>
      <x:c r="U3" s="31" t="n">
        <x:f>IF(T3="","",I3*T3)</x:f>
        <x:v>1378538.5827549284</x:v>
      </x:c>
    </x:row>
    <x:row r="4" ht="18" customHeight="1">
      <x:c r="A4" s="24" t="str">
        <x:v>EEZ_254</x:v>
      </x:c>
      <x:c r="B4" s="24" t="str">
        <x:v>French Guiana</x:v>
      </x:c>
      <x:c r="C4" s="24" t="str">
        <x:v>EEZ</x:v>
      </x:c>
      <x:c r="D4" s="30" t="n">
        <x:v>2019</x:v>
      </x:c>
      <x:c r="E4" s="24" t="str">
        <x:v>Ariidae</x:v>
      </x:c>
      <x:c r="F4" s="24" t="str">
        <x:v>Sea catfishes, coblers</x:v>
      </x:c>
      <x:c r="G4" s="24" t="str">
        <x:v>Medium demersals (30 - 89 cm)</x:v>
      </x:c>
      <x:c r="H4" s="24" t="str">
        <x:v>Other fishes &amp; inverts</x:v>
      </x:c>
      <x:c r="I4" s="31" t="n">
        <x:v>712.8106914981</x:v>
      </x:c>
      <x:c r="J4" s="31" t="n">
        <x:v>603.72565829</x:v>
      </x:c>
      <x:c r="K4" s="31" t="n">
        <x:v>109.0850332081</x:v>
      </x:c>
      <x:c r="L4" s="31" t="n">
        <x:v>299.9999999999</x:v>
      </x:c>
      <x:c r="M4" s="31" t="n">
        <x:v>412.8106914982</x:v>
      </x:c>
      <x:c r="N4" s="24" t="str">
        <x:v>ariidae</x:v>
      </x:c>
      <x:c r="O4" s="32" t="n">
        <x:v>3.48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Ariidae</x:v>
      </x:c>
      <x:c r="T4" s="32" t="n">
        <x:f>IF(O4="","",(1/'Metadata'!$B$5)^(O4-1))</x:f>
        <x:v>301.9951720402016</x:v>
      </x:c>
      <x:c r="U4" s="31" t="n">
        <x:f>IF(T4="","",I4*T4)</x:f>
        <x:v>215265.3874110638</x:v>
      </x:c>
    </x:row>
    <x:row r="5" ht="18" customHeight="1">
      <x:c r="A5" s="24" t="str">
        <x:v>EEZ_254</x:v>
      </x:c>
      <x:c r="B5" s="24" t="str">
        <x:v>French Guiana</x:v>
      </x:c>
      <x:c r="C5" s="24" t="str">
        <x:v>EEZ</x:v>
      </x:c>
      <x:c r="D5" s="30" t="n">
        <x:v>2019</x:v>
      </x:c>
      <x:c r="E5" s="24" t="str">
        <x:v>Chondrichthyes</x:v>
      </x:c>
      <x:c r="F5" s="24" t="str">
        <x:v>Sharks, rays, chimaeras</x:v>
      </x:c>
      <x:c r="G5" s="24" t="str">
        <x:v>Large sharks (&gt;=90 cm)</x:v>
      </x:c>
      <x:c r="H5" s="24" t="str">
        <x:v>Sharks &amp; rays</x:v>
      </x:c>
      <x:c r="I5" s="31" t="n">
        <x:v>430.7555719059</x:v>
      </x:c>
      <x:c r="J5" s="31" t="n">
        <x:v>430.7555719059</x:v>
      </x:c>
      <x:c r="K5" s="31" t="n">
        <x:v>0</x:v>
      </x:c>
      <x:c r="L5" s="31" t="n">
        <x:v>0</x:v>
      </x:c>
      <x:c r="M5" s="31" t="n">
        <x:v>430.7555719059</x:v>
      </x:c>
      <x:c r="N5" s="24" t="str">
        <x:v>chondrichthyes</x:v>
      </x:c>
      <x:c r="O5" s="32" t="n">
        <x:v>4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Chondrichthyes</x:v>
      </x:c>
      <x:c r="T5" s="32" t="n">
        <x:f>IF(O5="","",(1/'Metadata'!$B$5)^(O5-1))</x:f>
        <x:v>1000</x:v>
      </x:c>
      <x:c r="U5" s="31" t="n">
        <x:f>IF(T5="","",I5*T5)</x:f>
        <x:v>430755.5719059</x:v>
      </x:c>
    </x:row>
    <x:row r="6" ht="18" customHeight="1">
      <x:c r="A6" s="24" t="str">
        <x:v>EEZ_254</x:v>
      </x:c>
      <x:c r="B6" s="24" t="str">
        <x:v>French Guiana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420.2406677335</x:v>
      </x:c>
      <x:c r="J6" s="31" t="n">
        <x:v>148.3765496901</x:v>
      </x:c>
      <x:c r="K6" s="31" t="n">
        <x:v>271.86411804339997</x:v>
      </x:c>
      <x:c r="L6" s="31" t="n">
        <x:v>50</x:v>
      </x:c>
      <x:c r="M6" s="31" t="n">
        <x:v>370.2406677335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80075.2084456829</x:v>
      </x:c>
    </x:row>
    <x:row r="7" ht="18" customHeight="1">
      <x:c r="A7" s="24" t="str">
        <x:v>EEZ_254</x:v>
      </x:c>
      <x:c r="B7" s="24" t="str">
        <x:v>French Guiana</x:v>
      </x:c>
      <x:c r="C7" s="24" t="str">
        <x:v>EEZ</x:v>
      </x:c>
      <x:c r="D7" s="30" t="n">
        <x:v>2019</x:v>
      </x:c>
      <x:c r="E7" s="24" t="str">
        <x:v>Macrodon ancylodon</x:v>
      </x:c>
      <x:c r="F7" s="24" t="str">
        <x:v>King weakfish</x:v>
      </x:c>
      <x:c r="G7" s="24" t="str">
        <x:v>Medium demersals (30 - 89 cm)</x:v>
      </x:c>
      <x:c r="H7" s="24" t="str">
        <x:v>Perch-likes</x:v>
      </x:c>
      <x:c r="I7" s="31" t="n">
        <x:v>266.8364694032</x:v>
      </x:c>
      <x:c r="J7" s="31" t="n">
        <x:v>0</x:v>
      </x:c>
      <x:c r="K7" s="31" t="n">
        <x:v>266.8364694032</x:v>
      </x:c>
      <x:c r="L7" s="31" t="n">
        <x:v>0</x:v>
      </x:c>
      <x:c r="M7" s="31" t="n">
        <x:v>266.8364694032</x:v>
      </x:c>
      <x:c r="N7" s="24" t="str">
        <x:v>macrodon ancylodon</x:v>
      </x:c>
      <x:c r="O7" s="32" t="n">
        <x:v>3.9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Macrodon ancylodon</x:v>
      </x:c>
      <x:c r="T7" s="32" t="n">
        <x:f>IF(O7="","",(1/'Metadata'!$B$5)^(O7-1))</x:f>
        <x:v>794.3282347242813</x:v>
      </x:c>
      <x:c r="U7" s="31" t="n">
        <x:f>IF(T7="","",I7*T7)</x:f>
        <x:v>211955.74170110354</x:v>
      </x:c>
    </x:row>
    <x:row r="8" ht="18" customHeight="1">
      <x:c r="A8" s="24" t="str">
        <x:v>EEZ_254</x:v>
      </x:c>
      <x:c r="B8" s="24" t="str">
        <x:v>French Guiana</x:v>
      </x:c>
      <x:c r="C8" s="24" t="str">
        <x:v>EEZ</x:v>
      </x:c>
      <x:c r="D8" s="30" t="n">
        <x:v>2019</x:v>
      </x:c>
      <x:c r="E8" s="24" t="str">
        <x:v>Genyatremus luteus</x:v>
      </x:c>
      <x:c r="F8" s="24" t="str">
        <x:v>Torroto grunt</x:v>
      </x:c>
      <x:c r="G8" s="24" t="str">
        <x:v>Medium demersals (30 - 89 cm)</x:v>
      </x:c>
      <x:c r="H8" s="24" t="str">
        <x:v>Perch-likes</x:v>
      </x:c>
      <x:c r="I8" s="31" t="n">
        <x:v>260.7257105552</x:v>
      </x:c>
      <x:c r="J8" s="31" t="n">
        <x:v>0</x:v>
      </x:c>
      <x:c r="K8" s="31" t="n">
        <x:v>260.7257105552</x:v>
      </x:c>
      <x:c r="L8" s="31" t="n">
        <x:v>0</x:v>
      </x:c>
      <x:c r="M8" s="31" t="n">
        <x:v>260.7257105552</x:v>
      </x:c>
      <x:c r="N8" s="24" t="str">
        <x:v>genyatremus luteus</x:v>
      </x:c>
      <x:c r="O8" s="32" t="n">
        <x:v>3.5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Genyatremus luteus</x:v>
      </x:c>
      <x:c r="T8" s="32" t="n">
        <x:f>IF(O8="","",(1/'Metadata'!$B$5)^(O8-1))</x:f>
        <x:v>316.22776601683796</x:v>
      </x:c>
      <x:c r="U8" s="31" t="n">
        <x:f>IF(T8="","",I8*T8)</x:f>
        <x:v>82448.7089920236</x:v>
      </x:c>
    </x:row>
    <x:row r="9" ht="18" customHeight="1">
      <x:c r="A9" s="24" t="str">
        <x:v>EEZ_254</x:v>
      </x:c>
      <x:c r="B9" s="24" t="str">
        <x:v>French Guiana</x:v>
      </x:c>
      <x:c r="C9" s="24" t="str">
        <x:v>EEZ</x:v>
      </x:c>
      <x:c r="D9" s="30" t="n">
        <x:v>2019</x:v>
      </x:c>
      <x:c r="E9" s="24" t="str">
        <x:v>Penaeus subtilis</x:v>
      </x:c>
      <x:c r="F9" s="24" t="str">
        <x:v>Southern brown shrimp</x:v>
      </x:c>
      <x:c r="G9" s="24" t="str">
        <x:v>Shrimps</x:v>
      </x:c>
      <x:c r="H9" s="24" t="str">
        <x:v>Crustaceans</x:v>
      </x:c>
      <x:c r="I9" s="31" t="n">
        <x:v>255</x:v>
      </x:c>
      <x:c r="J9" s="31" t="n">
        <x:v>255</x:v>
      </x:c>
      <x:c r="K9" s="31" t="n">
        <x:v>0</x:v>
      </x:c>
      <x:c r="L9" s="31" t="n">
        <x:v>255</x:v>
      </x:c>
      <x:c r="M9" s="31" t="n">
        <x:v>0</x:v>
      </x:c>
      <x:c r="N9" s="24" t="str">
        <x:v>penaeus subtilis</x:v>
      </x:c>
      <x:c r="O9" s="32" t="n">
        <x:v>2.76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Penaeus subtilis</x:v>
      </x:c>
      <x:c r="T9" s="32" t="n">
        <x:f>IF(O9="","",(1/'Metadata'!$B$5)^(O9-1))</x:f>
        <x:v>57.543993733715666</x:v>
      </x:c>
      <x:c r="U9" s="31" t="n">
        <x:f>IF(T9="","",I9*T9)</x:f>
        <x:v>14673.718402097495</x:v>
      </x:c>
    </x:row>
    <x:row r="10" ht="18" customHeight="1">
      <x:c r="A10" s="24" t="str">
        <x:v>EEZ_254</x:v>
      </x:c>
      <x:c r="B10" s="24" t="str">
        <x:v>French Guiana</x:v>
      </x:c>
      <x:c r="C10" s="24" t="str">
        <x:v>EEZ</x:v>
      </x:c>
      <x:c r="D10" s="30" t="n">
        <x:v>2019</x:v>
      </x:c>
      <x:c r="E10" s="24" t="str">
        <x:v>Sciaenidae</x:v>
      </x:c>
      <x:c r="F10" s="24" t="str">
        <x:v>Drums, croakers</x:v>
      </x:c>
      <x:c r="G10" s="24" t="str">
        <x:v>Medium demersals (30 - 89 cm)</x:v>
      </x:c>
      <x:c r="H10" s="24" t="str">
        <x:v>Perch-likes</x:v>
      </x:c>
      <x:c r="I10" s="31" t="n">
        <x:v>170.3895330547</x:v>
      </x:c>
      <x:c r="J10" s="31" t="n">
        <x:v>96.4663254238</x:v>
      </x:c>
      <x:c r="K10" s="31" t="n">
        <x:v>73.9232076309</x:v>
      </x:c>
      <x:c r="L10" s="31" t="n">
        <x:v>0</x:v>
      </x:c>
      <x:c r="M10" s="31" t="n">
        <x:v>170.3895330547</x:v>
      </x:c>
      <x:c r="N10" s="24" t="str">
        <x:v>sciaenidae</x:v>
      </x:c>
      <x:c r="O10" s="32" t="n">
        <x:v>3.76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Sciaenidae</x:v>
      </x:c>
      <x:c r="T10" s="32" t="n">
        <x:f>IF(O10="","",(1/'Metadata'!$B$5)^(O10-1))</x:f>
        <x:v>575.4399373371566</x:v>
      </x:c>
      <x:c r="U10" s="31" t="n">
        <x:f>IF(T10="","",I10*T10)</x:f>
        <x:v>98048.94222390394</x:v>
      </x:c>
    </x:row>
    <x:row r="11" ht="18" customHeight="1">
      <x:c r="A11" s="24" t="str">
        <x:v>EEZ_254</x:v>
      </x:c>
      <x:c r="B11" s="24" t="str">
        <x:v>French Guiana</x:v>
      </x:c>
      <x:c r="C11" s="24" t="str">
        <x:v>EEZ</x:v>
      </x:c>
      <x:c r="D11" s="30" t="n">
        <x:v>2019</x:v>
      </x:c>
      <x:c r="E11" s="24" t="str">
        <x:v>Stomolophus</x:v>
      </x:c>
      <x:c r="F11" s="24" t="str">
        <x:v>Cannonball jellies</x:v>
      </x:c>
      <x:c r="G11" s="24" t="str">
        <x:v>Jellyfish</x:v>
      </x:c>
      <x:c r="H11" s="24" t="str">
        <x:v>Other fishes &amp; inverts</x:v>
      </x:c>
      <x:c r="I11" s="31" t="n">
        <x:v>136.4736140986</x:v>
      </x:c>
      <x:c r="J11" s="31" t="n">
        <x:v>0</x:v>
      </x:c>
      <x:c r="K11" s="31" t="n">
        <x:v>136.4736140986</x:v>
      </x:c>
      <x:c r="L11" s="31" t="n">
        <x:v>0</x:v>
      </x:c>
      <x:c r="M11" s="31" t="n">
        <x:v>136.4736140986</x:v>
      </x:c>
      <x:c r="N11" s="24" t="str">
        <x:v>stomolophus</x:v>
      </x:c>
      <x:c r="O11" s="32" t="n">
        <x:v>3.46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Stomolophus</x:v>
      </x:c>
      <x:c r="T11" s="32" t="n">
        <x:f>IF(O11="","",(1/'Metadata'!$B$5)^(O11-1))</x:f>
        <x:v>288.40315031266056</x:v>
      </x:c>
      <x:c r="U11" s="31" t="n">
        <x:f>IF(T11="","",I11*T11)</x:f>
        <x:v>39359.42024059057</x:v>
      </x:c>
    </x:row>
    <x:row r="12" ht="18" customHeight="1">
      <x:c r="A12" s="24" t="str">
        <x:v>EEZ_254</x:v>
      </x:c>
      <x:c r="B12" s="24" t="str">
        <x:v>French Guiana</x:v>
      </x:c>
      <x:c r="C12" s="24" t="str">
        <x:v>EEZ</x:v>
      </x:c>
      <x:c r="D12" s="30" t="n">
        <x:v>2019</x:v>
      </x:c>
      <x:c r="E12" s="24" t="str">
        <x:v>Nebris microps</x:v>
      </x:c>
      <x:c r="F12" s="24" t="str">
        <x:v>Smalleye croaker</x:v>
      </x:c>
      <x:c r="G12" s="24" t="str">
        <x:v>Medium demersals (30 - 89 cm)</x:v>
      </x:c>
      <x:c r="H12" s="24" t="str">
        <x:v>Perch-likes</x:v>
      </x:c>
      <x:c r="I12" s="31" t="n">
        <x:v>132.3997749048</x:v>
      </x:c>
      <x:c r="J12" s="31" t="n">
        <x:v>0</x:v>
      </x:c>
      <x:c r="K12" s="31" t="n">
        <x:v>132.3997749048</x:v>
      </x:c>
      <x:c r="L12" s="31" t="n">
        <x:v>0</x:v>
      </x:c>
      <x:c r="M12" s="31" t="n">
        <x:v>132.3997749048</x:v>
      </x:c>
      <x:c r="N12" s="24" t="str">
        <x:v>nebris microps</x:v>
      </x:c>
      <x:c r="O12" s="32" t="n">
        <x:v>3.6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Nebris microps</x:v>
      </x:c>
      <x:c r="T12" s="32" t="n">
        <x:f>IF(O12="","",(1/'Metadata'!$B$5)^(O12-1))</x:f>
        <x:v>398.1071705534973</x:v>
      </x:c>
      <x:c r="U12" s="31" t="n">
        <x:f>IF(T12="","",I12*T12)</x:f>
        <x:v>52709.29976926987</x:v>
      </x:c>
    </x:row>
    <x:row r="13" ht="18" customHeight="1">
      <x:c r="A13" s="24" t="str">
        <x:v>EEZ_254</x:v>
      </x:c>
      <x:c r="B13" s="24" t="str">
        <x:v>French Guiana</x:v>
      </x:c>
      <x:c r="C13" s="24" t="str">
        <x:v>EEZ</x:v>
      </x:c>
      <x:c r="D13" s="30" t="n">
        <x:v>2019</x:v>
      </x:c>
      <x:c r="E13" s="24" t="str">
        <x:v>Lutjanidae</x:v>
      </x:c>
      <x:c r="F13" s="24" t="str">
        <x:v>Snappers</x:v>
      </x:c>
      <x:c r="G13" s="24" t="str">
        <x:v>Medium reef assoc. fish (30 - 89 cm)</x:v>
      </x:c>
      <x:c r="H13" s="24" t="str">
        <x:v>Perch-likes</x:v>
      </x:c>
      <x:c r="I13" s="31" t="n">
        <x:v>115.71000000000001</x:v>
      </x:c>
      <x:c r="J13" s="31" t="n">
        <x:v>115.71000000000001</x:v>
      </x:c>
      <x:c r="K13" s="31" t="n">
        <x:v>0</x:v>
      </x:c>
      <x:c r="L13" s="31" t="n">
        <x:v>115.71000000000001</x:v>
      </x:c>
      <x:c r="M13" s="31" t="n">
        <x:v>0</x:v>
      </x:c>
      <x:c r="N13" s="24" t="str">
        <x:v>lutjanidae</x:v>
      </x:c>
      <x:c r="O13" s="32" t="n">
        <x:v>4.02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Lutjanidae</x:v>
      </x:c>
      <x:c r="T13" s="32" t="n">
        <x:f>IF(O13="","",(1/'Metadata'!$B$5)^(O13-1))</x:f>
        <x:v>1047.1285480508984</x:v>
      </x:c>
      <x:c r="U13" s="31" t="n">
        <x:f>IF(T13="","",I13*T13)</x:f>
        <x:v>121163.24429496947</x:v>
      </x:c>
    </x:row>
    <x:row r="14" ht="18" customHeight="1">
      <x:c r="A14" s="24" t="str">
        <x:v>EEZ_254</x:v>
      </x:c>
      <x:c r="B14" s="24" t="str">
        <x:v>French Guiana</x:v>
      </x:c>
      <x:c r="C14" s="24" t="str">
        <x:v>EEZ</x:v>
      </x:c>
      <x:c r="D14" s="30" t="n">
        <x:v>2019</x:v>
      </x:c>
      <x:c r="E14" s="24" t="str">
        <x:v>Porichthys</x:v>
      </x:c>
      <x:c r="F14" s="24" t="str">
        <x:v>Midshipman</x:v>
      </x:c>
      <x:c r="G14" s="24" t="str">
        <x:v>Large reef assoc. fish (&gt;=90 cm)</x:v>
      </x:c>
      <x:c r="H14" s="24" t="str">
        <x:v>Other fishes &amp; inverts</x:v>
      </x:c>
      <x:c r="I14" s="31" t="n">
        <x:v>112.0305787346</x:v>
      </x:c>
      <x:c r="J14" s="31" t="n">
        <x:v>0</x:v>
      </x:c>
      <x:c r="K14" s="31" t="n">
        <x:v>112.0305787346</x:v>
      </x:c>
      <x:c r="L14" s="31" t="n">
        <x:v>0</x:v>
      </x:c>
      <x:c r="M14" s="31" t="n">
        <x:v>112.0305787346</x:v>
      </x:c>
      <x:c r="N14" s="24" t="str">
        <x:v>porichthys</x:v>
      </x:c>
      <x:c r="O14" s="32" t="n">
        <x:v>3.8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Porichthys</x:v>
      </x:c>
      <x:c r="T14" s="32" t="n">
        <x:f>IF(O14="","",(1/'Metadata'!$B$5)^(O14-1))</x:f>
        <x:v>630.957344480193</x:v>
      </x:c>
      <x:c r="U14" s="31" t="n">
        <x:f>IF(T14="","",I14*T14)</x:f>
        <x:v>70686.51645896239</x:v>
      </x:c>
    </x:row>
    <x:row r="15" ht="18" customHeight="1">
      <x:c r="A15" s="24" t="str">
        <x:v>EEZ_254</x:v>
      </x:c>
      <x:c r="B15" s="24" t="str">
        <x:v>French Guiana</x:v>
      </x:c>
      <x:c r="C15" s="24" t="str">
        <x:v>EEZ</x:v>
      </x:c>
      <x:c r="D15" s="30" t="n">
        <x:v>2019</x:v>
      </x:c>
      <x:c r="E15" s="24" t="str">
        <x:v>Rhomboplites aurorubens</x:v>
      </x:c>
      <x:c r="F15" s="24" t="str">
        <x:v>Vermilion snapper</x:v>
      </x:c>
      <x:c r="G15" s="24" t="str">
        <x:v>Medium demersals (30 - 89 cm)</x:v>
      </x:c>
      <x:c r="H15" s="24" t="str">
        <x:v>Perch-likes</x:v>
      </x:c>
      <x:c r="I15" s="31" t="n">
        <x:v>95.38241338270001</x:v>
      </x:c>
      <x:c r="J15" s="31" t="n">
        <x:v>95.38241338270001</x:v>
      </x:c>
      <x:c r="K15" s="31" t="n">
        <x:v>0</x:v>
      </x:c>
      <x:c r="L15" s="31" t="n">
        <x:v>95.38241338270001</x:v>
      </x:c>
      <x:c r="M15" s="31" t="n">
        <x:v>0</x:v>
      </x:c>
      <x:c r="N15" s="24" t="str">
        <x:v>rhomboplites aurorubens</x:v>
      </x:c>
      <x:c r="O15" s="32" t="n">
        <x:v>4.36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Rhomboplites aurorubens</x:v>
      </x:c>
      <x:c r="T15" s="32" t="n">
        <x:f>IF(O15="","",(1/'Metadata'!$B$5)^(O15-1))</x:f>
        <x:v>2290.867652767775</x:v>
      </x:c>
      <x:c r="U15" s="31" t="n">
        <x:f>IF(T15="","",I15*T15)</x:f>
        <x:v>218508.48546135158</x:v>
      </x:c>
    </x:row>
    <x:row r="16" ht="18" customHeight="1">
      <x:c r="A16" s="24" t="str">
        <x:v>EEZ_254</x:v>
      </x:c>
      <x:c r="B16" s="24" t="str">
        <x:v>French Guiana</x:v>
      </x:c>
      <x:c r="C16" s="24" t="str">
        <x:v>EEZ</x:v>
      </x:c>
      <x:c r="D16" s="30" t="n">
        <x:v>2019</x:v>
      </x:c>
      <x:c r="E16" s="24" t="str">
        <x:v>Trichopsetta caribbaea</x:v>
      </x:c>
      <x:c r="F16" s="24" t="str">
        <x:v>Caribbean flounder</x:v>
      </x:c>
      <x:c r="G16" s="24" t="str">
        <x:v>Small to medium flatfishes (&lt;90 cm)</x:v>
      </x:c>
      <x:c r="H16" s="24" t="str">
        <x:v>Flatfishes</x:v>
      </x:c>
      <x:c r="I16" s="31" t="n">
        <x:v>87.5875433707</x:v>
      </x:c>
      <x:c r="J16" s="31" t="n">
        <x:v>0</x:v>
      </x:c>
      <x:c r="K16" s="31" t="n">
        <x:v>87.5875433707</x:v>
      </x:c>
      <x:c r="L16" s="31" t="n">
        <x:v>0</x:v>
      </x:c>
      <x:c r="M16" s="31" t="n">
        <x:v>87.5875433707</x:v>
      </x:c>
      <x:c r="N16" s="24" t="str">
        <x:v>trichopsetta caribbaea</x:v>
      </x:c>
      <x:c r="O16" s="32" t="n">
        <x:v>3.6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Trichopsetta caribbaea</x:v>
      </x:c>
      <x:c r="T16" s="32" t="n">
        <x:f>IF(O16="","",(1/'Metadata'!$B$5)^(O16-1))</x:f>
        <x:v>398.1071705534973</x:v>
      </x:c>
      <x:c r="U16" s="31" t="n">
        <x:f>IF(T16="","",I16*T16)</x:f>
        <x:v>34869.22906704111</x:v>
      </x:c>
    </x:row>
    <x:row r="17" ht="18" customHeight="1">
      <x:c r="A17" s="24" t="str">
        <x:v>EEZ_254</x:v>
      </x:c>
      <x:c r="B17" s="24" t="str">
        <x:v>French Guiana</x:v>
      </x:c>
      <x:c r="C17" s="24" t="str">
        <x:v>EEZ</x:v>
      </x:c>
      <x:c r="D17" s="30" t="n">
        <x:v>2019</x:v>
      </x:c>
      <x:c r="E17" s="24" t="str">
        <x:v>Haemulon boschmae</x:v>
      </x:c>
      <x:c r="F17" s="24" t="str">
        <x:v>Bronzestripe grunt</x:v>
      </x:c>
      <x:c r="G17" s="24" t="str">
        <x:v>Small reef assoc. fish (&lt;30 cm)</x:v>
      </x:c>
      <x:c r="H17" s="24" t="str">
        <x:v>Perch-likes</x:v>
      </x:c>
      <x:c r="I17" s="31" t="n">
        <x:v>87.5875433707</x:v>
      </x:c>
      <x:c r="J17" s="31" t="n">
        <x:v>0</x:v>
      </x:c>
      <x:c r="K17" s="31" t="n">
        <x:v>87.5875433707</x:v>
      </x:c>
      <x:c r="L17" s="31" t="n">
        <x:v>0</x:v>
      </x:c>
      <x:c r="M17" s="31" t="n">
        <x:v>87.5875433707</x:v>
      </x:c>
      <x:c r="N17" s="24" t="str">
        <x:v>haemulon boschmae</x:v>
      </x:c>
      <x:c r="O17" s="32" t="n">
        <x:v>3.54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Haemulon boschmae</x:v>
      </x:c>
      <x:c r="T17" s="32" t="n">
        <x:f>IF(O17="","",(1/'Metadata'!$B$5)^(O17-1))</x:f>
        <x:v>346.73685045253166</x:v>
      </x:c>
      <x:c r="U17" s="31" t="n">
        <x:f>IF(T17="","",I17*T17)</x:f>
        <x:v>30369.82892723104</x:v>
      </x:c>
    </x:row>
    <x:row r="18" ht="18" customHeight="1">
      <x:c r="A18" s="24" t="str">
        <x:v>EEZ_254</x:v>
      </x:c>
      <x:c r="B18" s="24" t="str">
        <x:v>French Guiana</x:v>
      </x:c>
      <x:c r="C18" s="24" t="str">
        <x:v>EEZ</x:v>
      </x:c>
      <x:c r="D18" s="30" t="n">
        <x:v>2019</x:v>
      </x:c>
      <x:c r="E18" s="24" t="str">
        <x:v>Diapterus rhombeus</x:v>
      </x:c>
      <x:c r="F18" s="24" t="str">
        <x:v>Caitipa mojarra</x:v>
      </x:c>
      <x:c r="G18" s="24" t="str">
        <x:v>Medium demersals (30 - 89 cm)</x:v>
      </x:c>
      <x:c r="H18" s="24" t="str">
        <x:v>Perch-likes</x:v>
      </x:c>
      <x:c r="I18" s="31" t="n">
        <x:v>75.3660256921</x:v>
      </x:c>
      <x:c r="J18" s="31" t="n">
        <x:v>0</x:v>
      </x:c>
      <x:c r="K18" s="31" t="n">
        <x:v>75.3660256921</x:v>
      </x:c>
      <x:c r="L18" s="31" t="n">
        <x:v>0</x:v>
      </x:c>
      <x:c r="M18" s="31" t="n">
        <x:v>75.3660256921</x:v>
      </x:c>
      <x:c r="N18" s="24" t="str">
        <x:v>diapterus rhombeus</x:v>
      </x:c>
      <x:c r="O18" s="32" t="n">
        <x:v>3.01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Diapterus rhombeus</x:v>
      </x:c>
      <x:c r="T18" s="32" t="n">
        <x:f>IF(O18="","",(1/'Metadata'!$B$5)^(O18-1))</x:f>
        <x:v>102.32929922807536</x:v>
      </x:c>
      <x:c r="U18" s="31" t="n">
        <x:f>IF(T18="","",I18*T18)</x:f>
        <x:v>7712.152594677716</x:v>
      </x:c>
    </x:row>
    <x:row r="19" ht="18" customHeight="1">
      <x:c r="A19" s="24" t="str">
        <x:v>EEZ_254</x:v>
      </x:c>
      <x:c r="B19" s="24" t="str">
        <x:v>French Guiana</x:v>
      </x:c>
      <x:c r="C19" s="24" t="str">
        <x:v>EEZ</x:v>
      </x:c>
      <x:c r="D19" s="30" t="n">
        <x:v>2019</x:v>
      </x:c>
      <x:c r="E19" s="24" t="str">
        <x:v>Lagocephalus laevigatus</x:v>
      </x:c>
      <x:c r="F19" s="24" t="str">
        <x:v>Smooth puffer</x:v>
      </x:c>
      <x:c r="G19" s="24" t="str">
        <x:v>Medium pelagics (30 - 89 cm)</x:v>
      </x:c>
      <x:c r="H19" s="24" t="str">
        <x:v>Other fishes &amp; inverts</x:v>
      </x:c>
      <x:c r="I19" s="31" t="n">
        <x:v>73.3291060918</x:v>
      </x:c>
      <x:c r="J19" s="31" t="n">
        <x:v>0</x:v>
      </x:c>
      <x:c r="K19" s="31" t="n">
        <x:v>73.3291060918</x:v>
      </x:c>
      <x:c r="L19" s="31" t="n">
        <x:v>0</x:v>
      </x:c>
      <x:c r="M19" s="31" t="n">
        <x:v>73.3291060918</x:v>
      </x:c>
      <x:c r="N19" s="24" t="str">
        <x:v>lagocephalus laevigatus</x:v>
      </x:c>
      <x:c r="O19" s="32" t="n">
        <x:v>4.02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Lagocephalus laevigatus</x:v>
      </x:c>
      <x:c r="T19" s="32" t="n">
        <x:f>IF(O19="","",(1/'Metadata'!$B$5)^(O19-1))</x:f>
        <x:v>1047.1285480508984</x:v>
      </x:c>
      <x:c r="U19" s="31" t="n">
        <x:f>IF(T19="","",I19*T19)</x:f>
        <x:v>76785.00039177682</x:v>
      </x:c>
    </x:row>
    <x:row r="20" ht="18" customHeight="1">
      <x:c r="A20" s="24" t="str">
        <x:v>EEZ_254</x:v>
      </x:c>
      <x:c r="B20" s="24" t="str">
        <x:v>French Guiana</x:v>
      </x:c>
      <x:c r="C20" s="24" t="str">
        <x:v>EEZ</x:v>
      </x:c>
      <x:c r="D20" s="30" t="n">
        <x:v>2019</x:v>
      </x:c>
      <x:c r="E20" s="24" t="str">
        <x:v>Diplectrum formosum</x:v>
      </x:c>
      <x:c r="F20" s="24" t="str">
        <x:v>Sand perch</x:v>
      </x:c>
      <x:c r="G20" s="24" t="str">
        <x:v>Small demersals (&lt;30 cm)</x:v>
      </x:c>
      <x:c r="H20" s="24" t="str">
        <x:v>Perch-likes</x:v>
      </x:c>
      <x:c r="I20" s="31" t="n">
        <x:v>71.2921864916</x:v>
      </x:c>
      <x:c r="J20" s="31" t="n">
        <x:v>0</x:v>
      </x:c>
      <x:c r="K20" s="31" t="n">
        <x:v>71.2921864916</x:v>
      </x:c>
      <x:c r="L20" s="31" t="n">
        <x:v>0</x:v>
      </x:c>
      <x:c r="M20" s="31" t="n">
        <x:v>71.2921864916</x:v>
      </x:c>
      <x:c r="N20" s="24" t="str">
        <x:v>diplectrum formosum</x:v>
      </x:c>
      <x:c r="O20" s="32" t="n">
        <x:v>4.49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Diplectrum formosum</x:v>
      </x:c>
      <x:c r="T20" s="32" t="n">
        <x:f>IF(O20="","",(1/'Metadata'!$B$5)^(O20-1))</x:f>
        <x:v>3090.295432513592</x:v>
      </x:c>
      <x:c r="U20" s="31" t="n">
        <x:f>IF(T20="","",I20*T20)</x:f>
        <x:v>220313.9182888987</x:v>
      </x:c>
    </x:row>
    <x:row r="21" ht="18" customHeight="1">
      <x:c r="A21" s="24" t="str">
        <x:v>EEZ_254</x:v>
      </x:c>
      <x:c r="B21" s="24" t="str">
        <x:v>French Guiana</x:v>
      </x:c>
      <x:c r="C21" s="24" t="str">
        <x:v>EEZ</x:v>
      </x:c>
      <x:c r="D21" s="30" t="n">
        <x:v>2019</x:v>
      </x:c>
      <x:c r="E21" s="24" t="str">
        <x:v>Lobotes surinamensis</x:v>
      </x:c>
      <x:c r="F21" s="24" t="str">
        <x:v>Tripletail</x:v>
      </x:c>
      <x:c r="G21" s="24" t="str">
        <x:v>Large benthopelagics (&gt;=90 cm)</x:v>
      </x:c>
      <x:c r="H21" s="24" t="str">
        <x:v>Perch-likes</x:v>
      </x:c>
      <x:c r="I21" s="31" t="n">
        <x:v>70</x:v>
      </x:c>
      <x:c r="J21" s="31" t="n">
        <x:v>70</x:v>
      </x:c>
      <x:c r="K21" s="31" t="n">
        <x:v>0</x:v>
      </x:c>
      <x:c r="L21" s="31" t="n">
        <x:v>70</x:v>
      </x:c>
      <x:c r="M21" s="31" t="n">
        <x:v>0</x:v>
      </x:c>
      <x:c r="N21" s="24" t="str">
        <x:v>lobotes surinamensis</x:v>
      </x:c>
      <x:c r="O21" s="32" t="n">
        <x:v>4.04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Lobotes surinamensis</x:v>
      </x:c>
      <x:c r="T21" s="32" t="n">
        <x:f>IF(O21="","",(1/'Metadata'!$B$5)^(O21-1))</x:f>
        <x:v>1096.4781961431852</x:v>
      </x:c>
      <x:c r="U21" s="31" t="n">
        <x:f>IF(T21="","",I21*T21)</x:f>
        <x:v>76753.47373002296</x:v>
      </x:c>
    </x:row>
    <x:row r="22" ht="18" customHeight="1">
      <x:c r="A22" s="24" t="str">
        <x:v>EEZ_254</x:v>
      </x:c>
      <x:c r="B22" s="24" t="str">
        <x:v>French Guiana</x:v>
      </x:c>
      <x:c r="C22" s="24" t="str">
        <x:v>EEZ</x:v>
      </x:c>
      <x:c r="D22" s="30" t="n">
        <x:v>2019</x:v>
      </x:c>
      <x:c r="E22" s="24" t="str">
        <x:v>Haemulidae</x:v>
      </x:c>
      <x:c r="F22" s="24" t="str">
        <x:v>Grunts, sweetlips, bonnetmouths</x:v>
      </x:c>
      <x:c r="G22" s="24" t="str">
        <x:v>Medium demersals (30 - 89 cm)</x:v>
      </x:c>
      <x:c r="H22" s="24" t="str">
        <x:v>Perch-likes</x:v>
      </x:c>
      <x:c r="I22" s="31" t="n">
        <x:v>66.5643363042</x:v>
      </x:c>
      <x:c r="J22" s="31" t="n">
        <x:v>0</x:v>
      </x:c>
      <x:c r="K22" s="31" t="n">
        <x:v>66.5643363042</x:v>
      </x:c>
      <x:c r="L22" s="31" t="n">
        <x:v>0</x:v>
      </x:c>
      <x:c r="M22" s="31" t="n">
        <x:v>66.5643363042</x:v>
      </x:c>
      <x:c r="N22" s="24" t="str">
        <x:v>haemulidae</x:v>
      </x:c>
      <x:c r="O22" s="32" t="n">
        <x:v>3.36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Haemulidae</x:v>
      </x:c>
      <x:c r="T22" s="32" t="n">
        <x:f>IF(O22="","",(1/'Metadata'!$B$5)^(O22-1))</x:f>
        <x:v>229.08676527677724</x:v>
      </x:c>
      <x:c r="U22" s="31" t="n">
        <x:f>IF(T22="","",I22*T22)</x:f>
        <x:v>15249.008486724726</x:v>
      </x:c>
    </x:row>
    <x:row r="23" ht="18" customHeight="1">
      <x:c r="A23" s="24" t="str">
        <x:v>EEZ_254</x:v>
      </x:c>
      <x:c r="B23" s="24" t="str">
        <x:v>French Guiana</x:v>
      </x:c>
      <x:c r="C23" s="24" t="str">
        <x:v>EEZ</x:v>
      </x:c>
      <x:c r="D23" s="30" t="n">
        <x:v>2019</x:v>
      </x:c>
      <x:c r="E23" s="24" t="str">
        <x:v>Thunnus albacares</x:v>
      </x:c>
      <x:c r="F23" s="24" t="str">
        <x:v>Yellowfin tuna</x:v>
      </x:c>
      <x:c r="G23" s="24" t="str">
        <x:v>Large pelagics (&gt;=90 cm)</x:v>
      </x:c>
      <x:c r="H23" s="24" t="str">
        <x:v>Tuna &amp; billfishes</x:v>
      </x:c>
      <x:c r="I23" s="31" t="n">
        <x:v>62.8382186822</x:v>
      </x:c>
      <x:c r="J23" s="31" t="n">
        <x:v>62.8382186822</x:v>
      </x:c>
      <x:c r="K23" s="31" t="n">
        <x:v>0</x:v>
      </x:c>
      <x:c r="L23" s="31" t="n">
        <x:v>62.8382186822</x:v>
      </x:c>
      <x:c r="M23" s="31" t="n">
        <x:v>0</x:v>
      </x:c>
      <x:c r="N23" s="24" t="str">
        <x:v>thunnus albacares</x:v>
      </x:c>
      <x:c r="O23" s="32" t="n">
        <x:v>4.41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Thunnus albacares</x:v>
      </x:c>
      <x:c r="T23" s="32" t="n">
        <x:f>IF(O23="","",(1/'Metadata'!$B$5)^(O23-1))</x:f>
        <x:v>2570.3957827688646</x:v>
      </x:c>
      <x:c r="U23" s="31" t="n">
        <x:f>IF(T23="","",I23*T23)</x:f>
        <x:v>161519.09229743457</x:v>
      </x:c>
    </x:row>
    <x:row r="24" ht="18" customHeight="1">
      <x:c r="A24" s="24" t="str">
        <x:v>EEZ_254</x:v>
      </x:c>
      <x:c r="B24" s="24" t="str">
        <x:v>French Guiana</x:v>
      </x:c>
      <x:c r="C24" s="24" t="str">
        <x:v>EEZ</x:v>
      </x:c>
      <x:c r="D24" s="30" t="n">
        <x:v>2019</x:v>
      </x:c>
      <x:c r="E24" s="24" t="str">
        <x:v>Trichiurus lepturus</x:v>
      </x:c>
      <x:c r="F24" s="24" t="str">
        <x:v>Largehead hairtail</x:v>
      </x:c>
      <x:c r="G24" s="24" t="str">
        <x:v>Large benthopelagics (&gt;=90 cm)</x:v>
      </x:c>
      <x:c r="H24" s="24" t="str">
        <x:v>Perch-likes</x:v>
      </x:c>
      <x:c r="I24" s="31" t="n">
        <x:v>61.1075884133</x:v>
      </x:c>
      <x:c r="J24" s="31" t="n">
        <x:v>0</x:v>
      </x:c>
      <x:c r="K24" s="31" t="n">
        <x:v>61.1075884133</x:v>
      </x:c>
      <x:c r="L24" s="31" t="n">
        <x:v>0</x:v>
      </x:c>
      <x:c r="M24" s="31" t="n">
        <x:v>61.1075884133</x:v>
      </x:c>
      <x:c r="N24" s="24" t="str">
        <x:v>trichiurus lepturus</x:v>
      </x:c>
      <x:c r="O24" s="32" t="n">
        <x:v>4.42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Trichiurus lepturus</x:v>
      </x:c>
      <x:c r="T24" s="32" t="n">
        <x:f>IF(O24="","",(1/'Metadata'!$B$5)^(O24-1))</x:f>
        <x:v>2630.2679918953813</x:v>
      </x:c>
      <x:c r="U24" s="31" t="n">
        <x:f>IF(T24="","",I24*T24)</x:f>
        <x:v>160729.33386542005</x:v>
      </x:c>
    </x:row>
    <x:row r="25" ht="18" customHeight="1">
      <x:c r="A25" s="24" t="str">
        <x:v>EEZ_254</x:v>
      </x:c>
      <x:c r="B25" s="24" t="str">
        <x:v>French Guiana</x:v>
      </x:c>
      <x:c r="C25" s="24" t="str">
        <x:v>EEZ</x:v>
      </x:c>
      <x:c r="D25" s="30" t="n">
        <x:v>2019</x:v>
      </x:c>
      <x:c r="E25" s="24" t="str">
        <x:v>Megalops atlanticus</x:v>
      </x:c>
      <x:c r="F25" s="24" t="str">
        <x:v>Tarpon</x:v>
      </x:c>
      <x:c r="G25" s="24" t="str">
        <x:v>Large pelagics (&gt;=90 cm)</x:v>
      </x:c>
      <x:c r="H25" s="24" t="str">
        <x:v>Other fishes &amp; inverts</x:v>
      </x:c>
      <x:c r="I25" s="31" t="n">
        <x:v>60.0000000001</x:v>
      </x:c>
      <x:c r="J25" s="31" t="n">
        <x:v>60.0000000001</x:v>
      </x:c>
      <x:c r="K25" s="31" t="n">
        <x:v>0</x:v>
      </x:c>
      <x:c r="L25" s="31" t="n">
        <x:v>60.0000000001</x:v>
      </x:c>
      <x:c r="M25" s="31" t="n">
        <x:v>0</x:v>
      </x:c>
      <x:c r="N25" s="24" t="str">
        <x:v>megalops atlanticus</x:v>
      </x:c>
      <x:c r="O25" s="32" t="n">
        <x:v>4.5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Megalops atlanticus</x:v>
      </x:c>
      <x:c r="T25" s="32" t="n">
        <x:f>IF(O25="","",(1/'Metadata'!$B$5)^(O25-1))</x:f>
        <x:v>3162.2776601683795</x:v>
      </x:c>
      <x:c r="U25" s="31" t="n">
        <x:f>IF(T25="","",I25*T25)</x:f>
        <x:v>189736.659610419</x:v>
      </x:c>
    </x:row>
    <x:row r="26" ht="18" customHeight="1">
      <x:c r="A26" s="24" t="str">
        <x:v>EEZ_254</x:v>
      </x:c>
      <x:c r="B26" s="24" t="str">
        <x:v>French Guiana</x:v>
      </x:c>
      <x:c r="C26" s="24" t="str">
        <x:v>EEZ</x:v>
      </x:c>
      <x:c r="D26" s="30" t="n">
        <x:v>2019</x:v>
      </x:c>
      <x:c r="E26" s="24" t="str">
        <x:v>Centropomidae</x:v>
      </x:c>
      <x:c r="F26" s="24" t="str">
        <x:v>Snooks</x:v>
      </x:c>
      <x:c r="G26" s="24" t="str">
        <x:v>Large reef assoc. fish (&gt;=90 cm)</x:v>
      </x:c>
      <x:c r="H26" s="24" t="str">
        <x:v>Perch-likes</x:v>
      </x:c>
      <x:c r="I26" s="31" t="n">
        <x:v>60</x:v>
      </x:c>
      <x:c r="J26" s="31" t="n">
        <x:v>60</x:v>
      </x:c>
      <x:c r="K26" s="31" t="n">
        <x:v>0</x:v>
      </x:c>
      <x:c r="L26" s="31" t="n">
        <x:v>60</x:v>
      </x:c>
      <x:c r="M26" s="31" t="n">
        <x:v>0</x:v>
      </x:c>
      <x:c r="N26" s="24" t="str">
        <x:v>centropomidae</x:v>
      </x:c>
      <x:c r="O26" s="32" t="n">
        <x:v>3.92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Centropomidae</x:v>
      </x:c>
      <x:c r="T26" s="32" t="n">
        <x:f>IF(O26="","",(1/'Metadata'!$B$5)^(O26-1))</x:f>
        <x:v>831.7637711026708</x:v>
      </x:c>
      <x:c r="U26" s="31" t="n">
        <x:f>IF(T26="","",I26*T26)</x:f>
        <x:v>49905.82626616025</x:v>
      </x:c>
    </x:row>
    <x:row r="27" ht="18" customHeight="1">
      <x:c r="A27" s="24" t="str">
        <x:v>EEZ_254</x:v>
      </x:c>
      <x:c r="B27" s="24" t="str">
        <x:v>French Guiana</x:v>
      </x:c>
      <x:c r="C27" s="24" t="str">
        <x:v>EEZ</x:v>
      </x:c>
      <x:c r="D27" s="30" t="n">
        <x:v>2019</x:v>
      </x:c>
      <x:c r="E27" s="24" t="str">
        <x:v>Haemulon steindachneri</x:v>
      </x:c>
      <x:c r="F27" s="24" t="str">
        <x:v>Chere-chere grunt</x:v>
      </x:c>
      <x:c r="G27" s="24" t="str">
        <x:v>Small reef assoc. fish (&lt;30 cm)</x:v>
      </x:c>
      <x:c r="H27" s="24" t="str">
        <x:v>Perch-likes</x:v>
      </x:c>
      <x:c r="I27" s="31" t="n">
        <x:v>57.0337491761</x:v>
      </x:c>
      <x:c r="J27" s="31" t="n">
        <x:v>0</x:v>
      </x:c>
      <x:c r="K27" s="31" t="n">
        <x:v>57.0337491761</x:v>
      </x:c>
      <x:c r="L27" s="31" t="n">
        <x:v>0</x:v>
      </x:c>
      <x:c r="M27" s="31" t="n">
        <x:v>57.0337491761</x:v>
      </x:c>
      <x:c r="N27" s="24" t="str">
        <x:v>haemulon steindachneri</x:v>
      </x:c>
      <x:c r="O27" s="32" t="n">
        <x:v>3.73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Haemulon steindachneri</x:v>
      </x:c>
      <x:c r="T27" s="32" t="n">
        <x:f>IF(O27="","",(1/'Metadata'!$B$5)^(O27-1))</x:f>
        <x:v>537.0317963702527</x:v>
      </x:c>
      <x:c r="U27" s="31" t="n">
        <x:f>IF(T27="","",I27*T27)</x:f>
        <x:v>30628.936773771402</x:v>
      </x:c>
    </x:row>
    <x:row r="28" ht="18" customHeight="1">
      <x:c r="A28" s="24" t="str">
        <x:v>EEZ_254</x:v>
      </x:c>
      <x:c r="B28" s="24" t="str">
        <x:v>French Guiana</x:v>
      </x:c>
      <x:c r="C28" s="24" t="str">
        <x:v>EEZ</x:v>
      </x:c>
      <x:c r="D28" s="30" t="n">
        <x:v>2019</x:v>
      </x:c>
      <x:c r="E28" s="24" t="str">
        <x:v>Larimus breviceps</x:v>
      </x:c>
      <x:c r="F28" s="24" t="str">
        <x:v>Shorthead drum</x:v>
      </x:c>
      <x:c r="G28" s="24" t="str">
        <x:v>Small demersals (&lt;30 cm)</x:v>
      </x:c>
      <x:c r="H28" s="24" t="str">
        <x:v>Perch-likes</x:v>
      </x:c>
      <x:c r="I28" s="31" t="n">
        <x:v>50.9229903281</x:v>
      </x:c>
      <x:c r="J28" s="31" t="n">
        <x:v>0</x:v>
      </x:c>
      <x:c r="K28" s="31" t="n">
        <x:v>50.9229903281</x:v>
      </x:c>
      <x:c r="L28" s="31" t="n">
        <x:v>0</x:v>
      </x:c>
      <x:c r="M28" s="31" t="n">
        <x:v>50.9229903281</x:v>
      </x:c>
      <x:c r="N28" s="24" t="str">
        <x:v>larimus breviceps</x:v>
      </x:c>
      <x:c r="O28" s="32" t="n">
        <x:v>3.52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Larimus breviceps</x:v>
      </x:c>
      <x:c r="T28" s="32" t="n">
        <x:f>IF(O28="","",(1/'Metadata'!$B$5)^(O28-1))</x:f>
        <x:v>331.1311214825911</x:v>
      </x:c>
      <x:c r="U28" s="31" t="n">
        <x:f>IF(T28="","",I28*T28)</x:f>
        <x:v>16862.18689659089</x:v>
      </x:c>
    </x:row>
    <x:row r="29" ht="18" customHeight="1">
      <x:c r="A29" s="24" t="str">
        <x:v>EEZ_254</x:v>
      </x:c>
      <x:c r="B29" s="24" t="str">
        <x:v>French Guiana</x:v>
      </x:c>
      <x:c r="C29" s="24" t="str">
        <x:v>EEZ</x:v>
      </x:c>
      <x:c r="D29" s="30" t="n">
        <x:v>2019</x:v>
      </x:c>
      <x:c r="E29" s="24" t="str">
        <x:v>Mugil</x:v>
      </x:c>
      <x:c r="F29" s="24" t="str">
        <x:v>Grey mullets</x:v>
      </x:c>
      <x:c r="G29" s="24" t="str">
        <x:v>Medium demersals (30 - 89 cm)</x:v>
      </x:c>
      <x:c r="H29" s="24" t="str">
        <x:v>Perch-likes</x:v>
      </x:c>
      <x:c r="I29" s="31" t="n">
        <x:v>50.0000000001</x:v>
      </x:c>
      <x:c r="J29" s="31" t="n">
        <x:v>50.0000000001</x:v>
      </x:c>
      <x:c r="K29" s="31" t="n">
        <x:v>0</x:v>
      </x:c>
      <x:c r="L29" s="31" t="n">
        <x:v>50.0000000001</x:v>
      </x:c>
      <x:c r="M29" s="31" t="n">
        <x:v>0</x:v>
      </x:c>
      <x:c r="N29" s="24" t="str">
        <x:v>mugil</x:v>
      </x:c>
      <x:c r="O29" s="32" t="n">
        <x:v>2.26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Mugil</x:v>
      </x:c>
      <x:c r="T29" s="32" t="n">
        <x:f>IF(O29="","",(1/'Metadata'!$B$5)^(O29-1))</x:f>
        <x:v>18.197008586099827</x:v>
      </x:c>
      <x:c r="U29" s="31" t="n">
        <x:f>IF(T29="","",I29*T29)</x:f>
        <x:v>909.8504293068111</x:v>
      </x:c>
    </x:row>
    <x:row r="30" ht="18" customHeight="1">
      <x:c r="A30" s="24" t="str">
        <x:v>EEZ_254</x:v>
      </x:c>
      <x:c r="B30" s="24" t="str">
        <x:v>French Guiana</x:v>
      </x:c>
      <x:c r="C30" s="24" t="str">
        <x:v>EEZ</x:v>
      </x:c>
      <x:c r="D30" s="30" t="n">
        <x:v>2019</x:v>
      </x:c>
      <x:c r="E30" s="24" t="str">
        <x:v>Pseudobatos percellens</x:v>
      </x:c>
      <x:c r="F30" s="24" t="str">
        <x:v>Chola guitarfish</x:v>
      </x:c>
      <x:c r="G30" s="24" t="str">
        <x:v>Small to medium rays (&lt;90 cm)</x:v>
      </x:c>
      <x:c r="H30" s="24" t="str">
        <x:v>Sharks &amp; rays</x:v>
      </x:c>
      <x:c r="I30" s="31" t="n">
        <x:v>48.8860707279</x:v>
      </x:c>
      <x:c r="J30" s="31" t="n">
        <x:v>0</x:v>
      </x:c>
      <x:c r="K30" s="31" t="n">
        <x:v>48.8860707279</x:v>
      </x:c>
      <x:c r="L30" s="31" t="n">
        <x:v>0</x:v>
      </x:c>
      <x:c r="M30" s="31" t="n">
        <x:v>48.8860707279</x:v>
      </x:c>
      <x:c r="N30" s="24" t="str">
        <x:v>pseudobatos percellens</x:v>
      </x:c>
      <x:c r="O30" s="32" t="n">
        <x:v>3.58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Pseudobatos percellens</x:v>
      </x:c>
      <x:c r="T30" s="32" t="n">
        <x:f>IF(O30="","",(1/'Metadata'!$B$5)^(O30-1))</x:f>
        <x:v>380.1893963205613</x:v>
      </x:c>
      <x:c r="U30" s="31" t="n">
        <x:f>IF(T30="","",I30*T30)</x:f>
        <x:v>18585.965718524563</x:v>
      </x:c>
    </x:row>
    <x:row r="31" ht="18" customHeight="1">
      <x:c r="A31" s="24" t="str">
        <x:v>EEZ_254</x:v>
      </x:c>
      <x:c r="B31" s="24" t="str">
        <x:v>French Guiana</x:v>
      </x:c>
      <x:c r="C31" s="24" t="str">
        <x:v>EEZ</x:v>
      </x:c>
      <x:c r="D31" s="30" t="n">
        <x:v>2019</x:v>
      </x:c>
      <x:c r="E31" s="24" t="str">
        <x:v>Harengula clupeola</x:v>
      </x:c>
      <x:c r="F31" s="24" t="str">
        <x:v>False herring</x:v>
      </x:c>
      <x:c r="G31" s="24" t="str">
        <x:v>Small pelagics (&lt;30 cm)</x:v>
      </x:c>
      <x:c r="H31" s="24" t="str">
        <x:v>Herring-likes</x:v>
      </x:c>
      <x:c r="I31" s="31" t="n">
        <x:v>46.8491511277</x:v>
      </x:c>
      <x:c r="J31" s="31" t="n">
        <x:v>0</x:v>
      </x:c>
      <x:c r="K31" s="31" t="n">
        <x:v>46.8491511277</x:v>
      </x:c>
      <x:c r="L31" s="31" t="n">
        <x:v>0</x:v>
      </x:c>
      <x:c r="M31" s="31" t="n">
        <x:v>46.8491511277</x:v>
      </x:c>
      <x:c r="N31" s="24" t="str">
        <x:v>harengula clupeola</x:v>
      </x:c>
      <x:c r="O31" s="32" t="n">
        <x:v>3.31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Harengula clupeola</x:v>
      </x:c>
      <x:c r="T31" s="32" t="n">
        <x:f>IF(O31="","",(1/'Metadata'!$B$5)^(O31-1))</x:f>
        <x:v>204.17379446695296</x:v>
      </x:c>
      <x:c r="U31" s="31" t="n">
        <x:f>IF(T31="","",I31*T31)</x:f>
        <x:v>9565.368953298237</x:v>
      </x:c>
    </x:row>
    <x:row r="32" ht="18" customHeight="1">
      <x:c r="A32" s="24" t="str">
        <x:v>EEZ_254</x:v>
      </x:c>
      <x:c r="B32" s="24" t="str">
        <x:v>French Guiana</x:v>
      </x:c>
      <x:c r="C32" s="24" t="str">
        <x:v>EEZ</x:v>
      </x:c>
      <x:c r="D32" s="30" t="n">
        <x:v>2019</x:v>
      </x:c>
      <x:c r="E32" s="24" t="str">
        <x:v>Istiophorus albicans</x:v>
      </x:c>
      <x:c r="F32" s="24" t="str">
        <x:v>Atlantic sailfish</x:v>
      </x:c>
      <x:c r="G32" s="24" t="str">
        <x:v>Large pelagics (&gt;=90 cm)</x:v>
      </x:c>
      <x:c r="H32" s="24" t="str">
        <x:v>Tuna &amp; billfishes</x:v>
      </x:c>
      <x:c r="I32" s="31" t="n">
        <x:v>29.280298432</x:v>
      </x:c>
      <x:c r="J32" s="31" t="n">
        <x:v>29.280298432</x:v>
      </x:c>
      <x:c r="K32" s="31" t="n">
        <x:v>0</x:v>
      </x:c>
      <x:c r="L32" s="31" t="n">
        <x:v>29.280298432</x:v>
      </x:c>
      <x:c r="M32" s="31" t="n">
        <x:v>0</x:v>
      </x:c>
      <x:c r="N32" s="24" t="str">
        <x:v>istiophorus albicans</x:v>
      </x:c>
      <x:c r="O32" s="32" t="n">
        <x:v>4.5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Istiophorus albicans</x:v>
      </x:c>
      <x:c r="T32" s="32" t="n">
        <x:f>IF(O32="","",(1/'Metadata'!$B$5)^(O32-1))</x:f>
        <x:v>3162.2776601683795</x:v>
      </x:c>
      <x:c r="U32" s="31" t="n">
        <x:f>IF(T32="","",I32*T32)</x:f>
        <x:v>92592.43361457683</x:v>
      </x:c>
    </x:row>
    <x:row r="33" ht="18" customHeight="1">
      <x:c r="A33" s="24" t="str">
        <x:v>EEZ_254</x:v>
      </x:c>
      <x:c r="B33" s="24" t="str">
        <x:v>French Guiana</x:v>
      </x:c>
      <x:c r="C33" s="24" t="str">
        <x:v>EEZ</x:v>
      </x:c>
      <x:c r="D33" s="30" t="n">
        <x:v>2019</x:v>
      </x:c>
      <x:c r="E33" s="24" t="str">
        <x:v>Serranidae</x:v>
      </x:c>
      <x:c r="F33" s="24" t="str">
        <x:v>Basses, groupers, hinds</x:v>
      </x:c>
      <x:c r="G33" s="24" t="str">
        <x:v>Medium reef assoc. fish (30 - 89 cm)</x:v>
      </x:c>
      <x:c r="H33" s="24" t="str">
        <x:v>Perch-likes</x:v>
      </x:c>
      <x:c r="I33" s="31" t="n">
        <x:v>26.7072953292</x:v>
      </x:c>
      <x:c r="J33" s="31" t="n">
        <x:v>15</x:v>
      </x:c>
      <x:c r="K33" s="31" t="n">
        <x:v>11.7072953292</x:v>
      </x:c>
      <x:c r="L33" s="31" t="n">
        <x:v>15</x:v>
      </x:c>
      <x:c r="M33" s="31" t="n">
        <x:v>11.7072953292</x:v>
      </x:c>
      <x:c r="N33" s="24" t="str">
        <x:v>serranidae</x:v>
      </x:c>
      <x:c r="O33" s="32" t="n">
        <x:v>3.98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Serranidae</x:v>
      </x:c>
      <x:c r="T33" s="32" t="n">
        <x:f>IF(O33="","",(1/'Metadata'!$B$5)^(O33-1))</x:f>
        <x:v>954.992586021436</x:v>
      </x:c>
      <x:c r="U33" s="31" t="n">
        <x:f>IF(T33="","",I33*T33)</x:f>
        <x:v>25505.269032070926</x:v>
      </x:c>
    </x:row>
    <x:row r="34" ht="18" customHeight="1">
      <x:c r="A34" s="24" t="str">
        <x:v>EEZ_254</x:v>
      </x:c>
      <x:c r="B34" s="24" t="str">
        <x:v>French Guiana</x:v>
      </x:c>
      <x:c r="C34" s="24" t="str">
        <x:v>EEZ</x:v>
      </x:c>
      <x:c r="D34" s="30" t="n">
        <x:v>2019</x:v>
      </x:c>
      <x:c r="E34" s="24" t="str">
        <x:v>Xiphopenaeus kroyeri</x:v>
      </x:c>
      <x:c r="F34" s="24" t="str">
        <x:v>Atlantic seabob</x:v>
      </x:c>
      <x:c r="G34" s="24" t="str">
        <x:v>Shrimps</x:v>
      </x:c>
      <x:c r="H34" s="24" t="str">
        <x:v>Crustaceans</x:v>
      </x:c>
      <x:c r="I34" s="31" t="n">
        <x:v>25.7880275901</x:v>
      </x:c>
      <x:c r="J34" s="31" t="n">
        <x:v>25.7880275901</x:v>
      </x:c>
      <x:c r="K34" s="31" t="n">
        <x:v>0</x:v>
      </x:c>
      <x:c r="L34" s="31" t="n">
        <x:v>0</x:v>
      </x:c>
      <x:c r="M34" s="31" t="n">
        <x:v>25.7880275901</x:v>
      </x:c>
      <x:c r="N34" s="24" t="str">
        <x:v>xiphopenaeus kroyeri</x:v>
      </x:c>
      <x:c r="O34" s="32" t="n">
        <x:v>2.7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Xiphopenaeus kroyeri</x:v>
      </x:c>
      <x:c r="T34" s="32" t="n">
        <x:f>IF(O34="","",(1/'Metadata'!$B$5)^(O34-1))</x:f>
        <x:v>50.11872336272725</x:v>
      </x:c>
      <x:c r="U34" s="31" t="n">
        <x:f>IF(T34="","",I34*T34)</x:f>
        <x:v>1292.4630208585997</x:v>
      </x:c>
    </x:row>
    <x:row r="35" ht="18" customHeight="1">
      <x:c r="A35" s="24" t="str">
        <x:v>EEZ_254</x:v>
      </x:c>
      <x:c r="B35" s="24" t="str">
        <x:v>French Guiana</x:v>
      </x:c>
      <x:c r="C35" s="24" t="str">
        <x:v>EEZ</x:v>
      </x:c>
      <x:c r="D35" s="30" t="n">
        <x:v>2019</x:v>
      </x:c>
      <x:c r="E35" s="24" t="str">
        <x:v>Rhizostomatidae</x:v>
      </x:c>
      <x:c r="F35" s="24" t="str">
        <x:v>Rhizostomatid jellyfishes</x:v>
      </x:c>
      <x:c r="G35" s="24" t="str">
        <x:v>Jellyfish</x:v>
      </x:c>
      <x:c r="H35" s="24" t="str">
        <x:v>Other fishes &amp; inverts</x:v>
      </x:c>
      <x:c r="I35" s="31" t="n">
        <x:v>22.4111081998</x:v>
      </x:c>
      <x:c r="J35" s="31" t="n">
        <x:v>0</x:v>
      </x:c>
      <x:c r="K35" s="31" t="n">
        <x:v>22.4111081998</x:v>
      </x:c>
      <x:c r="L35" s="31" t="n">
        <x:v>0</x:v>
      </x:c>
      <x:c r="M35" s="31" t="n">
        <x:v>22.4111081998</x:v>
      </x:c>
      <x:c r="N35" s="24" t="str">
        <x:v>rhizostomatidae</x:v>
      </x:c>
      <x:c r="O35" s="32" t="n">
        <x:v>3.46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Rhizostomatidae</x:v>
      </x:c>
      <x:c r="T35" s="32" t="n">
        <x:f>IF(O35="","",(1/'Metadata'!$B$5)^(O35-1))</x:f>
        <x:v>288.40315031266056</x:v>
      </x:c>
      <x:c r="U35" s="31" t="n">
        <x:f>IF(T35="","",I35*T35)</x:f>
        <x:v>6463.4342068202195</x:v>
      </x:c>
    </x:row>
    <x:row r="36" ht="18" customHeight="1">
      <x:c r="A36" s="24" t="str">
        <x:v>EEZ_254</x:v>
      </x:c>
      <x:c r="B36" s="24" t="str">
        <x:v>French Guiana</x:v>
      </x:c>
      <x:c r="C36" s="24" t="str">
        <x:v>EEZ</x:v>
      </x:c>
      <x:c r="D36" s="30" t="n">
        <x:v>2019</x:v>
      </x:c>
      <x:c r="E36" s="24" t="str">
        <x:v>Coryphaena hippurus</x:v>
      </x:c>
      <x:c r="F36" s="24" t="str">
        <x:v>Common dolphinfish</x:v>
      </x:c>
      <x:c r="G36" s="24" t="str">
        <x:v>Large pelagics (&gt;=90 cm)</x:v>
      </x:c>
      <x:c r="H36" s="24" t="str">
        <x:v>Perch-likes</x:v>
      </x:c>
      <x:c r="I36" s="31" t="n">
        <x:v>21.838349687100003</x:v>
      </x:c>
      <x:c r="J36" s="31" t="n">
        <x:v>21.838349687100003</x:v>
      </x:c>
      <x:c r="K36" s="31" t="n">
        <x:v>0</x:v>
      </x:c>
      <x:c r="L36" s="31" t="n">
        <x:v>21.838349687100003</x:v>
      </x:c>
      <x:c r="M36" s="31" t="n">
        <x:v>0</x:v>
      </x:c>
      <x:c r="N36" s="24" t="str">
        <x:v>coryphaena hippurus</x:v>
      </x:c>
      <x:c r="O36" s="32" t="n">
        <x:v>4.37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Coryphaena hippurus</x:v>
      </x:c>
      <x:c r="T36" s="32" t="n">
        <x:f>IF(O36="","",(1/'Metadata'!$B$5)^(O36-1))</x:f>
        <x:v>2344.228815319923</x:v>
      </x:c>
      <x:c r="U36" s="31" t="n">
        <x:f>IF(T36="","",I36*T36)</x:f>
        <x:v>51194.088615532644</x:v>
      </x:c>
    </x:row>
    <x:row r="37" ht="18" customHeight="1">
      <x:c r="A37" s="24" t="str">
        <x:v>EEZ_254</x:v>
      </x:c>
      <x:c r="B37" s="24" t="str">
        <x:v>French Guiana</x:v>
      </x:c>
      <x:c r="C37" s="24" t="str">
        <x:v>EEZ</x:v>
      </x:c>
      <x:c r="D37" s="30" t="n">
        <x:v>2019</x:v>
      </x:c>
      <x:c r="E37" s="24" t="str">
        <x:v>Clupeiformes</x:v>
      </x:c>
      <x:c r="F37" s="24" t="str">
        <x:v>Herrings, shads, anchovies</x:v>
      </x:c>
      <x:c r="G37" s="24" t="str">
        <x:v>Small pelagics (&lt;30 cm)</x:v>
      </x:c>
      <x:c r="H37" s="24" t="str">
        <x:v>Other fishes &amp; inverts</x:v>
      </x:c>
      <x:c r="I37" s="31" t="n">
        <x:v>20</x:v>
      </x:c>
      <x:c r="J37" s="31" t="n">
        <x:v>20</x:v>
      </x:c>
      <x:c r="K37" s="31" t="n">
        <x:v>0</x:v>
      </x:c>
      <x:c r="L37" s="31" t="n">
        <x:v>20</x:v>
      </x:c>
      <x:c r="M37" s="31" t="n">
        <x:v>0</x:v>
      </x:c>
      <x:c r="N37" s="24" t="str">
        <x:v>clupeiformes</x:v>
      </x:c>
      <x:c r="O37" s="32" t="n">
        <x:v>3.24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Clupeiformes</x:v>
      </x:c>
      <x:c r="T37" s="32" t="n">
        <x:f>IF(O37="","",(1/'Metadata'!$B$5)^(O37-1))</x:f>
        <x:v>173.78008287493762</x:v>
      </x:c>
      <x:c r="U37" s="31" t="n">
        <x:f>IF(T37="","",I37*T37)</x:f>
        <x:v>3475.6016574987525</x:v>
      </x:c>
    </x:row>
    <x:row r="38" ht="18" customHeight="1">
      <x:c r="A38" s="24" t="str">
        <x:v>EEZ_254</x:v>
      </x:c>
      <x:c r="B38" s="24" t="str">
        <x:v>French Guiana</x:v>
      </x:c>
      <x:c r="C38" s="24" t="str">
        <x:v>EEZ</x:v>
      </x:c>
      <x:c r="D38" s="30" t="n">
        <x:v>2019</x:v>
      </x:c>
      <x:c r="E38" s="24" t="str">
        <x:v>Batrachoididae</x:v>
      </x:c>
      <x:c r="F38" s="24" t="str">
        <x:v>Toadfishes</x:v>
      </x:c>
      <x:c r="G38" s="24" t="str">
        <x:v>Large reef assoc. fish (&gt;=90 cm)</x:v>
      </x:c>
      <x:c r="H38" s="24" t="str">
        <x:v>Other fishes &amp; inverts</x:v>
      </x:c>
      <x:c r="I38" s="31" t="n">
        <x:v>18.3971783745</x:v>
      </x:c>
      <x:c r="J38" s="31" t="n">
        <x:v>0</x:v>
      </x:c>
      <x:c r="K38" s="31" t="n">
        <x:v>18.3971783745</x:v>
      </x:c>
      <x:c r="L38" s="31" t="n">
        <x:v>0</x:v>
      </x:c>
      <x:c r="M38" s="31" t="n">
        <x:v>18.3971783745</x:v>
      </x:c>
      <x:c r="N38" s="24" t="str">
        <x:v>batrachoididae</x:v>
      </x:c>
      <x:c r="O38" s="32" t="n">
        <x:v>3.66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Batrachoididae</x:v>
      </x:c>
      <x:c r="T38" s="32" t="n">
        <x:f>IF(O38="","",(1/'Metadata'!$B$5)^(O38-1))</x:f>
        <x:v>457.0881896148752</x:v>
      </x:c>
      <x:c r="U38" s="31" t="n">
        <x:f>IF(T38="","",I38*T38)</x:f>
        <x:v>8409.132957222138</x:v>
      </x:c>
    </x:row>
    <x:row r="39" ht="18" customHeight="1">
      <x:c r="A39" s="24" t="str">
        <x:v>EEZ_254</x:v>
      </x:c>
      <x:c r="B39" s="24" t="str">
        <x:v>French Guiana</x:v>
      </x:c>
      <x:c r="C39" s="24" t="str">
        <x:v>EEZ</x:v>
      </x:c>
      <x:c r="D39" s="30" t="n">
        <x:v>2019</x:v>
      </x:c>
      <x:c r="E39" s="24" t="str">
        <x:v>Bothidae</x:v>
      </x:c>
      <x:c r="F39" s="24" t="str">
        <x:v>Lefteye flounders</x:v>
      </x:c>
      <x:c r="G39" s="24" t="str">
        <x:v>Small to medium flatfishes (&lt;90 cm)</x:v>
      </x:c>
      <x:c r="H39" s="24" t="str">
        <x:v>Flatfishes</x:v>
      </x:c>
      <x:c r="I39" s="31" t="n">
        <x:v>14.3832485462</x:v>
      </x:c>
      <x:c r="J39" s="31" t="n">
        <x:v>0</x:v>
      </x:c>
      <x:c r="K39" s="31" t="n">
        <x:v>14.3832485462</x:v>
      </x:c>
      <x:c r="L39" s="31" t="n">
        <x:v>0</x:v>
      </x:c>
      <x:c r="M39" s="31" t="n">
        <x:v>14.3832485462</x:v>
      </x:c>
      <x:c r="N39" s="24" t="str">
        <x:v>bothidae</x:v>
      </x:c>
      <x:c r="O39" s="32" t="n">
        <x:v>3.77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Bothidae</x:v>
      </x:c>
      <x:c r="T39" s="32" t="n">
        <x:f>IF(O39="","",(1/'Metadata'!$B$5)^(O39-1))</x:f>
        <x:v>588.843655355589</x:v>
      </x:c>
      <x:c r="U39" s="31" t="n">
        <x:f>IF(T39="","",I39*T39)</x:f>
        <x:v>8469.48464983237</x:v>
      </x:c>
    </x:row>
    <x:row r="40" ht="18" customHeight="1">
      <x:c r="A40" s="24" t="str">
        <x:v>EEZ_254</x:v>
      </x:c>
      <x:c r="B40" s="24" t="str">
        <x:v>French Guiana</x:v>
      </x:c>
      <x:c r="C40" s="24" t="str">
        <x:v>EEZ</x:v>
      </x:c>
      <x:c r="D40" s="30" t="n">
        <x:v>2019</x:v>
      </x:c>
      <x:c r="E40" s="24" t="str">
        <x:v>Thunnus alalunga</x:v>
      </x:c>
      <x:c r="F40" s="24" t="str">
        <x:v>Albacore</x:v>
      </x:c>
      <x:c r="G40" s="24" t="str">
        <x:v>Large pelagics (&gt;=90 cm)</x:v>
      </x:c>
      <x:c r="H40" s="24" t="str">
        <x:v>Tuna &amp; billfishes</x:v>
      </x:c>
      <x:c r="I40" s="31" t="n">
        <x:v>13.0008144049</x:v>
      </x:c>
      <x:c r="J40" s="31" t="n">
        <x:v>13.0008144049</x:v>
      </x:c>
      <x:c r="K40" s="31" t="n">
        <x:v>0</x:v>
      </x:c>
      <x:c r="L40" s="31" t="n">
        <x:v>13.0008144049</x:v>
      </x:c>
      <x:c r="M40" s="31" t="n">
        <x:v>0</x:v>
      </x:c>
      <x:c r="N40" s="24" t="str">
        <x:v>thunnus alalunga</x:v>
      </x:c>
      <x:c r="O40" s="32" t="n">
        <x:v>4.3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Thunnus alalunga</x:v>
      </x:c>
      <x:c r="T40" s="32" t="n">
        <x:f>IF(O40="","",(1/'Metadata'!$B$5)^(O40-1))</x:f>
        <x:v>1995.2623149688789</x:v>
      </x:c>
      <x:c r="U40" s="31" t="n">
        <x:f>IF(T40="","",I40*T40)</x:f>
        <x:v>25940.03504600152</x:v>
      </x:c>
    </x:row>
    <x:row r="41" ht="18" customHeight="1">
      <x:c r="A41" s="24" t="str">
        <x:v>EEZ_254</x:v>
      </x:c>
      <x:c r="B41" s="24" t="str">
        <x:v>French Guiana</x:v>
      </x:c>
      <x:c r="C41" s="24" t="str">
        <x:v>EEZ</x:v>
      </x:c>
      <x:c r="D41" s="30" t="n">
        <x:v>2019</x:v>
      </x:c>
      <x:c r="E41" s="24" t="str">
        <x:v>Gerreidae</x:v>
      </x:c>
      <x:c r="F41" s="24" t="str">
        <x:v>Mojarras, silverbellies</x:v>
      </x:c>
      <x:c r="G41" s="24" t="str">
        <x:v>Small benthopelagics (&lt;30 cm)</x:v>
      </x:c>
      <x:c r="H41" s="24" t="str">
        <x:v>Perch-likes</x:v>
      </x:c>
      <x:c r="I41" s="31" t="n">
        <x:v>12.3762836339</x:v>
      </x:c>
      <x:c r="J41" s="31" t="n">
        <x:v>0</x:v>
      </x:c>
      <x:c r="K41" s="31" t="n">
        <x:v>12.3762836339</x:v>
      </x:c>
      <x:c r="L41" s="31" t="n">
        <x:v>0</x:v>
      </x:c>
      <x:c r="M41" s="31" t="n">
        <x:v>12.3762836339</x:v>
      </x:c>
      <x:c r="N41" s="24" t="str">
        <x:v>gerreidae</x:v>
      </x:c>
      <x:c r="O41" s="32" t="n">
        <x:v>3.03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Gerreidae</x:v>
      </x:c>
      <x:c r="T41" s="32" t="n">
        <x:f>IF(O41="","",(1/'Metadata'!$B$5)^(O41-1))</x:f>
        <x:v>107.1519305237606</x:v>
      </x:c>
      <x:c r="U41" s="31" t="n">
        <x:f>IF(T41="","",I41*T41)</x:f>
        <x:v>1326.1426840820081</x:v>
      </x:c>
    </x:row>
    <x:row r="42" ht="18" customHeight="1">
      <x:c r="A42" s="24" t="str">
        <x:v>EEZ_254</x:v>
      </x:c>
      <x:c r="B42" s="24" t="str">
        <x:v>French Guiana</x:v>
      </x:c>
      <x:c r="C42" s="24" t="str">
        <x:v>EEZ</x:v>
      </x:c>
      <x:c r="D42" s="30" t="n">
        <x:v>2019</x:v>
      </x:c>
      <x:c r="E42" s="24" t="str">
        <x:v>Tetraodontidae</x:v>
      </x:c>
      <x:c r="F42" s="24" t="str">
        <x:v>Puffers, tobies</x:v>
      </x:c>
      <x:c r="G42" s="24" t="str">
        <x:v>Large reef assoc. fish (&gt;=90 cm)</x:v>
      </x:c>
      <x:c r="H42" s="24" t="str">
        <x:v>Other fishes &amp; inverts</x:v>
      </x:c>
      <x:c r="I42" s="31" t="n">
        <x:v>12.0417894819</x:v>
      </x:c>
      <x:c r="J42" s="31" t="n">
        <x:v>0</x:v>
      </x:c>
      <x:c r="K42" s="31" t="n">
        <x:v>12.0417894819</x:v>
      </x:c>
      <x:c r="L42" s="31" t="n">
        <x:v>0</x:v>
      </x:c>
      <x:c r="M42" s="31" t="n">
        <x:v>12.0417894819</x:v>
      </x:c>
      <x:c r="N42" s="24" t="str">
        <x:v>tetraodontidae</x:v>
      </x:c>
      <x:c r="O42" s="32" t="n">
        <x:v>3.5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Tetraodontidae</x:v>
      </x:c>
      <x:c r="T42" s="32" t="n">
        <x:f>IF(O42="","",(1/'Metadata'!$B$5)^(O42-1))</x:f>
        <x:v>316.22776601683796</x:v>
      </x:c>
      <x:c r="U42" s="31" t="n">
        <x:f>IF(T42="","",I42*T42)</x:f>
        <x:v>3807.9481867062937</x:v>
      </x:c>
    </x:row>
    <x:row r="43" ht="18" customHeight="1">
      <x:c r="A43" s="24" t="str">
        <x:v>EEZ_254</x:v>
      </x:c>
      <x:c r="B43" s="24" t="str">
        <x:v>French Guiana</x:v>
      </x:c>
      <x:c r="C43" s="24" t="str">
        <x:v>EEZ</x:v>
      </x:c>
      <x:c r="D43" s="30" t="n">
        <x:v>2019</x:v>
      </x:c>
      <x:c r="E43" s="24" t="str">
        <x:v>Trichiuridae</x:v>
      </x:c>
      <x:c r="F43" s="24" t="str">
        <x:v>Cutlassfishes</x:v>
      </x:c>
      <x:c r="G43" s="24" t="str">
        <x:v>Large benthopelagics (&gt;=90 cm)</x:v>
      </x:c>
      <x:c r="H43" s="24" t="str">
        <x:v>Perch-likes</x:v>
      </x:c>
      <x:c r="I43" s="31" t="n">
        <x:v>10.0348245659</x:v>
      </x:c>
      <x:c r="J43" s="31" t="n">
        <x:v>0</x:v>
      </x:c>
      <x:c r="K43" s="31" t="n">
        <x:v>10.0348245659</x:v>
      </x:c>
      <x:c r="L43" s="31" t="n">
        <x:v>0</x:v>
      </x:c>
      <x:c r="M43" s="31" t="n">
        <x:v>10.0348245659</x:v>
      </x:c>
      <x:c r="N43" s="24" t="str">
        <x:v>trichiuridae</x:v>
      </x:c>
      <x:c r="O43" s="32" t="n">
        <x:v>4.15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Trichiuridae</x:v>
      </x:c>
      <x:c r="T43" s="32" t="n">
        <x:f>IF(O43="","",(1/'Metadata'!$B$5)^(O43-1))</x:f>
        <x:v>1412.5375446227554</x:v>
      </x:c>
      <x:c r="U43" s="31" t="n">
        <x:f>IF(T43="","",I43*T43)</x:f>
        <x:v>14174.566453036492</x:v>
      </x:c>
    </x:row>
    <x:row r="44" ht="18" customHeight="1">
      <x:c r="A44" s="24" t="str">
        <x:v>EEZ_254</x:v>
      </x:c>
      <x:c r="B44" s="24" t="str">
        <x:v>French Guiana</x:v>
      </x:c>
      <x:c r="C44" s="24" t="str">
        <x:v>EEZ</x:v>
      </x:c>
      <x:c r="D44" s="30" t="n">
        <x:v>2019</x:v>
      </x:c>
      <x:c r="E44" s="24" t="str">
        <x:v>Rajiformes</x:v>
      </x:c>
      <x:c r="F44" s="24" t="str">
        <x:v>Skates and rays</x:v>
      </x:c>
      <x:c r="G44" s="24" t="str">
        <x:v>Large rays (&gt;=90 cm)</x:v>
      </x:c>
      <x:c r="H44" s="24" t="str">
        <x:v>Sharks &amp; rays</x:v>
      </x:c>
      <x:c r="I44" s="31" t="n">
        <x:v>10</x:v>
      </x:c>
      <x:c r="J44" s="31" t="n">
        <x:v>10</x:v>
      </x:c>
      <x:c r="K44" s="31" t="n">
        <x:v>0</x:v>
      </x:c>
      <x:c r="L44" s="31" t="n">
        <x:v>10</x:v>
      </x:c>
      <x:c r="M44" s="31" t="n">
        <x:v>0</x:v>
      </x:c>
      <x:c r="N44" s="24" t="str">
        <x:v>rajiformes</x:v>
      </x:c>
      <x:c r="O44" s="32" t="n">
        <x:v>3.61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Rajiformes</x:v>
      </x:c>
      <x:c r="T44" s="32" t="n">
        <x:f>IF(O44="","",(1/'Metadata'!$B$5)^(O44-1))</x:f>
        <x:v>407.3802778041126</x:v>
      </x:c>
      <x:c r="U44" s="31" t="n">
        <x:f>IF(T44="","",I44*T44)</x:f>
        <x:v>4073.802778041126</x:v>
      </x:c>
    </x:row>
    <x:row r="45" ht="18" customHeight="1">
      <x:c r="A45" s="24" t="str">
        <x:v>EEZ_254</x:v>
      </x:c>
      <x:c r="B45" s="24" t="str">
        <x:v>French Guiana</x:v>
      </x:c>
      <x:c r="C45" s="24" t="str">
        <x:v>EEZ</x:v>
      </x:c>
      <x:c r="D45" s="30" t="n">
        <x:v>2019</x:v>
      </x:c>
      <x:c r="E45" s="24" t="str">
        <x:v>Scomberomorus</x:v>
      </x:c>
      <x:c r="F45" s="24" t="str">
        <x:v>Spanish mackerels</x:v>
      </x:c>
      <x:c r="G45" s="24" t="str">
        <x:v>Large pelagics (&gt;=90 cm)</x:v>
      </x:c>
      <x:c r="H45" s="24" t="str">
        <x:v>Perch-likes</x:v>
      </x:c>
      <x:c r="I45" s="31" t="n">
        <x:v>9</x:v>
      </x:c>
      <x:c r="J45" s="31" t="n">
        <x:v>9</x:v>
      </x:c>
      <x:c r="K45" s="31" t="n">
        <x:v>0</x:v>
      </x:c>
      <x:c r="L45" s="31" t="n">
        <x:v>9</x:v>
      </x:c>
      <x:c r="M45" s="31" t="n">
        <x:v>0</x:v>
      </x:c>
      <x:c r="N45" s="24" t="str">
        <x:v>scomberomorus</x:v>
      </x:c>
      <x:c r="O45" s="32" t="n">
        <x:v>4.35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Scomberomorus</x:v>
      </x:c>
      <x:c r="T45" s="32" t="n">
        <x:f>IF(O45="","",(1/'Metadata'!$B$5)^(O45-1))</x:f>
        <x:v>2238.7211385683377</x:v>
      </x:c>
      <x:c r="U45" s="31" t="n">
        <x:f>IF(T45="","",I45*T45)</x:f>
        <x:v>20148.490247115038</x:v>
      </x:c>
    </x:row>
    <x:row r="46" ht="18" customHeight="1">
      <x:c r="A46" s="24" t="str">
        <x:v>EEZ_254</x:v>
      </x:c>
      <x:c r="B46" s="24" t="str">
        <x:v>French Guiana</x:v>
      </x:c>
      <x:c r="C46" s="24" t="str">
        <x:v>EEZ</x:v>
      </x:c>
      <x:c r="D46" s="30" t="n">
        <x:v>2019</x:v>
      </x:c>
      <x:c r="E46" s="24" t="str">
        <x:v>Carangidae</x:v>
      </x:c>
      <x:c r="F46" s="24" t="str">
        <x:v>Jacks, pompanos</x:v>
      </x:c>
      <x:c r="G46" s="24" t="str">
        <x:v>Medium pelagics (30 - 89 cm)</x:v>
      </x:c>
      <x:c r="H46" s="24" t="str">
        <x:v>Perch-likes</x:v>
      </x:c>
      <x:c r="I46" s="31" t="n">
        <x:v>9</x:v>
      </x:c>
      <x:c r="J46" s="31" t="n">
        <x:v>9</x:v>
      </x:c>
      <x:c r="K46" s="31" t="n">
        <x:v>0</x:v>
      </x:c>
      <x:c r="L46" s="31" t="n">
        <x:v>9</x:v>
      </x:c>
      <x:c r="M46" s="31" t="n">
        <x:v>0</x:v>
      </x:c>
      <x:c r="N46" s="24" t="str">
        <x:v>carangidae</x:v>
      </x:c>
      <x:c r="O46" s="32" t="n">
        <x:v>4.05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Carangidae</x:v>
      </x:c>
      <x:c r="T46" s="32" t="n">
        <x:f>IF(O46="","",(1/'Metadata'!$B$5)^(O46-1))</x:f>
        <x:v>1122.018454301963</x:v>
      </x:c>
      <x:c r="U46" s="31" t="n">
        <x:f>IF(T46="","",I46*T46)</x:f>
        <x:v>10098.166088717666</x:v>
      </x:c>
    </x:row>
    <x:row r="47" ht="18" customHeight="1">
      <x:c r="A47" s="24" t="str">
        <x:v>EEZ_254</x:v>
      </x:c>
      <x:c r="B47" s="24" t="str">
        <x:v>French Guiana</x:v>
      </x:c>
      <x:c r="C47" s="24" t="str">
        <x:v>EEZ</x:v>
      </x:c>
      <x:c r="D47" s="30" t="n">
        <x:v>2019</x:v>
      </x:c>
      <x:c r="E47" s="24" t="str">
        <x:v>Rhinobatidae</x:v>
      </x:c>
      <x:c r="F47" s="24" t="str">
        <x:v>Guitarfishes, fanrays</x:v>
      </x:c>
      <x:c r="G47" s="24" t="str">
        <x:v>Large rays (&gt;=90 cm)</x:v>
      </x:c>
      <x:c r="H47" s="24" t="str">
        <x:v>Sharks &amp; rays</x:v>
      </x:c>
      <x:c r="I47" s="31" t="n">
        <x:v>8.027859656</x:v>
      </x:c>
      <x:c r="J47" s="31" t="n">
        <x:v>0</x:v>
      </x:c>
      <x:c r="K47" s="31" t="n">
        <x:v>8.027859656</x:v>
      </x:c>
      <x:c r="L47" s="31" t="n">
        <x:v>0</x:v>
      </x:c>
      <x:c r="M47" s="31" t="n">
        <x:v>8.027859656</x:v>
      </x:c>
      <x:c r="N47" s="24" t="str">
        <x:v>rhinobatidae</x:v>
      </x:c>
      <x:c r="O47" s="32" t="n">
        <x:v>3.7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Rhinobatidae</x:v>
      </x:c>
      <x:c r="T47" s="32" t="n">
        <x:f>IF(O47="","",(1/'Metadata'!$B$5)^(O47-1))</x:f>
        <x:v>501.18723362727246</x:v>
      </x:c>
      <x:c r="U47" s="31" t="n">
        <x:f>IF(T47="","",I47*T47)</x:f>
        <x:v>4023.4607729386275</x:v>
      </x:c>
    </x:row>
    <x:row r="48" ht="18" customHeight="1">
      <x:c r="A48" s="24" t="str">
        <x:v>EEZ_254</x:v>
      </x:c>
      <x:c r="B48" s="24" t="str">
        <x:v>French Guiana</x:v>
      </x:c>
      <x:c r="C48" s="24" t="str">
        <x:v>EEZ</x:v>
      </x:c>
      <x:c r="D48" s="30" t="n">
        <x:v>2019</x:v>
      </x:c>
      <x:c r="E48" s="24" t="str">
        <x:v>Clupeidae</x:v>
      </x:c>
      <x:c r="F48" s="24" t="str">
        <x:v>Herrings, sardines, menhadens</x:v>
      </x:c>
      <x:c r="G48" s="24" t="str">
        <x:v>Small pelagics (&lt;30 cm)</x:v>
      </x:c>
      <x:c r="H48" s="24" t="str">
        <x:v>Herring-likes</x:v>
      </x:c>
      <x:c r="I48" s="31" t="n">
        <x:v>7.6933655033</x:v>
      </x:c>
      <x:c r="J48" s="31" t="n">
        <x:v>0</x:v>
      </x:c>
      <x:c r="K48" s="31" t="n">
        <x:v>7.6933655033</x:v>
      </x:c>
      <x:c r="L48" s="31" t="n">
        <x:v>0</x:v>
      </x:c>
      <x:c r="M48" s="31" t="n">
        <x:v>7.6933655033</x:v>
      </x:c>
      <x:c r="N48" s="24" t="str">
        <x:v>clupeidae</x:v>
      </x:c>
      <x:c r="O48" s="32" t="n">
        <x:v>3.16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Clupeidae</x:v>
      </x:c>
      <x:c r="T48" s="32" t="n">
        <x:f>IF(O48="","",(1/'Metadata'!$B$5)^(O48-1))</x:f>
        <x:v>144.5439770745928</x:v>
      </x:c>
      <x:c r="U48" s="31" t="n">
        <x:f>IF(T48="","",I48*T48)</x:f>
        <x:v>1112.0296469354582</x:v>
      </x:c>
    </x:row>
    <x:row r="49" ht="18" customHeight="1">
      <x:c r="A49" s="24" t="str">
        <x:v>EEZ_254</x:v>
      </x:c>
      <x:c r="B49" s="24" t="str">
        <x:v>French Guiana</x:v>
      </x:c>
      <x:c r="C49" s="24" t="str">
        <x:v>EEZ</x:v>
      </x:c>
      <x:c r="D49" s="30" t="n">
        <x:v>2019</x:v>
      </x:c>
      <x:c r="E49" s="24" t="str">
        <x:v>Prionace glauca</x:v>
      </x:c>
      <x:c r="F49" s="24" t="str">
        <x:v>Blue shark</x:v>
      </x:c>
      <x:c r="G49" s="24" t="str">
        <x:v>Large sharks (&gt;=90 cm)</x:v>
      </x:c>
      <x:c r="H49" s="24" t="str">
        <x:v>Sharks &amp; rays</x:v>
      </x:c>
      <x:c r="I49" s="31" t="n">
        <x:v>3.9353058188000003</x:v>
      </x:c>
      <x:c r="J49" s="31" t="n">
        <x:v>3.9353058188000003</x:v>
      </x:c>
      <x:c r="K49" s="31" t="n">
        <x:v>0</x:v>
      </x:c>
      <x:c r="L49" s="31" t="n">
        <x:v>3.9353058188000003</x:v>
      </x:c>
      <x:c r="M49" s="31" t="n">
        <x:v>0</x:v>
      </x:c>
      <x:c r="N49" s="24" t="str">
        <x:v>prionace glauca</x:v>
      </x:c>
      <x:c r="O49" s="32" t="n">
        <x:v>4.35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Prionace glauca</x:v>
      </x:c>
      <x:c r="T49" s="32" t="n">
        <x:f>IF(O49="","",(1/'Metadata'!$B$5)^(O49-1))</x:f>
        <x:v>2238.7211385683377</x:v>
      </x:c>
      <x:c r="U49" s="31" t="n">
        <x:f>IF(T49="","",I49*T49)</x:f>
        <x:v>8810.052323278542</x:v>
      </x:c>
    </x:row>
    <x:row r="50" ht="18" customHeight="1">
      <x:c r="A50" s="24" t="str">
        <x:v>EEZ_254</x:v>
      </x:c>
      <x:c r="B50" s="24" t="str">
        <x:v>French Guiana</x:v>
      </x:c>
      <x:c r="C50" s="24" t="str">
        <x:v>EEZ</x:v>
      </x:c>
      <x:c r="D50" s="30" t="n">
        <x:v>2019</x:v>
      </x:c>
      <x:c r="E50" s="24" t="str">
        <x:v>Makaira nigricans</x:v>
      </x:c>
      <x:c r="F50" s="24" t="str">
        <x:v>Blue marlin</x:v>
      </x:c>
      <x:c r="G50" s="24" t="str">
        <x:v>Large pelagics (&gt;=90 cm)</x:v>
      </x:c>
      <x:c r="H50" s="24" t="str">
        <x:v>Tuna &amp; billfishes</x:v>
      </x:c>
      <x:c r="I50" s="31" t="n">
        <x:v>3.8453202032</x:v>
      </x:c>
      <x:c r="J50" s="31" t="n">
        <x:v>3.8453202032</x:v>
      </x:c>
      <x:c r="K50" s="31" t="n">
        <x:v>0</x:v>
      </x:c>
      <x:c r="L50" s="31" t="n">
        <x:v>3.8453202032</x:v>
      </x:c>
      <x:c r="M50" s="31" t="n">
        <x:v>0</x:v>
      </x:c>
      <x:c r="N50" s="24" t="str">
        <x:v>makaira nigricans</x:v>
      </x:c>
      <x:c r="O50" s="32" t="n">
        <x:v>4.49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Makaira nigricans</x:v>
      </x:c>
      <x:c r="T50" s="32" t="n">
        <x:f>IF(O50="","",(1/'Metadata'!$B$5)^(O50-1))</x:f>
        <x:v>3090.295432513592</x:v>
      </x:c>
      <x:c r="U50" s="31" t="n">
        <x:f>IF(T50="","",I50*T50)</x:f>
        <x:v>11883.175460501197</x:v>
      </x:c>
    </x:row>
    <x:row r="51" ht="18" customHeight="1">
      <x:c r="A51" s="24" t="str">
        <x:v>EEZ_254</x:v>
      </x:c>
      <x:c r="B51" s="24" t="str">
        <x:v>French Guiana</x:v>
      </x:c>
      <x:c r="C51" s="24" t="str">
        <x:v>EEZ</x:v>
      </x:c>
      <x:c r="D51" s="30" t="n">
        <x:v>2019</x:v>
      </x:c>
      <x:c r="E51" s="24" t="str">
        <x:v>Acanthocybium solandri</x:v>
      </x:c>
      <x:c r="F51" s="24" t="str">
        <x:v>Wahoo</x:v>
      </x:c>
      <x:c r="G51" s="24" t="str">
        <x:v>Large pelagics (&gt;=90 cm)</x:v>
      </x:c>
      <x:c r="H51" s="24" t="str">
        <x:v>Perch-likes</x:v>
      </x:c>
      <x:c r="I51" s="31" t="n">
        <x:v>3.7817080576</x:v>
      </x:c>
      <x:c r="J51" s="31" t="n">
        <x:v>3.7817080576</x:v>
      </x:c>
      <x:c r="K51" s="31" t="n">
        <x:v>0</x:v>
      </x:c>
      <x:c r="L51" s="31" t="n">
        <x:v>3.7817080576</x:v>
      </x:c>
      <x:c r="M51" s="31" t="n">
        <x:v>0</x:v>
      </x:c>
      <x:c r="N51" s="24" t="str">
        <x:v>acanthocybium solandri</x:v>
      </x:c>
      <x:c r="O51" s="32" t="n">
        <x:v>4.26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Acanthocybium solandri</x:v>
      </x:c>
      <x:c r="T51" s="32" t="n">
        <x:f>IF(O51="","",(1/'Metadata'!$B$5)^(O51-1))</x:f>
        <x:v>1819.7008586099826</x:v>
      </x:c>
      <x:c r="U51" s="31" t="n">
        <x:f>IF(T51="","",I51*T51)</x:f>
        <x:v>6881.577399427009</x:v>
      </x:c>
    </x:row>
    <x:row r="52" ht="18" customHeight="1">
      <x:c r="A52" s="24" t="str">
        <x:v>EEZ_254</x:v>
      </x:c>
      <x:c r="B52" s="24" t="str">
        <x:v>French Guiana</x:v>
      </x:c>
      <x:c r="C52" s="24" t="str">
        <x:v>EEZ</x:v>
      </x:c>
      <x:c r="D52" s="30" t="n">
        <x:v>2019</x:v>
      </x:c>
      <x:c r="E52" s="24" t="str">
        <x:v>Kajikia albida</x:v>
      </x:c>
      <x:c r="F52" s="24" t="str">
        <x:v>Atlantic white marlin</x:v>
      </x:c>
      <x:c r="G52" s="24" t="str">
        <x:v>Large pelagics (&gt;=90 cm)</x:v>
      </x:c>
      <x:c r="H52" s="24" t="str">
        <x:v>Tuna &amp; billfishes</x:v>
      </x:c>
      <x:c r="I52" s="31" t="n">
        <x:v>3.2889677532</x:v>
      </x:c>
      <x:c r="J52" s="31" t="n">
        <x:v>3.2889677532</x:v>
      </x:c>
      <x:c r="K52" s="31" t="n">
        <x:v>0</x:v>
      </x:c>
      <x:c r="L52" s="31" t="n">
        <x:v>3.2889677532</x:v>
      </x:c>
      <x:c r="M52" s="31" t="n">
        <x:v>0</x:v>
      </x:c>
      <x:c r="N52" s="24" t="str">
        <x:v>kajikia albida</x:v>
      </x:c>
      <x:c r="O52" s="32" t="n">
        <x:v>4.49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Kajikia albida</x:v>
      </x:c>
      <x:c r="T52" s="32" t="n">
        <x:f>IF(O52="","",(1/'Metadata'!$B$5)^(O52-1))</x:f>
        <x:v>3090.295432513592</x:v>
      </x:c>
      <x:c r="U52" s="31" t="n">
        <x:f>IF(T52="","",I52*T52)</x:f>
        <x:v>10163.88202539845</x:v>
      </x:c>
    </x:row>
    <x:row r="53" ht="18" customHeight="1">
      <x:c r="A53" s="24" t="str">
        <x:v>EEZ_254</x:v>
      </x:c>
      <x:c r="B53" s="24" t="str">
        <x:v>French Guiana</x:v>
      </x:c>
      <x:c r="C53" s="24" t="str">
        <x:v>EEZ</x:v>
      </x:c>
      <x:c r="D53" s="30" t="n">
        <x:v>2019</x:v>
      </x:c>
      <x:c r="E53" s="24" t="str">
        <x:v>Pleuronectiformes</x:v>
      </x:c>
      <x:c r="F53" s="24" t="str">
        <x:v>Flatfishes</x:v>
      </x:c>
      <x:c r="G53" s="24" t="str">
        <x:v>Small to medium flatfishes (&lt;90 cm)</x:v>
      </x:c>
      <x:c r="H53" s="24" t="str">
        <x:v>Flatfishes</x:v>
      </x:c>
      <x:c r="I53" s="31" t="n">
        <x:v>3</x:v>
      </x:c>
      <x:c r="J53" s="31" t="n">
        <x:v>3</x:v>
      </x:c>
      <x:c r="K53" s="31" t="n">
        <x:v>0</x:v>
      </x:c>
      <x:c r="L53" s="31" t="n">
        <x:v>3</x:v>
      </x:c>
      <x:c r="M53" s="31" t="n">
        <x:v>0</x:v>
      </x:c>
      <x:c r="N53" s="24" t="str">
        <x:v>pleuronectiformes</x:v>
      </x:c>
      <x:c r="O53" s="32" t="n">
        <x:v>3.57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Pleuronectiformes</x:v>
      </x:c>
      <x:c r="T53" s="32" t="n">
        <x:f>IF(O53="","",(1/'Metadata'!$B$5)^(O53-1))</x:f>
        <x:v>371.5352290971724</x:v>
      </x:c>
      <x:c r="U53" s="31" t="n">
        <x:f>IF(T53="","",I53*T53)</x:f>
        <x:v>1114.6056872915174</x:v>
      </x:c>
    </x:row>
    <x:row r="54" ht="18" customHeight="1">
      <x:c r="A54" s="24" t="str">
        <x:v>EEZ_254</x:v>
      </x:c>
      <x:c r="B54" s="24" t="str">
        <x:v>French Guiana</x:v>
      </x:c>
      <x:c r="C54" s="24" t="str">
        <x:v>EEZ</x:v>
      </x:c>
      <x:c r="D54" s="30" t="n">
        <x:v>2019</x:v>
      </x:c>
      <x:c r="E54" s="24" t="str">
        <x:v>Lepidocybium flavobrunneum</x:v>
      </x:c>
      <x:c r="F54" s="24" t="str">
        <x:v>Escolar</x:v>
      </x:c>
      <x:c r="G54" s="24" t="str">
        <x:v>Large bathypelagics (&gt;=90 cm)</x:v>
      </x:c>
      <x:c r="H54" s="24" t="str">
        <x:v>Perch-likes</x:v>
      </x:c>
      <x:c r="I54" s="31" t="n">
        <x:v>2.0432985008</x:v>
      </x:c>
      <x:c r="J54" s="31" t="n">
        <x:v>2.0432985008</x:v>
      </x:c>
      <x:c r="K54" s="31" t="n">
        <x:v>0</x:v>
      </x:c>
      <x:c r="L54" s="31" t="n">
        <x:v>2.0432985008</x:v>
      </x:c>
      <x:c r="M54" s="31" t="n">
        <x:v>0</x:v>
      </x:c>
      <x:c r="N54" s="24" t="str">
        <x:v>lepidocybium flavobrunneum</x:v>
      </x:c>
      <x:c r="O54" s="32" t="n">
        <x:v>4.34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Lepidocybium flavobrunneum</x:v>
      </x:c>
      <x:c r="T54" s="32" t="n">
        <x:f>IF(O54="","",(1/'Metadata'!$B$5)^(O54-1))</x:f>
        <x:v>2187.761623949552</x:v>
      </x:c>
      <x:c r="U54" s="31" t="n">
        <x:f>IF(T54="","",I54*T54)</x:f>
        <x:v>4470.250046323893</x:v>
      </x:c>
    </x:row>
    <x:row r="55" ht="18" customHeight="1">
      <x:c r="A55" s="24" t="str">
        <x:v>EEZ_254</x:v>
      </x:c>
      <x:c r="B55" s="24" t="str">
        <x:v>French Guiana</x:v>
      </x:c>
      <x:c r="C55" s="24" t="str">
        <x:v>EEZ</x:v>
      </x:c>
      <x:c r="D55" s="30" t="n">
        <x:v>2019</x:v>
      </x:c>
      <x:c r="E55" s="24" t="str">
        <x:v>Xiphias gladius</x:v>
      </x:c>
      <x:c r="F55" s="24" t="str">
        <x:v>Swordfish</x:v>
      </x:c>
      <x:c r="G55" s="24" t="str">
        <x:v>Large pelagics (&gt;=90 cm)</x:v>
      </x:c>
      <x:c r="H55" s="24" t="str">
        <x:v>Tuna &amp; billfishes</x:v>
      </x:c>
      <x:c r="I55" s="31" t="n">
        <x:v>0.8048719813</x:v>
      </x:c>
      <x:c r="J55" s="31" t="n">
        <x:v>0.8048719813</x:v>
      </x:c>
      <x:c r="K55" s="31" t="n">
        <x:v>0</x:v>
      </x:c>
      <x:c r="L55" s="31" t="n">
        <x:v>0.8048719813</x:v>
      </x:c>
      <x:c r="M55" s="31" t="n">
        <x:v>0</x:v>
      </x:c>
      <x:c r="N55" s="24" t="str">
        <x:v>xiphias gladius</x:v>
      </x:c>
      <x:c r="O55" s="32" t="n">
        <x:v>4.53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Xiphias gladius</x:v>
      </x:c>
      <x:c r="T55" s="32" t="n">
        <x:f>IF(O55="","",(1/'Metadata'!$B$5)^(O55-1))</x:f>
        <x:v>3388.4415613920273</x:v>
      </x:c>
      <x:c r="U55" s="31" t="n">
        <x:f>IF(T55="","",I55*T55)</x:f>
        <x:v>2727.261673036867</x:v>
      </x:c>
    </x:row>
    <x:row r="56" ht="18" customHeight="1">
      <x:c r="A56" s="24" t="str">
        <x:v>EEZ_254</x:v>
      </x:c>
      <x:c r="B56" s="24" t="str">
        <x:v>French Guiana</x:v>
      </x:c>
      <x:c r="C56" s="24" t="str">
        <x:v>EEZ</x:v>
      </x:c>
      <x:c r="D56" s="30" t="n">
        <x:v>2019</x:v>
      </x:c>
      <x:c r="E56" s="24" t="str">
        <x:v>Thunnus obesus</x:v>
      </x:c>
      <x:c r="F56" s="24" t="str">
        <x:v>Bigeye tuna</x:v>
      </x:c>
      <x:c r="G56" s="24" t="str">
        <x:v>Large pelagics (&gt;=90 cm)</x:v>
      </x:c>
      <x:c r="H56" s="24" t="str">
        <x:v>Tuna &amp; billfishes</x:v>
      </x:c>
      <x:c r="I56" s="31" t="n">
        <x:v>0.6418009647</x:v>
      </x:c>
      <x:c r="J56" s="31" t="n">
        <x:v>0.6418009647</x:v>
      </x:c>
      <x:c r="K56" s="31" t="n">
        <x:v>0</x:v>
      </x:c>
      <x:c r="L56" s="31" t="n">
        <x:v>0.6418009647</x:v>
      </x:c>
      <x:c r="M56" s="31" t="n">
        <x:v>0</x:v>
      </x:c>
      <x:c r="N56" s="24" t="str">
        <x:v>thunnus obesus</x:v>
      </x:c>
      <x:c r="O56" s="32" t="n">
        <x:v>4.49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Thunnus obesus</x:v>
      </x:c>
      <x:c r="T56" s="32" t="n">
        <x:f>IF(O56="","",(1/'Metadata'!$B$5)^(O56-1))</x:f>
        <x:v>3090.295432513592</x:v>
      </x:c>
      <x:c r="U56" s="31" t="n">
        <x:f>IF(T56="","",I56*T56)</x:f>
        <x:v>1983.3545897952272</x:v>
      </x:c>
    </x:row>
    <x:row r="57" ht="18" customHeight="1">
      <x:c r="A57" s="24" t="str">
        <x:v>EEZ_254</x:v>
      </x:c>
      <x:c r="B57" s="24" t="str">
        <x:v>French Guiana</x:v>
      </x:c>
      <x:c r="C57" s="24" t="str">
        <x:v>EEZ</x:v>
      </x:c>
      <x:c r="D57" s="30" t="n">
        <x:v>2019</x:v>
      </x:c>
      <x:c r="E57" s="24" t="str">
        <x:v>Isurus oxyrinchus</x:v>
      </x:c>
      <x:c r="F57" s="24" t="str">
        <x:v>Shortfin mako</x:v>
      </x:c>
      <x:c r="G57" s="24" t="str">
        <x:v>Large sharks (&gt;=90 cm)</x:v>
      </x:c>
      <x:c r="H57" s="24" t="str">
        <x:v>Sharks &amp; rays</x:v>
      </x:c>
      <x:c r="I57" s="31" t="n">
        <x:v>0.5728796327</x:v>
      </x:c>
      <x:c r="J57" s="31" t="n">
        <x:v>0.5728796327</x:v>
      </x:c>
      <x:c r="K57" s="31" t="n">
        <x:v>0</x:v>
      </x:c>
      <x:c r="L57" s="31" t="n">
        <x:v>0.5728796327</x:v>
      </x:c>
      <x:c r="M57" s="31" t="n">
        <x:v>0</x:v>
      </x:c>
      <x:c r="N57" s="24" t="str">
        <x:v>isurus oxyrinchus</x:v>
      </x:c>
      <x:c r="O57" s="32" t="n">
        <x:v>4.5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Isurus oxyrinchus</x:v>
      </x:c>
      <x:c r="T57" s="32" t="n">
        <x:f>IF(O57="","",(1/'Metadata'!$B$5)^(O57-1))</x:f>
        <x:v>3162.2776601683795</x:v>
      </x:c>
      <x:c r="U57" s="31" t="n">
        <x:f>IF(T57="","",I57*T57)</x:f>
        <x:v>1811.6044644526767</x:v>
      </x:c>
    </x:row>
    <x:row r="58" ht="18" customHeight="1">
      <x:c r="A58" s="24" t="str">
        <x:v>EEZ_254</x:v>
      </x:c>
      <x:c r="B58" s="24" t="str">
        <x:v>French Guiana</x:v>
      </x:c>
      <x:c r="C58" s="24" t="str">
        <x:v>EEZ</x:v>
      </x:c>
      <x:c r="D58" s="30" t="n">
        <x:v>2019</x:v>
      </x:c>
      <x:c r="E58" s="24" t="str">
        <x:v>Sphyraena barracuda</x:v>
      </x:c>
      <x:c r="F58" s="24" t="str">
        <x:v>Great barracuda</x:v>
      </x:c>
      <x:c r="G58" s="24" t="str">
        <x:v>Large pelagics (&gt;=90 cm)</x:v>
      </x:c>
      <x:c r="H58" s="24" t="str">
        <x:v>Perch-likes</x:v>
      </x:c>
      <x:c r="I58" s="31" t="n">
        <x:v>0.4099693119</x:v>
      </x:c>
      <x:c r="J58" s="31" t="n">
        <x:v>0.4099693119</x:v>
      </x:c>
      <x:c r="K58" s="31" t="n">
        <x:v>0</x:v>
      </x:c>
      <x:c r="L58" s="31" t="n">
        <x:v>0.4099693119</x:v>
      </x:c>
      <x:c r="M58" s="31" t="n">
        <x:v>0</x:v>
      </x:c>
      <x:c r="N58" s="24" t="str">
        <x:v>sphyraena barracuda</x:v>
      </x:c>
      <x:c r="O58" s="32" t="n">
        <x:v>4.49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Sphyraena barracuda</x:v>
      </x:c>
      <x:c r="T58" s="32" t="n">
        <x:f>IF(O58="","",(1/'Metadata'!$B$5)^(O58-1))</x:f>
        <x:v>3090.295432513592</x:v>
      </x:c>
      <x:c r="U58" s="31" t="n">
        <x:f>IF(T58="","",I58*T58)</x:f>
        <x:v>1266.9262920353103</x:v>
      </x:c>
    </x:row>
    <x:row r="59" ht="18" customHeight="1">
      <x:c r="A59" s="24" t="str">
        <x:v>EEZ_254</x:v>
      </x:c>
      <x:c r="B59" s="24" t="str">
        <x:v>French Guiana</x:v>
      </x:c>
      <x:c r="C59" s="24" t="str">
        <x:v>EEZ</x:v>
      </x:c>
      <x:c r="D59" s="30" t="n">
        <x:v>2019</x:v>
      </x:c>
      <x:c r="E59" s="24" t="str">
        <x:v>Tetrapturus pfluegeri</x:v>
      </x:c>
      <x:c r="F59" s="24" t="str">
        <x:v>Longbill spearfish</x:v>
      </x:c>
      <x:c r="G59" s="24" t="str">
        <x:v>Large pelagics (&gt;=90 cm)</x:v>
      </x:c>
      <x:c r="H59" s="24" t="str">
        <x:v>Tuna &amp; billfishes</x:v>
      </x:c>
      <x:c r="I59" s="31" t="n">
        <x:v>0.37251634</x:v>
      </x:c>
      <x:c r="J59" s="31" t="n">
        <x:v>0.37251634</x:v>
      </x:c>
      <x:c r="K59" s="31" t="n">
        <x:v>0</x:v>
      </x:c>
      <x:c r="L59" s="31" t="n">
        <x:v>0.37251634</x:v>
      </x:c>
      <x:c r="M59" s="31" t="n">
        <x:v>0</x:v>
      </x:c>
      <x:c r="N59" s="24" t="str">
        <x:v>tetrapturus pfluegeri</x:v>
      </x:c>
      <x:c r="O59" s="32" t="n">
        <x:v>4.4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Tetrapturus pfluegeri</x:v>
      </x:c>
      <x:c r="T59" s="32" t="n">
        <x:f>IF(O59="","",(1/'Metadata'!$B$5)^(O59-1))</x:f>
        <x:v>2511.886431509582</x:v>
      </x:c>
      <x:c r="U59" s="31" t="n">
        <x:f>IF(T59="","",I59*T59)</x:f>
        <x:v>935.7187399616101</x:v>
      </x:c>
    </x:row>
    <x:row r="60" ht="18" customHeight="1">
      <x:c r="A60" s="24" t="str">
        <x:v>EEZ_254</x:v>
      </x:c>
      <x:c r="B60" s="24" t="str">
        <x:v>French Guiana</x:v>
      </x:c>
      <x:c r="C60" s="24" t="str">
        <x:v>EEZ</x:v>
      </x:c>
      <x:c r="D60" s="30" t="n">
        <x:v>2019</x:v>
      </x:c>
      <x:c r="E60" s="24" t="str">
        <x:v>Marine pelagic fishes not identified</x:v>
      </x:c>
      <x:c r="F60" s="24" t="str">
        <x:v>Pelagic fishes</x:v>
      </x:c>
      <x:c r="G60" s="24" t="str">
        <x:v>Medium pelagics (30 - 89 cm)</x:v>
      </x:c>
      <x:c r="H60" s="24" t="str">
        <x:v>Other fishes &amp; inverts</x:v>
      </x:c>
      <x:c r="I60" s="31" t="n">
        <x:v>0.1896555054</x:v>
      </x:c>
      <x:c r="J60" s="31" t="n">
        <x:v>0.1896555054</x:v>
      </x:c>
      <x:c r="K60" s="31" t="n">
        <x:v>0</x:v>
      </x:c>
      <x:c r="L60" s="31" t="n">
        <x:v>0.1896555054</x:v>
      </x:c>
      <x:c r="M60" s="31" t="n">
        <x:v>0</x:v>
      </x:c>
      <x:c r="N60" s="24" t="str">
        <x:v>marine pelagic fishes not identified</x:v>
      </x:c>
      <x:c r="O60" s="32" t="n">
        <x:v>3.35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Marine pelagic fishes not identified</x:v>
      </x:c>
      <x:c r="T60" s="32" t="n">
        <x:f>IF(O60="","",(1/'Metadata'!$B$5)^(O60-1))</x:f>
        <x:v>223.872113856834</x:v>
      </x:c>
      <x:c r="U60" s="31" t="n">
        <x:f>IF(T60="","",I60*T60)</x:f>
        <x:v>42.4585788984842</x:v>
      </x:c>
    </x:row>
    <x:row r="61" ht="18" customHeight="1">
      <x:c r="A61" s="24" t="str">
        <x:v>EEZ_254</x:v>
      </x:c>
      <x:c r="B61" s="24" t="str">
        <x:v>French Guiana</x:v>
      </x:c>
      <x:c r="C61" s="24" t="str">
        <x:v>EEZ</x:v>
      </x:c>
      <x:c r="D61" s="30" t="n">
        <x:v>2019</x:v>
      </x:c>
      <x:c r="E61" s="24" t="str">
        <x:v>Istiophoridae</x:v>
      </x:c>
      <x:c r="F61" s="24" t="str">
        <x:v>Billfishes</x:v>
      </x:c>
      <x:c r="G61" s="24" t="str">
        <x:v>Large pelagics (&gt;=90 cm)</x:v>
      </x:c>
      <x:c r="H61" s="24" t="str">
        <x:v>Tuna &amp; billfishes</x:v>
      </x:c>
      <x:c r="I61" s="31" t="n">
        <x:v>0.1139408344</x:v>
      </x:c>
      <x:c r="J61" s="31" t="n">
        <x:v>0.1139408344</x:v>
      </x:c>
      <x:c r="K61" s="31" t="n">
        <x:v>0</x:v>
      </x:c>
      <x:c r="L61" s="31" t="n">
        <x:v>0.1139408344</x:v>
      </x:c>
      <x:c r="M61" s="31" t="n">
        <x:v>0</x:v>
      </x:c>
      <x:c r="N61" s="24" t="str">
        <x:v>istiophoridae</x:v>
      </x:c>
      <x:c r="O61" s="32" t="n">
        <x:v>4.48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Istiophoridae</x:v>
      </x:c>
      <x:c r="T61" s="32" t="n">
        <x:f>IF(O61="","",(1/'Metadata'!$B$5)^(O61-1))</x:f>
        <x:v>3019.951720402019</x:v>
      </x:c>
      <x:c r="U61" s="31" t="n">
        <x:f>IF(T61="","",I61*T61)</x:f>
        <x:v>344.0958188703215</x:v>
      </x:c>
    </x:row>
    <x:row r="62" ht="18" customHeight="1">
      <x:c r="A62" s="24" t="str">
        <x:v>EEZ_254</x:v>
      </x:c>
      <x:c r="B62" s="24" t="str">
        <x:v>French Guiana</x:v>
      </x:c>
      <x:c r="C62" s="24" t="str">
        <x:v>EEZ</x:v>
      </x:c>
      <x:c r="D62" s="30" t="n">
        <x:v>2019</x:v>
      </x:c>
      <x:c r="E62" s="24" t="str">
        <x:v>Ruvettus pretiosus</x:v>
      </x:c>
      <x:c r="F62" s="24" t="str">
        <x:v>Oilfish</x:v>
      </x:c>
      <x:c r="G62" s="24" t="str">
        <x:v>Large benthopelagics (&gt;=90 cm)</x:v>
      </x:c>
      <x:c r="H62" s="24" t="str">
        <x:v>Perch-likes</x:v>
      </x:c>
      <x:c r="I62" s="31" t="n">
        <x:v>0.0924349451</x:v>
      </x:c>
      <x:c r="J62" s="31" t="n">
        <x:v>0.0924349451</x:v>
      </x:c>
      <x:c r="K62" s="31" t="n">
        <x:v>0</x:v>
      </x:c>
      <x:c r="L62" s="31" t="n">
        <x:v>0.0924349451</x:v>
      </x:c>
      <x:c r="M62" s="31" t="n">
        <x:v>0</x:v>
      </x:c>
      <x:c r="N62" s="24" t="str">
        <x:v>ruvettus pretiosus</x:v>
      </x:c>
      <x:c r="O62" s="32" t="n">
        <x:v>4.18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Ruvettus pretiosus</x:v>
      </x:c>
      <x:c r="T62" s="32" t="n">
        <x:f>IF(O62="","",(1/'Metadata'!$B$5)^(O62-1))</x:f>
        <x:v>1513.5612484362073</x:v>
      </x:c>
      <x:c r="U62" s="31" t="n">
        <x:f>IF(T62="","",I62*T62)</x:f>
        <x:v>139.90595090468827</x:v>
      </x:c>
    </x:row>
    <x:row r="63" ht="18" customHeight="1">
      <x:c r="A63" s="24" t="str">
        <x:v>EEZ_254</x:v>
      </x:c>
      <x:c r="B63" s="24" t="str">
        <x:v>French Guiana</x:v>
      </x:c>
      <x:c r="C63" s="24" t="str">
        <x:v>EEZ</x:v>
      </x:c>
      <x:c r="D63" s="30" t="n">
        <x:v>2019</x:v>
      </x:c>
      <x:c r="E63" s="24" t="str">
        <x:v>Thunnus atlanticus</x:v>
      </x:c>
      <x:c r="F63" s="24" t="str">
        <x:v>Blackfin tuna</x:v>
      </x:c>
      <x:c r="G63" s="24" t="str">
        <x:v>Large pelagics (&gt;=90 cm)</x:v>
      </x:c>
      <x:c r="H63" s="24" t="str">
        <x:v>Tuna &amp; billfishes</x:v>
      </x:c>
      <x:c r="I63" s="31" t="n">
        <x:v>0.0113353867</x:v>
      </x:c>
      <x:c r="J63" s="31" t="n">
        <x:v>0.0113353867</x:v>
      </x:c>
      <x:c r="K63" s="31" t="n">
        <x:v>0</x:v>
      </x:c>
      <x:c r="L63" s="31" t="n">
        <x:v>0.0113353867</x:v>
      </x:c>
      <x:c r="M63" s="31" t="n">
        <x:v>0</x:v>
      </x:c>
      <x:c r="N63" s="24" t="str">
        <x:v>thunnus atlanticus</x:v>
      </x:c>
      <x:c r="O63" s="32" t="n">
        <x:v>4.35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Thunnus atlanticus</x:v>
      </x:c>
      <x:c r="T63" s="32" t="n">
        <x:f>IF(O63="","",(1/'Metadata'!$B$5)^(O63-1))</x:f>
        <x:v>2238.7211385683377</x:v>
      </x:c>
      <x:c r="U63" s="31" t="n">
        <x:f>IF(T63="","",I63*T63)</x:f>
        <x:v>25.376769819136392</x:v>
      </x:c>
    </x:row>
    <x:row r="64" ht="18" customHeight="1">
      <x:c r="A64" s="24" t="str">
        <x:v>EEZ_254</x:v>
      </x:c>
      <x:c r="B64" s="24" t="str">
        <x:v>French Guiana</x:v>
      </x:c>
      <x:c r="C64" s="24" t="str">
        <x:v>EEZ</x:v>
      </x:c>
      <x:c r="D64" s="30" t="n">
        <x:v>2019</x:v>
      </x:c>
      <x:c r="E64" s="24" t="str">
        <x:v>Elasmobranchii</x:v>
      </x:c>
      <x:c r="F64" s="24" t="str">
        <x:v>Sharks, rays, skates</x:v>
      </x:c>
      <x:c r="G64" s="24" t="str">
        <x:v>Large sharks (&gt;=90 cm)</x:v>
      </x:c>
      <x:c r="H64" s="24" t="str">
        <x:v>Sharks &amp; rays</x:v>
      </x:c>
      <x:c r="I64" s="31" t="n">
        <x:v>0.0104911038</x:v>
      </x:c>
      <x:c r="J64" s="31" t="n">
        <x:v>0.0104911038</x:v>
      </x:c>
      <x:c r="K64" s="31" t="n">
        <x:v>0</x:v>
      </x:c>
      <x:c r="L64" s="31" t="n">
        <x:v>0.0104911038</x:v>
      </x:c>
      <x:c r="M64" s="31" t="n">
        <x:v>0</x:v>
      </x:c>
      <x:c r="N64" s="24" t="str">
        <x:v>elasmobranchii</x:v>
      </x:c>
      <x:c r="O64" s="32" t="n">
        <x:v>4.05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Elasmobranchii</x:v>
      </x:c>
      <x:c r="T64" s="32" t="n">
        <x:f>IF(O64="","",(1/'Metadata'!$B$5)^(O64-1))</x:f>
        <x:v>1122.018454301963</x:v>
      </x:c>
      <x:c r="U64" s="31" t="n">
        <x:f>IF(T64="","",I64*T64)</x:f>
        <x:v>11.77121206959745</x:v>
      </x:c>
    </x:row>
    <x:row r="65" ht="18" customHeight="1">
      <x:c r="A65" s="24" t="str">
        <x:v>EEZ_254</x:v>
      </x:c>
      <x:c r="B65" s="24" t="str">
        <x:v>French Guiana</x:v>
      </x:c>
      <x:c r="C65" s="24" t="str">
        <x:v>EEZ</x:v>
      </x:c>
      <x:c r="D65" s="30" t="n">
        <x:v>2019</x:v>
      </x:c>
      <x:c r="E65" s="24" t="str">
        <x:v>Carcharhinus falciformis</x:v>
      </x:c>
      <x:c r="F65" s="24" t="str">
        <x:v>Silky shark</x:v>
      </x:c>
      <x:c r="G65" s="24" t="str">
        <x:v>Large sharks (&gt;=90 cm)</x:v>
      </x:c>
      <x:c r="H65" s="24" t="str">
        <x:v>Sharks &amp; rays</x:v>
      </x:c>
      <x:c r="I65" s="31" t="n">
        <x:v>0.0012477202</x:v>
      </x:c>
      <x:c r="J65" s="31" t="n">
        <x:v>0.0012477202</x:v>
      </x:c>
      <x:c r="K65" s="31" t="n">
        <x:v>0</x:v>
      </x:c>
      <x:c r="L65" s="31" t="n">
        <x:v>0.0012477202</x:v>
      </x:c>
      <x:c r="M65" s="31" t="n">
        <x:v>0</x:v>
      </x:c>
      <x:c r="N65" s="24" t="str">
        <x:v>carcharhinus falciformis</x:v>
      </x:c>
      <x:c r="O65" s="32" t="n">
        <x:v>4.51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Carcharhinus falciformis</x:v>
      </x:c>
      <x:c r="T65" s="32" t="n">
        <x:f>IF(O65="","",(1/'Metadata'!$B$5)^(O65-1))</x:f>
        <x:v>3235.936569296281</x:v>
      </x:c>
      <x:c r="U65" s="31" t="n">
        <x:f>IF(T65="","",I65*T65)</x:f>
        <x:v>4.037543423429669</x:v>
      </x:c>
    </x:row>
    <x:row r="66" ht="18" customHeight="1">
      <x:c r="A66" s="24" t="str">
        <x:v>EEZ_254</x:v>
      </x:c>
      <x:c r="B66" s="24" t="str">
        <x:v>French Guiana</x:v>
      </x:c>
      <x:c r="C66" s="24" t="str">
        <x:v>EEZ</x:v>
      </x:c>
      <x:c r="D66" s="30" t="n">
        <x:v>2019</x:v>
      </x:c>
      <x:c r="E66" s="24" t="str">
        <x:v>Katsuwonus pelamis</x:v>
      </x:c>
      <x:c r="F66" s="24" t="str">
        <x:v>Skipjack tuna</x:v>
      </x:c>
      <x:c r="G66" s="24" t="str">
        <x:v>Large pelagics (&gt;=90 cm)</x:v>
      </x:c>
      <x:c r="H66" s="24" t="str">
        <x:v>Tuna &amp; billfishes</x:v>
      </x:c>
      <x:c r="I66" s="31" t="n">
        <x:v>0.00020488</x:v>
      </x:c>
      <x:c r="J66" s="31" t="n">
        <x:v>0.00020488</x:v>
      </x:c>
      <x:c r="K66" s="31" t="n">
        <x:v>0</x:v>
      </x:c>
      <x:c r="L66" s="31" t="n">
        <x:v>0.00020488</x:v>
      </x:c>
      <x:c r="M66" s="31" t="n">
        <x:v>0</x:v>
      </x:c>
      <x:c r="N66" s="24" t="str">
        <x:v>katsuwonus pelamis</x:v>
      </x:c>
      <x:c r="O66" s="32" t="n">
        <x:v>4.43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Katsuwonus pelamis</x:v>
      </x:c>
      <x:c r="T66" s="32" t="n">
        <x:f>IF(O66="","",(1/'Metadata'!$B$5)^(O66-1))</x:f>
        <x:v>2691.534803926914</x:v>
      </x:c>
      <x:c r="U66" s="31" t="n">
        <x:f>IF(T66="","",I66*T66)</x:f>
        <x:v>0.5514416506285461</x:v>
      </x:c>
    </x:row>
  </x:sheetData>
  <x:conditionalFormatting sqref="R2:R6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d53cb4eed0ad4d3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2</x:v>
      </x:c>
      <x:c r="C2" s="33" t="n">
        <x:v>2</x:v>
      </x:c>
      <x:c r="D2" s="31" t="n">
        <x:v>280.7880275901</x:v>
      </x:c>
      <x:c r="E2" s="31" t="n">
        <x:v>280.7880275901</x:v>
      </x:c>
      <x:c r="F2" s="32" t="n">
        <x:v>0</x:v>
      </x:c>
      <x:c r="G2" s="34" t="n">
        <x:v>1</x:v>
      </x:c>
      <x:c r="H2" s="32" t="n">
        <x:f>IF(E2=0,"",I2/E2)</x:f>
        <x:v>56.86204486704058</x:v>
      </x:c>
      <x:c r="I2" s="31" t="n">
        <x:f>IF(C2=0,"",SUMIF('Species'!$H$2:$H$66,A2,'Species'!$U$2:$U$66))</x:f>
        <x:v>15966.181422956095</x:v>
      </x:c>
      <x:c r="J2" s="32" t="n">
        <x:v>2.754489502744523</x:v>
      </x:c>
      <x:c r="K2" s="32" t="n">
        <x:f>IF(J2="","",(1/'Metadata'!$B$5)^(J2-1))</x:f>
        <x:v>56.81846579025754</x:v>
      </x:c>
      <x:c r="L2" s="31" t="n">
        <x:f>IF(E2=0,"",E2*K2)</x:f>
        <x:v>15953.944939941988</x:v>
      </x:c>
      <x:c r="M2" s="31" t="n">
        <x:f>IF(E2=0,"",I2-L2)</x:f>
        <x:v>12.236483014106852</x:v>
      </x:c>
      <x:c r="N2" s="32" t="n">
        <x:f>IF(L2=0,"",I2/L2)</x:f>
        <x:v>1.000766987918046</x:v>
      </x:c>
      <x:c r="O2" s="34" t="n">
        <x:f>IF(L2=0,"",M2/L2)</x:f>
        <x:v>0.0007669879180460144</x:v>
      </x:c>
    </x:row>
    <x:row r="3" ht="18" customHeight="1">
      <x:c r="A3" s="24" t="str">
        <x:v>Flatfishes</x:v>
      </x:c>
      <x:c r="B3" s="33" t="n">
        <x:v>3</x:v>
      </x:c>
      <x:c r="C3" s="33" t="n">
        <x:v>3</x:v>
      </x:c>
      <x:c r="D3" s="31" t="n">
        <x:v>104.9707919169</x:v>
      </x:c>
      <x:c r="E3" s="31" t="n">
        <x:v>104.9707919169</x:v>
      </x:c>
      <x:c r="F3" s="32" t="n">
        <x:v>0</x:v>
      </x:c>
      <x:c r="G3" s="34" t="n">
        <x:v>1</x:v>
      </x:c>
      <x:c r="H3" s="32" t="n">
        <x:f>IF(E3=0,"",I3/E3)</x:f>
        <x:v>423.4827478424323</x:v>
      </x:c>
      <x:c r="I3" s="31" t="n">
        <x:f>IF(C3=0,"",SUMIF('Species'!$H$2:$H$66,A3,'Species'!$U$2:$U$66))</x:f>
        <x:v>44453.31940416499</x:v>
      </x:c>
      <x:c r="J3" s="32" t="n">
        <x:v>3.6224362626007283</x:v>
      </x:c>
      <x:c r="K3" s="32" t="n">
        <x:f>IF(J3="","",(1/'Metadata'!$B$5)^(J3-1))</x:f>
        <x:v>419.2144679251353</x:v>
      </x:c>
      <x:c r="L3" s="31" t="n">
        <x:f>IF(E3=0,"",E3*K3)</x:f>
        <x:v>44005.27468112332</x:v>
      </x:c>
      <x:c r="M3" s="31" t="n">
        <x:f>IF(E3=0,"",I3-L3)</x:f>
        <x:v>448.0447230416685</x:v>
      </x:c>
      <x:c r="N3" s="32" t="n">
        <x:f>IF(L3=0,"",I3/L3)</x:f>
        <x:v>1.0101816140516868</x:v>
      </x:c>
      <x:c r="O3" s="34" t="n">
        <x:f>IF(L3=0,"",M3/L3)</x:f>
        <x:v>0.010181614051686935</x:v>
      </x:c>
    </x:row>
    <x:row r="4" ht="18" customHeight="1">
      <x:c r="A4" s="24" t="str">
        <x:v>Herring-likes</x:v>
      </x:c>
      <x:c r="B4" s="33" t="n">
        <x:v>2</x:v>
      </x:c>
      <x:c r="C4" s="33" t="n">
        <x:v>2</x:v>
      </x:c>
      <x:c r="D4" s="31" t="n">
        <x:v>54.542516631</x:v>
      </x:c>
      <x:c r="E4" s="31" t="n">
        <x:v>54.542516631</x:v>
      </x:c>
      <x:c r="F4" s="32" t="n">
        <x:v>0</x:v>
      </x:c>
      <x:c r="G4" s="34" t="n">
        <x:v>1</x:v>
      </x:c>
      <x:c r="H4" s="32" t="n">
        <x:f>IF(E4=0,"",I4/E4)</x:f>
        <x:v>195.76285180367066</x:v>
      </x:c>
      <x:c r="I4" s="31" t="n">
        <x:f>IF(C4=0,"",SUMIF('Species'!$H$2:$H$66,A4,'Species'!$U$2:$U$66))</x:f>
        <x:v>10677.398600233695</x:v>
      </x:c>
      <x:c r="J4" s="32" t="n">
        <x:v>3.288842105264371</x:v>
      </x:c>
      <x:c r="K4" s="32" t="n">
        <x:f>IF(J4="","",(1/'Metadata'!$B$5)^(J4-1))</x:f>
        <x:v>194.46529432672526</x:v>
      </x:c>
      <x:c r="L4" s="31" t="n">
        <x:f>IF(E4=0,"",E4*K4)</x:f>
        <x:v>10606.626549967721</x:v>
      </x:c>
      <x:c r="M4" s="31" t="n">
        <x:f>IF(E4=0,"",I4-L4)</x:f>
        <x:v>70.77205026597403</x:v>
      </x:c>
      <x:c r="N4" s="32" t="n">
        <x:f>IF(L4=0,"",I4/L4)</x:f>
        <x:v>1.0066724372667</x:v>
      </x:c>
      <x:c r="O4" s="34" t="n">
        <x:f>IF(L4=0,"",M4/L4)</x:f>
        <x:v>0.006672437266699977</x:v>
      </x:c>
    </x:row>
    <x:row r="5" ht="18" customHeight="1">
      <x:c r="A5" s="24" t="str">
        <x:v>Other fishes &amp; inverts</x:v>
      </x:c>
      <x:c r="B5" s="33" t="n">
        <x:v>11</x:v>
      </x:c>
      <x:c r="C5" s="33" t="n">
        <x:v>11</x:v>
      </x:c>
      <x:c r="D5" s="31" t="n">
        <x:v>1587.9243897183003</x:v>
      </x:c>
      <x:c r="E5" s="31" t="n">
        <x:v>1587.9243897183003</x:v>
      </x:c>
      <x:c r="F5" s="32" t="n">
        <x:v>0</x:v>
      </x:c>
      <x:c r="G5" s="34" t="n">
        <x:v>1</x:v>
      </x:c>
      <x:c r="H5" s="32" t="n">
        <x:f>IF(E5=0,"",I5/E5)</x:f>
        <x:v>437.115754780224</x:v>
      </x:c>
      <x:c r="I5" s="31" t="n">
        <x:f>IF(C5=0,"",SUMIF('Species'!$H$2:$H$66,A5,'Species'!$U$2:$U$66))</x:f>
        <x:v>694106.7681456414</x:v>
      </x:c>
      <x:c r="J5" s="32" t="n">
        <x:v>3.510322191336808</x:v>
      </x:c>
      <x:c r="K5" s="32" t="n">
        <x:f>IF(J5="","",(1/'Metadata'!$B$5)^(J5-1))</x:f>
        <x:v>323.83381138775326</x:v>
      </x:c>
      <x:c r="L5" s="31" t="n">
        <x:f>IF(E5=0,"",E5*K5)</x:f>
        <x:v>514223.60731804924</x:v>
      </x:c>
      <x:c r="M5" s="31" t="n">
        <x:f>IF(E5=0,"",I5-L5)</x:f>
        <x:v>179883.1608275922</x:v>
      </x:c>
      <x:c r="N5" s="32" t="n">
        <x:f>IF(L5=0,"",I5/L5)</x:f>
        <x:v>1.3498150576279042</x:v>
      </x:c>
      <x:c r="O5" s="34" t="n">
        <x:f>IF(L5=0,"",M5/L5)</x:f>
        <x:v>0.3498150576279042</x:v>
      </x:c>
    </x:row>
    <x:row r="6" ht="18" customHeight="1">
      <x:c r="A6" s="24" t="str">
        <x:v>Perch-likes</x:v>
      </x:c>
      <x:c r="B6" s="33" t="n">
        <x:v>28</x:v>
      </x:c>
      <x:c r="C6" s="33" t="n">
        <x:v>28</x:v>
      </x:c>
      <x:c r="D6" s="31" t="n">
        <x:v>3819.0416549555007</x:v>
      </x:c>
      <x:c r="E6" s="31" t="n">
        <x:v>3819.0416549555007</x:v>
      </x:c>
      <x:c r="F6" s="32" t="n">
        <x:v>0</x:v>
      </x:c>
      <x:c r="G6" s="34" t="n">
        <x:v>1</x:v>
      </x:c>
      <x:c r="H6" s="32" t="n">
        <x:f>IF(E6=0,"",I6/E6)</x:f>
        <x:v>879.1639478660655</x:v>
      </x:c>
      <x:c r="I6" s="31" t="n">
        <x:f>IF(C6=0,"",SUMIF('Species'!$H$2:$H$66,A6,'Species'!$U$2:$U$66))</x:f>
        <x:v>3357563.7384356307</x:v>
      </x:c>
      <x:c r="J6" s="32" t="n">
        <x:v>3.802154993382712</x:v>
      </x:c>
      <x:c r="K6" s="32" t="n">
        <x:f>IF(J6="","",(1/'Metadata'!$B$5)^(J6-1))</x:f>
        <x:v>634.0959705075995</x:v>
      </x:c>
      <x:c r="L6" s="31" t="n">
        <x:f>IF(E6=0,"",E6*K6)</x:f>
        <x:v>2421638.9246079572</x:v>
      </x:c>
      <x:c r="M6" s="31" t="n">
        <x:f>IF(E6=0,"",I6-L6)</x:f>
        <x:v>935924.8138276734</x:v>
      </x:c>
      <x:c r="N6" s="32" t="n">
        <x:f>IF(L6=0,"",I6/L6)</x:f>
        <x:v>1.386484047773221</x:v>
      </x:c>
      <x:c r="O6" s="34" t="n">
        <x:f>IF(L6=0,"",M6/L6)</x:f>
        <x:v>0.38648404777322104</x:v>
      </x:c>
    </x:row>
    <x:row r="7" ht="18" customHeight="1">
      <x:c r="A7" s="24" t="str">
        <x:v>Sharks &amp; rays</x:v>
      </x:c>
      <x:c r="B7" s="33" t="n">
        <x:v>8</x:v>
      </x:c>
      <x:c r="C7" s="33" t="n">
        <x:v>8</x:v>
      </x:c>
      <x:c r="D7" s="31" t="n">
        <x:v>502.1894265653</x:v>
      </x:c>
      <x:c r="E7" s="31" t="n">
        <x:v>502.1894265653</x:v>
      </x:c>
      <x:c r="F7" s="32" t="n">
        <x:v>0</x:v>
      </x:c>
      <x:c r="G7" s="34" t="n">
        <x:v>1</x:v>
      </x:c>
      <x:c r="H7" s="32" t="n">
        <x:f>IF(E7=0,"",I7/E7)</x:f>
        <x:v>932.0711308480015</x:v>
      </x:c>
      <x:c r="I7" s="31" t="n">
        <x:f>IF(C7=0,"",SUMIF('Species'!$H$2:$H$66,A7,'Species'!$U$2:$U$66))</x:f>
        <x:v>468076.2667186286</x:v>
      </x:c>
      <x:c r="J7" s="32" t="n">
        <x:v>3.9498684191157056</x:v>
      </x:c>
      <x:c r="K7" s="32" t="n">
        <x:f>IF(J7="","",(1/'Metadata'!$B$5)^(J7-1))</x:f>
        <x:v>890.980951228549</x:v>
      </x:c>
      <x:c r="L7" s="31" t="n">
        <x:f>IF(E7=0,"",E7*K7)</x:f>
        <x:v>447441.21297807054</x:v>
      </x:c>
      <x:c r="M7" s="31" t="n">
        <x:f>IF(E7=0,"",I7-L7)</x:f>
        <x:v>20635.05374055804</x:v>
      </x:c>
      <x:c r="N7" s="32" t="n">
        <x:f>IF(L7=0,"",I7/L7)</x:f>
        <x:v>1.0461179103355627</x:v>
      </x:c>
      <x:c r="O7" s="34" t="n">
        <x:f>IF(L7=0,"",M7/L7)</x:f>
        <x:v>0.04611791033556263</x:v>
      </x:c>
    </x:row>
    <x:row r="8" ht="18" customHeight="1">
      <x:c r="A8" s="24" t="str">
        <x:v>Tuna &amp; billfishes</x:v>
      </x:c>
      <x:c r="B8" s="33" t="n">
        <x:v>11</x:v>
      </x:c>
      <x:c r="C8" s="33" t="n">
        <x:v>11</x:v>
      </x:c>
      <x:c r="D8" s="31" t="n">
        <x:v>114.19828986259999</x:v>
      </x:c>
      <x:c r="E8" s="31" t="n">
        <x:v>114.19828986259999</x:v>
      </x:c>
      <x:c r="F8" s="32" t="n">
        <x:v>0</x:v>
      </x:c>
      <x:c r="G8" s="34" t="n">
        <x:v>1</x:v>
      </x:c>
      <x:c r="H8" s="32" t="n">
        <x:f>IF(E8=0,"",I8/E8)</x:f>
        <x:v>2698.0699785238567</x:v>
      </x:c>
      <x:c r="I8" s="31" t="n">
        <x:f>IF(C8=0,"",SUMIF('Species'!$H$2:$H$66,A8,'Species'!$U$2:$U$66))</x:f>
        <x:v>308114.9774770463</x:v>
      </x:c>
      <x:c r="J8" s="32" t="n">
        <x:v>4.426877518021592</x:v>
      </x:c>
      <x:c r="K8" s="32" t="n">
        <x:f>IF(J8="","",(1/'Metadata'!$B$5)^(J8-1))</x:f>
        <x:v>2672.252659849136</x:v>
      </x:c>
      <x:c r="L8" s="31" t="n">
        <x:f>IF(E8=0,"",E8*K8)</x:f>
        <x:v>305166.68383555545</x:v>
      </x:c>
      <x:c r="M8" s="31" t="n">
        <x:f>IF(E8=0,"",I8-L8)</x:f>
        <x:v>2948.293641490862</x:v>
      </x:c>
      <x:c r="N8" s="32" t="n">
        <x:f>IF(L8=0,"",I8/L8)</x:f>
        <x:v>1.0096612566104353</x:v>
      </x:c>
      <x:c r="O8" s="34" t="n">
        <x:f>IF(L8=0,"",M8/L8)</x:f>
        <x:v>0.009661256610435242</x:v>
      </x:c>
    </x:row>
  </x:sheetData>
  <x:conditionalFormatting sqref="G2:G8">
    <x:cfRule type="cellIs" dxfId="1" priority="1" operator="lessThan">
      <x:formula>0.9</x:formula>
    </x:cfRule>
  </x:conditionalFormatting>
  <x:conditionalFormatting sqref="O2:O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aa43dabe5af4d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Jellyfish</x:v>
      </x:c>
      <x:c r="B2" s="33" t="n">
        <x:v>2</x:v>
      </x:c>
      <x:c r="C2" s="33" t="n">
        <x:v>2</x:v>
      </x:c>
      <x:c r="D2" s="31" t="n">
        <x:v>158.8847222984</x:v>
      </x:c>
      <x:c r="E2" s="31" t="n">
        <x:v>158.8847222984</x:v>
      </x:c>
      <x:c r="F2" s="32" t="n">
        <x:v>0</x:v>
      </x:c>
      <x:c r="G2" s="34" t="n">
        <x:v>1</x:v>
      </x:c>
      <x:c r="H2" s="32" t="n">
        <x:f>IF(E2=0,"",I2/E2)</x:f>
        <x:v>288.40315031266056</x:v>
      </x:c>
      <x:c r="I2" s="31" t="n">
        <x:f>IF(C2=0,"",SUMIF('Species'!$G$2:$G$66,A2,'Species'!$U$2:$U$66))</x:f>
        <x:v>45822.854447410784</x:v>
      </x:c>
      <x:c r="J2" s="32" t="n">
        <x:v>3.4600000000000004</x:v>
      </x:c>
      <x:c r="K2" s="32" t="n">
        <x:f>IF(J2="","",(1/'Metadata'!$B$5)^(J2-1))</x:f>
        <x:v>288.40315031266084</x:v>
      </x:c>
      <x:c r="L2" s="31" t="n">
        <x:f>IF(E2=0,"",E2*K2)</x:f>
        <x:v>45822.85444741083</x:v>
      </x:c>
      <x:c r="M2" s="31" t="n">
        <x:f>IF(E2=0,"",I2-L2)</x:f>
        <x:v>-4.3655745685100555e-11</x:v>
      </x:c>
      <x:c r="N2" s="32" t="n">
        <x:f>IF(L2=0,"",I2/L2)</x:f>
        <x:v>0.999999999999999</x:v>
      </x:c>
      <x:c r="O2" s="34" t="n">
        <x:f>IF(L2=0,"",M2/L2)</x:f>
        <x:v>-9.527068143518344e-16</x:v>
      </x:c>
    </x:row>
    <x:row r="3" ht="18" customHeight="1">
      <x:c r="A3" s="24" t="str">
        <x:v>Large bathypelagics (&gt;=90 cm)</x:v>
      </x:c>
      <x:c r="B3" s="33" t="n">
        <x:v>1</x:v>
      </x:c>
      <x:c r="C3" s="33" t="n">
        <x:v>1</x:v>
      </x:c>
      <x:c r="D3" s="31" t="n">
        <x:v>2.0432985008</x:v>
      </x:c>
      <x:c r="E3" s="31" t="n">
        <x:v>2.0432985008</x:v>
      </x:c>
      <x:c r="F3" s="32" t="n">
        <x:v>0</x:v>
      </x:c>
      <x:c r="G3" s="34" t="n">
        <x:v>1</x:v>
      </x:c>
      <x:c r="H3" s="32" t="n">
        <x:f>IF(E3=0,"",I3/E3)</x:f>
        <x:v>2187.761623949552</x:v>
      </x:c>
      <x:c r="I3" s="31" t="n">
        <x:f>IF(C3=0,"",SUMIF('Species'!$G$2:$G$66,A3,'Species'!$U$2:$U$66))</x:f>
        <x:v>4470.250046323893</x:v>
      </x:c>
      <x:c r="J3" s="32" t="n">
        <x:v>4.34</x:v>
      </x:c>
      <x:c r="K3" s="32" t="n">
        <x:f>IF(J3="","",(1/'Metadata'!$B$5)^(J3-1))</x:f>
        <x:v>2187.761623949552</x:v>
      </x:c>
      <x:c r="L3" s="31" t="n">
        <x:f>IF(E3=0,"",E3*K3)</x:f>
        <x:v>4470.250046323893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benthopelagics (&gt;=90 cm)</x:v>
      </x:c>
      <x:c r="B4" s="33" t="n">
        <x:v>4</x:v>
      </x:c>
      <x:c r="C4" s="33" t="n">
        <x:v>4</x:v>
      </x:c>
      <x:c r="D4" s="31" t="n">
        <x:v>141.2348479243</x:v>
      </x:c>
      <x:c r="E4" s="31" t="n">
        <x:v>141.2348479243</x:v>
      </x:c>
      <x:c r="F4" s="32" t="n">
        <x:v>0</x:v>
      </x:c>
      <x:c r="G4" s="34" t="n">
        <x:v>1</x:v>
      </x:c>
      <x:c r="H4" s="32" t="n">
        <x:f>IF(E4=0,"",I4/E4)</x:f>
        <x:v>1782.8268568274607</x:v>
      </x:c>
      <x:c r="I4" s="31" t="n">
        <x:f>IF(C4=0,"",SUMIF('Species'!$G$2:$G$66,A4,'Species'!$U$2:$U$66))</x:f>
        <x:v>251797.2799993842</x:v>
      </x:c>
      <x:c r="J4" s="32" t="n">
        <x:v>4.212320468703742</x:v>
      </x:c>
      <x:c r="K4" s="32" t="n">
        <x:f>IF(J4="","",(1/'Metadata'!$B$5)^(J4-1))</x:f>
        <x:v>1630.4987443972846</x:v>
      </x:c>
      <x:c r="L4" s="31" t="n">
        <x:f>IF(E4=0,"",E4*K4)</x:f>
        <x:v>230283.24220571257</x:v>
      </x:c>
      <x:c r="M4" s="31" t="n">
        <x:f>IF(E4=0,"",I4-L4)</x:f>
        <x:v>21514.037793671625</x:v>
      </x:c>
      <x:c r="N4" s="32" t="n">
        <x:f>IF(L4=0,"",I4/L4)</x:f>
        <x:v>1.0934242439337079</x:v>
      </x:c>
      <x:c r="O4" s="34" t="n">
        <x:f>IF(L4=0,"",M4/L4)</x:f>
        <x:v>0.09342424393370788</x:v>
      </x:c>
    </x:row>
    <x:row r="5" ht="18" customHeight="1">
      <x:c r="A5" s="24" t="str">
        <x:v>Large pelagics (&gt;=90 cm)</x:v>
      </x:c>
      <x:c r="B5" s="33" t="n">
        <x:v>16</x:v>
      </x:c>
      <x:c r="C5" s="33" t="n">
        <x:v>16</x:v>
      </x:c>
      <x:c r="D5" s="31" t="n">
        <x:v>209.22831691930003</x:v>
      </x:c>
      <x:c r="E5" s="31" t="n">
        <x:v>209.22831691930003</x:v>
      </x:c>
      <x:c r="F5" s="32" t="n">
        <x:v>0</x:v>
      </x:c>
      <x:c r="G5" s="34" t="n">
        <x:v>1</x:v>
      </x:c>
      <x:c r="H5" s="32" t="n">
        <x:f>IF(E5=0,"",I5/E5)</x:f>
        <x:v>2759.390928256896</x:v>
      </x:c>
      <x:c r="I5" s="31" t="n">
        <x:f>IF(C5=0,"",SUMIF('Species'!$G$2:$G$66,A5,'Species'!$U$2:$U$66))</x:f>
        <x:v>577342.7196415754</x:v>
      </x:c>
      <x:c r="J5" s="32" t="n">
        <x:v>4.435710626186908</x:v>
      </x:c>
      <x:c r="K5" s="32" t="n">
        <x:f>IF(J5="","",(1/'Metadata'!$B$5)^(J5-1))</x:f>
        <x:v>2727.160049200338</x:v>
      </x:c>
      <x:c r="L5" s="31" t="n">
        <x:f>IF(E5=0,"",E5*K5)</x:f>
        <x:v>570599.1070637422</x:v>
      </x:c>
      <x:c r="M5" s="31" t="n">
        <x:f>IF(E5=0,"",I5-L5)</x:f>
        <x:v>6743.612577833119</x:v>
      </x:c>
      <x:c r="N5" s="32" t="n">
        <x:f>IF(L5=0,"",I5/L5)</x:f>
        <x:v>1.0118184772712584</x:v>
      </x:c>
      <x:c r="O5" s="34" t="n">
        <x:f>IF(L5=0,"",M5/L5)</x:f>
        <x:v>0.0118184772712583</x:v>
      </x:c>
    </x:row>
    <x:row r="6" ht="18" customHeight="1">
      <x:c r="A6" s="24" t="str">
        <x:v>Large rays (&gt;=90 cm)</x:v>
      </x:c>
      <x:c r="B6" s="33" t="n">
        <x:v>2</x:v>
      </x:c>
      <x:c r="C6" s="33" t="n">
        <x:v>2</x:v>
      </x:c>
      <x:c r="D6" s="31" t="n">
        <x:v>18.027859656</x:v>
      </x:c>
      <x:c r="E6" s="31" t="n">
        <x:v>18.027859656</x:v>
      </x:c>
      <x:c r="F6" s="32" t="n">
        <x:v>0</x:v>
      </x:c>
      <x:c r="G6" s="34" t="n">
        <x:v>1</x:v>
      </x:c>
      <x:c r="H6" s="32" t="n">
        <x:f>IF(E6=0,"",I6/E6)</x:f>
        <x:v>449.15279492343046</x:v>
      </x:c>
      <x:c r="I6" s="31" t="n">
        <x:f>IF(C6=0,"",SUMIF('Species'!$G$2:$G$66,A6,'Species'!$U$2:$U$66))</x:f>
        <x:v>8097.263550979754</x:v>
      </x:c>
      <x:c r="J6" s="32" t="n">
        <x:v>3.65007726834059</x:v>
      </x:c>
      <x:c r="K6" s="32" t="n">
        <x:f>IF(J6="","",(1/'Metadata'!$B$5)^(J6-1))</x:f>
        <x:v>446.76307179418154</x:v>
      </x:c>
      <x:c r="L6" s="31" t="n">
        <x:f>IF(E6=0,"",E6*K6)</x:f>
        <x:v>8054.181957788957</x:v>
      </x:c>
      <x:c r="M6" s="31" t="n">
        <x:f>IF(E6=0,"",I6-L6)</x:f>
        <x:v>43.08159319079641</x:v>
      </x:c>
      <x:c r="N6" s="32" t="n">
        <x:f>IF(L6=0,"",I6/L6)</x:f>
        <x:v>1.005348971927451</x:v>
      </x:c>
      <x:c r="O6" s="34" t="n">
        <x:f>IF(L6=0,"",M6/L6)</x:f>
        <x:v>0.005348971927451117</x:v>
      </x:c>
    </x:row>
    <x:row r="7" ht="18" customHeight="1">
      <x:c r="A7" s="24" t="str">
        <x:v>Large reef assoc. fish (&gt;=90 cm)</x:v>
      </x:c>
      <x:c r="B7" s="33" t="n">
        <x:v>4</x:v>
      </x:c>
      <x:c r="C7" s="33" t="n">
        <x:v>4</x:v>
      </x:c>
      <x:c r="D7" s="31" t="n">
        <x:v>202.469546591</x:v>
      </x:c>
      <x:c r="E7" s="31" t="n">
        <x:v>202.469546591</x:v>
      </x:c>
      <x:c r="F7" s="32" t="n">
        <x:v>0</x:v>
      </x:c>
      <x:c r="G7" s="34" t="n">
        <x:v>1</x:v>
      </x:c>
      <x:c r="H7" s="32" t="n">
        <x:f>IF(E7=0,"",I7/E7)</x:f>
        <x:v>655.9476528948506</x:v>
      </x:c>
      <x:c r="I7" s="31" t="n">
        <x:f>IF(C7=0,"",SUMIF('Species'!$G$2:$G$66,A7,'Species'!$U$2:$U$66))</x:f>
        <x:v>132809.42386905107</x:v>
      </x:c>
      <x:c r="J7" s="32" t="n">
        <x:v>3.8049975821057376</x:v>
      </x:c>
      <x:c r="K7" s="32" t="n">
        <x:f>IF(J7="","",(1/'Metadata'!$B$5)^(J7-1))</x:f>
        <x:v>638.2599327276577</x:v>
      </x:c>
      <x:c r="L7" s="31" t="n">
        <x:f>IF(E7=0,"",E7*K7)</x:f>
        <x:v>129228.19918657102</x:v>
      </x:c>
      <x:c r="M7" s="31" t="n">
        <x:f>IF(E7=0,"",I7-L7)</x:f>
        <x:v>3581.224682480053</x:v>
      </x:c>
      <x:c r="N7" s="32" t="n">
        <x:f>IF(L7=0,"",I7/L7)</x:f>
        <x:v>1.0277124087855602</x:v>
      </x:c>
      <x:c r="O7" s="34" t="n">
        <x:f>IF(L7=0,"",M7/L7)</x:f>
        <x:v>0.027712408785560194</x:v>
      </x:c>
    </x:row>
    <x:row r="8" ht="18" customHeight="1">
      <x:c r="A8" s="24" t="str">
        <x:v>Large sharks (&gt;=90 cm)</x:v>
      </x:c>
      <x:c r="B8" s="33" t="n">
        <x:v>5</x:v>
      </x:c>
      <x:c r="C8" s="33" t="n">
        <x:v>5</x:v>
      </x:c>
      <x:c r="D8" s="31" t="n">
        <x:v>435.2754961814</x:v>
      </x:c>
      <x:c r="E8" s="31" t="n">
        <x:v>435.2754961814</x:v>
      </x:c>
      <x:c r="F8" s="32" t="n">
        <x:v>0</x:v>
      </x:c>
      <x:c r="G8" s="34" t="n">
        <x:v>1</x:v>
      </x:c>
      <x:c r="H8" s="32" t="n">
        <x:f>IF(E8=0,"",I8/E8)</x:f>
        <x:v>1014.05441225475</x:v>
      </x:c>
      <x:c r="I8" s="31" t="n">
        <x:f>IF(C8=0,"",SUMIF('Species'!$G$2:$G$66,A8,'Species'!$U$2:$U$66))</x:f>
        <x:v>441393.03744912427</x:v>
      </x:c>
      <x:c r="J8" s="32" t="n">
        <x:v>4.003825066561358</x:v>
      </x:c>
      <x:c r="K8" s="32" t="n">
        <x:f>IF(J8="","",(1/'Metadata'!$B$5)^(J8-1))</x:f>
        <x:v>1008.8464417573617</x:v>
      </x:c>
      <x:c r="L8" s="31" t="n">
        <x:f>IF(E8=0,"",E8*K8)</x:f>
        <x:v>439126.13550677546</x:v>
      </x:c>
      <x:c r="M8" s="31" t="n">
        <x:f>IF(E8=0,"",I8-L8)</x:f>
        <x:v>2266.901942348806</x:v>
      </x:c>
      <x:c r="N8" s="32" t="n">
        <x:f>IF(L8=0,"",I8/L8)</x:f>
        <x:v>1.0051623024890848</x:v>
      </x:c>
      <x:c r="O8" s="34" t="n">
        <x:f>IF(L8=0,"",M8/L8)</x:f>
        <x:v>0.005162302489084778</x:v>
      </x:c>
    </x:row>
    <x:row r="9" ht="18" customHeight="1">
      <x:c r="A9" s="24" t="str">
        <x:v>Medium demersals (30 - 89 cm)</x:v>
      </x:c>
      <x:c r="B9" s="33" t="n">
        <x:v>12</x:v>
      </x:c>
      <x:c r="C9" s="33" t="n">
        <x:v>12</x:v>
      </x:c>
      <x:c r="D9" s="31" t="n">
        <x:v>4283.154792375801</x:v>
      </x:c>
      <x:c r="E9" s="31" t="n">
        <x:v>4283.154792375801</x:v>
      </x:c>
      <x:c r="F9" s="32" t="n">
        <x:v>0</x:v>
      </x:c>
      <x:c r="G9" s="34" t="n">
        <x:v>1</x:v>
      </x:c>
      <x:c r="H9" s="32" t="n">
        <x:f>IF(E9=0,"",I9/E9)</x:f>
        <x:v>656.2854574958902</x:v>
      </x:c>
      <x:c r="I9" s="31" t="n">
        <x:f>IF(C9=0,"",SUMIF('Species'!$G$2:$G$66,A9,'Species'!$U$2:$U$66))</x:f>
        <x:v>2810972.202440067</x:v>
      </x:c>
      <x:c r="J9" s="32" t="n">
        <x:v>3.6703049195976014</x:v>
      </x:c>
      <x:c r="K9" s="32" t="n">
        <x:f>IF(J9="","",(1/'Metadata'!$B$5)^(J9-1))</x:f>
        <x:v>468.0636549945633</x:v>
      </x:c>
      <x:c r="L9" s="31" t="n">
        <x:f>IF(E9=0,"",E9*K9)</x:f>
        <x:v>2004789.0870268974</x:v>
      </x:c>
      <x:c r="M9" s="31" t="n">
        <x:f>IF(E9=0,"",I9-L9)</x:f>
        <x:v>806183.1154131698</x:v>
      </x:c>
      <x:c r="N9" s="32" t="n">
        <x:f>IF(L9=0,"",I9/L9)</x:f>
        <x:v>1.4021286431725042</x:v>
      </x:c>
      <x:c r="O9" s="34" t="n">
        <x:f>IF(L9=0,"",M9/L9)</x:f>
        <x:v>0.4021286431725043</x:v>
      </x:c>
    </x:row>
    <x:row r="10" ht="18" customHeight="1">
      <x:c r="A10" s="24" t="str">
        <x:v>Medium pelagics (30 - 89 cm)</x:v>
      </x:c>
      <x:c r="B10" s="33" t="n">
        <x:v>3</x:v>
      </x:c>
      <x:c r="C10" s="33" t="n">
        <x:v>3</x:v>
      </x:c>
      <x:c r="D10" s="31" t="n">
        <x:v>82.5187615972</x:v>
      </x:c>
      <x:c r="E10" s="31" t="n">
        <x:v>82.5187615972</x:v>
      </x:c>
      <x:c r="F10" s="32" t="n">
        <x:v>0</x:v>
      </x:c>
      <x:c r="G10" s="34" t="n">
        <x:v>1</x:v>
      </x:c>
      <x:c r="H10" s="32" t="n">
        <x:f>IF(E10=0,"",I10/E10)</x:f>
        <x:v>1053.4043819477595</x:v>
      </x:c>
      <x:c r="I10" s="31" t="n">
        <x:f>IF(C10=0,"",SUMIF('Species'!$G$2:$G$66,A10,'Species'!$U$2:$U$66))</x:f>
        <x:v>86925.62505939297</x:v>
      </x:c>
      <x:c r="J10" s="32" t="n">
        <x:v>4.021732100780665</x:v>
      </x:c>
      <x:c r="K10" s="32" t="n">
        <x:f>IF(J10="","",(1/'Metadata'!$B$5)^(J10-1))</x:f>
        <x:v>1051.313159937595</x:v>
      </x:c>
      <x:c r="L10" s="31" t="n">
        <x:f>IF(E10=0,"",E10*K10)</x:f>
        <x:v>86753.06000888938</x:v>
      </x:c>
      <x:c r="M10" s="31" t="n">
        <x:f>IF(E10=0,"",I10-L10)</x:f>
        <x:v>172.56505050358828</x:v>
      </x:c>
      <x:c r="N10" s="32" t="n">
        <x:f>IF(L10=0,"",I10/L10)</x:f>
        <x:v>1.0019891523190756</x:v>
      </x:c>
      <x:c r="O10" s="34" t="n">
        <x:f>IF(L10=0,"",M10/L10)</x:f>
        <x:v>0.0019891523190756146</x:v>
      </x:c>
    </x:row>
    <x:row r="11" ht="18" customHeight="1">
      <x:c r="A11" s="24" t="str">
        <x:v>Medium reef assoc. fish (30 - 89 cm)</x:v>
      </x:c>
      <x:c r="B11" s="33" t="n">
        <x:v>2</x:v>
      </x:c>
      <x:c r="C11" s="33" t="n">
        <x:v>2</x:v>
      </x:c>
      <x:c r="D11" s="31" t="n">
        <x:v>142.41729532920002</x:v>
      </x:c>
      <x:c r="E11" s="31" t="n">
        <x:v>142.41729532920002</x:v>
      </x:c>
      <x:c r="F11" s="32" t="n">
        <x:v>0</x:v>
      </x:c>
      <x:c r="G11" s="34" t="n">
        <x:v>1</x:v>
      </x:c>
      <x:c r="H11" s="32" t="n">
        <x:f>IF(E11=0,"",I11/E11)</x:f>
        <x:v>1029.8504334604418</x:v>
      </x:c>
      <x:c r="I11" s="31" t="n">
        <x:f>IF(C11=0,"",SUMIF('Species'!$G$2:$G$66,A11,'Species'!$U$2:$U$66))</x:f>
        <x:v>146668.5133270404</x:v>
      </x:c>
      <x:c r="J11" s="32" t="n">
        <x:v>4.012498861808191</x:v>
      </x:c>
      <x:c r="K11" s="32" t="n">
        <x:f>IF(J11="","",(1/'Metadata'!$B$5)^(J11-1))</x:f>
        <x:v>1029.1978298862105</x:v>
      </x:c>
      <x:c r="L11" s="31" t="n">
        <x:f>IF(E11=0,"",E11*K11)</x:f>
        <x:v>146575.5712910762</x:v>
      </x:c>
      <x:c r="M11" s="31" t="n">
        <x:f>IF(E11=0,"",I11-L11)</x:f>
        <x:v>92.94203596419538</x:v>
      </x:c>
      <x:c r="N11" s="32" t="n">
        <x:f>IF(L11=0,"",I11/L11)</x:f>
        <x:v>1.0006340895358314</x:v>
      </x:c>
      <x:c r="O11" s="34" t="n">
        <x:f>IF(L11=0,"",M11/L11)</x:f>
        <x:v>0.0006340895358314996</x:v>
      </x:c>
    </x:row>
    <x:row r="12" ht="18" customHeight="1">
      <x:c r="A12" s="24" t="str">
        <x:v>Shrimps</x:v>
      </x:c>
      <x:c r="B12" s="33" t="n">
        <x:v>2</x:v>
      </x:c>
      <x:c r="C12" s="33" t="n">
        <x:v>2</x:v>
      </x:c>
      <x:c r="D12" s="31" t="n">
        <x:v>280.7880275901</x:v>
      </x:c>
      <x:c r="E12" s="31" t="n">
        <x:v>280.7880275901</x:v>
      </x:c>
      <x:c r="F12" s="32" t="n">
        <x:v>0</x:v>
      </x:c>
      <x:c r="G12" s="34" t="n">
        <x:v>1</x:v>
      </x:c>
      <x:c r="H12" s="32" t="n">
        <x:f>IF(E12=0,"",I12/E12)</x:f>
        <x:v>56.86204486704058</x:v>
      </x:c>
      <x:c r="I12" s="31" t="n">
        <x:f>IF(C12=0,"",SUMIF('Species'!$G$2:$G$66,A12,'Species'!$U$2:$U$66))</x:f>
        <x:v>15966.181422956095</x:v>
      </x:c>
      <x:c r="J12" s="32" t="n">
        <x:v>2.754489502744523</x:v>
      </x:c>
      <x:c r="K12" s="32" t="n">
        <x:f>IF(J12="","",(1/'Metadata'!$B$5)^(J12-1))</x:f>
        <x:v>56.81846579025754</x:v>
      </x:c>
      <x:c r="L12" s="31" t="n">
        <x:f>IF(E12=0,"",E12*K12)</x:f>
        <x:v>15953.944939941988</x:v>
      </x:c>
      <x:c r="M12" s="31" t="n">
        <x:f>IF(E12=0,"",I12-L12)</x:f>
        <x:v>12.236483014106852</x:v>
      </x:c>
      <x:c r="N12" s="32" t="n">
        <x:f>IF(L12=0,"",I12/L12)</x:f>
        <x:v>1.000766987918046</x:v>
      </x:c>
      <x:c r="O12" s="34" t="n">
        <x:f>IF(L12=0,"",M12/L12)</x:f>
        <x:v>0.0007669879180460144</x:v>
      </x:c>
    </x:row>
    <x:row r="13" ht="18" customHeight="1">
      <x:c r="A13" s="24" t="str">
        <x:v>Small benthopelagics (&lt;30 cm)</x:v>
      </x:c>
      <x:c r="B13" s="33" t="n">
        <x:v>1</x:v>
      </x:c>
      <x:c r="C13" s="33" t="n">
        <x:v>1</x:v>
      </x:c>
      <x:c r="D13" s="31" t="n">
        <x:v>12.3762836339</x:v>
      </x:c>
      <x:c r="E13" s="31" t="n">
        <x:v>12.3762836339</x:v>
      </x:c>
      <x:c r="F13" s="32" t="n">
        <x:v>0</x:v>
      </x:c>
      <x:c r="G13" s="34" t="n">
        <x:v>1</x:v>
      </x:c>
      <x:c r="H13" s="32" t="n">
        <x:f>IF(E13=0,"",I13/E13)</x:f>
        <x:v>107.1519305237606</x:v>
      </x:c>
      <x:c r="I13" s="31" t="n">
        <x:f>IF(C13=0,"",SUMIF('Species'!$G$2:$G$66,A13,'Species'!$U$2:$U$66))</x:f>
        <x:v>1326.1426840820081</x:v>
      </x:c>
      <x:c r="J13" s="32" t="n">
        <x:v>3.03</x:v>
      </x:c>
      <x:c r="K13" s="32" t="n">
        <x:f>IF(J13="","",(1/'Metadata'!$B$5)^(J13-1))</x:f>
        <x:v>107.1519305237606</x:v>
      </x:c>
      <x:c r="L13" s="31" t="n">
        <x:f>IF(E13=0,"",E13*K13)</x:f>
        <x:v>1326.1426840820081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  <x:row r="14" ht="18" customHeight="1">
      <x:c r="A14" s="24" t="str">
        <x:v>Small demersals (&lt;30 cm)</x:v>
      </x:c>
      <x:c r="B14" s="33" t="n">
        <x:v>2</x:v>
      </x:c>
      <x:c r="C14" s="33" t="n">
        <x:v>2</x:v>
      </x:c>
      <x:c r="D14" s="31" t="n">
        <x:v>122.2151768197</x:v>
      </x:c>
      <x:c r="E14" s="31" t="n">
        <x:v>122.2151768197</x:v>
      </x:c>
      <x:c r="F14" s="32" t="n">
        <x:v>0</x:v>
      </x:c>
      <x:c r="G14" s="34" t="n">
        <x:v>1</x:v>
      </x:c>
      <x:c r="H14" s="32" t="n">
        <x:f>IF(E14=0,"",I14/E14)</x:f>
        <x:v>1940.643636554138</x:v>
      </x:c>
      <x:c r="I14" s="31" t="n">
        <x:f>IF(C14=0,"",SUMIF('Species'!$G$2:$G$66,A14,'Species'!$U$2:$U$66))</x:f>
        <x:v>237176.1051854896</x:v>
      </x:c>
      <x:c r="J14" s="32" t="n">
        <x:v>4.085833333440018</x:v>
      </x:c>
      <x:c r="K14" s="32" t="n">
        <x:f>IF(J14="","",(1/'Metadata'!$B$5)^(J14-1))</x:f>
        <x:v>1218.5218844295298</x:v>
      </x:c>
      <x:c r="L14" s="31" t="n">
        <x:f>IF(E14=0,"",E14*K14)</x:f>
        <x:v>148921.86756422903</x:v>
      </x:c>
      <x:c r="M14" s="31" t="n">
        <x:f>IF(E14=0,"",I14-L14)</x:f>
        <x:v>88254.23762126057</x:v>
      </x:c>
      <x:c r="N14" s="32" t="n">
        <x:f>IF(L14=0,"",I14/L14)</x:f>
        <x:v>1.592621077513664</x:v>
      </x:c>
      <x:c r="O14" s="34" t="n">
        <x:f>IF(L14=0,"",M14/L14)</x:f>
        <x:v>0.592621077513664</x:v>
      </x:c>
    </x:row>
    <x:row r="15" ht="18" customHeight="1">
      <x:c r="A15" s="24" t="str">
        <x:v>Small pelagics (&lt;30 cm)</x:v>
      </x:c>
      <x:c r="B15" s="33" t="n">
        <x:v>3</x:v>
      </x:c>
      <x:c r="C15" s="33" t="n">
        <x:v>3</x:v>
      </x:c>
      <x:c r="D15" s="31" t="n">
        <x:v>74.542516631</x:v>
      </x:c>
      <x:c r="E15" s="31" t="n">
        <x:v>74.542516631</x:v>
      </x:c>
      <x:c r="F15" s="32" t="n">
        <x:v>0</x:v>
      </x:c>
      <x:c r="G15" s="34" t="n">
        <x:v>1</x:v>
      </x:c>
      <x:c r="H15" s="32" t="n">
        <x:f>IF(E15=0,"",I15/E15)</x:f>
        <x:v>189.8648033013503</x:v>
      </x:c>
      <x:c r="I15" s="31" t="n">
        <x:f>IF(C15=0,"",SUMIF('Species'!$G$2:$G$66,A15,'Species'!$U$2:$U$66))</x:f>
        <x:v>14153.000257732449</x:v>
      </x:c>
      <x:c r="J15" s="32" t="n">
        <x:v>3.275737609341286</x:v>
      </x:c>
      <x:c r="K15" s="32" t="n">
        <x:f>IF(J15="","",(1/'Metadata'!$B$5)^(J15-1))</x:f>
        <x:v>188.6851013005144</x:v>
      </x:c>
      <x:c r="L15" s="31" t="n">
        <x:f>IF(E15=0,"",E15*K15)</x:f>
        <x:v>14065.062301715514</x:v>
      </x:c>
      <x:c r="M15" s="31" t="n">
        <x:f>IF(E15=0,"",I15-L15)</x:f>
        <x:v>87.93795601693455</x:v>
      </x:c>
      <x:c r="N15" s="32" t="n">
        <x:f>IF(L15=0,"",I15/L15)</x:f>
        <x:v>1.0062522265547453</x:v>
      </x:c>
      <x:c r="O15" s="34" t="n">
        <x:f>IF(L15=0,"",M15/L15)</x:f>
        <x:v>0.006252226554745425</x:v>
      </x:c>
    </x:row>
    <x:row r="16" ht="18" customHeight="1">
      <x:c r="A16" s="24" t="str">
        <x:v>Small reef assoc. fish (&lt;30 cm)</x:v>
      </x:c>
      <x:c r="B16" s="33" t="n">
        <x:v>2</x:v>
      </x:c>
      <x:c r="C16" s="33" t="n">
        <x:v>2</x:v>
      </x:c>
      <x:c r="D16" s="31" t="n">
        <x:v>144.62129254680002</x:v>
      </x:c>
      <x:c r="E16" s="31" t="n">
        <x:v>144.62129254680002</x:v>
      </x:c>
      <x:c r="F16" s="32" t="n">
        <x:v>0</x:v>
      </x:c>
      <x:c r="G16" s="34" t="n">
        <x:v>1</x:v>
      </x:c>
      <x:c r="H16" s="32" t="n">
        <x:f>IF(E16=0,"",I16/E16)</x:f>
        <x:v>421.7827446208379</x:v>
      </x:c>
      <x:c r="I16" s="31" t="n">
        <x:f>IF(C16=0,"",SUMIF('Species'!$G$2:$G$66,A16,'Species'!$U$2:$U$66))</x:f>
        <x:v>60998.76570100244</x:v>
      </x:c>
      <x:c r="J16" s="32" t="n">
        <x:v>3.6149295774683545</x:v>
      </x:c>
      <x:c r="K16" s="32" t="n">
        <x:f>IF(J16="","",(1/'Metadata'!$B$5)^(J16-1))</x:f>
        <x:v>412.03070130666913</x:v>
      </x:c>
      <x:c r="L16" s="31" t="n">
        <x:f>IF(E16=0,"",E16*K16)</x:f>
        <x:v>59588.412591934975</x:v>
      </x:c>
      <x:c r="M16" s="31" t="n">
        <x:f>IF(E16=0,"",I16-L16)</x:f>
        <x:v>1410.353109067466</x:v>
      </x:c>
      <x:c r="N16" s="32" t="n">
        <x:f>IF(L16=0,"",I16/L16)</x:f>
        <x:v>1.023668244340148</x:v>
      </x:c>
      <x:c r="O16" s="34" t="n">
        <x:f>IF(L16=0,"",M16/L16)</x:f>
        <x:v>0.023668244340147953</x:v>
      </x:c>
    </x:row>
    <x:row r="17" ht="18" customHeight="1">
      <x:c r="A17" s="24" t="str">
        <x:v>Small to medium flatfishes (&lt;90 cm)</x:v>
      </x:c>
      <x:c r="B17" s="33" t="n">
        <x:v>3</x:v>
      </x:c>
      <x:c r="C17" s="33" t="n">
        <x:v>3</x:v>
      </x:c>
      <x:c r="D17" s="31" t="n">
        <x:v>104.9707919169</x:v>
      </x:c>
      <x:c r="E17" s="31" t="n">
        <x:v>104.9707919169</x:v>
      </x:c>
      <x:c r="F17" s="32" t="n">
        <x:v>0</x:v>
      </x:c>
      <x:c r="G17" s="34" t="n">
        <x:v>1</x:v>
      </x:c>
      <x:c r="H17" s="32" t="n">
        <x:f>IF(E17=0,"",I17/E17)</x:f>
        <x:v>423.4827478424323</x:v>
      </x:c>
      <x:c r="I17" s="31" t="n">
        <x:f>IF(C17=0,"",SUMIF('Species'!$G$2:$G$66,A17,'Species'!$U$2:$U$66))</x:f>
        <x:v>44453.31940416499</x:v>
      </x:c>
      <x:c r="J17" s="32" t="n">
        <x:v>3.6224362626007283</x:v>
      </x:c>
      <x:c r="K17" s="32" t="n">
        <x:f>IF(J17="","",(1/'Metadata'!$B$5)^(J17-1))</x:f>
        <x:v>419.2144679251353</x:v>
      </x:c>
      <x:c r="L17" s="31" t="n">
        <x:f>IF(E17=0,"",E17*K17)</x:f>
        <x:v>44005.27468112332</x:v>
      </x:c>
      <x:c r="M17" s="31" t="n">
        <x:f>IF(E17=0,"",I17-L17)</x:f>
        <x:v>448.0447230416685</x:v>
      </x:c>
      <x:c r="N17" s="32" t="n">
        <x:f>IF(L17=0,"",I17/L17)</x:f>
        <x:v>1.0101816140516868</x:v>
      </x:c>
      <x:c r="O17" s="34" t="n">
        <x:f>IF(L17=0,"",M17/L17)</x:f>
        <x:v>0.010181614051686935</x:v>
      </x:c>
    </x:row>
    <x:row r="18" ht="18" customHeight="1">
      <x:c r="A18" s="24" t="str">
        <x:v>Small to medium rays (&lt;90 cm)</x:v>
      </x:c>
      <x:c r="B18" s="33" t="n">
        <x:v>1</x:v>
      </x:c>
      <x:c r="C18" s="33" t="n">
        <x:v>1</x:v>
      </x:c>
      <x:c r="D18" s="31" t="n">
        <x:v>48.8860707279</x:v>
      </x:c>
      <x:c r="E18" s="31" t="n">
        <x:v>48.8860707279</x:v>
      </x:c>
      <x:c r="F18" s="32" t="n">
        <x:v>0</x:v>
      </x:c>
      <x:c r="G18" s="34" t="n">
        <x:v>1</x:v>
      </x:c>
      <x:c r="H18" s="32" t="n">
        <x:f>IF(E18=0,"",I18/E18)</x:f>
        <x:v>380.1893963205613</x:v>
      </x:c>
      <x:c r="I18" s="31" t="n">
        <x:f>IF(C18=0,"",SUMIF('Species'!$G$2:$G$66,A18,'Species'!$U$2:$U$66))</x:f>
        <x:v>18585.965718524563</x:v>
      </x:c>
      <x:c r="J18" s="32" t="n">
        <x:v>3.5800000000000005</x:v>
      </x:c>
      <x:c r="K18" s="32" t="n">
        <x:f>IF(J18="","",(1/'Metadata'!$B$5)^(J18-1))</x:f>
        <x:v>380.1893963205616</x:v>
      </x:c>
      <x:c r="L18" s="31" t="n">
        <x:f>IF(E18=0,"",E18*K18)</x:f>
        <x:v>18585.965718524578</x:v>
      </x:c>
      <x:c r="M18" s="31" t="n">
        <x:f>IF(E18=0,"",I18-L18)</x:f>
        <x:v>-1.4551915228366852e-11</x:v>
      </x:c>
      <x:c r="N18" s="32" t="n">
        <x:f>IF(L18=0,"",I18/L18)</x:f>
        <x:v>0.9999999999999992</x:v>
      </x:c>
      <x:c r="O18" s="34" t="n">
        <x:f>IF(L18=0,"",M18/L18)</x:f>
        <x:v>-7.82951795389518e-16</x:v>
      </x:c>
    </x:row>
  </x:sheetData>
  <x:conditionalFormatting sqref="G2:G18">
    <x:cfRule type="cellIs" dxfId="2" priority="1" operator="lessThan">
      <x:formula>0.9</x:formula>
    </x:cfRule>
  </x:conditionalFormatting>
  <x:conditionalFormatting sqref="O2:O1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6bcbb3eb81b4e1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EEZ_254</x:v>
      </x:c>
      <x:c r="B2" s="24" t="str">
        <x:v>raw_filtered_tonnes</x:v>
      </x:c>
      <x:c r="C2" s="24" t="n">
        <x:v>6463.655097239699</x:v>
      </x:c>
      <x:c r="D2" s="24" t="str">
        <x:v>tonnes</x:v>
      </x:c>
    </x:row>
    <x:row r="3" ht="18" customHeight="1">
      <x:c r="A3" s="24" t="str">
        <x:v>EEZ_254</x:v>
      </x:c>
      <x:c r="B3" s="24" t="str">
        <x:v>species_catch_tonnes</x:v>
      </x:c>
      <x:c r="C3" s="24" t="n">
        <x:v>6463.6550972397</x:v>
      </x:c>
      <x:c r="D3" s="24" t="str">
        <x:v>tonnes</x:v>
      </x:c>
    </x:row>
    <x:row r="4" ht="18" customHeight="1">
      <x:c r="A4" s="24" t="str">
        <x:v>EEZ_254</x:v>
      </x:c>
      <x:c r="B4" s="24" t="str">
        <x:v>catch_difference_tonnes</x:v>
      </x:c>
      <x:c r="C4" s="24" t="n">
        <x:v>9.094947017729282e-13</x:v>
      </x:c>
      <x:c r="D4" s="24" t="str">
        <x:v>tonnes</x:v>
      </x:c>
    </x:row>
    <x:row r="5" ht="18" customHeight="1">
      <x:c r="A5" s="24" t="str">
        <x:v>EEZ_254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EEZ_254</x:v>
      </x:c>
      <x:c r="B6" s="24" t="str">
        <x:v>matched_catch_tonnes</x:v>
      </x:c>
      <x:c r="C6" s="24" t="n">
        <x:v>6463.6550972397</x:v>
      </x:c>
      <x:c r="D6" s="24" t="str">
        <x:v>tonnes</x:v>
      </x:c>
    </x:row>
    <x:row r="7" ht="18" customHeight="1">
      <x:c r="A7" s="24" t="str">
        <x:v>EEZ_254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EEZ_254</x:v>
      </x:c>
      <x:c r="B8" s="24" t="str">
        <x:v>taxa_count</x:v>
      </x:c>
      <x:c r="C8" s="24" t="n">
        <x:v>65</x:v>
      </x:c>
      <x:c r="D8" s="24" t="str">
        <x:v>count</x:v>
      </x:c>
    </x:row>
    <x:row r="9" ht="18" customHeight="1">
      <x:c r="A9" s="24" t="str">
        <x:v>EEZ_254</x:v>
      </x:c>
      <x:c r="B9" s="24" t="str">
        <x:v>matched_taxa_count</x:v>
      </x:c>
      <x:c r="C9" s="24" t="n">
        <x:v>65</x:v>
      </x:c>
      <x:c r="D9" s="24" t="str">
        <x:v>count</x:v>
      </x:c>
    </x:row>
    <x:row r="10" ht="18" customHeight="1">
      <x:c r="A10" s="24" t="str">
        <x:v>EEZ_254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EEZ_254</x:v>
      </x:c>
      <x:c r="B11" s="24" t="str">
        <x:v>species_ppr</x:v>
      </x:c>
      <x:c r="C11" s="24" t="n">
        <x:v>4898958.650204303</x:v>
      </x:c>
      <x:c r="D11" s="24" t="str">
        <x:v>tonnes_primary_production_equivalent</x:v>
      </x:c>
    </x:row>
    <x:row r="12" ht="18" customHeight="1">
      <x:c r="A12" s="24" t="str">
        <x:v>EEZ_254</x:v>
      </x:c>
      <x:c r="B12" s="24" t="str">
        <x:v>commercial_ppr</x:v>
      </x:c>
      <x:c r="C12" s="24" t="n">
        <x:v>4898958.650204303</x:v>
      </x:c>
      <x:c r="D12" s="24" t="str">
        <x:v>tonnes_primary_production_equivalent</x:v>
      </x:c>
    </x:row>
    <x:row r="13" ht="18" customHeight="1">
      <x:c r="A13" s="24" t="str">
        <x:v>EEZ_254</x:v>
      </x:c>
      <x:c r="B13" s="24" t="str">
        <x:v>functional_ppr</x:v>
      </x:c>
      <x:c r="C13" s="24" t="n">
        <x:v>4898958.650204302</x:v>
      </x:c>
      <x:c r="D13" s="24" t="str">
        <x:v>tonnes_primary_production_equivalent</x:v>
      </x:c>
    </x:row>
    <x:row r="14" ht="18" customHeight="1">
      <x:c r="A14" s="24" t="str">
        <x:v>EEZ_254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EEZ_254</x:v>
      </x:c>
      <x:c r="B15" s="24" t="str">
        <x:v>functional_ppr_difference</x:v>
      </x:c>
      <x:c r="C15" s="24" t="n">
        <x:v>-9.313225746154785e-10</x:v>
      </x:c>
      <x:c r="D15" s="24" t="str">
        <x:v>tonnes_primary_production_equivalent</x:v>
      </x:c>
    </x:row>
    <x:row r="16" ht="18" customHeight="1">
      <x:c r="A16" s="24" t="str">
        <x:v>EEZ_254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EEZ_254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EEZ_254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EEZ_254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9d2ee6f999d34cb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EEZ_254 - French Guiana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EEZ_254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raw_data/SAU_downloads/EEZ_254-catch.zip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