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f089e68f5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66e9c1436684bc1"/>
    <x:sheet xmlns:r="http://schemas.openxmlformats.org/officeDocument/2006/relationships" name="Commercial" sheetId="2" r:id="R68390857edea45ec"/>
    <x:sheet xmlns:r="http://schemas.openxmlformats.org/officeDocument/2006/relationships" name="Functional" sheetId="3" r:id="R0253d310d3cf4f4b"/>
    <x:sheet xmlns:r="http://schemas.openxmlformats.org/officeDocument/2006/relationships" name="Missing TL" sheetId="4" r:id="R41fe50f2d3e7467d"/>
    <x:sheet xmlns:r="http://schemas.openxmlformats.org/officeDocument/2006/relationships" name="Validation" sheetId="5" r:id="R53f136c62886440e"/>
    <x:sheet xmlns:r="http://schemas.openxmlformats.org/officeDocument/2006/relationships" name="Metadata" sheetId="6" r:id="R2f208714e622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a2097b9d84b78" /><Relationship Type="http://schemas.openxmlformats.org/officeDocument/2006/relationships/theme" Target="/xl/theme/theme1.xml" Id="R7c92e38aece644d5" /><Relationship Type="http://schemas.microsoft.com/office/2022/11/relationships/FeaturePropertyBag" Target="/xl/featurePropertyBag/featurePropertyBag.xml" Id="Rf17375d587e04300" /><Relationship Type="http://schemas.openxmlformats.org/officeDocument/2006/relationships/sharedStrings" Target="/xl/sharedStrings.xml" Id="R69023c81e83f4cd8" /><Relationship Type="http://schemas.openxmlformats.org/officeDocument/2006/relationships/worksheet" Target="/xl/worksheets/sheet1.xml" Id="R666e9c1436684bc1" /><Relationship Type="http://schemas.openxmlformats.org/officeDocument/2006/relationships/worksheet" Target="/xl/worksheets/sheet2.xml" Id="R68390857edea45ec" /><Relationship Type="http://schemas.openxmlformats.org/officeDocument/2006/relationships/worksheet" Target="/xl/worksheets/sheet3.xml" Id="R0253d310d3cf4f4b" /><Relationship Type="http://schemas.openxmlformats.org/officeDocument/2006/relationships/worksheet" Target="/xl/worksheets/sheet4.xml" Id="R41fe50f2d3e7467d" /><Relationship Type="http://schemas.openxmlformats.org/officeDocument/2006/relationships/worksheet" Target="/xl/worksheets/sheet5.xml" Id="R53f136c62886440e" /><Relationship Type="http://schemas.openxmlformats.org/officeDocument/2006/relationships/worksheet" Target="/xl/worksheets/sheet6.xml" Id="R2f208714e62240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2SpeciesTable" displayName="EEZ032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2CommercialTable" displayName="EEZ032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2FunctionalTable" displayName="EEZ032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2ValidationTable" displayName="EEZ0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a6ac23d73842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4a8d99f2e2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7eec859aca4b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777d1e75a3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EEZ_032</x:v>
      </x:c>
      <x:c r="B2" s="24" t="str">
        <x:v>Argentina</x:v>
      </x:c>
      <x:c r="C2" s="24" t="str">
        <x:v>EEZ</x:v>
      </x:c>
      <x:c r="D2" s="30" t="n">
        <x:v>2019</x:v>
      </x:c>
      <x:c r="E2" s="24" t="str">
        <x:v>Merluccius hubbsi</x:v>
      </x:c>
      <x:c r="F2" s="24" t="str">
        <x:v>Argentine hake</x:v>
      </x:c>
      <x:c r="G2" s="24" t="str">
        <x:v>Medium benthopelagics (30 - 89 cm)</x:v>
      </x:c>
      <x:c r="H2" s="24" t="str">
        <x:v>Cod-likes</x:v>
      </x:c>
      <x:c r="I2" s="31" t="n">
        <x:v>527357.3924928744</x:v>
      </x:c>
      <x:c r="J2" s="31" t="n">
        <x:v>477406.6563128745</x:v>
      </x:c>
      <x:c r="K2" s="31" t="n">
        <x:v>49950.7361799999</x:v>
      </x:c>
      <x:c r="L2" s="31" t="n">
        <x:v>396723.3712628745</x:v>
      </x:c>
      <x:c r="M2" s="31" t="n">
        <x:v>130634.0212299999</x:v>
      </x:c>
      <x:c r="N2" s="24" t="str">
        <x:v>merluccius hubbsi</x:v>
      </x:c>
      <x:c r="O2" s="32" t="n">
        <x:v>4.23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hubbsi</x:v>
      </x:c>
      <x:c r="T2" s="32" t="n">
        <x:f>IF(O2="","",(1/'Metadata'!$B$5)^(O2-1))</x:f>
        <x:v>1698.243652461746</x:v>
      </x:c>
      <x:c r="U2" s="31" t="n">
        <x:f>IF(T2="","",I2*T2)</x:f>
        <x:v>895581344.3798016</x:v>
      </x:c>
    </x:row>
    <x:row r="3" ht="18" customHeight="1">
      <x:c r="A3" s="24" t="str">
        <x:v>EEZ_032</x:v>
      </x:c>
      <x:c r="B3" s="24" t="str">
        <x:v>Argentina</x:v>
      </x:c>
      <x:c r="C3" s="24" t="str">
        <x:v>EEZ</x:v>
      </x:c>
      <x:c r="D3" s="30" t="n">
        <x:v>2019</x:v>
      </x:c>
      <x:c r="E3" s="24" t="str">
        <x:v>Pleoticus muelleri</x:v>
      </x:c>
      <x:c r="F3" s="24" t="str">
        <x:v>Argentine red shrimp</x:v>
      </x:c>
      <x:c r="G3" s="24" t="str">
        <x:v>Shrimps</x:v>
      </x:c>
      <x:c r="H3" s="24" t="str">
        <x:v>Crustaceans</x:v>
      </x:c>
      <x:c r="I3" s="31" t="n">
        <x:v>283723.665884</x:v>
      </x:c>
      <x:c r="J3" s="31" t="n">
        <x:v>281164.83908</x:v>
      </x:c>
      <x:c r="K3" s="31" t="n">
        <x:v>2558.826804</x:v>
      </x:c>
      <x:c r="L3" s="31" t="n">
        <x:v>215642</x:v>
      </x:c>
      <x:c r="M3" s="31" t="n">
        <x:v>68081.665884</x:v>
      </x:c>
      <x:c r="N3" s="24" t="str">
        <x:v>pleoticus muelleri</x:v>
      </x:c>
      <x:c r="O3" s="32" t="n">
        <x:v>2.2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Pleoticus muelleri</x:v>
      </x:c>
      <x:c r="T3" s="32" t="n">
        <x:f>IF(O3="","",(1/'Metadata'!$B$5)^(O3-1))</x:f>
        <x:v>15.848931924611142</x:v>
      </x:c>
      <x:c r="U3" s="31" t="n">
        <x:f>IF(T3="","",I3*T3)</x:f>
        <x:v>4496717.065996633</x:v>
      </x:c>
    </x:row>
    <x:row r="4" ht="18" customHeight="1">
      <x:c r="A4" s="24" t="str">
        <x:v>EEZ_032</x:v>
      </x:c>
      <x:c r="B4" s="24" t="str">
        <x:v>Argentina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251814.9411277173</x:v>
      </x:c>
      <x:c r="J4" s="31" t="n">
        <x:v>250581.8303061173</x:v>
      </x:c>
      <x:c r="K4" s="31" t="n">
        <x:v>1233.1108216</x:v>
      </x:c>
      <x:c r="L4" s="31" t="n">
        <x:v>206586.6457161173</x:v>
      </x:c>
      <x:c r="M4" s="31" t="n">
        <x:v>45228.2954116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166372481.71350127</x:v>
      </x:c>
    </x:row>
    <x:row r="5" ht="18" customHeight="1">
      <x:c r="A5" s="24" t="str">
        <x:v>EEZ_032</x:v>
      </x:c>
      <x:c r="B5" s="24" t="str">
        <x:v>Argentina</x:v>
      </x:c>
      <x:c r="C5" s="24" t="str">
        <x:v>EEZ</x:v>
      </x:c>
      <x:c r="D5" s="30" t="n">
        <x:v>2019</x:v>
      </x:c>
      <x:c r="E5" s="24" t="str">
        <x:v>Micromesistius australis</x:v>
      </x:c>
      <x:c r="F5" s="24" t="str">
        <x:v>Southern blue whiting</x:v>
      </x:c>
      <x:c r="G5" s="24" t="str">
        <x:v>Medium benthopelagics (30 - 89 cm)</x:v>
      </x:c>
      <x:c r="H5" s="24" t="str">
        <x:v>Cod-likes</x:v>
      </x:c>
      <x:c r="I5" s="31" t="n">
        <x:v>91950.0293873041</x:v>
      </x:c>
      <x:c r="J5" s="31" t="n">
        <x:v>87196.70397730409</x:v>
      </x:c>
      <x:c r="K5" s="31" t="n">
        <x:v>4753.32541</x:v>
      </x:c>
      <x:c r="L5" s="31" t="n">
        <x:v>8948.6966073041</x:v>
      </x:c>
      <x:c r="M5" s="31" t="n">
        <x:v>83001.33278</x:v>
      </x:c>
      <x:c r="N5" s="24" t="str">
        <x:v>micromesistius australis</x:v>
      </x:c>
      <x:c r="O5" s="32" t="n">
        <x:v>3.76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australis</x:v>
      </x:c>
      <x:c r="T5" s="32" t="n">
        <x:f>IF(O5="","",(1/'Metadata'!$B$5)^(O5-1))</x:f>
        <x:v>575.4399373371566</x:v>
      </x:c>
      <x:c r="U5" s="31" t="n">
        <x:f>IF(T5="","",I5*T5)</x:f>
        <x:v>52911719.14877997</x:v>
      </x:c>
    </x:row>
    <x:row r="6" ht="18" customHeight="1">
      <x:c r="A6" s="24" t="str">
        <x:v>EEZ_032</x:v>
      </x:c>
      <x:c r="B6" s="24" t="str">
        <x:v>Argentina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70615.1348093039</x:v>
      </x:c>
      <x:c r="J6" s="31" t="n">
        <x:v>65940.0887959501</x:v>
      </x:c>
      <x:c r="K6" s="31" t="n">
        <x:v>4675.0460133538</x:v>
      </x:c>
      <x:c r="L6" s="31" t="n">
        <x:v>17809.6155096501</x:v>
      </x:c>
      <x:c r="M6" s="31" t="n">
        <x:v>52805.5192996538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13455436.547280764</x:v>
      </x:c>
    </x:row>
    <x:row r="7" ht="18" customHeight="1">
      <x:c r="A7" s="24" t="str">
        <x:v>EEZ_032</x:v>
      </x:c>
      <x:c r="B7" s="24" t="str">
        <x:v>Argentina</x:v>
      </x:c>
      <x:c r="C7" s="24" t="str">
        <x:v>EEZ</x:v>
      </x:c>
      <x:c r="D7" s="30" t="n">
        <x:v>2019</x:v>
      </x:c>
      <x:c r="E7" s="24" t="str">
        <x:v>Macruronus magellanicus</x:v>
      </x:c>
      <x:c r="F7" s="24" t="str">
        <x:v>Patagonian grenadier</x:v>
      </x:c>
      <x:c r="G7" s="24" t="str">
        <x:v>Large benthopelagics (&gt;=90 cm)</x:v>
      </x:c>
      <x:c r="H7" s="24" t="str">
        <x:v>Cod-likes</x:v>
      </x:c>
      <x:c r="I7" s="31" t="n">
        <x:v>59399.323146973</x:v>
      </x:c>
      <x:c r="J7" s="31" t="n">
        <x:v>41972.494126973</x:v>
      </x:c>
      <x:c r="K7" s="31" t="n">
        <x:v>17426.82902</x:v>
      </x:c>
      <x:c r="L7" s="31" t="n">
        <x:v>37911.524772972996</x:v>
      </x:c>
      <x:c r="M7" s="31" t="n">
        <x:v>21487.798374</x:v>
      </x:c>
      <x:c r="N7" s="24" t="str">
        <x:v>macruronus magellanicus</x:v>
      </x:c>
      <x:c r="O7" s="32" t="n">
        <x:v>3.93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Macruronus magellanicus</x:v>
      </x:c>
      <x:c r="T7" s="32" t="n">
        <x:f>IF(O7="","",(1/'Metadata'!$B$5)^(O7-1))</x:f>
        <x:v>851.1380382023768</x:v>
      </x:c>
      <x:c r="U7" s="31" t="n">
        <x:f>IF(T7="","",I7*T7)</x:f>
        <x:v>50557023.37386363</x:v>
      </x:c>
    </x:row>
    <x:row r="8" ht="18" customHeight="1">
      <x:c r="A8" s="24" t="str">
        <x:v>EEZ_032</x:v>
      </x:c>
      <x:c r="B8" s="24" t="str">
        <x:v>Argentina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42904.0999208108</x:v>
      </x:c>
      <x:c r="J8" s="31" t="n">
        <x:v>42904.0999208108</x:v>
      </x:c>
      <x:c r="K8" s="31" t="n">
        <x:v>0</x:v>
      </x:c>
      <x:c r="L8" s="31" t="n">
        <x:v>12996.7472508108</x:v>
      </x:c>
      <x:c r="M8" s="31" t="n">
        <x:v>29907.35267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17478284.144675307</x:v>
      </x:c>
    </x:row>
    <x:row r="9" ht="18" customHeight="1">
      <x:c r="A9" s="24" t="str">
        <x:v>EEZ_032</x:v>
      </x:c>
      <x:c r="B9" s="24" t="str">
        <x:v>Argentina</x:v>
      </x:c>
      <x:c r="C9" s="24" t="str">
        <x:v>EEZ</x:v>
      </x:c>
      <x:c r="D9" s="30" t="n">
        <x:v>2019</x:v>
      </x:c>
      <x:c r="E9" s="24" t="str">
        <x:v>Micropogonias furnieri</x:v>
      </x:c>
      <x:c r="F9" s="24" t="str">
        <x:v>Whitemouth croaker</x:v>
      </x:c>
      <x:c r="G9" s="24" t="str">
        <x:v>Medium demersals (30 - 89 cm)</x:v>
      </x:c>
      <x:c r="H9" s="24" t="str">
        <x:v>Perch-likes</x:v>
      </x:c>
      <x:c r="I9" s="31" t="n">
        <x:v>30471.9999972</x:v>
      </x:c>
      <x:c r="J9" s="31" t="n">
        <x:v>30471.9999972</x:v>
      </x:c>
      <x:c r="K9" s="31" t="n">
        <x:v>0</x:v>
      </x:c>
      <x:c r="L9" s="31" t="n">
        <x:v>30471.9999972</x:v>
      </x:c>
      <x:c r="M9" s="31" t="n">
        <x:v>0</x:v>
      </x:c>
      <x:c r="N9" s="24" t="str">
        <x:v>micropogonias furnieri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Micropogonias furnieri</x:v>
      </x:c>
      <x:c r="T9" s="32" t="n">
        <x:f>IF(O9="","",(1/'Metadata'!$B$5)^(O9-1))</x:f>
        <x:v>123.02687708123811</x:v>
      </x:c>
      <x:c r="U9" s="31" t="n">
        <x:f>IF(T9="","",I9*T9)</x:f>
        <x:v>3748874.9980750126</x:v>
      </x:c>
    </x:row>
    <x:row r="10" ht="18" customHeight="1">
      <x:c r="A10" s="24" t="str">
        <x:v>EEZ_032</x:v>
      </x:c>
      <x:c r="B10" s="24" t="str">
        <x:v>Argentina</x:v>
      </x:c>
      <x:c r="C10" s="24" t="str">
        <x:v>EEZ</x:v>
      </x:c>
      <x:c r="D10" s="30" t="n">
        <x:v>2019</x:v>
      </x:c>
      <x:c r="E10" s="24" t="str">
        <x:v>Zygochlamys patagonica</x:v>
      </x:c>
      <x:c r="F10" s="24" t="str">
        <x:v>Patagonean scallop</x:v>
      </x:c>
      <x:c r="G10" s="24" t="str">
        <x:v>Other demersal invertebrates</x:v>
      </x:c>
      <x:c r="H10" s="24" t="str">
        <x:v>Molluscs</x:v>
      </x:c>
      <x:c r="I10" s="31" t="n">
        <x:v>23893.9600555</x:v>
      </x:c>
      <x:c r="J10" s="31" t="n">
        <x:v>22451</x:v>
      </x:c>
      <x:c r="K10" s="31" t="n">
        <x:v>1442.9600555</x:v>
      </x:c>
      <x:c r="L10" s="31" t="n">
        <x:v>22451</x:v>
      </x:c>
      <x:c r="M10" s="31" t="n">
        <x:v>1442.9600555</x:v>
      </x:c>
      <x:c r="N10" s="24" t="str">
        <x:v>zygochlamys patagonica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Zygochlamys patagonica</x:v>
      </x:c>
      <x:c r="T10" s="32" t="n">
        <x:f>IF(O10="","",(1/'Metadata'!$B$5)^(O10-1))</x:f>
        <x:v>10</x:v>
      </x:c>
      <x:c r="U10" s="31" t="n">
        <x:f>IF(T10="","",I10*T10)</x:f>
        <x:v>238939.600555</x:v>
      </x:c>
    </x:row>
    <x:row r="11" ht="18" customHeight="1">
      <x:c r="A11" s="24" t="str">
        <x:v>EEZ_032</x:v>
      </x:c>
      <x:c r="B11" s="24" t="str">
        <x:v>Argentina</x:v>
      </x:c>
      <x:c r="C11" s="24" t="str">
        <x:v>EEZ</x:v>
      </x:c>
      <x:c r="D11" s="30" t="n">
        <x:v>2019</x:v>
      </x:c>
      <x:c r="E11" s="24" t="str">
        <x:v>Cynoscion guatucupa</x:v>
      </x:c>
      <x:c r="F11" s="24" t="str">
        <x:v>Stripped weakfish</x:v>
      </x:c>
      <x:c r="G11" s="24" t="str">
        <x:v>Medium demersals (30 - 89 cm)</x:v>
      </x:c>
      <x:c r="H11" s="24" t="str">
        <x:v>Perch-likes</x:v>
      </x:c>
      <x:c r="I11" s="31" t="n">
        <x:v>9769</x:v>
      </x:c>
      <x:c r="J11" s="31" t="n">
        <x:v>9769</x:v>
      </x:c>
      <x:c r="K11" s="31" t="n">
        <x:v>0</x:v>
      </x:c>
      <x:c r="L11" s="31" t="n">
        <x:v>9769</x:v>
      </x:c>
      <x:c r="M11" s="31" t="n">
        <x:v>0</x:v>
      </x:c>
      <x:c r="N11" s="24" t="str">
        <x:v>cynoscion guatucupa</x:v>
      </x:c>
      <x:c r="O11" s="32" t="n">
        <x:v>3.72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Cynoscion guatucupa</x:v>
      </x:c>
      <x:c r="T11" s="32" t="n">
        <x:f>IF(O11="","",(1/'Metadata'!$B$5)^(O11-1))</x:f>
        <x:v>524.8074602497728</x:v>
      </x:c>
      <x:c r="U11" s="31" t="n">
        <x:f>IF(T11="","",I11*T11)</x:f>
        <x:v>5126844.079180031</x:v>
      </x:c>
    </x:row>
    <x:row r="12" ht="18" customHeight="1">
      <x:c r="A12" s="24" t="str">
        <x:v>EEZ_032</x:v>
      </x:c>
      <x:c r="B12" s="24" t="str">
        <x:v>Argentina</x:v>
      </x:c>
      <x:c r="C12" s="24" t="str">
        <x:v>EEZ</x:v>
      </x:c>
      <x:c r="D12" s="30" t="n">
        <x:v>2019</x:v>
      </x:c>
      <x:c r="E12" s="24" t="str">
        <x:v>Percophis brasiliensis</x:v>
      </x:c>
      <x:c r="F12" s="24" t="str">
        <x:v>Brazilian flathead</x:v>
      </x:c>
      <x:c r="G12" s="24" t="str">
        <x:v>Medium demersals (30 - 89 cm)</x:v>
      </x:c>
      <x:c r="H12" s="24" t="str">
        <x:v>Perch-likes</x:v>
      </x:c>
      <x:c r="I12" s="31" t="n">
        <x:v>8706.518194</x:v>
      </x:c>
      <x:c r="J12" s="31" t="n">
        <x:v>7943</x:v>
      </x:c>
      <x:c r="K12" s="31" t="n">
        <x:v>763.518194</x:v>
      </x:c>
      <x:c r="L12" s="31" t="n">
        <x:v>7943</x:v>
      </x:c>
      <x:c r="M12" s="31" t="n">
        <x:v>763.518194</x:v>
      </x:c>
      <x:c r="N12" s="24" t="str">
        <x:v>percophis brasiliensis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Percophis brasiliensis</x:v>
      </x:c>
      <x:c r="T12" s="32" t="n">
        <x:f>IF(O12="","",(1/'Metadata'!$B$5)^(O12-1))</x:f>
        <x:v>301.9951720402016</x:v>
      </x:c>
      <x:c r="U12" s="31" t="n">
        <x:f>IF(T12="","",I12*T12)</x:f>
        <x:v>2629326.4598681754</x:v>
      </x:c>
    </x:row>
    <x:row r="13" ht="18" customHeight="1">
      <x:c r="A13" s="24" t="str">
        <x:v>EEZ_032</x:v>
      </x:c>
      <x:c r="B13" s="24" t="str">
        <x:v>Argentina</x:v>
      </x:c>
      <x:c r="C13" s="24" t="str">
        <x:v>EEZ</x:v>
      </x:c>
      <x:c r="D13" s="30" t="n">
        <x:v>2019</x:v>
      </x:c>
      <x:c r="E13" s="24" t="str">
        <x:v>Engraulis anchoita</x:v>
      </x:c>
      <x:c r="F13" s="24" t="str">
        <x:v>Argentine anchovy</x:v>
      </x:c>
      <x:c r="G13" s="24" t="str">
        <x:v>Small pelagics (&lt;30 cm)</x:v>
      </x:c>
      <x:c r="H13" s="24" t="str">
        <x:v>Anchovies</x:v>
      </x:c>
      <x:c r="I13" s="31" t="n">
        <x:v>7768.5010574</x:v>
      </x:c>
      <x:c r="J13" s="31" t="n">
        <x:v>6673.0794878</x:v>
      </x:c>
      <x:c r="K13" s="31" t="n">
        <x:v>1095.4215696</x:v>
      </x:c>
      <x:c r="L13" s="31" t="n">
        <x:v>6098</x:v>
      </x:c>
      <x:c r="M13" s="31" t="n">
        <x:v>1670.5010574</x:v>
      </x:c>
      <x:c r="N13" s="24" t="str">
        <x:v>engraulis anchoita</x:v>
      </x:c>
      <x:c r="O13" s="32" t="n">
        <x:v>2.51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Engraulis anchoita</x:v>
      </x:c>
      <x:c r="T13" s="32" t="n">
        <x:f>IF(O13="","",(1/'Metadata'!$B$5)^(O13-1))</x:f>
        <x:v>32.35936569296281</x:v>
      </x:c>
      <x:c r="U13" s="31" t="n">
        <x:f>IF(T13="","",I13*T13)</x:f>
        <x:v>251383.76660257488</x:v>
      </x:c>
    </x:row>
    <x:row r="14" ht="18" customHeight="1">
      <x:c r="A14" s="24" t="str">
        <x:v>EEZ_032</x:v>
      </x:c>
      <x:c r="B14" s="24" t="str">
        <x:v>Argentina</x:v>
      </x:c>
      <x:c r="C14" s="24" t="str">
        <x:v>EEZ</x:v>
      </x:c>
      <x:c r="D14" s="30" t="n">
        <x:v>2019</x:v>
      </x:c>
      <x:c r="E14" s="24" t="str">
        <x:v>Genypterus blacodes</x:v>
      </x:c>
      <x:c r="F14" s="24" t="str">
        <x:v>Pink cusk-eel</x:v>
      </x:c>
      <x:c r="G14" s="24" t="str">
        <x:v>Large bathydemersals (&gt;=90 cm)</x:v>
      </x:c>
      <x:c r="H14" s="24" t="str">
        <x:v>Other fishes &amp; inverts</x:v>
      </x:c>
      <x:c r="I14" s="31" t="n">
        <x:v>5748.9891462432</x:v>
      </x:c>
      <x:c r="J14" s="31" t="n">
        <x:v>4414.743741643199</x:v>
      </x:c>
      <x:c r="K14" s="31" t="n">
        <x:v>1334.2454046</x:v>
      </x:c>
      <x:c r="L14" s="31" t="n">
        <x:v>4414.743741643199</x:v>
      </x:c>
      <x:c r="M14" s="31" t="n">
        <x:v>1334.2454046</x:v>
      </x:c>
      <x:c r="N14" s="24" t="str">
        <x:v>genypterus blacodes</x:v>
      </x:c>
      <x:c r="O14" s="32" t="n">
        <x:v>4.22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Genypterus blacodes</x:v>
      </x:c>
      <x:c r="T14" s="32" t="n">
        <x:f>IF(O14="","",(1/'Metadata'!$B$5)^(O14-1))</x:f>
        <x:v>1659.5869074375596</x:v>
      </x:c>
      <x:c r="U14" s="31" t="n">
        <x:f>IF(T14="","",I14*T14)</x:f>
        <x:v>9540947.118105847</x:v>
      </x:c>
    </x:row>
    <x:row r="15" ht="18" customHeight="1">
      <x:c r="A15" s="24" t="str">
        <x:v>EEZ_032</x:v>
      </x:c>
      <x:c r="B15" s="24" t="str">
        <x:v>Argentina</x:v>
      </x:c>
      <x:c r="C15" s="24" t="str">
        <x:v>EEZ</x:v>
      </x:c>
      <x:c r="D15" s="30" t="n">
        <x:v>2019</x:v>
      </x:c>
      <x:c r="E15" s="24" t="str">
        <x:v>Dissostichus eleginoides</x:v>
      </x:c>
      <x:c r="F15" s="24" t="str">
        <x:v>Patagonian toothfish</x:v>
      </x:c>
      <x:c r="G15" s="24" t="str">
        <x:v>Large bathydemersals (&gt;=90 cm)</x:v>
      </x:c>
      <x:c r="H15" s="24" t="str">
        <x:v>Perch-likes</x:v>
      </x:c>
      <x:c r="I15" s="31" t="n">
        <x:v>5382.3244843166</x:v>
      </x:c>
      <x:c r="J15" s="31" t="n">
        <x:v>4893.7104137166</x:v>
      </x:c>
      <x:c r="K15" s="31" t="n">
        <x:v>488.6140706</x:v>
      </x:c>
      <x:c r="L15" s="31" t="n">
        <x:v>4893.7104137166</x:v>
      </x:c>
      <x:c r="M15" s="31" t="n">
        <x:v>488.6140706</x:v>
      </x:c>
      <x:c r="N15" s="24" t="str">
        <x:v>dissostichus eleginoides</x:v>
      </x:c>
      <x:c r="O15" s="32" t="n">
        <x:v>3.96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Dissostichus eleginoides</x:v>
      </x:c>
      <x:c r="T15" s="32" t="n">
        <x:f>IF(O15="","",(1/'Metadata'!$B$5)^(O15-1))</x:f>
        <x:v>912.0108393559096</x:v>
      </x:c>
      <x:c r="U15" s="31" t="n">
        <x:f>IF(T15="","",I15*T15)</x:f>
        <x:v>4908738.2706274465</x:v>
      </x:c>
    </x:row>
    <x:row r="16" ht="18" customHeight="1">
      <x:c r="A16" s="24" t="str">
        <x:v>EEZ_032</x:v>
      </x:c>
      <x:c r="B16" s="24" t="str">
        <x:v>Argentina</x:v>
      </x:c>
      <x:c r="C16" s="24" t="str">
        <x:v>EEZ</x:v>
      </x:c>
      <x:c r="D16" s="30" t="n">
        <x:v>2019</x:v>
      </x:c>
      <x:c r="E16" s="24" t="str">
        <x:v>Pagrus pagrus</x:v>
      </x:c>
      <x:c r="F16" s="24" t="str">
        <x:v>Red porgy</x:v>
      </x:c>
      <x:c r="G16" s="24" t="str">
        <x:v>Medium benthopelagics (30 - 89 cm)</x:v>
      </x:c>
      <x:c r="H16" s="24" t="str">
        <x:v>Perch-likes</x:v>
      </x:c>
      <x:c r="I16" s="31" t="n">
        <x:v>5299.32795564</x:v>
      </x:c>
      <x:c r="J16" s="31" t="n">
        <x:v>5241</x:v>
      </x:c>
      <x:c r="K16" s="31" t="n">
        <x:v>58.32795564</x:v>
      </x:c>
      <x:c r="L16" s="31" t="n">
        <x:v>5241</x:v>
      </x:c>
      <x:c r="M16" s="31" t="n">
        <x:v>58.32795564</x:v>
      </x:c>
      <x:c r="N16" s="24" t="str">
        <x:v>pagrus pagrus</x:v>
      </x:c>
      <x:c r="O16" s="32" t="n">
        <x:v>3.86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Pagrus pagrus</x:v>
      </x:c>
      <x:c r="T16" s="32" t="n">
        <x:f>IF(O16="","",(1/'Metadata'!$B$5)^(O16-1))</x:f>
        <x:v>724.4359600749899</x:v>
      </x:c>
      <x:c r="U16" s="31" t="n">
        <x:f>IF(T16="","",I16*T16)</x:f>
        <x:v>3839023.735296297</x:v>
      </x:c>
    </x:row>
    <x:row r="17" ht="18" customHeight="1">
      <x:c r="A17" s="24" t="str">
        <x:v>EEZ_032</x:v>
      </x:c>
      <x:c r="B17" s="24" t="str">
        <x:v>Argentina</x:v>
      </x:c>
      <x:c r="C17" s="24" t="str">
        <x:v>EEZ</x:v>
      </x:c>
      <x:c r="D17" s="30" t="n">
        <x:v>2019</x:v>
      </x:c>
      <x:c r="E17" s="24" t="str">
        <x:v>Pomatomus saltatrix</x:v>
      </x:c>
      <x:c r="F17" s="24" t="str">
        <x:v>Bluefish</x:v>
      </x:c>
      <x:c r="G17" s="24" t="str">
        <x:v>Large pelagics (&gt;=90 cm)</x:v>
      </x:c>
      <x:c r="H17" s="24" t="str">
        <x:v>Perch-likes</x:v>
      </x:c>
      <x:c r="I17" s="31" t="n">
        <x:v>5169.1679806401</x:v>
      </x:c>
      <x:c r="J17" s="31" t="n">
        <x:v>5169.1679806401</x:v>
      </x:c>
      <x:c r="K17" s="31" t="n">
        <x:v>0</x:v>
      </x:c>
      <x:c r="L17" s="31" t="n">
        <x:v>1488.0000000401</x:v>
      </x:c>
      <x:c r="M17" s="31" t="n">
        <x:v>3681.1679805999997</x:v>
      </x:c>
      <x:c r="N17" s="24" t="str">
        <x:v>pomatomus saltatrix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Pomatomus saltatrix</x:v>
      </x:c>
      <x:c r="T17" s="32" t="n">
        <x:f>IF(O17="","",(1/'Metadata'!$B$5)^(O17-1))</x:f>
        <x:v>3388.4415613920273</x:v>
      </x:c>
      <x:c r="U17" s="31" t="n">
        <x:f>IF(T17="","",I17*T17)</x:f>
        <x:v>17515423.623417813</x:v>
      </x:c>
    </x:row>
    <x:row r="18" ht="18" customHeight="1">
      <x:c r="A18" s="24" t="str">
        <x:v>EEZ_032</x:v>
      </x:c>
      <x:c r="B18" s="24" t="str">
        <x:v>Argentina</x:v>
      </x:c>
      <x:c r="C18" s="24" t="str">
        <x:v>EEZ</x:v>
      </x:c>
      <x:c r="D18" s="30" t="n">
        <x:v>2019</x:v>
      </x:c>
      <x:c r="E18" s="24" t="str">
        <x:v>Mustelus schmitti</x:v>
      </x:c>
      <x:c r="F18" s="24" t="str">
        <x:v>Narrownose smooth-hound</x:v>
      </x:c>
      <x:c r="G18" s="24" t="str">
        <x:v>Small to medium sharks (&lt;90 cm)</x:v>
      </x:c>
      <x:c r="H18" s="24" t="str">
        <x:v>Sharks &amp; rays</x:v>
      </x:c>
      <x:c r="I18" s="31" t="n">
        <x:v>2831</x:v>
      </x:c>
      <x:c r="J18" s="31" t="n">
        <x:v>2831</x:v>
      </x:c>
      <x:c r="K18" s="31" t="n">
        <x:v>0</x:v>
      </x:c>
      <x:c r="L18" s="31" t="n">
        <x:v>2831</x:v>
      </x:c>
      <x:c r="M18" s="31" t="n">
        <x:v>0</x:v>
      </x:c>
      <x:c r="N18" s="24" t="str">
        <x:v>mustelus schmitti</x:v>
      </x:c>
      <x:c r="O18" s="32" t="n">
        <x:v>3.59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Mustelus schmitti</x:v>
      </x:c>
      <x:c r="T18" s="32" t="n">
        <x:f>IF(O18="","",(1/'Metadata'!$B$5)^(O18-1))</x:f>
        <x:v>389.04514499428046</x:v>
      </x:c>
      <x:c r="U18" s="31" t="n">
        <x:f>IF(T18="","",I18*T18)</x:f>
        <x:v>1101386.805478808</x:v>
      </x:c>
    </x:row>
    <x:row r="19" ht="18" customHeight="1">
      <x:c r="A19" s="24" t="str">
        <x:v>EEZ_032</x:v>
      </x:c>
      <x:c r="B19" s="24" t="str">
        <x:v>Argentina</x:v>
      </x:c>
      <x:c r="C19" s="24" t="str">
        <x:v>EEZ</x:v>
      </x:c>
      <x:c r="D19" s="30" t="n">
        <x:v>2019</x:v>
      </x:c>
      <x:c r="E19" s="24" t="str">
        <x:v>Lithodes</x:v>
      </x:c>
      <x:c r="F19" s="24" t="str">
        <x:v>King crabs</x:v>
      </x:c>
      <x:c r="G19" s="24" t="str">
        <x:v>Lobsters, crabs</x:v>
      </x:c>
      <x:c r="H19" s="24" t="str">
        <x:v>Crustaceans</x:v>
      </x:c>
      <x:c r="I19" s="31" t="n">
        <x:v>2349.40337849</x:v>
      </x:c>
      <x:c r="J19" s="31" t="n">
        <x:v>2336</x:v>
      </x:c>
      <x:c r="K19" s="31" t="n">
        <x:v>13.40337849</x:v>
      </x:c>
      <x:c r="L19" s="31" t="n">
        <x:v>2336</x:v>
      </x:c>
      <x:c r="M19" s="31" t="n">
        <x:v>13.40337849</x:v>
      </x:c>
      <x:c r="N19" s="24" t="str">
        <x:v>lithodes</x:v>
      </x:c>
      <x:c r="O19" s="32" t="n">
        <x:v>2.3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Lithodes</x:v>
      </x:c>
      <x:c r="T19" s="32" t="n">
        <x:f>IF(O19="","",(1/'Metadata'!$B$5)^(O19-1))</x:f>
        <x:v>19.952623149688787</x:v>
      </x:c>
      <x:c r="U19" s="31" t="n">
        <x:f>IF(T19="","",I19*T19)</x:f>
        <x:v>46876.76023761662</x:v>
      </x:c>
    </x:row>
    <x:row r="20" ht="18" customHeight="1">
      <x:c r="A20" s="24" t="str">
        <x:v>EEZ_032</x:v>
      </x:c>
      <x:c r="B20" s="24" t="str">
        <x:v>Argentina</x:v>
      </x:c>
      <x:c r="C20" s="24" t="str">
        <x:v>EEZ</x:v>
      </x:c>
      <x:c r="D20" s="30" t="n">
        <x:v>2019</x:v>
      </x:c>
      <x:c r="E20" s="24" t="str">
        <x:v>Squatina argentina</x:v>
      </x:c>
      <x:c r="F20" s="24" t="str">
        <x:v>Argentine angelshark</x:v>
      </x:c>
      <x:c r="G20" s="24" t="str">
        <x:v>Large sharks (&gt;=90 cm)</x:v>
      </x:c>
      <x:c r="H20" s="24" t="str">
        <x:v>Sharks &amp; rays</x:v>
      </x:c>
      <x:c r="I20" s="31" t="n">
        <x:v>2343.0059</x:v>
      </x:c>
      <x:c r="J20" s="31" t="n">
        <x:v>1951</x:v>
      </x:c>
      <x:c r="K20" s="31" t="n">
        <x:v>392.0059</x:v>
      </x:c>
      <x:c r="L20" s="31" t="n">
        <x:v>1951</x:v>
      </x:c>
      <x:c r="M20" s="31" t="n">
        <x:v>392.0059</x:v>
      </x:c>
      <x:c r="N20" s="24" t="str">
        <x:v>squatina argentina</x:v>
      </x:c>
      <x:c r="O20" s="32" t="n">
        <x:v>4.11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Squatina argentina</x:v>
      </x:c>
      <x:c r="T20" s="32" t="n">
        <x:f>IF(O20="","",(1/'Metadata'!$B$5)^(O20-1))</x:f>
        <x:v>1288.249551693135</x:v>
      </x:c>
      <x:c r="U20" s="31" t="n">
        <x:f>IF(T20="","",I20*T20)</x:f>
        <x:v>3018376.30028937</x:v>
      </x:c>
    </x:row>
    <x:row r="21" ht="18" customHeight="1">
      <x:c r="A21" s="24" t="str">
        <x:v>EEZ_032</x:v>
      </x:c>
      <x:c r="B21" s="24" t="str">
        <x:v>Argentina</x:v>
      </x:c>
      <x:c r="C21" s="24" t="str">
        <x:v>EEZ</x:v>
      </x:c>
      <x:c r="D21" s="30" t="n">
        <x:v>2019</x:v>
      </x:c>
      <x:c r="E21" s="24" t="str">
        <x:v>Parona signata</x:v>
      </x:c>
      <x:c r="F21" s="24" t="str">
        <x:v>Parona leatherjacket</x:v>
      </x:c>
      <x:c r="G21" s="24" t="str">
        <x:v>Medium demersals (30 - 89 cm)</x:v>
      </x:c>
      <x:c r="H21" s="24" t="str">
        <x:v>Perch-likes</x:v>
      </x:c>
      <x:c r="I21" s="31" t="n">
        <x:v>1835.559952</x:v>
      </x:c>
      <x:c r="J21" s="31" t="n">
        <x:v>1835.559952</x:v>
      </x:c>
      <x:c r="K21" s="31" t="n">
        <x:v>0</x:v>
      </x:c>
      <x:c r="L21" s="31" t="n">
        <x:v>192</x:v>
      </x:c>
      <x:c r="M21" s="31" t="n">
        <x:v>1643.559952</x:v>
      </x:c>
      <x:c r="N21" s="24" t="str">
        <x:v>parona signata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Parona signata</x:v>
      </x:c>
      <x:c r="T21" s="32" t="n">
        <x:f>IF(O21="","",(1/'Metadata'!$B$5)^(O21-1))</x:f>
        <x:v>251.18864315095797</x:v>
      </x:c>
      <x:c r="U21" s="31" t="n">
        <x:f>IF(T21="","",I21*T21)</x:f>
        <x:v>461071.81376511755</x:v>
      </x:c>
    </x:row>
    <x:row r="22" ht="18" customHeight="1">
      <x:c r="A22" s="24" t="str">
        <x:v>EEZ_032</x:v>
      </x:c>
      <x:c r="B22" s="24" t="str">
        <x:v>Argentina</x:v>
      </x:c>
      <x:c r="C22" s="24" t="str">
        <x:v>EEZ</x:v>
      </x:c>
      <x:c r="D22" s="30" t="n">
        <x:v>2019</x:v>
      </x:c>
      <x:c r="E22" s="24" t="str">
        <x:v>Loliginidae</x:v>
      </x:c>
      <x:c r="F22" s="24" t="str">
        <x:v>Common pencil squids</x:v>
      </x:c>
      <x:c r="G22" s="24" t="str">
        <x:v>Cephalopods</x:v>
      </x:c>
      <x:c r="H22" s="24" t="str">
        <x:v>Other fishes &amp; inverts</x:v>
      </x:c>
      <x:c r="I22" s="31" t="n">
        <x:v>1622.2557855233</x:v>
      </x:c>
      <x:c r="J22" s="31" t="n">
        <x:v>1622.2557855233</x:v>
      </x:c>
      <x:c r="K22" s="31" t="n">
        <x:v>0</x:v>
      </x:c>
      <x:c r="L22" s="31" t="n">
        <x:v>1622.2557855233</x:v>
      </x:c>
      <x:c r="M22" s="31" t="n">
        <x:v>0</x:v>
      </x:c>
      <x:c r="N22" s="24" t="str">
        <x:v>loliginidae</x:v>
      </x:c>
      <x:c r="O22" s="32" t="n">
        <x:v>3.9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Loliginidae</x:v>
      </x:c>
      <x:c r="T22" s="32" t="n">
        <x:f>IF(O22="","",(1/'Metadata'!$B$5)^(O22-1))</x:f>
        <x:v>794.3282347242813</x:v>
      </x:c>
      <x:c r="U22" s="31" t="n">
        <x:f>IF(T22="","",I22*T22)</x:f>
        <x:v>1288603.574385975</x:v>
      </x:c>
    </x:row>
    <x:row r="23" ht="18" customHeight="1">
      <x:c r="A23" s="24" t="str">
        <x:v>EEZ_032</x:v>
      </x:c>
      <x:c r="B23" s="24" t="str">
        <x:v>Argentina</x:v>
      </x:c>
      <x:c r="C23" s="24" t="str">
        <x:v>EEZ</x:v>
      </x:c>
      <x:c r="D23" s="30" t="n">
        <x:v>2019</x:v>
      </x:c>
      <x:c r="E23" s="24" t="str">
        <x:v>Merluccius</x:v>
      </x:c>
      <x:c r="F23" s="24" t="str">
        <x:v>Hakes</x:v>
      </x:c>
      <x:c r="G23" s="24" t="str">
        <x:v>Medium bathydemersals (30 - 89 cm)</x:v>
      </x:c>
      <x:c r="H23" s="24" t="str">
        <x:v>Cod-likes</x:v>
      </x:c>
      <x:c r="I23" s="31" t="n">
        <x:v>1362.9277670796</x:v>
      </x:c>
      <x:c r="J23" s="31" t="n">
        <x:v>1362.9277670796</x:v>
      </x:c>
      <x:c r="K23" s="31" t="n">
        <x:v>0</x:v>
      </x:c>
      <x:c r="L23" s="31" t="n">
        <x:v>1362.9277670796</x:v>
      </x:c>
      <x:c r="M23" s="31" t="n">
        <x:v>0</x:v>
      </x:c>
      <x:c r="N23" s="24" t="str">
        <x:v>merluccius</x:v>
      </x:c>
      <x:c r="O23" s="32" t="n">
        <x:v>4.27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Merluccius</x:v>
      </x:c>
      <x:c r="T23" s="32" t="n">
        <x:f>IF(O23="","",(1/'Metadata'!$B$5)^(O23-1))</x:f>
        <x:v>1862.0871366628655</x:v>
      </x:c>
      <x:c r="U23" s="31" t="n">
        <x:f>IF(T23="","",I23*T23)</x:f>
        <x:v>2537890.263279565</x:v>
      </x:c>
    </x:row>
    <x:row r="24" ht="18" customHeight="1">
      <x:c r="A24" s="24" t="str">
        <x:v>EEZ_032</x:v>
      </x:c>
      <x:c r="B24" s="24" t="str">
        <x:v>Argentina</x:v>
      </x:c>
      <x:c r="C24" s="24" t="str">
        <x:v>EEZ</x:v>
      </x:c>
      <x:c r="D24" s="30" t="n">
        <x:v>2019</x:v>
      </x:c>
      <x:c r="E24" s="24" t="str">
        <x:v>Chondrichthyes</x:v>
      </x:c>
      <x:c r="F24" s="24" t="str">
        <x:v>Sharks, rays, chimaeras</x:v>
      </x:c>
      <x:c r="G24" s="24" t="str">
        <x:v>Large sharks (&gt;=90 cm)</x:v>
      </x:c>
      <x:c r="H24" s="24" t="str">
        <x:v>Sharks &amp; rays</x:v>
      </x:c>
      <x:c r="I24" s="31" t="n">
        <x:v>1335.4877856002001</x:v>
      </x:c>
      <x:c r="J24" s="31" t="n">
        <x:v>1335.4877856002001</x:v>
      </x:c>
      <x:c r="K24" s="31" t="n">
        <x:v>0</x:v>
      </x:c>
      <x:c r="L24" s="31" t="n">
        <x:v>467.00000000020003</x:v>
      </x:c>
      <x:c r="M24" s="31" t="n">
        <x:v>868.4877856</x:v>
      </x:c>
      <x:c r="N24" s="24" t="str">
        <x:v>chondrichthyes</x:v>
      </x:c>
      <x:c r="O24" s="32" t="n">
        <x:v>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Chondrichthyes</x:v>
      </x:c>
      <x:c r="T24" s="32" t="n">
        <x:f>IF(O24="","",(1/'Metadata'!$B$5)^(O24-1))</x:f>
        <x:v>1000</x:v>
      </x:c>
      <x:c r="U24" s="31" t="n">
        <x:f>IF(T24="","",I24*T24)</x:f>
        <x:v>1335487.7856002</x:v>
      </x:c>
    </x:row>
    <x:row r="25" ht="18" customHeight="1">
      <x:c r="A25" s="24" t="str">
        <x:v>EEZ_032</x:v>
      </x:c>
      <x:c r="B25" s="24" t="str">
        <x:v>Argentina</x:v>
      </x:c>
      <x:c r="C25" s="24" t="str">
        <x:v>EEZ</x:v>
      </x:c>
      <x:c r="D25" s="30" t="n">
        <x:v>2019</x:v>
      </x:c>
      <x:c r="E25" s="24" t="str">
        <x:v>Acanthistius brasilianus</x:v>
      </x:c>
      <x:c r="F25" s="24" t="str">
        <x:v>Argentine seabass</x:v>
      </x:c>
      <x:c r="G25" s="24" t="str">
        <x:v>Medium benthopelagics (30 - 89 cm)</x:v>
      </x:c>
      <x:c r="H25" s="24" t="str">
        <x:v>Perch-likes</x:v>
      </x:c>
      <x:c r="I25" s="31" t="n">
        <x:v>1057.120055165</x:v>
      </x:c>
      <x:c r="J25" s="31" t="n">
        <x:v>1008.99999997</x:v>
      </x:c>
      <x:c r="K25" s="31" t="n">
        <x:v>48.120055195000006</x:v>
      </x:c>
      <x:c r="L25" s="31" t="n">
        <x:v>1008.99999997</x:v>
      </x:c>
      <x:c r="M25" s="31" t="n">
        <x:v>48.120055195000006</x:v>
      </x:c>
      <x:c r="N25" s="24" t="str">
        <x:v>acanthistius brasilianus</x:v>
      </x:c>
      <x:c r="O25" s="32" t="n">
        <x:v>4.01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Acanthistius brasilianus</x:v>
      </x:c>
      <x:c r="T25" s="32" t="n">
        <x:f>IF(O25="","",(1/'Metadata'!$B$5)^(O25-1))</x:f>
        <x:v>1023.2929922807537</x:v>
      </x:c>
      <x:c r="U25" s="31" t="n">
        <x:f>IF(T25="","",I25*T25)</x:f>
        <x:v>1081743.544449788</x:v>
      </x:c>
    </x:row>
    <x:row r="26" ht="18" customHeight="1">
      <x:c r="A26" s="24" t="str">
        <x:v>EEZ_032</x:v>
      </x:c>
      <x:c r="B26" s="24" t="str">
        <x:v>Argentina</x:v>
      </x:c>
      <x:c r="C26" s="24" t="str">
        <x:v>EEZ</x:v>
      </x:c>
      <x:c r="D26" s="30" t="n">
        <x:v>2019</x:v>
      </x:c>
      <x:c r="E26" s="24" t="str">
        <x:v>Merluccius australis</x:v>
      </x:c>
      <x:c r="F26" s="24" t="str">
        <x:v>Southern hake</x:v>
      </x:c>
      <x:c r="G26" s="24" t="str">
        <x:v>Large benthopelagics (&gt;=90 cm)</x:v>
      </x:c>
      <x:c r="H26" s="24" t="str">
        <x:v>Cod-likes</x:v>
      </x:c>
      <x:c r="I26" s="31" t="n">
        <x:v>999.266989909</x:v>
      </x:c>
      <x:c r="J26" s="31" t="n">
        <x:v>214.560103509</x:v>
      </x:c>
      <x:c r="K26" s="31" t="n">
        <x:v>784.7068864</x:v>
      </x:c>
      <x:c r="L26" s="31" t="n">
        <x:v>214.560103509</x:v>
      </x:c>
      <x:c r="M26" s="31" t="n">
        <x:v>784.7068864</x:v>
      </x:c>
      <x:c r="N26" s="24" t="str">
        <x:v>merluccius australis</x:v>
      </x:c>
      <x:c r="O26" s="32" t="n">
        <x:v>4.45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Merluccius australis</x:v>
      </x:c>
      <x:c r="T26" s="32" t="n">
        <x:f>IF(O26="","",(1/'Metadata'!$B$5)^(O26-1))</x:f>
        <x:v>2818.382931264455</x:v>
      </x:c>
      <x:c r="U26" s="31" t="n">
        <x:f>IF(T26="","",I26*T26)</x:f>
        <x:v>2816317.028135536</x:v>
      </x:c>
    </x:row>
    <x:row r="27" ht="18" customHeight="1">
      <x:c r="A27" s="24" t="str">
        <x:v>EEZ_032</x:v>
      </x:c>
      <x:c r="B27" s="24" t="str">
        <x:v>Argentina</x:v>
      </x:c>
      <x:c r="C27" s="24" t="str">
        <x:v>EEZ</x:v>
      </x:c>
      <x:c r="D27" s="30" t="n">
        <x:v>2019</x:v>
      </x:c>
      <x:c r="E27" s="24" t="str">
        <x:v>Stromateus brasiliensis</x:v>
      </x:c>
      <x:c r="F27" s="24" t="str">
        <x:v>Southwest Atlantic butterfish</x:v>
      </x:c>
      <x:c r="G27" s="24" t="str">
        <x:v>Medium benthopelagics (30 - 89 cm)</x:v>
      </x:c>
      <x:c r="H27" s="24" t="str">
        <x:v>Perch-likes</x:v>
      </x:c>
      <x:c r="I27" s="31" t="n">
        <x:v>959.6786681357</x:v>
      </x:c>
      <x:c r="J27" s="31" t="n">
        <x:v>936.5576767137001</x:v>
      </x:c>
      <x:c r="K27" s="31" t="n">
        <x:v>23.120991422</x:v>
      </x:c>
      <x:c r="L27" s="31" t="n">
        <x:v>936.5576767137001</x:v>
      </x:c>
      <x:c r="M27" s="31" t="n">
        <x:v>23.120991422</x:v>
      </x:c>
      <x:c r="N27" s="24" t="str">
        <x:v>stromateus brasiliensis</x:v>
      </x:c>
      <x:c r="O27" s="32" t="n">
        <x:v>3.4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Stromateus brasiliensis</x:v>
      </x:c>
      <x:c r="T27" s="32" t="n">
        <x:f>IF(O27="","",(1/'Metadata'!$B$5)^(O27-1))</x:f>
        <x:v>251.18864315095797</x:v>
      </x:c>
      <x:c r="U27" s="31" t="n">
        <x:f>IF(T27="","",I27*T27)</x:f>
        <x:v>241060.38250992497</x:v>
      </x:c>
    </x:row>
    <x:row r="28" ht="18" customHeight="1">
      <x:c r="A28" s="24" t="str">
        <x:v>EEZ_032</x:v>
      </x:c>
      <x:c r="B28" s="24" t="str">
        <x:v>Argentina</x:v>
      </x:c>
      <x:c r="C28" s="24" t="str">
        <x:v>EEZ</x:v>
      </x:c>
      <x:c r="D28" s="30" t="n">
        <x:v>2019</x:v>
      </x:c>
      <x:c r="E28" s="24" t="str">
        <x:v>Salilota australis</x:v>
      </x:c>
      <x:c r="F28" s="24" t="str">
        <x:v>Tadpole codling</x:v>
      </x:c>
      <x:c r="G28" s="24" t="str">
        <x:v>Medium demersals (30 - 89 cm)</x:v>
      </x:c>
      <x:c r="H28" s="24" t="str">
        <x:v>Cod-likes</x:v>
      </x:c>
      <x:c r="I28" s="31" t="n">
        <x:v>812.4233842517001</x:v>
      </x:c>
      <x:c r="J28" s="31" t="n">
        <x:v>576.8096325317</x:v>
      </x:c>
      <x:c r="K28" s="31" t="n">
        <x:v>235.61375172</x:v>
      </x:c>
      <x:c r="L28" s="31" t="n">
        <x:v>576.8096325317</x:v>
      </x:c>
      <x:c r="M28" s="31" t="n">
        <x:v>235.61375172</x:v>
      </x:c>
      <x:c r="N28" s="24" t="str">
        <x:v>salilota australis</x:v>
      </x:c>
      <x:c r="O28" s="32" t="n">
        <x:v>4.41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Salilota australis</x:v>
      </x:c>
      <x:c r="T28" s="32" t="n">
        <x:f>IF(O28="","",(1/'Metadata'!$B$5)^(O28-1))</x:f>
        <x:v>2570.3957827688646</x:v>
      </x:c>
      <x:c r="U28" s="31" t="n">
        <x:f>IF(T28="","",I28*T28)</x:f>
        <x:v>2088249.6407033787</x:v>
      </x:c>
    </x:row>
    <x:row r="29" ht="18" customHeight="1">
      <x:c r="A29" s="24" t="str">
        <x:v>EEZ_032</x:v>
      </x:c>
      <x:c r="B29" s="24" t="str">
        <x:v>Argentina</x:v>
      </x:c>
      <x:c r="C29" s="24" t="str">
        <x:v>EEZ</x:v>
      </x:c>
      <x:c r="D29" s="30" t="n">
        <x:v>2019</x:v>
      </x:c>
      <x:c r="E29" s="24" t="str">
        <x:v>Nototheniidae</x:v>
      </x:c>
      <x:c r="F29" s="24" t="str">
        <x:v>Cod icefishes</x:v>
      </x:c>
      <x:c r="G29" s="24" t="str">
        <x:v>Large bathydemersals (&gt;=90 cm)</x:v>
      </x:c>
      <x:c r="H29" s="24" t="str">
        <x:v>Perch-likes</x:v>
      </x:c>
      <x:c r="I29" s="31" t="n">
        <x:v>666.74788579</x:v>
      </x:c>
      <x:c r="J29" s="31" t="n">
        <x:v>142.79763559</x:v>
      </x:c>
      <x:c r="K29" s="31" t="n">
        <x:v>523.9502502</x:v>
      </x:c>
      <x:c r="L29" s="31" t="n">
        <x:v>142.79763559</x:v>
      </x:c>
      <x:c r="M29" s="31" t="n">
        <x:v>523.9502502</x:v>
      </x:c>
      <x:c r="N29" s="24" t="str">
        <x:v>nototheniidae</x:v>
      </x:c>
      <x:c r="O29" s="32" t="n">
        <x:v>3.43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Nototheniidae</x:v>
      </x:c>
      <x:c r="T29" s="32" t="n">
        <x:f>IF(O29="","",(1/'Metadata'!$B$5)^(O29-1))</x:f>
        <x:v>269.1534803926917</x:v>
      </x:c>
      <x:c r="U29" s="31" t="n">
        <x:f>IF(T29="","",I29*T29)</x:f>
        <x:v>179457.5140048474</x:v>
      </x:c>
    </x:row>
    <x:row r="30" ht="18" customHeight="1">
      <x:c r="A30" s="24" t="str">
        <x:v>EEZ_032</x:v>
      </x:c>
      <x:c r="B30" s="24" t="str">
        <x:v>Argentina</x:v>
      </x:c>
      <x:c r="C30" s="24" t="str">
        <x:v>EEZ</x:v>
      </x:c>
      <x:c r="D30" s="30" t="n">
        <x:v>2019</x:v>
      </x:c>
      <x:c r="E30" s="24" t="str">
        <x:v>Pseudopercis semifasciata</x:v>
      </x:c>
      <x:c r="F30" s="24" t="str">
        <x:v>Argentinian sandperch</x:v>
      </x:c>
      <x:c r="G30" s="24" t="str">
        <x:v>Medium demersals (30 - 89 cm)</x:v>
      </x:c>
      <x:c r="H30" s="24" t="str">
        <x:v>Perch-likes</x:v>
      </x:c>
      <x:c r="I30" s="31" t="n">
        <x:v>622.9999999541001</x:v>
      </x:c>
      <x:c r="J30" s="31" t="n">
        <x:v>622.9999999541001</x:v>
      </x:c>
      <x:c r="K30" s="31" t="n">
        <x:v>0</x:v>
      </x:c>
      <x:c r="L30" s="31" t="n">
        <x:v>622.9999999541001</x:v>
      </x:c>
      <x:c r="M30" s="31" t="n">
        <x:v>0</x:v>
      </x:c>
      <x:c r="N30" s="24" t="str">
        <x:v>pseudopercis semifasciata</x:v>
      </x:c>
      <x:c r="O30" s="32" t="n">
        <x:v>3.88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Pseudopercis semifasciata</x:v>
      </x:c>
      <x:c r="T30" s="32" t="n">
        <x:f>IF(O30="","",(1/'Metadata'!$B$5)^(O30-1))</x:f>
        <x:v>758.5775750291835</x:v>
      </x:c>
      <x:c r="U30" s="31" t="n">
        <x:f>IF(T30="","",I30*T30)</x:f>
        <x:v>472593.8292083627</x:v>
      </x:c>
    </x:row>
    <x:row r="31" ht="18" customHeight="1">
      <x:c r="A31" s="24" t="str">
        <x:v>EEZ_032</x:v>
      </x:c>
      <x:c r="B31" s="24" t="str">
        <x:v>Argentina</x:v>
      </x:c>
      <x:c r="C31" s="24" t="str">
        <x:v>EEZ</x:v>
      </x:c>
      <x:c r="D31" s="30" t="n">
        <x:v>2019</x:v>
      </x:c>
      <x:c r="E31" s="24" t="str">
        <x:v>Pogonias courbina</x:v>
      </x:c>
      <x:c r="F31" s="24" t="str">
        <x:v>Black drum</x:v>
      </x:c>
      <x:c r="G31" s="24" t="str">
        <x:v>Large demersals (&gt;=90 cm)</x:v>
      </x:c>
      <x:c r="H31" s="24" t="str">
        <x:v>Perch-likes</x:v>
      </x:c>
      <x:c r="I31" s="31" t="n">
        <x:v>621.2547708773001</x:v>
      </x:c>
      <x:c r="J31" s="31" t="n">
        <x:v>616.0000001003001</x:v>
      </x:c>
      <x:c r="K31" s="31" t="n">
        <x:v>5.254770777</x:v>
      </x:c>
      <x:c r="L31" s="31" t="n">
        <x:v>616.0000001003001</x:v>
      </x:c>
      <x:c r="M31" s="31" t="n">
        <x:v>5.254770777</x:v>
      </x:c>
      <x:c r="N31" s="24" t="str">
        <x:v>pogonias courbina</x:v>
      </x:c>
      <x:c r="O31" s="32" t="n">
        <x:v>3.89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Pogonias courbina</x:v>
      </x:c>
      <x:c r="T31" s="32" t="n">
        <x:f>IF(O31="","",(1/'Metadata'!$B$5)^(O31-1))</x:f>
        <x:v>776.247116628692</x:v>
      </x:c>
      <x:c r="U31" s="31" t="n">
        <x:f>IF(T31="","",I31*T31)</x:f>
        <x:v>482247.22458532284</x:v>
      </x:c>
    </x:row>
    <x:row r="32" ht="18" customHeight="1">
      <x:c r="A32" s="24" t="str">
        <x:v>EEZ_032</x:v>
      </x:c>
      <x:c r="B32" s="24" t="str">
        <x:v>Argentina</x:v>
      </x:c>
      <x:c r="C32" s="24" t="str">
        <x:v>EEZ</x:v>
      </x:c>
      <x:c r="D32" s="30" t="n">
        <x:v>2019</x:v>
      </x:c>
      <x:c r="E32" s="24" t="str">
        <x:v>Macrourus carinatus</x:v>
      </x:c>
      <x:c r="F32" s="24" t="str">
        <x:v>Ridge scaled rattail</x:v>
      </x:c>
      <x:c r="G32" s="24" t="str">
        <x:v>Medium benthopelagics (30 - 89 cm)</x:v>
      </x:c>
      <x:c r="H32" s="24" t="str">
        <x:v>Cod-likes</x:v>
      </x:c>
      <x:c r="I32" s="31" t="n">
        <x:v>620</x:v>
      </x:c>
      <x:c r="J32" s="31" t="n">
        <x:v>620</x:v>
      </x:c>
      <x:c r="K32" s="31" t="n">
        <x:v>0</x:v>
      </x:c>
      <x:c r="L32" s="31" t="n">
        <x:v>620</x:v>
      </x:c>
      <x:c r="M32" s="31" t="n">
        <x:v>0</x:v>
      </x:c>
      <x:c r="N32" s="24" t="str">
        <x:v>macrourus carinatus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Macrourus carinatus</x:v>
      </x:c>
      <x:c r="T32" s="32" t="n">
        <x:f>IF(O32="","",(1/'Metadata'!$B$5)^(O32-1))</x:f>
        <x:v>630.957344480193</x:v>
      </x:c>
      <x:c r="U32" s="31" t="n">
        <x:f>IF(T32="","",I32*T32)</x:f>
        <x:v>391193.55357771966</x:v>
      </x:c>
    </x:row>
    <x:row r="33" ht="18" customHeight="1">
      <x:c r="A33" s="24" t="str">
        <x:v>EEZ_032</x:v>
      </x:c>
      <x:c r="B33" s="24" t="str">
        <x:v>Argentina</x:v>
      </x:c>
      <x:c r="C33" s="24" t="str">
        <x:v>EEZ</x:v>
      </x:c>
      <x:c r="D33" s="30" t="n">
        <x:v>2019</x:v>
      </x:c>
      <x:c r="E33" s="24" t="str">
        <x:v>Seriolella porosa</x:v>
      </x:c>
      <x:c r="F33" s="24" t="str">
        <x:v>Choicy ruff</x:v>
      </x:c>
      <x:c r="G33" s="24" t="str">
        <x:v>Medium benthopelagics (30 - 89 cm)</x:v>
      </x:c>
      <x:c r="H33" s="24" t="str">
        <x:v>Perch-likes</x:v>
      </x:c>
      <x:c r="I33" s="31" t="n">
        <x:v>603.9307943028999</x:v>
      </x:c>
      <x:c r="J33" s="31" t="n">
        <x:v>603.9307943028999</x:v>
      </x:c>
      <x:c r="K33" s="31" t="n">
        <x:v>0</x:v>
      </x:c>
      <x:c r="L33" s="31" t="n">
        <x:v>603.9307943028999</x:v>
      </x:c>
      <x:c r="M33" s="31" t="n">
        <x:v>0</x:v>
      </x:c>
      <x:c r="N33" s="24" t="str">
        <x:v>seriolella porosa</x:v>
      </x:c>
      <x:c r="O33" s="32" t="n">
        <x:v>3.4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Seriolella porosa</x:v>
      </x:c>
      <x:c r="T33" s="32" t="n">
        <x:f>IF(O33="","",(1/'Metadata'!$B$5)^(O33-1))</x:f>
        <x:v>251.18864315095797</x:v>
      </x:c>
      <x:c r="U33" s="31" t="n">
        <x:f>IF(T33="","",I33*T33)</x:f>
        <x:v>151700.55677802573</x:v>
      </x:c>
    </x:row>
    <x:row r="34" ht="18" customHeight="1">
      <x:c r="A34" s="24" t="str">
        <x:v>EEZ_032</x:v>
      </x:c>
      <x:c r="B34" s="24" t="str">
        <x:v>Argentina</x:v>
      </x:c>
      <x:c r="C34" s="24" t="str">
        <x:v>EEZ</x:v>
      </x:c>
      <x:c r="D34" s="30" t="n">
        <x:v>2019</x:v>
      </x:c>
      <x:c r="E34" s="24" t="str">
        <x:v>Umbrina canosai</x:v>
      </x:c>
      <x:c r="F34" s="24" t="str">
        <x:v>Argentine croaker</x:v>
      </x:c>
      <x:c r="G34" s="24" t="str">
        <x:v>Medium demersals (30 - 89 cm)</x:v>
      </x:c>
      <x:c r="H34" s="24" t="str">
        <x:v>Perch-likes</x:v>
      </x:c>
      <x:c r="I34" s="31" t="n">
        <x:v>534.76411474</x:v>
      </x:c>
      <x:c r="J34" s="31" t="n">
        <x:v>354</x:v>
      </x:c>
      <x:c r="K34" s="31" t="n">
        <x:v>180.76411474</x:v>
      </x:c>
      <x:c r="L34" s="31" t="n">
        <x:v>354</x:v>
      </x:c>
      <x:c r="M34" s="31" t="n">
        <x:v>180.76411474</x:v>
      </x:c>
      <x:c r="N34" s="24" t="str">
        <x:v>umbrina canosai</x:v>
      </x:c>
      <x:c r="O34" s="32" t="n">
        <x:v>3.85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Umbrina canosai</x:v>
      </x:c>
      <x:c r="T34" s="32" t="n">
        <x:f>IF(O34="","",(1/'Metadata'!$B$5)^(O34-1))</x:f>
        <x:v>707.945784384138</x:v>
      </x:c>
      <x:c r="U34" s="31" t="n">
        <x:f>IF(T34="","",I34*T34)</x:f>
        <x:v>378584.00067009847</x:v>
      </x:c>
    </x:row>
    <x:row r="35" ht="18" customHeight="1">
      <x:c r="A35" s="24" t="str">
        <x:v>EEZ_032</x:v>
      </x:c>
      <x:c r="B35" s="24" t="str">
        <x:v>Argentina</x:v>
      </x:c>
      <x:c r="C35" s="24" t="str">
        <x:v>EEZ</x:v>
      </x:c>
      <x:c r="D35" s="30" t="n">
        <x:v>2019</x:v>
      </x:c>
      <x:c r="E35" s="24" t="str">
        <x:v>Macrourus</x:v>
      </x:c>
      <x:c r="F35" s="24" t="str">
        <x:v>Rattails</x:v>
      </x:c>
      <x:c r="G35" s="24" t="str">
        <x:v>Medium benthopelagics (30 - 89 cm)</x:v>
      </x:c>
      <x:c r="H35" s="24" t="str">
        <x:v>Cod-likes</x:v>
      </x:c>
      <x:c r="I35" s="31" t="n">
        <x:v>384.1210123929</x:v>
      </x:c>
      <x:c r="J35" s="31" t="n">
        <x:v>384.1210123929</x:v>
      </x:c>
      <x:c r="K35" s="31" t="n">
        <x:v>0</x:v>
      </x:c>
      <x:c r="L35" s="31" t="n">
        <x:v>384.1210123929</x:v>
      </x:c>
      <x:c r="M35" s="31" t="n">
        <x:v>0</x:v>
      </x:c>
      <x:c r="N35" s="24" t="str">
        <x:v>macrourus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Macrourus</x:v>
      </x:c>
      <x:c r="T35" s="32" t="n">
        <x:f>IF(O35="","",(1/'Metadata'!$B$5)^(O35-1))</x:f>
        <x:v>380.1893963205613</x:v>
      </x:c>
      <x:c r="U35" s="31" t="n">
        <x:f>IF(T35="","",I35*T35)</x:f>
        <x:v>146038.7358156995</x:v>
      </x:c>
    </x:row>
    <x:row r="36" ht="18" customHeight="1">
      <x:c r="A36" s="24" t="str">
        <x:v>EEZ_032</x:v>
      </x:c>
      <x:c r="B36" s="24" t="str">
        <x:v>Argentina</x:v>
      </x:c>
      <x:c r="C36" s="24" t="str">
        <x:v>EEZ</x:v>
      </x:c>
      <x:c r="D36" s="30" t="n">
        <x:v>2019</x:v>
      </x:c>
      <x:c r="E36" s="24" t="str">
        <x:v>Macrouridae</x:v>
      </x:c>
      <x:c r="F36" s="24" t="str">
        <x:v>Grenadiers, rattails</x:v>
      </x:c>
      <x:c r="G36" s="24" t="str">
        <x:v>Medium benthopelagics (30 - 89 cm)</x:v>
      </x:c>
      <x:c r="H36" s="24" t="str">
        <x:v>Cod-likes</x:v>
      </x:c>
      <x:c r="I36" s="31" t="n">
        <x:v>369.202153</x:v>
      </x:c>
      <x:c r="J36" s="31" t="n">
        <x:v>0</x:v>
      </x:c>
      <x:c r="K36" s="31" t="n">
        <x:v>369.202153</x:v>
      </x:c>
      <x:c r="L36" s="31" t="n">
        <x:v>0</x:v>
      </x:c>
      <x:c r="M36" s="31" t="n">
        <x:v>369.202153</x:v>
      </x:c>
      <x:c r="N36" s="24" t="str">
        <x:v>macrouridae</x:v>
      </x:c>
      <x:c r="O36" s="32" t="n">
        <x:v>3.88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Macrouridae</x:v>
      </x:c>
      <x:c r="T36" s="32" t="n">
        <x:f>IF(O36="","",(1/'Metadata'!$B$5)^(O36-1))</x:f>
        <x:v>758.5775750291835</x:v>
      </x:c>
      <x:c r="U36" s="31" t="n">
        <x:f>IF(T36="","",I36*T36)</x:f>
        <x:v>280068.4739182936</x:v>
      </x:c>
    </x:row>
    <x:row r="37" ht="18" customHeight="1">
      <x:c r="A37" s="24" t="str">
        <x:v>EEZ_032</x:v>
      </x:c>
      <x:c r="B37" s="24" t="str">
        <x:v>Argentina</x:v>
      </x:c>
      <x:c r="C37" s="24" t="str">
        <x:v>EEZ</x:v>
      </x:c>
      <x:c r="D37" s="30" t="n">
        <x:v>2019</x:v>
      </x:c>
      <x:c r="E37" s="24" t="str">
        <x:v>Stromateidae</x:v>
      </x:c>
      <x:c r="F37" s="24" t="str">
        <x:v>Butterfishes</x:v>
      </x:c>
      <x:c r="G37" s="24" t="str">
        <x:v>Small benthopelagics (&lt;30 cm)</x:v>
      </x:c>
      <x:c r="H37" s="24" t="str">
        <x:v>Perch-likes</x:v>
      </x:c>
      <x:c r="I37" s="31" t="n">
        <x:v>295.4018725521</x:v>
      </x:c>
      <x:c r="J37" s="31" t="n">
        <x:v>295.4018725521</x:v>
      </x:c>
      <x:c r="K37" s="31" t="n">
        <x:v>0</x:v>
      </x:c>
      <x:c r="L37" s="31" t="n">
        <x:v>295.4018725521</x:v>
      </x:c>
      <x:c r="M37" s="31" t="n">
        <x:v>0</x:v>
      </x:c>
      <x:c r="N37" s="24" t="str">
        <x:v>stromateidae</x:v>
      </x:c>
      <x:c r="O37" s="32" t="n">
        <x:v>3.62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Stromateidae</x:v>
      </x:c>
      <x:c r="T37" s="32" t="n">
        <x:f>IF(O37="","",(1/'Metadata'!$B$5)^(O37-1))</x:f>
        <x:v>416.8693834703355</x:v>
      </x:c>
      <x:c r="U37" s="31" t="n">
        <x:f>IF(T37="","",I37*T37)</x:f>
        <x:v>123143.99648677654</x:v>
      </x:c>
    </x:row>
    <x:row r="38" ht="18" customHeight="1">
      <x:c r="A38" s="24" t="str">
        <x:v>EEZ_032</x:v>
      </x:c>
      <x:c r="B38" s="24" t="str">
        <x:v>Argentina</x:v>
      </x:c>
      <x:c r="C38" s="24" t="str">
        <x:v>EEZ</x:v>
      </x:c>
      <x:c r="D38" s="30" t="n">
        <x:v>2019</x:v>
      </x:c>
      <x:c r="E38" s="24" t="str">
        <x:v>Macrodon ancylodon</x:v>
      </x:c>
      <x:c r="F38" s="24" t="str">
        <x:v>King weakfish</x:v>
      </x:c>
      <x:c r="G38" s="24" t="str">
        <x:v>Medium demersals (30 - 89 cm)</x:v>
      </x:c>
      <x:c r="H38" s="24" t="str">
        <x:v>Perch-likes</x:v>
      </x:c>
      <x:c r="I38" s="31" t="n">
        <x:v>293.00000003789995</x:v>
      </x:c>
      <x:c r="J38" s="31" t="n">
        <x:v>293.00000003789995</x:v>
      </x:c>
      <x:c r="K38" s="31" t="n">
        <x:v>0</x:v>
      </x:c>
      <x:c r="L38" s="31" t="n">
        <x:v>293.00000003789995</x:v>
      </x:c>
      <x:c r="M38" s="31" t="n">
        <x:v>0</x:v>
      </x:c>
      <x:c r="N38" s="24" t="str">
        <x:v>macrodon ancylodon</x:v>
      </x:c>
      <x:c r="O38" s="32" t="n">
        <x:v>3.9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Macrodon ancylodon</x:v>
      </x:c>
      <x:c r="T38" s="32" t="n">
        <x:f>IF(O38="","",(1/'Metadata'!$B$5)^(O38-1))</x:f>
        <x:v>794.3282347242813</x:v>
      </x:c>
      <x:c r="U38" s="31" t="n">
        <x:f>IF(T38="","",I38*T38)</x:f>
        <x:v>232738.17280431942</x:v>
      </x:c>
    </x:row>
    <x:row r="39" ht="18" customHeight="1">
      <x:c r="A39" s="24" t="str">
        <x:v>EEZ_032</x:v>
      </x:c>
      <x:c r="B39" s="24" t="str">
        <x:v>Argentina</x:v>
      </x:c>
      <x:c r="C39" s="24" t="str">
        <x:v>EEZ</x:v>
      </x:c>
      <x:c r="D39" s="30" t="n">
        <x:v>2019</x:v>
      </x:c>
      <x:c r="E39" s="24" t="str">
        <x:v>Peprilus paru</x:v>
      </x:c>
      <x:c r="F39" s="24" t="str">
        <x:v>American harvestfish</x:v>
      </x:c>
      <x:c r="G39" s="24" t="str">
        <x:v>Small benthopelagics (&lt;30 cm)</x:v>
      </x:c>
      <x:c r="H39" s="24" t="str">
        <x:v>Perch-likes</x:v>
      </x:c>
      <x:c r="I39" s="31" t="n">
        <x:v>283.9999999903</x:v>
      </x:c>
      <x:c r="J39" s="31" t="n">
        <x:v>283.9999999903</x:v>
      </x:c>
      <x:c r="K39" s="31" t="n">
        <x:v>0</x:v>
      </x:c>
      <x:c r="L39" s="31" t="n">
        <x:v>283.9999999903</x:v>
      </x:c>
      <x:c r="M39" s="31" t="n">
        <x:v>0</x:v>
      </x:c>
      <x:c r="N39" s="24" t="str">
        <x:v>peprilus paru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Peprilus paru</x:v>
      </x:c>
      <x:c r="T39" s="32" t="n">
        <x:f>IF(O39="","",(1/'Metadata'!$B$5)^(O39-1))</x:f>
        <x:v>3162.2776601683795</x:v>
      </x:c>
      <x:c r="U39" s="31" t="n">
        <x:f>IF(T39="","",I39*T39)</x:f>
        <x:v>898086.8554571457</x:v>
      </x:c>
    </x:row>
    <x:row r="40" ht="18" customHeight="1">
      <x:c r="A40" s="24" t="str">
        <x:v>EEZ_032</x:v>
      </x:c>
      <x:c r="B40" s="24" t="str">
        <x:v>Argentina</x:v>
      </x:c>
      <x:c r="C40" s="24" t="str">
        <x:v>EEZ</x:v>
      </x:c>
      <x:c r="D40" s="30" t="n">
        <x:v>2019</x:v>
      </x:c>
      <x:c r="E40" s="24" t="str">
        <x:v>Urophycis brasiliensis</x:v>
      </x:c>
      <x:c r="F40" s="24" t="str">
        <x:v>Brazilian codling</x:v>
      </x:c>
      <x:c r="G40" s="24" t="str">
        <x:v>Medium demersals (30 - 89 cm)</x:v>
      </x:c>
      <x:c r="H40" s="24" t="str">
        <x:v>Cod-likes</x:v>
      </x:c>
      <x:c r="I40" s="31" t="n">
        <x:v>267.310561211</x:v>
      </x:c>
      <x:c r="J40" s="31" t="n">
        <x:v>260.4793592</x:v>
      </x:c>
      <x:c r="K40" s="31" t="n">
        <x:v>6.831202011</x:v>
      </x:c>
      <x:c r="L40" s="31" t="n">
        <x:v>40</x:v>
      </x:c>
      <x:c r="M40" s="31" t="n">
        <x:v>227.310561211</x:v>
      </x:c>
      <x:c r="N40" s="24" t="str">
        <x:v>urophycis brasiliensis</x:v>
      </x:c>
      <x:c r="O40" s="32" t="n">
        <x:v>3.79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Urophycis brasiliensis</x:v>
      </x:c>
      <x:c r="T40" s="32" t="n">
        <x:f>IF(O40="","",(1/'Metadata'!$B$5)^(O40-1))</x:f>
        <x:v>616.5950018614822</x:v>
      </x:c>
      <x:c r="U40" s="31" t="n">
        <x:f>IF(T40="","",I40*T40)</x:f>
        <x:v>164822.3559874904</x:v>
      </x:c>
    </x:row>
    <x:row r="41" ht="18" customHeight="1">
      <x:c r="A41" s="24" t="str">
        <x:v>EEZ_032</x:v>
      </x:c>
      <x:c r="B41" s="24" t="str">
        <x:v>Argentina</x:v>
      </x:c>
      <x:c r="C41" s="24" t="str">
        <x:v>EEZ</x:v>
      </x:c>
      <x:c r="D41" s="30" t="n">
        <x:v>2019</x:v>
      </x:c>
      <x:c r="E41" s="24" t="str">
        <x:v>Zearaja chilensis</x:v>
      </x:c>
      <x:c r="F41" s="24" t="str">
        <x:v>Yellownose skate</x:v>
      </x:c>
      <x:c r="G41" s="24" t="str">
        <x:v>Small to medium rays (&lt;90 cm)</x:v>
      </x:c>
      <x:c r="H41" s="24" t="str">
        <x:v>Sharks &amp; rays</x:v>
      </x:c>
      <x:c r="I41" s="31" t="n">
        <x:v>259</x:v>
      </x:c>
      <x:c r="J41" s="31" t="n">
        <x:v>259</x:v>
      </x:c>
      <x:c r="K41" s="31" t="n">
        <x:v>0</x:v>
      </x:c>
      <x:c r="L41" s="31" t="n">
        <x:v>259</x:v>
      </x:c>
      <x:c r="M41" s="31" t="n">
        <x:v>0</x:v>
      </x:c>
      <x:c r="N41" s="24" t="str">
        <x:v>zearaja chilensis</x:v>
      </x:c>
      <x:c r="O41" s="32" t="n">
        <x:v>4.46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Zearaja chilensis</x:v>
      </x:c>
      <x:c r="T41" s="32" t="n">
        <x:f>IF(O41="","",(1/'Metadata'!$B$5)^(O41-1))</x:f>
        <x:v>2884.031503126606</x:v>
      </x:c>
      <x:c r="U41" s="31" t="n">
        <x:f>IF(T41="","",I41*T41)</x:f>
        <x:v>746964.1593097909</x:v>
      </x:c>
    </x:row>
    <x:row r="42" ht="18" customHeight="1">
      <x:c r="A42" s="24" t="str">
        <x:v>EEZ_032</x:v>
      </x:c>
      <x:c r="B42" s="24" t="str">
        <x:v>Argentina</x:v>
      </x:c>
      <x:c r="C42" s="24" t="str">
        <x:v>EEZ</x:v>
      </x:c>
      <x:c r="D42" s="30" t="n">
        <x:v>2019</x:v>
      </x:c>
      <x:c r="E42" s="24" t="str">
        <x:v>Prionace glauca</x:v>
      </x:c>
      <x:c r="F42" s="24" t="str">
        <x:v>Blue shark</x:v>
      </x:c>
      <x:c r="G42" s="24" t="str">
        <x:v>Large sharks (&gt;=90 cm)</x:v>
      </x:c>
      <x:c r="H42" s="24" t="str">
        <x:v>Sharks &amp; rays</x:v>
      </x:c>
      <x:c r="I42" s="31" t="n">
        <x:v>227.23589329269998</x:v>
      </x:c>
      <x:c r="J42" s="31" t="n">
        <x:v>210.7678932927</x:v>
      </x:c>
      <x:c r="K42" s="31" t="n">
        <x:v>16.468</x:v>
      </x:c>
      <x:c r="L42" s="31" t="n">
        <x:v>210.7678932927</x:v>
      </x:c>
      <x:c r="M42" s="31" t="n">
        <x:v>16.468</x:v>
      </x:c>
      <x:c r="N42" s="24" t="str">
        <x:v>prionace glauca</x:v>
      </x:c>
      <x:c r="O42" s="32" t="n">
        <x:v>4.35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Prionace glauca</x:v>
      </x:c>
      <x:c r="T42" s="32" t="n">
        <x:f>IF(O42="","",(1/'Metadata'!$B$5)^(O42-1))</x:f>
        <x:v>2238.7211385683377</x:v>
      </x:c>
      <x:c r="U42" s="31" t="n">
        <x:f>IF(T42="","",I42*T42)</x:f>
        <x:v>508717.7977558266</x:v>
      </x:c>
    </x:row>
    <x:row r="43" ht="18" customHeight="1">
      <x:c r="A43" s="24" t="str">
        <x:v>EEZ_032</x:v>
      </x:c>
      <x:c r="B43" s="24" t="str">
        <x:v>Argentina</x:v>
      </x:c>
      <x:c r="C43" s="24" t="str">
        <x:v>EEZ</x:v>
      </x:c>
      <x:c r="D43" s="30" t="n">
        <x:v>2019</x:v>
      </x:c>
      <x:c r="E43" s="24" t="str">
        <x:v>Trichiurus lepturus</x:v>
      </x:c>
      <x:c r="F43" s="24" t="str">
        <x:v>Largehead hairtail</x:v>
      </x:c>
      <x:c r="G43" s="24" t="str">
        <x:v>Large benthopelagics (&gt;=90 cm)</x:v>
      </x:c>
      <x:c r="H43" s="24" t="str">
        <x:v>Perch-likes</x:v>
      </x:c>
      <x:c r="I43" s="31" t="n">
        <x:v>219.4936060372</x:v>
      </x:c>
      <x:c r="J43" s="31" t="n">
        <x:v>199.0000000042</x:v>
      </x:c>
      <x:c r="K43" s="31" t="n">
        <x:v>20.493606033</x:v>
      </x:c>
      <x:c r="L43" s="31" t="n">
        <x:v>199.0000000042</x:v>
      </x:c>
      <x:c r="M43" s="31" t="n">
        <x:v>20.493606033</x:v>
      </x:c>
      <x:c r="N43" s="24" t="str">
        <x:v>trichiurus lepturus</x:v>
      </x:c>
      <x:c r="O43" s="32" t="n">
        <x:v>4.42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Trichiurus lepturus</x:v>
      </x:c>
      <x:c r="T43" s="32" t="n">
        <x:f>IF(O43="","",(1/'Metadata'!$B$5)^(O43-1))</x:f>
        <x:v>2630.2679918953813</x:v>
      </x:c>
      <x:c r="U43" s="31" t="n">
        <x:f>IF(T43="","",I43*T43)</x:f>
        <x:v>577327.006385342</x:v>
      </x:c>
    </x:row>
    <x:row r="44" ht="18" customHeight="1">
      <x:c r="A44" s="24" t="str">
        <x:v>EEZ_032</x:v>
      </x:c>
      <x:c r="B44" s="24" t="str">
        <x:v>Argentina</x:v>
      </x:c>
      <x:c r="C44" s="24" t="str">
        <x:v>EEZ</x:v>
      </x:c>
      <x:c r="D44" s="30" t="n">
        <x:v>2019</x:v>
      </x:c>
      <x:c r="E44" s="24" t="str">
        <x:v>Patagonotothen ramsayi</x:v>
      </x:c>
      <x:c r="F44" s="24" t="str">
        <x:v>Longtail southern cod</x:v>
      </x:c>
      <x:c r="G44" s="24" t="str">
        <x:v>Medium benthopelagics (30 - 89 cm)</x:v>
      </x:c>
      <x:c r="H44" s="24" t="str">
        <x:v>Perch-likes</x:v>
      </x:c>
      <x:c r="I44" s="31" t="n">
        <x:v>185.2772031551</x:v>
      </x:c>
      <x:c r="J44" s="31" t="n">
        <x:v>185.2772031551</x:v>
      </x:c>
      <x:c r="K44" s="31" t="n">
        <x:v>0</x:v>
      </x:c>
      <x:c r="L44" s="31" t="n">
        <x:v>185.2772031551</x:v>
      </x:c>
      <x:c r="M44" s="31" t="n">
        <x:v>0</x:v>
      </x:c>
      <x:c r="N44" s="24" t="str">
        <x:v>patagonotothen ramsayi</x:v>
      </x:c>
      <x:c r="O44" s="32" t="n">
        <x:v>3.49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Patagonotothen ramsayi</x:v>
      </x:c>
      <x:c r="T44" s="32" t="n">
        <x:f>IF(O44="","",(1/'Metadata'!$B$5)^(O44-1))</x:f>
        <x:v>309.0295432513592</x:v>
      </x:c>
      <x:c r="U44" s="31" t="n">
        <x:f>IF(T44="","",I44*T44)</x:f>
        <x:v>57256.12946590984</x:v>
      </x:c>
    </x:row>
    <x:row r="45" ht="18" customHeight="1">
      <x:c r="A45" s="24" t="str">
        <x:v>EEZ_032</x:v>
      </x:c>
      <x:c r="B45" s="24" t="str">
        <x:v>Argentina</x:v>
      </x:c>
      <x:c r="C45" s="24" t="str">
        <x:v>EEZ</x:v>
      </x:c>
      <x:c r="D45" s="30" t="n">
        <x:v>2019</x:v>
      </x:c>
      <x:c r="E45" s="24" t="str">
        <x:v>Thunnus alalunga</x:v>
      </x:c>
      <x:c r="F45" s="24" t="str">
        <x:v>Albacore</x:v>
      </x:c>
      <x:c r="G45" s="24" t="str">
        <x:v>Large pelagics (&gt;=90 cm)</x:v>
      </x:c>
      <x:c r="H45" s="24" t="str">
        <x:v>Tuna &amp; billfishes</x:v>
      </x:c>
      <x:c r="I45" s="31" t="n">
        <x:v>180.0639068482</x:v>
      </x:c>
      <x:c r="J45" s="31" t="n">
        <x:v>180.0639068482</x:v>
      </x:c>
      <x:c r="K45" s="31" t="n">
        <x:v>0</x:v>
      </x:c>
      <x:c r="L45" s="31" t="n">
        <x:v>180.0639068482</x:v>
      </x:c>
      <x:c r="M45" s="31" t="n">
        <x:v>0</x:v>
      </x:c>
      <x:c r="N45" s="24" t="str">
        <x:v>thunnus alalunga</x:v>
      </x:c>
      <x:c r="O45" s="32" t="n">
        <x:v>4.3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alalunga</x:v>
      </x:c>
      <x:c r="T45" s="32" t="n">
        <x:f>IF(O45="","",(1/'Metadata'!$B$5)^(O45-1))</x:f>
        <x:v>1995.2623149688789</x:v>
      </x:c>
      <x:c r="U45" s="31" t="n">
        <x:f>IF(T45="","",I45*T45)</x:f>
        <x:v>359274.72762028006</x:v>
      </x:c>
    </x:row>
    <x:row r="46" ht="18" customHeight="1">
      <x:c r="A46" s="24" t="str">
        <x:v>EEZ_032</x:v>
      </x:c>
      <x:c r="B46" s="24" t="str">
        <x:v>Argentina</x:v>
      </x:c>
      <x:c r="C46" s="24" t="str">
        <x:v>EEZ</x:v>
      </x:c>
      <x:c r="D46" s="30" t="n">
        <x:v>2019</x:v>
      </x:c>
      <x:c r="E46" s="24" t="str">
        <x:v>Brevoortia aurea</x:v>
      </x:c>
      <x:c r="F46" s="24" t="str">
        <x:v>Brazilian menhaden</x:v>
      </x:c>
      <x:c r="G46" s="24" t="str">
        <x:v>Small pelagics (&lt;30 cm)</x:v>
      </x:c>
      <x:c r="H46" s="24" t="str">
        <x:v>Herring-likes</x:v>
      </x:c>
      <x:c r="I46" s="31" t="n">
        <x:v>154.897509167</x:v>
      </x:c>
      <x:c r="J46" s="31" t="n">
        <x:v>151.961999998</x:v>
      </x:c>
      <x:c r="K46" s="31" t="n">
        <x:v>2.9355091690000004</x:v>
      </x:c>
      <x:c r="L46" s="31" t="n">
        <x:v>151.961999998</x:v>
      </x:c>
      <x:c r="M46" s="31" t="n">
        <x:v>2.9355091690000004</x:v>
      </x:c>
      <x:c r="N46" s="24" t="str">
        <x:v>brevoortia aurea</x:v>
      </x:c>
      <x:c r="O46" s="32" t="n">
        <x:v>2.75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Brevoortia aurea</x:v>
      </x:c>
      <x:c r="T46" s="32" t="n">
        <x:f>IF(O46="","",(1/'Metadata'!$B$5)^(O46-1))</x:f>
        <x:v>56.23413251903491</x:v>
      </x:c>
      <x:c r="U46" s="31" t="n">
        <x:f>IF(T46="","",I46*T46)</x:f>
        <x:v>8710.527057365503</x:v>
      </x:c>
    </x:row>
    <x:row r="47" ht="18" customHeight="1">
      <x:c r="A47" s="24" t="str">
        <x:v>EEZ_032</x:v>
      </x:c>
      <x:c r="B47" s="24" t="str">
        <x:v>Argentina</x:v>
      </x:c>
      <x:c r="C47" s="24" t="str">
        <x:v>EEZ</x:v>
      </x:c>
      <x:c r="D47" s="30" t="n">
        <x:v>2019</x:v>
      </x:c>
      <x:c r="E47" s="24" t="str">
        <x:v>Artemesia longinaris</x:v>
      </x:c>
      <x:c r="F47" s="24" t="str">
        <x:v>Argentine stiletto shrimp</x:v>
      </x:c>
      <x:c r="G47" s="24" t="str">
        <x:v>Shrimps</x:v>
      </x:c>
      <x:c r="H47" s="24" t="str">
        <x:v>Crustaceans</x:v>
      </x:c>
      <x:c r="I47" s="31" t="n">
        <x:v>125.21013548</x:v>
      </x:c>
      <x:c r="J47" s="31" t="n">
        <x:v>85</x:v>
      </x:c>
      <x:c r="K47" s="31" t="n">
        <x:v>40.21013548</x:v>
      </x:c>
      <x:c r="L47" s="31" t="n">
        <x:v>85</x:v>
      </x:c>
      <x:c r="M47" s="31" t="n">
        <x:v>40.21013548</x:v>
      </x:c>
      <x:c r="N47" s="24" t="str">
        <x:v>artemesia longinaris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Artemesia longinaris</x:v>
      </x:c>
      <x:c r="T47" s="32" t="n">
        <x:f>IF(O47="","",(1/'Metadata'!$B$5)^(O47-1))</x:f>
        <x:v>50.11872336272725</x:v>
      </x:c>
      <x:c r="U47" s="31" t="n">
        <x:f>IF(T47="","",I47*T47)</x:f>
        <x:v>6275.372142331721</x:v>
      </x:c>
    </x:row>
    <x:row r="48" ht="18" customHeight="1">
      <x:c r="A48" s="24" t="str">
        <x:v>EEZ_032</x:v>
      </x:c>
      <x:c r="B48" s="24" t="str">
        <x:v>Argentina</x:v>
      </x:c>
      <x:c r="C48" s="24" t="str">
        <x:v>EEZ</x:v>
      </x:c>
      <x:c r="D48" s="30" t="n">
        <x:v>2019</x:v>
      </x:c>
      <x:c r="E48" s="24" t="str">
        <x:v>Galeorhinus galeus</x:v>
      </x:c>
      <x:c r="F48" s="24" t="str">
        <x:v>Tope shark</x:v>
      </x:c>
      <x:c r="G48" s="24" t="str">
        <x:v>Large sharks (&gt;=90 cm)</x:v>
      </x:c>
      <x:c r="H48" s="24" t="str">
        <x:v>Sharks &amp; rays</x:v>
      </x:c>
      <x:c r="I48" s="31" t="n">
        <x:v>112.07489955</x:v>
      </x:c>
      <x:c r="J48" s="31" t="n">
        <x:v>58.46138557</x:v>
      </x:c>
      <x:c r="K48" s="31" t="n">
        <x:v>53.61351398</x:v>
      </x:c>
      <x:c r="L48" s="31" t="n">
        <x:v>15</x:v>
      </x:c>
      <x:c r="M48" s="31" t="n">
        <x:v>97.07489955</x:v>
      </x:c>
      <x:c r="N48" s="24" t="str">
        <x:v>galeorhinus galeus</x:v>
      </x:c>
      <x:c r="O48" s="32" t="n">
        <x:v>4.34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Galeorhinus galeus</x:v>
      </x:c>
      <x:c r="T48" s="32" t="n">
        <x:f>IF(O48="","",(1/'Metadata'!$B$5)^(O48-1))</x:f>
        <x:v>2187.761623949552</x:v>
      </x:c>
      <x:c r="U48" s="31" t="n">
        <x:f>IF(T48="","",I48*T48)</x:f>
        <x:v>245193.1642434909</x:v>
      </x:c>
    </x:row>
    <x:row r="49" ht="18" customHeight="1">
      <x:c r="A49" s="24" t="str">
        <x:v>EEZ_032</x:v>
      </x:c>
      <x:c r="B49" s="24" t="str">
        <x:v>Argentina</x:v>
      </x:c>
      <x:c r="C49" s="24" t="str">
        <x:v>EEZ</x:v>
      </x:c>
      <x:c r="D49" s="30" t="n">
        <x:v>2019</x:v>
      </x:c>
      <x:c r="E49" s="24" t="str">
        <x:v>Nemadactylus bergi</x:v>
      </x:c>
      <x:c r="F49" s="24" t="str">
        <x:v>Castaneta</x:v>
      </x:c>
      <x:c r="G49" s="24" t="str">
        <x:v>Medium demersals (30 - 89 cm)</x:v>
      </x:c>
      <x:c r="H49" s="24" t="str">
        <x:v>Perch-likes</x:v>
      </x:c>
      <x:c r="I49" s="31" t="n">
        <x:v>106.84064478</x:v>
      </x:c>
      <x:c r="J49" s="31" t="n">
        <x:v>7</x:v>
      </x:c>
      <x:c r="K49" s="31" t="n">
        <x:v>99.84064478</x:v>
      </x:c>
      <x:c r="L49" s="31" t="n">
        <x:v>7</x:v>
      </x:c>
      <x:c r="M49" s="31" t="n">
        <x:v>99.84064478</x:v>
      </x:c>
      <x:c r="N49" s="24" t="str">
        <x:v>nemadactylus bergi</x:v>
      </x:c>
      <x:c r="O49" s="32" t="n">
        <x:v>3.24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Nemadactylus bergi</x:v>
      </x:c>
      <x:c r="T49" s="32" t="n">
        <x:f>IF(O49="","",(1/'Metadata'!$B$5)^(O49-1))</x:f>
        <x:v>173.78008287493762</x:v>
      </x:c>
      <x:c r="U49" s="31" t="n">
        <x:f>IF(T49="","",I49*T49)</x:f>
        <x:v>18566.776104280172</x:v>
      </x:c>
    </x:row>
    <x:row r="50" ht="18" customHeight="1">
      <x:c r="A50" s="24" t="str">
        <x:v>EEZ_032</x:v>
      </x:c>
      <x:c r="B50" s="24" t="str">
        <x:v>Argentina</x:v>
      </x:c>
      <x:c r="C50" s="24" t="str">
        <x:v>EEZ</x:v>
      </x:c>
      <x:c r="D50" s="30" t="n">
        <x:v>2019</x:v>
      </x:c>
      <x:c r="E50" s="24" t="str">
        <x:v>Teuthida</x:v>
      </x:c>
      <x:c r="F50" s="24" t="str">
        <x:v>Squids</x:v>
      </x:c>
      <x:c r="G50" s="24" t="str">
        <x:v>Cephalopods</x:v>
      </x:c>
      <x:c r="H50" s="24" t="str">
        <x:v>Other fishes &amp; inverts</x:v>
      </x:c>
      <x:c r="I50" s="31" t="n">
        <x:v>101.78917104019999</x:v>
      </x:c>
      <x:c r="J50" s="31" t="n">
        <x:v>101.78917104019999</x:v>
      </x:c>
      <x:c r="K50" s="31" t="n">
        <x:v>0</x:v>
      </x:c>
      <x:c r="L50" s="31" t="n">
        <x:v>101.78917104019999</x:v>
      </x:c>
      <x:c r="M50" s="31" t="n">
        <x:v>0</x:v>
      </x:c>
      <x:c r="N50" s="24" t="str">
        <x:v>teuthida</x:v>
      </x:c>
      <x:c r="O50" s="32" t="n">
        <x:v>4.13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Teuthida</x:v>
      </x:c>
      <x:c r="T50" s="32" t="n">
        <x:f>IF(O50="","",(1/'Metadata'!$B$5)^(O50-1))</x:f>
        <x:v>1348.9628825916532</x:v>
      </x:c>
      <x:c r="U50" s="31" t="n">
        <x:f>IF(T50="","",I50*T50)</x:f>
        <x:v>137309.813583003</x:v>
      </x:c>
    </x:row>
    <x:row r="51" ht="18" customHeight="1">
      <x:c r="A51" s="24" t="str">
        <x:v>EEZ_032</x:v>
      </x:c>
      <x:c r="B51" s="24" t="str">
        <x:v>Argentina</x:v>
      </x:c>
      <x:c r="C51" s="24" t="str">
        <x:v>EEZ</x:v>
      </x:c>
      <x:c r="D51" s="30" t="n">
        <x:v>2019</x:v>
      </x:c>
      <x:c r="E51" s="24" t="str">
        <x:v>Mugilidae</x:v>
      </x:c>
      <x:c r="F51" s="24" t="str">
        <x:v>Mullets, grey mullets</x:v>
      </x:c>
      <x:c r="G51" s="24" t="str">
        <x:v>Medium reef assoc. fish (30 - 89 cm)</x:v>
      </x:c>
      <x:c r="H51" s="24" t="str">
        <x:v>Perch-likes</x:v>
      </x:c>
      <x:c r="I51" s="31" t="n">
        <x:v>99.0000000021</x:v>
      </x:c>
      <x:c r="J51" s="31" t="n">
        <x:v>99.0000000021</x:v>
      </x:c>
      <x:c r="K51" s="31" t="n">
        <x:v>0</x:v>
      </x:c>
      <x:c r="L51" s="31" t="n">
        <x:v>99.0000000021</x:v>
      </x:c>
      <x:c r="M51" s="31" t="n">
        <x:v>0</x:v>
      </x:c>
      <x:c r="N51" s="24" t="str">
        <x:v>mugilidae</x:v>
      </x:c>
      <x:c r="O51" s="32" t="n">
        <x:v>2.53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Mugilidae</x:v>
      </x:c>
      <x:c r="T51" s="32" t="n">
        <x:f>IF(O51="","",(1/'Metadata'!$B$5)^(O51-1))</x:f>
        <x:v>33.88441561392024</x:v>
      </x:c>
      <x:c r="U51" s="31" t="n">
        <x:f>IF(T51="","",I51*T51)</x:f>
        <x:v>3354.557145849261</x:v>
      </x:c>
    </x:row>
    <x:row r="52" ht="18" customHeight="1">
      <x:c r="A52" s="24" t="str">
        <x:v>EEZ_032</x:v>
      </x:c>
      <x:c r="B52" s="24" t="str">
        <x:v>Argentina</x:v>
      </x:c>
      <x:c r="C52" s="24" t="str">
        <x:v>EEZ</x:v>
      </x:c>
      <x:c r="D52" s="30" t="n">
        <x:v>2019</x:v>
      </x:c>
      <x:c r="E52" s="24" t="str">
        <x:v>Gadiformes</x:v>
      </x:c>
      <x:c r="F52" s="24" t="str">
        <x:v>Cods</x:v>
      </x:c>
      <x:c r="G52" s="24" t="str">
        <x:v>Medium benthopelagics (30 - 89 cm)</x:v>
      </x:c>
      <x:c r="H52" s="24" t="str">
        <x:v>Cod-likes</x:v>
      </x:c>
      <x:c r="I52" s="31" t="n">
        <x:v>98.0181917691</x:v>
      </x:c>
      <x:c r="J52" s="31" t="n">
        <x:v>98.0181917691</x:v>
      </x:c>
      <x:c r="K52" s="31" t="n">
        <x:v>0</x:v>
      </x:c>
      <x:c r="L52" s="31" t="n">
        <x:v>98.0181917691</x:v>
      </x:c>
      <x:c r="M52" s="31" t="n">
        <x:v>0</x:v>
      </x:c>
      <x:c r="N52" s="24" t="str">
        <x:v>gadiformes</x:v>
      </x:c>
      <x:c r="O52" s="32" t="n">
        <x:v>3.91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Gadiformes</x:v>
      </x:c>
      <x:c r="T52" s="32" t="n">
        <x:f>IF(O52="","",(1/'Metadata'!$B$5)^(O52-1))</x:f>
        <x:v>812.8305161640995</x:v>
      </x:c>
      <x:c r="U52" s="31" t="n">
        <x:f>IF(T52="","",I52*T52)</x:f>
        <x:v>79672.17740914924</x:v>
      </x:c>
    </x:row>
    <x:row r="53" ht="18" customHeight="1">
      <x:c r="A53" s="24" t="str">
        <x:v>EEZ_032</x:v>
      </x:c>
      <x:c r="B53" s="24" t="str">
        <x:v>Argentina</x:v>
      </x:c>
      <x:c r="C53" s="24" t="str">
        <x:v>EEZ</x:v>
      </x:c>
      <x:c r="D53" s="30" t="n">
        <x:v>2019</x:v>
      </x:c>
      <x:c r="E53" s="24" t="str">
        <x:v>Lepidocybium flavobrunneum</x:v>
      </x:c>
      <x:c r="F53" s="24" t="str">
        <x:v>Escolar</x:v>
      </x:c>
      <x:c r="G53" s="24" t="str">
        <x:v>Large bathypelagics (&gt;=90 cm)</x:v>
      </x:c>
      <x:c r="H53" s="24" t="str">
        <x:v>Perch-likes</x:v>
      </x:c>
      <x:c r="I53" s="31" t="n">
        <x:v>94.5926493338</x:v>
      </x:c>
      <x:c r="J53" s="31" t="n">
        <x:v>94.5926493338</x:v>
      </x:c>
      <x:c r="K53" s="31" t="n">
        <x:v>0</x:v>
      </x:c>
      <x:c r="L53" s="31" t="n">
        <x:v>94.5926493338</x:v>
      </x:c>
      <x:c r="M53" s="31" t="n">
        <x:v>0</x:v>
      </x:c>
      <x:c r="N53" s="24" t="str">
        <x:v>lepidocybium flavobrunneum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Lepidocybium flavobrunneum</x:v>
      </x:c>
      <x:c r="T53" s="32" t="n">
        <x:f>IF(O53="","",(1/'Metadata'!$B$5)^(O53-1))</x:f>
        <x:v>2187.761623949552</x:v>
      </x:c>
      <x:c r="U53" s="31" t="n">
        <x:f>IF(T53="","",I53*T53)</x:f>
        <x:v>206946.1681202048</x:v>
      </x:c>
    </x:row>
    <x:row r="54" ht="18" customHeight="1">
      <x:c r="A54" s="24" t="str">
        <x:v>EEZ_032</x:v>
      </x:c>
      <x:c r="B54" s="24" t="str">
        <x:v>Argentina</x:v>
      </x:c>
      <x:c r="C54" s="24" t="str">
        <x:v>EEZ</x:v>
      </x:c>
      <x:c r="D54" s="30" t="n">
        <x:v>2019</x:v>
      </x:c>
      <x:c r="E54" s="24" t="str">
        <x:v>Gempylidae</x:v>
      </x:c>
      <x:c r="F54" s="24" t="str">
        <x:v>Snake mackerels</x:v>
      </x:c>
      <x:c r="G54" s="24" t="str">
        <x:v>Large benthopelagics (&gt;=90 cm)</x:v>
      </x:c>
      <x:c r="H54" s="24" t="str">
        <x:v>Perch-likes</x:v>
      </x:c>
      <x:c r="I54" s="31" t="n">
        <x:v>82.1625418418</x:v>
      </x:c>
      <x:c r="J54" s="31" t="n">
        <x:v>82.1625418418</x:v>
      </x:c>
      <x:c r="K54" s="31" t="n">
        <x:v>0</x:v>
      </x:c>
      <x:c r="L54" s="31" t="n">
        <x:v>82.1625418418</x:v>
      </x:c>
      <x:c r="M54" s="31" t="n">
        <x:v>0</x:v>
      </x:c>
      <x:c r="N54" s="24" t="str">
        <x:v>gempylidae</x:v>
      </x:c>
      <x:c r="O54" s="32" t="n">
        <x:v>4.21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Gempylidae</x:v>
      </x:c>
      <x:c r="T54" s="32" t="n">
        <x:f>IF(O54="","",(1/'Metadata'!$B$5)^(O54-1))</x:f>
        <x:v>1621.8100973589299</x:v>
      </x:c>
      <x:c r="U54" s="31" t="n">
        <x:f>IF(T54="","",I54*T54)</x:f>
        <x:v>133252.0399837068</x:v>
      </x:c>
    </x:row>
    <x:row r="55" ht="18" customHeight="1">
      <x:c r="A55" s="24" t="str">
        <x:v>EEZ_032</x:v>
      </x:c>
      <x:c r="B55" s="24" t="str">
        <x:v>Argentina</x:v>
      </x:c>
      <x:c r="C55" s="24" t="str">
        <x:v>EEZ</x:v>
      </x:c>
      <x:c r="D55" s="30" t="n">
        <x:v>2019</x:v>
      </x:c>
      <x:c r="E55" s="24" t="str">
        <x:v>Sympterygia bonapartii</x:v>
      </x:c>
      <x:c r="F55" s="24" t="str">
        <x:v>Smallnose fanskate</x:v>
      </x:c>
      <x:c r="G55" s="24" t="str">
        <x:v>Small to medium rays (&lt;90 cm)</x:v>
      </x:c>
      <x:c r="H55" s="24" t="str">
        <x:v>Sharks &amp; rays</x:v>
      </x:c>
      <x:c r="I55" s="31" t="n">
        <x:v>70.000000005</x:v>
      </x:c>
      <x:c r="J55" s="31" t="n">
        <x:v>70.000000005</x:v>
      </x:c>
      <x:c r="K55" s="31" t="n">
        <x:v>0</x:v>
      </x:c>
      <x:c r="L55" s="31" t="n">
        <x:v>70.000000005</x:v>
      </x:c>
      <x:c r="M55" s="31" t="n">
        <x:v>0</x:v>
      </x:c>
      <x:c r="N55" s="24" t="str">
        <x:v>sympterygia bonapartii</x:v>
      </x:c>
      <x:c r="O55" s="32" t="n">
        <x:v>3.9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Sympterygia bonapartii</x:v>
      </x:c>
      <x:c r="T55" s="32" t="n">
        <x:f>IF(O55="","",(1/'Metadata'!$B$5)^(O55-1))</x:f>
        <x:v>794.3282347242813</x:v>
      </x:c>
      <x:c r="U55" s="31" t="n">
        <x:f>IF(T55="","",I55*T55)</x:f>
        <x:v>55602.976434671335</x:v>
      </x:c>
    </x:row>
    <x:row r="56" ht="18" customHeight="1">
      <x:c r="A56" s="24" t="str">
        <x:v>EEZ_032</x:v>
      </x:c>
      <x:c r="B56" s="24" t="str">
        <x:v>Argentina</x:v>
      </x:c>
      <x:c r="C56" s="24" t="str">
        <x:v>EEZ</x:v>
      </x:c>
      <x:c r="D56" s="30" t="n">
        <x:v>2019</x:v>
      </x:c>
      <x:c r="E56" s="24" t="str">
        <x:v>Mytilus platensis</x:v>
      </x:c>
      <x:c r="F56" s="24" t="str">
        <x:v>River Plata mussel</x:v>
      </x:c>
      <x:c r="G56" s="24" t="str">
        <x:v>Other demersal invertebrates</x:v>
      </x:c>
      <x:c r="H56" s="24" t="str">
        <x:v>Molluscs</x:v>
      </x:c>
      <x:c r="I56" s="31" t="n">
        <x:v>67</x:v>
      </x:c>
      <x:c r="J56" s="31" t="n">
        <x:v>67</x:v>
      </x:c>
      <x:c r="K56" s="31" t="n">
        <x:v>0</x:v>
      </x:c>
      <x:c r="L56" s="31" t="n">
        <x:v>67</x:v>
      </x:c>
      <x:c r="M56" s="31" t="n">
        <x:v>0</x:v>
      </x:c>
      <x:c r="N56" s="24" t="str">
        <x:v>mytilus platensis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Mytilus platensis</x:v>
      </x:c>
      <x:c r="T56" s="32" t="n">
        <x:f>IF(O56="","",(1/'Metadata'!$B$5)^(O56-1))</x:f>
        <x:v>10</x:v>
      </x:c>
      <x:c r="U56" s="31" t="n">
        <x:f>IF(T56="","",I56*T56)</x:f>
        <x:v>670</x:v>
      </x:c>
    </x:row>
    <x:row r="57" ht="18" customHeight="1">
      <x:c r="A57" s="24" t="str">
        <x:v>EEZ_032</x:v>
      </x:c>
      <x:c r="B57" s="24" t="str">
        <x:v>Argentina</x:v>
      </x:c>
      <x:c r="C57" s="24" t="str">
        <x:v>EEZ</x:v>
      </x:c>
      <x:c r="D57" s="30" t="n">
        <x:v>2019</x:v>
      </x:c>
      <x:c r="E57" s="24" t="str">
        <x:v>Gadidae</x:v>
      </x:c>
      <x:c r="F57" s="24" t="str">
        <x:v>Cods, haddocks</x:v>
      </x:c>
      <x:c r="G57" s="24" t="str">
        <x:v>Medium demersals (30 - 89 cm)</x:v>
      </x:c>
      <x:c r="H57" s="24" t="str">
        <x:v>Cod-likes</x:v>
      </x:c>
      <x:c r="I57" s="31" t="n">
        <x:v>57.3823487883</x:v>
      </x:c>
      <x:c r="J57" s="31" t="n">
        <x:v>57.3823487883</x:v>
      </x:c>
      <x:c r="K57" s="31" t="n">
        <x:v>0</x:v>
      </x:c>
      <x:c r="L57" s="31" t="n">
        <x:v>57.3823487883</x:v>
      </x:c>
      <x:c r="M57" s="31" t="n">
        <x:v>0</x:v>
      </x:c>
      <x:c r="N57" s="24" t="str">
        <x:v>gadidae</x:v>
      </x:c>
      <x:c r="O57" s="32" t="n">
        <x:v>3.84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Gadidae</x:v>
      </x:c>
      <x:c r="T57" s="32" t="n">
        <x:f>IF(O57="","",(1/'Metadata'!$B$5)^(O57-1))</x:f>
        <x:v>691.8309709189363</x:v>
      </x:c>
      <x:c r="U57" s="31" t="n">
        <x:f>IF(T57="","",I57*T57)</x:f>
        <x:v>39698.886075818635</x:v>
      </x:c>
    </x:row>
    <x:row r="58" ht="18" customHeight="1">
      <x:c r="A58" s="24" t="str">
        <x:v>EEZ_032</x:v>
      </x:c>
      <x:c r="B58" s="24" t="str">
        <x:v>Argentina</x:v>
      </x:c>
      <x:c r="C58" s="24" t="str">
        <x:v>EEZ</x:v>
      </x:c>
      <x:c r="D58" s="30" t="n">
        <x:v>2019</x:v>
      </x:c>
      <x:c r="E58" s="24" t="str">
        <x:v>Doryteuthis gahi</x:v>
      </x:c>
      <x:c r="F58" s="24" t="str">
        <x:v>Patagonian squid</x:v>
      </x:c>
      <x:c r="G58" s="24" t="str">
        <x:v>Cephalopods</x:v>
      </x:c>
      <x:c r="H58" s="24" t="str">
        <x:v>Other fishes &amp; inverts</x:v>
      </x:c>
      <x:c r="I58" s="31" t="n">
        <x:v>42.91345625</x:v>
      </x:c>
      <x:c r="J58" s="31" t="n">
        <x:v>42.91345625</x:v>
      </x:c>
      <x:c r="K58" s="31" t="n">
        <x:v>0</x:v>
      </x:c>
      <x:c r="L58" s="31" t="n">
        <x:v>29</x:v>
      </x:c>
      <x:c r="M58" s="31" t="n">
        <x:v>13.91345625</x:v>
      </x:c>
      <x:c r="N58" s="24" t="str">
        <x:v>doryteuthis gahi</x:v>
      </x:c>
      <x:c r="O58" s="32" t="n">
        <x:v>3.2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Doryteuthis gahi</x:v>
      </x:c>
      <x:c r="T58" s="32" t="n">
        <x:f>IF(O58="","",(1/'Metadata'!$B$5)^(O58-1))</x:f>
        <x:v>158.48931924611142</x:v>
      </x:c>
      <x:c r="U58" s="31" t="n">
        <x:f>IF(T58="","",I58*T58)</x:f>
        <x:v>6801.3244675602855</x:v>
      </x:c>
    </x:row>
    <x:row r="59" ht="18" customHeight="1">
      <x:c r="A59" s="24" t="str">
        <x:v>EEZ_032</x:v>
      </x:c>
      <x:c r="B59" s="24" t="str">
        <x:v>Argentina</x:v>
      </x:c>
      <x:c r="C59" s="24" t="str">
        <x:v>EEZ</x:v>
      </x:c>
      <x:c r="D59" s="30" t="n">
        <x:v>2019</x:v>
      </x:c>
      <x:c r="E59" s="24" t="str">
        <x:v>Scomber</x:v>
      </x:c>
      <x:c r="F59" s="24" t="str">
        <x:v>Chub mackerels</x:v>
      </x:c>
      <x:c r="G59" s="24" t="str">
        <x:v>Medium pelagics (30 - 89 cm)</x:v>
      </x:c>
      <x:c r="H59" s="24" t="str">
        <x:v>Perch-likes</x:v>
      </x:c>
      <x:c r="I59" s="31" t="n">
        <x:v>33.0458830368</x:v>
      </x:c>
      <x:c r="J59" s="31" t="n">
        <x:v>33.0458830368</x:v>
      </x:c>
      <x:c r="K59" s="31" t="n">
        <x:v>0</x:v>
      </x:c>
      <x:c r="L59" s="31" t="n">
        <x:v>33.0458830368</x:v>
      </x:c>
      <x:c r="M59" s="31" t="n">
        <x:v>0</x:v>
      </x:c>
      <x:c r="N59" s="24" t="str">
        <x:v>scomber</x:v>
      </x:c>
      <x:c r="O59" s="32" t="n">
        <x:v>3.65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Scomber</x:v>
      </x:c>
      <x:c r="T59" s="32" t="n">
        <x:f>IF(O59="","",(1/'Metadata'!$B$5)^(O59-1))</x:f>
        <x:v>446.683592150963</x:v>
      </x:c>
      <x:c r="U59" s="31" t="n">
        <x:f>IF(T59="","",I59*T59)</x:f>
        <x:v>14761.053740678399</x:v>
      </x:c>
    </x:row>
    <x:row r="60" ht="18" customHeight="1">
      <x:c r="A60" s="24" t="str">
        <x:v>EEZ_032</x:v>
      </x:c>
      <x:c r="B60" s="24" t="str">
        <x:v>Argentina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33.0385771951</x:v>
      </x:c>
      <x:c r="J60" s="31" t="n">
        <x:v>33.0385771951</x:v>
      </x:c>
      <x:c r="K60" s="31" t="n">
        <x:v>0</x:v>
      </x:c>
      <x:c r="L60" s="31" t="n">
        <x:v>33.0385771951</x:v>
      </x:c>
      <x:c r="M60" s="31" t="n">
        <x:v>0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104477.1545878132</x:v>
      </x:c>
    </x:row>
    <x:row r="61" ht="18" customHeight="1">
      <x:c r="A61" s="24" t="str">
        <x:v>EEZ_032</x:v>
      </x:c>
      <x:c r="B61" s="24" t="str">
        <x:v>Argentina</x:v>
      </x:c>
      <x:c r="C61" s="24" t="str">
        <x:v>EEZ</x:v>
      </x:c>
      <x:c r="D61" s="30" t="n">
        <x:v>2019</x:v>
      </x:c>
      <x:c r="E61" s="24" t="str">
        <x:v>Polyprion americanus</x:v>
      </x:c>
      <x:c r="F61" s="24" t="str">
        <x:v>Wreckfish</x:v>
      </x:c>
      <x:c r="G61" s="24" t="str">
        <x:v>Large bathydemersals (&gt;=90 cm)</x:v>
      </x:c>
      <x:c r="H61" s="24" t="str">
        <x:v>Perch-likes</x:v>
      </x:c>
      <x:c r="I61" s="31" t="n">
        <x:v>31.9840644797</x:v>
      </x:c>
      <x:c r="J61" s="31" t="n">
        <x:v>22.000000000700002</x:v>
      </x:c>
      <x:c r="K61" s="31" t="n">
        <x:v>9.984064479</x:v>
      </x:c>
      <x:c r="L61" s="31" t="n">
        <x:v>22.000000000700002</x:v>
      </x:c>
      <x:c r="M61" s="31" t="n">
        <x:v>9.984064479</x:v>
      </x:c>
      <x:c r="N61" s="24" t="str">
        <x:v>polyprion americanus</x:v>
      </x:c>
      <x:c r="O61" s="32" t="n">
        <x:v>4.14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Polyprion americanus</x:v>
      </x:c>
      <x:c r="T61" s="32" t="n">
        <x:f>IF(O61="","",(1/'Metadata'!$B$5)^(O61-1))</x:f>
        <x:v>1380.3842646028838</x:v>
      </x:c>
      <x:c r="U61" s="31" t="n">
        <x:f>IF(T61="","",I61*T61)</x:f>
        <x:v>44150.2993258219</x:v>
      </x:c>
    </x:row>
    <x:row r="62" ht="18" customHeight="1">
      <x:c r="A62" s="24" t="str">
        <x:v>EEZ_032</x:v>
      </x:c>
      <x:c r="B62" s="24" t="str">
        <x:v>Argentina</x:v>
      </x:c>
      <x:c r="C62" s="24" t="str">
        <x:v>EEZ</x:v>
      </x:c>
      <x:c r="D62" s="30" t="n">
        <x:v>2019</x:v>
      </x:c>
      <x:c r="E62" s="24" t="str">
        <x:v>Aulacomya atra</x:v>
      </x:c>
      <x:c r="F62" s="24" t="str">
        <x:v>Chilean ribbed mussel</x:v>
      </x:c>
      <x:c r="G62" s="24" t="str">
        <x:v>Other demersal invertebrates</x:v>
      </x:c>
      <x:c r="H62" s="24" t="str">
        <x:v>Molluscs</x:v>
      </x:c>
      <x:c r="I62" s="31" t="n">
        <x:v>25</x:v>
      </x:c>
      <x:c r="J62" s="31" t="n">
        <x:v>25</x:v>
      </x:c>
      <x:c r="K62" s="31" t="n">
        <x:v>0</x:v>
      </x:c>
      <x:c r="L62" s="31" t="n">
        <x:v>25</x:v>
      </x:c>
      <x:c r="M62" s="31" t="n">
        <x:v>0</x:v>
      </x:c>
      <x:c r="N62" s="24" t="str">
        <x:v>aulacomya atra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Aulacomya atra</x:v>
      </x:c>
      <x:c r="T62" s="32" t="n">
        <x:f>IF(O62="","",(1/'Metadata'!$B$5)^(O62-1))</x:f>
        <x:v>10</x:v>
      </x:c>
      <x:c r="U62" s="31" t="n">
        <x:f>IF(T62="","",I62*T62)</x:f>
        <x:v>250</x:v>
      </x:c>
    </x:row>
    <x:row r="63" ht="18" customHeight="1">
      <x:c r="A63" s="24" t="str">
        <x:v>EEZ_032</x:v>
      </x:c>
      <x:c r="B63" s="24" t="str">
        <x:v>Argentina</x:v>
      </x:c>
      <x:c r="C63" s="24" t="str">
        <x:v>EEZ</x:v>
      </x:c>
      <x:c r="D63" s="30" t="n">
        <x:v>2019</x:v>
      </x:c>
      <x:c r="E63" s="24" t="str">
        <x:v>Rioraja agassizii</x:v>
      </x:c>
      <x:c r="F63" s="24" t="str">
        <x:v>Rio skate</x:v>
      </x:c>
      <x:c r="G63" s="24" t="str">
        <x:v>Small to medium rays (&lt;90 cm)</x:v>
      </x:c>
      <x:c r="H63" s="24" t="str">
        <x:v>Sharks &amp; rays</x:v>
      </x:c>
      <x:c r="I63" s="31" t="n">
        <x:v>23.999999998</x:v>
      </x:c>
      <x:c r="J63" s="31" t="n">
        <x:v>23.999999998</x:v>
      </x:c>
      <x:c r="K63" s="31" t="n">
        <x:v>0</x:v>
      </x:c>
      <x:c r="L63" s="31" t="n">
        <x:v>23.999999998</x:v>
      </x:c>
      <x:c r="M63" s="31" t="n">
        <x:v>0</x:v>
      </x:c>
      <x:c r="N63" s="24" t="str">
        <x:v>rioraja agassizii</x:v>
      </x:c>
      <x:c r="O63" s="32" t="n">
        <x:v>3.55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Rioraja agassizii</x:v>
      </x:c>
      <x:c r="T63" s="32" t="n">
        <x:f>IF(O63="","",(1/'Metadata'!$B$5)^(O63-1))</x:f>
        <x:v>354.8133892335753</x:v>
      </x:c>
      <x:c r="U63" s="31" t="n">
        <x:f>IF(T63="","",I63*T63)</x:f>
        <x:v>8515.52134089618</x:v>
      </x:c>
    </x:row>
    <x:row r="64" ht="18" customHeight="1">
      <x:c r="A64" s="24" t="str">
        <x:v>EEZ_032</x:v>
      </x:c>
      <x:c r="B64" s="24" t="str">
        <x:v>Argentina</x:v>
      </x:c>
      <x:c r="C64" s="24" t="str">
        <x:v>EEZ</x:v>
      </x:c>
      <x:c r="D64" s="30" t="n">
        <x:v>2019</x:v>
      </x:c>
      <x:c r="E64" s="24" t="str">
        <x:v>Hyperoglyphe</x:v>
      </x:c>
      <x:c r="F64" s="24" t="str">
        <x:v>Warehous, barrelfishes</x:v>
      </x:c>
      <x:c r="G64" s="24" t="str">
        <x:v>Medium pelagics (30 - 89 cm)</x:v>
      </x:c>
      <x:c r="H64" s="24" t="str">
        <x:v>Perch-likes</x:v>
      </x:c>
      <x:c r="I64" s="31" t="n">
        <x:v>20.3384581532</x:v>
      </x:c>
      <x:c r="J64" s="31" t="n">
        <x:v>20.3384581532</x:v>
      </x:c>
      <x:c r="K64" s="31" t="n">
        <x:v>0</x:v>
      </x:c>
      <x:c r="L64" s="31" t="n">
        <x:v>20.3384581532</x:v>
      </x:c>
      <x:c r="M64" s="31" t="n">
        <x:v>0</x:v>
      </x:c>
      <x:c r="N64" s="24" t="str">
        <x:v>hyperoglyphe</x:v>
      </x:c>
      <x:c r="O64" s="32" t="n">
        <x:v>3.71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Hyperoglyphe</x:v>
      </x:c>
      <x:c r="T64" s="32" t="n">
        <x:f>IF(O64="","",(1/'Metadata'!$B$5)^(O64-1))</x:f>
        <x:v>512.8613839913648</x:v>
      </x:c>
      <x:c r="U64" s="31" t="n">
        <x:f>IF(T64="","",I64*T64)</x:f>
        <x:v>10430.80979670061</x:v>
      </x:c>
    </x:row>
    <x:row r="65" ht="18" customHeight="1">
      <x:c r="A65" s="24" t="str">
        <x:v>EEZ_032</x:v>
      </x:c>
      <x:c r="B65" s="24" t="str">
        <x:v>Argentina</x:v>
      </x:c>
      <x:c r="C65" s="24" t="str">
        <x:v>EEZ</x:v>
      </x:c>
      <x:c r="D65" s="30" t="n">
        <x:v>2019</x:v>
      </x:c>
      <x:c r="E65" s="24" t="str">
        <x:v>Lithodes santolla</x:v>
      </x:c>
      <x:c r="F65" s="24" t="str">
        <x:v>Southern king crab</x:v>
      </x:c>
      <x:c r="G65" s="24" t="str">
        <x:v>Lobsters, crabs</x:v>
      </x:c>
      <x:c r="H65" s="24" t="str">
        <x:v>Crustaceans</x:v>
      </x:c>
      <x:c r="I65" s="31" t="n">
        <x:v>13.40337849</x:v>
      </x:c>
      <x:c r="J65" s="31" t="n">
        <x:v>0</x:v>
      </x:c>
      <x:c r="K65" s="31" t="n">
        <x:v>13.40337849</x:v>
      </x:c>
      <x:c r="L65" s="31" t="n">
        <x:v>0</x:v>
      </x:c>
      <x:c r="M65" s="31" t="n">
        <x:v>13.40337849</x:v>
      </x:c>
      <x:c r="N65" s="24" t="str">
        <x:v>lithodes santolla</x:v>
      </x:c>
      <x:c r="O65" s="32" t="n">
        <x:v>2.5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Lithodes santolla</x:v>
      </x:c>
      <x:c r="T65" s="32" t="n">
        <x:f>IF(O65="","",(1/'Metadata'!$B$5)^(O65-1))</x:f>
        <x:v>31.622776601683793</x:v>
      </x:c>
      <x:c r="U65" s="31" t="n">
        <x:f>IF(T65="","",I65*T65)</x:f>
        <x:v>423.85204369708384</x:v>
      </x:c>
    </x:row>
    <x:row r="66" ht="18" customHeight="1">
      <x:c r="A66" s="24" t="str">
        <x:v>EEZ_032</x:v>
      </x:c>
      <x:c r="B66" s="24" t="str">
        <x:v>Argentina</x:v>
      </x:c>
      <x:c r="C66" s="24" t="str">
        <x:v>EEZ</x:v>
      </x:c>
      <x:c r="D66" s="30" t="n">
        <x:v>2019</x:v>
      </x:c>
      <x:c r="E66" s="24" t="str">
        <x:v>Isurus oxyrinchus</x:v>
      </x:c>
      <x:c r="F66" s="24" t="str">
        <x:v>Shortfin mako</x:v>
      </x:c>
      <x:c r="G66" s="24" t="str">
        <x:v>Large sharks (&gt;=90 cm)</x:v>
      </x:c>
      <x:c r="H66" s="24" t="str">
        <x:v>Sharks &amp; rays</x:v>
      </x:c>
      <x:c r="I66" s="31" t="n">
        <x:v>12.4917448337</x:v>
      </x:c>
      <x:c r="J66" s="31" t="n">
        <x:v>11.8207448337</x:v>
      </x:c>
      <x:c r="K66" s="31" t="n">
        <x:v>0.671</x:v>
      </x:c>
      <x:c r="L66" s="31" t="n">
        <x:v>11.8207448337</x:v>
      </x:c>
      <x:c r="M66" s="31" t="n">
        <x:v>0.671</x:v>
      </x:c>
      <x:c r="N66" s="24" t="str">
        <x:v>isurus oxyrinchus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Isurus oxyrinchus</x:v>
      </x:c>
      <x:c r="T66" s="32" t="n">
        <x:f>IF(O66="","",(1/'Metadata'!$B$5)^(O66-1))</x:f>
        <x:v>3162.2776601683795</x:v>
      </x:c>
      <x:c r="U66" s="31" t="n">
        <x:f>IF(T66="","",I66*T66)</x:f>
        <x:v>39502.36562413328</x:v>
      </x:c>
    </x:row>
    <x:row r="67" ht="18" customHeight="1">
      <x:c r="A67" s="24" t="str">
        <x:v>EEZ_032</x:v>
      </x:c>
      <x:c r="B67" s="24" t="str">
        <x:v>Argentina</x:v>
      </x:c>
      <x:c r="C67" s="24" t="str">
        <x:v>EEZ</x:v>
      </x:c>
      <x:c r="D67" s="30" t="n">
        <x:v>2019</x:v>
      </x:c>
      <x:c r="E67" s="24" t="str">
        <x:v>Eleginops maclovinus</x:v>
      </x:c>
      <x:c r="F67" s="24" t="str">
        <x:v>Patagonian blennie</x:v>
      </x:c>
      <x:c r="G67" s="24" t="str">
        <x:v>Medium benthopelagics (30 - 89 cm)</x:v>
      </x:c>
      <x:c r="H67" s="24" t="str">
        <x:v>Perch-likes</x:v>
      </x:c>
      <x:c r="I67" s="31" t="n">
        <x:v>9</x:v>
      </x:c>
      <x:c r="J67" s="31" t="n">
        <x:v>9</x:v>
      </x:c>
      <x:c r="K67" s="31" t="n">
        <x:v>0</x:v>
      </x:c>
      <x:c r="L67" s="31" t="n">
        <x:v>9</x:v>
      </x:c>
      <x:c r="M67" s="31" t="n">
        <x:v>0</x:v>
      </x:c>
      <x:c r="N67" s="24" t="str">
        <x:v>eleginops maclovinus</x:v>
      </x:c>
      <x:c r="O67" s="32" t="n">
        <x:v>3.27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Eleginops maclovinus</x:v>
      </x:c>
      <x:c r="T67" s="32" t="n">
        <x:f>IF(O67="","",(1/'Metadata'!$B$5)^(O67-1))</x:f>
        <x:v>186.20871366628674</x:v>
      </x:c>
      <x:c r="U67" s="31" t="n">
        <x:f>IF(T67="","",I67*T67)</x:f>
        <x:v>1675.8784229965806</x:v>
      </x:c>
    </x:row>
    <x:row r="68" ht="18" customHeight="1">
      <x:c r="A68" s="24" t="str">
        <x:v>EEZ_032</x:v>
      </x:c>
      <x:c r="B68" s="24" t="str">
        <x:v>Argentina</x:v>
      </x:c>
      <x:c r="C68" s="24" t="str">
        <x:v>EEZ</x:v>
      </x:c>
      <x:c r="D68" s="30" t="n">
        <x:v>2019</x:v>
      </x:c>
      <x:c r="E68" s="24" t="str">
        <x:v>Atlantoraja cyclophora</x:v>
      </x:c>
      <x:c r="F68" s="24" t="str">
        <x:v>Eyespot skate</x:v>
      </x:c>
      <x:c r="G68" s="24" t="str">
        <x:v>Small to medium rays (&lt;90 cm)</x:v>
      </x:c>
      <x:c r="H68" s="24" t="str">
        <x:v>Sharks &amp; rays</x:v>
      </x:c>
      <x:c r="I68" s="31" t="n">
        <x:v>8</x:v>
      </x:c>
      <x:c r="J68" s="31" t="n">
        <x:v>8</x:v>
      </x:c>
      <x:c r="K68" s="31" t="n">
        <x:v>0</x:v>
      </x:c>
      <x:c r="L68" s="31" t="n">
        <x:v>8</x:v>
      </x:c>
      <x:c r="M68" s="31" t="n">
        <x:v>0</x:v>
      </x:c>
      <x:c r="N68" s="24" t="str">
        <x:v>atlantoraja cyclophora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Atlantoraja cyclophora</x:v>
      </x:c>
      <x:c r="T68" s="32" t="n">
        <x:f>IF(O68="","",(1/'Metadata'!$B$5)^(O68-1))</x:f>
        <x:v>316.22776601683796</x:v>
      </x:c>
      <x:c r="U68" s="31" t="n">
        <x:f>IF(T68="","",I68*T68)</x:f>
        <x:v>2529.8221281347037</x:v>
      </x:c>
    </x:row>
    <x:row r="69" ht="18" customHeight="1">
      <x:c r="A69" s="24" t="str">
        <x:v>EEZ_032</x:v>
      </x:c>
      <x:c r="B69" s="24" t="str">
        <x:v>Argentina</x:v>
      </x:c>
      <x:c r="C69" s="24" t="str">
        <x:v>EEZ</x:v>
      </x:c>
      <x:c r="D69" s="30" t="n">
        <x:v>2019</x:v>
      </x:c>
      <x:c r="E69" s="24" t="str">
        <x:v>Zidona dufresnei</x:v>
      </x:c>
      <x:c r="F69" s="24" t="str">
        <x:v>Angulate volute</x:v>
      </x:c>
      <x:c r="G69" s="24" t="str">
        <x:v>Other demersal invertebrates</x:v>
      </x:c>
      <x:c r="H69" s="24" t="str">
        <x:v>Molluscs</x:v>
      </x:c>
      <x:c r="I69" s="31" t="n">
        <x:v>6.305724934</x:v>
      </x:c>
      <x:c r="J69" s="31" t="n">
        <x:v>0</x:v>
      </x:c>
      <x:c r="K69" s="31" t="n">
        <x:v>6.305724934</x:v>
      </x:c>
      <x:c r="L69" s="31" t="n">
        <x:v>0</x:v>
      </x:c>
      <x:c r="M69" s="31" t="n">
        <x:v>6.305724934</x:v>
      </x:c>
      <x:c r="N69" s="24" t="str">
        <x:v>zidona dufresnei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Zidona dufresnei</x:v>
      </x:c>
      <x:c r="T69" s="32" t="n">
        <x:f>IF(O69="","",(1/'Metadata'!$B$5)^(O69-1))</x:f>
        <x:v>10</x:v>
      </x:c>
      <x:c r="U69" s="31" t="n">
        <x:f>IF(T69="","",I69*T69)</x:f>
        <x:v>63.05724934</x:v>
      </x:c>
    </x:row>
    <x:row r="70" ht="18" customHeight="1">
      <x:c r="A70" s="24" t="str">
        <x:v>EEZ_032</x:v>
      </x:c>
      <x:c r="B70" s="24" t="str">
        <x:v>Argentina</x:v>
      </x:c>
      <x:c r="C70" s="24" t="str">
        <x:v>EEZ</x:v>
      </x:c>
      <x:c r="D70" s="30" t="n">
        <x:v>2019</x:v>
      </x:c>
      <x:c r="E70" s="24" t="str">
        <x:v>Conger orbignianus</x:v>
      </x:c>
      <x:c r="F70" s="24" t="str">
        <x:v>Argentine conger</x:v>
      </x:c>
      <x:c r="G70" s="24" t="str">
        <x:v>Large demersals (&gt;=90 cm)</x:v>
      </x:c>
      <x:c r="H70" s="24" t="str">
        <x:v>Other fishes &amp; inverts</x:v>
      </x:c>
      <x:c r="I70" s="31" t="n">
        <x:v>6</x:v>
      </x:c>
      <x:c r="J70" s="31" t="n">
        <x:v>6</x:v>
      </x:c>
      <x:c r="K70" s="31" t="n">
        <x:v>0</x:v>
      </x:c>
      <x:c r="L70" s="31" t="n">
        <x:v>6</x:v>
      </x:c>
      <x:c r="M70" s="31" t="n">
        <x:v>0</x:v>
      </x:c>
      <x:c r="N70" s="24" t="str">
        <x:v>conger orbignianus</x:v>
      </x:c>
      <x:c r="O70" s="32" t="n">
        <x:v>3.72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Conger orbignianus</x:v>
      </x:c>
      <x:c r="T70" s="32" t="n">
        <x:f>IF(O70="","",(1/'Metadata'!$B$5)^(O70-1))</x:f>
        <x:v>524.8074602497728</x:v>
      </x:c>
      <x:c r="U70" s="31" t="n">
        <x:f>IF(T70="","",I70*T70)</x:f>
        <x:v>3148.844761498637</x:v>
      </x:c>
    </x:row>
    <x:row r="71" ht="18" customHeight="1">
      <x:c r="A71" s="24" t="str">
        <x:v>EEZ_032</x:v>
      </x:c>
      <x:c r="B71" s="24" t="str">
        <x:v>Argentina</x:v>
      </x:c>
      <x:c r="C71" s="24" t="str">
        <x:v>EEZ</x:v>
      </x:c>
      <x:c r="D71" s="30" t="n">
        <x:v>2019</x:v>
      </x:c>
      <x:c r="E71" s="24" t="str">
        <x:v>Scombridae</x:v>
      </x:c>
      <x:c r="F71" s="24" t="str">
        <x:v>Mackerels, tunas, bonitos</x:v>
      </x:c>
      <x:c r="G71" s="24" t="str">
        <x:v>Medium pelagics (30 - 89 cm)</x:v>
      </x:c>
      <x:c r="H71" s="24" t="str">
        <x:v>Perch-likes</x:v>
      </x:c>
      <x:c r="I71" s="31" t="n">
        <x:v>5.0273422603</x:v>
      </x:c>
      <x:c r="J71" s="31" t="n">
        <x:v>5.0273422603</x:v>
      </x:c>
      <x:c r="K71" s="31" t="n">
        <x:v>0</x:v>
      </x:c>
      <x:c r="L71" s="31" t="n">
        <x:v>5.0273422603</x:v>
      </x:c>
      <x:c r="M71" s="31" t="n">
        <x:v>0</x:v>
      </x:c>
      <x:c r="N71" s="24" t="str">
        <x:v>scombridae</x:v>
      </x:c>
      <x:c r="O71" s="32" t="n">
        <x:v>4.26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Scombridae</x:v>
      </x:c>
      <x:c r="T71" s="32" t="n">
        <x:f>IF(O71="","",(1/'Metadata'!$B$5)^(O71-1))</x:f>
        <x:v>1819.7008586099826</x:v>
      </x:c>
      <x:c r="U71" s="31" t="n">
        <x:f>IF(T71="","",I71*T71)</x:f>
        <x:v>9148.25902759416</x:v>
      </x:c>
    </x:row>
    <x:row r="72" ht="18" customHeight="1">
      <x:c r="A72" s="24" t="str">
        <x:v>EEZ_032</x:v>
      </x:c>
      <x:c r="B72" s="24" t="str">
        <x:v>Argentina</x:v>
      </x:c>
      <x:c r="C72" s="24" t="str">
        <x:v>EEZ</x:v>
      </x:c>
      <x:c r="D72" s="30" t="n">
        <x:v>2019</x:v>
      </x:c>
      <x:c r="E72" s="24" t="str">
        <x:v>Seriola lalandi</x:v>
      </x:c>
      <x:c r="F72" s="24" t="str">
        <x:v>Yellowtail amberjack</x:v>
      </x:c>
      <x:c r="G72" s="24" t="str">
        <x:v>Large benthopelagics (&gt;=90 cm)</x:v>
      </x:c>
      <x:c r="H72" s="24" t="str">
        <x:v>Perch-likes</x:v>
      </x:c>
      <x:c r="I72" s="31" t="n">
        <x:v>3.5254770779999998</x:v>
      </x:c>
      <x:c r="J72" s="31" t="n">
        <x:v>3</x:v>
      </x:c>
      <x:c r="K72" s="31" t="n">
        <x:v>0.525477078</x:v>
      </x:c>
      <x:c r="L72" s="31" t="n">
        <x:v>3</x:v>
      </x:c>
      <x:c r="M72" s="31" t="n">
        <x:v>0.525477078</x:v>
      </x:c>
      <x:c r="N72" s="24" t="str">
        <x:v>seriola lalandi</x:v>
      </x:c>
      <x:c r="O72" s="32" t="n">
        <x:v>4.16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Seriola lalandi</x:v>
      </x:c>
      <x:c r="T72" s="32" t="n">
        <x:f>IF(O72="","",(1/'Metadata'!$B$5)^(O72-1))</x:f>
        <x:v>1445.439770745928</x:v>
      </x:c>
      <x:c r="U72" s="31" t="n">
        <x:f>IF(T72="","",I72*T72)</x:f>
        <x:v>5095.864779394344</x:v>
      </x:c>
    </x:row>
    <x:row r="73" ht="18" customHeight="1">
      <x:c r="A73" s="24" t="str">
        <x:v>EEZ_032</x:v>
      </x:c>
      <x:c r="B73" s="24" t="str">
        <x:v>Argentina</x:v>
      </x:c>
      <x:c r="C73" s="24" t="str">
        <x:v>EEZ</x:v>
      </x:c>
      <x:c r="D73" s="30" t="n">
        <x:v>2019</x:v>
      </x:c>
      <x:c r="E73" s="24" t="str">
        <x:v>Trachurus lathami</x:v>
      </x:c>
      <x:c r="F73" s="24" t="str">
        <x:v>Rough scad</x:v>
      </x:c>
      <x:c r="G73" s="24" t="str">
        <x:v>Medium benthopelagics (30 - 89 cm)</x:v>
      </x:c>
      <x:c r="H73" s="24" t="str">
        <x:v>Perch-likes</x:v>
      </x:c>
      <x:c r="I73" s="31" t="n">
        <x:v>3</x:v>
      </x:c>
      <x:c r="J73" s="31" t="n">
        <x:v>3</x:v>
      </x:c>
      <x:c r="K73" s="31" t="n">
        <x:v>0</x:v>
      </x:c>
      <x:c r="L73" s="31" t="n">
        <x:v>3</x:v>
      </x:c>
      <x:c r="M73" s="31" t="n">
        <x:v>0</x:v>
      </x:c>
      <x:c r="N73" s="24" t="str">
        <x:v>trachurus lathami</x:v>
      </x:c>
      <x:c r="O73" s="32" t="n">
        <x:v>3.99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Trachurus lathami</x:v>
      </x:c>
      <x:c r="T73" s="32" t="n">
        <x:f>IF(O73="","",(1/'Metadata'!$B$5)^(O73-1))</x:f>
        <x:v>977.2372209558112</x:v>
      </x:c>
      <x:c r="U73" s="31" t="n">
        <x:f>IF(T73="","",I73*T73)</x:f>
        <x:v>2931.7116628674335</x:v>
      </x:c>
    </x:row>
    <x:row r="74" ht="18" customHeight="1">
      <x:c r="A74" s="24" t="str">
        <x:v>EEZ_032</x:v>
      </x:c>
      <x:c r="B74" s="24" t="str">
        <x:v>Argentina</x:v>
      </x:c>
      <x:c r="C74" s="24" t="str">
        <x:v>EEZ</x:v>
      </x:c>
      <x:c r="D74" s="30" t="n">
        <x:v>2019</x:v>
      </x:c>
      <x:c r="E74" s="24" t="str">
        <x:v>Squalus acanthias</x:v>
      </x:c>
      <x:c r="F74" s="24" t="str">
        <x:v>Picked dogfish</x:v>
      </x:c>
      <x:c r="G74" s="24" t="str">
        <x:v>Large sharks (&gt;=90 cm)</x:v>
      </x:c>
      <x:c r="H74" s="24" t="str">
        <x:v>Sharks &amp; rays</x:v>
      </x:c>
      <x:c r="I74" s="31" t="n">
        <x:v>3</x:v>
      </x:c>
      <x:c r="J74" s="31" t="n">
        <x:v>3</x:v>
      </x:c>
      <x:c r="K74" s="31" t="n">
        <x:v>0</x:v>
      </x:c>
      <x:c r="L74" s="31" t="n">
        <x:v>3</x:v>
      </x:c>
      <x:c r="M74" s="31" t="n">
        <x:v>0</x:v>
      </x:c>
      <x:c r="N74" s="24" t="str">
        <x:v>squalus acanthias</x:v>
      </x:c>
      <x:c r="O74" s="32" t="n">
        <x:v>4.37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Squalus acanthias</x:v>
      </x:c>
      <x:c r="T74" s="32" t="n">
        <x:f>IF(O74="","",(1/'Metadata'!$B$5)^(O74-1))</x:f>
        <x:v>2344.228815319923</x:v>
      </x:c>
      <x:c r="U74" s="31" t="n">
        <x:f>IF(T74="","",I74*T74)</x:f>
        <x:v>7032.686445959769</x:v>
      </x:c>
    </x:row>
    <x:row r="75" ht="18" customHeight="1">
      <x:c r="A75" s="24" t="str">
        <x:v>EEZ_032</x:v>
      </x:c>
      <x:c r="B75" s="24" t="str">
        <x:v>Argentina</x:v>
      </x:c>
      <x:c r="C75" s="24" t="str">
        <x:v>EEZ</x:v>
      </x:c>
      <x:c r="D75" s="30" t="n">
        <x:v>2019</x:v>
      </x:c>
      <x:c r="E75" s="24" t="str">
        <x:v>Thyrsites atun</x:v>
      </x:c>
      <x:c r="F75" s="24" t="str">
        <x:v>Snoek</x:v>
      </x:c>
      <x:c r="G75" s="24" t="str">
        <x:v>Large benthopelagics (&gt;=90 cm)</x:v>
      </x:c>
      <x:c r="H75" s="24" t="str">
        <x:v>Perch-likes</x:v>
      </x:c>
      <x:c r="I75" s="31" t="n">
        <x:v>3</x:v>
      </x:c>
      <x:c r="J75" s="31" t="n">
        <x:v>3</x:v>
      </x:c>
      <x:c r="K75" s="31" t="n">
        <x:v>0</x:v>
      </x:c>
      <x:c r="L75" s="31" t="n">
        <x:v>3</x:v>
      </x:c>
      <x:c r="M75" s="31" t="n">
        <x:v>0</x:v>
      </x:c>
      <x:c r="N75" s="24" t="str">
        <x:v>thyrsites atun</x:v>
      </x:c>
      <x:c r="O75" s="32" t="n">
        <x:v>3.63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Thyrsites atun</x:v>
      </x:c>
      <x:c r="T75" s="32" t="n">
        <x:f>IF(O75="","",(1/'Metadata'!$B$5)^(O75-1))</x:f>
        <x:v>426.57951880159254</x:v>
      </x:c>
      <x:c r="U75" s="31" t="n">
        <x:f>IF(T75="","",I75*T75)</x:f>
        <x:v>1279.7385564047777</x:v>
      </x:c>
    </x:row>
    <x:row r="76" ht="18" customHeight="1">
      <x:c r="A76" s="24" t="str">
        <x:v>EEZ_032</x:v>
      </x:c>
      <x:c r="B76" s="24" t="str">
        <x:v>Argentina</x:v>
      </x:c>
      <x:c r="C76" s="24" t="str">
        <x:v>EEZ</x:v>
      </x:c>
      <x:c r="D76" s="30" t="n">
        <x:v>2019</x:v>
      </x:c>
      <x:c r="E76" s="24" t="str">
        <x:v>Myliobatidae</x:v>
      </x:c>
      <x:c r="F76" s="24" t="str">
        <x:v>Eagle/manta rays</x:v>
      </x:c>
      <x:c r="G76" s="24" t="str">
        <x:v>Large rays (&gt;=90 cm)</x:v>
      </x:c>
      <x:c r="H76" s="24" t="str">
        <x:v>Sharks &amp; rays</x:v>
      </x:c>
      <x:c r="I76" s="31" t="n">
        <x:v>2</x:v>
      </x:c>
      <x:c r="J76" s="31" t="n">
        <x:v>2</x:v>
      </x:c>
      <x:c r="K76" s="31" t="n">
        <x:v>0</x:v>
      </x:c>
      <x:c r="L76" s="31" t="n">
        <x:v>2</x:v>
      </x:c>
      <x:c r="M76" s="31" t="n">
        <x:v>0</x:v>
      </x:c>
      <x:c r="N76" s="24" t="str">
        <x:v>myliobatidae</x:v>
      </x:c>
      <x:c r="O76" s="32" t="n">
        <x:v>3.36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Myliobatidae</x:v>
      </x:c>
      <x:c r="T76" s="32" t="n">
        <x:f>IF(O76="","",(1/'Metadata'!$B$5)^(O76-1))</x:f>
        <x:v>229.08676527677724</x:v>
      </x:c>
      <x:c r="U76" s="31" t="n">
        <x:f>IF(T76="","",I76*T76)</x:f>
        <x:v>458.1735305535545</x:v>
      </x:c>
    </x:row>
    <x:row r="77" ht="18" customHeight="1">
      <x:c r="A77" s="24" t="str">
        <x:v>EEZ_032</x:v>
      </x:c>
      <x:c r="B77" s="24" t="str">
        <x:v>Argentina</x:v>
      </x:c>
      <x:c r="C77" s="24" t="str">
        <x:v>EEZ</x:v>
      </x:c>
      <x:c r="D77" s="30" t="n">
        <x:v>2019</x:v>
      </x:c>
      <x:c r="E77" s="24" t="str">
        <x:v>Bathyraja brachyurops</x:v>
      </x:c>
      <x:c r="F77" s="24" t="str">
        <x:v>Broadnose skate</x:v>
      </x:c>
      <x:c r="G77" s="24" t="str">
        <x:v>Small to medium rays (&lt;90 cm)</x:v>
      </x:c>
      <x:c r="H77" s="24" t="str">
        <x:v>Sharks &amp; rays</x:v>
      </x:c>
      <x:c r="I77" s="31" t="n">
        <x:v>2</x:v>
      </x:c>
      <x:c r="J77" s="31" t="n">
        <x:v>2</x:v>
      </x:c>
      <x:c r="K77" s="31" t="n">
        <x:v>0</x:v>
      </x:c>
      <x:c r="L77" s="31" t="n">
        <x:v>2</x:v>
      </x:c>
      <x:c r="M77" s="31" t="n">
        <x:v>0</x:v>
      </x:c>
      <x:c r="N77" s="24" t="str">
        <x:v>bathyraja brachyurops</x:v>
      </x:c>
      <x:c r="O77" s="32" t="n">
        <x:v>4.07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Bathyraja brachyurops</x:v>
      </x:c>
      <x:c r="T77" s="32" t="n">
        <x:f>IF(O77="","",(1/'Metadata'!$B$5)^(O77-1))</x:f>
        <x:v>1174.8975549395302</x:v>
      </x:c>
      <x:c r="U77" s="31" t="n">
        <x:f>IF(T77="","",I77*T77)</x:f>
        <x:v>2349.7951098790604</x:v>
      </x:c>
    </x:row>
    <x:row r="78" ht="18" customHeight="1">
      <x:c r="A78" s="24" t="str">
        <x:v>EEZ_032</x:v>
      </x:c>
      <x:c r="B78" s="24" t="str">
        <x:v>Argentina</x:v>
      </x:c>
      <x:c r="C78" s="24" t="str">
        <x:v>EEZ</x:v>
      </x:c>
      <x:c r="D78" s="30" t="n">
        <x:v>2019</x:v>
      </x:c>
      <x:c r="E78" s="24" t="str">
        <x:v>Carcharhinus brachyurus</x:v>
      </x:c>
      <x:c r="F78" s="24" t="str">
        <x:v>Copper shark</x:v>
      </x:c>
      <x:c r="G78" s="24" t="str">
        <x:v>Large sharks (&gt;=90 cm)</x:v>
      </x:c>
      <x:c r="H78" s="24" t="str">
        <x:v>Sharks &amp; rays</x:v>
      </x:c>
      <x:c r="I78" s="31" t="n">
        <x:v>1.4540321351</x:v>
      </x:c>
      <x:c r="J78" s="31" t="n">
        <x:v>1.4540321351</x:v>
      </x:c>
      <x:c r="K78" s="31" t="n">
        <x:v>0</x:v>
      </x:c>
      <x:c r="L78" s="31" t="n">
        <x:v>0</x:v>
      </x:c>
      <x:c r="M78" s="31" t="n">
        <x:v>1.4540321351</x:v>
      </x:c>
      <x:c r="N78" s="24" t="str">
        <x:v>carcharhinus brachyurus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Carcharhinus brachyurus</x:v>
      </x:c>
      <x:c r="T78" s="32" t="n">
        <x:f>IF(O78="","",(1/'Metadata'!$B$5)^(O78-1))</x:f>
        <x:v>3162.2776601683795</x:v>
      </x:c>
      <x:c r="U78" s="31" t="n">
        <x:f>IF(T78="","",I78*T78)</x:f>
        <x:v>4598.053337993661</x:v>
      </x:c>
    </x:row>
    <x:row r="79" ht="18" customHeight="1">
      <x:c r="A79" s="24" t="str">
        <x:v>EEZ_032</x:v>
      </x:c>
      <x:c r="B79" s="24" t="str">
        <x:v>Argentina</x:v>
      </x:c>
      <x:c r="C79" s="24" t="str">
        <x:v>EEZ</x:v>
      </x:c>
      <x:c r="D79" s="30" t="n">
        <x:v>2019</x:v>
      </x:c>
      <x:c r="E79" s="24" t="str">
        <x:v>Diplodus argenteus</x:v>
      </x:c>
      <x:c r="F79" s="24" t="str">
        <x:v>South American silver porgy</x:v>
      </x:c>
      <x:c r="G79" s="24" t="str">
        <x:v>Medium demersals (30 - 89 cm)</x:v>
      </x:c>
      <x:c r="H79" s="24" t="str">
        <x:v>Perch-likes</x:v>
      </x:c>
      <x:c r="I79" s="31" t="n">
        <x:v>1</x:v>
      </x:c>
      <x:c r="J79" s="31" t="n">
        <x:v>1</x:v>
      </x:c>
      <x:c r="K79" s="31" t="n">
        <x:v>0</x:v>
      </x:c>
      <x:c r="L79" s="31" t="n">
        <x:v>1</x:v>
      </x:c>
      <x:c r="M79" s="31" t="n">
        <x:v>0</x:v>
      </x:c>
      <x:c r="N79" s="24" t="str">
        <x:v>diplodus argenteus</x:v>
      </x:c>
      <x:c r="O79" s="32" t="n">
        <x:v>3.13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Diplodus argenteus</x:v>
      </x:c>
      <x:c r="T79" s="32" t="n">
        <x:f>IF(O79="","",(1/'Metadata'!$B$5)^(O79-1))</x:f>
        <x:v>134.89628825916532</x:v>
      </x:c>
      <x:c r="U79" s="31" t="n">
        <x:f>IF(T79="","",I79*T79)</x:f>
        <x:v>134.89628825916532</x:v>
      </x:c>
    </x:row>
    <x:row r="80" ht="18" customHeight="1">
      <x:c r="A80" s="24" t="str">
        <x:v>EEZ_032</x:v>
      </x:c>
      <x:c r="B80" s="24" t="str">
        <x:v>Argentina</x:v>
      </x:c>
      <x:c r="C80" s="24" t="str">
        <x:v>EEZ</x:v>
      </x:c>
      <x:c r="D80" s="30" t="n">
        <x:v>2019</x:v>
      </x:c>
      <x:c r="E80" s="24" t="str">
        <x:v>Atlantoraja castelnaui</x:v>
      </x:c>
      <x:c r="F80" s="24" t="str">
        <x:v>Spotback skate</x:v>
      </x:c>
      <x:c r="G80" s="24" t="str">
        <x:v>Large rays (&gt;=90 cm)</x:v>
      </x:c>
      <x:c r="H80" s="24" t="str">
        <x:v>Sharks &amp; rays</x:v>
      </x:c>
      <x:c r="I80" s="31" t="n">
        <x:v>1</x:v>
      </x:c>
      <x:c r="J80" s="31" t="n">
        <x:v>1</x:v>
      </x:c>
      <x:c r="K80" s="31" t="n">
        <x:v>0</x:v>
      </x:c>
      <x:c r="L80" s="31" t="n">
        <x:v>1</x:v>
      </x:c>
      <x:c r="M80" s="31" t="n">
        <x:v>0</x:v>
      </x:c>
      <x:c r="N80" s="24" t="str">
        <x:v>atlantoraja castelnaui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Atlantoraja castelnaui</x:v>
      </x:c>
      <x:c r="T80" s="32" t="n">
        <x:f>IF(O80="","",(1/'Metadata'!$B$5)^(O80-1))</x:f>
        <x:v>3162.2776601683795</x:v>
      </x:c>
      <x:c r="U80" s="31" t="n">
        <x:f>IF(T80="","",I80*T80)</x:f>
        <x:v>3162.2776601683795</x:v>
      </x:c>
    </x:row>
    <x:row r="81" ht="18" customHeight="1">
      <x:c r="A81" s="24" t="str">
        <x:v>EEZ_032</x:v>
      </x:c>
      <x:c r="B81" s="24" t="str">
        <x:v>Argentina</x:v>
      </x:c>
      <x:c r="C81" s="24" t="str">
        <x:v>EEZ</x:v>
      </x:c>
      <x:c r="D81" s="30" t="n">
        <x:v>2019</x:v>
      </x:c>
      <x:c r="E81" s="24" t="str">
        <x:v>Sympterygia acuta</x:v>
      </x:c>
      <x:c r="F81" s="24" t="str">
        <x:v>Bignose fanskate</x:v>
      </x:c>
      <x:c r="G81" s="24" t="str">
        <x:v>Large rays (&gt;=90 cm)</x:v>
      </x:c>
      <x:c r="H81" s="24" t="str">
        <x:v>Sharks &amp; rays</x:v>
      </x:c>
      <x:c r="I81" s="31" t="n">
        <x:v>1</x:v>
      </x:c>
      <x:c r="J81" s="31" t="n">
        <x:v>1</x:v>
      </x:c>
      <x:c r="K81" s="31" t="n">
        <x:v>0</x:v>
      </x:c>
      <x:c r="L81" s="31" t="n">
        <x:v>1</x:v>
      </x:c>
      <x:c r="M81" s="31" t="n">
        <x:v>0</x:v>
      </x:c>
      <x:c r="N81" s="24" t="str">
        <x:v>sympterygia acuta</x:v>
      </x:c>
      <x:c r="O81" s="32" t="n">
        <x:v>3.66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Sympterygia acuta</x:v>
      </x:c>
      <x:c r="T81" s="32" t="n">
        <x:f>IF(O81="","",(1/'Metadata'!$B$5)^(O81-1))</x:f>
        <x:v>457.0881896148752</x:v>
      </x:c>
      <x:c r="U81" s="31" t="n">
        <x:f>IF(T81="","",I81*T81)</x:f>
        <x:v>457.0881896148752</x:v>
      </x:c>
    </x:row>
    <x:row r="82" ht="18" customHeight="1">
      <x:c r="A82" s="24" t="str">
        <x:v>EEZ_032</x:v>
      </x:c>
      <x:c r="B82" s="24" t="str">
        <x:v>Argentina</x:v>
      </x:c>
      <x:c r="C82" s="24" t="str">
        <x:v>EEZ</x:v>
      </x:c>
      <x:c r="D82" s="30" t="n">
        <x:v>2019</x:v>
      </x:c>
      <x:c r="E82" s="24" t="str">
        <x:v>Cottoperca gobio</x:v>
      </x:c>
      <x:c r="F82" s="24" t="str">
        <x:v>Channel bull blenny</x:v>
      </x:c>
      <x:c r="G82" s="24" t="str">
        <x:v>Medium demersals (30 - 89 cm)</x:v>
      </x:c>
      <x:c r="H82" s="24" t="str">
        <x:v>Perch-likes</x:v>
      </x:c>
      <x:c r="I82" s="31" t="n">
        <x:v>0.9424385003</x:v>
      </x:c>
      <x:c r="J82" s="31" t="n">
        <x:v>0.9424385003</x:v>
      </x:c>
      <x:c r="K82" s="31" t="n">
        <x:v>0</x:v>
      </x:c>
      <x:c r="L82" s="31" t="n">
        <x:v>0.9424385003</x:v>
      </x:c>
      <x:c r="M82" s="31" t="n">
        <x:v>0</x:v>
      </x:c>
      <x:c r="N82" s="24" t="str">
        <x:v>cottoperca gobio</x:v>
      </x:c>
      <x:c r="O82" s="32" t="n">
        <x:v>4.26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Cottoperca gobio</x:v>
      </x:c>
      <x:c r="T82" s="32" t="n">
        <x:f>IF(O82="","",(1/'Metadata'!$B$5)^(O82-1))</x:f>
        <x:v>1819.7008586099826</x:v>
      </x:c>
      <x:c r="U82" s="31" t="n">
        <x:f>IF(T82="","",I82*T82)</x:f>
        <x:v>1714.9561481830142</x:v>
      </x:c>
    </x:row>
    <x:row r="83" ht="18" customHeight="1">
      <x:c r="A83" s="24" t="str">
        <x:v>EEZ_032</x:v>
      </x:c>
      <x:c r="B83" s="24" t="str">
        <x:v>Argentina</x:v>
      </x:c>
      <x:c r="C83" s="24" t="str">
        <x:v>EEZ</x:v>
      </x:c>
      <x:c r="D83" s="30" t="n">
        <x:v>2019</x:v>
      </x:c>
      <x:c r="E83" s="24" t="str">
        <x:v>Sparidae</x:v>
      </x:c>
      <x:c r="F83" s="24" t="str">
        <x:v>Porgies, seabreams</x:v>
      </x:c>
      <x:c r="G83" s="24" t="str">
        <x:v>Medium benthopelagics (30 - 89 cm)</x:v>
      </x:c>
      <x:c r="H83" s="24" t="str">
        <x:v>Perch-likes</x:v>
      </x:c>
      <x:c r="I83" s="31" t="n">
        <x:v>0.7913031456999999</x:v>
      </x:c>
      <x:c r="J83" s="31" t="n">
        <x:v>0.7913031456999999</x:v>
      </x:c>
      <x:c r="K83" s="31" t="n">
        <x:v>0</x:v>
      </x:c>
      <x:c r="L83" s="31" t="n">
        <x:v>0.7913031456999999</x:v>
      </x:c>
      <x:c r="M83" s="31" t="n">
        <x:v>0</x:v>
      </x:c>
      <x:c r="N83" s="24" t="str">
        <x:v>sparidae</x:v>
      </x:c>
      <x:c r="O83" s="32" t="n">
        <x:v>3.31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Sparidae</x:v>
      </x:c>
      <x:c r="T83" s="32" t="n">
        <x:f>IF(O83="","",(1/'Metadata'!$B$5)^(O83-1))</x:f>
        <x:v>204.17379446695296</x:v>
      </x:c>
      <x:c r="U83" s="31" t="n">
        <x:f>IF(T83="","",I83*T83)</x:f>
        <x:v>161.56336583120512</x:v>
      </x:c>
    </x:row>
    <x:row r="84" ht="18" customHeight="1">
      <x:c r="A84" s="24" t="str">
        <x:v>EEZ_032</x:v>
      </x:c>
      <x:c r="B84" s="24" t="str">
        <x:v>Argentina</x:v>
      </x:c>
      <x:c r="C84" s="24" t="str">
        <x:v>EEZ</x:v>
      </x:c>
      <x:c r="D84" s="30" t="n">
        <x:v>2019</x:v>
      </x:c>
      <x:c r="E84" s="24" t="str">
        <x:v>Auxis</x:v>
      </x:c>
      <x:c r="F84" s="24" t="str">
        <x:v>Bullet and frigate tunas</x:v>
      </x:c>
      <x:c r="G84" s="24" t="str">
        <x:v>Medium pelagics (30 - 89 cm)</x:v>
      </x:c>
      <x:c r="H84" s="24" t="str">
        <x:v>Tuna &amp; billfishes</x:v>
      </x:c>
      <x:c r="I84" s="31" t="n">
        <x:v>0.4133774751</x:v>
      </x:c>
      <x:c r="J84" s="31" t="n">
        <x:v>0.4133774751</x:v>
      </x:c>
      <x:c r="K84" s="31" t="n">
        <x:v>0</x:v>
      </x:c>
      <x:c r="L84" s="31" t="n">
        <x:v>0.4133774751</x:v>
      </x:c>
      <x:c r="M84" s="31" t="n">
        <x:v>0</x:v>
      </x:c>
      <x:c r="N84" s="24" t="str">
        <x:v>auxis</x:v>
      </x:c>
      <x:c r="O84" s="32" t="n">
        <x:v>4.24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Auxis</x:v>
      </x:c>
      <x:c r="T84" s="32" t="n">
        <x:f>IF(O84="","",(1/'Metadata'!$B$5)^(O84-1))</x:f>
        <x:v>1737.8008287493763</x:v>
      </x:c>
      <x:c r="U84" s="31" t="n">
        <x:f>IF(T84="","",I84*T84)</x:f>
        <x:v>718.3677188151047</x:v>
      </x:c>
    </x:row>
    <x:row r="85" ht="18" customHeight="1">
      <x:c r="A85" s="24" t="str">
        <x:v>EEZ_032</x:v>
      </x:c>
      <x:c r="B85" s="24" t="str">
        <x:v>Argentina</x:v>
      </x:c>
      <x:c r="C85" s="24" t="str">
        <x:v>EEZ</x:v>
      </x:c>
      <x:c r="D85" s="30" t="n">
        <x:v>2019</x:v>
      </x:c>
      <x:c r="E85" s="24" t="str">
        <x:v>Seriola</x:v>
      </x:c>
      <x:c r="F85" s="24" t="str">
        <x:v>Amberjacks</x:v>
      </x:c>
      <x:c r="G85" s="24" t="str">
        <x:v>Large benthopelagics (&gt;=90 cm)</x:v>
      </x:c>
      <x:c r="H85" s="24" t="str">
        <x:v>Perch-likes</x:v>
      </x:c>
      <x:c r="I85" s="31" t="n">
        <x:v>0.14360932699999998</x:v>
      </x:c>
      <x:c r="J85" s="31" t="n">
        <x:v>0.14360932699999998</x:v>
      </x:c>
      <x:c r="K85" s="31" t="n">
        <x:v>0</x:v>
      </x:c>
      <x:c r="L85" s="31" t="n">
        <x:v>0.14360932699999998</x:v>
      </x:c>
      <x:c r="M85" s="31" t="n">
        <x:v>0</x:v>
      </x:c>
      <x:c r="N85" s="24" t="str">
        <x:v>seriola</x:v>
      </x:c>
      <x:c r="O85" s="32" t="n">
        <x:v>4.39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Seriola</x:v>
      </x:c>
      <x:c r="T85" s="32" t="n">
        <x:f>IF(O85="","",(1/'Metadata'!$B$5)^(O85-1))</x:f>
        <x:v>2454.7089156850284</x:v>
      </x:c>
      <x:c r="U85" s="31" t="n">
        <x:f>IF(T85="","",I85*T85)</x:f>
        <x:v>352.51909536242664</x:v>
      </x:c>
    </x:row>
    <x:row r="86" ht="18" customHeight="1">
      <x:c r="A86" s="24" t="str">
        <x:v>EEZ_032</x:v>
      </x:c>
      <x:c r="B86" s="24" t="str">
        <x:v>Argentina</x:v>
      </x:c>
      <x:c r="C86" s="24" t="str">
        <x:v>EEZ</x:v>
      </x:c>
      <x:c r="D86" s="30" t="n">
        <x:v>2019</x:v>
      </x:c>
      <x:c r="E86" s="24" t="str">
        <x:v>Thunnus obesus</x:v>
      </x:c>
      <x:c r="F86" s="24" t="str">
        <x:v>Bigeye tuna</x:v>
      </x:c>
      <x:c r="G86" s="24" t="str">
        <x:v>Large pelagics (&gt;=90 cm)</x:v>
      </x:c>
      <x:c r="H86" s="24" t="str">
        <x:v>Tuna &amp; billfishes</x:v>
      </x:c>
      <x:c r="I86" s="31" t="n">
        <x:v>0.0525808937</x:v>
      </x:c>
      <x:c r="J86" s="31" t="n">
        <x:v>0.0525808937</x:v>
      </x:c>
      <x:c r="K86" s="31" t="n">
        <x:v>0</x:v>
      </x:c>
      <x:c r="L86" s="31" t="n">
        <x:v>0.0525808937</x:v>
      </x:c>
      <x:c r="M86" s="31" t="n">
        <x:v>0</x:v>
      </x:c>
      <x:c r="N86" s="24" t="str">
        <x:v>thunnus obesus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obesus</x:v>
      </x:c>
      <x:c r="T86" s="32" t="n">
        <x:f>IF(O86="","",(1/'Metadata'!$B$5)^(O86-1))</x:f>
        <x:v>3090.295432513592</x:v>
      </x:c>
      <x:c r="U86" s="31" t="n">
        <x:f>IF(T86="","",I86*T86)</x:f>
        <x:v>162.4904956385927</x:v>
      </x:c>
    </x:row>
    <x:row r="87" ht="18" customHeight="1">
      <x:c r="A87" s="24" t="str">
        <x:v>EEZ_032</x:v>
      </x:c>
      <x:c r="B87" s="24" t="str">
        <x:v>Argentina</x:v>
      </x:c>
      <x:c r="C87" s="24" t="str">
        <x:v>EEZ</x:v>
      </x:c>
      <x:c r="D87" s="30" t="n">
        <x:v>2019</x:v>
      </x:c>
      <x:c r="E87" s="24" t="str">
        <x:v>Marine pelagic fishes not identified</x:v>
      </x:c>
      <x:c r="F87" s="24" t="str">
        <x:v>Pelagic fishes</x:v>
      </x:c>
      <x:c r="G87" s="24" t="str">
        <x:v>Medium pelagics (30 - 89 cm)</x:v>
      </x:c>
      <x:c r="H87" s="24" t="str">
        <x:v>Other fishes &amp; inverts</x:v>
      </x:c>
      <x:c r="I87" s="31" t="n">
        <x:v>0.0102286917</x:v>
      </x:c>
      <x:c r="J87" s="31" t="n">
        <x:v>0.0102286917</x:v>
      </x:c>
      <x:c r="K87" s="31" t="n">
        <x:v>0</x:v>
      </x:c>
      <x:c r="L87" s="31" t="n">
        <x:v>0.0102286917</x:v>
      </x:c>
      <x:c r="M87" s="31" t="n">
        <x:v>0</x:v>
      </x:c>
      <x:c r="N87" s="24" t="str">
        <x:v>marine pelagic fishes not identified</x:v>
      </x:c>
      <x:c r="O87" s="32" t="n">
        <x:v>3.35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Marine pelagic fishes not identified</x:v>
      </x:c>
      <x:c r="T87" s="32" t="n">
        <x:f>IF(O87="","",(1/'Metadata'!$B$5)^(O87-1))</x:f>
        <x:v>223.872113856834</x:v>
      </x:c>
      <x:c r="U87" s="31" t="n">
        <x:f>IF(T87="","",I87*T87)</x:f>
        <x:v>2.289918832868853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2a6ac23d73842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7768.5010574</x:v>
      </x:c>
      <x:c r="E2" s="31" t="n">
        <x:v>7768.5010574</x:v>
      </x:c>
      <x:c r="F2" s="32" t="n">
        <x:v>0</x:v>
      </x:c>
      <x:c r="G2" s="34" t="n">
        <x:v>1</x:v>
      </x:c>
      <x:c r="H2" s="32" t="n">
        <x:f>IF(E2=0,"",I2/E2)</x:f>
        <x:v>32.35936569296281</x:v>
      </x:c>
      <x:c r="I2" s="31" t="n">
        <x:f>IF(C2=0,"",SUMIF('Species'!$H$2:$H$87,A2,'Species'!$U$2:$U$87))</x:f>
        <x:v>251383.76660257488</x:v>
      </x:c>
      <x:c r="J2" s="32" t="n">
        <x:v>2.51</x:v>
      </x:c>
      <x:c r="K2" s="32" t="n">
        <x:f>IF(J2="","",(1/'Metadata'!$B$5)^(J2-1))</x:f>
        <x:v>32.35936569296281</x:v>
      </x:c>
      <x:c r="L2" s="31" t="n">
        <x:f>IF(E2=0,"",E2*K2)</x:f>
        <x:v>251383.76660257488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12</x:v>
      </x:c>
      <x:c r="C3" s="33" t="n">
        <x:v>12</x:v>
      </x:c>
      <x:c r="D3" s="31" t="n">
        <x:v>683677.3974355531</x:v>
      </x:c>
      <x:c r="E3" s="31" t="n">
        <x:v>683677.3974355531</x:v>
      </x:c>
      <x:c r="F3" s="32" t="n">
        <x:v>0</x:v>
      </x:c>
      <x:c r="G3" s="34" t="n">
        <x:v>1</x:v>
      </x:c>
      <x:c r="H3" s="32" t="n">
        <x:f>IF(E3=0,"",I3/E3)</x:f>
        <x:v>1473.7857969223396</x:v>
      </x:c>
      <x:c r="I3" s="31" t="n">
        <x:f>IF(C3=0,"",SUMIF('Species'!$H$2:$H$87,A3,'Species'!$U$2:$U$87))</x:f>
        <x:v>1007594038.0173478</x:v>
      </x:c>
      <x:c r="J3" s="32" t="n">
        <x:v>4.1401439071631465</x:v>
      </x:c>
      <x:c r="K3" s="32" t="n">
        <x:f>IF(J3="","",(1/'Metadata'!$B$5)^(J3-1))</x:f>
        <x:v>1380.8417424369368</x:v>
      </x:c>
      <x:c r="L3" s="31" t="n">
        <x:f>IF(E3=0,"",E3*K3)</x:f>
        <x:v>944050288.7396593</x:v>
      </x:c>
      <x:c r="M3" s="31" t="n">
        <x:f>IF(E3=0,"",I3-L3)</x:f>
        <x:v>63543749.2776885</x:v>
      </x:c>
      <x:c r="N3" s="32" t="n">
        <x:f>IF(L3=0,"",I3/L3)</x:f>
        <x:v>1.0673097080056209</x:v>
      </x:c>
      <x:c r="O3" s="34" t="n">
        <x:f>IF(L3=0,"",M3/L3)</x:f>
        <x:v>0.06730970800562083</x:v>
      </x:c>
    </x:row>
    <x:row r="4" ht="18" customHeight="1">
      <x:c r="A4" s="24" t="str">
        <x:v>Crustaceans</x:v>
      </x:c>
      <x:c r="B4" s="33" t="n">
        <x:v>4</x:v>
      </x:c>
      <x:c r="C4" s="33" t="n">
        <x:v>4</x:v>
      </x:c>
      <x:c r="D4" s="31" t="n">
        <x:v>286211.68277646</x:v>
      </x:c>
      <x:c r="E4" s="31" t="n">
        <x:v>286211.68277646</x:v>
      </x:c>
      <x:c r="F4" s="32" t="n">
        <x:v>0</x:v>
      </x:c>
      <x:c r="G4" s="34" t="n">
        <x:v>1</x:v>
      </x:c>
      <x:c r="H4" s="32" t="n">
        <x:f>IF(E4=0,"",I4/E4)</x:f>
        <x:v>15.898348405205368</x:v>
      </x:c>
      <x:c r="I4" s="31" t="n">
        <x:f>IF(C4=0,"",SUMIF('Species'!$H$2:$H$87,A4,'Species'!$U$2:$U$87))</x:f>
        <x:v>4550293.050420278</x:v>
      </x:c>
      <x:c r="J4" s="32" t="n">
        <x:v>2.2010536481816905</x:v>
      </x:c>
      <x:c r="K4" s="32" t="n">
        <x:f>IF(J4="","",(1/'Metadata'!$B$5)^(J4-1))</x:f>
        <x:v>15.887429931095472</x:v>
      </x:c>
      <x:c r="L4" s="31" t="n">
        <x:f>IF(E4=0,"",E4*K4)</x:f>
        <x:v>4547168.055571933</x:v>
      </x:c>
      <x:c r="M4" s="31" t="n">
        <x:f>IF(E4=0,"",I4-L4)</x:f>
        <x:v>3124.994848344475</x:v>
      </x:c>
      <x:c r="N4" s="32" t="n">
        <x:f>IF(L4=0,"",I4/L4)</x:f>
        <x:v>1.00068723979632</x:v>
      </x:c>
      <x:c r="O4" s="34" t="n">
        <x:f>IF(L4=0,"",M4/L4)</x:f>
        <x:v>0.00068723979632009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154.897509167</x:v>
      </x:c>
      <x:c r="E5" s="31" t="n">
        <x:v>154.897509167</x:v>
      </x:c>
      <x:c r="F5" s="32" t="n">
        <x:v>0</x:v>
      </x:c>
      <x:c r="G5" s="34" t="n">
        <x:v>1</x:v>
      </x:c>
      <x:c r="H5" s="32" t="n">
        <x:f>IF(E5=0,"",I5/E5)</x:f>
        <x:v>56.23413251903491</x:v>
      </x:c>
      <x:c r="I5" s="31" t="n">
        <x:f>IF(C5=0,"",SUMIF('Species'!$H$2:$H$87,A5,'Species'!$U$2:$U$87))</x:f>
        <x:v>8710.527057365503</x:v>
      </x:c>
      <x:c r="J5" s="32" t="n">
        <x:v>2.75</x:v>
      </x:c>
      <x:c r="K5" s="32" t="n">
        <x:f>IF(J5="","",(1/'Metadata'!$B$5)^(J5-1))</x:f>
        <x:v>56.23413251903491</x:v>
      </x:c>
      <x:c r="L5" s="31" t="n">
        <x:f>IF(E5=0,"",E5*K5)</x:f>
        <x:v>8710.527057365503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23992.265780434</x:v>
      </x:c>
      <x:c r="E6" s="31" t="n">
        <x:v>23992.265780434</x:v>
      </x:c>
      <x:c r="F6" s="32" t="n">
        <x:v>0</x:v>
      </x:c>
      <x:c r="G6" s="34" t="n">
        <x:v>1</x:v>
      </x:c>
      <x:c r="H6" s="32" t="n">
        <x:f>IF(E6=0,"",I6/E6)</x:f>
        <x:v>10</x:v>
      </x:c>
      <x:c r="I6" s="31" t="n">
        <x:f>IF(C6=0,"",SUMIF('Species'!$H$2:$H$87,A6,'Species'!$U$2:$U$87))</x:f>
        <x:v>239922.65780434</x:v>
      </x:c>
      <x:c r="J6" s="32" t="n">
        <x:v>2</x:v>
      </x:c>
      <x:c r="K6" s="32" t="n">
        <x:f>IF(J6="","",(1/'Metadata'!$B$5)^(J6-1))</x:f>
        <x:v>10</x:v>
      </x:c>
      <x:c r="L6" s="31" t="n">
        <x:f>IF(E6=0,"",E6*K6)</x:f>
        <x:v>239922.65780434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8</x:v>
      </x:c>
      <x:c r="C7" s="33" t="n">
        <x:v>8</x:v>
      </x:c>
      <x:c r="D7" s="31" t="n">
        <x:v>329952.03372476954</x:v>
      </x:c>
      <x:c r="E7" s="31" t="n">
        <x:v>329952.03372476954</x:v>
      </x:c>
      <x:c r="F7" s="32" t="n">
        <x:v>0</x:v>
      </x:c>
      <x:c r="G7" s="34" t="n">
        <x:v>1</x:v>
      </x:c>
      <x:c r="H7" s="32" t="n">
        <x:f>IF(E7=0,"",I7/E7)</x:f>
        <x:v>578.2802096172716</x:v>
      </x:c>
      <x:c r="I7" s="31" t="n">
        <x:f>IF(C7=0,"",SUMIF('Species'!$H$2:$H$87,A7,'Species'!$U$2:$U$87))</x:f>
        <x:v>190804731.22600478</x:v>
      </x:c>
      <x:c r="J7" s="32" t="n">
        <x:v>3.7118071430564346</x:v>
      </x:c>
      <x:c r="K7" s="32" t="n">
        <x:f>IF(J7="","",(1/'Metadata'!$B$5)^(J7-1))</x:f>
        <x:v>514.9998980365926</x:v>
      </x:c>
      <x:c r="L7" s="31" t="n">
        <x:f>IF(E7=0,"",E7*K7)</x:f>
        <x:v>169925263.72522268</x:v>
      </x:c>
      <x:c r="M7" s="31" t="n">
        <x:f>IF(E7=0,"",I7-L7)</x:f>
        <x:v>20879467.500782102</x:v>
      </x:c>
      <x:c r="N7" s="32" t="n">
        <x:f>IF(L7=0,"",I7/L7)</x:f>
        <x:v>1.1228744157463555</x:v>
      </x:c>
      <x:c r="O7" s="34" t="n">
        <x:f>IF(L7=0,"",M7/L7)</x:f>
        <x:v>0.12287441574635544</x:v>
      </x:c>
    </x:row>
    <x:row r="8" ht="18" customHeight="1">
      <x:c r="A8" s="24" t="str">
        <x:v>Perch-likes</x:v>
      </x:c>
      <x:c r="B8" s="33" t="n">
        <x:v>35</x:v>
      </x:c>
      <x:c r="C8" s="33" t="n">
        <x:v>35</x:v>
      </x:c>
      <x:c r="D8" s="31" t="n">
        <x:v>73471.96194647299</x:v>
      </x:c>
      <x:c r="E8" s="31" t="n">
        <x:v>73471.96194647299</x:v>
      </x:c>
      <x:c r="F8" s="32" t="n">
        <x:v>0</x:v>
      </x:c>
      <x:c r="G8" s="34" t="n">
        <x:v>1</x:v>
      </x:c>
      <x:c r="H8" s="32" t="n">
        <x:f>IF(E8=0,"",I8/E8)</x:f>
        <x:v>592.8683286875388</x:v>
      </x:c>
      <x:c r="I8" s="31" t="n">
        <x:f>IF(C8=0,"",SUMIF('Species'!$H$2:$H$87,A8,'Species'!$U$2:$U$87))</x:f>
        <x:v>43559199.28459989</x:v>
      </x:c>
      <x:c r="J8" s="32" t="n">
        <x:v>3.5094568323320865</x:v>
      </x:c>
      <x:c r="K8" s="32" t="n">
        <x:f>IF(J8="","",(1/'Metadata'!$B$5)^(J8-1))</x:f>
        <x:v>323.18919463276023</x:v>
      </x:c>
      <x:c r="L8" s="31" t="n">
        <x:f>IF(E8=0,"",E8*K8)</x:f>
        <x:v>23745344.209569413</x:v>
      </x:c>
      <x:c r="M8" s="31" t="n">
        <x:f>IF(E8=0,"",I8-L8)</x:f>
        <x:v>19813855.07503048</x:v>
      </x:c>
      <x:c r="N8" s="32" t="n">
        <x:f>IF(L8=0,"",I8/L8)</x:f>
        <x:v>1.8344311583845334</x:v>
      </x:c>
      <x:c r="O8" s="34" t="n">
        <x:f>IF(L8=0,"",M8/L8)</x:f>
        <x:v>0.8344311583845334</x:v>
      </x:c>
    </x:row>
    <x:row r="9" ht="18" customHeight="1">
      <x:c r="A9" s="24" t="str">
        <x:v>Sharks &amp; rays</x:v>
      </x:c>
      <x:c r="B9" s="33" t="n">
        <x:v>17</x:v>
      </x:c>
      <x:c r="C9" s="33" t="n">
        <x:v>17</x:v>
      </x:c>
      <x:c r="D9" s="31" t="n">
        <x:v>50136.8501762255</x:v>
      </x:c>
      <x:c r="E9" s="31" t="n">
        <x:v>50136.8501762255</x:v>
      </x:c>
      <x:c r="F9" s="32" t="n">
        <x:v>0</x:v>
      </x:c>
      <x:c r="G9" s="34" t="n">
        <x:v>1</x:v>
      </x:c>
      <x:c r="H9" s="32" t="n">
        <x:f>IF(E9=0,"",I9/E9)</x:f>
        <x:v>489.8317072339797</x:v>
      </x:c>
      <x:c r="I9" s="31" t="n">
        <x:f>IF(C9=0,"",SUMIF('Species'!$H$2:$H$87,A9,'Species'!$U$2:$U$87))</x:f>
        <x:v>24558618.917154793</x:v>
      </x:c>
      <x:c r="J9" s="32" t="n">
        <x:v>3.652680666178162</x:v>
      </x:c>
      <x:c r="K9" s="32" t="n">
        <x:f>IF(J9="","",(1/'Metadata'!$B$5)^(J9-1))</x:f>
        <x:v>449.44925633882144</x:v>
      </x:c>
      <x:c r="L9" s="31" t="n">
        <x:f>IF(E9=0,"",E9*K9)</x:f>
        <x:v>22533970.02687546</x:v>
      </x:c>
      <x:c r="M9" s="31" t="n">
        <x:f>IF(E9=0,"",I9-L9)</x:f>
        <x:v>2024648.890279334</x:v>
      </x:c>
      <x:c r="N9" s="32" t="n">
        <x:f>IF(L9=0,"",I9/L9)</x:f>
        <x:v>1.0898487433800883</x:v>
      </x:c>
      <x:c r="O9" s="34" t="n">
        <x:f>IF(L9=0,"",M9/L9)</x:f>
        <x:v>0.08984874338008828</x:v>
      </x:c>
    </x:row>
    <x:row r="10" ht="18" customHeight="1">
      <x:c r="A10" s="24" t="str">
        <x:v>Tuna &amp; billfishes</x:v>
      </x:c>
      <x:c r="B10" s="33" t="n">
        <x:v>4</x:v>
      </x:c>
      <x:c r="C10" s="33" t="n">
        <x:v>4</x:v>
      </x:c>
      <x:c r="D10" s="31" t="n">
        <x:v>213.56844241209998</x:v>
      </x:c>
      <x:c r="E10" s="31" t="n">
        <x:v>213.56844241209998</x:v>
      </x:c>
      <x:c r="F10" s="32" t="n">
        <x:v>0</x:v>
      </x:c>
      <x:c r="G10" s="34" t="n">
        <x:v>1</x:v>
      </x:c>
      <x:c r="H10" s="32" t="n">
        <x:f>IF(E10=0,"",I10/E10)</x:f>
        <x:v>2175.5683338552203</x:v>
      </x:c>
      <x:c r="I10" s="31" t="n">
        <x:f>IF(C10=0,"",SUMIF('Species'!$H$2:$H$87,A10,'Species'!$U$2:$U$87))</x:f>
        <x:v>464632.7404225469</x:v>
      </x:c>
      <x:c r="J10" s="32" t="n">
        <x:v>4.33087021231159</x:v>
      </x:c>
      <x:c r="K10" s="32" t="n">
        <x:f>IF(J10="","",(1/'Metadata'!$B$5)^(J10-1))</x:f>
        <x:v>2142.2502999521894</x:v>
      </x:c>
      <x:c r="L10" s="31" t="n">
        <x:f>IF(E10=0,"",E10*K10)</x:f>
        <x:v>457517.0598176431</x:v>
      </x:c>
      <x:c r="M10" s="31" t="n">
        <x:f>IF(E10=0,"",I10-L10)</x:f>
        <x:v>7115.680604903842</x:v>
      </x:c>
      <x:c r="N10" s="32" t="n">
        <x:f>IF(L10=0,"",I10/L10)</x:f>
        <x:v>1.0155528202767783</x:v>
      </x:c>
      <x:c r="O10" s="34" t="n">
        <x:f>IF(L10=0,"",M10/L10)</x:f>
        <x:v>0.015552820276778328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4a8d99f2e24d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253581.8995405308</x:v>
      </x:c>
      <x:c r="E2" s="31" t="n">
        <x:v>253581.8995405308</x:v>
      </x:c>
      <x:c r="F2" s="32" t="n">
        <x:v>0</x:v>
      </x:c>
      <x:c r="G2" s="34" t="n">
        <x:v>1</x:v>
      </x:c>
      <x:c r="H2" s="32" t="n">
        <x:f>IF(E2=0,"",I2/E2)</x:f>
        <x:v>661.7396459683708</x:v>
      </x:c>
      <x:c r="I2" s="31" t="n">
        <x:f>IF(C2=0,"",SUMIF('Species'!$G$2:$G$87,A2,'Species'!$U$2:$U$87))</x:f>
        <x:v>167805196.42593783</x:v>
      </x:c>
      <x:c r="J2" s="32" t="n">
        <x:v>3.820531302759516</x:v>
      </x:c>
      <x:c r="K2" s="32" t="n">
        <x:f>IF(J2="","",(1/'Metadata'!$B$5)^(J2-1))</x:f>
        <x:v>661.5022150378653</x:v>
      </x:c>
      <x:c r="L2" s="31" t="n">
        <x:f>IF(E2=0,"",E2*K2)</x:f>
        <x:v>167744988.23957056</x:v>
      </x:c>
      <x:c r="M2" s="31" t="n">
        <x:f>IF(E2=0,"",I2-L2)</x:f>
        <x:v>60208.18636727333</x:v>
      </x:c>
      <x:c r="N2" s="32" t="n">
        <x:f>IF(L2=0,"",I2/L2)</x:f>
        <x:v>1.0003589268865742</x:v>
      </x:c>
      <x:c r="O2" s="34" t="n">
        <x:f>IF(L2=0,"",M2/L2)</x:f>
        <x:v>0.00035892688657431014</x:v>
      </x:c>
    </x:row>
    <x:row r="3" ht="18" customHeight="1">
      <x:c r="A3" s="24" t="str">
        <x:v>Large bathydemersals (&gt;=90 cm)</x:v>
      </x:c>
      <x:c r="B3" s="33" t="n">
        <x:v>4</x:v>
      </x:c>
      <x:c r="C3" s="33" t="n">
        <x:v>4</x:v>
      </x:c>
      <x:c r="D3" s="31" t="n">
        <x:v>11830.045580829501</x:v>
      </x:c>
      <x:c r="E3" s="31" t="n">
        <x:v>11830.045580829501</x:v>
      </x:c>
      <x:c r="F3" s="32" t="n">
        <x:v>0</x:v>
      </x:c>
      <x:c r="G3" s="34" t="n">
        <x:v>1</x:v>
      </x:c>
      <x:c r="H3" s="32" t="n">
        <x:f>IF(E3=0,"",I3/E3)</x:f>
        <x:v>1240.3412228471818</x:v>
      </x:c>
      <x:c r="I3" s="31" t="n">
        <x:f>IF(C3=0,"",SUMIF('Species'!$G$2:$G$87,A3,'Species'!$U$2:$U$87))</x:f>
        <x:v>14673293.202063963</x:v>
      </x:c>
      <x:c r="J3" s="32" t="n">
        <x:v>4.056966484391215</x:v>
      </x:c>
      <x:c r="K3" s="32" t="n">
        <x:f>IF(J3="","",(1/'Metadata'!$B$5)^(J3-1))</x:f>
        <x:v>1140.1617949828426</x:v>
      </x:c>
      <x:c r="L3" s="31" t="n">
        <x:f>IF(E3=0,"",E3*K3)</x:f>
        <x:v>13488166.004167408</x:v>
      </x:c>
      <x:c r="M3" s="31" t="n">
        <x:f>IF(E3=0,"",I3-L3)</x:f>
        <x:v>1185127.197896555</x:v>
      </x:c>
      <x:c r="N3" s="32" t="n">
        <x:f>IF(L3=0,"",I3/L3)</x:f>
        <x:v>1.0878642209422977</x:v>
      </x:c>
      <x:c r="O3" s="34" t="n">
        <x:f>IF(L3=0,"",M3/L3)</x:f>
        <x:v>0.08786422094229779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94.5926493338</x:v>
      </x:c>
      <x:c r="E4" s="31" t="n">
        <x:v>94.5926493338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IF(C4=0,"",SUMIF('Species'!$G$2:$G$87,A4,'Species'!$U$2:$U$87))</x:f>
        <x:v>206946.1681202048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206946.1681202048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7</x:v>
      </x:c>
      <x:c r="C5" s="33" t="n">
        <x:v>7</x:v>
      </x:c>
      <x:c r="D5" s="31" t="n">
        <x:v>60706.915371166004</x:v>
      </x:c>
      <x:c r="E5" s="31" t="n">
        <x:v>60706.915371166004</x:v>
      </x:c>
      <x:c r="F5" s="32" t="n">
        <x:v>0</x:v>
      </x:c>
      <x:c r="G5" s="34" t="n">
        <x:v>1</x:v>
      </x:c>
      <x:c r="H5" s="32" t="n">
        <x:f>IF(E5=0,"",I5/E5)</x:f>
        <x:v>891.0129470437703</x:v>
      </x:c>
      <x:c r="I5" s="31" t="n">
        <x:f>IF(C5=0,"",SUMIF('Species'!$G$2:$G$87,A5,'Species'!$U$2:$U$87))</x:f>
        <x:v>54090647.57079938</x:v>
      </x:c>
      <x:c r="J5" s="32" t="n">
        <x:v>3.9407097046435307</x:v>
      </x:c>
      <x:c r="K5" s="32" t="n">
        <x:f>IF(J5="","",(1/'Metadata'!$B$5)^(J5-1))</x:f>
        <x:v>872.3880433231643</x:v>
      </x:c>
      <x:c r="L5" s="31" t="n">
        <x:f>IF(E5=0,"",E5*K5)</x:f>
        <x:v>52959987.116836436</x:v>
      </x:c>
      <x:c r="M5" s="31" t="n">
        <x:f>IF(E5=0,"",I5-L5)</x:f>
        <x:v>1130660.4539629444</x:v>
      </x:c>
      <x:c r="N5" s="32" t="n">
        <x:f>IF(L5=0,"",I5/L5)</x:f>
        <x:v>1.0213493340069846</x:v>
      </x:c>
      <x:c r="O5" s="34" t="n">
        <x:f>IF(L5=0,"",M5/L5)</x:f>
        <x:v>0.02134933400698464</x:v>
      </x:c>
    </x:row>
    <x:row r="6" ht="18" customHeight="1">
      <x:c r="A6" s="24" t="str">
        <x:v>Large demersals (&gt;=90 cm)</x:v>
      </x:c>
      <x:c r="B6" s="33" t="n">
        <x:v>2</x:v>
      </x:c>
      <x:c r="C6" s="33" t="n">
        <x:v>2</x:v>
      </x:c>
      <x:c r="D6" s="31" t="n">
        <x:v>627.2547708773001</x:v>
      </x:c>
      <x:c r="E6" s="31" t="n">
        <x:v>627.2547708773001</x:v>
      </x:c>
      <x:c r="F6" s="32" t="n">
        <x:v>0</x:v>
      </x:c>
      <x:c r="G6" s="34" t="n">
        <x:v>1</x:v>
      </x:c>
      <x:c r="H6" s="32" t="n">
        <x:f>IF(E6=0,"",I6/E6)</x:f>
        <x:v>773.8419728046546</x:v>
      </x:c>
      <x:c r="I6" s="31" t="n">
        <x:f>IF(C6=0,"",SUMIF('Species'!$G$2:$G$87,A6,'Species'!$U$2:$U$87))</x:f>
        <x:v>485396.06934682146</x:v>
      </x:c>
      <x:c r="J6" s="32" t="n">
        <x:v>3.888373866493557</x:v>
      </x:c>
      <x:c r="K6" s="32" t="n">
        <x:f>IF(J6="","",(1/'Metadata'!$B$5)^(J6-1))</x:f>
        <x:v>773.3460408428679</x:v>
      </x:c>
      <x:c r="L6" s="31" t="n">
        <x:f>IF(E6=0,"",E6*K6)</x:f>
        <x:v>485084.9936577602</x:v>
      </x:c>
      <x:c r="M6" s="31" t="n">
        <x:f>IF(E6=0,"",I6-L6)</x:f>
        <x:v>311.0756890612538</x:v>
      </x:c>
      <x:c r="N6" s="32" t="n">
        <x:f>IF(L6=0,"",I6/L6)</x:f>
        <x:v>1.0006412807922909</x:v>
      </x:c>
      <x:c r="O6" s="34" t="n">
        <x:f>IF(L6=0,"",M6/L6)</x:f>
        <x:v>0.000641280792290857</x:v>
      </x:c>
    </x:row>
    <x:row r="7" ht="18" customHeight="1">
      <x:c r="A7" s="24" t="str">
        <x:v>Large pelagics (&gt;=90 cm)</x:v>
      </x:c>
      <x:c r="B7" s="33" t="n">
        <x:v>3</x:v>
      </x:c>
      <x:c r="C7" s="33" t="n">
        <x:v>3</x:v>
      </x:c>
      <x:c r="D7" s="31" t="n">
        <x:v>5349.284468381999</x:v>
      </x:c>
      <x:c r="E7" s="31" t="n">
        <x:v>5349.284468381999</x:v>
      </x:c>
      <x:c r="F7" s="32" t="n">
        <x:v>0</x:v>
      </x:c>
      <x:c r="G7" s="34" t="n">
        <x:v>1</x:v>
      </x:c>
      <x:c r="H7" s="32" t="n">
        <x:f>IF(E7=0,"",I7/E7)</x:f>
        <x:v>3341.542396405841</x:v>
      </x:c>
      <x:c r="I7" s="31" t="n">
        <x:f>IF(C7=0,"",SUMIF('Species'!$G$2:$G$87,A7,'Species'!$U$2:$U$87))</x:f>
        <x:v>17874860.84153373</x:v>
      </x:c>
      <x:c r="J7" s="32" t="n">
        <x:v>4.522257506203749</x:v>
      </x:c>
      <x:c r="K7" s="32" t="n">
        <x:f>IF(J7="","",(1/'Metadata'!$B$5)^(J7-1))</x:f>
        <x:v>3328.5685559245085</x:v>
      </x:c>
      <x:c r="L7" s="31" t="n">
        <x:f>IF(E7=0,"",E7*K7)</x:f>
        <x:v>17805460.078151673</x:v>
      </x:c>
      <x:c r="M7" s="31" t="n">
        <x:f>IF(E7=0,"",I7-L7)</x:f>
        <x:v>69400.76338205859</x:v>
      </x:c>
      <x:c r="N7" s="32" t="n">
        <x:f>IF(L7=0,"",I7/L7)</x:f>
        <x:v>1.003897723680121</x:v>
      </x:c>
      <x:c r="O7" s="34" t="n">
        <x:f>IF(L7=0,"",M7/L7)</x:f>
        <x:v>0.003897723680120871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42908.0999208108</x:v>
      </x:c>
      <x:c r="E8" s="31" t="n">
        <x:v>42908.0999208108</x:v>
      </x:c>
      <x:c r="F8" s="32" t="n">
        <x:v>0</x:v>
      </x:c>
      <x:c r="G8" s="34" t="n">
        <x:v>1</x:v>
      </x:c>
      <x:c r="H8" s="32" t="n">
        <x:f>IF(E8=0,"",I8/E8)</x:f>
        <x:v>407.43733039496686</x:v>
      </x:c>
      <x:c r="I8" s="31" t="n">
        <x:f>IF(C8=0,"",SUMIF('Species'!$G$2:$G$87,A8,'Species'!$U$2:$U$87))</x:f>
        <x:v>17482361.68405564</x:v>
      </x:c>
      <x:c r="J8" s="32" t="n">
        <x:v>3.6100102544741155</x:v>
      </x:c>
      <x:c r="K8" s="32" t="n">
        <x:f>IF(J8="","",(1/'Metadata'!$B$5)^(J8-1))</x:f>
        <x:v>407.3898968990061</x:v>
      </x:c>
      <x:c r="L8" s="31" t="n">
        <x:f>IF(E8=0,"",E8*K8)</x:f>
        <x:v>17480326.402871363</x:v>
      </x:c>
      <x:c r="M8" s="31" t="n">
        <x:f>IF(E8=0,"",I8-L8)</x:f>
        <x:v>2035.2811842784286</x:v>
      </x:c>
      <x:c r="N8" s="32" t="n">
        <x:f>IF(L8=0,"",I8/L8)</x:f>
        <x:v>1.0001164326762195</x:v>
      </x:c>
      <x:c r="O8" s="34" t="n">
        <x:f>IF(L8=0,"",M8/L8)</x:f>
        <x:v>0.00011643267621959897</x:v>
      </x:c>
    </x:row>
    <x:row r="9" ht="18" customHeight="1">
      <x:c r="A9" s="24" t="str">
        <x:v>Large sharks (&gt;=90 cm)</x:v>
      </x:c>
      <x:c r="B9" s="33" t="n">
        <x:v>7</x:v>
      </x:c>
      <x:c r="C9" s="33" t="n">
        <x:v>7</x:v>
      </x:c>
      <x:c r="D9" s="31" t="n">
        <x:v>4034.7502554117004</x:v>
      </x:c>
      <x:c r="E9" s="31" t="n">
        <x:v>4034.7502554117004</x:v>
      </x:c>
      <x:c r="F9" s="32" t="n">
        <x:v>0</x:v>
      </x:c>
      <x:c r="G9" s="34" t="n">
        <x:v>1</x:v>
      </x:c>
      <x:c r="H9" s="32" t="n">
        <x:f>IF(E9=0,"",I9/E9)</x:f>
        <x:v>1278.6189545133489</x:v>
      </x:c>
      <x:c r="I9" s="31" t="n">
        <x:f>IF(C9=0,"",SUMIF('Species'!$G$2:$G$87,A9,'Species'!$U$2:$U$87))</x:f>
        <x:v>5158908.153296975</x:v>
      </x:c>
      <x:c r="J9" s="32" t="n">
        <x:v>4.0950372493240526</x:v>
      </x:c>
      <x:c r="K9" s="32" t="n">
        <x:f>IF(J9="","",(1/'Metadata'!$B$5)^(J9-1))</x:f>
        <x:v>1244.621358041666</x:v>
      </x:c>
      <x:c r="L9" s="31" t="n">
        <x:f>IF(E9=0,"",E9*K9)</x:f>
        <x:v>5021736.34224947</x:v>
      </x:c>
      <x:c r="M9" s="31" t="n">
        <x:f>IF(E9=0,"",I9-L9)</x:f>
        <x:v>137171.8110475056</x:v>
      </x:c>
      <x:c r="N9" s="32" t="n">
        <x:f>IF(L9=0,"",I9/L9)</x:f>
        <x:v>1.027315613902991</x:v>
      </x:c>
      <x:c r="O9" s="34" t="n">
        <x:f>IF(L9=0,"",M9/L9)</x:f>
        <x:v>0.02731561390299116</x:v>
      </x:c>
    </x:row>
    <x:row r="10" ht="18" customHeight="1">
      <x:c r="A10" s="24" t="str">
        <x:v>Lobsters, crabs</x:v>
      </x:c>
      <x:c r="B10" s="33" t="n">
        <x:v>2</x:v>
      </x:c>
      <x:c r="C10" s="33" t="n">
        <x:v>2</x:v>
      </x:c>
      <x:c r="D10" s="31" t="n">
        <x:v>2362.8067569799996</x:v>
      </x:c>
      <x:c r="E10" s="31" t="n">
        <x:v>2362.8067569799996</x:v>
      </x:c>
      <x:c r="F10" s="32" t="n">
        <x:v>0</x:v>
      </x:c>
      <x:c r="G10" s="34" t="n">
        <x:v>1</x:v>
      </x:c>
      <x:c r="H10" s="32" t="n">
        <x:f>IF(E10=0,"",I10/E10)</x:f>
        <x:v>20.018823859201486</x:v>
      </x:c>
      <x:c r="I10" s="31" t="n">
        <x:f>IF(C10=0,"",SUMIF('Species'!$G$2:$G$87,A10,'Species'!$U$2:$U$87))</x:f>
        <x:v>47300.612281313704</x:v>
      </x:c>
      <x:c r="J10" s="32" t="n">
        <x:v>2.3011345302319293</x:v>
      </x:c>
      <x:c r="K10" s="32" t="n">
        <x:f>IF(J10="","",(1/'Metadata'!$B$5)^(J10-1))</x:f>
        <x:v>20.00481457416732</x:v>
      </x:c>
      <x:c r="L10" s="31" t="n">
        <x:f>IF(E10=0,"",E10*K10)</x:f>
        <x:v>47267.51104797451</x:v>
      </x:c>
      <x:c r="M10" s="31" t="n">
        <x:f>IF(E10=0,"",I10-L10)</x:f>
        <x:v>33.10123333919182</x:v>
      </x:c>
      <x:c r="N10" s="32" t="n">
        <x:f>IF(L10=0,"",I10/L10)</x:f>
        <x:v>1.0007002956704363</x:v>
      </x:c>
      <x:c r="O10" s="34" t="n">
        <x:f>IF(L10=0,"",M10/L10)</x:f>
        <x:v>0.0007002956704362005</x:v>
      </x:c>
    </x:row>
    <x:row r="11" ht="18" customHeight="1">
      <x:c r="A11" s="24" t="str">
        <x:v>Medium bathydemersals (30 - 89 cm)</x:v>
      </x:c>
      <x:c r="B11" s="33" t="n">
        <x:v>1</x:v>
      </x:c>
      <x:c r="C11" s="33" t="n">
        <x:v>1</x:v>
      </x:c>
      <x:c r="D11" s="31" t="n">
        <x:v>1362.9277670796</x:v>
      </x:c>
      <x:c r="E11" s="31" t="n">
        <x:v>1362.9277670796</x:v>
      </x:c>
      <x:c r="F11" s="32" t="n">
        <x:v>0</x:v>
      </x:c>
      <x:c r="G11" s="34" t="n">
        <x:v>1</x:v>
      </x:c>
      <x:c r="H11" s="32" t="n">
        <x:f>IF(E11=0,"",I11/E11)</x:f>
        <x:v>1862.0871366628653</x:v>
      </x:c>
      <x:c r="I11" s="31" t="n">
        <x:f>IF(C11=0,"",SUMIF('Species'!$G$2:$G$87,A11,'Species'!$U$2:$U$87))</x:f>
        <x:v>2537890.263279565</x:v>
      </x:c>
      <x:c r="J11" s="32" t="n">
        <x:v>4.27</x:v>
      </x:c>
      <x:c r="K11" s="32" t="n">
        <x:f>IF(J11="","",(1/'Metadata'!$B$5)^(J11-1))</x:f>
        <x:v>1862.0871366628655</x:v>
      </x:c>
      <x:c r="L11" s="31" t="n">
        <x:f>IF(E11=0,"",E11*K11)</x:f>
        <x:v>2537890.263279565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14</x:v>
      </x:c>
      <x:c r="C12" s="33" t="n">
        <x:v>14</x:v>
      </x:c>
      <x:c r="D12" s="31" t="n">
        <x:v>628896.889216885</x:v>
      </x:c>
      <x:c r="E12" s="31" t="n">
        <x:v>628896.889216885</x:v>
      </x:c>
      <x:c r="F12" s="32" t="n">
        <x:v>0</x:v>
      </x:c>
      <x:c r="G12" s="34" t="n">
        <x:v>1</x:v>
      </x:c>
      <x:c r="H12" s="32" t="n">
        <x:f>IF(E12=0,"",I12/E12)</x:f>
        <x:v>1518.1591868901553</x:v>
      </x:c>
      <x:c r="I12" s="31" t="n">
        <x:f>IF(C12=0,"",SUMIF('Species'!$G$2:$G$87,A12,'Species'!$U$2:$U$87))</x:f>
        <x:v>954765589.9712541</x:v>
      </x:c>
      <x:c r="J12" s="32" t="n">
        <x:v>4.154420542383399</x:v>
      </x:c>
      <x:c r="K12" s="32" t="n">
        <x:f>IF(J12="","",(1/'Metadata'!$B$5)^(J12-1))</x:f>
        <x:v>1426.9887273857746</x:v>
      </x:c>
      <x:c r="L12" s="31" t="n">
        <x:f>IF(E12=0,"",E12*K12)</x:f>
        <x:v>897428771.6004752</x:v>
      </x:c>
      <x:c r="M12" s="31" t="n">
        <x:f>IF(E12=0,"",I12-L12)</x:f>
        <x:v>57336818.37077892</x:v>
      </x:c>
      <x:c r="N12" s="32" t="n">
        <x:f>IF(L12=0,"",I12/L12)</x:f>
        <x:v>1.063890104914426</x:v>
      </x:c>
      <x:c r="O12" s="34" t="n">
        <x:f>IF(L12=0,"",M12/L12)</x:f>
        <x:v>0.06389010491442612</x:v>
      </x:c>
    </x:row>
    <x:row r="13" ht="18" customHeight="1">
      <x:c r="A13" s="24" t="str">
        <x:v>Medium demersals (30 - 89 cm)</x:v>
      </x:c>
      <x:c r="B13" s="33" t="n">
        <x:v>14</x:v>
      </x:c>
      <x:c r="C13" s="33" t="n">
        <x:v>14</x:v>
      </x:c>
      <x:c r="D13" s="31" t="n">
        <x:v>124094.87644476717</x:v>
      </x:c>
      <x:c r="E13" s="31" t="n">
        <x:v>124094.87644476717</x:v>
      </x:c>
      <x:c r="F13" s="32" t="n">
        <x:v>0</x:v>
      </x:c>
      <x:c r="G13" s="34" t="n">
        <x:v>1</x:v>
      </x:c>
      <x:c r="H13" s="32" t="n">
        <x:f>IF(E13=0,"",I13/E13)</x:f>
        <x:v>232.23084012647416</x:v>
      </x:c>
      <x:c r="I13" s="31" t="n">
        <x:f>IF(C13=0,"",SUMIF('Species'!$G$2:$G$87,A13,'Species'!$U$2:$U$87))</x:f>
        <x:v>28818657.41215929</x:v>
      </x:c>
      <x:c r="J13" s="32" t="n">
        <x:v>3.2994490484845005</x:v>
      </x:c>
      <x:c r="K13" s="32" t="n">
        <x:f>IF(J13="","",(1/'Metadata'!$B$5)^(J13-1))</x:f>
        <x:v>199.2732704650601</x:v>
      </x:c>
      <x:c r="L13" s="31" t="n">
        <x:f>IF(E13=0,"",E13*K13)</x:f>
        <x:v>24728791.877106305</x:v>
      </x:c>
      <x:c r="M13" s="31" t="n">
        <x:f>IF(E13=0,"",I13-L13)</x:f>
        <x:v>4089865.535052985</x:v>
      </x:c>
      <x:c r="N13" s="32" t="n">
        <x:f>IF(L13=0,"",I13/L13)</x:f>
        <x:v>1.1653888129827865</x:v>
      </x:c>
      <x:c r="O13" s="34" t="n">
        <x:f>IF(L13=0,"",M13/L13)</x:f>
        <x:v>0.16538881298278651</x:v>
      </x:c>
    </x:row>
    <x:row r="14" ht="18" customHeight="1">
      <x:c r="A14" s="24" t="str">
        <x:v>Medium pelagics (30 - 89 cm)</x:v>
      </x:c>
      <x:c r="B14" s="33" t="n">
        <x:v>6</x:v>
      </x:c>
      <x:c r="C14" s="33" t="n">
        <x:v>6</x:v>
      </x:c>
      <x:c r="D14" s="31" t="n">
        <x:v>91.87386681219999</x:v>
      </x:c>
      <x:c r="E14" s="31" t="n">
        <x:v>91.87386681219999</x:v>
      </x:c>
      <x:c r="F14" s="32" t="n">
        <x:v>0</x:v>
      </x:c>
      <x:c r="G14" s="34" t="n">
        <x:v>1</x:v>
      </x:c>
      <x:c r="H14" s="32" t="n">
        <x:f>IF(E14=0,"",I14/E14)</x:f>
        <x:v>1518.7989755091594</x:v>
      </x:c>
      <x:c r="I14" s="31" t="n">
        <x:f>IF(C14=0,"",SUMIF('Species'!$G$2:$G$87,A14,'Species'!$U$2:$U$87))</x:f>
        <x:v>139537.93479043432</x:v>
      </x:c>
      <x:c r="J14" s="32" t="n">
        <x:v>4.004949694816575</x:v>
      </x:c>
      <x:c r="K14" s="32" t="n">
        <x:f>IF(J14="","",(1/'Metadata'!$B$5)^(J14-1))</x:f>
        <x:v>1011.4622878094386</x:v>
      </x:c>
      <x:c r="L14" s="31" t="n">
        <x:f>IF(E14=0,"",E14*K14)</x:f>
        <x:v>92926.95151576746</x:v>
      </x:c>
      <x:c r="M14" s="31" t="n">
        <x:f>IF(E14=0,"",I14-L14)</x:f>
        <x:v>46610.983274666854</x:v>
      </x:c>
      <x:c r="N14" s="32" t="n">
        <x:f>IF(L14=0,"",I14/L14)</x:f>
        <x:v>1.5015873491422786</x:v>
      </x:c>
      <x:c r="O14" s="34" t="n">
        <x:f>IF(L14=0,"",M14/L14)</x:f>
        <x:v>0.5015873491422786</x:v>
      </x:c>
    </x:row>
    <x:row r="15" ht="18" customHeight="1">
      <x:c r="A15" s="24" t="str">
        <x:v>Medium reef assoc. fish (30 - 89 cm)</x:v>
      </x:c>
      <x:c r="B15" s="33" t="n">
        <x:v>1</x:v>
      </x:c>
      <x:c r="C15" s="33" t="n">
        <x:v>1</x:v>
      </x:c>
      <x:c r="D15" s="31" t="n">
        <x:v>99.0000000021</x:v>
      </x:c>
      <x:c r="E15" s="31" t="n">
        <x:v>99.0000000021</x:v>
      </x:c>
      <x:c r="F15" s="32" t="n">
        <x:v>0</x:v>
      </x:c>
      <x:c r="G15" s="34" t="n">
        <x:v>1</x:v>
      </x:c>
      <x:c r="H15" s="32" t="n">
        <x:f>IF(E15=0,"",I15/E15)</x:f>
        <x:v>33.88441561392024</x:v>
      </x:c>
      <x:c r="I15" s="31" t="n">
        <x:f>IF(C15=0,"",SUMIF('Species'!$G$2:$G$87,A15,'Species'!$U$2:$U$87))</x:f>
        <x:v>3354.557145849261</x:v>
      </x:c>
      <x:c r="J15" s="32" t="n">
        <x:v>2.53</x:v>
      </x:c>
      <x:c r="K15" s="32" t="n">
        <x:f>IF(J15="","",(1/'Metadata'!$B$5)^(J15-1))</x:f>
        <x:v>33.88441561392024</x:v>
      </x:c>
      <x:c r="L15" s="31" t="n">
        <x:f>IF(E15=0,"",E15*K15)</x:f>
        <x:v>3354.557145849261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Other demersal invertebrates</x:v>
      </x:c>
      <x:c r="B16" s="33" t="n">
        <x:v>4</x:v>
      </x:c>
      <x:c r="C16" s="33" t="n">
        <x:v>4</x:v>
      </x:c>
      <x:c r="D16" s="31" t="n">
        <x:v>23992.265780434</x:v>
      </x:c>
      <x:c r="E16" s="31" t="n">
        <x:v>23992.265780434</x:v>
      </x:c>
      <x:c r="F16" s="32" t="n">
        <x:v>0</x:v>
      </x:c>
      <x:c r="G16" s="34" t="n">
        <x:v>1</x:v>
      </x:c>
      <x:c r="H16" s="32" t="n">
        <x:f>IF(E16=0,"",I16/E16)</x:f>
        <x:v>10</x:v>
      </x:c>
      <x:c r="I16" s="31" t="n">
        <x:f>IF(C16=0,"",SUMIF('Species'!$G$2:$G$87,A16,'Species'!$U$2:$U$87))</x:f>
        <x:v>239922.65780434</x:v>
      </x:c>
      <x:c r="J16" s="32" t="n">
        <x:v>2</x:v>
      </x:c>
      <x:c r="K16" s="32" t="n">
        <x:f>IF(J16="","",(1/'Metadata'!$B$5)^(J16-1))</x:f>
        <x:v>10</x:v>
      </x:c>
      <x:c r="L16" s="31" t="n">
        <x:f>IF(E16=0,"",E16*K16)</x:f>
        <x:v>239922.65780434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Shrimps</x:v>
      </x:c>
      <x:c r="B17" s="33" t="n">
        <x:v>2</x:v>
      </x:c>
      <x:c r="C17" s="33" t="n">
        <x:v>2</x:v>
      </x:c>
      <x:c r="D17" s="31" t="n">
        <x:v>283848.87601948</x:v>
      </x:c>
      <x:c r="E17" s="31" t="n">
        <x:v>283848.87601948</x:v>
      </x:c>
      <x:c r="F17" s="32" t="n">
        <x:v>0</x:v>
      </x:c>
      <x:c r="G17" s="34" t="n">
        <x:v>1</x:v>
      </x:c>
      <x:c r="H17" s="32" t="n">
        <x:f>IF(E17=0,"",I17/E17)</x:f>
        <x:v>15.864048860387006</x:v>
      </x:c>
      <x:c r="I17" s="31" t="n">
        <x:f>IF(C17=0,"",SUMIF('Species'!$G$2:$G$87,A17,'Species'!$U$2:$U$87))</x:f>
        <x:v>4502992.438138965</x:v>
      </x:c>
      <x:c r="J17" s="32" t="n">
        <x:v>2.200220557744029</x:v>
      </x:c>
      <x:c r="K17" s="32" t="n">
        <x:f>IF(J17="","",(1/'Metadata'!$B$5)^(J17-1))</x:f>
        <x:v>15.856982895998412</x:v>
      </x:c>
      <x:c r="L17" s="31" t="n">
        <x:f>IF(E17=0,"",E17*K17)</x:f>
        <x:v>4500986.772089268</x:v>
      </x:c>
      <x:c r="M17" s="31" t="n">
        <x:f>IF(E17=0,"",I17-L17)</x:f>
        <x:v>2005.666049696505</x:v>
      </x:c>
      <x:c r="N17" s="32" t="n">
        <x:f>IF(L17=0,"",I17/L17)</x:f>
        <x:v>1.0004456058529507</x:v>
      </x:c>
      <x:c r="O17" s="34" t="n">
        <x:f>IF(L17=0,"",M17/L17)</x:f>
        <x:v>0.00044560585295066644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579.4018725424</x:v>
      </x:c>
      <x:c r="E18" s="31" t="n">
        <x:v>579.4018725424</x:v>
      </x:c>
      <x:c r="F18" s="32" t="n">
        <x:v>0</x:v>
      </x:c>
      <x:c r="G18" s="34" t="n">
        <x:v>1</x:v>
      </x:c>
      <x:c r="H18" s="32" t="n">
        <x:f>IF(E18=0,"",I18/E18)</x:f>
        <x:v>1762.5604961592346</x:v>
      </x:c>
      <x:c r="I18" s="31" t="n">
        <x:f>IF(C18=0,"",SUMIF('Species'!$G$2:$G$87,A18,'Species'!$U$2:$U$87))</x:f>
        <x:v>1021230.8519439222</x:v>
      </x:c>
      <x:c r="J18" s="32" t="n">
        <x:v>4.051341374329396</x:v>
      </x:c>
      <x:c r="K18" s="32" t="n">
        <x:f>IF(J18="","",(1/'Metadata'!$B$5)^(J18-1))</x:f>
        <x:v>1125.4893098492282</x:v>
      </x:c>
      <x:c r="L18" s="31" t="n">
        <x:f>IF(E18=0,"",E18*K18)</x:f>
        <x:v>652110.6136530964</x:v>
      </x:c>
      <x:c r="M18" s="31" t="n">
        <x:f>IF(E18=0,"",I18-L18)</x:f>
        <x:v>369120.23829082586</x:v>
      </x:c>
      <x:c r="N18" s="32" t="n">
        <x:f>IF(L18=0,"",I18/L18)</x:f>
        <x:v>1.5660393046250694</x:v>
      </x:c>
      <x:c r="O18" s="34" t="n">
        <x:f>IF(L18=0,"",M18/L18)</x:f>
        <x:v>0.5660393046250692</x:v>
      </x:c>
    </x:row>
    <x:row r="19" ht="18" customHeight="1">
      <x:c r="A19" s="24" t="str">
        <x:v>Small pelagics (&lt;30 cm)</x:v>
      </x:c>
      <x:c r="B19" s="33" t="n">
        <x:v>2</x:v>
      </x:c>
      <x:c r="C19" s="33" t="n">
        <x:v>2</x:v>
      </x:c>
      <x:c r="D19" s="31" t="n">
        <x:v>7923.398566567</x:v>
      </x:c>
      <x:c r="E19" s="31" t="n">
        <x:v>7923.398566567</x:v>
      </x:c>
      <x:c r="F19" s="32" t="n">
        <x:v>0</x:v>
      </x:c>
      <x:c r="G19" s="34" t="n">
        <x:v>1</x:v>
      </x:c>
      <x:c r="H19" s="32" t="n">
        <x:f>IF(E19=0,"",I19/E19)</x:f>
        <x:v>32.82610252088232</x:v>
      </x:c>
      <x:c r="I19" s="31" t="n">
        <x:f>IF(C19=0,"",SUMIF('Species'!$G$2:$G$87,A19,'Species'!$U$2:$U$87))</x:f>
        <x:v>260094.2936599404</x:v>
      </x:c>
      <x:c r="J19" s="32" t="n">
        <x:v>2.5146918505850433</x:v>
      </x:c>
      <x:c r="K19" s="32" t="n">
        <x:f>IF(J19="","",(1/'Metadata'!$B$5)^(J19-1))</x:f>
        <x:v>32.710851586050985</x:v>
      </x:c>
      <x:c r="L19" s="31" t="n">
        <x:f>IF(E19=0,"",E19*K19)</x:f>
        <x:v>259181.11456810226</x:v>
      </x:c>
      <x:c r="M19" s="31" t="n">
        <x:f>IF(E19=0,"",I19-L19)</x:f>
        <x:v>913.1790918381303</x:v>
      </x:c>
      <x:c r="N19" s="32" t="n">
        <x:f>IF(L19=0,"",I19/L19)</x:f>
        <x:v>1.003523324194974</x:v>
      </x:c>
      <x:c r="O19" s="34" t="n">
        <x:f>IF(L19=0,"",M19/L19)</x:f>
        <x:v>0.0035233241949740282</x:v>
      </x:c>
    </x:row>
    <x:row r="20" ht="18" customHeight="1">
      <x:c r="A20" s="24" t="str">
        <x:v>Small to medium rays (&lt;90 cm)</x:v>
      </x:c>
      <x:c r="B20" s="33" t="n">
        <x:v>5</x:v>
      </x:c>
      <x:c r="C20" s="33" t="n">
        <x:v>5</x:v>
      </x:c>
      <x:c r="D20" s="31" t="n">
        <x:v>363.000000003</x:v>
      </x:c>
      <x:c r="E20" s="31" t="n">
        <x:v>363.000000003</x:v>
      </x:c>
      <x:c r="F20" s="32" t="n">
        <x:v>0</x:v>
      </x:c>
      <x:c r="G20" s="34" t="n">
        <x:v>1</x:v>
      </x:c>
      <x:c r="H20" s="32" t="n">
        <x:f>IF(E20=0,"",I20/E20)</x:f>
        <x:v>2247.8299567951203</x:v>
      </x:c>
      <x:c r="I20" s="31" t="n">
        <x:f>IF(C20=0,"",SUMIF('Species'!$G$2:$G$87,A20,'Species'!$U$2:$U$87))</x:f>
        <x:v>815962.2743233722</x:v>
      </x:c>
      <x:c r="J20" s="32" t="n">
        <x:v>4.268539944902464</x:v>
      </x:c>
      <x:c r="K20" s="32" t="n">
        <x:f>IF(J20="","",(1/'Metadata'!$B$5)^(J20-1))</x:f>
        <x:v>1855.8374950898676</x:v>
      </x:c>
      <x:c r="L20" s="31" t="n">
        <x:f>IF(E20=0,"",E20*K20)</x:f>
        <x:v>673669.0107231895</x:v>
      </x:c>
      <x:c r="M20" s="31" t="n">
        <x:f>IF(E20=0,"",I20-L20)</x:f>
        <x:v>142293.26360018272</x:v>
      </x:c>
      <x:c r="N20" s="32" t="n">
        <x:f>IF(L20=0,"",I20/L20)</x:f>
        <x:v>1.2112213287760256</x:v>
      </x:c>
      <x:c r="O20" s="34" t="n">
        <x:f>IF(L20=0,"",M20/L20)</x:f>
        <x:v>0.21122132877602562</x:v>
      </x:c>
    </x:row>
    <x:row r="21" ht="18" customHeight="1">
      <x:c r="A21" s="24" t="str">
        <x:v>Small to medium sharks (&lt;90 cm)</x:v>
      </x:c>
      <x:c r="B21" s="33" t="n">
        <x:v>1</x:v>
      </x:c>
      <x:c r="C21" s="33" t="n">
        <x:v>1</x:v>
      </x:c>
      <x:c r="D21" s="31" t="n">
        <x:v>2831</x:v>
      </x:c>
      <x:c r="E21" s="31" t="n">
        <x:v>2831</x:v>
      </x:c>
      <x:c r="F21" s="32" t="n">
        <x:v>0</x:v>
      </x:c>
      <x:c r="G21" s="34" t="n">
        <x:v>1</x:v>
      </x:c>
      <x:c r="H21" s="32" t="n">
        <x:f>IF(E21=0,"",I21/E21)</x:f>
        <x:v>389.04514499428046</x:v>
      </x:c>
      <x:c r="I21" s="31" t="n">
        <x:f>IF(C21=0,"",SUMIF('Species'!$G$2:$G$87,A21,'Species'!$U$2:$U$87))</x:f>
        <x:v>1101386.805478808</x:v>
      </x:c>
      <x:c r="J21" s="32" t="n">
        <x:v>3.59</x:v>
      </x:c>
      <x:c r="K21" s="32" t="n">
        <x:f>IF(J21="","",(1/'Metadata'!$B$5)^(J21-1))</x:f>
        <x:v>389.04514499428046</x:v>
      </x:c>
      <x:c r="L21" s="31" t="n">
        <x:f>IF(E21=0,"",E21*K21)</x:f>
        <x:v>1101386.805478808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67eec859aca4b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EEZ_032</x:v>
      </x:c>
      <x:c r="B2" s="24" t="str">
        <x:v>raw_filtered_tonnes</x:v>
      </x:c>
      <x:c r="C2" s="24" t="n">
        <x:v>1455579.1588488943</x:v>
      </x:c>
      <x:c r="D2" s="24" t="str">
        <x:v>tonnes</x:v>
      </x:c>
    </x:row>
    <x:row r="3" ht="18" customHeight="1">
      <x:c r="A3" s="24" t="str">
        <x:v>EEZ_032</x:v>
      </x:c>
      <x:c r="B3" s="24" t="str">
        <x:v>species_catch_tonnes</x:v>
      </x:c>
      <x:c r="C3" s="24" t="n">
        <x:v>1455579.158848894</x:v>
      </x:c>
      <x:c r="D3" s="24" t="str">
        <x:v>tonnes</x:v>
      </x:c>
    </x:row>
    <x:row r="4" ht="18" customHeight="1">
      <x:c r="A4" s="24" t="str">
        <x:v>EEZ_032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EEZ_032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EEZ_032</x:v>
      </x:c>
      <x:c r="B6" s="24" t="str">
        <x:v>matched_catch_tonnes</x:v>
      </x:c>
      <x:c r="C6" s="24" t="n">
        <x:v>1455579.158848894</x:v>
      </x:c>
      <x:c r="D6" s="24" t="str">
        <x:v>tonnes</x:v>
      </x:c>
    </x:row>
    <x:row r="7" ht="18" customHeight="1">
      <x:c r="A7" s="24" t="str">
        <x:v>EEZ_032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EEZ_032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EEZ_032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EEZ_032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EEZ_032</x:v>
      </x:c>
      <x:c r="B11" s="24" t="str">
        <x:v>species_ppr</x:v>
      </x:c>
      <x:c r="C11" s="24" t="n">
        <x:v>1272031530.1874146</x:v>
      </x:c>
      <x:c r="D11" s="24" t="str">
        <x:v>tonnes_primary_production_equivalent</x:v>
      </x:c>
    </x:row>
    <x:row r="12" ht="18" customHeight="1">
      <x:c r="A12" s="24" t="str">
        <x:v>EEZ_032</x:v>
      </x:c>
      <x:c r="B12" s="24" t="str">
        <x:v>commercial_ppr</x:v>
      </x:c>
      <x:c r="C12" s="24" t="n">
        <x:v>1272031530.1874144</x:v>
      </x:c>
      <x:c r="D12" s="24" t="str">
        <x:v>tonnes_primary_production_equivalent</x:v>
      </x:c>
    </x:row>
    <x:row r="13" ht="18" customHeight="1">
      <x:c r="A13" s="24" t="str">
        <x:v>EEZ_032</x:v>
      </x:c>
      <x:c r="B13" s="24" t="str">
        <x:v>functional_ppr</x:v>
      </x:c>
      <x:c r="C13" s="24" t="n">
        <x:v>1272031530.1874144</x:v>
      </x:c>
      <x:c r="D13" s="24" t="str">
        <x:v>tonnes_primary_production_equivalent</x:v>
      </x:c>
    </x:row>
    <x:row r="14" ht="18" customHeight="1">
      <x:c r="A14" s="24" t="str">
        <x:v>EEZ_032</x:v>
      </x:c>
      <x:c r="B14" s="24" t="str">
        <x:v>commercial_ppr_difference</x:v>
      </x:c>
      <x:c r="C14" s="24" t="n">
        <x:v>-2.384185791015625e-7</x:v>
      </x:c>
      <x:c r="D14" s="24" t="str">
        <x:v>tonnes_primary_production_equivalent</x:v>
      </x:c>
    </x:row>
    <x:row r="15" ht="18" customHeight="1">
      <x:c r="A15" s="24" t="str">
        <x:v>EEZ_032</x:v>
      </x:c>
      <x:c r="B15" s="24" t="str">
        <x:v>functional_ppr_difference</x:v>
      </x:c>
      <x:c r="C15" s="24" t="n">
        <x:v>-2.384185791015625e-7</x:v>
      </x:c>
      <x:c r="D15" s="24" t="str">
        <x:v>tonnes_primary_production_equivalent</x:v>
      </x:c>
    </x:row>
    <x:row r="16" ht="18" customHeight="1">
      <x:c r="A16" s="24" t="str">
        <x:v>EEZ_032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EEZ_032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EEZ_032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EEZ_032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4777d1e75a342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EEZ_032 - Argentina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