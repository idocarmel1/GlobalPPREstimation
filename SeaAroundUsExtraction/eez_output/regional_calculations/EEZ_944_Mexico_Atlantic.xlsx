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2496eb8ff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477979dea194d54"/>
    <x:sheet xmlns:r="http://schemas.openxmlformats.org/officeDocument/2006/relationships" name="Commercial" sheetId="2" r:id="Rcd3c50150df34e9c"/>
    <x:sheet xmlns:r="http://schemas.openxmlformats.org/officeDocument/2006/relationships" name="Functional" sheetId="3" r:id="Rc78303b594b448c0"/>
    <x:sheet xmlns:r="http://schemas.openxmlformats.org/officeDocument/2006/relationships" name="Missing TL" sheetId="4" r:id="Rc5cdb286b5bd4e12"/>
    <x:sheet xmlns:r="http://schemas.openxmlformats.org/officeDocument/2006/relationships" name="Validation" sheetId="5" r:id="R95d10ff4ea384df1"/>
    <x:sheet xmlns:r="http://schemas.openxmlformats.org/officeDocument/2006/relationships" name="Metadata" sheetId="6" r:id="R1a3942ae067842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6ca8ef6b84e1b" /><Relationship Type="http://schemas.openxmlformats.org/officeDocument/2006/relationships/theme" Target="/xl/theme/theme1.xml" Id="Rd103ee8a90204562" /><Relationship Type="http://schemas.microsoft.com/office/2022/11/relationships/FeaturePropertyBag" Target="/xl/featurePropertyBag/featurePropertyBag.xml" Id="R35e663ba9948491f" /><Relationship Type="http://schemas.openxmlformats.org/officeDocument/2006/relationships/sharedStrings" Target="/xl/sharedStrings.xml" Id="R9feea8da024d4407" /><Relationship Type="http://schemas.openxmlformats.org/officeDocument/2006/relationships/worksheet" Target="/xl/worksheets/sheet1.xml" Id="R0477979dea194d54" /><Relationship Type="http://schemas.openxmlformats.org/officeDocument/2006/relationships/worksheet" Target="/xl/worksheets/sheet2.xml" Id="Rcd3c50150df34e9c" /><Relationship Type="http://schemas.openxmlformats.org/officeDocument/2006/relationships/worksheet" Target="/xl/worksheets/sheet3.xml" Id="Rc78303b594b448c0" /><Relationship Type="http://schemas.openxmlformats.org/officeDocument/2006/relationships/worksheet" Target="/xl/worksheets/sheet4.xml" Id="Rc5cdb286b5bd4e12" /><Relationship Type="http://schemas.openxmlformats.org/officeDocument/2006/relationships/worksheet" Target="/xl/worksheets/sheet5.xml" Id="R95d10ff4ea384df1" /><Relationship Type="http://schemas.openxmlformats.org/officeDocument/2006/relationships/worksheet" Target="/xl/worksheets/sheet6.xml" Id="R1a3942ae067842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4SpeciesTable" displayName="EEZ944SpeciesTable" ref="A1:U104" headerRowCount="1" totalsRowCount="0" totalsRowShown="0">
  <x:autoFilter ref="A1:U10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4CommercialTable" displayName="EEZ944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4FunctionalTable" displayName="EEZ944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4ValidationTable" displayName="EEZ94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9bba746ab247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011cf4c72149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3363224fb7440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dc498585eb4f8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EEZ_944</x:v>
      </x:c>
      <x:c r="B2" s="24" t="str">
        <x:v>Mexico (Atlantic)</x:v>
      </x:c>
      <x:c r="C2" s="24" t="str">
        <x:v>EEZ</x:v>
      </x:c>
      <x:c r="D2" s="30" t="n">
        <x:v>2019</x:v>
      </x:c>
      <x:c r="E2" s="24" t="str">
        <x:v>Marine finfishes not identified</x:v>
      </x:c>
      <x:c r="F2" s="24" t="str">
        <x:v>Finfishes</x:v>
      </x:c>
      <x:c r="G2" s="24" t="str">
        <x:v>Medium demersals (30 - 89 cm)</x:v>
      </x:c>
      <x:c r="H2" s="24" t="str">
        <x:v>Other fishes &amp; inverts</x:v>
      </x:c>
      <x:c r="I2" s="31" t="n">
        <x:v>106051.0092216423</x:v>
      </x:c>
      <x:c r="J2" s="31" t="n">
        <x:v>78298.6597158655</x:v>
      </x:c>
      <x:c r="K2" s="31" t="n">
        <x:v>27752.3495057768</x:v>
      </x:c>
      <x:c r="L2" s="31" t="n">
        <x:v>15698</x:v>
      </x:c>
      <x:c r="M2" s="31" t="n">
        <x:v>90353.0092216423</x:v>
      </x:c>
      <x:c r="N2" s="24" t="str">
        <x:v>marine finfishes not identified</x:v>
      </x:c>
      <x:c r="O2" s="32" t="n">
        <x:v>3.23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finfishes not identified</x:v>
      </x:c>
      <x:c r="T2" s="32" t="n">
        <x:f>IF(O2="","",(1/'Metadata'!$B$5)^(O2-1))</x:f>
        <x:v>169.82436524617444</x:v>
      </x:c>
      <x:c r="U2" s="31" t="n">
        <x:f>IF(T2="","",I2*T2)</x:f>
        <x:v>18010045.324781597</x:v>
      </x:c>
    </x:row>
    <x:row r="3" ht="18" customHeight="1">
      <x:c r="A3" s="24" t="str">
        <x:v>EEZ_944</x:v>
      </x:c>
      <x:c r="B3" s="24" t="str">
        <x:v>Mexico (Atlantic)</x:v>
      </x:c>
      <x:c r="C3" s="24" t="str">
        <x:v>EEZ</x:v>
      </x:c>
      <x:c r="D3" s="30" t="n">
        <x:v>2019</x:v>
      </x:c>
      <x:c r="E3" s="24" t="str">
        <x:v>Actinopterygii</x:v>
      </x:c>
      <x:c r="F3" s="24" t="str">
        <x:v>Ray-finned fishes</x:v>
      </x:c>
      <x:c r="G3" s="24" t="str">
        <x:v>Medium demersals (30 - 89 cm)</x:v>
      </x:c>
      <x:c r="H3" s="24" t="str">
        <x:v>Other fishes &amp; inverts</x:v>
      </x:c>
      <x:c r="I3" s="31" t="n">
        <x:v>91251.246445294</x:v>
      </x:c>
      <x:c r="J3" s="31" t="n">
        <x:v>63498.89693951721</x:v>
      </x:c>
      <x:c r="K3" s="31" t="n">
        <x:v>27752.3495057768</x:v>
      </x:c>
      <x:c r="L3" s="31" t="n">
        <x:v>0</x:v>
      </x:c>
      <x:c r="M3" s="31" t="n">
        <x:v>91251.246445294</x:v>
      </x:c>
      <x:c r="N3" s="24" t="str">
        <x:v>actinopterygii</x:v>
      </x:c>
      <x:c r="O3" s="32" t="n">
        <x:v>3.79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Actinopterygii</x:v>
      </x:c>
      <x:c r="T3" s="32" t="n">
        <x:f>IF(O3="","",(1/'Metadata'!$B$5)^(O3-1))</x:f>
        <x:v>616.5950018614822</x:v>
      </x:c>
      <x:c r="U3" s="31" t="n">
        <x:f>IF(T3="","",I3*T3)</x:f>
        <x:v>56265062.47179862</x:v>
      </x:c>
    </x:row>
    <x:row r="4" ht="18" customHeight="1">
      <x:c r="A4" s="24" t="str">
        <x:v>EEZ_944</x:v>
      </x:c>
      <x:c r="B4" s="24" t="str">
        <x:v>Mexico (Atlantic)</x:v>
      </x:c>
      <x:c r="C4" s="24" t="str">
        <x:v>EEZ</x:v>
      </x:c>
      <x:c r="D4" s="30" t="n">
        <x:v>2019</x:v>
      </x:c>
      <x:c r="E4" s="24" t="str">
        <x:v>Crassostrea virginica</x:v>
      </x:c>
      <x:c r="F4" s="24" t="str">
        <x:v>American cupped oyster</x:v>
      </x:c>
      <x:c r="G4" s="24" t="str">
        <x:v>Other demersal invertebrates</x:v>
      </x:c>
      <x:c r="H4" s="24" t="str">
        <x:v>Molluscs</x:v>
      </x:c>
      <x:c r="I4" s="31" t="n">
        <x:v>45108</x:v>
      </x:c>
      <x:c r="J4" s="31" t="n">
        <x:v>45108</x:v>
      </x:c>
      <x:c r="K4" s="31" t="n">
        <x:v>0</x:v>
      </x:c>
      <x:c r="L4" s="31" t="n">
        <x:v>45108</x:v>
      </x:c>
      <x:c r="M4" s="31" t="n">
        <x:v>0</x:v>
      </x:c>
      <x:c r="N4" s="24" t="str">
        <x:v>crassostrea virginica</x:v>
      </x:c>
      <x:c r="O4" s="32" t="n">
        <x:v>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Crassostrea virginica</x:v>
      </x:c>
      <x:c r="T4" s="32" t="n">
        <x:f>IF(O4="","",(1/'Metadata'!$B$5)^(O4-1))</x:f>
        <x:v>10</x:v>
      </x:c>
      <x:c r="U4" s="31" t="n">
        <x:f>IF(T4="","",I4*T4)</x:f>
        <x:v>451080</x:v>
      </x:c>
    </x:row>
    <x:row r="5" ht="18" customHeight="1">
      <x:c r="A5" s="24" t="str">
        <x:v>EEZ_944</x:v>
      </x:c>
      <x:c r="B5" s="24" t="str">
        <x:v>Mexico (Atlantic)</x:v>
      </x:c>
      <x:c r="C5" s="24" t="str">
        <x:v>EEZ</x:v>
      </x:c>
      <x:c r="D5" s="30" t="n">
        <x:v>2019</x:v>
      </x:c>
      <x:c r="E5" s="24" t="str">
        <x:v>Octopus maya</x:v>
      </x:c>
      <x:c r="F5" s="24" t="str">
        <x:v>Mexican foureyed octopus</x:v>
      </x:c>
      <x:c r="G5" s="24" t="str">
        <x:v>Cephalopods</x:v>
      </x:c>
      <x:c r="H5" s="24" t="str">
        <x:v>Other fishes &amp; inverts</x:v>
      </x:c>
      <x:c r="I5" s="31" t="n">
        <x:v>21641.592688778102</x:v>
      </x:c>
      <x:c r="J5" s="31" t="n">
        <x:v>21641.592688778102</x:v>
      </x:c>
      <x:c r="K5" s="31" t="n">
        <x:v>0</x:v>
      </x:c>
      <x:c r="L5" s="31" t="n">
        <x:v>20119</x:v>
      </x:c>
      <x:c r="M5" s="31" t="n">
        <x:v>1522.5926887781</x:v>
      </x:c>
      <x:c r="N5" s="24" t="str">
        <x:v>octopus maya</x:v>
      </x:c>
      <x:c r="O5" s="32" t="n">
        <x:v>3.5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Octopus maya</x:v>
      </x:c>
      <x:c r="T5" s="32" t="n">
        <x:f>IF(O5="","",(1/'Metadata'!$B$5)^(O5-1))</x:f>
        <x:v>316.22776601683796</x:v>
      </x:c>
      <x:c r="U5" s="31" t="n">
        <x:f>IF(T5="","",I5*T5)</x:f>
        <x:v>6843672.509018633</x:v>
      </x:c>
    </x:row>
    <x:row r="6" ht="18" customHeight="1">
      <x:c r="A6" s="24" t="str">
        <x:v>EEZ_944</x:v>
      </x:c>
      <x:c r="B6" s="24" t="str">
        <x:v>Mexico (Atlantic)</x:v>
      </x:c>
      <x:c r="C6" s="24" t="str">
        <x:v>EEZ</x:v>
      </x:c>
      <x:c r="D6" s="30" t="n">
        <x:v>2019</x:v>
      </x:c>
      <x:c r="E6" s="24" t="str">
        <x:v>Callinectes sapidus</x:v>
      </x:c>
      <x:c r="F6" s="24" t="str">
        <x:v>Blue crab</x:v>
      </x:c>
      <x:c r="G6" s="24" t="str">
        <x:v>Lobsters, crabs</x:v>
      </x:c>
      <x:c r="H6" s="24" t="str">
        <x:v>Crustaceans</x:v>
      </x:c>
      <x:c r="I6" s="31" t="n">
        <x:v>19093.8468858796</x:v>
      </x:c>
      <x:c r="J6" s="31" t="n">
        <x:v>19093.8468858796</x:v>
      </x:c>
      <x:c r="K6" s="31" t="n">
        <x:v>0</x:v>
      </x:c>
      <x:c r="L6" s="31" t="n">
        <x:v>14438</x:v>
      </x:c>
      <x:c r="M6" s="31" t="n">
        <x:v>4655.8468858796</x:v>
      </x:c>
      <x:c r="N6" s="24" t="str">
        <x:v>callinectes sapidus</x:v>
      </x:c>
      <x:c r="O6" s="32" t="n">
        <x:v>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Callinectes sapidus</x:v>
      </x:c>
      <x:c r="T6" s="32" t="n">
        <x:f>IF(O6="","",(1/'Metadata'!$B$5)^(O6-1))</x:f>
        <x:v>1000</x:v>
      </x:c>
      <x:c r="U6" s="31" t="n">
        <x:f>IF(T6="","",I6*T6)</x:f>
        <x:v>19093846.885879602</x:v>
      </x:c>
    </x:row>
    <x:row r="7" ht="18" customHeight="1">
      <x:c r="A7" s="24" t="str">
        <x:v>EEZ_944</x:v>
      </x:c>
      <x:c r="B7" s="24" t="str">
        <x:v>Mexico (Atlantic)</x:v>
      </x:c>
      <x:c r="C7" s="24" t="str">
        <x:v>EEZ</x:v>
      </x:c>
      <x:c r="D7" s="30" t="n">
        <x:v>2019</x:v>
      </x:c>
      <x:c r="E7" s="24" t="str">
        <x:v>Penaeus aztecus</x:v>
      </x:c>
      <x:c r="F7" s="24" t="str">
        <x:v>Northern brown shrimp</x:v>
      </x:c>
      <x:c r="G7" s="24" t="str">
        <x:v>Shrimps</x:v>
      </x:c>
      <x:c r="H7" s="24" t="str">
        <x:v>Crustaceans</x:v>
      </x:c>
      <x:c r="I7" s="31" t="n">
        <x:v>16684.7553642122</x:v>
      </x:c>
      <x:c r="J7" s="31" t="n">
        <x:v>16684.7553642122</x:v>
      </x:c>
      <x:c r="K7" s="31" t="n">
        <x:v>0</x:v>
      </x:c>
      <x:c r="L7" s="31" t="n">
        <x:v>13741.1316896916</x:v>
      </x:c>
      <x:c r="M7" s="31" t="n">
        <x:v>2943.6236745206</x:v>
      </x:c>
      <x:c r="N7" s="24" t="str">
        <x:v>penaeus aztecus</x:v>
      </x:c>
      <x:c r="O7" s="32" t="n">
        <x:v>2.8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Penaeus aztecus</x:v>
      </x:c>
      <x:c r="T7" s="32" t="n">
        <x:f>IF(O7="","",(1/'Metadata'!$B$5)^(O7-1))</x:f>
        <x:v>63.0957344480193</x:v>
      </x:c>
      <x:c r="U7" s="31" t="n">
        <x:f>IF(T7="","",I7*T7)</x:f>
        <x:v>1052736.8937904986</x:v>
      </x:c>
    </x:row>
    <x:row r="8" ht="18" customHeight="1">
      <x:c r="A8" s="24" t="str">
        <x:v>EEZ_944</x:v>
      </x:c>
      <x:c r="B8" s="24" t="str">
        <x:v>Mexico (Atlantic)</x:v>
      </x:c>
      <x:c r="C8" s="24" t="str">
        <x:v>EEZ</x:v>
      </x:c>
      <x:c r="D8" s="30" t="n">
        <x:v>2019</x:v>
      </x:c>
      <x:c r="E8" s="24" t="str">
        <x:v>Serranidae</x:v>
      </x:c>
      <x:c r="F8" s="24" t="str">
        <x:v>Basses, groupers, hinds</x:v>
      </x:c>
      <x:c r="G8" s="24" t="str">
        <x:v>Medium reef assoc. fish (30 - 89 cm)</x:v>
      </x:c>
      <x:c r="H8" s="24" t="str">
        <x:v>Perch-likes</x:v>
      </x:c>
      <x:c r="I8" s="31" t="n">
        <x:v>14645.996353024599</x:v>
      </x:c>
      <x:c r="J8" s="31" t="n">
        <x:v>14645.996353024599</x:v>
      </x:c>
      <x:c r="K8" s="31" t="n">
        <x:v>0</x:v>
      </x:c>
      <x:c r="L8" s="31" t="n">
        <x:v>9816</x:v>
      </x:c>
      <x:c r="M8" s="31" t="n">
        <x:v>4829.9963530246005</x:v>
      </x:c>
      <x:c r="N8" s="24" t="str">
        <x:v>serranidae</x:v>
      </x:c>
      <x:c r="O8" s="32" t="n">
        <x:v>3.98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Serranidae</x:v>
      </x:c>
      <x:c r="T8" s="32" t="n">
        <x:f>IF(O8="","",(1/'Metadata'!$B$5)^(O8-1))</x:f>
        <x:v>954.992586021436</x:v>
      </x:c>
      <x:c r="U8" s="31" t="n">
        <x:f>IF(T8="","",I8*T8)</x:f>
        <x:v>13986817.932035482</x:v>
      </x:c>
    </x:row>
    <x:row r="9" ht="18" customHeight="1">
      <x:c r="A9" s="24" t="str">
        <x:v>EEZ_944</x:v>
      </x:c>
      <x:c r="B9" s="24" t="str">
        <x:v>Mexico (Atlantic)</x:v>
      </x:c>
      <x:c r="C9" s="24" t="str">
        <x:v>EEZ</x:v>
      </x:c>
      <x:c r="D9" s="30" t="n">
        <x:v>2019</x:v>
      </x:c>
      <x:c r="E9" s="24" t="str">
        <x:v>Octopus vulgaris</x:v>
      </x:c>
      <x:c r="F9" s="24" t="str">
        <x:v>Common octopus</x:v>
      </x:c>
      <x:c r="G9" s="24" t="str">
        <x:v>Cephalopods</x:v>
      </x:c>
      <x:c r="H9" s="24" t="str">
        <x:v>Other fishes &amp; inverts</x:v>
      </x:c>
      <x:c r="I9" s="31" t="n">
        <x:v>14339</x:v>
      </x:c>
      <x:c r="J9" s="31" t="n">
        <x:v>14339</x:v>
      </x:c>
      <x:c r="K9" s="31" t="n">
        <x:v>0</x:v>
      </x:c>
      <x:c r="L9" s="31" t="n">
        <x:v>14339</x:v>
      </x:c>
      <x:c r="M9" s="31" t="n">
        <x:v>0</x:v>
      </x:c>
      <x:c r="N9" s="24" t="str">
        <x:v>octopus vulgaris</x:v>
      </x:c>
      <x:c r="O9" s="32" t="n">
        <x:v>3.6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Octopus vulgaris</x:v>
      </x:c>
      <x:c r="T9" s="32" t="n">
        <x:f>IF(O9="","",(1/'Metadata'!$B$5)^(O9-1))</x:f>
        <x:v>398.1071705534973</x:v>
      </x:c>
      <x:c r="U9" s="31" t="n">
        <x:f>IF(T9="","",I9*T9)</x:f>
        <x:v>5708458.718566598</x:v>
      </x:c>
    </x:row>
    <x:row r="10" ht="18" customHeight="1">
      <x:c r="A10" s="24" t="str">
        <x:v>EEZ_944</x:v>
      </x:c>
      <x:c r="B10" s="24" t="str">
        <x:v>Mexico (Atlantic)</x:v>
      </x:c>
      <x:c r="C10" s="24" t="str">
        <x:v>EEZ</x:v>
      </x:c>
      <x:c r="D10" s="30" t="n">
        <x:v>2019</x:v>
      </x:c>
      <x:c r="E10" s="24" t="str">
        <x:v>Scomberomorus maculatus</x:v>
      </x:c>
      <x:c r="F10" s="24" t="str">
        <x:v>Atlantic Spanish mackerel</x:v>
      </x:c>
      <x:c r="G10" s="24" t="str">
        <x:v>Medium pelagics (30 - 89 cm)</x:v>
      </x:c>
      <x:c r="H10" s="24" t="str">
        <x:v>Perch-likes</x:v>
      </x:c>
      <x:c r="I10" s="31" t="n">
        <x:v>12100.775215346901</x:v>
      </x:c>
      <x:c r="J10" s="31" t="n">
        <x:v>12100.775215346901</x:v>
      </x:c>
      <x:c r="K10" s="31" t="n">
        <x:v>0</x:v>
      </x:c>
      <x:c r="L10" s="31" t="n">
        <x:v>9241.3974069866</x:v>
      </x:c>
      <x:c r="M10" s="31" t="n">
        <x:v>2859.3778083603</x:v>
      </x:c>
      <x:c r="N10" s="24" t="str">
        <x:v>scomberomorus maculatus</x:v>
      </x:c>
      <x:c r="O10" s="32" t="n">
        <x:v>4.53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Scomberomorus maculatus</x:v>
      </x:c>
      <x:c r="T10" s="32" t="n">
        <x:f>IF(O10="","",(1/'Metadata'!$B$5)^(O10-1))</x:f>
        <x:v>3388.4415613920273</x:v>
      </x:c>
      <x:c r="U10" s="31" t="n">
        <x:f>IF(T10="","",I10*T10)</x:f>
        <x:v>41002769.664744</x:v>
      </x:c>
    </x:row>
    <x:row r="11" ht="18" customHeight="1">
      <x:c r="A11" s="24" t="str">
        <x:v>EEZ_944</x:v>
      </x:c>
      <x:c r="B11" s="24" t="str">
        <x:v>Mexico (Atlantic)</x:v>
      </x:c>
      <x:c r="C11" s="24" t="str">
        <x:v>EEZ</x:v>
      </x:c>
      <x:c r="D11" s="30" t="n">
        <x:v>2019</x:v>
      </x:c>
      <x:c r="E11" s="24" t="str">
        <x:v>Caranx</x:v>
      </x:c>
      <x:c r="F11" s="24" t="str">
        <x:v>Jacks</x:v>
      </x:c>
      <x:c r="G11" s="24" t="str">
        <x:v>Medium reef assoc. fish (30 - 89 cm)</x:v>
      </x:c>
      <x:c r="H11" s="24" t="str">
        <x:v>Perch-likes</x:v>
      </x:c>
      <x:c r="I11" s="31" t="n">
        <x:v>11824.6152421935</x:v>
      </x:c>
      <x:c r="J11" s="31" t="n">
        <x:v>11824.6152421935</x:v>
      </x:c>
      <x:c r="K11" s="31" t="n">
        <x:v>0</x:v>
      </x:c>
      <x:c r="L11" s="31" t="n">
        <x:v>8413</x:v>
      </x:c>
      <x:c r="M11" s="31" t="n">
        <x:v>3411.6152421935</x:v>
      </x:c>
      <x:c r="N11" s="24" t="str">
        <x:v>caranx</x:v>
      </x:c>
      <x:c r="O11" s="32" t="n">
        <x:v>4.12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Caranx</x:v>
      </x:c>
      <x:c r="T11" s="32" t="n">
        <x:f>IF(O11="","",(1/'Metadata'!$B$5)^(O11-1))</x:f>
        <x:v>1318.2567385564075</x:v>
      </x:c>
      <x:c r="U11" s="31" t="n">
        <x:f>IF(T11="","",I11*T11)</x:f>
        <x:v>15587878.723858388</x:v>
      </x:c>
    </x:row>
    <x:row r="12" ht="18" customHeight="1">
      <x:c r="A12" s="24" t="str">
        <x:v>EEZ_944</x:v>
      </x:c>
      <x:c r="B12" s="24" t="str">
        <x:v>Mexico (Atlantic)</x:v>
      </x:c>
      <x:c r="C12" s="24" t="str">
        <x:v>EEZ</x:v>
      </x:c>
      <x:c r="D12" s="30" t="n">
        <x:v>2019</x:v>
      </x:c>
      <x:c r="E12" s="24" t="str">
        <x:v>Miscellaneous marine crustaceans</x:v>
      </x:c>
      <x:c r="F12" s="24" t="str">
        <x:v>Marine crabs, shrimps, lobsters nei</x:v>
      </x:c>
      <x:c r="G12" s="24" t="str">
        <x:v>Shrimps</x:v>
      </x:c>
      <x:c r="H12" s="24" t="str">
        <x:v>Crustaceans</x:v>
      </x:c>
      <x:c r="I12" s="31" t="n">
        <x:v>11061.7085053764</x:v>
      </x:c>
      <x:c r="J12" s="31" t="n">
        <x:v>0</x:v>
      </x:c>
      <x:c r="K12" s="31" t="n">
        <x:v>11061.7085053764</x:v>
      </x:c>
      <x:c r="L12" s="31" t="n">
        <x:v>0</x:v>
      </x:c>
      <x:c r="M12" s="31" t="n">
        <x:v>11061.7085053764</x:v>
      </x:c>
      <x:c r="N12" s="24" t="str">
        <x:v>miscellaneous marine crustaceans</x:v>
      </x:c>
      <x:c r="O12" s="32" t="n">
        <x:v>2.7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Miscellaneous marine crustaceans</x:v>
      </x:c>
      <x:c r="T12" s="32" t="n">
        <x:f>IF(O12="","",(1/'Metadata'!$B$5)^(O12-1))</x:f>
        <x:v>50.11872336272725</x:v>
      </x:c>
      <x:c r="U12" s="31" t="n">
        <x:f>IF(T12="","",I12*T12)</x:f>
        <x:v>554398.7085000869</x:v>
      </x:c>
    </x:row>
    <x:row r="13" ht="18" customHeight="1">
      <x:c r="A13" s="24" t="str">
        <x:v>EEZ_944</x:v>
      </x:c>
      <x:c r="B13" s="24" t="str">
        <x:v>Mexico (Atlantic)</x:v>
      </x:c>
      <x:c r="C13" s="24" t="str">
        <x:v>EEZ</x:v>
      </x:c>
      <x:c r="D13" s="30" t="n">
        <x:v>2019</x:v>
      </x:c>
      <x:c r="E13" s="24" t="str">
        <x:v>Caranx crysos</x:v>
      </x:c>
      <x:c r="F13" s="24" t="str">
        <x:v>Blue runner</x:v>
      </x:c>
      <x:c r="G13" s="24" t="str">
        <x:v>Medium reef assoc. fish (30 - 89 cm)</x:v>
      </x:c>
      <x:c r="H13" s="24" t="str">
        <x:v>Perch-likes</x:v>
      </x:c>
      <x:c r="I13" s="31" t="n">
        <x:v>10981.975909089599</x:v>
      </x:c>
      <x:c r="J13" s="31" t="n">
        <x:v>10981.975909089599</x:v>
      </x:c>
      <x:c r="K13" s="31" t="n">
        <x:v>0</x:v>
      </x:c>
      <x:c r="L13" s="31" t="n">
        <x:v>8406</x:v>
      </x:c>
      <x:c r="M13" s="31" t="n">
        <x:v>2575.9759090896</x:v>
      </x:c>
      <x:c r="N13" s="24" t="str">
        <x:v>caranx crysos</x:v>
      </x:c>
      <x:c r="O13" s="32" t="n">
        <x:v>4.13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Caranx crysos</x:v>
      </x:c>
      <x:c r="T13" s="32" t="n">
        <x:f>IF(O13="","",(1/'Metadata'!$B$5)^(O13-1))</x:f>
        <x:v>1348.9628825916532</x:v>
      </x:c>
      <x:c r="U13" s="31" t="n">
        <x:f>IF(T13="","",I13*T13)</x:f>
        <x:v>14814277.878877595</x:v>
      </x:c>
    </x:row>
    <x:row r="14" ht="18" customHeight="1">
      <x:c r="A14" s="24" t="str">
        <x:v>EEZ_944</x:v>
      </x:c>
      <x:c r="B14" s="24" t="str">
        <x:v>Mexico (Atlantic)</x:v>
      </x:c>
      <x:c r="C14" s="24" t="str">
        <x:v>EEZ</x:v>
      </x:c>
      <x:c r="D14" s="30" t="n">
        <x:v>2019</x:v>
      </x:c>
      <x:c r="E14" s="24" t="str">
        <x:v>Ariidae</x:v>
      </x:c>
      <x:c r="F14" s="24" t="str">
        <x:v>Sea catfishes, coblers</x:v>
      </x:c>
      <x:c r="G14" s="24" t="str">
        <x:v>Medium demersals (30 - 89 cm)</x:v>
      </x:c>
      <x:c r="H14" s="24" t="str">
        <x:v>Other fishes &amp; inverts</x:v>
      </x:c>
      <x:c r="I14" s="31" t="n">
        <x:v>9370.8739899019</x:v>
      </x:c>
      <x:c r="J14" s="31" t="n">
        <x:v>9370.8739899019</x:v>
      </x:c>
      <x:c r="K14" s="31" t="n">
        <x:v>0</x:v>
      </x:c>
      <x:c r="L14" s="31" t="n">
        <x:v>5531</x:v>
      </x:c>
      <x:c r="M14" s="31" t="n">
        <x:v>3839.8739899019</x:v>
      </x:c>
      <x:c r="N14" s="24" t="str">
        <x:v>ariidae</x:v>
      </x:c>
      <x:c r="O14" s="32" t="n">
        <x:v>3.48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Ariidae</x:v>
      </x:c>
      <x:c r="T14" s="32" t="n">
        <x:f>IF(O14="","",(1/'Metadata'!$B$5)^(O14-1))</x:f>
        <x:v>301.9951720402016</x:v>
      </x:c>
      <x:c r="U14" s="31" t="n">
        <x:f>IF(T14="","",I14*T14)</x:f>
        <x:v>2829958.702747475</x:v>
      </x:c>
    </x:row>
    <x:row r="15" ht="18" customHeight="1">
      <x:c r="A15" s="24" t="str">
        <x:v>EEZ_944</x:v>
      </x:c>
      <x:c r="B15" s="24" t="str">
        <x:v>Mexico (Atlantic)</x:v>
      </x:c>
      <x:c r="C15" s="24" t="str">
        <x:v>EEZ</x:v>
      </x:c>
      <x:c r="D15" s="30" t="n">
        <x:v>2019</x:v>
      </x:c>
      <x:c r="E15" s="24" t="str">
        <x:v>Centropomidae</x:v>
      </x:c>
      <x:c r="F15" s="24" t="str">
        <x:v>Snooks</x:v>
      </x:c>
      <x:c r="G15" s="24" t="str">
        <x:v>Large reef assoc. fish (&gt;=90 cm)</x:v>
      </x:c>
      <x:c r="H15" s="24" t="str">
        <x:v>Perch-likes</x:v>
      </x:c>
      <x:c r="I15" s="31" t="n">
        <x:v>9354.1437420739</x:v>
      </x:c>
      <x:c r="J15" s="31" t="n">
        <x:v>9354.1437420739</x:v>
      </x:c>
      <x:c r="K15" s="31" t="n">
        <x:v>0</x:v>
      </x:c>
      <x:c r="L15" s="31" t="n">
        <x:v>6629</x:v>
      </x:c>
      <x:c r="M15" s="31" t="n">
        <x:v>2725.1437420739</x:v>
      </x:c>
      <x:c r="N15" s="24" t="str">
        <x:v>centropomidae</x:v>
      </x:c>
      <x:c r="O15" s="32" t="n">
        <x:v>3.92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Centropomidae</x:v>
      </x:c>
      <x:c r="T15" s="32" t="n">
        <x:f>IF(O15="","",(1/'Metadata'!$B$5)^(O15-1))</x:f>
        <x:v>831.7637711026708</x:v>
      </x:c>
      <x:c r="U15" s="31" t="n">
        <x:f>IF(T15="","",I15*T15)</x:f>
        <x:v>7780437.874343837</x:v>
      </x:c>
    </x:row>
    <x:row r="16" ht="18" customHeight="1">
      <x:c r="A16" s="24" t="str">
        <x:v>EEZ_944</x:v>
      </x:c>
      <x:c r="B16" s="24" t="str">
        <x:v>Mexico (Atlantic)</x:v>
      </x:c>
      <x:c r="C16" s="24" t="str">
        <x:v>EEZ</x:v>
      </x:c>
      <x:c r="D16" s="30" t="n">
        <x:v>2019</x:v>
      </x:c>
      <x:c r="E16" s="24" t="str">
        <x:v>Scomberomorus cavalla</x:v>
      </x:c>
      <x:c r="F16" s="24" t="str">
        <x:v>King mackerel</x:v>
      </x:c>
      <x:c r="G16" s="24" t="str">
        <x:v>Large pelagics (&gt;=90 cm)</x:v>
      </x:c>
      <x:c r="H16" s="24" t="str">
        <x:v>Perch-likes</x:v>
      </x:c>
      <x:c r="I16" s="31" t="n">
        <x:v>6423.8906280908</x:v>
      </x:c>
      <x:c r="J16" s="31" t="n">
        <x:v>6423.8906280908</x:v>
      </x:c>
      <x:c r="K16" s="31" t="n">
        <x:v>0</x:v>
      </x:c>
      <x:c r="L16" s="31" t="n">
        <x:v>5170</x:v>
      </x:c>
      <x:c r="M16" s="31" t="n">
        <x:v>1253.8906280908</x:v>
      </x:c>
      <x:c r="N16" s="24" t="str">
        <x:v>scomberomorus cavalla</x:v>
      </x:c>
      <x:c r="O16" s="32" t="n">
        <x:v>4.42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Scomberomorus cavalla</x:v>
      </x:c>
      <x:c r="T16" s="32" t="n">
        <x:f>IF(O16="","",(1/'Metadata'!$B$5)^(O16-1))</x:f>
        <x:v>2630.2679918953813</x:v>
      </x:c>
      <x:c r="U16" s="31" t="n">
        <x:f>IF(T16="","",I16*T16)</x:f>
        <x:v>16896553.90250395</x:v>
      </x:c>
    </x:row>
    <x:row r="17" ht="18" customHeight="1">
      <x:c r="A17" s="24" t="str">
        <x:v>EEZ_944</x:v>
      </x:c>
      <x:c r="B17" s="24" t="str">
        <x:v>Mexico (Atlantic)</x:v>
      </x:c>
      <x:c r="C17" s="24" t="str">
        <x:v>EEZ</x:v>
      </x:c>
      <x:c r="D17" s="30" t="n">
        <x:v>2019</x:v>
      </x:c>
      <x:c r="E17" s="24" t="str">
        <x:v>Marine fishes not identified</x:v>
      </x:c>
      <x:c r="F17" s="24" t="str">
        <x:v>Marine fishes nei</x:v>
      </x:c>
      <x:c r="G17" s="24" t="str">
        <x:v>Medium demersals (30 - 89 cm)</x:v>
      </x:c>
      <x:c r="H17" s="24" t="str">
        <x:v>Other fishes &amp; inverts</x:v>
      </x:c>
      <x:c r="I17" s="31" t="n">
        <x:v>6316.3373824476</x:v>
      </x:c>
      <x:c r="J17" s="31" t="n">
        <x:v>3870.4324584172</x:v>
      </x:c>
      <x:c r="K17" s="31" t="n">
        <x:v>2445.9049240304</x:v>
      </x:c>
      <x:c r="L17" s="31" t="n">
        <x:v>2552.165</x:v>
      </x:c>
      <x:c r="M17" s="31" t="n">
        <x:v>3764.1723824476</x:v>
      </x:c>
      <x:c r="N17" s="24" t="str">
        <x:v>marine fishes not identified</x:v>
      </x:c>
      <x:c r="O17" s="32" t="n">
        <x:v>3.28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Marine fishes not identified</x:v>
      </x:c>
      <x:c r="T17" s="32" t="n">
        <x:f>IF(O17="","",(1/'Metadata'!$B$5)^(O17-1))</x:f>
        <x:v>190.54607179632464</x:v>
      </x:c>
      <x:c r="U17" s="31" t="n">
        <x:f>IF(T17="","",I17*T17)</x:f>
        <x:v>1203553.2763656697</x:v>
      </x:c>
    </x:row>
    <x:row r="18" ht="18" customHeight="1">
      <x:c r="A18" s="24" t="str">
        <x:v>EEZ_944</x:v>
      </x:c>
      <x:c r="B18" s="24" t="str">
        <x:v>Mexico (Atlantic)</x:v>
      </x:c>
      <x:c r="C18" s="24" t="str">
        <x:v>EEZ</x:v>
      </x:c>
      <x:c r="D18" s="30" t="n">
        <x:v>2019</x:v>
      </x:c>
      <x:c r="E18" s="24" t="str">
        <x:v>Cynoscion</x:v>
      </x:c>
      <x:c r="F18" s="24" t="str">
        <x:v>Weakfishes</x:v>
      </x:c>
      <x:c r="G18" s="24" t="str">
        <x:v>Medium demersals (30 - 89 cm)</x:v>
      </x:c>
      <x:c r="H18" s="24" t="str">
        <x:v>Perch-likes</x:v>
      </x:c>
      <x:c r="I18" s="31" t="n">
        <x:v>5955.5678250502</x:v>
      </x:c>
      <x:c r="J18" s="31" t="n">
        <x:v>5955.5678250502</x:v>
      </x:c>
      <x:c r="K18" s="31" t="n">
        <x:v>0</x:v>
      </x:c>
      <x:c r="L18" s="31" t="n">
        <x:v>4225</x:v>
      </x:c>
      <x:c r="M18" s="31" t="n">
        <x:v>1730.5678250501999</x:v>
      </x:c>
      <x:c r="N18" s="24" t="str">
        <x:v>cynoscion</x:v>
      </x:c>
      <x:c r="O18" s="32" t="n">
        <x:v>4.21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Cynoscion</x:v>
      </x:c>
      <x:c r="T18" s="32" t="n">
        <x:f>IF(O18="","",(1/'Metadata'!$B$5)^(O18-1))</x:f>
        <x:v>1621.8100973589299</x:v>
      </x:c>
      <x:c r="U18" s="31" t="n">
        <x:f>IF(T18="","",I18*T18)</x:f>
        <x:v>9658800.034172375</x:v>
      </x:c>
    </x:row>
    <x:row r="19" ht="18" customHeight="1">
      <x:c r="A19" s="24" t="str">
        <x:v>EEZ_944</x:v>
      </x:c>
      <x:c r="B19" s="24" t="str">
        <x:v>Mexico (Atlantic)</x:v>
      </x:c>
      <x:c r="C19" s="24" t="str">
        <x:v>EEZ</x:v>
      </x:c>
      <x:c r="D19" s="30" t="n">
        <x:v>2019</x:v>
      </x:c>
      <x:c r="E19" s="24" t="str">
        <x:v>Mugil cephalus</x:v>
      </x:c>
      <x:c r="F19" s="24" t="str">
        <x:v>Flathead grey mullet</x:v>
      </x:c>
      <x:c r="G19" s="24" t="str">
        <x:v>Large benthopelagics (&gt;=90 cm)</x:v>
      </x:c>
      <x:c r="H19" s="24" t="str">
        <x:v>Perch-likes</x:v>
      </x:c>
      <x:c r="I19" s="31" t="n">
        <x:v>5817.0547908371</x:v>
      </x:c>
      <x:c r="J19" s="31" t="n">
        <x:v>5817.0547908371</x:v>
      </x:c>
      <x:c r="K19" s="31" t="n">
        <x:v>0</x:v>
      </x:c>
      <x:c r="L19" s="31" t="n">
        <x:v>4606</x:v>
      </x:c>
      <x:c r="M19" s="31" t="n">
        <x:v>1211.0547908371</x:v>
      </x:c>
      <x:c r="N19" s="24" t="str">
        <x:v>mugil cephalus</x:v>
      </x:c>
      <x:c r="O19" s="32" t="n">
        <x:v>2.14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Mugil cephalus</x:v>
      </x:c>
      <x:c r="T19" s="32" t="n">
        <x:f>IF(O19="","",(1/'Metadata'!$B$5)^(O19-1))</x:f>
        <x:v>13.803842646028853</x:v>
      </x:c>
      <x:c r="U19" s="31" t="n">
        <x:f>IF(T19="","",I19*T19)</x:f>
        <x:v>80297.70899604361</x:v>
      </x:c>
    </x:row>
    <x:row r="20" ht="18" customHeight="1">
      <x:c r="A20" s="24" t="str">
        <x:v>EEZ_944</x:v>
      </x:c>
      <x:c r="B20" s="24" t="str">
        <x:v>Mexico (Atlantic)</x:v>
      </x:c>
      <x:c r="C20" s="24" t="str">
        <x:v>EEZ</x:v>
      </x:c>
      <x:c r="D20" s="30" t="n">
        <x:v>2019</x:v>
      </x:c>
      <x:c r="E20" s="24" t="str">
        <x:v>Gastropoda</x:v>
      </x:c>
      <x:c r="F20" s="24" t="str">
        <x:v>Sea snails</x:v>
      </x:c>
      <x:c r="G20" s="24" t="str">
        <x:v>Other demersal invertebrates</x:v>
      </x:c>
      <x:c r="H20" s="24" t="str">
        <x:v>Molluscs</x:v>
      </x:c>
      <x:c r="I20" s="31" t="n">
        <x:v>5431.4065760834</x:v>
      </x:c>
      <x:c r="J20" s="31" t="n">
        <x:v>4761</x:v>
      </x:c>
      <x:c r="K20" s="31" t="n">
        <x:v>670.4065760834</x:v>
      </x:c>
      <x:c r="L20" s="31" t="n">
        <x:v>4761</x:v>
      </x:c>
      <x:c r="M20" s="31" t="n">
        <x:v>670.4065760834</x:v>
      </x:c>
      <x:c r="N20" s="24" t="str">
        <x:v>gastropoda</x:v>
      </x:c>
      <x:c r="O20" s="32" t="n">
        <x:v>3.06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Gastropoda</x:v>
      </x:c>
      <x:c r="T20" s="32" t="n">
        <x:f>IF(O20="","",(1/'Metadata'!$B$5)^(O20-1))</x:f>
        <x:v>114.81536214968828</x:v>
      </x:c>
      <x:c r="U20" s="31" t="n">
        <x:f>IF(T20="","",I20*T20)</x:f>
        <x:v>623608.913015214</x:v>
      </x:c>
    </x:row>
    <x:row r="21" ht="18" customHeight="1">
      <x:c r="A21" s="24" t="str">
        <x:v>EEZ_944</x:v>
      </x:c>
      <x:c r="B21" s="24" t="str">
        <x:v>Mexico (Atlantic)</x:v>
      </x:c>
      <x:c r="C21" s="24" t="str">
        <x:v>EEZ</x:v>
      </x:c>
      <x:c r="D21" s="30" t="n">
        <x:v>2019</x:v>
      </x:c>
      <x:c r="E21" s="24" t="str">
        <x:v>Mugil curema</x:v>
      </x:c>
      <x:c r="F21" s="24" t="str">
        <x:v>White mullet</x:v>
      </x:c>
      <x:c r="G21" s="24" t="str">
        <x:v>Medium benthopelagics (30 - 89 cm)</x:v>
      </x:c>
      <x:c r="H21" s="24" t="str">
        <x:v>Perch-likes</x:v>
      </x:c>
      <x:c r="I21" s="31" t="n">
        <x:v>5421.4255376292</x:v>
      </x:c>
      <x:c r="J21" s="31" t="n">
        <x:v>5421.4255376292</x:v>
      </x:c>
      <x:c r="K21" s="31" t="n">
        <x:v>0</x:v>
      </x:c>
      <x:c r="L21" s="31" t="n">
        <x:v>4209</x:v>
      </x:c>
      <x:c r="M21" s="31" t="n">
        <x:v>1212.4255376291999</x:v>
      </x:c>
      <x:c r="N21" s="24" t="str">
        <x:v>mugil curema</x:v>
      </x:c>
      <x:c r="O21" s="32" t="n">
        <x:v>2.01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Mugil curema</x:v>
      </x:c>
      <x:c r="T21" s="32" t="n">
        <x:f>IF(O21="","",(1/'Metadata'!$B$5)^(O21-1))</x:f>
        <x:v>10.232929922807536</x:v>
      </x:c>
      <x:c r="U21" s="31" t="n">
        <x:f>IF(T21="","",I21*T21)</x:f>
        <x:v>55477.067608278776</x:v>
      </x:c>
    </x:row>
    <x:row r="22" ht="18" customHeight="1">
      <x:c r="A22" s="24" t="str">
        <x:v>EEZ_944</x:v>
      </x:c>
      <x:c r="B22" s="24" t="str">
        <x:v>Mexico (Atlantic)</x:v>
      </x:c>
      <x:c r="C22" s="24" t="str">
        <x:v>EEZ</x:v>
      </x:c>
      <x:c r="D22" s="30" t="n">
        <x:v>2019</x:v>
      </x:c>
      <x:c r="E22" s="24" t="str">
        <x:v>Lutjanus campechanus</x:v>
      </x:c>
      <x:c r="F22" s="24" t="str">
        <x:v>Northern red snapper</x:v>
      </x:c>
      <x:c r="G22" s="24" t="str">
        <x:v>Medium reef assoc. fish (30 - 89 cm)</x:v>
      </x:c>
      <x:c r="H22" s="24" t="str">
        <x:v>Perch-likes</x:v>
      </x:c>
      <x:c r="I22" s="31" t="n">
        <x:v>5402.9755178738005</x:v>
      </x:c>
      <x:c r="J22" s="31" t="n">
        <x:v>5402.9755178738005</x:v>
      </x:c>
      <x:c r="K22" s="31" t="n">
        <x:v>0</x:v>
      </x:c>
      <x:c r="L22" s="31" t="n">
        <x:v>4164</x:v>
      </x:c>
      <x:c r="M22" s="31" t="n">
        <x:v>1238.9755178738</x:v>
      </x:c>
      <x:c r="N22" s="24" t="str">
        <x:v>lutjanus campechanus</x:v>
      </x:c>
      <x:c r="O22" s="32" t="n">
        <x:v>4.01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Lutjanus campechanus</x:v>
      </x:c>
      <x:c r="T22" s="32" t="n">
        <x:f>IF(O22="","",(1/'Metadata'!$B$5)^(O22-1))</x:f>
        <x:v>1023.2929922807537</x:v>
      </x:c>
      <x:c r="U22" s="31" t="n">
        <x:f>IF(T22="","",I22*T22)</x:f>
        <x:v>5528826.984904736</x:v>
      </x:c>
    </x:row>
    <x:row r="23" ht="18" customHeight="1">
      <x:c r="A23" s="24" t="str">
        <x:v>EEZ_944</x:v>
      </x:c>
      <x:c r="B23" s="24" t="str">
        <x:v>Mexico (Atlantic)</x:v>
      </x:c>
      <x:c r="C23" s="24" t="str">
        <x:v>EEZ</x:v>
      </x:c>
      <x:c r="D23" s="30" t="n">
        <x:v>2019</x:v>
      </x:c>
      <x:c r="E23" s="24" t="str">
        <x:v>Elasmobranchii</x:v>
      </x:c>
      <x:c r="F23" s="24" t="str">
        <x:v>Sharks, rays, skates</x:v>
      </x:c>
      <x:c r="G23" s="24" t="str">
        <x:v>Large sharks (&gt;=90 cm)</x:v>
      </x:c>
      <x:c r="H23" s="24" t="str">
        <x:v>Sharks &amp; rays</x:v>
      </x:c>
      <x:c r="I23" s="31" t="n">
        <x:v>5274.43206774</x:v>
      </x:c>
      <x:c r="J23" s="31" t="n">
        <x:v>5274.43206774</x:v>
      </x:c>
      <x:c r="K23" s="31" t="n">
        <x:v>0</x:v>
      </x:c>
      <x:c r="L23" s="31" t="n">
        <x:v>3955</x:v>
      </x:c>
      <x:c r="M23" s="31" t="n">
        <x:v>1319.43206774</x:v>
      </x:c>
      <x:c r="N23" s="24" t="str">
        <x:v>elasmobranchii</x:v>
      </x:c>
      <x:c r="O23" s="32" t="n">
        <x:v>4.05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Elasmobranchii</x:v>
      </x:c>
      <x:c r="T23" s="32" t="n">
        <x:f>IF(O23="","",(1/'Metadata'!$B$5)^(O23-1))</x:f>
        <x:v>1122.018454301963</x:v>
      </x:c>
      <x:c r="U23" s="31" t="n">
        <x:f>IF(T23="","",I23*T23)</x:f>
        <x:v>5918010.115966341</x:v>
      </x:c>
    </x:row>
    <x:row r="24" ht="18" customHeight="1">
      <x:c r="A24" s="24" t="str">
        <x:v>EEZ_944</x:v>
      </x:c>
      <x:c r="B24" s="24" t="str">
        <x:v>Mexico (Atlantic)</x:v>
      </x:c>
      <x:c r="C24" s="24" t="str">
        <x:v>EEZ</x:v>
      </x:c>
      <x:c r="D24" s="30" t="n">
        <x:v>2019</x:v>
      </x:c>
      <x:c r="E24" s="24" t="str">
        <x:v>Marine pelagic fishes not identified</x:v>
      </x:c>
      <x:c r="F24" s="24" t="str">
        <x:v>Pelagic fishes</x:v>
      </x:c>
      <x:c r="G24" s="24" t="str">
        <x:v>Medium pelagics (30 - 89 cm)</x:v>
      </x:c>
      <x:c r="H24" s="24" t="str">
        <x:v>Other fishes &amp; inverts</x:v>
      </x:c>
      <x:c r="I24" s="31" t="n">
        <x:v>5049.5734902515</x:v>
      </x:c>
      <x:c r="J24" s="31" t="n">
        <x:v>5049.5734902515</x:v>
      </x:c>
      <x:c r="K24" s="31" t="n">
        <x:v>0</x:v>
      </x:c>
      <x:c r="L24" s="31" t="n">
        <x:v>5049.5734902515</x:v>
      </x:c>
      <x:c r="M24" s="31" t="n">
        <x:v>0</x:v>
      </x:c>
      <x:c r="N24" s="24" t="str">
        <x:v>marine pelagic fishes not identified</x:v>
      </x:c>
      <x:c r="O24" s="32" t="n">
        <x:v>3.35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Marine pelagic fishes not identified</x:v>
      </x:c>
      <x:c r="T24" s="32" t="n">
        <x:f>IF(O24="","",(1/'Metadata'!$B$5)^(O24-1))</x:f>
        <x:v>223.872113856834</x:v>
      </x:c>
      <x:c r="U24" s="31" t="n">
        <x:f>IF(T24="","",I24*T24)</x:f>
        <x:v>1130458.6913380343</x:v>
      </x:c>
    </x:row>
    <x:row r="25" ht="18" customHeight="1">
      <x:c r="A25" s="24" t="str">
        <x:v>EEZ_944</x:v>
      </x:c>
      <x:c r="B25" s="24" t="str">
        <x:v>Mexico (Atlantic)</x:v>
      </x:c>
      <x:c r="C25" s="24" t="str">
        <x:v>EEZ</x:v>
      </x:c>
      <x:c r="D25" s="30" t="n">
        <x:v>2019</x:v>
      </x:c>
      <x:c r="E25" s="24" t="str">
        <x:v>Penaeus duorarum</x:v>
      </x:c>
      <x:c r="F25" s="24" t="str">
        <x:v>Northern pink shrimp</x:v>
      </x:c>
      <x:c r="G25" s="24" t="str">
        <x:v>Shrimps</x:v>
      </x:c>
      <x:c r="H25" s="24" t="str">
        <x:v>Crustaceans</x:v>
      </x:c>
      <x:c r="I25" s="31" t="n">
        <x:v>4270.4038487479</x:v>
      </x:c>
      <x:c r="J25" s="31" t="n">
        <x:v>4270.4038487479</x:v>
      </x:c>
      <x:c r="K25" s="31" t="n">
        <x:v>0</x:v>
      </x:c>
      <x:c r="L25" s="31" t="n">
        <x:v>3336.3795960787</x:v>
      </x:c>
      <x:c r="M25" s="31" t="n">
        <x:v>934.0242526692</x:v>
      </x:c>
      <x:c r="N25" s="24" t="str">
        <x:v>penaeus duorarum</x:v>
      </x:c>
      <x:c r="O25" s="32" t="n">
        <x:v>2.15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Penaeus duorarum</x:v>
      </x:c>
      <x:c r="T25" s="32" t="n">
        <x:f>IF(O25="","",(1/'Metadata'!$B$5)^(O25-1))</x:f>
        <x:v>14.12537544622754</x:v>
      </x:c>
      <x:c r="U25" s="31" t="n">
        <x:f>IF(T25="","",I25*T25)</x:f>
        <x:v>60321.057670579175</x:v>
      </x:c>
    </x:row>
    <x:row r="26" ht="18" customHeight="1">
      <x:c r="A26" s="24" t="str">
        <x:v>EEZ_944</x:v>
      </x:c>
      <x:c r="B26" s="24" t="str">
        <x:v>Mexico (Atlantic)</x:v>
      </x:c>
      <x:c r="C26" s="24" t="str">
        <x:v>EEZ</x:v>
      </x:c>
      <x:c r="D26" s="30" t="n">
        <x:v>2019</x:v>
      </x:c>
      <x:c r="E26" s="24" t="str">
        <x:v>Sarda sarda</x:v>
      </x:c>
      <x:c r="F26" s="24" t="str">
        <x:v>Atlantic bonito</x:v>
      </x:c>
      <x:c r="G26" s="24" t="str">
        <x:v>Medium pelagics (30 - 89 cm)</x:v>
      </x:c>
      <x:c r="H26" s="24" t="str">
        <x:v>Tuna &amp; billfishes</x:v>
      </x:c>
      <x:c r="I26" s="31" t="n">
        <x:v>3930.133589444</x:v>
      </x:c>
      <x:c r="J26" s="31" t="n">
        <x:v>3930.133589444</x:v>
      </x:c>
      <x:c r="K26" s="31" t="n">
        <x:v>0</x:v>
      </x:c>
      <x:c r="L26" s="31" t="n">
        <x:v>3930.133589444</x:v>
      </x:c>
      <x:c r="M26" s="31" t="n">
        <x:v>0</x:v>
      </x:c>
      <x:c r="N26" s="24" t="str">
        <x:v>sarda sarda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Sarda sarda</x:v>
      </x:c>
      <x:c r="T26" s="32" t="n">
        <x:f>IF(O26="","",(1/'Metadata'!$B$5)^(O26-1))</x:f>
        <x:v>3162.2776601683795</x:v>
      </x:c>
      <x:c r="U26" s="31" t="n">
        <x:f>IF(T26="","",I26*T26)</x:f>
        <x:v>12428173.651376126</x:v>
      </x:c>
    </x:row>
    <x:row r="27" ht="18" customHeight="1">
      <x:c r="A27" s="24" t="str">
        <x:v>EEZ_944</x:v>
      </x:c>
      <x:c r="B27" s="24" t="str">
        <x:v>Mexico (Atlantic)</x:v>
      </x:c>
      <x:c r="C27" s="24" t="str">
        <x:v>EEZ</x:v>
      </x:c>
      <x:c r="D27" s="30" t="n">
        <x:v>2019</x:v>
      </x:c>
      <x:c r="E27" s="24" t="str">
        <x:v>Haemulidae</x:v>
      </x:c>
      <x:c r="F27" s="24" t="str">
        <x:v>Grunts, sweetlips, bonnetmouths</x:v>
      </x:c>
      <x:c r="G27" s="24" t="str">
        <x:v>Medium demersals (30 - 89 cm)</x:v>
      </x:c>
      <x:c r="H27" s="24" t="str">
        <x:v>Perch-likes</x:v>
      </x:c>
      <x:c r="I27" s="31" t="n">
        <x:v>3857.1163356358</x:v>
      </x:c>
      <x:c r="J27" s="31" t="n">
        <x:v>3857.1163356358</x:v>
      </x:c>
      <x:c r="K27" s="31" t="n">
        <x:v>0</x:v>
      </x:c>
      <x:c r="L27" s="31" t="n">
        <x:v>2649</x:v>
      </x:c>
      <x:c r="M27" s="31" t="n">
        <x:v>1208.1163356358</x:v>
      </x:c>
      <x:c r="N27" s="24" t="str">
        <x:v>haemulidae</x:v>
      </x:c>
      <x:c r="O27" s="32" t="n">
        <x:v>3.36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Haemulidae</x:v>
      </x:c>
      <x:c r="T27" s="32" t="n">
        <x:f>IF(O27="","",(1/'Metadata'!$B$5)^(O27-1))</x:f>
        <x:v>229.08676527677724</x:v>
      </x:c>
      <x:c r="U27" s="31" t="n">
        <x:f>IF(T27="","",I27*T27)</x:f>
        <x:v>883614.3046270217</x:v>
      </x:c>
    </x:row>
    <x:row r="28" ht="18" customHeight="1">
      <x:c r="A28" s="24" t="str">
        <x:v>EEZ_944</x:v>
      </x:c>
      <x:c r="B28" s="24" t="str">
        <x:v>Mexico (Atlantic)</x:v>
      </x:c>
      <x:c r="C28" s="24" t="str">
        <x:v>EEZ</x:v>
      </x:c>
      <x:c r="D28" s="30" t="n">
        <x:v>2019</x:v>
      </x:c>
      <x:c r="E28" s="24" t="str">
        <x:v>Dasyatidae</x:v>
      </x:c>
      <x:c r="F28" s="24" t="str">
        <x:v>Whiptail stingrays</x:v>
      </x:c>
      <x:c r="G28" s="24" t="str">
        <x:v>Large rays (&gt;=90 cm)</x:v>
      </x:c>
      <x:c r="H28" s="24" t="str">
        <x:v>Sharks &amp; rays</x:v>
      </x:c>
      <x:c r="I28" s="31" t="n">
        <x:v>3302</x:v>
      </x:c>
      <x:c r="J28" s="31" t="n">
        <x:v>3302</x:v>
      </x:c>
      <x:c r="K28" s="31" t="n">
        <x:v>0</x:v>
      </x:c>
      <x:c r="L28" s="31" t="n">
        <x:v>3302</x:v>
      </x:c>
      <x:c r="M28" s="31" t="n">
        <x:v>0</x:v>
      </x:c>
      <x:c r="N28" s="24" t="str">
        <x:v>dasyatidae</x:v>
      </x:c>
      <x:c r="O28" s="32" t="n">
        <x:v>3.38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Dasyatidae</x:v>
      </x:c>
      <x:c r="T28" s="32" t="n">
        <x:f>IF(O28="","",(1/'Metadata'!$B$5)^(O28-1))</x:f>
        <x:v>239.88329190194898</x:v>
      </x:c>
      <x:c r="U28" s="31" t="n">
        <x:f>IF(T28="","",I28*T28)</x:f>
        <x:v>792094.6298602355</x:v>
      </x:c>
    </x:row>
    <x:row r="29" ht="18" customHeight="1">
      <x:c r="A29" s="24" t="str">
        <x:v>EEZ_944</x:v>
      </x:c>
      <x:c r="B29" s="24" t="str">
        <x:v>Mexico (Atlantic)</x:v>
      </x:c>
      <x:c r="C29" s="24" t="str">
        <x:v>EEZ</x:v>
      </x:c>
      <x:c r="D29" s="30" t="n">
        <x:v>2019</x:v>
      </x:c>
      <x:c r="E29" s="24" t="str">
        <x:v>Lutjanidae</x:v>
      </x:c>
      <x:c r="F29" s="24" t="str">
        <x:v>Snappers</x:v>
      </x:c>
      <x:c r="G29" s="24" t="str">
        <x:v>Medium reef assoc. fish (30 - 89 cm)</x:v>
      </x:c>
      <x:c r="H29" s="24" t="str">
        <x:v>Perch-likes</x:v>
      </x:c>
      <x:c r="I29" s="31" t="n">
        <x:v>3052.5979705547</x:v>
      </x:c>
      <x:c r="J29" s="31" t="n">
        <x:v>3052.5979705547</x:v>
      </x:c>
      <x:c r="K29" s="31" t="n">
        <x:v>0</x:v>
      </x:c>
      <x:c r="L29" s="31" t="n">
        <x:v>1844</x:v>
      </x:c>
      <x:c r="M29" s="31" t="n">
        <x:v>1208.5979705547</x:v>
      </x:c>
      <x:c r="N29" s="24" t="str">
        <x:v>lutjanidae</x:v>
      </x:c>
      <x:c r="O29" s="32" t="n">
        <x:v>4.02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Lutjanidae</x:v>
      </x:c>
      <x:c r="T29" s="32" t="n">
        <x:f>IF(O29="","",(1/'Metadata'!$B$5)^(O29-1))</x:f>
        <x:v>1047.1285480508984</x:v>
      </x:c>
      <x:c r="U29" s="31" t="n">
        <x:f>IF(T29="","",I29*T29)</x:f>
        <x:v>3196462.4806900625</x:v>
      </x:c>
    </x:row>
    <x:row r="30" ht="18" customHeight="1">
      <x:c r="A30" s="24" t="str">
        <x:v>EEZ_944</x:v>
      </x:c>
      <x:c r="B30" s="24" t="str">
        <x:v>Mexico (Atlantic)</x:v>
      </x:c>
      <x:c r="C30" s="24" t="str">
        <x:v>EEZ</x:v>
      </x:c>
      <x:c r="D30" s="30" t="n">
        <x:v>2019</x:v>
      </x:c>
      <x:c r="E30" s="24" t="str">
        <x:v>Xiphopenaeus kroyeri</x:v>
      </x:c>
      <x:c r="F30" s="24" t="str">
        <x:v>Atlantic seabob</x:v>
      </x:c>
      <x:c r="G30" s="24" t="str">
        <x:v>Shrimps</x:v>
      </x:c>
      <x:c r="H30" s="24" t="str">
        <x:v>Crustaceans</x:v>
      </x:c>
      <x:c r="I30" s="31" t="n">
        <x:v>2692.7978678442</x:v>
      </x:c>
      <x:c r="J30" s="31" t="n">
        <x:v>2692.7978678442</x:v>
      </x:c>
      <x:c r="K30" s="31" t="n">
        <x:v>0</x:v>
      </x:c>
      <x:c r="L30" s="31" t="n">
        <x:v>2072.9389911747003</x:v>
      </x:c>
      <x:c r="M30" s="31" t="n">
        <x:v>619.8588766695</x:v>
      </x:c>
      <x:c r="N30" s="24" t="str">
        <x:v>xiphopenaeus kroyeri</x:v>
      </x:c>
      <x:c r="O30" s="32" t="n">
        <x:v>2.7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Xiphopenaeus kroyeri</x:v>
      </x:c>
      <x:c r="T30" s="32" t="n">
        <x:f>IF(O30="","",(1/'Metadata'!$B$5)^(O30-1))</x:f>
        <x:v>50.11872336272725</x:v>
      </x:c>
      <x:c r="U30" s="31" t="n">
        <x:f>IF(T30="","",I30*T30)</x:f>
        <x:v>134959.59141022523</x:v>
      </x:c>
    </x:row>
    <x:row r="31" ht="18" customHeight="1">
      <x:c r="A31" s="24" t="str">
        <x:v>EEZ_944</x:v>
      </x:c>
      <x:c r="B31" s="24" t="str">
        <x:v>Mexico (Atlantic)</x:v>
      </x:c>
      <x:c r="C31" s="24" t="str">
        <x:v>EEZ</x:v>
      </x:c>
      <x:c r="D31" s="30" t="n">
        <x:v>2019</x:v>
      </x:c>
      <x:c r="E31" s="24" t="str">
        <x:v>Mugilidae</x:v>
      </x:c>
      <x:c r="F31" s="24" t="str">
        <x:v>Mullets, grey mullets</x:v>
      </x:c>
      <x:c r="G31" s="24" t="str">
        <x:v>Medium reef assoc. fish (30 - 89 cm)</x:v>
      </x:c>
      <x:c r="H31" s="24" t="str">
        <x:v>Perch-likes</x:v>
      </x:c>
      <x:c r="I31" s="31" t="n">
        <x:v>2671.4986243959997</x:v>
      </x:c>
      <x:c r="J31" s="31" t="n">
        <x:v>2671.4986243959997</x:v>
      </x:c>
      <x:c r="K31" s="31" t="n">
        <x:v>0</x:v>
      </x:c>
      <x:c r="L31" s="31" t="n">
        <x:v>1073</x:v>
      </x:c>
      <x:c r="M31" s="31" t="n">
        <x:v>1598.498624396</x:v>
      </x:c>
      <x:c r="N31" s="24" t="str">
        <x:v>mugilidae</x:v>
      </x:c>
      <x:c r="O31" s="32" t="n">
        <x:v>2.53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Mugilidae</x:v>
      </x:c>
      <x:c r="T31" s="32" t="n">
        <x:f>IF(O31="","",(1/'Metadata'!$B$5)^(O31-1))</x:f>
        <x:v>33.88441561392024</x:v>
      </x:c>
      <x:c r="U31" s="31" t="n">
        <x:f>IF(T31="","",I31*T31)</x:f>
        <x:v>90522.16970105025</x:v>
      </x:c>
    </x:row>
    <x:row r="32" ht="18" customHeight="1">
      <x:c r="A32" s="24" t="str">
        <x:v>EEZ_944</x:v>
      </x:c>
      <x:c r="B32" s="24" t="str">
        <x:v>Mexico (Atlantic)</x:v>
      </x:c>
      <x:c r="C32" s="24" t="str">
        <x:v>EEZ</x:v>
      </x:c>
      <x:c r="D32" s="30" t="n">
        <x:v>2019</x:v>
      </x:c>
      <x:c r="E32" s="24" t="str">
        <x:v>Trichiuridae</x:v>
      </x:c>
      <x:c r="F32" s="24" t="str">
        <x:v>Cutlassfishes</x:v>
      </x:c>
      <x:c r="G32" s="24" t="str">
        <x:v>Large benthopelagics (&gt;=90 cm)</x:v>
      </x:c>
      <x:c r="H32" s="24" t="str">
        <x:v>Perch-likes</x:v>
      </x:c>
      <x:c r="I32" s="31" t="n">
        <x:v>2583.87970314</x:v>
      </x:c>
      <x:c r="J32" s="31" t="n">
        <x:v>2583.87970314</x:v>
      </x:c>
      <x:c r="K32" s="31" t="n">
        <x:v>0</x:v>
      </x:c>
      <x:c r="L32" s="31" t="n">
        <x:v>1161</x:v>
      </x:c>
      <x:c r="M32" s="31" t="n">
        <x:v>1422.87970314</x:v>
      </x:c>
      <x:c r="N32" s="24" t="str">
        <x:v>trichiuridae</x:v>
      </x:c>
      <x:c r="O32" s="32" t="n">
        <x:v>4.15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Trichiuridae</x:v>
      </x:c>
      <x:c r="T32" s="32" t="n">
        <x:f>IF(O32="","",(1/'Metadata'!$B$5)^(O32-1))</x:f>
        <x:v>1412.5375446227554</x:v>
      </x:c>
      <x:c r="U32" s="31" t="n">
        <x:f>IF(T32="","",I32*T32)</x:f>
        <x:v>3649827.0914739496</x:v>
      </x:c>
    </x:row>
    <x:row r="33" ht="18" customHeight="1">
      <x:c r="A33" s="24" t="str">
        <x:v>EEZ_944</x:v>
      </x:c>
      <x:c r="B33" s="24" t="str">
        <x:v>Mexico (Atlantic)</x:v>
      </x:c>
      <x:c r="C33" s="24" t="str">
        <x:v>EEZ</x:v>
      </x:c>
      <x:c r="D33" s="30" t="n">
        <x:v>2019</x:v>
      </x:c>
      <x:c r="E33" s="24" t="str">
        <x:v>Ocyurus chrysurus</x:v>
      </x:c>
      <x:c r="F33" s="24" t="str">
        <x:v>Yellowtail snapper</x:v>
      </x:c>
      <x:c r="G33" s="24" t="str">
        <x:v>Medium reef assoc. fish (30 - 89 cm)</x:v>
      </x:c>
      <x:c r="H33" s="24" t="str">
        <x:v>Perch-likes</x:v>
      </x:c>
      <x:c r="I33" s="31" t="n">
        <x:v>2455.3786993117</x:v>
      </x:c>
      <x:c r="J33" s="31" t="n">
        <x:v>2455.3786993117</x:v>
      </x:c>
      <x:c r="K33" s="31" t="n">
        <x:v>0</x:v>
      </x:c>
      <x:c r="L33" s="31" t="n">
        <x:v>1953</x:v>
      </x:c>
      <x:c r="M33" s="31" t="n">
        <x:v>502.3786993117</x:v>
      </x:c>
      <x:c r="N33" s="24" t="str">
        <x:v>ocyurus chrysurus</x:v>
      </x:c>
      <x:c r="O33" s="32" t="n">
        <x:v>4.03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Ocyurus chrysurus</x:v>
      </x:c>
      <x:c r="T33" s="32" t="n">
        <x:f>IF(O33="","",(1/'Metadata'!$B$5)^(O33-1))</x:f>
        <x:v>1071.519305237607</x:v>
      </x:c>
      <x:c r="U33" s="31" t="n">
        <x:f>IF(T33="","",I33*T33)</x:f>
        <x:v>2630985.6779816924</x:v>
      </x:c>
    </x:row>
    <x:row r="34" ht="18" customHeight="1">
      <x:c r="A34" s="24" t="str">
        <x:v>EEZ_944</x:v>
      </x:c>
      <x:c r="B34" s="24" t="str">
        <x:v>Mexico (Atlantic)</x:v>
      </x:c>
      <x:c r="C34" s="24" t="str">
        <x:v>EEZ</x:v>
      </x:c>
      <x:c r="D34" s="30" t="n">
        <x:v>2019</x:v>
      </x:c>
      <x:c r="E34" s="24" t="str">
        <x:v>Carcharhinus</x:v>
      </x:c>
      <x:c r="F34" s="24" t="str">
        <x:v>Sharp-nosed sharks</x:v>
      </x:c>
      <x:c r="G34" s="24" t="str">
        <x:v>Large sharks (&gt;=90 cm)</x:v>
      </x:c>
      <x:c r="H34" s="24" t="str">
        <x:v>Sharks &amp; rays</x:v>
      </x:c>
      <x:c r="I34" s="31" t="n">
        <x:v>2376.7001811515997</x:v>
      </x:c>
      <x:c r="J34" s="31" t="n">
        <x:v>2376.7001811515997</x:v>
      </x:c>
      <x:c r="K34" s="31" t="n">
        <x:v>0</x:v>
      </x:c>
      <x:c r="L34" s="31" t="n">
        <x:v>0</x:v>
      </x:c>
      <x:c r="M34" s="31" t="n">
        <x:v>2376.7001811515997</x:v>
      </x:c>
      <x:c r="N34" s="24" t="str">
        <x:v>carcharhinus</x:v>
      </x:c>
      <x:c r="O34" s="32" t="n">
        <x:v>4.26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Carcharhinus</x:v>
      </x:c>
      <x:c r="T34" s="32" t="n">
        <x:f>IF(O34="","",(1/'Metadata'!$B$5)^(O34-1))</x:f>
        <x:v>1819.7008586099826</x:v>
      </x:c>
      <x:c r="U34" s="31" t="n">
        <x:f>IF(T34="","",I34*T34)</x:f>
        <x:v>4324883.360300067</x:v>
      </x:c>
    </x:row>
    <x:row r="35" ht="18" customHeight="1">
      <x:c r="A35" s="24" t="str">
        <x:v>EEZ_944</x:v>
      </x:c>
      <x:c r="B35" s="24" t="str">
        <x:v>Mexico (Atlantic)</x:v>
      </x:c>
      <x:c r="C35" s="24" t="str">
        <x:v>EEZ</x:v>
      </x:c>
      <x:c r="D35" s="30" t="n">
        <x:v>2019</x:v>
      </x:c>
      <x:c r="E35" s="24" t="str">
        <x:v>Haemulon</x:v>
      </x:c>
      <x:c r="F35" s="24" t="str">
        <x:v>Grunts</x:v>
      </x:c>
      <x:c r="G35" s="24" t="str">
        <x:v>Small reef assoc. fish (&lt;30 cm)</x:v>
      </x:c>
      <x:c r="H35" s="24" t="str">
        <x:v>Perch-likes</x:v>
      </x:c>
      <x:c r="I35" s="31" t="n">
        <x:v>2361.077882685</x:v>
      </x:c>
      <x:c r="J35" s="31" t="n">
        <x:v>2361.077882685</x:v>
      </x:c>
      <x:c r="K35" s="31" t="n">
        <x:v>0</x:v>
      </x:c>
      <x:c r="L35" s="31" t="n">
        <x:v>1503</x:v>
      </x:c>
      <x:c r="M35" s="31" t="n">
        <x:v>858.077882685</x:v>
      </x:c>
      <x:c r="N35" s="24" t="str">
        <x:v>haemulon</x:v>
      </x:c>
      <x:c r="O35" s="32" t="n">
        <x:v>3.25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Haemulon</x:v>
      </x:c>
      <x:c r="T35" s="32" t="n">
        <x:f>IF(O35="","",(1/'Metadata'!$B$5)^(O35-1))</x:f>
        <x:v>177.82794100389228</x:v>
      </x:c>
      <x:c r="U35" s="31" t="n">
        <x:f>IF(T35="","",I35*T35)</x:f>
        <x:v>419865.6184277031</x:v>
      </x:c>
    </x:row>
    <x:row r="36" ht="18" customHeight="1">
      <x:c r="A36" s="24" t="str">
        <x:v>EEZ_944</x:v>
      </x:c>
      <x:c r="B36" s="24" t="str">
        <x:v>Mexico (Atlantic)</x:v>
      </x:c>
      <x:c r="C36" s="24" t="str">
        <x:v>EEZ</x:v>
      </x:c>
      <x:c r="D36" s="30" t="n">
        <x:v>2019</x:v>
      </x:c>
      <x:c r="E36" s="24" t="str">
        <x:v>Mycteroperca</x:v>
      </x:c>
      <x:c r="F36" s="24" t="str">
        <x:v>Scamps, gags</x:v>
      </x:c>
      <x:c r="G36" s="24" t="str">
        <x:v>Medium reef assoc. fish (30 - 89 cm)</x:v>
      </x:c>
      <x:c r="H36" s="24" t="str">
        <x:v>Perch-likes</x:v>
      </x:c>
      <x:c r="I36" s="31" t="n">
        <x:v>2163.5410943073</x:v>
      </x:c>
      <x:c r="J36" s="31" t="n">
        <x:v>2163.5410943073</x:v>
      </x:c>
      <x:c r="K36" s="31" t="n">
        <x:v>0</x:v>
      </x:c>
      <x:c r="L36" s="31" t="n">
        <x:v>1643</x:v>
      </x:c>
      <x:c r="M36" s="31" t="n">
        <x:v>520.5410943073</x:v>
      </x:c>
      <x:c r="N36" s="24" t="str">
        <x:v>mycteroperca</x:v>
      </x:c>
      <x:c r="O36" s="32" t="n">
        <x:v>4.35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Mycteroperca</x:v>
      </x:c>
      <x:c r="T36" s="32" t="n">
        <x:f>IF(O36="","",(1/'Metadata'!$B$5)^(O36-1))</x:f>
        <x:v>2238.7211385683377</x:v>
      </x:c>
      <x:c r="U36" s="31" t="n">
        <x:f>IF(T36="","",I36*T36)</x:f>
        <x:v>4843565.181987027</x:v>
      </x:c>
    </x:row>
    <x:row r="37" ht="18" customHeight="1">
      <x:c r="A37" s="24" t="str">
        <x:v>EEZ_944</x:v>
      </x:c>
      <x:c r="B37" s="24" t="str">
        <x:v>Mexico (Atlantic)</x:v>
      </x:c>
      <x:c r="C37" s="24" t="str">
        <x:v>EEZ</x:v>
      </x:c>
      <x:c r="D37" s="30" t="n">
        <x:v>2019</x:v>
      </x:c>
      <x:c r="E37" s="24" t="str">
        <x:v>Lachnolaimus maximus</x:v>
      </x:c>
      <x:c r="F37" s="24" t="str">
        <x:v>Hogfish</x:v>
      </x:c>
      <x:c r="G37" s="24" t="str">
        <x:v>Medium reef assoc. fish (30 - 89 cm)</x:v>
      </x:c>
      <x:c r="H37" s="24" t="str">
        <x:v>Perch-likes</x:v>
      </x:c>
      <x:c r="I37" s="31" t="n">
        <x:v>1955.1159950775</x:v>
      </x:c>
      <x:c r="J37" s="31" t="n">
        <x:v>1955.1159950775</x:v>
      </x:c>
      <x:c r="K37" s="31" t="n">
        <x:v>0</x:v>
      </x:c>
      <x:c r="L37" s="31" t="n">
        <x:v>1499</x:v>
      </x:c>
      <x:c r="M37" s="31" t="n">
        <x:v>456.11599507750003</x:v>
      </x:c>
      <x:c r="N37" s="24" t="str">
        <x:v>lachnolaimus maximus</x:v>
      </x:c>
      <x:c r="O37" s="32" t="n">
        <x:v>4.17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Lachnolaimus maximus</x:v>
      </x:c>
      <x:c r="T37" s="32" t="n">
        <x:f>IF(O37="","",(1/'Metadata'!$B$5)^(O37-1))</x:f>
        <x:v>1479.1083881682073</x:v>
      </x:c>
      <x:c r="U37" s="31" t="n">
        <x:f>IF(T37="","",I37*T37)</x:f>
        <x:v>2891828.4681609618</x:v>
      </x:c>
    </x:row>
    <x:row r="38" ht="18" customHeight="1">
      <x:c r="A38" s="24" t="str">
        <x:v>EEZ_944</x:v>
      </x:c>
      <x:c r="B38" s="24" t="str">
        <x:v>Mexico (Atlantic)</x:v>
      </x:c>
      <x:c r="C38" s="24" t="str">
        <x:v>EEZ</x:v>
      </x:c>
      <x:c r="D38" s="30" t="n">
        <x:v>2019</x:v>
      </x:c>
      <x:c r="E38" s="24" t="str">
        <x:v>Mactridae</x:v>
      </x:c>
      <x:c r="F38" s="24" t="str">
        <x:v>Mactra surf clams</x:v>
      </x:c>
      <x:c r="G38" s="24" t="str">
        <x:v>Other demersal invertebrates</x:v>
      </x:c>
      <x:c r="H38" s="24" t="str">
        <x:v>Molluscs</x:v>
      </x:c>
      <x:c r="I38" s="31" t="n">
        <x:v>1874.7417342780002</x:v>
      </x:c>
      <x:c r="J38" s="31" t="n">
        <x:v>1874.7417342780002</x:v>
      </x:c>
      <x:c r="K38" s="31" t="n">
        <x:v>0</x:v>
      </x:c>
      <x:c r="L38" s="31" t="n">
        <x:v>730.8900000000001</x:v>
      </x:c>
      <x:c r="M38" s="31" t="n">
        <x:v>1143.851734278</x:v>
      </x:c>
      <x:c r="N38" s="24" t="str">
        <x:v>mactridae</x:v>
      </x:c>
      <x:c r="O38" s="32" t="n">
        <x:v>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Mactridae</x:v>
      </x:c>
      <x:c r="T38" s="32" t="n">
        <x:f>IF(O38="","",(1/'Metadata'!$B$5)^(O38-1))</x:f>
        <x:v>10</x:v>
      </x:c>
      <x:c r="U38" s="31" t="n">
        <x:f>IF(T38="","",I38*T38)</x:f>
        <x:v>18747.41734278</x:v>
      </x:c>
    </x:row>
    <x:row r="39" ht="18" customHeight="1">
      <x:c r="A39" s="24" t="str">
        <x:v>EEZ_944</x:v>
      </x:c>
      <x:c r="B39" s="24" t="str">
        <x:v>Mexico (Atlantic)</x:v>
      </x:c>
      <x:c r="C39" s="24" t="str">
        <x:v>EEZ</x:v>
      </x:c>
      <x:c r="D39" s="30" t="n">
        <x:v>2019</x:v>
      </x:c>
      <x:c r="E39" s="24" t="str">
        <x:v>Scombridae</x:v>
      </x:c>
      <x:c r="F39" s="24" t="str">
        <x:v>Mackerels, tunas, bonitos</x:v>
      </x:c>
      <x:c r="G39" s="24" t="str">
        <x:v>Medium pelagics (30 - 89 cm)</x:v>
      </x:c>
      <x:c r="H39" s="24" t="str">
        <x:v>Perch-likes</x:v>
      </x:c>
      <x:c r="I39" s="31" t="n">
        <x:v>1739.5076510354</x:v>
      </x:c>
      <x:c r="J39" s="31" t="n">
        <x:v>1739.5076510354</x:v>
      </x:c>
      <x:c r="K39" s="31" t="n">
        <x:v>0</x:v>
      </x:c>
      <x:c r="L39" s="31" t="n">
        <x:v>0</x:v>
      </x:c>
      <x:c r="M39" s="31" t="n">
        <x:v>1739.5076510354</x:v>
      </x:c>
      <x:c r="N39" s="24" t="str">
        <x:v>scombridae</x:v>
      </x:c>
      <x:c r="O39" s="32" t="n">
        <x:v>4.26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Scombridae</x:v>
      </x:c>
      <x:c r="T39" s="32" t="n">
        <x:f>IF(O39="","",(1/'Metadata'!$B$5)^(O39-1))</x:f>
        <x:v>1819.7008586099826</x:v>
      </x:c>
      <x:c r="U39" s="31" t="n">
        <x:f>IF(T39="","",I39*T39)</x:f>
        <x:v>3165383.566147751</x:v>
      </x:c>
    </x:row>
    <x:row r="40" ht="18" customHeight="1">
      <x:c r="A40" s="24" t="str">
        <x:v>EEZ_944</x:v>
      </x:c>
      <x:c r="B40" s="24" t="str">
        <x:v>Mexico (Atlantic)</x:v>
      </x:c>
      <x:c r="C40" s="24" t="str">
        <x:v>EEZ</x:v>
      </x:c>
      <x:c r="D40" s="30" t="n">
        <x:v>2019</x:v>
      </x:c>
      <x:c r="E40" s="24" t="str">
        <x:v>Aliger gigas</x:v>
      </x:c>
      <x:c r="F40" s="24" t="str">
        <x:v>Pink conch</x:v>
      </x:c>
      <x:c r="G40" s="24" t="str">
        <x:v>Other demersal invertebrates</x:v>
      </x:c>
      <x:c r="H40" s="24" t="str">
        <x:v>Molluscs</x:v>
      </x:c>
      <x:c r="I40" s="31" t="n">
        <x:v>1732.8439962056</x:v>
      </x:c>
      <x:c r="J40" s="31" t="n">
        <x:v>1732.8439962056</x:v>
      </x:c>
      <x:c r="K40" s="31" t="n">
        <x:v>0</x:v>
      </x:c>
      <x:c r="L40" s="31" t="n">
        <x:v>1699</x:v>
      </x:c>
      <x:c r="M40" s="31" t="n">
        <x:v>33.8439962056</x:v>
      </x:c>
      <x:c r="N40" s="24" t="str">
        <x:v>aliger gigas</x:v>
      </x:c>
      <x:c r="O40" s="32" t="n">
        <x:v>2.19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Aliger gigas</x:v>
      </x:c>
      <x:c r="T40" s="32" t="n">
        <x:f>IF(O40="","",(1/'Metadata'!$B$5)^(O40-1))</x:f>
        <x:v>15.488166189124811</x:v>
      </x:c>
      <x:c r="U40" s="31" t="n">
        <x:f>IF(T40="","",I40*T40)</x:f>
        <x:v>26838.575793059495</x:v>
      </x:c>
    </x:row>
    <x:row r="41" ht="18" customHeight="1">
      <x:c r="A41" s="24" t="str">
        <x:v>EEZ_944</x:v>
      </x:c>
      <x:c r="B41" s="24" t="str">
        <x:v>Mexico (Atlantic)</x:v>
      </x:c>
      <x:c r="C41" s="24" t="str">
        <x:v>EEZ</x:v>
      </x:c>
      <x:c r="D41" s="30" t="n">
        <x:v>2019</x:v>
      </x:c>
      <x:c r="E41" s="24" t="str">
        <x:v>Elops saurus</x:v>
      </x:c>
      <x:c r="F41" s="24" t="str">
        <x:v>Ladyfish</x:v>
      </x:c>
      <x:c r="G41" s="24" t="str">
        <x:v>Medium pelagics (30 - 89 cm)</x:v>
      </x:c>
      <x:c r="H41" s="24" t="str">
        <x:v>Other fishes &amp; inverts</x:v>
      </x:c>
      <x:c r="I41" s="31" t="n">
        <x:v>1635.2103387471002</x:v>
      </x:c>
      <x:c r="J41" s="31" t="n">
        <x:v>1635.2103387471002</x:v>
      </x:c>
      <x:c r="K41" s="31" t="n">
        <x:v>0</x:v>
      </x:c>
      <x:c r="L41" s="31" t="n">
        <x:v>1139</x:v>
      </x:c>
      <x:c r="M41" s="31" t="n">
        <x:v>496.21033874709997</x:v>
      </x:c>
      <x:c r="N41" s="24" t="str">
        <x:v>elops saurus</x:v>
      </x:c>
      <x:c r="O41" s="32" t="n">
        <x:v>3.49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Elops saurus</x:v>
      </x:c>
      <x:c r="T41" s="32" t="n">
        <x:f>IF(O41="","",(1/'Metadata'!$B$5)^(O41-1))</x:f>
        <x:v>309.0295432513592</x:v>
      </x:c>
      <x:c r="U41" s="31" t="n">
        <x:f>IF(T41="","",I41*T41)</x:f>
        <x:v>505328.30410291674</x:v>
      </x:c>
    </x:row>
    <x:row r="42" ht="18" customHeight="1">
      <x:c r="A42" s="24" t="str">
        <x:v>EEZ_944</x:v>
      </x:c>
      <x:c r="B42" s="24" t="str">
        <x:v>Mexico (Atlantic)</x:v>
      </x:c>
      <x:c r="C42" s="24" t="str">
        <x:v>EEZ</x:v>
      </x:c>
      <x:c r="D42" s="30" t="n">
        <x:v>2019</x:v>
      </x:c>
      <x:c r="E42" s="24" t="str">
        <x:v>Rhomboplites aurorubens</x:v>
      </x:c>
      <x:c r="F42" s="24" t="str">
        <x:v>Vermilion snapper</x:v>
      </x:c>
      <x:c r="G42" s="24" t="str">
        <x:v>Medium demersals (30 - 89 cm)</x:v>
      </x:c>
      <x:c r="H42" s="24" t="str">
        <x:v>Perch-likes</x:v>
      </x:c>
      <x:c r="I42" s="31" t="n">
        <x:v>1586.5183731762002</x:v>
      </x:c>
      <x:c r="J42" s="31" t="n">
        <x:v>1586.5183731762002</x:v>
      </x:c>
      <x:c r="K42" s="31" t="n">
        <x:v>0</x:v>
      </x:c>
      <x:c r="L42" s="31" t="n">
        <x:v>1232</x:v>
      </x:c>
      <x:c r="M42" s="31" t="n">
        <x:v>354.5183731762</x:v>
      </x:c>
      <x:c r="N42" s="24" t="str">
        <x:v>rhomboplites aurorubens</x:v>
      </x:c>
      <x:c r="O42" s="32" t="n">
        <x:v>4.36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Rhomboplites aurorubens</x:v>
      </x:c>
      <x:c r="T42" s="32" t="n">
        <x:f>IF(O42="","",(1/'Metadata'!$B$5)^(O42-1))</x:f>
        <x:v>2290.867652767775</x:v>
      </x:c>
      <x:c r="U42" s="31" t="n">
        <x:f>IF(T42="","",I42*T42)</x:f>
        <x:v>3634503.6216311106</x:v>
      </x:c>
    </x:row>
    <x:row r="43" ht="18" customHeight="1">
      <x:c r="A43" s="24" t="str">
        <x:v>EEZ_944</x:v>
      </x:c>
      <x:c r="B43" s="24" t="str">
        <x:v>Mexico (Atlantic)</x:v>
      </x:c>
      <x:c r="C43" s="24" t="str">
        <x:v>EEZ</x:v>
      </x:c>
      <x:c r="D43" s="30" t="n">
        <x:v>2019</x:v>
      </x:c>
      <x:c r="E43" s="24" t="str">
        <x:v>Gerreidae</x:v>
      </x:c>
      <x:c r="F43" s="24" t="str">
        <x:v>Mojarras, silverbellies</x:v>
      </x:c>
      <x:c r="G43" s="24" t="str">
        <x:v>Small benthopelagics (&lt;30 cm)</x:v>
      </x:c>
      <x:c r="H43" s="24" t="str">
        <x:v>Perch-likes</x:v>
      </x:c>
      <x:c r="I43" s="31" t="n">
        <x:v>1568.0167545165</x:v>
      </x:c>
      <x:c r="J43" s="31" t="n">
        <x:v>1568.0167545165</x:v>
      </x:c>
      <x:c r="K43" s="31" t="n">
        <x:v>0</x:v>
      </x:c>
      <x:c r="L43" s="31" t="n">
        <x:v>1095</x:v>
      </x:c>
      <x:c r="M43" s="31" t="n">
        <x:v>473.0167545165</x:v>
      </x:c>
      <x:c r="N43" s="24" t="str">
        <x:v>gerreidae</x:v>
      </x:c>
      <x:c r="O43" s="32" t="n">
        <x:v>3.03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Gerreidae</x:v>
      </x:c>
      <x:c r="T43" s="32" t="n">
        <x:f>IF(O43="","",(1/'Metadata'!$B$5)^(O43-1))</x:f>
        <x:v>107.1519305237606</x:v>
      </x:c>
      <x:c r="U43" s="31" t="n">
        <x:f>IF(T43="","",I43*T43)</x:f>
        <x:v>168016.02234004458</x:v>
      </x:c>
    </x:row>
    <x:row r="44" ht="18" customHeight="1">
      <x:c r="A44" s="24" t="str">
        <x:v>EEZ_944</x:v>
      </x:c>
      <x:c r="B44" s="24" t="str">
        <x:v>Mexico (Atlantic)</x:v>
      </x:c>
      <x:c r="C44" s="24" t="str">
        <x:v>EEZ</x:v>
      </x:c>
      <x:c r="D44" s="30" t="n">
        <x:v>2019</x:v>
      </x:c>
      <x:c r="E44" s="24" t="str">
        <x:v>Rangia cuneata</x:v>
      </x:c>
      <x:c r="F44" s="24" t="str">
        <x:v>Atlantic rangia</x:v>
      </x:c>
      <x:c r="G44" s="24" t="str">
        <x:v>Other demersal invertebrates</x:v>
      </x:c>
      <x:c r="H44" s="24" t="str">
        <x:v>Molluscs</x:v>
      </x:c>
      <x:c r="I44" s="31" t="n">
        <x:v>1501.2227489312002</x:v>
      </x:c>
      <x:c r="J44" s="31" t="n">
        <x:v>1501.2227489312002</x:v>
      </x:c>
      <x:c r="K44" s="31" t="n">
        <x:v>0</x:v>
      </x:c>
      <x:c r="L44" s="31" t="n">
        <x:v>730.8900000000001</x:v>
      </x:c>
      <x:c r="M44" s="31" t="n">
        <x:v>770.3327489312</x:v>
      </x:c>
      <x:c r="N44" s="24" t="str">
        <x:v>rangia cuneata</x:v>
      </x:c>
      <x:c r="O44" s="32" t="n">
        <x:v>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Rangia cuneata</x:v>
      </x:c>
      <x:c r="T44" s="32" t="n">
        <x:f>IF(O44="","",(1/'Metadata'!$B$5)^(O44-1))</x:f>
        <x:v>10</x:v>
      </x:c>
      <x:c r="U44" s="31" t="n">
        <x:f>IF(T44="","",I44*T44)</x:f>
        <x:v>15012.227489312001</x:v>
      </x:c>
    </x:row>
    <x:row r="45" ht="18" customHeight="1">
      <x:c r="A45" s="24" t="str">
        <x:v>EEZ_944</x:v>
      </x:c>
      <x:c r="B45" s="24" t="str">
        <x:v>Mexico (Atlantic)</x:v>
      </x:c>
      <x:c r="C45" s="24" t="str">
        <x:v>EEZ</x:v>
      </x:c>
      <x:c r="D45" s="30" t="n">
        <x:v>2019</x:v>
      </x:c>
      <x:c r="E45" s="24" t="str">
        <x:v>Polymesoda caroliniana</x:v>
      </x:c>
      <x:c r="F45" s="24" t="str">
        <x:v>Carolina marshclam</x:v>
      </x:c>
      <x:c r="G45" s="24" t="str">
        <x:v>Other demersal invertebrates</x:v>
      </x:c>
      <x:c r="H45" s="24" t="str">
        <x:v>Molluscs</x:v>
      </x:c>
      <x:c r="I45" s="31" t="n">
        <x:v>1501.2227489312002</x:v>
      </x:c>
      <x:c r="J45" s="31" t="n">
        <x:v>1501.2227489312002</x:v>
      </x:c>
      <x:c r="K45" s="31" t="n">
        <x:v>0</x:v>
      </x:c>
      <x:c r="L45" s="31" t="n">
        <x:v>730.8900000000001</x:v>
      </x:c>
      <x:c r="M45" s="31" t="n">
        <x:v>770.3327489312</x:v>
      </x:c>
      <x:c r="N45" s="24" t="str">
        <x:v>polymesoda caroliniana</x:v>
      </x:c>
      <x:c r="O45" s="32" t="n">
        <x:v>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Polymesoda caroliniana</x:v>
      </x:c>
      <x:c r="T45" s="32" t="n">
        <x:f>IF(O45="","",(1/'Metadata'!$B$5)^(O45-1))</x:f>
        <x:v>10</x:v>
      </x:c>
      <x:c r="U45" s="31" t="n">
        <x:f>IF(T45="","",I45*T45)</x:f>
        <x:v>15012.227489312001</x:v>
      </x:c>
    </x:row>
    <x:row r="46" ht="18" customHeight="1">
      <x:c r="A46" s="24" t="str">
        <x:v>EEZ_944</x:v>
      </x:c>
      <x:c r="B46" s="24" t="str">
        <x:v>Mexico (Atlantic)</x:v>
      </x:c>
      <x:c r="C46" s="24" t="str">
        <x:v>EEZ</x:v>
      </x:c>
      <x:c r="D46" s="30" t="n">
        <x:v>2019</x:v>
      </x:c>
      <x:c r="E46" s="24" t="str">
        <x:v>Holothuriidae</x:v>
      </x:c>
      <x:c r="F46" s="24" t="str">
        <x:v>Fleshy sea cucumbers</x:v>
      </x:c>
      <x:c r="G46" s="24" t="str">
        <x:v>Other demersal invertebrates</x:v>
      </x:c>
      <x:c r="H46" s="24" t="str">
        <x:v>Other fishes &amp; inverts</x:v>
      </x:c>
      <x:c r="I46" s="31" t="n">
        <x:v>1498</x:v>
      </x:c>
      <x:c r="J46" s="31" t="n">
        <x:v>1498</x:v>
      </x:c>
      <x:c r="K46" s="31" t="n">
        <x:v>0</x:v>
      </x:c>
      <x:c r="L46" s="31" t="n">
        <x:v>1498</x:v>
      </x:c>
      <x:c r="M46" s="31" t="n">
        <x:v>0</x:v>
      </x:c>
      <x:c r="N46" s="24" t="str">
        <x:v>holothuriidae</x:v>
      </x:c>
      <x:c r="O46" s="32" t="n">
        <x:v>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Holothuriidae</x:v>
      </x:c>
      <x:c r="T46" s="32" t="n">
        <x:f>IF(O46="","",(1/'Metadata'!$B$5)^(O46-1))</x:f>
        <x:v>10</x:v>
      </x:c>
      <x:c r="U46" s="31" t="n">
        <x:f>IF(T46="","",I46*T46)</x:f>
        <x:v>14980</x:v>
      </x:c>
    </x:row>
    <x:row r="47" ht="18" customHeight="1">
      <x:c r="A47" s="24" t="str">
        <x:v>EEZ_944</x:v>
      </x:c>
      <x:c r="B47" s="24" t="str">
        <x:v>Mexico (Atlantic)</x:v>
      </x:c>
      <x:c r="C47" s="24" t="str">
        <x:v>EEZ</x:v>
      </x:c>
      <x:c r="D47" s="30" t="n">
        <x:v>2019</x:v>
      </x:c>
      <x:c r="E47" s="24" t="str">
        <x:v>Penaeus setiferus</x:v>
      </x:c>
      <x:c r="F47" s="24" t="str">
        <x:v>Northern white shrimp</x:v>
      </x:c>
      <x:c r="G47" s="24" t="str">
        <x:v>Shrimps</x:v>
      </x:c>
      <x:c r="H47" s="24" t="str">
        <x:v>Crustaceans</x:v>
      </x:c>
      <x:c r="I47" s="31" t="n">
        <x:v>1309.2622179217</x:v>
      </x:c>
      <x:c r="J47" s="31" t="n">
        <x:v>1309.2622179217</x:v>
      </x:c>
      <x:c r="K47" s="31" t="n">
        <x:v>0</x:v>
      </x:c>
      <x:c r="L47" s="31" t="n">
        <x:v>1086.5224962861</x:v>
      </x:c>
      <x:c r="M47" s="31" t="n">
        <x:v>222.7397216356</x:v>
      </x:c>
      <x:c r="N47" s="24" t="str">
        <x:v>penaeus setiferus</x:v>
      </x:c>
      <x:c r="O47" s="32" t="n">
        <x:v>2.93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Penaeus setiferus</x:v>
      </x:c>
      <x:c r="T47" s="32" t="n">
        <x:f>IF(O47="","",(1/'Metadata'!$B$5)^(O47-1))</x:f>
        <x:v>85.11380382023768</x:v>
      </x:c>
      <x:c r="U47" s="31" t="n">
        <x:f>IF(T47="","",I47*T47)</x:f>
        <x:v>111436.28756543685</x:v>
      </x:c>
    </x:row>
    <x:row r="48" ht="18" customHeight="1">
      <x:c r="A48" s="24" t="str">
        <x:v>EEZ_944</x:v>
      </x:c>
      <x:c r="B48" s="24" t="str">
        <x:v>Mexico (Atlantic)</x:v>
      </x:c>
      <x:c r="C48" s="24" t="str">
        <x:v>EEZ</x:v>
      </x:c>
      <x:c r="D48" s="30" t="n">
        <x:v>2019</x:v>
      </x:c>
      <x:c r="E48" s="24" t="str">
        <x:v>Carcharhinus limbatus</x:v>
      </x:c>
      <x:c r="F48" s="24" t="str">
        <x:v>Blacktip shark</x:v>
      </x:c>
      <x:c r="G48" s="24" t="str">
        <x:v>Large sharks (&gt;=90 cm)</x:v>
      </x:c>
      <x:c r="H48" s="24" t="str">
        <x:v>Sharks &amp; rays</x:v>
      </x:c>
      <x:c r="I48" s="31" t="n">
        <x:v>1277</x:v>
      </x:c>
      <x:c r="J48" s="31" t="n">
        <x:v>1277</x:v>
      </x:c>
      <x:c r="K48" s="31" t="n">
        <x:v>0</x:v>
      </x:c>
      <x:c r="L48" s="31" t="n">
        <x:v>1277</x:v>
      </x:c>
      <x:c r="M48" s="31" t="n">
        <x:v>0</x:v>
      </x:c>
      <x:c r="N48" s="24" t="str">
        <x:v>carcharhinus limbatus</x:v>
      </x:c>
      <x:c r="O48" s="32" t="n">
        <x:v>4.37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Carcharhinus limbatus</x:v>
      </x:c>
      <x:c r="T48" s="32" t="n">
        <x:f>IF(O48="","",(1/'Metadata'!$B$5)^(O48-1))</x:f>
        <x:v>2344.228815319923</x:v>
      </x:c>
      <x:c r="U48" s="31" t="n">
        <x:f>IF(T48="","",I48*T48)</x:f>
        <x:v>2993580.1971635413</x:v>
      </x:c>
    </x:row>
    <x:row r="49" ht="18" customHeight="1">
      <x:c r="A49" s="24" t="str">
        <x:v>EEZ_944</x:v>
      </x:c>
      <x:c r="B49" s="24" t="str">
        <x:v>Mexico (Atlantic)</x:v>
      </x:c>
      <x:c r="C49" s="24" t="str">
        <x:v>EEZ</x:v>
      </x:c>
      <x:c r="D49" s="30" t="n">
        <x:v>2019</x:v>
      </x:c>
      <x:c r="E49" s="24" t="str">
        <x:v>Cynoscion nebulosus</x:v>
      </x:c>
      <x:c r="F49" s="24" t="str">
        <x:v>Spotted weakfish</x:v>
      </x:c>
      <x:c r="G49" s="24" t="str">
        <x:v>Medium demersals (30 - 89 cm)</x:v>
      </x:c>
      <x:c r="H49" s="24" t="str">
        <x:v>Perch-likes</x:v>
      </x:c>
      <x:c r="I49" s="31" t="n">
        <x:v>1219.9129465332</x:v>
      </x:c>
      <x:c r="J49" s="31" t="n">
        <x:v>1219.9129465332</x:v>
      </x:c>
      <x:c r="K49" s="31" t="n">
        <x:v>0</x:v>
      </x:c>
      <x:c r="L49" s="31" t="n">
        <x:v>930</x:v>
      </x:c>
      <x:c r="M49" s="31" t="n">
        <x:v>289.9129465332</x:v>
      </x:c>
      <x:c r="N49" s="24" t="str">
        <x:v>cynoscion nebulosus</x:v>
      </x:c>
      <x:c r="O49" s="32" t="n">
        <x:v>3.98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Cynoscion nebulosus</x:v>
      </x:c>
      <x:c r="T49" s="32" t="n">
        <x:f>IF(O49="","",(1/'Metadata'!$B$5)^(O49-1))</x:f>
        <x:v>954.992586021436</x:v>
      </x:c>
      <x:c r="U49" s="31" t="n">
        <x:f>IF(T49="","",I49*T49)</x:f>
        <x:v>1165007.8195307704</x:v>
      </x:c>
    </x:row>
    <x:row r="50" ht="18" customHeight="1">
      <x:c r="A50" s="24" t="str">
        <x:v>EEZ_944</x:v>
      </x:c>
      <x:c r="B50" s="24" t="str">
        <x:v>Mexico (Atlantic)</x:v>
      </x:c>
      <x:c r="C50" s="24" t="str">
        <x:v>EEZ</x:v>
      </x:c>
      <x:c r="D50" s="30" t="n">
        <x:v>2019</x:v>
      </x:c>
      <x:c r="E50" s="24" t="str">
        <x:v>Carangidae</x:v>
      </x:c>
      <x:c r="F50" s="24" t="str">
        <x:v>Jacks, pompanos</x:v>
      </x:c>
      <x:c r="G50" s="24" t="str">
        <x:v>Medium pelagics (30 - 89 cm)</x:v>
      </x:c>
      <x:c r="H50" s="24" t="str">
        <x:v>Perch-likes</x:v>
      </x:c>
      <x:c r="I50" s="31" t="n">
        <x:v>1200.0722903452</x:v>
      </x:c>
      <x:c r="J50" s="31" t="n">
        <x:v>1200.0722903452</x:v>
      </x:c>
      <x:c r="K50" s="31" t="n">
        <x:v>0</x:v>
      </x:c>
      <x:c r="L50" s="31" t="n">
        <x:v>74</x:v>
      </x:c>
      <x:c r="M50" s="31" t="n">
        <x:v>1126.0722903452</x:v>
      </x:c>
      <x:c r="N50" s="24" t="str">
        <x:v>carangidae</x:v>
      </x:c>
      <x:c r="O50" s="32" t="n">
        <x:v>4.05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Carangidae</x:v>
      </x:c>
      <x:c r="T50" s="32" t="n">
        <x:f>IF(O50="","",(1/'Metadata'!$B$5)^(O50-1))</x:f>
        <x:v>1122.018454301963</x:v>
      </x:c>
      <x:c r="U50" s="31" t="n">
        <x:f>IF(T50="","",I50*T50)</x:f>
        <x:v>1346503.2562637378</x:v>
      </x:c>
    </x:row>
    <x:row r="51" ht="18" customHeight="1">
      <x:c r="A51" s="24" t="str">
        <x:v>EEZ_944</x:v>
      </x:c>
      <x:c r="B51" s="24" t="str">
        <x:v>Mexico (Atlantic)</x:v>
      </x:c>
      <x:c r="C51" s="24" t="str">
        <x:v>EEZ</x:v>
      </x:c>
      <x:c r="D51" s="30" t="n">
        <x:v>2019</x:v>
      </x:c>
      <x:c r="E51" s="24" t="str">
        <x:v>Panulirus argus</x:v>
      </x:c>
      <x:c r="F51" s="24" t="str">
        <x:v>Caribbean spiny lobster</x:v>
      </x:c>
      <x:c r="G51" s="24" t="str">
        <x:v>Lobsters, crabs</x:v>
      </x:c>
      <x:c r="H51" s="24" t="str">
        <x:v>Crustaceans</x:v>
      </x:c>
      <x:c r="I51" s="31" t="n">
        <x:v>968.0501200582</x:v>
      </x:c>
      <x:c r="J51" s="31" t="n">
        <x:v>968.0501200582</x:v>
      </x:c>
      <x:c r="K51" s="31" t="n">
        <x:v>0</x:v>
      </x:c>
      <x:c r="L51" s="31" t="n">
        <x:v>807</x:v>
      </x:c>
      <x:c r="M51" s="31" t="n">
        <x:v>161.0501200582</x:v>
      </x:c>
      <x:c r="N51" s="24" t="str">
        <x:v>panulirus argus</x:v>
      </x:c>
      <x:c r="O51" s="32" t="n">
        <x:v>3.2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Panulirus argus</x:v>
      </x:c>
      <x:c r="T51" s="32" t="n">
        <x:f>IF(O51="","",(1/'Metadata'!$B$5)^(O51-1))</x:f>
        <x:v>158.48931924611142</x:v>
      </x:c>
      <x:c r="U51" s="31" t="n">
        <x:f>IF(T51="","",I51*T51)</x:f>
        <x:v>153425.60452414057</x:v>
      </x:c>
    </x:row>
    <x:row r="52" ht="18" customHeight="1">
      <x:c r="A52" s="24" t="str">
        <x:v>EEZ_944</x:v>
      </x:c>
      <x:c r="B52" s="24" t="str">
        <x:v>Mexico (Atlantic)</x:v>
      </x:c>
      <x:c r="C52" s="24" t="str">
        <x:v>EEZ</x:v>
      </x:c>
      <x:c r="D52" s="30" t="n">
        <x:v>2019</x:v>
      </x:c>
      <x:c r="E52" s="24" t="str">
        <x:v>Sphyraena</x:v>
      </x:c>
      <x:c r="F52" s="24" t="str">
        <x:v>Barracudas, sennets</x:v>
      </x:c>
      <x:c r="G52" s="24" t="str">
        <x:v>Large pelagics (&gt;=90 cm)</x:v>
      </x:c>
      <x:c r="H52" s="24" t="str">
        <x:v>Perch-likes</x:v>
      </x:c>
      <x:c r="I52" s="31" t="n">
        <x:v>799.3057878504001</x:v>
      </x:c>
      <x:c r="J52" s="31" t="n">
        <x:v>799.3057878504001</x:v>
      </x:c>
      <x:c r="K52" s="31" t="n">
        <x:v>0</x:v>
      </x:c>
      <x:c r="L52" s="31" t="n">
        <x:v>495</x:v>
      </x:c>
      <x:c r="M52" s="31" t="n">
        <x:v>304.3057878504</x:v>
      </x:c>
      <x:c r="N52" s="24" t="str">
        <x:v>sphyraena</x:v>
      </x:c>
      <x:c r="O52" s="32" t="n">
        <x:v>4.4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Sphyraena</x:v>
      </x:c>
      <x:c r="T52" s="32" t="n">
        <x:f>IF(O52="","",(1/'Metadata'!$B$5)^(O52-1))</x:f>
        <x:v>2511.886431509582</x:v>
      </x:c>
      <x:c r="U52" s="31" t="n">
        <x:f>IF(T52="","",I52*T52)</x:f>
        <x:v>2007765.3631284966</x:v>
      </x:c>
    </x:row>
    <x:row r="53" ht="18" customHeight="1">
      <x:c r="A53" s="24" t="str">
        <x:v>EEZ_944</x:v>
      </x:c>
      <x:c r="B53" s="24" t="str">
        <x:v>Mexico (Atlantic)</x:v>
      </x:c>
      <x:c r="C53" s="24" t="str">
        <x:v>EEZ</x:v>
      </x:c>
      <x:c r="D53" s="30" t="n">
        <x:v>2019</x:v>
      </x:c>
      <x:c r="E53" s="24" t="str">
        <x:v>Thunnus albacares</x:v>
      </x:c>
      <x:c r="F53" s="24" t="str">
        <x:v>Yellowfin tuna</x:v>
      </x:c>
      <x:c r="G53" s="24" t="str">
        <x:v>Large pelagics (&gt;=90 cm)</x:v>
      </x:c>
      <x:c r="H53" s="24" t="str">
        <x:v>Tuna &amp; billfishes</x:v>
      </x:c>
      <x:c r="I53" s="31" t="n">
        <x:v>745.0557629892</x:v>
      </x:c>
      <x:c r="J53" s="31" t="n">
        <x:v>745.0557629892</x:v>
      </x:c>
      <x:c r="K53" s="31" t="n">
        <x:v>0</x:v>
      </x:c>
      <x:c r="L53" s="31" t="n">
        <x:v>745.0557629892</x:v>
      </x:c>
      <x:c r="M53" s="31" t="n">
        <x:v>0</x:v>
      </x:c>
      <x:c r="N53" s="24" t="str">
        <x:v>thunnus albacares</x:v>
      </x:c>
      <x:c r="O53" s="32" t="n">
        <x:v>4.41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Thunnus albacares</x:v>
      </x:c>
      <x:c r="T53" s="32" t="n">
        <x:f>IF(O53="","",(1/'Metadata'!$B$5)^(O53-1))</x:f>
        <x:v>2570.3957827688646</x:v>
      </x:c>
      <x:c r="U53" s="31" t="n">
        <x:f>IF(T53="","",I53*T53)</x:f>
        <x:v>1915088.1911150785</x:v>
      </x:c>
    </x:row>
    <x:row r="54" ht="18" customHeight="1">
      <x:c r="A54" s="24" t="str">
        <x:v>EEZ_944</x:v>
      </x:c>
      <x:c r="B54" s="24" t="str">
        <x:v>Mexico (Atlantic)</x:v>
      </x:c>
      <x:c r="C54" s="24" t="str">
        <x:v>EEZ</x:v>
      </x:c>
      <x:c r="D54" s="30" t="n">
        <x:v>2019</x:v>
      </x:c>
      <x:c r="E54" s="24" t="str">
        <x:v>Trachinotus</x:v>
      </x:c>
      <x:c r="F54" s="24" t="str">
        <x:v>Pompanos</x:v>
      </x:c>
      <x:c r="G54" s="24" t="str">
        <x:v>Medium pelagics (30 - 89 cm)</x:v>
      </x:c>
      <x:c r="H54" s="24" t="str">
        <x:v>Perch-likes</x:v>
      </x:c>
      <x:c r="I54" s="31" t="n">
        <x:v>742.5517008114</x:v>
      </x:c>
      <x:c r="J54" s="31" t="n">
        <x:v>742.5517008114</x:v>
      </x:c>
      <x:c r="K54" s="31" t="n">
        <x:v>0</x:v>
      </x:c>
      <x:c r="L54" s="31" t="n">
        <x:v>588</x:v>
      </x:c>
      <x:c r="M54" s="31" t="n">
        <x:v>154.5517008114</x:v>
      </x:c>
      <x:c r="N54" s="24" t="str">
        <x:v>trachinotus</x:v>
      </x:c>
      <x:c r="O54" s="32" t="n">
        <x:v>3.69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Trachinotus</x:v>
      </x:c>
      <x:c r="T54" s="32" t="n">
        <x:f>IF(O54="","",(1/'Metadata'!$B$5)^(O54-1))</x:f>
        <x:v>489.77881936844614</x:v>
      </x:c>
      <x:c r="U54" s="31" t="n">
        <x:f>IF(T54="","",I54*T54)</x:f>
        <x:v>363686.09534343914</x:v>
      </x:c>
    </x:row>
    <x:row r="55" ht="18" customHeight="1">
      <x:c r="A55" s="24" t="str">
        <x:v>EEZ_944</x:v>
      </x:c>
      <x:c r="B55" s="24" t="str">
        <x:v>Mexico (Atlantic)</x:v>
      </x:c>
      <x:c r="C55" s="24" t="str">
        <x:v>EEZ</x:v>
      </x:c>
      <x:c r="D55" s="30" t="n">
        <x:v>2019</x:v>
      </x:c>
      <x:c r="E55" s="24" t="str">
        <x:v>Sciaenidae</x:v>
      </x:c>
      <x:c r="F55" s="24" t="str">
        <x:v>Drums, croakers</x:v>
      </x:c>
      <x:c r="G55" s="24" t="str">
        <x:v>Medium demersals (30 - 89 cm)</x:v>
      </x:c>
      <x:c r="H55" s="24" t="str">
        <x:v>Perch-likes</x:v>
      </x:c>
      <x:c r="I55" s="31" t="n">
        <x:v>723.2103540346</x:v>
      </x:c>
      <x:c r="J55" s="31" t="n">
        <x:v>723.2103540346</x:v>
      </x:c>
      <x:c r="K55" s="31" t="n">
        <x:v>0</x:v>
      </x:c>
      <x:c r="L55" s="31" t="n">
        <x:v>1</x:v>
      </x:c>
      <x:c r="M55" s="31" t="n">
        <x:v>722.2103540346</x:v>
      </x:c>
      <x:c r="N55" s="24" t="str">
        <x:v>sciaenidae</x:v>
      </x:c>
      <x:c r="O55" s="32" t="n">
        <x:v>3.76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Sciaenidae</x:v>
      </x:c>
      <x:c r="T55" s="32" t="n">
        <x:f>IF(O55="","",(1/'Metadata'!$B$5)^(O55-1))</x:f>
        <x:v>575.4399373371566</x:v>
      </x:c>
      <x:c r="U55" s="31" t="n">
        <x:f>IF(T55="","",I55*T55)</x:f>
        <x:v>416164.12080725306</x:v>
      </x:c>
    </x:row>
    <x:row r="56" ht="18" customHeight="1">
      <x:c r="A56" s="24" t="str">
        <x:v>EEZ_944</x:v>
      </x:c>
      <x:c r="B56" s="24" t="str">
        <x:v>Mexico (Atlantic)</x:v>
      </x:c>
      <x:c r="C56" s="24" t="str">
        <x:v>EEZ</x:v>
      </x:c>
      <x:c r="D56" s="30" t="n">
        <x:v>2019</x:v>
      </x:c>
      <x:c r="E56" s="24" t="str">
        <x:v>Lutjanus</x:v>
      </x:c>
      <x:c r="F56" s="24" t="str">
        <x:v>Snappers</x:v>
      </x:c>
      <x:c r="G56" s="24" t="str">
        <x:v>Medium reef assoc. fish (30 - 89 cm)</x:v>
      </x:c>
      <x:c r="H56" s="24" t="str">
        <x:v>Perch-likes</x:v>
      </x:c>
      <x:c r="I56" s="31" t="n">
        <x:v>612.9785677917</x:v>
      </x:c>
      <x:c r="J56" s="31" t="n">
        <x:v>612.9785677917</x:v>
      </x:c>
      <x:c r="K56" s="31" t="n">
        <x:v>0</x:v>
      </x:c>
      <x:c r="L56" s="31" t="n">
        <x:v>455</x:v>
      </x:c>
      <x:c r="M56" s="31" t="n">
        <x:v>157.9785677917</x:v>
      </x:c>
      <x:c r="N56" s="24" t="str">
        <x:v>lutjanus</x:v>
      </x:c>
      <x:c r="O56" s="32" t="n">
        <x:v>4.02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Lutjanus</x:v>
      </x:c>
      <x:c r="T56" s="32" t="n">
        <x:f>IF(O56="","",(1/'Metadata'!$B$5)^(O56-1))</x:f>
        <x:v>1047.1285480508984</x:v>
      </x:c>
      <x:c r="U56" s="31" t="n">
        <x:f>IF(T56="","",I56*T56)</x:f>
        <x:v>641867.357678042</x:v>
      </x:c>
    </x:row>
    <x:row r="57" ht="18" customHeight="1">
      <x:c r="A57" s="24" t="str">
        <x:v>EEZ_944</x:v>
      </x:c>
      <x:c r="B57" s="24" t="str">
        <x:v>Mexico (Atlantic)</x:v>
      </x:c>
      <x:c r="C57" s="24" t="str">
        <x:v>EEZ</x:v>
      </x:c>
      <x:c r="D57" s="30" t="n">
        <x:v>2019</x:v>
      </x:c>
      <x:c r="E57" s="24" t="str">
        <x:v>Lutjanus griseus</x:v>
      </x:c>
      <x:c r="F57" s="24" t="str">
        <x:v>Grey snapper</x:v>
      </x:c>
      <x:c r="G57" s="24" t="str">
        <x:v>Medium reef assoc. fish (30 - 89 cm)</x:v>
      </x:c>
      <x:c r="H57" s="24" t="str">
        <x:v>Perch-likes</x:v>
      </x:c>
      <x:c r="I57" s="31" t="n">
        <x:v>599.4708170577001</x:v>
      </x:c>
      <x:c r="J57" s="31" t="n">
        <x:v>599.4708170577001</x:v>
      </x:c>
      <x:c r="K57" s="31" t="n">
        <x:v>0</x:v>
      </x:c>
      <x:c r="L57" s="31" t="n">
        <x:v>452</x:v>
      </x:c>
      <x:c r="M57" s="31" t="n">
        <x:v>147.4708170577</x:v>
      </x:c>
      <x:c r="N57" s="24" t="str">
        <x:v>lutjanus griseus</x:v>
      </x:c>
      <x:c r="O57" s="32" t="n">
        <x:v>4.23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Lutjanus griseus</x:v>
      </x:c>
      <x:c r="T57" s="32" t="n">
        <x:f>IF(O57="","",(1/'Metadata'!$B$5)^(O57-1))</x:f>
        <x:v>1698.243652461746</x:v>
      </x:c>
      <x:c r="U57" s="31" t="n">
        <x:f>IF(T57="","",I57*T57)</x:f>
        <x:v>1018047.5099042957</x:v>
      </x:c>
    </x:row>
    <x:row r="58" ht="18" customHeight="1">
      <x:c r="A58" s="24" t="str">
        <x:v>EEZ_944</x:v>
      </x:c>
      <x:c r="B58" s="24" t="str">
        <x:v>Mexico (Atlantic)</x:v>
      </x:c>
      <x:c r="C58" s="24" t="str">
        <x:v>EEZ</x:v>
      </x:c>
      <x:c r="D58" s="30" t="n">
        <x:v>2019</x:v>
      </x:c>
      <x:c r="E58" s="24" t="str">
        <x:v>Rachycentron canadum</x:v>
      </x:c>
      <x:c r="F58" s="24" t="str">
        <x:v>Cobia</x:v>
      </x:c>
      <x:c r="G58" s="24" t="str">
        <x:v>Large pelagics (&gt;=90 cm)</x:v>
      </x:c>
      <x:c r="H58" s="24" t="str">
        <x:v>Perch-likes</x:v>
      </x:c>
      <x:c r="I58" s="31" t="n">
        <x:v>541.405434772</x:v>
      </x:c>
      <x:c r="J58" s="31" t="n">
        <x:v>541.405434772</x:v>
      </x:c>
      <x:c r="K58" s="31" t="n">
        <x:v>0</x:v>
      </x:c>
      <x:c r="L58" s="31" t="n">
        <x:v>380</x:v>
      </x:c>
      <x:c r="M58" s="31" t="n">
        <x:v>161.405434772</x:v>
      </x:c>
      <x:c r="N58" s="24" t="str">
        <x:v>rachycentron canadum</x:v>
      </x:c>
      <x:c r="O58" s="32" t="n">
        <x:v>3.96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Rachycentron canadum</x:v>
      </x:c>
      <x:c r="T58" s="32" t="n">
        <x:f>IF(O58="","",(1/'Metadata'!$B$5)^(O58-1))</x:f>
        <x:v>912.0108393559096</x:v>
      </x:c>
      <x:c r="U58" s="31" t="n">
        <x:f>IF(T58="","",I58*T58)</x:f>
        <x:v>493767.62499826297</x:v>
      </x:c>
    </x:row>
    <x:row r="59" ht="18" customHeight="1">
      <x:c r="A59" s="24" t="str">
        <x:v>EEZ_944</x:v>
      </x:c>
      <x:c r="B59" s="24" t="str">
        <x:v>Mexico (Atlantic)</x:v>
      </x:c>
      <x:c r="C59" s="24" t="str">
        <x:v>EEZ</x:v>
      </x:c>
      <x:c r="D59" s="30" t="n">
        <x:v>2019</x:v>
      </x:c>
      <x:c r="E59" s="24" t="str">
        <x:v>Mercenaria mercenaria</x:v>
      </x:c>
      <x:c r="F59" s="24" t="str">
        <x:v>Northern quahog</x:v>
      </x:c>
      <x:c r="G59" s="24" t="str">
        <x:v>Other demersal invertebrates</x:v>
      </x:c>
      <x:c r="H59" s="24" t="str">
        <x:v>Molluscs</x:v>
      </x:c>
      <x:c r="I59" s="31" t="n">
        <x:v>528.2080042534999</x:v>
      </x:c>
      <x:c r="J59" s="31" t="n">
        <x:v>528.2080042534999</x:v>
      </x:c>
      <x:c r="K59" s="31" t="n">
        <x:v>0</x:v>
      </x:c>
      <x:c r="L59" s="31" t="n">
        <x:v>257.16499999999996</x:v>
      </x:c>
      <x:c r="M59" s="31" t="n">
        <x:v>271.0430042535</x:v>
      </x:c>
      <x:c r="N59" s="24" t="str">
        <x:v>mercenaria mercenaria</x:v>
      </x:c>
      <x:c r="O59" s="32" t="n">
        <x:v>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Mercenaria mercenaria</x:v>
      </x:c>
      <x:c r="T59" s="32" t="n">
        <x:f>IF(O59="","",(1/'Metadata'!$B$5)^(O59-1))</x:f>
        <x:v>10</x:v>
      </x:c>
      <x:c r="U59" s="31" t="n">
        <x:f>IF(T59="","",I59*T59)</x:f>
        <x:v>5282.080042534999</x:v>
      </x:c>
    </x:row>
    <x:row r="60" ht="18" customHeight="1">
      <x:c r="A60" s="24" t="str">
        <x:v>EEZ_944</x:v>
      </x:c>
      <x:c r="B60" s="24" t="str">
        <x:v>Mexico (Atlantic)</x:v>
      </x:c>
      <x:c r="C60" s="24" t="str">
        <x:v>EEZ</x:v>
      </x:c>
      <x:c r="D60" s="30" t="n">
        <x:v>2019</x:v>
      </x:c>
      <x:c r="E60" s="24" t="str">
        <x:v>Sparidae</x:v>
      </x:c>
      <x:c r="F60" s="24" t="str">
        <x:v>Porgies, seabreams</x:v>
      </x:c>
      <x:c r="G60" s="24" t="str">
        <x:v>Medium benthopelagics (30 - 89 cm)</x:v>
      </x:c>
      <x:c r="H60" s="24" t="str">
        <x:v>Perch-likes</x:v>
      </x:c>
      <x:c r="I60" s="31" t="n">
        <x:v>490.0222429002</x:v>
      </x:c>
      <x:c r="J60" s="31" t="n">
        <x:v>490.0222429002</x:v>
      </x:c>
      <x:c r="K60" s="31" t="n">
        <x:v>0</x:v>
      </x:c>
      <x:c r="L60" s="31" t="n">
        <x:v>283</x:v>
      </x:c>
      <x:c r="M60" s="31" t="n">
        <x:v>207.0222429002</x:v>
      </x:c>
      <x:c r="N60" s="24" t="str">
        <x:v>sparidae</x:v>
      </x:c>
      <x:c r="O60" s="32" t="n">
        <x:v>3.31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Sparidae</x:v>
      </x:c>
      <x:c r="T60" s="32" t="n">
        <x:f>IF(O60="","",(1/'Metadata'!$B$5)^(O60-1))</x:f>
        <x:v>204.17379446695296</x:v>
      </x:c>
      <x:c r="U60" s="31" t="n">
        <x:f>IF(T60="","",I60*T60)</x:f>
        <x:v>100049.70070614073</x:v>
      </x:c>
    </x:row>
    <x:row r="61" ht="18" customHeight="1">
      <x:c r="A61" s="24" t="str">
        <x:v>EEZ_944</x:v>
      </x:c>
      <x:c r="B61" s="24" t="str">
        <x:v>Mexico (Atlantic)</x:v>
      </x:c>
      <x:c r="C61" s="24" t="str">
        <x:v>EEZ</x:v>
      </x:c>
      <x:c r="D61" s="30" t="n">
        <x:v>2019</x:v>
      </x:c>
      <x:c r="E61" s="24" t="str">
        <x:v>Conodon nobilis</x:v>
      </x:c>
      <x:c r="F61" s="24" t="str">
        <x:v>Barred grunt</x:v>
      </x:c>
      <x:c r="G61" s="24" t="str">
        <x:v>Small demersals (&lt;30 cm)</x:v>
      </x:c>
      <x:c r="H61" s="24" t="str">
        <x:v>Perch-likes</x:v>
      </x:c>
      <x:c r="I61" s="31" t="n">
        <x:v>422.5475029932</x:v>
      </x:c>
      <x:c r="J61" s="31" t="n">
        <x:v>422.5475029932</x:v>
      </x:c>
      <x:c r="K61" s="31" t="n">
        <x:v>0</x:v>
      </x:c>
      <x:c r="L61" s="31" t="n">
        <x:v>317</x:v>
      </x:c>
      <x:c r="M61" s="31" t="n">
        <x:v>105.5475029932</x:v>
      </x:c>
      <x:c r="N61" s="24" t="str">
        <x:v>conodon nobilis</x:v>
      </x:c>
      <x:c r="O61" s="32" t="n">
        <x:v>3.61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Conodon nobilis</x:v>
      </x:c>
      <x:c r="T61" s="32" t="n">
        <x:f>IF(O61="","",(1/'Metadata'!$B$5)^(O61-1))</x:f>
        <x:v>407.3802778041126</x:v>
      </x:c>
      <x:c r="U61" s="31" t="n">
        <x:f>IF(T61="","",I61*T61)</x:f>
        <x:v>172137.51915480391</x:v>
      </x:c>
    </x:row>
    <x:row r="62" ht="18" customHeight="1">
      <x:c r="A62" s="24" t="str">
        <x:v>EEZ_944</x:v>
      </x:c>
      <x:c r="B62" s="24" t="str">
        <x:v>Mexico (Atlantic)</x:v>
      </x:c>
      <x:c r="C62" s="24" t="str">
        <x:v>EEZ</x:v>
      </x:c>
      <x:c r="D62" s="30" t="n">
        <x:v>2019</x:v>
      </x:c>
      <x:c r="E62" s="24" t="str">
        <x:v>Joturus pichardi</x:v>
      </x:c>
      <x:c r="F62" s="24" t="str">
        <x:v>Bobo mullet</x:v>
      </x:c>
      <x:c r="G62" s="24" t="str">
        <x:v>Medium pelagics (30 - 89 cm)</x:v>
      </x:c>
      <x:c r="H62" s="24" t="str">
        <x:v>Perch-likes</x:v>
      </x:c>
      <x:c r="I62" s="31" t="n">
        <x:v>381.1325671508</x:v>
      </x:c>
      <x:c r="J62" s="31" t="n">
        <x:v>381.1325671508</x:v>
      </x:c>
      <x:c r="K62" s="31" t="n">
        <x:v>0</x:v>
      </x:c>
      <x:c r="L62" s="31" t="n">
        <x:v>303</x:v>
      </x:c>
      <x:c r="M62" s="31" t="n">
        <x:v>78.1325671508</x:v>
      </x:c>
      <x:c r="N62" s="24" t="str">
        <x:v>joturus pichardi</x:v>
      </x:c>
      <x:c r="O62" s="32" t="n">
        <x:v>2.47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Joturus pichardi</x:v>
      </x:c>
      <x:c r="T62" s="32" t="n">
        <x:f>IF(O62="","",(1/'Metadata'!$B$5)^(O62-1))</x:f>
        <x:v>29.51209226666387</x:v>
      </x:c>
      <x:c r="U62" s="31" t="n">
        <x:f>IF(T62="","",I62*T62)</x:f>
        <x:v>11248.019487584874</x:v>
      </x:c>
    </x:row>
    <x:row r="63" ht="18" customHeight="1">
      <x:c r="A63" s="24" t="str">
        <x:v>EEZ_944</x:v>
      </x:c>
      <x:c r="B63" s="24" t="str">
        <x:v>Mexico (Atlantic)</x:v>
      </x:c>
      <x:c r="C63" s="24" t="str">
        <x:v>EEZ</x:v>
      </x:c>
      <x:c r="D63" s="30" t="n">
        <x:v>2019</x:v>
      </x:c>
      <x:c r="E63" s="24" t="str">
        <x:v>Gadiformes</x:v>
      </x:c>
      <x:c r="F63" s="24" t="str">
        <x:v>Cods</x:v>
      </x:c>
      <x:c r="G63" s="24" t="str">
        <x:v>Medium benthopelagics (30 - 89 cm)</x:v>
      </x:c>
      <x:c r="H63" s="24" t="str">
        <x:v>Cod-likes</x:v>
      </x:c>
      <x:c r="I63" s="31" t="n">
        <x:v>363.8842241223</x:v>
      </x:c>
      <x:c r="J63" s="31" t="n">
        <x:v>363.8842241223</x:v>
      </x:c>
      <x:c r="K63" s="31" t="n">
        <x:v>0</x:v>
      </x:c>
      <x:c r="L63" s="31" t="n">
        <x:v>246</x:v>
      </x:c>
      <x:c r="M63" s="31" t="n">
        <x:v>117.8842241223</x:v>
      </x:c>
      <x:c r="N63" s="24" t="str">
        <x:v>gadiformes</x:v>
      </x:c>
      <x:c r="O63" s="32" t="n">
        <x:v>3.91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Gadiformes</x:v>
      </x:c>
      <x:c r="T63" s="32" t="n">
        <x:f>IF(O63="","",(1/'Metadata'!$B$5)^(O63-1))</x:f>
        <x:v>812.8305161640995</x:v>
      </x:c>
      <x:c r="U63" s="31" t="n">
        <x:f>IF(T63="","",I63*T63)</x:f>
        <x:v>295776.20171730197</x:v>
      </x:c>
    </x:row>
    <x:row r="64" ht="18" customHeight="1">
      <x:c r="A64" s="24" t="str">
        <x:v>EEZ_944</x:v>
      </x:c>
      <x:c r="B64" s="24" t="str">
        <x:v>Mexico (Atlantic)</x:v>
      </x:c>
      <x:c r="C64" s="24" t="str">
        <x:v>EEZ</x:v>
      </x:c>
      <x:c r="D64" s="30" t="n">
        <x:v>2019</x:v>
      </x:c>
      <x:c r="E64" s="24" t="str">
        <x:v>Rhizoprionodon terraenovae</x:v>
      </x:c>
      <x:c r="F64" s="24" t="str">
        <x:v>Atlantic sharpnose shark</x:v>
      </x:c>
      <x:c r="G64" s="24" t="str">
        <x:v>Large sharks (&gt;=90 cm)</x:v>
      </x:c>
      <x:c r="H64" s="24" t="str">
        <x:v>Sharks &amp; rays</x:v>
      </x:c>
      <x:c r="I64" s="31" t="n">
        <x:v>335.5934597941</x:v>
      </x:c>
      <x:c r="J64" s="31" t="n">
        <x:v>335.5934597941</x:v>
      </x:c>
      <x:c r="K64" s="31" t="n">
        <x:v>0</x:v>
      </x:c>
      <x:c r="L64" s="31" t="n">
        <x:v>265</x:v>
      </x:c>
      <x:c r="M64" s="31" t="n">
        <x:v>70.5934597941</x:v>
      </x:c>
      <x:c r="N64" s="24" t="str">
        <x:v>rhizoprionodon terraenovae</x:v>
      </x:c>
      <x:c r="O64" s="32" t="n">
        <x:v>4.37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Rhizoprionodon terraenovae</x:v>
      </x:c>
      <x:c r="T64" s="32" t="n">
        <x:f>IF(O64="","",(1/'Metadata'!$B$5)^(O64-1))</x:f>
        <x:v>2344.228815319923</x:v>
      </x:c>
      <x:c r="U64" s="31" t="n">
        <x:f>IF(T64="","",I64*T64)</x:f>
        <x:v>786707.8586822372</x:v>
      </x:c>
    </x:row>
    <x:row r="65" ht="18" customHeight="1">
      <x:c r="A65" s="24" t="str">
        <x:v>EEZ_944</x:v>
      </x:c>
      <x:c r="B65" s="24" t="str">
        <x:v>Mexico (Atlantic)</x:v>
      </x:c>
      <x:c r="C65" s="24" t="str">
        <x:v>EEZ</x:v>
      </x:c>
      <x:c r="D65" s="30" t="n">
        <x:v>2019</x:v>
      </x:c>
      <x:c r="E65" s="24" t="str">
        <x:v>Menticirrhus littoralis</x:v>
      </x:c>
      <x:c r="F65" s="24" t="str">
        <x:v>Gulf kingcroaker</x:v>
      </x:c>
      <x:c r="G65" s="24" t="str">
        <x:v>Medium demersals (30 - 89 cm)</x:v>
      </x:c>
      <x:c r="H65" s="24" t="str">
        <x:v>Perch-likes</x:v>
      </x:c>
      <x:c r="I65" s="31" t="n">
        <x:v>332.64361441330004</x:v>
      </x:c>
      <x:c r="J65" s="31" t="n">
        <x:v>332.64361441330004</x:v>
      </x:c>
      <x:c r="K65" s="31" t="n">
        <x:v>0</x:v>
      </x:c>
      <x:c r="L65" s="31" t="n">
        <x:v>248</x:v>
      </x:c>
      <x:c r="M65" s="31" t="n">
        <x:v>84.6436144133</x:v>
      </x:c>
      <x:c r="N65" s="24" t="str">
        <x:v>menticirrhus littoralis</x:v>
      </x:c>
      <x:c r="O65" s="32" t="n">
        <x:v>3.92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Menticirrhus littoralis</x:v>
      </x:c>
      <x:c r="T65" s="32" t="n">
        <x:f>IF(O65="","",(1/'Metadata'!$B$5)^(O65-1))</x:f>
        <x:v>831.7637711026708</x:v>
      </x:c>
      <x:c r="U65" s="31" t="n">
        <x:f>IF(T65="","",I65*T65)</x:f>
        <x:v>276680.9071576292</x:v>
      </x:c>
    </x:row>
    <x:row r="66" ht="18" customHeight="1">
      <x:c r="A66" s="24" t="str">
        <x:v>EEZ_944</x:v>
      </x:c>
      <x:c r="B66" s="24" t="str">
        <x:v>Mexico (Atlantic)</x:v>
      </x:c>
      <x:c r="C66" s="24" t="str">
        <x:v>EEZ</x:v>
      </x:c>
      <x:c r="D66" s="30" t="n">
        <x:v>2019</x:v>
      </x:c>
      <x:c r="E66" s="24" t="str">
        <x:v>Pogonias courbina</x:v>
      </x:c>
      <x:c r="F66" s="24" t="str">
        <x:v>Black drum</x:v>
      </x:c>
      <x:c r="G66" s="24" t="str">
        <x:v>Large demersals (&gt;=90 cm)</x:v>
      </x:c>
      <x:c r="H66" s="24" t="str">
        <x:v>Perch-likes</x:v>
      </x:c>
      <x:c r="I66" s="31" t="n">
        <x:v>296.5857264744</x:v>
      </x:c>
      <x:c r="J66" s="31" t="n">
        <x:v>296.5857264744</x:v>
      </x:c>
      <x:c r="K66" s="31" t="n">
        <x:v>0</x:v>
      </x:c>
      <x:c r="L66" s="31" t="n">
        <x:v>153</x:v>
      </x:c>
      <x:c r="M66" s="31" t="n">
        <x:v>143.58572647440002</x:v>
      </x:c>
      <x:c r="N66" s="24" t="str">
        <x:v>pogonias courbina</x:v>
      </x:c>
      <x:c r="O66" s="32" t="n">
        <x:v>3.89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Pogonias courbina</x:v>
      </x:c>
      <x:c r="T66" s="32" t="n">
        <x:f>IF(O66="","",(1/'Metadata'!$B$5)^(O66-1))</x:f>
        <x:v>776.247116628692</x:v>
      </x:c>
      <x:c r="U66" s="31" t="n">
        <x:f>IF(T66="","",I66*T66)</x:f>
        <x:v>230223.81500897894</x:v>
      </x:c>
    </x:row>
    <x:row r="67" ht="18" customHeight="1">
      <x:c r="A67" s="24" t="str">
        <x:v>EEZ_944</x:v>
      </x:c>
      <x:c r="B67" s="24" t="str">
        <x:v>Mexico (Atlantic)</x:v>
      </x:c>
      <x:c r="C67" s="24" t="str">
        <x:v>EEZ</x:v>
      </x:c>
      <x:c r="D67" s="30" t="n">
        <x:v>2019</x:v>
      </x:c>
      <x:c r="E67" s="24" t="str">
        <x:v>Batoidea</x:v>
      </x:c>
      <x:c r="F67" s="24" t="str">
        <x:v>Batoids, skates, rays, sawfishes</x:v>
      </x:c>
      <x:c r="G67" s="24" t="str">
        <x:v>Large rays (&gt;=90 cm)</x:v>
      </x:c>
      <x:c r="H67" s="24" t="str">
        <x:v>Sharks &amp; rays</x:v>
      </x:c>
      <x:c r="I67" s="31" t="n">
        <x:v>295.8340695031</x:v>
      </x:c>
      <x:c r="J67" s="31" t="n">
        <x:v>295.8340695031</x:v>
      </x:c>
      <x:c r="K67" s="31" t="n">
        <x:v>0</x:v>
      </x:c>
      <x:c r="L67" s="31" t="n">
        <x:v>192</x:v>
      </x:c>
      <x:c r="M67" s="31" t="n">
        <x:v>103.8340695031</x:v>
      </x:c>
      <x:c r="N67" s="24" t="str">
        <x:v>batoidea</x:v>
      </x:c>
      <x:c r="O67" s="32" t="n">
        <x:v>3.72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Batoidea</x:v>
      </x:c>
      <x:c r="T67" s="32" t="n">
        <x:f>IF(O67="","",(1/'Metadata'!$B$5)^(O67-1))</x:f>
        <x:v>524.8074602497728</x:v>
      </x:c>
      <x:c r="U67" s="31" t="n">
        <x:f>IF(T67="","",I67*T67)</x:f>
        <x:v>155255.92667127668</x:v>
      </x:c>
    </x:row>
    <x:row r="68" ht="18" customHeight="1">
      <x:c r="A68" s="24" t="str">
        <x:v>EEZ_944</x:v>
      </x:c>
      <x:c r="B68" s="24" t="str">
        <x:v>Mexico (Atlantic)</x:v>
      </x:c>
      <x:c r="C68" s="24" t="str">
        <x:v>EEZ</x:v>
      </x:c>
      <x:c r="D68" s="30" t="n">
        <x:v>2019</x:v>
      </x:c>
      <x:c r="E68" s="24" t="str">
        <x:v>Lutjanus synagris</x:v>
      </x:c>
      <x:c r="F68" s="24" t="str">
        <x:v>Lane snapper</x:v>
      </x:c>
      <x:c r="G68" s="24" t="str">
        <x:v>Medium reef assoc. fish (30 - 89 cm)</x:v>
      </x:c>
      <x:c r="H68" s="24" t="str">
        <x:v>Perch-likes</x:v>
      </x:c>
      <x:c r="I68" s="31" t="n">
        <x:v>261.1385327198</x:v>
      </x:c>
      <x:c r="J68" s="31" t="n">
        <x:v>261.1385327198</x:v>
      </x:c>
      <x:c r="K68" s="31" t="n">
        <x:v>0</x:v>
      </x:c>
      <x:c r="L68" s="31" t="n">
        <x:v>195</x:v>
      </x:c>
      <x:c r="M68" s="31" t="n">
        <x:v>66.1385327198</x:v>
      </x:c>
      <x:c r="N68" s="24" t="str">
        <x:v>lutjanus synagris</x:v>
      </x:c>
      <x:c r="O68" s="32" t="n">
        <x:v>3.82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Lutjanus synagris</x:v>
      </x:c>
      <x:c r="T68" s="32" t="n">
        <x:f>IF(O68="","",(1/'Metadata'!$B$5)^(O68-1))</x:f>
        <x:v>660.6934480075957</x:v>
      </x:c>
      <x:c r="U68" s="31" t="n">
        <x:f>IF(T68="","",I68*T68)</x:f>
        <x:v>172532.51759028903</x:v>
      </x:c>
    </x:row>
    <x:row r="69" ht="18" customHeight="1">
      <x:c r="A69" s="24" t="str">
        <x:v>EEZ_944</x:v>
      </x:c>
      <x:c r="B69" s="24" t="str">
        <x:v>Mexico (Atlantic)</x:v>
      </x:c>
      <x:c r="C69" s="24" t="str">
        <x:v>EEZ</x:v>
      </x:c>
      <x:c r="D69" s="30" t="n">
        <x:v>2019</x:v>
      </x:c>
      <x:c r="E69" s="24" t="str">
        <x:v>Sphyrna</x:v>
      </x:c>
      <x:c r="F69" s="24" t="str">
        <x:v>Hammerhead sharks</x:v>
      </x:c>
      <x:c r="G69" s="24" t="str">
        <x:v>Large sharks (&gt;=90 cm)</x:v>
      </x:c>
      <x:c r="H69" s="24" t="str">
        <x:v>Sharks &amp; rays</x:v>
      </x:c>
      <x:c r="I69" s="31" t="n">
        <x:v>257.1985061921</x:v>
      </x:c>
      <x:c r="J69" s="31" t="n">
        <x:v>257.1985061921</x:v>
      </x:c>
      <x:c r="K69" s="31" t="n">
        <x:v>0</x:v>
      </x:c>
      <x:c r="L69" s="31" t="n">
        <x:v>171.8903983641</x:v>
      </x:c>
      <x:c r="M69" s="31" t="n">
        <x:v>85.308107828</x:v>
      </x:c>
      <x:c r="N69" s="24" t="str">
        <x:v>sphyrna</x:v>
      </x:c>
      <x:c r="O69" s="32" t="n">
        <x:v>4.2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Sphyrna</x:v>
      </x:c>
      <x:c r="T69" s="32" t="n">
        <x:f>IF(O69="","",(1/'Metadata'!$B$5)^(O69-1))</x:f>
        <x:v>1584.893192461114</x:v>
      </x:c>
      <x:c r="U69" s="31" t="n">
        <x:f>IF(T69="","",I69*T69)</x:f>
        <x:v>407632.161575027</x:v>
      </x:c>
    </x:row>
    <x:row r="70" ht="18" customHeight="1">
      <x:c r="A70" s="24" t="str">
        <x:v>EEZ_944</x:v>
      </x:c>
      <x:c r="B70" s="24" t="str">
        <x:v>Mexico (Atlantic)</x:v>
      </x:c>
      <x:c r="C70" s="24" t="str">
        <x:v>EEZ</x:v>
      </x:c>
      <x:c r="D70" s="30" t="n">
        <x:v>2019</x:v>
      </x:c>
      <x:c r="E70" s="24" t="str">
        <x:v>Engraulidae</x:v>
      </x:c>
      <x:c r="F70" s="24" t="str">
        <x:v>Anchovies, round herrings</x:v>
      </x:c>
      <x:c r="G70" s="24" t="str">
        <x:v>Small pelagics (&lt;30 cm)</x:v>
      </x:c>
      <x:c r="H70" s="24" t="str">
        <x:v>Anchovies</x:v>
      </x:c>
      <x:c r="I70" s="31" t="n">
        <x:v>248.8115709529</x:v>
      </x:c>
      <x:c r="J70" s="31" t="n">
        <x:v>248.8115709529</x:v>
      </x:c>
      <x:c r="K70" s="31" t="n">
        <x:v>0</x:v>
      </x:c>
      <x:c r="L70" s="31" t="n">
        <x:v>76</x:v>
      </x:c>
      <x:c r="M70" s="31" t="n">
        <x:v>172.8115709529</x:v>
      </x:c>
      <x:c r="N70" s="24" t="str">
        <x:v>engraulidae</x:v>
      </x:c>
      <x:c r="O70" s="32" t="n">
        <x:v>3.2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Engraulidae</x:v>
      </x:c>
      <x:c r="T70" s="32" t="n">
        <x:f>IF(O70="","",(1/'Metadata'!$B$5)^(O70-1))</x:f>
        <x:v>158.48931924611142</x:v>
      </x:c>
      <x:c r="U70" s="31" t="n">
        <x:f>IF(T70="","",I70*T70)</x:f>
        <x:v>39433.97650088067</x:v>
      </x:c>
    </x:row>
    <x:row r="71" ht="18" customHeight="1">
      <x:c r="A71" s="24" t="str">
        <x:v>EEZ_944</x:v>
      </x:c>
      <x:c r="B71" s="24" t="str">
        <x:v>Mexico (Atlantic)</x:v>
      </x:c>
      <x:c r="C71" s="24" t="str">
        <x:v>EEZ</x:v>
      </x:c>
      <x:c r="D71" s="30" t="n">
        <x:v>2019</x:v>
      </x:c>
      <x:c r="E71" s="24" t="str">
        <x:v>Centropomus undecimalis</x:v>
      </x:c>
      <x:c r="F71" s="24" t="str">
        <x:v>Common snook</x:v>
      </x:c>
      <x:c r="G71" s="24" t="str">
        <x:v>Large benthopelagics (&gt;=90 cm)</x:v>
      </x:c>
      <x:c r="H71" s="24" t="str">
        <x:v>Perch-likes</x:v>
      </x:c>
      <x:c r="I71" s="31" t="n">
        <x:v>157.7295624463</x:v>
      </x:c>
      <x:c r="J71" s="31" t="n">
        <x:v>157.7295624463</x:v>
      </x:c>
      <x:c r="K71" s="31" t="n">
        <x:v>0</x:v>
      </x:c>
      <x:c r="L71" s="31" t="n">
        <x:v>131</x:v>
      </x:c>
      <x:c r="M71" s="31" t="n">
        <x:v>26.7295624463</x:v>
      </x:c>
      <x:c r="N71" s="24" t="str">
        <x:v>centropomus undecimalis</x:v>
      </x:c>
      <x:c r="O71" s="32" t="n">
        <x:v>4.17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Centropomus undecimalis</x:v>
      </x:c>
      <x:c r="T71" s="32" t="n">
        <x:f>IF(O71="","",(1/'Metadata'!$B$5)^(O71-1))</x:f>
        <x:v>1479.1083881682073</x:v>
      </x:c>
      <x:c r="U71" s="31" t="n">
        <x:f>IF(T71="","",I71*T71)</x:f>
        <x:v>233299.1188764234</x:v>
      </x:c>
    </x:row>
    <x:row r="72" ht="18" customHeight="1">
      <x:c r="A72" s="24" t="str">
        <x:v>EEZ_944</x:v>
      </x:c>
      <x:c r="B72" s="24" t="str">
        <x:v>Mexico (Atlantic)</x:v>
      </x:c>
      <x:c r="C72" s="24" t="str">
        <x:v>EEZ</x:v>
      </x:c>
      <x:c r="D72" s="30" t="n">
        <x:v>2019</x:v>
      </x:c>
      <x:c r="E72" s="24" t="str">
        <x:v>Labridae</x:v>
      </x:c>
      <x:c r="F72" s="24" t="str">
        <x:v>Wrasses, gropers, tuskfishes</x:v>
      </x:c>
      <x:c r="G72" s="24" t="str">
        <x:v>Medium reef assoc. fish (30 - 89 cm)</x:v>
      </x:c>
      <x:c r="H72" s="24" t="str">
        <x:v>Perch-likes</x:v>
      </x:c>
      <x:c r="I72" s="31" t="n">
        <x:v>144.0909531297</x:v>
      </x:c>
      <x:c r="J72" s="31" t="n">
        <x:v>144.0909531297</x:v>
      </x:c>
      <x:c r="K72" s="31" t="n">
        <x:v>0</x:v>
      </x:c>
      <x:c r="L72" s="31" t="n">
        <x:v>0</x:v>
      </x:c>
      <x:c r="M72" s="31" t="n">
        <x:v>144.0909531297</x:v>
      </x:c>
      <x:c r="N72" s="24" t="str">
        <x:v>labridae</x:v>
      </x:c>
      <x:c r="O72" s="32" t="n">
        <x:v>3.46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Labridae</x:v>
      </x:c>
      <x:c r="T72" s="32" t="n">
        <x:f>IF(O72="","",(1/'Metadata'!$B$5)^(O72-1))</x:f>
        <x:v>288.40315031266056</x:v>
      </x:c>
      <x:c r="U72" s="31" t="n">
        <x:f>IF(T72="","",I72*T72)</x:f>
        <x:v>41556.2848141594</x:v>
      </x:c>
    </x:row>
    <x:row r="73" ht="18" customHeight="1">
      <x:c r="A73" s="24" t="str">
        <x:v>EEZ_944</x:v>
      </x:c>
      <x:c r="B73" s="24" t="str">
        <x:v>Mexico (Atlantic)</x:v>
      </x:c>
      <x:c r="C73" s="24" t="str">
        <x:v>EEZ</x:v>
      </x:c>
      <x:c r="D73" s="30" t="n">
        <x:v>2019</x:v>
      </x:c>
      <x:c r="E73" s="24" t="str">
        <x:v>Makaira nigricans</x:v>
      </x:c>
      <x:c r="F73" s="24" t="str">
        <x:v>Blue marlin</x:v>
      </x:c>
      <x:c r="G73" s="24" t="str">
        <x:v>Large pelagics (&gt;=90 cm)</x:v>
      </x:c>
      <x:c r="H73" s="24" t="str">
        <x:v>Tuna &amp; billfishes</x:v>
      </x:c>
      <x:c r="I73" s="31" t="n">
        <x:v>136.9752196859</x:v>
      </x:c>
      <x:c r="J73" s="31" t="n">
        <x:v>136.9752196859</x:v>
      </x:c>
      <x:c r="K73" s="31" t="n">
        <x:v>0</x:v>
      </x:c>
      <x:c r="L73" s="31" t="n">
        <x:v>129.0960016754</x:v>
      </x:c>
      <x:c r="M73" s="31" t="n">
        <x:v>7.8792180105</x:v>
      </x:c>
      <x:c r="N73" s="24" t="str">
        <x:v>makaira nigricans</x:v>
      </x:c>
      <x:c r="O73" s="32" t="n">
        <x:v>4.49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Makaira nigricans</x:v>
      </x:c>
      <x:c r="T73" s="32" t="n">
        <x:f>IF(O73="","",(1/'Metadata'!$B$5)^(O73-1))</x:f>
        <x:v>3090.295432513592</x:v>
      </x:c>
      <x:c r="U73" s="31" t="n">
        <x:f>IF(T73="","",I73*T73)</x:f>
        <x:v>423293.8957628826</x:v>
      </x:c>
    </x:row>
    <x:row r="74" ht="18" customHeight="1">
      <x:c r="A74" s="24" t="str">
        <x:v>EEZ_944</x:v>
      </x:c>
      <x:c r="B74" s="24" t="str">
        <x:v>Mexico (Atlantic)</x:v>
      </x:c>
      <x:c r="C74" s="24" t="str">
        <x:v>EEZ</x:v>
      </x:c>
      <x:c r="D74" s="30" t="n">
        <x:v>2019</x:v>
      </x:c>
      <x:c r="E74" s="24" t="str">
        <x:v>Sphyraenidae</x:v>
      </x:c>
      <x:c r="F74" s="24" t="str">
        <x:v>Barracudas</x:v>
      </x:c>
      <x:c r="G74" s="24" t="str">
        <x:v>Medium reef assoc. fish (30 - 89 cm)</x:v>
      </x:c>
      <x:c r="H74" s="24" t="str">
        <x:v>Perch-likes</x:v>
      </x:c>
      <x:c r="I74" s="31" t="n">
        <x:v>98.7370236054</x:v>
      </x:c>
      <x:c r="J74" s="31" t="n">
        <x:v>98.7370236054</x:v>
      </x:c>
      <x:c r="K74" s="31" t="n">
        <x:v>0</x:v>
      </x:c>
      <x:c r="L74" s="31" t="n">
        <x:v>0</x:v>
      </x:c>
      <x:c r="M74" s="31" t="n">
        <x:v>98.7370236054</x:v>
      </x:c>
      <x:c r="N74" s="24" t="str">
        <x:v>sphyraenidae</x:v>
      </x:c>
      <x:c r="O74" s="32" t="n">
        <x:v>4.4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Sphyraenidae</x:v>
      </x:c>
      <x:c r="T74" s="32" t="n">
        <x:f>IF(O74="","",(1/'Metadata'!$B$5)^(O74-1))</x:f>
        <x:v>2511.886431509582</x:v>
      </x:c>
      <x:c r="U74" s="31" t="n">
        <x:f>IF(T74="","",I74*T74)</x:f>
        <x:v>248016.18988204555</x:v>
      </x:c>
    </x:row>
    <x:row r="75" ht="18" customHeight="1">
      <x:c r="A75" s="24" t="str">
        <x:v>EEZ_944</x:v>
      </x:c>
      <x:c r="B75" s="24" t="str">
        <x:v>Mexico (Atlantic)</x:v>
      </x:c>
      <x:c r="C75" s="24" t="str">
        <x:v>EEZ</x:v>
      </x:c>
      <x:c r="D75" s="30" t="n">
        <x:v>2019</x:v>
      </x:c>
      <x:c r="E75" s="24" t="str">
        <x:v>Pleuronectiformes</x:v>
      </x:c>
      <x:c r="F75" s="24" t="str">
        <x:v>Flatfishes</x:v>
      </x:c>
      <x:c r="G75" s="24" t="str">
        <x:v>Small to medium flatfishes (&lt;90 cm)</x:v>
      </x:c>
      <x:c r="H75" s="24" t="str">
        <x:v>Flatfishes</x:v>
      </x:c>
      <x:c r="I75" s="31" t="n">
        <x:v>97</x:v>
      </x:c>
      <x:c r="J75" s="31" t="n">
        <x:v>97</x:v>
      </x:c>
      <x:c r="K75" s="31" t="n">
        <x:v>0</x:v>
      </x:c>
      <x:c r="L75" s="31" t="n">
        <x:v>97</x:v>
      </x:c>
      <x:c r="M75" s="31" t="n">
        <x:v>0</x:v>
      </x:c>
      <x:c r="N75" s="24" t="str">
        <x:v>pleuronectiformes</x:v>
      </x:c>
      <x:c r="O75" s="32" t="n">
        <x:v>3.57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Pleuronectiformes</x:v>
      </x:c>
      <x:c r="T75" s="32" t="n">
        <x:f>IF(O75="","",(1/'Metadata'!$B$5)^(O75-1))</x:f>
        <x:v>371.5352290971724</x:v>
      </x:c>
      <x:c r="U75" s="31" t="n">
        <x:f>IF(T75="","",I75*T75)</x:f>
        <x:v>36038.91722242573</x:v>
      </x:c>
    </x:row>
    <x:row r="76" ht="18" customHeight="1">
      <x:c r="A76" s="24" t="str">
        <x:v>EEZ_944</x:v>
      </x:c>
      <x:c r="B76" s="24" t="str">
        <x:v>Mexico (Atlantic)</x:v>
      </x:c>
      <x:c r="C76" s="24" t="str">
        <x:v>EEZ</x:v>
      </x:c>
      <x:c r="D76" s="30" t="n">
        <x:v>2019</x:v>
      </x:c>
      <x:c r="E76" s="24" t="str">
        <x:v>Rachycentridae</x:v>
      </x:c>
      <x:c r="F76" s="24" t="str">
        <x:v>Cobias</x:v>
      </x:c>
      <x:c r="G76" s="24" t="str">
        <x:v>Large pelagics (&gt;=90 cm)</x:v>
      </x:c>
      <x:c r="H76" s="24" t="str">
        <x:v>Perch-likes</x:v>
      </x:c>
      <x:c r="I76" s="31" t="n">
        <x:v>85.4997523089</x:v>
      </x:c>
      <x:c r="J76" s="31" t="n">
        <x:v>85.4997523089</x:v>
      </x:c>
      <x:c r="K76" s="31" t="n">
        <x:v>0</x:v>
      </x:c>
      <x:c r="L76" s="31" t="n">
        <x:v>0</x:v>
      </x:c>
      <x:c r="M76" s="31" t="n">
        <x:v>85.4997523089</x:v>
      </x:c>
      <x:c r="N76" s="24" t="str">
        <x:v>rachycentridae</x:v>
      </x:c>
      <x:c r="O76" s="32" t="n">
        <x:v>3.96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Rachycentridae</x:v>
      </x:c>
      <x:c r="T76" s="32" t="n">
        <x:f>IF(O76="","",(1/'Metadata'!$B$5)^(O76-1))</x:f>
        <x:v>912.0108393559096</x:v>
      </x:c>
      <x:c r="U76" s="31" t="n">
        <x:f>IF(T76="","",I76*T76)</x:f>
        <x:v>77976.70086796227</x:v>
      </x:c>
    </x:row>
    <x:row r="77" ht="18" customHeight="1">
      <x:c r="A77" s="24" t="str">
        <x:v>EEZ_944</x:v>
      </x:c>
      <x:c r="B77" s="24" t="str">
        <x:v>Mexico (Atlantic)</x:v>
      </x:c>
      <x:c r="C77" s="24" t="str">
        <x:v>EEZ</x:v>
      </x:c>
      <x:c r="D77" s="30" t="n">
        <x:v>2019</x:v>
      </x:c>
      <x:c r="E77" s="24" t="str">
        <x:v>Alopias superciliosus</x:v>
      </x:c>
      <x:c r="F77" s="24" t="str">
        <x:v>Bigeye thresher</x:v>
      </x:c>
      <x:c r="G77" s="24" t="str">
        <x:v>Large sharks (&gt;=90 cm)</x:v>
      </x:c>
      <x:c r="H77" s="24" t="str">
        <x:v>Sharks &amp; rays</x:v>
      </x:c>
      <x:c r="I77" s="31" t="n">
        <x:v>64</x:v>
      </x:c>
      <x:c r="J77" s="31" t="n">
        <x:v>64</x:v>
      </x:c>
      <x:c r="K77" s="31" t="n">
        <x:v>0</x:v>
      </x:c>
      <x:c r="L77" s="31" t="n">
        <x:v>64</x:v>
      </x:c>
      <x:c r="M77" s="31" t="n">
        <x:v>0</x:v>
      </x:c>
      <x:c r="N77" s="24" t="str">
        <x:v>alopias superciliosus</x:v>
      </x:c>
      <x:c r="O77" s="32" t="n">
        <x:v>4.51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Alopias superciliosus</x:v>
      </x:c>
      <x:c r="T77" s="32" t="n">
        <x:f>IF(O77="","",(1/'Metadata'!$B$5)^(O77-1))</x:f>
        <x:v>3235.936569296281</x:v>
      </x:c>
      <x:c r="U77" s="31" t="n">
        <x:f>IF(T77="","",I77*T77)</x:f>
        <x:v>207099.940434962</x:v>
      </x:c>
    </x:row>
    <x:row r="78" ht="18" customHeight="1">
      <x:c r="A78" s="24" t="str">
        <x:v>EEZ_944</x:v>
      </x:c>
      <x:c r="B78" s="24" t="str">
        <x:v>Mexico (Atlantic)</x:v>
      </x:c>
      <x:c r="C78" s="24" t="str">
        <x:v>EEZ</x:v>
      </x:c>
      <x:c r="D78" s="30" t="n">
        <x:v>2019</x:v>
      </x:c>
      <x:c r="E78" s="24" t="str">
        <x:v>Sicyonia brevirostris</x:v>
      </x:c>
      <x:c r="F78" s="24" t="str">
        <x:v>Rock shrimp</x:v>
      </x:c>
      <x:c r="G78" s="24" t="str">
        <x:v>Shrimps</x:v>
      </x:c>
      <x:c r="H78" s="24" t="str">
        <x:v>Crustaceans</x:v>
      </x:c>
      <x:c r="I78" s="31" t="n">
        <x:v>42.865441693899996</x:v>
      </x:c>
      <x:c r="J78" s="31" t="n">
        <x:v>42.865441693899996</x:v>
      </x:c>
      <x:c r="K78" s="31" t="n">
        <x:v>0</x:v>
      </x:c>
      <x:c r="L78" s="31" t="n">
        <x:v>33.1864579939</x:v>
      </x:c>
      <x:c r="M78" s="31" t="n">
        <x:v>9.678983699999998</x:v>
      </x:c>
      <x:c r="N78" s="24" t="str">
        <x:v>sicyonia brevirostris</x:v>
      </x:c>
      <x:c r="O78" s="32" t="n">
        <x:v>2.2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Sicyonia brevirostris</x:v>
      </x:c>
      <x:c r="T78" s="32" t="n">
        <x:f>IF(O78="","",(1/'Metadata'!$B$5)^(O78-1))</x:f>
        <x:v>15.848931924611142</x:v>
      </x:c>
      <x:c r="U78" s="31" t="n">
        <x:f>IF(T78="","",I78*T78)</x:f>
        <x:v>679.3714673250091</x:v>
      </x:c>
    </x:row>
    <x:row r="79" ht="18" customHeight="1">
      <x:c r="A79" s="24" t="str">
        <x:v>EEZ_944</x:v>
      </x:c>
      <x:c r="B79" s="24" t="str">
        <x:v>Mexico (Atlantic)</x:v>
      </x:c>
      <x:c r="C79" s="24" t="str">
        <x:v>EEZ</x:v>
      </x:c>
      <x:c r="D79" s="30" t="n">
        <x:v>2019</x:v>
      </x:c>
      <x:c r="E79" s="24" t="str">
        <x:v>Anguilla rostrata</x:v>
      </x:c>
      <x:c r="F79" s="24" t="str">
        <x:v>American eel</x:v>
      </x:c>
      <x:c r="G79" s="24" t="str">
        <x:v>Large demersals (&gt;=90 cm)</x:v>
      </x:c>
      <x:c r="H79" s="24" t="str">
        <x:v>Other fishes &amp; inverts</x:v>
      </x:c>
      <x:c r="I79" s="31" t="n">
        <x:v>42</x:v>
      </x:c>
      <x:c r="J79" s="31" t="n">
        <x:v>42</x:v>
      </x:c>
      <x:c r="K79" s="31" t="n">
        <x:v>0</x:v>
      </x:c>
      <x:c r="L79" s="31" t="n">
        <x:v>42</x:v>
      </x:c>
      <x:c r="M79" s="31" t="n">
        <x:v>0</x:v>
      </x:c>
      <x:c r="N79" s="24" t="str">
        <x:v>anguilla rostrata</x:v>
      </x:c>
      <x:c r="O79" s="32" t="n">
        <x:v>3.83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Anguilla rostrata</x:v>
      </x:c>
      <x:c r="T79" s="32" t="n">
        <x:f>IF(O79="","",(1/'Metadata'!$B$5)^(O79-1))</x:f>
        <x:v>676.0829753919819</x:v>
      </x:c>
      <x:c r="U79" s="31" t="n">
        <x:f>IF(T79="","",I79*T79)</x:f>
        <x:v>28395.48496646324</x:v>
      </x:c>
    </x:row>
    <x:row r="80" ht="18" customHeight="1">
      <x:c r="A80" s="24" t="str">
        <x:v>EEZ_944</x:v>
      </x:c>
      <x:c r="B80" s="24" t="str">
        <x:v>Mexico (Atlantic)</x:v>
      </x:c>
      <x:c r="C80" s="24" t="str">
        <x:v>EEZ</x:v>
      </x:c>
      <x:c r="D80" s="30" t="n">
        <x:v>2019</x:v>
      </x:c>
      <x:c r="E80" s="24" t="str">
        <x:v>Penaeus brasiliensis</x:v>
      </x:c>
      <x:c r="F80" s="24" t="str">
        <x:v>Redspotted shrimp</x:v>
      </x:c>
      <x:c r="G80" s="24" t="str">
        <x:v>Shrimps</x:v>
      </x:c>
      <x:c r="H80" s="24" t="str">
        <x:v>Crustaceans</x:v>
      </x:c>
      <x:c r="I80" s="31" t="n">
        <x:v>39.8356213841</x:v>
      </x:c>
      <x:c r="J80" s="31" t="n">
        <x:v>39.8356213841</x:v>
      </x:c>
      <x:c r="K80" s="31" t="n">
        <x:v>0</x:v>
      </x:c>
      <x:c r="L80" s="31" t="n">
        <x:v>30.840768775100003</x:v>
      </x:c>
      <x:c r="M80" s="31" t="n">
        <x:v>8.994852609</x:v>
      </x:c>
      <x:c r="N80" s="24" t="str">
        <x:v>penaeus brasiliensis</x:v>
      </x:c>
      <x:c r="O80" s="32" t="n">
        <x:v>2.7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Penaeus brasiliensis</x:v>
      </x:c>
      <x:c r="T80" s="32" t="n">
        <x:f>IF(O80="","",(1/'Metadata'!$B$5)^(O80-1))</x:f>
        <x:v>50.11872336272725</x:v>
      </x:c>
      <x:c r="U80" s="31" t="n">
        <x:f>IF(T80="","",I80*T80)</x:f>
        <x:v>1996.51048813205</x:v>
      </x:c>
    </x:row>
    <x:row r="81" ht="18" customHeight="1">
      <x:c r="A81" s="24" t="str">
        <x:v>EEZ_944</x:v>
      </x:c>
      <x:c r="B81" s="24" t="str">
        <x:v>Mexico (Atlantic)</x:v>
      </x:c>
      <x:c r="C81" s="24" t="str">
        <x:v>EEZ</x:v>
      </x:c>
      <x:c r="D81" s="30" t="n">
        <x:v>2019</x:v>
      </x:c>
      <x:c r="E81" s="24" t="str">
        <x:v>Kajikia albida</x:v>
      </x:c>
      <x:c r="F81" s="24" t="str">
        <x:v>Atlantic white marlin</x:v>
      </x:c>
      <x:c r="G81" s="24" t="str">
        <x:v>Large pelagics (&gt;=90 cm)</x:v>
      </x:c>
      <x:c r="H81" s="24" t="str">
        <x:v>Tuna &amp; billfishes</x:v>
      </x:c>
      <x:c r="I81" s="31" t="n">
        <x:v>37.4870431076</x:v>
      </x:c>
      <x:c r="J81" s="31" t="n">
        <x:v>37.4870431076</x:v>
      </x:c>
      <x:c r="K81" s="31" t="n">
        <x:v>0</x:v>
      </x:c>
      <x:c r="L81" s="31" t="n">
        <x:v>35.1350377313</x:v>
      </x:c>
      <x:c r="M81" s="31" t="n">
        <x:v>2.3520053763</x:v>
      </x:c>
      <x:c r="N81" s="24" t="str">
        <x:v>kajikia albida</x:v>
      </x:c>
      <x:c r="O81" s="32" t="n">
        <x:v>4.49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Kajikia albida</x:v>
      </x:c>
      <x:c r="T81" s="32" t="n">
        <x:f>IF(O81="","",(1/'Metadata'!$B$5)^(O81-1))</x:f>
        <x:v>3090.295432513592</x:v>
      </x:c>
      <x:c r="U81" s="31" t="n">
        <x:f>IF(T81="","",I81*T81)</x:f>
        <x:v>115846.03809385642</x:v>
      </x:c>
    </x:row>
    <x:row r="82" ht="18" customHeight="1">
      <x:c r="A82" s="24" t="str">
        <x:v>EEZ_944</x:v>
      </x:c>
      <x:c r="B82" s="24" t="str">
        <x:v>Mexico (Atlantic)</x:v>
      </x:c>
      <x:c r="C82" s="24" t="str">
        <x:v>EEZ</x:v>
      </x:c>
      <x:c r="D82" s="30" t="n">
        <x:v>2019</x:v>
      </x:c>
      <x:c r="E82" s="24" t="str">
        <x:v>Thunnus thynnus</x:v>
      </x:c>
      <x:c r="F82" s="24" t="str">
        <x:v>Atlantic bluefin tuna</x:v>
      </x:c>
      <x:c r="G82" s="24" t="str">
        <x:v>Large pelagics (&gt;=90 cm)</x:v>
      </x:c>
      <x:c r="H82" s="24" t="str">
        <x:v>Tuna &amp; billfishes</x:v>
      </x:c>
      <x:c r="I82" s="31" t="n">
        <x:v>34.5797556707</x:v>
      </x:c>
      <x:c r="J82" s="31" t="n">
        <x:v>34.5797556707</x:v>
      </x:c>
      <x:c r="K82" s="31" t="n">
        <x:v>0</x:v>
      </x:c>
      <x:c r="L82" s="31" t="n">
        <x:v>34.5797556707</x:v>
      </x:c>
      <x:c r="M82" s="31" t="n">
        <x:v>0</x:v>
      </x:c>
      <x:c r="N82" s="24" t="str">
        <x:v>thunnus thynnus</x:v>
      </x:c>
      <x:c r="O82" s="32" t="n">
        <x:v>4.45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Thunnus thynnus</x:v>
      </x:c>
      <x:c r="T82" s="32" t="n">
        <x:f>IF(O82="","",(1/'Metadata'!$B$5)^(O82-1))</x:f>
        <x:v>2818.382931264455</x:v>
      </x:c>
      <x:c r="U82" s="31" t="n">
        <x:f>IF(T82="","",I82*T82)</x:f>
        <x:v>97458.99314959612</x:v>
      </x:c>
    </x:row>
    <x:row r="83" ht="18" customHeight="1">
      <x:c r="A83" s="24" t="str">
        <x:v>EEZ_944</x:v>
      </x:c>
      <x:c r="B83" s="24" t="str">
        <x:v>Mexico (Atlantic)</x:v>
      </x:c>
      <x:c r="C83" s="24" t="str">
        <x:v>EEZ</x:v>
      </x:c>
      <x:c r="D83" s="30" t="n">
        <x:v>2019</x:v>
      </x:c>
      <x:c r="E83" s="24" t="str">
        <x:v>Galeocerdo cuvier</x:v>
      </x:c>
      <x:c r="F83" s="24" t="str">
        <x:v>Tiger shark</x:v>
      </x:c>
      <x:c r="G83" s="24" t="str">
        <x:v>Large sharks (&gt;=90 cm)</x:v>
      </x:c>
      <x:c r="H83" s="24" t="str">
        <x:v>Sharks &amp; rays</x:v>
      </x:c>
      <x:c r="I83" s="31" t="n">
        <x:v>34.5355554979</x:v>
      </x:c>
      <x:c r="J83" s="31" t="n">
        <x:v>34.5355554979</x:v>
      </x:c>
      <x:c r="K83" s="31" t="n">
        <x:v>0</x:v>
      </x:c>
      <x:c r="L83" s="31" t="n">
        <x:v>17</x:v>
      </x:c>
      <x:c r="M83" s="31" t="n">
        <x:v>17.5355554979</x:v>
      </x:c>
      <x:c r="N83" s="24" t="str">
        <x:v>galeocerdo cuvier</x:v>
      </x:c>
      <x:c r="O83" s="32" t="n">
        <x:v>4.54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Galeocerdo cuvier</x:v>
      </x:c>
      <x:c r="T83" s="32" t="n">
        <x:f>IF(O83="","",(1/'Metadata'!$B$5)^(O83-1))</x:f>
        <x:v>3467.368504525317</x:v>
      </x:c>
      <x:c r="U83" s="31" t="n">
        <x:f>IF(T83="","",I83*T83)</x:f>
        <x:v>119747.49741970461</x:v>
      </x:c>
    </x:row>
    <x:row r="84" ht="18" customHeight="1">
      <x:c r="A84" s="24" t="str">
        <x:v>EEZ_944</x:v>
      </x:c>
      <x:c r="B84" s="24" t="str">
        <x:v>Mexico (Atlantic)</x:v>
      </x:c>
      <x:c r="C84" s="24" t="str">
        <x:v>EEZ</x:v>
      </x:c>
      <x:c r="D84" s="30" t="n">
        <x:v>2019</x:v>
      </x:c>
      <x:c r="E84" s="24" t="str">
        <x:v>Istiophorus albicans</x:v>
      </x:c>
      <x:c r="F84" s="24" t="str">
        <x:v>Atlantic sailfish</x:v>
      </x:c>
      <x:c r="G84" s="24" t="str">
        <x:v>Large pelagics (&gt;=90 cm)</x:v>
      </x:c>
      <x:c r="H84" s="24" t="str">
        <x:v>Tuna &amp; billfishes</x:v>
      </x:c>
      <x:c r="I84" s="31" t="n">
        <x:v>31.1844117415</x:v>
      </x:c>
      <x:c r="J84" s="31" t="n">
        <x:v>31.1844117415</x:v>
      </x:c>
      <x:c r="K84" s="31" t="n">
        <x:v>0</x:v>
      </x:c>
      <x:c r="L84" s="31" t="n">
        <x:v>26.2452004513</x:v>
      </x:c>
      <x:c r="M84" s="31" t="n">
        <x:v>4.9392112902</x:v>
      </x:c>
      <x:c r="N84" s="24" t="str">
        <x:v>istiophorus albicans</x:v>
      </x:c>
      <x:c r="O84" s="32" t="n">
        <x:v>4.5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Istiophorus albicans</x:v>
      </x:c>
      <x:c r="T84" s="32" t="n">
        <x:f>IF(O84="","",(1/'Metadata'!$B$5)^(O84-1))</x:f>
        <x:v>3162.2776601683795</x:v>
      </x:c>
      <x:c r="U84" s="31" t="n">
        <x:f>IF(T84="","",I84*T84)</x:f>
        <x:v>98613.76859563796</x:v>
      </x:c>
    </x:row>
    <x:row r="85" ht="18" customHeight="1">
      <x:c r="A85" s="24" t="str">
        <x:v>EEZ_944</x:v>
      </x:c>
      <x:c r="B85" s="24" t="str">
        <x:v>Mexico (Atlantic)</x:v>
      </x:c>
      <x:c r="C85" s="24" t="str">
        <x:v>EEZ</x:v>
      </x:c>
      <x:c r="D85" s="30" t="n">
        <x:v>2019</x:v>
      </x:c>
      <x:c r="E85" s="24" t="str">
        <x:v>Xiphias gladius</x:v>
      </x:c>
      <x:c r="F85" s="24" t="str">
        <x:v>Swordfish</x:v>
      </x:c>
      <x:c r="G85" s="24" t="str">
        <x:v>Large pelagics (&gt;=90 cm)</x:v>
      </x:c>
      <x:c r="H85" s="24" t="str">
        <x:v>Tuna &amp; billfishes</x:v>
      </x:c>
      <x:c r="I85" s="31" t="n">
        <x:v>29.2811856927</x:v>
      </x:c>
      <x:c r="J85" s="31" t="n">
        <x:v>29.2811856927</x:v>
      </x:c>
      <x:c r="K85" s="31" t="n">
        <x:v>0</x:v>
      </x:c>
      <x:c r="L85" s="31" t="n">
        <x:v>29.2811856927</x:v>
      </x:c>
      <x:c r="M85" s="31" t="n">
        <x:v>0</x:v>
      </x:c>
      <x:c r="N85" s="24" t="str">
        <x:v>xiphias gladius</x:v>
      </x:c>
      <x:c r="O85" s="32" t="n">
        <x:v>4.53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Xiphias gladius</x:v>
      </x:c>
      <x:c r="T85" s="32" t="n">
        <x:f>IF(O85="","",(1/'Metadata'!$B$5)^(O85-1))</x:f>
        <x:v>3388.4415613920273</x:v>
      </x:c>
      <x:c r="U85" s="31" t="n">
        <x:f>IF(T85="","",I85*T85)</x:f>
        <x:v>99217.58656798227</x:v>
      </x:c>
    </x:row>
    <x:row r="86" ht="18" customHeight="1">
      <x:c r="A86" s="24" t="str">
        <x:v>EEZ_944</x:v>
      </x:c>
      <x:c r="B86" s="24" t="str">
        <x:v>Mexico (Atlantic)</x:v>
      </x:c>
      <x:c r="C86" s="24" t="str">
        <x:v>EEZ</x:v>
      </x:c>
      <x:c r="D86" s="30" t="n">
        <x:v>2019</x:v>
      </x:c>
      <x:c r="E86" s="24" t="str">
        <x:v>Ginglymostoma cirratum</x:v>
      </x:c>
      <x:c r="F86" s="24" t="str">
        <x:v>Nurse shark</x:v>
      </x:c>
      <x:c r="G86" s="24" t="str">
        <x:v>Large sharks (&gt;=90 cm)</x:v>
      </x:c>
      <x:c r="H86" s="24" t="str">
        <x:v>Sharks &amp; rays</x:v>
      </x:c>
      <x:c r="I86" s="31" t="n">
        <x:v>25.161141121000004</x:v>
      </x:c>
      <x:c r="J86" s="31" t="n">
        <x:v>25.161141121000004</x:v>
      </x:c>
      <x:c r="K86" s="31" t="n">
        <x:v>0</x:v>
      </x:c>
      <x:c r="L86" s="31" t="n">
        <x:v>19</x:v>
      </x:c>
      <x:c r="M86" s="31" t="n">
        <x:v>6.161141121</x:v>
      </x:c>
      <x:c r="N86" s="24" t="str">
        <x:v>ginglymostoma cirratum</x:v>
      </x:c>
      <x:c r="O86" s="32" t="n">
        <x:v>4.15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Ginglymostoma cirratum</x:v>
      </x:c>
      <x:c r="T86" s="32" t="n">
        <x:f>IF(O86="","",(1/'Metadata'!$B$5)^(O86-1))</x:f>
        <x:v>1412.5375446227554</x:v>
      </x:c>
      <x:c r="U86" s="31" t="n">
        <x:f>IF(T86="","",I86*T86)</x:f>
        <x:v>35541.05649896399</x:v>
      </x:c>
    </x:row>
    <x:row r="87" ht="18" customHeight="1">
      <x:c r="A87" s="24" t="str">
        <x:v>EEZ_944</x:v>
      </x:c>
      <x:c r="B87" s="24" t="str">
        <x:v>Mexico (Atlantic)</x:v>
      </x:c>
      <x:c r="C87" s="24" t="str">
        <x:v>EEZ</x:v>
      </x:c>
      <x:c r="D87" s="30" t="n">
        <x:v>2019</x:v>
      </x:c>
      <x:c r="E87" s="24" t="str">
        <x:v>Acanthocybium solandri</x:v>
      </x:c>
      <x:c r="F87" s="24" t="str">
        <x:v>Wahoo</x:v>
      </x:c>
      <x:c r="G87" s="24" t="str">
        <x:v>Large pelagics (&gt;=90 cm)</x:v>
      </x:c>
      <x:c r="H87" s="24" t="str">
        <x:v>Perch-likes</x:v>
      </x:c>
      <x:c r="I87" s="31" t="n">
        <x:v>25.083954353099998</x:v>
      </x:c>
      <x:c r="J87" s="31" t="n">
        <x:v>25.083954353099998</x:v>
      </x:c>
      <x:c r="K87" s="31" t="n">
        <x:v>0</x:v>
      </x:c>
      <x:c r="L87" s="31" t="n">
        <x:v>25.083954353099998</x:v>
      </x:c>
      <x:c r="M87" s="31" t="n">
        <x:v>0</x:v>
      </x:c>
      <x:c r="N87" s="24" t="str">
        <x:v>acanthocybium solandri</x:v>
      </x:c>
      <x:c r="O87" s="32" t="n">
        <x:v>4.26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Acanthocybium solandri</x:v>
      </x:c>
      <x:c r="T87" s="32" t="n">
        <x:f>IF(O87="","",(1/'Metadata'!$B$5)^(O87-1))</x:f>
        <x:v>1819.7008586099826</x:v>
      </x:c>
      <x:c r="U87" s="31" t="n">
        <x:f>IF(T87="","",I87*T87)</x:f>
        <x:v>45645.293273669675</x:v>
      </x:c>
    </x:row>
    <x:row r="88" ht="18" customHeight="1">
      <x:c r="A88" s="24" t="str">
        <x:v>EEZ_944</x:v>
      </x:c>
      <x:c r="B88" s="24" t="str">
        <x:v>Mexico (Atlantic)</x:v>
      </x:c>
      <x:c r="C88" s="24" t="str">
        <x:v>EEZ</x:v>
      </x:c>
      <x:c r="D88" s="30" t="n">
        <x:v>2019</x:v>
      </x:c>
      <x:c r="E88" s="24" t="str">
        <x:v>Balistidae</x:v>
      </x:c>
      <x:c r="F88" s="24" t="str">
        <x:v>Triggerfishes</x:v>
      </x:c>
      <x:c r="G88" s="24" t="str">
        <x:v>Medium reef assoc. fish (30 - 89 cm)</x:v>
      </x:c>
      <x:c r="H88" s="24" t="str">
        <x:v>Other fishes &amp; inverts</x:v>
      </x:c>
      <x:c r="I88" s="31" t="n">
        <x:v>18.9981478721</x:v>
      </x:c>
      <x:c r="J88" s="31" t="n">
        <x:v>18.9981478721</x:v>
      </x:c>
      <x:c r="K88" s="31" t="n">
        <x:v>0</x:v>
      </x:c>
      <x:c r="L88" s="31" t="n">
        <x:v>11</x:v>
      </x:c>
      <x:c r="M88" s="31" t="n">
        <x:v>7.9981478721</x:v>
      </x:c>
      <x:c r="N88" s="24" t="str">
        <x:v>balistidae</x:v>
      </x:c>
      <x:c r="O88" s="32" t="n">
        <x:v>3.25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Balistidae</x:v>
      </x:c>
      <x:c r="T88" s="32" t="n">
        <x:f>IF(O88="","",(1/'Metadata'!$B$5)^(O88-1))</x:f>
        <x:v>177.82794100389228</x:v>
      </x:c>
      <x:c r="U88" s="31" t="n">
        <x:f>IF(T88="","",I88*T88)</x:f>
        <x:v>3378.40151898302</x:v>
      </x:c>
    </x:row>
    <x:row r="89" ht="18" customHeight="1">
      <x:c r="A89" s="24" t="str">
        <x:v>EEZ_944</x:v>
      </x:c>
      <x:c r="B89" s="24" t="str">
        <x:v>Mexico (Atlantic)</x:v>
      </x:c>
      <x:c r="C89" s="24" t="str">
        <x:v>EEZ</x:v>
      </x:c>
      <x:c r="D89" s="30" t="n">
        <x:v>2019</x:v>
      </x:c>
      <x:c r="E89" s="24" t="str">
        <x:v>Coryphaena hippurus</x:v>
      </x:c>
      <x:c r="F89" s="24" t="str">
        <x:v>Common dolphinfish</x:v>
      </x:c>
      <x:c r="G89" s="24" t="str">
        <x:v>Large pelagics (&gt;=90 cm)</x:v>
      </x:c>
      <x:c r="H89" s="24" t="str">
        <x:v>Perch-likes</x:v>
      </x:c>
      <x:c r="I89" s="31" t="n">
        <x:v>13.7857753451</x:v>
      </x:c>
      <x:c r="J89" s="31" t="n">
        <x:v>13.7857753451</x:v>
      </x:c>
      <x:c r="K89" s="31" t="n">
        <x:v>0</x:v>
      </x:c>
      <x:c r="L89" s="31" t="n">
        <x:v>12.072341855000001</x:v>
      </x:c>
      <x:c r="M89" s="31" t="n">
        <x:v>1.7134334901</x:v>
      </x:c>
      <x:c r="N89" s="24" t="str">
        <x:v>coryphaena hippurus</x:v>
      </x:c>
      <x:c r="O89" s="32" t="n">
        <x:v>4.37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Coryphaena hippurus</x:v>
      </x:c>
      <x:c r="T89" s="32" t="n">
        <x:f>IF(O89="","",(1/'Metadata'!$B$5)^(O89-1))</x:f>
        <x:v>2344.228815319923</x:v>
      </x:c>
      <x:c r="U89" s="31" t="n">
        <x:f>IF(T89="","",I89*T89)</x:f>
        <x:v>32317.011805510374</x:v>
      </x:c>
    </x:row>
    <x:row r="90" ht="18" customHeight="1">
      <x:c r="A90" s="24" t="str">
        <x:v>EEZ_944</x:v>
      </x:c>
      <x:c r="B90" s="24" t="str">
        <x:v>Mexico (Atlantic)</x:v>
      </x:c>
      <x:c r="C90" s="24" t="str">
        <x:v>EEZ</x:v>
      </x:c>
      <x:c r="D90" s="30" t="n">
        <x:v>2019</x:v>
      </x:c>
      <x:c r="E90" s="24" t="str">
        <x:v>Isurus oxyrinchus</x:v>
      </x:c>
      <x:c r="F90" s="24" t="str">
        <x:v>Shortfin mako</x:v>
      </x:c>
      <x:c r="G90" s="24" t="str">
        <x:v>Large sharks (&gt;=90 cm)</x:v>
      </x:c>
      <x:c r="H90" s="24" t="str">
        <x:v>Sharks &amp; rays</x:v>
      </x:c>
      <x:c r="I90" s="31" t="n">
        <x:v>8.9471152399</x:v>
      </x:c>
      <x:c r="J90" s="31" t="n">
        <x:v>8.9471152399</x:v>
      </x:c>
      <x:c r="K90" s="31" t="n">
        <x:v>0</x:v>
      </x:c>
      <x:c r="L90" s="31" t="n">
        <x:v>7.0513795103</x:v>
      </x:c>
      <x:c r="M90" s="31" t="n">
        <x:v>1.8957357296</x:v>
      </x:c>
      <x:c r="N90" s="24" t="str">
        <x:v>isurus oxyrinchus</x:v>
      </x:c>
      <x:c r="O90" s="32" t="n">
        <x:v>4.5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Isurus oxyrinchus</x:v>
      </x:c>
      <x:c r="T90" s="32" t="n">
        <x:f>IF(O90="","",(1/'Metadata'!$B$5)^(O90-1))</x:f>
        <x:v>3162.2776601683795</x:v>
      </x:c>
      <x:c r="U90" s="31" t="n">
        <x:f>IF(T90="","",I90*T90)</x:f>
        <x:v>28293.262646087824</x:v>
      </x:c>
    </x:row>
    <x:row r="91" ht="18" customHeight="1">
      <x:c r="A91" s="24" t="str">
        <x:v>EEZ_944</x:v>
      </x:c>
      <x:c r="B91" s="24" t="str">
        <x:v>Mexico (Atlantic)</x:v>
      </x:c>
      <x:c r="C91" s="24" t="str">
        <x:v>EEZ</x:v>
      </x:c>
      <x:c r="D91" s="30" t="n">
        <x:v>2019</x:v>
      </x:c>
      <x:c r="E91" s="24" t="str">
        <x:v>Megalops atlanticus</x:v>
      </x:c>
      <x:c r="F91" s="24" t="str">
        <x:v>Tarpon</x:v>
      </x:c>
      <x:c r="G91" s="24" t="str">
        <x:v>Large pelagics (&gt;=90 cm)</x:v>
      </x:c>
      <x:c r="H91" s="24" t="str">
        <x:v>Other fishes &amp; inverts</x:v>
      </x:c>
      <x:c r="I91" s="31" t="n">
        <x:v>8.3573049179</x:v>
      </x:c>
      <x:c r="J91" s="31" t="n">
        <x:v>8.3573049179</x:v>
      </x:c>
      <x:c r="K91" s="31" t="n">
        <x:v>0</x:v>
      </x:c>
      <x:c r="L91" s="31" t="n">
        <x:v>3</x:v>
      </x:c>
      <x:c r="M91" s="31" t="n">
        <x:v>5.3573049179</x:v>
      </x:c>
      <x:c r="N91" s="24" t="str">
        <x:v>megalops atlanticus</x:v>
      </x:c>
      <x:c r="O91" s="32" t="n">
        <x:v>4.5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Megalops atlanticus</x:v>
      </x:c>
      <x:c r="T91" s="32" t="n">
        <x:f>IF(O91="","",(1/'Metadata'!$B$5)^(O91-1))</x:f>
        <x:v>3162.2776601683795</x:v>
      </x:c>
      <x:c r="U91" s="31" t="n">
        <x:f>IF(T91="","",I91*T91)</x:f>
        <x:v>26428.118641090503</x:v>
      </x:c>
    </x:row>
    <x:row r="92" ht="18" customHeight="1">
      <x:c r="A92" s="24" t="str">
        <x:v>EEZ_944</x:v>
      </x:c>
      <x:c r="B92" s="24" t="str">
        <x:v>Mexico (Atlantic)</x:v>
      </x:c>
      <x:c r="C92" s="24" t="str">
        <x:v>EEZ</x:v>
      </x:c>
      <x:c r="D92" s="30" t="n">
        <x:v>2019</x:v>
      </x:c>
      <x:c r="E92" s="24" t="str">
        <x:v>Calamus</x:v>
      </x:c>
      <x:c r="F92" s="24" t="str">
        <x:v>Porgies</x:v>
      </x:c>
      <x:c r="G92" s="24" t="str">
        <x:v>Medium reef assoc. fish (30 - 89 cm)</x:v>
      </x:c>
      <x:c r="H92" s="24" t="str">
        <x:v>Perch-likes</x:v>
      </x:c>
      <x:c r="I92" s="31" t="n">
        <x:v>6.3707467921</x:v>
      </x:c>
      <x:c r="J92" s="31" t="n">
        <x:v>6.3707467921</x:v>
      </x:c>
      <x:c r="K92" s="31" t="n">
        <x:v>0</x:v>
      </x:c>
      <x:c r="L92" s="31" t="n">
        <x:v>5</x:v>
      </x:c>
      <x:c r="M92" s="31" t="n">
        <x:v>1.3707467920999998</x:v>
      </x:c>
      <x:c r="N92" s="24" t="str">
        <x:v>calamus</x:v>
      </x:c>
      <x:c r="O92" s="32" t="n">
        <x:v>3.51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Calamus</x:v>
      </x:c>
      <x:c r="T92" s="32" t="n">
        <x:f>IF(O92="","",(1/'Metadata'!$B$5)^(O92-1))</x:f>
        <x:v>323.5936569296281</x:v>
      </x:c>
      <x:c r="U92" s="31" t="n">
        <x:f>IF(T92="","",I92*T92)</x:f>
        <x:v>2061.5332518283362</x:v>
      </x:c>
    </x:row>
    <x:row r="93" ht="18" customHeight="1">
      <x:c r="A93" s="24" t="str">
        <x:v>EEZ_944</x:v>
      </x:c>
      <x:c r="B93" s="24" t="str">
        <x:v>Mexico (Atlantic)</x:v>
      </x:c>
      <x:c r="C93" s="24" t="str">
        <x:v>EEZ</x:v>
      </x:c>
      <x:c r="D93" s="30" t="n">
        <x:v>2019</x:v>
      </x:c>
      <x:c r="E93" s="24" t="str">
        <x:v>Harengula jaguana</x:v>
      </x:c>
      <x:c r="F93" s="24" t="str">
        <x:v>Scaled herring</x:v>
      </x:c>
      <x:c r="G93" s="24" t="str">
        <x:v>Small pelagics (&lt;30 cm)</x:v>
      </x:c>
      <x:c r="H93" s="24" t="str">
        <x:v>Herring-likes</x:v>
      </x:c>
      <x:c r="I93" s="31" t="n">
        <x:v>4.0036605365</x:v>
      </x:c>
      <x:c r="J93" s="31" t="n">
        <x:v>4.0036605365</x:v>
      </x:c>
      <x:c r="K93" s="31" t="n">
        <x:v>0</x:v>
      </x:c>
      <x:c r="L93" s="31" t="n">
        <x:v>4</x:v>
      </x:c>
      <x:c r="M93" s="31" t="n">
        <x:v>0.0036605365</x:v>
      </x:c>
      <x:c r="N93" s="24" t="str">
        <x:v>harengula jaguana</x:v>
      </x:c>
      <x:c r="O93" s="32" t="n">
        <x:v>3.42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Harengula jaguana</x:v>
      </x:c>
      <x:c r="T93" s="32" t="n">
        <x:f>IF(O93="","",(1/'Metadata'!$B$5)^(O93-1))</x:f>
        <x:v>263.02679918953817</x:v>
      </x:c>
      <x:c r="U93" s="31" t="n">
        <x:f>IF(T93="","",I93*T93)</x:f>
        <x:v>1053.0700159570642</x:v>
      </x:c>
    </x:row>
    <x:row r="94" ht="18" customHeight="1">
      <x:c r="A94" s="24" t="str">
        <x:v>EEZ_944</x:v>
      </x:c>
      <x:c r="B94" s="24" t="str">
        <x:v>Mexico (Atlantic)</x:v>
      </x:c>
      <x:c r="C94" s="24" t="str">
        <x:v>EEZ</x:v>
      </x:c>
      <x:c r="D94" s="30" t="n">
        <x:v>2019</x:v>
      </x:c>
      <x:c r="E94" s="24" t="str">
        <x:v>Carcharhinus falciformis</x:v>
      </x:c>
      <x:c r="F94" s="24" t="str">
        <x:v>Silky shark</x:v>
      </x:c>
      <x:c r="G94" s="24" t="str">
        <x:v>Large sharks (&gt;=90 cm)</x:v>
      </x:c>
      <x:c r="H94" s="24" t="str">
        <x:v>Sharks &amp; rays</x:v>
      </x:c>
      <x:c r="I94" s="31" t="n">
        <x:v>3.8316979168</x:v>
      </x:c>
      <x:c r="J94" s="31" t="n">
        <x:v>3.8316979168</x:v>
      </x:c>
      <x:c r="K94" s="31" t="n">
        <x:v>0</x:v>
      </x:c>
      <x:c r="L94" s="31" t="n">
        <x:v>3.8316979168</x:v>
      </x:c>
      <x:c r="M94" s="31" t="n">
        <x:v>0</x:v>
      </x:c>
      <x:c r="N94" s="24" t="str">
        <x:v>carcharhinus falciformis</x:v>
      </x:c>
      <x:c r="O94" s="32" t="n">
        <x:v>4.51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Carcharhinus falciformis</x:v>
      </x:c>
      <x:c r="T94" s="32" t="n">
        <x:f>IF(O94="","",(1/'Metadata'!$B$5)^(O94-1))</x:f>
        <x:v>3235.936569296281</x:v>
      </x:c>
      <x:c r="U94" s="31" t="n">
        <x:f>IF(T94="","",I94*T94)</x:f>
        <x:v>12399.1314114695</x:v>
      </x:c>
    </x:row>
    <x:row r="95" ht="18" customHeight="1">
      <x:c r="A95" s="24" t="str">
        <x:v>EEZ_944</x:v>
      </x:c>
      <x:c r="B95" s="24" t="str">
        <x:v>Mexico (Atlantic)</x:v>
      </x:c>
      <x:c r="C95" s="24" t="str">
        <x:v>EEZ</x:v>
      </x:c>
      <x:c r="D95" s="30" t="n">
        <x:v>2019</x:v>
      </x:c>
      <x:c r="E95" s="24" t="str">
        <x:v>Katsuwonus pelamis</x:v>
      </x:c>
      <x:c r="F95" s="24" t="str">
        <x:v>Skipjack tuna</x:v>
      </x:c>
      <x:c r="G95" s="24" t="str">
        <x:v>Large pelagics (&gt;=90 cm)</x:v>
      </x:c>
      <x:c r="H95" s="24" t="str">
        <x:v>Tuna &amp; billfishes</x:v>
      </x:c>
      <x:c r="I95" s="31" t="n">
        <x:v>3.7009178718</x:v>
      </x:c>
      <x:c r="J95" s="31" t="n">
        <x:v>3.7009178718</x:v>
      </x:c>
      <x:c r="K95" s="31" t="n">
        <x:v>0</x:v>
      </x:c>
      <x:c r="L95" s="31" t="n">
        <x:v>3.7009178718</x:v>
      </x:c>
      <x:c r="M95" s="31" t="n">
        <x:v>0</x:v>
      </x:c>
      <x:c r="N95" s="24" t="str">
        <x:v>katsuwonus pelamis</x:v>
      </x:c>
      <x:c r="O95" s="32" t="n">
        <x:v>4.43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Katsuwonus pelamis</x:v>
      </x:c>
      <x:c r="T95" s="32" t="n">
        <x:f>IF(O95="","",(1/'Metadata'!$B$5)^(O95-1))</x:f>
        <x:v>2691.534803926914</x:v>
      </x:c>
      <x:c r="U95" s="31" t="n">
        <x:f>IF(T95="","",I95*T95)</x:f>
        <x:v>9961.149258424824</x:v>
      </x:c>
    </x:row>
    <x:row r="96" ht="18" customHeight="1">
      <x:c r="A96" s="24" t="str">
        <x:v>EEZ_944</x:v>
      </x:c>
      <x:c r="B96" s="24" t="str">
        <x:v>Mexico (Atlantic)</x:v>
      </x:c>
      <x:c r="C96" s="24" t="str">
        <x:v>EEZ</x:v>
      </x:c>
      <x:c r="D96" s="30" t="n">
        <x:v>2019</x:v>
      </x:c>
      <x:c r="E96" s="24" t="str">
        <x:v>Thunnus atlanticus</x:v>
      </x:c>
      <x:c r="F96" s="24" t="str">
        <x:v>Blackfin tuna</x:v>
      </x:c>
      <x:c r="G96" s="24" t="str">
        <x:v>Large pelagics (&gt;=90 cm)</x:v>
      </x:c>
      <x:c r="H96" s="24" t="str">
        <x:v>Tuna &amp; billfishes</x:v>
      </x:c>
      <x:c r="I96" s="31" t="n">
        <x:v>3.1934242386</x:v>
      </x:c>
      <x:c r="J96" s="31" t="n">
        <x:v>3.1934242386</x:v>
      </x:c>
      <x:c r="K96" s="31" t="n">
        <x:v>0</x:v>
      </x:c>
      <x:c r="L96" s="31" t="n">
        <x:v>3.1934242386</x:v>
      </x:c>
      <x:c r="M96" s="31" t="n">
        <x:v>0</x:v>
      </x:c>
      <x:c r="N96" s="24" t="str">
        <x:v>thunnus atlanticus</x:v>
      </x:c>
      <x:c r="O96" s="32" t="n">
        <x:v>4.35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Thunnus atlanticus</x:v>
      </x:c>
      <x:c r="T96" s="32" t="n">
        <x:f>IF(O96="","",(1/'Metadata'!$B$5)^(O96-1))</x:f>
        <x:v>2238.7211385683377</x:v>
      </x:c>
      <x:c r="U96" s="31" t="n">
        <x:f>IF(T96="","",I96*T96)</x:f>
        <x:v>7149.186347370319</x:v>
      </x:c>
    </x:row>
    <x:row r="97" ht="18" customHeight="1">
      <x:c r="A97" s="24" t="str">
        <x:v>EEZ_944</x:v>
      </x:c>
      <x:c r="B97" s="24" t="str">
        <x:v>Mexico (Atlantic)</x:v>
      </x:c>
      <x:c r="C97" s="24" t="str">
        <x:v>EEZ</x:v>
      </x:c>
      <x:c r="D97" s="30" t="n">
        <x:v>2019</x:v>
      </x:c>
      <x:c r="E97" s="24" t="str">
        <x:v>Alopias</x:v>
      </x:c>
      <x:c r="F97" s="24" t="str">
        <x:v>Thresher sharks</x:v>
      </x:c>
      <x:c r="G97" s="24" t="str">
        <x:v>Large sharks (&gt;=90 cm)</x:v>
      </x:c>
      <x:c r="H97" s="24" t="str">
        <x:v>Sharks &amp; rays</x:v>
      </x:c>
      <x:c r="I97" s="31" t="n">
        <x:v>3.1902539374</x:v>
      </x:c>
      <x:c r="J97" s="31" t="n">
        <x:v>3.1902539374</x:v>
      </x:c>
      <x:c r="K97" s="31" t="n">
        <x:v>0</x:v>
      </x:c>
      <x:c r="L97" s="31" t="n">
        <x:v>3.1902539374</x:v>
      </x:c>
      <x:c r="M97" s="31" t="n">
        <x:v>0</x:v>
      </x:c>
      <x:c r="N97" s="24" t="str">
        <x:v>alopias</x:v>
      </x:c>
      <x:c r="O97" s="32" t="n">
        <x:v>4.5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Alopias</x:v>
      </x:c>
      <x:c r="T97" s="32" t="n">
        <x:f>IF(O97="","",(1/'Metadata'!$B$5)^(O97-1))</x:f>
        <x:v>3162.2776601683795</x:v>
      </x:c>
      <x:c r="U97" s="31" t="n">
        <x:f>IF(T97="","",I97*T97)</x:f>
        <x:v>10088.468756504231</x:v>
      </x:c>
    </x:row>
    <x:row r="98" ht="18" customHeight="1">
      <x:c r="A98" s="24" t="str">
        <x:v>EEZ_944</x:v>
      </x:c>
      <x:c r="B98" s="24" t="str">
        <x:v>Mexico (Atlantic)</x:v>
      </x:c>
      <x:c r="C98" s="24" t="str">
        <x:v>EEZ</x:v>
      </x:c>
      <x:c r="D98" s="30" t="n">
        <x:v>2019</x:v>
      </x:c>
      <x:c r="E98" s="24" t="str">
        <x:v>Balistes</x:v>
      </x:c>
      <x:c r="F98" s="24" t="str">
        <x:v>Triggerfish</x:v>
      </x:c>
      <x:c r="G98" s="24" t="str">
        <x:v>Medium reef assoc. fish (30 - 89 cm)</x:v>
      </x:c>
      <x:c r="H98" s="24" t="str">
        <x:v>Other fishes &amp; inverts</x:v>
      </x:c>
      <x:c r="I98" s="31" t="n">
        <x:v>2.9107329214</x:v>
      </x:c>
      <x:c r="J98" s="31" t="n">
        <x:v>2.9107329214</x:v>
      </x:c>
      <x:c r="K98" s="31" t="n">
        <x:v>0</x:v>
      </x:c>
      <x:c r="L98" s="31" t="n">
        <x:v>0</x:v>
      </x:c>
      <x:c r="M98" s="31" t="n">
        <x:v>2.9107329214</x:v>
      </x:c>
      <x:c r="N98" s="24" t="str">
        <x:v>balistes</x:v>
      </x:c>
      <x:c r="O98" s="32" t="n">
        <x:v>3.94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Balistes</x:v>
      </x:c>
      <x:c r="T98" s="32" t="n">
        <x:f>IF(O98="","",(1/'Metadata'!$B$5)^(O98-1))</x:f>
        <x:v>870.9635899560806</x:v>
      </x:c>
      <x:c r="U98" s="31" t="n">
        <x:f>IF(T98="","",I98*T98)</x:f>
        <x:v>2535.142394625894</x:v>
      </x:c>
    </x:row>
    <x:row r="99" ht="18" customHeight="1">
      <x:c r="A99" s="24" t="str">
        <x:v>EEZ_944</x:v>
      </x:c>
      <x:c r="B99" s="24" t="str">
        <x:v>Mexico (Atlantic)</x:v>
      </x:c>
      <x:c r="C99" s="24" t="str">
        <x:v>EEZ</x:v>
      </x:c>
      <x:c r="D99" s="30" t="n">
        <x:v>2019</x:v>
      </x:c>
      <x:c r="E99" s="24" t="str">
        <x:v>Thunnus obesus</x:v>
      </x:c>
      <x:c r="F99" s="24" t="str">
        <x:v>Bigeye tuna</x:v>
      </x:c>
      <x:c r="G99" s="24" t="str">
        <x:v>Large pelagics (&gt;=90 cm)</x:v>
      </x:c>
      <x:c r="H99" s="24" t="str">
        <x:v>Tuna &amp; billfishes</x:v>
      </x:c>
      <x:c r="I99" s="31" t="n">
        <x:v>2.5398265054</x:v>
      </x:c>
      <x:c r="J99" s="31" t="n">
        <x:v>2.5398265054</x:v>
      </x:c>
      <x:c r="K99" s="31" t="n">
        <x:v>0</x:v>
      </x:c>
      <x:c r="L99" s="31" t="n">
        <x:v>2.5398265054</x:v>
      </x:c>
      <x:c r="M99" s="31" t="n">
        <x:v>0</x:v>
      </x:c>
      <x:c r="N99" s="24" t="str">
        <x:v>thunnus obesus</x:v>
      </x:c>
      <x:c r="O99" s="32" t="n">
        <x:v>4.49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Thunnus obesus</x:v>
      </x:c>
      <x:c r="T99" s="32" t="n">
        <x:f>IF(O99="","",(1/'Metadata'!$B$5)^(O99-1))</x:f>
        <x:v>3090.295432513592</x:v>
      </x:c>
      <x:c r="U99" s="31" t="n">
        <x:f>IF(T99="","",I99*T99)</x:f>
        <x:v>7848.814249014578</x:v>
      </x:c>
    </x:row>
    <x:row r="100" ht="18" customHeight="1">
      <x:c r="A100" s="24" t="str">
        <x:v>EEZ_944</x:v>
      </x:c>
      <x:c r="B100" s="24" t="str">
        <x:v>Mexico (Atlantic)</x:v>
      </x:c>
      <x:c r="C100" s="24" t="str">
        <x:v>EEZ</x:v>
      </x:c>
      <x:c r="D100" s="30" t="n">
        <x:v>2019</x:v>
      </x:c>
      <x:c r="E100" s="24" t="str">
        <x:v>Tetrapturus pfluegeri</x:v>
      </x:c>
      <x:c r="F100" s="24" t="str">
        <x:v>Longbill spearfish</x:v>
      </x:c>
      <x:c r="G100" s="24" t="str">
        <x:v>Large pelagics (&gt;=90 cm)</x:v>
      </x:c>
      <x:c r="H100" s="24" t="str">
        <x:v>Tuna &amp; billfishes</x:v>
      </x:c>
      <x:c r="I100" s="31" t="n">
        <x:v>0.7940514007</x:v>
      </x:c>
      <x:c r="J100" s="31" t="n">
        <x:v>0.7940514007</x:v>
      </x:c>
      <x:c r="K100" s="31" t="n">
        <x:v>0</x:v>
      </x:c>
      <x:c r="L100" s="31" t="n">
        <x:v>0.7940514007</x:v>
      </x:c>
      <x:c r="M100" s="31" t="n">
        <x:v>0</x:v>
      </x:c>
      <x:c r="N100" s="24" t="str">
        <x:v>tetrapturus pfluegeri</x:v>
      </x:c>
      <x:c r="O100" s="32" t="n">
        <x:v>4.4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Tetrapturus pfluegeri</x:v>
      </x:c>
      <x:c r="T100" s="32" t="n">
        <x:f>IF(O100="","",(1/'Metadata'!$B$5)^(O100-1))</x:f>
        <x:v>2511.886431509582</x:v>
      </x:c>
      <x:c r="U100" s="31" t="n">
        <x:f>IF(T100="","",I100*T100)</x:f>
        <x:v>1994.5669393395083</x:v>
      </x:c>
    </x:row>
    <x:row r="101" ht="18" customHeight="1">
      <x:c r="A101" s="24" t="str">
        <x:v>EEZ_944</x:v>
      </x:c>
      <x:c r="B101" s="24" t="str">
        <x:v>Mexico (Atlantic)</x:v>
      </x:c>
      <x:c r="C101" s="24" t="str">
        <x:v>EEZ</x:v>
      </x:c>
      <x:c r="D101" s="30" t="n">
        <x:v>2019</x:v>
      </x:c>
      <x:c r="E101" s="24" t="str">
        <x:v>Coryphaena</x:v>
      </x:c>
      <x:c r="F101" s="24" t="str">
        <x:v>Dolphinfishes</x:v>
      </x:c>
      <x:c r="G101" s="24" t="str">
        <x:v>Large pelagics (&gt;=90 cm)</x:v>
      </x:c>
      <x:c r="H101" s="24" t="str">
        <x:v>Perch-likes</x:v>
      </x:c>
      <x:c r="I101" s="31" t="n">
        <x:v>0.434008895</x:v>
      </x:c>
      <x:c r="J101" s="31" t="n">
        <x:v>0.434008895</x:v>
      </x:c>
      <x:c r="K101" s="31" t="n">
        <x:v>0</x:v>
      </x:c>
      <x:c r="L101" s="31" t="n">
        <x:v>0</x:v>
      </x:c>
      <x:c r="M101" s="31" t="n">
        <x:v>0.434008895</x:v>
      </x:c>
      <x:c r="N101" s="24" t="str">
        <x:v>coryphaena</x:v>
      </x:c>
      <x:c r="O101" s="32" t="n">
        <x:v>4.49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Coryphaena</x:v>
      </x:c>
      <x:c r="T101" s="32" t="n">
        <x:f>IF(O101="","",(1/'Metadata'!$B$5)^(O101-1))</x:f>
        <x:v>3090.295432513592</x:v>
      </x:c>
      <x:c r="U101" s="31" t="n">
        <x:f>IF(T101="","",I101*T101)</x:f>
        <x:v>1341.2157058887713</x:v>
      </x:c>
    </x:row>
    <x:row r="102" ht="18" customHeight="1">
      <x:c r="A102" s="24" t="str">
        <x:v>EEZ_944</x:v>
      </x:c>
      <x:c r="B102" s="24" t="str">
        <x:v>Mexico (Atlantic)</x:v>
      </x:c>
      <x:c r="C102" s="24" t="str">
        <x:v>EEZ</x:v>
      </x:c>
      <x:c r="D102" s="30" t="n">
        <x:v>2019</x:v>
      </x:c>
      <x:c r="E102" s="24" t="str">
        <x:v>Carcharhinus longimanus</x:v>
      </x:c>
      <x:c r="F102" s="24" t="str">
        <x:v>Oceanic whitetip shark</x:v>
      </x:c>
      <x:c r="G102" s="24" t="str">
        <x:v>Large sharks (&gt;=90 cm)</x:v>
      </x:c>
      <x:c r="H102" s="24" t="str">
        <x:v>Sharks &amp; rays</x:v>
      </x:c>
      <x:c r="I102" s="31" t="n">
        <x:v>0.2609824484</x:v>
      </x:c>
      <x:c r="J102" s="31" t="n">
        <x:v>0.2609824484</x:v>
      </x:c>
      <x:c r="K102" s="31" t="n">
        <x:v>0</x:v>
      </x:c>
      <x:c r="L102" s="31" t="n">
        <x:v>0.2609824484</x:v>
      </x:c>
      <x:c r="M102" s="31" t="n">
        <x:v>0</x:v>
      </x:c>
      <x:c r="N102" s="24" t="str">
        <x:v>carcharhinus longimanus</x:v>
      </x:c>
      <x:c r="O102" s="32" t="n">
        <x:v>4.16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Carcharhinus longimanus</x:v>
      </x:c>
      <x:c r="T102" s="32" t="n">
        <x:f>IF(O102="","",(1/'Metadata'!$B$5)^(O102-1))</x:f>
        <x:v>1445.439770745928</x:v>
      </x:c>
      <x:c r="U102" s="31" t="n">
        <x:f>IF(T102="","",I102*T102)</x:f>
        <x:v>377.234410384007</x:v>
      </x:c>
    </x:row>
    <x:row r="103" ht="18" customHeight="1">
      <x:c r="A103" s="24" t="str">
        <x:v>EEZ_944</x:v>
      </x:c>
      <x:c r="B103" s="24" t="str">
        <x:v>Mexico (Atlantic)</x:v>
      </x:c>
      <x:c r="C103" s="24" t="str">
        <x:v>EEZ</x:v>
      </x:c>
      <x:c r="D103" s="30" t="n">
        <x:v>2019</x:v>
      </x:c>
      <x:c r="E103" s="24" t="str">
        <x:v>Thunnus alalunga</x:v>
      </x:c>
      <x:c r="F103" s="24" t="str">
        <x:v>Albacore</x:v>
      </x:c>
      <x:c r="G103" s="24" t="str">
        <x:v>Large pelagics (&gt;=90 cm)</x:v>
      </x:c>
      <x:c r="H103" s="24" t="str">
        <x:v>Tuna &amp; billfishes</x:v>
      </x:c>
      <x:c r="I103" s="31" t="n">
        <x:v>0.194429938</x:v>
      </x:c>
      <x:c r="J103" s="31" t="n">
        <x:v>0.194429938</x:v>
      </x:c>
      <x:c r="K103" s="31" t="n">
        <x:v>0</x:v>
      </x:c>
      <x:c r="L103" s="31" t="n">
        <x:v>0.194429938</x:v>
      </x:c>
      <x:c r="M103" s="31" t="n">
        <x:v>0</x:v>
      </x:c>
      <x:c r="N103" s="24" t="str">
        <x:v>thunnus alalunga</x:v>
      </x:c>
      <x:c r="O103" s="32" t="n">
        <x:v>4.3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Thunnus alalunga</x:v>
      </x:c>
      <x:c r="T103" s="32" t="n">
        <x:f>IF(O103="","",(1/'Metadata'!$B$5)^(O103-1))</x:f>
        <x:v>1995.2623149688789</x:v>
      </x:c>
      <x:c r="U103" s="31" t="n">
        <x:f>IF(T103="","",I103*T103)</x:f>
        <x:v>387.9387281931356</x:v>
      </x:c>
    </x:row>
    <x:row r="104" ht="18" customHeight="1">
      <x:c r="A104" s="24" t="str">
        <x:v>EEZ_944</x:v>
      </x:c>
      <x:c r="B104" s="24" t="str">
        <x:v>Mexico (Atlantic)</x:v>
      </x:c>
      <x:c r="C104" s="24" t="str">
        <x:v>EEZ</x:v>
      </x:c>
      <x:c r="D104" s="30" t="n">
        <x:v>2019</x:v>
      </x:c>
      <x:c r="E104" s="24" t="str">
        <x:v>Malacanthidae</x:v>
      </x:c>
      <x:c r="F104" s="24" t="str">
        <x:v>Tilefishes</x:v>
      </x:c>
      <x:c r="G104" s="24" t="str">
        <x:v>Medium demersals (30 - 89 cm)</x:v>
      </x:c>
      <x:c r="H104" s="24" t="str">
        <x:v>Perch-likes</x:v>
      </x:c>
      <x:c r="I104" s="31" t="n">
        <x:v>0.1085022237</x:v>
      </x:c>
      <x:c r="J104" s="31" t="n">
        <x:v>0.1085022237</x:v>
      </x:c>
      <x:c r="K104" s="31" t="n">
        <x:v>0</x:v>
      </x:c>
      <x:c r="L104" s="31" t="n">
        <x:v>0</x:v>
      </x:c>
      <x:c r="M104" s="31" t="n">
        <x:v>0.1085022237</x:v>
      </x:c>
      <x:c r="N104" s="24" t="str">
        <x:v>malacanthidae</x:v>
      </x:c>
      <x:c r="O104" s="32" t="n">
        <x:v>3.62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Malacanthidae</x:v>
      </x:c>
      <x:c r="T104" s="32" t="n">
        <x:f>IF(O104="","",(1/'Metadata'!$B$5)^(O104-1))</x:f>
        <x:v>416.8693834703355</x:v>
      </x:c>
      <x:c r="U104" s="31" t="n">
        <x:f>IF(T104="","",I104*T104)</x:f>
        <x:v>45.231255098979425</x:v>
      </x:c>
    </x:row>
  </x:sheetData>
  <x:conditionalFormatting sqref="R2:R10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d9bba746ab247b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248.8115709529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39433.97650088067</x:v>
      </x:c>
    </x:row>
    <x:row r="3" ht="18" customHeight="1">
      <x:c r="A3" s="24" t="str">
        <x:v>Cod-likes</x:v>
      </x:c>
      <x:c r="B3" s="31" t="n">
        <x:v>363.8842241223</x:v>
      </x:c>
      <x:c r="C3" s="32" t="n">
        <x:v>3.91</x:v>
      </x:c>
      <x:c r="D3" s="32" t="n">
        <x:f>IF(C3="","",(1/'Metadata'!$B$5)^(C3-1))</x:f>
        <x:v>812.8305161640995</x:v>
      </x:c>
      <x:c r="E3" s="31" t="n">
        <x:f>IF(B3=0,"",B3*D3)</x:f>
        <x:v>295776.20171730197</x:v>
      </x:c>
    </x:row>
    <x:row r="4" ht="18" customHeight="1">
      <x:c r="A4" s="24" t="str">
        <x:v>Crustaceans</x:v>
      </x:c>
      <x:c r="B4" s="31" t="n">
        <x:v>56163.52587311821</x:v>
      </x:c>
      <x:c r="C4" s="32" t="n">
        <x:v>3.1434457529753863</x:v>
      </x:c>
      <x:c r="D4" s="32" t="n">
        <x:f>IF(C4="","",(1/'Metadata'!$B$5)^(C4-1))</x:f>
        <x:v>139.13799889553934</x:v>
      </x:c>
      <x:c r="E4" s="31" t="n">
        <x:f>IF(B4=0,"",B4*D4)</x:f>
        <x:v>7814480.600903517</x:v>
      </x:c>
    </x:row>
    <x:row r="5" ht="18" customHeight="1">
      <x:c r="A5" s="24" t="str">
        <x:v>Flatfishes</x:v>
      </x:c>
      <x:c r="B5" s="31" t="n">
        <x:v>97</x:v>
      </x:c>
      <x:c r="C5" s="32" t="n">
        <x:v>3.57</x:v>
      </x:c>
      <x:c r="D5" s="32" t="n">
        <x:f>IF(C5="","",(1/'Metadata'!$B$5)^(C5-1))</x:f>
        <x:v>371.5352290971724</x:v>
      </x:c>
      <x:c r="E5" s="31" t="n">
        <x:f>IF(B5=0,"",B5*D5)</x:f>
        <x:v>36038.91722242573</x:v>
      </x:c>
    </x:row>
    <x:row r="6" ht="18" customHeight="1">
      <x:c r="A6" s="24" t="str">
        <x:v>Herring-likes</x:v>
      </x:c>
      <x:c r="B6" s="31" t="n">
        <x:v>4.0036605365</x:v>
      </x:c>
      <x:c r="C6" s="32" t="n">
        <x:v>3.42</x:v>
      </x:c>
      <x:c r="D6" s="32" t="n">
        <x:f>IF(C6="","",(1/'Metadata'!$B$5)^(C6-1))</x:f>
        <x:v>263.02679918953817</x:v>
      </x:c>
      <x:c r="E6" s="31" t="n">
        <x:f>IF(B6=0,"",B6*D6)</x:f>
        <x:v>1053.0700159570642</x:v>
      </x:c>
    </x:row>
    <x:row r="7" ht="18" customHeight="1">
      <x:c r="A7" s="24" t="str">
        <x:v>Molluscs</x:v>
      </x:c>
      <x:c r="B7" s="31" t="n">
        <x:v>57677.6458086829</x:v>
      </x:c>
      <x:c r="C7" s="32" t="n">
        <x:v>2.1055266948674802</x:v>
      </x:c>
      <x:c r="D7" s="32" t="n">
        <x:f>IF(C7="","",(1/'Metadata'!$B$5)^(C7-1))</x:f>
        <x:v>12.750484711994448</x:v>
      </x:c>
      <x:c r="E7" s="31" t="n">
        <x:f>IF(B7=0,"",B7*D7)</x:f>
        <x:v>735417.9411074419</x:v>
      </x:c>
    </x:row>
    <x:row r="8" ht="18" customHeight="1">
      <x:c r="A8" s="24" t="str">
        <x:v>Other fishes &amp; inverts</x:v>
      </x:c>
      <x:c r="B8" s="31" t="n">
        <x:v>257225.1097427739</x:v>
      </x:c>
      <x:c r="C8" s="32" t="n">
        <x:v>3.4793330349185174</x:v>
      </x:c>
      <x:c r="D8" s="32" t="n">
        <x:f>IF(C8="","",(1/'Metadata'!$B$5)^(C8-1))</x:f>
        <x:v>301.53174075770795</x:v>
      </x:c>
      <x:c r="E8" s="31" t="n">
        <x:f>IF(B8=0,"",B8*D8)</x:f>
        <x:v>77561535.10733108</x:v>
      </x:c>
    </x:row>
    <x:row r="9" ht="18" customHeight="1">
      <x:c r="A9" s="24" t="str">
        <x:v>Perch-likes</x:v>
      </x:c>
      <x:c r="B9" s="31" t="n">
        <x:v>123077.4882099929</x:v>
      </x:c>
      <x:c r="C9" s="32" t="n">
        <x:v>3.8573463141219584</x:v>
      </x:c>
      <x:c r="D9" s="32" t="n">
        <x:f>IF(C9="","",(1/'Metadata'!$B$5)^(C9-1))</x:f>
        <x:v>720.0229081786197</x:v>
      </x:c>
      <x:c r="E9" s="31" t="n">
        <x:f>IF(B9=0,"",B9*D9)</x:f>
        <x:v>88618610.99227886</x:v>
      </x:c>
    </x:row>
    <x:row r="10" ht="18" customHeight="1">
      <x:c r="A10" s="24" t="str">
        <x:v>Sharks &amp; rays</x:v>
      </x:c>
      <x:c r="B10" s="31" t="n">
        <x:v>13258.6850305423</x:v>
      </x:c>
      <x:c r="C10" s="32" t="n">
        <x:v>3.9594844716863093</x:v>
      </x:c>
      <x:c r="D10" s="32" t="n">
        <x:f>IF(C10="","",(1/'Metadata'!$B$5)^(C10-1))</x:f>
        <x:v>910.9288811813344</x:v>
      </x:c>
      <x:c r="E10" s="31" t="n">
        <x:f>IF(B10=0,"",B10*D10)</x:f>
        <x:v>12077719.120807603</x:v>
      </x:c>
    </x:row>
    <x:row r="11" ht="18" customHeight="1">
      <x:c r="A11" s="24" t="str">
        <x:v>Tuna &amp; billfishes</x:v>
      </x:c>
      <x:c r="B11" s="31" t="n">
        <x:v>4955.119618286099</x:v>
      </x:c>
      <x:c r="C11" s="32" t="n">
        <x:v>4.485765840943786</x:v>
      </x:c>
      <x:c r="D11" s="32" t="n">
        <x:f>IF(C11="","",(1/'Metadata'!$B$5)^(C11-1))</x:f>
        <x:v>3060.3129563229327</x:v>
      </x:c>
      <x:c r="E11" s="31" t="n">
        <x:f>IF(B11=0,"",B11*D11)</x:f>
        <x:v>15164216.767970892</x:v>
      </x:c>
    </x:row>
  </x:sheetData>
  <x:pageMargins left="0.7" right="0.7" top="0.75" bottom="0.75" header="0.3" footer="0.3"/>
  <x:tableParts count="1">
    <x:tablePart xmlns:r="http://schemas.openxmlformats.org/officeDocument/2006/relationships" r:id="R2f011cf4c721492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35980.5926887781</x:v>
      </x:c>
      <x:c r="C2" s="32" t="n">
        <x:v>3.5398520394703565</x:v>
      </x:c>
      <x:c r="D2" s="32" t="n">
        <x:f>IF(C2="","",(1/'Metadata'!$B$5)^(C2-1))</x:f>
        <x:v>346.6187402027966</x:v>
      </x:c>
      <x:c r="E2" s="31" t="n">
        <x:f>IF(B2=0,"",B2*D2)</x:f>
        <x:v>12471547.709534219</x:v>
      </x:c>
    </x:row>
    <x:row r="3" ht="18" customHeight="1">
      <x:c r="A3" s="24" t="str">
        <x:v>Large benthopelagics (&gt;=90 cm)</x:v>
      </x:c>
      <x:c r="B3" s="31" t="n">
        <x:v>8558.6640564234</x:v>
      </x:c>
      <x:c r="C3" s="32" t="n">
        <x:v>2.784234798647017</x:v>
      </x:c>
      <x:c r="D3" s="32" t="n">
        <x:f>IF(C3="","",(1/'Metadata'!$B$5)^(C3-1))</x:f>
        <x:v>60.84638746296017</x:v>
      </x:c>
      <x:c r="E3" s="31" t="n">
        <x:f>IF(B3=0,"",B3*D3)</x:f>
        <x:v>520763.78934244864</x:v>
      </x:c>
    </x:row>
    <x:row r="4" ht="18" customHeight="1">
      <x:c r="A4" s="24" t="str">
        <x:v>Large demersals (&gt;=90 cm)</x:v>
      </x:c>
      <x:c r="B4" s="31" t="n">
        <x:v>338.5857264744</x:v>
      </x:c>
      <x:c r="C4" s="32" t="n">
        <x:v>3.88255727633223</x:v>
      </x:c>
      <x:c r="D4" s="32" t="n">
        <x:f>IF(C4="","",(1/'Metadata'!$B$5)^(C4-1))</x:f>
        <x:v>763.0575193203949</x:v>
      </x:c>
      <x:c r="E4" s="31" t="n">
        <x:f>IF(B4=0,"",B4*D4)</x:f>
        <x:v>258360.38452084945</x:v>
      </x:c>
    </x:row>
    <x:row r="5" ht="18" customHeight="1">
      <x:c r="A5" s="24" t="str">
        <x:v>Large pelagics (&gt;=90 cm)</x:v>
      </x:c>
      <x:c r="B5" s="31" t="n">
        <x:v>8922.748675375298</x:v>
      </x:c>
      <x:c r="C5" s="32" t="n">
        <x:v>4.3867255744226945</x:v>
      </x:c>
      <x:c r="D5" s="32" t="n">
        <x:f>IF(C5="","",(1/'Metadata'!$B$5)^(C5-1))</x:f>
        <x:v>2436.2708809583064</x:v>
      </x:c>
      <x:c r="E5" s="31" t="n">
        <x:f>IF(B5=0,"",B5*D5)</x:f>
        <x:v>21738232.77592614</x:v>
      </x:c>
    </x:row>
    <x:row r="6" ht="18" customHeight="1">
      <x:c r="A6" s="24" t="str">
        <x:v>Large rays (&gt;=90 cm)</x:v>
      </x:c>
      <x:c r="B6" s="31" t="n">
        <x:v>3597.8340695031</x:v>
      </x:c>
      <x:c r="C6" s="32" t="n">
        <x:v>3.4079567044193744</x:v>
      </x:c>
      <x:c r="D6" s="32" t="n">
        <x:f>IF(C6="","",(1/'Metadata'!$B$5)^(C6-1))</x:f>
        <x:v>255.83308296929638</x:v>
      </x:c>
      <x:c r="E6" s="31" t="n">
        <x:f>IF(B6=0,"",B6*D6)</x:f>
        <x:v>920444.9820129479</x:v>
      </x:c>
    </x:row>
    <x:row r="7" ht="18" customHeight="1">
      <x:c r="A7" s="24" t="str">
        <x:v>Large reef assoc. fish (&gt;=90 cm)</x:v>
      </x:c>
      <x:c r="B7" s="31" t="n">
        <x:v>9354.1437420739</x:v>
      </x:c>
      <x:c r="C7" s="32" t="n">
        <x:v>3.9199999999999995</x:v>
      </x:c>
      <x:c r="D7" s="32" t="n">
        <x:f>IF(C7="","",(1/'Metadata'!$B$5)^(C7-1))</x:f>
        <x:v>831.76377110267</x:v>
      </x:c>
      <x:c r="E7" s="31" t="n">
        <x:f>IF(B7=0,"",B7*D7)</x:f>
        <x:v>7780437.874343829</x:v>
      </x:c>
    </x:row>
    <x:row r="8" ht="18" customHeight="1">
      <x:c r="A8" s="24" t="str">
        <x:v>Large sharks (&gt;=90 cm)</x:v>
      </x:c>
      <x:c r="B8" s="31" t="n">
        <x:v>9660.8509610392</x:v>
      </x:c>
      <x:c r="C8" s="32" t="n">
        <x:v>4.164881014843053</x:v>
      </x:c>
      <x:c r="D8" s="32" t="n">
        <x:f>IF(C8="","",(1/'Metadata'!$B$5)^(C8-1))</x:f>
        <x:v>1461.7766316052198</x:v>
      </x:c>
      <x:c r="E8" s="31" t="n">
        <x:f>IF(B8=0,"",B8*D8)</x:f>
        <x:v>14122006.176267931</x:v>
      </x:c>
    </x:row>
    <x:row r="9" ht="18" customHeight="1">
      <x:c r="A9" s="24" t="str">
        <x:v>Lobsters, crabs</x:v>
      </x:c>
      <x:c r="B9" s="31" t="n">
        <x:v>20061.8970059378</x:v>
      </x:c>
      <x:c r="C9" s="32" t="n">
        <x:v>3.9613974642668466</x:v>
      </x:c>
      <x:c r="D9" s="32" t="n">
        <x:f>IF(C9="","",(1/'Metadata'!$B$5)^(C9-1))</x:f>
        <x:v>914.9502165481151</x:v>
      </x:c>
      <x:c r="E9" s="31" t="n">
        <x:f>IF(B9=0,"",B9*D9)</x:f>
        <x:v>18355637.00994877</x:v>
      </x:c>
    </x:row>
    <x:row r="10" ht="18" customHeight="1">
      <x:c r="A10" s="24" t="str">
        <x:v>Medium benthopelagics (30 - 89 cm)</x:v>
      </x:c>
      <x:c r="B10" s="31" t="n">
        <x:v>6275.3320046517</x:v>
      </x:c>
      <x:c r="C10" s="32" t="n">
        <x:v>2.2216874359185974</x:v>
      </x:c>
      <x:c r="D10" s="32" t="n">
        <x:f>IF(C10="","",(1/'Metadata'!$B$5)^(C10-1))</x:f>
        <x:v>16.660477174316497</x:v>
      </x:c>
      <x:c r="E10" s="31" t="n">
        <x:f>IF(B10=0,"",B10*D10)</x:f>
        <x:v>104550.02562475744</x:v>
      </x:c>
    </x:row>
    <x:row r="11" ht="18" customHeight="1">
      <x:c r="A11" s="24" t="str">
        <x:v>Medium demersals (30 - 89 cm)</x:v>
      </x:c>
      <x:c r="B11" s="31" t="n">
        <x:v>226664.54499035285</x:v>
      </x:c>
      <x:c r="C11" s="32" t="n">
        <x:v>3.509786515971799</x:v>
      </x:c>
      <x:c r="D11" s="32" t="n">
        <x:f>IF(C11="","",(1/'Metadata'!$B$5)^(C11-1))</x:f>
        <x:v>323.4346286576361</x:v>
      </x:c>
      <x:c r="E11" s="31" t="n">
        <x:f>IF(B11=0,"",B11*D11)</x:f>
        <x:v>73311162.93880682</x:v>
      </x:c>
    </x:row>
    <x:row r="12" ht="18" customHeight="1">
      <x:c r="A12" s="24" t="str">
        <x:v>Medium pelagics (30 - 89 cm)</x:v>
      </x:c>
      <x:c r="B12" s="31" t="n">
        <x:v>26778.9568431323</x:v>
      </x:c>
      <x:c r="C12" s="32" t="n">
        <x:v>4.147923960945532</x:v>
      </x:c>
      <x:c r="D12" s="32" t="n">
        <x:f>IF(C12="","",(1/'Metadata'!$B$5)^(C12-1))</x:f>
        <x:v>1405.8013658902075</x:v>
      </x:c>
      <x:c r="E12" s="31" t="n">
        <x:f>IF(B12=0,"",B12*D12)</x:f>
        <x:v>37645894.1071903</x:v>
      </x:c>
    </x:row>
    <x:row r="13" ht="18" customHeight="1">
      <x:c r="A13" s="24" t="str">
        <x:v>Medium reef assoc. fish (30 - 89 cm)</x:v>
      </x:c>
      <x:c r="B13" s="31" t="n">
        <x:v>56898.390927718596</x:v>
      </x:c>
      <x:c r="C13" s="32" t="n">
        <x:v>3.9991601461513313</x:v>
      </x:c>
      <x:c r="D13" s="32" t="n">
        <x:f>IF(C13="","",(1/'Metadata'!$B$5)^(C13-1))</x:f>
        <x:v>998.0680337018227</x:v>
      </x:c>
      <x:c r="E13" s="31" t="n">
        <x:f>IF(B13=0,"",B13*D13)</x:f>
        <x:v>56788465.154025726</x:v>
      </x:c>
    </x:row>
    <x:row r="14" ht="18" customHeight="1">
      <x:c r="A14" s="24" t="str">
        <x:v>Other demersal invertebrates</x:v>
      </x:c>
      <x:c r="B14" s="31" t="n">
        <x:v>59175.6458086829</x:v>
      </x:c>
      <x:c r="C14" s="32" t="n">
        <x:v>2.1028553427132075</x:v>
      </x:c>
      <x:c r="D14" s="32" t="n">
        <x:f>IF(C14="","",(1/'Metadata'!$B$5)^(C14-1))</x:f>
        <x:v>12.672296994460368</x:v>
      </x:c>
      <x:c r="E14" s="31" t="n">
        <x:f>IF(B14=0,"",B14*D14)</x:f>
        <x:v>749891.3585266236</x:v>
      </x:c>
    </x:row>
    <x:row r="15" ht="18" customHeight="1">
      <x:c r="A15" s="24" t="str">
        <x:v>Shrimps</x:v>
      </x:c>
      <x:c r="B15" s="31" t="n">
        <x:v>36101.62886718041</x:v>
      </x:c>
      <x:c r="C15" s="32" t="n">
        <x:v>2.6889049606989004</x:v>
      </x:c>
      <x:c r="D15" s="32" t="n">
        <x:f>IF(C15="","",(1/'Metadata'!$B$5)^(C15-1))</x:f>
        <x:v>48.854543627676776</x:v>
      </x:c>
      <x:c r="E15" s="31" t="n">
        <x:f>IF(B15=0,"",B15*D15)</x:f>
        <x:v>1763728.6025218605</x:v>
      </x:c>
    </x:row>
    <x:row r="16" ht="18" customHeight="1">
      <x:c r="A16" s="24" t="str">
        <x:v>Small benthopelagics (&lt;30 cm)</x:v>
      </x:c>
      <x:c r="B16" s="31" t="n">
        <x:v>1568.0167545165</x:v>
      </x:c>
      <x:c r="C16" s="32" t="n">
        <x:v>3.0299999999999994</x:v>
      </x:c>
      <x:c r="D16" s="32" t="n">
        <x:f>IF(C16="","",(1/'Metadata'!$B$5)^(C16-1))</x:f>
        <x:v>107.15193052376048</x:v>
      </x:c>
      <x:c r="E16" s="31" t="n">
        <x:f>IF(B16=0,"",B16*D16)</x:f>
        <x:v>168016.0223400444</x:v>
      </x:c>
    </x:row>
    <x:row r="17" ht="18" customHeight="1">
      <x:c r="A17" s="24" t="str">
        <x:v>Small demersals (&lt;30 cm)</x:v>
      </x:c>
      <x:c r="B17" s="31" t="n">
        <x:v>422.5475029932</x:v>
      </x:c>
      <x:c r="C17" s="32" t="n">
        <x:v>3.61</x:v>
      </x:c>
      <x:c r="D17" s="32" t="n">
        <x:f>IF(C17="","",(1/'Metadata'!$B$5)^(C17-1))</x:f>
        <x:v>407.3802778041126</x:v>
      </x:c>
      <x:c r="E17" s="31" t="n">
        <x:f>IF(B17=0,"",B17*D17)</x:f>
        <x:v>172137.51915480391</x:v>
      </x:c>
    </x:row>
    <x:row r="18" ht="18" customHeight="1">
      <x:c r="A18" s="24" t="str">
        <x:v>Small pelagics (&lt;30 cm)</x:v>
      </x:c>
      <x:c r="B18" s="31" t="n">
        <x:v>252.81523148940002</x:v>
      </x:c>
      <x:c r="C18" s="32" t="n">
        <x:v>3.2034839883374153</x:v>
      </x:c>
      <x:c r="D18" s="32" t="n">
        <x:f>IF(C18="","",(1/'Metadata'!$B$5)^(C18-1))</x:f>
        <x:v>159.76586251501882</x:v>
      </x:c>
      <x:c r="E18" s="31" t="n">
        <x:f>IF(B18=0,"",B18*D18)</x:f>
        <x:v>40391.24351583814</x:v>
      </x:c>
    </x:row>
    <x:row r="19" ht="18" customHeight="1">
      <x:c r="A19" s="24" t="str">
        <x:v>Small reef assoc. fish (&lt;30 cm)</x:v>
      </x:c>
      <x:c r="B19" s="31" t="n">
        <x:v>2361.077882685</x:v>
      </x:c>
      <x:c r="C19" s="32" t="n">
        <x:v>3.25</x:v>
      </x:c>
      <x:c r="D19" s="32" t="n">
        <x:f>IF(C19="","",(1/'Metadata'!$B$5)^(C19-1))</x:f>
        <x:v>177.82794100389228</x:v>
      </x:c>
      <x:c r="E19" s="31" t="n">
        <x:f>IF(B19=0,"",B19*D19)</x:f>
        <x:v>419865.6184277031</x:v>
      </x:c>
    </x:row>
    <x:row r="20" ht="18" customHeight="1">
      <x:c r="A20" s="24" t="str">
        <x:v>Small to medium flatfishes (&lt;90 cm)</x:v>
      </x:c>
      <x:c r="B20" s="31" t="n">
        <x:v>97</x:v>
      </x:c>
      <x:c r="C20" s="32" t="n">
        <x:v>3.57</x:v>
      </x:c>
      <x:c r="D20" s="32" t="n">
        <x:f>IF(C20="","",(1/'Metadata'!$B$5)^(C20-1))</x:f>
        <x:v>371.5352290971724</x:v>
      </x:c>
      <x:c r="E20" s="31" t="n">
        <x:f>IF(B20=0,"",B20*D20)</x:f>
        <x:v>36038.91722242573</x:v>
      </x:c>
    </x:row>
  </x:sheetData>
  <x:pageMargins left="0.7" right="0.7" top="0.75" bottom="0.75" header="0.3" footer="0.3"/>
  <x:tableParts count="1">
    <x:tablePart xmlns:r="http://schemas.openxmlformats.org/officeDocument/2006/relationships" r:id="R03363224fb74406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EEZ_944</x:v>
      </x:c>
      <x:c r="B2" s="24" t="str">
        <x:v>raw_filtered_tonnes</x:v>
      </x:c>
      <x:c r="C2" s="24" t="n">
        <x:v>513071.27373900806</x:v>
      </x:c>
      <x:c r="D2" s="24" t="str">
        <x:v>tonnes</x:v>
      </x:c>
    </x:row>
    <x:row r="3" ht="18" customHeight="1">
      <x:c r="A3" s="24" t="str">
        <x:v>EEZ_944</x:v>
      </x:c>
      <x:c r="B3" s="24" t="str">
        <x:v>species_catch_tonnes</x:v>
      </x:c>
      <x:c r="C3" s="24" t="n">
        <x:v>513071.273739008</x:v>
      </x:c>
      <x:c r="D3" s="24" t="str">
        <x:v>tonnes</x:v>
      </x:c>
    </x:row>
    <x:row r="4" ht="18" customHeight="1">
      <x:c r="A4" s="24" t="str">
        <x:v>EEZ_944</x:v>
      </x:c>
      <x:c r="B4" s="24" t="str">
        <x:v>catch_difference_tonnes</x:v>
      </x:c>
      <x:c r="C4" s="24" t="n">
        <x:v>-5.820766091346741e-11</x:v>
      </x:c>
      <x:c r="D4" s="24" t="str">
        <x:v>tonnes</x:v>
      </x:c>
    </x:row>
    <x:row r="5" ht="18" customHeight="1">
      <x:c r="A5" s="24" t="str">
        <x:v>EEZ_944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EEZ_944</x:v>
      </x:c>
      <x:c r="B6" s="24" t="str">
        <x:v>matched_catch_tonnes</x:v>
      </x:c>
      <x:c r="C6" s="24" t="n">
        <x:v>513071.273739008</x:v>
      </x:c>
      <x:c r="D6" s="24" t="str">
        <x:v>tonnes</x:v>
      </x:c>
    </x:row>
    <x:row r="7" ht="18" customHeight="1">
      <x:c r="A7" s="24" t="str">
        <x:v>EEZ_944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EEZ_944</x:v>
      </x:c>
      <x:c r="B8" s="24" t="str">
        <x:v>taxa_count</x:v>
      </x:c>
      <x:c r="C8" s="24" t="n">
        <x:v>103</x:v>
      </x:c>
      <x:c r="D8" s="24" t="str">
        <x:v>count</x:v>
      </x:c>
    </x:row>
    <x:row r="9" ht="18" customHeight="1">
      <x:c r="A9" s="24" t="str">
        <x:v>EEZ_944</x:v>
      </x:c>
      <x:c r="B9" s="24" t="str">
        <x:v>matched_taxa_count</x:v>
      </x:c>
      <x:c r="C9" s="24" t="n">
        <x:v>103</x:v>
      </x:c>
      <x:c r="D9" s="24" t="str">
        <x:v>count</x:v>
      </x:c>
    </x:row>
    <x:row r="10" ht="18" customHeight="1">
      <x:c r="A10" s="24" t="str">
        <x:v>EEZ_944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EEZ_944</x:v>
      </x:c>
      <x:c r="B11" s="24" t="str">
        <x:v>species_ppr</x:v>
      </x:c>
      <x:c r="C11" s="24" t="n">
        <x:v>306325336.4678513</x:v>
      </x:c>
      <x:c r="D11" s="24" t="str">
        <x:v>tonnes_primary_production_equivalent</x:v>
      </x:c>
    </x:row>
    <x:row r="12" ht="18" customHeight="1">
      <x:c r="A12" s="24" t="str">
        <x:v>EEZ_944</x:v>
      </x:c>
      <x:c r="B12" s="24" t="str">
        <x:v>commercial_ppr</x:v>
      </x:c>
      <x:c r="C12" s="24" t="n">
        <x:v>202344282.69585595</x:v>
      </x:c>
      <x:c r="D12" s="24" t="str">
        <x:v>tonnes_primary_production_equivalent</x:v>
      </x:c>
    </x:row>
    <x:row r="13" ht="18" customHeight="1">
      <x:c r="A13" s="24" t="str">
        <x:v>EEZ_944</x:v>
      </x:c>
      <x:c r="B13" s="24" t="str">
        <x:v>functional_ppr</x:v>
      </x:c>
      <x:c r="C13" s="24" t="n">
        <x:v>247367572.20925406</x:v>
      </x:c>
      <x:c r="D13" s="24" t="str">
        <x:v>tonnes_primary_production_equivalent</x:v>
      </x:c>
    </x:row>
    <x:row r="14" ht="18" customHeight="1">
      <x:c r="A14" s="24" t="str">
        <x:v>EEZ_944</x:v>
      </x:c>
      <x:c r="B14" s="24" t="str">
        <x:v>commercial_ppr_difference</x:v>
      </x:c>
      <x:c r="C14" s="24" t="n">
        <x:v>-103981053.77199534</x:v>
      </x:c>
      <x:c r="D14" s="24" t="str">
        <x:v>tonnes_primary_production_equivalent</x:v>
      </x:c>
    </x:row>
    <x:row r="15" ht="18" customHeight="1">
      <x:c r="A15" s="24" t="str">
        <x:v>EEZ_944</x:v>
      </x:c>
      <x:c r="B15" s="24" t="str">
        <x:v>functional_ppr_difference</x:v>
      </x:c>
      <x:c r="C15" s="24" t="n">
        <x:v>-58957764.258597225</x:v>
      </x:c>
      <x:c r="D15" s="24" t="str">
        <x:v>tonnes_primary_production_equivalent</x:v>
      </x:c>
    </x:row>
    <x:row r="16" ht="18" customHeight="1">
      <x:c r="A16" s="24" t="str">
        <x:v>EEZ_944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EEZ_944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edc498585eb4f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EEZ_944 - Mexico (Atlantic)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