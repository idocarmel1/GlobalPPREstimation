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1e9cabb6b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9a15387a531487f"/>
    <x:sheet xmlns:r="http://schemas.openxmlformats.org/officeDocument/2006/relationships" name="Commercial" sheetId="2" r:id="R85627a6597384777"/>
    <x:sheet xmlns:r="http://schemas.openxmlformats.org/officeDocument/2006/relationships" name="Functional" sheetId="3" r:id="Rcb915c23f00f4792"/>
    <x:sheet xmlns:r="http://schemas.openxmlformats.org/officeDocument/2006/relationships" name="Missing TL" sheetId="4" r:id="R82f13290c1574eae"/>
    <x:sheet xmlns:r="http://schemas.openxmlformats.org/officeDocument/2006/relationships" name="Validation" sheetId="5" r:id="R2524e021d36c437b"/>
    <x:sheet xmlns:r="http://schemas.openxmlformats.org/officeDocument/2006/relationships" name="Metadata" sheetId="6" r:id="R0c964fbcd641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4f9b8540a4acf" /><Relationship Type="http://schemas.openxmlformats.org/officeDocument/2006/relationships/theme" Target="/xl/theme/theme1.xml" Id="R7aaea53e12e74ae0" /><Relationship Type="http://schemas.microsoft.com/office/2022/11/relationships/FeaturePropertyBag" Target="/xl/featurePropertyBag/featurePropertyBag.xml" Id="R84ff1ea617ff47d5" /><Relationship Type="http://schemas.openxmlformats.org/officeDocument/2006/relationships/sharedStrings" Target="/xl/sharedStrings.xml" Id="Ra5bee3fe88864571" /><Relationship Type="http://schemas.openxmlformats.org/officeDocument/2006/relationships/worksheet" Target="/xl/worksheets/sheet1.xml" Id="R19a15387a531487f" /><Relationship Type="http://schemas.openxmlformats.org/officeDocument/2006/relationships/worksheet" Target="/xl/worksheets/sheet2.xml" Id="R85627a6597384777" /><Relationship Type="http://schemas.openxmlformats.org/officeDocument/2006/relationships/worksheet" Target="/xl/worksheets/sheet3.xml" Id="Rcb915c23f00f4792" /><Relationship Type="http://schemas.openxmlformats.org/officeDocument/2006/relationships/worksheet" Target="/xl/worksheets/sheet4.xml" Id="R82f13290c1574eae" /><Relationship Type="http://schemas.openxmlformats.org/officeDocument/2006/relationships/worksheet" Target="/xl/worksheets/sheet5.xml" Id="R2524e021d36c437b" /><Relationship Type="http://schemas.openxmlformats.org/officeDocument/2006/relationships/worksheet" Target="/xl/worksheets/sheet6.xml" Id="R0c964fbcd64140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6SpeciesTable" displayName="EEZ906SpeciesTable" ref="A1:U38" headerRowCount="1" totalsRowCount="0" totalsRowShown="0">
  <x:autoFilter ref="A1:U3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6CommercialTable" displayName="EEZ906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6FunctionalTable" displayName="EEZ906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6ValidationTable" displayName="EEZ90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5bca26959e40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aff9d2ff2b4e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0bdd0f807844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a97f4823a040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EEZ_906</x:v>
      </x:c>
      <x:c r="B2" s="24" t="str">
        <x:v>Curaçao (Netherlands)</x:v>
      </x:c>
      <x:c r="C2" s="24" t="str">
        <x:v>EEZ</x:v>
      </x:c>
      <x:c r="D2" s="30" t="n">
        <x:v>2019</x:v>
      </x:c>
      <x:c r="E2" s="24" t="str">
        <x:v>Marine pelagic fishes not identified</x:v>
      </x:c>
      <x:c r="F2" s="24" t="str">
        <x:v>Pelagic fishes</x:v>
      </x:c>
      <x:c r="G2" s="24" t="str">
        <x:v>Medium pelagics (30 - 89 cm)</x:v>
      </x:c>
      <x:c r="H2" s="24" t="str">
        <x:v>Other fishes &amp; inverts</x:v>
      </x:c>
      <x:c r="I2" s="31" t="n">
        <x:v>1634.3151828412</x:v>
      </x:c>
      <x:c r="J2" s="31" t="n">
        <x:v>1634.3151828412</x:v>
      </x:c>
      <x:c r="K2" s="31" t="n">
        <x:v>0</x:v>
      </x:c>
      <x:c r="L2" s="31" t="n">
        <x:v>1634.3151828412</x:v>
      </x:c>
      <x:c r="M2" s="31" t="n">
        <x:v>0</x:v>
      </x:c>
      <x:c r="N2" s="24" t="str">
        <x:v>marine pelagic fishes not identified</x:v>
      </x:c>
      <x:c r="O2" s="32" t="n">
        <x:v>3.35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pelagic fishes not identified</x:v>
      </x:c>
      <x:c r="T2" s="32" t="n">
        <x:f>IF(O2="","",(1/'Metadata'!$B$5)^(O2-1))</x:f>
        <x:v>223.872113856834</x:v>
      </x:c>
      <x:c r="U2" s="31" t="n">
        <x:f>IF(T2="","",I2*T2)</x:f>
        <x:v>365877.59469097765</x:v>
      </x:c>
    </x:row>
    <x:row r="3" ht="18" customHeight="1">
      <x:c r="A3" s="24" t="str">
        <x:v>EEZ_906</x:v>
      </x:c>
      <x:c r="B3" s="24" t="str">
        <x:v>Curaçao (Netherlands)</x:v>
      </x:c>
      <x:c r="C3" s="24" t="str">
        <x:v>EEZ</x:v>
      </x:c>
      <x:c r="D3" s="30" t="n">
        <x:v>2019</x:v>
      </x:c>
      <x:c r="E3" s="24" t="str">
        <x:v>Coryphaena hippurus</x:v>
      </x:c>
      <x:c r="F3" s="24" t="str">
        <x:v>Common dolphinfish</x:v>
      </x:c>
      <x:c r="G3" s="24" t="str">
        <x:v>Large pelagics (&gt;=90 cm)</x:v>
      </x:c>
      <x:c r="H3" s="24" t="str">
        <x:v>Perch-likes</x:v>
      </x:c>
      <x:c r="I3" s="31" t="n">
        <x:v>834.6720354322999</x:v>
      </x:c>
      <x:c r="J3" s="31" t="n">
        <x:v>834.6720354322999</x:v>
      </x:c>
      <x:c r="K3" s="31" t="n">
        <x:v>0</x:v>
      </x:c>
      <x:c r="L3" s="31" t="n">
        <x:v>833.9923727610999</x:v>
      </x:c>
      <x:c r="M3" s="31" t="n">
        <x:v>0.6796626712</x:v>
      </x:c>
      <x:c r="N3" s="24" t="str">
        <x:v>coryphaena hippurus</x:v>
      </x:c>
      <x:c r="O3" s="32" t="n">
        <x:v>4.37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Coryphaena hippurus</x:v>
      </x:c>
      <x:c r="T3" s="32" t="n">
        <x:f>IF(O3="","",(1/'Metadata'!$B$5)^(O3-1))</x:f>
        <x:v>2344.228815319923</x:v>
      </x:c>
      <x:c r="U3" s="31" t="n">
        <x:f>IF(T3="","",I3*T3)</x:f>
        <x:v>1956662.236802129</x:v>
      </x:c>
    </x:row>
    <x:row r="4" ht="18" customHeight="1">
      <x:c r="A4" s="24" t="str">
        <x:v>EEZ_906</x:v>
      </x:c>
      <x:c r="B4" s="24" t="str">
        <x:v>Curaçao (Netherlands)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492.45753309720004</x:v>
      </x:c>
      <x:c r="J4" s="31" t="n">
        <x:v>492.45753309720004</x:v>
      </x:c>
      <x:c r="K4" s="31" t="n">
        <x:v>0</x:v>
      </x:c>
      <x:c r="L4" s="31" t="n">
        <x:v>491.7394186052</x:v>
      </x:c>
      <x:c r="M4" s="31" t="n">
        <x:v>0.718114492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1265810.7662658016</x:v>
      </x:c>
    </x:row>
    <x:row r="5" ht="18" customHeight="1">
      <x:c r="A5" s="24" t="str">
        <x:v>EEZ_906</x:v>
      </x:c>
      <x:c r="B5" s="24" t="str">
        <x:v>Curaçao (Netherlands)</x:v>
      </x:c>
      <x:c r="C5" s="24" t="str">
        <x:v>EEZ</x:v>
      </x:c>
      <x:c r="D5" s="30" t="n">
        <x:v>2019</x:v>
      </x:c>
      <x:c r="E5" s="24" t="str">
        <x:v>Scomberomorus cavalla</x:v>
      </x:c>
      <x:c r="F5" s="24" t="str">
        <x:v>King mackerel</x:v>
      </x:c>
      <x:c r="G5" s="24" t="str">
        <x:v>Large pelagics (&gt;=90 cm)</x:v>
      </x:c>
      <x:c r="H5" s="24" t="str">
        <x:v>Perch-likes</x:v>
      </x:c>
      <x:c r="I5" s="31" t="n">
        <x:v>402.3871746887</x:v>
      </x:c>
      <x:c r="J5" s="31" t="n">
        <x:v>402.3871746887</x:v>
      </x:c>
      <x:c r="K5" s="31" t="n">
        <x:v>0</x:v>
      </x:c>
      <x:c r="L5" s="31" t="n">
        <x:v>402.3871746887</x:v>
      </x:c>
      <x:c r="M5" s="31" t="n">
        <x:v>0</x:v>
      </x:c>
      <x:c r="N5" s="24" t="str">
        <x:v>scomberomorus cavalla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cavalla</x:v>
      </x:c>
      <x:c r="T5" s="32" t="n">
        <x:f>IF(O5="","",(1/'Metadata'!$B$5)^(O5-1))</x:f>
        <x:v>2630.2679918953813</x:v>
      </x:c>
      <x:c r="U5" s="31" t="n">
        <x:f>IF(T5="","",I5*T5)</x:f>
        <x:v>1058386.105932903</x:v>
      </x:c>
    </x:row>
    <x:row r="6" ht="18" customHeight="1">
      <x:c r="A6" s="24" t="str">
        <x:v>EEZ_906</x:v>
      </x:c>
      <x:c r="B6" s="24" t="str">
        <x:v>Curaçao (Netherlands)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255.194097685</x:v>
      </x:c>
      <x:c r="J6" s="31" t="n">
        <x:v>104.957613208</x:v>
      </x:c>
      <x:c r="K6" s="31" t="n">
        <x:v>150.236484477</x:v>
      </x:c>
      <x:c r="L6" s="31" t="n">
        <x:v>103.24646250090001</x:v>
      </x:c>
      <x:c r="M6" s="31" t="n">
        <x:v>151.9476351841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48626.23285948429</x:v>
      </x:c>
    </x:row>
    <x:row r="7" ht="18" customHeight="1">
      <x:c r="A7" s="24" t="str">
        <x:v>EEZ_906</x:v>
      </x:c>
      <x:c r="B7" s="24" t="str">
        <x:v>Curaçao (Netherlands)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183.6850397187</x:v>
      </x:c>
      <x:c r="J7" s="31" t="n">
        <x:v>183.6850397187</x:v>
      </x:c>
      <x:c r="K7" s="31" t="n">
        <x:v>0</x:v>
      </x:c>
      <x:c r="L7" s="31" t="n">
        <x:v>183.6850397187</x:v>
      </x:c>
      <x:c r="M7" s="31" t="n">
        <x:v>0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622406.0227887884</x:v>
      </x:c>
    </x:row>
    <x:row r="8" ht="18" customHeight="1">
      <x:c r="A8" s="24" t="str">
        <x:v>EEZ_906</x:v>
      </x:c>
      <x:c r="B8" s="24" t="str">
        <x:v>Curaçao (Netherlands)</x:v>
      </x:c>
      <x:c r="C8" s="24" t="str">
        <x:v>EEZ</x:v>
      </x:c>
      <x:c r="D8" s="30" t="n">
        <x:v>2019</x:v>
      </x:c>
      <x:c r="E8" s="24" t="str">
        <x:v>Euthynnus alletteratus</x:v>
      </x:c>
      <x:c r="F8" s="24" t="str">
        <x:v>Little tunny </x:v>
      </x:c>
      <x:c r="G8" s="24" t="str">
        <x:v>Large pelagics (&gt;=90 cm)</x:v>
      </x:c>
      <x:c r="H8" s="24" t="str">
        <x:v>Tuna &amp; billfishes</x:v>
      </x:c>
      <x:c r="I8" s="31" t="n">
        <x:v>177.2610094937</x:v>
      </x:c>
      <x:c r="J8" s="31" t="n">
        <x:v>177.2610094937</x:v>
      </x:c>
      <x:c r="K8" s="31" t="n">
        <x:v>0</x:v>
      </x:c>
      <x:c r="L8" s="31" t="n">
        <x:v>177.2610094937</x:v>
      </x:c>
      <x:c r="M8" s="31" t="n">
        <x:v>0</x:v>
      </x:c>
      <x:c r="N8" s="24" t="str">
        <x:v>euthynnus alletteratus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Euthynnus alletteratus</x:v>
      </x:c>
      <x:c r="T8" s="32" t="n">
        <x:f>IF(O8="","",(1/'Metadata'!$B$5)^(O8-1))</x:f>
        <x:v>3090.295432513592</x:v>
      </x:c>
      <x:c r="U8" s="31" t="n">
        <x:f>IF(T8="","",I8*T8)</x:f>
        <x:v>547788.8880011295</x:v>
      </x:c>
    </x:row>
    <x:row r="9" ht="18" customHeight="1">
      <x:c r="A9" s="24" t="str">
        <x:v>EEZ_906</x:v>
      </x:c>
      <x:c r="B9" s="24" t="str">
        <x:v>Curaçao (Netherlands)</x:v>
      </x:c>
      <x:c r="C9" s="24" t="str">
        <x:v>EEZ</x:v>
      </x:c>
      <x:c r="D9" s="30" t="n">
        <x:v>2019</x:v>
      </x:c>
      <x:c r="E9" s="24" t="str">
        <x:v>Acanthocybium solandri</x:v>
      </x:c>
      <x:c r="F9" s="24" t="str">
        <x:v>Wahoo</x:v>
      </x:c>
      <x:c r="G9" s="24" t="str">
        <x:v>Large pelagics (&gt;=90 cm)</x:v>
      </x:c>
      <x:c r="H9" s="24" t="str">
        <x:v>Perch-likes</x:v>
      </x:c>
      <x:c r="I9" s="31" t="n">
        <x:v>153.1486870186</x:v>
      </x:c>
      <x:c r="J9" s="31" t="n">
        <x:v>153.1486870186</x:v>
      </x:c>
      <x:c r="K9" s="31" t="n">
        <x:v>0</x:v>
      </x:c>
      <x:c r="L9" s="31" t="n">
        <x:v>152.3948798456</x:v>
      </x:c>
      <x:c r="M9" s="31" t="n">
        <x:v>0.753807173</x:v>
      </x:c>
      <x:c r="N9" s="24" t="str">
        <x:v>acanthocybium solandri</x:v>
      </x:c>
      <x:c r="O9" s="32" t="n">
        <x:v>4.26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Acanthocybium solandri</x:v>
      </x:c>
      <x:c r="T9" s="32" t="n">
        <x:f>IF(O9="","",(1/'Metadata'!$B$5)^(O9-1))</x:f>
        <x:v>1819.7008586099826</x:v>
      </x:c>
      <x:c r="U9" s="31" t="n">
        <x:f>IF(T9="","",I9*T9)</x:f>
        <x:v>278684.7972627379</x:v>
      </x:c>
    </x:row>
    <x:row r="10" ht="18" customHeight="1">
      <x:c r="A10" s="24" t="str">
        <x:v>EEZ_906</x:v>
      </x:c>
      <x:c r="B10" s="24" t="str">
        <x:v>Curaçao (Netherlands)</x:v>
      </x:c>
      <x:c r="C10" s="24" t="str">
        <x:v>EEZ</x:v>
      </x:c>
      <x:c r="D10" s="30" t="n">
        <x:v>2019</x:v>
      </x:c>
      <x:c r="E10" s="24" t="str">
        <x:v>Thunnus thynnus</x:v>
      </x:c>
      <x:c r="F10" s="24" t="str">
        <x:v>Atlantic bluefin tuna</x:v>
      </x:c>
      <x:c r="G10" s="24" t="str">
        <x:v>Large pelagics (&gt;=90 cm)</x:v>
      </x:c>
      <x:c r="H10" s="24" t="str">
        <x:v>Tuna &amp; billfishes</x:v>
      </x:c>
      <x:c r="I10" s="31" t="n">
        <x:v>148.0846016766</x:v>
      </x:c>
      <x:c r="J10" s="31" t="n">
        <x:v>148.0846016766</x:v>
      </x:c>
      <x:c r="K10" s="31" t="n">
        <x:v>0</x:v>
      </x:c>
      <x:c r="L10" s="31" t="n">
        <x:v>148.0846016766</x:v>
      </x:c>
      <x:c r="M10" s="31" t="n">
        <x:v>0</x:v>
      </x:c>
      <x:c r="N10" s="24" t="str">
        <x:v>thunnus thynnus</x:v>
      </x:c>
      <x:c r="O10" s="32" t="n">
        <x:v>4.45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thynnus</x:v>
      </x:c>
      <x:c r="T10" s="32" t="n">
        <x:f>IF(O10="","",(1/'Metadata'!$B$5)^(O10-1))</x:f>
        <x:v>2818.382931264455</x:v>
      </x:c>
      <x:c r="U10" s="31" t="n">
        <x:f>IF(T10="","",I10*T10)</x:f>
        <x:v>417359.1137484251</x:v>
      </x:c>
    </x:row>
    <x:row r="11" ht="18" customHeight="1">
      <x:c r="A11" s="24" t="str">
        <x:v>EEZ_906</x:v>
      </x:c>
      <x:c r="B11" s="24" t="str">
        <x:v>Curaçao (Netherlands)</x:v>
      </x:c>
      <x:c r="C11" s="24" t="str">
        <x:v>EEZ</x:v>
      </x:c>
      <x:c r="D11" s="30" t="n">
        <x:v>2019</x:v>
      </x:c>
      <x:c r="E11" s="24" t="str">
        <x:v>Thunnus atlanticus</x:v>
      </x:c>
      <x:c r="F11" s="24" t="str">
        <x:v>Blackfin tuna</x:v>
      </x:c>
      <x:c r="G11" s="24" t="str">
        <x:v>Large pelagics (&gt;=90 cm)</x:v>
      </x:c>
      <x:c r="H11" s="24" t="str">
        <x:v>Tuna &amp; billfishes</x:v>
      </x:c>
      <x:c r="I11" s="31" t="n">
        <x:v>141.29740415130001</x:v>
      </x:c>
      <x:c r="J11" s="31" t="n">
        <x:v>141.29740415130001</x:v>
      </x:c>
      <x:c r="K11" s="31" t="n">
        <x:v>0</x:v>
      </x:c>
      <x:c r="L11" s="31" t="n">
        <x:v>140.5836543154</x:v>
      </x:c>
      <x:c r="M11" s="31" t="n">
        <x:v>0.7137498359</x:v>
      </x:c>
      <x:c r="N11" s="24" t="str">
        <x:v>thunnus atlanticus</x:v>
      </x:c>
      <x:c r="O11" s="32" t="n">
        <x:v>4.35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atlanticus</x:v>
      </x:c>
      <x:c r="T11" s="32" t="n">
        <x:f>IF(O11="","",(1/'Metadata'!$B$5)^(O11-1))</x:f>
        <x:v>2238.7211385683377</x:v>
      </x:c>
      <x:c r="U11" s="31" t="n">
        <x:f>IF(T11="","",I11*T11)</x:f>
        <x:v>316325.48549834895</x:v>
      </x:c>
    </x:row>
    <x:row r="12" ht="18" customHeight="1">
      <x:c r="A12" s="24" t="str">
        <x:v>EEZ_906</x:v>
      </x:c>
      <x:c r="B12" s="24" t="str">
        <x:v>Curaçao (Netherlands)</x:v>
      </x:c>
      <x:c r="C12" s="24" t="str">
        <x:v>EEZ</x:v>
      </x:c>
      <x:c r="D12" s="30" t="n">
        <x:v>2019</x:v>
      </x:c>
      <x:c r="E12" s="24" t="str">
        <x:v>Thunnus obesus</x:v>
      </x:c>
      <x:c r="F12" s="24" t="str">
        <x:v>Bigeye tuna</x:v>
      </x:c>
      <x:c r="G12" s="24" t="str">
        <x:v>Large pelagics (&gt;=90 cm)</x:v>
      </x:c>
      <x:c r="H12" s="24" t="str">
        <x:v>Tuna &amp; billfishes</x:v>
      </x:c>
      <x:c r="I12" s="31" t="n">
        <x:v>108.20388226940001</x:v>
      </x:c>
      <x:c r="J12" s="31" t="n">
        <x:v>108.20388226940001</x:v>
      </x:c>
      <x:c r="K12" s="31" t="n">
        <x:v>0</x:v>
      </x:c>
      <x:c r="L12" s="31" t="n">
        <x:v>108.2013116744</x:v>
      </x:c>
      <x:c r="M12" s="31" t="n">
        <x:v>0.002570595</x:v>
      </x:c>
      <x:c r="N12" s="24" t="str">
        <x:v>thunnus obesus</x:v>
      </x:c>
      <x:c r="O12" s="32" t="n">
        <x:v>4.49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obesus</x:v>
      </x:c>
      <x:c r="T12" s="32" t="n">
        <x:f>IF(O12="","",(1/'Metadata'!$B$5)^(O12-1))</x:f>
        <x:v>3090.295432513592</x:v>
      </x:c>
      <x:c r="U12" s="31" t="n">
        <x:f>IF(T12="","",I12*T12)</x:f>
        <x:v>334381.9631573653</x:v>
      </x:c>
    </x:row>
    <x:row r="13" ht="18" customHeight="1">
      <x:c r="A13" s="24" t="str">
        <x:v>EEZ_906</x:v>
      </x:c>
      <x:c r="B13" s="24" t="str">
        <x:v>Curaçao (Netherlands)</x:v>
      </x:c>
      <x:c r="C13" s="24" t="str">
        <x:v>EEZ</x:v>
      </x:c>
      <x:c r="D13" s="30" t="n">
        <x:v>2019</x:v>
      </x:c>
      <x:c r="E13" s="24" t="str">
        <x:v>Coryphaena</x:v>
      </x:c>
      <x:c r="F13" s="24" t="str">
        <x:v>Dolphinfishes</x:v>
      </x:c>
      <x:c r="G13" s="24" t="str">
        <x:v>Large pelagics (&gt;=90 cm)</x:v>
      </x:c>
      <x:c r="H13" s="24" t="str">
        <x:v>Perch-likes</x:v>
      </x:c>
      <x:c r="I13" s="31" t="n">
        <x:v>63.910652767399995</x:v>
      </x:c>
      <x:c r="J13" s="31" t="n">
        <x:v>63.910652767399995</x:v>
      </x:c>
      <x:c r="K13" s="31" t="n">
        <x:v>0</x:v>
      </x:c>
      <x:c r="L13" s="31" t="n">
        <x:v>63.8623017654</x:v>
      </x:c>
      <x:c r="M13" s="31" t="n">
        <x:v>0.048351002</x:v>
      </x:c>
      <x:c r="N13" s="24" t="str">
        <x:v>coryphaena</x:v>
      </x:c>
      <x:c r="O13" s="32" t="n">
        <x:v>4.49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Coryphaena</x:v>
      </x:c>
      <x:c r="T13" s="32" t="n">
        <x:f>IF(O13="","",(1/'Metadata'!$B$5)^(O13-1))</x:f>
        <x:v>3090.295432513592</x:v>
      </x:c>
      <x:c r="U13" s="31" t="n">
        <x:f>IF(T13="","",I13*T13)</x:f>
        <x:v>197502.79833605836</x:v>
      </x:c>
    </x:row>
    <x:row r="14" ht="18" customHeight="1">
      <x:c r="A14" s="24" t="str">
        <x:v>EEZ_906</x:v>
      </x:c>
      <x:c r="B14" s="24" t="str">
        <x:v>Curaçao (Netherlands)</x:v>
      </x:c>
      <x:c r="C14" s="24" t="str">
        <x:v>EEZ</x:v>
      </x:c>
      <x:c r="D14" s="30" t="n">
        <x:v>2019</x:v>
      </x:c>
      <x:c r="E14" s="24" t="str">
        <x:v>Aliger gigas</x:v>
      </x:c>
      <x:c r="F14" s="24" t="str">
        <x:v>Pink conch</x:v>
      </x:c>
      <x:c r="G14" s="24" t="str">
        <x:v>Other demersal invertebrates</x:v>
      </x:c>
      <x:c r="H14" s="24" t="str">
        <x:v>Molluscs</x:v>
      </x:c>
      <x:c r="I14" s="31" t="n">
        <x:v>55.2507523645</x:v>
      </x:c>
      <x:c r="J14" s="31" t="n">
        <x:v>55.2507523645</x:v>
      </x:c>
      <x:c r="K14" s="31" t="n">
        <x:v>0</x:v>
      </x:c>
      <x:c r="L14" s="31" t="n">
        <x:v>26</x:v>
      </x:c>
      <x:c r="M14" s="31" t="n">
        <x:v>29.2507523645</x:v>
      </x:c>
      <x:c r="N14" s="24" t="str">
        <x:v>aliger gigas</x:v>
      </x:c>
      <x:c r="O14" s="32" t="n">
        <x:v>2.19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Aliger gigas</x:v>
      </x:c>
      <x:c r="T14" s="32" t="n">
        <x:f>IF(O14="","",(1/'Metadata'!$B$5)^(O14-1))</x:f>
        <x:v>15.488166189124811</x:v>
      </x:c>
      <x:c r="U14" s="31" t="n">
        <x:f>IF(T14="","",I14*T14)</x:f>
        <x:v>855.7328346955567</x:v>
      </x:c>
    </x:row>
    <x:row r="15" ht="18" customHeight="1">
      <x:c r="A15" s="24" t="str">
        <x:v>EEZ_906</x:v>
      </x:c>
      <x:c r="B15" s="24" t="str">
        <x:v>Curaçao (Netherlands)</x:v>
      </x:c>
      <x:c r="C15" s="24" t="str">
        <x:v>EEZ</x:v>
      </x:c>
      <x:c r="D15" s="30" t="n">
        <x:v>2019</x:v>
      </x:c>
      <x:c r="E15" s="24" t="str">
        <x:v>Thunnus alalunga</x:v>
      </x:c>
      <x:c r="F15" s="24" t="str">
        <x:v>Albacore</x:v>
      </x:c>
      <x:c r="G15" s="24" t="str">
        <x:v>Large pelagics (&gt;=90 cm)</x:v>
      </x:c>
      <x:c r="H15" s="24" t="str">
        <x:v>Tuna &amp; billfishes</x:v>
      </x:c>
      <x:c r="I15" s="31" t="n">
        <x:v>29.4665085181</x:v>
      </x:c>
      <x:c r="J15" s="31" t="n">
        <x:v>29.4665085181</x:v>
      </x:c>
      <x:c r="K15" s="31" t="n">
        <x:v>0</x:v>
      </x:c>
      <x:c r="L15" s="31" t="n">
        <x:v>29.4665085181</x:v>
      </x:c>
      <x:c r="M15" s="31" t="n">
        <x:v>0</x:v>
      </x:c>
      <x:c r="N15" s="24" t="str">
        <x:v>thunnus alalunga</x:v>
      </x:c>
      <x:c r="O15" s="32" t="n">
        <x:v>4.3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alalunga</x:v>
      </x:c>
      <x:c r="T15" s="32" t="n">
        <x:f>IF(O15="","",(1/'Metadata'!$B$5)^(O15-1))</x:f>
        <x:v>1995.2623149688789</x:v>
      </x:c>
      <x:c r="U15" s="31" t="n">
        <x:f>IF(T15="","",I15*T15)</x:f>
        <x:v>58793.41399987439</x:v>
      </x:c>
    </x:row>
    <x:row r="16" ht="18" customHeight="1">
      <x:c r="A16" s="24" t="str">
        <x:v>EEZ_906</x:v>
      </x:c>
      <x:c r="B16" s="24" t="str">
        <x:v>Curaçao (Netherlands)</x:v>
      </x:c>
      <x:c r="C16" s="24" t="str">
        <x:v>EEZ</x:v>
      </x:c>
      <x:c r="D16" s="30" t="n">
        <x:v>2019</x:v>
      </x:c>
      <x:c r="E16" s="24" t="str">
        <x:v>Sphyraena barracuda</x:v>
      </x:c>
      <x:c r="F16" s="24" t="str">
        <x:v>Great barracuda</x:v>
      </x:c>
      <x:c r="G16" s="24" t="str">
        <x:v>Large pelagics (&gt;=90 cm)</x:v>
      </x:c>
      <x:c r="H16" s="24" t="str">
        <x:v>Perch-likes</x:v>
      </x:c>
      <x:c r="I16" s="31" t="n">
        <x:v>29.256934928599996</x:v>
      </x:c>
      <x:c r="J16" s="31" t="n">
        <x:v>29.256934928599996</x:v>
      </x:c>
      <x:c r="K16" s="31" t="n">
        <x:v>0</x:v>
      </x:c>
      <x:c r="L16" s="31" t="n">
        <x:v>28.726124401199996</x:v>
      </x:c>
      <x:c r="M16" s="31" t="n">
        <x:v>0.5308105274</x:v>
      </x:c>
      <x:c r="N16" s="24" t="str">
        <x:v>sphyraena barracuda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Sphyraena barracuda</x:v>
      </x:c>
      <x:c r="T16" s="32" t="n">
        <x:f>IF(O16="","",(1/'Metadata'!$B$5)^(O16-1))</x:f>
        <x:v>3090.295432513592</x:v>
      </x:c>
      <x:c r="U16" s="31" t="n">
        <x:f>IF(T16="","",I16*T16)</x:f>
        <x:v>90412.57237919995</x:v>
      </x:c>
    </x:row>
    <x:row r="17" ht="18" customHeight="1">
      <x:c r="A17" s="24" t="str">
        <x:v>EEZ_906</x:v>
      </x:c>
      <x:c r="B17" s="24" t="str">
        <x:v>Curaçao (Netherlands)</x:v>
      </x:c>
      <x:c r="C17" s="24" t="str">
        <x:v>EEZ</x:v>
      </x:c>
      <x:c r="D17" s="30" t="n">
        <x:v>2019</x:v>
      </x:c>
      <x:c r="E17" s="24" t="str">
        <x:v>Lutjanidae</x:v>
      </x:c>
      <x:c r="F17" s="24" t="str">
        <x:v>Snappers</x:v>
      </x:c>
      <x:c r="G17" s="24" t="str">
        <x:v>Medium reef assoc. fish (30 - 89 cm)</x:v>
      </x:c>
      <x:c r="H17" s="24" t="str">
        <x:v>Perch-likes</x:v>
      </x:c>
      <x:c r="I17" s="31" t="n">
        <x:v>17.5028056006</x:v>
      </x:c>
      <x:c r="J17" s="31" t="n">
        <x:v>17.5028056006</x:v>
      </x:c>
      <x:c r="K17" s="31" t="n">
        <x:v>0</x:v>
      </x:c>
      <x:c r="L17" s="31" t="n">
        <x:v>17.1838395855</x:v>
      </x:c>
      <x:c r="M17" s="31" t="n">
        <x:v>0.3189660151</x:v>
      </x:c>
      <x:c r="N17" s="24" t="str">
        <x:v>lutjanidae</x:v>
      </x:c>
      <x:c r="O17" s="32" t="n">
        <x:v>4.02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Lutjanidae</x:v>
      </x:c>
      <x:c r="T17" s="32" t="n">
        <x:f>IF(O17="","",(1/'Metadata'!$B$5)^(O17-1))</x:f>
        <x:v>1047.1285480508984</x:v>
      </x:c>
      <x:c r="U17" s="31" t="n">
        <x:f>IF(T17="","",I17*T17)</x:f>
        <x:v>18327.68741537341</x:v>
      </x:c>
    </x:row>
    <x:row r="18" ht="18" customHeight="1">
      <x:c r="A18" s="24" t="str">
        <x:v>EEZ_906</x:v>
      </x:c>
      <x:c r="B18" s="24" t="str">
        <x:v>Curaçao (Netherlands)</x:v>
      </x:c>
      <x:c r="C18" s="24" t="str">
        <x:v>EEZ</x:v>
      </x:c>
      <x:c r="D18" s="30" t="n">
        <x:v>2019</x:v>
      </x:c>
      <x:c r="E18" s="24" t="str">
        <x:v>Elagatis bipinnulata</x:v>
      </x:c>
      <x:c r="F18" s="24" t="str">
        <x:v>Rainbow runner</x:v>
      </x:c>
      <x:c r="G18" s="24" t="str">
        <x:v>Large pelagics (&gt;=90 cm)</x:v>
      </x:c>
      <x:c r="H18" s="24" t="str">
        <x:v>Perch-likes</x:v>
      </x:c>
      <x:c r="I18" s="31" t="n">
        <x:v>13.617390835599998</x:v>
      </x:c>
      <x:c r="J18" s="31" t="n">
        <x:v>13.617390835599998</x:v>
      </x:c>
      <x:c r="K18" s="31" t="n">
        <x:v>0</x:v>
      </x:c>
      <x:c r="L18" s="31" t="n">
        <x:v>13.606647178300001</x:v>
      </x:c>
      <x:c r="M18" s="31" t="n">
        <x:v>0.0107436573</x:v>
      </x:c>
      <x:c r="N18" s="24" t="str">
        <x:v>elagatis bipinnulata</x:v>
      </x:c>
      <x:c r="O18" s="32" t="n">
        <x:v>4.27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Elagatis bipinnulata</x:v>
      </x:c>
      <x:c r="T18" s="32" t="n">
        <x:f>IF(O18="","",(1/'Metadata'!$B$5)^(O18-1))</x:f>
        <x:v>1862.0871366628655</x:v>
      </x:c>
      <x:c r="U18" s="31" t="n">
        <x:f>IF(T18="","",I18*T18)</x:f>
        <x:v>25356.768309881547</x:v>
      </x:c>
    </x:row>
    <x:row r="19" ht="18" customHeight="1">
      <x:c r="A19" s="24" t="str">
        <x:v>EEZ_906</x:v>
      </x:c>
      <x:c r="B19" s="24" t="str">
        <x:v>Curaçao (Netherlands)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13.3491785528</x:v>
      </x:c>
      <x:c r="J19" s="31" t="n">
        <x:v>13.3491785528</x:v>
      </x:c>
      <x:c r="K19" s="31" t="n">
        <x:v>0</x:v>
      </x:c>
      <x:c r="L19" s="31" t="n">
        <x:v>13.3491785528</x:v>
      </x:c>
      <x:c r="M19" s="31" t="n">
        <x:v>0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42213.8091191183</x:v>
      </x:c>
    </x:row>
    <x:row r="20" ht="18" customHeight="1">
      <x:c r="A20" s="24" t="str">
        <x:v>EEZ_906</x:v>
      </x:c>
      <x:c r="B20" s="24" t="str">
        <x:v>Curaçao (Netherlands)</x:v>
      </x:c>
      <x:c r="C20" s="24" t="str">
        <x:v>EEZ</x:v>
      </x:c>
      <x:c r="D20" s="30" t="n">
        <x:v>2019</x:v>
      </x:c>
      <x:c r="E20" s="24" t="str">
        <x:v>Cephalopholis fulva</x:v>
      </x:c>
      <x:c r="F20" s="24" t="str">
        <x:v>Coney</x:v>
      </x:c>
      <x:c r="G20" s="24" t="str">
        <x:v>Medium reef assoc. fish (30 - 89 cm)</x:v>
      </x:c>
      <x:c r="H20" s="24" t="str">
        <x:v>Perch-likes</x:v>
      </x:c>
      <x:c r="I20" s="31" t="n">
        <x:v>11.8413255528</x:v>
      </x:c>
      <x:c r="J20" s="31" t="n">
        <x:v>11.8413255528</x:v>
      </x:c>
      <x:c r="K20" s="31" t="n">
        <x:v>0</x:v>
      </x:c>
      <x:c r="L20" s="31" t="n">
        <x:v>11.616806178400001</x:v>
      </x:c>
      <x:c r="M20" s="31" t="n">
        <x:v>0.2245193744</x:v>
      </x:c>
      <x:c r="N20" s="24" t="str">
        <x:v>cephalopholis fulva</x:v>
      </x:c>
      <x:c r="O20" s="32" t="n">
        <x:v>4.05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Cephalopholis fulva</x:v>
      </x:c>
      <x:c r="T20" s="32" t="n">
        <x:f>IF(O20="","",(1/'Metadata'!$B$5)^(O20-1))</x:f>
        <x:v>1122.018454301963</x:v>
      </x:c>
      <x:c r="U20" s="31" t="n">
        <x:f>IF(T20="","",I20*T20)</x:f>
        <x:v>13286.185793638993</x:v>
      </x:c>
    </x:row>
    <x:row r="21" ht="18" customHeight="1">
      <x:c r="A21" s="24" t="str">
        <x:v>EEZ_906</x:v>
      </x:c>
      <x:c r="B21" s="24" t="str">
        <x:v>Curaçao (Netherlands)</x:v>
      </x:c>
      <x:c r="C21" s="24" t="str">
        <x:v>EEZ</x:v>
      </x:c>
      <x:c r="D21" s="30" t="n">
        <x:v>2019</x:v>
      </x:c>
      <x:c r="E21" s="24" t="str">
        <x:v>Istiophoridae</x:v>
      </x:c>
      <x:c r="F21" s="24" t="str">
        <x:v>Billfishes</x:v>
      </x:c>
      <x:c r="G21" s="24" t="str">
        <x:v>Large pelagics (&gt;=90 cm)</x:v>
      </x:c>
      <x:c r="H21" s="24" t="str">
        <x:v>Tuna &amp; billfishes</x:v>
      </x:c>
      <x:c r="I21" s="31" t="n">
        <x:v>9.811654385999999</x:v>
      </x:c>
      <x:c r="J21" s="31" t="n">
        <x:v>9.811654385999999</x:v>
      </x:c>
      <x:c r="K21" s="31" t="n">
        <x:v>0</x:v>
      </x:c>
      <x:c r="L21" s="31" t="n">
        <x:v>9.804265705999999</x:v>
      </x:c>
      <x:c r="M21" s="31" t="n">
        <x:v>0.00738868</x:v>
      </x:c>
      <x:c r="N21" s="24" t="str">
        <x:v>istiophoridae</x:v>
      </x:c>
      <x:c r="O21" s="32" t="n">
        <x:v>4.48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Istiophoridae</x:v>
      </x:c>
      <x:c r="T21" s="32" t="n">
        <x:f>IF(O21="","",(1/'Metadata'!$B$5)^(O21-1))</x:f>
        <x:v>3019.951720402019</x:v>
      </x:c>
      <x:c r="U21" s="31" t="n">
        <x:f>IF(T21="","",I21*T21)</x:f>
        <x:v>29630.722542990712</x:v>
      </x:c>
    </x:row>
    <x:row r="22" ht="18" customHeight="1">
      <x:c r="A22" s="24" t="str">
        <x:v>EEZ_906</x:v>
      </x:c>
      <x:c r="B22" s="24" t="str">
        <x:v>Curaçao (Netherlands)</x:v>
      </x:c>
      <x:c r="C22" s="24" t="str">
        <x:v>EEZ</x:v>
      </x:c>
      <x:c r="D22" s="30" t="n">
        <x:v>2019</x:v>
      </x:c>
      <x:c r="E22" s="24" t="str">
        <x:v>Katsuwonus pelamis</x:v>
      </x:c>
      <x:c r="F22" s="24" t="str">
        <x:v>Skipjack tuna</x:v>
      </x:c>
      <x:c r="G22" s="24" t="str">
        <x:v>Large pelagics (&gt;=90 cm)</x:v>
      </x:c>
      <x:c r="H22" s="24" t="str">
        <x:v>Tuna &amp; billfishes</x:v>
      </x:c>
      <x:c r="I22" s="31" t="n">
        <x:v>9.2563704478</x:v>
      </x:c>
      <x:c r="J22" s="31" t="n">
        <x:v>9.2563704478</x:v>
      </x:c>
      <x:c r="K22" s="31" t="n">
        <x:v>0</x:v>
      </x:c>
      <x:c r="L22" s="31" t="n">
        <x:v>9.2528626563</x:v>
      </x:c>
      <x:c r="M22" s="31" t="n">
        <x:v>0.0035077915</x:v>
      </x:c>
      <x:c r="N22" s="24" t="str">
        <x:v>katsuwonus pelamis</x:v>
      </x:c>
      <x:c r="O22" s="32" t="n">
        <x:v>4.43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Katsuwonus pelamis</x:v>
      </x:c>
      <x:c r="T22" s="32" t="n">
        <x:f>IF(O22="","",(1/'Metadata'!$B$5)^(O22-1))</x:f>
        <x:v>2691.534803926914</x:v>
      </x:c>
      <x:c r="U22" s="31" t="n">
        <x:f>IF(T22="","",I22*T22)</x:f>
        <x:v>24913.843218294252</x:v>
      </x:c>
    </x:row>
    <x:row r="23" ht="18" customHeight="1">
      <x:c r="A23" s="24" t="str">
        <x:v>EEZ_906</x:v>
      </x:c>
      <x:c r="B23" s="24" t="str">
        <x:v>Curaçao (Netherlands)</x:v>
      </x:c>
      <x:c r="C23" s="24" t="str">
        <x:v>EEZ</x:v>
      </x:c>
      <x:c r="D23" s="30" t="n">
        <x:v>2019</x:v>
      </x:c>
      <x:c r="E23" s="24" t="str">
        <x:v>Panulirus argus</x:v>
      </x:c>
      <x:c r="F23" s="24" t="str">
        <x:v>Caribbean spiny lobster</x:v>
      </x:c>
      <x:c r="G23" s="24" t="str">
        <x:v>Lobsters, crabs</x:v>
      </x:c>
      <x:c r="H23" s="24" t="str">
        <x:v>Crustaceans</x:v>
      </x:c>
      <x:c r="I23" s="31" t="n">
        <x:v>8.1639355778</x:v>
      </x:c>
      <x:c r="J23" s="31" t="n">
        <x:v>8.1639355778</x:v>
      </x:c>
      <x:c r="K23" s="31" t="n">
        <x:v>0</x:v>
      </x:c>
      <x:c r="L23" s="31" t="n">
        <x:v>8.111112679</x:v>
      </x:c>
      <x:c r="M23" s="31" t="n">
        <x:v>0.0528228988</x:v>
      </x:c>
      <x:c r="N23" s="24" t="str">
        <x:v>panulirus argus</x:v>
      </x:c>
      <x:c r="O23" s="32" t="n">
        <x:v>3.2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Panulirus argus</x:v>
      </x:c>
      <x:c r="T23" s="32" t="n">
        <x:f>IF(O23="","",(1/'Metadata'!$B$5)^(O23-1))</x:f>
        <x:v>158.48931924611142</x:v>
      </x:c>
      <x:c r="U23" s="31" t="n">
        <x:f>IF(T23="","",I23*T23)</x:f>
        <x:v>1293.8965920946314</x:v>
      </x:c>
    </x:row>
    <x:row r="24" ht="18" customHeight="1">
      <x:c r="A24" s="24" t="str">
        <x:v>EEZ_906</x:v>
      </x:c>
      <x:c r="B24" s="24" t="str">
        <x:v>Curaçao (Netherlands)</x:v>
      </x:c>
      <x:c r="C24" s="24" t="str">
        <x:v>EEZ</x:v>
      </x:c>
      <x:c r="D24" s="30" t="n">
        <x:v>2019</x:v>
      </x:c>
      <x:c r="E24" s="24" t="str">
        <x:v>Scombridae</x:v>
      </x:c>
      <x:c r="F24" s="24" t="str">
        <x:v>Mackerels, tunas, bonitos</x:v>
      </x:c>
      <x:c r="G24" s="24" t="str">
        <x:v>Medium pelagics (30 - 89 cm)</x:v>
      </x:c>
      <x:c r="H24" s="24" t="str">
        <x:v>Perch-likes</x:v>
      </x:c>
      <x:c r="I24" s="31" t="n">
        <x:v>8.1316673384</x:v>
      </x:c>
      <x:c r="J24" s="31" t="n">
        <x:v>8.1316673384</x:v>
      </x:c>
      <x:c r="K24" s="31" t="n">
        <x:v>0</x:v>
      </x:c>
      <x:c r="L24" s="31" t="n">
        <x:v>7.4463669232</x:v>
      </x:c>
      <x:c r="M24" s="31" t="n">
        <x:v>0.6853004152</x:v>
      </x:c>
      <x:c r="N24" s="24" t="str">
        <x:v>scombridae</x:v>
      </x:c>
      <x:c r="O24" s="32" t="n">
        <x:v>4.26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Scombridae</x:v>
      </x:c>
      <x:c r="T24" s="32" t="n">
        <x:f>IF(O24="","",(1/'Metadata'!$B$5)^(O24-1))</x:f>
        <x:v>1819.7008586099826</x:v>
      </x:c>
      <x:c r="U24" s="31" t="n">
        <x:f>IF(T24="","",I24*T24)</x:f>
        <x:v>14797.202037617231</x:v>
      </x:c>
    </x:row>
    <x:row r="25" ht="18" customHeight="1">
      <x:c r="A25" s="24" t="str">
        <x:v>EEZ_906</x:v>
      </x:c>
      <x:c r="B25" s="24" t="str">
        <x:v>Curaçao (Netherlands)</x:v>
      </x:c>
      <x:c r="C25" s="24" t="str">
        <x:v>EEZ</x:v>
      </x:c>
      <x:c r="D25" s="30" t="n">
        <x:v>2019</x:v>
      </x:c>
      <x:c r="E25" s="24" t="str">
        <x:v>Carcharhinidae</x:v>
      </x:c>
      <x:c r="F25" s="24" t="str">
        <x:v>Requiem sharks</x:v>
      </x:c>
      <x:c r="G25" s="24" t="str">
        <x:v>Large sharks (&gt;=90 cm)</x:v>
      </x:c>
      <x:c r="H25" s="24" t="str">
        <x:v>Sharks &amp; rays</x:v>
      </x:c>
      <x:c r="I25" s="31" t="n">
        <x:v>7.8458636941</x:v>
      </x:c>
      <x:c r="J25" s="31" t="n">
        <x:v>7.8458636941</x:v>
      </x:c>
      <x:c r="K25" s="31" t="n">
        <x:v>0</x:v>
      </x:c>
      <x:c r="L25" s="31" t="n">
        <x:v>7.7029877284</x:v>
      </x:c>
      <x:c r="M25" s="31" t="n">
        <x:v>0.1428759657</x:v>
      </x:c>
      <x:c r="N25" s="24" t="str">
        <x:v>carcharhinidae</x:v>
      </x:c>
      <x:c r="O25" s="32" t="n">
        <x:v>4.24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Carcharhinidae</x:v>
      </x:c>
      <x:c r="T25" s="32" t="n">
        <x:f>IF(O25="","",(1/'Metadata'!$B$5)^(O25-1))</x:f>
        <x:v>1737.8008287493763</x:v>
      </x:c>
      <x:c r="U25" s="31" t="n">
        <x:f>IF(T25="","",I25*T25)</x:f>
        <x:v>13634.548429861623</x:v>
      </x:c>
    </x:row>
    <x:row r="26" ht="18" customHeight="1">
      <x:c r="A26" s="24" t="str">
        <x:v>EEZ_906</x:v>
      </x:c>
      <x:c r="B26" s="24" t="str">
        <x:v>Curaçao (Netherlands)</x:v>
      </x:c>
      <x:c r="C26" s="24" t="str">
        <x:v>EEZ</x:v>
      </x:c>
      <x:c r="D26" s="30" t="n">
        <x:v>2019</x:v>
      </x:c>
      <x:c r="E26" s="24" t="str">
        <x:v>Isurus oxyrinchus</x:v>
      </x:c>
      <x:c r="F26" s="24" t="str">
        <x:v>Shortfin mako</x:v>
      </x:c>
      <x:c r="G26" s="24" t="str">
        <x:v>Large sharks (&gt;=90 cm)</x:v>
      </x:c>
      <x:c r="H26" s="24" t="str">
        <x:v>Sharks &amp; rays</x:v>
      </x:c>
      <x:c r="I26" s="31" t="n">
        <x:v>7.3887937982</x:v>
      </x:c>
      <x:c r="J26" s="31" t="n">
        <x:v>7.3887937982</x:v>
      </x:c>
      <x:c r="K26" s="31" t="n">
        <x:v>0</x:v>
      </x:c>
      <x:c r="L26" s="31" t="n">
        <x:v>7.3887937982</x:v>
      </x:c>
      <x:c r="M26" s="31" t="n">
        <x:v>0</x:v>
      </x:c>
      <x:c r="N26" s="24" t="str">
        <x:v>isurus oxyrinchus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Isurus oxyrinchus</x:v>
      </x:c>
      <x:c r="T26" s="32" t="n">
        <x:f>IF(O26="","",(1/'Metadata'!$B$5)^(O26-1))</x:f>
        <x:v>3162.2776601683795</x:v>
      </x:c>
      <x:c r="U26" s="31" t="n">
        <x:f>IF(T26="","",I26*T26)</x:f>
        <x:v>23365.41756363853</x:v>
      </x:c>
    </x:row>
    <x:row r="27" ht="18" customHeight="1">
      <x:c r="A27" s="24" t="str">
        <x:v>EEZ_906</x:v>
      </x:c>
      <x:c r="B27" s="24" t="str">
        <x:v>Curaçao (Netherlands)</x:v>
      </x:c>
      <x:c r="C27" s="24" t="str">
        <x:v>EEZ</x:v>
      </x:c>
      <x:c r="D27" s="30" t="n">
        <x:v>2019</x:v>
      </x:c>
      <x:c r="E27" s="24" t="str">
        <x:v>Istiophorus albicans</x:v>
      </x:c>
      <x:c r="F27" s="24" t="str">
        <x:v>Atlantic sailfish</x:v>
      </x:c>
      <x:c r="G27" s="24" t="str">
        <x:v>Large pelagics (&gt;=90 cm)</x:v>
      </x:c>
      <x:c r="H27" s="24" t="str">
        <x:v>Tuna &amp; billfishes</x:v>
      </x:c>
      <x:c r="I27" s="31" t="n">
        <x:v>5.2388985067</x:v>
      </x:c>
      <x:c r="J27" s="31" t="n">
        <x:v>5.2388985067</x:v>
      </x:c>
      <x:c r="K27" s="31" t="n">
        <x:v>0</x:v>
      </x:c>
      <x:c r="L27" s="31" t="n">
        <x:v>4.5592358355</x:v>
      </x:c>
      <x:c r="M27" s="31" t="n">
        <x:v>0.6796626712</x:v>
      </x:c>
      <x:c r="N27" s="24" t="str">
        <x:v>istiophorus albicans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Istiophorus albicans</x:v>
      </x:c>
      <x:c r="T27" s="32" t="n">
        <x:f>IF(O27="","",(1/'Metadata'!$B$5)^(O27-1))</x:f>
        <x:v>3162.2776601683795</x:v>
      </x:c>
      <x:c r="U27" s="31" t="n">
        <x:f>IF(T27="","",I27*T27)</x:f>
        <x:v>16566.851711626892</x:v>
      </x:c>
    </x:row>
    <x:row r="28" ht="18" customHeight="1">
      <x:c r="A28" s="24" t="str">
        <x:v>EEZ_906</x:v>
      </x:c>
      <x:c r="B28" s="24" t="str">
        <x:v>Curaçao (Netherlands)</x:v>
      </x:c>
      <x:c r="C28" s="24" t="str">
        <x:v>EEZ</x:v>
      </x:c>
      <x:c r="D28" s="30" t="n">
        <x:v>2019</x:v>
      </x:c>
      <x:c r="E28" s="24" t="str">
        <x:v>Decapterus punctatus</x:v>
      </x:c>
      <x:c r="F28" s="24" t="str">
        <x:v>Round scad</x:v>
      </x:c>
      <x:c r="G28" s="24" t="str">
        <x:v>Medium benthopelagics (30 - 89 cm)</x:v>
      </x:c>
      <x:c r="H28" s="24" t="str">
        <x:v>Perch-likes</x:v>
      </x:c>
      <x:c r="I28" s="31" t="n">
        <x:v>5.064768347199999</x:v>
      </x:c>
      <x:c r="J28" s="31" t="n">
        <x:v>5.064768347199999</x:v>
      </x:c>
      <x:c r="K28" s="31" t="n">
        <x:v>0</x:v>
      </x:c>
      <x:c r="L28" s="31" t="n">
        <x:v>4.970037940799999</x:v>
      </x:c>
      <x:c r="M28" s="31" t="n">
        <x:v>0.0947304064</x:v>
      </x:c>
      <x:c r="N28" s="24" t="str">
        <x:v>decapterus punctatus</x:v>
      </x:c>
      <x:c r="O28" s="32" t="n">
        <x:v>4.43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Decapterus punctatus</x:v>
      </x:c>
      <x:c r="T28" s="32" t="n">
        <x:f>IF(O28="","",(1/'Metadata'!$B$5)^(O28-1))</x:f>
        <x:v>2691.534803926914</x:v>
      </x:c>
      <x:c r="U28" s="31" t="n">
        <x:f>IF(T28="","",I28*T28)</x:f>
        <x:v>13632.00028031619</x:v>
      </x:c>
    </x:row>
    <x:row r="29" ht="18" customHeight="1">
      <x:c r="A29" s="24" t="str">
        <x:v>EEZ_906</x:v>
      </x:c>
      <x:c r="B29" s="24" t="str">
        <x:v>Curaçao (Netherlands)</x:v>
      </x:c>
      <x:c r="C29" s="24" t="str">
        <x:v>EEZ</x:v>
      </x:c>
      <x:c r="D29" s="30" t="n">
        <x:v>2019</x:v>
      </x:c>
      <x:c r="E29" s="24" t="str">
        <x:v>Makaira nigricans</x:v>
      </x:c>
      <x:c r="F29" s="24" t="str">
        <x:v>Blue marlin</x:v>
      </x:c>
      <x:c r="G29" s="24" t="str">
        <x:v>Large pelagics (&gt;=90 cm)</x:v>
      </x:c>
      <x:c r="H29" s="24" t="str">
        <x:v>Tuna &amp; billfishes</x:v>
      </x:c>
      <x:c r="I29" s="31" t="n">
        <x:v>4.0506948968000005</x:v>
      </x:c>
      <x:c r="J29" s="31" t="n">
        <x:v>4.0506948968000005</x:v>
      </x:c>
      <x:c r="K29" s="31" t="n">
        <x:v>0</x:v>
      </x:c>
      <x:c r="L29" s="31" t="n">
        <x:v>3.3710322256000005</x:v>
      </x:c>
      <x:c r="M29" s="31" t="n">
        <x:v>0.6796626712</x:v>
      </x:c>
      <x:c r="N29" s="24" t="str">
        <x:v>makaira nigricans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Makaira nigricans</x:v>
      </x:c>
      <x:c r="T29" s="32" t="n">
        <x:f>IF(O29="","",(1/'Metadata'!$B$5)^(O29-1))</x:f>
        <x:v>3090.295432513592</x:v>
      </x:c>
      <x:c r="U29" s="31" t="n">
        <x:f>IF(T29="","",I29*T29)</x:f>
        <x:v>12517.843938087157</x:v>
      </x:c>
    </x:row>
    <x:row r="30" ht="18" customHeight="1">
      <x:c r="A30" s="24" t="str">
        <x:v>EEZ_906</x:v>
      </x:c>
      <x:c r="B30" s="24" t="str">
        <x:v>Curaçao (Netherlands)</x:v>
      </x:c>
      <x:c r="C30" s="24" t="str">
        <x:v>EEZ</x:v>
      </x:c>
      <x:c r="D30" s="30" t="n">
        <x:v>2019</x:v>
      </x:c>
      <x:c r="E30" s="24" t="str">
        <x:v>Prionace glauca</x:v>
      </x:c>
      <x:c r="F30" s="24" t="str">
        <x:v>Blue shark</x:v>
      </x:c>
      <x:c r="G30" s="24" t="str">
        <x:v>Large sharks (&gt;=90 cm)</x:v>
      </x:c>
      <x:c r="H30" s="24" t="str">
        <x:v>Sharks &amp; rays</x:v>
      </x:c>
      <x:c r="I30" s="31" t="n">
        <x:v>3.1497399580000005</x:v>
      </x:c>
      <x:c r="J30" s="31" t="n">
        <x:v>3.1497399580000005</x:v>
      </x:c>
      <x:c r="K30" s="31" t="n">
        <x:v>0</x:v>
      </x:c>
      <x:c r="L30" s="31" t="n">
        <x:v>3.1497399580000005</x:v>
      </x:c>
      <x:c r="M30" s="31" t="n">
        <x:v>0</x:v>
      </x:c>
      <x:c r="N30" s="24" t="str">
        <x:v>prionace glauca</x:v>
      </x:c>
      <x:c r="O30" s="32" t="n">
        <x:v>4.35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Prionace glauca</x:v>
      </x:c>
      <x:c r="T30" s="32" t="n">
        <x:f>IF(O30="","",(1/'Metadata'!$B$5)^(O30-1))</x:f>
        <x:v>2238.7211385683377</x:v>
      </x:c>
      <x:c r="U30" s="31" t="n">
        <x:f>IF(T30="","",I30*T30)</x:f>
        <x:v>7051.389424967949</x:v>
      </x:c>
    </x:row>
    <x:row r="31" ht="18" customHeight="1">
      <x:c r="A31" s="24" t="str">
        <x:v>EEZ_906</x:v>
      </x:c>
      <x:c r="B31" s="24" t="str">
        <x:v>Curaçao (Netherlands)</x:v>
      </x:c>
      <x:c r="C31" s="24" t="str">
        <x:v>EEZ</x:v>
      </x:c>
      <x:c r="D31" s="30" t="n">
        <x:v>2019</x:v>
      </x:c>
      <x:c r="E31" s="24" t="str">
        <x:v>Serranidae</x:v>
      </x:c>
      <x:c r="F31" s="24" t="str">
        <x:v>Basses, groupers, hinds</x:v>
      </x:c>
      <x:c r="G31" s="24" t="str">
        <x:v>Medium reef assoc. fish (30 - 89 cm)</x:v>
      </x:c>
      <x:c r="H31" s="24" t="str">
        <x:v>Perch-likes</x:v>
      </x:c>
      <x:c r="I31" s="31" t="n">
        <x:v>2.1483998278</x:v>
      </x:c>
      <x:c r="J31" s="31" t="n">
        <x:v>2.1483998278</x:v>
      </x:c>
      <x:c r="K31" s="31" t="n">
        <x:v>0</x:v>
      </x:c>
      <x:c r="L31" s="31" t="n">
        <x:v>2.1075781235</x:v>
      </x:c>
      <x:c r="M31" s="31" t="n">
        <x:v>0.0408217043</x:v>
      </x:c>
      <x:c r="N31" s="24" t="str">
        <x:v>serranidae</x:v>
      </x:c>
      <x:c r="O31" s="32" t="n">
        <x:v>3.98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Serranidae</x:v>
      </x:c>
      <x:c r="T31" s="32" t="n">
        <x:f>IF(O31="","",(1/'Metadata'!$B$5)^(O31-1))</x:f>
        <x:v>954.992586021436</x:v>
      </x:c>
      <x:c r="U31" s="31" t="n">
        <x:f>IF(T31="","",I31*T31)</x:f>
        <x:v>2051.7059073587297</x:v>
      </x:c>
    </x:row>
    <x:row r="32" ht="18" customHeight="1">
      <x:c r="A32" s="24" t="str">
        <x:v>EEZ_906</x:v>
      </x:c>
      <x:c r="B32" s="24" t="str">
        <x:v>Curaçao (Netherlands)</x:v>
      </x:c>
      <x:c r="C32" s="24" t="str">
        <x:v>EEZ</x:v>
      </x:c>
      <x:c r="D32" s="30" t="n">
        <x:v>2019</x:v>
      </x:c>
      <x:c r="E32" s="24" t="str">
        <x:v>Kajikia albida</x:v>
      </x:c>
      <x:c r="F32" s="24" t="str">
        <x:v>Atlantic white marlin</x:v>
      </x:c>
      <x:c r="G32" s="24" t="str">
        <x:v>Large pelagics (&gt;=90 cm)</x:v>
      </x:c>
      <x:c r="H32" s="24" t="str">
        <x:v>Tuna &amp; billfishes</x:v>
      </x:c>
      <x:c r="I32" s="31" t="n">
        <x:v>1.3527730949</x:v>
      </x:c>
      <x:c r="J32" s="31" t="n">
        <x:v>1.3527730949</x:v>
      </x:c>
      <x:c r="K32" s="31" t="n">
        <x:v>0</x:v>
      </x:c>
      <x:c r="L32" s="31" t="n">
        <x:v>0.6731104237000001</x:v>
      </x:c>
      <x:c r="M32" s="31" t="n">
        <x:v>0.6796626712</x:v>
      </x:c>
      <x:c r="N32" s="24" t="str">
        <x:v>kajikia albida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Kajikia albida</x:v>
      </x:c>
      <x:c r="T32" s="32" t="n">
        <x:f>IF(O32="","",(1/'Metadata'!$B$5)^(O32-1))</x:f>
        <x:v>3090.295432513592</x:v>
      </x:c>
      <x:c r="U32" s="31" t="n">
        <x:f>IF(T32="","",I32*T32)</x:f>
        <x:v>4180.468516396746</x:v>
      </x:c>
    </x:row>
    <x:row r="33" ht="18" customHeight="1">
      <x:c r="A33" s="24" t="str">
        <x:v>EEZ_906</x:v>
      </x:c>
      <x:c r="B33" s="24" t="str">
        <x:v>Curaçao (Netherlands)</x:v>
      </x:c>
      <x:c r="C33" s="24" t="str">
        <x:v>EEZ</x:v>
      </x:c>
      <x:c r="D33" s="30" t="n">
        <x:v>2019</x:v>
      </x:c>
      <x:c r="E33" s="24" t="str">
        <x:v>Sphyraena</x:v>
      </x:c>
      <x:c r="F33" s="24" t="str">
        <x:v>Barracudas, sennets</x:v>
      </x:c>
      <x:c r="G33" s="24" t="str">
        <x:v>Large pelagics (&gt;=90 cm)</x:v>
      </x:c>
      <x:c r="H33" s="24" t="str">
        <x:v>Perch-likes</x:v>
      </x:c>
      <x:c r="I33" s="31" t="n">
        <x:v>0.6796626712</x:v>
      </x:c>
      <x:c r="J33" s="31" t="n">
        <x:v>0.6796626712</x:v>
      </x:c>
      <x:c r="K33" s="31" t="n">
        <x:v>0</x:v>
      </x:c>
      <x:c r="L33" s="31" t="n">
        <x:v>0</x:v>
      </x:c>
      <x:c r="M33" s="31" t="n">
        <x:v>0.6796626712</x:v>
      </x:c>
      <x:c r="N33" s="24" t="str">
        <x:v>sphyraena</x:v>
      </x:c>
      <x:c r="O33" s="32" t="n">
        <x:v>4.4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Sphyraena</x:v>
      </x:c>
      <x:c r="T33" s="32" t="n">
        <x:f>IF(O33="","",(1/'Metadata'!$B$5)^(O33-1))</x:f>
        <x:v>2511.886431509582</x:v>
      </x:c>
      <x:c r="U33" s="31" t="n">
        <x:f>IF(T33="","",I33*T33)</x:f>
        <x:v>1707.2354417908384</x:v>
      </x:c>
    </x:row>
    <x:row r="34" ht="18" customHeight="1">
      <x:c r="A34" s="24" t="str">
        <x:v>EEZ_906</x:v>
      </x:c>
      <x:c r="B34" s="24" t="str">
        <x:v>Curaçao (Netherlands)</x:v>
      </x:c>
      <x:c r="C34" s="24" t="str">
        <x:v>EEZ</x:v>
      </x:c>
      <x:c r="D34" s="30" t="n">
        <x:v>2019</x:v>
      </x:c>
      <x:c r="E34" s="24" t="str">
        <x:v>Isurus paucus</x:v>
      </x:c>
      <x:c r="F34" s="24" t="str">
        <x:v>Longfin mako</x:v>
      </x:c>
      <x:c r="G34" s="24" t="str">
        <x:v>Large sharks (&gt;=90 cm)</x:v>
      </x:c>
      <x:c r="H34" s="24" t="str">
        <x:v>Sharks &amp; rays</x:v>
      </x:c>
      <x:c r="I34" s="31" t="n">
        <x:v>0.4023438658</x:v>
      </x:c>
      <x:c r="J34" s="31" t="n">
        <x:v>0.4023438658</x:v>
      </x:c>
      <x:c r="K34" s="31" t="n">
        <x:v>0</x:v>
      </x:c>
      <x:c r="L34" s="31" t="n">
        <x:v>0.4023438658</x:v>
      </x:c>
      <x:c r="M34" s="31" t="n">
        <x:v>0</x:v>
      </x:c>
      <x:c r="N34" s="24" t="str">
        <x:v>isurus paucus</x:v>
      </x:c>
      <x:c r="O34" s="32" t="n">
        <x:v>4.51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Isurus paucus</x:v>
      </x:c>
      <x:c r="T34" s="32" t="n">
        <x:f>IF(O34="","",(1/'Metadata'!$B$5)^(O34-1))</x:f>
        <x:v>3235.936569296281</x:v>
      </x:c>
      <x:c r="U34" s="31" t="n">
        <x:f>IF(T34="","",I34*T34)</x:f>
        <x:v>1301.9592287742553</x:v>
      </x:c>
    </x:row>
    <x:row r="35" ht="18" customHeight="1">
      <x:c r="A35" s="24" t="str">
        <x:v>EEZ_906</x:v>
      </x:c>
      <x:c r="B35" s="24" t="str">
        <x:v>Curaçao (Netherlands)</x:v>
      </x:c>
      <x:c r="C35" s="24" t="str">
        <x:v>EEZ</x:v>
      </x:c>
      <x:c r="D35" s="30" t="n">
        <x:v>2019</x:v>
      </x:c>
      <x:c r="E35" s="24" t="str">
        <x:v>Galeocerdo cuvier</x:v>
      </x:c>
      <x:c r="F35" s="24" t="str">
        <x:v>Tiger shark</x:v>
      </x:c>
      <x:c r="G35" s="24" t="str">
        <x:v>Large sharks (&gt;=90 cm)</x:v>
      </x:c>
      <x:c r="H35" s="24" t="str">
        <x:v>Sharks &amp; rays</x:v>
      </x:c>
      <x:c r="I35" s="31" t="n">
        <x:v>0.0986702034</x:v>
      </x:c>
      <x:c r="J35" s="31" t="n">
        <x:v>0.0986702034</x:v>
      </x:c>
      <x:c r="K35" s="31" t="n">
        <x:v>0</x:v>
      </x:c>
      <x:c r="L35" s="31" t="n">
        <x:v>0.0986702034</x:v>
      </x:c>
      <x:c r="M35" s="31" t="n">
        <x:v>0</x:v>
      </x:c>
      <x:c r="N35" s="24" t="str">
        <x:v>galeocerdo cuvier</x:v>
      </x:c>
      <x:c r="O35" s="32" t="n">
        <x:v>4.54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Galeocerdo cuvier</x:v>
      </x:c>
      <x:c r="T35" s="32" t="n">
        <x:f>IF(O35="","",(1/'Metadata'!$B$5)^(O35-1))</x:f>
        <x:v>3467.368504525317</x:v>
      </x:c>
      <x:c r="U35" s="31" t="n">
        <x:f>IF(T35="","",I35*T35)</x:f>
        <x:v>342.12595560426684</x:v>
      </x:c>
    </x:row>
    <x:row r="36" ht="18" customHeight="1">
      <x:c r="A36" s="24" t="str">
        <x:v>EEZ_906</x:v>
      </x:c>
      <x:c r="B36" s="24" t="str">
        <x:v>Curaçao (Netherlands)</x:v>
      </x:c>
      <x:c r="C36" s="24" t="str">
        <x:v>EEZ</x:v>
      </x:c>
      <x:c r="D36" s="30" t="n">
        <x:v>2019</x:v>
      </x:c>
      <x:c r="E36" s="24" t="str">
        <x:v>Tetrapturus pfluegeri</x:v>
      </x:c>
      <x:c r="F36" s="24" t="str">
        <x:v>Longbill spearfish</x:v>
      </x:c>
      <x:c r="G36" s="24" t="str">
        <x:v>Large pelagics (&gt;=90 cm)</x:v>
      </x:c>
      <x:c r="H36" s="24" t="str">
        <x:v>Tuna &amp; billfishes</x:v>
      </x:c>
      <x:c r="I36" s="31" t="n">
        <x:v>0.0587499476</x:v>
      </x:c>
      <x:c r="J36" s="31" t="n">
        <x:v>0.0587499476</x:v>
      </x:c>
      <x:c r="K36" s="31" t="n">
        <x:v>0</x:v>
      </x:c>
      <x:c r="L36" s="31" t="n">
        <x:v>0.0587499476</x:v>
      </x:c>
      <x:c r="M36" s="31" t="n">
        <x:v>0</x:v>
      </x:c>
      <x:c r="N36" s="24" t="str">
        <x:v>tetrapturus pfluegeri</x:v>
      </x:c>
      <x:c r="O36" s="32" t="n">
        <x:v>4.4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Tetrapturus pfluegeri</x:v>
      </x:c>
      <x:c r="T36" s="32" t="n">
        <x:f>IF(O36="","",(1/'Metadata'!$B$5)^(O36-1))</x:f>
        <x:v>2511.886431509582</x:v>
      </x:c>
      <x:c r="U36" s="31" t="n">
        <x:f>IF(T36="","",I36*T36)</x:f>
        <x:v>147.57319622833893</x:v>
      </x:c>
    </x:row>
    <x:row r="37" ht="18" customHeight="1">
      <x:c r="A37" s="24" t="str">
        <x:v>EEZ_906</x:v>
      </x:c>
      <x:c r="B37" s="24" t="str">
        <x:v>Curaçao (Netherlands)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0.0303946062</x:v>
      </x:c>
      <x:c r="J37" s="31" t="n">
        <x:v>0.0303946062</x:v>
      </x:c>
      <x:c r="K37" s="31" t="n">
        <x:v>0</x:v>
      </x:c>
      <x:c r="L37" s="31" t="n">
        <x:v>0.0303946062</x:v>
      </x:c>
      <x:c r="M37" s="31" t="n">
        <x:v>0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34.10330906764086</x:v>
      </x:c>
    </x:row>
    <x:row r="38" ht="18" customHeight="1">
      <x:c r="A38" s="24" t="str">
        <x:v>EEZ_906</x:v>
      </x:c>
      <x:c r="B38" s="24" t="str">
        <x:v>Curaçao (Netherlands)</x:v>
      </x:c>
      <x:c r="C38" s="24" t="str">
        <x:v>EEZ</x:v>
      </x:c>
      <x:c r="D38" s="30" t="n">
        <x:v>2019</x:v>
      </x:c>
      <x:c r="E38" s="24" t="str">
        <x:v>Carcharhinus</x:v>
      </x:c>
      <x:c r="F38" s="24" t="str">
        <x:v>Sharp-nosed sharks</x:v>
      </x:c>
      <x:c r="G38" s="24" t="str">
        <x:v>Large sharks (&gt;=90 cm)</x:v>
      </x:c>
      <x:c r="H38" s="24" t="str">
        <x:v>Sharks &amp; rays</x:v>
      </x:c>
      <x:c r="I38" s="31" t="n">
        <x:v>0.0122162459</x:v>
      </x:c>
      <x:c r="J38" s="31" t="n">
        <x:v>0.0122162459</x:v>
      </x:c>
      <x:c r="K38" s="31" t="n">
        <x:v>0</x:v>
      </x:c>
      <x:c r="L38" s="31" t="n">
        <x:v>0.0122162459</x:v>
      </x:c>
      <x:c r="M38" s="31" t="n">
        <x:v>0</x:v>
      </x:c>
      <x:c r="N38" s="24" t="str">
        <x:v>carcharhinus</x:v>
      </x:c>
      <x:c r="O38" s="32" t="n">
        <x:v>4.26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Carcharhinus</x:v>
      </x:c>
      <x:c r="T38" s="32" t="n">
        <x:f>IF(O38="","",(1/'Metadata'!$B$5)^(O38-1))</x:f>
        <x:v>1819.7008586099826</x:v>
      </x:c>
      <x:c r="U38" s="31" t="n">
        <x:f>IF(T38="","",I38*T38)</x:f>
        <x:v>22.22991315322068</x:v>
      </x:c>
    </x:row>
  </x:sheetData>
  <x:conditionalFormatting sqref="R2:R3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25bca26959e40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8.1639355778</x:v>
      </x:c>
      <x:c r="E2" s="31" t="n">
        <x:v>8.1639355778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IF(C2=0,"",SUMIF('Species'!$H$2:$H$38,A2,'Species'!$U$2:$U$38))</x:f>
        <x:v>1293.8965920946314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1293.8965920946314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55.2507523645</x:v>
      </x:c>
      <x:c r="E3" s="31" t="n">
        <x:v>55.2507523645</x:v>
      </x:c>
      <x:c r="F3" s="32" t="n">
        <x:v>0</x:v>
      </x:c>
      <x:c r="G3" s="34" t="n">
        <x:v>1</x:v>
      </x:c>
      <x:c r="H3" s="32" t="n">
        <x:f>IF(E3=0,"",I3/E3)</x:f>
        <x:v>15.488166189124811</x:v>
      </x:c>
      <x:c r="I3" s="31" t="n">
        <x:f>IF(C3=0,"",SUMIF('Species'!$H$2:$H$38,A3,'Species'!$U$2:$U$38))</x:f>
        <x:v>855.7328346955567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855.7328346955567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2</x:v>
      </x:c>
      <x:c r="C4" s="33" t="n">
        <x:v>2</x:v>
      </x:c>
      <x:c r="D4" s="31" t="n">
        <x:v>1889.5092805262002</x:v>
      </x:c>
      <x:c r="E4" s="31" t="n">
        <x:v>1889.5092805262002</x:v>
      </x:c>
      <x:c r="F4" s="32" t="n">
        <x:v>0</x:v>
      </x:c>
      <x:c r="G4" s="34" t="n">
        <x:v>1</x:v>
      </x:c>
      <x:c r="H4" s="32" t="n">
        <x:f>IF(E4=0,"",I4/E4)</x:f>
        <x:v>219.3711519823966</x:v>
      </x:c>
      <x:c r="I4" s="31" t="n">
        <x:f>IF(C4=0,"",SUMIF('Species'!$H$2:$H$38,A4,'Species'!$U$2:$U$38))</x:f>
        <x:v>414503.8275504619</x:v>
      </x:c>
      <x:c r="J4" s="32" t="n">
        <x:v>3.3405459120936545</x:v>
      </x:c>
      <x:c r="K4" s="32" t="n">
        <x:f>IF(J4="","",(1/'Metadata'!$B$5)^(J4-1))</x:f>
        <x:v>219.05133892423723</x:v>
      </x:c>
      <x:c r="L4" s="31" t="n">
        <x:f>IF(E4=0,"",E4*K4)</x:f>
        <x:v>413899.5378090363</x:v>
      </x:c>
      <x:c r="M4" s="31" t="n">
        <x:f>IF(E4=0,"",I4-L4)</x:f>
        <x:v>604.2897414256004</x:v>
      </x:c>
      <x:c r="N4" s="32" t="n">
        <x:f>IF(L4=0,"",I4/L4)</x:f>
        <x:v>1.0014599913414362</x:v>
      </x:c>
      <x:c r="O4" s="34" t="n">
        <x:f>IF(L4=0,"",M4/L4)</x:f>
        <x:v>0.0014599913414361089</x:v>
      </x:c>
    </x:row>
    <x:row r="5" ht="18" customHeight="1">
      <x:c r="A5" s="24" t="str">
        <x:v>Perch-likes</x:v>
      </x:c>
      <x:c r="B5" s="33" t="n">
        <x:v>12</x:v>
      </x:c>
      <x:c r="C5" s="33" t="n">
        <x:v>12</x:v>
      </x:c>
      <x:c r="D5" s="31" t="n">
        <x:v>1542.3615050091998</x:v>
      </x:c>
      <x:c r="E5" s="31" t="n">
        <x:v>1542.3615050091998</x:v>
      </x:c>
      <x:c r="F5" s="32" t="n">
        <x:v>0</x:v>
      </x:c>
      <x:c r="G5" s="34" t="n">
        <x:v>1</x:v>
      </x:c>
      <x:c r="H5" s="32" t="n">
        <x:f>IF(E5=0,"",I5/E5)</x:f>
        <x:v>2379.991515592909</x:v>
      </x:c>
      <x:c r="I5" s="31" t="n">
        <x:f>IF(C5=0,"",SUMIF('Species'!$H$2:$H$38,A5,'Species'!$U$2:$U$38))</x:f>
        <x:v>3670807.295899005</x:v>
      </x:c>
      <x:c r="J5" s="32" t="n">
        <x:v>4.371146349348323</x:v>
      </x:c>
      <x:c r="K5" s="32" t="n">
        <x:f>IF(J5="","",(1/'Metadata'!$B$5)^(J5-1))</x:f>
        <x:v>2350.424737834301</x:v>
      </x:c>
      <x:c r="L5" s="31" t="n">
        <x:f>IF(E5=0,"",E5*K5)</x:f>
        <x:v>3625204.6360569666</x:v>
      </x:c>
      <x:c r="M5" s="31" t="n">
        <x:f>IF(E5=0,"",I5-L5)</x:f>
        <x:v>45602.65984203853</x:v>
      </x:c>
      <x:c r="N5" s="32" t="n">
        <x:f>IF(L5=0,"",I5/L5)</x:f>
        <x:v>1.0125793339742717</x:v>
      </x:c>
      <x:c r="O5" s="34" t="n">
        <x:f>IF(L5=0,"",M5/L5)</x:f>
        <x:v>0.01257933397427166</x:v>
      </x:c>
    </x:row>
    <x:row r="6" ht="18" customHeight="1">
      <x:c r="A6" s="24" t="str">
        <x:v>Sharks &amp; rays</x:v>
      </x:c>
      <x:c r="B6" s="33" t="n">
        <x:v>7</x:v>
      </x:c>
      <x:c r="C6" s="33" t="n">
        <x:v>7</x:v>
      </x:c>
      <x:c r="D6" s="31" t="n">
        <x:v>18.9280223716</x:v>
      </x:c>
      <x:c r="E6" s="31" t="n">
        <x:v>18.9280223716</x:v>
      </x:c>
      <x:c r="F6" s="32" t="n">
        <x:v>0</x:v>
      </x:c>
      <x:c r="G6" s="34" t="n">
        <x:v>1</x:v>
      </x:c>
      <x:c r="H6" s="32" t="n">
        <x:f>IF(E6=0,"",I6/E6)</x:f>
        <x:v>2417.1449571886815</x:v>
      </x:c>
      <x:c r="I6" s="31" t="n">
        <x:f>IF(C6=0,"",SUMIF('Species'!$H$2:$H$38,A6,'Species'!$U$2:$U$38))</x:f>
        <x:v>45751.77382506749</x:v>
      </x:c>
      <x:c r="J6" s="32" t="n">
        <x:v>4.366809921835227</x:v>
      </x:c>
      <x:c r="K6" s="32" t="n">
        <x:f>IF(J6="","",(1/'Metadata'!$B$5)^(J6-1))</x:f>
        <x:v>2327.0725422374003</x:v>
      </x:c>
      <x:c r="L6" s="31" t="n">
        <x:f>IF(E6=0,"",E6*K6)</x:f>
        <x:v>44046.8811398056</x:v>
      </x:c>
      <x:c r="M6" s="31" t="n">
        <x:f>IF(E6=0,"",I6-L6)</x:f>
        <x:v>1704.8926852618897</x:v>
      </x:c>
      <x:c r="N6" s="32" t="n">
        <x:f>IF(L6=0,"",I6/L6)</x:f>
        <x:v>1.0387063202012086</x:v>
      </x:c>
      <x:c r="O6" s="34" t="n">
        <x:f>IF(L6=0,"",M6/L6)</x:f>
        <x:v>0.03870632020120856</x:v>
      </x:c>
    </x:row>
    <x:row r="7" ht="18" customHeight="1">
      <x:c r="A7" s="24" t="str">
        <x:v>Tuna &amp; billfishes</x:v>
      </x:c>
      <x:c r="B7" s="33" t="n">
        <x:v>14</x:v>
      </x:c>
      <x:c r="C7" s="33" t="n">
        <x:v>14</x:v>
      </x:c>
      <x:c r="D7" s="31" t="n">
        <x:v>1323.5742987576002</x:v>
      </x:c>
      <x:c r="E7" s="31" t="n">
        <x:v>1323.5742987576002</x:v>
      </x:c>
      <x:c r="F7" s="32" t="n">
        <x:v>0</x:v>
      </x:c>
      <x:c r="G7" s="34" t="n">
        <x:v>1</x:v>
      </x:c>
      <x:c r="H7" s="32" t="n">
        <x:f>IF(E7=0,"",I7/E7)</x:f>
        <x:v>2790.1998166397</x:v>
      </x:c>
      <x:c r="I7" s="31" t="n">
        <x:f>IF(C7=0,"",SUMIF('Species'!$H$2:$H$38,A7,'Species'!$U$2:$U$38))</x:f>
        <x:v>3693036.765702476</x:v>
      </x:c>
      <x:c r="J7" s="32" t="n">
        <x:v>4.441777724997348</x:v>
      </x:c>
      <x:c r="K7" s="32" t="n">
        <x:f>IF(J7="","",(1/'Metadata'!$B$5)^(J7-1))</x:f>
        <x:v>2765.525867344473</x:v>
      </x:c>
      <x:c r="L7" s="31" t="n">
        <x:f>IF(E7=0,"",E7*K7)</x:f>
        <x:v>3660378.9605664653</x:v>
      </x:c>
      <x:c r="M7" s="31" t="n">
        <x:f>IF(E7=0,"",I7-L7)</x:f>
        <x:v>32657.805136010516</x:v>
      </x:c>
      <x:c r="N7" s="32" t="n">
        <x:f>IF(L7=0,"",I7/L7)</x:f>
        <x:v>1.0089219737868225</x:v>
      </x:c>
      <x:c r="O7" s="34" t="n">
        <x:f>IF(L7=0,"",M7/L7)</x:f>
        <x:v>0.008921973786822478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5aff9d2ff2b4e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20</x:v>
      </x:c>
      <x:c r="C2" s="33" t="n">
        <x:v>20</x:v>
      </x:c>
      <x:c r="D2" s="31" t="n">
        <x:v>2807.8976585472</x:v>
      </x:c>
      <x:c r="E2" s="31" t="n">
        <x:v>2807.8976585472</x:v>
      </x:c>
      <x:c r="F2" s="32" t="n">
        <x:v>0</x:v>
      </x:c>
      <x:c r="G2" s="34" t="n">
        <x:v>1</x:v>
      </x:c>
      <x:c r="H2" s="32" t="n">
        <x:f>IF(E2=0,"",I2/E2)</x:f>
        <x:v>2585.3988833781514</x:v>
      </x:c>
      <x:c r="I2" s="31" t="n">
        <x:f>IF(C2=0,"",SUMIF('Species'!$G$2:$G$38,A2,'Species'!$U$2:$U$38))</x:f>
        <x:v>7259535.471048057</x:v>
      </x:c>
      <x:c r="J2" s="32" t="n">
        <x:v>4.407885826421267</x:v>
      </x:c>
      <x:c r="K2" s="32" t="n">
        <x:f>IF(J2="","",(1/'Metadata'!$B$5)^(J2-1))</x:f>
        <x:v>2557.913337462803</x:v>
      </x:c>
      <x:c r="L2" s="31" t="n">
        <x:f>IF(E2=0,"",E2*K2)</x:f>
        <x:v>7182358.871028459</x:v>
      </x:c>
      <x:c r="M2" s="31" t="n">
        <x:f>IF(E2=0,"",I2-L2)</x:f>
        <x:v>77176.60001959838</x:v>
      </x:c>
      <x:c r="N2" s="32" t="n">
        <x:f>IF(L2=0,"",I2/L2)</x:f>
        <x:v>1.010745299894566</x:v>
      </x:c>
      <x:c r="O2" s="34" t="n">
        <x:f>IF(L2=0,"",M2/L2)</x:f>
        <x:v>0.010745299894566154</x:v>
      </x:c>
    </x:row>
    <x:row r="3" ht="18" customHeight="1">
      <x:c r="A3" s="24" t="str">
        <x:v>Large sharks (&gt;=90 cm)</x:v>
      </x:c>
      <x:c r="B3" s="33" t="n">
        <x:v>7</x:v>
      </x:c>
      <x:c r="C3" s="33" t="n">
        <x:v>7</x:v>
      </x:c>
      <x:c r="D3" s="31" t="n">
        <x:v>18.9280223716</x:v>
      </x:c>
      <x:c r="E3" s="31" t="n">
        <x:v>18.9280223716</x:v>
      </x:c>
      <x:c r="F3" s="32" t="n">
        <x:v>0</x:v>
      </x:c>
      <x:c r="G3" s="34" t="n">
        <x:v>1</x:v>
      </x:c>
      <x:c r="H3" s="32" t="n">
        <x:f>IF(E3=0,"",I3/E3)</x:f>
        <x:v>2417.1449571886815</x:v>
      </x:c>
      <x:c r="I3" s="31" t="n">
        <x:f>IF(C3=0,"",SUMIF('Species'!$G$2:$G$38,A3,'Species'!$U$2:$U$38))</x:f>
        <x:v>45751.77382506749</x:v>
      </x:c>
      <x:c r="J3" s="32" t="n">
        <x:v>4.366809921835227</x:v>
      </x:c>
      <x:c r="K3" s="32" t="n">
        <x:f>IF(J3="","",(1/'Metadata'!$B$5)^(J3-1))</x:f>
        <x:v>2327.0725422374003</x:v>
      </x:c>
      <x:c r="L3" s="31" t="n">
        <x:f>IF(E3=0,"",E3*K3)</x:f>
        <x:v>44046.8811398056</x:v>
      </x:c>
      <x:c r="M3" s="31" t="n">
        <x:f>IF(E3=0,"",I3-L3)</x:f>
        <x:v>1704.8926852618897</x:v>
      </x:c>
      <x:c r="N3" s="32" t="n">
        <x:f>IF(L3=0,"",I3/L3)</x:f>
        <x:v>1.0387063202012086</x:v>
      </x:c>
      <x:c r="O3" s="34" t="n">
        <x:f>IF(L3=0,"",M3/L3)</x:f>
        <x:v>0.03870632020120856</x:v>
      </x:c>
    </x:row>
    <x:row r="4" ht="18" customHeight="1">
      <x:c r="A4" s="24" t="str">
        <x:v>Lobsters, crabs</x:v>
      </x:c>
      <x:c r="B4" s="33" t="n">
        <x:v>1</x:v>
      </x:c>
      <x:c r="C4" s="33" t="n">
        <x:v>1</x:v>
      </x:c>
      <x:c r="D4" s="31" t="n">
        <x:v>8.1639355778</x:v>
      </x:c>
      <x:c r="E4" s="31" t="n">
        <x:v>8.1639355778</x:v>
      </x:c>
      <x:c r="F4" s="32" t="n">
        <x:v>0</x:v>
      </x:c>
      <x:c r="G4" s="34" t="n">
        <x:v>1</x:v>
      </x:c>
      <x:c r="H4" s="32" t="n">
        <x:f>IF(E4=0,"",I4/E4)</x:f>
        <x:v>158.48931924611142</x:v>
      </x:c>
      <x:c r="I4" s="31" t="n">
        <x:f>IF(C4=0,"",SUMIF('Species'!$G$2:$G$38,A4,'Species'!$U$2:$U$38))</x:f>
        <x:v>1293.8965920946314</x:v>
      </x:c>
      <x:c r="J4" s="32" t="n">
        <x:v>3.2</x:v>
      </x:c>
      <x:c r="K4" s="32" t="n">
        <x:f>IF(J4="","",(1/'Metadata'!$B$5)^(J4-1))</x:f>
        <x:v>158.48931924611142</x:v>
      </x:c>
      <x:c r="L4" s="31" t="n">
        <x:f>IF(E4=0,"",E4*K4)</x:f>
        <x:v>1293.8965920946314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benthopelagics (30 - 89 cm)</x:v>
      </x:c>
      <x:c r="B5" s="33" t="n">
        <x:v>1</x:v>
      </x:c>
      <x:c r="C5" s="33" t="n">
        <x:v>1</x:v>
      </x:c>
      <x:c r="D5" s="31" t="n">
        <x:v>5.064768347199999</x:v>
      </x:c>
      <x:c r="E5" s="31" t="n">
        <x:v>5.064768347199999</x:v>
      </x:c>
      <x:c r="F5" s="32" t="n">
        <x:v>0</x:v>
      </x:c>
      <x:c r="G5" s="34" t="n">
        <x:v>1</x:v>
      </x:c>
      <x:c r="H5" s="32" t="n">
        <x:f>IF(E5=0,"",I5/E5)</x:f>
        <x:v>2691.534803926914</x:v>
      </x:c>
      <x:c r="I5" s="31" t="n">
        <x:f>IF(C5=0,"",SUMIF('Species'!$G$2:$G$38,A5,'Species'!$U$2:$U$38))</x:f>
        <x:v>13632.00028031619</x:v>
      </x:c>
      <x:c r="J5" s="32" t="n">
        <x:v>4.43</x:v>
      </x:c>
      <x:c r="K5" s="32" t="n">
        <x:f>IF(J5="","",(1/'Metadata'!$B$5)^(J5-1))</x:f>
        <x:v>2691.534803926914</x:v>
      </x:c>
      <x:c r="L5" s="31" t="n">
        <x:f>IF(E5=0,"",E5*K5)</x:f>
        <x:v>13632.00028031619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1</x:v>
      </x:c>
      <x:c r="C6" s="33" t="n">
        <x:v>1</x:v>
      </x:c>
      <x:c r="D6" s="31" t="n">
        <x:v>255.194097685</x:v>
      </x:c>
      <x:c r="E6" s="31" t="n">
        <x:v>255.194097685</x:v>
      </x:c>
      <x:c r="F6" s="32" t="n">
        <x:v>0</x:v>
      </x:c>
      <x:c r="G6" s="34" t="n">
        <x:v>1</x:v>
      </x:c>
      <x:c r="H6" s="32" t="n">
        <x:f>IF(E6=0,"",I6/E6)</x:f>
        <x:v>190.54607179632464</x:v>
      </x:c>
      <x:c r="I6" s="31" t="n">
        <x:f>IF(C6=0,"",SUMIF('Species'!$G$2:$G$38,A6,'Species'!$U$2:$U$38))</x:f>
        <x:v>48626.23285948429</x:v>
      </x:c>
      <x:c r="J6" s="32" t="n">
        <x:v>3.28</x:v>
      </x:c>
      <x:c r="K6" s="32" t="n">
        <x:f>IF(J6="","",(1/'Metadata'!$B$5)^(J6-1))</x:f>
        <x:v>190.54607179632464</x:v>
      </x:c>
      <x:c r="L6" s="31" t="n">
        <x:f>IF(E6=0,"",E6*K6)</x:f>
        <x:v>48626.23285948429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pelagics (30 - 89 cm)</x:v>
      </x:c>
      <x:c r="B7" s="33" t="n">
        <x:v>3</x:v>
      </x:c>
      <x:c r="C7" s="33" t="n">
        <x:v>3</x:v>
      </x:c>
      <x:c r="D7" s="31" t="n">
        <x:v>1655.7960287324</x:v>
      </x:c>
      <x:c r="E7" s="31" t="n">
        <x:v>1655.7960287324</x:v>
      </x:c>
      <x:c r="F7" s="32" t="n">
        <x:v>0</x:v>
      </x:c>
      <x:c r="G7" s="34" t="n">
        <x:v>1</x:v>
      </x:c>
      <x:c r="H7" s="32" t="n">
        <x:f>IF(E7=0,"",I7/E7)</x:f>
        <x:v>255.3989733695985</x:v>
      </x:c>
      <x:c r="I7" s="31" t="n">
        <x:f>IF(C7=0,"",SUMIF('Species'!$G$2:$G$38,A7,'Species'!$U$2:$U$38))</x:f>
        <x:v>422888.6058477132</x:v>
      </x:c>
      <x:c r="J7" s="32" t="n">
        <x:v>3.3637404440032888</x:v>
      </x:c>
      <x:c r="K7" s="32" t="n">
        <x:f>IF(J7="","",(1/'Metadata'!$B$5)^(J7-1))</x:f>
        <x:v>231.06833980237067</x:v>
      </x:c>
      <x:c r="L7" s="31" t="n">
        <x:f>IF(E7=0,"",E7*K7)</x:f>
        <x:v>382602.0394105541</x:v>
      </x:c>
      <x:c r="M7" s="31" t="n">
        <x:f>IF(E7=0,"",I7-L7)</x:f>
        <x:v>40286.56643715908</x:v>
      </x:c>
      <x:c r="N7" s="32" t="n">
        <x:f>IF(L7=0,"",I7/L7)</x:f>
        <x:v>1.105296266844854</x:v>
      </x:c>
      <x:c r="O7" s="34" t="n">
        <x:f>IF(L7=0,"",M7/L7)</x:f>
        <x:v>0.10529626684485408</x:v>
      </x:c>
    </x:row>
    <x:row r="8" ht="18" customHeight="1">
      <x:c r="A8" s="24" t="str">
        <x:v>Medium reef assoc. fish (30 - 89 cm)</x:v>
      </x:c>
      <x:c r="B8" s="33" t="n">
        <x:v>3</x:v>
      </x:c>
      <x:c r="C8" s="33" t="n">
        <x:v>3</x:v>
      </x:c>
      <x:c r="D8" s="31" t="n">
        <x:v>31.492530981199998</x:v>
      </x:c>
      <x:c r="E8" s="31" t="n">
        <x:v>31.492530981199998</x:v>
      </x:c>
      <x:c r="F8" s="32" t="n">
        <x:v>0</x:v>
      </x:c>
      <x:c r="G8" s="34" t="n">
        <x:v>1</x:v>
      </x:c>
      <x:c r="H8" s="32" t="n">
        <x:f>IF(E8=0,"",I8/E8)</x:f>
        <x:v>1069.002016270727</x:v>
      </x:c>
      <x:c r="I8" s="31" t="n">
        <x:f>IF(C8=0,"",SUMIF('Species'!$G$2:$G$38,A8,'Species'!$U$2:$U$38))</x:f>
        <x:v>33665.57911637113</x:v>
      </x:c>
      <x:c r="J8" s="32" t="n">
        <x:v>4.028551353768066</x:v>
      </x:c>
      <x:c r="K8" s="32" t="n">
        <x:f>IF(J8="","",(1/'Metadata'!$B$5)^(J8-1))</x:f>
        <x:v>1067.9510664644488</x:v>
      </x:c>
      <x:c r="L8" s="31" t="n">
        <x:f>IF(E8=0,"",E8*K8)</x:f>
        <x:v>33632.48204703723</x:v>
      </x:c>
      <x:c r="M8" s="31" t="n">
        <x:f>IF(E8=0,"",I8-L8)</x:f>
        <x:v>33.097069333904074</x:v>
      </x:c>
      <x:c r="N8" s="32" t="n">
        <x:f>IF(L8=0,"",I8/L8)</x:f>
        <x:v>1.0009840804876553</x:v>
      </x:c>
      <x:c r="O8" s="34" t="n">
        <x:f>IF(L8=0,"",M8/L8)</x:f>
        <x:v>0.0009840804876552272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55.2507523645</x:v>
      </x:c>
      <x:c r="E9" s="31" t="n">
        <x:v>55.2507523645</x:v>
      </x:c>
      <x:c r="F9" s="32" t="n">
        <x:v>0</x:v>
      </x:c>
      <x:c r="G9" s="34" t="n">
        <x:v>1</x:v>
      </x:c>
      <x:c r="H9" s="32" t="n">
        <x:f>IF(E9=0,"",I9/E9)</x:f>
        <x:v>15.488166189124811</x:v>
      </x:c>
      <x:c r="I9" s="31" t="n">
        <x:f>IF(C9=0,"",SUMIF('Species'!$G$2:$G$38,A9,'Species'!$U$2:$U$38))</x:f>
        <x:v>855.7328346955567</x:v>
      </x:c>
      <x:c r="J9" s="32" t="n">
        <x:v>2.19</x:v>
      </x:c>
      <x:c r="K9" s="32" t="n">
        <x:f>IF(J9="","",(1/'Metadata'!$B$5)^(J9-1))</x:f>
        <x:v>15.488166189124811</x:v>
      </x:c>
      <x:c r="L9" s="31" t="n">
        <x:f>IF(E9=0,"",E9*K9)</x:f>
        <x:v>855.7328346955567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20bdd0f8078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EEZ_906</x:v>
      </x:c>
      <x:c r="B2" s="24" t="str">
        <x:v>raw_filtered_tonnes</x:v>
      </x:c>
      <x:c r="C2" s="24" t="n">
        <x:v>4837.7877946069</x:v>
      </x:c>
      <x:c r="D2" s="24" t="str">
        <x:v>tonnes</x:v>
      </x:c>
    </x:row>
    <x:row r="3" ht="18" customHeight="1">
      <x:c r="A3" s="24" t="str">
        <x:v>EEZ_906</x:v>
      </x:c>
      <x:c r="B3" s="24" t="str">
        <x:v>species_catch_tonnes</x:v>
      </x:c>
      <x:c r="C3" s="24" t="n">
        <x:v>4837.787794606899</x:v>
      </x:c>
      <x:c r="D3" s="24" t="str">
        <x:v>tonnes</x:v>
      </x:c>
    </x:row>
    <x:row r="4" ht="18" customHeight="1">
      <x:c r="A4" s="24" t="str">
        <x:v>EEZ_906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EEZ_906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EEZ_906</x:v>
      </x:c>
      <x:c r="B6" s="24" t="str">
        <x:v>matched_catch_tonnes</x:v>
      </x:c>
      <x:c r="C6" s="24" t="n">
        <x:v>4837.787794606899</x:v>
      </x:c>
      <x:c r="D6" s="24" t="str">
        <x:v>tonnes</x:v>
      </x:c>
    </x:row>
    <x:row r="7" ht="18" customHeight="1">
      <x:c r="A7" s="24" t="str">
        <x:v>EEZ_906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EEZ_906</x:v>
      </x:c>
      <x:c r="B8" s="24" t="str">
        <x:v>taxa_count</x:v>
      </x:c>
      <x:c r="C8" s="24" t="n">
        <x:v>37</x:v>
      </x:c>
      <x:c r="D8" s="24" t="str">
        <x:v>count</x:v>
      </x:c>
    </x:row>
    <x:row r="9" ht="18" customHeight="1">
      <x:c r="A9" s="24" t="str">
        <x:v>EEZ_906</x:v>
      </x:c>
      <x:c r="B9" s="24" t="str">
        <x:v>matched_taxa_count</x:v>
      </x:c>
      <x:c r="C9" s="24" t="n">
        <x:v>37</x:v>
      </x:c>
      <x:c r="D9" s="24" t="str">
        <x:v>count</x:v>
      </x:c>
    </x:row>
    <x:row r="10" ht="18" customHeight="1">
      <x:c r="A10" s="24" t="str">
        <x:v>EEZ_906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EEZ_906</x:v>
      </x:c>
      <x:c r="B11" s="24" t="str">
        <x:v>species_ppr</x:v>
      </x:c>
      <x:c r="C11" s="24" t="n">
        <x:v>7826249.292403802</x:v>
      </x:c>
      <x:c r="D11" s="24" t="str">
        <x:v>tonnes_primary_production_equivalent</x:v>
      </x:c>
    </x:row>
    <x:row r="12" ht="18" customHeight="1">
      <x:c r="A12" s="24" t="str">
        <x:v>EEZ_906</x:v>
      </x:c>
      <x:c r="B12" s="24" t="str">
        <x:v>commercial_ppr</x:v>
      </x:c>
      <x:c r="C12" s="24" t="n">
        <x:v>7826249.2924038</x:v>
      </x:c>
      <x:c r="D12" s="24" t="str">
        <x:v>tonnes_primary_production_equivalent</x:v>
      </x:c>
    </x:row>
    <x:row r="13" ht="18" customHeight="1">
      <x:c r="A13" s="24" t="str">
        <x:v>EEZ_906</x:v>
      </x:c>
      <x:c r="B13" s="24" t="str">
        <x:v>functional_ppr</x:v>
      </x:c>
      <x:c r="C13" s="24" t="n">
        <x:v>7826249.2924037995</x:v>
      </x:c>
      <x:c r="D13" s="24" t="str">
        <x:v>tonnes_primary_production_equivalent</x:v>
      </x:c>
    </x:row>
    <x:row r="14" ht="18" customHeight="1">
      <x:c r="A14" s="24" t="str">
        <x:v>EEZ_906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EEZ_906</x:v>
      </x:c>
      <x:c r="B15" s="24" t="str">
        <x:v>functional_ppr_difference</x:v>
      </x:c>
      <x:c r="C15" s="24" t="n">
        <x:v>-2.7939677238464355e-9</x:v>
      </x:c>
      <x:c r="D15" s="24" t="str">
        <x:v>tonnes_primary_production_equivalent</x:v>
      </x:c>
    </x:row>
    <x:row r="16" ht="18" customHeight="1">
      <x:c r="A16" s="24" t="str">
        <x:v>EEZ_906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9a97f4823a040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EEZ_906 - Curaçao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