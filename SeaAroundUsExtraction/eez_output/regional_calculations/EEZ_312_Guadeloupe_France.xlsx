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6339a6f9a00416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pecies" sheetId="1" r:id="R1c09e60b3f9f4b34"/>
    <x:sheet xmlns:r="http://schemas.openxmlformats.org/officeDocument/2006/relationships" name="Commercial" sheetId="2" r:id="Rd1bd625973eb4cde"/>
    <x:sheet xmlns:r="http://schemas.openxmlformats.org/officeDocument/2006/relationships" name="Functional" sheetId="3" r:id="R05e9e34a3f4e42fc"/>
    <x:sheet xmlns:r="http://schemas.openxmlformats.org/officeDocument/2006/relationships" name="Missing TL" sheetId="4" r:id="R926b5b9c7a624a76"/>
    <x:sheet xmlns:r="http://schemas.openxmlformats.org/officeDocument/2006/relationships" name="Validation" sheetId="5" r:id="Rabce8f35ab074ff4"/>
    <x:sheet xmlns:r="http://schemas.openxmlformats.org/officeDocument/2006/relationships" name="Metadata" sheetId="6" r:id="R7c6806f6e22749a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6">
    <x:numFmt numFmtId="200" formatCode="0"/>
    <x:numFmt numFmtId="201" formatCode="#,##0.00"/>
    <x:numFmt numFmtId="202" formatCode="0.0000"/>
    <x:numFmt numFmtId="203" formatCode="#,##0"/>
    <x:numFmt numFmtId="204" formatCode="0.00%"/>
    <x:numFmt numFmtId="205" formatCode="0.00"/>
  </x:numFmts>
  <x:fonts count="7">
    <x:font>
      <x:sz val="11"/>
      <x:name val="Carlito"/>
    </x:font>
    <x:font>
      <x:b/>
      <x:sz val="16"/>
      <x:color rgb="FFFFFFFF"/>
      <x:name val="Aptos Display"/>
    </x:font>
    <x:font>
      <x:sz val="10"/>
      <x:name val="Aptos"/>
    </x:font>
    <x:font>
      <x:b/>
      <x:sz val="10"/>
      <x:color rgb="FFFFFFFF"/>
      <x:name val="Aptos"/>
    </x:font>
    <x:font>
      <x:b/>
      <x:sz val="10"/>
      <x:color rgb="FF17324D"/>
      <x:name val="Aptos"/>
    </x:font>
    <x:font>
      <x:sz val="9"/>
      <x:color rgb="FF1D2939"/>
      <x:name val="Aptos"/>
    </x:font>
    <x:font>
      <x:b/>
      <x:sz val="10"/>
      <x:color rgb="FFFFFFFF"/>
      <x:name val="Aptos Display"/>
    </x:font>
  </x:fonts>
  <x:fills count="4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147D92"/>
      </x:patternFill>
    </x:fill>
  </x:fills>
  <x:borders count="11">
    <x:border/>
    <x:border>
      <x:right style="thin">
        <x:color rgb="FFD0D5DD"/>
      </x:right>
      <x:bottom style="thin">
        <x:color rgb="FFD0D5DD"/>
      </x:bottom>
    </x:border>
    <x:border>
      <x:left style="thin">
        <x:color rgb="FFD0D5DD"/>
      </x:left>
      <x:right style="thin">
        <x:color rgb="FFD0D5DD"/>
      </x:right>
      <x:bottom style="thin">
        <x:color rgb="FFD0D5DD"/>
      </x:bottom>
    </x:border>
    <x:border>
      <x:left style="thin">
        <x:color rgb="FFD0D5DD"/>
      </x:left>
      <x:bottom style="thin">
        <x:color rgb="FFD0D5DD"/>
      </x:bottom>
    </x:border>
    <x:border>
      <x:right style="thin">
        <x:color rgb="FFD0D5DD"/>
      </x:right>
      <x:top style="thin">
        <x:color rgb="FFD0D5DD"/>
      </x:top>
      <x:bottom style="thin">
        <x:color rgb="FFD0D5DD"/>
      </x:bottom>
    </x:border>
    <x:border>
      <x:left style="thin">
        <x:color rgb="FFD0D5DD"/>
      </x:left>
      <x:right style="thin">
        <x:color rgb="FFD0D5DD"/>
      </x:right>
      <x:top style="thin">
        <x:color rgb="FFD0D5DD"/>
      </x:top>
      <x:bottom style="thin">
        <x:color rgb="FFD0D5DD"/>
      </x:bottom>
    </x:border>
    <x:border>
      <x:left style="thin">
        <x:color rgb="FFD0D5DD"/>
      </x:left>
      <x:top style="thin">
        <x:color rgb="FFD0D5DD"/>
      </x:top>
      <x:bottom style="thin">
        <x:color rgb="FFD0D5DD"/>
      </x:bottom>
    </x:border>
    <x:border>
      <x:right style="thin">
        <x:color rgb="FFD0D5DD"/>
      </x:right>
      <x:top style="thin">
        <x:color rgb="FFD0D5DD"/>
      </x:top>
    </x:border>
    <x:border>
      <x:left style="thin">
        <x:color rgb="FFD0D5DD"/>
      </x:left>
      <x:right style="thin">
        <x:color rgb="FFD0D5DD"/>
      </x:right>
      <x:top style="thin">
        <x:color rgb="FFD0D5DD"/>
      </x:top>
    </x:border>
    <x:border>
      <x:left style="thin">
        <x:color rgb="FFD0D5DD"/>
      </x:left>
      <x:top style="thin">
        <x:color rgb="FFD0D5DD"/>
      </x:top>
    </x:border>
    <x:border>
      <x:bottom style="medium">
        <x:color rgb="FF147D92"/>
      </x:bottom>
    </x:border>
  </x:borders>
  <x:cellStyleXfs count="1">
    <x:xf numFmtId="0" fontId="0" fillId="0" borderId="0"/>
  </x:cellStyleXfs>
  <x:cellXfs count="37">
    <x:xf numFmtId="0" fontId="0" fillId="0" borderId="0" xfId="0"/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2" fillId="0" borderId="0" xfId="0" applyNumberFormat="1" applyFont="1" applyFill="1" applyBorder="1"/>
    <x:xf numFmtId="0" fontId="2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1" xfId="0" applyNumberFormat="1" applyFont="1" applyFill="1" applyBorder="1"/>
    <x:xf numFmtId="0" fontId="3" fillId="3" borderId="2" xfId="0" applyNumberFormat="1" applyFont="1" applyFill="1" applyBorder="1"/>
    <x:xf numFmtId="0" fontId="3" fillId="3" borderId="3" xfId="0" applyNumberFormat="1" applyFont="1" applyFill="1" applyBorder="1"/>
    <x:xf numFmtId="0" fontId="2" fillId="0" borderId="4" xfId="0" applyNumberFormat="1" applyFont="1" applyFill="1" applyBorder="1"/>
    <x:xf numFmtId="0" fontId="2" fillId="0" borderId="5" xfId="0" applyNumberFormat="1" applyFont="1" applyFill="1" applyBorder="1"/>
    <x:xf numFmtId="0" fontId="2" fillId="0" borderId="6" xfId="0" applyNumberFormat="1" applyFont="1" applyFill="1" applyBorder="1"/>
    <x:xf numFmtId="0" fontId="2" fillId="0" borderId="7" xfId="0" applyNumberFormat="1" applyFont="1" applyFill="1" applyBorder="1"/>
    <x:xf numFmtId="0" fontId="2" fillId="0" borderId="8" xfId="0" applyNumberFormat="1" applyFont="1" applyFill="1" applyBorder="1"/>
    <x:xf numFmtId="0" fontId="2" fillId="0" borderId="9" xfId="0" applyNumberFormat="1" applyFont="1" applyFill="1" applyBorder="1"/>
    <x:xf numFmtId="0" fontId="2" fillId="0" borderId="4" xfId="0" applyNumberFormat="1" applyFont="1" applyFill="1" applyBorder="1" applyAlignment="1">
      <x:alignment wrapText="1"/>
    </x:xf>
    <x:xf numFmtId="0" fontId="2" fillId="0" borderId="5" xfId="0" applyNumberFormat="1" applyFont="1" applyFill="1" applyBorder="1" applyAlignment="1">
      <x:alignment wrapText="1"/>
    </x:xf>
    <x:xf numFmtId="0" fontId="2" fillId="0" borderId="6" xfId="0" applyNumberFormat="1" applyFont="1" applyFill="1" applyBorder="1" applyAlignment="1">
      <x:alignment wrapText="1"/>
    </x:xf>
    <x:xf numFmtId="0" fontId="2" fillId="0" borderId="7" xfId="0" applyNumberFormat="1" applyFont="1" applyFill="1" applyBorder="1" applyAlignment="1">
      <x:alignment wrapText="1"/>
    </x:xf>
    <x:xf numFmtId="0" fontId="2" fillId="0" borderId="8" xfId="0" applyNumberFormat="1" applyFont="1" applyFill="1" applyBorder="1" applyAlignment="1">
      <x:alignment wrapText="1"/>
    </x:xf>
    <x:xf numFmtId="0" fontId="2" fillId="0" borderId="9" xfId="0" applyNumberFormat="1" applyFont="1" applyFill="1" applyBorder="1" applyAlignment="1">
      <x:alignment wrapText="1"/>
    </x:xf>
    <x:xf numFmtId="0" fontId="4" fillId="0" borderId="4" xfId="0" applyNumberFormat="1" applyFont="1" applyFill="1" applyBorder="1" applyAlignment="1">
      <x:alignment wrapText="1"/>
    </x:xf>
    <x:xf numFmtId="0" fontId="4" fillId="0" borderId="7" xfId="0" applyNumberFormat="1" applyFont="1" applyFill="1" applyBorder="1" applyAlignment="1">
      <x:alignment wrapText="1"/>
    </x:xf>
    <x:xf numFmtId="0" fontId="5" fillId="0" borderId="0" xfId="0" applyNumberFormat="1" applyFont="1" applyFill="1" applyBorder="1"/>
    <x:xf numFmtId="0" fontId="5" fillId="2" borderId="0" xfId="0" applyNumberFormat="1" applyFont="1" applyFill="1" applyBorder="1"/>
    <x:xf numFmtId="0" fontId="6" fillId="2" borderId="0" xfId="0" applyNumberFormat="1" applyFont="1" applyFill="1" applyBorder="1"/>
    <x:xf numFmtId="0" fontId="6" fillId="2" borderId="10" xfId="0" applyNumberFormat="1" applyFont="1" applyFill="1" applyBorder="1"/>
    <x:xf numFmtId="0" fontId="6" fillId="2" borderId="10" xfId="0" applyNumberFormat="1" applyFont="1" applyFill="1" applyBorder="1" applyAlignment="1">
      <x:alignment wrapText="1"/>
    </x:xf>
    <x:xf numFmtId="0" fontId="6" fillId="2" borderId="10" xfId="0" applyNumberFormat="1" applyFont="1" applyFill="1" applyBorder="1" applyAlignment="1">
      <x:alignment vertical="center" wrapText="1"/>
    </x:xf>
    <x:xf numFmtId="200" fontId="5" fillId="0" borderId="0" xfId="0" applyNumberFormat="1" applyFont="1" applyFill="1" applyBorder="1"/>
    <x:xf numFmtId="201" fontId="5" fillId="0" borderId="0" xfId="0" applyNumberFormat="1" applyFont="1" applyFill="1" applyBorder="1"/>
    <x:xf numFmtId="202" fontId="5" fillId="0" borderId="0" xfId="0" applyNumberFormat="1" applyFont="1" applyFill="1" applyBorder="1"/>
    <x:xf numFmtId="203" fontId="5" fillId="0" borderId="0" xfId="0" applyNumberFormat="1" applyFont="1" applyFill="1" applyBorder="1"/>
    <x:xf numFmtId="204" fontId="5" fillId="0" borderId="0" xfId="0" applyNumberFormat="1" applyFont="1" applyFill="1" applyBorder="1"/>
    <x:xf numFmtId="0" fontId="5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205" fontId="2" fillId="0" borderId="5" xfId="0" applyNumberFormat="1" applyFont="1" applyFill="1" applyBorder="1" applyAlignment="1">
      <x:alignment wrapText="1"/>
    </x:xf>
  </x:cellXfs>
  <x:cellStyles count="1">
    <x:cellStyle name="Normal" xfId="0"/>
  </x:cellStyles>
  <x:dxfs count="3">
    <x:dxf>
      <x:font>
        <x:color rgb="FF9A3412"/>
      </x:font>
      <x:fill>
        <x:patternFill patternType="solid">
          <x:bgColor rgb="FFFCEAD8"/>
        </x:patternFill>
      </x:fill>
    </x:dxf>
    <x:dxf>
      <x:font>
        <x:b/>
        <x:color rgb="FFB42318"/>
      </x:font>
      <x:fill>
        <x:patternFill patternType="solid">
          <x:bgColor rgb="FFFEE4E2"/>
        </x:patternFill>
      </x:fill>
    </x:dxf>
    <x:dxf>
      <x:font>
        <x:b/>
        <x:color rgb="FFB42318"/>
      </x:font>
      <x:fill>
        <x:patternFill patternType="solid">
          <x:bgColor rgb="FFFEE4E2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ba44719c58c413f" /><Relationship Type="http://schemas.openxmlformats.org/officeDocument/2006/relationships/theme" Target="/xl/theme/theme1.xml" Id="Re28cb9fe08a748b7" /><Relationship Type="http://schemas.microsoft.com/office/2022/11/relationships/FeaturePropertyBag" Target="/xl/featurePropertyBag/featurePropertyBag.xml" Id="Rabd45145c3a84ba4" /><Relationship Type="http://schemas.openxmlformats.org/officeDocument/2006/relationships/sharedStrings" Target="/xl/sharedStrings.xml" Id="R733dd14d3df944bd" /><Relationship Type="http://schemas.openxmlformats.org/officeDocument/2006/relationships/worksheet" Target="/xl/worksheets/sheet1.xml" Id="R1c09e60b3f9f4b34" /><Relationship Type="http://schemas.openxmlformats.org/officeDocument/2006/relationships/worksheet" Target="/xl/worksheets/sheet2.xml" Id="Rd1bd625973eb4cde" /><Relationship Type="http://schemas.openxmlformats.org/officeDocument/2006/relationships/worksheet" Target="/xl/worksheets/sheet3.xml" Id="R05e9e34a3f4e42fc" /><Relationship Type="http://schemas.openxmlformats.org/officeDocument/2006/relationships/worksheet" Target="/xl/worksheets/sheet4.xml" Id="R926b5b9c7a624a76" /><Relationship Type="http://schemas.openxmlformats.org/officeDocument/2006/relationships/worksheet" Target="/xl/worksheets/sheet5.xml" Id="Rabce8f35ab074ff4" /><Relationship Type="http://schemas.openxmlformats.org/officeDocument/2006/relationships/worksheet" Target="/xl/worksheets/sheet6.xml" Id="R7c6806f6e22749ae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EEZ312SpeciesTable" displayName="EEZ312SpeciesTable" ref="A1:U24" headerRowCount="1" totalsRowCount="0" totalsRowShown="0">
  <x:autoFilter ref="A1:U24"/>
  <x:tableColumns count="21">
    <x:tableColumn id="1" name="unit_id"/>
    <x:tableColumn id="2" name="region_name"/>
    <x:tableColumn id="3" name="region_type"/>
    <x:tableColumn id="4" name="year"/>
    <x:tableColumn id="5" name="taxon"/>
    <x:tableColumn id="6" name="common_name"/>
    <x:tableColumn id="7" name="functional_group"/>
    <x:tableColumn id="8" name="commercial_group"/>
    <x:tableColumn id="9" name="catch_tonnes"/>
    <x:tableColumn id="10" name="landings_tonnes"/>
    <x:tableColumn id="11" name="discards_tonnes"/>
    <x:tableColumn id="12" name="reported_tonnes"/>
    <x:tableColumn id="13" name="unreported_tonnes"/>
    <x:tableColumn id="14" name="taxon_key"/>
    <x:tableColumn id="15" name="tl"/>
    <x:tableColumn id="16" name="match_method"/>
    <x:tableColumn id="17" name="tl_source"/>
    <x:tableColumn id="18" name="match_confidence"/>
    <x:tableColumn id="19" name="reference_taxon"/>
    <x:tableColumn id="20" name="sppr"/>
    <x:tableColumn id="21" name="ppr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EZ312CommercialTable" displayName="EEZ312CommercialTable" ref="A1:O7" headerRowCount="1" totalsRowCount="0" totalsRowShown="0">
  <x:autoFilter ref="A1:O7"/>
  <x:tableColumns count="15">
    <x:tableColumn id="1" name="commercial_group"/>
    <x:tableColumn id="2" name="taxon_count_total"/>
    <x:tableColumn id="3" name="taxon_count_matched"/>
    <x:tableColumn id="4" name="catch_tonnes_total"/>
    <x:tableColumn id="5" name="catch_tonnes_matched"/>
    <x:tableColumn id="6" name="catch_tonnes_missing_tl"/>
    <x:tableColumn id="7" name="catch_coverage_fraction"/>
    <x:tableColumn id="8" name="sppr_correct"/>
    <x:tableColumn id="9" name="ppr_correct"/>
    <x:tableColumn id="10" name="tl_weighted_jensen"/>
    <x:tableColumn id="11" name="sppr_jensen"/>
    <x:tableColumn id="12" name="ppr_jensen"/>
    <x:tableColumn id="13" name="jensen_difference"/>
    <x:tableColumn id="14" name="jensen_ratio_correct_to_error"/>
    <x:tableColumn id="15" name="jensen_percent_differenc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EEZ312FunctionalTable" displayName="EEZ312FunctionalTable" ref="A1:O14" headerRowCount="1" totalsRowCount="0" totalsRowShown="0">
  <x:autoFilter ref="A1:O14"/>
  <x:tableColumns count="15">
    <x:tableColumn id="1" name="functional_group"/>
    <x:tableColumn id="2" name="taxon_count_total"/>
    <x:tableColumn id="3" name="taxon_count_matched"/>
    <x:tableColumn id="4" name="catch_tonnes_total"/>
    <x:tableColumn id="5" name="catch_tonnes_matched"/>
    <x:tableColumn id="6" name="catch_tonnes_missing_tl"/>
    <x:tableColumn id="7" name="catch_coverage_fraction"/>
    <x:tableColumn id="8" name="sppr_correct"/>
    <x:tableColumn id="9" name="ppr_correct"/>
    <x:tableColumn id="10" name="tl_weighted_jensen"/>
    <x:tableColumn id="11" name="sppr_jensen"/>
    <x:tableColumn id="12" name="ppr_jensen"/>
    <x:tableColumn id="13" name="jensen_difference"/>
    <x:tableColumn id="14" name="jensen_ratio_correct_to_error"/>
    <x:tableColumn id="15" name="jensen_percent_difference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EEZ312ValidationTable" displayName="EEZ312ValidationTable" ref="A1:D19" headerRowCount="1" totalsRowCount="0" totalsRowShown="0">
  <x:autoFilter ref="A1:D19"/>
  <x:tableColumns count="4">
    <x:tableColumn id="1" name="unit_id"/>
    <x:tableColumn id="2" name="check"/>
    <x:tableColumn id="3" name="value"/>
    <x:tableColumn id="4" name="unit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2a3f9f9b18b84872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cb68e7ce68864d6d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c5961c757b3d4e92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d9e43977e8b34cf1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15" hidden="0" customWidth="1"/>
    <x:col min="5" max="5" width="25" hidden="0" customWidth="1"/>
    <x:col min="6" max="6" width="23" hidden="0" customWidth="1"/>
    <x:col min="7" max="7" width="30" hidden="0" customWidth="1"/>
    <x:col min="8" max="8" width="24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22" hidden="0" customWidth="1"/>
    <x:col min="15" max="15" width="15" hidden="0" customWidth="1"/>
    <x:col min="16" max="16" width="22" hidden="0" customWidth="1"/>
    <x:col min="17" max="17" width="40" hidden="0" customWidth="1"/>
    <x:col min="18" max="18" width="22" hidden="0" customWidth="1"/>
    <x:col min="19" max="19" width="25" hidden="0" customWidth="1"/>
    <x:col min="20" max="20" width="18" hidden="0" customWidth="1"/>
    <x:col min="21" max="21" width="18" hidden="0" customWidth="1"/>
  </x:cols>
  <x:sheetData>
    <x:row r="1" ht="32" customHeight="1">
      <x:c r="A1" s="29" t="str">
        <x:v>unit_id</x:v>
      </x:c>
      <x:c r="B1" s="29" t="str">
        <x:v>region_name</x:v>
      </x:c>
      <x:c r="C1" s="29" t="str">
        <x:v>region_type</x:v>
      </x:c>
      <x:c r="D1" s="29" t="str">
        <x:v>year</x:v>
      </x:c>
      <x:c r="E1" s="29" t="str">
        <x:v>taxon</x:v>
      </x:c>
      <x:c r="F1" s="29" t="str">
        <x:v>common_name</x:v>
      </x:c>
      <x:c r="G1" s="29" t="str">
        <x:v>functional_group</x:v>
      </x:c>
      <x:c r="H1" s="29" t="str">
        <x:v>commercial_group</x:v>
      </x:c>
      <x:c r="I1" s="29" t="str">
        <x:v>catch_tonnes</x:v>
      </x:c>
      <x:c r="J1" s="29" t="str">
        <x:v>landings_tonnes</x:v>
      </x:c>
      <x:c r="K1" s="29" t="str">
        <x:v>discards_tonnes</x:v>
      </x:c>
      <x:c r="L1" s="29" t="str">
        <x:v>reported_tonnes</x:v>
      </x:c>
      <x:c r="M1" s="29" t="str">
        <x:v>unreported_tonnes</x:v>
      </x:c>
      <x:c r="N1" s="29" t="str">
        <x:v>taxon_key</x:v>
      </x:c>
      <x:c r="O1" s="29" t="str">
        <x:v>tl</x:v>
      </x:c>
      <x:c r="P1" s="29" t="str">
        <x:v>match_method</x:v>
      </x:c>
      <x:c r="Q1" s="29" t="str">
        <x:v>tl_source</x:v>
      </x:c>
      <x:c r="R1" s="29" t="str">
        <x:v>match_confidence</x:v>
      </x:c>
      <x:c r="S1" s="29" t="str">
        <x:v>reference_taxon</x:v>
      </x:c>
      <x:c r="T1" s="29" t="str">
        <x:v>sppr</x:v>
      </x:c>
      <x:c r="U1" s="29" t="str">
        <x:v>ppr</x:v>
      </x:c>
    </x:row>
    <x:row r="2" ht="18" customHeight="1">
      <x:c r="A2" s="24" t="str">
        <x:v>EEZ_312</x:v>
      </x:c>
      <x:c r="B2" s="24" t="str">
        <x:v>Guadeloupe  (France)</x:v>
      </x:c>
      <x:c r="C2" s="24" t="str">
        <x:v>EEZ</x:v>
      </x:c>
      <x:c r="D2" s="30" t="n">
        <x:v>2019</x:v>
      </x:c>
      <x:c r="E2" s="24" t="str">
        <x:v>Marine fishes not identified</x:v>
      </x:c>
      <x:c r="F2" s="24" t="str">
        <x:v>Marine fishes nei</x:v>
      </x:c>
      <x:c r="G2" s="24" t="str">
        <x:v>Medium demersals (30 - 89 cm)</x:v>
      </x:c>
      <x:c r="H2" s="24" t="str">
        <x:v>Other fishes &amp; inverts</x:v>
      </x:c>
      <x:c r="I2" s="31" t="n">
        <x:v>2505.4601442393005</x:v>
      </x:c>
      <x:c r="J2" s="31" t="n">
        <x:v>2505.4601442393005</x:v>
      </x:c>
      <x:c r="K2" s="31" t="n">
        <x:v>0</x:v>
      </x:c>
      <x:c r="L2" s="31" t="n">
        <x:v>2095.0000000001</x:v>
      </x:c>
      <x:c r="M2" s="31" t="n">
        <x:v>410.4601442392</x:v>
      </x:c>
      <x:c r="N2" s="24" t="str">
        <x:v>marine fishes not identified</x:v>
      </x:c>
      <x:c r="O2" s="32" t="n">
        <x:v>3.28</x:v>
      </x:c>
      <x:c r="P2" s="24" t="str">
        <x:v>exact_sea_around_us</x:v>
      </x:c>
      <x:c r="Q2" s="32" t="str">
        <x:v>Sea Around Us exploited organisms</x:v>
      </x:c>
      <x:c r="R2" s="24" t="str">
        <x:v>high</x:v>
      </x:c>
      <x:c r="S2" s="24" t="str">
        <x:v>Marine fishes not identified</x:v>
      </x:c>
      <x:c r="T2" s="32" t="n">
        <x:f>IF(O2="","",(1/'Metadata'!$B$5)^(O2-1))</x:f>
        <x:v>190.54607179632464</x:v>
      </x:c>
      <x:c r="U2" s="31" t="n">
        <x:f>IF(T2="","",I2*T2)</x:f>
        <x:v>477405.5885270516</x:v>
      </x:c>
    </x:row>
    <x:row r="3" ht="18" customHeight="1">
      <x:c r="A3" s="24" t="str">
        <x:v>EEZ_312</x:v>
      </x:c>
      <x:c r="B3" s="24" t="str">
        <x:v>Guadeloupe  (France)</x:v>
      </x:c>
      <x:c r="C3" s="24" t="str">
        <x:v>EEZ</x:v>
      </x:c>
      <x:c r="D3" s="30" t="n">
        <x:v>2019</x:v>
      </x:c>
      <x:c r="E3" s="24" t="str">
        <x:v>Scombridae</x:v>
      </x:c>
      <x:c r="F3" s="24" t="str">
        <x:v>Mackerels, tunas, bonitos</x:v>
      </x:c>
      <x:c r="G3" s="24" t="str">
        <x:v>Medium pelagics (30 - 89 cm)</x:v>
      </x:c>
      <x:c r="H3" s="24" t="str">
        <x:v>Perch-likes</x:v>
      </x:c>
      <x:c r="I3" s="31" t="n">
        <x:v>545</x:v>
      </x:c>
      <x:c r="J3" s="31" t="n">
        <x:v>545</x:v>
      </x:c>
      <x:c r="K3" s="31" t="n">
        <x:v>0</x:v>
      </x:c>
      <x:c r="L3" s="31" t="n">
        <x:v>545</x:v>
      </x:c>
      <x:c r="M3" s="31" t="n">
        <x:v>0</x:v>
      </x:c>
      <x:c r="N3" s="24" t="str">
        <x:v>scombridae</x:v>
      </x:c>
      <x:c r="O3" s="32" t="n">
        <x:v>4.26</x:v>
      </x:c>
      <x:c r="P3" s="24" t="str">
        <x:v>exact_sea_around_us</x:v>
      </x:c>
      <x:c r="Q3" s="32" t="str">
        <x:v>Sea Around Us exploited organisms</x:v>
      </x:c>
      <x:c r="R3" s="24" t="str">
        <x:v>high</x:v>
      </x:c>
      <x:c r="S3" s="24" t="str">
        <x:v>Scombridae</x:v>
      </x:c>
      <x:c r="T3" s="32" t="n">
        <x:f>IF(O3="","",(1/'Metadata'!$B$5)^(O3-1))</x:f>
        <x:v>1819.7008586099826</x:v>
      </x:c>
      <x:c r="U3" s="31" t="n">
        <x:f>IF(T3="","",I3*T3)</x:f>
        <x:v>991736.9679424405</x:v>
      </x:c>
    </x:row>
    <x:row r="4" ht="18" customHeight="1">
      <x:c r="A4" s="24" t="str">
        <x:v>EEZ_312</x:v>
      </x:c>
      <x:c r="B4" s="24" t="str">
        <x:v>Guadeloupe  (France)</x:v>
      </x:c>
      <x:c r="C4" s="24" t="str">
        <x:v>EEZ</x:v>
      </x:c>
      <x:c r="D4" s="30" t="n">
        <x:v>2019</x:v>
      </x:c>
      <x:c r="E4" s="24" t="str">
        <x:v>Carangidae</x:v>
      </x:c>
      <x:c r="F4" s="24" t="str">
        <x:v>Jacks, pompanos</x:v>
      </x:c>
      <x:c r="G4" s="24" t="str">
        <x:v>Medium pelagics (30 - 89 cm)</x:v>
      </x:c>
      <x:c r="H4" s="24" t="str">
        <x:v>Perch-likes</x:v>
      </x:c>
      <x:c r="I4" s="31" t="n">
        <x:v>348.8172841617</x:v>
      </x:c>
      <x:c r="J4" s="31" t="n">
        <x:v>348.8172841617</x:v>
      </x:c>
      <x:c r="K4" s="31" t="n">
        <x:v>0</x:v>
      </x:c>
      <x:c r="L4" s="31" t="n">
        <x:v>0</x:v>
      </x:c>
      <x:c r="M4" s="31" t="n">
        <x:v>348.8172841617</x:v>
      </x:c>
      <x:c r="N4" s="24" t="str">
        <x:v>carangidae</x:v>
      </x:c>
      <x:c r="O4" s="32" t="n">
        <x:v>4.05</x:v>
      </x:c>
      <x:c r="P4" s="24" t="str">
        <x:v>exact_sea_around_us</x:v>
      </x:c>
      <x:c r="Q4" s="32" t="str">
        <x:v>Sea Around Us exploited organisms</x:v>
      </x:c>
      <x:c r="R4" s="24" t="str">
        <x:v>high</x:v>
      </x:c>
      <x:c r="S4" s="24" t="str">
        <x:v>Carangidae</x:v>
      </x:c>
      <x:c r="T4" s="32" t="n">
        <x:f>IF(O4="","",(1/'Metadata'!$B$5)^(O4-1))</x:f>
        <x:v>1122.018454301963</x:v>
      </x:c>
      <x:c r="U4" s="31" t="n">
        <x:f>IF(T4="","",I4*T4)</x:f>
        <x:v>391379.4300089192</x:v>
      </x:c>
    </x:row>
    <x:row r="5" ht="18" customHeight="1">
      <x:c r="A5" s="24" t="str">
        <x:v>EEZ_312</x:v>
      </x:c>
      <x:c r="B5" s="24" t="str">
        <x:v>Guadeloupe  (France)</x:v>
      </x:c>
      <x:c r="C5" s="24" t="str">
        <x:v>EEZ</x:v>
      </x:c>
      <x:c r="D5" s="30" t="n">
        <x:v>2019</x:v>
      </x:c>
      <x:c r="E5" s="24" t="str">
        <x:v>Hemiramphidae</x:v>
      </x:c>
      <x:c r="F5" s="24" t="str">
        <x:v>Halfbeaks, garfishes</x:v>
      </x:c>
      <x:c r="G5" s="24" t="str">
        <x:v>Medium pelagics (30 - 89 cm)</x:v>
      </x:c>
      <x:c r="H5" s="24" t="str">
        <x:v>Other fishes &amp; inverts</x:v>
      </x:c>
      <x:c r="I5" s="31" t="n">
        <x:v>318.5872524487</x:v>
      </x:c>
      <x:c r="J5" s="31" t="n">
        <x:v>318.5872524487</x:v>
      </x:c>
      <x:c r="K5" s="31" t="n">
        <x:v>0</x:v>
      </x:c>
      <x:c r="L5" s="31" t="n">
        <x:v>0</x:v>
      </x:c>
      <x:c r="M5" s="31" t="n">
        <x:v>318.5872524487</x:v>
      </x:c>
      <x:c r="N5" s="24" t="str">
        <x:v>hemiramphidae</x:v>
      </x:c>
      <x:c r="O5" s="32" t="n">
        <x:v>2.82</x:v>
      </x:c>
      <x:c r="P5" s="24" t="str">
        <x:v>exact_sea_around_us</x:v>
      </x:c>
      <x:c r="Q5" s="32" t="str">
        <x:v>Sea Around Us exploited organisms</x:v>
      </x:c>
      <x:c r="R5" s="24" t="str">
        <x:v>high</x:v>
      </x:c>
      <x:c r="S5" s="24" t="str">
        <x:v>Hemiramphidae</x:v>
      </x:c>
      <x:c r="T5" s="32" t="n">
        <x:f>IF(O5="","",(1/'Metadata'!$B$5)^(O5-1))</x:f>
        <x:v>66.06934480075958</x:v>
      </x:c>
      <x:c r="U5" s="31" t="n">
        <x:f>IF(T5="","",I5*T5)</x:f>
        <x:v>21048.851031159797</x:v>
      </x:c>
    </x:row>
    <x:row r="6" ht="18" customHeight="1">
      <x:c r="A6" s="24" t="str">
        <x:v>EEZ_312</x:v>
      </x:c>
      <x:c r="B6" s="24" t="str">
        <x:v>Guadeloupe  (France)</x:v>
      </x:c>
      <x:c r="C6" s="24" t="str">
        <x:v>EEZ</x:v>
      </x:c>
      <x:c r="D6" s="30" t="n">
        <x:v>2019</x:v>
      </x:c>
      <x:c r="E6" s="24" t="str">
        <x:v>Aliger gigas</x:v>
      </x:c>
      <x:c r="F6" s="24" t="str">
        <x:v>Pink conch</x:v>
      </x:c>
      <x:c r="G6" s="24" t="str">
        <x:v>Other demersal invertebrates</x:v>
      </x:c>
      <x:c r="H6" s="24" t="str">
        <x:v>Molluscs</x:v>
      </x:c>
      <x:c r="I6" s="31" t="n">
        <x:v>289.39056368729996</x:v>
      </x:c>
      <x:c r="J6" s="31" t="n">
        <x:v>289.39056368729996</x:v>
      </x:c>
      <x:c r="K6" s="31" t="n">
        <x:v>0</x:v>
      </x:c>
      <x:c r="L6" s="31" t="n">
        <x:v>115</x:v>
      </x:c>
      <x:c r="M6" s="31" t="n">
        <x:v>174.3905636873</x:v>
      </x:c>
      <x:c r="N6" s="24" t="str">
        <x:v>aliger gigas</x:v>
      </x:c>
      <x:c r="O6" s="32" t="n">
        <x:v>2.19</x:v>
      </x:c>
      <x:c r="P6" s="24" t="str">
        <x:v>exact_sea_around_us</x:v>
      </x:c>
      <x:c r="Q6" s="32" t="str">
        <x:v>Sea Around Us exploited organisms</x:v>
      </x:c>
      <x:c r="R6" s="24" t="str">
        <x:v>high</x:v>
      </x:c>
      <x:c r="S6" s="24" t="str">
        <x:v>Aliger gigas</x:v>
      </x:c>
      <x:c r="T6" s="32" t="n">
        <x:f>IF(O6="","",(1/'Metadata'!$B$5)^(O6-1))</x:f>
        <x:v>15.488166189124811</x:v>
      </x:c>
      <x:c r="U6" s="31" t="n">
        <x:f>IF(T6="","",I6*T6)</x:f>
        <x:v>4482.12914395341</x:v>
      </x:c>
    </x:row>
    <x:row r="7" ht="18" customHeight="1">
      <x:c r="A7" s="24" t="str">
        <x:v>EEZ_312</x:v>
      </x:c>
      <x:c r="B7" s="24" t="str">
        <x:v>Guadeloupe  (France)</x:v>
      </x:c>
      <x:c r="C7" s="24" t="str">
        <x:v>EEZ</x:v>
      </x:c>
      <x:c r="D7" s="30" t="n">
        <x:v>2019</x:v>
      </x:c>
      <x:c r="E7" s="24" t="str">
        <x:v>Coryphaena hippurus</x:v>
      </x:c>
      <x:c r="F7" s="24" t="str">
        <x:v>Common dolphinfish</x:v>
      </x:c>
      <x:c r="G7" s="24" t="str">
        <x:v>Large pelagics (&gt;=90 cm)</x:v>
      </x:c>
      <x:c r="H7" s="24" t="str">
        <x:v>Perch-likes</x:v>
      </x:c>
      <x:c r="I7" s="31" t="n">
        <x:v>270</x:v>
      </x:c>
      <x:c r="J7" s="31" t="n">
        <x:v>270</x:v>
      </x:c>
      <x:c r="K7" s="31" t="n">
        <x:v>0</x:v>
      </x:c>
      <x:c r="L7" s="31" t="n">
        <x:v>270</x:v>
      </x:c>
      <x:c r="M7" s="31" t="n">
        <x:v>0</x:v>
      </x:c>
      <x:c r="N7" s="24" t="str">
        <x:v>coryphaena hippurus</x:v>
      </x:c>
      <x:c r="O7" s="32" t="n">
        <x:v>4.37</x:v>
      </x:c>
      <x:c r="P7" s="24" t="str">
        <x:v>exact_2020_supplement</x:v>
      </x:c>
      <x:c r="Q7" s="32" t="str">
        <x:v>2020 supplement MeanTL</x:v>
      </x:c>
      <x:c r="R7" s="24" t="str">
        <x:v>high</x:v>
      </x:c>
      <x:c r="S7" s="24" t="str">
        <x:v>Coryphaena hippurus</x:v>
      </x:c>
      <x:c r="T7" s="32" t="n">
        <x:f>IF(O7="","",(1/'Metadata'!$B$5)^(O7-1))</x:f>
        <x:v>2344.228815319923</x:v>
      </x:c>
      <x:c r="U7" s="31" t="n">
        <x:f>IF(T7="","",I7*T7)</x:f>
        <x:v>632941.7801363792</x:v>
      </x:c>
    </x:row>
    <x:row r="8" ht="18" customHeight="1">
      <x:c r="A8" s="24" t="str">
        <x:v>EEZ_312</x:v>
      </x:c>
      <x:c r="B8" s="24" t="str">
        <x:v>Guadeloupe  (France)</x:v>
      </x:c>
      <x:c r="C8" s="24" t="str">
        <x:v>EEZ</x:v>
      </x:c>
      <x:c r="D8" s="30" t="n">
        <x:v>2019</x:v>
      </x:c>
      <x:c r="E8" s="24" t="str">
        <x:v>Lutjanidae</x:v>
      </x:c>
      <x:c r="F8" s="24" t="str">
        <x:v>Snappers</x:v>
      </x:c>
      <x:c r="G8" s="24" t="str">
        <x:v>Medium reef assoc. fish (30 - 89 cm)</x:v>
      </x:c>
      <x:c r="H8" s="24" t="str">
        <x:v>Perch-likes</x:v>
      </x:c>
      <x:c r="I8" s="31" t="n">
        <x:v>263.9580147038</x:v>
      </x:c>
      <x:c r="J8" s="31" t="n">
        <x:v>263.9580147038</x:v>
      </x:c>
      <x:c r="K8" s="31" t="n">
        <x:v>0</x:v>
      </x:c>
      <x:c r="L8" s="31" t="n">
        <x:v>0</x:v>
      </x:c>
      <x:c r="M8" s="31" t="n">
        <x:v>263.9580147038</x:v>
      </x:c>
      <x:c r="N8" s="24" t="str">
        <x:v>lutjanidae</x:v>
      </x:c>
      <x:c r="O8" s="32" t="n">
        <x:v>4.02</x:v>
      </x:c>
      <x:c r="P8" s="24" t="str">
        <x:v>exact_sea_around_us</x:v>
      </x:c>
      <x:c r="Q8" s="32" t="str">
        <x:v>Sea Around Us exploited organisms</x:v>
      </x:c>
      <x:c r="R8" s="24" t="str">
        <x:v>high</x:v>
      </x:c>
      <x:c r="S8" s="24" t="str">
        <x:v>Lutjanidae</x:v>
      </x:c>
      <x:c r="T8" s="32" t="n">
        <x:f>IF(O8="","",(1/'Metadata'!$B$5)^(O8-1))</x:f>
        <x:v>1047.1285480508984</x:v>
      </x:c>
      <x:c r="U8" s="31" t="n">
        <x:f>IF(T8="","",I8*T8)</x:f>
        <x:v>276397.9726831878</x:v>
      </x:c>
    </x:row>
    <x:row r="9" ht="18" customHeight="1">
      <x:c r="A9" s="24" t="str">
        <x:v>EEZ_312</x:v>
      </x:c>
      <x:c r="B9" s="24" t="str">
        <x:v>Guadeloupe  (France)</x:v>
      </x:c>
      <x:c r="C9" s="24" t="str">
        <x:v>EEZ</x:v>
      </x:c>
      <x:c r="D9" s="30" t="n">
        <x:v>2019</x:v>
      </x:c>
      <x:c r="E9" s="24" t="str">
        <x:v>Clupeidae</x:v>
      </x:c>
      <x:c r="F9" s="24" t="str">
        <x:v>Herrings, sardines, menhadens</x:v>
      </x:c>
      <x:c r="G9" s="24" t="str">
        <x:v>Small pelagics (&lt;30 cm)</x:v>
      </x:c>
      <x:c r="H9" s="24" t="str">
        <x:v>Herring-likes</x:v>
      </x:c>
      <x:c r="I9" s="31" t="n">
        <x:v>83.3481833159</x:v>
      </x:c>
      <x:c r="J9" s="31" t="n">
        <x:v>83.3481833159</x:v>
      </x:c>
      <x:c r="K9" s="31" t="n">
        <x:v>0</x:v>
      </x:c>
      <x:c r="L9" s="31" t="n">
        <x:v>0</x:v>
      </x:c>
      <x:c r="M9" s="31" t="n">
        <x:v>83.3481833159</x:v>
      </x:c>
      <x:c r="N9" s="24" t="str">
        <x:v>clupeidae</x:v>
      </x:c>
      <x:c r="O9" s="32" t="n">
        <x:v>3.16</x:v>
      </x:c>
      <x:c r="P9" s="24" t="str">
        <x:v>exact_sea_around_us</x:v>
      </x:c>
      <x:c r="Q9" s="32" t="str">
        <x:v>Sea Around Us exploited organisms</x:v>
      </x:c>
      <x:c r="R9" s="24" t="str">
        <x:v>high</x:v>
      </x:c>
      <x:c r="S9" s="24" t="str">
        <x:v>Clupeidae</x:v>
      </x:c>
      <x:c r="T9" s="32" t="n">
        <x:f>IF(O9="","",(1/'Metadata'!$B$5)^(O9-1))</x:f>
        <x:v>144.5439770745928</x:v>
      </x:c>
      <x:c r="U9" s="31" t="n">
        <x:f>IF(T9="","",I9*T9)</x:f>
        <x:v>12047.477898422407</x:v>
      </x:c>
    </x:row>
    <x:row r="10" ht="18" customHeight="1">
      <x:c r="A10" s="24" t="str">
        <x:v>EEZ_312</x:v>
      </x:c>
      <x:c r="B10" s="24" t="str">
        <x:v>Guadeloupe  (France)</x:v>
      </x:c>
      <x:c r="C10" s="24" t="str">
        <x:v>EEZ</x:v>
      </x:c>
      <x:c r="D10" s="30" t="n">
        <x:v>2019</x:v>
      </x:c>
      <x:c r="E10" s="24" t="str">
        <x:v>Panulirus argus</x:v>
      </x:c>
      <x:c r="F10" s="24" t="str">
        <x:v>Caribbean spiny lobster</x:v>
      </x:c>
      <x:c r="G10" s="24" t="str">
        <x:v>Lobsters, crabs</x:v>
      </x:c>
      <x:c r="H10" s="24" t="str">
        <x:v>Crustaceans</x:v>
      </x:c>
      <x:c r="I10" s="31" t="n">
        <x:v>77.1939122861</x:v>
      </x:c>
      <x:c r="J10" s="31" t="n">
        <x:v>77.1939122861</x:v>
      </x:c>
      <x:c r="K10" s="31" t="n">
        <x:v>0</x:v>
      </x:c>
      <x:c r="L10" s="31" t="n">
        <x:v>0</x:v>
      </x:c>
      <x:c r="M10" s="31" t="n">
        <x:v>77.1939122861</x:v>
      </x:c>
      <x:c r="N10" s="24" t="str">
        <x:v>panulirus argus</x:v>
      </x:c>
      <x:c r="O10" s="32" t="n">
        <x:v>3.2</x:v>
      </x:c>
      <x:c r="P10" s="24" t="str">
        <x:v>exact_sea_around_us</x:v>
      </x:c>
      <x:c r="Q10" s="32" t="str">
        <x:v>Sea Around Us exploited organisms</x:v>
      </x:c>
      <x:c r="R10" s="24" t="str">
        <x:v>high</x:v>
      </x:c>
      <x:c r="S10" s="24" t="str">
        <x:v>Panulirus argus</x:v>
      </x:c>
      <x:c r="T10" s="32" t="n">
        <x:f>IF(O10="","",(1/'Metadata'!$B$5)^(O10-1))</x:f>
        <x:v>158.48931924611142</x:v>
      </x:c>
      <x:c r="U10" s="31" t="n">
        <x:f>IF(T10="","",I10*T10)</x:f>
        <x:v>12234.410608168026</x:v>
      </x:c>
    </x:row>
    <x:row r="11" ht="18" customHeight="1">
      <x:c r="A11" s="24" t="str">
        <x:v>EEZ_312</x:v>
      </x:c>
      <x:c r="B11" s="24" t="str">
        <x:v>Guadeloupe  (France)</x:v>
      </x:c>
      <x:c r="C11" s="24" t="str">
        <x:v>EEZ</x:v>
      </x:c>
      <x:c r="D11" s="30" t="n">
        <x:v>2019</x:v>
      </x:c>
      <x:c r="E11" s="24" t="str">
        <x:v>Miscellaneous marine crustaceans</x:v>
      </x:c>
      <x:c r="F11" s="24" t="str">
        <x:v>Marine crabs, shrimps, lobsters nei</x:v>
      </x:c>
      <x:c r="G11" s="24" t="str">
        <x:v>Shrimps</x:v>
      </x:c>
      <x:c r="H11" s="24" t="str">
        <x:v>Crustaceans</x:v>
      </x:c>
      <x:c r="I11" s="31" t="n">
        <x:v>75</x:v>
      </x:c>
      <x:c r="J11" s="31" t="n">
        <x:v>75</x:v>
      </x:c>
      <x:c r="K11" s="31" t="n">
        <x:v>0</x:v>
      </x:c>
      <x:c r="L11" s="31" t="n">
        <x:v>75</x:v>
      </x:c>
      <x:c r="M11" s="31" t="n">
        <x:v>0</x:v>
      </x:c>
      <x:c r="N11" s="24" t="str">
        <x:v>miscellaneous marine crustaceans</x:v>
      </x:c>
      <x:c r="O11" s="32" t="n">
        <x:v>2.7</x:v>
      </x:c>
      <x:c r="P11" s="24" t="str">
        <x:v>exact_sea_around_us</x:v>
      </x:c>
      <x:c r="Q11" s="32" t="str">
        <x:v>Sea Around Us exploited organisms</x:v>
      </x:c>
      <x:c r="R11" s="24" t="str">
        <x:v>high</x:v>
      </x:c>
      <x:c r="S11" s="24" t="str">
        <x:v>Miscellaneous marine crustaceans</x:v>
      </x:c>
      <x:c r="T11" s="32" t="n">
        <x:f>IF(O11="","",(1/'Metadata'!$B$5)^(O11-1))</x:f>
        <x:v>50.11872336272725</x:v>
      </x:c>
      <x:c r="U11" s="31" t="n">
        <x:f>IF(T11="","",I11*T11)</x:f>
        <x:v>3758.904252204544</x:v>
      </x:c>
    </x:row>
    <x:row r="12" ht="18" customHeight="1">
      <x:c r="A12" s="24" t="str">
        <x:v>EEZ_312</x:v>
      </x:c>
      <x:c r="B12" s="24" t="str">
        <x:v>Guadeloupe  (France)</x:v>
      </x:c>
      <x:c r="C12" s="24" t="str">
        <x:v>EEZ</x:v>
      </x:c>
      <x:c r="D12" s="30" t="n">
        <x:v>2019</x:v>
      </x:c>
      <x:c r="E12" s="24" t="str">
        <x:v>Serranidae</x:v>
      </x:c>
      <x:c r="F12" s="24" t="str">
        <x:v>Basses, groupers, hinds</x:v>
      </x:c>
      <x:c r="G12" s="24" t="str">
        <x:v>Medium reef assoc. fish (30 - 89 cm)</x:v>
      </x:c>
      <x:c r="H12" s="24" t="str">
        <x:v>Perch-likes</x:v>
      </x:c>
      <x:c r="I12" s="31" t="n">
        <x:v>59.1359314438</x:v>
      </x:c>
      <x:c r="J12" s="31" t="n">
        <x:v>59.1359314438</x:v>
      </x:c>
      <x:c r="K12" s="31" t="n">
        <x:v>0</x:v>
      </x:c>
      <x:c r="L12" s="31" t="n">
        <x:v>0</x:v>
      </x:c>
      <x:c r="M12" s="31" t="n">
        <x:v>59.1359314438</x:v>
      </x:c>
      <x:c r="N12" s="24" t="str">
        <x:v>serranidae</x:v>
      </x:c>
      <x:c r="O12" s="32" t="n">
        <x:v>3.98</x:v>
      </x:c>
      <x:c r="P12" s="24" t="str">
        <x:v>exact_sea_around_us</x:v>
      </x:c>
      <x:c r="Q12" s="32" t="str">
        <x:v>Sea Around Us exploited organisms</x:v>
      </x:c>
      <x:c r="R12" s="24" t="str">
        <x:v>high</x:v>
      </x:c>
      <x:c r="S12" s="24" t="str">
        <x:v>Serranidae</x:v>
      </x:c>
      <x:c r="T12" s="32" t="n">
        <x:f>IF(O12="","",(1/'Metadata'!$B$5)^(O12-1))</x:f>
        <x:v>954.992586021436</x:v>
      </x:c>
      <x:c r="U12" s="31" t="n">
        <x:f>IF(T12="","",I12*T12)</x:f>
        <x:v>56474.376096300904</x:v>
      </x:c>
    </x:row>
    <x:row r="13" ht="18" customHeight="1">
      <x:c r="A13" s="24" t="str">
        <x:v>EEZ_312</x:v>
      </x:c>
      <x:c r="B13" s="24" t="str">
        <x:v>Guadeloupe  (France)</x:v>
      </x:c>
      <x:c r="C13" s="24" t="str">
        <x:v>EEZ</x:v>
      </x:c>
      <x:c r="D13" s="30" t="n">
        <x:v>2019</x:v>
      </x:c>
      <x:c r="E13" s="24" t="str">
        <x:v>Pomacentridae</x:v>
      </x:c>
      <x:c r="F13" s="24" t="str">
        <x:v>Damselfishes</x:v>
      </x:c>
      <x:c r="G13" s="24" t="str">
        <x:v>Small reef assoc. fish (&lt;30 cm)</x:v>
      </x:c>
      <x:c r="H13" s="24" t="str">
        <x:v>Perch-likes</x:v>
      </x:c>
      <x:c r="I13" s="31" t="n">
        <x:v>52.1932367813</x:v>
      </x:c>
      <x:c r="J13" s="31" t="n">
        <x:v>52.1932367813</x:v>
      </x:c>
      <x:c r="K13" s="31" t="n">
        <x:v>0</x:v>
      </x:c>
      <x:c r="L13" s="31" t="n">
        <x:v>0</x:v>
      </x:c>
      <x:c r="M13" s="31" t="n">
        <x:v>52.1932367813</x:v>
      </x:c>
      <x:c r="N13" s="24" t="str">
        <x:v>pomacentridae</x:v>
      </x:c>
      <x:c r="O13" s="32" t="n">
        <x:v>2.57</x:v>
      </x:c>
      <x:c r="P13" s="24" t="str">
        <x:v>exact_sea_around_us</x:v>
      </x:c>
      <x:c r="Q13" s="32" t="str">
        <x:v>Sea Around Us exploited organisms</x:v>
      </x:c>
      <x:c r="R13" s="24" t="str">
        <x:v>high</x:v>
      </x:c>
      <x:c r="S13" s="24" t="str">
        <x:v>Pomacentridae</x:v>
      </x:c>
      <x:c r="T13" s="32" t="n">
        <x:f>IF(O13="","",(1/'Metadata'!$B$5)^(O13-1))</x:f>
        <x:v>37.15352290971724</x:v>
      </x:c>
      <x:c r="U13" s="31" t="n">
        <x:f>IF(T13="","",I13*T13)</x:f>
        <x:v>1939.162618486326</x:v>
      </x:c>
    </x:row>
    <x:row r="14" ht="18" customHeight="1">
      <x:c r="A14" s="24" t="str">
        <x:v>EEZ_312</x:v>
      </x:c>
      <x:c r="B14" s="24" t="str">
        <x:v>Guadeloupe  (France)</x:v>
      </x:c>
      <x:c r="C14" s="24" t="str">
        <x:v>EEZ</x:v>
      </x:c>
      <x:c r="D14" s="30" t="n">
        <x:v>2019</x:v>
      </x:c>
      <x:c r="E14" s="24" t="str">
        <x:v>Mullidae</x:v>
      </x:c>
      <x:c r="F14" s="24" t="str">
        <x:v>Goatfishes</x:v>
      </x:c>
      <x:c r="G14" s="24" t="str">
        <x:v>Medium reef assoc. fish (30 - 89 cm)</x:v>
      </x:c>
      <x:c r="H14" s="24" t="str">
        <x:v>Perch-likes</x:v>
      </x:c>
      <x:c r="I14" s="31" t="n">
        <x:v>51.6002126894</x:v>
      </x:c>
      <x:c r="J14" s="31" t="n">
        <x:v>51.6002126894</x:v>
      </x:c>
      <x:c r="K14" s="31" t="n">
        <x:v>0</x:v>
      </x:c>
      <x:c r="L14" s="31" t="n">
        <x:v>0</x:v>
      </x:c>
      <x:c r="M14" s="31" t="n">
        <x:v>51.6002126894</x:v>
      </x:c>
      <x:c r="N14" s="24" t="str">
        <x:v>mullidae</x:v>
      </x:c>
      <x:c r="O14" s="32" t="n">
        <x:v>3.46</x:v>
      </x:c>
      <x:c r="P14" s="24" t="str">
        <x:v>exact_sea_around_us</x:v>
      </x:c>
      <x:c r="Q14" s="32" t="str">
        <x:v>Sea Around Us exploited organisms</x:v>
      </x:c>
      <x:c r="R14" s="24" t="str">
        <x:v>high</x:v>
      </x:c>
      <x:c r="S14" s="24" t="str">
        <x:v>Mullidae</x:v>
      </x:c>
      <x:c r="T14" s="32" t="n">
        <x:f>IF(O14="","",(1/'Metadata'!$B$5)^(O14-1))</x:f>
        <x:v>288.40315031266056</x:v>
      </x:c>
      <x:c r="U14" s="31" t="n">
        <x:f>IF(T14="","",I14*T14)</x:f>
        <x:v>14881.663896426284</x:v>
      </x:c>
    </x:row>
    <x:row r="15" ht="18" customHeight="1">
      <x:c r="A15" s="24" t="str">
        <x:v>EEZ_312</x:v>
      </x:c>
      <x:c r="B15" s="24" t="str">
        <x:v>Guadeloupe  (France)</x:v>
      </x:c>
      <x:c r="C15" s="24" t="str">
        <x:v>EEZ</x:v>
      </x:c>
      <x:c r="D15" s="30" t="n">
        <x:v>2019</x:v>
      </x:c>
      <x:c r="E15" s="24" t="str">
        <x:v>Sphyraenidae</x:v>
      </x:c>
      <x:c r="F15" s="24" t="str">
        <x:v>Barracudas</x:v>
      </x:c>
      <x:c r="G15" s="24" t="str">
        <x:v>Medium reef assoc. fish (30 - 89 cm)</x:v>
      </x:c>
      <x:c r="H15" s="24" t="str">
        <x:v>Perch-likes</x:v>
      </x:c>
      <x:c r="I15" s="31" t="n">
        <x:v>34.9001817555</x:v>
      </x:c>
      <x:c r="J15" s="31" t="n">
        <x:v>34.9001817555</x:v>
      </x:c>
      <x:c r="K15" s="31" t="n">
        <x:v>0</x:v>
      </x:c>
      <x:c r="L15" s="31" t="n">
        <x:v>0</x:v>
      </x:c>
      <x:c r="M15" s="31" t="n">
        <x:v>34.9001817555</x:v>
      </x:c>
      <x:c r="N15" s="24" t="str">
        <x:v>sphyraenidae</x:v>
      </x:c>
      <x:c r="O15" s="32" t="n">
        <x:v>4.4</x:v>
      </x:c>
      <x:c r="P15" s="24" t="str">
        <x:v>exact_sea_around_us</x:v>
      </x:c>
      <x:c r="Q15" s="32" t="str">
        <x:v>Sea Around Us exploited organisms</x:v>
      </x:c>
      <x:c r="R15" s="24" t="str">
        <x:v>high</x:v>
      </x:c>
      <x:c r="S15" s="24" t="str">
        <x:v>Sphyraenidae</x:v>
      </x:c>
      <x:c r="T15" s="32" t="n">
        <x:f>IF(O15="","",(1/'Metadata'!$B$5)^(O15-1))</x:f>
        <x:v>2511.886431509582</x:v>
      </x:c>
      <x:c r="U15" s="31" t="n">
        <x:f>IF(T15="","",I15*T15)</x:f>
        <x:v>87665.29300885872</x:v>
      </x:c>
    </x:row>
    <x:row r="16" ht="18" customHeight="1">
      <x:c r="A16" s="24" t="str">
        <x:v>EEZ_312</x:v>
      </x:c>
      <x:c r="B16" s="24" t="str">
        <x:v>Guadeloupe  (France)</x:v>
      </x:c>
      <x:c r="C16" s="24" t="str">
        <x:v>EEZ</x:v>
      </x:c>
      <x:c r="D16" s="30" t="n">
        <x:v>2019</x:v>
      </x:c>
      <x:c r="E16" s="24" t="str">
        <x:v>Sciaenidae</x:v>
      </x:c>
      <x:c r="F16" s="24" t="str">
        <x:v>Drums, croakers</x:v>
      </x:c>
      <x:c r="G16" s="24" t="str">
        <x:v>Medium demersals (30 - 89 cm)</x:v>
      </x:c>
      <x:c r="H16" s="24" t="str">
        <x:v>Perch-likes</x:v>
      </x:c>
      <x:c r="I16" s="31" t="n">
        <x:v>24.9111890493</x:v>
      </x:c>
      <x:c r="J16" s="31" t="n">
        <x:v>24.9111890493</x:v>
      </x:c>
      <x:c r="K16" s="31" t="n">
        <x:v>0</x:v>
      </x:c>
      <x:c r="L16" s="31" t="n">
        <x:v>0</x:v>
      </x:c>
      <x:c r="M16" s="31" t="n">
        <x:v>24.9111890493</x:v>
      </x:c>
      <x:c r="N16" s="24" t="str">
        <x:v>sciaenidae</x:v>
      </x:c>
      <x:c r="O16" s="32" t="n">
        <x:v>3.76</x:v>
      </x:c>
      <x:c r="P16" s="24" t="str">
        <x:v>exact_sea_around_us</x:v>
      </x:c>
      <x:c r="Q16" s="32" t="str">
        <x:v>Sea Around Us exploited organisms</x:v>
      </x:c>
      <x:c r="R16" s="24" t="str">
        <x:v>high</x:v>
      </x:c>
      <x:c r="S16" s="24" t="str">
        <x:v>Sciaenidae</x:v>
      </x:c>
      <x:c r="T16" s="32" t="n">
        <x:f>IF(O16="","",(1/'Metadata'!$B$5)^(O16-1))</x:f>
        <x:v>575.4399373371566</x:v>
      </x:c>
      <x:c r="U16" s="31" t="n">
        <x:f>IF(T16="","",I16*T16)</x:f>
        <x:v>14334.893065523253</x:v>
      </x:c>
    </x:row>
    <x:row r="17" ht="18" customHeight="1">
      <x:c r="A17" s="24" t="str">
        <x:v>EEZ_312</x:v>
      </x:c>
      <x:c r="B17" s="24" t="str">
        <x:v>Guadeloupe  (France)</x:v>
      </x:c>
      <x:c r="C17" s="24" t="str">
        <x:v>EEZ</x:v>
      </x:c>
      <x:c r="D17" s="30" t="n">
        <x:v>2019</x:v>
      </x:c>
      <x:c r="E17" s="24" t="str">
        <x:v>Carcharhinidae</x:v>
      </x:c>
      <x:c r="F17" s="24" t="str">
        <x:v>Requiem sharks</x:v>
      </x:c>
      <x:c r="G17" s="24" t="str">
        <x:v>Large sharks (&gt;=90 cm)</x:v>
      </x:c>
      <x:c r="H17" s="24" t="str">
        <x:v>Sharks &amp; rays</x:v>
      </x:c>
      <x:c r="I17" s="31" t="n">
        <x:v>19.4262417599</x:v>
      </x:c>
      <x:c r="J17" s="31" t="n">
        <x:v>19.4262417599</x:v>
      </x:c>
      <x:c r="K17" s="31" t="n">
        <x:v>0</x:v>
      </x:c>
      <x:c r="L17" s="31" t="n">
        <x:v>0</x:v>
      </x:c>
      <x:c r="M17" s="31" t="n">
        <x:v>19.4262417599</x:v>
      </x:c>
      <x:c r="N17" s="24" t="str">
        <x:v>carcharhinidae</x:v>
      </x:c>
      <x:c r="O17" s="32" t="n">
        <x:v>4.24</x:v>
      </x:c>
      <x:c r="P17" s="24" t="str">
        <x:v>exact_sea_around_us</x:v>
      </x:c>
      <x:c r="Q17" s="32" t="str">
        <x:v>Sea Around Us exploited organisms</x:v>
      </x:c>
      <x:c r="R17" s="24" t="str">
        <x:v>high</x:v>
      </x:c>
      <x:c r="S17" s="24" t="str">
        <x:v>Carcharhinidae</x:v>
      </x:c>
      <x:c r="T17" s="32" t="n">
        <x:f>IF(O17="","",(1/'Metadata'!$B$5)^(O17-1))</x:f>
        <x:v>1737.8008287493763</x:v>
      </x:c>
      <x:c r="U17" s="31" t="n">
        <x:f>IF(T17="","",I17*T17)</x:f>
        <x:v>33758.93902983997</x:v>
      </x:c>
    </x:row>
    <x:row r="18" ht="18" customHeight="1">
      <x:c r="A18" s="24" t="str">
        <x:v>EEZ_312</x:v>
      </x:c>
      <x:c r="B18" s="24" t="str">
        <x:v>Guadeloupe  (France)</x:v>
      </x:c>
      <x:c r="C18" s="24" t="str">
        <x:v>EEZ</x:v>
      </x:c>
      <x:c r="D18" s="30" t="n">
        <x:v>2019</x:v>
      </x:c>
      <x:c r="E18" s="24" t="str">
        <x:v>Kyphosus sectatrix</x:v>
      </x:c>
      <x:c r="F18" s="24" t="str">
        <x:v>Bermuda sea chub</x:v>
      </x:c>
      <x:c r="G18" s="24" t="str">
        <x:v>Medium reef assoc. fish (30 - 89 cm)</x:v>
      </x:c>
      <x:c r="H18" s="24" t="str">
        <x:v>Perch-likes</x:v>
      </x:c>
      <x:c r="I18" s="31" t="n">
        <x:v>4.8711746802</x:v>
      </x:c>
      <x:c r="J18" s="31" t="n">
        <x:v>4.8711746802</x:v>
      </x:c>
      <x:c r="K18" s="31" t="n">
        <x:v>0</x:v>
      </x:c>
      <x:c r="L18" s="31" t="n">
        <x:v>0</x:v>
      </x:c>
      <x:c r="M18" s="31" t="n">
        <x:v>4.8711746802</x:v>
      </x:c>
      <x:c r="N18" s="24" t="str">
        <x:v>kyphosus sectatrix</x:v>
      </x:c>
      <x:c r="O18" s="32" t="n">
        <x:v>2</x:v>
      </x:c>
      <x:c r="P18" s="24" t="str">
        <x:v>exact_2020_supplement</x:v>
      </x:c>
      <x:c r="Q18" s="32" t="str">
        <x:v>2020 supplement MeanTL</x:v>
      </x:c>
      <x:c r="R18" s="24" t="str">
        <x:v>high</x:v>
      </x:c>
      <x:c r="S18" s="24" t="str">
        <x:v>Kyphosus sectatrix</x:v>
      </x:c>
      <x:c r="T18" s="32" t="n">
        <x:f>IF(O18="","",(1/'Metadata'!$B$5)^(O18-1))</x:f>
        <x:v>10</x:v>
      </x:c>
      <x:c r="U18" s="31" t="n">
        <x:f>IF(T18="","",I18*T18)</x:f>
        <x:v>48.711746802</x:v>
      </x:c>
    </x:row>
    <x:row r="19" ht="18" customHeight="1">
      <x:c r="A19" s="24" t="str">
        <x:v>EEZ_312</x:v>
      </x:c>
      <x:c r="B19" s="24" t="str">
        <x:v>Guadeloupe  (France)</x:v>
      </x:c>
      <x:c r="C19" s="24" t="str">
        <x:v>EEZ</x:v>
      </x:c>
      <x:c r="D19" s="30" t="n">
        <x:v>2019</x:v>
      </x:c>
      <x:c r="E19" s="24" t="str">
        <x:v>Octopus vulgaris</x:v>
      </x:c>
      <x:c r="F19" s="24" t="str">
        <x:v>Common octopus</x:v>
      </x:c>
      <x:c r="G19" s="24" t="str">
        <x:v>Cephalopods</x:v>
      </x:c>
      <x:c r="H19" s="24" t="str">
        <x:v>Other fishes &amp; inverts</x:v>
      </x:c>
      <x:c r="I19" s="31" t="n">
        <x:v>3.8357682484</x:v>
      </x:c>
      <x:c r="J19" s="31" t="n">
        <x:v>3.8357682484</x:v>
      </x:c>
      <x:c r="K19" s="31" t="n">
        <x:v>0</x:v>
      </x:c>
      <x:c r="L19" s="31" t="n">
        <x:v>0</x:v>
      </x:c>
      <x:c r="M19" s="31" t="n">
        <x:v>3.8357682484</x:v>
      </x:c>
      <x:c r="N19" s="24" t="str">
        <x:v>octopus vulgaris</x:v>
      </x:c>
      <x:c r="O19" s="32" t="n">
        <x:v>3.6</x:v>
      </x:c>
      <x:c r="P19" s="24" t="str">
        <x:v>exact_2020_supplement</x:v>
      </x:c>
      <x:c r="Q19" s="32" t="str">
        <x:v>2020 supplement MeanTL</x:v>
      </x:c>
      <x:c r="R19" s="24" t="str">
        <x:v>high</x:v>
      </x:c>
      <x:c r="S19" s="24" t="str">
        <x:v>Octopus vulgaris</x:v>
      </x:c>
      <x:c r="T19" s="32" t="n">
        <x:f>IF(O19="","",(1/'Metadata'!$B$5)^(O19-1))</x:f>
        <x:v>398.1071705534973</x:v>
      </x:c>
      <x:c r="U19" s="31" t="n">
        <x:f>IF(T19="","",I19*T19)</x:f>
        <x:v>1527.0468442694685</x:v>
      </x:c>
    </x:row>
    <x:row r="20" ht="18" customHeight="1">
      <x:c r="A20" s="24" t="str">
        <x:v>EEZ_312</x:v>
      </x:c>
      <x:c r="B20" s="24" t="str">
        <x:v>Guadeloupe  (France)</x:v>
      </x:c>
      <x:c r="C20" s="24" t="str">
        <x:v>EEZ</x:v>
      </x:c>
      <x:c r="D20" s="30" t="n">
        <x:v>2019</x:v>
      </x:c>
      <x:c r="E20" s="24" t="str">
        <x:v>Dasyatidae</x:v>
      </x:c>
      <x:c r="F20" s="24" t="str">
        <x:v>Whiptail stingrays</x:v>
      </x:c>
      <x:c r="G20" s="24" t="str">
        <x:v>Large rays (&gt;=90 cm)</x:v>
      </x:c>
      <x:c r="H20" s="24" t="str">
        <x:v>Sharks &amp; rays</x:v>
      </x:c>
      <x:c r="I20" s="31" t="n">
        <x:v>2.9754414797</x:v>
      </x:c>
      <x:c r="J20" s="31" t="n">
        <x:v>2.9754414797</x:v>
      </x:c>
      <x:c r="K20" s="31" t="n">
        <x:v>0</x:v>
      </x:c>
      <x:c r="L20" s="31" t="n">
        <x:v>0</x:v>
      </x:c>
      <x:c r="M20" s="31" t="n">
        <x:v>2.9754414797</x:v>
      </x:c>
      <x:c r="N20" s="24" t="str">
        <x:v>dasyatidae</x:v>
      </x:c>
      <x:c r="O20" s="32" t="n">
        <x:v>3.38</x:v>
      </x:c>
      <x:c r="P20" s="24" t="str">
        <x:v>exact_sea_around_us</x:v>
      </x:c>
      <x:c r="Q20" s="32" t="str">
        <x:v>Sea Around Us exploited organisms</x:v>
      </x:c>
      <x:c r="R20" s="24" t="str">
        <x:v>high</x:v>
      </x:c>
      <x:c r="S20" s="24" t="str">
        <x:v>Dasyatidae</x:v>
      </x:c>
      <x:c r="T20" s="32" t="n">
        <x:f>IF(O20="","",(1/'Metadata'!$B$5)^(O20-1))</x:f>
        <x:v>239.88329190194898</x:v>
      </x:c>
      <x:c r="U20" s="31" t="n">
        <x:f>IF(T20="","",I20*T20)</x:f>
        <x:v>713.7586970120421</x:v>
      </x:c>
    </x:row>
    <x:row r="21" ht="18" customHeight="1">
      <x:c r="A21" s="24" t="str">
        <x:v>EEZ_312</x:v>
      </x:c>
      <x:c r="B21" s="24" t="str">
        <x:v>Guadeloupe  (France)</x:v>
      </x:c>
      <x:c r="C21" s="24" t="str">
        <x:v>EEZ</x:v>
      </x:c>
      <x:c r="D21" s="30" t="n">
        <x:v>2019</x:v>
      </x:c>
      <x:c r="E21" s="24" t="str">
        <x:v>Albulidae</x:v>
      </x:c>
      <x:c r="F21" s="24" t="str">
        <x:v>Bonefishes</x:v>
      </x:c>
      <x:c r="G21" s="24" t="str">
        <x:v>Medium reef assoc. fish (30 - 89 cm)</x:v>
      </x:c>
      <x:c r="H21" s="24" t="str">
        <x:v>Other fishes &amp; inverts</x:v>
      </x:c>
      <x:c r="I21" s="31" t="n">
        <x:v>1.3143624602</x:v>
      </x:c>
      <x:c r="J21" s="31" t="n">
        <x:v>1.3143624602</x:v>
      </x:c>
      <x:c r="K21" s="31" t="n">
        <x:v>0</x:v>
      </x:c>
      <x:c r="L21" s="31" t="n">
        <x:v>0</x:v>
      </x:c>
      <x:c r="M21" s="31" t="n">
        <x:v>1.3143624602</x:v>
      </x:c>
      <x:c r="N21" s="24" t="str">
        <x:v>albulidae</x:v>
      </x:c>
      <x:c r="O21" s="32" t="n">
        <x:v>3.47</x:v>
      </x:c>
      <x:c r="P21" s="24" t="str">
        <x:v>exact_sea_around_us</x:v>
      </x:c>
      <x:c r="Q21" s="32" t="str">
        <x:v>Sea Around Us exploited organisms</x:v>
      </x:c>
      <x:c r="R21" s="24" t="str">
        <x:v>high</x:v>
      </x:c>
      <x:c r="S21" s="24" t="str">
        <x:v>Albulidae</x:v>
      </x:c>
      <x:c r="T21" s="32" t="n">
        <x:f>IF(O21="","",(1/'Metadata'!$B$5)^(O21-1))</x:f>
        <x:v>295.1209226666387</x:v>
      </x:c>
      <x:c r="U21" s="31" t="n">
        <x:f>IF(T21="","",I21*T21)</x:f>
        <x:v>387.8958619726172</x:v>
      </x:c>
    </x:row>
    <x:row r="22" ht="18" customHeight="1">
      <x:c r="A22" s="24" t="str">
        <x:v>EEZ_312</x:v>
      </x:c>
      <x:c r="B22" s="24" t="str">
        <x:v>Guadeloupe  (France)</x:v>
      </x:c>
      <x:c r="C22" s="24" t="str">
        <x:v>EEZ</x:v>
      </x:c>
      <x:c r="D22" s="30" t="n">
        <x:v>2019</x:v>
      </x:c>
      <x:c r="E22" s="24" t="str">
        <x:v>Sparidae</x:v>
      </x:c>
      <x:c r="F22" s="24" t="str">
        <x:v>Porgies, seabreams</x:v>
      </x:c>
      <x:c r="G22" s="24" t="str">
        <x:v>Medium benthopelagics (30 - 89 cm)</x:v>
      </x:c>
      <x:c r="H22" s="24" t="str">
        <x:v>Perch-likes</x:v>
      </x:c>
      <x:c r="I22" s="31" t="n">
        <x:v>0.5213311805</x:v>
      </x:c>
      <x:c r="J22" s="31" t="n">
        <x:v>0.5213311805</x:v>
      </x:c>
      <x:c r="K22" s="31" t="n">
        <x:v>0</x:v>
      </x:c>
      <x:c r="L22" s="31" t="n">
        <x:v>0</x:v>
      </x:c>
      <x:c r="M22" s="31" t="n">
        <x:v>0.5213311805</x:v>
      </x:c>
      <x:c r="N22" s="24" t="str">
        <x:v>sparidae</x:v>
      </x:c>
      <x:c r="O22" s="32" t="n">
        <x:v>3.31</x:v>
      </x:c>
      <x:c r="P22" s="24" t="str">
        <x:v>exact_sea_around_us</x:v>
      </x:c>
      <x:c r="Q22" s="32" t="str">
        <x:v>Sea Around Us exploited organisms</x:v>
      </x:c>
      <x:c r="R22" s="24" t="str">
        <x:v>high</x:v>
      </x:c>
      <x:c r="S22" s="24" t="str">
        <x:v>Sparidae</x:v>
      </x:c>
      <x:c r="T22" s="32" t="n">
        <x:f>IF(O22="","",(1/'Metadata'!$B$5)^(O22-1))</x:f>
        <x:v>204.17379446695296</x:v>
      </x:c>
      <x:c r="U22" s="31" t="n">
        <x:f>IF(T22="","",I22*T22)</x:f>
        <x:v>106.44216529662096</x:v>
      </x:c>
    </x:row>
    <x:row r="23" ht="18" customHeight="1">
      <x:c r="A23" s="24" t="str">
        <x:v>EEZ_312</x:v>
      </x:c>
      <x:c r="B23" s="24" t="str">
        <x:v>Guadeloupe  (France)</x:v>
      </x:c>
      <x:c r="C23" s="24" t="str">
        <x:v>EEZ</x:v>
      </x:c>
      <x:c r="D23" s="30" t="n">
        <x:v>2019</x:v>
      </x:c>
      <x:c r="E23" s="24" t="str">
        <x:v>Callinectes</x:v>
      </x:c>
      <x:c r="F23" s="24" t="str">
        <x:v>Beautiful swimming crabs</x:v>
      </x:c>
      <x:c r="G23" s="24" t="str">
        <x:v>Lobsters, crabs</x:v>
      </x:c>
      <x:c r="H23" s="24" t="str">
        <x:v>Crustaceans</x:v>
      </x:c>
      <x:c r="I23" s="31" t="n">
        <x:v>0.2091018073</x:v>
      </x:c>
      <x:c r="J23" s="31" t="n">
        <x:v>0.2091018073</x:v>
      </x:c>
      <x:c r="K23" s="31" t="n">
        <x:v>0</x:v>
      </x:c>
      <x:c r="L23" s="31" t="n">
        <x:v>0</x:v>
      </x:c>
      <x:c r="M23" s="31" t="n">
        <x:v>0.2091018073</x:v>
      </x:c>
      <x:c r="N23" s="24" t="str">
        <x:v>callinectes</x:v>
      </x:c>
      <x:c r="O23" s="32" t="n">
        <x:v>3.63</x:v>
      </x:c>
      <x:c r="P23" s="24" t="str">
        <x:v>exact_sea_around_us</x:v>
      </x:c>
      <x:c r="Q23" s="32" t="str">
        <x:v>Sea Around Us exploited organisms</x:v>
      </x:c>
      <x:c r="R23" s="24" t="str">
        <x:v>high</x:v>
      </x:c>
      <x:c r="S23" s="24" t="str">
        <x:v>Callinectes</x:v>
      </x:c>
      <x:c r="T23" s="32" t="n">
        <x:f>IF(O23="","",(1/'Metadata'!$B$5)^(O23-1))</x:f>
        <x:v>426.57951880159254</x:v>
      </x:c>
      <x:c r="U23" s="31" t="n">
        <x:f>IF(T23="","",I23*T23)</x:f>
        <x:v>89.19854833857733</x:v>
      </x:c>
    </x:row>
    <x:row r="24" ht="18" customHeight="1">
      <x:c r="A24" s="24" t="str">
        <x:v>EEZ_312</x:v>
      </x:c>
      <x:c r="B24" s="24" t="str">
        <x:v>Guadeloupe  (France)</x:v>
      </x:c>
      <x:c r="C24" s="24" t="str">
        <x:v>EEZ</x:v>
      </x:c>
      <x:c r="D24" s="30" t="n">
        <x:v>2019</x:v>
      </x:c>
      <x:c r="E24" s="24" t="str">
        <x:v>Megalops atlanticus</x:v>
      </x:c>
      <x:c r="F24" s="24" t="str">
        <x:v>Tarpon</x:v>
      </x:c>
      <x:c r="G24" s="24" t="str">
        <x:v>Large pelagics (&gt;=90 cm)</x:v>
      </x:c>
      <x:c r="H24" s="24" t="str">
        <x:v>Other fishes &amp; inverts</x:v>
      </x:c>
      <x:c r="I24" s="31" t="n">
        <x:v>0.1010429764</x:v>
      </x:c>
      <x:c r="J24" s="31" t="n">
        <x:v>0.1010429764</x:v>
      </x:c>
      <x:c r="K24" s="31" t="n">
        <x:v>0</x:v>
      </x:c>
      <x:c r="L24" s="31" t="n">
        <x:v>0</x:v>
      </x:c>
      <x:c r="M24" s="31" t="n">
        <x:v>0.1010429764</x:v>
      </x:c>
      <x:c r="N24" s="24" t="str">
        <x:v>megalops atlanticus</x:v>
      </x:c>
      <x:c r="O24" s="32" t="n">
        <x:v>4.5</x:v>
      </x:c>
      <x:c r="P24" s="24" t="str">
        <x:v>exact_2020_supplement</x:v>
      </x:c>
      <x:c r="Q24" s="32" t="str">
        <x:v>2020 supplement MeanTL</x:v>
      </x:c>
      <x:c r="R24" s="24" t="str">
        <x:v>high</x:v>
      </x:c>
      <x:c r="S24" s="24" t="str">
        <x:v>Megalops atlanticus</x:v>
      </x:c>
      <x:c r="T24" s="32" t="n">
        <x:f>IF(O24="","",(1/'Metadata'!$B$5)^(O24-1))</x:f>
        <x:v>3162.2776601683795</x:v>
      </x:c>
      <x:c r="U24" s="31" t="n">
        <x:f>IF(T24="","",I24*T24)</x:f>
        <x:v>319.5259469866408</x:v>
      </x:c>
    </x:row>
  </x:sheetData>
  <x:conditionalFormatting sqref="R2:R24">
    <x:cfRule type="containsText" dxfId="0" priority="1" operator="containsText" text="low"/>
  </x:conditionalFormatting>
  <x:pageMargins left="0.7" right="0.7" top="0.75" bottom="0.75" header="0.3" footer="0.3"/>
  <x:tableParts count="1">
    <x:tablePart xmlns:r="http://schemas.openxmlformats.org/officeDocument/2006/relationships" r:id="R2a3f9f9b18b84872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6" hidden="0" customWidth="1"/>
    <x:col min="2" max="2" width="22" hidden="0" customWidth="1"/>
    <x:col min="3" max="3" width="22" hidden="0" customWidth="1"/>
    <x:col min="4" max="4" width="18" hidden="0" customWidth="1"/>
    <x:col min="5" max="5" width="18" hidden="0" customWidth="1"/>
    <x:col min="6" max="6" width="18" hidden="0" customWidth="1"/>
    <x:col min="7" max="7" width="16" hidden="0" customWidth="1"/>
    <x:col min="8" max="8" width="18" hidden="0" customWidth="1"/>
    <x:col min="9" max="9" width="18" hidden="0" customWidth="1"/>
    <x:col min="10" max="10" width="15" hidden="0" customWidth="1"/>
    <x:col min="11" max="11" width="18" hidden="0" customWidth="1"/>
    <x:col min="12" max="12" width="18" hidden="0" customWidth="1"/>
    <x:col min="13" max="13" width="18" hidden="0" customWidth="1"/>
    <x:col min="14" max="14" width="16" hidden="0" customWidth="1"/>
    <x:col min="15" max="15" width="16" hidden="0" customWidth="1"/>
  </x:cols>
  <x:sheetData>
    <x:row r="1" ht="32" customHeight="1">
      <x:c r="A1" s="29" t="str">
        <x:v>commercial_group</x:v>
      </x:c>
      <x:c r="B1" s="29" t="str">
        <x:v>taxon_count_total</x:v>
      </x:c>
      <x:c r="C1" s="29" t="str">
        <x:v>taxon_count_matched</x:v>
      </x:c>
      <x:c r="D1" s="29" t="str">
        <x:v>catch_tonnes_total</x:v>
      </x:c>
      <x:c r="E1" s="29" t="str">
        <x:v>catch_tonnes_matched</x:v>
      </x:c>
      <x:c r="F1" s="29" t="str">
        <x:v>catch_tonnes_missing_tl</x:v>
      </x:c>
      <x:c r="G1" s="29" t="str">
        <x:v>catch_coverage_fraction</x:v>
      </x:c>
      <x:c r="H1" s="29" t="str">
        <x:v>sppr_correct</x:v>
      </x:c>
      <x:c r="I1" s="29" t="str">
        <x:v>ppr_correct</x:v>
      </x:c>
      <x:c r="J1" s="29" t="str">
        <x:v>tl_weighted_jensen</x:v>
      </x:c>
      <x:c r="K1" s="29" t="str">
        <x:v>sppr_jensen</x:v>
      </x:c>
      <x:c r="L1" s="29" t="str">
        <x:v>ppr_jensen</x:v>
      </x:c>
      <x:c r="M1" s="29" t="str">
        <x:v>jensen_difference</x:v>
      </x:c>
      <x:c r="N1" s="29" t="str">
        <x:v>jensen_ratio_correct_to_error</x:v>
      </x:c>
      <x:c r="O1" s="29" t="str">
        <x:v>jensen_percent_difference</x:v>
      </x:c>
    </x:row>
    <x:row r="2" ht="18" customHeight="1">
      <x:c r="A2" s="24" t="str">
        <x:v>Crustaceans</x:v>
      </x:c>
      <x:c r="B2" s="33" t="n">
        <x:v>3</x:v>
      </x:c>
      <x:c r="C2" s="33" t="n">
        <x:v>3</x:v>
      </x:c>
      <x:c r="D2" s="31" t="n">
        <x:v>152.40301409339997</x:v>
      </x:c>
      <x:c r="E2" s="31" t="n">
        <x:v>152.40301409339997</x:v>
      </x:c>
      <x:c r="F2" s="32" t="n">
        <x:v>0</x:v>
      </x:c>
      <x:c r="G2" s="34" t="n">
        <x:v>1</x:v>
      </x:c>
      <x:c r="H2" s="32" t="n">
        <x:f>IF(E2=0,"",I2/E2)</x:f>
        <x:v>105.52621616036413</x:v>
      </x:c>
      <x:c r="I2" s="31" t="n">
        <x:f>IF(C2=0,"",SUMIF('Species'!$H$2:$H$24,A2,'Species'!$U$2:$U$24))</x:f>
        <x:v>16082.513408711147</x:v>
      </x:c>
      <x:c r="J2" s="32" t="n">
        <x:v>2.954531848038555</x:v>
      </x:c>
      <x:c r="K2" s="32" t="n">
        <x:f>IF(J2="","",(1/'Metadata'!$B$5)^(J2-1))</x:f>
        <x:v>90.05998038513722</x:v>
      </x:c>
      <x:c r="L2" s="31" t="n">
        <x:f>IF(E2=0,"",E2*K2)</x:f>
        <x:v>13725.412459887393</x:v>
      </x:c>
      <x:c r="M2" s="31" t="n">
        <x:f>IF(E2=0,"",I2-L2)</x:f>
        <x:v>2357.100948823754</x:v>
      </x:c>
      <x:c r="N2" s="32" t="n">
        <x:f>IF(L2=0,"",I2/L2)</x:f>
        <x:v>1.1717326131883028</x:v>
      </x:c>
      <x:c r="O2" s="34" t="n">
        <x:f>IF(L2=0,"",M2/L2)</x:f>
        <x:v>0.17173261318830285</x:v>
      </x:c>
    </x:row>
    <x:row r="3" ht="18" customHeight="1">
      <x:c r="A3" s="24" t="str">
        <x:v>Herring-likes</x:v>
      </x:c>
      <x:c r="B3" s="33" t="n">
        <x:v>1</x:v>
      </x:c>
      <x:c r="C3" s="33" t="n">
        <x:v>1</x:v>
      </x:c>
      <x:c r="D3" s="31" t="n">
        <x:v>83.3481833159</x:v>
      </x:c>
      <x:c r="E3" s="31" t="n">
        <x:v>83.3481833159</x:v>
      </x:c>
      <x:c r="F3" s="32" t="n">
        <x:v>0</x:v>
      </x:c>
      <x:c r="G3" s="34" t="n">
        <x:v>1</x:v>
      </x:c>
      <x:c r="H3" s="32" t="n">
        <x:f>IF(E3=0,"",I3/E3)</x:f>
        <x:v>144.5439770745928</x:v>
      </x:c>
      <x:c r="I3" s="31" t="n">
        <x:f>IF(C3=0,"",SUMIF('Species'!$H$2:$H$24,A3,'Species'!$U$2:$U$24))</x:f>
        <x:v>12047.477898422407</x:v>
      </x:c>
      <x:c r="J3" s="32" t="n">
        <x:v>3.16</x:v>
      </x:c>
      <x:c r="K3" s="32" t="n">
        <x:f>IF(J3="","",(1/'Metadata'!$B$5)^(J3-1))</x:f>
        <x:v>144.5439770745928</x:v>
      </x:c>
      <x:c r="L3" s="31" t="n">
        <x:f>IF(E3=0,"",E3*K3)</x:f>
        <x:v>12047.477898422407</x:v>
      </x:c>
      <x:c r="M3" s="31" t="n">
        <x:f>IF(E3=0,"",I3-L3)</x:f>
        <x:v>0</x:v>
      </x:c>
      <x:c r="N3" s="32" t="n">
        <x:f>IF(L3=0,"",I3/L3)</x:f>
        <x:v>1</x:v>
      </x:c>
      <x:c r="O3" s="34" t="n">
        <x:f>IF(L3=0,"",M3/L3)</x:f>
        <x:v>0</x:v>
      </x:c>
    </x:row>
    <x:row r="4" ht="18" customHeight="1">
      <x:c r="A4" s="24" t="str">
        <x:v>Molluscs</x:v>
      </x:c>
      <x:c r="B4" s="33" t="n">
        <x:v>1</x:v>
      </x:c>
      <x:c r="C4" s="33" t="n">
        <x:v>1</x:v>
      </x:c>
      <x:c r="D4" s="31" t="n">
        <x:v>289.39056368729996</x:v>
      </x:c>
      <x:c r="E4" s="31" t="n">
        <x:v>289.39056368729996</x:v>
      </x:c>
      <x:c r="F4" s="32" t="n">
        <x:v>0</x:v>
      </x:c>
      <x:c r="G4" s="34" t="n">
        <x:v>1</x:v>
      </x:c>
      <x:c r="H4" s="32" t="n">
        <x:f>IF(E4=0,"",I4/E4)</x:f>
        <x:v>15.488166189124811</x:v>
      </x:c>
      <x:c r="I4" s="31" t="n">
        <x:f>IF(C4=0,"",SUMIF('Species'!$H$2:$H$24,A4,'Species'!$U$2:$U$24))</x:f>
        <x:v>4482.12914395341</x:v>
      </x:c>
      <x:c r="J4" s="32" t="n">
        <x:v>2.19</x:v>
      </x:c>
      <x:c r="K4" s="32" t="n">
        <x:f>IF(J4="","",(1/'Metadata'!$B$5)^(J4-1))</x:f>
        <x:v>15.488166189124811</x:v>
      </x:c>
      <x:c r="L4" s="31" t="n">
        <x:f>IF(E4=0,"",E4*K4)</x:f>
        <x:v>4482.12914395341</x:v>
      </x:c>
      <x:c r="M4" s="31" t="n">
        <x:f>IF(E4=0,"",I4-L4)</x:f>
        <x:v>0</x:v>
      </x:c>
      <x:c r="N4" s="32" t="n">
        <x:f>IF(L4=0,"",I4/L4)</x:f>
        <x:v>1</x:v>
      </x:c>
      <x:c r="O4" s="34" t="n">
        <x:f>IF(L4=0,"",M4/L4)</x:f>
        <x:v>0</x:v>
      </x:c>
    </x:row>
    <x:row r="5" ht="18" customHeight="1">
      <x:c r="A5" s="24" t="str">
        <x:v>Other fishes &amp; inverts</x:v>
      </x:c>
      <x:c r="B5" s="33" t="n">
        <x:v>5</x:v>
      </x:c>
      <x:c r="C5" s="33" t="n">
        <x:v>5</x:v>
      </x:c>
      <x:c r="D5" s="31" t="n">
        <x:v>2829.2985703730005</x:v>
      </x:c>
      <x:c r="E5" s="31" t="n">
        <x:v>2829.2985703730005</x:v>
      </x:c>
      <x:c r="F5" s="32" t="n">
        <x:v>0</x:v>
      </x:c>
      <x:c r="G5" s="34" t="n">
        <x:v>1</x:v>
      </x:c>
      <x:c r="H5" s="32" t="n">
        <x:f>IF(E5=0,"",I5/E5)</x:f>
        <x:v>176.9657375345267</x:v>
      </x:c>
      <x:c r="I5" s="31" t="n">
        <x:f>IF(C5=0,"",SUMIF('Species'!$H$2:$H$24,A5,'Species'!$U$2:$U$24))</x:f>
        <x:v>500688.9082114401</x:v>
      </x:c>
      <x:c r="J5" s="32" t="n">
        <x:v>3.228768330601051</x:v>
      </x:c>
      <x:c r="K5" s="32" t="n">
        <x:f>IF(J5="","",(1/'Metadata'!$B$5)^(J5-1))</x:f>
        <x:v>169.34342164495763</x:v>
      </x:c>
      <x:c r="L5" s="31" t="n">
        <x:f>IF(E5=0,"",E5*K5)</x:f>
        <x:v>479123.10076215083</x:v>
      </x:c>
      <x:c r="M5" s="31" t="n">
        <x:f>IF(E5=0,"",I5-L5)</x:f>
        <x:v>21565.80744928925</x:v>
      </x:c>
      <x:c r="N5" s="32" t="n">
        <x:f>IF(L5=0,"",I5/L5)</x:f>
        <x:v>1.0450109949092083</x:v>
      </x:c>
      <x:c r="O5" s="34" t="n">
        <x:f>IF(L5=0,"",M5/L5)</x:f>
        <x:v>0.04501099490920826</x:v>
      </x:c>
    </x:row>
    <x:row r="6" ht="18" customHeight="1">
      <x:c r="A6" s="24" t="str">
        <x:v>Perch-likes</x:v>
      </x:c>
      <x:c r="B6" s="33" t="n">
        <x:v>11</x:v>
      </x:c>
      <x:c r="C6" s="33" t="n">
        <x:v>11</x:v>
      </x:c>
      <x:c r="D6" s="31" t="n">
        <x:v>1655.9085564455002</x:v>
      </x:c>
      <x:c r="E6" s="31" t="n">
        <x:v>1655.9085564455002</x:v>
      </x:c>
      <x:c r="F6" s="32" t="n">
        <x:v>0</x:v>
      </x:c>
      <x:c r="G6" s="34" t="n">
        <x:v>1</x:v>
      </x:c>
      <x:c r="H6" s="32" t="n">
        <x:f>IF(E6=0,"",I6/E6)</x:f>
        <x:v>1490.3641168846423</x:v>
      </x:c>
      <x:c r="I6" s="31" t="n">
        <x:f>IF(C6=0,"",SUMIF('Species'!$H$2:$H$24,A6,'Species'!$U$2:$U$24))</x:f>
        <x:v>2467906.6933686207</x:v>
      </x:c>
      <x:c r="J6" s="32" t="n">
        <x:v>4.0957276180874596</x:v>
      </x:c>
      <x:c r="K6" s="32" t="n">
        <x:f>IF(J6="","",(1/'Metadata'!$B$5)^(J6-1))</x:f>
        <x:v>1246.6014223756479</x:v>
      </x:c>
      <x:c r="L6" s="31" t="n">
        <x:f>IF(E6=0,"",E6*K6)</x:f>
        <x:v>2064257.9617889663</x:v>
      </x:c>
      <x:c r="M6" s="31" t="n">
        <x:f>IF(E6=0,"",I6-L6)</x:f>
        <x:v>403648.7315796544</x:v>
      </x:c>
      <x:c r="N6" s="32" t="n">
        <x:f>IF(L6=0,"",I6/L6)</x:f>
        <x:v>1.195541806814608</x:v>
      </x:c>
      <x:c r="O6" s="34" t="n">
        <x:f>IF(L6=0,"",M6/L6)</x:f>
        <x:v>0.19554180681460795</x:v>
      </x:c>
    </x:row>
    <x:row r="7" ht="18" customHeight="1">
      <x:c r="A7" s="24" t="str">
        <x:v>Sharks &amp; rays</x:v>
      </x:c>
      <x:c r="B7" s="33" t="n">
        <x:v>2</x:v>
      </x:c>
      <x:c r="C7" s="33" t="n">
        <x:v>2</x:v>
      </x:c>
      <x:c r="D7" s="31" t="n">
        <x:v>22.4016832396</x:v>
      </x:c>
      <x:c r="E7" s="31" t="n">
        <x:v>22.4016832396</x:v>
      </x:c>
      <x:c r="F7" s="32" t="n">
        <x:v>0</x:v>
      </x:c>
      <x:c r="G7" s="34" t="n">
        <x:v>1</x:v>
      </x:c>
      <x:c r="H7" s="32" t="n">
        <x:f>IF(E7=0,"",I7/E7)</x:f>
        <x:v>1538.844084087118</x:v>
      </x:c>
      <x:c r="I7" s="31" t="n">
        <x:f>IF(C7=0,"",SUMIF('Species'!$H$2:$H$24,A7,'Species'!$U$2:$U$24))</x:f>
        <x:v>34472.697726852006</x:v>
      </x:c>
      <x:c r="J7" s="32" t="n">
        <x:v>4.125772883886752</x:v>
      </x:c>
      <x:c r="K7" s="32" t="n">
        <x:f>IF(J7="","",(1/'Metadata'!$B$5)^(J7-1))</x:f>
        <x:v>1335.896721073378</x:v>
      </x:c>
      <x:c r="L7" s="31" t="n">
        <x:f>IF(E7=0,"",E7*K7)</x:f>
        <x:v>29926.335186306093</x:v>
      </x:c>
      <x:c r="M7" s="31" t="n">
        <x:f>IF(E7=0,"",I7-L7)</x:f>
        <x:v>4546.362540545913</x:v>
      </x:c>
      <x:c r="N7" s="32" t="n">
        <x:f>IF(L7=0,"",I7/L7)</x:f>
        <x:v>1.1519184528356907</x:v>
      </x:c>
      <x:c r="O7" s="34" t="n">
        <x:f>IF(L7=0,"",M7/L7)</x:f>
        <x:v>0.1519184528356907</x:v>
      </x:c>
    </x:row>
  </x:sheetData>
  <x:conditionalFormatting sqref="G2:G7">
    <x:cfRule type="cellIs" dxfId="1" priority="1" operator="lessThan">
      <x:formula>0.9</x:formula>
    </x:cfRule>
  </x:conditionalFormatting>
  <x:conditionalFormatting sqref="O2:O7">
    <x:cfRule type="dataBar" priority="2">
      <x:dataBar>
        <x:cfvo type="min"/>
        <x:cfvo type="max"/>
        <x:color rgb="FFE28A32"/>
      </x:dataBar>
    </x:cfRule>
  </x:conditionalFormatting>
  <x:pageMargins left="0.7" right="0.7" top="0.75" bottom="0.75" header="0.3" footer="0.3"/>
  <x:tableParts count="1">
    <x:tablePart xmlns:r="http://schemas.openxmlformats.org/officeDocument/2006/relationships" r:id="Rcb68e7ce68864d6d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22" hidden="0" customWidth="1"/>
    <x:col min="3" max="3" width="22" hidden="0" customWidth="1"/>
    <x:col min="4" max="4" width="18" hidden="0" customWidth="1"/>
    <x:col min="5" max="5" width="18" hidden="0" customWidth="1"/>
    <x:col min="6" max="6" width="18" hidden="0" customWidth="1"/>
    <x:col min="7" max="7" width="16" hidden="0" customWidth="1"/>
    <x:col min="8" max="8" width="18" hidden="0" customWidth="1"/>
    <x:col min="9" max="9" width="18" hidden="0" customWidth="1"/>
    <x:col min="10" max="10" width="15" hidden="0" customWidth="1"/>
    <x:col min="11" max="11" width="18" hidden="0" customWidth="1"/>
    <x:col min="12" max="12" width="18" hidden="0" customWidth="1"/>
    <x:col min="13" max="13" width="18" hidden="0" customWidth="1"/>
    <x:col min="14" max="14" width="16" hidden="0" customWidth="1"/>
    <x:col min="15" max="15" width="16" hidden="0" customWidth="1"/>
  </x:cols>
  <x:sheetData>
    <x:row r="1" ht="32" customHeight="1">
      <x:c r="A1" s="29" t="str">
        <x:v>functional_group</x:v>
      </x:c>
      <x:c r="B1" s="29" t="str">
        <x:v>taxon_count_total</x:v>
      </x:c>
      <x:c r="C1" s="29" t="str">
        <x:v>taxon_count_matched</x:v>
      </x:c>
      <x:c r="D1" s="29" t="str">
        <x:v>catch_tonnes_total</x:v>
      </x:c>
      <x:c r="E1" s="29" t="str">
        <x:v>catch_tonnes_matched</x:v>
      </x:c>
      <x:c r="F1" s="29" t="str">
        <x:v>catch_tonnes_missing_tl</x:v>
      </x:c>
      <x:c r="G1" s="29" t="str">
        <x:v>catch_coverage_fraction</x:v>
      </x:c>
      <x:c r="H1" s="29" t="str">
        <x:v>sppr_correct</x:v>
      </x:c>
      <x:c r="I1" s="29" t="str">
        <x:v>ppr_correct</x:v>
      </x:c>
      <x:c r="J1" s="29" t="str">
        <x:v>tl_weighted_jensen</x:v>
      </x:c>
      <x:c r="K1" s="29" t="str">
        <x:v>sppr_jensen</x:v>
      </x:c>
      <x:c r="L1" s="29" t="str">
        <x:v>ppr_jensen</x:v>
      </x:c>
      <x:c r="M1" s="29" t="str">
        <x:v>jensen_difference</x:v>
      </x:c>
      <x:c r="N1" s="29" t="str">
        <x:v>jensen_ratio_correct_to_error</x:v>
      </x:c>
      <x:c r="O1" s="29" t="str">
        <x:v>jensen_percent_difference</x:v>
      </x:c>
    </x:row>
    <x:row r="2" ht="18" customHeight="1">
      <x:c r="A2" s="24" t="str">
        <x:v>Cephalopods</x:v>
      </x:c>
      <x:c r="B2" s="33" t="n">
        <x:v>1</x:v>
      </x:c>
      <x:c r="C2" s="33" t="n">
        <x:v>1</x:v>
      </x:c>
      <x:c r="D2" s="31" t="n">
        <x:v>3.8357682484</x:v>
      </x:c>
      <x:c r="E2" s="31" t="n">
        <x:v>3.8357682484</x:v>
      </x:c>
      <x:c r="F2" s="32" t="n">
        <x:v>0</x:v>
      </x:c>
      <x:c r="G2" s="34" t="n">
        <x:v>1</x:v>
      </x:c>
      <x:c r="H2" s="32" t="n">
        <x:f>IF(E2=0,"",I2/E2)</x:f>
        <x:v>398.1071705534973</x:v>
      </x:c>
      <x:c r="I2" s="31" t="n">
        <x:f>IF(C2=0,"",SUMIF('Species'!$G$2:$G$24,A2,'Species'!$U$2:$U$24))</x:f>
        <x:v>1527.0468442694685</x:v>
      </x:c>
      <x:c r="J2" s="32" t="n">
        <x:v>3.6</x:v>
      </x:c>
      <x:c r="K2" s="32" t="n">
        <x:f>IF(J2="","",(1/'Metadata'!$B$5)^(J2-1))</x:f>
        <x:v>398.1071705534973</x:v>
      </x:c>
      <x:c r="L2" s="31" t="n">
        <x:f>IF(E2=0,"",E2*K2)</x:f>
        <x:v>1527.0468442694685</x:v>
      </x:c>
      <x:c r="M2" s="31" t="n">
        <x:f>IF(E2=0,"",I2-L2)</x:f>
        <x:v>0</x:v>
      </x:c>
      <x:c r="N2" s="32" t="n">
        <x:f>IF(L2=0,"",I2/L2)</x:f>
        <x:v>1</x:v>
      </x:c>
      <x:c r="O2" s="34" t="n">
        <x:f>IF(L2=0,"",M2/L2)</x:f>
        <x:v>0</x:v>
      </x:c>
    </x:row>
    <x:row r="3" ht="18" customHeight="1">
      <x:c r="A3" s="24" t="str">
        <x:v>Large pelagics (&gt;=90 cm)</x:v>
      </x:c>
      <x:c r="B3" s="33" t="n">
        <x:v>2</x:v>
      </x:c>
      <x:c r="C3" s="33" t="n">
        <x:v>2</x:v>
      </x:c>
      <x:c r="D3" s="31" t="n">
        <x:v>270.1010429764</x:v>
      </x:c>
      <x:c r="E3" s="31" t="n">
        <x:v>270.1010429764</x:v>
      </x:c>
      <x:c r="F3" s="32" t="n">
        <x:v>0</x:v>
      </x:c>
      <x:c r="G3" s="34" t="n">
        <x:v>1</x:v>
      </x:c>
      <x:c r="H3" s="32" t="n">
        <x:f>IF(E3=0,"",I3/E3)</x:f>
        <x:v>2344.534841869148</x:v>
      </x:c>
      <x:c r="I3" s="31" t="n">
        <x:f>IF(C3=0,"",SUMIF('Species'!$G$2:$G$24,A3,'Species'!$U$2:$U$24))</x:f>
        <x:v>633261.3060833658</x:v>
      </x:c>
      <x:c r="J3" s="32" t="n">
        <x:v>4.370048632122214</x:v>
      </x:c>
      <x:c r="K3" s="32" t="n">
        <x:f>IF(J3="","",(1/'Metadata'!$B$5)^(J3-1))</x:f>
        <x:v>2344.491335822346</x:v>
      </x:c>
      <x:c r="L3" s="31" t="n">
        <x:f>IF(E3=0,"",E3*K3)</x:f>
        <x:v>633249.5550547489</x:v>
      </x:c>
      <x:c r="M3" s="31" t="n">
        <x:f>IF(E3=0,"",I3-L3)</x:f>
        <x:v>11.751028616912663</x:v>
      </x:c>
      <x:c r="N3" s="32" t="n">
        <x:f>IF(L3=0,"",I3/L3)</x:f>
        <x:v>1.0000185567104203</x:v>
      </x:c>
      <x:c r="O3" s="34" t="n">
        <x:f>IF(L3=0,"",M3/L3)</x:f>
        <x:v>0.000018556710420265045</x:v>
      </x:c>
    </x:row>
    <x:row r="4" ht="18" customHeight="1">
      <x:c r="A4" s="24" t="str">
        <x:v>Large rays (&gt;=90 cm)</x:v>
      </x:c>
      <x:c r="B4" s="33" t="n">
        <x:v>1</x:v>
      </x:c>
      <x:c r="C4" s="33" t="n">
        <x:v>1</x:v>
      </x:c>
      <x:c r="D4" s="31" t="n">
        <x:v>2.9754414797</x:v>
      </x:c>
      <x:c r="E4" s="31" t="n">
        <x:v>2.9754414797</x:v>
      </x:c>
      <x:c r="F4" s="32" t="n">
        <x:v>0</x:v>
      </x:c>
      <x:c r="G4" s="34" t="n">
        <x:v>1</x:v>
      </x:c>
      <x:c r="H4" s="32" t="n">
        <x:f>IF(E4=0,"",I4/E4)</x:f>
        <x:v>239.88329190194898</x:v>
      </x:c>
      <x:c r="I4" s="31" t="n">
        <x:f>IF(C4=0,"",SUMIF('Species'!$G$2:$G$24,A4,'Species'!$U$2:$U$24))</x:f>
        <x:v>713.7586970120421</x:v>
      </x:c>
      <x:c r="J4" s="32" t="n">
        <x:v>3.38</x:v>
      </x:c>
      <x:c r="K4" s="32" t="n">
        <x:f>IF(J4="","",(1/'Metadata'!$B$5)^(J4-1))</x:f>
        <x:v>239.88329190194898</x:v>
      </x:c>
      <x:c r="L4" s="31" t="n">
        <x:f>IF(E4=0,"",E4*K4)</x:f>
        <x:v>713.7586970120421</x:v>
      </x:c>
      <x:c r="M4" s="31" t="n">
        <x:f>IF(E4=0,"",I4-L4)</x:f>
        <x:v>0</x:v>
      </x:c>
      <x:c r="N4" s="32" t="n">
        <x:f>IF(L4=0,"",I4/L4)</x:f>
        <x:v>1</x:v>
      </x:c>
      <x:c r="O4" s="34" t="n">
        <x:f>IF(L4=0,"",M4/L4)</x:f>
        <x:v>0</x:v>
      </x:c>
    </x:row>
    <x:row r="5" ht="18" customHeight="1">
      <x:c r="A5" s="24" t="str">
        <x:v>Large sharks (&gt;=90 cm)</x:v>
      </x:c>
      <x:c r="B5" s="33" t="n">
        <x:v>1</x:v>
      </x:c>
      <x:c r="C5" s="33" t="n">
        <x:v>1</x:v>
      </x:c>
      <x:c r="D5" s="31" t="n">
        <x:v>19.4262417599</x:v>
      </x:c>
      <x:c r="E5" s="31" t="n">
        <x:v>19.4262417599</x:v>
      </x:c>
      <x:c r="F5" s="32" t="n">
        <x:v>0</x:v>
      </x:c>
      <x:c r="G5" s="34" t="n">
        <x:v>1</x:v>
      </x:c>
      <x:c r="H5" s="32" t="n">
        <x:f>IF(E5=0,"",I5/E5)</x:f>
        <x:v>1737.8008287493765</x:v>
      </x:c>
      <x:c r="I5" s="31" t="n">
        <x:f>IF(C5=0,"",SUMIF('Species'!$G$2:$G$24,A5,'Species'!$U$2:$U$24))</x:f>
        <x:v>33758.93902983997</x:v>
      </x:c>
      <x:c r="J5" s="32" t="n">
        <x:v>4.24</x:v>
      </x:c>
      <x:c r="K5" s="32" t="n">
        <x:f>IF(J5="","",(1/'Metadata'!$B$5)^(J5-1))</x:f>
        <x:v>1737.8008287493763</x:v>
      </x:c>
      <x:c r="L5" s="31" t="n">
        <x:f>IF(E5=0,"",E5*K5)</x:f>
        <x:v>33758.93902983997</x:v>
      </x:c>
      <x:c r="M5" s="31" t="n">
        <x:f>IF(E5=0,"",I5-L5)</x:f>
        <x:v>0</x:v>
      </x:c>
      <x:c r="N5" s="32" t="n">
        <x:f>IF(L5=0,"",I5/L5)</x:f>
        <x:v>1</x:v>
      </x:c>
      <x:c r="O5" s="34" t="n">
        <x:f>IF(L5=0,"",M5/L5)</x:f>
        <x:v>0</x:v>
      </x:c>
    </x:row>
    <x:row r="6" ht="18" customHeight="1">
      <x:c r="A6" s="24" t="str">
        <x:v>Lobsters, crabs</x:v>
      </x:c>
      <x:c r="B6" s="33" t="n">
        <x:v>2</x:v>
      </x:c>
      <x:c r="C6" s="33" t="n">
        <x:v>2</x:v>
      </x:c>
      <x:c r="D6" s="31" t="n">
        <x:v>77.4030140934</x:v>
      </x:c>
      <x:c r="E6" s="31" t="n">
        <x:v>77.4030140934</x:v>
      </x:c>
      <x:c r="F6" s="32" t="n">
        <x:v>0</x:v>
      </x:c>
      <x:c r="G6" s="34" t="n">
        <x:v>1</x:v>
      </x:c>
      <x:c r="H6" s="32" t="n">
        <x:f>IF(E6=0,"",I6/E6)</x:f>
        <x:v>159.2135564854885</x:v>
      </x:c>
      <x:c r="I6" s="31" t="n">
        <x:f>IF(C6=0,"",SUMIF('Species'!$G$2:$G$24,A6,'Species'!$U$2:$U$24))</x:f>
        <x:v>12323.609156506604</x:v>
      </x:c>
      <x:c r="J6" s="32" t="n">
        <x:v>3.2011616314712303</x:v>
      </x:c>
      <x:c r="K6" s="32" t="n">
        <x:f>IF(J6="","",(1/'Metadata'!$B$5)^(J6-1))</x:f>
        <x:v>158.91380684136564</x:v>
      </x:c>
      <x:c r="L6" s="31" t="n">
        <x:f>IF(E6=0,"",E6*K6)</x:f>
        <x:v>12300.40763057807</x:v>
      </x:c>
      <x:c r="M6" s="31" t="n">
        <x:f>IF(E6=0,"",I6-L6)</x:f>
        <x:v>23.201525928532647</x:v>
      </x:c>
      <x:c r="N6" s="32" t="n">
        <x:f>IF(L6=0,"",I6/L6)</x:f>
        <x:v>1.0018862404096962</x:v>
      </x:c>
      <x:c r="O6" s="34" t="n">
        <x:f>IF(L6=0,"",M6/L6)</x:f>
        <x:v>0.0018862404096962652</x:v>
      </x:c>
    </x:row>
    <x:row r="7" ht="18" customHeight="1">
      <x:c r="A7" s="24" t="str">
        <x:v>Medium benthopelagics (30 - 89 cm)</x:v>
      </x:c>
      <x:c r="B7" s="33" t="n">
        <x:v>1</x:v>
      </x:c>
      <x:c r="C7" s="33" t="n">
        <x:v>1</x:v>
      </x:c>
      <x:c r="D7" s="31" t="n">
        <x:v>0.5213311805</x:v>
      </x:c>
      <x:c r="E7" s="31" t="n">
        <x:v>0.5213311805</x:v>
      </x:c>
      <x:c r="F7" s="32" t="n">
        <x:v>0</x:v>
      </x:c>
      <x:c r="G7" s="34" t="n">
        <x:v>1</x:v>
      </x:c>
      <x:c r="H7" s="32" t="n">
        <x:f>IF(E7=0,"",I7/E7)</x:f>
        <x:v>204.17379446695296</x:v>
      </x:c>
      <x:c r="I7" s="31" t="n">
        <x:f>IF(C7=0,"",SUMIF('Species'!$G$2:$G$24,A7,'Species'!$U$2:$U$24))</x:f>
        <x:v>106.44216529662096</x:v>
      </x:c>
      <x:c r="J7" s="32" t="n">
        <x:v>3.31</x:v>
      </x:c>
      <x:c r="K7" s="32" t="n">
        <x:f>IF(J7="","",(1/'Metadata'!$B$5)^(J7-1))</x:f>
        <x:v>204.17379446695296</x:v>
      </x:c>
      <x:c r="L7" s="31" t="n">
        <x:f>IF(E7=0,"",E7*K7)</x:f>
        <x:v>106.44216529662096</x:v>
      </x:c>
      <x:c r="M7" s="31" t="n">
        <x:f>IF(E7=0,"",I7-L7)</x:f>
        <x:v>0</x:v>
      </x:c>
      <x:c r="N7" s="32" t="n">
        <x:f>IF(L7=0,"",I7/L7)</x:f>
        <x:v>1</x:v>
      </x:c>
      <x:c r="O7" s="34" t="n">
        <x:f>IF(L7=0,"",M7/L7)</x:f>
        <x:v>0</x:v>
      </x:c>
    </x:row>
    <x:row r="8" ht="18" customHeight="1">
      <x:c r="A8" s="24" t="str">
        <x:v>Medium demersals (30 - 89 cm)</x:v>
      </x:c>
      <x:c r="B8" s="33" t="n">
        <x:v>2</x:v>
      </x:c>
      <x:c r="C8" s="33" t="n">
        <x:v>2</x:v>
      </x:c>
      <x:c r="D8" s="31" t="n">
        <x:v>2530.3713332886005</x:v>
      </x:c>
      <x:c r="E8" s="31" t="n">
        <x:v>2530.3713332886005</x:v>
      </x:c>
      <x:c r="F8" s="32" t="n">
        <x:v>0</x:v>
      </x:c>
      <x:c r="G8" s="34" t="n">
        <x:v>1</x:v>
      </x:c>
      <x:c r="H8" s="32" t="n">
        <x:f>IF(E8=0,"",I8/E8)</x:f>
        <x:v>194.33530372535625</x:v>
      </x:c>
      <x:c r="I8" s="31" t="n">
        <x:f>IF(C8=0,"",SUMIF('Species'!$G$2:$G$24,A8,'Species'!$U$2:$U$24))</x:f>
        <x:v>491740.48159257486</x:v>
      </x:c>
      <x:c r="J8" s="32" t="n">
        <x:v>3.2847255399183344</x:v>
      </x:c>
      <x:c r="K8" s="32" t="n">
        <x:f>IF(J8="","",(1/'Metadata'!$B$5)^(J8-1))</x:f>
        <x:v>192.63071645484212</x:v>
      </x:c>
      <x:c r="L8" s="31" t="n">
        <x:f>IF(E8=0,"",E8*K8)</x:f>
        <x:v>487427.2428281772</x:v>
      </x:c>
      <x:c r="M8" s="31" t="n">
        <x:f>IF(E8=0,"",I8-L8)</x:f>
        <x:v>4313.238764397684</x:v>
      </x:c>
      <x:c r="N8" s="32" t="n">
        <x:f>IF(L8=0,"",I8/L8)</x:f>
        <x:v>1.0088489899320587</x:v>
      </x:c>
      <x:c r="O8" s="34" t="n">
        <x:f>IF(L8=0,"",M8/L8)</x:f>
        <x:v>0.008848989932058725</x:v>
      </x:c>
    </x:row>
    <x:row r="9" ht="18" customHeight="1">
      <x:c r="A9" s="24" t="str">
        <x:v>Medium pelagics (30 - 89 cm)</x:v>
      </x:c>
      <x:c r="B9" s="33" t="n">
        <x:v>3</x:v>
      </x:c>
      <x:c r="C9" s="33" t="n">
        <x:v>3</x:v>
      </x:c>
      <x:c r="D9" s="31" t="n">
        <x:v>1212.4045366103999</x:v>
      </x:c>
      <x:c r="E9" s="31" t="n">
        <x:v>1212.4045366103999</x:v>
      </x:c>
      <x:c r="F9" s="32" t="n">
        <x:v>0</x:v>
      </x:c>
      <x:c r="G9" s="34" t="n">
        <x:v>1</x:v>
      </x:c>
      <x:c r="H9" s="32" t="n">
        <x:f>IF(E9=0,"",I9/E9)</x:f>
        <x:v>1158.1656176479164</x:v>
      </x:c>
      <x:c r="I9" s="31" t="n">
        <x:f>IF(C9=0,"",SUMIF('Species'!$G$2:$G$24,A9,'Species'!$U$2:$U$24))</x:f>
        <x:v>1404165.2489825196</x:v>
      </x:c>
      <x:c r="J9" s="32" t="n">
        <x:v>3.821188318638694</x:v>
      </x:c>
      <x:c r="K9" s="32" t="n">
        <x:f>IF(J9="","",(1/'Metadata'!$B$5)^(J9-1))</x:f>
        <x:v>662.5037160829071</x:v>
      </x:c>
      <x:c r="L9" s="31" t="n">
        <x:f>IF(E9=0,"",E9*K9)</x:f>
        <x:v>803222.5109001648</x:v>
      </x:c>
      <x:c r="M9" s="31" t="n">
        <x:f>IF(E9=0,"",I9-L9)</x:f>
        <x:v>600942.7380823548</x:v>
      </x:c>
      <x:c r="N9" s="32" t="n">
        <x:f>IF(L9=0,"",I9/L9)</x:f>
        <x:v>1.748164711430813</x:v>
      </x:c>
      <x:c r="O9" s="34" t="n">
        <x:f>IF(L9=0,"",M9/L9)</x:f>
        <x:v>0.7481647114308129</x:v>
      </x:c>
    </x:row>
    <x:row r="10" ht="18" customHeight="1">
      <x:c r="A10" s="24" t="str">
        <x:v>Medium reef assoc. fish (30 - 89 cm)</x:v>
      </x:c>
      <x:c r="B10" s="33" t="n">
        <x:v>6</x:v>
      </x:c>
      <x:c r="C10" s="33" t="n">
        <x:v>6</x:v>
      </x:c>
      <x:c r="D10" s="31" t="n">
        <x:v>415.77987773290005</x:v>
      </x:c>
      <x:c r="E10" s="31" t="n">
        <x:v>415.77987773290005</x:v>
      </x:c>
      <x:c r="F10" s="32" t="n">
        <x:v>0</x:v>
      </x:c>
      <x:c r="G10" s="34" t="n">
        <x:v>1</x:v>
      </x:c>
      <x:c r="H10" s="32" t="n">
        <x:f>IF(E10=0,"",I10/E10)</x:f>
        <x:v>1048.2852505275525</x:v>
      </x:c>
      <x:c r="I10" s="31" t="n">
        <x:f>IF(C10=0,"",SUMIF('Species'!$G$2:$G$24,A10,'Species'!$U$2:$U$24))</x:f>
        <x:v>435855.9132935483</x:v>
      </x:c>
      <x:c r="J10" s="32" t="n">
        <x:v>3.9513046132497336</x:v>
      </x:c>
      <x:c r="K10" s="32" t="n">
        <x:f>IF(J10="","",(1/'Metadata'!$B$5)^(J10-1))</x:f>
        <x:v>893.9322661348685</x:v>
      </x:c>
      <x:c r="L10" s="31" t="n">
        <x:f>IF(E10=0,"",E10*K10)</x:f>
        <x:v>371679.0483150499</x:v>
      </x:c>
      <x:c r="M10" s="31" t="n">
        <x:f>IF(E10=0,"",I10-L10)</x:f>
        <x:v>64176.86497849837</x:v>
      </x:c>
      <x:c r="N10" s="32" t="n">
        <x:f>IF(L10=0,"",I10/L10)</x:f>
        <x:v>1.1726674270972075</x:v>
      </x:c>
      <x:c r="O10" s="34" t="n">
        <x:f>IF(L10=0,"",M10/L10)</x:f>
        <x:v>0.1726674270972076</x:v>
      </x:c>
    </x:row>
    <x:row r="11" ht="18" customHeight="1">
      <x:c r="A11" s="24" t="str">
        <x:v>Other demersal invertebrates</x:v>
      </x:c>
      <x:c r="B11" s="33" t="n">
        <x:v>1</x:v>
      </x:c>
      <x:c r="C11" s="33" t="n">
        <x:v>1</x:v>
      </x:c>
      <x:c r="D11" s="31" t="n">
        <x:v>289.39056368729996</x:v>
      </x:c>
      <x:c r="E11" s="31" t="n">
        <x:v>289.39056368729996</x:v>
      </x:c>
      <x:c r="F11" s="32" t="n">
        <x:v>0</x:v>
      </x:c>
      <x:c r="G11" s="34" t="n">
        <x:v>1</x:v>
      </x:c>
      <x:c r="H11" s="32" t="n">
        <x:f>IF(E11=0,"",I11/E11)</x:f>
        <x:v>15.488166189124811</x:v>
      </x:c>
      <x:c r="I11" s="31" t="n">
        <x:f>IF(C11=0,"",SUMIF('Species'!$G$2:$G$24,A11,'Species'!$U$2:$U$24))</x:f>
        <x:v>4482.12914395341</x:v>
      </x:c>
      <x:c r="J11" s="32" t="n">
        <x:v>2.19</x:v>
      </x:c>
      <x:c r="K11" s="32" t="n">
        <x:f>IF(J11="","",(1/'Metadata'!$B$5)^(J11-1))</x:f>
        <x:v>15.488166189124811</x:v>
      </x:c>
      <x:c r="L11" s="31" t="n">
        <x:f>IF(E11=0,"",E11*K11)</x:f>
        <x:v>4482.12914395341</x:v>
      </x:c>
      <x:c r="M11" s="31" t="n">
        <x:f>IF(E11=0,"",I11-L11)</x:f>
        <x:v>0</x:v>
      </x:c>
      <x:c r="N11" s="32" t="n">
        <x:f>IF(L11=0,"",I11/L11)</x:f>
        <x:v>1</x:v>
      </x:c>
      <x:c r="O11" s="34" t="n">
        <x:f>IF(L11=0,"",M11/L11)</x:f>
        <x:v>0</x:v>
      </x:c>
    </x:row>
    <x:row r="12" ht="18" customHeight="1">
      <x:c r="A12" s="24" t="str">
        <x:v>Shrimps</x:v>
      </x:c>
      <x:c r="B12" s="33" t="n">
        <x:v>1</x:v>
      </x:c>
      <x:c r="C12" s="33" t="n">
        <x:v>1</x:v>
      </x:c>
      <x:c r="D12" s="31" t="n">
        <x:v>75</x:v>
      </x:c>
      <x:c r="E12" s="31" t="n">
        <x:v>75</x:v>
      </x:c>
      <x:c r="F12" s="32" t="n">
        <x:v>0</x:v>
      </x:c>
      <x:c r="G12" s="34" t="n">
        <x:v>1</x:v>
      </x:c>
      <x:c r="H12" s="32" t="n">
        <x:f>IF(E12=0,"",I12/E12)</x:f>
        <x:v>50.11872336272725</x:v>
      </x:c>
      <x:c r="I12" s="31" t="n">
        <x:f>IF(C12=0,"",SUMIF('Species'!$G$2:$G$24,A12,'Species'!$U$2:$U$24))</x:f>
        <x:v>3758.904252204544</x:v>
      </x:c>
      <x:c r="J12" s="32" t="n">
        <x:v>2.7</x:v>
      </x:c>
      <x:c r="K12" s="32" t="n">
        <x:f>IF(J12="","",(1/'Metadata'!$B$5)^(J12-1))</x:f>
        <x:v>50.11872336272725</x:v>
      </x:c>
      <x:c r="L12" s="31" t="n">
        <x:f>IF(E12=0,"",E12*K12)</x:f>
        <x:v>3758.904252204544</x:v>
      </x:c>
      <x:c r="M12" s="31" t="n">
        <x:f>IF(E12=0,"",I12-L12)</x:f>
        <x:v>0</x:v>
      </x:c>
      <x:c r="N12" s="32" t="n">
        <x:f>IF(L12=0,"",I12/L12)</x:f>
        <x:v>1</x:v>
      </x:c>
      <x:c r="O12" s="34" t="n">
        <x:f>IF(L12=0,"",M12/L12)</x:f>
        <x:v>0</x:v>
      </x:c>
    </x:row>
    <x:row r="13" ht="18" customHeight="1">
      <x:c r="A13" s="24" t="str">
        <x:v>Small pelagics (&lt;30 cm)</x:v>
      </x:c>
      <x:c r="B13" s="33" t="n">
        <x:v>1</x:v>
      </x:c>
      <x:c r="C13" s="33" t="n">
        <x:v>1</x:v>
      </x:c>
      <x:c r="D13" s="31" t="n">
        <x:v>83.3481833159</x:v>
      </x:c>
      <x:c r="E13" s="31" t="n">
        <x:v>83.3481833159</x:v>
      </x:c>
      <x:c r="F13" s="32" t="n">
        <x:v>0</x:v>
      </x:c>
      <x:c r="G13" s="34" t="n">
        <x:v>1</x:v>
      </x:c>
      <x:c r="H13" s="32" t="n">
        <x:f>IF(E13=0,"",I13/E13)</x:f>
        <x:v>144.5439770745928</x:v>
      </x:c>
      <x:c r="I13" s="31" t="n">
        <x:f>IF(C13=0,"",SUMIF('Species'!$G$2:$G$24,A13,'Species'!$U$2:$U$24))</x:f>
        <x:v>12047.477898422407</x:v>
      </x:c>
      <x:c r="J13" s="32" t="n">
        <x:v>3.16</x:v>
      </x:c>
      <x:c r="K13" s="32" t="n">
        <x:f>IF(J13="","",(1/'Metadata'!$B$5)^(J13-1))</x:f>
        <x:v>144.5439770745928</x:v>
      </x:c>
      <x:c r="L13" s="31" t="n">
        <x:f>IF(E13=0,"",E13*K13)</x:f>
        <x:v>12047.477898422407</x:v>
      </x:c>
      <x:c r="M13" s="31" t="n">
        <x:f>IF(E13=0,"",I13-L13)</x:f>
        <x:v>0</x:v>
      </x:c>
      <x:c r="N13" s="32" t="n">
        <x:f>IF(L13=0,"",I13/L13)</x:f>
        <x:v>1</x:v>
      </x:c>
      <x:c r="O13" s="34" t="n">
        <x:f>IF(L13=0,"",M13/L13)</x:f>
        <x:v>0</x:v>
      </x:c>
    </x:row>
    <x:row r="14" ht="18" customHeight="1">
      <x:c r="A14" s="24" t="str">
        <x:v>Small reef assoc. fish (&lt;30 cm)</x:v>
      </x:c>
      <x:c r="B14" s="33" t="n">
        <x:v>1</x:v>
      </x:c>
      <x:c r="C14" s="33" t="n">
        <x:v>1</x:v>
      </x:c>
      <x:c r="D14" s="31" t="n">
        <x:v>52.1932367813</x:v>
      </x:c>
      <x:c r="E14" s="31" t="n">
        <x:v>52.1932367813</x:v>
      </x:c>
      <x:c r="F14" s="32" t="n">
        <x:v>0</x:v>
      </x:c>
      <x:c r="G14" s="34" t="n">
        <x:v>1</x:v>
      </x:c>
      <x:c r="H14" s="32" t="n">
        <x:f>IF(E14=0,"",I14/E14)</x:f>
        <x:v>37.15352290971724</x:v>
      </x:c>
      <x:c r="I14" s="31" t="n">
        <x:f>IF(C14=0,"",SUMIF('Species'!$G$2:$G$24,A14,'Species'!$U$2:$U$24))</x:f>
        <x:v>1939.162618486326</x:v>
      </x:c>
      <x:c r="J14" s="32" t="n">
        <x:v>2.5699999999999994</x:v>
      </x:c>
      <x:c r="K14" s="32" t="n">
        <x:f>IF(J14="","",(1/'Metadata'!$B$5)^(J14-1))</x:f>
        <x:v>37.1535229097172</x:v>
      </x:c>
      <x:c r="L14" s="31" t="n">
        <x:f>IF(E14=0,"",E14*K14)</x:f>
        <x:v>1939.1626184863242</x:v>
      </x:c>
      <x:c r="M14" s="31" t="n">
        <x:f>IF(E14=0,"",I14-L14)</x:f>
        <x:v>1.8189894035458565e-12</x:v>
      </x:c>
      <x:c r="N14" s="32" t="n">
        <x:f>IF(L14=0,"",I14/L14)</x:f>
        <x:v>1.0000000000000009</x:v>
      </x:c>
      <x:c r="O14" s="34" t="n">
        <x:f>IF(L14=0,"",M14/L14)</x:f>
        <x:v>9.380282943808638e-16</x:v>
      </x:c>
    </x:row>
  </x:sheetData>
  <x:conditionalFormatting sqref="G2:G14">
    <x:cfRule type="cellIs" dxfId="2" priority="1" operator="lessThan">
      <x:formula>0.9</x:formula>
    </x:cfRule>
  </x:conditionalFormatting>
  <x:conditionalFormatting sqref="O2:O14">
    <x:cfRule type="dataBar" priority="2">
      <x:dataBar>
        <x:cfvo type="min"/>
        <x:cfvo type="max"/>
        <x:color rgb="FFE28A32"/>
      </x:dataBar>
    </x:cfRule>
  </x:conditionalFormatting>
  <x:pageMargins left="0.7" right="0.7" top="0.75" bottom="0.75" header="0.3" footer="0.3"/>
  <x:tableParts count="1">
    <x:tablePart xmlns:r="http://schemas.openxmlformats.org/officeDocument/2006/relationships" r:id="Rc5961c757b3d4e92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15" hidden="0" customWidth="1"/>
    <x:col min="5" max="5" width="25" hidden="0" customWidth="1"/>
    <x:col min="6" max="6" width="22" hidden="0" customWidth="1"/>
    <x:col min="7" max="7" width="22" hidden="0" customWidth="1"/>
    <x:col min="8" max="8" width="22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22" hidden="0" customWidth="1"/>
    <x:col min="15" max="15" width="15" hidden="0" customWidth="1"/>
    <x:col min="16" max="16" width="22" hidden="0" customWidth="1"/>
    <x:col min="17" max="17" width="36" hidden="0" customWidth="1"/>
    <x:col min="18" max="18" width="22" hidden="0" customWidth="1"/>
    <x:col min="19" max="19" width="22" hidden="0" customWidth="1"/>
    <x:col min="20" max="20" width="18" hidden="0" customWidth="1"/>
    <x:col min="21" max="21" width="18" hidden="0" customWidth="1"/>
  </x:cols>
  <x:sheetData>
    <x:row r="1" ht="32" customHeight="1">
      <x:c r="A1" s="29" t="str">
        <x:v>unit_id</x:v>
      </x:c>
      <x:c r="B1" s="29" t="str">
        <x:v>region_name</x:v>
      </x:c>
      <x:c r="C1" s="29" t="str">
        <x:v>region_type</x:v>
      </x:c>
      <x:c r="D1" s="29" t="str">
        <x:v>year</x:v>
      </x:c>
      <x:c r="E1" s="29" t="str">
        <x:v>taxon</x:v>
      </x:c>
      <x:c r="F1" s="29" t="str">
        <x:v>common_name</x:v>
      </x:c>
      <x:c r="G1" s="29" t="str">
        <x:v>functional_group</x:v>
      </x:c>
      <x:c r="H1" s="29" t="str">
        <x:v>commercial_group</x:v>
      </x:c>
      <x:c r="I1" s="29" t="str">
        <x:v>catch_tonnes</x:v>
      </x:c>
      <x:c r="J1" s="29" t="str">
        <x:v>landings_tonnes</x:v>
      </x:c>
      <x:c r="K1" s="29" t="str">
        <x:v>discards_tonnes</x:v>
      </x:c>
      <x:c r="L1" s="29" t="str">
        <x:v>reported_tonnes</x:v>
      </x:c>
      <x:c r="M1" s="29" t="str">
        <x:v>unreported_tonnes</x:v>
      </x:c>
      <x:c r="N1" s="29" t="str">
        <x:v>taxon_key</x:v>
      </x:c>
      <x:c r="O1" s="29" t="str">
        <x:v>tl</x:v>
      </x:c>
      <x:c r="P1" s="29" t="str">
        <x:v>match_method</x:v>
      </x:c>
      <x:c r="Q1" s="29" t="str">
        <x:v>tl_source</x:v>
      </x:c>
      <x:c r="R1" s="29" t="str">
        <x:v>match_confidence</x:v>
      </x:c>
      <x:c r="S1" s="29" t="str">
        <x:v>reference_taxon</x:v>
      </x:c>
      <x:c r="T1" s="29" t="str">
        <x:v>sppr</x:v>
      </x:c>
      <x:c r="U1" s="29" t="str">
        <x:v>ppr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34" hidden="0" customWidth="1"/>
    <x:col min="3" max="3" width="15" hidden="0" customWidth="1"/>
    <x:col min="4" max="4" width="34" hidden="0" customWidth="1"/>
  </x:cols>
  <x:sheetData>
    <x:row r="1" ht="32" customHeight="1">
      <x:c r="A1" s="29" t="str">
        <x:v>unit_id</x:v>
      </x:c>
      <x:c r="B1" s="29" t="str">
        <x:v>check</x:v>
      </x:c>
      <x:c r="C1" s="29" t="str">
        <x:v>value</x:v>
      </x:c>
      <x:c r="D1" s="29" t="str">
        <x:v>unit</x:v>
      </x:c>
    </x:row>
    <x:row r="2" ht="18" customHeight="1">
      <x:c r="A2" s="24" t="str">
        <x:v>EEZ_312</x:v>
      </x:c>
      <x:c r="B2" s="24" t="str">
        <x:v>raw_filtered_tonnes</x:v>
      </x:c>
      <x:c r="C2" s="24" t="n">
        <x:v>5032.750571154701</x:v>
      </x:c>
      <x:c r="D2" s="24" t="str">
        <x:v>tonnes</x:v>
      </x:c>
    </x:row>
    <x:row r="3" ht="18" customHeight="1">
      <x:c r="A3" s="24" t="str">
        <x:v>EEZ_312</x:v>
      </x:c>
      <x:c r="B3" s="24" t="str">
        <x:v>species_catch_tonnes</x:v>
      </x:c>
      <x:c r="C3" s="24" t="n">
        <x:v>5032.7505711547</x:v>
      </x:c>
      <x:c r="D3" s="24" t="str">
        <x:v>tonnes</x:v>
      </x:c>
    </x:row>
    <x:row r="4" ht="18" customHeight="1">
      <x:c r="A4" s="24" t="str">
        <x:v>EEZ_312</x:v>
      </x:c>
      <x:c r="B4" s="24" t="str">
        <x:v>catch_difference_tonnes</x:v>
      </x:c>
      <x:c r="C4" s="24" t="n">
        <x:v>-9.094947017729282e-13</x:v>
      </x:c>
      <x:c r="D4" s="24" t="str">
        <x:v>tonnes</x:v>
      </x:c>
    </x:row>
    <x:row r="5" ht="18" customHeight="1">
      <x:c r="A5" s="24" t="str">
        <x:v>EEZ_312</x:v>
      </x:c>
      <x:c r="B5" s="24" t="str">
        <x:v>catch_reconciled</x:v>
      </x:c>
      <x:c r="C5" s="35" t="b">
        <x:v>1</x:v>
      </x:c>
      <x:c r="D5" s="24" t="str">
        <x:v>boolean</x:v>
      </x:c>
    </x:row>
    <x:row r="6" ht="18" customHeight="1">
      <x:c r="A6" s="24" t="str">
        <x:v>EEZ_312</x:v>
      </x:c>
      <x:c r="B6" s="24" t="str">
        <x:v>matched_catch_tonnes</x:v>
      </x:c>
      <x:c r="C6" s="24" t="n">
        <x:v>5032.7505711547</x:v>
      </x:c>
      <x:c r="D6" s="24" t="str">
        <x:v>tonnes</x:v>
      </x:c>
    </x:row>
    <x:row r="7" ht="18" customHeight="1">
      <x:c r="A7" s="24" t="str">
        <x:v>EEZ_312</x:v>
      </x:c>
      <x:c r="B7" s="24" t="str">
        <x:v>catch_coverage_fraction</x:v>
      </x:c>
      <x:c r="C7" s="24" t="n">
        <x:v>1</x:v>
      </x:c>
      <x:c r="D7" s="24" t="str">
        <x:v>fraction</x:v>
      </x:c>
    </x:row>
    <x:row r="8" ht="18" customHeight="1">
      <x:c r="A8" s="24" t="str">
        <x:v>EEZ_312</x:v>
      </x:c>
      <x:c r="B8" s="24" t="str">
        <x:v>taxa_count</x:v>
      </x:c>
      <x:c r="C8" s="24" t="n">
        <x:v>23</x:v>
      </x:c>
      <x:c r="D8" s="24" t="str">
        <x:v>count</x:v>
      </x:c>
    </x:row>
    <x:row r="9" ht="18" customHeight="1">
      <x:c r="A9" s="24" t="str">
        <x:v>EEZ_312</x:v>
      </x:c>
      <x:c r="B9" s="24" t="str">
        <x:v>matched_taxa_count</x:v>
      </x:c>
      <x:c r="C9" s="24" t="n">
        <x:v>23</x:v>
      </x:c>
      <x:c r="D9" s="24" t="str">
        <x:v>count</x:v>
      </x:c>
    </x:row>
    <x:row r="10" ht="18" customHeight="1">
      <x:c r="A10" s="24" t="str">
        <x:v>EEZ_312</x:v>
      </x:c>
      <x:c r="B10" s="24" t="str">
        <x:v>unmatched_taxa_count</x:v>
      </x:c>
      <x:c r="C10" s="24" t="n">
        <x:v>0</x:v>
      </x:c>
      <x:c r="D10" s="24" t="str">
        <x:v>count</x:v>
      </x:c>
    </x:row>
    <x:row r="11" ht="18" customHeight="1">
      <x:c r="A11" s="24" t="str">
        <x:v>EEZ_312</x:v>
      </x:c>
      <x:c r="B11" s="24" t="str">
        <x:v>species_ppr</x:v>
      </x:c>
      <x:c r="C11" s="24" t="n">
        <x:v>3035680.419758</x:v>
      </x:c>
      <x:c r="D11" s="24" t="str">
        <x:v>tonnes_primary_production_equivalent</x:v>
      </x:c>
    </x:row>
    <x:row r="12" ht="18" customHeight="1">
      <x:c r="A12" s="24" t="str">
        <x:v>EEZ_312</x:v>
      </x:c>
      <x:c r="B12" s="24" t="str">
        <x:v>commercial_ppr</x:v>
      </x:c>
      <x:c r="C12" s="24" t="n">
        <x:v>3035680.419758</x:v>
      </x:c>
      <x:c r="D12" s="24" t="str">
        <x:v>tonnes_primary_production_equivalent</x:v>
      </x:c>
    </x:row>
    <x:row r="13" ht="18" customHeight="1">
      <x:c r="A13" s="24" t="str">
        <x:v>EEZ_312</x:v>
      </x:c>
      <x:c r="B13" s="24" t="str">
        <x:v>functional_ppr</x:v>
      </x:c>
      <x:c r="C13" s="24" t="n">
        <x:v>3035680.419758</x:v>
      </x:c>
      <x:c r="D13" s="24" t="str">
        <x:v>tonnes_primary_production_equivalent</x:v>
      </x:c>
    </x:row>
    <x:row r="14" ht="18" customHeight="1">
      <x:c r="A14" s="24" t="str">
        <x:v>EEZ_312</x:v>
      </x:c>
      <x:c r="B14" s="24" t="str">
        <x:v>commercial_ppr_difference</x:v>
      </x:c>
      <x:c r="C14" s="24" t="n">
        <x:v>0</x:v>
      </x:c>
      <x:c r="D14" s="24" t="str">
        <x:v>tonnes_primary_production_equivalent</x:v>
      </x:c>
    </x:row>
    <x:row r="15" ht="18" customHeight="1">
      <x:c r="A15" s="24" t="str">
        <x:v>EEZ_312</x:v>
      </x:c>
      <x:c r="B15" s="24" t="str">
        <x:v>functional_ppr_difference</x:v>
      </x:c>
      <x:c r="C15" s="24" t="n">
        <x:v>0</x:v>
      </x:c>
      <x:c r="D15" s="24" t="str">
        <x:v>tonnes_primary_production_equivalent</x:v>
      </x:c>
    </x:row>
    <x:row r="16" ht="18" customHeight="1">
      <x:c r="A16" s="24" t="str">
        <x:v>EEZ_312</x:v>
      </x:c>
      <x:c r="B16" s="24" t="str">
        <x:v>commercial_ppr_reconciled</x:v>
      </x:c>
      <x:c r="C16" s="35" t="b">
        <x:v>1</x:v>
      </x:c>
      <x:c r="D16" s="24" t="str">
        <x:v>boolean</x:v>
      </x:c>
    </x:row>
    <x:row r="17" ht="18" customHeight="1">
      <x:c r="A17" s="24" t="str">
        <x:v>EEZ_312</x:v>
      </x:c>
      <x:c r="B17" s="24" t="str">
        <x:v>functional_ppr_reconciled</x:v>
      </x:c>
      <x:c r="C17" s="35" t="b">
        <x:v>1</x:v>
      </x:c>
      <x:c r="D17" s="24" t="str">
        <x:v>boolean</x:v>
      </x:c>
    </x:row>
    <x:row r="18" ht="18" customHeight="1">
      <x:c r="A18" s="24" t="str">
        <x:v>EEZ_312</x:v>
      </x:c>
      <x:c r="B18" s="24" t="str">
        <x:v>commercial_jensen_violations</x:v>
      </x:c>
      <x:c r="C18" s="24" t="n">
        <x:v>0</x:v>
      </x:c>
      <x:c r="D18" s="24" t="str">
        <x:v>count</x:v>
      </x:c>
    </x:row>
    <x:row r="19" ht="18" customHeight="1">
      <x:c r="A19" s="24" t="str">
        <x:v>EEZ_312</x:v>
      </x:c>
      <x:c r="B19" s="24" t="str">
        <x:v>functional_jensen_violations</x:v>
      </x:c>
      <x:c r="C19" s="24" t="n">
        <x:v>0</x:v>
      </x:c>
      <x:c r="D19" s="24" t="str">
        <x:v>count</x:v>
      </x:c>
    </x:row>
  </x:sheetData>
  <x:pageMargins left="0.7" right="0.7" top="0.75" bottom="0.75" header="0.3" footer="0.3"/>
  <x:tableParts count="1">
    <x:tablePart xmlns:r="http://schemas.openxmlformats.org/officeDocument/2006/relationships" r:id="Rd9e43977e8b34cf1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28" hidden="0" customWidth="1"/>
    <x:col min="3" max="3" width="68" hidden="0" customWidth="1"/>
  </x:cols>
  <x:sheetData>
    <x:row r="1" ht="30" customHeight="1">
      <x:c r="A1" s="3" t="str">
        <x:v>EEZ_312 - Guadeloupe  (France)</x:v>
      </x:c>
      <x:c r="B1" s="3"/>
      <x:c r="C1" s="3"/>
    </x:row>
    <x:row r="3">
      <x:c r="A3" s="7" t="str">
        <x:v>Field</x:v>
      </x:c>
      <x:c r="B3" s="8" t="str">
        <x:v>Value</x:v>
      </x:c>
      <x:c r="C3" s="9" t="str">
        <x:v>Notes / source</x:v>
      </x:c>
    </x:row>
    <x:row r="4">
      <x:c r="A4" s="22" t="str">
        <x:v>Unit ID</x:v>
      </x:c>
      <x:c r="B4" s="17" t="str">
        <x:v>EEZ_312</x:v>
      </x:c>
      <x:c r="C4" s="18" t="str">
        <x:v>Sea Around Us region identifier</x:v>
      </x:c>
    </x:row>
    <x:row r="5">
      <x:c r="A5" s="22" t="str">
        <x:v>Transfer efficiency</x:v>
      </x:c>
      <x:c r="B5" s="36" t="n">
        <x:v>0.1</x:v>
      </x:c>
      <x:c r="C5" s="18" t="str">
        <x:v>Used by every SPPR formula</x:v>
      </x:c>
    </x:row>
    <x:row r="6">
      <x:c r="A6" s="22" t="str">
        <x:v>Year</x:v>
      </x:c>
      <x:c r="B6" s="17" t="n">
        <x:v>2019</x:v>
      </x:c>
      <x:c r="C6" s="18" t="str">
        <x:v>Latest year common to all 282 datasets</x:v>
      </x:c>
    </x:row>
    <x:row r="7">
      <x:c r="A7" s="22" t="str">
        <x:v>Region type</x:v>
      </x:c>
      <x:c r="B7" s="17" t="str">
        <x:v>EEZ</x:v>
      </x:c>
      <x:c r="C7" s="18" t="str">
        <x:v>Sea Around Us spatial classification</x:v>
      </x:c>
    </x:row>
    <x:row r="8">
      <x:c r="A8" s="22" t="str">
        <x:v>Catch scope</x:v>
      </x:c>
      <x:c r="B8" s="17" t="str">
        <x:v>Landings + Discards</x:v>
      </x:c>
      <x:c r="C8" s="18" t="str">
        <x:v>Reported + unreported; all sectors, gears, entities, and end uses</x:v>
      </x:c>
    </x:row>
    <x:row r="9">
      <x:c r="A9" s="22" t="str">
        <x:v>SPPR formula</x:v>
      </x:c>
      <x:c r="B9" s="17" t="str">
        <x:v>(1 / TE)^(TL - 1)</x:v>
      </x:c>
      <x:c r="C9" s="18" t="str">
        <x:v>TE is the Metadata!B5 value</x:v>
      </x:c>
    </x:row>
    <x:row r="10">
      <x:c r="A10" s="22" t="str">
        <x:v>PPR formula</x:v>
      </x:c>
      <x:c r="B10" s="17" t="str">
        <x:v>Catch tonnes × SPPR</x:v>
      </x:c>
      <x:c r="C10" s="18" t="str">
        <x:v>Unit: tonnes primary-production equivalent</x:v>
      </x:c>
    </x:row>
    <x:row r="11">
      <x:c r="A11" s="22" t="str">
        <x:v>Wet-weight/carbon divisor</x:v>
      </x:c>
      <x:c r="B11" s="17" t="str">
        <x:v>Not applied</x:v>
      </x:c>
      <x:c r="C11" s="18" t="str">
        <x:v>The paper's /9 conversion is intentionally omitted</x:v>
      </x:c>
    </x:row>
    <x:row r="12">
      <x:c r="A12" s="22" t="str">
        <x:v>Primary TL source</x:v>
      </x:c>
      <x:c r="B12" s="17" t="str">
        <x:v>2020 supplement MeanTL</x:v>
      </x:c>
      <x:c r="C12" s="18" t="str">
        <x:v>No SPPR regression from the supplement is used</x:v>
      </x:c>
    </x:row>
    <x:row r="13">
      <x:c r="A13" s="22" t="str">
        <x:v>Secondary TL source</x:v>
      </x:c>
      <x:c r="B13" s="17" t="str">
        <x:v>Sea Around Us exploited organisms</x:v>
      </x:c>
      <x:c r="C13" s="18" t="str">
        <x:v>Exact taxon matches, followed by documented fallbacks</x:v>
      </x:c>
    </x:row>
    <x:row r="14">
      <x:c r="A14" s="22" t="str">
        <x:v>Catch data URL</x:v>
      </x:c>
      <x:c r="B14" s="17" t="str">
        <x:v>https://www.seaaroundus.org/data/</x:v>
      </x:c>
      <x:c r="C14" s="18" t="str">
        <x:v>Frozen archive: raw_data/SAU_downloads/EEZ_312-catch.zip</x:v>
      </x:c>
    </x:row>
    <x:row r="15">
      <x:c r="A15" s="23" t="str">
        <x:v>Method source</x:v>
      </x:c>
      <x:c r="B15" s="20" t="str">
        <x:v>Pauly &amp; Christensen (1995)</x:v>
      </x:c>
      <x:c r="C15" s="21" t="str">
        <x:v>Nature 374:255-257</x:v>
      </x:c>
    </x:row>
  </x:sheetData>
  <x:mergeCells>
    <x:mergeCell ref="A1:C1"/>
  </x:mergeCells>
  <x:pageMargins left="0.7" right="0.7" top="0.75" bottom="0.75" header="0.3" footer="0.3"/>
</x:worksheet>
</file>