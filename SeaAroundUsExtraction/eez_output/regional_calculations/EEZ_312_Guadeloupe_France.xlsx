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6cc6d826e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c3fb1efc92f4a59"/>
    <x:sheet xmlns:r="http://schemas.openxmlformats.org/officeDocument/2006/relationships" name="Commercial" sheetId="2" r:id="R1956e41fc8374e99"/>
    <x:sheet xmlns:r="http://schemas.openxmlformats.org/officeDocument/2006/relationships" name="Functional" sheetId="3" r:id="R0011612942de4940"/>
    <x:sheet xmlns:r="http://schemas.openxmlformats.org/officeDocument/2006/relationships" name="Missing TL" sheetId="4" r:id="R810523218b8c4b2c"/>
    <x:sheet xmlns:r="http://schemas.openxmlformats.org/officeDocument/2006/relationships" name="Validation" sheetId="5" r:id="R97a4c2c1260c4c0c"/>
    <x:sheet xmlns:r="http://schemas.openxmlformats.org/officeDocument/2006/relationships" name="Metadata" sheetId="6" r:id="Rccf2e1cc199e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bce5c1b5746eb" /><Relationship Type="http://schemas.openxmlformats.org/officeDocument/2006/relationships/theme" Target="/xl/theme/theme1.xml" Id="Re084282d177a404d" /><Relationship Type="http://schemas.microsoft.com/office/2022/11/relationships/FeaturePropertyBag" Target="/xl/featurePropertyBag/featurePropertyBag.xml" Id="R70e9925ec1b24487" /><Relationship Type="http://schemas.openxmlformats.org/officeDocument/2006/relationships/sharedStrings" Target="/xl/sharedStrings.xml" Id="R02518ec5abd2467c" /><Relationship Type="http://schemas.openxmlformats.org/officeDocument/2006/relationships/worksheet" Target="/xl/worksheets/sheet1.xml" Id="Rcc3fb1efc92f4a59" /><Relationship Type="http://schemas.openxmlformats.org/officeDocument/2006/relationships/worksheet" Target="/xl/worksheets/sheet2.xml" Id="R1956e41fc8374e99" /><Relationship Type="http://schemas.openxmlformats.org/officeDocument/2006/relationships/worksheet" Target="/xl/worksheets/sheet3.xml" Id="R0011612942de4940" /><Relationship Type="http://schemas.openxmlformats.org/officeDocument/2006/relationships/worksheet" Target="/xl/worksheets/sheet4.xml" Id="R810523218b8c4b2c" /><Relationship Type="http://schemas.openxmlformats.org/officeDocument/2006/relationships/worksheet" Target="/xl/worksheets/sheet5.xml" Id="R97a4c2c1260c4c0c" /><Relationship Type="http://schemas.openxmlformats.org/officeDocument/2006/relationships/worksheet" Target="/xl/worksheets/sheet6.xml" Id="Rccf2e1cc199e43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12SpeciesTable" displayName="EEZ312SpeciesTable" ref="A1:U24" headerRowCount="1" totalsRowCount="0" totalsRowShown="0">
  <x:autoFilter ref="A1:U2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12CommercialTable" displayName="EEZ312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12FunctionalTable" displayName="EEZ312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12ValidationTable" displayName="EEZ31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feea9b3c848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f1ede32414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46d26896f54d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0f8b2752ec4e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EEZ_312</x:v>
      </x:c>
      <x:c r="B2" s="24" t="str">
        <x:v>Guadeloupe 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2505.4601442393005</x:v>
      </x:c>
      <x:c r="J2" s="31" t="n">
        <x:v>2505.4601442393005</x:v>
      </x:c>
      <x:c r="K2" s="31" t="n">
        <x:v>0</x:v>
      </x:c>
      <x:c r="L2" s="31" t="n">
        <x:v>2095.0000000001</x:v>
      </x:c>
      <x:c r="M2" s="31" t="n">
        <x:v>410.4601442392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477405.5885270516</x:v>
      </x:c>
    </x:row>
    <x:row r="3" ht="18" customHeight="1">
      <x:c r="A3" s="24" t="str">
        <x:v>EEZ_312</x:v>
      </x:c>
      <x:c r="B3" s="24" t="str">
        <x:v>Guadeloupe  (France)</x:v>
      </x:c>
      <x:c r="C3" s="24" t="str">
        <x:v>EEZ</x:v>
      </x:c>
      <x:c r="D3" s="30" t="n">
        <x:v>2019</x:v>
      </x:c>
      <x:c r="E3" s="24" t="str">
        <x:v>Scombridae</x:v>
      </x:c>
      <x:c r="F3" s="24" t="str">
        <x:v>Mackerels, tunas, bonitos</x:v>
      </x:c>
      <x:c r="G3" s="24" t="str">
        <x:v>Medium pelagics (30 - 89 cm)</x:v>
      </x:c>
      <x:c r="H3" s="24" t="str">
        <x:v>Perch-likes</x:v>
      </x:c>
      <x:c r="I3" s="31" t="n">
        <x:v>545</x:v>
      </x:c>
      <x:c r="J3" s="31" t="n">
        <x:v>545</x:v>
      </x:c>
      <x:c r="K3" s="31" t="n">
        <x:v>0</x:v>
      </x:c>
      <x:c r="L3" s="31" t="n">
        <x:v>545</x:v>
      </x:c>
      <x:c r="M3" s="31" t="n">
        <x:v>0</x:v>
      </x:c>
      <x:c r="N3" s="24" t="str">
        <x:v>scombridae</x:v>
      </x:c>
      <x:c r="O3" s="32" t="n">
        <x:v>4.26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Scombridae</x:v>
      </x:c>
      <x:c r="T3" s="32" t="n">
        <x:f>IF(O3="","",(1/'Metadata'!$B$5)^(O3-1))</x:f>
        <x:v>1819.7008586099826</x:v>
      </x:c>
      <x:c r="U3" s="31" t="n">
        <x:f>IF(T3="","",I3*T3)</x:f>
        <x:v>991736.9679424405</x:v>
      </x:c>
    </x:row>
    <x:row r="4" ht="18" customHeight="1">
      <x:c r="A4" s="24" t="str">
        <x:v>EEZ_312</x:v>
      </x:c>
      <x:c r="B4" s="24" t="str">
        <x:v>Guadeloupe  (France)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348.8172841617</x:v>
      </x:c>
      <x:c r="J4" s="31" t="n">
        <x:v>348.8172841617</x:v>
      </x:c>
      <x:c r="K4" s="31" t="n">
        <x:v>0</x:v>
      </x:c>
      <x:c r="L4" s="31" t="n">
        <x:v>0</x:v>
      </x:c>
      <x:c r="M4" s="31" t="n">
        <x:v>348.8172841617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391379.4300089192</x:v>
      </x:c>
    </x:row>
    <x:row r="5" ht="18" customHeight="1">
      <x:c r="A5" s="24" t="str">
        <x:v>EEZ_312</x:v>
      </x:c>
      <x:c r="B5" s="24" t="str">
        <x:v>Guadeloupe  (France)</x:v>
      </x:c>
      <x:c r="C5" s="24" t="str">
        <x:v>EEZ</x:v>
      </x:c>
      <x:c r="D5" s="30" t="n">
        <x:v>2019</x:v>
      </x:c>
      <x:c r="E5" s="24" t="str">
        <x:v>Hemiramphidae</x:v>
      </x:c>
      <x:c r="F5" s="24" t="str">
        <x:v>Halfbeaks, garfishes</x:v>
      </x:c>
      <x:c r="G5" s="24" t="str">
        <x:v>Medium pelagics (30 - 89 cm)</x:v>
      </x:c>
      <x:c r="H5" s="24" t="str">
        <x:v>Other fishes &amp; inverts</x:v>
      </x:c>
      <x:c r="I5" s="31" t="n">
        <x:v>318.5872524487</x:v>
      </x:c>
      <x:c r="J5" s="31" t="n">
        <x:v>318.5872524487</x:v>
      </x:c>
      <x:c r="K5" s="31" t="n">
        <x:v>0</x:v>
      </x:c>
      <x:c r="L5" s="31" t="n">
        <x:v>0</x:v>
      </x:c>
      <x:c r="M5" s="31" t="n">
        <x:v>318.5872524487</x:v>
      </x:c>
      <x:c r="N5" s="24" t="str">
        <x:v>hemiramphidae</x:v>
      </x:c>
      <x:c r="O5" s="32" t="n">
        <x:v>2.82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Hemiramphidae</x:v>
      </x:c>
      <x:c r="T5" s="32" t="n">
        <x:f>IF(O5="","",(1/'Metadata'!$B$5)^(O5-1))</x:f>
        <x:v>66.06934480075958</x:v>
      </x:c>
      <x:c r="U5" s="31" t="n">
        <x:f>IF(T5="","",I5*T5)</x:f>
        <x:v>21048.851031159797</x:v>
      </x:c>
    </x:row>
    <x:row r="6" ht="18" customHeight="1">
      <x:c r="A6" s="24" t="str">
        <x:v>EEZ_312</x:v>
      </x:c>
      <x:c r="B6" s="24" t="str">
        <x:v>Guadeloupe  (France)</x:v>
      </x:c>
      <x:c r="C6" s="24" t="str">
        <x:v>EEZ</x:v>
      </x:c>
      <x:c r="D6" s="30" t="n">
        <x:v>2019</x:v>
      </x:c>
      <x:c r="E6" s="24" t="str">
        <x:v>Aliger gigas</x:v>
      </x:c>
      <x:c r="F6" s="24" t="str">
        <x:v>Pink conch</x:v>
      </x:c>
      <x:c r="G6" s="24" t="str">
        <x:v>Other demersal invertebrates</x:v>
      </x:c>
      <x:c r="H6" s="24" t="str">
        <x:v>Molluscs</x:v>
      </x:c>
      <x:c r="I6" s="31" t="n">
        <x:v>289.39056368729996</x:v>
      </x:c>
      <x:c r="J6" s="31" t="n">
        <x:v>289.39056368729996</x:v>
      </x:c>
      <x:c r="K6" s="31" t="n">
        <x:v>0</x:v>
      </x:c>
      <x:c r="L6" s="31" t="n">
        <x:v>115</x:v>
      </x:c>
      <x:c r="M6" s="31" t="n">
        <x:v>174.3905636873</x:v>
      </x:c>
      <x:c r="N6" s="24" t="str">
        <x:v>aliger gigas</x:v>
      </x:c>
      <x:c r="O6" s="32" t="n">
        <x:v>2.19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Aliger gigas</x:v>
      </x:c>
      <x:c r="T6" s="32" t="n">
        <x:f>IF(O6="","",(1/'Metadata'!$B$5)^(O6-1))</x:f>
        <x:v>15.488166189124811</x:v>
      </x:c>
      <x:c r="U6" s="31" t="n">
        <x:f>IF(T6="","",I6*T6)</x:f>
        <x:v>4482.12914395341</x:v>
      </x:c>
    </x:row>
    <x:row r="7" ht="18" customHeight="1">
      <x:c r="A7" s="24" t="str">
        <x:v>EEZ_312</x:v>
      </x:c>
      <x:c r="B7" s="24" t="str">
        <x:v>Guadeloupe  (France)</x:v>
      </x:c>
      <x:c r="C7" s="24" t="str">
        <x:v>EEZ</x:v>
      </x:c>
      <x:c r="D7" s="30" t="n">
        <x:v>2019</x:v>
      </x:c>
      <x:c r="E7" s="24" t="str">
        <x:v>Coryphaena hippurus</x:v>
      </x:c>
      <x:c r="F7" s="24" t="str">
        <x:v>Common dolphinfish</x:v>
      </x:c>
      <x:c r="G7" s="24" t="str">
        <x:v>Large pelagics (&gt;=90 cm)</x:v>
      </x:c>
      <x:c r="H7" s="24" t="str">
        <x:v>Perch-likes</x:v>
      </x:c>
      <x:c r="I7" s="31" t="n">
        <x:v>270</x:v>
      </x:c>
      <x:c r="J7" s="31" t="n">
        <x:v>270</x:v>
      </x:c>
      <x:c r="K7" s="31" t="n">
        <x:v>0</x:v>
      </x:c>
      <x:c r="L7" s="31" t="n">
        <x:v>270</x:v>
      </x:c>
      <x:c r="M7" s="31" t="n">
        <x:v>0</x:v>
      </x:c>
      <x:c r="N7" s="24" t="str">
        <x:v>coryphaena hippurus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Coryphaena hippurus</x:v>
      </x:c>
      <x:c r="T7" s="32" t="n">
        <x:f>IF(O7="","",(1/'Metadata'!$B$5)^(O7-1))</x:f>
        <x:v>2344.228815319923</x:v>
      </x:c>
      <x:c r="U7" s="31" t="n">
        <x:f>IF(T7="","",I7*T7)</x:f>
        <x:v>632941.7801363792</x:v>
      </x:c>
    </x:row>
    <x:row r="8" ht="18" customHeight="1">
      <x:c r="A8" s="24" t="str">
        <x:v>EEZ_312</x:v>
      </x:c>
      <x:c r="B8" s="24" t="str">
        <x:v>Guadeloupe  (France)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263.9580147038</x:v>
      </x:c>
      <x:c r="J8" s="31" t="n">
        <x:v>263.9580147038</x:v>
      </x:c>
      <x:c r="K8" s="31" t="n">
        <x:v>0</x:v>
      </x:c>
      <x:c r="L8" s="31" t="n">
        <x:v>0</x:v>
      </x:c>
      <x:c r="M8" s="31" t="n">
        <x:v>263.9580147038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276397.9726831878</x:v>
      </x:c>
    </x:row>
    <x:row r="9" ht="18" customHeight="1">
      <x:c r="A9" s="24" t="str">
        <x:v>EEZ_312</x:v>
      </x:c>
      <x:c r="B9" s="24" t="str">
        <x:v>Guadeloupe  (France)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83.3481833159</x:v>
      </x:c>
      <x:c r="J9" s="31" t="n">
        <x:v>83.3481833159</x:v>
      </x:c>
      <x:c r="K9" s="31" t="n">
        <x:v>0</x:v>
      </x:c>
      <x:c r="L9" s="31" t="n">
        <x:v>0</x:v>
      </x:c>
      <x:c r="M9" s="31" t="n">
        <x:v>83.3481833159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12047.477898422407</x:v>
      </x:c>
    </x:row>
    <x:row r="10" ht="18" customHeight="1">
      <x:c r="A10" s="24" t="str">
        <x:v>EEZ_312</x:v>
      </x:c>
      <x:c r="B10" s="24" t="str">
        <x:v>Guadeloupe  (France)</x:v>
      </x:c>
      <x:c r="C10" s="24" t="str">
        <x:v>EEZ</x:v>
      </x:c>
      <x:c r="D10" s="30" t="n">
        <x:v>2019</x:v>
      </x:c>
      <x:c r="E10" s="24" t="str">
        <x:v>Panulirus argus</x:v>
      </x:c>
      <x:c r="F10" s="24" t="str">
        <x:v>Caribbean spiny lobster</x:v>
      </x:c>
      <x:c r="G10" s="24" t="str">
        <x:v>Lobsters, crabs</x:v>
      </x:c>
      <x:c r="H10" s="24" t="str">
        <x:v>Crustaceans</x:v>
      </x:c>
      <x:c r="I10" s="31" t="n">
        <x:v>77.1939122861</x:v>
      </x:c>
      <x:c r="J10" s="31" t="n">
        <x:v>77.1939122861</x:v>
      </x:c>
      <x:c r="K10" s="31" t="n">
        <x:v>0</x:v>
      </x:c>
      <x:c r="L10" s="31" t="n">
        <x:v>0</x:v>
      </x:c>
      <x:c r="M10" s="31" t="n">
        <x:v>77.1939122861</x:v>
      </x:c>
      <x:c r="N10" s="24" t="str">
        <x:v>panulirus argus</x:v>
      </x:c>
      <x:c r="O10" s="32" t="n">
        <x:v>3.2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Panulirus argus</x:v>
      </x:c>
      <x:c r="T10" s="32" t="n">
        <x:f>IF(O10="","",(1/'Metadata'!$B$5)^(O10-1))</x:f>
        <x:v>158.48931924611142</x:v>
      </x:c>
      <x:c r="U10" s="31" t="n">
        <x:f>IF(T10="","",I10*T10)</x:f>
        <x:v>12234.410608168026</x:v>
      </x:c>
    </x:row>
    <x:row r="11" ht="18" customHeight="1">
      <x:c r="A11" s="24" t="str">
        <x:v>EEZ_312</x:v>
      </x:c>
      <x:c r="B11" s="24" t="str">
        <x:v>Guadeloupe  (France)</x:v>
      </x:c>
      <x:c r="C11" s="24" t="str">
        <x:v>EEZ</x:v>
      </x:c>
      <x:c r="D11" s="30" t="n">
        <x:v>2019</x:v>
      </x:c>
      <x:c r="E11" s="24" t="str">
        <x:v>Miscellaneous marine crustaceans</x:v>
      </x:c>
      <x:c r="F11" s="24" t="str">
        <x:v>Marine crabs, shrimps, lobsters nei</x:v>
      </x:c>
      <x:c r="G11" s="24" t="str">
        <x:v>Shrimps</x:v>
      </x:c>
      <x:c r="H11" s="24" t="str">
        <x:v>Crustaceans</x:v>
      </x:c>
      <x:c r="I11" s="31" t="n">
        <x:v>75</x:v>
      </x:c>
      <x:c r="J11" s="31" t="n">
        <x:v>75</x:v>
      </x:c>
      <x:c r="K11" s="31" t="n">
        <x:v>0</x:v>
      </x:c>
      <x:c r="L11" s="31" t="n">
        <x:v>75</x:v>
      </x:c>
      <x:c r="M11" s="31" t="n">
        <x:v>0</x:v>
      </x:c>
      <x:c r="N11" s="24" t="str">
        <x:v>miscellaneous marine crustaceans</x:v>
      </x:c>
      <x:c r="O11" s="32" t="n">
        <x:v>2.7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Miscellaneous marine crustaceans</x:v>
      </x:c>
      <x:c r="T11" s="32" t="n">
        <x:f>IF(O11="","",(1/'Metadata'!$B$5)^(O11-1))</x:f>
        <x:v>50.11872336272725</x:v>
      </x:c>
      <x:c r="U11" s="31" t="n">
        <x:f>IF(T11="","",I11*T11)</x:f>
        <x:v>3758.904252204544</x:v>
      </x:c>
    </x:row>
    <x:row r="12" ht="18" customHeight="1">
      <x:c r="A12" s="24" t="str">
        <x:v>EEZ_312</x:v>
      </x:c>
      <x:c r="B12" s="24" t="str">
        <x:v>Guadeloupe  (France)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59.1359314438</x:v>
      </x:c>
      <x:c r="J12" s="31" t="n">
        <x:v>59.1359314438</x:v>
      </x:c>
      <x:c r="K12" s="31" t="n">
        <x:v>0</x:v>
      </x:c>
      <x:c r="L12" s="31" t="n">
        <x:v>0</x:v>
      </x:c>
      <x:c r="M12" s="31" t="n">
        <x:v>59.1359314438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56474.376096300904</x:v>
      </x:c>
    </x:row>
    <x:row r="13" ht="18" customHeight="1">
      <x:c r="A13" s="24" t="str">
        <x:v>EEZ_312</x:v>
      </x:c>
      <x:c r="B13" s="24" t="str">
        <x:v>Guadeloupe  (France)</x:v>
      </x:c>
      <x:c r="C13" s="24" t="str">
        <x:v>EEZ</x:v>
      </x:c>
      <x:c r="D13" s="30" t="n">
        <x:v>2019</x:v>
      </x:c>
      <x:c r="E13" s="24" t="str">
        <x:v>Pomacentridae</x:v>
      </x:c>
      <x:c r="F13" s="24" t="str">
        <x:v>Damselfishes</x:v>
      </x:c>
      <x:c r="G13" s="24" t="str">
        <x:v>Small reef assoc. fish (&lt;30 cm)</x:v>
      </x:c>
      <x:c r="H13" s="24" t="str">
        <x:v>Perch-likes</x:v>
      </x:c>
      <x:c r="I13" s="31" t="n">
        <x:v>52.1932367813</x:v>
      </x:c>
      <x:c r="J13" s="31" t="n">
        <x:v>52.1932367813</x:v>
      </x:c>
      <x:c r="K13" s="31" t="n">
        <x:v>0</x:v>
      </x:c>
      <x:c r="L13" s="31" t="n">
        <x:v>0</x:v>
      </x:c>
      <x:c r="M13" s="31" t="n">
        <x:v>52.1932367813</x:v>
      </x:c>
      <x:c r="N13" s="24" t="str">
        <x:v>pomacentridae</x:v>
      </x:c>
      <x:c r="O13" s="32" t="n">
        <x:v>2.57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Pomacentridae</x:v>
      </x:c>
      <x:c r="T13" s="32" t="n">
        <x:f>IF(O13="","",(1/'Metadata'!$B$5)^(O13-1))</x:f>
        <x:v>37.15352290971724</x:v>
      </x:c>
      <x:c r="U13" s="31" t="n">
        <x:f>IF(T13="","",I13*T13)</x:f>
        <x:v>1939.162618486326</x:v>
      </x:c>
    </x:row>
    <x:row r="14" ht="18" customHeight="1">
      <x:c r="A14" s="24" t="str">
        <x:v>EEZ_312</x:v>
      </x:c>
      <x:c r="B14" s="24" t="str">
        <x:v>Guadeloupe  (France)</x:v>
      </x:c>
      <x:c r="C14" s="24" t="str">
        <x:v>EEZ</x:v>
      </x:c>
      <x:c r="D14" s="30" t="n">
        <x:v>2019</x:v>
      </x:c>
      <x:c r="E14" s="24" t="str">
        <x:v>Mullidae</x:v>
      </x:c>
      <x:c r="F14" s="24" t="str">
        <x:v>Goatfishes</x:v>
      </x:c>
      <x:c r="G14" s="24" t="str">
        <x:v>Medium reef assoc. fish (30 - 89 cm)</x:v>
      </x:c>
      <x:c r="H14" s="24" t="str">
        <x:v>Perch-likes</x:v>
      </x:c>
      <x:c r="I14" s="31" t="n">
        <x:v>51.6002126894</x:v>
      </x:c>
      <x:c r="J14" s="31" t="n">
        <x:v>51.6002126894</x:v>
      </x:c>
      <x:c r="K14" s="31" t="n">
        <x:v>0</x:v>
      </x:c>
      <x:c r="L14" s="31" t="n">
        <x:v>0</x:v>
      </x:c>
      <x:c r="M14" s="31" t="n">
        <x:v>51.6002126894</x:v>
      </x:c>
      <x:c r="N14" s="24" t="str">
        <x:v>mullidae</x:v>
      </x:c>
      <x:c r="O14" s="32" t="n">
        <x:v>3.46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Mullidae</x:v>
      </x:c>
      <x:c r="T14" s="32" t="n">
        <x:f>IF(O14="","",(1/'Metadata'!$B$5)^(O14-1))</x:f>
        <x:v>288.40315031266056</x:v>
      </x:c>
      <x:c r="U14" s="31" t="n">
        <x:f>IF(T14="","",I14*T14)</x:f>
        <x:v>14881.663896426284</x:v>
      </x:c>
    </x:row>
    <x:row r="15" ht="18" customHeight="1">
      <x:c r="A15" s="24" t="str">
        <x:v>EEZ_312</x:v>
      </x:c>
      <x:c r="B15" s="24" t="str">
        <x:v>Guadeloupe  (France)</x:v>
      </x:c>
      <x:c r="C15" s="24" t="str">
        <x:v>EEZ</x:v>
      </x:c>
      <x:c r="D15" s="30" t="n">
        <x:v>2019</x:v>
      </x:c>
      <x:c r="E15" s="24" t="str">
        <x:v>Sphyraenidae</x:v>
      </x:c>
      <x:c r="F15" s="24" t="str">
        <x:v>Barracudas</x:v>
      </x:c>
      <x:c r="G15" s="24" t="str">
        <x:v>Medium reef assoc. fish (30 - 89 cm)</x:v>
      </x:c>
      <x:c r="H15" s="24" t="str">
        <x:v>Perch-likes</x:v>
      </x:c>
      <x:c r="I15" s="31" t="n">
        <x:v>34.9001817555</x:v>
      </x:c>
      <x:c r="J15" s="31" t="n">
        <x:v>34.9001817555</x:v>
      </x:c>
      <x:c r="K15" s="31" t="n">
        <x:v>0</x:v>
      </x:c>
      <x:c r="L15" s="31" t="n">
        <x:v>0</x:v>
      </x:c>
      <x:c r="M15" s="31" t="n">
        <x:v>34.9001817555</x:v>
      </x:c>
      <x:c r="N15" s="24" t="str">
        <x:v>sphyraenidae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Sphyraenidae</x:v>
      </x:c>
      <x:c r="T15" s="32" t="n">
        <x:f>IF(O15="","",(1/'Metadata'!$B$5)^(O15-1))</x:f>
        <x:v>2511.886431509582</x:v>
      </x:c>
      <x:c r="U15" s="31" t="n">
        <x:f>IF(T15="","",I15*T15)</x:f>
        <x:v>87665.29300885872</x:v>
      </x:c>
    </x:row>
    <x:row r="16" ht="18" customHeight="1">
      <x:c r="A16" s="24" t="str">
        <x:v>EEZ_312</x:v>
      </x:c>
      <x:c r="B16" s="24" t="str">
        <x:v>Guadeloupe  (France)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24.9111890493</x:v>
      </x:c>
      <x:c r="J16" s="31" t="n">
        <x:v>24.9111890493</x:v>
      </x:c>
      <x:c r="K16" s="31" t="n">
        <x:v>0</x:v>
      </x:c>
      <x:c r="L16" s="31" t="n">
        <x:v>0</x:v>
      </x:c>
      <x:c r="M16" s="31" t="n">
        <x:v>24.9111890493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14334.893065523253</x:v>
      </x:c>
    </x:row>
    <x:row r="17" ht="18" customHeight="1">
      <x:c r="A17" s="24" t="str">
        <x:v>EEZ_312</x:v>
      </x:c>
      <x:c r="B17" s="24" t="str">
        <x:v>Guadeloupe  (France)</x:v>
      </x:c>
      <x:c r="C17" s="24" t="str">
        <x:v>EEZ</x:v>
      </x:c>
      <x:c r="D17" s="30" t="n">
        <x:v>2019</x:v>
      </x:c>
      <x:c r="E17" s="24" t="str">
        <x:v>Carcharhinidae</x:v>
      </x:c>
      <x:c r="F17" s="24" t="str">
        <x:v>Requiem sharks</x:v>
      </x:c>
      <x:c r="G17" s="24" t="str">
        <x:v>Large sharks (&gt;=90 cm)</x:v>
      </x:c>
      <x:c r="H17" s="24" t="str">
        <x:v>Sharks &amp; rays</x:v>
      </x:c>
      <x:c r="I17" s="31" t="n">
        <x:v>19.4262417599</x:v>
      </x:c>
      <x:c r="J17" s="31" t="n">
        <x:v>19.4262417599</x:v>
      </x:c>
      <x:c r="K17" s="31" t="n">
        <x:v>0</x:v>
      </x:c>
      <x:c r="L17" s="31" t="n">
        <x:v>0</x:v>
      </x:c>
      <x:c r="M17" s="31" t="n">
        <x:v>19.4262417599</x:v>
      </x:c>
      <x:c r="N17" s="24" t="str">
        <x:v>carcharhinidae</x:v>
      </x:c>
      <x:c r="O17" s="32" t="n">
        <x:v>4.24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Carcharhinidae</x:v>
      </x:c>
      <x:c r="T17" s="32" t="n">
        <x:f>IF(O17="","",(1/'Metadata'!$B$5)^(O17-1))</x:f>
        <x:v>1737.8008287493763</x:v>
      </x:c>
      <x:c r="U17" s="31" t="n">
        <x:f>IF(T17="","",I17*T17)</x:f>
        <x:v>33758.93902983997</x:v>
      </x:c>
    </x:row>
    <x:row r="18" ht="18" customHeight="1">
      <x:c r="A18" s="24" t="str">
        <x:v>EEZ_312</x:v>
      </x:c>
      <x:c r="B18" s="24" t="str">
        <x:v>Guadeloupe  (France)</x:v>
      </x:c>
      <x:c r="C18" s="24" t="str">
        <x:v>EEZ</x:v>
      </x:c>
      <x:c r="D18" s="30" t="n">
        <x:v>2019</x:v>
      </x:c>
      <x:c r="E18" s="24" t="str">
        <x:v>Kyphosus sectatrix</x:v>
      </x:c>
      <x:c r="F18" s="24" t="str">
        <x:v>Bermuda sea chub</x:v>
      </x:c>
      <x:c r="G18" s="24" t="str">
        <x:v>Medium reef assoc. fish (30 - 89 cm)</x:v>
      </x:c>
      <x:c r="H18" s="24" t="str">
        <x:v>Perch-likes</x:v>
      </x:c>
      <x:c r="I18" s="31" t="n">
        <x:v>4.8711746802</x:v>
      </x:c>
      <x:c r="J18" s="31" t="n">
        <x:v>4.8711746802</x:v>
      </x:c>
      <x:c r="K18" s="31" t="n">
        <x:v>0</x:v>
      </x:c>
      <x:c r="L18" s="31" t="n">
        <x:v>0</x:v>
      </x:c>
      <x:c r="M18" s="31" t="n">
        <x:v>4.8711746802</x:v>
      </x:c>
      <x:c r="N18" s="24" t="str">
        <x:v>kyphosus sectatrix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Kyphosus sectatrix</x:v>
      </x:c>
      <x:c r="T18" s="32" t="n">
        <x:f>IF(O18="","",(1/'Metadata'!$B$5)^(O18-1))</x:f>
        <x:v>10</x:v>
      </x:c>
      <x:c r="U18" s="31" t="n">
        <x:f>IF(T18="","",I18*T18)</x:f>
        <x:v>48.711746802</x:v>
      </x:c>
    </x:row>
    <x:row r="19" ht="18" customHeight="1">
      <x:c r="A19" s="24" t="str">
        <x:v>EEZ_312</x:v>
      </x:c>
      <x:c r="B19" s="24" t="str">
        <x:v>Guadeloupe  (France)</x:v>
      </x:c>
      <x:c r="C19" s="24" t="str">
        <x:v>EEZ</x:v>
      </x:c>
      <x:c r="D19" s="30" t="n">
        <x:v>2019</x:v>
      </x:c>
      <x:c r="E19" s="24" t="str">
        <x:v>Octopus vulgaris</x:v>
      </x:c>
      <x:c r="F19" s="24" t="str">
        <x:v>Common octopus</x:v>
      </x:c>
      <x:c r="G19" s="24" t="str">
        <x:v>Cephalopods</x:v>
      </x:c>
      <x:c r="H19" s="24" t="str">
        <x:v>Other fishes &amp; inverts</x:v>
      </x:c>
      <x:c r="I19" s="31" t="n">
        <x:v>3.8357682484</x:v>
      </x:c>
      <x:c r="J19" s="31" t="n">
        <x:v>3.8357682484</x:v>
      </x:c>
      <x:c r="K19" s="31" t="n">
        <x:v>0</x:v>
      </x:c>
      <x:c r="L19" s="31" t="n">
        <x:v>0</x:v>
      </x:c>
      <x:c r="M19" s="31" t="n">
        <x:v>3.8357682484</x:v>
      </x:c>
      <x:c r="N19" s="24" t="str">
        <x:v>octopus vulgaris</x:v>
      </x:c>
      <x:c r="O19" s="32" t="n">
        <x:v>3.6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Octopus vulgaris</x:v>
      </x:c>
      <x:c r="T19" s="32" t="n">
        <x:f>IF(O19="","",(1/'Metadata'!$B$5)^(O19-1))</x:f>
        <x:v>398.1071705534973</x:v>
      </x:c>
      <x:c r="U19" s="31" t="n">
        <x:f>IF(T19="","",I19*T19)</x:f>
        <x:v>1527.0468442694685</x:v>
      </x:c>
    </x:row>
    <x:row r="20" ht="18" customHeight="1">
      <x:c r="A20" s="24" t="str">
        <x:v>EEZ_312</x:v>
      </x:c>
      <x:c r="B20" s="24" t="str">
        <x:v>Guadeloupe  (France)</x:v>
      </x:c>
      <x:c r="C20" s="24" t="str">
        <x:v>EEZ</x:v>
      </x:c>
      <x:c r="D20" s="30" t="n">
        <x:v>2019</x:v>
      </x:c>
      <x:c r="E20" s="24" t="str">
        <x:v>Dasyatidae</x:v>
      </x:c>
      <x:c r="F20" s="24" t="str">
        <x:v>Whiptail stingrays</x:v>
      </x:c>
      <x:c r="G20" s="24" t="str">
        <x:v>Large rays (&gt;=90 cm)</x:v>
      </x:c>
      <x:c r="H20" s="24" t="str">
        <x:v>Sharks &amp; rays</x:v>
      </x:c>
      <x:c r="I20" s="31" t="n">
        <x:v>2.9754414797</x:v>
      </x:c>
      <x:c r="J20" s="31" t="n">
        <x:v>2.9754414797</x:v>
      </x:c>
      <x:c r="K20" s="31" t="n">
        <x:v>0</x:v>
      </x:c>
      <x:c r="L20" s="31" t="n">
        <x:v>0</x:v>
      </x:c>
      <x:c r="M20" s="31" t="n">
        <x:v>2.9754414797</x:v>
      </x:c>
      <x:c r="N20" s="24" t="str">
        <x:v>dasyatidae</x:v>
      </x:c>
      <x:c r="O20" s="32" t="n">
        <x:v>3.38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Dasyatidae</x:v>
      </x:c>
      <x:c r="T20" s="32" t="n">
        <x:f>IF(O20="","",(1/'Metadata'!$B$5)^(O20-1))</x:f>
        <x:v>239.88329190194898</x:v>
      </x:c>
      <x:c r="U20" s="31" t="n">
        <x:f>IF(T20="","",I20*T20)</x:f>
        <x:v>713.7586970120421</x:v>
      </x:c>
    </x:row>
    <x:row r="21" ht="18" customHeight="1">
      <x:c r="A21" s="24" t="str">
        <x:v>EEZ_312</x:v>
      </x:c>
      <x:c r="B21" s="24" t="str">
        <x:v>Guadeloupe  (France)</x:v>
      </x:c>
      <x:c r="C21" s="24" t="str">
        <x:v>EEZ</x:v>
      </x:c>
      <x:c r="D21" s="30" t="n">
        <x:v>2019</x:v>
      </x:c>
      <x:c r="E21" s="24" t="str">
        <x:v>Albulidae</x:v>
      </x:c>
      <x:c r="F21" s="24" t="str">
        <x:v>Bonefishes</x:v>
      </x:c>
      <x:c r="G21" s="24" t="str">
        <x:v>Medium reef assoc. fish (30 - 89 cm)</x:v>
      </x:c>
      <x:c r="H21" s="24" t="str">
        <x:v>Other fishes &amp; inverts</x:v>
      </x:c>
      <x:c r="I21" s="31" t="n">
        <x:v>1.3143624602</x:v>
      </x:c>
      <x:c r="J21" s="31" t="n">
        <x:v>1.3143624602</x:v>
      </x:c>
      <x:c r="K21" s="31" t="n">
        <x:v>0</x:v>
      </x:c>
      <x:c r="L21" s="31" t="n">
        <x:v>0</x:v>
      </x:c>
      <x:c r="M21" s="31" t="n">
        <x:v>1.3143624602</x:v>
      </x:c>
      <x:c r="N21" s="24" t="str">
        <x:v>albulidae</x:v>
      </x:c>
      <x:c r="O21" s="32" t="n">
        <x:v>3.47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Albulidae</x:v>
      </x:c>
      <x:c r="T21" s="32" t="n">
        <x:f>IF(O21="","",(1/'Metadata'!$B$5)^(O21-1))</x:f>
        <x:v>295.1209226666387</x:v>
      </x:c>
      <x:c r="U21" s="31" t="n">
        <x:f>IF(T21="","",I21*T21)</x:f>
        <x:v>387.8958619726172</x:v>
      </x:c>
    </x:row>
    <x:row r="22" ht="18" customHeight="1">
      <x:c r="A22" s="24" t="str">
        <x:v>EEZ_312</x:v>
      </x:c>
      <x:c r="B22" s="24" t="str">
        <x:v>Guadeloupe  (France)</x:v>
      </x:c>
      <x:c r="C22" s="24" t="str">
        <x:v>EEZ</x:v>
      </x:c>
      <x:c r="D22" s="30" t="n">
        <x:v>2019</x:v>
      </x:c>
      <x:c r="E22" s="24" t="str">
        <x:v>Sparidae</x:v>
      </x:c>
      <x:c r="F22" s="24" t="str">
        <x:v>Porgies, seabreams</x:v>
      </x:c>
      <x:c r="G22" s="24" t="str">
        <x:v>Medium benthopelagics (30 - 89 cm)</x:v>
      </x:c>
      <x:c r="H22" s="24" t="str">
        <x:v>Perch-likes</x:v>
      </x:c>
      <x:c r="I22" s="31" t="n">
        <x:v>0.5213311805</x:v>
      </x:c>
      <x:c r="J22" s="31" t="n">
        <x:v>0.5213311805</x:v>
      </x:c>
      <x:c r="K22" s="31" t="n">
        <x:v>0</x:v>
      </x:c>
      <x:c r="L22" s="31" t="n">
        <x:v>0</x:v>
      </x:c>
      <x:c r="M22" s="31" t="n">
        <x:v>0.5213311805</x:v>
      </x:c>
      <x:c r="N22" s="24" t="str">
        <x:v>sparidae</x:v>
      </x:c>
      <x:c r="O22" s="32" t="n">
        <x:v>3.31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Sparidae</x:v>
      </x:c>
      <x:c r="T22" s="32" t="n">
        <x:f>IF(O22="","",(1/'Metadata'!$B$5)^(O22-1))</x:f>
        <x:v>204.17379446695296</x:v>
      </x:c>
      <x:c r="U22" s="31" t="n">
        <x:f>IF(T22="","",I22*T22)</x:f>
        <x:v>106.44216529662096</x:v>
      </x:c>
    </x:row>
    <x:row r="23" ht="18" customHeight="1">
      <x:c r="A23" s="24" t="str">
        <x:v>EEZ_312</x:v>
      </x:c>
      <x:c r="B23" s="24" t="str">
        <x:v>Guadeloupe  (France)</x:v>
      </x:c>
      <x:c r="C23" s="24" t="str">
        <x:v>EEZ</x:v>
      </x:c>
      <x:c r="D23" s="30" t="n">
        <x:v>2019</x:v>
      </x:c>
      <x:c r="E23" s="24" t="str">
        <x:v>Callinectes</x:v>
      </x:c>
      <x:c r="F23" s="24" t="str">
        <x:v>Beautiful swimming crabs</x:v>
      </x:c>
      <x:c r="G23" s="24" t="str">
        <x:v>Lobsters, crabs</x:v>
      </x:c>
      <x:c r="H23" s="24" t="str">
        <x:v>Crustaceans</x:v>
      </x:c>
      <x:c r="I23" s="31" t="n">
        <x:v>0.2091018073</x:v>
      </x:c>
      <x:c r="J23" s="31" t="n">
        <x:v>0.2091018073</x:v>
      </x:c>
      <x:c r="K23" s="31" t="n">
        <x:v>0</x:v>
      </x:c>
      <x:c r="L23" s="31" t="n">
        <x:v>0</x:v>
      </x:c>
      <x:c r="M23" s="31" t="n">
        <x:v>0.2091018073</x:v>
      </x:c>
      <x:c r="N23" s="24" t="str">
        <x:v>callinectes</x:v>
      </x:c>
      <x:c r="O23" s="32" t="n">
        <x:v>3.63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Callinectes</x:v>
      </x:c>
      <x:c r="T23" s="32" t="n">
        <x:f>IF(O23="","",(1/'Metadata'!$B$5)^(O23-1))</x:f>
        <x:v>426.57951880159254</x:v>
      </x:c>
      <x:c r="U23" s="31" t="n">
        <x:f>IF(T23="","",I23*T23)</x:f>
        <x:v>89.19854833857733</x:v>
      </x:c>
    </x:row>
    <x:row r="24" ht="18" customHeight="1">
      <x:c r="A24" s="24" t="str">
        <x:v>EEZ_312</x:v>
      </x:c>
      <x:c r="B24" s="24" t="str">
        <x:v>Guadeloupe  (France)</x:v>
      </x:c>
      <x:c r="C24" s="24" t="str">
        <x:v>EEZ</x:v>
      </x:c>
      <x:c r="D24" s="30" t="n">
        <x:v>2019</x:v>
      </x:c>
      <x:c r="E24" s="24" t="str">
        <x:v>Megalops atlanticus</x:v>
      </x:c>
      <x:c r="F24" s="24" t="str">
        <x:v>Tarpon</x:v>
      </x:c>
      <x:c r="G24" s="24" t="str">
        <x:v>Large pelagics (&gt;=90 cm)</x:v>
      </x:c>
      <x:c r="H24" s="24" t="str">
        <x:v>Other fishes &amp; inverts</x:v>
      </x:c>
      <x:c r="I24" s="31" t="n">
        <x:v>0.1010429764</x:v>
      </x:c>
      <x:c r="J24" s="31" t="n">
        <x:v>0.1010429764</x:v>
      </x:c>
      <x:c r="K24" s="31" t="n">
        <x:v>0</x:v>
      </x:c>
      <x:c r="L24" s="31" t="n">
        <x:v>0</x:v>
      </x:c>
      <x:c r="M24" s="31" t="n">
        <x:v>0.1010429764</x:v>
      </x:c>
      <x:c r="N24" s="24" t="str">
        <x:v>megalops atlanticus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Megalops atlanticus</x:v>
      </x:c>
      <x:c r="T24" s="32" t="n">
        <x:f>IF(O24="","",(1/'Metadata'!$B$5)^(O24-1))</x:f>
        <x:v>3162.2776601683795</x:v>
      </x:c>
      <x:c r="U24" s="31" t="n">
        <x:f>IF(T24="","",I24*T24)</x:f>
        <x:v>319.5259469866408</x:v>
      </x:c>
    </x:row>
  </x:sheetData>
  <x:conditionalFormatting sqref="R2:R2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4feea9b3c848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152.40301409339997</x:v>
      </x:c>
      <x:c r="C2" s="32" t="n">
        <x:v>2.954531848038555</x:v>
      </x:c>
      <x:c r="D2" s="32" t="n">
        <x:f>IF(C2="","",(1/'Metadata'!$B$5)^(C2-1))</x:f>
        <x:v>90.05998038513722</x:v>
      </x:c>
      <x:c r="E2" s="31" t="n">
        <x:f>IF(B2=0,"",B2*D2)</x:f>
        <x:v>13725.412459887393</x:v>
      </x:c>
    </x:row>
    <x:row r="3" ht="18" customHeight="1">
      <x:c r="A3" s="24" t="str">
        <x:v>Herring-likes</x:v>
      </x:c>
      <x:c r="B3" s="31" t="n">
        <x:v>83.3481833159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12047.477898422407</x:v>
      </x:c>
    </x:row>
    <x:row r="4" ht="18" customHeight="1">
      <x:c r="A4" s="24" t="str">
        <x:v>Molluscs</x:v>
      </x:c>
      <x:c r="B4" s="31" t="n">
        <x:v>289.39056368729996</x:v>
      </x:c>
      <x:c r="C4" s="32" t="n">
        <x:v>2.19</x:v>
      </x:c>
      <x:c r="D4" s="32" t="n">
        <x:f>IF(C4="","",(1/'Metadata'!$B$5)^(C4-1))</x:f>
        <x:v>15.488166189124811</x:v>
      </x:c>
      <x:c r="E4" s="31" t="n">
        <x:f>IF(B4=0,"",B4*D4)</x:f>
        <x:v>4482.12914395341</x:v>
      </x:c>
    </x:row>
    <x:row r="5" ht="18" customHeight="1">
      <x:c r="A5" s="24" t="str">
        <x:v>Other fishes &amp; inverts</x:v>
      </x:c>
      <x:c r="B5" s="31" t="n">
        <x:v>2829.2985703730005</x:v>
      </x:c>
      <x:c r="C5" s="32" t="n">
        <x:v>3.228768330601051</x:v>
      </x:c>
      <x:c r="D5" s="32" t="n">
        <x:f>IF(C5="","",(1/'Metadata'!$B$5)^(C5-1))</x:f>
        <x:v>169.34342164495763</x:v>
      </x:c>
      <x:c r="E5" s="31" t="n">
        <x:f>IF(B5=0,"",B5*D5)</x:f>
        <x:v>479123.10076215083</x:v>
      </x:c>
    </x:row>
    <x:row r="6" ht="18" customHeight="1">
      <x:c r="A6" s="24" t="str">
        <x:v>Perch-likes</x:v>
      </x:c>
      <x:c r="B6" s="31" t="n">
        <x:v>1655.9085564455002</x:v>
      </x:c>
      <x:c r="C6" s="32" t="n">
        <x:v>4.0957276180874596</x:v>
      </x:c>
      <x:c r="D6" s="32" t="n">
        <x:f>IF(C6="","",(1/'Metadata'!$B$5)^(C6-1))</x:f>
        <x:v>1246.6014223756479</x:v>
      </x:c>
      <x:c r="E6" s="31" t="n">
        <x:f>IF(B6=0,"",B6*D6)</x:f>
        <x:v>2064257.9617889663</x:v>
      </x:c>
    </x:row>
    <x:row r="7" ht="18" customHeight="1">
      <x:c r="A7" s="24" t="str">
        <x:v>Sharks &amp; rays</x:v>
      </x:c>
      <x:c r="B7" s="31" t="n">
        <x:v>22.4016832396</x:v>
      </x:c>
      <x:c r="C7" s="32" t="n">
        <x:v>4.125772883886752</x:v>
      </x:c>
      <x:c r="D7" s="32" t="n">
        <x:f>IF(C7="","",(1/'Metadata'!$B$5)^(C7-1))</x:f>
        <x:v>1335.896721073378</x:v>
      </x:c>
      <x:c r="E7" s="31" t="n">
        <x:f>IF(B7=0,"",B7*D7)</x:f>
        <x:v>29926.335186306093</x:v>
      </x:c>
    </x:row>
  </x:sheetData>
  <x:pageMargins left="0.7" right="0.7" top="0.75" bottom="0.75" header="0.3" footer="0.3"/>
  <x:tableParts count="1">
    <x:tablePart xmlns:r="http://schemas.openxmlformats.org/officeDocument/2006/relationships" r:id="R3ff1ede324144d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3.8357682484</x:v>
      </x:c>
      <x:c r="C2" s="32" t="n">
        <x:v>3.6</x:v>
      </x:c>
      <x:c r="D2" s="32" t="n">
        <x:f>IF(C2="","",(1/'Metadata'!$B$5)^(C2-1))</x:f>
        <x:v>398.1071705534973</x:v>
      </x:c>
      <x:c r="E2" s="31" t="n">
        <x:f>IF(B2=0,"",B2*D2)</x:f>
        <x:v>1527.0468442694685</x:v>
      </x:c>
    </x:row>
    <x:row r="3" ht="18" customHeight="1">
      <x:c r="A3" s="24" t="str">
        <x:v>Large pelagics (&gt;=90 cm)</x:v>
      </x:c>
      <x:c r="B3" s="31" t="n">
        <x:v>270.1010429764</x:v>
      </x:c>
      <x:c r="C3" s="32" t="n">
        <x:v>4.370048632122214</x:v>
      </x:c>
      <x:c r="D3" s="32" t="n">
        <x:f>IF(C3="","",(1/'Metadata'!$B$5)^(C3-1))</x:f>
        <x:v>2344.491335822346</x:v>
      </x:c>
      <x:c r="E3" s="31" t="n">
        <x:f>IF(B3=0,"",B3*D3)</x:f>
        <x:v>633249.5550547489</x:v>
      </x:c>
    </x:row>
    <x:row r="4" ht="18" customHeight="1">
      <x:c r="A4" s="24" t="str">
        <x:v>Large rays (&gt;=90 cm)</x:v>
      </x:c>
      <x:c r="B4" s="31" t="n">
        <x:v>2.9754414797</x:v>
      </x:c>
      <x:c r="C4" s="32" t="n">
        <x:v>3.38</x:v>
      </x:c>
      <x:c r="D4" s="32" t="n">
        <x:f>IF(C4="","",(1/'Metadata'!$B$5)^(C4-1))</x:f>
        <x:v>239.88329190194898</x:v>
      </x:c>
      <x:c r="E4" s="31" t="n">
        <x:f>IF(B4=0,"",B4*D4)</x:f>
        <x:v>713.7586970120421</x:v>
      </x:c>
    </x:row>
    <x:row r="5" ht="18" customHeight="1">
      <x:c r="A5" s="24" t="str">
        <x:v>Large sharks (&gt;=90 cm)</x:v>
      </x:c>
      <x:c r="B5" s="31" t="n">
        <x:v>19.4262417599</x:v>
      </x:c>
      <x:c r="C5" s="32" t="n">
        <x:v>4.24</x:v>
      </x:c>
      <x:c r="D5" s="32" t="n">
        <x:f>IF(C5="","",(1/'Metadata'!$B$5)^(C5-1))</x:f>
        <x:v>1737.8008287493763</x:v>
      </x:c>
      <x:c r="E5" s="31" t="n">
        <x:f>IF(B5=0,"",B5*D5)</x:f>
        <x:v>33758.93902983997</x:v>
      </x:c>
    </x:row>
    <x:row r="6" ht="18" customHeight="1">
      <x:c r="A6" s="24" t="str">
        <x:v>Lobsters, crabs</x:v>
      </x:c>
      <x:c r="B6" s="31" t="n">
        <x:v>77.4030140934</x:v>
      </x:c>
      <x:c r="C6" s="32" t="n">
        <x:v>3.2011616314712303</x:v>
      </x:c>
      <x:c r="D6" s="32" t="n">
        <x:f>IF(C6="","",(1/'Metadata'!$B$5)^(C6-1))</x:f>
        <x:v>158.91380684136564</x:v>
      </x:c>
      <x:c r="E6" s="31" t="n">
        <x:f>IF(B6=0,"",B6*D6)</x:f>
        <x:v>12300.40763057807</x:v>
      </x:c>
    </x:row>
    <x:row r="7" ht="18" customHeight="1">
      <x:c r="A7" s="24" t="str">
        <x:v>Medium benthopelagics (30 - 89 cm)</x:v>
      </x:c>
      <x:c r="B7" s="31" t="n">
        <x:v>0.5213311805</x:v>
      </x:c>
      <x:c r="C7" s="32" t="n">
        <x:v>3.31</x:v>
      </x:c>
      <x:c r="D7" s="32" t="n">
        <x:f>IF(C7="","",(1/'Metadata'!$B$5)^(C7-1))</x:f>
        <x:v>204.17379446695296</x:v>
      </x:c>
      <x:c r="E7" s="31" t="n">
        <x:f>IF(B7=0,"",B7*D7)</x:f>
        <x:v>106.44216529662096</x:v>
      </x:c>
    </x:row>
    <x:row r="8" ht="18" customHeight="1">
      <x:c r="A8" s="24" t="str">
        <x:v>Medium demersals (30 - 89 cm)</x:v>
      </x:c>
      <x:c r="B8" s="31" t="n">
        <x:v>2530.3713332886005</x:v>
      </x:c>
      <x:c r="C8" s="32" t="n">
        <x:v>3.2847255399183344</x:v>
      </x:c>
      <x:c r="D8" s="32" t="n">
        <x:f>IF(C8="","",(1/'Metadata'!$B$5)^(C8-1))</x:f>
        <x:v>192.63071645484212</x:v>
      </x:c>
      <x:c r="E8" s="31" t="n">
        <x:f>IF(B8=0,"",B8*D8)</x:f>
        <x:v>487427.2428281772</x:v>
      </x:c>
    </x:row>
    <x:row r="9" ht="18" customHeight="1">
      <x:c r="A9" s="24" t="str">
        <x:v>Medium pelagics (30 - 89 cm)</x:v>
      </x:c>
      <x:c r="B9" s="31" t="n">
        <x:v>1212.4045366103999</x:v>
      </x:c>
      <x:c r="C9" s="32" t="n">
        <x:v>3.821188318638694</x:v>
      </x:c>
      <x:c r="D9" s="32" t="n">
        <x:f>IF(C9="","",(1/'Metadata'!$B$5)^(C9-1))</x:f>
        <x:v>662.5037160829071</x:v>
      </x:c>
      <x:c r="E9" s="31" t="n">
        <x:f>IF(B9=0,"",B9*D9)</x:f>
        <x:v>803222.5109001648</x:v>
      </x:c>
    </x:row>
    <x:row r="10" ht="18" customHeight="1">
      <x:c r="A10" s="24" t="str">
        <x:v>Medium reef assoc. fish (30 - 89 cm)</x:v>
      </x:c>
      <x:c r="B10" s="31" t="n">
        <x:v>415.77987773290005</x:v>
      </x:c>
      <x:c r="C10" s="32" t="n">
        <x:v>3.9513046132497336</x:v>
      </x:c>
      <x:c r="D10" s="32" t="n">
        <x:f>IF(C10="","",(1/'Metadata'!$B$5)^(C10-1))</x:f>
        <x:v>893.9322661348685</x:v>
      </x:c>
      <x:c r="E10" s="31" t="n">
        <x:f>IF(B10=0,"",B10*D10)</x:f>
        <x:v>371679.0483150499</x:v>
      </x:c>
    </x:row>
    <x:row r="11" ht="18" customHeight="1">
      <x:c r="A11" s="24" t="str">
        <x:v>Other demersal invertebrates</x:v>
      </x:c>
      <x:c r="B11" s="31" t="n">
        <x:v>289.39056368729996</x:v>
      </x:c>
      <x:c r="C11" s="32" t="n">
        <x:v>2.19</x:v>
      </x:c>
      <x:c r="D11" s="32" t="n">
        <x:f>IF(C11="","",(1/'Metadata'!$B$5)^(C11-1))</x:f>
        <x:v>15.488166189124811</x:v>
      </x:c>
      <x:c r="E11" s="31" t="n">
        <x:f>IF(B11=0,"",B11*D11)</x:f>
        <x:v>4482.12914395341</x:v>
      </x:c>
    </x:row>
    <x:row r="12" ht="18" customHeight="1">
      <x:c r="A12" s="24" t="str">
        <x:v>Shrimps</x:v>
      </x:c>
      <x:c r="B12" s="31" t="n">
        <x:v>75</x:v>
      </x:c>
      <x:c r="C12" s="32" t="n">
        <x:v>2.7</x:v>
      </x:c>
      <x:c r="D12" s="32" t="n">
        <x:f>IF(C12="","",(1/'Metadata'!$B$5)^(C12-1))</x:f>
        <x:v>50.11872336272725</x:v>
      </x:c>
      <x:c r="E12" s="31" t="n">
        <x:f>IF(B12=0,"",B12*D12)</x:f>
        <x:v>3758.904252204544</x:v>
      </x:c>
    </x:row>
    <x:row r="13" ht="18" customHeight="1">
      <x:c r="A13" s="24" t="str">
        <x:v>Small pelagics (&lt;30 cm)</x:v>
      </x:c>
      <x:c r="B13" s="31" t="n">
        <x:v>83.3481833159</x:v>
      </x:c>
      <x:c r="C13" s="32" t="n">
        <x:v>3.16</x:v>
      </x:c>
      <x:c r="D13" s="32" t="n">
        <x:f>IF(C13="","",(1/'Metadata'!$B$5)^(C13-1))</x:f>
        <x:v>144.5439770745928</x:v>
      </x:c>
      <x:c r="E13" s="31" t="n">
        <x:f>IF(B13=0,"",B13*D13)</x:f>
        <x:v>12047.477898422407</x:v>
      </x:c>
    </x:row>
    <x:row r="14" ht="18" customHeight="1">
      <x:c r="A14" s="24" t="str">
        <x:v>Small reef assoc. fish (&lt;30 cm)</x:v>
      </x:c>
      <x:c r="B14" s="31" t="n">
        <x:v>52.1932367813</x:v>
      </x:c>
      <x:c r="C14" s="32" t="n">
        <x:v>2.5699999999999994</x:v>
      </x:c>
      <x:c r="D14" s="32" t="n">
        <x:f>IF(C14="","",(1/'Metadata'!$B$5)^(C14-1))</x:f>
        <x:v>37.1535229097172</x:v>
      </x:c>
      <x:c r="E14" s="31" t="n">
        <x:f>IF(B14=0,"",B14*D14)</x:f>
        <x:v>1939.1626184863242</x:v>
      </x:c>
    </x:row>
  </x:sheetData>
  <x:pageMargins left="0.7" right="0.7" top="0.75" bottom="0.75" header="0.3" footer="0.3"/>
  <x:tableParts count="1">
    <x:tablePart xmlns:r="http://schemas.openxmlformats.org/officeDocument/2006/relationships" r:id="R4946d26896f54d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EEZ_312</x:v>
      </x:c>
      <x:c r="B2" s="24" t="str">
        <x:v>raw_filtered_tonnes</x:v>
      </x:c>
      <x:c r="C2" s="24" t="n">
        <x:v>5032.750571154701</x:v>
      </x:c>
      <x:c r="D2" s="24" t="str">
        <x:v>tonnes</x:v>
      </x:c>
    </x:row>
    <x:row r="3" ht="18" customHeight="1">
      <x:c r="A3" s="24" t="str">
        <x:v>EEZ_312</x:v>
      </x:c>
      <x:c r="B3" s="24" t="str">
        <x:v>species_catch_tonnes</x:v>
      </x:c>
      <x:c r="C3" s="24" t="n">
        <x:v>5032.7505711547</x:v>
      </x:c>
      <x:c r="D3" s="24" t="str">
        <x:v>tonnes</x:v>
      </x:c>
    </x:row>
    <x:row r="4" ht="18" customHeight="1">
      <x:c r="A4" s="24" t="str">
        <x:v>EEZ_312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EEZ_312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EEZ_312</x:v>
      </x:c>
      <x:c r="B6" s="24" t="str">
        <x:v>matched_catch_tonnes</x:v>
      </x:c>
      <x:c r="C6" s="24" t="n">
        <x:v>5032.7505711547</x:v>
      </x:c>
      <x:c r="D6" s="24" t="str">
        <x:v>tonnes</x:v>
      </x:c>
    </x:row>
    <x:row r="7" ht="18" customHeight="1">
      <x:c r="A7" s="24" t="str">
        <x:v>EEZ_312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EEZ_312</x:v>
      </x:c>
      <x:c r="B8" s="24" t="str">
        <x:v>taxa_count</x:v>
      </x:c>
      <x:c r="C8" s="24" t="n">
        <x:v>23</x:v>
      </x:c>
      <x:c r="D8" s="24" t="str">
        <x:v>count</x:v>
      </x:c>
    </x:row>
    <x:row r="9" ht="18" customHeight="1">
      <x:c r="A9" s="24" t="str">
        <x:v>EEZ_312</x:v>
      </x:c>
      <x:c r="B9" s="24" t="str">
        <x:v>matched_taxa_count</x:v>
      </x:c>
      <x:c r="C9" s="24" t="n">
        <x:v>23</x:v>
      </x:c>
      <x:c r="D9" s="24" t="str">
        <x:v>count</x:v>
      </x:c>
    </x:row>
    <x:row r="10" ht="18" customHeight="1">
      <x:c r="A10" s="24" t="str">
        <x:v>EEZ_312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EEZ_312</x:v>
      </x:c>
      <x:c r="B11" s="24" t="str">
        <x:v>species_ppr</x:v>
      </x:c>
      <x:c r="C11" s="24" t="n">
        <x:v>3035680.419758</x:v>
      </x:c>
      <x:c r="D11" s="24" t="str">
        <x:v>tonnes_primary_production_equivalent</x:v>
      </x:c>
    </x:row>
    <x:row r="12" ht="18" customHeight="1">
      <x:c r="A12" s="24" t="str">
        <x:v>EEZ_312</x:v>
      </x:c>
      <x:c r="B12" s="24" t="str">
        <x:v>commercial_ppr</x:v>
      </x:c>
      <x:c r="C12" s="24" t="n">
        <x:v>2603562.4172396865</x:v>
      </x:c>
      <x:c r="D12" s="24" t="str">
        <x:v>tonnes_primary_production_equivalent</x:v>
      </x:c>
    </x:row>
    <x:row r="13" ht="18" customHeight="1">
      <x:c r="A13" s="24" t="str">
        <x:v>EEZ_312</x:v>
      </x:c>
      <x:c r="B13" s="24" t="str">
        <x:v>functional_ppr</x:v>
      </x:c>
      <x:c r="C13" s="24" t="n">
        <x:v>2366212.625378204</x:v>
      </x:c>
      <x:c r="D13" s="24" t="str">
        <x:v>tonnes_primary_production_equivalent</x:v>
      </x:c>
    </x:row>
    <x:row r="14" ht="18" customHeight="1">
      <x:c r="A14" s="24" t="str">
        <x:v>EEZ_312</x:v>
      </x:c>
      <x:c r="B14" s="24" t="str">
        <x:v>commercial_ppr_difference</x:v>
      </x:c>
      <x:c r="C14" s="24" t="n">
        <x:v>-432118.0025183135</x:v>
      </x:c>
      <x:c r="D14" s="24" t="str">
        <x:v>tonnes_primary_production_equivalent</x:v>
      </x:c>
    </x:row>
    <x:row r="15" ht="18" customHeight="1">
      <x:c r="A15" s="24" t="str">
        <x:v>EEZ_312</x:v>
      </x:c>
      <x:c r="B15" s="24" t="str">
        <x:v>functional_ppr_difference</x:v>
      </x:c>
      <x:c r="C15" s="24" t="n">
        <x:v>-669467.7943797959</x:v>
      </x:c>
      <x:c r="D15" s="24" t="str">
        <x:v>tonnes_primary_production_equivalent</x:v>
      </x:c>
    </x:row>
    <x:row r="16" ht="18" customHeight="1">
      <x:c r="A16" s="24" t="str">
        <x:v>EEZ_312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EEZ_312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b0f8b2752ec4e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EEZ_312 - Guadeloupe 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EEZ_312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