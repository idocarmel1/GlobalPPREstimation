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167383239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f5cd54887204566"/>
    <x:sheet xmlns:r="http://schemas.openxmlformats.org/officeDocument/2006/relationships" name="Commercial" sheetId="2" r:id="Rbe7f025fb4ff473c"/>
    <x:sheet xmlns:r="http://schemas.openxmlformats.org/officeDocument/2006/relationships" name="Functional" sheetId="3" r:id="Re67069fe504b48e5"/>
    <x:sheet xmlns:r="http://schemas.openxmlformats.org/officeDocument/2006/relationships" name="Missing TL" sheetId="4" r:id="R07fbaf4ae5ff4cc9"/>
    <x:sheet xmlns:r="http://schemas.openxmlformats.org/officeDocument/2006/relationships" name="Validation" sheetId="5" r:id="Rccb84d720b5c4c61"/>
    <x:sheet xmlns:r="http://schemas.openxmlformats.org/officeDocument/2006/relationships" name="Metadata" sheetId="6" r:id="R93cd4c8c8f24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6f356c1ed4ed7" /><Relationship Type="http://schemas.openxmlformats.org/officeDocument/2006/relationships/theme" Target="/xl/theme/theme1.xml" Id="R0faf7a9ebcf2420c" /><Relationship Type="http://schemas.microsoft.com/office/2022/11/relationships/FeaturePropertyBag" Target="/xl/featurePropertyBag/featurePropertyBag.xml" Id="R10a306b6cf904cb6" /><Relationship Type="http://schemas.openxmlformats.org/officeDocument/2006/relationships/sharedStrings" Target="/xl/sharedStrings.xml" Id="Rbddf856edd7046ff" /><Relationship Type="http://schemas.openxmlformats.org/officeDocument/2006/relationships/worksheet" Target="/xl/worksheets/sheet1.xml" Id="R7f5cd54887204566" /><Relationship Type="http://schemas.openxmlformats.org/officeDocument/2006/relationships/worksheet" Target="/xl/worksheets/sheet2.xml" Id="Rbe7f025fb4ff473c" /><Relationship Type="http://schemas.openxmlformats.org/officeDocument/2006/relationships/worksheet" Target="/xl/worksheets/sheet3.xml" Id="Re67069fe504b48e5" /><Relationship Type="http://schemas.openxmlformats.org/officeDocument/2006/relationships/worksheet" Target="/xl/worksheets/sheet4.xml" Id="R07fbaf4ae5ff4cc9" /><Relationship Type="http://schemas.openxmlformats.org/officeDocument/2006/relationships/worksheet" Target="/xl/worksheets/sheet5.xml" Id="Rccb84d720b5c4c61" /><Relationship Type="http://schemas.openxmlformats.org/officeDocument/2006/relationships/worksheet" Target="/xl/worksheets/sheet6.xml" Id="R93cd4c8c8f2441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58SpeciesTable" displayName="EEZ958SpeciesTable" ref="A1:U20" headerRowCount="1" totalsRowCount="0" totalsRowShown="0">
  <x:autoFilter ref="A1:U2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58CommercialTable" displayName="EEZ958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58FunctionalTable" displayName="EEZ958FunctionalTable" ref="A1:O7" headerRowCount="1" totalsRowCount="0" totalsRowShown="0">
  <x:autoFilter ref="A1:O7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58ValidationTable" displayName="EEZ95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dadcef5a6040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a6a18607994e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a4f838709e45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8d7db76ba294f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EEZ_958</x:v>
      </x:c>
      <x:c r="B2" s="24" t="str">
        <x:v>USA (Alaska, Arctic)</x:v>
      </x:c>
      <x:c r="C2" s="24" t="str">
        <x:v>EEZ</x:v>
      </x:c>
      <x:c r="D2" s="30" t="n">
        <x:v>2019</x:v>
      </x:c>
      <x:c r="E2" s="24" t="str">
        <x:v>Oncorhynchus keta</x:v>
      </x:c>
      <x:c r="F2" s="24" t="str">
        <x:v>Chum salmon</x:v>
      </x:c>
      <x:c r="G2" s="24" t="str">
        <x:v>Large benthopelagics (&gt;=90 cm)</x:v>
      </x:c>
      <x:c r="H2" s="24" t="str">
        <x:v>Salmon, smelts, etc</x:v>
      </x:c>
      <x:c r="I2" s="31" t="n">
        <x:v>671.6659871001</x:v>
      </x:c>
      <x:c r="J2" s="31" t="n">
        <x:v>671.6659871001</x:v>
      </x:c>
      <x:c r="K2" s="31" t="n">
        <x:v>0</x:v>
      </x:c>
      <x:c r="L2" s="31" t="n">
        <x:v>0</x:v>
      </x:c>
      <x:c r="M2" s="31" t="n">
        <x:v>671.6659871001</x:v>
      </x:c>
      <x:c r="N2" s="24" t="str">
        <x:v>oncorhynchus keta</x:v>
      </x:c>
      <x:c r="O2" s="32" t="n">
        <x:v>3.74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Oncorhynchus keta</x:v>
      </x:c>
      <x:c r="T2" s="32" t="n">
        <x:f>IF(O2="","",(1/'Metadata'!$B$5)^(O2-1))</x:f>
        <x:v>549.5408738576248</x:v>
      </x:c>
      <x:c r="U2" s="31" t="n">
        <x:f>IF(T2="","",I2*T2)</x:f>
        <x:v>369107.9134914331</x:v>
      </x:c>
    </x:row>
    <x:row r="3" ht="18" customHeight="1">
      <x:c r="A3" s="24" t="str">
        <x:v>EEZ_958</x:v>
      </x:c>
      <x:c r="B3" s="24" t="str">
        <x:v>USA (Alaska, Arctic)</x:v>
      </x:c>
      <x:c r="C3" s="24" t="str">
        <x:v>EEZ</x:v>
      </x:c>
      <x:c r="D3" s="30" t="n">
        <x:v>2019</x:v>
      </x:c>
      <x:c r="E3" s="24" t="str">
        <x:v>Stenodus leucichthys</x:v>
      </x:c>
      <x:c r="F3" s="24" t="str">
        <x:v>Sheefish</x:v>
      </x:c>
      <x:c r="G3" s="24" t="str">
        <x:v>Large demersals (&gt;=90 cm)</x:v>
      </x:c>
      <x:c r="H3" s="24" t="str">
        <x:v>Salmon, smelts, etc</x:v>
      </x:c>
      <x:c r="I3" s="31" t="n">
        <x:v>284.1042268</x:v>
      </x:c>
      <x:c r="J3" s="31" t="n">
        <x:v>284.1042268</x:v>
      </x:c>
      <x:c r="K3" s="31" t="n">
        <x:v>0</x:v>
      </x:c>
      <x:c r="L3" s="31" t="n">
        <x:v>0</x:v>
      </x:c>
      <x:c r="M3" s="31" t="n">
        <x:v>284.1042268</x:v>
      </x:c>
      <x:c r="N3" s="24" t="str">
        <x:v>stenodus leucichthys</x:v>
      </x:c>
      <x:c r="O3" s="32" t="n">
        <x:v>4.15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Stenodus leucichthys</x:v>
      </x:c>
      <x:c r="T3" s="32" t="n">
        <x:f>IF(O3="","",(1/'Metadata'!$B$5)^(O3-1))</x:f>
        <x:v>1412.5375446227554</x:v>
      </x:c>
      <x:c r="U3" s="31" t="n">
        <x:f>IF(T3="","",I3*T3)</x:f>
        <x:v>401307.8869410184</x:v>
      </x:c>
    </x:row>
    <x:row r="4" ht="18" customHeight="1">
      <x:c r="A4" s="24" t="str">
        <x:v>EEZ_958</x:v>
      </x:c>
      <x:c r="B4" s="24" t="str">
        <x:v>USA (Alaska, Arctic)</x:v>
      </x:c>
      <x:c r="C4" s="24" t="str">
        <x:v>EEZ</x:v>
      </x:c>
      <x:c r="D4" s="30" t="n">
        <x:v>2019</x:v>
      </x:c>
      <x:c r="E4" s="24" t="str">
        <x:v>Coregonus</x:v>
      </x:c>
      <x:c r="F4" s="24" t="str">
        <x:v>Whitefishes</x:v>
      </x:c>
      <x:c r="G4" s="24" t="str">
        <x:v>Medium pelagics (30 - 89 cm)</x:v>
      </x:c>
      <x:c r="H4" s="24" t="str">
        <x:v>Salmon, smelts, etc</x:v>
      </x:c>
      <x:c r="I4" s="31" t="n">
        <x:v>248.0576768</x:v>
      </x:c>
      <x:c r="J4" s="31" t="n">
        <x:v>248.0576768</x:v>
      </x:c>
      <x:c r="K4" s="31" t="n">
        <x:v>0</x:v>
      </x:c>
      <x:c r="L4" s="31" t="n">
        <x:v>0</x:v>
      </x:c>
      <x:c r="M4" s="31" t="n">
        <x:v>248.0576768</x:v>
      </x:c>
      <x:c r="N4" s="24" t="str">
        <x:v>coregonus</x:v>
      </x:c>
      <x:c r="O4" s="32" t="n">
        <x:v>3.3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Coregonus</x:v>
      </x:c>
      <x:c r="T4" s="32" t="n">
        <x:f>IF(O4="","",(1/'Metadata'!$B$5)^(O4-1))</x:f>
        <x:v>199.52623149688787</x:v>
      </x:c>
      <x:c r="U4" s="31" t="n">
        <x:f>IF(T4="","",I4*T4)</x:f>
        <x:v>49494.01344577699</x:v>
      </x:c>
    </x:row>
    <x:row r="5" ht="18" customHeight="1">
      <x:c r="A5" s="24" t="str">
        <x:v>EEZ_958</x:v>
      </x:c>
      <x:c r="B5" s="24" t="str">
        <x:v>USA (Alaska, Arctic)</x:v>
      </x:c>
      <x:c r="C5" s="24" t="str">
        <x:v>EEZ</x:v>
      </x:c>
      <x:c r="D5" s="30" t="n">
        <x:v>2019</x:v>
      </x:c>
      <x:c r="E5" s="24" t="str">
        <x:v>Salvelinus malma</x:v>
      </x:c>
      <x:c r="F5" s="24" t="str">
        <x:v>Dolly varden</x:v>
      </x:c>
      <x:c r="G5" s="24" t="str">
        <x:v>Large benthopelagics (&gt;=90 cm)</x:v>
      </x:c>
      <x:c r="H5" s="24" t="str">
        <x:v>Salmon, smelts, etc</x:v>
      </x:c>
      <x:c r="I5" s="31" t="n">
        <x:v>109.46870253990001</x:v>
      </x:c>
      <x:c r="J5" s="31" t="n">
        <x:v>109.46870253990001</x:v>
      </x:c>
      <x:c r="K5" s="31" t="n">
        <x:v>0</x:v>
      </x:c>
      <x:c r="L5" s="31" t="n">
        <x:v>0</x:v>
      </x:c>
      <x:c r="M5" s="31" t="n">
        <x:v>109.46870253990001</x:v>
      </x:c>
      <x:c r="N5" s="24" t="str">
        <x:v>salvelinus malma</x:v>
      </x:c>
      <x:c r="O5" s="32" t="n">
        <x:v>4.4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Salvelinus malma</x:v>
      </x:c>
      <x:c r="T5" s="32" t="n">
        <x:f>IF(O5="","",(1/'Metadata'!$B$5)^(O5-1))</x:f>
        <x:v>2511.886431509582</x:v>
      </x:c>
      <x:c r="U5" s="31" t="n">
        <x:f>IF(T5="","",I5*T5)</x:f>
        <x:v>274972.94858493336</x:v>
      </x:c>
    </x:row>
    <x:row r="6" ht="18" customHeight="1">
      <x:c r="A6" s="24" t="str">
        <x:v>EEZ_958</x:v>
      </x:c>
      <x:c r="B6" s="24" t="str">
        <x:v>USA (Alaska, Arctic)</x:v>
      </x:c>
      <x:c r="C6" s="24" t="str">
        <x:v>EEZ</x:v>
      </x:c>
      <x:c r="D6" s="30" t="n">
        <x:v>2019</x:v>
      </x:c>
      <x:c r="E6" s="24" t="str">
        <x:v>Coregonus nasus</x:v>
      </x:c>
      <x:c r="F6" s="24" t="str">
        <x:v>Broad whitefish</x:v>
      </x:c>
      <x:c r="G6" s="24" t="str">
        <x:v>Medium demersals (30 - 89 cm)</x:v>
      </x:c>
      <x:c r="H6" s="24" t="str">
        <x:v>Salmon, smelts, etc</x:v>
      </x:c>
      <x:c r="I6" s="31" t="n">
        <x:v>55.52919231</x:v>
      </x:c>
      <x:c r="J6" s="31" t="n">
        <x:v>55.52919231</x:v>
      </x:c>
      <x:c r="K6" s="31" t="n">
        <x:v>0</x:v>
      </x:c>
      <x:c r="L6" s="31" t="n">
        <x:v>0</x:v>
      </x:c>
      <x:c r="M6" s="31" t="n">
        <x:v>55.52919231</x:v>
      </x:c>
      <x:c r="N6" s="24" t="str">
        <x:v>coregonus nasus</x:v>
      </x:c>
      <x:c r="O6" s="32" t="n">
        <x:v>3.45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Coregonus nasus</x:v>
      </x:c>
      <x:c r="T6" s="32" t="n">
        <x:f>IF(O6="","",(1/'Metadata'!$B$5)^(O6-1))</x:f>
        <x:v>281.8382931264455</x:v>
      </x:c>
      <x:c r="U6" s="31" t="n">
        <x:f>IF(T6="","",I6*T6)</x:f>
        <x:v>15650.252779340542</x:v>
      </x:c>
    </x:row>
    <x:row r="7" ht="18" customHeight="1">
      <x:c r="A7" s="24" t="str">
        <x:v>EEZ_958</x:v>
      </x:c>
      <x:c r="B7" s="24" t="str">
        <x:v>USA (Alaska, Arctic)</x:v>
      </x:c>
      <x:c r="C7" s="24" t="str">
        <x:v>EEZ</x:v>
      </x:c>
      <x:c r="D7" s="30" t="n">
        <x:v>2019</x:v>
      </x:c>
      <x:c r="E7" s="24" t="str">
        <x:v>Eleginus gracilis</x:v>
      </x:c>
      <x:c r="F7" s="24" t="str">
        <x:v>Saffron cod</x:v>
      </x:c>
      <x:c r="G7" s="24" t="str">
        <x:v>Medium demersals (30 - 89 cm)</x:v>
      </x:c>
      <x:c r="H7" s="24" t="str">
        <x:v>Cod-likes</x:v>
      </x:c>
      <x:c r="I7" s="31" t="n">
        <x:v>17.983379795</x:v>
      </x:c>
      <x:c r="J7" s="31" t="n">
        <x:v>17.983379795</x:v>
      </x:c>
      <x:c r="K7" s="31" t="n">
        <x:v>0</x:v>
      </x:c>
      <x:c r="L7" s="31" t="n">
        <x:v>0</x:v>
      </x:c>
      <x:c r="M7" s="31" t="n">
        <x:v>17.983379795</x:v>
      </x:c>
      <x:c r="N7" s="24" t="str">
        <x:v>eleginus gracilis</x:v>
      </x:c>
      <x:c r="O7" s="32" t="n">
        <x:v>4.1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Eleginus gracilis</x:v>
      </x:c>
      <x:c r="T7" s="32" t="n">
        <x:f>IF(O7="","",(1/'Metadata'!$B$5)^(O7-1))</x:f>
        <x:v>1258.9254117941662</x:v>
      </x:c>
      <x:c r="U7" s="31" t="n">
        <x:f>IF(T7="","",I7*T7)</x:f>
        <x:v>22639.733813871266</x:v>
      </x:c>
    </x:row>
    <x:row r="8" ht="18" customHeight="1">
      <x:c r="A8" s="24" t="str">
        <x:v>EEZ_958</x:v>
      </x:c>
      <x:c r="B8" s="24" t="str">
        <x:v>USA (Alaska, Arctic)</x:v>
      </x:c>
      <x:c r="C8" s="24" t="str">
        <x:v>EEZ</x:v>
      </x:c>
      <x:c r="D8" s="30" t="n">
        <x:v>2019</x:v>
      </x:c>
      <x:c r="E8" s="24" t="str">
        <x:v>Clupea pallasii</x:v>
      </x:c>
      <x:c r="F8" s="24" t="str">
        <x:v>Pacific herring</x:v>
      </x:c>
      <x:c r="G8" s="24" t="str">
        <x:v>Medium pelagics (30 - 89 cm)</x:v>
      </x:c>
      <x:c r="H8" s="24" t="str">
        <x:v>Herring-likes</x:v>
      </x:c>
      <x:c r="I8" s="31" t="n">
        <x:v>15.612229031100002</x:v>
      </x:c>
      <x:c r="J8" s="31" t="n">
        <x:v>15.612229031100002</x:v>
      </x:c>
      <x:c r="K8" s="31" t="n">
        <x:v>0</x:v>
      </x:c>
      <x:c r="L8" s="31" t="n">
        <x:v>0</x:v>
      </x:c>
      <x:c r="M8" s="31" t="n">
        <x:v>15.612229031100002</x:v>
      </x:c>
      <x:c r="N8" s="24" t="str">
        <x:v>clupea pallasii</x:v>
      </x:c>
      <x:c r="O8" s="32" t="n">
        <x:v>3.16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Clupea pallasii</x:v>
      </x:c>
      <x:c r="T8" s="32" t="n">
        <x:f>IF(O8="","",(1/'Metadata'!$B$5)^(O8-1))</x:f>
        <x:v>144.5439770745928</x:v>
      </x:c>
      <x:c r="U8" s="31" t="n">
        <x:f>IF(T8="","",I8*T8)</x:f>
        <x:v>2256.6536751546105</x:v>
      </x:c>
    </x:row>
    <x:row r="9" ht="18" customHeight="1">
      <x:c r="A9" s="24" t="str">
        <x:v>EEZ_958</x:v>
      </x:c>
      <x:c r="B9" s="24" t="str">
        <x:v>USA (Alaska, Arctic)</x:v>
      </x:c>
      <x:c r="C9" s="24" t="str">
        <x:v>EEZ</x:v>
      </x:c>
      <x:c r="D9" s="30" t="n">
        <x:v>2019</x:v>
      </x:c>
      <x:c r="E9" s="24" t="str">
        <x:v>Oncorhynchus gorbuscha</x:v>
      </x:c>
      <x:c r="F9" s="24" t="str">
        <x:v>Pink salmon</x:v>
      </x:c>
      <x:c r="G9" s="24" t="str">
        <x:v>Medium demersals (30 - 89 cm)</x:v>
      </x:c>
      <x:c r="H9" s="24" t="str">
        <x:v>Salmon, smelts, etc</x:v>
      </x:c>
      <x:c r="I9" s="31" t="n">
        <x:v>14.9954692309</x:v>
      </x:c>
      <x:c r="J9" s="31" t="n">
        <x:v>14.9954692309</x:v>
      </x:c>
      <x:c r="K9" s="31" t="n">
        <x:v>0</x:v>
      </x:c>
      <x:c r="L9" s="31" t="n">
        <x:v>0</x:v>
      </x:c>
      <x:c r="M9" s="31" t="n">
        <x:v>14.9954692309</x:v>
      </x:c>
      <x:c r="N9" s="24" t="str">
        <x:v>oncorhynchus gorbuscha</x:v>
      </x:c>
      <x:c r="O9" s="32" t="n">
        <x:v>4.49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Oncorhynchus gorbuscha</x:v>
      </x:c>
      <x:c r="T9" s="32" t="n">
        <x:f>IF(O9="","",(1/'Metadata'!$B$5)^(O9-1))</x:f>
        <x:v>3090.295432513592</x:v>
      </x:c>
      <x:c r="U9" s="31" t="n">
        <x:f>IF(T9="","",I9*T9)</x:f>
        <x:v>46340.43007264838</x:v>
      </x:c>
    </x:row>
    <x:row r="10" ht="18" customHeight="1">
      <x:c r="A10" s="24" t="str">
        <x:v>EEZ_958</x:v>
      </x:c>
      <x:c r="B10" s="24" t="str">
        <x:v>USA (Alaska, Arctic)</x:v>
      </x:c>
      <x:c r="C10" s="24" t="str">
        <x:v>EEZ</x:v>
      </x:c>
      <x:c r="D10" s="30" t="n">
        <x:v>2019</x:v>
      </x:c>
      <x:c r="E10" s="24" t="str">
        <x:v>Osmeridae</x:v>
      </x:c>
      <x:c r="F10" s="24" t="str">
        <x:v>Smelts</x:v>
      </x:c>
      <x:c r="G10" s="24" t="str">
        <x:v>Small pelagics (&lt;30 cm)</x:v>
      </x:c>
      <x:c r="H10" s="24" t="str">
        <x:v>Salmon, smelts, etc</x:v>
      </x:c>
      <x:c r="I10" s="31" t="n">
        <x:v>13.997709416000001</x:v>
      </x:c>
      <x:c r="J10" s="31" t="n">
        <x:v>13.997709416000001</x:v>
      </x:c>
      <x:c r="K10" s="31" t="n">
        <x:v>0</x:v>
      </x:c>
      <x:c r="L10" s="31" t="n">
        <x:v>0</x:v>
      </x:c>
      <x:c r="M10" s="31" t="n">
        <x:v>13.997709416000001</x:v>
      </x:c>
      <x:c r="N10" s="24" t="str">
        <x:v>osmeridae</x:v>
      </x:c>
      <x:c r="O10" s="32" t="n">
        <x:v>3.46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Osmeridae</x:v>
      </x:c>
      <x:c r="T10" s="32" t="n">
        <x:f>IF(O10="","",(1/'Metadata'!$B$5)^(O10-1))</x:f>
        <x:v>288.40315031266056</x:v>
      </x:c>
      <x:c r="U10" s="31" t="n">
        <x:f>IF(T10="","",I10*T10)</x:f>
        <x:v>4036.9834927355923</x:v>
      </x:c>
    </x:row>
    <x:row r="11" ht="18" customHeight="1">
      <x:c r="A11" s="24" t="str">
        <x:v>EEZ_958</x:v>
      </x:c>
      <x:c r="B11" s="24" t="str">
        <x:v>USA (Alaska, Arctic)</x:v>
      </x:c>
      <x:c r="C11" s="24" t="str">
        <x:v>EEZ</x:v>
      </x:c>
      <x:c r="D11" s="30" t="n">
        <x:v>2019</x:v>
      </x:c>
      <x:c r="E11" s="24" t="str">
        <x:v>Coregonus sardinella</x:v>
      </x:c>
      <x:c r="F11" s="24" t="str">
        <x:v>Sardine cisco</x:v>
      </x:c>
      <x:c r="G11" s="24" t="str">
        <x:v>Medium pelagics (30 - 89 cm)</x:v>
      </x:c>
      <x:c r="H11" s="24" t="str">
        <x:v>Salmon, smelts, etc</x:v>
      </x:c>
      <x:c r="I11" s="31" t="n">
        <x:v>11.765202497</x:v>
      </x:c>
      <x:c r="J11" s="31" t="n">
        <x:v>11.765202497</x:v>
      </x:c>
      <x:c r="K11" s="31" t="n">
        <x:v>0</x:v>
      </x:c>
      <x:c r="L11" s="31" t="n">
        <x:v>0</x:v>
      </x:c>
      <x:c r="M11" s="31" t="n">
        <x:v>11.765202497</x:v>
      </x:c>
      <x:c r="N11" s="24" t="str">
        <x:v>coregonus sardinella</x:v>
      </x:c>
      <x:c r="O11" s="32" t="n">
        <x:v>3.21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Coregonus sardinella</x:v>
      </x:c>
      <x:c r="T11" s="32" t="n">
        <x:f>IF(O11="","",(1/'Metadata'!$B$5)^(O11-1))</x:f>
        <x:v>162.18100973589299</x:v>
      </x:c>
      <x:c r="U11" s="31" t="n">
        <x:f>IF(T11="","",I11*T11)</x:f>
        <x:v>1908.0924207107096</x:v>
      </x:c>
    </x:row>
    <x:row r="12" ht="18" customHeight="1">
      <x:c r="A12" s="24" t="str">
        <x:v>EEZ_958</x:v>
      </x:c>
      <x:c r="B12" s="24" t="str">
        <x:v>USA (Alaska, Arctic)</x:v>
      </x:c>
      <x:c r="C12" s="24" t="str">
        <x:v>EEZ</x:v>
      </x:c>
      <x:c r="D12" s="30" t="n">
        <x:v>2019</x:v>
      </x:c>
      <x:c r="E12" s="24" t="str">
        <x:v>Coregonus autumnalis</x:v>
      </x:c>
      <x:c r="F12" s="24" t="str">
        <x:v>Arctic cisco</x:v>
      </x:c>
      <x:c r="G12" s="24" t="str">
        <x:v>Medium pelagics (30 - 89 cm)</x:v>
      </x:c>
      <x:c r="H12" s="24" t="str">
        <x:v>Salmon, smelts, etc</x:v>
      </x:c>
      <x:c r="I12" s="31" t="n">
        <x:v>9.525234875899999</x:v>
      </x:c>
      <x:c r="J12" s="31" t="n">
        <x:v>9.525234875899999</x:v>
      </x:c>
      <x:c r="K12" s="31" t="n">
        <x:v>0</x:v>
      </x:c>
      <x:c r="L12" s="31" t="n">
        <x:v>0</x:v>
      </x:c>
      <x:c r="M12" s="31" t="n">
        <x:v>9.525234875899999</x:v>
      </x:c>
      <x:c r="N12" s="24" t="str">
        <x:v>coregonus autumnalis</x:v>
      </x:c>
      <x:c r="O12" s="32" t="n">
        <x:v>3.67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Coregonus autumnalis</x:v>
      </x:c>
      <x:c r="T12" s="32" t="n">
        <x:f>IF(O12="","",(1/'Metadata'!$B$5)^(O12-1))</x:f>
        <x:v>467.73514128719813</x:v>
      </x:c>
      <x:c r="U12" s="31" t="n">
        <x:f>IF(T12="","",I12*T12)</x:f>
        <x:v>4455.287080472834</x:v>
      </x:c>
    </x:row>
    <x:row r="13" ht="18" customHeight="1">
      <x:c r="A13" s="24" t="str">
        <x:v>EEZ_958</x:v>
      </x:c>
      <x:c r="B13" s="24" t="str">
        <x:v>USA (Alaska, Arctic)</x:v>
      </x:c>
      <x:c r="C13" s="24" t="str">
        <x:v>EEZ</x:v>
      </x:c>
      <x:c r="D13" s="30" t="n">
        <x:v>2019</x:v>
      </x:c>
      <x:c r="E13" s="24" t="str">
        <x:v>Marine fishes not identified</x:v>
      </x:c>
      <x:c r="F13" s="24" t="str">
        <x:v>Marine fishes nei</x:v>
      </x:c>
      <x:c r="G13" s="24" t="str">
        <x:v>Medium demersals (30 - 89 cm)</x:v>
      </x:c>
      <x:c r="H13" s="24" t="str">
        <x:v>Other fishes &amp; inverts</x:v>
      </x:c>
      <x:c r="I13" s="31" t="n">
        <x:v>6.073083702</x:v>
      </x:c>
      <x:c r="J13" s="31" t="n">
        <x:v>6.073083702</x:v>
      </x:c>
      <x:c r="K13" s="31" t="n">
        <x:v>0</x:v>
      </x:c>
      <x:c r="L13" s="31" t="n">
        <x:v>0</x:v>
      </x:c>
      <x:c r="M13" s="31" t="n">
        <x:v>6.073083702</x:v>
      </x:c>
      <x:c r="N13" s="24" t="str">
        <x:v>marine fishes not identified</x:v>
      </x:c>
      <x:c r="O13" s="32" t="n">
        <x:v>3.28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Marine fishes not identified</x:v>
      </x:c>
      <x:c r="T13" s="32" t="n">
        <x:f>IF(O13="","",(1/'Metadata'!$B$5)^(O13-1))</x:f>
        <x:v>190.54607179632464</x:v>
      </x:c>
      <x:c r="U13" s="31" t="n">
        <x:f>IF(T13="","",I13*T13)</x:f>
        <x:v>1157.202243106381</x:v>
      </x:c>
    </x:row>
    <x:row r="14" ht="18" customHeight="1">
      <x:c r="A14" s="24" t="str">
        <x:v>EEZ_958</x:v>
      </x:c>
      <x:c r="B14" s="24" t="str">
        <x:v>USA (Alaska, Arctic)</x:v>
      </x:c>
      <x:c r="C14" s="24" t="str">
        <x:v>EEZ</x:v>
      </x:c>
      <x:c r="D14" s="30" t="n">
        <x:v>2019</x:v>
      </x:c>
      <x:c r="E14" s="24" t="str">
        <x:v>Coregonus laurettae</x:v>
      </x:c>
      <x:c r="F14" s="24" t="str">
        <x:v>Bering cisco</x:v>
      </x:c>
      <x:c r="G14" s="24" t="str">
        <x:v>Medium pelagics (30 - 89 cm)</x:v>
      </x:c>
      <x:c r="H14" s="24" t="str">
        <x:v>Salmon, smelts, etc</x:v>
      </x:c>
      <x:c r="I14" s="31" t="n">
        <x:v>5.7954749609</x:v>
      </x:c>
      <x:c r="J14" s="31" t="n">
        <x:v>5.7954749609</x:v>
      </x:c>
      <x:c r="K14" s="31" t="n">
        <x:v>0</x:v>
      </x:c>
      <x:c r="L14" s="31" t="n">
        <x:v>0</x:v>
      </x:c>
      <x:c r="M14" s="31" t="n">
        <x:v>5.7954749609</x:v>
      </x:c>
      <x:c r="N14" s="24" t="str">
        <x:v>coregonus laurettae</x:v>
      </x:c>
      <x:c r="O14" s="32" t="n">
        <x:v>3.79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Coregonus laurettae</x:v>
      </x:c>
      <x:c r="T14" s="32" t="n">
        <x:f>IF(O14="","",(1/'Metadata'!$B$5)^(O14-1))</x:f>
        <x:v>616.5950018614822</x:v>
      </x:c>
      <x:c r="U14" s="31" t="n">
        <x:f>IF(T14="","",I14*T14)</x:f>
        <x:v>3573.4608943043086</x:v>
      </x:c>
    </x:row>
    <x:row r="15" ht="18" customHeight="1">
      <x:c r="A15" s="24" t="str">
        <x:v>EEZ_958</x:v>
      </x:c>
      <x:c r="B15" s="24" t="str">
        <x:v>USA (Alaska, Arctic)</x:v>
      </x:c>
      <x:c r="C15" s="24" t="str">
        <x:v>EEZ</x:v>
      </x:c>
      <x:c r="D15" s="30" t="n">
        <x:v>2019</x:v>
      </x:c>
      <x:c r="E15" s="24" t="str">
        <x:v>Boreogadus saida</x:v>
      </x:c>
      <x:c r="F15" s="24" t="str">
        <x:v>Polar cod</x:v>
      </x:c>
      <x:c r="G15" s="24" t="str">
        <x:v>Medium demersals (30 - 89 cm)</x:v>
      </x:c>
      <x:c r="H15" s="24" t="str">
        <x:v>Cod-likes</x:v>
      </x:c>
      <x:c r="I15" s="31" t="n">
        <x:v>3.9995706811000002</x:v>
      </x:c>
      <x:c r="J15" s="31" t="n">
        <x:v>3.9995706811000002</x:v>
      </x:c>
      <x:c r="K15" s="31" t="n">
        <x:v>0</x:v>
      </x:c>
      <x:c r="L15" s="31" t="n">
        <x:v>0</x:v>
      </x:c>
      <x:c r="M15" s="31" t="n">
        <x:v>3.9995706811000002</x:v>
      </x:c>
      <x:c r="N15" s="24" t="str">
        <x:v>boreogadus saida</x:v>
      </x:c>
      <x:c r="O15" s="32" t="n">
        <x:v>3.12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Boreogadus saida</x:v>
      </x:c>
      <x:c r="T15" s="32" t="n">
        <x:f>IF(O15="","",(1/'Metadata'!$B$5)^(O15-1))</x:f>
        <x:v>131.82567385564073</x:v>
      </x:c>
      <x:c r="U15" s="31" t="n">
        <x:f>IF(T15="","",I15*T15)</x:f>
        <x:v>527.2461001692715</x:v>
      </x:c>
    </x:row>
    <x:row r="16" ht="18" customHeight="1">
      <x:c r="A16" s="24" t="str">
        <x:v>EEZ_958</x:v>
      </x:c>
      <x:c r="B16" s="24" t="str">
        <x:v>USA (Alaska, Arctic)</x:v>
      </x:c>
      <x:c r="C16" s="24" t="str">
        <x:v>EEZ</x:v>
      </x:c>
      <x:c r="D16" s="30" t="n">
        <x:v>2019</x:v>
      </x:c>
      <x:c r="E16" s="24" t="str">
        <x:v>Oncorhynchus kisutch</x:v>
      </x:c>
      <x:c r="F16" s="24" t="str">
        <x:v>Coho salmon</x:v>
      </x:c>
      <x:c r="G16" s="24" t="str">
        <x:v>Large demersals (&gt;=90 cm)</x:v>
      </x:c>
      <x:c r="H16" s="24" t="str">
        <x:v>Salmon, smelts, etc</x:v>
      </x:c>
      <x:c r="I16" s="31" t="n">
        <x:v>2.8705627559</x:v>
      </x:c>
      <x:c r="J16" s="31" t="n">
        <x:v>2.8705627559</x:v>
      </x:c>
      <x:c r="K16" s="31" t="n">
        <x:v>0</x:v>
      </x:c>
      <x:c r="L16" s="31" t="n">
        <x:v>0</x:v>
      </x:c>
      <x:c r="M16" s="31" t="n">
        <x:v>2.8705627559</x:v>
      </x:c>
      <x:c r="N16" s="24" t="str">
        <x:v>oncorhynchus kisutch</x:v>
      </x:c>
      <x:c r="O16" s="32" t="n">
        <x:v>4.22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Oncorhynchus kisutch</x:v>
      </x:c>
      <x:c r="T16" s="32" t="n">
        <x:f>IF(O16="","",(1/'Metadata'!$B$5)^(O16-1))</x:f>
        <x:v>1659.5869074375596</x:v>
      </x:c>
      <x:c r="U16" s="31" t="n">
        <x:f>IF(T16="","",I16*T16)</x:f>
        <x:v>4763.94836666952</x:v>
      </x:c>
    </x:row>
    <x:row r="17" ht="18" customHeight="1">
      <x:c r="A17" s="24" t="str">
        <x:v>EEZ_958</x:v>
      </x:c>
      <x:c r="B17" s="24" t="str">
        <x:v>USA (Alaska, Arctic)</x:v>
      </x:c>
      <x:c r="C17" s="24" t="str">
        <x:v>EEZ</x:v>
      </x:c>
      <x:c r="D17" s="30" t="n">
        <x:v>2019</x:v>
      </x:c>
      <x:c r="E17" s="24" t="str">
        <x:v>Myoxocephalus quadricornis</x:v>
      </x:c>
      <x:c r="F17" s="24" t="str">
        <x:v>Fourhorn sculpin</x:v>
      </x:c>
      <x:c r="G17" s="24" t="str">
        <x:v>Medium demersals (30 - 89 cm)</x:v>
      </x:c>
      <x:c r="H17" s="24" t="str">
        <x:v>Scorpionfishes</x:v>
      </x:c>
      <x:c r="I17" s="31" t="n">
        <x:v>1.0092327181</x:v>
      </x:c>
      <x:c r="J17" s="31" t="n">
        <x:v>1.0092327181</x:v>
      </x:c>
      <x:c r="K17" s="31" t="n">
        <x:v>0</x:v>
      </x:c>
      <x:c r="L17" s="31" t="n">
        <x:v>0</x:v>
      </x:c>
      <x:c r="M17" s="31" t="n">
        <x:v>1.0092327181</x:v>
      </x:c>
      <x:c r="N17" s="24" t="str">
        <x:v>myoxocephalus quadricornis</x:v>
      </x:c>
      <x:c r="O17" s="32" t="n">
        <x:v>3.69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Myoxocephalus quadricornis</x:v>
      </x:c>
      <x:c r="T17" s="32" t="n">
        <x:f>IF(O17="","",(1/'Metadata'!$B$5)^(O17-1))</x:f>
        <x:v>489.77881936844614</x:v>
      </x:c>
      <x:c r="U17" s="31" t="n">
        <x:f>IF(T17="","",I17*T17)</x:f>
        <x:v>494.30080913902583</x:v>
      </x:c>
    </x:row>
    <x:row r="18" ht="18" customHeight="1">
      <x:c r="A18" s="24" t="str">
        <x:v>EEZ_958</x:v>
      </x:c>
      <x:c r="B18" s="24" t="str">
        <x:v>USA (Alaska, Arctic)</x:v>
      </x:c>
      <x:c r="C18" s="24" t="str">
        <x:v>EEZ</x:v>
      </x:c>
      <x:c r="D18" s="30" t="n">
        <x:v>2019</x:v>
      </x:c>
      <x:c r="E18" s="24" t="str">
        <x:v>Paralithodes</x:v>
      </x:c>
      <x:c r="F18" s="24" t="str">
        <x:v>North Pacific king crabs</x:v>
      </x:c>
      <x:c r="G18" s="24" t="str">
        <x:v>Lobsters, crabs</x:v>
      </x:c>
      <x:c r="H18" s="24" t="str">
        <x:v>Crustaceans</x:v>
      </x:c>
      <x:c r="I18" s="31" t="n">
        <x:v>0.8217476901</x:v>
      </x:c>
      <x:c r="J18" s="31" t="n">
        <x:v>0.8217476901</x:v>
      </x:c>
      <x:c r="K18" s="31" t="n">
        <x:v>0</x:v>
      </x:c>
      <x:c r="L18" s="31" t="n">
        <x:v>0</x:v>
      </x:c>
      <x:c r="M18" s="31" t="n">
        <x:v>0.8217476901</x:v>
      </x:c>
      <x:c r="N18" s="24" t="str">
        <x:v>paralithodes</x:v>
      </x:c>
      <x:c r="O18" s="32" t="n">
        <x:v>2.82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Paralithodes</x:v>
      </x:c>
      <x:c r="T18" s="32" t="n">
        <x:f>IF(O18="","",(1/'Metadata'!$B$5)^(O18-1))</x:f>
        <x:v>66.06934480075958</x:v>
      </x:c>
      <x:c r="U18" s="31" t="n">
        <x:f>IF(T18="","",I18*T18)</x:f>
        <x:v>54.29233147644463</x:v>
      </x:c>
    </x:row>
    <x:row r="19" ht="18" customHeight="1">
      <x:c r="A19" s="24" t="str">
        <x:v>EEZ_958</x:v>
      </x:c>
      <x:c r="B19" s="24" t="str">
        <x:v>USA (Alaska, Arctic)</x:v>
      </x:c>
      <x:c r="C19" s="24" t="str">
        <x:v>EEZ</x:v>
      </x:c>
      <x:c r="D19" s="30" t="n">
        <x:v>2019</x:v>
      </x:c>
      <x:c r="E19" s="24" t="str">
        <x:v>Coregonus pidschian</x:v>
      </x:c>
      <x:c r="F19" s="24" t="str">
        <x:v>Humpback whitefish</x:v>
      </x:c>
      <x:c r="G19" s="24" t="str">
        <x:v>Medium demersals (30 - 89 cm)</x:v>
      </x:c>
      <x:c r="H19" s="24" t="str">
        <x:v>Salmon, smelts, etc</x:v>
      </x:c>
      <x:c r="I19" s="31" t="n">
        <x:v>0.105941067</x:v>
      </x:c>
      <x:c r="J19" s="31" t="n">
        <x:v>0.105941067</x:v>
      </x:c>
      <x:c r="K19" s="31" t="n">
        <x:v>0</x:v>
      </x:c>
      <x:c r="L19" s="31" t="n">
        <x:v>0</x:v>
      </x:c>
      <x:c r="M19" s="31" t="n">
        <x:v>0.105941067</x:v>
      </x:c>
      <x:c r="N19" s="24" t="str">
        <x:v>coregonus pidschian</x:v>
      </x:c>
      <x:c r="O19" s="32" t="n">
        <x:v>3.31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Coregonus pidschian</x:v>
      </x:c>
      <x:c r="T19" s="32" t="n">
        <x:f>IF(O19="","",(1/'Metadata'!$B$5)^(O19-1))</x:f>
        <x:v>204.17379446695296</x:v>
      </x:c>
      <x:c r="U19" s="31" t="n">
        <x:f>IF(T19="","",I19*T19)</x:f>
        <x:v>21.630389639267694</x:v>
      </x:c>
    </x:row>
    <x:row r="20" ht="18" customHeight="1">
      <x:c r="A20" s="24" t="str">
        <x:v>EEZ_958</x:v>
      </x:c>
      <x:c r="B20" s="24" t="str">
        <x:v>USA (Alaska, Arctic)</x:v>
      </x:c>
      <x:c r="C20" s="24" t="str">
        <x:v>EEZ</x:v>
      </x:c>
      <x:c r="D20" s="30" t="n">
        <x:v>2019</x:v>
      </x:c>
      <x:c r="E20" s="24" t="str">
        <x:v>Oncorhynchus</x:v>
      </x:c>
      <x:c r="F20" s="24" t="str">
        <x:v>Salmons, trouts</x:v>
      </x:c>
      <x:c r="G20" s="24" t="str">
        <x:v>Large benthopelagics (&gt;=90 cm)</x:v>
      </x:c>
      <x:c r="H20" s="24" t="str">
        <x:v>Salmon, smelts, etc</x:v>
      </x:c>
      <x:c r="I20" s="31" t="n">
        <x:v>0.047738594</x:v>
      </x:c>
      <x:c r="J20" s="31" t="n">
        <x:v>0.047738594</x:v>
      </x:c>
      <x:c r="K20" s="31" t="n">
        <x:v>0</x:v>
      </x:c>
      <x:c r="L20" s="31" t="n">
        <x:v>0</x:v>
      </x:c>
      <x:c r="M20" s="31" t="n">
        <x:v>0.047738594</x:v>
      </x:c>
      <x:c r="N20" s="24" t="str">
        <x:v>oncorhynchus</x:v>
      </x:c>
      <x:c r="O20" s="32" t="n">
        <x:v>3.95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Oncorhynchus</x:v>
      </x:c>
      <x:c r="T20" s="32" t="n">
        <x:f>IF(O20="","",(1/'Metadata'!$B$5)^(O20-1))</x:f>
        <x:v>891.2509381337459</x:v>
      </x:c>
      <x:c r="U20" s="31" t="n">
        <x:f>IF(T20="","",I20*T20)</x:f>
        <x:v>42.54706668768601</x:v>
      </x:c>
    </x:row>
  </x:sheetData>
  <x:conditionalFormatting sqref="R2:R2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7dadcef5a6040e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2</x:v>
      </x:c>
      <x:c r="C2" s="33" t="n">
        <x:v>2</x:v>
      </x:c>
      <x:c r="D2" s="31" t="n">
        <x:v>21.9829504761</x:v>
      </x:c>
      <x:c r="E2" s="31" t="n">
        <x:v>21.9829504761</x:v>
      </x:c>
      <x:c r="F2" s="32" t="n">
        <x:v>0</x:v>
      </x:c>
      <x:c r="G2" s="34" t="n">
        <x:v>1</x:v>
      </x:c>
      <x:c r="H2" s="32" t="n">
        <x:f>IF(E2=0,"",I2/E2)</x:f>
        <x:v>1053.8612612182255</x:v>
      </x:c>
      <x:c r="I2" s="31" t="n">
        <x:f>IF(C2=0,"",SUMIF('Species'!$H$2:$H$20,A2,'Species'!$U$2:$U$20))</x:f>
        <x:v>23166.979914040538</x:v>
      </x:c>
      <x:c r="J2" s="32" t="n">
        <x:v>3.9216991267055166</x:v>
      </x:c>
      <x:c r="K2" s="32" t="n">
        <x:f>IF(J2="","",(1/'Metadata'!$B$5)^(J2-1))</x:f>
        <x:v>835.0243243343039</x:v>
      </x:c>
      <x:c r="L2" s="31" t="n">
        <x:f>IF(E2=0,"",E2*K2)</x:f>
        <x:v>18356.298368179865</x:v>
      </x:c>
      <x:c r="M2" s="31" t="n">
        <x:f>IF(E2=0,"",I2-L2)</x:f>
        <x:v>4810.6815458606725</x:v>
      </x:c>
      <x:c r="N2" s="32" t="n">
        <x:f>IF(L2=0,"",I2/L2)</x:f>
        <x:v>1.2620725295138946</x:v>
      </x:c>
      <x:c r="O2" s="34" t="n">
        <x:f>IF(L2=0,"",M2/L2)</x:f>
        <x:v>0.2620725295138946</x:v>
      </x:c>
    </x:row>
    <x:row r="3" ht="18" customHeight="1">
      <x:c r="A3" s="24" t="str">
        <x:v>Crustaceans</x:v>
      </x:c>
      <x:c r="B3" s="33" t="n">
        <x:v>1</x:v>
      </x:c>
      <x:c r="C3" s="33" t="n">
        <x:v>1</x:v>
      </x:c>
      <x:c r="D3" s="31" t="n">
        <x:v>0.8217476901</x:v>
      </x:c>
      <x:c r="E3" s="31" t="n">
        <x:v>0.8217476901</x:v>
      </x:c>
      <x:c r="F3" s="32" t="n">
        <x:v>0</x:v>
      </x:c>
      <x:c r="G3" s="34" t="n">
        <x:v>1</x:v>
      </x:c>
      <x:c r="H3" s="32" t="n">
        <x:f>IF(E3=0,"",I3/E3)</x:f>
        <x:v>66.06934480075958</x:v>
      </x:c>
      <x:c r="I3" s="31" t="n">
        <x:f>IF(C3=0,"",SUMIF('Species'!$H$2:$H$20,A3,'Species'!$U$2:$U$20))</x:f>
        <x:v>54.29233147644463</x:v>
      </x:c>
      <x:c r="J3" s="32" t="n">
        <x:v>2.82</x:v>
      </x:c>
      <x:c r="K3" s="32" t="n">
        <x:f>IF(J3="","",(1/'Metadata'!$B$5)^(J3-1))</x:f>
        <x:v>66.06934480075958</x:v>
      </x:c>
      <x:c r="L3" s="31" t="n">
        <x:f>IF(E3=0,"",E3*K3)</x:f>
        <x:v>54.29233147644463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Herring-likes</x:v>
      </x:c>
      <x:c r="B4" s="33" t="n">
        <x:v>1</x:v>
      </x:c>
      <x:c r="C4" s="33" t="n">
        <x:v>1</x:v>
      </x:c>
      <x:c r="D4" s="31" t="n">
        <x:v>15.612229031100002</x:v>
      </x:c>
      <x:c r="E4" s="31" t="n">
        <x:v>15.612229031100002</x:v>
      </x:c>
      <x:c r="F4" s="32" t="n">
        <x:v>0</x:v>
      </x:c>
      <x:c r="G4" s="34" t="n">
        <x:v>1</x:v>
      </x:c>
      <x:c r="H4" s="32" t="n">
        <x:f>IF(E4=0,"",I4/E4)</x:f>
        <x:v>144.5439770745928</x:v>
      </x:c>
      <x:c r="I4" s="31" t="n">
        <x:f>IF(C4=0,"",SUMIF('Species'!$H$2:$H$20,A4,'Species'!$U$2:$U$20))</x:f>
        <x:v>2256.6536751546105</x:v>
      </x:c>
      <x:c r="J4" s="32" t="n">
        <x:v>3.16</x:v>
      </x:c>
      <x:c r="K4" s="32" t="n">
        <x:f>IF(J4="","",(1/'Metadata'!$B$5)^(J4-1))</x:f>
        <x:v>144.5439770745928</x:v>
      </x:c>
      <x:c r="L4" s="31" t="n">
        <x:f>IF(E4=0,"",E4*K4)</x:f>
        <x:v>2256.6536751546105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Other fishes &amp; inverts</x:v>
      </x:c>
      <x:c r="B5" s="33" t="n">
        <x:v>1</x:v>
      </x:c>
      <x:c r="C5" s="33" t="n">
        <x:v>1</x:v>
      </x:c>
      <x:c r="D5" s="31" t="n">
        <x:v>6.073083702</x:v>
      </x:c>
      <x:c r="E5" s="31" t="n">
        <x:v>6.073083702</x:v>
      </x:c>
      <x:c r="F5" s="32" t="n">
        <x:v>0</x:v>
      </x:c>
      <x:c r="G5" s="34" t="n">
        <x:v>1</x:v>
      </x:c>
      <x:c r="H5" s="32" t="n">
        <x:f>IF(E5=0,"",I5/E5)</x:f>
        <x:v>190.54607179632464</x:v>
      </x:c>
      <x:c r="I5" s="31" t="n">
        <x:f>IF(C5=0,"",SUMIF('Species'!$H$2:$H$20,A5,'Species'!$U$2:$U$20))</x:f>
        <x:v>1157.202243106381</x:v>
      </x:c>
      <x:c r="J5" s="32" t="n">
        <x:v>3.28</x:v>
      </x:c>
      <x:c r="K5" s="32" t="n">
        <x:f>IF(J5="","",(1/'Metadata'!$B$5)^(J5-1))</x:f>
        <x:v>190.54607179632464</x:v>
      </x:c>
      <x:c r="L5" s="31" t="n">
        <x:f>IF(E5=0,"",E5*K5)</x:f>
        <x:v>1157.202243106381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Salmon, smelts, etc</x:v>
      </x:c>
      <x:c r="B6" s="33" t="n">
        <x:v>13</x:v>
      </x:c>
      <x:c r="C6" s="33" t="n">
        <x:v>13</x:v>
      </x:c>
      <x:c r="D6" s="31" t="n">
        <x:v>1427.9291189476</x:v>
      </x:c>
      <x:c r="E6" s="31" t="n">
        <x:v>1427.9291189476</x:v>
      </x:c>
      <x:c r="F6" s="32" t="n">
        <x:v>0</x:v>
      </x:c>
      <x:c r="G6" s="34" t="n">
        <x:v>1</x:v>
      </x:c>
      <x:c r="H6" s="32" t="n">
        <x:f>IF(E6=0,"",I6/E6)</x:f>
        <x:v>823.342965295684</x:v>
      </x:c>
      <x:c r="I6" s="31" t="n">
        <x:f>IF(C6=0,"",SUMIF('Species'!$H$2:$H$20,A6,'Species'!$U$2:$U$20))</x:f>
        <x:v>1175675.3950263707</x:v>
      </x:c>
      <x:c r="J6" s="32" t="n">
        <x:v>3.785898823738196</x:v>
      </x:c>
      <x:c r="K6" s="32" t="n">
        <x:f>IF(J6="","",(1/'Metadata'!$B$5)^(J6-1))</x:f>
        <x:v>610.7997121817863</x:v>
      </x:c>
      <x:c r="L6" s="31" t="n">
        <x:f>IF(E6=0,"",E6*K6)</x:f>
        <x:v>872178.6948691858</x:v>
      </x:c>
      <x:c r="M6" s="31" t="n">
        <x:f>IF(E6=0,"",I6-L6)</x:f>
        <x:v>303496.70015718485</x:v>
      </x:c>
      <x:c r="N6" s="32" t="n">
        <x:f>IF(L6=0,"",I6/L6)</x:f>
        <x:v>1.347975365532983</x:v>
      </x:c>
      <x:c r="O6" s="34" t="n">
        <x:f>IF(L6=0,"",M6/L6)</x:f>
        <x:v>0.34797536553298286</x:v>
      </x:c>
    </x:row>
    <x:row r="7" ht="18" customHeight="1">
      <x:c r="A7" s="24" t="str">
        <x:v>Scorpionfishes</x:v>
      </x:c>
      <x:c r="B7" s="33" t="n">
        <x:v>1</x:v>
      </x:c>
      <x:c r="C7" s="33" t="n">
        <x:v>1</x:v>
      </x:c>
      <x:c r="D7" s="31" t="n">
        <x:v>1.0092327181</x:v>
      </x:c>
      <x:c r="E7" s="31" t="n">
        <x:v>1.0092327181</x:v>
      </x:c>
      <x:c r="F7" s="32" t="n">
        <x:v>0</x:v>
      </x:c>
      <x:c r="G7" s="34" t="n">
        <x:v>1</x:v>
      </x:c>
      <x:c r="H7" s="32" t="n">
        <x:f>IF(E7=0,"",I7/E7)</x:f>
        <x:v>489.77881936844614</x:v>
      </x:c>
      <x:c r="I7" s="31" t="n">
        <x:f>IF(C7=0,"",SUMIF('Species'!$H$2:$H$20,A7,'Species'!$U$2:$U$20))</x:f>
        <x:v>494.30080913902583</x:v>
      </x:c>
      <x:c r="J7" s="32" t="n">
        <x:v>3.69</x:v>
      </x:c>
      <x:c r="K7" s="32" t="n">
        <x:f>IF(J7="","",(1/'Metadata'!$B$5)^(J7-1))</x:f>
        <x:v>489.77881936844614</x:v>
      </x:c>
      <x:c r="L7" s="31" t="n">
        <x:f>IF(E7=0,"",E7*K7)</x:f>
        <x:v>494.30080913902583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2a6a18607994e5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3</x:v>
      </x:c>
      <x:c r="C2" s="33" t="n">
        <x:v>3</x:v>
      </x:c>
      <x:c r="D2" s="31" t="n">
        <x:v>781.182428234</x:v>
      </x:c>
      <x:c r="E2" s="31" t="n">
        <x:v>781.182428234</x:v>
      </x:c>
      <x:c r="F2" s="32" t="n">
        <x:v>0</x:v>
      </x:c>
      <x:c r="G2" s="34" t="n">
        <x:v>1</x:v>
      </x:c>
      <x:c r="H2" s="32" t="n">
        <x:f>IF(E2=0,"",I2/E2)</x:f>
        <x:v>824.5492805044377</x:v>
      </x:c>
      <x:c r="I2" s="31" t="n">
        <x:f>IF(C2=0,"",SUMIF('Species'!$G$2:$G$20,A2,'Species'!$U$2:$U$20))</x:f>
        <x:v>644123.4091430542</x:v>
      </x:c>
      <x:c r="J2" s="32" t="n">
        <x:v>3.832499992536224</x:v>
      </x:c>
      <x:c r="K2" s="32" t="n">
        <x:f>IF(J2="","",(1/'Metadata'!$B$5)^(J2-1))</x:f>
        <x:v>679.9860333170966</x:v>
      </x:c>
      <x:c r="L2" s="31" t="n">
        <x:f>IF(E2=0,"",E2*K2)</x:f>
        <x:v>531193.1406718552</x:v>
      </x:c>
      <x:c r="M2" s="31" t="n">
        <x:f>IF(E2=0,"",I2-L2)</x:f>
        <x:v>112930.26847119897</x:v>
      </x:c>
      <x:c r="N2" s="32" t="n">
        <x:f>IF(L2=0,"",I2/L2)</x:f>
        <x:v>1.2125973771580791</x:v>
      </x:c>
      <x:c r="O2" s="34" t="n">
        <x:f>IF(L2=0,"",M2/L2)</x:f>
        <x:v>0.2125973771580791</x:v>
      </x:c>
    </x:row>
    <x:row r="3" ht="18" customHeight="1">
      <x:c r="A3" s="24" t="str">
        <x:v>Large demersals (&gt;=90 cm)</x:v>
      </x:c>
      <x:c r="B3" s="33" t="n">
        <x:v>2</x:v>
      </x:c>
      <x:c r="C3" s="33" t="n">
        <x:v>2</x:v>
      </x:c>
      <x:c r="D3" s="31" t="n">
        <x:v>286.9747895559</x:v>
      </x:c>
      <x:c r="E3" s="31" t="n">
        <x:v>286.9747895559</x:v>
      </x:c>
      <x:c r="F3" s="32" t="n">
        <x:v>0</x:v>
      </x:c>
      <x:c r="G3" s="34" t="n">
        <x:v>1</x:v>
      </x:c>
      <x:c r="H3" s="32" t="n">
        <x:f>IF(E3=0,"",I3/E3)</x:f>
        <x:v>1415.0087397436316</x:v>
      </x:c>
      <x:c r="I3" s="31" t="n">
        <x:f>IF(C3=0,"",SUMIF('Species'!$G$2:$G$20,A3,'Species'!$U$2:$U$20))</x:f>
        <x:v>406071.8353076879</x:v>
      </x:c>
      <x:c r="J3" s="32" t="n">
        <x:v>4.150700198763884</x:v>
      </x:c>
      <x:c r="K3" s="32" t="n">
        <x:f>IF(J3="","",(1/'Metadata'!$B$5)^(J3-1))</x:f>
        <x:v>1414.8167694914312</x:v>
      </x:c>
      <x:c r="L3" s="31" t="n">
        <x:f>IF(E3=0,"",E3*K3)</x:f>
        <x:v>406016.7446849617</x:v>
      </x:c>
      <x:c r="M3" s="31" t="n">
        <x:f>IF(E3=0,"",I3-L3)</x:f>
        <x:v>55.09062272624578</x:v>
      </x:c>
      <x:c r="N3" s="32" t="n">
        <x:f>IF(L3=0,"",I3/L3)</x:f>
        <x:v>1.000135685592891</x:v>
      </x:c>
      <x:c r="O3" s="34" t="n">
        <x:f>IF(L3=0,"",M3/L3)</x:f>
        <x:v>0.00013568559289098273</x:v>
      </x:c>
    </x:row>
    <x:row r="4" ht="18" customHeight="1">
      <x:c r="A4" s="24" t="str">
        <x:v>Lobsters, crabs</x:v>
      </x:c>
      <x:c r="B4" s="33" t="n">
        <x:v>1</x:v>
      </x:c>
      <x:c r="C4" s="33" t="n">
        <x:v>1</x:v>
      </x:c>
      <x:c r="D4" s="31" t="n">
        <x:v>0.8217476901</x:v>
      </x:c>
      <x:c r="E4" s="31" t="n">
        <x:v>0.8217476901</x:v>
      </x:c>
      <x:c r="F4" s="32" t="n">
        <x:v>0</x:v>
      </x:c>
      <x:c r="G4" s="34" t="n">
        <x:v>1</x:v>
      </x:c>
      <x:c r="H4" s="32" t="n">
        <x:f>IF(E4=0,"",I4/E4)</x:f>
        <x:v>66.06934480075958</x:v>
      </x:c>
      <x:c r="I4" s="31" t="n">
        <x:f>IF(C4=0,"",SUMIF('Species'!$G$2:$G$20,A4,'Species'!$U$2:$U$20))</x:f>
        <x:v>54.29233147644463</x:v>
      </x:c>
      <x:c r="J4" s="32" t="n">
        <x:v>2.82</x:v>
      </x:c>
      <x:c r="K4" s="32" t="n">
        <x:f>IF(J4="","",(1/'Metadata'!$B$5)^(J4-1))</x:f>
        <x:v>66.06934480075958</x:v>
      </x:c>
      <x:c r="L4" s="31" t="n">
        <x:f>IF(E4=0,"",E4*K4)</x:f>
        <x:v>54.29233147644463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Medium demersals (30 - 89 cm)</x:v>
      </x:c>
      <x:c r="B5" s="33" t="n">
        <x:v>7</x:v>
      </x:c>
      <x:c r="C5" s="33" t="n">
        <x:v>7</x:v>
      </x:c>
      <x:c r="D5" s="31" t="n">
        <x:v>99.6958695041</x:v>
      </x:c>
      <x:c r="E5" s="31" t="n">
        <x:v>99.6958695041</x:v>
      </x:c>
      <x:c r="F5" s="32" t="n">
        <x:v>0</x:v>
      </x:c>
      <x:c r="G5" s="34" t="n">
        <x:v>1</x:v>
      </x:c>
      <x:c r="H5" s="32" t="n">
        <x:f>IF(E5=0,"",I5/E5)</x:f>
        <x:v>870.9568073363681</x:v>
      </x:c>
      <x:c r="I5" s="31" t="n">
        <x:f>IF(C5=0,"",SUMIF('Species'!$G$2:$G$20,A5,'Species'!$U$2:$U$20))</x:f>
        <x:v>86830.79620791413</x:v>
      </x:c>
      <x:c r="J5" s="32" t="n">
        <x:v>3.7023633781509098</x:v>
      </x:c>
      <x:c r="K5" s="32" t="n">
        <x:f>IF(J5="","",(1/'Metadata'!$B$5)^(J5-1))</x:f>
        <x:v>503.92206863094015</x:v>
      </x:c>
      <x:c r="L5" s="31" t="n">
        <x:f>IF(E5=0,"",E5*K5)</x:f>
        <x:v>50238.948794466334</x:v>
      </x:c>
      <x:c r="M5" s="31" t="n">
        <x:f>IF(E5=0,"",I5-L5)</x:f>
        <x:v>36591.847413447795</x:v>
      </x:c>
      <x:c r="N5" s="32" t="n">
        <x:f>IF(L5=0,"",I5/L5)</x:f>
        <x:v>1.7283561517807529</x:v>
      </x:c>
      <x:c r="O5" s="34" t="n">
        <x:f>IF(L5=0,"",M5/L5)</x:f>
        <x:v>0.7283561517807529</x:v>
      </x:c>
    </x:row>
    <x:row r="6" ht="18" customHeight="1">
      <x:c r="A6" s="24" t="str">
        <x:v>Medium pelagics (30 - 89 cm)</x:v>
      </x:c>
      <x:c r="B6" s="33" t="n">
        <x:v>5</x:v>
      </x:c>
      <x:c r="C6" s="33" t="n">
        <x:v>5</x:v>
      </x:c>
      <x:c r="D6" s="31" t="n">
        <x:v>290.7558181649</x:v>
      </x:c>
      <x:c r="E6" s="31" t="n">
        <x:v>290.7558181649</x:v>
      </x:c>
      <x:c r="F6" s="32" t="n">
        <x:v>0</x:v>
      </x:c>
      <x:c r="G6" s="34" t="n">
        <x:v>1</x:v>
      </x:c>
      <x:c r="H6" s="32" t="n">
        <x:f>IF(E6=0,"",I6/E6)</x:f>
        <x:v>212.16259026477618</x:v>
      </x:c>
      <x:c r="I6" s="31" t="n">
        <x:f>IF(C6=0,"",SUMIF('Species'!$G$2:$G$20,A6,'Species'!$U$2:$U$20))</x:f>
        <x:v>61687.50751641945</x:v>
      </x:c>
      <x:c r="J6" s="32" t="n">
        <x:v>3.310729069380378</x:v>
      </x:c>
      <x:c r="K6" s="32" t="n">
        <x:f>IF(J6="","",(1/'Metadata'!$B$5)^(J6-1))</x:f>
        <x:v>204.51683791852696</x:v>
      </x:c>
      <x:c r="L6" s="31" t="n">
        <x:f>IF(E6=0,"",E6*K6)</x:f>
        <x:v>59464.46053749955</x:v>
      </x:c>
      <x:c r="M6" s="31" t="n">
        <x:f>IF(E6=0,"",I6-L6)</x:f>
        <x:v>2223.046978919898</x:v>
      </x:c>
      <x:c r="N6" s="32" t="n">
        <x:f>IF(L6=0,"",I6/L6)</x:f>
        <x:v>1.037384463910473</x:v>
      </x:c>
      <x:c r="O6" s="34" t="n">
        <x:f>IF(L6=0,"",M6/L6)</x:f>
        <x:v>0.037384463910472995</x:v>
      </x:c>
    </x:row>
    <x:row r="7" ht="18" customHeight="1">
      <x:c r="A7" s="24" t="str">
        <x:v>Small pelagics (&lt;30 cm)</x:v>
      </x:c>
      <x:c r="B7" s="33" t="n">
        <x:v>1</x:v>
      </x:c>
      <x:c r="C7" s="33" t="n">
        <x:v>1</x:v>
      </x:c>
      <x:c r="D7" s="31" t="n">
        <x:v>13.997709416000001</x:v>
      </x:c>
      <x:c r="E7" s="31" t="n">
        <x:v>13.997709416000001</x:v>
      </x:c>
      <x:c r="F7" s="32" t="n">
        <x:v>0</x:v>
      </x:c>
      <x:c r="G7" s="34" t="n">
        <x:v>1</x:v>
      </x:c>
      <x:c r="H7" s="32" t="n">
        <x:f>IF(E7=0,"",I7/E7)</x:f>
        <x:v>288.40315031266056</x:v>
      </x:c>
      <x:c r="I7" s="31" t="n">
        <x:f>IF(C7=0,"",SUMIF('Species'!$G$2:$G$20,A7,'Species'!$U$2:$U$20))</x:f>
        <x:v>4036.9834927355923</x:v>
      </x:c>
      <x:c r="J7" s="32" t="n">
        <x:v>3.46</x:v>
      </x:c>
      <x:c r="K7" s="32" t="n">
        <x:f>IF(J7="","",(1/'Metadata'!$B$5)^(J7-1))</x:f>
        <x:v>288.40315031266056</x:v>
      </x:c>
      <x:c r="L7" s="31" t="n">
        <x:f>IF(E7=0,"",E7*K7)</x:f>
        <x:v>4036.9834927355923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</x:sheetData>
  <x:conditionalFormatting sqref="G2:G7">
    <x:cfRule type="cellIs" dxfId="2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8a4f838709e456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EEZ_958</x:v>
      </x:c>
      <x:c r="B2" s="24" t="str">
        <x:v>raw_filtered_tonnes</x:v>
      </x:c>
      <x:c r="C2" s="24" t="n">
        <x:v>1473.4283625649998</x:v>
      </x:c>
      <x:c r="D2" s="24" t="str">
        <x:v>tonnes</x:v>
      </x:c>
    </x:row>
    <x:row r="3" ht="18" customHeight="1">
      <x:c r="A3" s="24" t="str">
        <x:v>EEZ_958</x:v>
      </x:c>
      <x:c r="B3" s="24" t="str">
        <x:v>species_catch_tonnes</x:v>
      </x:c>
      <x:c r="C3" s="24" t="n">
        <x:v>1473.428362565</x:v>
      </x:c>
      <x:c r="D3" s="24" t="str">
        <x:v>tonnes</x:v>
      </x:c>
    </x:row>
    <x:row r="4" ht="18" customHeight="1">
      <x:c r="A4" s="24" t="str">
        <x:v>EEZ_958</x:v>
      </x:c>
      <x:c r="B4" s="24" t="str">
        <x:v>catch_difference_tonnes</x:v>
      </x:c>
      <x:c r="C4" s="24" t="n">
        <x:v>2.2737367544323206e-13</x:v>
      </x:c>
      <x:c r="D4" s="24" t="str">
        <x:v>tonnes</x:v>
      </x:c>
    </x:row>
    <x:row r="5" ht="18" customHeight="1">
      <x:c r="A5" s="24" t="str">
        <x:v>EEZ_958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EEZ_958</x:v>
      </x:c>
      <x:c r="B6" s="24" t="str">
        <x:v>matched_catch_tonnes</x:v>
      </x:c>
      <x:c r="C6" s="24" t="n">
        <x:v>1473.428362565</x:v>
      </x:c>
      <x:c r="D6" s="24" t="str">
        <x:v>tonnes</x:v>
      </x:c>
    </x:row>
    <x:row r="7" ht="18" customHeight="1">
      <x:c r="A7" s="24" t="str">
        <x:v>EEZ_958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EEZ_958</x:v>
      </x:c>
      <x:c r="B8" s="24" t="str">
        <x:v>taxa_count</x:v>
      </x:c>
      <x:c r="C8" s="24" t="n">
        <x:v>19</x:v>
      </x:c>
      <x:c r="D8" s="24" t="str">
        <x:v>count</x:v>
      </x:c>
    </x:row>
    <x:row r="9" ht="18" customHeight="1">
      <x:c r="A9" s="24" t="str">
        <x:v>EEZ_958</x:v>
      </x:c>
      <x:c r="B9" s="24" t="str">
        <x:v>matched_taxa_count</x:v>
      </x:c>
      <x:c r="C9" s="24" t="n">
        <x:v>19</x:v>
      </x:c>
      <x:c r="D9" s="24" t="str">
        <x:v>count</x:v>
      </x:c>
    </x:row>
    <x:row r="10" ht="18" customHeight="1">
      <x:c r="A10" s="24" t="str">
        <x:v>EEZ_958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EEZ_958</x:v>
      </x:c>
      <x:c r="B11" s="24" t="str">
        <x:v>species_ppr</x:v>
      </x:c>
      <x:c r="C11" s="24" t="n">
        <x:v>1202804.8239992876</x:v>
      </x:c>
      <x:c r="D11" s="24" t="str">
        <x:v>tonnes_primary_production_equivalent</x:v>
      </x:c>
    </x:row>
    <x:row r="12" ht="18" customHeight="1">
      <x:c r="A12" s="24" t="str">
        <x:v>EEZ_958</x:v>
      </x:c>
      <x:c r="B12" s="24" t="str">
        <x:v>commercial_ppr</x:v>
      </x:c>
      <x:c r="C12" s="24" t="n">
        <x:v>1202804.8239992876</x:v>
      </x:c>
      <x:c r="D12" s="24" t="str">
        <x:v>tonnes_primary_production_equivalent</x:v>
      </x:c>
    </x:row>
    <x:row r="13" ht="18" customHeight="1">
      <x:c r="A13" s="24" t="str">
        <x:v>EEZ_958</x:v>
      </x:c>
      <x:c r="B13" s="24" t="str">
        <x:v>functional_ppr</x:v>
      </x:c>
      <x:c r="C13" s="24" t="n">
        <x:v>1202804.8239992878</x:v>
      </x:c>
      <x:c r="D13" s="24" t="str">
        <x:v>tonnes_primary_production_equivalent</x:v>
      </x:c>
    </x:row>
    <x:row r="14" ht="18" customHeight="1">
      <x:c r="A14" s="24" t="str">
        <x:v>EEZ_958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EEZ_958</x:v>
      </x:c>
      <x:c r="B15" s="24" t="str">
        <x:v>functional_ppr_difference</x:v>
      </x:c>
      <x:c r="C15" s="24" t="n">
        <x:v>2.3283064365386963e-10</x:v>
      </x:c>
      <x:c r="D15" s="24" t="str">
        <x:v>tonnes_primary_production_equivalent</x:v>
      </x:c>
    </x:row>
    <x:row r="16" ht="18" customHeight="1">
      <x:c r="A16" s="24" t="str">
        <x:v>EEZ_958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EEZ_958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EEZ_958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EEZ_958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88d7db76ba294f1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EEZ_958 - USA (Alaska, Arctic)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EEZ_958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raw_data/SAU_downloads/EEZ_958-catch.zip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