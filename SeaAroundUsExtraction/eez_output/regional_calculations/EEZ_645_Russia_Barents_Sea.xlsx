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1eec30e47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adb345fdb5745ef"/>
    <x:sheet xmlns:r="http://schemas.openxmlformats.org/officeDocument/2006/relationships" name="Commercial" sheetId="2" r:id="R954323ee8d2346dc"/>
    <x:sheet xmlns:r="http://schemas.openxmlformats.org/officeDocument/2006/relationships" name="Functional" sheetId="3" r:id="R0034cd43985d42e6"/>
    <x:sheet xmlns:r="http://schemas.openxmlformats.org/officeDocument/2006/relationships" name="Missing TL" sheetId="4" r:id="Rfcd3122481544ee1"/>
    <x:sheet xmlns:r="http://schemas.openxmlformats.org/officeDocument/2006/relationships" name="Validation" sheetId="5" r:id="R3e0281da71cb4299"/>
    <x:sheet xmlns:r="http://schemas.openxmlformats.org/officeDocument/2006/relationships" name="Metadata" sheetId="6" r:id="R38585a05fefd49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02b49e8be14f95" /><Relationship Type="http://schemas.openxmlformats.org/officeDocument/2006/relationships/theme" Target="/xl/theme/theme1.xml" Id="R0847b1223c414df8" /><Relationship Type="http://schemas.microsoft.com/office/2022/11/relationships/FeaturePropertyBag" Target="/xl/featurePropertyBag/featurePropertyBag.xml" Id="Rb0588b169e744eb3" /><Relationship Type="http://schemas.openxmlformats.org/officeDocument/2006/relationships/sharedStrings" Target="/xl/sharedStrings.xml" Id="R09405ab0fb2a4b95" /><Relationship Type="http://schemas.openxmlformats.org/officeDocument/2006/relationships/worksheet" Target="/xl/worksheets/sheet1.xml" Id="R6adb345fdb5745ef" /><Relationship Type="http://schemas.openxmlformats.org/officeDocument/2006/relationships/worksheet" Target="/xl/worksheets/sheet2.xml" Id="R954323ee8d2346dc" /><Relationship Type="http://schemas.openxmlformats.org/officeDocument/2006/relationships/worksheet" Target="/xl/worksheets/sheet3.xml" Id="R0034cd43985d42e6" /><Relationship Type="http://schemas.openxmlformats.org/officeDocument/2006/relationships/worksheet" Target="/xl/worksheets/sheet4.xml" Id="Rfcd3122481544ee1" /><Relationship Type="http://schemas.openxmlformats.org/officeDocument/2006/relationships/worksheet" Target="/xl/worksheets/sheet5.xml" Id="R3e0281da71cb4299" /><Relationship Type="http://schemas.openxmlformats.org/officeDocument/2006/relationships/worksheet" Target="/xl/worksheets/sheet6.xml" Id="R38585a05fefd49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45SpeciesTable" displayName="EEZ645SpeciesTable" ref="A1:U87" headerRowCount="1" totalsRowCount="0" totalsRowShown="0">
  <x:autoFilter ref="A1:U8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45CommercialTable" displayName="EEZ645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45FunctionalTable" displayName="EEZ645FunctionalTable" ref="A1:O18" headerRowCount="1" totalsRowCount="0" totalsRowShown="0">
  <x:autoFilter ref="A1:O1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45ValidationTable" displayName="EEZ64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4eddaff3a843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f25ebe53494c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17ae6ca30f745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045887497541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EEZ_645</x:v>
      </x:c>
      <x:c r="B2" s="24" t="str">
        <x:v>Russia (Barents Sea)</x:v>
      </x:c>
      <x:c r="C2" s="24" t="str">
        <x:v>EEZ</x:v>
      </x:c>
      <x:c r="D2" s="30" t="n">
        <x:v>2019</x:v>
      </x:c>
      <x:c r="E2" s="24" t="str">
        <x:v>Gadus morhua</x:v>
      </x:c>
      <x:c r="F2" s="24" t="str">
        <x:v>Atlantic cod</x:v>
      </x:c>
      <x:c r="G2" s="24" t="str">
        <x:v>Large benthopelagics (&gt;=90 cm)</x:v>
      </x:c>
      <x:c r="H2" s="24" t="str">
        <x:v>Cod-likes</x:v>
      </x:c>
      <x:c r="I2" s="31" t="n">
        <x:v>136508.6146387939</x:v>
      </x:c>
      <x:c r="J2" s="31" t="n">
        <x:v>134640.7741674353</x:v>
      </x:c>
      <x:c r="K2" s="31" t="n">
        <x:v>1867.8404713586</x:v>
      </x:c>
      <x:c r="L2" s="31" t="n">
        <x:v>118616.0655889638</x:v>
      </x:c>
      <x:c r="M2" s="31" t="n">
        <x:v>17892.549049830097</x:v>
      </x:c>
      <x:c r="N2" s="24" t="str">
        <x:v>gadus morhua</x:v>
      </x:c>
      <x:c r="O2" s="32" t="n">
        <x:v>4.09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Gadus morhua</x:v>
      </x:c>
      <x:c r="T2" s="32" t="n">
        <x:f>IF(O2="","",(1/'Metadata'!$B$5)^(O2-1))</x:f>
        <x:v>1230.268770812381</x:v>
      </x:c>
      <x:c r="U2" s="31" t="n">
        <x:f>IF(T2="","",I2*T2)</x:f>
        <x:v>167942285.53696996</x:v>
      </x:c>
    </x:row>
    <x:row r="3" ht="18" customHeight="1">
      <x:c r="A3" s="24" t="str">
        <x:v>EEZ_645</x:v>
      </x:c>
      <x:c r="B3" s="24" t="str">
        <x:v>Russia (Barents Sea)</x:v>
      </x:c>
      <x:c r="C3" s="24" t="str">
        <x:v>EEZ</x:v>
      </x:c>
      <x:c r="D3" s="30" t="n">
        <x:v>2019</x:v>
      </x:c>
      <x:c r="E3" s="24" t="str">
        <x:v>Melanogrammus aeglefinus</x:v>
      </x:c>
      <x:c r="F3" s="24" t="str">
        <x:v>Haddock</x:v>
      </x:c>
      <x:c r="G3" s="24" t="str">
        <x:v>Medium demersals (30 - 89 cm)</x:v>
      </x:c>
      <x:c r="H3" s="24" t="str">
        <x:v>Cod-likes</x:v>
      </x:c>
      <x:c r="I3" s="31" t="n">
        <x:v>45079.1747457013</x:v>
      </x:c>
      <x:c r="J3" s="31" t="n">
        <x:v>38608.193321288796</x:v>
      </x:c>
      <x:c r="K3" s="31" t="n">
        <x:v>6470.9814244125</x:v>
      </x:c>
      <x:c r="L3" s="31" t="n">
        <x:v>34804.668101261195</x:v>
      </x:c>
      <x:c r="M3" s="31" t="n">
        <x:v>10274.5066444401</x:v>
      </x:c>
      <x:c r="N3" s="24" t="str">
        <x:v>melanogrammus aeglefinus</x:v>
      </x:c>
      <x:c r="O3" s="32" t="n">
        <x:v>4.03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Melanogrammus aeglefinus</x:v>
      </x:c>
      <x:c r="T3" s="32" t="n">
        <x:f>IF(O3="","",(1/'Metadata'!$B$5)^(O3-1))</x:f>
        <x:v>1071.519305237607</x:v>
      </x:c>
      <x:c r="U3" s="31" t="n">
        <x:f>IF(T3="","",I3*T3)</x:f>
        <x:v>48303206.00419854</x:v>
      </x:c>
    </x:row>
    <x:row r="4" ht="18" customHeight="1">
      <x:c r="A4" s="24" t="str">
        <x:v>EEZ_645</x:v>
      </x:c>
      <x:c r="B4" s="24" t="str">
        <x:v>Russia (Barents Sea)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24454.177912252802</x:v>
      </x:c>
      <x:c r="J4" s="31" t="n">
        <x:v>24377.1266604045</x:v>
      </x:c>
      <x:c r="K4" s="31" t="n">
        <x:v>77.05125184830001</x:v>
      </x:c>
      <x:c r="L4" s="31" t="n">
        <x:v>24280.4423945692</x:v>
      </x:c>
      <x:c r="M4" s="31" t="n">
        <x:v>173.7355176836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4659647.5401882185</x:v>
      </x:c>
    </x:row>
    <x:row r="5" ht="18" customHeight="1">
      <x:c r="A5" s="24" t="str">
        <x:v>EEZ_645</x:v>
      </x:c>
      <x:c r="B5" s="24" t="str">
        <x:v>Russia (Barents Sea)</x:v>
      </x:c>
      <x:c r="C5" s="24" t="str">
        <x:v>EEZ</x:v>
      </x:c>
      <x:c r="D5" s="30" t="n">
        <x:v>2019</x:v>
      </x:c>
      <x:c r="E5" s="24" t="str">
        <x:v>Pleuronectes platessa</x:v>
      </x:c>
      <x:c r="F5" s="24" t="str">
        <x:v>European plaice</x:v>
      </x:c>
      <x:c r="G5" s="24" t="str">
        <x:v>Large flatfishes (&gt;=90 cm)</x:v>
      </x:c>
      <x:c r="H5" s="24" t="str">
        <x:v>Flatfishes</x:v>
      </x:c>
      <x:c r="I5" s="31" t="n">
        <x:v>8202.3332642106</x:v>
      </x:c>
      <x:c r="J5" s="31" t="n">
        <x:v>8199.4419616176</x:v>
      </x:c>
      <x:c r="K5" s="31" t="n">
        <x:v>2.891302593</x:v>
      </x:c>
      <x:c r="L5" s="31" t="n">
        <x:v>8110.5143398289</x:v>
      </x:c>
      <x:c r="M5" s="31" t="n">
        <x:v>91.8189243817</x:v>
      </x:c>
      <x:c r="N5" s="24" t="str">
        <x:v>pleuronectes platessa</x:v>
      </x:c>
      <x:c r="O5" s="32" t="n">
        <x:v>3.26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Pleuronectes platessa</x:v>
      </x:c>
      <x:c r="T5" s="32" t="n">
        <x:f>IF(O5="","",(1/'Metadata'!$B$5)^(O5-1))</x:f>
        <x:v>181.97008586099827</x:v>
      </x:c>
      <x:c r="U5" s="31" t="n">
        <x:f>IF(T5="","",I5*T5)</x:f>
        <x:v>1492579.288348925</x:v>
      </x:c>
    </x:row>
    <x:row r="6" ht="18" customHeight="1">
      <x:c r="A6" s="24" t="str">
        <x:v>EEZ_645</x:v>
      </x:c>
      <x:c r="B6" s="24" t="str">
        <x:v>Russia (Barents Sea)</x:v>
      </x:c>
      <x:c r="C6" s="24" t="str">
        <x:v>EEZ</x:v>
      </x:c>
      <x:c r="D6" s="30" t="n">
        <x:v>2019</x:v>
      </x:c>
      <x:c r="E6" s="24" t="str">
        <x:v>Chionoecetes opilio</x:v>
      </x:c>
      <x:c r="F6" s="24" t="str">
        <x:v>Snow crab</x:v>
      </x:c>
      <x:c r="G6" s="24" t="str">
        <x:v>Lobsters, crabs</x:v>
      </x:c>
      <x:c r="H6" s="24" t="str">
        <x:v>Crustaceans</x:v>
      </x:c>
      <x:c r="I6" s="31" t="n">
        <x:v>8101.724042031</x:v>
      </x:c>
      <x:c r="J6" s="31" t="n">
        <x:v>7634.6974205528995</x:v>
      </x:c>
      <x:c r="K6" s="31" t="n">
        <x:v>467.0266214781</x:v>
      </x:c>
      <x:c r="L6" s="31" t="n">
        <x:v>7548.5595582171</x:v>
      </x:c>
      <x:c r="M6" s="31" t="n">
        <x:v>553.1644838139</x:v>
      </x:c>
      <x:c r="N6" s="24" t="str">
        <x:v>chionoecetes opilio</x:v>
      </x:c>
      <x:c r="O6" s="32" t="n">
        <x:v>3.54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Chionoecetes opilio</x:v>
      </x:c>
      <x:c r="T6" s="32" t="n">
        <x:f>IF(O6="","",(1/'Metadata'!$B$5)^(O6-1))</x:f>
        <x:v>346.73685045253166</x:v>
      </x:c>
      <x:c r="U6" s="31" t="n">
        <x:f>IF(T6="","",I6*T6)</x:f>
        <x:v>2809166.277569383</x:v>
      </x:c>
    </x:row>
    <x:row r="7" ht="18" customHeight="1">
      <x:c r="A7" s="24" t="str">
        <x:v>EEZ_645</x:v>
      </x:c>
      <x:c r="B7" s="24" t="str">
        <x:v>Russia (Barents Sea)</x:v>
      </x:c>
      <x:c r="C7" s="24" t="str">
        <x:v>EEZ</x:v>
      </x:c>
      <x:c r="D7" s="30" t="n">
        <x:v>2019</x:v>
      </x:c>
      <x:c r="E7" s="24" t="str">
        <x:v>Paralithodes camtschaticus</x:v>
      </x:c>
      <x:c r="F7" s="24" t="str">
        <x:v>Red king crab</x:v>
      </x:c>
      <x:c r="G7" s="24" t="str">
        <x:v>Lobsters, crabs</x:v>
      </x:c>
      <x:c r="H7" s="24" t="str">
        <x:v>Crustaceans</x:v>
      </x:c>
      <x:c r="I7" s="31" t="n">
        <x:v>7979.4166457471</x:v>
      </x:c>
      <x:c r="J7" s="31" t="n">
        <x:v>7702.7486279096</x:v>
      </x:c>
      <x:c r="K7" s="31" t="n">
        <x:v>276.6680178375</x:v>
      </x:c>
      <x:c r="L7" s="31" t="n">
        <x:v>7616.9662175504</x:v>
      </x:c>
      <x:c r="M7" s="31" t="n">
        <x:v>362.4504281967</x:v>
      </x:c>
      <x:c r="N7" s="24" t="str">
        <x:v>paralithodes camtschaticus</x:v>
      </x:c>
      <x:c r="O7" s="32" t="n">
        <x:v>3.7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Paralithodes camtschaticus</x:v>
      </x:c>
      <x:c r="T7" s="32" t="n">
        <x:f>IF(O7="","",(1/'Metadata'!$B$5)^(O7-1))</x:f>
        <x:v>501.18723362727246</x:v>
      </x:c>
      <x:c r="U7" s="31" t="n">
        <x:f>IF(T7="","",I7*T7)</x:f>
        <x:v>3999181.754641399</x:v>
      </x:c>
    </x:row>
    <x:row r="8" ht="18" customHeight="1">
      <x:c r="A8" s="24" t="str">
        <x:v>EEZ_645</x:v>
      </x:c>
      <x:c r="B8" s="24" t="str">
        <x:v>Russia (Barents Sea)</x:v>
      </x:c>
      <x:c r="C8" s="24" t="str">
        <x:v>EEZ</x:v>
      </x:c>
      <x:c r="D8" s="30" t="n">
        <x:v>2019</x:v>
      </x:c>
      <x:c r="E8" s="24" t="str">
        <x:v>Pollachius virens</x:v>
      </x:c>
      <x:c r="F8" s="24" t="str">
        <x:v>Saithe</x:v>
      </x:c>
      <x:c r="G8" s="24" t="str">
        <x:v>Large demersals (&gt;=90 cm)</x:v>
      </x:c>
      <x:c r="H8" s="24" t="str">
        <x:v>Cod-likes</x:v>
      </x:c>
      <x:c r="I8" s="31" t="n">
        <x:v>3793.5547833503</x:v>
      </x:c>
      <x:c r="J8" s="31" t="n">
        <x:v>2650.2342937211</x:v>
      </x:c>
      <x:c r="K8" s="31" t="n">
        <x:v>1143.3204896292</x:v>
      </x:c>
      <x:c r="L8" s="31" t="n">
        <x:v>1731.2407189694</x:v>
      </x:c>
      <x:c r="M8" s="31" t="n">
        <x:v>2062.3140643809</x:v>
      </x:c>
      <x:c r="N8" s="24" t="str">
        <x:v>pollachius virens</x:v>
      </x:c>
      <x:c r="O8" s="32" t="n">
        <x:v>4.31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Pollachius virens</x:v>
      </x:c>
      <x:c r="T8" s="32" t="n">
        <x:f>IF(O8="","",(1/'Metadata'!$B$5)^(O8-1))</x:f>
        <x:v>2041.7379446695275</x:v>
      </x:c>
      <x:c r="U8" s="31" t="n">
        <x:f>IF(T8="","",I8*T8)</x:f>
        <x:v>7745444.746348896</x:v>
      </x:c>
    </x:row>
    <x:row r="9" ht="18" customHeight="1">
      <x:c r="A9" s="24" t="str">
        <x:v>EEZ_645</x:v>
      </x:c>
      <x:c r="B9" s="24" t="str">
        <x:v>Russia (Barents Sea)</x:v>
      </x:c>
      <x:c r="C9" s="24" t="str">
        <x:v>EEZ</x:v>
      </x:c>
      <x:c r="D9" s="30" t="n">
        <x:v>2019</x:v>
      </x:c>
      <x:c r="E9" s="24" t="str">
        <x:v>Anarhichas denticulatus</x:v>
      </x:c>
      <x:c r="F9" s="24" t="str">
        <x:v>Northern wolffish</x:v>
      </x:c>
      <x:c r="G9" s="24" t="str">
        <x:v>Large benthopelagics (&gt;=90 cm)</x:v>
      </x:c>
      <x:c r="H9" s="24" t="str">
        <x:v>Perch-likes</x:v>
      </x:c>
      <x:c r="I9" s="31" t="n">
        <x:v>3377.0902098699</x:v>
      </x:c>
      <x:c r="J9" s="31" t="n">
        <x:v>3377.0902098699</x:v>
      </x:c>
      <x:c r="K9" s="31" t="n">
        <x:v>0</x:v>
      </x:c>
      <x:c r="L9" s="31" t="n">
        <x:v>3320.3040637859</x:v>
      </x:c>
      <x:c r="M9" s="31" t="n">
        <x:v>56.786146084</x:v>
      </x:c>
      <x:c r="N9" s="24" t="str">
        <x:v>anarhichas denticulatus</x:v>
      </x:c>
      <x:c r="O9" s="32" t="n">
        <x:v>3.75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Anarhichas denticulatus</x:v>
      </x:c>
      <x:c r="T9" s="32" t="n">
        <x:f>IF(O9="","",(1/'Metadata'!$B$5)^(O9-1))</x:f>
        <x:v>562.341325190349</x:v>
      </x:c>
      <x:c r="U9" s="31" t="n">
        <x:f>IF(T9="","",I9*T9)</x:f>
        <x:v>1899077.3839055933</x:v>
      </x:c>
    </x:row>
    <x:row r="10" ht="18" customHeight="1">
      <x:c r="A10" s="24" t="str">
        <x:v>EEZ_645</x:v>
      </x:c>
      <x:c r="B10" s="24" t="str">
        <x:v>Russia (Barents Sea)</x:v>
      </x:c>
      <x:c r="C10" s="24" t="str">
        <x:v>EEZ</x:v>
      </x:c>
      <x:c r="D10" s="30" t="n">
        <x:v>2019</x:v>
      </x:c>
      <x:c r="E10" s="24" t="str">
        <x:v>Sebastes</x:v>
      </x:c>
      <x:c r="F10" s="24" t="str">
        <x:v>Redfishes</x:v>
      </x:c>
      <x:c r="G10" s="24" t="str">
        <x:v>Large reef assoc. fish (&gt;=90 cm)</x:v>
      </x:c>
      <x:c r="H10" s="24" t="str">
        <x:v>Scorpionfishes</x:v>
      </x:c>
      <x:c r="I10" s="31" t="n">
        <x:v>2313.3192204407</x:v>
      </x:c>
      <x:c r="J10" s="31" t="n">
        <x:v>321.5252616345</x:v>
      </x:c>
      <x:c r="K10" s="31" t="n">
        <x:v>1991.7939588062002</x:v>
      </x:c>
      <x:c r="L10" s="31" t="n">
        <x:v>321.0405543937</x:v>
      </x:c>
      <x:c r="M10" s="31" t="n">
        <x:v>1992.2786660470001</x:v>
      </x:c>
      <x:c r="N10" s="24" t="str">
        <x:v>sebastes</x:v>
      </x:c>
      <x:c r="O10" s="32" t="n">
        <x:v>3.79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Sebastes</x:v>
      </x:c>
      <x:c r="T10" s="32" t="n">
        <x:f>IF(O10="","",(1/'Metadata'!$B$5)^(O10-1))</x:f>
        <x:v>616.5950018614822</x:v>
      </x:c>
      <x:c r="U10" s="31" t="n">
        <x:f>IF(T10="","",I10*T10)</x:f>
        <x:v>1426381.069033836</x:v>
      </x:c>
    </x:row>
    <x:row r="11" ht="18" customHeight="1">
      <x:c r="A11" s="24" t="str">
        <x:v>EEZ_645</x:v>
      </x:c>
      <x:c r="B11" s="24" t="str">
        <x:v>Russia (Barents Sea)</x:v>
      </x:c>
      <x:c r="C11" s="24" t="str">
        <x:v>EEZ</x:v>
      </x:c>
      <x:c r="D11" s="30" t="n">
        <x:v>2019</x:v>
      </x:c>
      <x:c r="E11" s="24" t="str">
        <x:v>Reinhardtius hippoglossoides</x:v>
      </x:c>
      <x:c r="F11" s="24" t="str">
        <x:v>Greenland halibut</x:v>
      </x:c>
      <x:c r="G11" s="24" t="str">
        <x:v>Small to medium flatfishes (&lt;90 cm)</x:v>
      </x:c>
      <x:c r="H11" s="24" t="str">
        <x:v>Flatfishes</x:v>
      </x:c>
      <x:c r="I11" s="31" t="n">
        <x:v>1942.1873055004999</x:v>
      </x:c>
      <x:c r="J11" s="31" t="n">
        <x:v>750.3887771986</x:v>
      </x:c>
      <x:c r="K11" s="31" t="n">
        <x:v>1191.7985283019</x:v>
      </x:c>
      <x:c r="L11" s="31" t="n">
        <x:v>737.1293609274001</x:v>
      </x:c>
      <x:c r="M11" s="31" t="n">
        <x:v>1205.0579445730998</x:v>
      </x:c>
      <x:c r="N11" s="24" t="str">
        <x:v>reinhardtius hippoglossoides</x:v>
      </x:c>
      <x:c r="O11" s="32" t="n">
        <x:v>4.38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Reinhardtius hippoglossoides</x:v>
      </x:c>
      <x:c r="T11" s="32" t="n">
        <x:f>IF(O11="","",(1/'Metadata'!$B$5)^(O11-1))</x:f>
        <x:v>2398.83291901949</x:v>
      </x:c>
      <x:c r="U11" s="31" t="n">
        <x:f>IF(T11="","",I11*T11)</x:f>
        <x:v>4658982.843336362</x:v>
      </x:c>
    </x:row>
    <x:row r="12" ht="18" customHeight="1">
      <x:c r="A12" s="24" t="str">
        <x:v>EEZ_645</x:v>
      </x:c>
      <x:c r="B12" s="24" t="str">
        <x:v>Russia (Barents Sea)</x:v>
      </x:c>
      <x:c r="C12" s="24" t="str">
        <x:v>EEZ</x:v>
      </x:c>
      <x:c r="D12" s="30" t="n">
        <x:v>2019</x:v>
      </x:c>
      <x:c r="E12" s="24" t="str">
        <x:v>Gadiformes</x:v>
      </x:c>
      <x:c r="F12" s="24" t="str">
        <x:v>Cods</x:v>
      </x:c>
      <x:c r="G12" s="24" t="str">
        <x:v>Medium benthopelagics (30 - 89 cm)</x:v>
      </x:c>
      <x:c r="H12" s="24" t="str">
        <x:v>Cod-likes</x:v>
      </x:c>
      <x:c r="I12" s="31" t="n">
        <x:v>1678.8165227499</x:v>
      </x:c>
      <x:c r="J12" s="31" t="n">
        <x:v>12.2169097361</x:v>
      </x:c>
      <x:c r="K12" s="31" t="n">
        <x:v>1666.5996130138</x:v>
      </x:c>
      <x:c r="L12" s="31" t="n">
        <x:v>12.2169097361</x:v>
      </x:c>
      <x:c r="M12" s="31" t="n">
        <x:v>1666.5996130138</x:v>
      </x:c>
      <x:c r="N12" s="24" t="str">
        <x:v>gadiformes</x:v>
      </x:c>
      <x:c r="O12" s="32" t="n">
        <x:v>3.91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Gadiformes</x:v>
      </x:c>
      <x:c r="T12" s="32" t="n">
        <x:f>IF(O12="","",(1/'Metadata'!$B$5)^(O12-1))</x:f>
        <x:v>812.8305161640995</x:v>
      </x:c>
      <x:c r="U12" s="31" t="n">
        <x:f>IF(T12="","",I12*T12)</x:f>
        <x:v>1364593.30073162</x:v>
      </x:c>
    </x:row>
    <x:row r="13" ht="18" customHeight="1">
      <x:c r="A13" s="24" t="str">
        <x:v>EEZ_645</x:v>
      </x:c>
      <x:c r="B13" s="24" t="str">
        <x:v>Russia (Barents Sea)</x:v>
      </x:c>
      <x:c r="C13" s="24" t="str">
        <x:v>EEZ</x:v>
      </x:c>
      <x:c r="D13" s="30" t="n">
        <x:v>2019</x:v>
      </x:c>
      <x:c r="E13" s="24" t="str">
        <x:v>Pleuronectidae</x:v>
      </x:c>
      <x:c r="F13" s="24" t="str">
        <x:v>Righteye flounders</x:v>
      </x:c>
      <x:c r="G13" s="24" t="str">
        <x:v>Small to medium flatfishes (&lt;90 cm)</x:v>
      </x:c>
      <x:c r="H13" s="24" t="str">
        <x:v>Flatfishes</x:v>
      </x:c>
      <x:c r="I13" s="31" t="n">
        <x:v>1638.5709933424</x:v>
      </x:c>
      <x:c r="J13" s="31" t="n">
        <x:v>2.3759580176</x:v>
      </x:c>
      <x:c r="K13" s="31" t="n">
        <x:v>1636.1950353248</x:v>
      </x:c>
      <x:c r="L13" s="31" t="n">
        <x:v>2.3113303855000003</x:v>
      </x:c>
      <x:c r="M13" s="31" t="n">
        <x:v>1636.2596629569</x:v>
      </x:c>
      <x:c r="N13" s="24" t="str">
        <x:v>pleuronectidae</x:v>
      </x:c>
      <x:c r="O13" s="32" t="n">
        <x:v>3.49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Pleuronectidae</x:v>
      </x:c>
      <x:c r="T13" s="32" t="n">
        <x:f>IF(O13="","",(1/'Metadata'!$B$5)^(O13-1))</x:f>
        <x:v>309.0295432513592</x:v>
      </x:c>
      <x:c r="U13" s="31" t="n">
        <x:f>IF(T13="","",I13*T13)</x:f>
        <x:v>506366.8456575278</x:v>
      </x:c>
    </x:row>
    <x:row r="14" ht="18" customHeight="1">
      <x:c r="A14" s="24" t="str">
        <x:v>EEZ_645</x:v>
      </x:c>
      <x:c r="B14" s="24" t="str">
        <x:v>Russia (Barents Sea)</x:v>
      </x:c>
      <x:c r="C14" s="24" t="str">
        <x:v>EEZ</x:v>
      </x:c>
      <x:c r="D14" s="30" t="n">
        <x:v>2019</x:v>
      </x:c>
      <x:c r="E14" s="24" t="str">
        <x:v>Anarhichas minor</x:v>
      </x:c>
      <x:c r="F14" s="24" t="str">
        <x:v>Spotted wolffish</x:v>
      </x:c>
      <x:c r="G14" s="24" t="str">
        <x:v>Large demersals (&gt;=90 cm)</x:v>
      </x:c>
      <x:c r="H14" s="24" t="str">
        <x:v>Perch-likes</x:v>
      </x:c>
      <x:c r="I14" s="31" t="n">
        <x:v>1616.57651455</x:v>
      </x:c>
      <x:c r="J14" s="31" t="n">
        <x:v>1616.57651455</x:v>
      </x:c>
      <x:c r="K14" s="31" t="n">
        <x:v>0</x:v>
      </x:c>
      <x:c r="L14" s="31" t="n">
        <x:v>1577.8107065537</x:v>
      </x:c>
      <x:c r="M14" s="31" t="n">
        <x:v>38.7658079963</x:v>
      </x:c>
      <x:c r="N14" s="24" t="str">
        <x:v>anarhichas minor</x:v>
      </x:c>
      <x:c r="O14" s="32" t="n">
        <x:v>3.45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Anarhichas minor</x:v>
      </x:c>
      <x:c r="T14" s="32" t="n">
        <x:f>IF(O14="","",(1/'Metadata'!$B$5)^(O14-1))</x:f>
        <x:v>281.8382931264455</x:v>
      </x:c>
      <x:c r="U14" s="31" t="n">
        <x:f>IF(T14="","",I14*T14)</x:f>
        <x:v>455613.16556907044</x:v>
      </x:c>
    </x:row>
    <x:row r="15" ht="18" customHeight="1">
      <x:c r="A15" s="24" t="str">
        <x:v>EEZ_645</x:v>
      </x:c>
      <x:c r="B15" s="24" t="str">
        <x:v>Russia (Barents Sea)</x:v>
      </x:c>
      <x:c r="C15" s="24" t="str">
        <x:v>EEZ</x:v>
      </x:c>
      <x:c r="D15" s="30" t="n">
        <x:v>2019</x:v>
      </x:c>
      <x:c r="E15" s="24" t="str">
        <x:v>Hippoglossoides platessoides</x:v>
      </x:c>
      <x:c r="F15" s="24" t="str">
        <x:v>American plaice</x:v>
      </x:c>
      <x:c r="G15" s="24" t="str">
        <x:v>Small to medium flatfishes (&lt;90 cm)</x:v>
      </x:c>
      <x:c r="H15" s="24" t="str">
        <x:v>Flatfishes</x:v>
      </x:c>
      <x:c r="I15" s="31" t="n">
        <x:v>1473.652617512</x:v>
      </x:c>
      <x:c r="J15" s="31" t="n">
        <x:v>1470.761314919</x:v>
      </x:c>
      <x:c r="K15" s="31" t="n">
        <x:v>2.891302593</x:v>
      </x:c>
      <x:c r="L15" s="31" t="n">
        <x:v>1446.353612524</x:v>
      </x:c>
      <x:c r="M15" s="31" t="n">
        <x:v>27.299004988</x:v>
      </x:c>
      <x:c r="N15" s="24" t="str">
        <x:v>hippoglossoides platessoides</x:v>
      </x:c>
      <x:c r="O15" s="32" t="n">
        <x:v>4.08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Hippoglossoides platessoides</x:v>
      </x:c>
      <x:c r="T15" s="32" t="n">
        <x:f>IF(O15="","",(1/'Metadata'!$B$5)^(O15-1))</x:f>
        <x:v>1202.2644346174131</x:v>
      </x:c>
      <x:c r="U15" s="31" t="n">
        <x:f>IF(T15="","",I15*T15)</x:f>
        <x:v>1771720.1310155357</x:v>
      </x:c>
    </x:row>
    <x:row r="16" ht="18" customHeight="1">
      <x:c r="A16" s="24" t="str">
        <x:v>EEZ_645</x:v>
      </x:c>
      <x:c r="B16" s="24" t="str">
        <x:v>Russia (Barents Sea)</x:v>
      </x:c>
      <x:c r="C16" s="24" t="str">
        <x:v>EEZ</x:v>
      </x:c>
      <x:c r="D16" s="30" t="n">
        <x:v>2019</x:v>
      </x:c>
      <x:c r="E16" s="24" t="str">
        <x:v>Anarhichas</x:v>
      </x:c>
      <x:c r="F16" s="24" t="str">
        <x:v>Wolffishes</x:v>
      </x:c>
      <x:c r="G16" s="24" t="str">
        <x:v>Large demersals (&gt;=90 cm)</x:v>
      </x:c>
      <x:c r="H16" s="24" t="str">
        <x:v>Perch-likes</x:v>
      </x:c>
      <x:c r="I16" s="31" t="n">
        <x:v>1415.7272544015</x:v>
      </x:c>
      <x:c r="J16" s="31" t="n">
        <x:v>137.518197975</x:v>
      </x:c>
      <x:c r="K16" s="31" t="n">
        <x:v>1278.2090564265</x:v>
      </x:c>
      <x:c r="L16" s="31" t="n">
        <x:v>137.518197975</x:v>
      </x:c>
      <x:c r="M16" s="31" t="n">
        <x:v>1278.2090564265</x:v>
      </x:c>
      <x:c r="N16" s="24" t="str">
        <x:v>anarhichas</x:v>
      </x:c>
      <x:c r="O16" s="32" t="n">
        <x:v>3.35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Anarhichas</x:v>
      </x:c>
      <x:c r="T16" s="32" t="n">
        <x:f>IF(O16="","",(1/'Metadata'!$B$5)^(O16-1))</x:f>
        <x:v>223.872113856834</x:v>
      </x:c>
      <x:c r="U16" s="31" t="n">
        <x:f>IF(T16="","",I16*T16)</x:f>
        <x:v>316941.8530875956</x:v>
      </x:c>
    </x:row>
    <x:row r="17" ht="18" customHeight="1">
      <x:c r="A17" s="24" t="str">
        <x:v>EEZ_645</x:v>
      </x:c>
      <x:c r="B17" s="24" t="str">
        <x:v>Russia (Barents Sea)</x:v>
      </x:c>
      <x:c r="C17" s="24" t="str">
        <x:v>EEZ</x:v>
      </x:c>
      <x:c r="D17" s="30" t="n">
        <x:v>2019</x:v>
      </x:c>
      <x:c r="E17" s="24" t="str">
        <x:v>Eleginus nawaga</x:v>
      </x:c>
      <x:c r="F17" s="24" t="str">
        <x:v>Navaga</x:v>
      </x:c>
      <x:c r="G17" s="24" t="str">
        <x:v>Medium demersals (30 - 89 cm)</x:v>
      </x:c>
      <x:c r="H17" s="24" t="str">
        <x:v>Cod-likes</x:v>
      </x:c>
      <x:c r="I17" s="31" t="n">
        <x:v>1405.8139127959</x:v>
      </x:c>
      <x:c r="J17" s="31" t="n">
        <x:v>1405.8139127959</x:v>
      </x:c>
      <x:c r="K17" s="31" t="n">
        <x:v>0</x:v>
      </x:c>
      <x:c r="L17" s="31" t="n">
        <x:v>298.2510379001</x:v>
      </x:c>
      <x:c r="M17" s="31" t="n">
        <x:v>1107.5628748958</x:v>
      </x:c>
      <x:c r="N17" s="24" t="str">
        <x:v>eleginus nawaga</x:v>
      </x:c>
      <x:c r="O17" s="32" t="n">
        <x:v>4.24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Eleginus nawaga</x:v>
      </x:c>
      <x:c r="T17" s="32" t="n">
        <x:f>IF(O17="","",(1/'Metadata'!$B$5)^(O17-1))</x:f>
        <x:v>1737.8008287493763</x:v>
      </x:c>
      <x:c r="U17" s="31" t="n">
        <x:f>IF(T17="","",I17*T17)</x:f>
        <x:v>2443024.5827241186</x:v>
      </x:c>
    </x:row>
    <x:row r="18" ht="18" customHeight="1">
      <x:c r="A18" s="24" t="str">
        <x:v>EEZ_645</x:v>
      </x:c>
      <x:c r="B18" s="24" t="str">
        <x:v>Russia (Barents Sea)</x:v>
      </x:c>
      <x:c r="C18" s="24" t="str">
        <x:v>EEZ</x:v>
      </x:c>
      <x:c r="D18" s="30" t="n">
        <x:v>2019</x:v>
      </x:c>
      <x:c r="E18" s="24" t="str">
        <x:v>Anarhichas lupus</x:v>
      </x:c>
      <x:c r="F18" s="24" t="str">
        <x:v>Atlantic wolffish</x:v>
      </x:c>
      <x:c r="G18" s="24" t="str">
        <x:v>Large demersals (&gt;=90 cm)</x:v>
      </x:c>
      <x:c r="H18" s="24" t="str">
        <x:v>Perch-likes</x:v>
      </x:c>
      <x:c r="I18" s="31" t="n">
        <x:v>1377.7722295112</x:v>
      </x:c>
      <x:c r="J18" s="31" t="n">
        <x:v>1377.7722295112</x:v>
      </x:c>
      <x:c r="K18" s="31" t="n">
        <x:v>0</x:v>
      </x:c>
      <x:c r="L18" s="31" t="n">
        <x:v>488.0442008352</x:v>
      </x:c>
      <x:c r="M18" s="31" t="n">
        <x:v>889.728028676</x:v>
      </x:c>
      <x:c r="N18" s="24" t="str">
        <x:v>anarhichas lupus</x:v>
      </x:c>
      <x:c r="O18" s="32" t="n">
        <x:v>3.55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Anarhichas lupus</x:v>
      </x:c>
      <x:c r="T18" s="32" t="n">
        <x:f>IF(O18="","",(1/'Metadata'!$B$5)^(O18-1))</x:f>
        <x:v>354.8133892335753</x:v>
      </x:c>
      <x:c r="U18" s="31" t="n">
        <x:f>IF(T18="","",I18*T18)</x:f>
        <x:v>488852.0343447683</x:v>
      </x:c>
    </x:row>
    <x:row r="19" ht="18" customHeight="1">
      <x:c r="A19" s="24" t="str">
        <x:v>EEZ_645</x:v>
      </x:c>
      <x:c r="B19" s="24" t="str">
        <x:v>Russia (Barents Sea)</x:v>
      </x:c>
      <x:c r="C19" s="24" t="str">
        <x:v>EEZ</x:v>
      </x:c>
      <x:c r="D19" s="30" t="n">
        <x:v>2019</x:v>
      </x:c>
      <x:c r="E19" s="24" t="str">
        <x:v>Boreogadus saida</x:v>
      </x:c>
      <x:c r="F19" s="24" t="str">
        <x:v>Polar cod</x:v>
      </x:c>
      <x:c r="G19" s="24" t="str">
        <x:v>Medium demersals (30 - 89 cm)</x:v>
      </x:c>
      <x:c r="H19" s="24" t="str">
        <x:v>Cod-likes</x:v>
      </x:c>
      <x:c r="I19" s="31" t="n">
        <x:v>1020.3365177896</x:v>
      </x:c>
      <x:c r="J19" s="31" t="n">
        <x:v>891.5868163027999</x:v>
      </x:c>
      <x:c r="K19" s="31" t="n">
        <x:v>128.7497014868</x:v>
      </x:c>
      <x:c r="L19" s="31" t="n">
        <x:v>9.8187576488</x:v>
      </x:c>
      <x:c r="M19" s="31" t="n">
        <x:v>1010.5177601408</x:v>
      </x:c>
      <x:c r="N19" s="24" t="str">
        <x:v>boreogadus saida</x:v>
      </x:c>
      <x:c r="O19" s="32" t="n">
        <x:v>3.12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Boreogadus saida</x:v>
      </x:c>
      <x:c r="T19" s="32" t="n">
        <x:f>IF(O19="","",(1/'Metadata'!$B$5)^(O19-1))</x:f>
        <x:v>131.82567385564073</x:v>
      </x:c>
      <x:c r="U19" s="31" t="n">
        <x:f>IF(T19="","",I19*T19)</x:f>
        <x:v>134506.54901713197</x:v>
      </x:c>
    </x:row>
    <x:row r="20" ht="18" customHeight="1">
      <x:c r="A20" s="24" t="str">
        <x:v>EEZ_645</x:v>
      </x:c>
      <x:c r="B20" s="24" t="str">
        <x:v>Russia (Barents Sea)</x:v>
      </x:c>
      <x:c r="C20" s="24" t="str">
        <x:v>EEZ</x:v>
      </x:c>
      <x:c r="D20" s="30" t="n">
        <x:v>2019</x:v>
      </x:c>
      <x:c r="E20" s="24" t="str">
        <x:v>Pollachius pollachius</x:v>
      </x:c>
      <x:c r="F20" s="24" t="str">
        <x:v>Pollack</x:v>
      </x:c>
      <x:c r="G20" s="24" t="str">
        <x:v>Large benthopelagics (&gt;=90 cm)</x:v>
      </x:c>
      <x:c r="H20" s="24" t="str">
        <x:v>Cod-likes</x:v>
      </x:c>
      <x:c r="I20" s="31" t="n">
        <x:v>882.2057348183</x:v>
      </x:c>
      <x:c r="J20" s="31" t="n">
        <x:v>882.2057348183</x:v>
      </x:c>
      <x:c r="K20" s="31" t="n">
        <x:v>0</x:v>
      </x:c>
      <x:c r="L20" s="31" t="n">
        <x:v>0.4484474362</x:v>
      </x:c>
      <x:c r="M20" s="31" t="n">
        <x:v>881.7572873821</x:v>
      </x:c>
      <x:c r="N20" s="24" t="str">
        <x:v>pollachius pollachius</x:v>
      </x:c>
      <x:c r="O20" s="32" t="n">
        <x:v>4.32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Pollachius pollachius</x:v>
      </x:c>
      <x:c r="T20" s="32" t="n">
        <x:f>IF(O20="","",(1/'Metadata'!$B$5)^(O20-1))</x:f>
        <x:v>2089.2961308540407</x:v>
      </x:c>
      <x:c r="U20" s="31" t="n">
        <x:f>IF(T20="","",I20*T20)</x:f>
        <x:v>1843189.0283731201</x:v>
      </x:c>
    </x:row>
    <x:row r="21" ht="18" customHeight="1">
      <x:c r="A21" s="24" t="str">
        <x:v>EEZ_645</x:v>
      </x:c>
      <x:c r="B21" s="24" t="str">
        <x:v>Russia (Barents Sea)</x:v>
      </x:c>
      <x:c r="C21" s="24" t="str">
        <x:v>EEZ</x:v>
      </x:c>
      <x:c r="D21" s="30" t="n">
        <x:v>2019</x:v>
      </x:c>
      <x:c r="E21" s="24" t="str">
        <x:v>Clupea harengus</x:v>
      </x:c>
      <x:c r="F21" s="24" t="str">
        <x:v>Atlantic herring</x:v>
      </x:c>
      <x:c r="G21" s="24" t="str">
        <x:v>Medium pelagics (30 - 89 cm)</x:v>
      </x:c>
      <x:c r="H21" s="24" t="str">
        <x:v>Herring-likes</x:v>
      </x:c>
      <x:c r="I21" s="31" t="n">
        <x:v>880.1221631994</x:v>
      </x:c>
      <x:c r="J21" s="31" t="n">
        <x:v>590.4353347774</x:v>
      </x:c>
      <x:c r="K21" s="31" t="n">
        <x:v>289.686828422</x:v>
      </x:c>
      <x:c r="L21" s="31" t="n">
        <x:v>514.5373702874</x:v>
      </x:c>
      <x:c r="M21" s="31" t="n">
        <x:v>365.584792912</x:v>
      </x:c>
      <x:c r="N21" s="24" t="str">
        <x:v>clupea harengus</x:v>
      </x:c>
      <x:c r="O21" s="32" t="n">
        <x:v>3.38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Clupea harengus</x:v>
      </x:c>
      <x:c r="T21" s="32" t="n">
        <x:f>IF(O21="","",(1/'Metadata'!$B$5)^(O21-1))</x:f>
        <x:v>239.88329190194898</x:v>
      </x:c>
      <x:c r="U21" s="31" t="n">
        <x:f>IF(T21="","",I21*T21)</x:f>
        <x:v>211126.60178413644</x:v>
      </x:c>
    </x:row>
    <x:row r="22" ht="18" customHeight="1">
      <x:c r="A22" s="24" t="str">
        <x:v>EEZ_645</x:v>
      </x:c>
      <x:c r="B22" s="24" t="str">
        <x:v>Russia (Barents Sea)</x:v>
      </x:c>
      <x:c r="C22" s="24" t="str">
        <x:v>EEZ</x:v>
      </x:c>
      <x:c r="D22" s="30" t="n">
        <x:v>2019</x:v>
      </x:c>
      <x:c r="E22" s="24" t="str">
        <x:v>Raja</x:v>
      </x:c>
      <x:c r="F22" s="24" t="str">
        <x:v>Stingrays, skates</x:v>
      </x:c>
      <x:c r="G22" s="24" t="str">
        <x:v>Small to medium rays (&lt;90 cm)</x:v>
      </x:c>
      <x:c r="H22" s="24" t="str">
        <x:v>Sharks &amp; rays</x:v>
      </x:c>
      <x:c r="I22" s="31" t="n">
        <x:v>385.2511992748</x:v>
      </x:c>
      <x:c r="J22" s="31" t="n">
        <x:v>370.1959628479</x:v>
      </x:c>
      <x:c r="K22" s="31" t="n">
        <x:v>15.0552364269</x:v>
      </x:c>
      <x:c r="L22" s="31" t="n">
        <x:v>370.0559363116</x:v>
      </x:c>
      <x:c r="M22" s="31" t="n">
        <x:v>15.195262963200001</x:v>
      </x:c>
      <x:c r="N22" s="24" t="str">
        <x:v>raja</x:v>
      </x:c>
      <x:c r="O22" s="32" t="n">
        <x:v>3.8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Raja</x:v>
      </x:c>
      <x:c r="T22" s="32" t="n">
        <x:f>IF(O22="","",(1/'Metadata'!$B$5)^(O22-1))</x:f>
        <x:v>630.957344480193</x:v>
      </x:c>
      <x:c r="U22" s="31" t="n">
        <x:f>IF(T22="","",I22*T22)</x:f>
        <x:v>243077.07365223745</x:v>
      </x:c>
    </x:row>
    <x:row r="23" ht="18" customHeight="1">
      <x:c r="A23" s="24" t="str">
        <x:v>EEZ_645</x:v>
      </x:c>
      <x:c r="B23" s="24" t="str">
        <x:v>Russia (Barents Sea)</x:v>
      </x:c>
      <x:c r="C23" s="24" t="str">
        <x:v>EEZ</x:v>
      </x:c>
      <x:c r="D23" s="30" t="n">
        <x:v>2019</x:v>
      </x:c>
      <x:c r="E23" s="24" t="str">
        <x:v>Gadidae</x:v>
      </x:c>
      <x:c r="F23" s="24" t="str">
        <x:v>Cods, haddocks</x:v>
      </x:c>
      <x:c r="G23" s="24" t="str">
        <x:v>Medium demersals (30 - 89 cm)</x:v>
      </x:c>
      <x:c r="H23" s="24" t="str">
        <x:v>Cod-likes</x:v>
      </x:c>
      <x:c r="I23" s="31" t="n">
        <x:v>311.288730095</x:v>
      </x:c>
      <x:c r="J23" s="31" t="n">
        <x:v>311.288730095</x:v>
      </x:c>
      <x:c r="K23" s="31" t="n">
        <x:v>0</x:v>
      </x:c>
      <x:c r="L23" s="31" t="n">
        <x:v>311.288730095</x:v>
      </x:c>
      <x:c r="M23" s="31" t="n">
        <x:v>0</x:v>
      </x:c>
      <x:c r="N23" s="24" t="str">
        <x:v>gadidae</x:v>
      </x:c>
      <x:c r="O23" s="32" t="n">
        <x:v>3.84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Gadidae</x:v>
      </x:c>
      <x:c r="T23" s="32" t="n">
        <x:f>IF(O23="","",(1/'Metadata'!$B$5)^(O23-1))</x:f>
        <x:v>691.8309709189363</x:v>
      </x:c>
      <x:c r="U23" s="31" t="n">
        <x:f>IF(T23="","",I23*T23)</x:f>
        <x:v>215359.18437774654</x:v>
      </x:c>
    </x:row>
    <x:row r="24" ht="18" customHeight="1">
      <x:c r="A24" s="24" t="str">
        <x:v>EEZ_645</x:v>
      </x:c>
      <x:c r="B24" s="24" t="str">
        <x:v>Russia (Barents Sea)</x:v>
      </x:c>
      <x:c r="C24" s="24" t="str">
        <x:v>EEZ</x:v>
      </x:c>
      <x:c r="D24" s="30" t="n">
        <x:v>2019</x:v>
      </x:c>
      <x:c r="E24" s="24" t="str">
        <x:v>Echinoidea</x:v>
      </x:c>
      <x:c r="F24" s="24" t="str">
        <x:v>Sea urchins, sea hedgehogs</x:v>
      </x:c>
      <x:c r="G24" s="24" t="str">
        <x:v>Other demersal invertebrates</x:v>
      </x:c>
      <x:c r="H24" s="24" t="str">
        <x:v>Other fishes &amp; inverts</x:v>
      </x:c>
      <x:c r="I24" s="31" t="n">
        <x:v>295.9427729761</x:v>
      </x:c>
      <x:c r="J24" s="31" t="n">
        <x:v>295.9427729761</x:v>
      </x:c>
      <x:c r="K24" s="31" t="n">
        <x:v>0</x:v>
      </x:c>
      <x:c r="L24" s="31" t="n">
        <x:v>295.921230432</x:v>
      </x:c>
      <x:c r="M24" s="31" t="n">
        <x:v>0.0215425441</x:v>
      </x:c>
      <x:c r="N24" s="24" t="str">
        <x:v>echinoidea</x:v>
      </x:c>
      <x:c r="O24" s="32" t="n">
        <x:v>2.51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Echinoidea</x:v>
      </x:c>
      <x:c r="T24" s="32" t="n">
        <x:f>IF(O24="","",(1/'Metadata'!$B$5)^(O24-1))</x:f>
        <x:v>32.35936569296281</x:v>
      </x:c>
      <x:c r="U24" s="31" t="n">
        <x:f>IF(T24="","",I24*T24)</x:f>
        <x:v>9576.520414923092</x:v>
      </x:c>
    </x:row>
    <x:row r="25" ht="18" customHeight="1">
      <x:c r="A25" s="24" t="str">
        <x:v>EEZ_645</x:v>
      </x:c>
      <x:c r="B25" s="24" t="str">
        <x:v>Russia (Barents Sea)</x:v>
      </x:c>
      <x:c r="C25" s="24" t="str">
        <x:v>EEZ</x:v>
      </x:c>
      <x:c r="D25" s="30" t="n">
        <x:v>2019</x:v>
      </x:c>
      <x:c r="E25" s="24" t="str">
        <x:v>Sebastes norvegicus</x:v>
      </x:c>
      <x:c r="F25" s="24" t="str">
        <x:v>Golden redfish</x:v>
      </x:c>
      <x:c r="G25" s="24" t="str">
        <x:v>Medium benthopelagics (30 - 89 cm)</x:v>
      </x:c>
      <x:c r="H25" s="24" t="str">
        <x:v>Scorpionfishes</x:v>
      </x:c>
      <x:c r="I25" s="31" t="n">
        <x:v>267.6249265639</x:v>
      </x:c>
      <x:c r="J25" s="31" t="n">
        <x:v>267.5524428156</x:v>
      </x:c>
      <x:c r="K25" s="31" t="n">
        <x:v>0.0724837483</x:v>
      </x:c>
      <x:c r="L25" s="31" t="n">
        <x:v>237.18910827809998</x:v>
      </x:c>
      <x:c r="M25" s="31" t="n">
        <x:v>30.4358182858</x:v>
      </x:c>
      <x:c r="N25" s="24" t="str">
        <x:v>sebastes norvegicus</x:v>
      </x:c>
      <x:c r="O25" s="32" t="n">
        <x:v>4.04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Sebastes norvegicus</x:v>
      </x:c>
      <x:c r="T25" s="32" t="n">
        <x:f>IF(O25="","",(1/'Metadata'!$B$5)^(O25-1))</x:f>
        <x:v>1096.4781961431852</x:v>
      </x:c>
      <x:c r="U25" s="31" t="n">
        <x:f>IF(T25="","",I25*T25)</x:f>
        <x:v>293444.89672173746</x:v>
      </x:c>
    </x:row>
    <x:row r="26" ht="18" customHeight="1">
      <x:c r="A26" s="24" t="str">
        <x:v>EEZ_645</x:v>
      </x:c>
      <x:c r="B26" s="24" t="str">
        <x:v>Russia (Barents Sea)</x:v>
      </x:c>
      <x:c r="C26" s="24" t="str">
        <x:v>EEZ</x:v>
      </x:c>
      <x:c r="D26" s="30" t="n">
        <x:v>2019</x:v>
      </x:c>
      <x:c r="E26" s="24" t="str">
        <x:v>Limanda limanda</x:v>
      </x:c>
      <x:c r="F26" s="24" t="str">
        <x:v>Common dab</x:v>
      </x:c>
      <x:c r="G26" s="24" t="str">
        <x:v>Small to medium flatfishes (&lt;90 cm)</x:v>
      </x:c>
      <x:c r="H26" s="24" t="str">
        <x:v>Flatfishes</x:v>
      </x:c>
      <x:c r="I26" s="31" t="n">
        <x:v>198.72399525909998</x:v>
      </x:c>
      <x:c r="J26" s="31" t="n">
        <x:v>198.72399525909998</x:v>
      </x:c>
      <x:c r="K26" s="31" t="n">
        <x:v>0</x:v>
      </x:c>
      <x:c r="L26" s="31" t="n">
        <x:v>196.02040598239998</x:v>
      </x:c>
      <x:c r="M26" s="31" t="n">
        <x:v>2.7035892767</x:v>
      </x:c>
      <x:c r="N26" s="24" t="str">
        <x:v>limanda limanda</x:v>
      </x:c>
      <x:c r="O26" s="32" t="n">
        <x:v>3.29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Limanda limanda</x:v>
      </x:c>
      <x:c r="T26" s="32" t="n">
        <x:f>IF(O26="","",(1/'Metadata'!$B$5)^(O26-1))</x:f>
        <x:v>194.98445997580455</x:v>
      </x:c>
      <x:c r="U26" s="31" t="n">
        <x:f>IF(T26="","",I26*T26)</x:f>
        <x:v>38748.09089982996</x:v>
      </x:c>
    </x:row>
    <x:row r="27" ht="18" customHeight="1">
      <x:c r="A27" s="24" t="str">
        <x:v>EEZ_645</x:v>
      </x:c>
      <x:c r="B27" s="24" t="str">
        <x:v>Russia (Barents Sea)</x:v>
      </x:c>
      <x:c r="C27" s="24" t="str">
        <x:v>EEZ</x:v>
      </x:c>
      <x:c r="D27" s="30" t="n">
        <x:v>2019</x:v>
      </x:c>
      <x:c r="E27" s="24" t="str">
        <x:v>Salmo salar</x:v>
      </x:c>
      <x:c r="F27" s="24" t="str">
        <x:v>Atlantic salmon</x:v>
      </x:c>
      <x:c r="G27" s="24" t="str">
        <x:v>Large benthopelagics (&gt;=90 cm)</x:v>
      </x:c>
      <x:c r="H27" s="24" t="str">
        <x:v>Salmon, smelts, etc</x:v>
      </x:c>
      <x:c r="I27" s="31" t="n">
        <x:v>195.52282135719997</x:v>
      </x:c>
      <x:c r="J27" s="31" t="n">
        <x:v>195.52282135719997</x:v>
      </x:c>
      <x:c r="K27" s="31" t="n">
        <x:v>0</x:v>
      </x:c>
      <x:c r="L27" s="31" t="n">
        <x:v>16.9095112788</x:v>
      </x:c>
      <x:c r="M27" s="31" t="n">
        <x:v>178.6133100784</x:v>
      </x:c>
      <x:c r="N27" s="24" t="str">
        <x:v>salmo salar</x:v>
      </x:c>
      <x:c r="O27" s="32" t="n">
        <x:v>4.5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Salmo salar</x:v>
      </x:c>
      <x:c r="T27" s="32" t="n">
        <x:f>IF(O27="","",(1/'Metadata'!$B$5)^(O27-1))</x:f>
        <x:v>3162.2776601683795</x:v>
      </x:c>
      <x:c r="U27" s="31" t="n">
        <x:f>IF(T27="","",I27*T27)</x:f>
        <x:v>618297.4500309664</x:v>
      </x:c>
    </x:row>
    <x:row r="28" ht="18" customHeight="1">
      <x:c r="A28" s="24" t="str">
        <x:v>EEZ_645</x:v>
      </x:c>
      <x:c r="B28" s="24" t="str">
        <x:v>Russia (Barents Sea)</x:v>
      </x:c>
      <x:c r="C28" s="24" t="str">
        <x:v>EEZ</x:v>
      </x:c>
      <x:c r="D28" s="30" t="n">
        <x:v>2019</x:v>
      </x:c>
      <x:c r="E28" s="24" t="str">
        <x:v>Clupea pallasii</x:v>
      </x:c>
      <x:c r="F28" s="24" t="str">
        <x:v>Pacific herring</x:v>
      </x:c>
      <x:c r="G28" s="24" t="str">
        <x:v>Medium pelagics (30 - 89 cm)</x:v>
      </x:c>
      <x:c r="H28" s="24" t="str">
        <x:v>Herring-likes</x:v>
      </x:c>
      <x:c r="I28" s="31" t="n">
        <x:v>188.36886961460002</x:v>
      </x:c>
      <x:c r="J28" s="31" t="n">
        <x:v>188.36886961460002</x:v>
      </x:c>
      <x:c r="K28" s="31" t="n">
        <x:v>0</x:v>
      </x:c>
      <x:c r="L28" s="31" t="n">
        <x:v>180.6243250329</x:v>
      </x:c>
      <x:c r="M28" s="31" t="n">
        <x:v>7.7445445817000005</x:v>
      </x:c>
      <x:c r="N28" s="24" t="str">
        <x:v>clupea pallasii</x:v>
      </x:c>
      <x:c r="O28" s="32" t="n">
        <x:v>3.16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Clupea pallasii</x:v>
      </x:c>
      <x:c r="T28" s="32" t="n">
        <x:f>IF(O28="","",(1/'Metadata'!$B$5)^(O28-1))</x:f>
        <x:v>144.5439770745928</x:v>
      </x:c>
      <x:c r="U28" s="31" t="n">
        <x:f>IF(T28="","",I28*T28)</x:f>
        <x:v>27227.5855711397</x:v>
      </x:c>
    </x:row>
    <x:row r="29" ht="18" customHeight="1">
      <x:c r="A29" s="24" t="str">
        <x:v>EEZ_645</x:v>
      </x:c>
      <x:c r="B29" s="24" t="str">
        <x:v>Russia (Barents Sea)</x:v>
      </x:c>
      <x:c r="C29" s="24" t="str">
        <x:v>EEZ</x:v>
      </x:c>
      <x:c r="D29" s="30" t="n">
        <x:v>2019</x:v>
      </x:c>
      <x:c r="E29" s="24" t="str">
        <x:v>Mallotus villosus</x:v>
      </x:c>
      <x:c r="F29" s="24" t="str">
        <x:v>Capelin</x:v>
      </x:c>
      <x:c r="G29" s="24" t="str">
        <x:v>Small pelagics (&lt;30 cm)</x:v>
      </x:c>
      <x:c r="H29" s="24" t="str">
        <x:v>Salmon, smelts, etc</x:v>
      </x:c>
      <x:c r="I29" s="31" t="n">
        <x:v>157.89639890499998</x:v>
      </x:c>
      <x:c r="J29" s="31" t="n">
        <x:v>29.146320658</x:v>
      </x:c>
      <x:c r="K29" s="31" t="n">
        <x:v>128.750078247</x:v>
      </x:c>
      <x:c r="L29" s="31" t="n">
        <x:v>29.1247673427</x:v>
      </x:c>
      <x:c r="M29" s="31" t="n">
        <x:v>128.7716315623</x:v>
      </x:c>
      <x:c r="N29" s="24" t="str">
        <x:v>mallotus villosus</x:v>
      </x:c>
      <x:c r="O29" s="32" t="n">
        <x:v>3.15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Mallotus villosus</x:v>
      </x:c>
      <x:c r="T29" s="32" t="n">
        <x:f>IF(O29="","",(1/'Metadata'!$B$5)^(O29-1))</x:f>
        <x:v>141.2537544622754</x:v>
      </x:c>
      <x:c r="U29" s="31" t="n">
        <x:f>IF(T29="","",I29*T29)</x:f>
        <x:v>22303.459161404357</x:v>
      </x:c>
    </x:row>
    <x:row r="30" ht="18" customHeight="1">
      <x:c r="A30" s="24" t="str">
        <x:v>EEZ_645</x:v>
      </x:c>
      <x:c r="B30" s="24" t="str">
        <x:v>Russia (Barents Sea)</x:v>
      </x:c>
      <x:c r="C30" s="24" t="str">
        <x:v>EEZ</x:v>
      </x:c>
      <x:c r="D30" s="30" t="n">
        <x:v>2019</x:v>
      </x:c>
      <x:c r="E30" s="24" t="str">
        <x:v>Sebastes mentella</x:v>
      </x:c>
      <x:c r="F30" s="24" t="str">
        <x:v>Beaked redfish</x:v>
      </x:c>
      <x:c r="G30" s="24" t="str">
        <x:v>Medium bathypelagics (30 - 89 cm)</x:v>
      </x:c>
      <x:c r="H30" s="24" t="str">
        <x:v>Scorpionfishes</x:v>
      </x:c>
      <x:c r="I30" s="31" t="n">
        <x:v>132.8862026048</x:v>
      </x:c>
      <x:c r="J30" s="31" t="n">
        <x:v>132.371471607</x:v>
      </x:c>
      <x:c r="K30" s="31" t="n">
        <x:v>0.5147309978</x:v>
      </x:c>
      <x:c r="L30" s="31" t="n">
        <x:v>130.20644593129998</x:v>
      </x:c>
      <x:c r="M30" s="31" t="n">
        <x:v>2.6797566734999996</x:v>
      </x:c>
      <x:c r="N30" s="24" t="str">
        <x:v>sebastes mentella</x:v>
      </x:c>
      <x:c r="O30" s="32" t="n">
        <x:v>3.65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Sebastes mentella</x:v>
      </x:c>
      <x:c r="T30" s="32" t="n">
        <x:f>IF(O30="","",(1/'Metadata'!$B$5)^(O30-1))</x:f>
        <x:v>446.683592150963</x:v>
      </x:c>
      <x:c r="U30" s="31" t="n">
        <x:f>IF(T30="","",I30*T30)</x:f>
        <x:v>59358.08632681272</x:v>
      </x:c>
    </x:row>
    <x:row r="31" ht="18" customHeight="1">
      <x:c r="A31" s="24" t="str">
        <x:v>EEZ_645</x:v>
      </x:c>
      <x:c r="B31" s="24" t="str">
        <x:v>Russia (Barents Sea)</x:v>
      </x:c>
      <x:c r="C31" s="24" t="str">
        <x:v>EEZ</x:v>
      </x:c>
      <x:c r="D31" s="30" t="n">
        <x:v>2019</x:v>
      </x:c>
      <x:c r="E31" s="24" t="str">
        <x:v>Micromesistius poutassou</x:v>
      </x:c>
      <x:c r="F31" s="24" t="str">
        <x:v>Blue whiting</x:v>
      </x:c>
      <x:c r="G31" s="24" t="str">
        <x:v>Medium benthopelagics (30 - 89 cm)</x:v>
      </x:c>
      <x:c r="H31" s="24" t="str">
        <x:v>Cod-likes</x:v>
      </x:c>
      <x:c r="I31" s="31" t="n">
        <x:v>128.9226638728</x:v>
      </x:c>
      <x:c r="J31" s="31" t="n">
        <x:v>128.9226638728</x:v>
      </x:c>
      <x:c r="K31" s="31" t="n">
        <x:v>0</x:v>
      </x:c>
      <x:c r="L31" s="31" t="n">
        <x:v>128.9226638728</x:v>
      </x:c>
      <x:c r="M31" s="31" t="n">
        <x:v>0</x:v>
      </x:c>
      <x:c r="N31" s="24" t="str">
        <x:v>micromesistius poutassou</x:v>
      </x:c>
      <x:c r="O31" s="32" t="n">
        <x:v>4.13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Micromesistius poutassou</x:v>
      </x:c>
      <x:c r="T31" s="32" t="n">
        <x:f>IF(O31="","",(1/'Metadata'!$B$5)^(O31-1))</x:f>
        <x:v>1348.9628825916532</x:v>
      </x:c>
      <x:c r="U31" s="31" t="n">
        <x:f>IF(T31="","",I31*T31)</x:f>
        <x:v>173911.8882892471</x:v>
      </x:c>
    </x:row>
    <x:row r="32" ht="18" customHeight="1">
      <x:c r="A32" s="24" t="str">
        <x:v>EEZ_645</x:v>
      </x:c>
      <x:c r="B32" s="24" t="str">
        <x:v>Russia (Barents Sea)</x:v>
      </x:c>
      <x:c r="C32" s="24" t="str">
        <x:v>EEZ</x:v>
      </x:c>
      <x:c r="D32" s="30" t="n">
        <x:v>2019</x:v>
      </x:c>
      <x:c r="E32" s="24" t="str">
        <x:v>Perciformes</x:v>
      </x:c>
      <x:c r="F32" s="24" t="str">
        <x:v>Perch-likes</x:v>
      </x:c>
      <x:c r="G32" s="24" t="str">
        <x:v>Medium demersals (30 - 89 cm)</x:v>
      </x:c>
      <x:c r="H32" s="24" t="str">
        <x:v>Perch-likes</x:v>
      </x:c>
      <x:c r="I32" s="31" t="n">
        <x:v>43.819738362500004</x:v>
      </x:c>
      <x:c r="J32" s="31" t="n">
        <x:v>43.819738362500004</x:v>
      </x:c>
      <x:c r="K32" s="31" t="n">
        <x:v>0</x:v>
      </x:c>
      <x:c r="L32" s="31" t="n">
        <x:v>43.819738362500004</x:v>
      </x:c>
      <x:c r="M32" s="31" t="n">
        <x:v>0</x:v>
      </x:c>
      <x:c r="N32" s="24" t="str">
        <x:v>perciformes</x:v>
      </x:c>
      <x:c r="O32" s="32" t="n">
        <x:v>3.53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Perciformes</x:v>
      </x:c>
      <x:c r="T32" s="32" t="n">
        <x:f>IF(O32="","",(1/'Metadata'!$B$5)^(O32-1))</x:f>
        <x:v>338.84415613920237</x:v>
      </x:c>
      <x:c r="U32" s="31" t="n">
        <x:f>IF(T32="","",I32*T32)</x:f>
        <x:v>14848.062267681948</x:v>
      </x:c>
    </x:row>
    <x:row r="33" ht="18" customHeight="1">
      <x:c r="A33" s="24" t="str">
        <x:v>EEZ_645</x:v>
      </x:c>
      <x:c r="B33" s="24" t="str">
        <x:v>Russia (Barents Sea)</x:v>
      </x:c>
      <x:c r="C33" s="24" t="str">
        <x:v>EEZ</x:v>
      </x:c>
      <x:c r="D33" s="30" t="n">
        <x:v>2019</x:v>
      </x:c>
      <x:c r="E33" s="24" t="str">
        <x:v>Marine finfishes not identified</x:v>
      </x:c>
      <x:c r="F33" s="24" t="str">
        <x:v>Finfishes</x:v>
      </x:c>
      <x:c r="G33" s="24" t="str">
        <x:v>Medium demersals (30 - 89 cm)</x:v>
      </x:c>
      <x:c r="H33" s="24" t="str">
        <x:v>Other fishes &amp; inverts</x:v>
      </x:c>
      <x:c r="I33" s="31" t="n">
        <x:v>34.7680522897</x:v>
      </x:c>
      <x:c r="J33" s="31" t="n">
        <x:v>34.7680522897</x:v>
      </x:c>
      <x:c r="K33" s="31" t="n">
        <x:v>0</x:v>
      </x:c>
      <x:c r="L33" s="31" t="n">
        <x:v>34.7680522897</x:v>
      </x:c>
      <x:c r="M33" s="31" t="n">
        <x:v>0</x:v>
      </x:c>
      <x:c r="N33" s="24" t="str">
        <x:v>marine finfishes not identified</x:v>
      </x:c>
      <x:c r="O33" s="32" t="n">
        <x:v>3.23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Marine finfishes not identified</x:v>
      </x:c>
      <x:c r="T33" s="32" t="n">
        <x:f>IF(O33="","",(1/'Metadata'!$B$5)^(O33-1))</x:f>
        <x:v>169.82436524617444</x:v>
      </x:c>
      <x:c r="U33" s="31" t="n">
        <x:f>IF(T33="","",I33*T33)</x:f>
        <x:v>5904.462410944105</x:v>
      </x:c>
    </x:row>
    <x:row r="34" ht="18" customHeight="1">
      <x:c r="A34" s="24" t="str">
        <x:v>EEZ_645</x:v>
      </x:c>
      <x:c r="B34" s="24" t="str">
        <x:v>Russia (Barents Sea)</x:v>
      </x:c>
      <x:c r="C34" s="24" t="str">
        <x:v>EEZ</x:v>
      </x:c>
      <x:c r="D34" s="30" t="n">
        <x:v>2019</x:v>
      </x:c>
      <x:c r="E34" s="24" t="str">
        <x:v>Cyclopterus lumpus</x:v>
      </x:c>
      <x:c r="F34" s="24" t="str">
        <x:v>Lumpfish</x:v>
      </x:c>
      <x:c r="G34" s="24" t="str">
        <x:v>Medium benthopelagics (30 - 89 cm)</x:v>
      </x:c>
      <x:c r="H34" s="24" t="str">
        <x:v>Scorpionfishes</x:v>
      </x:c>
      <x:c r="I34" s="31" t="n">
        <x:v>28.807814499800003</x:v>
      </x:c>
      <x:c r="J34" s="31" t="n">
        <x:v>9.4953592796</x:v>
      </x:c>
      <x:c r="K34" s="31" t="n">
        <x:v>19.3124552202</x:v>
      </x:c>
      <x:c r="L34" s="31" t="n">
        <x:v>9.4845880077</x:v>
      </x:c>
      <x:c r="M34" s="31" t="n">
        <x:v>19.3232264921</x:v>
      </x:c>
      <x:c r="N34" s="24" t="str">
        <x:v>cyclopterus lumpus</x:v>
      </x:c>
      <x:c r="O34" s="32" t="n">
        <x:v>3.89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Cyclopterus lumpus</x:v>
      </x:c>
      <x:c r="T34" s="32" t="n">
        <x:f>IF(O34="","",(1/'Metadata'!$B$5)^(O34-1))</x:f>
        <x:v>776.247116628692</x:v>
      </x:c>
      <x:c r="U34" s="31" t="n">
        <x:f>IF(T34="","",I34*T34)</x:f>
        <x:v>22361.982941843977</x:v>
      </x:c>
    </x:row>
    <x:row r="35" ht="18" customHeight="1">
      <x:c r="A35" s="24" t="str">
        <x:v>EEZ_645</x:v>
      </x:c>
      <x:c r="B35" s="24" t="str">
        <x:v>Russia (Barents Sea)</x:v>
      </x:c>
      <x:c r="C35" s="24" t="str">
        <x:v>EEZ</x:v>
      </x:c>
      <x:c r="D35" s="30" t="n">
        <x:v>2019</x:v>
      </x:c>
      <x:c r="E35" s="24" t="str">
        <x:v>Ammodytidae</x:v>
      </x:c>
      <x:c r="F35" s="24" t="str">
        <x:v>Sand lances</x:v>
      </x:c>
      <x:c r="G35" s="24" t="str">
        <x:v>Large reef assoc. fish (&gt;=90 cm)</x:v>
      </x:c>
      <x:c r="H35" s="24" t="str">
        <x:v>Perch-likes</x:v>
      </x:c>
      <x:c r="I35" s="31" t="n">
        <x:v>19.3124552202</x:v>
      </x:c>
      <x:c r="J35" s="31" t="n">
        <x:v>0</x:v>
      </x:c>
      <x:c r="K35" s="31" t="n">
        <x:v>19.3124552202</x:v>
      </x:c>
      <x:c r="L35" s="31" t="n">
        <x:v>0</x:v>
      </x:c>
      <x:c r="M35" s="31" t="n">
        <x:v>19.3124552202</x:v>
      </x:c>
      <x:c r="N35" s="24" t="str">
        <x:v>ammodytidae</x:v>
      </x:c>
      <x:c r="O35" s="32" t="n">
        <x:v>3.11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Ammodytidae</x:v>
      </x:c>
      <x:c r="T35" s="32" t="n">
        <x:f>IF(O35="","",(1/'Metadata'!$B$5)^(O35-1))</x:f>
        <x:v>128.82495516931337</x:v>
      </x:c>
      <x:c r="U35" s="31" t="n">
        <x:f>IF(T35="","",I35*T35)</x:f>
        <x:v>2487.926177951637</x:v>
      </x:c>
    </x:row>
    <x:row r="36" ht="18" customHeight="1">
      <x:c r="A36" s="24" t="str">
        <x:v>EEZ_645</x:v>
      </x:c>
      <x:c r="B36" s="24" t="str">
        <x:v>Russia (Barents Sea)</x:v>
      </x:c>
      <x:c r="C36" s="24" t="str">
        <x:v>EEZ</x:v>
      </x:c>
      <x:c r="D36" s="30" t="n">
        <x:v>2019</x:v>
      </x:c>
      <x:c r="E36" s="24" t="str">
        <x:v>Coregonus</x:v>
      </x:c>
      <x:c r="F36" s="24" t="str">
        <x:v>Whitefishes</x:v>
      </x:c>
      <x:c r="G36" s="24" t="str">
        <x:v>Medium pelagics (30 - 89 cm)</x:v>
      </x:c>
      <x:c r="H36" s="24" t="str">
        <x:v>Salmon, smelts, etc</x:v>
      </x:c>
      <x:c r="I36" s="31" t="n">
        <x:v>19.3124552202</x:v>
      </x:c>
      <x:c r="J36" s="31" t="n">
        <x:v>0</x:v>
      </x:c>
      <x:c r="K36" s="31" t="n">
        <x:v>19.3124552202</x:v>
      </x:c>
      <x:c r="L36" s="31" t="n">
        <x:v>0</x:v>
      </x:c>
      <x:c r="M36" s="31" t="n">
        <x:v>19.3124552202</x:v>
      </x:c>
      <x:c r="N36" s="24" t="str">
        <x:v>coregonus</x:v>
      </x:c>
      <x:c r="O36" s="32" t="n">
        <x:v>3.3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Coregonus</x:v>
      </x:c>
      <x:c r="T36" s="32" t="n">
        <x:f>IF(O36="","",(1/'Metadata'!$B$5)^(O36-1))</x:f>
        <x:v>199.52623149688787</x:v>
      </x:c>
      <x:c r="U36" s="31" t="n">
        <x:f>IF(T36="","",I36*T36)</x:f>
        <x:v>3853.341411038906</x:v>
      </x:c>
    </x:row>
    <x:row r="37" ht="18" customHeight="1">
      <x:c r="A37" s="24" t="str">
        <x:v>EEZ_645</x:v>
      </x:c>
      <x:c r="B37" s="24" t="str">
        <x:v>Russia (Barents Sea)</x:v>
      </x:c>
      <x:c r="C37" s="24" t="str">
        <x:v>EEZ</x:v>
      </x:c>
      <x:c r="D37" s="30" t="n">
        <x:v>2019</x:v>
      </x:c>
      <x:c r="E37" s="24" t="str">
        <x:v>Brachyura</x:v>
      </x:c>
      <x:c r="F37" s="24" t="str">
        <x:v>Marine crabs</x:v>
      </x:c>
      <x:c r="G37" s="24" t="str">
        <x:v>Lobsters, crabs</x:v>
      </x:c>
      <x:c r="H37" s="24" t="str">
        <x:v>Crustaceans</x:v>
      </x:c>
      <x:c r="I37" s="31" t="n">
        <x:v>16.7011483225</x:v>
      </x:c>
      <x:c r="J37" s="31" t="n">
        <x:v>16.7011483225</x:v>
      </x:c>
      <x:c r="K37" s="31" t="n">
        <x:v>0</x:v>
      </x:c>
      <x:c r="L37" s="31" t="n">
        <x:v>16.7011483225</x:v>
      </x:c>
      <x:c r="M37" s="31" t="n">
        <x:v>0</x:v>
      </x:c>
      <x:c r="N37" s="24" t="str">
        <x:v>brachyura</x:v>
      </x:c>
      <x:c r="O37" s="32" t="n">
        <x:v>2.6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Brachyura</x:v>
      </x:c>
      <x:c r="T37" s="32" t="n">
        <x:f>IF(O37="","",(1/'Metadata'!$B$5)^(O37-1))</x:f>
        <x:v>39.810717055349734</x:v>
      </x:c>
      <x:c r="U37" s="31" t="n">
        <x:f>IF(T37="","",I37*T37)</x:f>
        <x:v>664.8846903664763</x:v>
      </x:c>
    </x:row>
    <x:row r="38" ht="18" customHeight="1">
      <x:c r="A38" s="24" t="str">
        <x:v>EEZ_645</x:v>
      </x:c>
      <x:c r="B38" s="24" t="str">
        <x:v>Russia (Barents Sea)</x:v>
      </x:c>
      <x:c r="C38" s="24" t="str">
        <x:v>EEZ</x:v>
      </x:c>
      <x:c r="D38" s="30" t="n">
        <x:v>2019</x:v>
      </x:c>
      <x:c r="E38" s="24" t="str">
        <x:v>Molva molva</x:v>
      </x:c>
      <x:c r="F38" s="24" t="str">
        <x:v>Ling</x:v>
      </x:c>
      <x:c r="G38" s="24" t="str">
        <x:v>Large demersals (&gt;=90 cm)</x:v>
      </x:c>
      <x:c r="H38" s="24" t="str">
        <x:v>Cod-likes</x:v>
      </x:c>
      <x:c r="I38" s="31" t="n">
        <x:v>15.908533371999999</x:v>
      </x:c>
      <x:c r="J38" s="31" t="n">
        <x:v>15.90820205</x:v>
      </x:c>
      <x:c r="K38" s="31" t="n">
        <x:v>0.000331322</x:v>
      </x:c>
      <x:c r="L38" s="31" t="n">
        <x:v>15.90820205</x:v>
      </x:c>
      <x:c r="M38" s="31" t="n">
        <x:v>0.000331322</x:v>
      </x:c>
      <x:c r="N38" s="24" t="str">
        <x:v>molva molva</x:v>
      </x:c>
      <x:c r="O38" s="32" t="n">
        <x:v>4.4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Molva molva</x:v>
      </x:c>
      <x:c r="T38" s="32" t="n">
        <x:f>IF(O38="","",(1/'Metadata'!$B$5)^(O38-1))</x:f>
        <x:v>2511.886431509582</x:v>
      </x:c>
      <x:c r="U38" s="31" t="n">
        <x:f>IF(T38="","",I38*T38)</x:f>
        <x:v>39960.429122344176</x:v>
      </x:c>
    </x:row>
    <x:row r="39" ht="18" customHeight="1">
      <x:c r="A39" s="24" t="str">
        <x:v>EEZ_645</x:v>
      </x:c>
      <x:c r="B39" s="24" t="str">
        <x:v>Russia (Barents Sea)</x:v>
      </x:c>
      <x:c r="C39" s="24" t="str">
        <x:v>EEZ</x:v>
      </x:c>
      <x:c r="D39" s="30" t="n">
        <x:v>2019</x:v>
      </x:c>
      <x:c r="E39" s="24" t="str">
        <x:v>Pleuronectiformes</x:v>
      </x:c>
      <x:c r="F39" s="24" t="str">
        <x:v>Flatfishes</x:v>
      </x:c>
      <x:c r="G39" s="24" t="str">
        <x:v>Small to medium flatfishes (&lt;90 cm)</x:v>
      </x:c>
      <x:c r="H39" s="24" t="str">
        <x:v>Flatfishes</x:v>
      </x:c>
      <x:c r="I39" s="31" t="n">
        <x:v>13.015722301399999</x:v>
      </x:c>
      <x:c r="J39" s="31" t="n">
        <x:v>13.015722301399999</x:v>
      </x:c>
      <x:c r="K39" s="31" t="n">
        <x:v>0</x:v>
      </x:c>
      <x:c r="L39" s="31" t="n">
        <x:v>0.0046426744</x:v>
      </x:c>
      <x:c r="M39" s="31" t="n">
        <x:v>13.011079626999999</x:v>
      </x:c>
      <x:c r="N39" s="24" t="str">
        <x:v>pleuronectiformes</x:v>
      </x:c>
      <x:c r="O39" s="32" t="n">
        <x:v>3.57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Pleuronectiformes</x:v>
      </x:c>
      <x:c r="T39" s="32" t="n">
        <x:f>IF(O39="","",(1/'Metadata'!$B$5)^(O39-1))</x:f>
        <x:v>371.5352290971724</x:v>
      </x:c>
      <x:c r="U39" s="31" t="n">
        <x:f>IF(T39="","",I39*T39)</x:f>
        <x:v>4835.799367115825</x:v>
      </x:c>
    </x:row>
    <x:row r="40" ht="18" customHeight="1">
      <x:c r="A40" s="24" t="str">
        <x:v>EEZ_645</x:v>
      </x:c>
      <x:c r="B40" s="24" t="str">
        <x:v>Russia (Barents Sea)</x:v>
      </x:c>
      <x:c r="C40" s="24" t="str">
        <x:v>EEZ</x:v>
      </x:c>
      <x:c r="D40" s="30" t="n">
        <x:v>2019</x:v>
      </x:c>
      <x:c r="E40" s="24" t="str">
        <x:v>Mytilidae</x:v>
      </x:c>
      <x:c r="F40" s="24" t="str">
        <x:v>Sea mussels</x:v>
      </x:c>
      <x:c r="G40" s="24" t="str">
        <x:v>Other demersal invertebrates</x:v>
      </x:c>
      <x:c r="H40" s="24" t="str">
        <x:v>Molluscs</x:v>
      </x:c>
      <x:c r="I40" s="31" t="n">
        <x:v>7.4719358783</x:v>
      </x:c>
      <x:c r="J40" s="31" t="n">
        <x:v>7.4719358783</x:v>
      </x:c>
      <x:c r="K40" s="31" t="n">
        <x:v>0</x:v>
      </x:c>
      <x:c r="L40" s="31" t="n">
        <x:v>7.364223158</x:v>
      </x:c>
      <x:c r="M40" s="31" t="n">
        <x:v>0.10771272030000001</x:v>
      </x:c>
      <x:c r="N40" s="24" t="str">
        <x:v>mytilidae</x:v>
      </x:c>
      <x:c r="O40" s="32" t="n">
        <x:v>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Mytilidae</x:v>
      </x:c>
      <x:c r="T40" s="32" t="n">
        <x:f>IF(O40="","",(1/'Metadata'!$B$5)^(O40-1))</x:f>
        <x:v>10</x:v>
      </x:c>
      <x:c r="U40" s="31" t="n">
        <x:f>IF(T40="","",I40*T40)</x:f>
        <x:v>74.719358783</x:v>
      </x:c>
    </x:row>
    <x:row r="41" ht="18" customHeight="1">
      <x:c r="A41" s="24" t="str">
        <x:v>EEZ_645</x:v>
      </x:c>
      <x:c r="B41" s="24" t="str">
        <x:v>Russia (Barents Sea)</x:v>
      </x:c>
      <x:c r="C41" s="24" t="str">
        <x:v>EEZ</x:v>
      </x:c>
      <x:c r="D41" s="30" t="n">
        <x:v>2019</x:v>
      </x:c>
      <x:c r="E41" s="24" t="str">
        <x:v>Chondrichthyes</x:v>
      </x:c>
      <x:c r="F41" s="24" t="str">
        <x:v>Sharks, rays, chimaeras</x:v>
      </x:c>
      <x:c r="G41" s="24" t="str">
        <x:v>Large sharks (&gt;=90 cm)</x:v>
      </x:c>
      <x:c r="H41" s="24" t="str">
        <x:v>Sharks &amp; rays</x:v>
      </x:c>
      <x:c r="I41" s="31" t="n">
        <x:v>6.1334983356</x:v>
      </x:c>
      <x:c r="J41" s="31" t="n">
        <x:v>6.1334983356</x:v>
      </x:c>
      <x:c r="K41" s="31" t="n">
        <x:v>0</x:v>
      </x:c>
      <x:c r="L41" s="31" t="n">
        <x:v>6.1334983356</x:v>
      </x:c>
      <x:c r="M41" s="31" t="n">
        <x:v>0</x:v>
      </x:c>
      <x:c r="N41" s="24" t="str">
        <x:v>chondrichthyes</x:v>
      </x:c>
      <x:c r="O41" s="32" t="n">
        <x:v>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Chondrichthyes</x:v>
      </x:c>
      <x:c r="T41" s="32" t="n">
        <x:f>IF(O41="","",(1/'Metadata'!$B$5)^(O41-1))</x:f>
        <x:v>1000</x:v>
      </x:c>
      <x:c r="U41" s="31" t="n">
        <x:f>IF(T41="","",I41*T41)</x:f>
        <x:v>6133.498335599999</x:v>
      </x:c>
    </x:row>
    <x:row r="42" ht="18" customHeight="1">
      <x:c r="A42" s="24" t="str">
        <x:v>EEZ_645</x:v>
      </x:c>
      <x:c r="B42" s="24" t="str">
        <x:v>Russia (Barents Sea)</x:v>
      </x:c>
      <x:c r="C42" s="24" t="str">
        <x:v>EEZ</x:v>
      </x:c>
      <x:c r="D42" s="30" t="n">
        <x:v>2019</x:v>
      </x:c>
      <x:c r="E42" s="24" t="str">
        <x:v>Raja clavata</x:v>
      </x:c>
      <x:c r="F42" s="24" t="str">
        <x:v>Thornback ray</x:v>
      </x:c>
      <x:c r="G42" s="24" t="str">
        <x:v>Large rays (&gt;=90 cm)</x:v>
      </x:c>
      <x:c r="H42" s="24" t="str">
        <x:v>Sharks &amp; rays</x:v>
      </x:c>
      <x:c r="I42" s="31" t="n">
        <x:v>3.8766210009999997</x:v>
      </x:c>
      <x:c r="J42" s="31" t="n">
        <x:v>3.8766210009999997</x:v>
      </x:c>
      <x:c r="K42" s="31" t="n">
        <x:v>0</x:v>
      </x:c>
      <x:c r="L42" s="31" t="n">
        <x:v>3.8766210009999997</x:v>
      </x:c>
      <x:c r="M42" s="31" t="n">
        <x:v>0</x:v>
      </x:c>
      <x:c r="N42" s="24" t="str">
        <x:v>raja clavata</x:v>
      </x:c>
      <x:c r="O42" s="32" t="n">
        <x:v>3.84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Raja clavata</x:v>
      </x:c>
      <x:c r="T42" s="32" t="n">
        <x:f>IF(O42="","",(1/'Metadata'!$B$5)^(O42-1))</x:f>
        <x:v>691.8309709189363</x:v>
      </x:c>
      <x:c r="U42" s="31" t="n">
        <x:f>IF(T42="","",I42*T42)</x:f>
        <x:v>2681.9664710065686</x:v>
      </x:c>
    </x:row>
    <x:row r="43" ht="18" customHeight="1">
      <x:c r="A43" s="24" t="str">
        <x:v>EEZ_645</x:v>
      </x:c>
      <x:c r="B43" s="24" t="str">
        <x:v>Russia (Barents Sea)</x:v>
      </x:c>
      <x:c r="C43" s="24" t="str">
        <x:v>EEZ</x:v>
      </x:c>
      <x:c r="D43" s="30" t="n">
        <x:v>2019</x:v>
      </x:c>
      <x:c r="E43" s="24" t="str">
        <x:v>Macrourus berglax</x:v>
      </x:c>
      <x:c r="F43" s="24" t="str">
        <x:v>Roughhead grenadier</x:v>
      </x:c>
      <x:c r="G43" s="24" t="str">
        <x:v>Large benthopelagics (&gt;=90 cm)</x:v>
      </x:c>
      <x:c r="H43" s="24" t="str">
        <x:v>Cod-likes</x:v>
      </x:c>
      <x:c r="I43" s="31" t="n">
        <x:v>3.6771489498</x:v>
      </x:c>
      <x:c r="J43" s="31" t="n">
        <x:v>3.6771489498</x:v>
      </x:c>
      <x:c r="K43" s="31" t="n">
        <x:v>0</x:v>
      </x:c>
      <x:c r="L43" s="31" t="n">
        <x:v>3.6771489498</x:v>
      </x:c>
      <x:c r="M43" s="31" t="n">
        <x:v>0</x:v>
      </x:c>
      <x:c r="N43" s="24" t="str">
        <x:v>macrourus berglax</x:v>
      </x:c>
      <x:c r="O43" s="32" t="n">
        <x:v>4.48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Macrourus berglax</x:v>
      </x:c>
      <x:c r="T43" s="32" t="n">
        <x:f>IF(O43="","",(1/'Metadata'!$B$5)^(O43-1))</x:f>
        <x:v>3019.951720402019</x:v>
      </x:c>
      <x:c r="U43" s="31" t="n">
        <x:f>IF(T43="","",I43*T43)</x:f>
        <x:v>11104.812297122986</x:v>
      </x:c>
    </x:row>
    <x:row r="44" ht="18" customHeight="1">
      <x:c r="A44" s="24" t="str">
        <x:v>EEZ_645</x:v>
      </x:c>
      <x:c r="B44" s="24" t="str">
        <x:v>Russia (Barents Sea)</x:v>
      </x:c>
      <x:c r="C44" s="24" t="str">
        <x:v>EEZ</x:v>
      </x:c>
      <x:c r="D44" s="30" t="n">
        <x:v>2019</x:v>
      </x:c>
      <x:c r="E44" s="24" t="str">
        <x:v>Platichthys flesus</x:v>
      </x:c>
      <x:c r="F44" s="24" t="str">
        <x:v>European flounder</x:v>
      </x:c>
      <x:c r="G44" s="24" t="str">
        <x:v>Small to medium flatfishes (&lt;90 cm)</x:v>
      </x:c>
      <x:c r="H44" s="24" t="str">
        <x:v>Flatfishes</x:v>
      </x:c>
      <x:c r="I44" s="31" t="n">
        <x:v>3.1368555181</x:v>
      </x:c>
      <x:c r="J44" s="31" t="n">
        <x:v>3.1368555181</x:v>
      </x:c>
      <x:c r="K44" s="31" t="n">
        <x:v>0</x:v>
      </x:c>
      <x:c r="L44" s="31" t="n">
        <x:v>3.1045417020999997</x:v>
      </x:c>
      <x:c r="M44" s="31" t="n">
        <x:v>0.032313816</x:v>
      </x:c>
      <x:c r="N44" s="24" t="str">
        <x:v>platichthys flesus</x:v>
      </x:c>
      <x:c r="O44" s="32" t="n">
        <x:v>3.32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Platichthys flesus</x:v>
      </x:c>
      <x:c r="T44" s="32" t="n">
        <x:f>IF(O44="","",(1/'Metadata'!$B$5)^(O44-1))</x:f>
        <x:v>208.92961308540387</x:v>
      </x:c>
      <x:c r="U44" s="31" t="n">
        <x:f>IF(T44="","",I44*T44)</x:f>
        <x:v>655.3820097014471</x:v>
      </x:c>
    </x:row>
    <x:row r="45" ht="18" customHeight="1">
      <x:c r="A45" s="24" t="str">
        <x:v>EEZ_645</x:v>
      </x:c>
      <x:c r="B45" s="24" t="str">
        <x:v>Russia (Barents Sea)</x:v>
      </x:c>
      <x:c r="C45" s="24" t="str">
        <x:v>EEZ</x:v>
      </x:c>
      <x:c r="D45" s="30" t="n">
        <x:v>2019</x:v>
      </x:c>
      <x:c r="E45" s="24" t="str">
        <x:v>Lycodes</x:v>
      </x:c>
      <x:c r="F45" s="24" t="str">
        <x:v>Eelpouts</x:v>
      </x:c>
      <x:c r="G45" s="24" t="str">
        <x:v>Medium bathydemersals (30 - 89 cm)</x:v>
      </x:c>
      <x:c r="H45" s="24" t="str">
        <x:v>Perch-likes</x:v>
      </x:c>
      <x:c r="I45" s="31" t="n">
        <x:v>2.891302593</x:v>
      </x:c>
      <x:c r="J45" s="31" t="n">
        <x:v>0</x:v>
      </x:c>
      <x:c r="K45" s="31" t="n">
        <x:v>2.891302593</x:v>
      </x:c>
      <x:c r="L45" s="31" t="n">
        <x:v>0</x:v>
      </x:c>
      <x:c r="M45" s="31" t="n">
        <x:v>2.891302593</x:v>
      </x:c>
      <x:c r="N45" s="24" t="str">
        <x:v>lycodes</x:v>
      </x:c>
      <x:c r="O45" s="32" t="n">
        <x:v>3.3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Lycodes</x:v>
      </x:c>
      <x:c r="T45" s="32" t="n">
        <x:f>IF(O45="","",(1/'Metadata'!$B$5)^(O45-1))</x:f>
        <x:v>199.52623149688787</x:v>
      </x:c>
      <x:c r="U45" s="31" t="n">
        <x:f>IF(T45="","",I45*T45)</x:f>
        <x:v>576.8907104984702</x:v>
      </x:c>
    </x:row>
    <x:row r="46" ht="18" customHeight="1">
      <x:c r="A46" s="24" t="str">
        <x:v>EEZ_645</x:v>
      </x:c>
      <x:c r="B46" s="24" t="str">
        <x:v>Russia (Barents Sea)</x:v>
      </x:c>
      <x:c r="C46" s="24" t="str">
        <x:v>EEZ</x:v>
      </x:c>
      <x:c r="D46" s="30" t="n">
        <x:v>2019</x:v>
      </x:c>
      <x:c r="E46" s="24" t="str">
        <x:v>Molva dypterygia</x:v>
      </x:c>
      <x:c r="F46" s="24" t="str">
        <x:v>Blue ling</x:v>
      </x:c>
      <x:c r="G46" s="24" t="str">
        <x:v>Large demersals (&gt;=90 cm)</x:v>
      </x:c>
      <x:c r="H46" s="24" t="str">
        <x:v>Cod-likes</x:v>
      </x:c>
      <x:c r="I46" s="31" t="n">
        <x:v>2.4572919768</x:v>
      </x:c>
      <x:c r="J46" s="31" t="n">
        <x:v>2.4572919768</x:v>
      </x:c>
      <x:c r="K46" s="31" t="n">
        <x:v>0</x:v>
      </x:c>
      <x:c r="L46" s="31" t="n">
        <x:v>2.4572919768</x:v>
      </x:c>
      <x:c r="M46" s="31" t="n">
        <x:v>0</x:v>
      </x:c>
      <x:c r="N46" s="24" t="str">
        <x:v>molva dypterygia</x:v>
      </x:c>
      <x:c r="O46" s="32" t="n">
        <x:v>4.49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Molva dypterygia</x:v>
      </x:c>
      <x:c r="T46" s="32" t="n">
        <x:f>IF(O46="","",(1/'Metadata'!$B$5)^(O46-1))</x:f>
        <x:v>3090.295432513592</x:v>
      </x:c>
      <x:c r="U46" s="31" t="n">
        <x:f>IF(T46="","",I46*T46)</x:f>
        <x:v>7593.758172257336</x:v>
      </x:c>
    </x:row>
    <x:row r="47" ht="18" customHeight="1">
      <x:c r="A47" s="24" t="str">
        <x:v>EEZ_645</x:v>
      </x:c>
      <x:c r="B47" s="24" t="str">
        <x:v>Russia (Barents Sea)</x:v>
      </x:c>
      <x:c r="C47" s="24" t="str">
        <x:v>EEZ</x:v>
      </x:c>
      <x:c r="D47" s="30" t="n">
        <x:v>2019</x:v>
      </x:c>
      <x:c r="E47" s="24" t="str">
        <x:v>Veneridae</x:v>
      </x:c>
      <x:c r="F47" s="24" t="str">
        <x:v>Venus clams</x:v>
      </x:c>
      <x:c r="G47" s="24" t="str">
        <x:v>Other demersal invertebrates</x:v>
      </x:c>
      <x:c r="H47" s="24" t="str">
        <x:v>Molluscs</x:v>
      </x:c>
      <x:c r="I47" s="31" t="n">
        <x:v>2.1425338599</x:v>
      </x:c>
      <x:c r="J47" s="31" t="n">
        <x:v>2.1425338599</x:v>
      </x:c>
      <x:c r="K47" s="31" t="n">
        <x:v>0</x:v>
      </x:c>
      <x:c r="L47" s="31" t="n">
        <x:v>2.1425338599</x:v>
      </x:c>
      <x:c r="M47" s="31" t="n">
        <x:v>0</x:v>
      </x:c>
      <x:c r="N47" s="24" t="str">
        <x:v>veneridae</x:v>
      </x:c>
      <x:c r="O47" s="32" t="n">
        <x:v>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Veneridae</x:v>
      </x:c>
      <x:c r="T47" s="32" t="n">
        <x:f>IF(O47="","",(1/'Metadata'!$B$5)^(O47-1))</x:f>
        <x:v>10</x:v>
      </x:c>
      <x:c r="U47" s="31" t="n">
        <x:f>IF(T47="","",I47*T47)</x:f>
        <x:v>21.425338599</x:v>
      </x:c>
    </x:row>
    <x:row r="48" ht="18" customHeight="1">
      <x:c r="A48" s="24" t="str">
        <x:v>EEZ_645</x:v>
      </x:c>
      <x:c r="B48" s="24" t="str">
        <x:v>Russia (Barents Sea)</x:v>
      </x:c>
      <x:c r="C48" s="24" t="str">
        <x:v>EEZ</x:v>
      </x:c>
      <x:c r="D48" s="30" t="n">
        <x:v>2019</x:v>
      </x:c>
      <x:c r="E48" s="24" t="str">
        <x:v>Osteichthyes</x:v>
      </x:c>
      <x:c r="F48" s="24" t="str">
        <x:v>Bony fishes</x:v>
      </x:c>
      <x:c r="G48" s="24" t="str">
        <x:v>Medium demersals (30 - 89 cm)</x:v>
      </x:c>
      <x:c r="H48" s="24" t="str">
        <x:v>Other fishes &amp; inverts</x:v>
      </x:c>
      <x:c r="I48" s="31" t="n">
        <x:v>1.5372282979999998</x:v>
      </x:c>
      <x:c r="J48" s="31" t="n">
        <x:v>1.5372282979999998</x:v>
      </x:c>
      <x:c r="K48" s="31" t="n">
        <x:v>0</x:v>
      </x:c>
      <x:c r="L48" s="31" t="n">
        <x:v>1.5372282979999998</x:v>
      </x:c>
      <x:c r="M48" s="31" t="n">
        <x:v>0</x:v>
      </x:c>
      <x:c r="N48" s="24" t="str">
        <x:v>osteichthyes</x:v>
      </x:c>
      <x:c r="O48" s="32" t="n">
        <x:v>3.79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Osteichthyes</x:v>
      </x:c>
      <x:c r="T48" s="32" t="n">
        <x:f>IF(O48="","",(1/'Metadata'!$B$5)^(O48-1))</x:f>
        <x:v>616.5950018614822</x:v>
      </x:c>
      <x:c r="U48" s="31" t="n">
        <x:f>IF(T48="","",I48*T48)</x:f>
        <x:v>947.847285266833</x:v>
      </x:c>
    </x:row>
    <x:row r="49" ht="18" customHeight="1">
      <x:c r="A49" s="24" t="str">
        <x:v>EEZ_645</x:v>
      </x:c>
      <x:c r="B49" s="24" t="str">
        <x:v>Russia (Barents Sea)</x:v>
      </x:c>
      <x:c r="C49" s="24" t="str">
        <x:v>EEZ</x:v>
      </x:c>
      <x:c r="D49" s="30" t="n">
        <x:v>2019</x:v>
      </x:c>
      <x:c r="E49" s="24" t="str">
        <x:v>Carangidae</x:v>
      </x:c>
      <x:c r="F49" s="24" t="str">
        <x:v>Jacks, pompanos</x:v>
      </x:c>
      <x:c r="G49" s="24" t="str">
        <x:v>Medium pelagics (30 - 89 cm)</x:v>
      </x:c>
      <x:c r="H49" s="24" t="str">
        <x:v>Perch-likes</x:v>
      </x:c>
      <x:c r="I49" s="31" t="n">
        <x:v>1.512932382</x:v>
      </x:c>
      <x:c r="J49" s="31" t="n">
        <x:v>1.512932382</x:v>
      </x:c>
      <x:c r="K49" s="31" t="n">
        <x:v>0</x:v>
      </x:c>
      <x:c r="L49" s="31" t="n">
        <x:v>1.512932382</x:v>
      </x:c>
      <x:c r="M49" s="31" t="n">
        <x:v>0</x:v>
      </x:c>
      <x:c r="N49" s="24" t="str">
        <x:v>carangidae</x:v>
      </x:c>
      <x:c r="O49" s="32" t="n">
        <x:v>4.05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Carangidae</x:v>
      </x:c>
      <x:c r="T49" s="32" t="n">
        <x:f>IF(O49="","",(1/'Metadata'!$B$5)^(O49-1))</x:f>
        <x:v>1122.018454301963</x:v>
      </x:c>
      <x:c r="U49" s="31" t="n">
        <x:f>IF(T49="","",I49*T49)</x:f>
        <x:v>1697.5380527150269</x:v>
      </x:c>
    </x:row>
    <x:row r="50" ht="18" customHeight="1">
      <x:c r="A50" s="24" t="str">
        <x:v>EEZ_645</x:v>
      </x:c>
      <x:c r="B50" s="24" t="str">
        <x:v>Russia (Barents Sea)</x:v>
      </x:c>
      <x:c r="C50" s="24" t="str">
        <x:v>EEZ</x:v>
      </x:c>
      <x:c r="D50" s="30" t="n">
        <x:v>2019</x:v>
      </x:c>
      <x:c r="E50" s="24" t="str">
        <x:v>Brosme brosme</x:v>
      </x:c>
      <x:c r="F50" s="24" t="str">
        <x:v>Tusk</x:v>
      </x:c>
      <x:c r="G50" s="24" t="str">
        <x:v>Large demersals (&gt;=90 cm)</x:v>
      </x:c>
      <x:c r="H50" s="24" t="str">
        <x:v>Cod-likes</x:v>
      </x:c>
      <x:c r="I50" s="31" t="n">
        <x:v>1.3476281375999999</x:v>
      </x:c>
      <x:c r="J50" s="31" t="n">
        <x:v>1.3476281375999999</x:v>
      </x:c>
      <x:c r="K50" s="31" t="n">
        <x:v>0</x:v>
      </x:c>
      <x:c r="L50" s="31" t="n">
        <x:v>1.3260855935</x:v>
      </x:c>
      <x:c r="M50" s="31" t="n">
        <x:v>0.0215425441</x:v>
      </x:c>
      <x:c r="N50" s="24" t="str">
        <x:v>brosme brosme</x:v>
      </x:c>
      <x:c r="O50" s="32" t="n">
        <x:v>3.9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Brosme brosme</x:v>
      </x:c>
      <x:c r="T50" s="32" t="n">
        <x:f>IF(O50="","",(1/'Metadata'!$B$5)^(O50-1))</x:f>
        <x:v>794.3282347242813</x:v>
      </x:c>
      <x:c r="U50" s="31" t="n">
        <x:f>IF(T50="","",I50*T50)</x:f>
        <x:v>1070.4590796045788</x:v>
      </x:c>
    </x:row>
    <x:row r="51" ht="18" customHeight="1">
      <x:c r="A51" s="24" t="str">
        <x:v>EEZ_645</x:v>
      </x:c>
      <x:c r="B51" s="24" t="str">
        <x:v>Russia (Barents Sea)</x:v>
      </x:c>
      <x:c r="C51" s="24" t="str">
        <x:v>EEZ</x:v>
      </x:c>
      <x:c r="D51" s="30" t="n">
        <x:v>2019</x:v>
      </x:c>
      <x:c r="E51" s="24" t="str">
        <x:v>Carcharhinidae</x:v>
      </x:c>
      <x:c r="F51" s="24" t="str">
        <x:v>Requiem sharks</x:v>
      </x:c>
      <x:c r="G51" s="24" t="str">
        <x:v>Large sharks (&gt;=90 cm)</x:v>
      </x:c>
      <x:c r="H51" s="24" t="str">
        <x:v>Sharks &amp; rays</x:v>
      </x:c>
      <x:c r="I51" s="31" t="n">
        <x:v>1.0329148779</x:v>
      </x:c>
      <x:c r="J51" s="31" t="n">
        <x:v>1.0329148779</x:v>
      </x:c>
      <x:c r="K51" s="31" t="n">
        <x:v>0</x:v>
      </x:c>
      <x:c r="L51" s="31" t="n">
        <x:v>1.0329148779</x:v>
      </x:c>
      <x:c r="M51" s="31" t="n">
        <x:v>0</x:v>
      </x:c>
      <x:c r="N51" s="24" t="str">
        <x:v>carcharhinidae</x:v>
      </x:c>
      <x:c r="O51" s="32" t="n">
        <x:v>4.24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Carcharhinidae</x:v>
      </x:c>
      <x:c r="T51" s="32" t="n">
        <x:f>IF(O51="","",(1/'Metadata'!$B$5)^(O51-1))</x:f>
        <x:v>1737.8008287493763</x:v>
      </x:c>
      <x:c r="U51" s="31" t="n">
        <x:f>IF(T51="","",I51*T51)</x:f>
        <x:v>1795.0003308421806</x:v>
      </x:c>
    </x:row>
    <x:row r="52" ht="18" customHeight="1">
      <x:c r="A52" s="24" t="str">
        <x:v>EEZ_645</x:v>
      </x:c>
      <x:c r="B52" s="24" t="str">
        <x:v>Russia (Barents Sea)</x:v>
      </x:c>
      <x:c r="C52" s="24" t="str">
        <x:v>EEZ</x:v>
      </x:c>
      <x:c r="D52" s="30" t="n">
        <x:v>2019</x:v>
      </x:c>
      <x:c r="E52" s="24" t="str">
        <x:v>Venerupis corrugata</x:v>
      </x:c>
      <x:c r="F52" s="24" t="str">
        <x:v>Corrugated venus</x:v>
      </x:c>
      <x:c r="G52" s="24" t="str">
        <x:v>Other demersal invertebrates</x:v>
      </x:c>
      <x:c r="H52" s="24" t="str">
        <x:v>Molluscs</x:v>
      </x:c>
      <x:c r="I52" s="31" t="n">
        <x:v>1.0191414889000001</x:v>
      </x:c>
      <x:c r="J52" s="31" t="n">
        <x:v>1.0191414889000001</x:v>
      </x:c>
      <x:c r="K52" s="31" t="n">
        <x:v>0</x:v>
      </x:c>
      <x:c r="L52" s="31" t="n">
        <x:v>1.0191414889000001</x:v>
      </x:c>
      <x:c r="M52" s="31" t="n">
        <x:v>0</x:v>
      </x:c>
      <x:c r="N52" s="24" t="str">
        <x:v>venerupis corrugata</x:v>
      </x:c>
      <x:c r="O52" s="32" t="n">
        <x:v>2.1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Venerupis corrugata</x:v>
      </x:c>
      <x:c r="T52" s="32" t="n">
        <x:f>IF(O52="","",(1/'Metadata'!$B$5)^(O52-1))</x:f>
        <x:v>12.589254117941675</x:v>
      </x:c>
      <x:c r="U52" s="31" t="n">
        <x:f>IF(T52="","",I52*T52)</x:f>
        <x:v>12.830231185899535</x:v>
      </x:c>
    </x:row>
    <x:row r="53" ht="18" customHeight="1">
      <x:c r="A53" s="24" t="str">
        <x:v>EEZ_645</x:v>
      </x:c>
      <x:c r="B53" s="24" t="str">
        <x:v>Russia (Barents Sea)</x:v>
      </x:c>
      <x:c r="C53" s="24" t="str">
        <x:v>EEZ</x:v>
      </x:c>
      <x:c r="D53" s="30" t="n">
        <x:v>2019</x:v>
      </x:c>
      <x:c r="E53" s="24" t="str">
        <x:v>Modiolus</x:v>
      </x:c>
      <x:c r="F53" s="24" t="str">
        <x:v>Horse mussels</x:v>
      </x:c>
      <x:c r="G53" s="24" t="str">
        <x:v>Other demersal invertebrates</x:v>
      </x:c>
      <x:c r="H53" s="24" t="str">
        <x:v>Molluscs</x:v>
      </x:c>
      <x:c r="I53" s="31" t="n">
        <x:v>0.7686141479999999</x:v>
      </x:c>
      <x:c r="J53" s="31" t="n">
        <x:v>0.7686141479999999</x:v>
      </x:c>
      <x:c r="K53" s="31" t="n">
        <x:v>0</x:v>
      </x:c>
      <x:c r="L53" s="31" t="n">
        <x:v>0.7686141479999999</x:v>
      </x:c>
      <x:c r="M53" s="31" t="n">
        <x:v>0</x:v>
      </x:c>
      <x:c r="N53" s="24" t="str">
        <x:v>modiolus</x:v>
      </x:c>
      <x:c r="O53" s="32" t="n">
        <x:v>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Modiolus</x:v>
      </x:c>
      <x:c r="T53" s="32" t="n">
        <x:f>IF(O53="","",(1/'Metadata'!$B$5)^(O53-1))</x:f>
        <x:v>10</x:v>
      </x:c>
      <x:c r="U53" s="31" t="n">
        <x:f>IF(T53="","",I53*T53)</x:f>
        <x:v>7.68614148</x:v>
      </x:c>
    </x:row>
    <x:row r="54" ht="18" customHeight="1">
      <x:c r="A54" s="24" t="str">
        <x:v>EEZ_645</x:v>
      </x:c>
      <x:c r="B54" s="24" t="str">
        <x:v>Russia (Barents Sea)</x:v>
      </x:c>
      <x:c r="C54" s="24" t="str">
        <x:v>EEZ</x:v>
      </x:c>
      <x:c r="D54" s="30" t="n">
        <x:v>2019</x:v>
      </x:c>
      <x:c r="E54" s="24" t="str">
        <x:v>Microstomus kitt</x:v>
      </x:c>
      <x:c r="F54" s="24" t="str">
        <x:v>Lemon sole</x:v>
      </x:c>
      <x:c r="G54" s="24" t="str">
        <x:v>Small to medium flatfishes (&lt;90 cm)</x:v>
      </x:c>
      <x:c r="H54" s="24" t="str">
        <x:v>Flatfishes</x:v>
      </x:c>
      <x:c r="I54" s="31" t="n">
        <x:v>0.7483996962999999</x:v>
      </x:c>
      <x:c r="J54" s="31" t="n">
        <x:v>0.7483996962999999</x:v>
      </x:c>
      <x:c r="K54" s="31" t="n">
        <x:v>0</x:v>
      </x:c>
      <x:c r="L54" s="31" t="n">
        <x:v>0.7483996962999999</x:v>
      </x:c>
      <x:c r="M54" s="31" t="n">
        <x:v>0</x:v>
      </x:c>
      <x:c r="N54" s="24" t="str">
        <x:v>microstomus kitt</x:v>
      </x:c>
      <x:c r="O54" s="32" t="n">
        <x:v>3.22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Microstomus kitt</x:v>
      </x:c>
      <x:c r="T54" s="32" t="n">
        <x:f>IF(O54="","",(1/'Metadata'!$B$5)^(O54-1))</x:f>
        <x:v>165.95869074375614</x:v>
      </x:c>
      <x:c r="U54" s="31" t="n">
        <x:f>IF(T54="","",I54*T54)</x:f>
        <x:v>124.2034337509727</x:v>
      </x:c>
    </x:row>
    <x:row r="55" ht="18" customHeight="1">
      <x:c r="A55" s="24" t="str">
        <x:v>EEZ_645</x:v>
      </x:c>
      <x:c r="B55" s="24" t="str">
        <x:v>Russia (Barents Sea)</x:v>
      </x:c>
      <x:c r="C55" s="24" t="str">
        <x:v>EEZ</x:v>
      </x:c>
      <x:c r="D55" s="30" t="n">
        <x:v>2019</x:v>
      </x:c>
      <x:c r="E55" s="24" t="str">
        <x:v>Triglidae</x:v>
      </x:c>
      <x:c r="F55" s="24" t="str">
        <x:v>Searobins, gurnards</x:v>
      </x:c>
      <x:c r="G55" s="24" t="str">
        <x:v>Medium demersals (30 - 89 cm)</x:v>
      </x:c>
      <x:c r="H55" s="24" t="str">
        <x:v>Scorpionfishes</x:v>
      </x:c>
      <x:c r="I55" s="31" t="n">
        <x:v>0.6704642635000001</x:v>
      </x:c>
      <x:c r="J55" s="31" t="n">
        <x:v>0.6704642635000001</x:v>
      </x:c>
      <x:c r="K55" s="31" t="n">
        <x:v>0</x:v>
      </x:c>
      <x:c r="L55" s="31" t="n">
        <x:v>0.6704642635000001</x:v>
      </x:c>
      <x:c r="M55" s="31" t="n">
        <x:v>0</x:v>
      </x:c>
      <x:c r="N55" s="24" t="str">
        <x:v>triglidae</x:v>
      </x:c>
      <x:c r="O55" s="32" t="n">
        <x:v>3.74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Triglidae</x:v>
      </x:c>
      <x:c r="T55" s="32" t="n">
        <x:f>IF(O55="","",(1/'Metadata'!$B$5)^(O55-1))</x:f>
        <x:v>549.5408738576248</x:v>
      </x:c>
      <x:c r="U55" s="31" t="n">
        <x:f>IF(T55="","",I55*T55)</x:f>
        <x:v>368.44751725409884</x:v>
      </x:c>
    </x:row>
    <x:row r="56" ht="18" customHeight="1">
      <x:c r="A56" s="24" t="str">
        <x:v>EEZ_645</x:v>
      </x:c>
      <x:c r="B56" s="24" t="str">
        <x:v>Russia (Barents Sea)</x:v>
      </x:c>
      <x:c r="C56" s="24" t="str">
        <x:v>EEZ</x:v>
      </x:c>
      <x:c r="D56" s="30" t="n">
        <x:v>2019</x:v>
      </x:c>
      <x:c r="E56" s="24" t="str">
        <x:v>Berycidae</x:v>
      </x:c>
      <x:c r="F56" s="24" t="str">
        <x:v>Alfonsinos, redfishes</x:v>
      </x:c>
      <x:c r="G56" s="24" t="str">
        <x:v>Medium benthopelagics (30 - 89 cm)</x:v>
      </x:c>
      <x:c r="H56" s="24" t="str">
        <x:v>Other fishes &amp; inverts</x:v>
      </x:c>
      <x:c r="I56" s="31" t="n">
        <x:v>0.49853386489999996</x:v>
      </x:c>
      <x:c r="J56" s="31" t="n">
        <x:v>0.49853386489999996</x:v>
      </x:c>
      <x:c r="K56" s="31" t="n">
        <x:v>0</x:v>
      </x:c>
      <x:c r="L56" s="31" t="n">
        <x:v>0.49853386489999996</x:v>
      </x:c>
      <x:c r="M56" s="31" t="n">
        <x:v>0</x:v>
      </x:c>
      <x:c r="N56" s="24" t="str">
        <x:v>berycidae</x:v>
      </x:c>
      <x:c r="O56" s="32" t="n">
        <x:v>3.99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Berycidae</x:v>
      </x:c>
      <x:c r="T56" s="32" t="n">
        <x:f>IF(O56="","",(1/'Metadata'!$B$5)^(O56-1))</x:f>
        <x:v>977.2372209558112</x:v>
      </x:c>
      <x:c r="U56" s="31" t="n">
        <x:f>IF(T56="","",I56*T56)</x:f>
        <x:v>487.18584868723576</x:v>
      </x:c>
    </x:row>
    <x:row r="57" ht="18" customHeight="1">
      <x:c r="A57" s="24" t="str">
        <x:v>EEZ_645</x:v>
      </x:c>
      <x:c r="B57" s="24" t="str">
        <x:v>Russia (Barents Sea)</x:v>
      </x:c>
      <x:c r="C57" s="24" t="str">
        <x:v>EEZ</x:v>
      </x:c>
      <x:c r="D57" s="30" t="n">
        <x:v>2019</x:v>
      </x:c>
      <x:c r="E57" s="24" t="str">
        <x:v>Rajiformes</x:v>
      </x:c>
      <x:c r="F57" s="24" t="str">
        <x:v>Skates and rays</x:v>
      </x:c>
      <x:c r="G57" s="24" t="str">
        <x:v>Large rays (&gt;=90 cm)</x:v>
      </x:c>
      <x:c r="H57" s="24" t="str">
        <x:v>Sharks &amp; rays</x:v>
      </x:c>
      <x:c r="I57" s="31" t="n">
        <x:v>0.343799393</x:v>
      </x:c>
      <x:c r="J57" s="31" t="n">
        <x:v>0.343799393</x:v>
      </x:c>
      <x:c r="K57" s="31" t="n">
        <x:v>0</x:v>
      </x:c>
      <x:c r="L57" s="31" t="n">
        <x:v>0.343799393</x:v>
      </x:c>
      <x:c r="M57" s="31" t="n">
        <x:v>0</x:v>
      </x:c>
      <x:c r="N57" s="24" t="str">
        <x:v>rajiformes</x:v>
      </x:c>
      <x:c r="O57" s="32" t="n">
        <x:v>3.61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Rajiformes</x:v>
      </x:c>
      <x:c r="T57" s="32" t="n">
        <x:f>IF(O57="","",(1/'Metadata'!$B$5)^(O57-1))</x:f>
        <x:v>407.3802778041126</x:v>
      </x:c>
      <x:c r="U57" s="31" t="n">
        <x:f>IF(T57="","",I57*T57)</x:f>
        <x:v>140.0570922292253</x:v>
      </x:c>
    </x:row>
    <x:row r="58" ht="18" customHeight="1">
      <x:c r="A58" s="24" t="str">
        <x:v>EEZ_645</x:v>
      </x:c>
      <x:c r="B58" s="24" t="str">
        <x:v>Russia (Barents Sea)</x:v>
      </x:c>
      <x:c r="C58" s="24" t="str">
        <x:v>EEZ</x:v>
      </x:c>
      <x:c r="D58" s="30" t="n">
        <x:v>2019</x:v>
      </x:c>
      <x:c r="E58" s="24" t="str">
        <x:v>Sparidae</x:v>
      </x:c>
      <x:c r="F58" s="24" t="str">
        <x:v>Porgies, seabreams</x:v>
      </x:c>
      <x:c r="G58" s="24" t="str">
        <x:v>Medium benthopelagics (30 - 89 cm)</x:v>
      </x:c>
      <x:c r="H58" s="24" t="str">
        <x:v>Perch-likes</x:v>
      </x:c>
      <x:c r="I58" s="31" t="n">
        <x:v>0.304352439</x:v>
      </x:c>
      <x:c r="J58" s="31" t="n">
        <x:v>0.304352439</x:v>
      </x:c>
      <x:c r="K58" s="31" t="n">
        <x:v>0</x:v>
      </x:c>
      <x:c r="L58" s="31" t="n">
        <x:v>0.304352439</x:v>
      </x:c>
      <x:c r="M58" s="31" t="n">
        <x:v>0</x:v>
      </x:c>
      <x:c r="N58" s="24" t="str">
        <x:v>sparidae</x:v>
      </x:c>
      <x:c r="O58" s="32" t="n">
        <x:v>3.31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Sparidae</x:v>
      </x:c>
      <x:c r="T58" s="32" t="n">
        <x:f>IF(O58="","",(1/'Metadata'!$B$5)^(O58-1))</x:f>
        <x:v>204.17379446695296</x:v>
      </x:c>
      <x:c r="U58" s="31" t="n">
        <x:f>IF(T58="","",I58*T58)</x:f>
        <x:v>62.140792325901835</x:v>
      </x:c>
    </x:row>
    <x:row r="59" ht="18" customHeight="1">
      <x:c r="A59" s="24" t="str">
        <x:v>EEZ_645</x:v>
      </x:c>
      <x:c r="B59" s="24" t="str">
        <x:v>Russia (Barents Sea)</x:v>
      </x:c>
      <x:c r="C59" s="24" t="str">
        <x:v>EEZ</x:v>
      </x:c>
      <x:c r="D59" s="30" t="n">
        <x:v>2019</x:v>
      </x:c>
      <x:c r="E59" s="24" t="str">
        <x:v>Anarhichadidae</x:v>
      </x:c>
      <x:c r="F59" s="24" t="str">
        <x:v>Wolffishes, wolfeels</x:v>
      </x:c>
      <x:c r="G59" s="24" t="str">
        <x:v>Large demersals (&gt;=90 cm)</x:v>
      </x:c>
      <x:c r="H59" s="24" t="str">
        <x:v>Perch-likes</x:v>
      </x:c>
      <x:c r="I59" s="31" t="n">
        <x:v>0.1763918505</x:v>
      </x:c>
      <x:c r="J59" s="31" t="n">
        <x:v>0.1763918505</x:v>
      </x:c>
      <x:c r="K59" s="31" t="n">
        <x:v>0</x:v>
      </x:c>
      <x:c r="L59" s="31" t="n">
        <x:v>0.1763918505</x:v>
      </x:c>
      <x:c r="M59" s="31" t="n">
        <x:v>0</x:v>
      </x:c>
      <x:c r="N59" s="24" t="str">
        <x:v>anarhichadidae</x:v>
      </x:c>
      <x:c r="O59" s="32" t="n">
        <x:v>3.47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Anarhichadidae</x:v>
      </x:c>
      <x:c r="T59" s="32" t="n">
        <x:f>IF(O59="","",(1/'Metadata'!$B$5)^(O59-1))</x:f>
        <x:v>295.1209226666387</x:v>
      </x:c>
      <x:c r="U59" s="31" t="n">
        <x:f>IF(T59="","",I59*T59)</x:f>
        <x:v>52.056925670435795</x:v>
      </x:c>
    </x:row>
    <x:row r="60" ht="18" customHeight="1">
      <x:c r="A60" s="24" t="str">
        <x:v>EEZ_645</x:v>
      </x:c>
      <x:c r="B60" s="24" t="str">
        <x:v>Russia (Barents Sea)</x:v>
      </x:c>
      <x:c r="C60" s="24" t="str">
        <x:v>EEZ</x:v>
      </x:c>
      <x:c r="D60" s="30" t="n">
        <x:v>2019</x:v>
      </x:c>
      <x:c r="E60" s="24" t="str">
        <x:v>Ensis ensis</x:v>
      </x:c>
      <x:c r="F60" s="24" t="str">
        <x:v>Pod razor</x:v>
      </x:c>
      <x:c r="G60" s="24" t="str">
        <x:v>Other demersal invertebrates</x:v>
      </x:c>
      <x:c r="H60" s="24" t="str">
        <x:v>Molluscs</x:v>
      </x:c>
      <x:c r="I60" s="31" t="n">
        <x:v>0.164122813</x:v>
      </x:c>
      <x:c r="J60" s="31" t="n">
        <x:v>0.164122813</x:v>
      </x:c>
      <x:c r="K60" s="31" t="n">
        <x:v>0</x:v>
      </x:c>
      <x:c r="L60" s="31" t="n">
        <x:v>0.164122813</x:v>
      </x:c>
      <x:c r="M60" s="31" t="n">
        <x:v>0</x:v>
      </x:c>
      <x:c r="N60" s="24" t="str">
        <x:v>ensis ensis</x:v>
      </x:c>
      <x:c r="O60" s="32" t="n">
        <x:v>2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Ensis ensis</x:v>
      </x:c>
      <x:c r="T60" s="32" t="n">
        <x:f>IF(O60="","",(1/'Metadata'!$B$5)^(O60-1))</x:f>
        <x:v>10</x:v>
      </x:c>
      <x:c r="U60" s="31" t="n">
        <x:f>IF(T60="","",I60*T60)</x:f>
        <x:v>1.64122813</x:v>
      </x:c>
    </x:row>
    <x:row r="61" ht="18" customHeight="1">
      <x:c r="A61" s="24" t="str">
        <x:v>EEZ_645</x:v>
      </x:c>
      <x:c r="B61" s="24" t="str">
        <x:v>Russia (Barents Sea)</x:v>
      </x:c>
      <x:c r="C61" s="24" t="str">
        <x:v>EEZ</x:v>
      </x:c>
      <x:c r="D61" s="30" t="n">
        <x:v>2019</x:v>
      </x:c>
      <x:c r="E61" s="24" t="str">
        <x:v>Mollusca</x:v>
      </x:c>
      <x:c r="F61" s="24" t="str">
        <x:v>Clams, seasnails, squids, octopuses</x:v>
      </x:c>
      <x:c r="G61" s="24" t="str">
        <x:v>Other demersal invertebrates</x:v>
      </x:c>
      <x:c r="H61" s="24" t="str">
        <x:v>Molluscs</x:v>
      </x:c>
      <x:c r="I61" s="31" t="n">
        <x:v>0.1539041558</x:v>
      </x:c>
      <x:c r="J61" s="31" t="n">
        <x:v>0.1539041558</x:v>
      </x:c>
      <x:c r="K61" s="31" t="n">
        <x:v>0</x:v>
      </x:c>
      <x:c r="L61" s="31" t="n">
        <x:v>0.1539041558</x:v>
      </x:c>
      <x:c r="M61" s="31" t="n">
        <x:v>0</x:v>
      </x:c>
      <x:c r="N61" s="24" t="str">
        <x:v>mollusca</x:v>
      </x:c>
      <x:c r="O61" s="32" t="n">
        <x:v>2.1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Mollusca</x:v>
      </x:c>
      <x:c r="T61" s="32" t="n">
        <x:f>IF(O61="","",(1/'Metadata'!$B$5)^(O61-1))</x:f>
        <x:v>12.589254117941675</x:v>
      </x:c>
      <x:c r="U61" s="31" t="n">
        <x:f>IF(T61="","",I61*T61)</x:f>
        <x:v>1.937538527173487</x:v>
      </x:c>
    </x:row>
    <x:row r="62" ht="18" customHeight="1">
      <x:c r="A62" s="24" t="str">
        <x:v>EEZ_645</x:v>
      </x:c>
      <x:c r="B62" s="24" t="str">
        <x:v>Russia (Barents Sea)</x:v>
      </x:c>
      <x:c r="C62" s="24" t="str">
        <x:v>EEZ</x:v>
      </x:c>
      <x:c r="D62" s="30" t="n">
        <x:v>2019</x:v>
      </x:c>
      <x:c r="E62" s="24" t="str">
        <x:v>Phycis</x:v>
      </x:c>
      <x:c r="F62" s="24" t="str">
        <x:v>Gunnels, forkbeards</x:v>
      </x:c>
      <x:c r="G62" s="24" t="str">
        <x:v>Medium benthopelagics (30 - 89 cm)</x:v>
      </x:c>
      <x:c r="H62" s="24" t="str">
        <x:v>Cod-likes</x:v>
      </x:c>
      <x:c r="I62" s="31" t="n">
        <x:v>0.144983624</x:v>
      </x:c>
      <x:c r="J62" s="31" t="n">
        <x:v>0.144983624</x:v>
      </x:c>
      <x:c r="K62" s="31" t="n">
        <x:v>0</x:v>
      </x:c>
      <x:c r="L62" s="31" t="n">
        <x:v>0.144983624</x:v>
      </x:c>
      <x:c r="M62" s="31" t="n">
        <x:v>0</x:v>
      </x:c>
      <x:c r="N62" s="24" t="str">
        <x:v>phycis</x:v>
      </x:c>
      <x:c r="O62" s="32" t="n">
        <x:v>3.99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Phycis</x:v>
      </x:c>
      <x:c r="T62" s="32" t="n">
        <x:f>IF(O62="","",(1/'Metadata'!$B$5)^(O62-1))</x:f>
        <x:v>977.2372209558112</x:v>
      </x:c>
      <x:c r="U62" s="31" t="n">
        <x:f>IF(T62="","",I62*T62)</x:f>
        <x:v>141.68339380186225</x:v>
      </x:c>
    </x:row>
    <x:row r="63" ht="18" customHeight="1">
      <x:c r="A63" s="24" t="str">
        <x:v>EEZ_645</x:v>
      </x:c>
      <x:c r="B63" s="24" t="str">
        <x:v>Russia (Barents Sea)</x:v>
      </x:c>
      <x:c r="C63" s="24" t="str">
        <x:v>EEZ</x:v>
      </x:c>
      <x:c r="D63" s="30" t="n">
        <x:v>2019</x:v>
      </x:c>
      <x:c r="E63" s="24" t="str">
        <x:v>Gastropoda</x:v>
      </x:c>
      <x:c r="F63" s="24" t="str">
        <x:v>Sea snails</x:v>
      </x:c>
      <x:c r="G63" s="24" t="str">
        <x:v>Other demersal invertebrates</x:v>
      </x:c>
      <x:c r="H63" s="24" t="str">
        <x:v>Molluscs</x:v>
      </x:c>
      <x:c r="I63" s="31" t="n">
        <x:v>0.1079140819</x:v>
      </x:c>
      <x:c r="J63" s="31" t="n">
        <x:v>0.1079140819</x:v>
      </x:c>
      <x:c r="K63" s="31" t="n">
        <x:v>0</x:v>
      </x:c>
      <x:c r="L63" s="31" t="n">
        <x:v>0.1079140819</x:v>
      </x:c>
      <x:c r="M63" s="31" t="n">
        <x:v>0</x:v>
      </x:c>
      <x:c r="N63" s="24" t="str">
        <x:v>gastropoda</x:v>
      </x:c>
      <x:c r="O63" s="32" t="n">
        <x:v>3.06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Gastropoda</x:v>
      </x:c>
      <x:c r="T63" s="32" t="n">
        <x:f>IF(O63="","",(1/'Metadata'!$B$5)^(O63-1))</x:f>
        <x:v>114.81536214968828</x:v>
      </x:c>
      <x:c r="U63" s="31" t="n">
        <x:f>IF(T63="","",I63*T63)</x:f>
        <x:v>12.390194394399622</x:v>
      </x:c>
    </x:row>
    <x:row r="64" ht="18" customHeight="1">
      <x:c r="A64" s="24" t="str">
        <x:v>EEZ_645</x:v>
      </x:c>
      <x:c r="B64" s="24" t="str">
        <x:v>Russia (Barents Sea)</x:v>
      </x:c>
      <x:c r="C64" s="24" t="str">
        <x:v>EEZ</x:v>
      </x:c>
      <x:c r="D64" s="30" t="n">
        <x:v>2019</x:v>
      </x:c>
      <x:c r="E64" s="24" t="str">
        <x:v>Diplodus</x:v>
      </x:c>
      <x:c r="F64" s="24" t="str">
        <x:v>Two-toothed seabreams</x:v>
      </x:c>
      <x:c r="G64" s="24" t="str">
        <x:v>Medium benthopelagics (30 - 89 cm)</x:v>
      </x:c>
      <x:c r="H64" s="24" t="str">
        <x:v>Perch-likes</x:v>
      </x:c>
      <x:c r="I64" s="31" t="n">
        <x:v>0.1064512829</x:v>
      </x:c>
      <x:c r="J64" s="31" t="n">
        <x:v>0.1064512829</x:v>
      </x:c>
      <x:c r="K64" s="31" t="n">
        <x:v>0</x:v>
      </x:c>
      <x:c r="L64" s="31" t="n">
        <x:v>0.1064512829</x:v>
      </x:c>
      <x:c r="M64" s="31" t="n">
        <x:v>0</x:v>
      </x:c>
      <x:c r="N64" s="24" t="str">
        <x:v>diplodus</x:v>
      </x:c>
      <x:c r="O64" s="32" t="n">
        <x:v>2.97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Diplodus</x:v>
      </x:c>
      <x:c r="T64" s="32" t="n">
        <x:f>IF(O64="","",(1/'Metadata'!$B$5)^(O64-1))</x:f>
        <x:v>93.32543007969915</x:v>
      </x:c>
      <x:c r="U64" s="31" t="n">
        <x:f>IF(T64="","",I64*T64)</x:f>
        <x:v>9.934611759178223</x:v>
      </x:c>
    </x:row>
    <x:row r="65" ht="18" customHeight="1">
      <x:c r="A65" s="24" t="str">
        <x:v>EEZ_645</x:v>
      </x:c>
      <x:c r="B65" s="24" t="str">
        <x:v>Russia (Barents Sea)</x:v>
      </x:c>
      <x:c r="C65" s="24" t="str">
        <x:v>EEZ</x:v>
      </x:c>
      <x:c r="D65" s="30" t="n">
        <x:v>2019</x:v>
      </x:c>
      <x:c r="E65" s="24" t="str">
        <x:v>Miscellaneous marine crustaceans</x:v>
      </x:c>
      <x:c r="F65" s="24" t="str">
        <x:v>Marine crabs, shrimps, lobsters nei</x:v>
      </x:c>
      <x:c r="G65" s="24" t="str">
        <x:v>Shrimps</x:v>
      </x:c>
      <x:c r="H65" s="24" t="str">
        <x:v>Crustaceans</x:v>
      </x:c>
      <x:c r="I65" s="31" t="n">
        <x:v>0.101279829</x:v>
      </x:c>
      <x:c r="J65" s="31" t="n">
        <x:v>0.101279829</x:v>
      </x:c>
      <x:c r="K65" s="31" t="n">
        <x:v>0</x:v>
      </x:c>
      <x:c r="L65" s="31" t="n">
        <x:v>0.101279829</x:v>
      </x:c>
      <x:c r="M65" s="31" t="n">
        <x:v>0</x:v>
      </x:c>
      <x:c r="N65" s="24" t="str">
        <x:v>miscellaneous marine crustaceans</x:v>
      </x:c>
      <x:c r="O65" s="32" t="n">
        <x:v>2.7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Miscellaneous marine crustaceans</x:v>
      </x:c>
      <x:c r="T65" s="32" t="n">
        <x:f>IF(O65="","",(1/'Metadata'!$B$5)^(O65-1))</x:f>
        <x:v>50.11872336272725</x:v>
      </x:c>
      <x:c r="U65" s="31" t="n">
        <x:f>IF(T65="","",I65*T65)</x:f>
        <x:v>5.076015731875321</x:v>
      </x:c>
    </x:row>
    <x:row r="66" ht="18" customHeight="1">
      <x:c r="A66" s="24" t="str">
        <x:v>EEZ_645</x:v>
      </x:c>
      <x:c r="B66" s="24" t="str">
        <x:v>Russia (Barents Sea)</x:v>
      </x:c>
      <x:c r="C66" s="24" t="str">
        <x:v>EEZ</x:v>
      </x:c>
      <x:c r="D66" s="30" t="n">
        <x:v>2019</x:v>
      </x:c>
      <x:c r="E66" s="24" t="str">
        <x:v>Beryx decadactylus</x:v>
      </x:c>
      <x:c r="F66" s="24" t="str">
        <x:v>Alfonsino</x:v>
      </x:c>
      <x:c r="G66" s="24" t="str">
        <x:v>Medium bathydemersals (30 - 89 cm)</x:v>
      </x:c>
      <x:c r="H66" s="24" t="str">
        <x:v>Other fishes &amp; inverts</x:v>
      </x:c>
      <x:c r="I66" s="31" t="n">
        <x:v>0.09375348759999999</x:v>
      </x:c>
      <x:c r="J66" s="31" t="n">
        <x:v>0.09375348759999999</x:v>
      </x:c>
      <x:c r="K66" s="31" t="n">
        <x:v>0</x:v>
      </x:c>
      <x:c r="L66" s="31" t="n">
        <x:v>0.09375348759999999</x:v>
      </x:c>
      <x:c r="M66" s="31" t="n">
        <x:v>0</x:v>
      </x:c>
      <x:c r="N66" s="24" t="str">
        <x:v>beryx decadactylus</x:v>
      </x:c>
      <x:c r="O66" s="32" t="n">
        <x:v>4.13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Beryx decadactylus</x:v>
      </x:c>
      <x:c r="T66" s="32" t="n">
        <x:f>IF(O66="","",(1/'Metadata'!$B$5)^(O66-1))</x:f>
        <x:v>1348.9628825916532</x:v>
      </x:c>
      <x:c r="U66" s="31" t="n">
        <x:f>IF(T66="","",I66*T66)</x:f>
        <x:v>126.4699748859168</x:v>
      </x:c>
    </x:row>
    <x:row r="67" ht="18" customHeight="1">
      <x:c r="A67" s="24" t="str">
        <x:v>EEZ_645</x:v>
      </x:c>
      <x:c r="B67" s="24" t="str">
        <x:v>Russia (Barents Sea)</x:v>
      </x:c>
      <x:c r="C67" s="24" t="str">
        <x:v>EEZ</x:v>
      </x:c>
      <x:c r="D67" s="30" t="n">
        <x:v>2019</x:v>
      </x:c>
      <x:c r="E67" s="24" t="str">
        <x:v>Leucoraja fullonica</x:v>
      </x:c>
      <x:c r="F67" s="24" t="str">
        <x:v>Shagreen ray</x:v>
      </x:c>
      <x:c r="G67" s="24" t="str">
        <x:v>Large rays (&gt;=90 cm)</x:v>
      </x:c>
      <x:c r="H67" s="24" t="str">
        <x:v>Sharks &amp; rays</x:v>
      </x:c>
      <x:c r="I67" s="31" t="n">
        <x:v>0.0826918117</x:v>
      </x:c>
      <x:c r="J67" s="31" t="n">
        <x:v>0.0826918117</x:v>
      </x:c>
      <x:c r="K67" s="31" t="n">
        <x:v>0</x:v>
      </x:c>
      <x:c r="L67" s="31" t="n">
        <x:v>0.0826918117</x:v>
      </x:c>
      <x:c r="M67" s="31" t="n">
        <x:v>0</x:v>
      </x:c>
      <x:c r="N67" s="24" t="str">
        <x:v>leucoraja fullonica</x:v>
      </x:c>
      <x:c r="O67" s="32" t="n">
        <x:v>3.5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Leucoraja fullonica</x:v>
      </x:c>
      <x:c r="T67" s="32" t="n">
        <x:f>IF(O67="","",(1/'Metadata'!$B$5)^(O67-1))</x:f>
        <x:v>316.22776601683796</x:v>
      </x:c>
      <x:c r="U67" s="31" t="n">
        <x:f>IF(T67="","",I67*T67)</x:f>
        <x:v>26.149446881776026</x:v>
      </x:c>
    </x:row>
    <x:row r="68" ht="18" customHeight="1">
      <x:c r="A68" s="24" t="str">
        <x:v>EEZ_645</x:v>
      </x:c>
      <x:c r="B68" s="24" t="str">
        <x:v>Russia (Barents Sea)</x:v>
      </x:c>
      <x:c r="C68" s="24" t="str">
        <x:v>EEZ</x:v>
      </x:c>
      <x:c r="D68" s="30" t="n">
        <x:v>2019</x:v>
      </x:c>
      <x:c r="E68" s="24" t="str">
        <x:v>Mytilus edulis</x:v>
      </x:c>
      <x:c r="F68" s="24" t="str">
        <x:v>Blue mussel</x:v>
      </x:c>
      <x:c r="G68" s="24" t="str">
        <x:v>Other demersal invertebrates</x:v>
      </x:c>
      <x:c r="H68" s="24" t="str">
        <x:v>Molluscs</x:v>
      </x:c>
      <x:c r="I68" s="31" t="n">
        <x:v>0.0791751786</x:v>
      </x:c>
      <x:c r="J68" s="31" t="n">
        <x:v>0.0791751786</x:v>
      </x:c>
      <x:c r="K68" s="31" t="n">
        <x:v>0</x:v>
      </x:c>
      <x:c r="L68" s="31" t="n">
        <x:v>0.0791751786</x:v>
      </x:c>
      <x:c r="M68" s="31" t="n">
        <x:v>0</x:v>
      </x:c>
      <x:c r="N68" s="24" t="str">
        <x:v>mytilus edulis</x:v>
      </x:c>
      <x:c r="O68" s="32" t="n">
        <x:v>2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Mytilus edulis</x:v>
      </x:c>
      <x:c r="T68" s="32" t="n">
        <x:f>IF(O68="","",(1/'Metadata'!$B$5)^(O68-1))</x:f>
        <x:v>10</x:v>
      </x:c>
      <x:c r="U68" s="31" t="n">
        <x:f>IF(T68="","",I68*T68)</x:f>
        <x:v>0.7917517860000001</x:v>
      </x:c>
    </x:row>
    <x:row r="69" ht="18" customHeight="1">
      <x:c r="A69" s="24" t="str">
        <x:v>EEZ_645</x:v>
      </x:c>
      <x:c r="B69" s="24" t="str">
        <x:v>Russia (Barents Sea)</x:v>
      </x:c>
      <x:c r="C69" s="24" t="str">
        <x:v>EEZ</x:v>
      </x:c>
      <x:c r="D69" s="30" t="n">
        <x:v>2019</x:v>
      </x:c>
      <x:c r="E69" s="24" t="str">
        <x:v>Beryx</x:v>
      </x:c>
      <x:c r="F69" s="24" t="str">
        <x:v>Alfonsinos</x:v>
      </x:c>
      <x:c r="G69" s="24" t="str">
        <x:v>Medium benthopelagics (30 - 89 cm)</x:v>
      </x:c>
      <x:c r="H69" s="24" t="str">
        <x:v>Other fishes &amp; inverts</x:v>
      </x:c>
      <x:c r="I69" s="31" t="n">
        <x:v>0.0769020938</x:v>
      </x:c>
      <x:c r="J69" s="31" t="n">
        <x:v>0.0769020938</x:v>
      </x:c>
      <x:c r="K69" s="31" t="n">
        <x:v>0</x:v>
      </x:c>
      <x:c r="L69" s="31" t="n">
        <x:v>0.0769020938</x:v>
      </x:c>
      <x:c r="M69" s="31" t="n">
        <x:v>0</x:v>
      </x:c>
      <x:c r="N69" s="24" t="str">
        <x:v>beryx</x:v>
      </x:c>
      <x:c r="O69" s="32" t="n">
        <x:v>3.97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Beryx</x:v>
      </x:c>
      <x:c r="T69" s="32" t="n">
        <x:f>IF(O69="","",(1/'Metadata'!$B$5)^(O69-1))</x:f>
        <x:v>933.2543007969915</x:v>
      </x:c>
      <x:c r="U69" s="31" t="n">
        <x:f>IF(T69="","",I69*T69)</x:f>
        <x:v>71.76920977914365</x:v>
      </x:c>
    </x:row>
    <x:row r="70" ht="18" customHeight="1">
      <x:c r="A70" s="24" t="str">
        <x:v>EEZ_645</x:v>
      </x:c>
      <x:c r="B70" s="24" t="str">
        <x:v>Russia (Barents Sea)</x:v>
      </x:c>
      <x:c r="C70" s="24" t="str">
        <x:v>EEZ</x:v>
      </x:c>
      <x:c r="D70" s="30" t="n">
        <x:v>2019</x:v>
      </x:c>
      <x:c r="E70" s="24" t="str">
        <x:v>Rajidae</x:v>
      </x:c>
      <x:c r="F70" s="24" t="str">
        <x:v>Stingrays</x:v>
      </x:c>
      <x:c r="G70" s="24" t="str">
        <x:v>Large rays (&gt;=90 cm)</x:v>
      </x:c>
      <x:c r="H70" s="24" t="str">
        <x:v>Sharks &amp; rays</x:v>
      </x:c>
      <x:c r="I70" s="31" t="n">
        <x:v>0.0638853055</x:v>
      </x:c>
      <x:c r="J70" s="31" t="n">
        <x:v>0.0638853055</x:v>
      </x:c>
      <x:c r="K70" s="31" t="n">
        <x:v>0</x:v>
      </x:c>
      <x:c r="L70" s="31" t="n">
        <x:v>0.0638853055</x:v>
      </x:c>
      <x:c r="M70" s="31" t="n">
        <x:v>0</x:v>
      </x:c>
      <x:c r="N70" s="24" t="str">
        <x:v>rajidae</x:v>
      </x:c>
      <x:c r="O70" s="32" t="n">
        <x:v>3.82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Rajidae</x:v>
      </x:c>
      <x:c r="T70" s="32" t="n">
        <x:f>IF(O70="","",(1/'Metadata'!$B$5)^(O70-1))</x:f>
        <x:v>660.6934480075957</x:v>
      </x:c>
      <x:c r="U70" s="31" t="n">
        <x:f>IF(T70="","",I70*T70)</x:f>
        <x:v>42.20860276781362</x:v>
      </x:c>
    </x:row>
    <x:row r="71" ht="18" customHeight="1">
      <x:c r="A71" s="24" t="str">
        <x:v>EEZ_645</x:v>
      </x:c>
      <x:c r="B71" s="24" t="str">
        <x:v>Russia (Barents Sea)</x:v>
      </x:c>
      <x:c r="C71" s="24" t="str">
        <x:v>EEZ</x:v>
      </x:c>
      <x:c r="D71" s="30" t="n">
        <x:v>2019</x:v>
      </x:c>
      <x:c r="E71" s="24" t="str">
        <x:v>Donax</x:v>
      </x:c>
      <x:c r="F71" s="24" t="str">
        <x:v>Bean clams</x:v>
      </x:c>
      <x:c r="G71" s="24" t="str">
        <x:v>Other demersal invertebrates</x:v>
      </x:c>
      <x:c r="H71" s="24" t="str">
        <x:v>Molluscs</x:v>
      </x:c>
      <x:c r="I71" s="31" t="n">
        <x:v>0.057658511700000005</x:v>
      </x:c>
      <x:c r="J71" s="31" t="n">
        <x:v>0.057658511700000005</x:v>
      </x:c>
      <x:c r="K71" s="31" t="n">
        <x:v>0</x:v>
      </x:c>
      <x:c r="L71" s="31" t="n">
        <x:v>0.057658511700000005</x:v>
      </x:c>
      <x:c r="M71" s="31" t="n">
        <x:v>0</x:v>
      </x:c>
      <x:c r="N71" s="24" t="str">
        <x:v>donax</x:v>
      </x:c>
      <x:c r="O71" s="32" t="n">
        <x:v>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Donax</x:v>
      </x:c>
      <x:c r="T71" s="32" t="n">
        <x:f>IF(O71="","",(1/'Metadata'!$B$5)^(O71-1))</x:f>
        <x:v>10</x:v>
      </x:c>
      <x:c r="U71" s="31" t="n">
        <x:f>IF(T71="","",I71*T71)</x:f>
        <x:v>0.576585117</x:v>
      </x:c>
    </x:row>
    <x:row r="72" ht="18" customHeight="1">
      <x:c r="A72" s="24" t="str">
        <x:v>EEZ_645</x:v>
      </x:c>
      <x:c r="B72" s="24" t="str">
        <x:v>Russia (Barents Sea)</x:v>
      </x:c>
      <x:c r="C72" s="24" t="str">
        <x:v>EEZ</x:v>
      </x:c>
      <x:c r="D72" s="30" t="n">
        <x:v>2019</x:v>
      </x:c>
      <x:c r="E72" s="24" t="str">
        <x:v>Gaidropsarus</x:v>
      </x:c>
      <x:c r="F72" s="24" t="str">
        <x:v>Rocklings</x:v>
      </x:c>
      <x:c r="G72" s="24" t="str">
        <x:v>Medium benthopelagics (30 - 89 cm)</x:v>
      </x:c>
      <x:c r="H72" s="24" t="str">
        <x:v>Cod-likes</x:v>
      </x:c>
      <x:c r="I72" s="31" t="n">
        <x:v>0.052625274900000005</x:v>
      </x:c>
      <x:c r="J72" s="31" t="n">
        <x:v>0.052625274900000005</x:v>
      </x:c>
      <x:c r="K72" s="31" t="n">
        <x:v>0</x:v>
      </x:c>
      <x:c r="L72" s="31" t="n">
        <x:v>0.052625274900000005</x:v>
      </x:c>
      <x:c r="M72" s="31" t="n">
        <x:v>0</x:v>
      </x:c>
      <x:c r="N72" s="24" t="str">
        <x:v>gaidropsarus</x:v>
      </x:c>
      <x:c r="O72" s="32" t="n">
        <x:v>3.4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Gaidropsarus</x:v>
      </x:c>
      <x:c r="T72" s="32" t="n">
        <x:f>IF(O72="","",(1/'Metadata'!$B$5)^(O72-1))</x:f>
        <x:v>251.18864315095797</x:v>
      </x:c>
      <x:c r="U72" s="31" t="n">
        <x:f>IF(T72="","",I72*T72)</x:f>
        <x:v>13.218871397577166</x:v>
      </x:c>
    </x:row>
    <x:row r="73" ht="18" customHeight="1">
      <x:c r="A73" s="24" t="str">
        <x:v>EEZ_645</x:v>
      </x:c>
      <x:c r="B73" s="24" t="str">
        <x:v>Russia (Barents Sea)</x:v>
      </x:c>
      <x:c r="C73" s="24" t="str">
        <x:v>EEZ</x:v>
      </x:c>
      <x:c r="D73" s="30" t="n">
        <x:v>2019</x:v>
      </x:c>
      <x:c r="E73" s="24" t="str">
        <x:v>Anomura</x:v>
      </x:c>
      <x:c r="F73" s="24" t="str">
        <x:v>Craylets, squat lobsters, hermits</x:v>
      </x:c>
      <x:c r="G73" s="24" t="str">
        <x:v>Lobsters, crabs</x:v>
      </x:c>
      <x:c r="H73" s="24" t="str">
        <x:v>Crustaceans</x:v>
      </x:c>
      <x:c r="I73" s="31" t="n">
        <x:v>0.034851414500000004</x:v>
      </x:c>
      <x:c r="J73" s="31" t="n">
        <x:v>0.034851414500000004</x:v>
      </x:c>
      <x:c r="K73" s="31" t="n">
        <x:v>0</x:v>
      </x:c>
      <x:c r="L73" s="31" t="n">
        <x:v>0.034851414500000004</x:v>
      </x:c>
      <x:c r="M73" s="31" t="n">
        <x:v>0</x:v>
      </x:c>
      <x:c r="N73" s="24" t="str">
        <x:v>anomura</x:v>
      </x:c>
      <x:c r="O73" s="32" t="n">
        <x:v>3.1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Anomura</x:v>
      </x:c>
      <x:c r="T73" s="32" t="n">
        <x:f>IF(O73="","",(1/'Metadata'!$B$5)^(O73-1))</x:f>
        <x:v>125.89254117941675</x:v>
      </x:c>
      <x:c r="U73" s="31" t="n">
        <x:f>IF(T73="","",I73*T73)</x:f>
        <x:v>4.3875331351021725</x:v>
      </x:c>
    </x:row>
    <x:row r="74" ht="18" customHeight="1">
      <x:c r="A74" s="24" t="str">
        <x:v>EEZ_645</x:v>
      </x:c>
      <x:c r="B74" s="24" t="str">
        <x:v>Russia (Barents Sea)</x:v>
      </x:c>
      <x:c r="C74" s="24" t="str">
        <x:v>EEZ</x:v>
      </x:c>
      <x:c r="D74" s="30" t="n">
        <x:v>2019</x:v>
      </x:c>
      <x:c r="E74" s="24" t="str">
        <x:v>Squalidae</x:v>
      </x:c>
      <x:c r="F74" s="24" t="str">
        <x:v>Dogfish sharks</x:v>
      </x:c>
      <x:c r="G74" s="24" t="str">
        <x:v>Large sharks (&gt;=90 cm)</x:v>
      </x:c>
      <x:c r="H74" s="24" t="str">
        <x:v>Sharks &amp; rays</x:v>
      </x:c>
      <x:c r="I74" s="31" t="n">
        <x:v>0.031078036</x:v>
      </x:c>
      <x:c r="J74" s="31" t="n">
        <x:v>0.031078036</x:v>
      </x:c>
      <x:c r="K74" s="31" t="n">
        <x:v>0</x:v>
      </x:c>
      <x:c r="L74" s="31" t="n">
        <x:v>0.031078036</x:v>
      </x:c>
      <x:c r="M74" s="31" t="n">
        <x:v>0</x:v>
      </x:c>
      <x:c r="N74" s="24" t="str">
        <x:v>squalidae</x:v>
      </x:c>
      <x:c r="O74" s="32" t="n">
        <x:v>4.23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Squalidae</x:v>
      </x:c>
      <x:c r="T74" s="32" t="n">
        <x:f>IF(O74="","",(1/'Metadata'!$B$5)^(O74-1))</x:f>
        <x:v>1698.243652461746</x:v>
      </x:c>
      <x:c r="U74" s="31" t="n">
        <x:f>IF(T74="","",I74*T74)</x:f>
        <x:v>52.77807736797763</x:v>
      </x:c>
    </x:row>
    <x:row r="75" ht="18" customHeight="1">
      <x:c r="A75" s="24" t="str">
        <x:v>EEZ_645</x:v>
      </x:c>
      <x:c r="B75" s="24" t="str">
        <x:v>Russia (Barents Sea)</x:v>
      </x:c>
      <x:c r="C75" s="24" t="str">
        <x:v>EEZ</x:v>
      </x:c>
      <x:c r="D75" s="30" t="n">
        <x:v>2019</x:v>
      </x:c>
      <x:c r="E75" s="24" t="str">
        <x:v>Solen</x:v>
      </x:c>
      <x:c r="F75" s="24" t="str">
        <x:v>Razor clams</x:v>
      </x:c>
      <x:c r="G75" s="24" t="str">
        <x:v>Other demersal invertebrates</x:v>
      </x:c>
      <x:c r="H75" s="24" t="str">
        <x:v>Molluscs</x:v>
      </x:c>
      <x:c r="I75" s="31" t="n">
        <x:v>0.0214792452</x:v>
      </x:c>
      <x:c r="J75" s="31" t="n">
        <x:v>0.0214792452</x:v>
      </x:c>
      <x:c r="K75" s="31" t="n">
        <x:v>0</x:v>
      </x:c>
      <x:c r="L75" s="31" t="n">
        <x:v>0.0214792452</x:v>
      </x:c>
      <x:c r="M75" s="31" t="n">
        <x:v>0</x:v>
      </x:c>
      <x:c r="N75" s="24" t="str">
        <x:v>solen</x:v>
      </x:c>
      <x:c r="O75" s="32" t="n">
        <x:v>2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Solen</x:v>
      </x:c>
      <x:c r="T75" s="32" t="n">
        <x:f>IF(O75="","",(1/'Metadata'!$B$5)^(O75-1))</x:f>
        <x:v>10</x:v>
      </x:c>
      <x:c r="U75" s="31" t="n">
        <x:f>IF(T75="","",I75*T75)</x:f>
        <x:v>0.214792452</x:v>
      </x:c>
    </x:row>
    <x:row r="76" ht="18" customHeight="1">
      <x:c r="A76" s="24" t="str">
        <x:v>EEZ_645</x:v>
      </x:c>
      <x:c r="B76" s="24" t="str">
        <x:v>Russia (Barents Sea)</x:v>
      </x:c>
      <x:c r="C76" s="24" t="str">
        <x:v>EEZ</x:v>
      </x:c>
      <x:c r="D76" s="30" t="n">
        <x:v>2019</x:v>
      </x:c>
      <x:c r="E76" s="24" t="str">
        <x:v>Crangon crangon</x:v>
      </x:c>
      <x:c r="F76" s="24" t="str">
        <x:v>Common shrimp</x:v>
      </x:c>
      <x:c r="G76" s="24" t="str">
        <x:v>Shrimps</x:v>
      </x:c>
      <x:c r="H76" s="24" t="str">
        <x:v>Crustaceans</x:v>
      </x:c>
      <x:c r="I76" s="31" t="n">
        <x:v>0.0192717965</x:v>
      </x:c>
      <x:c r="J76" s="31" t="n">
        <x:v>0.0192717965</x:v>
      </x:c>
      <x:c r="K76" s="31" t="n">
        <x:v>0</x:v>
      </x:c>
      <x:c r="L76" s="31" t="n">
        <x:v>0.0192717965</x:v>
      </x:c>
      <x:c r="M76" s="31" t="n">
        <x:v>0</x:v>
      </x:c>
      <x:c r="N76" s="24" t="str">
        <x:v>crangon crangon</x:v>
      </x:c>
      <x:c r="O76" s="32" t="n">
        <x:v>3.19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Crangon crangon</x:v>
      </x:c>
      <x:c r="T76" s="32" t="n">
        <x:f>IF(O76="","",(1/'Metadata'!$B$5)^(O76-1))</x:f>
        <x:v>154.88166189124811</x:v>
      </x:c>
      <x:c r="U76" s="31" t="n">
        <x:f>IF(T76="","",I76*T76)</x:f>
        <x:v>2.984847869549939</x:v>
      </x:c>
    </x:row>
    <x:row r="77" ht="18" customHeight="1">
      <x:c r="A77" s="24" t="str">
        <x:v>EEZ_645</x:v>
      </x:c>
      <x:c r="B77" s="24" t="str">
        <x:v>Russia (Barents Sea)</x:v>
      </x:c>
      <x:c r="C77" s="24" t="str">
        <x:v>EEZ</x:v>
      </x:c>
      <x:c r="D77" s="30" t="n">
        <x:v>2019</x:v>
      </x:c>
      <x:c r="E77" s="24" t="str">
        <x:v>Miscellaneous aquatic invertebrates</x:v>
      </x:c>
      <x:c r="F77" s="24" t="str">
        <x:v>Aquatic invertebrates</x:v>
      </x:c>
      <x:c r="G77" s="24" t="str">
        <x:v>Other demersal invertebrates</x:v>
      </x:c>
      <x:c r="H77" s="24" t="str">
        <x:v>Other fishes &amp; inverts</x:v>
      </x:c>
      <x:c r="I77" s="31" t="n">
        <x:v>0.0170206836</x:v>
      </x:c>
      <x:c r="J77" s="31" t="n">
        <x:v>0.0170206836</x:v>
      </x:c>
      <x:c r="K77" s="31" t="n">
        <x:v>0</x:v>
      </x:c>
      <x:c r="L77" s="31" t="n">
        <x:v>0.0170206836</x:v>
      </x:c>
      <x:c r="M77" s="31" t="n">
        <x:v>0</x:v>
      </x:c>
      <x:c r="N77" s="24" t="str">
        <x:v>miscellaneous aquatic invertebrates</x:v>
      </x:c>
      <x:c r="O77" s="32" t="n">
        <x:v>2.43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Miscellaneous aquatic invertebrates</x:v>
      </x:c>
      <x:c r="T77" s="32" t="n">
        <x:f>IF(O77="","",(1/'Metadata'!$B$5)^(O77-1))</x:f>
        <x:v>26.915348039269166</x:v>
      </x:c>
      <x:c r="U77" s="31" t="n">
        <x:f>IF(T77="","",I77*T77)</x:f>
        <x:v>0.4581176229602808</x:v>
      </x:c>
    </x:row>
    <x:row r="78" ht="18" customHeight="1">
      <x:c r="A78" s="24" t="str">
        <x:v>EEZ_645</x:v>
      </x:c>
      <x:c r="B78" s="24" t="str">
        <x:v>Russia (Barents Sea)</x:v>
      </x:c>
      <x:c r="C78" s="24" t="str">
        <x:v>EEZ</x:v>
      </x:c>
      <x:c r="D78" s="30" t="n">
        <x:v>2019</x:v>
      </x:c>
      <x:c r="E78" s="24" t="str">
        <x:v>Murex</x:v>
      </x:c>
      <x:c r="F78" s="24" t="str">
        <x:v>Murex shells</x:v>
      </x:c>
      <x:c r="G78" s="24" t="str">
        <x:v>Other demersal invertebrates</x:v>
      </x:c>
      <x:c r="H78" s="24" t="str">
        <x:v>Molluscs</x:v>
      </x:c>
      <x:c r="I78" s="31" t="n">
        <x:v>0.0169066821</x:v>
      </x:c>
      <x:c r="J78" s="31" t="n">
        <x:v>0.0169066821</x:v>
      </x:c>
      <x:c r="K78" s="31" t="n">
        <x:v>0</x:v>
      </x:c>
      <x:c r="L78" s="31" t="n">
        <x:v>0.0169066821</x:v>
      </x:c>
      <x:c r="M78" s="31" t="n">
        <x:v>0</x:v>
      </x:c>
      <x:c r="N78" s="24" t="str">
        <x:v>murex</x:v>
      </x:c>
      <x:c r="O78" s="32" t="n">
        <x:v>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Murex</x:v>
      </x:c>
      <x:c r="T78" s="32" t="n">
        <x:f>IF(O78="","",(1/'Metadata'!$B$5)^(O78-1))</x:f>
        <x:v>10</x:v>
      </x:c>
      <x:c r="U78" s="31" t="n">
        <x:f>IF(T78="","",I78*T78)</x:f>
        <x:v>0.169066821</x:v>
      </x:c>
    </x:row>
    <x:row r="79" ht="18" customHeight="1">
      <x:c r="A79" s="24" t="str">
        <x:v>EEZ_645</x:v>
      </x:c>
      <x:c r="B79" s="24" t="str">
        <x:v>Russia (Barents Sea)</x:v>
      </x:c>
      <x:c r="C79" s="24" t="str">
        <x:v>EEZ</x:v>
      </x:c>
      <x:c r="D79" s="30" t="n">
        <x:v>2019</x:v>
      </x:c>
      <x:c r="E79" s="24" t="str">
        <x:v>Bivalvia</x:v>
      </x:c>
      <x:c r="F79" s="24" t="str">
        <x:v>Clams</x:v>
      </x:c>
      <x:c r="G79" s="24" t="str">
        <x:v>Other demersal invertebrates</x:v>
      </x:c>
      <x:c r="H79" s="24" t="str">
        <x:v>Molluscs</x:v>
      </x:c>
      <x:c r="I79" s="31" t="n">
        <x:v>0.0139867754</x:v>
      </x:c>
      <x:c r="J79" s="31" t="n">
        <x:v>0.0139867754</x:v>
      </x:c>
      <x:c r="K79" s="31" t="n">
        <x:v>0</x:v>
      </x:c>
      <x:c r="L79" s="31" t="n">
        <x:v>0.0139867754</x:v>
      </x:c>
      <x:c r="M79" s="31" t="n">
        <x:v>0</x:v>
      </x:c>
      <x:c r="N79" s="24" t="str">
        <x:v>bivalvia</x:v>
      </x:c>
      <x:c r="O79" s="32" t="n">
        <x:v>2.23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Bivalvia</x:v>
      </x:c>
      <x:c r="T79" s="32" t="n">
        <x:f>IF(O79="","",(1/'Metadata'!$B$5)^(O79-1))</x:f>
        <x:v>16.982436524617444</x:v>
      </x:c>
      <x:c r="U79" s="31" t="n">
        <x:f>IF(T79="","",I79*T79)</x:f>
        <x:v>0.23752952541458078</x:v>
      </x:c>
    </x:row>
    <x:row r="80" ht="18" customHeight="1">
      <x:c r="A80" s="24" t="str">
        <x:v>EEZ_645</x:v>
      </x:c>
      <x:c r="B80" s="24" t="str">
        <x:v>Russia (Barents Sea)</x:v>
      </x:c>
      <x:c r="C80" s="24" t="str">
        <x:v>EEZ</x:v>
      </x:c>
      <x:c r="D80" s="30" t="n">
        <x:v>2019</x:v>
      </x:c>
      <x:c r="E80" s="24" t="str">
        <x:v>Elasmobranchii</x:v>
      </x:c>
      <x:c r="F80" s="24" t="str">
        <x:v>Sharks, rays, skates</x:v>
      </x:c>
      <x:c r="G80" s="24" t="str">
        <x:v>Large sharks (&gt;=90 cm)</x:v>
      </x:c>
      <x:c r="H80" s="24" t="str">
        <x:v>Sharks &amp; rays</x:v>
      </x:c>
      <x:c r="I80" s="31" t="n">
        <x:v>0.0110580338</x:v>
      </x:c>
      <x:c r="J80" s="31" t="n">
        <x:v>0.0110580338</x:v>
      </x:c>
      <x:c r="K80" s="31" t="n">
        <x:v>0</x:v>
      </x:c>
      <x:c r="L80" s="31" t="n">
        <x:v>0.0110580338</x:v>
      </x:c>
      <x:c r="M80" s="31" t="n">
        <x:v>0</x:v>
      </x:c>
      <x:c r="N80" s="24" t="str">
        <x:v>elasmobranchii</x:v>
      </x:c>
      <x:c r="O80" s="32" t="n">
        <x:v>4.05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Elasmobranchii</x:v>
      </x:c>
      <x:c r="T80" s="32" t="n">
        <x:f>IF(O80="","",(1/'Metadata'!$B$5)^(O80-1))</x:f>
        <x:v>1122.018454301963</x:v>
      </x:c>
      <x:c r="U80" s="31" t="n">
        <x:f>IF(T80="","",I80*T80)</x:f>
        <x:v>12.407317991894862</x:v>
      </x:c>
    </x:row>
    <x:row r="81" ht="18" customHeight="1">
      <x:c r="A81" s="24" t="str">
        <x:v>EEZ_645</x:v>
      </x:c>
      <x:c r="B81" s="24" t="str">
        <x:v>Russia (Barents Sea)</x:v>
      </x:c>
      <x:c r="C81" s="24" t="str">
        <x:v>EEZ</x:v>
      </x:c>
      <x:c r="D81" s="30" t="n">
        <x:v>2019</x:v>
      </x:c>
      <x:c r="E81" s="24" t="str">
        <x:v>Trisopterus esmarkii</x:v>
      </x:c>
      <x:c r="F81" s="24" t="str">
        <x:v>Norway pout</x:v>
      </x:c>
      <x:c r="G81" s="24" t="str">
        <x:v>Medium benthopelagics (30 - 89 cm)</x:v>
      </x:c>
      <x:c r="H81" s="24" t="str">
        <x:v>Cod-likes</x:v>
      </x:c>
      <x:c r="I81" s="31" t="n">
        <x:v>0.0106750018</x:v>
      </x:c>
      <x:c r="J81" s="31" t="n">
        <x:v>0.0106750018</x:v>
      </x:c>
      <x:c r="K81" s="31" t="n">
        <x:v>0</x:v>
      </x:c>
      <x:c r="L81" s="31" t="n">
        <x:v>0.0106750018</x:v>
      </x:c>
      <x:c r="M81" s="31" t="n">
        <x:v>0</x:v>
      </x:c>
      <x:c r="N81" s="24" t="str">
        <x:v>trisopterus esmarkii</x:v>
      </x:c>
      <x:c r="O81" s="32" t="n">
        <x:v>3.24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Trisopterus esmarkii</x:v>
      </x:c>
      <x:c r="T81" s="32" t="n">
        <x:f>IF(O81="","",(1/'Metadata'!$B$5)^(O81-1))</x:f>
        <x:v>173.78008287493762</x:v>
      </x:c>
      <x:c r="U81" s="31" t="n">
        <x:f>IF(T81="","",I81*T81)</x:f>
        <x:v>1.8551026974941083</x:v>
      </x:c>
    </x:row>
    <x:row r="82" ht="18" customHeight="1">
      <x:c r="A82" s="24" t="str">
        <x:v>EEZ_645</x:v>
      </x:c>
      <x:c r="B82" s="24" t="str">
        <x:v>Russia (Barents Sea)</x:v>
      </x:c>
      <x:c r="C82" s="24" t="str">
        <x:v>EEZ</x:v>
      </x:c>
      <x:c r="D82" s="30" t="n">
        <x:v>2019</x:v>
      </x:c>
      <x:c r="E82" s="24" t="str">
        <x:v>Squalus acanthias</x:v>
      </x:c>
      <x:c r="F82" s="24" t="str">
        <x:v>Picked dogfish</x:v>
      </x:c>
      <x:c r="G82" s="24" t="str">
        <x:v>Large sharks (&gt;=90 cm)</x:v>
      </x:c>
      <x:c r="H82" s="24" t="str">
        <x:v>Sharks &amp; rays</x:v>
      </x:c>
      <x:c r="I82" s="31" t="n">
        <x:v>0.009015717099999999</x:v>
      </x:c>
      <x:c r="J82" s="31" t="n">
        <x:v>0.009015717099999999</x:v>
      </x:c>
      <x:c r="K82" s="31" t="n">
        <x:v>0</x:v>
      </x:c>
      <x:c r="L82" s="31" t="n">
        <x:v>0.009015717099999999</x:v>
      </x:c>
      <x:c r="M82" s="31" t="n">
        <x:v>0</x:v>
      </x:c>
      <x:c r="N82" s="24" t="str">
        <x:v>squalus acanthias</x:v>
      </x:c>
      <x:c r="O82" s="32" t="n">
        <x:v>4.37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Squalus acanthias</x:v>
      </x:c>
      <x:c r="T82" s="32" t="n">
        <x:f>IF(O82="","",(1/'Metadata'!$B$5)^(O82-1))</x:f>
        <x:v>2344.228815319923</x:v>
      </x:c>
      <x:c r="U82" s="31" t="n">
        <x:f>IF(T82="","",I82*T82)</x:f>
        <x:v>21.13490381659257</x:v>
      </x:c>
    </x:row>
    <x:row r="83" ht="18" customHeight="1">
      <x:c r="A83" s="24" t="str">
        <x:v>EEZ_645</x:v>
      </x:c>
      <x:c r="B83" s="24" t="str">
        <x:v>Russia (Barents Sea)</x:v>
      </x:c>
      <x:c r="C83" s="24" t="str">
        <x:v>EEZ</x:v>
      </x:c>
      <x:c r="D83" s="30" t="n">
        <x:v>2019</x:v>
      </x:c>
      <x:c r="E83" s="24" t="str">
        <x:v>Molva</x:v>
      </x:c>
      <x:c r="F83" s="24" t="str">
        <x:v>Lings</x:v>
      </x:c>
      <x:c r="G83" s="24" t="str">
        <x:v>Large demersals (&gt;=90 cm)</x:v>
      </x:c>
      <x:c r="H83" s="24" t="str">
        <x:v>Cod-likes</x:v>
      </x:c>
      <x:c r="I83" s="31" t="n">
        <x:v>0.005957585400000001</x:v>
      </x:c>
      <x:c r="J83" s="31" t="n">
        <x:v>0.005957585400000001</x:v>
      </x:c>
      <x:c r="K83" s="31" t="n">
        <x:v>0</x:v>
      </x:c>
      <x:c r="L83" s="31" t="n">
        <x:v>0.005957585400000001</x:v>
      </x:c>
      <x:c r="M83" s="31" t="n">
        <x:v>0</x:v>
      </x:c>
      <x:c r="N83" s="24" t="str">
        <x:v>molva</x:v>
      </x:c>
      <x:c r="O83" s="32" t="n">
        <x:v>4.19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Molva</x:v>
      </x:c>
      <x:c r="T83" s="32" t="n">
        <x:f>IF(O83="","",(1/'Metadata'!$B$5)^(O83-1))</x:f>
        <x:v>1548.8166189124827</x:v>
      </x:c>
      <x:c r="U83" s="31" t="n">
        <x:f>IF(T83="","",I83*T83)</x:f>
        <x:v>9.227207276110372</x:v>
      </x:c>
    </x:row>
    <x:row r="84" ht="18" customHeight="1">
      <x:c r="A84" s="24" t="str">
        <x:v>EEZ_645</x:v>
      </x:c>
      <x:c r="B84" s="24" t="str">
        <x:v>Russia (Barents Sea)</x:v>
      </x:c>
      <x:c r="C84" s="24" t="str">
        <x:v>EEZ</x:v>
      </x:c>
      <x:c r="D84" s="30" t="n">
        <x:v>2019</x:v>
      </x:c>
      <x:c r="E84" s="24" t="str">
        <x:v>Solen vagina</x:v>
      </x:c>
      <x:c r="F84" s="24" t="str">
        <x:v>European razor clam</x:v>
      </x:c>
      <x:c r="G84" s="24" t="str">
        <x:v>Other demersal invertebrates</x:v>
      </x:c>
      <x:c r="H84" s="24" t="str">
        <x:v>Molluscs</x:v>
      </x:c>
      <x:c r="I84" s="31" t="n">
        <x:v>0.005919512300000001</x:v>
      </x:c>
      <x:c r="J84" s="31" t="n">
        <x:v>0.005919512300000001</x:v>
      </x:c>
      <x:c r="K84" s="31" t="n">
        <x:v>0</x:v>
      </x:c>
      <x:c r="L84" s="31" t="n">
        <x:v>0.005919512300000001</x:v>
      </x:c>
      <x:c r="M84" s="31" t="n">
        <x:v>0</x:v>
      </x:c>
      <x:c r="N84" s="24" t="str">
        <x:v>solen vagina</x:v>
      </x:c>
      <x:c r="O84" s="32" t="n">
        <x:v>2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Solen vagina</x:v>
      </x:c>
      <x:c r="T84" s="32" t="n">
        <x:f>IF(O84="","",(1/'Metadata'!$B$5)^(O84-1))</x:f>
        <x:v>10</x:v>
      </x:c>
      <x:c r="U84" s="31" t="n">
        <x:f>IF(T84="","",I84*T84)</x:f>
        <x:v>0.059195123</x:v>
      </x:c>
    </x:row>
    <x:row r="85" ht="18" customHeight="1">
      <x:c r="A85" s="24" t="str">
        <x:v>EEZ_645</x:v>
      </x:c>
      <x:c r="B85" s="24" t="str">
        <x:v>Russia (Barents Sea)</x:v>
      </x:c>
      <x:c r="C85" s="24" t="str">
        <x:v>EEZ</x:v>
      </x:c>
      <x:c r="D85" s="30" t="n">
        <x:v>2019</x:v>
      </x:c>
      <x:c r="E85" s="24" t="str">
        <x:v>Lamnidae</x:v>
      </x:c>
      <x:c r="F85" s="24" t="str">
        <x:v>Mackerel/white sharks</x:v>
      </x:c>
      <x:c r="G85" s="24" t="str">
        <x:v>Large sharks (&gt;=90 cm)</x:v>
      </x:c>
      <x:c r="H85" s="24" t="str">
        <x:v>Sharks &amp; rays</x:v>
      </x:c>
      <x:c r="I85" s="31" t="n">
        <x:v>0.005452754</x:v>
      </x:c>
      <x:c r="J85" s="31" t="n">
        <x:v>0.005452754</x:v>
      </x:c>
      <x:c r="K85" s="31" t="n">
        <x:v>0</x:v>
      </x:c>
      <x:c r="L85" s="31" t="n">
        <x:v>0.005452754</x:v>
      </x:c>
      <x:c r="M85" s="31" t="n">
        <x:v>0</x:v>
      </x:c>
      <x:c r="N85" s="24" t="str">
        <x:v>lamnidae</x:v>
      </x:c>
      <x:c r="O85" s="32" t="n">
        <x:v>4.5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Lamnidae</x:v>
      </x:c>
      <x:c r="T85" s="32" t="n">
        <x:f>IF(O85="","",(1/'Metadata'!$B$5)^(O85-1))</x:f>
        <x:v>3162.2776601683795</x:v>
      </x:c>
      <x:c r="U85" s="31" t="n">
        <x:f>IF(T85="","",I85*T85)</x:f>
        <x:v>17.24312216059377</x:v>
      </x:c>
    </x:row>
    <x:row r="86" ht="18" customHeight="1">
      <x:c r="A86" s="24" t="str">
        <x:v>EEZ_645</x:v>
      </x:c>
      <x:c r="B86" s="24" t="str">
        <x:v>Russia (Barents Sea)</x:v>
      </x:c>
      <x:c r="C86" s="24" t="str">
        <x:v>EEZ</x:v>
      </x:c>
      <x:c r="D86" s="30" t="n">
        <x:v>2019</x:v>
      </x:c>
      <x:c r="E86" s="24" t="str">
        <x:v>Dendrobranchiata</x:v>
      </x:c>
      <x:c r="F86" s="24" t="str">
        <x:v>Shrimps and prawns</x:v>
      </x:c>
      <x:c r="G86" s="24" t="str">
        <x:v>Shrimps</x:v>
      </x:c>
      <x:c r="H86" s="24" t="str">
        <x:v>Crustaceans</x:v>
      </x:c>
      <x:c r="I86" s="31" t="n">
        <x:v>0.0049646389</x:v>
      </x:c>
      <x:c r="J86" s="31" t="n">
        <x:v>0.0049646389</x:v>
      </x:c>
      <x:c r="K86" s="31" t="n">
        <x:v>0</x:v>
      </x:c>
      <x:c r="L86" s="31" t="n">
        <x:v>0.0049646389</x:v>
      </x:c>
      <x:c r="M86" s="31" t="n">
        <x:v>0</x:v>
      </x:c>
      <x:c r="N86" s="24" t="str">
        <x:v>dendrobranchiata</x:v>
      </x:c>
      <x:c r="O86" s="32" t="n">
        <x:v>3.24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Dendrobranchiata</x:v>
      </x:c>
      <x:c r="T86" s="32" t="n">
        <x:f>IF(O86="","",(1/'Metadata'!$B$5)^(O86-1))</x:f>
        <x:v>173.78008287493762</x:v>
      </x:c>
      <x:c r="U86" s="31" t="n">
        <x:f>IF(T86="","",I86*T86)</x:f>
        <x:v>0.8627553594861392</x:v>
      </x:c>
    </x:row>
    <x:row r="87" ht="18" customHeight="1">
      <x:c r="A87" s="24" t="str">
        <x:v>EEZ_645</x:v>
      </x:c>
      <x:c r="B87" s="24" t="str">
        <x:v>Russia (Barents Sea)</x:v>
      </x:c>
      <x:c r="C87" s="24" t="str">
        <x:v>EEZ</x:v>
      </x:c>
      <x:c r="D87" s="30" t="n">
        <x:v>2019</x:v>
      </x:c>
      <x:c r="E87" s="24" t="str">
        <x:v>Acipenser sturio</x:v>
      </x:c>
      <x:c r="F87" s="24" t="str">
        <x:v>Sturgeon</x:v>
      </x:c>
      <x:c r="G87" s="24" t="str">
        <x:v>Large demersals (&gt;=90 cm)</x:v>
      </x:c>
      <x:c r="H87" s="24" t="str">
        <x:v>Other fishes &amp; inverts</x:v>
      </x:c>
      <x:c r="I87" s="31" t="n">
        <x:v>0.0015173027000000001</x:v>
      </x:c>
      <x:c r="J87" s="31" t="n">
        <x:v>0.0015173027000000001</x:v>
      </x:c>
      <x:c r="K87" s="31" t="n">
        <x:v>0</x:v>
      </x:c>
      <x:c r="L87" s="31" t="n">
        <x:v>0.0015173027000000001</x:v>
      </x:c>
      <x:c r="M87" s="31" t="n">
        <x:v>0</x:v>
      </x:c>
      <x:c r="N87" s="24" t="str">
        <x:v>acipenser sturio</x:v>
      </x:c>
      <x:c r="O87" s="32" t="n">
        <x:v>3.51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Acipenser sturio</x:v>
      </x:c>
      <x:c r="T87" s="32" t="n">
        <x:f>IF(O87="","",(1/'Metadata'!$B$5)^(O87-1))</x:f>
        <x:v>323.5936569296281</x:v>
      </x:c>
      <x:c r="U87" s="31" t="n">
        <x:f>IF(T87="","",I87*T87)</x:f>
        <x:v>0.4909895293621984</x:v>
      </x:c>
    </x:row>
  </x:sheetData>
  <x:conditionalFormatting sqref="R2:R8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34eddaff3a843e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17</x:v>
      </x:c>
      <x:c r="C2" s="33" t="n">
        <x:v>17</x:v>
      </x:c>
      <x:c r="D2" s="31" t="n">
        <x:v>190832.3330938893</x:v>
      </x:c>
      <x:c r="E2" s="31" t="n">
        <x:v>190832.3330938893</x:v>
      </x:c>
      <x:c r="F2" s="32" t="n">
        <x:v>0</x:v>
      </x:c>
      <x:c r="G2" s="34" t="n">
        <x:v>1</x:v>
      </x:c>
      <x:c r="H2" s="32" t="n">
        <x:f>IF(E2=0,"",I2/E2)</x:f>
        <x:v>1206.4277186770348</x:v>
      </x:c>
      <x:c r="I2" s="31" t="n">
        <x:f>IF(C2=0,"",SUMIF('Species'!$H$2:$H$87,A2,'Species'!$U$2:$U$87))</x:f>
        <x:v>230225416.2642769</x:v>
      </x:c>
      <x:c r="J2" s="32" t="n">
        <x:v>4.075254415014003</x:v>
      </x:c>
      <x:c r="K2" s="32" t="n">
        <x:f>IF(J2="","",(1/'Metadata'!$B$5)^(J2-1))</x:f>
        <x:v>1189.1986705362974</x:v>
      </x:c>
      <x:c r="L2" s="31" t="n">
        <x:f>IF(E2=0,"",E2*K2)</x:f>
        <x:v>226937556.810593</x:v>
      </x:c>
      <x:c r="M2" s="31" t="n">
        <x:f>IF(E2=0,"",I2-L2)</x:f>
        <x:v>3287859.453683883</x:v>
      </x:c>
      <x:c r="N2" s="32" t="n">
        <x:f>IF(L2=0,"",I2/L2)</x:f>
        <x:v>1.01448794769756</x:v>
      </x:c>
      <x:c r="O2" s="34" t="n">
        <x:f>IF(L2=0,"",M2/L2)</x:f>
        <x:v>0.014487947697559825</x:v>
      </x:c>
    </x:row>
    <x:row r="3" ht="18" customHeight="1">
      <x:c r="A3" s="24" t="str">
        <x:v>Crustaceans</x:v>
      </x:c>
      <x:c r="B3" s="33" t="n">
        <x:v>7</x:v>
      </x:c>
      <x:c r="C3" s="33" t="n">
        <x:v>7</x:v>
      </x:c>
      <x:c r="D3" s="31" t="n">
        <x:v>16098.0022037795</x:v>
      </x:c>
      <x:c r="E3" s="31" t="n">
        <x:v>16098.0022037795</x:v>
      </x:c>
      <x:c r="F3" s="32" t="n">
        <x:v>0</x:v>
      </x:c>
      <x:c r="G3" s="34" t="n">
        <x:v>1</x:v>
      </x:c>
      <x:c r="H3" s="32" t="n">
        <x:f>IF(E3=0,"",I3/E3)</x:f>
        <x:v>422.97336910878397</x:v>
      </x:c>
      <x:c r="I3" s="31" t="n">
        <x:f>IF(C3=0,"",SUMIF('Species'!$H$2:$H$87,A3,'Species'!$U$2:$U$87))</x:f>
        <x:v>6809026.228053245</x:v>
      </x:c>
      <x:c r="J3" s="32" t="n">
        <x:v>3.6183264235981505</x:v>
      </x:c>
      <x:c r="K3" s="32" t="n">
        <x:f>IF(J3="","",(1/'Metadata'!$B$5)^(J3-1))</x:f>
        <x:v>415.2660468474025</x:v>
      </x:c>
      <x:c r="L3" s="31" t="n">
        <x:f>IF(E3=0,"",E3*K3)</x:f>
        <x:v>6684953.737304287</x:v>
      </x:c>
      <x:c r="M3" s="31" t="n">
        <x:f>IF(E3=0,"",I3-L3)</x:f>
        <x:v>124072.49074895773</x:v>
      </x:c>
      <x:c r="N3" s="32" t="n">
        <x:f>IF(L3=0,"",I3/L3)</x:f>
        <x:v>1.0185599625105244</x:v>
      </x:c>
      <x:c r="O3" s="34" t="n">
        <x:f>IF(L3=0,"",M3/L3)</x:f>
        <x:v>0.018559962510524428</x:v>
      </x:c>
    </x:row>
    <x:row r="4" ht="18" customHeight="1">
      <x:c r="A4" s="24" t="str">
        <x:v>Flatfishes</x:v>
      </x:c>
      <x:c r="B4" s="33" t="n">
        <x:v>8</x:v>
      </x:c>
      <x:c r="C4" s="33" t="n">
        <x:v>8</x:v>
      </x:c>
      <x:c r="D4" s="31" t="n">
        <x:v>13472.3691533404</x:v>
      </x:c>
      <x:c r="E4" s="31" t="n">
        <x:v>13472.3691533404</x:v>
      </x:c>
      <x:c r="F4" s="32" t="n">
        <x:v>0</x:v>
      </x:c>
      <x:c r="G4" s="34" t="n">
        <x:v>1</x:v>
      </x:c>
      <x:c r="H4" s="32" t="n">
        <x:f>IF(E4=0,"",I4/E4)</x:f>
        <x:v>628.9920122896621</x:v>
      </x:c>
      <x:c r="I4" s="31" t="n">
        <x:f>IF(C4=0,"",SUMIF('Species'!$H$2:$H$87,A4,'Species'!$U$2:$U$87))</x:f>
        <x:v>8474012.58406875</x:v>
      </x:c>
      <x:c r="J4" s="32" t="n">
        <x:v>3.53988181463753</x:v>
      </x:c>
      <x:c r="K4" s="32" t="n">
        <x:f>IF(J4="","",(1/'Metadata'!$B$5)^(J4-1))</x:f>
        <x:v>346.6425051483892</x:v>
      </x:c>
      <x:c r="L4" s="31" t="n">
        <x:f>IF(E4=0,"",E4*K4)</x:f>
        <x:v>4670095.7935978</x:v>
      </x:c>
      <x:c r="M4" s="31" t="n">
        <x:f>IF(E4=0,"",I4-L4)</x:f>
        <x:v>3803916.7904709494</x:v>
      </x:c>
      <x:c r="N4" s="32" t="n">
        <x:f>IF(L4=0,"",I4/L4)</x:f>
        <x:v>1.8145265019372216</x:v>
      </x:c>
      <x:c r="O4" s="34" t="n">
        <x:f>IF(L4=0,"",M4/L4)</x:f>
        <x:v>0.8145265019372218</x:v>
      </x:c>
    </x:row>
    <x:row r="5" ht="18" customHeight="1">
      <x:c r="A5" s="24" t="str">
        <x:v>Herring-likes</x:v>
      </x:c>
      <x:c r="B5" s="33" t="n">
        <x:v>2</x:v>
      </x:c>
      <x:c r="C5" s="33" t="n">
        <x:v>2</x:v>
      </x:c>
      <x:c r="D5" s="31" t="n">
        <x:v>1068.491032814</x:v>
      </x:c>
      <x:c r="E5" s="31" t="n">
        <x:v>1068.491032814</x:v>
      </x:c>
      <x:c r="F5" s="32" t="n">
        <x:v>0</x:v>
      </x:c>
      <x:c r="G5" s="34" t="n">
        <x:v>1</x:v>
      </x:c>
      <x:c r="H5" s="32" t="n">
        <x:f>IF(E5=0,"",I5/E5)</x:f>
        <x:v>223.0755149414232</x:v>
      </x:c>
      <x:c r="I5" s="31" t="n">
        <x:f>IF(C5=0,"",SUMIF('Species'!$H$2:$H$87,A5,'Species'!$U$2:$U$87))</x:f>
        <x:v>238354.18735527614</x:v>
      </x:c>
      <x:c r="J5" s="32" t="n">
        <x:v>3.3412152558678274</x:v>
      </x:c>
      <x:c r="K5" s="32" t="n">
        <x:f>IF(J5="","",(1/'Metadata'!$B$5)^(J5-1))</x:f>
        <x:v>219.38920574393708</x:v>
      </x:c>
      <x:c r="L5" s="31" t="n">
        <x:f>IF(E5=0,"",E5*K5)</x:f>
        <x:v>234415.39903358245</x:v>
      </x:c>
      <x:c r="M5" s="31" t="n">
        <x:f>IF(E5=0,"",I5-L5)</x:f>
        <x:v>3938.78832169369</x:v>
      </x:c>
      <x:c r="N5" s="32" t="n">
        <x:f>IF(L5=0,"",I5/L5)</x:f>
        <x:v>1.0168026005882378</x:v>
      </x:c>
      <x:c r="O5" s="34" t="n">
        <x:f>IF(L5=0,"",M5/L5)</x:f>
        <x:v>0.01680260058823788</x:v>
      </x:c>
    </x:row>
    <x:row r="6" ht="18" customHeight="1">
      <x:c r="A6" s="24" t="str">
        <x:v>Molluscs</x:v>
      </x:c>
      <x:c r="B6" s="33" t="n">
        <x:v>13</x:v>
      </x:c>
      <x:c r="C6" s="33" t="n">
        <x:v>13</x:v>
      </x:c>
      <x:c r="D6" s="31" t="n">
        <x:v>12.0232923311</x:v>
      </x:c>
      <x:c r="E6" s="31" t="n">
        <x:v>12.0232923311</x:v>
      </x:c>
      <x:c r="F6" s="32" t="n">
        <x:v>0</x:v>
      </x:c>
      <x:c r="G6" s="34" t="n">
        <x:v>1</x:v>
      </x:c>
      <x:c r="H6" s="32" t="n">
        <x:f>IF(E6=0,"",I6/E6)</x:f>
        <x:v>11.201503566167187</x:v>
      </x:c>
      <x:c r="I6" s="31" t="n">
        <x:f>IF(C6=0,"",SUMIF('Species'!$H$2:$H$87,A6,'Species'!$U$2:$U$87))</x:f>
        <x:v>134.67895192388724</x:v>
      </x:c>
      <x:c r="J6" s="32" t="n">
        <x:v>2.019537947107746</x:v>
      </x:c>
      <x:c r="K6" s="32" t="n">
        <x:f>IF(J6="","",(1/'Metadata'!$B$5)^(J6-1))</x:f>
        <x:v>10.460150835493268</x:v>
      </x:c>
      <x:c r="L6" s="31" t="n">
        <x:f>IF(E6=0,"",E6*K6)</x:f>
        <x:v>125.76545132253547</x:v>
      </x:c>
      <x:c r="M6" s="31" t="n">
        <x:f>IF(E6=0,"",I6-L6)</x:f>
        <x:v>8.913500601351771</x:v>
      </x:c>
      <x:c r="N6" s="32" t="n">
        <x:f>IF(L6=0,"",I6/L6)</x:f>
        <x:v>1.0708740000343369</x:v>
      </x:c>
      <x:c r="O6" s="34" t="n">
        <x:f>IF(L6=0,"",M6/L6)</x:f>
        <x:v>0.07087400003433687</x:v>
      </x:c>
    </x:row>
    <x:row r="7" ht="18" customHeight="1">
      <x:c r="A7" s="24" t="str">
        <x:v>Other fishes &amp; inverts</x:v>
      </x:c>
      <x:c r="B7" s="33" t="n">
        <x:v>9</x:v>
      </x:c>
      <x:c r="C7" s="33" t="n">
        <x:v>9</x:v>
      </x:c>
      <x:c r="D7" s="31" t="n">
        <x:v>24787.113693249205</x:v>
      </x:c>
      <x:c r="E7" s="31" t="n">
        <x:v>24787.113693249205</x:v>
      </x:c>
      <x:c r="F7" s="32" t="n">
        <x:v>0</x:v>
      </x:c>
      <x:c r="G7" s="34" t="n">
        <x:v>1</x:v>
      </x:c>
      <x:c r="H7" s="32" t="n">
        <x:f>IF(E7=0,"",I7/E7)</x:f>
        <x:v>188.6771813094793</x:v>
      </x:c>
      <x:c r="I7" s="31" t="n">
        <x:f>IF(C7=0,"",SUMIF('Species'!$H$2:$H$87,A7,'Species'!$U$2:$U$87))</x:f>
        <x:v>4676762.744439857</x:v>
      </x:c>
      <x:c r="J7" s="32" t="n">
        <x:v>3.27078723885127</x:v>
      </x:c>
      <x:c r="K7" s="32" t="n">
        <x:f>IF(J7="","",(1/'Metadata'!$B$5)^(J7-1))</x:f>
        <x:v>186.54655741435033</x:v>
      </x:c>
      <x:c r="L7" s="31" t="n">
        <x:f>IF(E7=0,"",E7*K7)</x:f>
        <x:v>4623950.727713742</x:v>
      </x:c>
      <x:c r="M7" s="31" t="n">
        <x:f>IF(E7=0,"",I7-L7)</x:f>
        <x:v>52812.01672611479</x:v>
      </x:c>
      <x:c r="N7" s="32" t="n">
        <x:f>IF(L7=0,"",I7/L7)</x:f>
        <x:v>1.0114214055979414</x:v>
      </x:c>
      <x:c r="O7" s="34" t="n">
        <x:f>IF(L7=0,"",M7/L7)</x:f>
        <x:v>0.011421405597941366</x:v>
      </x:c>
    </x:row>
    <x:row r="8" ht="18" customHeight="1">
      <x:c r="A8" s="24" t="str">
        <x:v>Perch-likes</x:v>
      </x:c>
      <x:c r="B8" s="33" t="n">
        <x:v>11</x:v>
      </x:c>
      <x:c r="C8" s="33" t="n">
        <x:v>11</x:v>
      </x:c>
      <x:c r="D8" s="31" t="n">
        <x:v>7855.289832462699</x:v>
      </x:c>
      <x:c r="E8" s="31" t="n">
        <x:v>7855.289832462699</x:v>
      </x:c>
      <x:c r="F8" s="32" t="n">
        <x:v>0</x:v>
      </x:c>
      <x:c r="G8" s="34" t="n">
        <x:v>1</x:v>
      </x:c>
      <x:c r="H8" s="32" t="n">
        <x:f>IF(E8=0,"",I8/E8)</x:f>
        <x:v>404.8506234999867</x:v>
      </x:c>
      <x:c r="I8" s="31" t="n">
        <x:f>IF(C8=0,"",SUMIF('Species'!$H$2:$H$87,A8,'Species'!$U$2:$U$87))</x:f>
        <x:v>3180218.98644563</x:v>
      </x:c>
      <x:c r="J8" s="32" t="n">
        <x:v>3.578149923447253</x:v>
      </x:c>
      <x:c r="K8" s="32" t="n">
        <x:f>IF(J8="","",(1/'Metadata'!$B$5)^(J8-1))</x:f>
        <x:v>378.57324999971615</x:v>
      </x:c>
      <x:c r="L8" s="31" t="n">
        <x:f>IF(E8=0,"",E8*K8)</x:f>
        <x:v>2973802.60156513</x:v>
      </x:c>
      <x:c r="M8" s="31" t="n">
        <x:f>IF(E8=0,"",I8-L8)</x:f>
        <x:v>206416.3848804999</x:v>
      </x:c>
      <x:c r="N8" s="32" t="n">
        <x:f>IF(L8=0,"",I8/L8)</x:f>
        <x:v>1.069411596039314</x:v>
      </x:c>
      <x:c r="O8" s="34" t="n">
        <x:f>IF(L8=0,"",M8/L8)</x:f>
        <x:v>0.06941159603931402</x:v>
      </x:c>
    </x:row>
    <x:row r="9" ht="18" customHeight="1">
      <x:c r="A9" s="24" t="str">
        <x:v>Salmon, smelts, etc</x:v>
      </x:c>
      <x:c r="B9" s="33" t="n">
        <x:v>3</x:v>
      </x:c>
      <x:c r="C9" s="33" t="n">
        <x:v>3</x:v>
      </x:c>
      <x:c r="D9" s="31" t="n">
        <x:v>372.7316754823999</x:v>
      </x:c>
      <x:c r="E9" s="31" t="n">
        <x:v>372.7316754823999</x:v>
      </x:c>
      <x:c r="F9" s="32" t="n">
        <x:v>0</x:v>
      </x:c>
      <x:c r="G9" s="34" t="n">
        <x:v>1</x:v>
      </x:c>
      <x:c r="H9" s="32" t="n">
        <x:f>IF(E9=0,"",I9/E9)</x:f>
        <x:v>1729.0031757277907</x:v>
      </x:c>
      <x:c r="I9" s="31" t="n">
        <x:f>IF(C9=0,"",SUMIF('Species'!$H$2:$H$87,A9,'Species'!$U$2:$U$87))</x:f>
        <x:v>644454.2506034097</x:v>
      </x:c>
      <x:c r="J9" s="32" t="n">
        <x:v>3.8659377500446714</x:v>
      </x:c>
      <x:c r="K9" s="32" t="n">
        <x:f>IF(J9="","",(1/'Metadata'!$B$5)^(J9-1))</x:f>
        <x:v>734.4085935551151</x:v>
      </x:c>
      <x:c r="L9" s="31" t="n">
        <x:f>IF(E9=0,"",E9*K9)</x:f>
        <x:v>273737.3455644709</x:v>
      </x:c>
      <x:c r="M9" s="31" t="n">
        <x:f>IF(E9=0,"",I9-L9)</x:f>
        <x:v>370716.9050389388</x:v>
      </x:c>
      <x:c r="N9" s="32" t="n">
        <x:f>IF(L9=0,"",I9/L9)</x:f>
        <x:v>2.35427960797416</x:v>
      </x:c>
      <x:c r="O9" s="34" t="n">
        <x:f>IF(L9=0,"",M9/L9)</x:f>
        <x:v>1.35427960797416</x:v>
      </x:c>
    </x:row>
    <x:row r="10" ht="18" customHeight="1">
      <x:c r="A10" s="24" t="str">
        <x:v>Scorpionfishes</x:v>
      </x:c>
      <x:c r="B10" s="33" t="n">
        <x:v>5</x:v>
      </x:c>
      <x:c r="C10" s="33" t="n">
        <x:v>5</x:v>
      </x:c>
      <x:c r="D10" s="31" t="n">
        <x:v>2743.3086283727</x:v>
      </x:c>
      <x:c r="E10" s="31" t="n">
        <x:v>2743.3086283727</x:v>
      </x:c>
      <x:c r="F10" s="32" t="n">
        <x:v>0</x:v>
      </x:c>
      <x:c r="G10" s="34" t="n">
        <x:v>1</x:v>
      </x:c>
      <x:c r="H10" s="32" t="n">
        <x:f>IF(E10=0,"",I10/E10)</x:f>
        <x:v>656.8398698947555</x:v>
      </x:c>
      <x:c r="I10" s="31" t="n">
        <x:f>IF(C10=0,"",SUMIF('Species'!$H$2:$H$87,A10,'Species'!$U$2:$U$87))</x:f>
        <x:v>1801914.4825414843</x:v>
      </x:c>
      <x:c r="J10" s="32" t="n">
        <x:v>3.808645157524055</x:v>
      </x:c>
      <x:c r="K10" s="32" t="n">
        <x:f>IF(J10="","",(1/'Metadata'!$B$5)^(J10-1))</x:f>
        <x:v>643.643158757204</x:v>
      </x:c>
      <x:c r="L10" s="31" t="n">
        <x:f>IF(E10=0,"",E10*K10)</x:f>
        <x:v>1765711.8310116972</x:v>
      </x:c>
      <x:c r="M10" s="31" t="n">
        <x:f>IF(E10=0,"",I10-L10)</x:f>
        <x:v>36202.65152978711</x:v>
      </x:c>
      <x:c r="N10" s="32" t="n">
        <x:f>IF(L10=0,"",I10/L10)</x:f>
        <x:v>1.0205031483019764</x:v>
      </x:c>
      <x:c r="O10" s="34" t="n">
        <x:f>IF(L10=0,"",M10/L10)</x:f>
        <x:v>0.020503148301976394</x:v>
      </x:c>
    </x:row>
    <x:row r="11" ht="18" customHeight="1">
      <x:c r="A11" s="24" t="str">
        <x:v>Sharks &amp; rays</x:v>
      </x:c>
      <x:c r="B11" s="33" t="n">
        <x:v>11</x:v>
      </x:c>
      <x:c r="C11" s="33" t="n">
        <x:v>11</x:v>
      </x:c>
      <x:c r="D11" s="31" t="n">
        <x:v>396.84121454039996</x:v>
      </x:c>
      <x:c r="E11" s="31" t="n">
        <x:v>396.84121454039996</x:v>
      </x:c>
      <x:c r="F11" s="32" t="n">
        <x:v>0</x:v>
      </x:c>
      <x:c r="G11" s="34" t="n">
        <x:v>1</x:v>
      </x:c>
      <x:c r="H11" s="32" t="n">
        <x:f>IF(E11=0,"",I11/E11)</x:f>
        <x:v>640.053270795148</x:v>
      </x:c>
      <x:c r="I11" s="31" t="n">
        <x:f>IF(C11=0,"",SUMIF('Species'!$H$2:$H$87,A11,'Species'!$U$2:$U$87))</x:f>
        <x:v>253999.51735290207</x:v>
      </x:c>
      <x:c r="J11" s="32" t="n">
        <x:v>3.8044664697538937</x:v>
      </x:c>
      <x:c r="K11" s="32" t="n">
        <x:f>IF(J11="","",(1/'Metadata'!$B$5)^(J11-1))</x:f>
        <x:v>637.4798617086224</x:v>
      </x:c>
      <x:c r="L11" s="31" t="n">
        <x:f>IF(E11=0,"",E11*K11)</x:f>
        <x:v>252978.2825654959</x:v>
      </x:c>
      <x:c r="M11" s="31" t="n">
        <x:f>IF(E11=0,"",I11-L11)</x:f>
        <x:v>1021.234787406167</x:v>
      </x:c>
      <x:c r="N11" s="32" t="n">
        <x:f>IF(L11=0,"",I11/L11)</x:f>
        <x:v>1.0040368476576316</x:v>
      </x:c>
      <x:c r="O11" s="34" t="n">
        <x:f>IF(L11=0,"",M11/L11)</x:f>
        <x:v>0.00403684765763152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cf25ebe53494c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5</x:v>
      </x:c>
      <x:c r="C2" s="33" t="n">
        <x:v>5</x:v>
      </x:c>
      <x:c r="D2" s="31" t="n">
        <x:v>140967.1105537891</x:v>
      </x:c>
      <x:c r="E2" s="31" t="n">
        <x:v>140967.1105537891</x:v>
      </x:c>
      <x:c r="F2" s="32" t="n">
        <x:v>0</x:v>
      </x:c>
      <x:c r="G2" s="34" t="n">
        <x:v>1</x:v>
      </x:c>
      <x:c r="H2" s="32" t="n">
        <x:f>IF(E2=0,"",I2/E2)</x:f>
        <x:v>1222.3699097941471</x:v>
      </x:c>
      <x:c r="I2" s="31" t="n">
        <x:f>IF(C2=0,"",SUMIF('Species'!$G$2:$G$87,A2,'Species'!$U$2:$U$87))</x:f>
        <x:v>172313954.21157676</x:v>
      </x:c>
      <x:c r="J2" s="32" t="n">
        <x:v>4.083873004106363</x:v>
      </x:c>
      <x:c r="K2" s="32" t="n">
        <x:f>IF(J2="","",(1/'Metadata'!$B$5)^(J2-1))</x:f>
        <x:v>1213.0340845634748</x:v>
      </x:c>
      <x:c r="L2" s="31" t="n">
        <x:f>IF(E2=0,"",E2*K2)</x:f>
        <x:v>170997909.9041737</x:v>
      </x:c>
      <x:c r="M2" s="31" t="n">
        <x:f>IF(E2=0,"",I2-L2)</x:f>
        <x:v>1316044.3074030578</x:v>
      </x:c>
      <x:c r="N2" s="32" t="n">
        <x:f>IF(L2=0,"",I2/L2)</x:f>
        <x:v>1.007696259610077</x:v>
      </x:c>
      <x:c r="O2" s="34" t="n">
        <x:f>IF(L2=0,"",M2/L2)</x:f>
        <x:v>0.007696259610076883</x:v>
      </x:c>
    </x:row>
    <x:row r="3" ht="18" customHeight="1">
      <x:c r="A3" s="24" t="str">
        <x:v>Large demersals (&gt;=90 cm)</x:v>
      </x:c>
      <x:c r="B3" s="33" t="n">
        <x:v>10</x:v>
      </x:c>
      <x:c r="C3" s="33" t="n">
        <x:v>10</x:v>
      </x:c>
      <x:c r="D3" s="31" t="n">
        <x:v>8223.528102038</x:v>
      </x:c>
      <x:c r="E3" s="31" t="n">
        <x:v>8223.528102038</x:v>
      </x:c>
      <x:c r="F3" s="32" t="n">
        <x:v>0</x:v>
      </x:c>
      <x:c r="G3" s="34" t="n">
        <x:v>1</x:v>
      </x:c>
      <x:c r="H3" s="32" t="n">
        <x:f>IF(E3=0,"",I3/E3)</x:f>
        <x:v>1101.174351018855</x:v>
      </x:c>
      <x:c r="I3" s="31" t="n">
        <x:f>IF(C3=0,"",SUMIF('Species'!$G$2:$G$87,A3,'Species'!$U$2:$U$87))</x:f>
        <x:v>9055538.220847012</x:v>
      </x:c>
      <x:c r="J3" s="32" t="n">
        <x:v>3.8484840473627955</x:v>
      </x:c>
      <x:c r="K3" s="32" t="n">
        <x:f>IF(J3="","",(1/'Metadata'!$B$5)^(J3-1))</x:f>
        <x:v>705.4789297077592</x:v>
      </x:c>
      <x:c r="L3" s="31" t="n">
        <x:f>IF(E3=0,"",E3*K3)</x:f>
        <x:v>5801525.803847449</x:v>
      </x:c>
      <x:c r="M3" s="31" t="n">
        <x:f>IF(E3=0,"",I3-L3)</x:f>
        <x:v>3254012.4169995636</x:v>
      </x:c>
      <x:c r="N3" s="32" t="n">
        <x:f>IF(L3=0,"",I3/L3)</x:f>
        <x:v>1.560889070740937</x:v>
      </x:c>
      <x:c r="O3" s="34" t="n">
        <x:f>IF(L3=0,"",M3/L3)</x:f>
        <x:v>0.5608890707409371</x:v>
      </x:c>
    </x:row>
    <x:row r="4" ht="18" customHeight="1">
      <x:c r="A4" s="24" t="str">
        <x:v>Large flatfishes (&gt;=90 cm)</x:v>
      </x:c>
      <x:c r="B4" s="33" t="n">
        <x:v>1</x:v>
      </x:c>
      <x:c r="C4" s="33" t="n">
        <x:v>1</x:v>
      </x:c>
      <x:c r="D4" s="31" t="n">
        <x:v>8202.3332642106</x:v>
      </x:c>
      <x:c r="E4" s="31" t="n">
        <x:v>8202.3332642106</x:v>
      </x:c>
      <x:c r="F4" s="32" t="n">
        <x:v>0</x:v>
      </x:c>
      <x:c r="G4" s="34" t="n">
        <x:v>1</x:v>
      </x:c>
      <x:c r="H4" s="32" t="n">
        <x:f>IF(E4=0,"",I4/E4)</x:f>
        <x:v>181.97008586099827</x:v>
      </x:c>
      <x:c r="I4" s="31" t="n">
        <x:f>IF(C4=0,"",SUMIF('Species'!$G$2:$G$87,A4,'Species'!$U$2:$U$87))</x:f>
        <x:v>1492579.288348925</x:v>
      </x:c>
      <x:c r="J4" s="32" t="n">
        <x:v>3.26</x:v>
      </x:c>
      <x:c r="K4" s="32" t="n">
        <x:f>IF(J4="","",(1/'Metadata'!$B$5)^(J4-1))</x:f>
        <x:v>181.97008586099827</x:v>
      </x:c>
      <x:c r="L4" s="31" t="n">
        <x:f>IF(E4=0,"",E4*K4)</x:f>
        <x:v>1492579.288348925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rays (&gt;=90 cm)</x:v>
      </x:c>
      <x:c r="B5" s="33" t="n">
        <x:v>4</x:v>
      </x:c>
      <x:c r="C5" s="33" t="n">
        <x:v>4</x:v>
      </x:c>
      <x:c r="D5" s="31" t="n">
        <x:v>4.3669975112</x:v>
      </x:c>
      <x:c r="E5" s="31" t="n">
        <x:v>4.3669975112</x:v>
      </x:c>
      <x:c r="F5" s="32" t="n">
        <x:v>0</x:v>
      </x:c>
      <x:c r="G5" s="34" t="n">
        <x:v>1</x:v>
      </x:c>
      <x:c r="H5" s="32" t="n">
        <x:f>IF(E5=0,"",I5/E5)</x:f>
        <x:v>661.869306193202</x:v>
      </x:c>
      <x:c r="I5" s="31" t="n">
        <x:f>IF(C5=0,"",SUMIF('Species'!$G$2:$G$87,A5,'Species'!$U$2:$U$87))</x:f>
        <x:v>2890.3816128853837</x:v>
      </x:c>
      <x:c r="J5" s="32" t="n">
        <x:v>3.8151621606836694</x:v>
      </x:c>
      <x:c r="K5" s="32" t="n">
        <x:f>IF(J5="","",(1/'Metadata'!$B$5)^(J5-1))</x:f>
        <x:v>653.3744697981892</x:v>
      </x:c>
      <x:c r="L5" s="31" t="n">
        <x:f>IF(E5=0,"",E5*K5)</x:f>
        <x:v>2853.284683490312</x:v>
      </x:c>
      <x:c r="M5" s="31" t="n">
        <x:f>IF(E5=0,"",I5-L5)</x:f>
        <x:v>37.096929395071584</x:v>
      </x:c>
      <x:c r="N5" s="32" t="n">
        <x:f>IF(L5=0,"",I5/L5)</x:f>
        <x:v>1.0130014819796012</x:v>
      </x:c>
      <x:c r="O5" s="34" t="n">
        <x:f>IF(L5=0,"",M5/L5)</x:f>
        <x:v>0.013001481979601262</x:v>
      </x:c>
    </x:row>
    <x:row r="6" ht="18" customHeight="1">
      <x:c r="A6" s="24" t="str">
        <x:v>Large reef assoc. fish (&gt;=90 cm)</x:v>
      </x:c>
      <x:c r="B6" s="33" t="n">
        <x:v>2</x:v>
      </x:c>
      <x:c r="C6" s="33" t="n">
        <x:v>2</x:v>
      </x:c>
      <x:c r="D6" s="31" t="n">
        <x:v>2332.6316756609</x:v>
      </x:c>
      <x:c r="E6" s="31" t="n">
        <x:v>2332.6316756609</x:v>
      </x:c>
      <x:c r="F6" s="32" t="n">
        <x:v>0</x:v>
      </x:c>
      <x:c r="G6" s="34" t="n">
        <x:v>1</x:v>
      </x:c>
      <x:c r="H6" s="32" t="n">
        <x:f>IF(E6=0,"",I6/E6)</x:f>
        <x:v>612.5566286871883</x:v>
      </x:c>
      <x:c r="I6" s="31" t="n">
        <x:f>IF(C6=0,"",SUMIF('Species'!$G$2:$G$87,A6,'Species'!$U$2:$U$87))</x:f>
        <x:v>1428868.9952117878</x:v>
      </x:c>
      <x:c r="J6" s="32" t="n">
        <x:v>3.7843701057964867</x:v>
      </x:c>
      <x:c r="K6" s="32" t="n">
        <x:f>IF(J6="","",(1/'Metadata'!$B$5)^(J6-1))</x:f>
        <x:v>608.6534748716739</x:v>
      </x:c>
      <x:c r="L6" s="31" t="n">
        <x:f>IF(E6=0,"",E6*K6)</x:f>
        <x:v>1419764.3749867422</x:v>
      </x:c>
      <x:c r="M6" s="31" t="n">
        <x:f>IF(E6=0,"",I6-L6)</x:f>
        <x:v>9104.620225045597</x:v>
      </x:c>
      <x:c r="N6" s="32" t="n">
        <x:f>IF(L6=0,"",I6/L6)</x:f>
        <x:v>1.0064127684744384</x:v>
      </x:c>
      <x:c r="O6" s="34" t="n">
        <x:f>IF(L6=0,"",M6/L6)</x:f>
        <x:v>0.006412768474438314</x:v>
      </x:c>
    </x:row>
    <x:row r="7" ht="18" customHeight="1">
      <x:c r="A7" s="24" t="str">
        <x:v>Large sharks (&gt;=90 cm)</x:v>
      </x:c>
      <x:c r="B7" s="33" t="n">
        <x:v>6</x:v>
      </x:c>
      <x:c r="C7" s="33" t="n">
        <x:v>6</x:v>
      </x:c>
      <x:c r="D7" s="31" t="n">
        <x:v>7.2230177544</x:v>
      </x:c>
      <x:c r="E7" s="31" t="n">
        <x:v>7.2230177544</x:v>
      </x:c>
      <x:c r="F7" s="32" t="n">
        <x:v>0</x:v>
      </x:c>
      <x:c r="G7" s="34" t="n">
        <x:v>1</x:v>
      </x:c>
      <x:c r="H7" s="32" t="n">
        <x:f>IF(E7=0,"",I7/E7)</x:f>
        <x:v>1112.0091852032897</x:v>
      </x:c>
      <x:c r="I7" s="31" t="n">
        <x:f>IF(C7=0,"",SUMIF('Species'!$G$2:$G$87,A7,'Species'!$U$2:$U$87))</x:f>
        <x:v>8032.062087779239</x:v>
      </x:c>
      <x:c r="J7" s="32" t="n">
        <x:v>4.0362262176129375</x:v>
      </x:c>
      <x:c r="K7" s="32" t="n">
        <x:f>IF(J7="","",(1/'Metadata'!$B$5)^(J7-1))</x:f>
        <x:v>1086.991674168469</x:v>
      </x:c>
      <x:c r="L7" s="31" t="n">
        <x:f>IF(E7=0,"",E7*K7)</x:f>
        <x:v>7851.360161403832</x:v>
      </x:c>
      <x:c r="M7" s="31" t="n">
        <x:f>IF(E7=0,"",I7-L7)</x:f>
        <x:v>180.7019263754073</x:v>
      </x:c>
      <x:c r="N7" s="32" t="n">
        <x:f>IF(L7=0,"",I7/L7)</x:f>
        <x:v>1.0230153658296957</x:v>
      </x:c>
      <x:c r="O7" s="34" t="n">
        <x:f>IF(L7=0,"",M7/L7)</x:f>
        <x:v>0.02301536582969563</x:v>
      </x:c>
    </x:row>
    <x:row r="8" ht="18" customHeight="1">
      <x:c r="A8" s="24" t="str">
        <x:v>Lobsters, crabs</x:v>
      </x:c>
      <x:c r="B8" s="33" t="n">
        <x:v>4</x:v>
      </x:c>
      <x:c r="C8" s="33" t="n">
        <x:v>4</x:v>
      </x:c>
      <x:c r="D8" s="31" t="n">
        <x:v>16097.876687515101</x:v>
      </x:c>
      <x:c r="E8" s="31" t="n">
        <x:v>16097.876687515101</x:v>
      </x:c>
      <x:c r="F8" s="32" t="n">
        <x:v>0</x:v>
      </x:c>
      <x:c r="G8" s="34" t="n">
        <x:v>1</x:v>
      </x:c>
      <x:c r="H8" s="32" t="n">
        <x:f>IF(E8=0,"",I8/E8)</x:f>
        <x:v>422.976112726413</x:v>
      </x:c>
      <x:c r="I8" s="31" t="n">
        <x:f>IF(C8=0,"",SUMIF('Species'!$G$2:$G$87,A8,'Species'!$U$2:$U$87))</x:f>
        <x:v>6809017.304434284</x:v>
      </x:c>
      <x:c r="J8" s="32" t="n">
        <x:v>3.6183328307050564</x:v>
      </x:c>
      <x:c r="K8" s="32" t="n">
        <x:f>IF(J8="","",(1/'Metadata'!$B$5)^(J8-1))</x:f>
        <x:v>415.2721732747317</x:v>
      </x:c>
      <x:c r="L8" s="31" t="n">
        <x:f>IF(E8=0,"",E8*K8)</x:f>
        <x:v>6685000.237133035</x:v>
      </x:c>
      <x:c r="M8" s="31" t="n">
        <x:f>IF(E8=0,"",I8-L8)</x:f>
        <x:v>124017.0673012482</x:v>
      </x:c>
      <x:c r="N8" s="32" t="n">
        <x:f>IF(L8=0,"",I8/L8)</x:f>
        <x:v>1.0185515426929042</x:v>
      </x:c>
      <x:c r="O8" s="34" t="n">
        <x:f>IF(L8=0,"",M8/L8)</x:f>
        <x:v>0.0185515426929042</x:v>
      </x:c>
    </x:row>
    <x:row r="9" ht="18" customHeight="1">
      <x:c r="A9" s="24" t="str">
        <x:v>Medium bathydemersals (30 - 89 cm)</x:v>
      </x:c>
      <x:c r="B9" s="33" t="n">
        <x:v>2</x:v>
      </x:c>
      <x:c r="C9" s="33" t="n">
        <x:v>2</x:v>
      </x:c>
      <x:c r="D9" s="31" t="n">
        <x:v>2.9850560805999997</x:v>
      </x:c>
      <x:c r="E9" s="31" t="n">
        <x:v>2.9850560805999997</x:v>
      </x:c>
      <x:c r="F9" s="32" t="n">
        <x:v>0</x:v>
      </x:c>
      <x:c r="G9" s="34" t="n">
        <x:v>1</x:v>
      </x:c>
      <x:c r="H9" s="32" t="n">
        <x:f>IF(E9=0,"",I9/E9)</x:f>
        <x:v>235.62729355590892</x:v>
      </x:c>
      <x:c r="I9" s="31" t="n">
        <x:f>IF(C9=0,"",SUMIF('Species'!$G$2:$G$87,A9,'Species'!$U$2:$U$87))</x:f>
        <x:v>703.360685384387</x:v>
      </x:c>
      <x:c r="J9" s="32" t="n">
        <x:v>3.326068319189621</x:v>
      </x:c>
      <x:c r="K9" s="32" t="n">
        <x:f>IF(J9="","",(1/'Metadata'!$B$5)^(J9-1))</x:f>
        <x:v>211.86944024349154</x:v>
      </x:c>
      <x:c r="L9" s="31" t="n">
        <x:f>IF(E9=0,"",E9*K9)</x:f>
        <x:v>632.4421608921527</x:v>
      </x:c>
      <x:c r="M9" s="31" t="n">
        <x:f>IF(E9=0,"",I9-L9)</x:f>
        <x:v>70.91852449223427</x:v>
      </x:c>
      <x:c r="N9" s="32" t="n">
        <x:f>IF(L9=0,"",I9/L9)</x:f>
        <x:v>1.1121344035511378</x:v>
      </x:c>
      <x:c r="O9" s="34" t="n">
        <x:f>IF(L9=0,"",M9/L9)</x:f>
        <x:v>0.11213440355113778</x:v>
      </x:c>
    </x:row>
    <x:row r="10" ht="18" customHeight="1">
      <x:c r="A10" s="24" t="str">
        <x:v>Medium bathypelagics (30 - 89 cm)</x:v>
      </x:c>
      <x:c r="B10" s="33" t="n">
        <x:v>1</x:v>
      </x:c>
      <x:c r="C10" s="33" t="n">
        <x:v>1</x:v>
      </x:c>
      <x:c r="D10" s="31" t="n">
        <x:v>132.8862026048</x:v>
      </x:c>
      <x:c r="E10" s="31" t="n">
        <x:v>132.8862026048</x:v>
      </x:c>
      <x:c r="F10" s="32" t="n">
        <x:v>0</x:v>
      </x:c>
      <x:c r="G10" s="34" t="n">
        <x:v>1</x:v>
      </x:c>
      <x:c r="H10" s="32" t="n">
        <x:f>IF(E10=0,"",I10/E10)</x:f>
        <x:v>446.683592150963</x:v>
      </x:c>
      <x:c r="I10" s="31" t="n">
        <x:f>IF(C10=0,"",SUMIF('Species'!$G$2:$G$87,A10,'Species'!$U$2:$U$87))</x:f>
        <x:v>59358.08632681272</x:v>
      </x:c>
      <x:c r="J10" s="32" t="n">
        <x:v>3.65</x:v>
      </x:c>
      <x:c r="K10" s="32" t="n">
        <x:f>IF(J10="","",(1/'Metadata'!$B$5)^(J10-1))</x:f>
        <x:v>446.683592150963</x:v>
      </x:c>
      <x:c r="L10" s="31" t="n">
        <x:f>IF(E10=0,"",E10*K10)</x:f>
        <x:v>59358.08632681272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Medium benthopelagics (30 - 89 cm)</x:v>
      </x:c>
      <x:c r="B11" s="33" t="n">
        <x:v>11</x:v>
      </x:c>
      <x:c r="C11" s="33" t="n">
        <x:v>11</x:v>
      </x:c>
      <x:c r="D11" s="31" t="n">
        <x:v>2105.3664512677</x:v>
      </x:c>
      <x:c r="E11" s="31" t="n">
        <x:v>2105.3664512677</x:v>
      </x:c>
      <x:c r="F11" s="32" t="n">
        <x:v>0</x:v>
      </x:c>
      <x:c r="G11" s="34" t="n">
        <x:v>1</x:v>
      </x:c>
      <x:c r="H11" s="32" t="n">
        <x:f>IF(E11=0,"",I11/E11)</x:f>
        <x:v>881.1291998112202</x:v>
      </x:c>
      <x:c r="I11" s="31" t="n">
        <x:f>IF(C11=0,"",SUMIF('Species'!$G$2:$G$87,A11,'Species'!$U$2:$U$87))</x:f>
        <x:v>1855099.856514897</x:v>
      </x:c>
      <x:c r="J11" s="32" t="n">
        <x:v>3.939599359718026</x:v>
      </x:c>
      <x:c r="K11" s="32" t="n">
        <x:f>IF(J11="","",(1/'Metadata'!$B$5)^(J11-1))</x:f>
        <x:v>870.1604892701981</x:v>
      </x:c>
      <x:c r="L11" s="31" t="n">
        <x:f>IF(E11=0,"",E11*K11)</x:f>
        <x:v>1832006.7013281626</x:v>
      </x:c>
      <x:c r="M11" s="31" t="n">
        <x:f>IF(E11=0,"",I11-L11)</x:f>
        <x:v>23093.155186734395</x:v>
      </x:c>
      <x:c r="N11" s="32" t="n">
        <x:f>IF(L11=0,"",I11/L11)</x:f>
        <x:v>1.012605387944265</x:v>
      </x:c>
      <x:c r="O11" s="34" t="n">
        <x:f>IF(L11=0,"",M11/L11)</x:f>
        <x:v>0.012605387944264827</x:v>
      </x:c>
    </x:row>
    <x:row r="12" ht="18" customHeight="1">
      <x:c r="A12" s="24" t="str">
        <x:v>Medium demersals (30 - 89 cm)</x:v>
      </x:c>
      <x:c r="B12" s="33" t="n">
        <x:v>9</x:v>
      </x:c>
      <x:c r="C12" s="33" t="n">
        <x:v>9</x:v>
      </x:c>
      <x:c r="D12" s="31" t="n">
        <x:v>72351.5873018483</x:v>
      </x:c>
      <x:c r="E12" s="31" t="n">
        <x:v>72351.5873018483</x:v>
      </x:c>
      <x:c r="F12" s="32" t="n">
        <x:v>0</x:v>
      </x:c>
      <x:c r="G12" s="34" t="n">
        <x:v>1</x:v>
      </x:c>
      <x:c r="H12" s="32" t="n">
        <x:f>IF(E12=0,"",I12/E12)</x:f>
        <x:v>770.9272838380698</x:v>
      </x:c>
      <x:c r="I12" s="31" t="n">
        <x:f>IF(C12=0,"",SUMIF('Species'!$G$2:$G$87,A12,'Species'!$U$2:$U$87))</x:f>
        <x:v>55777812.67998689</x:v>
      </x:c>
      <x:c r="J12" s="32" t="n">
        <x:v>3.7662414289097095</x:v>
      </x:c>
      <x:c r="K12" s="32" t="n">
        <x:f>IF(J12="","",(1/'Metadata'!$B$5)^(J12-1))</x:f>
        <x:v>583.7695377663516</x:v>
      </x:c>
      <x:c r="L12" s="31" t="n">
        <x:f>IF(E12=0,"",E12*K12)</x:f>
        <x:v>42236652.67586181</x:v>
      </x:c>
      <x:c r="M12" s="31" t="n">
        <x:f>IF(E12=0,"",I12-L12)</x:f>
        <x:v>13541160.004125074</x:v>
      </x:c>
      <x:c r="N12" s="32" t="n">
        <x:f>IF(L12=0,"",I12/L12)</x:f>
        <x:v>1.3206021108738057</x:v>
      </x:c>
      <x:c r="O12" s="34" t="n">
        <x:f>IF(L12=0,"",M12/L12)</x:f>
        <x:v>0.32060211087380575</x:v>
      </x:c>
    </x:row>
    <x:row r="13" ht="18" customHeight="1">
      <x:c r="A13" s="24" t="str">
        <x:v>Medium pelagics (30 - 89 cm)</x:v>
      </x:c>
      <x:c r="B13" s="33" t="n">
        <x:v>4</x:v>
      </x:c>
      <x:c r="C13" s="33" t="n">
        <x:v>4</x:v>
      </x:c>
      <x:c r="D13" s="31" t="n">
        <x:v>1089.3164204162</x:v>
      </x:c>
      <x:c r="E13" s="31" t="n">
        <x:v>1089.3164204162</x:v>
      </x:c>
      <x:c r="F13" s="32" t="n">
        <x:v>0</x:v>
      </x:c>
      <x:c r="G13" s="34" t="n">
        <x:v>1</x:v>
      </x:c>
      <x:c r="H13" s="32" t="n">
        <x:f>IF(E13=0,"",I13/E13)</x:f>
        <x:v>223.9065364734337</x:v>
      </x:c>
      <x:c r="I13" s="31" t="n">
        <x:f>IF(C13=0,"",SUMIF('Species'!$G$2:$G$87,A13,'Species'!$U$2:$U$87))</x:f>
        <x:v>243905.0668190301</x:v>
      </x:c>
      <x:c r="J13" s="32" t="n">
        <x:v>3.3414689705853777</x:v>
      </x:c>
      <x:c r="K13" s="32" t="n">
        <x:f>IF(J13="","",(1/'Metadata'!$B$5)^(J13-1))</x:f>
        <x:v>219.5174103028186</x:v>
      </x:c>
      <x:c r="L13" s="31" t="n">
        <x:f>IF(E13=0,"",E13*K13)</x:f>
        <x:v>239123.9196101006</x:v>
      </x:c>
      <x:c r="M13" s="31" t="n">
        <x:f>IF(E13=0,"",I13-L13)</x:f>
        <x:v>4781.147208929498</x:v>
      </x:c>
      <x:c r="N13" s="32" t="n">
        <x:f>IF(L13=0,"",I13/L13)</x:f>
        <x:v>1.0199944330819155</x:v>
      </x:c>
      <x:c r="O13" s="34" t="n">
        <x:f>IF(L13=0,"",M13/L13)</x:f>
        <x:v>0.0199944330819155</x:v>
      </x:c>
    </x:row>
    <x:row r="14" ht="18" customHeight="1">
      <x:c r="A14" s="24" t="str">
        <x:v>Other demersal invertebrates</x:v>
      </x:c>
      <x:c r="B14" s="33" t="n">
        <x:v>15</x:v>
      </x:c>
      <x:c r="C14" s="33" t="n">
        <x:v>15</x:v>
      </x:c>
      <x:c r="D14" s="31" t="n">
        <x:v>307.98308599079996</x:v>
      </x:c>
      <x:c r="E14" s="31" t="n">
        <x:v>307.98308599079996</x:v>
      </x:c>
      <x:c r="F14" s="32" t="n">
        <x:v>0</x:v>
      </x:c>
      <x:c r="G14" s="34" t="n">
        <x:v>1</x:v>
      </x:c>
      <x:c r="H14" s="32" t="n">
        <x:f>IF(E14=0,"",I14/E14)</x:f>
        <x:v>31.533087127908207</x:v>
      </x:c>
      <x:c r="I14" s="31" t="n">
        <x:f>IF(C14=0,"",SUMIF('Species'!$G$2:$G$87,A14,'Species'!$U$2:$U$87))</x:f>
        <x:v>9711.65748446994</x:v>
      </x:c>
      <x:c r="J14" s="32" t="n">
        <x:v>2.4908485252527823</x:v>
      </x:c>
      <x:c r="K14" s="32" t="n">
        <x:f>IF(J14="","",(1/'Metadata'!$B$5)^(J14-1))</x:f>
        <x:v>30.963391588667157</x:v>
      </x:c>
      <x:c r="L14" s="31" t="n">
        <x:f>IF(E14=0,"",E14*K14)</x:f>
        <x:v>9536.20089421929</x:v>
      </x:c>
      <x:c r="M14" s="31" t="n">
        <x:f>IF(E14=0,"",I14-L14)</x:f>
        <x:v>175.45659025065106</x:v>
      </x:c>
      <x:c r="N14" s="32" t="n">
        <x:f>IF(L14=0,"",I14/L14)</x:f>
        <x:v>1.0183990031456878</x:v>
      </x:c>
      <x:c r="O14" s="34" t="n">
        <x:f>IF(L14=0,"",M14/L14)</x:f>
        <x:v>0.01839900314568775</x:v>
      </x:c>
    </x:row>
    <x:row r="15" ht="18" customHeight="1">
      <x:c r="A15" s="24" t="str">
        <x:v>Shrimps</x:v>
      </x:c>
      <x:c r="B15" s="33" t="n">
        <x:v>3</x:v>
      </x:c>
      <x:c r="C15" s="33" t="n">
        <x:v>3</x:v>
      </x:c>
      <x:c r="D15" s="31" t="n">
        <x:v>0.12551626440000002</x:v>
      </x:c>
      <x:c r="E15" s="31" t="n">
        <x:v>0.12551626440000002</x:v>
      </x:c>
      <x:c r="F15" s="32" t="n">
        <x:v>0</x:v>
      </x:c>
      <x:c r="G15" s="34" t="n">
        <x:v>1</x:v>
      </x:c>
      <x:c r="H15" s="32" t="n">
        <x:f>IF(E15=0,"",I15/E15)</x:f>
        <x:v>71.09531982622802</x:v>
      </x:c>
      <x:c r="I15" s="31" t="n">
        <x:f>IF(C15=0,"",SUMIF('Species'!$G$2:$G$87,A15,'Species'!$U$2:$U$87))</x:f>
        <x:v>8.9236189609114</x:v>
      </x:c>
      <x:c r="J15" s="32" t="n">
        <x:v>2.796593739058091</x:v>
      </x:c>
      <x:c r="K15" s="32" t="n">
        <x:f>IF(J15="","",(1/'Metadata'!$B$5)^(J15-1))</x:f>
        <x:v>62.602797256828204</x:v>
      </x:c>
      <x:c r="L15" s="31" t="n">
        <x:f>IF(E15=0,"",E15*K15)</x:f>
        <x:v>7.857669252667645</x:v>
      </x:c>
      <x:c r="M15" s="31" t="n">
        <x:f>IF(E15=0,"",I15-L15)</x:f>
        <x:v>1.065949708243755</x:v>
      </x:c>
      <x:c r="N15" s="32" t="n">
        <x:f>IF(L15=0,"",I15/L15)</x:f>
        <x:v>1.1356572380393677</x:v>
      </x:c>
      <x:c r="O15" s="34" t="n">
        <x:f>IF(L15=0,"",M15/L15)</x:f>
        <x:v>0.1356572380393677</x:v>
      </x:c>
    </x:row>
    <x:row r="16" ht="18" customHeight="1">
      <x:c r="A16" s="24" t="str">
        <x:v>Small pelagics (&lt;30 cm)</x:v>
      </x:c>
      <x:c r="B16" s="33" t="n">
        <x:v>1</x:v>
      </x:c>
      <x:c r="C16" s="33" t="n">
        <x:v>1</x:v>
      </x:c>
      <x:c r="D16" s="31" t="n">
        <x:v>157.89639890499998</x:v>
      </x:c>
      <x:c r="E16" s="31" t="n">
        <x:v>157.89639890499998</x:v>
      </x:c>
      <x:c r="F16" s="32" t="n">
        <x:v>0</x:v>
      </x:c>
      <x:c r="G16" s="34" t="n">
        <x:v>1</x:v>
      </x:c>
      <x:c r="H16" s="32" t="n">
        <x:f>IF(E16=0,"",I16/E16)</x:f>
        <x:v>141.2537544622754</x:v>
      </x:c>
      <x:c r="I16" s="31" t="n">
        <x:f>IF(C16=0,"",SUMIF('Species'!$G$2:$G$87,A16,'Species'!$U$2:$U$87))</x:f>
        <x:v>22303.459161404357</x:v>
      </x:c>
      <x:c r="J16" s="32" t="n">
        <x:v>3.15</x:v>
      </x:c>
      <x:c r="K16" s="32" t="n">
        <x:f>IF(J16="","",(1/'Metadata'!$B$5)^(J16-1))</x:f>
        <x:v>141.2537544622754</x:v>
      </x:c>
      <x:c r="L16" s="31" t="n">
        <x:f>IF(E16=0,"",E16*K16)</x:f>
        <x:v>22303.459161404357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to medium flatfishes (&lt;90 cm)</x:v>
      </x:c>
      <x:c r="B17" s="33" t="n">
        <x:v>7</x:v>
      </x:c>
      <x:c r="C17" s="33" t="n">
        <x:v>7</x:v>
      </x:c>
      <x:c r="D17" s="31" t="n">
        <x:v>5270.0358891298</x:v>
      </x:c>
      <x:c r="E17" s="31" t="n">
        <x:v>5270.0358891298</x:v>
      </x:c>
      <x:c r="F17" s="32" t="n">
        <x:v>0</x:v>
      </x:c>
      <x:c r="G17" s="34" t="n">
        <x:v>1</x:v>
      </x:c>
      <x:c r="H17" s="32" t="n">
        <x:f>IF(E17=0,"",I17/E17)</x:f>
        <x:v>1324.7411293953471</x:v>
      </x:c>
      <x:c r="I17" s="31" t="n">
        <x:f>IF(C17=0,"",SUMIF('Species'!$G$2:$G$87,A17,'Species'!$U$2:$U$87))</x:f>
        <x:v>6981433.295719824</x:v>
      </x:c>
      <x:c r="J17" s="32" t="n">
        <x:v>3.975492494819844</x:v>
      </x:c>
      <x:c r="K17" s="32" t="n">
        <x:f>IF(J17="","",(1/'Metadata'!$B$5)^(J17-1))</x:f>
        <x:v>945.1320591738727</x:v>
      </x:c>
      <x:c r="L17" s="31" t="n">
        <x:f>IF(E17=0,"",E17*K17)</x:f>
        <x:v>4980879.871813459</x:v>
      </x:c>
      <x:c r="M17" s="31" t="n">
        <x:f>IF(E17=0,"",I17-L17)</x:f>
        <x:v>2000553.4239063645</x:v>
      </x:c>
      <x:c r="N17" s="32" t="n">
        <x:f>IF(L17=0,"",I17/L17)</x:f>
        <x:v>1.4016465916448602</x:v>
      </x:c>
      <x:c r="O17" s="34" t="n">
        <x:f>IF(L17=0,"",M17/L17)</x:f>
        <x:v>0.4016465916448603</x:v>
      </x:c>
    </x:row>
    <x:row r="18" ht="18" customHeight="1">
      <x:c r="A18" s="24" t="str">
        <x:v>Small to medium rays (&lt;90 cm)</x:v>
      </x:c>
      <x:c r="B18" s="33" t="n">
        <x:v>1</x:v>
      </x:c>
      <x:c r="C18" s="33" t="n">
        <x:v>1</x:v>
      </x:c>
      <x:c r="D18" s="31" t="n">
        <x:v>385.2511992748</x:v>
      </x:c>
      <x:c r="E18" s="31" t="n">
        <x:v>385.2511992748</x:v>
      </x:c>
      <x:c r="F18" s="32" t="n">
        <x:v>0</x:v>
      </x:c>
      <x:c r="G18" s="34" t="n">
        <x:v>1</x:v>
      </x:c>
      <x:c r="H18" s="32" t="n">
        <x:f>IF(E18=0,"",I18/E18)</x:f>
        <x:v>630.957344480193</x:v>
      </x:c>
      <x:c r="I18" s="31" t="n">
        <x:f>IF(C18=0,"",SUMIF('Species'!$G$2:$G$87,A18,'Species'!$U$2:$U$87))</x:f>
        <x:v>243077.07365223745</x:v>
      </x:c>
      <x:c r="J18" s="32" t="n">
        <x:v>3.7999999999999994</x:v>
      </x:c>
      <x:c r="K18" s="32" t="n">
        <x:f>IF(J18="","",(1/'Metadata'!$B$5)^(J18-1))</x:f>
        <x:v>630.9573444801923</x:v>
      </x:c>
      <x:c r="L18" s="31" t="n">
        <x:f>IF(E18=0,"",E18*K18)</x:f>
        <x:v>243077.0736522372</x:v>
      </x:c>
      <x:c r="M18" s="31" t="n">
        <x:f>IF(E18=0,"",I18-L18)</x:f>
        <x:v>2.6193447411060333e-10</x:v>
      </x:c>
      <x:c r="N18" s="32" t="n">
        <x:f>IF(L18=0,"",I18/L18)</x:f>
        <x:v>1.000000000000001</x:v>
      </x:c>
      <x:c r="O18" s="34" t="n">
        <x:f>IF(L18=0,"",M18/L18)</x:f>
        <x:v>1.0775778652220606e-15</x:v>
      </x:c>
    </x:row>
  </x:sheetData>
  <x:conditionalFormatting sqref="G2:G18">
    <x:cfRule type="cellIs" dxfId="2" priority="1" operator="lessThan">
      <x:formula>0.9</x:formula>
    </x:cfRule>
  </x:conditionalFormatting>
  <x:conditionalFormatting sqref="O2:O1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17ae6ca30f745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EEZ_645</x:v>
      </x:c>
      <x:c r="B2" s="24" t="str">
        <x:v>raw_filtered_tonnes</x:v>
      </x:c>
      <x:c r="C2" s="24" t="n">
        <x:v>257638.50382026169</x:v>
      </x:c>
      <x:c r="D2" s="24" t="str">
        <x:v>tonnes</x:v>
      </x:c>
    </x:row>
    <x:row r="3" ht="18" customHeight="1">
      <x:c r="A3" s="24" t="str">
        <x:v>EEZ_645</x:v>
      </x:c>
      <x:c r="B3" s="24" t="str">
        <x:v>species_catch_tonnes</x:v>
      </x:c>
      <x:c r="C3" s="24" t="n">
        <x:v>257638.50382026174</x:v>
      </x:c>
      <x:c r="D3" s="24" t="str">
        <x:v>tonnes</x:v>
      </x:c>
    </x:row>
    <x:row r="4" ht="18" customHeight="1">
      <x:c r="A4" s="24" t="str">
        <x:v>EEZ_645</x:v>
      </x:c>
      <x:c r="B4" s="24" t="str">
        <x:v>catch_difference_tonnes</x:v>
      </x:c>
      <x:c r="C4" s="24" t="n">
        <x:v>5.820766091346741e-11</x:v>
      </x:c>
      <x:c r="D4" s="24" t="str">
        <x:v>tonnes</x:v>
      </x:c>
    </x:row>
    <x:row r="5" ht="18" customHeight="1">
      <x:c r="A5" s="24" t="str">
        <x:v>EEZ_645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EEZ_645</x:v>
      </x:c>
      <x:c r="B6" s="24" t="str">
        <x:v>matched_catch_tonnes</x:v>
      </x:c>
      <x:c r="C6" s="24" t="n">
        <x:v>257638.50382026174</x:v>
      </x:c>
      <x:c r="D6" s="24" t="str">
        <x:v>tonnes</x:v>
      </x:c>
    </x:row>
    <x:row r="7" ht="18" customHeight="1">
      <x:c r="A7" s="24" t="str">
        <x:v>EEZ_645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EEZ_645</x:v>
      </x:c>
      <x:c r="B8" s="24" t="str">
        <x:v>taxa_count</x:v>
      </x:c>
      <x:c r="C8" s="24" t="n">
        <x:v>86</x:v>
      </x:c>
      <x:c r="D8" s="24" t="str">
        <x:v>count</x:v>
      </x:c>
    </x:row>
    <x:row r="9" ht="18" customHeight="1">
      <x:c r="A9" s="24" t="str">
        <x:v>EEZ_645</x:v>
      </x:c>
      <x:c r="B9" s="24" t="str">
        <x:v>matched_taxa_count</x:v>
      </x:c>
      <x:c r="C9" s="24" t="n">
        <x:v>86</x:v>
      </x:c>
      <x:c r="D9" s="24" t="str">
        <x:v>count</x:v>
      </x:c>
    </x:row>
    <x:row r="10" ht="18" customHeight="1">
      <x:c r="A10" s="24" t="str">
        <x:v>EEZ_645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EEZ_645</x:v>
      </x:c>
      <x:c r="B11" s="24" t="str">
        <x:v>species_ppr</x:v>
      </x:c>
      <x:c r="C11" s="24" t="n">
        <x:v>256304293.92408934</x:v>
      </x:c>
      <x:c r="D11" s="24" t="str">
        <x:v>tonnes_primary_production_equivalent</x:v>
      </x:c>
    </x:row>
    <x:row r="12" ht="18" customHeight="1">
      <x:c r="A12" s="24" t="str">
        <x:v>EEZ_645</x:v>
      </x:c>
      <x:c r="B12" s="24" t="str">
        <x:v>commercial_ppr</x:v>
      </x:c>
      <x:c r="C12" s="24" t="n">
        <x:v>256304293.92408934</x:v>
      </x:c>
      <x:c r="D12" s="24" t="str">
        <x:v>tonnes_primary_production_equivalent</x:v>
      </x:c>
    </x:row>
    <x:row r="13" ht="18" customHeight="1">
      <x:c r="A13" s="24" t="str">
        <x:v>EEZ_645</x:v>
      </x:c>
      <x:c r="B13" s="24" t="str">
        <x:v>functional_ppr</x:v>
      </x:c>
      <x:c r="C13" s="24" t="n">
        <x:v>256304293.92408934</x:v>
      </x:c>
      <x:c r="D13" s="24" t="str">
        <x:v>tonnes_primary_production_equivalent</x:v>
      </x:c>
    </x:row>
    <x:row r="14" ht="18" customHeight="1">
      <x:c r="A14" s="24" t="str">
        <x:v>EEZ_645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EEZ_645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EEZ_645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EEZ_645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EEZ_645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EEZ_645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e045887497541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EEZ_645 - Russia (Barents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EEZ_645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raw_data/SAU_downloads/EEZ_645-catch.zip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