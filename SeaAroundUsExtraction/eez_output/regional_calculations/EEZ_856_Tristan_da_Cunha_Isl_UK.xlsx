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c80a1af2a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3c04242916e4769"/>
    <x:sheet xmlns:r="http://schemas.openxmlformats.org/officeDocument/2006/relationships" name="Commercial" sheetId="2" r:id="R911c467f62274d0a"/>
    <x:sheet xmlns:r="http://schemas.openxmlformats.org/officeDocument/2006/relationships" name="Functional" sheetId="3" r:id="Rf71fc5c68886432e"/>
    <x:sheet xmlns:r="http://schemas.openxmlformats.org/officeDocument/2006/relationships" name="Missing TL" sheetId="4" r:id="Rbb1d876023c4487c"/>
    <x:sheet xmlns:r="http://schemas.openxmlformats.org/officeDocument/2006/relationships" name="Validation" sheetId="5" r:id="R2e4c329e41484384"/>
    <x:sheet xmlns:r="http://schemas.openxmlformats.org/officeDocument/2006/relationships" name="Metadata" sheetId="6" r:id="Rdbd87a4da3e044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b80e7ed2414eed" /><Relationship Type="http://schemas.openxmlformats.org/officeDocument/2006/relationships/theme" Target="/xl/theme/theme1.xml" Id="R21b8862c2a1c471c" /><Relationship Type="http://schemas.microsoft.com/office/2022/11/relationships/FeaturePropertyBag" Target="/xl/featurePropertyBag/featurePropertyBag.xml" Id="R8aa2136384484ea5" /><Relationship Type="http://schemas.openxmlformats.org/officeDocument/2006/relationships/sharedStrings" Target="/xl/sharedStrings.xml" Id="Rb50b3de067e34d89" /><Relationship Type="http://schemas.openxmlformats.org/officeDocument/2006/relationships/worksheet" Target="/xl/worksheets/sheet1.xml" Id="R73c04242916e4769" /><Relationship Type="http://schemas.openxmlformats.org/officeDocument/2006/relationships/worksheet" Target="/xl/worksheets/sheet2.xml" Id="R911c467f62274d0a" /><Relationship Type="http://schemas.openxmlformats.org/officeDocument/2006/relationships/worksheet" Target="/xl/worksheets/sheet3.xml" Id="Rf71fc5c68886432e" /><Relationship Type="http://schemas.openxmlformats.org/officeDocument/2006/relationships/worksheet" Target="/xl/worksheets/sheet4.xml" Id="Rbb1d876023c4487c" /><Relationship Type="http://schemas.openxmlformats.org/officeDocument/2006/relationships/worksheet" Target="/xl/worksheets/sheet5.xml" Id="R2e4c329e41484384" /><Relationship Type="http://schemas.openxmlformats.org/officeDocument/2006/relationships/worksheet" Target="/xl/worksheets/sheet6.xml" Id="Rdbd87a4da3e044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56SpeciesTable" displayName="EEZ856SpeciesTable" ref="A1:U10" headerRowCount="1" totalsRowCount="0" totalsRowShown="0">
  <x:autoFilter ref="A1:U1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56CommercialTable" displayName="EEZ856CommercialTable" ref="A1:E6" headerRowCount="1" totalsRowCount="0" totalsRowShown="0">
  <x:autoFilter ref="A1:E6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56FunctionalTable" displayName="EEZ856FunctionalTable" ref="A1:E9" headerRowCount="1" totalsRowCount="0" totalsRowShown="0">
  <x:autoFilter ref="A1:E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56ValidationTable" displayName="EEZ85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ffb47c9cf940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70413675284b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fed8898fe842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e5740d06e2464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EEZ_856</x:v>
      </x:c>
      <x:c r="B2" s="24" t="str">
        <x:v>Tristan da Cunha Isl. (UK)</x:v>
      </x:c>
      <x:c r="C2" s="24" t="str">
        <x:v>EEZ</x:v>
      </x:c>
      <x:c r="D2" s="30" t="n">
        <x:v>2019</x:v>
      </x:c>
      <x:c r="E2" s="24" t="str">
        <x:v>Jasus tristani</x:v>
      </x:c>
      <x:c r="F2" s="24" t="str">
        <x:v>Tristan da Cunha lobster</x:v>
      </x:c>
      <x:c r="G2" s="24" t="str">
        <x:v>Lobsters, crabs</x:v>
      </x:c>
      <x:c r="H2" s="24" t="str">
        <x:v>Crustaceans</x:v>
      </x:c>
      <x:c r="I2" s="31" t="n">
        <x:v>418.907645</x:v>
      </x:c>
      <x:c r="J2" s="31" t="n">
        <x:v>418.907645</x:v>
      </x:c>
      <x:c r="K2" s="31" t="n">
        <x:v>0</x:v>
      </x:c>
      <x:c r="L2" s="31" t="n">
        <x:v>392.68</x:v>
      </x:c>
      <x:c r="M2" s="31" t="n">
        <x:v>26.227645</x:v>
      </x:c>
      <x:c r="N2" s="24" t="str">
        <x:v>jasus tristani</x:v>
      </x:c>
      <x:c r="O2" s="32" t="n">
        <x:v>2.6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Jasus tristani</x:v>
      </x:c>
      <x:c r="T2" s="32" t="n">
        <x:f>IF(O2="","",(1/'Metadata'!$B$5)^(O2-1))</x:f>
        <x:v>39.810717055349734</x:v>
      </x:c>
      <x:c r="U2" s="31" t="n">
        <x:f>IF(T2="","",I2*T2)</x:f>
        <x:v>16677.013727417892</x:v>
      </x:c>
    </x:row>
    <x:row r="3" ht="18" customHeight="1">
      <x:c r="A3" s="24" t="str">
        <x:v>EEZ_856</x:v>
      </x:c>
      <x:c r="B3" s="24" t="str">
        <x:v>Tristan da Cunha Isl. (UK)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247.7787497338</x:v>
      </x:c>
      <x:c r="J3" s="31" t="n">
        <x:v>246.958539495</x:v>
      </x:c>
      <x:c r="K3" s="31" t="n">
        <x:v>0.8202102388</x:v>
      </x:c>
      <x:c r="L3" s="31" t="n">
        <x:v>193.5</x:v>
      </x:c>
      <x:c r="M3" s="31" t="n">
        <x:v>54.278749733800005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47213.26743638021</x:v>
      </x:c>
    </x:row>
    <x:row r="4" ht="18" customHeight="1">
      <x:c r="A4" s="24" t="str">
        <x:v>EEZ_856</x:v>
      </x:c>
      <x:c r="B4" s="24" t="str">
        <x:v>Tristan da Cunha Isl. (UK)</x:v>
      </x:c>
      <x:c r="C4" s="24" t="str">
        <x:v>EEZ</x:v>
      </x:c>
      <x:c r="D4" s="30" t="n">
        <x:v>2019</x:v>
      </x:c>
      <x:c r="E4" s="24" t="str">
        <x:v>Sebastes capensis</x:v>
      </x:c>
      <x:c r="F4" s="24" t="str">
        <x:v>Cape redfish</x:v>
      </x:c>
      <x:c r="G4" s="24" t="str">
        <x:v>Medium demersals (30 - 89 cm)</x:v>
      </x:c>
      <x:c r="H4" s="24" t="str">
        <x:v>Scorpionfishes</x:v>
      </x:c>
      <x:c r="I4" s="31" t="n">
        <x:v>28.063902691</x:v>
      </x:c>
      <x:c r="J4" s="31" t="n">
        <x:v>28.063902691</x:v>
      </x:c>
      <x:c r="K4" s="31" t="n">
        <x:v>0</x:v>
      </x:c>
      <x:c r="L4" s="31" t="n">
        <x:v>24.5</x:v>
      </x:c>
      <x:c r="M4" s="31" t="n">
        <x:v>3.563902691</x:v>
      </x:c>
      <x:c r="N4" s="24" t="str">
        <x:v>sebastes capensis</x:v>
      </x:c>
      <x:c r="O4" s="32" t="n">
        <x:v>3.79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Sebastes capensis</x:v>
      </x:c>
      <x:c r="T4" s="32" t="n">
        <x:f>IF(O4="","",(1/'Metadata'!$B$5)^(O4-1))</x:f>
        <x:v>616.5950018614822</x:v>
      </x:c>
      <x:c r="U4" s="31" t="n">
        <x:f>IF(T4="","",I4*T4)</x:f>
        <x:v>17304.062131997598</x:v>
      </x:c>
    </x:row>
    <x:row r="5" ht="18" customHeight="1">
      <x:c r="A5" s="24" t="str">
        <x:v>EEZ_856</x:v>
      </x:c>
      <x:c r="B5" s="24" t="str">
        <x:v>Tristan da Cunha Isl. (UK)</x:v>
      </x:c>
      <x:c r="C5" s="24" t="str">
        <x:v>EEZ</x:v>
      </x:c>
      <x:c r="D5" s="30" t="n">
        <x:v>2019</x:v>
      </x:c>
      <x:c r="E5" s="24" t="str">
        <x:v>Beryx</x:v>
      </x:c>
      <x:c r="F5" s="24" t="str">
        <x:v>Alfonsinos</x:v>
      </x:c>
      <x:c r="G5" s="24" t="str">
        <x:v>Medium benthopelagics (30 - 89 cm)</x:v>
      </x:c>
      <x:c r="H5" s="24" t="str">
        <x:v>Other fishes &amp; inverts</x:v>
      </x:c>
      <x:c r="I5" s="31" t="n">
        <x:v>16</x:v>
      </x:c>
      <x:c r="J5" s="31" t="n">
        <x:v>16</x:v>
      </x:c>
      <x:c r="K5" s="31" t="n">
        <x:v>0</x:v>
      </x:c>
      <x:c r="L5" s="31" t="n">
        <x:v>16</x:v>
      </x:c>
      <x:c r="M5" s="31" t="n">
        <x:v>0</x:v>
      </x:c>
      <x:c r="N5" s="24" t="str">
        <x:v>beryx</x:v>
      </x:c>
      <x:c r="O5" s="32" t="n">
        <x:v>3.97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Beryx</x:v>
      </x:c>
      <x:c r="T5" s="32" t="n">
        <x:f>IF(O5="","",(1/'Metadata'!$B$5)^(O5-1))</x:f>
        <x:v>933.2543007969915</x:v>
      </x:c>
      <x:c r="U5" s="31" t="n">
        <x:f>IF(T5="","",I5*T5)</x:f>
        <x:v>14932.068812751864</x:v>
      </x:c>
    </x:row>
    <x:row r="6" ht="18" customHeight="1">
      <x:c r="A6" s="24" t="str">
        <x:v>EEZ_856</x:v>
      </x:c>
      <x:c r="B6" s="24" t="str">
        <x:v>Tristan da Cunha Isl. (UK)</x:v>
      </x:c>
      <x:c r="C6" s="24" t="str">
        <x:v>EEZ</x:v>
      </x:c>
      <x:c r="D6" s="30" t="n">
        <x:v>2019</x:v>
      </x:c>
      <x:c r="E6" s="24" t="str">
        <x:v>Thyrsites atun</x:v>
      </x:c>
      <x:c r="F6" s="24" t="str">
        <x:v>Snoek</x:v>
      </x:c>
      <x:c r="G6" s="24" t="str">
        <x:v>Large benthopelagics (&gt;=90 cm)</x:v>
      </x:c>
      <x:c r="H6" s="24" t="str">
        <x:v>Perch-likes</x:v>
      </x:c>
      <x:c r="I6" s="31" t="n">
        <x:v>9.563902691</x:v>
      </x:c>
      <x:c r="J6" s="31" t="n">
        <x:v>9.563902691</x:v>
      </x:c>
      <x:c r="K6" s="31" t="n">
        <x:v>0</x:v>
      </x:c>
      <x:c r="L6" s="31" t="n">
        <x:v>6</x:v>
      </x:c>
      <x:c r="M6" s="31" t="n">
        <x:v>3.563902691</x:v>
      </x:c>
      <x:c r="N6" s="24" t="str">
        <x:v>thyrsites atun</x:v>
      </x:c>
      <x:c r="O6" s="32" t="n">
        <x:v>3.63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Thyrsites atun</x:v>
      </x:c>
      <x:c r="T6" s="32" t="n">
        <x:f>IF(O6="","",(1/'Metadata'!$B$5)^(O6-1))</x:f>
        <x:v>426.57951880159254</x:v>
      </x:c>
      <x:c r="U6" s="31" t="n">
        <x:f>IF(T6="","",I6*T6)</x:f>
        <x:v>4079.7650077920357</x:v>
      </x:c>
    </x:row>
    <x:row r="7" ht="18" customHeight="1">
      <x:c r="A7" s="24" t="str">
        <x:v>EEZ_856</x:v>
      </x:c>
      <x:c r="B7" s="24" t="str">
        <x:v>Tristan da Cunha Isl. (UK)</x:v>
      </x:c>
      <x:c r="C7" s="24" t="str">
        <x:v>EEZ</x:v>
      </x:c>
      <x:c r="D7" s="30" t="n">
        <x:v>2019</x:v>
      </x:c>
      <x:c r="E7" s="24" t="str">
        <x:v>Helicolenus mouchezi</x:v>
      </x:c>
      <x:c r="F7" s="24" t="str">
        <x:v>Helicolenus mouchezi </x:v>
      </x:c>
      <x:c r="G7" s="24" t="str">
        <x:v>Medium bathydemersals (30 - 89 cm)</x:v>
      </x:c>
      <x:c r="H7" s="24" t="str">
        <x:v>Scorpionfishes</x:v>
      </x:c>
      <x:c r="I7" s="31" t="n">
        <x:v>3.563902691</x:v>
      </x:c>
      <x:c r="J7" s="31" t="n">
        <x:v>3.563902691</x:v>
      </x:c>
      <x:c r="K7" s="31" t="n">
        <x:v>0</x:v>
      </x:c>
      <x:c r="L7" s="31" t="n">
        <x:v>0</x:v>
      </x:c>
      <x:c r="M7" s="31" t="n">
        <x:v>3.563902691</x:v>
      </x:c>
      <x:c r="N7" s="24" t="str">
        <x:v>helicolenus mouchezi</x:v>
      </x:c>
      <x:c r="O7" s="32" t="n">
        <x:v>3.9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Helicolenus mouchezi</x:v>
      </x:c>
      <x:c r="T7" s="32" t="n">
        <x:f>IF(O7="","",(1/'Metadata'!$B$5)^(O7-1))</x:f>
        <x:v>794.3282347242813</x:v>
      </x:c>
      <x:c r="U7" s="31" t="n">
        <x:f>IF(T7="","",I7*T7)</x:f>
        <x:v>2830.9085332711456</x:v>
      </x:c>
    </x:row>
    <x:row r="8" ht="18" customHeight="1">
      <x:c r="A8" s="24" t="str">
        <x:v>EEZ_856</x:v>
      </x:c>
      <x:c r="B8" s="24" t="str">
        <x:v>Tristan da Cunha Isl. (UK)</x:v>
      </x:c>
      <x:c r="C8" s="24" t="str">
        <x:v>EEZ</x:v>
      </x:c>
      <x:c r="D8" s="30" t="n">
        <x:v>2019</x:v>
      </x:c>
      <x:c r="E8" s="24" t="str">
        <x:v>Hexanchus griseus</x:v>
      </x:c>
      <x:c r="F8" s="24" t="str">
        <x:v>Bluntnose sixgill shark</x:v>
      </x:c>
      <x:c r="G8" s="24" t="str">
        <x:v>Large sharks (&gt;=90 cm)</x:v>
      </x:c>
      <x:c r="H8" s="24" t="str">
        <x:v>Sharks &amp; rays</x:v>
      </x:c>
      <x:c r="I8" s="31" t="n">
        <x:v>3.563902691</x:v>
      </x:c>
      <x:c r="J8" s="31" t="n">
        <x:v>3.563902691</x:v>
      </x:c>
      <x:c r="K8" s="31" t="n">
        <x:v>0</x:v>
      </x:c>
      <x:c r="L8" s="31" t="n">
        <x:v>0</x:v>
      </x:c>
      <x:c r="M8" s="31" t="n">
        <x:v>3.563902691</x:v>
      </x:c>
      <x:c r="N8" s="24" t="str">
        <x:v>hexanchus griseus</x:v>
      </x:c>
      <x:c r="O8" s="32" t="n">
        <x:v>4.48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Hexanchus griseus</x:v>
      </x:c>
      <x:c r="T8" s="32" t="n">
        <x:f>IF(O8="","",(1/'Metadata'!$B$5)^(O8-1))</x:f>
        <x:v>3019.951720402019</x:v>
      </x:c>
      <x:c r="U8" s="31" t="n">
        <x:f>IF(T8="","",I8*T8)</x:f>
        <x:v>10762.814063030835</x:v>
      </x:c>
    </x:row>
    <x:row r="9" ht="18" customHeight="1">
      <x:c r="A9" s="24" t="str">
        <x:v>EEZ_856</x:v>
      </x:c>
      <x:c r="B9" s="24" t="str">
        <x:v>Tristan da Cunha Isl. (UK)</x:v>
      </x:c>
      <x:c r="C9" s="24" t="str">
        <x:v>EEZ</x:v>
      </x:c>
      <x:c r="D9" s="30" t="n">
        <x:v>2019</x:v>
      </x:c>
      <x:c r="E9" s="24" t="str">
        <x:v>Trachurus longimanus</x:v>
      </x:c>
      <x:c r="F9" s="24" t="str">
        <x:v>Crozet scad</x:v>
      </x:c>
      <x:c r="G9" s="24" t="str">
        <x:v>Small demersals (&lt;30 cm)</x:v>
      </x:c>
      <x:c r="H9" s="24" t="str">
        <x:v>Perch-likes</x:v>
      </x:c>
      <x:c r="I9" s="31" t="n">
        <x:v>3.563902691</x:v>
      </x:c>
      <x:c r="J9" s="31" t="n">
        <x:v>3.563902691</x:v>
      </x:c>
      <x:c r="K9" s="31" t="n">
        <x:v>0</x:v>
      </x:c>
      <x:c r="L9" s="31" t="n">
        <x:v>0</x:v>
      </x:c>
      <x:c r="M9" s="31" t="n">
        <x:v>3.563902691</x:v>
      </x:c>
      <x:c r="N9" s="24" t="str">
        <x:v>trachurus longimanus</x:v>
      </x:c>
      <x:c r="O9" s="32" t="n">
        <x:v>3.4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Trachurus longimanus</x:v>
      </x:c>
      <x:c r="T9" s="32" t="n">
        <x:f>IF(O9="","",(1/'Metadata'!$B$5)^(O9-1))</x:f>
        <x:v>251.18864315095797</x:v>
      </x:c>
      <x:c r="U9" s="31" t="n">
        <x:f>IF(T9="","",I9*T9)</x:f>
        <x:v>895.2118812743379</x:v>
      </x:c>
    </x:row>
    <x:row r="10" ht="18" customHeight="1">
      <x:c r="A10" s="24" t="str">
        <x:v>EEZ_856</x:v>
      </x:c>
      <x:c r="B10" s="24" t="str">
        <x:v>Tristan da Cunha Isl. (UK)</x:v>
      </x:c>
      <x:c r="C10" s="24" t="str">
        <x:v>EEZ</x:v>
      </x:c>
      <x:c r="D10" s="30" t="n">
        <x:v>2019</x:v>
      </x:c>
      <x:c r="E10" s="24" t="str">
        <x:v>Bramidae</x:v>
      </x:c>
      <x:c r="F10" s="24" t="str">
        <x:v>Pomfrets</x:v>
      </x:c>
      <x:c r="G10" s="24" t="str">
        <x:v>Medium pelagics (30 - 89 cm)</x:v>
      </x:c>
      <x:c r="H10" s="24" t="str">
        <x:v>Perch-likes</x:v>
      </x:c>
      <x:c r="I10" s="31" t="n">
        <x:v>2</x:v>
      </x:c>
      <x:c r="J10" s="31" t="n">
        <x:v>2</x:v>
      </x:c>
      <x:c r="K10" s="31" t="n">
        <x:v>0</x:v>
      </x:c>
      <x:c r="L10" s="31" t="n">
        <x:v>2</x:v>
      </x:c>
      <x:c r="M10" s="31" t="n">
        <x:v>0</x:v>
      </x:c>
      <x:c r="N10" s="24" t="str">
        <x:v>bramidae</x:v>
      </x:c>
      <x:c r="O10" s="32" t="n">
        <x:v>4.14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Bramidae</x:v>
      </x:c>
      <x:c r="T10" s="32" t="n">
        <x:f>IF(O10="","",(1/'Metadata'!$B$5)^(O10-1))</x:f>
        <x:v>1380.3842646028838</x:v>
      </x:c>
      <x:c r="U10" s="31" t="n">
        <x:f>IF(T10="","",I10*T10)</x:f>
        <x:v>2760.7685292057677</x:v>
      </x:c>
    </x:row>
  </x:sheetData>
  <x:conditionalFormatting sqref="R2:R1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9ffb47c9cf940c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418.907645</x:v>
      </x:c>
      <x:c r="C2" s="32" t="n">
        <x:v>2.6</x:v>
      </x:c>
      <x:c r="D2" s="32" t="n">
        <x:f>IF(C2="","",(1/'Metadata'!$B$5)^(C2-1))</x:f>
        <x:v>39.810717055349734</x:v>
      </x:c>
      <x:c r="E2" s="31" t="n">
        <x:f>IF(B2=0,"",B2*D2)</x:f>
        <x:v>16677.013727417892</x:v>
      </x:c>
    </x:row>
    <x:row r="3" ht="18" customHeight="1">
      <x:c r="A3" s="24" t="str">
        <x:v>Other fishes &amp; inverts</x:v>
      </x:c>
      <x:c r="B3" s="31" t="n">
        <x:v>263.7787497338</x:v>
      </x:c>
      <x:c r="C3" s="32" t="n">
        <x:v>3.3218532577440043</x:v>
      </x:c>
      <x:c r="D3" s="32" t="n">
        <x:f>IF(C3="","",(1/'Metadata'!$B$5)^(C3-1))</x:f>
        <x:v>209.82307999087809</x:v>
      </x:c>
      <x:c r="E3" s="31" t="n">
        <x:f>IF(B3=0,"",B3*D3)</x:f>
        <x:v>55346.869705288926</x:v>
      </x:c>
    </x:row>
    <x:row r="4" ht="18" customHeight="1">
      <x:c r="A4" s="24" t="str">
        <x:v>Perch-likes</x:v>
      </x:c>
      <x:c r="B4" s="31" t="n">
        <x:v>15.127805381999998</x:v>
      </x:c>
      <x:c r="C4" s="32" t="n">
        <x:v>3.6432406767546293</x:v>
      </x:c>
      <x:c r="D4" s="32" t="n">
        <x:f>IF(C4="","",(1/'Metadata'!$B$5)^(C4-1))</x:f>
        <x:v>439.7852675493041</x:v>
      </x:c>
      <x:c r="E4" s="31" t="n">
        <x:f>IF(B4=0,"",B4*D4)</x:f>
        <x:v>6652.9859373566715</x:v>
      </x:c>
    </x:row>
    <x:row r="5" ht="18" customHeight="1">
      <x:c r="A5" s="24" t="str">
        <x:v>Scorpionfishes</x:v>
      </x:c>
      <x:c r="B5" s="31" t="n">
        <x:v>31.627805382</x:v>
      </x:c>
      <x:c r="C5" s="32" t="n">
        <x:v>3.802395083733287</x:v>
      </x:c>
      <x:c r="D5" s="32" t="n">
        <x:f>IF(C5="","",(1/'Metadata'!$B$5)^(C5-1))</x:f>
        <x:v>634.4466137217106</x:v>
      </x:c>
      <x:c r="E5" s="31" t="n">
        <x:f>IF(B5=0,"",B5*D5)</x:f>
        <x:v>20066.154024059193</x:v>
      </x:c>
    </x:row>
    <x:row r="6" ht="18" customHeight="1">
      <x:c r="A6" s="24" t="str">
        <x:v>Sharks &amp; rays</x:v>
      </x:c>
      <x:c r="B6" s="31" t="n">
        <x:v>3.563902691</x:v>
      </x:c>
      <x:c r="C6" s="32" t="n">
        <x:v>4.48</x:v>
      </x:c>
      <x:c r="D6" s="32" t="n">
        <x:f>IF(C6="","",(1/'Metadata'!$B$5)^(C6-1))</x:f>
        <x:v>3019.951720402019</x:v>
      </x:c>
      <x:c r="E6" s="31" t="n">
        <x:f>IF(B6=0,"",B6*D6)</x:f>
        <x:v>10762.814063030835</x:v>
      </x:c>
    </x:row>
  </x:sheetData>
  <x:pageMargins left="0.7" right="0.7" top="0.75" bottom="0.75" header="0.3" footer="0.3"/>
  <x:tableParts count="1">
    <x:tablePart xmlns:r="http://schemas.openxmlformats.org/officeDocument/2006/relationships" r:id="Rf670413675284b7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9.563902691</x:v>
      </x:c>
      <x:c r="C2" s="32" t="n">
        <x:v>3.63</x:v>
      </x:c>
      <x:c r="D2" s="32" t="n">
        <x:f>IF(C2="","",(1/'Metadata'!$B$5)^(C2-1))</x:f>
        <x:v>426.57951880159254</x:v>
      </x:c>
      <x:c r="E2" s="31" t="n">
        <x:f>IF(B2=0,"",B2*D2)</x:f>
        <x:v>4079.7650077920357</x:v>
      </x:c>
    </x:row>
    <x:row r="3" ht="18" customHeight="1">
      <x:c r="A3" s="24" t="str">
        <x:v>Large sharks (&gt;=90 cm)</x:v>
      </x:c>
      <x:c r="B3" s="31" t="n">
        <x:v>3.563902691</x:v>
      </x:c>
      <x:c r="C3" s="32" t="n">
        <x:v>4.48</x:v>
      </x:c>
      <x:c r="D3" s="32" t="n">
        <x:f>IF(C3="","",(1/'Metadata'!$B$5)^(C3-1))</x:f>
        <x:v>3019.951720402019</x:v>
      </x:c>
      <x:c r="E3" s="31" t="n">
        <x:f>IF(B3=0,"",B3*D3)</x:f>
        <x:v>10762.814063030835</x:v>
      </x:c>
    </x:row>
    <x:row r="4" ht="18" customHeight="1">
      <x:c r="A4" s="24" t="str">
        <x:v>Lobsters, crabs</x:v>
      </x:c>
      <x:c r="B4" s="31" t="n">
        <x:v>418.907645</x:v>
      </x:c>
      <x:c r="C4" s="32" t="n">
        <x:v>2.6</x:v>
      </x:c>
      <x:c r="D4" s="32" t="n">
        <x:f>IF(C4="","",(1/'Metadata'!$B$5)^(C4-1))</x:f>
        <x:v>39.810717055349734</x:v>
      </x:c>
      <x:c r="E4" s="31" t="n">
        <x:f>IF(B4=0,"",B4*D4)</x:f>
        <x:v>16677.013727417892</x:v>
      </x:c>
    </x:row>
    <x:row r="5" ht="18" customHeight="1">
      <x:c r="A5" s="24" t="str">
        <x:v>Medium bathydemersals (30 - 89 cm)</x:v>
      </x:c>
      <x:c r="B5" s="31" t="n">
        <x:v>3.563902691</x:v>
      </x:c>
      <x:c r="C5" s="32" t="n">
        <x:v>3.9</x:v>
      </x:c>
      <x:c r="D5" s="32" t="n">
        <x:f>IF(C5="","",(1/'Metadata'!$B$5)^(C5-1))</x:f>
        <x:v>794.3282347242813</x:v>
      </x:c>
      <x:c r="E5" s="31" t="n">
        <x:f>IF(B5=0,"",B5*D5)</x:f>
        <x:v>2830.9085332711456</x:v>
      </x:c>
    </x:row>
    <x:row r="6" ht="18" customHeight="1">
      <x:c r="A6" s="24" t="str">
        <x:v>Medium benthopelagics (30 - 89 cm)</x:v>
      </x:c>
      <x:c r="B6" s="31" t="n">
        <x:v>16</x:v>
      </x:c>
      <x:c r="C6" s="32" t="n">
        <x:v>3.97</x:v>
      </x:c>
      <x:c r="D6" s="32" t="n">
        <x:f>IF(C6="","",(1/'Metadata'!$B$5)^(C6-1))</x:f>
        <x:v>933.2543007969915</x:v>
      </x:c>
      <x:c r="E6" s="31" t="n">
        <x:f>IF(B6=0,"",B6*D6)</x:f>
        <x:v>14932.068812751864</x:v>
      </x:c>
    </x:row>
    <x:row r="7" ht="18" customHeight="1">
      <x:c r="A7" s="24" t="str">
        <x:v>Medium demersals (30 - 89 cm)</x:v>
      </x:c>
      <x:c r="B7" s="31" t="n">
        <x:v>275.8426524248</x:v>
      </x:c>
      <x:c r="C7" s="32" t="n">
        <x:v>3.331886792149781</x:v>
      </x:c>
      <x:c r="D7" s="32" t="n">
        <x:f>IF(C7="","",(1/'Metadata'!$B$5)^(C7-1))</x:f>
        <x:v>214.72706706048416</x:v>
      </x:c>
      <x:c r="E7" s="31" t="n">
        <x:f>IF(B7=0,"",B7*D7)</x:f>
        <x:v>59230.883725361855</x:v>
      </x:c>
    </x:row>
    <x:row r="8" ht="18" customHeight="1">
      <x:c r="A8" s="24" t="str">
        <x:v>Medium pelagics (30 - 89 cm)</x:v>
      </x:c>
      <x:c r="B8" s="31" t="n">
        <x:v>2</x:v>
      </x:c>
      <x:c r="C8" s="32" t="n">
        <x:v>4.14</x:v>
      </x:c>
      <x:c r="D8" s="32" t="n">
        <x:f>IF(C8="","",(1/'Metadata'!$B$5)^(C8-1))</x:f>
        <x:v>1380.3842646028838</x:v>
      </x:c>
      <x:c r="E8" s="31" t="n">
        <x:f>IF(B8=0,"",B8*D8)</x:f>
        <x:v>2760.7685292057677</x:v>
      </x:c>
    </x:row>
    <x:row r="9" ht="18" customHeight="1">
      <x:c r="A9" s="24" t="str">
        <x:v>Small demersals (&lt;30 cm)</x:v>
      </x:c>
      <x:c r="B9" s="31" t="n">
        <x:v>3.563902691</x:v>
      </x:c>
      <x:c r="C9" s="32" t="n">
        <x:v>3.4</x:v>
      </x:c>
      <x:c r="D9" s="32" t="n">
        <x:f>IF(C9="","",(1/'Metadata'!$B$5)^(C9-1))</x:f>
        <x:v>251.18864315095797</x:v>
      </x:c>
      <x:c r="E9" s="31" t="n">
        <x:f>IF(B9=0,"",B9*D9)</x:f>
        <x:v>895.2118812743379</x:v>
      </x:c>
    </x:row>
  </x:sheetData>
  <x:pageMargins left="0.7" right="0.7" top="0.75" bottom="0.75" header="0.3" footer="0.3"/>
  <x:tableParts count="1">
    <x:tablePart xmlns:r="http://schemas.openxmlformats.org/officeDocument/2006/relationships" r:id="Rfcfed8898fe842d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EEZ_856</x:v>
      </x:c>
      <x:c r="B2" s="24" t="str">
        <x:v>raw_filtered_tonnes</x:v>
      </x:c>
      <x:c r="C2" s="24" t="n">
        <x:v>733.0059081888</x:v>
      </x:c>
      <x:c r="D2" s="24" t="str">
        <x:v>tonnes</x:v>
      </x:c>
    </x:row>
    <x:row r="3" ht="18" customHeight="1">
      <x:c r="A3" s="24" t="str">
        <x:v>EEZ_856</x:v>
      </x:c>
      <x:c r="B3" s="24" t="str">
        <x:v>species_catch_tonnes</x:v>
      </x:c>
      <x:c r="C3" s="24" t="n">
        <x:v>733.0059081887999</x:v>
      </x:c>
      <x:c r="D3" s="24" t="str">
        <x:v>tonnes</x:v>
      </x:c>
    </x:row>
    <x:row r="4" ht="18" customHeight="1">
      <x:c r="A4" s="24" t="str">
        <x:v>EEZ_856</x:v>
      </x:c>
      <x:c r="B4" s="24" t="str">
        <x:v>catch_difference_tonnes</x:v>
      </x:c>
      <x:c r="C4" s="24" t="n">
        <x:v>-1.1368683772161603e-13</x:v>
      </x:c>
      <x:c r="D4" s="24" t="str">
        <x:v>tonnes</x:v>
      </x:c>
    </x:row>
    <x:row r="5" ht="18" customHeight="1">
      <x:c r="A5" s="24" t="str">
        <x:v>EEZ_856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EEZ_856</x:v>
      </x:c>
      <x:c r="B6" s="24" t="str">
        <x:v>matched_catch_tonnes</x:v>
      </x:c>
      <x:c r="C6" s="24" t="n">
        <x:v>733.0059081887999</x:v>
      </x:c>
      <x:c r="D6" s="24" t="str">
        <x:v>tonnes</x:v>
      </x:c>
    </x:row>
    <x:row r="7" ht="18" customHeight="1">
      <x:c r="A7" s="24" t="str">
        <x:v>EEZ_856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EEZ_856</x:v>
      </x:c>
      <x:c r="B8" s="24" t="str">
        <x:v>taxa_count</x:v>
      </x:c>
      <x:c r="C8" s="24" t="n">
        <x:v>9</x:v>
      </x:c>
      <x:c r="D8" s="24" t="str">
        <x:v>count</x:v>
      </x:c>
    </x:row>
    <x:row r="9" ht="18" customHeight="1">
      <x:c r="A9" s="24" t="str">
        <x:v>EEZ_856</x:v>
      </x:c>
      <x:c r="B9" s="24" t="str">
        <x:v>matched_taxa_count</x:v>
      </x:c>
      <x:c r="C9" s="24" t="n">
        <x:v>9</x:v>
      </x:c>
      <x:c r="D9" s="24" t="str">
        <x:v>count</x:v>
      </x:c>
    </x:row>
    <x:row r="10" ht="18" customHeight="1">
      <x:c r="A10" s="24" t="str">
        <x:v>EEZ_856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EEZ_856</x:v>
      </x:c>
      <x:c r="B11" s="24" t="str">
        <x:v>species_ppr</x:v>
      </x:c>
      <x:c r="C11" s="24" t="n">
        <x:v>117455.8801231217</x:v>
      </x:c>
      <x:c r="D11" s="24" t="str">
        <x:v>tonnes_primary_production_equivalent</x:v>
      </x:c>
    </x:row>
    <x:row r="12" ht="18" customHeight="1">
      <x:c r="A12" s="24" t="str">
        <x:v>EEZ_856</x:v>
      </x:c>
      <x:c r="B12" s="24" t="str">
        <x:v>commercial_ppr</x:v>
      </x:c>
      <x:c r="C12" s="24" t="n">
        <x:v>109505.83745715352</x:v>
      </x:c>
      <x:c r="D12" s="24" t="str">
        <x:v>tonnes_primary_production_equivalent</x:v>
      </x:c>
    </x:row>
    <x:row r="13" ht="18" customHeight="1">
      <x:c r="A13" s="24" t="str">
        <x:v>EEZ_856</x:v>
      </x:c>
      <x:c r="B13" s="24" t="str">
        <x:v>functional_ppr</x:v>
      </x:c>
      <x:c r="C13" s="24" t="n">
        <x:v>112169.43428010574</x:v>
      </x:c>
      <x:c r="D13" s="24" t="str">
        <x:v>tonnes_primary_production_equivalent</x:v>
      </x:c>
    </x:row>
    <x:row r="14" ht="18" customHeight="1">
      <x:c r="A14" s="24" t="str">
        <x:v>EEZ_856</x:v>
      </x:c>
      <x:c r="B14" s="24" t="str">
        <x:v>commercial_ppr_difference</x:v>
      </x:c>
      <x:c r="C14" s="24" t="n">
        <x:v>-7950.042665968169</x:v>
      </x:c>
      <x:c r="D14" s="24" t="str">
        <x:v>tonnes_primary_production_equivalent</x:v>
      </x:c>
    </x:row>
    <x:row r="15" ht="18" customHeight="1">
      <x:c r="A15" s="24" t="str">
        <x:v>EEZ_856</x:v>
      </x:c>
      <x:c r="B15" s="24" t="str">
        <x:v>functional_ppr_difference</x:v>
      </x:c>
      <x:c r="C15" s="24" t="n">
        <x:v>-5286.4458430159575</x:v>
      </x:c>
      <x:c r="D15" s="24" t="str">
        <x:v>tonnes_primary_production_equivalent</x:v>
      </x:c>
    </x:row>
    <x:row r="16" ht="18" customHeight="1">
      <x:c r="A16" s="24" t="str">
        <x:v>EEZ_856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EEZ_856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95e5740d06e2464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EEZ_856 - Tristan da Cunha Isl.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EEZ_856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raw_data/SAU_downloads/EEZ_856-catch.zip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