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cfaffd51a54a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4b02db48ab4b4194"/>
    <x:sheet xmlns:r="http://schemas.openxmlformats.org/officeDocument/2006/relationships" name="Commercial" sheetId="2" r:id="R720f6cf2a7974381"/>
    <x:sheet xmlns:r="http://schemas.openxmlformats.org/officeDocument/2006/relationships" name="Functional" sheetId="3" r:id="Re9fe4e04953e4b62"/>
    <x:sheet xmlns:r="http://schemas.openxmlformats.org/officeDocument/2006/relationships" name="Missing TL" sheetId="4" r:id="R7ab2d8badd0547b8"/>
    <x:sheet xmlns:r="http://schemas.openxmlformats.org/officeDocument/2006/relationships" name="Validation" sheetId="5" r:id="Rda3983bcbc03450c"/>
    <x:sheet xmlns:r="http://schemas.openxmlformats.org/officeDocument/2006/relationships" name="Metadata" sheetId="6" r:id="R8d198aefd0134b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af18031e3c45e8" /><Relationship Type="http://schemas.openxmlformats.org/officeDocument/2006/relationships/theme" Target="/xl/theme/theme1.xml" Id="R08add60915d44e4c" /><Relationship Type="http://schemas.microsoft.com/office/2022/11/relationships/FeaturePropertyBag" Target="/xl/featurePropertyBag/featurePropertyBag.xml" Id="Re951d438d90e4277" /><Relationship Type="http://schemas.openxmlformats.org/officeDocument/2006/relationships/sharedStrings" Target="/xl/sharedStrings.xml" Id="Re569c73c14a341aa" /><Relationship Type="http://schemas.openxmlformats.org/officeDocument/2006/relationships/worksheet" Target="/xl/worksheets/sheet1.xml" Id="R4b02db48ab4b4194" /><Relationship Type="http://schemas.openxmlformats.org/officeDocument/2006/relationships/worksheet" Target="/xl/worksheets/sheet2.xml" Id="R720f6cf2a7974381" /><Relationship Type="http://schemas.openxmlformats.org/officeDocument/2006/relationships/worksheet" Target="/xl/worksheets/sheet3.xml" Id="Re9fe4e04953e4b62" /><Relationship Type="http://schemas.openxmlformats.org/officeDocument/2006/relationships/worksheet" Target="/xl/worksheets/sheet4.xml" Id="R7ab2d8badd0547b8" /><Relationship Type="http://schemas.openxmlformats.org/officeDocument/2006/relationships/worksheet" Target="/xl/worksheets/sheet5.xml" Id="Rda3983bcbc03450c" /><Relationship Type="http://schemas.openxmlformats.org/officeDocument/2006/relationships/worksheet" Target="/xl/worksheets/sheet6.xml" Id="R8d198aefd0134b8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184SpeciesTable" displayName="EEZ184SpeciesTable" ref="A1:U39" headerRowCount="1" totalsRowCount="0" totalsRowShown="0">
  <x:autoFilter ref="A1:U39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184CommercialTable" displayName="EEZ184CommercialTable" ref="A1:O7" headerRowCount="1" totalsRowCount="0" totalsRowShown="0">
  <x:autoFilter ref="A1:O7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184FunctionalTable" displayName="EEZ184FunctionalTable" ref="A1:O9" headerRowCount="1" totalsRowCount="0" totalsRowShown="0">
  <x:autoFilter ref="A1:O9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184ValidationTable" displayName="EEZ184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c0bfaf09de54d1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72c67860a7c45e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78a8896a24c49f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6d625b31b7743a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EEZ_184</x:v>
      </x:c>
      <x:c r="B2" s="24" t="str">
        <x:v>Cook Islands</x:v>
      </x:c>
      <x:c r="C2" s="24" t="str">
        <x:v>EEZ</x:v>
      </x:c>
      <x:c r="D2" s="30" t="n">
        <x:v>2019</x:v>
      </x:c>
      <x:c r="E2" s="24" t="str">
        <x:v>Katsuwonus pelamis</x:v>
      </x:c>
      <x:c r="F2" s="24" t="str">
        <x:v>Skipjack tuna</x:v>
      </x:c>
      <x:c r="G2" s="24" t="str">
        <x:v>Large pelagics (&gt;=90 cm)</x:v>
      </x:c>
      <x:c r="H2" s="24" t="str">
        <x:v>Tuna &amp; billfishes</x:v>
      </x:c>
      <x:c r="I2" s="31" t="n">
        <x:v>28004.3143844814</x:v>
      </x:c>
      <x:c r="J2" s="31" t="n">
        <x:v>27899.2028499763</x:v>
      </x:c>
      <x:c r="K2" s="31" t="n">
        <x:v>105.1115345051</x:v>
      </x:c>
      <x:c r="L2" s="31" t="n">
        <x:v>27899.2028499763</x:v>
      </x:c>
      <x:c r="M2" s="31" t="n">
        <x:v>105.1115345051</x:v>
      </x:c>
      <x:c r="N2" s="24" t="str">
        <x:v>katsuwonus pelamis</x:v>
      </x:c>
      <x:c r="O2" s="32" t="n">
        <x:v>4.43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Katsuwonus pelamis</x:v>
      </x:c>
      <x:c r="T2" s="32" t="n">
        <x:f>IF(O2="","",(1/'Metadata'!$B$5)^(O2-1))</x:f>
        <x:v>2691.534803926914</x:v>
      </x:c>
      <x:c r="U2" s="31" t="n">
        <x:f>IF(T2="","",I2*T2)</x:f>
        <x:v>75374586.8259428</x:v>
      </x:c>
    </x:row>
    <x:row r="3" ht="18" customHeight="1">
      <x:c r="A3" s="24" t="str">
        <x:v>EEZ_184</x:v>
      </x:c>
      <x:c r="B3" s="24" t="str">
        <x:v>Cook Islands</x:v>
      </x:c>
      <x:c r="C3" s="24" t="str">
        <x:v>EEZ</x:v>
      </x:c>
      <x:c r="D3" s="30" t="n">
        <x:v>2019</x:v>
      </x:c>
      <x:c r="E3" s="24" t="str">
        <x:v>Thunnus alalunga</x:v>
      </x:c>
      <x:c r="F3" s="24" t="str">
        <x:v>Albacore</x:v>
      </x:c>
      <x:c r="G3" s="24" t="str">
        <x:v>Large pelagics (&gt;=90 cm)</x:v>
      </x:c>
      <x:c r="H3" s="24" t="str">
        <x:v>Tuna &amp; billfishes</x:v>
      </x:c>
      <x:c r="I3" s="31" t="n">
        <x:v>8420.9694525101</x:v>
      </x:c>
      <x:c r="J3" s="31" t="n">
        <x:v>8420.966170826301</x:v>
      </x:c>
      <x:c r="K3" s="31" t="n">
        <x:v>0.0032816838</x:v>
      </x:c>
      <x:c r="L3" s="31" t="n">
        <x:v>8420.966170826301</x:v>
      </x:c>
      <x:c r="M3" s="31" t="n">
        <x:v>0.0032816838</x:v>
      </x:c>
      <x:c r="N3" s="24" t="str">
        <x:v>thunnus alalunga</x:v>
      </x:c>
      <x:c r="O3" s="32" t="n">
        <x:v>4.3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Thunnus alalunga</x:v>
      </x:c>
      <x:c r="T3" s="32" t="n">
        <x:f>IF(O3="","",(1/'Metadata'!$B$5)^(O3-1))</x:f>
        <x:v>1995.2623149688789</x:v>
      </x:c>
      <x:c r="U3" s="31" t="n">
        <x:f>IF(T3="","",I3*T3)</x:f>
        <x:v>16802043.004097514</x:v>
      </x:c>
    </x:row>
    <x:row r="4" ht="18" customHeight="1">
      <x:c r="A4" s="24" t="str">
        <x:v>EEZ_184</x:v>
      </x:c>
      <x:c r="B4" s="24" t="str">
        <x:v>Cook Islands</x:v>
      </x:c>
      <x:c r="C4" s="24" t="str">
        <x:v>EEZ</x:v>
      </x:c>
      <x:c r="D4" s="30" t="n">
        <x:v>2019</x:v>
      </x:c>
      <x:c r="E4" s="24" t="str">
        <x:v>Prionace glauca</x:v>
      </x:c>
      <x:c r="F4" s="24" t="str">
        <x:v>Blue shark</x:v>
      </x:c>
      <x:c r="G4" s="24" t="str">
        <x:v>Large sharks (&gt;=90 cm)</x:v>
      </x:c>
      <x:c r="H4" s="24" t="str">
        <x:v>Sharks &amp; rays</x:v>
      </x:c>
      <x:c r="I4" s="31" t="n">
        <x:v>7018.8841817371</x:v>
      </x:c>
      <x:c r="J4" s="31" t="n">
        <x:v>4162.9814648166</x:v>
      </x:c>
      <x:c r="K4" s="31" t="n">
        <x:v>2855.9027169205</x:v>
      </x:c>
      <x:c r="L4" s="31" t="n">
        <x:v>4162.9814648166</x:v>
      </x:c>
      <x:c r="M4" s="31" t="n">
        <x:v>2855.9027169205</x:v>
      </x:c>
      <x:c r="N4" s="24" t="str">
        <x:v>prionace glauca</x:v>
      </x:c>
      <x:c r="O4" s="32" t="n">
        <x:v>4.35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Prionace glauca</x:v>
      </x:c>
      <x:c r="T4" s="32" t="n">
        <x:f>IF(O4="","",(1/'Metadata'!$B$5)^(O4-1))</x:f>
        <x:v>2238.7211385683377</x:v>
      </x:c>
      <x:c r="U4" s="31" t="n">
        <x:f>IF(T4="","",I4*T4)</x:f>
        <x:v>15713324.386817776</x:v>
      </x:c>
    </x:row>
    <x:row r="5" ht="18" customHeight="1">
      <x:c r="A5" s="24" t="str">
        <x:v>EEZ_184</x:v>
      </x:c>
      <x:c r="B5" s="24" t="str">
        <x:v>Cook Islands</x:v>
      </x:c>
      <x:c r="C5" s="24" t="str">
        <x:v>EEZ</x:v>
      </x:c>
      <x:c r="D5" s="30" t="n">
        <x:v>2019</x:v>
      </x:c>
      <x:c r="E5" s="24" t="str">
        <x:v>Thunnus albacares</x:v>
      </x:c>
      <x:c r="F5" s="24" t="str">
        <x:v>Yellowfin tuna</x:v>
      </x:c>
      <x:c r="G5" s="24" t="str">
        <x:v>Large pelagics (&gt;=90 cm)</x:v>
      </x:c>
      <x:c r="H5" s="24" t="str">
        <x:v>Tuna &amp; billfishes</x:v>
      </x:c>
      <x:c r="I5" s="31" t="n">
        <x:v>4802.5639902013</x:v>
      </x:c>
      <x:c r="J5" s="31" t="n">
        <x:v>4769.7443834327</x:v>
      </x:c>
      <x:c r="K5" s="31" t="n">
        <x:v>32.8196067686</x:v>
      </x:c>
      <x:c r="L5" s="31" t="n">
        <x:v>4769.7443834327</x:v>
      </x:c>
      <x:c r="M5" s="31" t="n">
        <x:v>32.8196067686</x:v>
      </x:c>
      <x:c r="N5" s="24" t="str">
        <x:v>thunnus albacares</x:v>
      </x:c>
      <x:c r="O5" s="32" t="n">
        <x:v>4.41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Thunnus albacares</x:v>
      </x:c>
      <x:c r="T5" s="32" t="n">
        <x:f>IF(O5="","",(1/'Metadata'!$B$5)^(O5-1))</x:f>
        <x:v>2570.3957827688646</x:v>
      </x:c>
      <x:c r="U5" s="31" t="n">
        <x:f>IF(T5="","",I5*T5)</x:f>
        <x:v>12344490.226891031</x:v>
      </x:c>
    </x:row>
    <x:row r="6" ht="18" customHeight="1">
      <x:c r="A6" s="24" t="str">
        <x:v>EEZ_184</x:v>
      </x:c>
      <x:c r="B6" s="24" t="str">
        <x:v>Cook Islands</x:v>
      </x:c>
      <x:c r="C6" s="24" t="str">
        <x:v>EEZ</x:v>
      </x:c>
      <x:c r="D6" s="30" t="n">
        <x:v>2019</x:v>
      </x:c>
      <x:c r="E6" s="24" t="str">
        <x:v>Marine fishes not identified</x:v>
      </x:c>
      <x:c r="F6" s="24" t="str">
        <x:v>Marine fishes nei</x:v>
      </x:c>
      <x:c r="G6" s="24" t="str">
        <x:v>Medium demersals (30 - 89 cm)</x:v>
      </x:c>
      <x:c r="H6" s="24" t="str">
        <x:v>Other fishes &amp; inverts</x:v>
      </x:c>
      <x:c r="I6" s="31" t="n">
        <x:v>2531.8149334874997</x:v>
      </x:c>
      <x:c r="J6" s="31" t="n">
        <x:v>671.1837322691999</x:v>
      </x:c>
      <x:c r="K6" s="31" t="n">
        <x:v>1860.6312012183</x:v>
      </x:c>
      <x:c r="L6" s="31" t="n">
        <x:v>671.1837322691999</x:v>
      </x:c>
      <x:c r="M6" s="31" t="n">
        <x:v>1860.6312012183</x:v>
      </x:c>
      <x:c r="N6" s="24" t="str">
        <x:v>marine fishes not identified</x:v>
      </x:c>
      <x:c r="O6" s="32" t="n">
        <x:v>3.28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Marine fishes not identified</x:v>
      </x:c>
      <x:c r="T6" s="32" t="n">
        <x:f>IF(O6="","",(1/'Metadata'!$B$5)^(O6-1))</x:f>
        <x:v>190.54607179632464</x:v>
      </x:c>
      <x:c r="U6" s="31" t="n">
        <x:f>IF(T6="","",I6*T6)</x:f>
        <x:v>482427.390091316</x:v>
      </x:c>
    </x:row>
    <x:row r="7" ht="18" customHeight="1">
      <x:c r="A7" s="24" t="str">
        <x:v>EEZ_184</x:v>
      </x:c>
      <x:c r="B7" s="24" t="str">
        <x:v>Cook Islands</x:v>
      </x:c>
      <x:c r="C7" s="24" t="str">
        <x:v>EEZ</x:v>
      </x:c>
      <x:c r="D7" s="30" t="n">
        <x:v>2019</x:v>
      </x:c>
      <x:c r="E7" s="24" t="str">
        <x:v>Thunnus obesus</x:v>
      </x:c>
      <x:c r="F7" s="24" t="str">
        <x:v>Bigeye tuna</x:v>
      </x:c>
      <x:c r="G7" s="24" t="str">
        <x:v>Large pelagics (&gt;=90 cm)</x:v>
      </x:c>
      <x:c r="H7" s="24" t="str">
        <x:v>Tuna &amp; billfishes</x:v>
      </x:c>
      <x:c r="I7" s="31" t="n">
        <x:v>2335.5768580805</x:v>
      </x:c>
      <x:c r="J7" s="31" t="n">
        <x:v>2270.9872243907</x:v>
      </x:c>
      <x:c r="K7" s="31" t="n">
        <x:v>64.5896336898</x:v>
      </x:c>
      <x:c r="L7" s="31" t="n">
        <x:v>2270.9872243907</x:v>
      </x:c>
      <x:c r="M7" s="31" t="n">
        <x:v>64.5896336898</x:v>
      </x:c>
      <x:c r="N7" s="24" t="str">
        <x:v>thunnus obesus</x:v>
      </x:c>
      <x:c r="O7" s="32" t="n">
        <x:v>4.49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Thunnus obesus</x:v>
      </x:c>
      <x:c r="T7" s="32" t="n">
        <x:f>IF(O7="","",(1/'Metadata'!$B$5)^(O7-1))</x:f>
        <x:v>3090.295432513592</x:v>
      </x:c>
      <x:c r="U7" s="31" t="n">
        <x:f>IF(T7="","",I7*T7)</x:f>
        <x:v>7217622.496810616</x:v>
      </x:c>
    </x:row>
    <x:row r="8" ht="18" customHeight="1">
      <x:c r="A8" s="24" t="str">
        <x:v>EEZ_184</x:v>
      </x:c>
      <x:c r="B8" s="24" t="str">
        <x:v>Cook Islands</x:v>
      </x:c>
      <x:c r="C8" s="24" t="str">
        <x:v>EEZ</x:v>
      </x:c>
      <x:c r="D8" s="30" t="n">
        <x:v>2019</x:v>
      </x:c>
      <x:c r="E8" s="24" t="str">
        <x:v>Marine pelagic fishes not identified</x:v>
      </x:c>
      <x:c r="F8" s="24" t="str">
        <x:v>Pelagic fishes</x:v>
      </x:c>
      <x:c r="G8" s="24" t="str">
        <x:v>Medium pelagics (30 - 89 cm)</x:v>
      </x:c>
      <x:c r="H8" s="24" t="str">
        <x:v>Other fishes &amp; inverts</x:v>
      </x:c>
      <x:c r="I8" s="31" t="n">
        <x:v>756.2044226944</x:v>
      </x:c>
      <x:c r="J8" s="31" t="n">
        <x:v>549.1079474039</x:v>
      </x:c>
      <x:c r="K8" s="31" t="n">
        <x:v>207.0964752905</x:v>
      </x:c>
      <x:c r="L8" s="31" t="n">
        <x:v>549.1079474039</x:v>
      </x:c>
      <x:c r="M8" s="31" t="n">
        <x:v>207.0964752905</x:v>
      </x:c>
      <x:c r="N8" s="24" t="str">
        <x:v>marine pelagic fishes not identified</x:v>
      </x:c>
      <x:c r="O8" s="32" t="n">
        <x:v>3.35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Marine pelagic fishes not identified</x:v>
      </x:c>
      <x:c r="T8" s="32" t="n">
        <x:f>IF(O8="","",(1/'Metadata'!$B$5)^(O8-1))</x:f>
        <x:v>223.872113856834</x:v>
      </x:c>
      <x:c r="U8" s="31" t="n">
        <x:f>IF(T8="","",I8*T8)</x:f>
        <x:v>169293.08261648216</x:v>
      </x:c>
    </x:row>
    <x:row r="9" ht="18" customHeight="1">
      <x:c r="A9" s="24" t="str">
        <x:v>EEZ_184</x:v>
      </x:c>
      <x:c r="B9" s="24" t="str">
        <x:v>Cook Islands</x:v>
      </x:c>
      <x:c r="C9" s="24" t="str">
        <x:v>EEZ</x:v>
      </x:c>
      <x:c r="D9" s="30" t="n">
        <x:v>2019</x:v>
      </x:c>
      <x:c r="E9" s="24" t="str">
        <x:v>Scombridae</x:v>
      </x:c>
      <x:c r="F9" s="24" t="str">
        <x:v>Mackerels, tunas, bonitos</x:v>
      </x:c>
      <x:c r="G9" s="24" t="str">
        <x:v>Medium pelagics (30 - 89 cm)</x:v>
      </x:c>
      <x:c r="H9" s="24" t="str">
        <x:v>Perch-likes</x:v>
      </x:c>
      <x:c r="I9" s="31" t="n">
        <x:v>718.4697153358001</x:v>
      </x:c>
      <x:c r="J9" s="31" t="n">
        <x:v>3.9122738782999997</x:v>
      </x:c>
      <x:c r="K9" s="31" t="n">
        <x:v>714.5574414575</x:v>
      </x:c>
      <x:c r="L9" s="31" t="n">
        <x:v>3.9122738782999997</x:v>
      </x:c>
      <x:c r="M9" s="31" t="n">
        <x:v>714.5574414575</x:v>
      </x:c>
      <x:c r="N9" s="24" t="str">
        <x:v>scombridae</x:v>
      </x:c>
      <x:c r="O9" s="32" t="n">
        <x:v>4.26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Scombridae</x:v>
      </x:c>
      <x:c r="T9" s="32" t="n">
        <x:f>IF(O9="","",(1/'Metadata'!$B$5)^(O9-1))</x:f>
        <x:v>1819.7008586099826</x:v>
      </x:c>
      <x:c r="U9" s="31" t="n">
        <x:f>IF(T9="","",I9*T9)</x:f>
        <x:v>1307399.957881825</x:v>
      </x:c>
    </x:row>
    <x:row r="10" ht="18" customHeight="1">
      <x:c r="A10" s="24" t="str">
        <x:v>EEZ_184</x:v>
      </x:c>
      <x:c r="B10" s="24" t="str">
        <x:v>Cook Islands</x:v>
      </x:c>
      <x:c r="C10" s="24" t="str">
        <x:v>EEZ</x:v>
      </x:c>
      <x:c r="D10" s="30" t="n">
        <x:v>2019</x:v>
      </x:c>
      <x:c r="E10" s="24" t="str">
        <x:v>Xiphias gladius</x:v>
      </x:c>
      <x:c r="F10" s="24" t="str">
        <x:v>Swordfish</x:v>
      </x:c>
      <x:c r="G10" s="24" t="str">
        <x:v>Large pelagics (&gt;=90 cm)</x:v>
      </x:c>
      <x:c r="H10" s="24" t="str">
        <x:v>Tuna &amp; billfishes</x:v>
      </x:c>
      <x:c r="I10" s="31" t="n">
        <x:v>580.245429112</x:v>
      </x:c>
      <x:c r="J10" s="31" t="n">
        <x:v>197.5669708145</x:v>
      </x:c>
      <x:c r="K10" s="31" t="n">
        <x:v>382.6784582975</x:v>
      </x:c>
      <x:c r="L10" s="31" t="n">
        <x:v>197.5669708145</x:v>
      </x:c>
      <x:c r="M10" s="31" t="n">
        <x:v>382.6784582975</x:v>
      </x:c>
      <x:c r="N10" s="24" t="str">
        <x:v>xiphias gladius</x:v>
      </x:c>
      <x:c r="O10" s="32" t="n">
        <x:v>4.53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Xiphias gladius</x:v>
      </x:c>
      <x:c r="T10" s="32" t="n">
        <x:f>IF(O10="","",(1/'Metadata'!$B$5)^(O10-1))</x:f>
        <x:v>3388.4415613920273</x:v>
      </x:c>
      <x:c r="U10" s="31" t="n">
        <x:f>IF(T10="","",I10*T10)</x:f>
        <x:v>1966127.7278108522</x:v>
      </x:c>
    </x:row>
    <x:row r="11" ht="18" customHeight="1">
      <x:c r="A11" s="24" t="str">
        <x:v>EEZ_184</x:v>
      </x:c>
      <x:c r="B11" s="24" t="str">
        <x:v>Cook Islands</x:v>
      </x:c>
      <x:c r="C11" s="24" t="str">
        <x:v>EEZ</x:v>
      </x:c>
      <x:c r="D11" s="30" t="n">
        <x:v>2019</x:v>
      </x:c>
      <x:c r="E11" s="24" t="str">
        <x:v>Coryphaena hippurus</x:v>
      </x:c>
      <x:c r="F11" s="24" t="str">
        <x:v>Common dolphinfish</x:v>
      </x:c>
      <x:c r="G11" s="24" t="str">
        <x:v>Large pelagics (&gt;=90 cm)</x:v>
      </x:c>
      <x:c r="H11" s="24" t="str">
        <x:v>Perch-likes</x:v>
      </x:c>
      <x:c r="I11" s="31" t="n">
        <x:v>485.13335664899995</x:v>
      </x:c>
      <x:c r="J11" s="31" t="n">
        <x:v>7.24</x:v>
      </x:c>
      <x:c r="K11" s="31" t="n">
        <x:v>477.89335664899994</x:v>
      </x:c>
      <x:c r="L11" s="31" t="n">
        <x:v>7.24</x:v>
      </x:c>
      <x:c r="M11" s="31" t="n">
        <x:v>477.89335664899994</x:v>
      </x:c>
      <x:c r="N11" s="24" t="str">
        <x:v>coryphaena hippurus</x:v>
      </x:c>
      <x:c r="O11" s="32" t="n">
        <x:v>4.37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Coryphaena hippurus</x:v>
      </x:c>
      <x:c r="T11" s="32" t="n">
        <x:f>IF(O11="","",(1/'Metadata'!$B$5)^(O11-1))</x:f>
        <x:v>2344.228815319923</x:v>
      </x:c>
      <x:c r="U11" s="31" t="n">
        <x:f>IF(T11="","",I11*T11)</x:f>
        <x:v>1137263.5939294628</x:v>
      </x:c>
    </x:row>
    <x:row r="12" ht="18" customHeight="1">
      <x:c r="A12" s="24" t="str">
        <x:v>EEZ_184</x:v>
      </x:c>
      <x:c r="B12" s="24" t="str">
        <x:v>Cook Islands</x:v>
      </x:c>
      <x:c r="C12" s="24" t="str">
        <x:v>EEZ</x:v>
      </x:c>
      <x:c r="D12" s="30" t="n">
        <x:v>2019</x:v>
      </x:c>
      <x:c r="E12" s="24" t="str">
        <x:v>Isurus</x:v>
      </x:c>
      <x:c r="F12" s="24" t="str">
        <x:v>Mako sharks</x:v>
      </x:c>
      <x:c r="G12" s="24" t="str">
        <x:v>Large sharks (&gt;=90 cm)</x:v>
      </x:c>
      <x:c r="H12" s="24" t="str">
        <x:v>Sharks &amp; rays</x:v>
      </x:c>
      <x:c r="I12" s="31" t="n">
        <x:v>473.5878083056</x:v>
      </x:c>
      <x:c r="J12" s="31" t="n">
        <x:v>146.50792525309998</x:v>
      </x:c>
      <x:c r="K12" s="31" t="n">
        <x:v>327.0798830525</x:v>
      </x:c>
      <x:c r="L12" s="31" t="n">
        <x:v>146.50792525309998</x:v>
      </x:c>
      <x:c r="M12" s="31" t="n">
        <x:v>327.0798830525</x:v>
      </x:c>
      <x:c r="N12" s="24" t="str">
        <x:v>isurus</x:v>
      </x:c>
      <x:c r="O12" s="32" t="n">
        <x:v>4.5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Isurus</x:v>
      </x:c>
      <x:c r="T12" s="32" t="n">
        <x:f>IF(O12="","",(1/'Metadata'!$B$5)^(O12-1))</x:f>
        <x:v>3162.2776601683795</x:v>
      </x:c>
      <x:c r="U12" s="31" t="n">
        <x:f>IF(T12="","",I12*T12)</x:f>
        <x:v>1497616.1463329038</x:v>
      </x:c>
    </x:row>
    <x:row r="13" ht="18" customHeight="1">
      <x:c r="A13" s="24" t="str">
        <x:v>EEZ_184</x:v>
      </x:c>
      <x:c r="B13" s="24" t="str">
        <x:v>Cook Islands</x:v>
      </x:c>
      <x:c r="C13" s="24" t="str">
        <x:v>EEZ</x:v>
      </x:c>
      <x:c r="D13" s="30" t="n">
        <x:v>2019</x:v>
      </x:c>
      <x:c r="E13" s="24" t="str">
        <x:v>Elasmobranchii</x:v>
      </x:c>
      <x:c r="F13" s="24" t="str">
        <x:v>Sharks, rays, skates</x:v>
      </x:c>
      <x:c r="G13" s="24" t="str">
        <x:v>Large sharks (&gt;=90 cm)</x:v>
      </x:c>
      <x:c r="H13" s="24" t="str">
        <x:v>Sharks &amp; rays</x:v>
      </x:c>
      <x:c r="I13" s="31" t="n">
        <x:v>323.31351151949997</x:v>
      </x:c>
      <x:c r="J13" s="31" t="n">
        <x:v>18.3535845709</x:v>
      </x:c>
      <x:c r="K13" s="31" t="n">
        <x:v>304.9599269486</x:v>
      </x:c>
      <x:c r="L13" s="31" t="n">
        <x:v>18.3535845709</x:v>
      </x:c>
      <x:c r="M13" s="31" t="n">
        <x:v>304.9599269486</x:v>
      </x:c>
      <x:c r="N13" s="24" t="str">
        <x:v>elasmobranchii</x:v>
      </x:c>
      <x:c r="O13" s="32" t="n">
        <x:v>4.05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Elasmobranchii</x:v>
      </x:c>
      <x:c r="T13" s="32" t="n">
        <x:f>IF(O13="","",(1/'Metadata'!$B$5)^(O13-1))</x:f>
        <x:v>1122.018454301963</x:v>
      </x:c>
      <x:c r="U13" s="31" t="n">
        <x:f>IF(T13="","",I13*T13)</x:f>
        <x:v>362763.72645004926</x:v>
      </x:c>
    </x:row>
    <x:row r="14" ht="18" customHeight="1">
      <x:c r="A14" s="24" t="str">
        <x:v>EEZ_184</x:v>
      </x:c>
      <x:c r="B14" s="24" t="str">
        <x:v>Cook Islands</x:v>
      </x:c>
      <x:c r="C14" s="24" t="str">
        <x:v>EEZ</x:v>
      </x:c>
      <x:c r="D14" s="30" t="n">
        <x:v>2019</x:v>
      </x:c>
      <x:c r="E14" s="24" t="str">
        <x:v>Carcharhinus falciformis</x:v>
      </x:c>
      <x:c r="F14" s="24" t="str">
        <x:v>Silky shark</x:v>
      </x:c>
      <x:c r="G14" s="24" t="str">
        <x:v>Large sharks (&gt;=90 cm)</x:v>
      </x:c>
      <x:c r="H14" s="24" t="str">
        <x:v>Sharks &amp; rays</x:v>
      </x:c>
      <x:c r="I14" s="31" t="n">
        <x:v>256.149225654</x:v>
      </x:c>
      <x:c r="J14" s="31" t="n">
        <x:v>16.096634916</x:v>
      </x:c>
      <x:c r="K14" s="31" t="n">
        <x:v>240.052590738</x:v>
      </x:c>
      <x:c r="L14" s="31" t="n">
        <x:v>16.096634916</x:v>
      </x:c>
      <x:c r="M14" s="31" t="n">
        <x:v>240.052590738</x:v>
      </x:c>
      <x:c r="N14" s="24" t="str">
        <x:v>carcharhinus falciformis</x:v>
      </x:c>
      <x:c r="O14" s="32" t="n">
        <x:v>4.51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Carcharhinus falciformis</x:v>
      </x:c>
      <x:c r="T14" s="32" t="n">
        <x:f>IF(O14="","",(1/'Metadata'!$B$5)^(O14-1))</x:f>
        <x:v>3235.936569296281</x:v>
      </x:c>
      <x:c r="U14" s="31" t="n">
        <x:f>IF(T14="","",I14*T14)</x:f>
        <x:v>828882.6464907038</x:v>
      </x:c>
    </x:row>
    <x:row r="15" ht="18" customHeight="1">
      <x:c r="A15" s="24" t="str">
        <x:v>EEZ_184</x:v>
      </x:c>
      <x:c r="B15" s="24" t="str">
        <x:v>Cook Islands</x:v>
      </x:c>
      <x:c r="C15" s="24" t="str">
        <x:v>EEZ</x:v>
      </x:c>
      <x:c r="D15" s="30" t="n">
        <x:v>2019</x:v>
      </x:c>
      <x:c r="E15" s="24" t="str">
        <x:v>Isurus oxyrinchus</x:v>
      </x:c>
      <x:c r="F15" s="24" t="str">
        <x:v>Shortfin mako</x:v>
      </x:c>
      <x:c r="G15" s="24" t="str">
        <x:v>Large sharks (&gt;=90 cm)</x:v>
      </x:c>
      <x:c r="H15" s="24" t="str">
        <x:v>Sharks &amp; rays</x:v>
      </x:c>
      <x:c r="I15" s="31" t="n">
        <x:v>202.64591394549998</x:v>
      </x:c>
      <x:c r="J15" s="31" t="n">
        <x:v>202.64591394549998</x:v>
      </x:c>
      <x:c r="K15" s="31" t="n">
        <x:v>0</x:v>
      </x:c>
      <x:c r="L15" s="31" t="n">
        <x:v>202.64591394549998</x:v>
      </x:c>
      <x:c r="M15" s="31" t="n">
        <x:v>0</x:v>
      </x:c>
      <x:c r="N15" s="24" t="str">
        <x:v>isurus oxyrinchus</x:v>
      </x:c>
      <x:c r="O15" s="32" t="n">
        <x:v>4.5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Isurus oxyrinchus</x:v>
      </x:c>
      <x:c r="T15" s="32" t="n">
        <x:f>IF(O15="","",(1/'Metadata'!$B$5)^(O15-1))</x:f>
        <x:v>3162.2776601683795</x:v>
      </x:c>
      <x:c r="U15" s="31" t="n">
        <x:f>IF(T15="","",I15*T15)</x:f>
        <x:v>640822.6465942585</x:v>
      </x:c>
    </x:row>
    <x:row r="16" ht="18" customHeight="1">
      <x:c r="A16" s="24" t="str">
        <x:v>EEZ_184</x:v>
      </x:c>
      <x:c r="B16" s="24" t="str">
        <x:v>Cook Islands</x:v>
      </x:c>
      <x:c r="C16" s="24" t="str">
        <x:v>EEZ</x:v>
      </x:c>
      <x:c r="D16" s="30" t="n">
        <x:v>2019</x:v>
      </x:c>
      <x:c r="E16" s="24" t="str">
        <x:v>Carcharhinus longimanus</x:v>
      </x:c>
      <x:c r="F16" s="24" t="str">
        <x:v>Oceanic whitetip shark</x:v>
      </x:c>
      <x:c r="G16" s="24" t="str">
        <x:v>Large sharks (&gt;=90 cm)</x:v>
      </x:c>
      <x:c r="H16" s="24" t="str">
        <x:v>Sharks &amp; rays</x:v>
      </x:c>
      <x:c r="I16" s="31" t="n">
        <x:v>175.1928275226</x:v>
      </x:c>
      <x:c r="J16" s="31" t="n">
        <x:v>81.9455742481</x:v>
      </x:c>
      <x:c r="K16" s="31" t="n">
        <x:v>93.2472532745</x:v>
      </x:c>
      <x:c r="L16" s="31" t="n">
        <x:v>81.9455742481</x:v>
      </x:c>
      <x:c r="M16" s="31" t="n">
        <x:v>93.2472532745</x:v>
      </x:c>
      <x:c r="N16" s="24" t="str">
        <x:v>carcharhinus longimanus</x:v>
      </x:c>
      <x:c r="O16" s="32" t="n">
        <x:v>4.16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Carcharhinus longimanus</x:v>
      </x:c>
      <x:c r="T16" s="32" t="n">
        <x:f>IF(O16="","",(1/'Metadata'!$B$5)^(O16-1))</x:f>
        <x:v>1445.439770745928</x:v>
      </x:c>
      <x:c r="U16" s="31" t="n">
        <x:f>IF(T16="","",I16*T16)</x:f>
        <x:v>253230.68045059784</x:v>
      </x:c>
    </x:row>
    <x:row r="17" ht="18" customHeight="1">
      <x:c r="A17" s="24" t="str">
        <x:v>EEZ_184</x:v>
      </x:c>
      <x:c r="B17" s="24" t="str">
        <x:v>Cook Islands</x:v>
      </x:c>
      <x:c r="C17" s="24" t="str">
        <x:v>EEZ</x:v>
      </x:c>
      <x:c r="D17" s="30" t="n">
        <x:v>2019</x:v>
      </x:c>
      <x:c r="E17" s="24" t="str">
        <x:v>Istiophoridae</x:v>
      </x:c>
      <x:c r="F17" s="24" t="str">
        <x:v>Billfishes</x:v>
      </x:c>
      <x:c r="G17" s="24" t="str">
        <x:v>Large pelagics (&gt;=90 cm)</x:v>
      </x:c>
      <x:c r="H17" s="24" t="str">
        <x:v>Tuna &amp; billfishes</x:v>
      </x:c>
      <x:c r="I17" s="31" t="n">
        <x:v>159.0633733836</x:v>
      </x:c>
      <x:c r="J17" s="31" t="n">
        <x:v>0</x:v>
      </x:c>
      <x:c r="K17" s="31" t="n">
        <x:v>159.0633733836</x:v>
      </x:c>
      <x:c r="L17" s="31" t="n">
        <x:v>0</x:v>
      </x:c>
      <x:c r="M17" s="31" t="n">
        <x:v>159.0633733836</x:v>
      </x:c>
      <x:c r="N17" s="24" t="str">
        <x:v>istiophoridae</x:v>
      </x:c>
      <x:c r="O17" s="32" t="n">
        <x:v>4.48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Istiophoridae</x:v>
      </x:c>
      <x:c r="T17" s="32" t="n">
        <x:f>IF(O17="","",(1/'Metadata'!$B$5)^(O17-1))</x:f>
        <x:v>3019.951720402019</x:v>
      </x:c>
      <x:c r="U17" s="31" t="n">
        <x:f>IF(T17="","",I17*T17)</x:f>
        <x:v>480363.7081027516</x:v>
      </x:c>
    </x:row>
    <x:row r="18" ht="18" customHeight="1">
      <x:c r="A18" s="24" t="str">
        <x:v>EEZ_184</x:v>
      </x:c>
      <x:c r="B18" s="24" t="str">
        <x:v>Cook Islands</x:v>
      </x:c>
      <x:c r="C18" s="24" t="str">
        <x:v>EEZ</x:v>
      </x:c>
      <x:c r="D18" s="30" t="n">
        <x:v>2019</x:v>
      </x:c>
      <x:c r="E18" s="24" t="str">
        <x:v>Carangidae</x:v>
      </x:c>
      <x:c r="F18" s="24" t="str">
        <x:v>Jacks, pompanos</x:v>
      </x:c>
      <x:c r="G18" s="24" t="str">
        <x:v>Medium pelagics (30 - 89 cm)</x:v>
      </x:c>
      <x:c r="H18" s="24" t="str">
        <x:v>Perch-likes</x:v>
      </x:c>
      <x:c r="I18" s="31" t="n">
        <x:v>137.593363627</x:v>
      </x:c>
      <x:c r="J18" s="31" t="n">
        <x:v>0</x:v>
      </x:c>
      <x:c r="K18" s="31" t="n">
        <x:v>137.593363627</x:v>
      </x:c>
      <x:c r="L18" s="31" t="n">
        <x:v>0</x:v>
      </x:c>
      <x:c r="M18" s="31" t="n">
        <x:v>137.593363627</x:v>
      </x:c>
      <x:c r="N18" s="24" t="str">
        <x:v>carangidae</x:v>
      </x:c>
      <x:c r="O18" s="32" t="n">
        <x:v>4.05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Carangidae</x:v>
      </x:c>
      <x:c r="T18" s="32" t="n">
        <x:f>IF(O18="","",(1/'Metadata'!$B$5)^(O18-1))</x:f>
        <x:v>1122.018454301963</x:v>
      </x:c>
      <x:c r="U18" s="31" t="n">
        <x:f>IF(T18="","",I18*T18)</x:f>
        <x:v>154382.29317897448</x:v>
      </x:c>
    </x:row>
    <x:row r="19" ht="18" customHeight="1">
      <x:c r="A19" s="24" t="str">
        <x:v>EEZ_184</x:v>
      </x:c>
      <x:c r="B19" s="24" t="str">
        <x:v>Cook Islands</x:v>
      </x:c>
      <x:c r="C19" s="24" t="str">
        <x:v>EEZ</x:v>
      </x:c>
      <x:c r="D19" s="30" t="n">
        <x:v>2019</x:v>
      </x:c>
      <x:c r="E19" s="24" t="str">
        <x:v>Alopias</x:v>
      </x:c>
      <x:c r="F19" s="24" t="str">
        <x:v>Thresher sharks</x:v>
      </x:c>
      <x:c r="G19" s="24" t="str">
        <x:v>Large sharks (&gt;=90 cm)</x:v>
      </x:c>
      <x:c r="H19" s="24" t="str">
        <x:v>Sharks &amp; rays</x:v>
      </x:c>
      <x:c r="I19" s="31" t="n">
        <x:v>61.3539311683</x:v>
      </x:c>
      <x:c r="J19" s="31" t="n">
        <x:v>15.0622904594</x:v>
      </x:c>
      <x:c r="K19" s="31" t="n">
        <x:v>46.2916407089</x:v>
      </x:c>
      <x:c r="L19" s="31" t="n">
        <x:v>15.0622904594</x:v>
      </x:c>
      <x:c r="M19" s="31" t="n">
        <x:v>46.2916407089</x:v>
      </x:c>
      <x:c r="N19" s="24" t="str">
        <x:v>alopias</x:v>
      </x:c>
      <x:c r="O19" s="32" t="n">
        <x:v>4.5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Alopias</x:v>
      </x:c>
      <x:c r="T19" s="32" t="n">
        <x:f>IF(O19="","",(1/'Metadata'!$B$5)^(O19-1))</x:f>
        <x:v>3162.2776601683795</x:v>
      </x:c>
      <x:c r="U19" s="31" t="n">
        <x:f>IF(T19="","",I19*T19)</x:f>
        <x:v>194018.16589702354</x:v>
      </x:c>
    </x:row>
    <x:row r="20" ht="18" customHeight="1">
      <x:c r="A20" s="24" t="str">
        <x:v>EEZ_184</x:v>
      </x:c>
      <x:c r="B20" s="24" t="str">
        <x:v>Cook Islands</x:v>
      </x:c>
      <x:c r="C20" s="24" t="str">
        <x:v>EEZ</x:v>
      </x:c>
      <x:c r="D20" s="30" t="n">
        <x:v>2019</x:v>
      </x:c>
      <x:c r="E20" s="24" t="str">
        <x:v>Scaridae</x:v>
      </x:c>
      <x:c r="F20" s="24" t="str">
        <x:v>Parrotfishes</x:v>
      </x:c>
      <x:c r="G20" s="24" t="str">
        <x:v>Medium reef assoc. fish (30 - 89 cm)</x:v>
      </x:c>
      <x:c r="H20" s="24" t="str">
        <x:v>Perch-likes</x:v>
      </x:c>
      <x:c r="I20" s="31" t="n">
        <x:v>58.82117882509999</x:v>
      </x:c>
      <x:c r="J20" s="31" t="n">
        <x:v>58.82117882509999</x:v>
      </x:c>
      <x:c r="K20" s="31" t="n">
        <x:v>0</x:v>
      </x:c>
      <x:c r="L20" s="31" t="n">
        <x:v>58.82117882509999</x:v>
      </x:c>
      <x:c r="M20" s="31" t="n">
        <x:v>0</x:v>
      </x:c>
      <x:c r="N20" s="24" t="str">
        <x:v>scaridae</x:v>
      </x:c>
      <x:c r="O20" s="32" t="n">
        <x:v>2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Scaridae</x:v>
      </x:c>
      <x:c r="T20" s="32" t="n">
        <x:f>IF(O20="","",(1/'Metadata'!$B$5)^(O20-1))</x:f>
        <x:v>10</x:v>
      </x:c>
      <x:c r="U20" s="31" t="n">
        <x:f>IF(T20="","",I20*T20)</x:f>
        <x:v>588.2117882509999</x:v>
      </x:c>
    </x:row>
    <x:row r="21" ht="18" customHeight="1">
      <x:c r="A21" s="24" t="str">
        <x:v>EEZ_184</x:v>
      </x:c>
      <x:c r="B21" s="24" t="str">
        <x:v>Cook Islands</x:v>
      </x:c>
      <x:c r="C21" s="24" t="str">
        <x:v>EEZ</x:v>
      </x:c>
      <x:c r="D21" s="30" t="n">
        <x:v>2019</x:v>
      </x:c>
      <x:c r="E21" s="24" t="str">
        <x:v>Serranidae</x:v>
      </x:c>
      <x:c r="F21" s="24" t="str">
        <x:v>Basses, groupers, hinds</x:v>
      </x:c>
      <x:c r="G21" s="24" t="str">
        <x:v>Medium reef assoc. fish (30 - 89 cm)</x:v>
      </x:c>
      <x:c r="H21" s="24" t="str">
        <x:v>Perch-likes</x:v>
      </x:c>
      <x:c r="I21" s="31" t="n">
        <x:v>55.5044955032</x:v>
      </x:c>
      <x:c r="J21" s="31" t="n">
        <x:v>55.5044955032</x:v>
      </x:c>
      <x:c r="K21" s="31" t="n">
        <x:v>0</x:v>
      </x:c>
      <x:c r="L21" s="31" t="n">
        <x:v>55.5044955032</x:v>
      </x:c>
      <x:c r="M21" s="31" t="n">
        <x:v>0</x:v>
      </x:c>
      <x:c r="N21" s="24" t="str">
        <x:v>serranidae</x:v>
      </x:c>
      <x:c r="O21" s="32" t="n">
        <x:v>3.98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Serranidae</x:v>
      </x:c>
      <x:c r="T21" s="32" t="n">
        <x:f>IF(O21="","",(1/'Metadata'!$B$5)^(O21-1))</x:f>
        <x:v>954.992586021436</x:v>
      </x:c>
      <x:c r="U21" s="31" t="n">
        <x:f>IF(T21="","",I21*T21)</x:f>
        <x:v>53006.38169641613</x:v>
      </x:c>
    </x:row>
    <x:row r="22" ht="18" customHeight="1">
      <x:c r="A22" s="24" t="str">
        <x:v>EEZ_184</x:v>
      </x:c>
      <x:c r="B22" s="24" t="str">
        <x:v>Cook Islands</x:v>
      </x:c>
      <x:c r="C22" s="24" t="str">
        <x:v>EEZ</x:v>
      </x:c>
      <x:c r="D22" s="30" t="n">
        <x:v>2019</x:v>
      </x:c>
      <x:c r="E22" s="24" t="str">
        <x:v>Istiompax indica</x:v>
      </x:c>
      <x:c r="F22" s="24" t="str">
        <x:v>Black marlin</x:v>
      </x:c>
      <x:c r="G22" s="24" t="str">
        <x:v>Large pelagics (&gt;=90 cm)</x:v>
      </x:c>
      <x:c r="H22" s="24" t="str">
        <x:v>Tuna &amp; billfishes</x:v>
      </x:c>
      <x:c r="I22" s="31" t="n">
        <x:v>42.9163790338</x:v>
      </x:c>
      <x:c r="J22" s="31" t="n">
        <x:v>42.9163790338</x:v>
      </x:c>
      <x:c r="K22" s="31" t="n">
        <x:v>0</x:v>
      </x:c>
      <x:c r="L22" s="31" t="n">
        <x:v>42.9163790338</x:v>
      </x:c>
      <x:c r="M22" s="31" t="n">
        <x:v>0</x:v>
      </x:c>
      <x:c r="N22" s="24" t="str">
        <x:v>istiompax indica</x:v>
      </x:c>
      <x:c r="O22" s="32" t="n">
        <x:v>4.5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Istiompax indica</x:v>
      </x:c>
      <x:c r="T22" s="32" t="n">
        <x:f>IF(O22="","",(1/'Metadata'!$B$5)^(O22-1))</x:f>
        <x:v>3162.2776601683795</x:v>
      </x:c>
      <x:c r="U22" s="31" t="n">
        <x:f>IF(T22="","",I22*T22)</x:f>
        <x:v>135713.50667390437</x:v>
      </x:c>
    </x:row>
    <x:row r="23" ht="18" customHeight="1">
      <x:c r="A23" s="24" t="str">
        <x:v>EEZ_184</x:v>
      </x:c>
      <x:c r="B23" s="24" t="str">
        <x:v>Cook Islands</x:v>
      </x:c>
      <x:c r="C23" s="24" t="str">
        <x:v>EEZ</x:v>
      </x:c>
      <x:c r="D23" s="30" t="n">
        <x:v>2019</x:v>
      </x:c>
      <x:c r="E23" s="24" t="str">
        <x:v>Kajikia audax</x:v>
      </x:c>
      <x:c r="F23" s="24" t="str">
        <x:v>Striped marlin</x:v>
      </x:c>
      <x:c r="G23" s="24" t="str">
        <x:v>Large pelagics (&gt;=90 cm)</x:v>
      </x:c>
      <x:c r="H23" s="24" t="str">
        <x:v>Tuna &amp; billfishes</x:v>
      </x:c>
      <x:c r="I23" s="31" t="n">
        <x:v>42.60469942900001</x:v>
      </x:c>
      <x:c r="J23" s="31" t="n">
        <x:v>42.60469942900001</x:v>
      </x:c>
      <x:c r="K23" s="31" t="n">
        <x:v>0</x:v>
      </x:c>
      <x:c r="L23" s="31" t="n">
        <x:v>42.60469942900001</x:v>
      </x:c>
      <x:c r="M23" s="31" t="n">
        <x:v>0</x:v>
      </x:c>
      <x:c r="N23" s="24" t="str">
        <x:v>kajikia audax</x:v>
      </x:c>
      <x:c r="O23" s="32" t="n">
        <x:v>4.58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Kajikia audax</x:v>
      </x:c>
      <x:c r="T23" s="32" t="n">
        <x:f>IF(O23="","",(1/'Metadata'!$B$5)^(O23-1))</x:f>
        <x:v>3801.8939632056126</x:v>
      </x:c>
      <x:c r="U23" s="31" t="n">
        <x:f>IF(T23="","",I23*T23)</x:f>
        <x:v>161978.54956330472</x:v>
      </x:c>
    </x:row>
    <x:row r="24" ht="18" customHeight="1">
      <x:c r="A24" s="24" t="str">
        <x:v>EEZ_184</x:v>
      </x:c>
      <x:c r="B24" s="24" t="str">
        <x:v>Cook Islands</x:v>
      </x:c>
      <x:c r="C24" s="24" t="str">
        <x:v>EEZ</x:v>
      </x:c>
      <x:c r="D24" s="30" t="n">
        <x:v>2019</x:v>
      </x:c>
      <x:c r="E24" s="24" t="str">
        <x:v>Mollusca</x:v>
      </x:c>
      <x:c r="F24" s="24" t="str">
        <x:v>Clams, seasnails, squids, octopuses</x:v>
      </x:c>
      <x:c r="G24" s="24" t="str">
        <x:v>Other demersal invertebrates</x:v>
      </x:c>
      <x:c r="H24" s="24" t="str">
        <x:v>Molluscs</x:v>
      </x:c>
      <x:c r="I24" s="31" t="n">
        <x:v>40</x:v>
      </x:c>
      <x:c r="J24" s="31" t="n">
        <x:v>40</x:v>
      </x:c>
      <x:c r="K24" s="31" t="n">
        <x:v>0</x:v>
      </x:c>
      <x:c r="L24" s="31" t="n">
        <x:v>40</x:v>
      </x:c>
      <x:c r="M24" s="31" t="n">
        <x:v>0</x:v>
      </x:c>
      <x:c r="N24" s="24" t="str">
        <x:v>mollusca</x:v>
      </x:c>
      <x:c r="O24" s="32" t="n">
        <x:v>2.1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Mollusca</x:v>
      </x:c>
      <x:c r="T24" s="32" t="n">
        <x:f>IF(O24="","",(1/'Metadata'!$B$5)^(O24-1))</x:f>
        <x:v>12.589254117941675</x:v>
      </x:c>
      <x:c r="U24" s="31" t="n">
        <x:f>IF(T24="","",I24*T24)</x:f>
        <x:v>503.570164717667</x:v>
      </x:c>
    </x:row>
    <x:row r="25" ht="18" customHeight="1">
      <x:c r="A25" s="24" t="str">
        <x:v>EEZ_184</x:v>
      </x:c>
      <x:c r="B25" s="24" t="str">
        <x:v>Cook Islands</x:v>
      </x:c>
      <x:c r="C25" s="24" t="str">
        <x:v>EEZ</x:v>
      </x:c>
      <x:c r="D25" s="30" t="n">
        <x:v>2019</x:v>
      </x:c>
      <x:c r="E25" s="24" t="str">
        <x:v>Thunnus orientalis</x:v>
      </x:c>
      <x:c r="F25" s="24" t="str">
        <x:v>Pacific bluefin tuna</x:v>
      </x:c>
      <x:c r="G25" s="24" t="str">
        <x:v>Large pelagics (&gt;=90 cm)</x:v>
      </x:c>
      <x:c r="H25" s="24" t="str">
        <x:v>Tuna &amp; billfishes</x:v>
      </x:c>
      <x:c r="I25" s="31" t="n">
        <x:v>31.476986172700002</x:v>
      </x:c>
      <x:c r="J25" s="31" t="n">
        <x:v>31.238229704000002</x:v>
      </x:c>
      <x:c r="K25" s="31" t="n">
        <x:v>0.2387564687</x:v>
      </x:c>
      <x:c r="L25" s="31" t="n">
        <x:v>31.238229704000002</x:v>
      </x:c>
      <x:c r="M25" s="31" t="n">
        <x:v>0.2387564687</x:v>
      </x:c>
      <x:c r="N25" s="24" t="str">
        <x:v>thunnus orientalis</x:v>
      </x:c>
      <x:c r="O25" s="32" t="n">
        <x:v>4.05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Thunnus orientalis</x:v>
      </x:c>
      <x:c r="T25" s="32" t="n">
        <x:f>IF(O25="","",(1/'Metadata'!$B$5)^(O25-1))</x:f>
        <x:v>1122.018454301963</x:v>
      </x:c>
      <x:c r="U25" s="31" t="n">
        <x:f>IF(T25="","",I25*T25)</x:f>
        <x:v>35317.759371577115</x:v>
      </x:c>
    </x:row>
    <x:row r="26" ht="18" customHeight="1">
      <x:c r="A26" s="24" t="str">
        <x:v>EEZ_184</x:v>
      </x:c>
      <x:c r="B26" s="24" t="str">
        <x:v>Cook Islands</x:v>
      </x:c>
      <x:c r="C26" s="24" t="str">
        <x:v>EEZ</x:v>
      </x:c>
      <x:c r="D26" s="30" t="n">
        <x:v>2019</x:v>
      </x:c>
      <x:c r="E26" s="24" t="str">
        <x:v>Kyphosidae</x:v>
      </x:c>
      <x:c r="F26" s="24" t="str">
        <x:v>Sea chubs, knifefishes, niblers</x:v>
      </x:c>
      <x:c r="G26" s="24" t="str">
        <x:v>Medium reef assoc. fish (30 - 89 cm)</x:v>
      </x:c>
      <x:c r="H26" s="24" t="str">
        <x:v>Perch-likes</x:v>
      </x:c>
      <x:c r="I26" s="31" t="n">
        <x:v>23.1768231749</x:v>
      </x:c>
      <x:c r="J26" s="31" t="n">
        <x:v>23.1768231749</x:v>
      </x:c>
      <x:c r="K26" s="31" t="n">
        <x:v>0</x:v>
      </x:c>
      <x:c r="L26" s="31" t="n">
        <x:v>23.1768231749</x:v>
      </x:c>
      <x:c r="M26" s="31" t="n">
        <x:v>0</x:v>
      </x:c>
      <x:c r="N26" s="24" t="str">
        <x:v>kyphosidae</x:v>
      </x:c>
      <x:c r="O26" s="32" t="n">
        <x:v>2.19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Kyphosidae</x:v>
      </x:c>
      <x:c r="T26" s="32" t="n">
        <x:f>IF(O26="","",(1/'Metadata'!$B$5)^(O26-1))</x:f>
        <x:v>15.488166189124811</x:v>
      </x:c>
      <x:c r="U26" s="31" t="n">
        <x:f>IF(T26="","",I26*T26)</x:f>
        <x:v>358.9664890688106</x:v>
      </x:c>
    </x:row>
    <x:row r="27" ht="18" customHeight="1">
      <x:c r="A27" s="24" t="str">
        <x:v>EEZ_184</x:v>
      </x:c>
      <x:c r="B27" s="24" t="str">
        <x:v>Cook Islands</x:v>
      </x:c>
      <x:c r="C27" s="24" t="str">
        <x:v>EEZ</x:v>
      </x:c>
      <x:c r="D27" s="30" t="n">
        <x:v>2019</x:v>
      </x:c>
      <x:c r="E27" s="24" t="str">
        <x:v>Lutjanidae</x:v>
      </x:c>
      <x:c r="F27" s="24" t="str">
        <x:v>Snappers</x:v>
      </x:c>
      <x:c r="G27" s="24" t="str">
        <x:v>Medium reef assoc. fish (30 - 89 cm)</x:v>
      </x:c>
      <x:c r="H27" s="24" t="str">
        <x:v>Perch-likes</x:v>
      </x:c>
      <x:c r="I27" s="31" t="n">
        <x:v>18.6763236768</x:v>
      </x:c>
      <x:c r="J27" s="31" t="n">
        <x:v>18.6763236768</x:v>
      </x:c>
      <x:c r="K27" s="31" t="n">
        <x:v>0</x:v>
      </x:c>
      <x:c r="L27" s="31" t="n">
        <x:v>18.6763236768</x:v>
      </x:c>
      <x:c r="M27" s="31" t="n">
        <x:v>0</x:v>
      </x:c>
      <x:c r="N27" s="24" t="str">
        <x:v>lutjanidae</x:v>
      </x:c>
      <x:c r="O27" s="32" t="n">
        <x:v>4.02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Lutjanidae</x:v>
      </x:c>
      <x:c r="T27" s="32" t="n">
        <x:f>IF(O27="","",(1/'Metadata'!$B$5)^(O27-1))</x:f>
        <x:v>1047.1285480508984</x:v>
      </x:c>
      <x:c r="U27" s="31" t="n">
        <x:f>IF(T27="","",I27*T27)</x:f>
        <x:v>19556.511694616198</x:v>
      </x:c>
    </x:row>
    <x:row r="28" ht="18" customHeight="1">
      <x:c r="A28" s="24" t="str">
        <x:v>EEZ_184</x:v>
      </x:c>
      <x:c r="B28" s="24" t="str">
        <x:v>Cook Islands</x:v>
      </x:c>
      <x:c r="C28" s="24" t="str">
        <x:v>EEZ</x:v>
      </x:c>
      <x:c r="D28" s="30" t="n">
        <x:v>2019</x:v>
      </x:c>
      <x:c r="E28" s="24" t="str">
        <x:v>Acanthuridae</x:v>
      </x:c>
      <x:c r="F28" s="24" t="str">
        <x:v>Surgeons, tangs, unicornfishes</x:v>
      </x:c>
      <x:c r="G28" s="24" t="str">
        <x:v>Small reef assoc. fish (&lt;30 cm)</x:v>
      </x:c>
      <x:c r="H28" s="24" t="str">
        <x:v>Perch-likes</x:v>
      </x:c>
      <x:c r="I28" s="31" t="n">
        <x:v>16.623376625200002</x:v>
      </x:c>
      <x:c r="J28" s="31" t="n">
        <x:v>16.623376625200002</x:v>
      </x:c>
      <x:c r="K28" s="31" t="n">
        <x:v>0</x:v>
      </x:c>
      <x:c r="L28" s="31" t="n">
        <x:v>16.623376625200002</x:v>
      </x:c>
      <x:c r="M28" s="31" t="n">
        <x:v>0</x:v>
      </x:c>
      <x:c r="N28" s="24" t="str">
        <x:v>acanthuridae</x:v>
      </x:c>
      <x:c r="O28" s="32" t="n">
        <x:v>2.28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Acanthuridae</x:v>
      </x:c>
      <x:c r="T28" s="32" t="n">
        <x:f>IF(O28="","",(1/'Metadata'!$B$5)^(O28-1))</x:f>
        <x:v>19.054607179632463</x:v>
      </x:c>
      <x:c r="U28" s="31" t="n">
        <x:f>IF(T28="","",I28*T28)</x:f>
        <x:v>316.7519115922704</x:v>
      </x:c>
    </x:row>
    <x:row r="29" ht="18" customHeight="1">
      <x:c r="A29" s="24" t="str">
        <x:v>EEZ_184</x:v>
      </x:c>
      <x:c r="B29" s="24" t="str">
        <x:v>Cook Islands</x:v>
      </x:c>
      <x:c r="C29" s="24" t="str">
        <x:v>EEZ</x:v>
      </x:c>
      <x:c r="D29" s="30" t="n">
        <x:v>2019</x:v>
      </x:c>
      <x:c r="E29" s="24" t="str">
        <x:v>Acanthocybium solandri</x:v>
      </x:c>
      <x:c r="F29" s="24" t="str">
        <x:v>Wahoo</x:v>
      </x:c>
      <x:c r="G29" s="24" t="str">
        <x:v>Large pelagics (&gt;=90 cm)</x:v>
      </x:c>
      <x:c r="H29" s="24" t="str">
        <x:v>Perch-likes</x:v>
      </x:c>
      <x:c r="I29" s="31" t="n">
        <x:v>15.9033832678</x:v>
      </x:c>
      <x:c r="J29" s="31" t="n">
        <x:v>0</x:v>
      </x:c>
      <x:c r="K29" s="31" t="n">
        <x:v>15.9033832678</x:v>
      </x:c>
      <x:c r="L29" s="31" t="n">
        <x:v>0</x:v>
      </x:c>
      <x:c r="M29" s="31" t="n">
        <x:v>15.9033832678</x:v>
      </x:c>
      <x:c r="N29" s="24" t="str">
        <x:v>acanthocybium solandri</x:v>
      </x:c>
      <x:c r="O29" s="32" t="n">
        <x:v>4.26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Acanthocybium solandri</x:v>
      </x:c>
      <x:c r="T29" s="32" t="n">
        <x:f>IF(O29="","",(1/'Metadata'!$B$5)^(O29-1))</x:f>
        <x:v>1819.7008586099826</x:v>
      </x:c>
      <x:c r="U29" s="31" t="n">
        <x:f>IF(T29="","",I29*T29)</x:f>
        <x:v>28939.400187219293</x:v>
      </x:c>
    </x:row>
    <x:row r="30" ht="18" customHeight="1">
      <x:c r="A30" s="24" t="str">
        <x:v>EEZ_184</x:v>
      </x:c>
      <x:c r="B30" s="24" t="str">
        <x:v>Cook Islands</x:v>
      </x:c>
      <x:c r="C30" s="24" t="str">
        <x:v>EEZ</x:v>
      </x:c>
      <x:c r="D30" s="30" t="n">
        <x:v>2019</x:v>
      </x:c>
      <x:c r="E30" s="24" t="str">
        <x:v>Malacostraca</x:v>
      </x:c>
      <x:c r="F30" s="24" t="str">
        <x:v>Lobsters, crabs, shrimps, krill</x:v>
      </x:c>
      <x:c r="G30" s="24" t="str">
        <x:v>Shrimps</x:v>
      </x:c>
      <x:c r="H30" s="24" t="str">
        <x:v>Crustaceans</x:v>
      </x:c>
      <x:c r="I30" s="31" t="n">
        <x:v>10</x:v>
      </x:c>
      <x:c r="J30" s="31" t="n">
        <x:v>10</x:v>
      </x:c>
      <x:c r="K30" s="31" t="n">
        <x:v>0</x:v>
      </x:c>
      <x:c r="L30" s="31" t="n">
        <x:v>10</x:v>
      </x:c>
      <x:c r="M30" s="31" t="n">
        <x:v>0</x:v>
      </x:c>
      <x:c r="N30" s="24" t="str">
        <x:v>malacostraca</x:v>
      </x:c>
      <x:c r="O30" s="32" t="n">
        <x:v>3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Malacostraca</x:v>
      </x:c>
      <x:c r="T30" s="32" t="n">
        <x:f>IF(O30="","",(1/'Metadata'!$B$5)^(O30-1))</x:f>
        <x:v>100</x:v>
      </x:c>
      <x:c r="U30" s="31" t="n">
        <x:f>IF(T30="","",I30*T30)</x:f>
        <x:v>1000</x:v>
      </x:c>
    </x:row>
    <x:row r="31" ht="18" customHeight="1">
      <x:c r="A31" s="24" t="str">
        <x:v>EEZ_184</x:v>
      </x:c>
      <x:c r="B31" s="24" t="str">
        <x:v>Cook Islands</x:v>
      </x:c>
      <x:c r="C31" s="24" t="str">
        <x:v>EEZ</x:v>
      </x:c>
      <x:c r="D31" s="30" t="n">
        <x:v>2019</x:v>
      </x:c>
      <x:c r="E31" s="24" t="str">
        <x:v>Mugilidae</x:v>
      </x:c>
      <x:c r="F31" s="24" t="str">
        <x:v>Mullets, grey mullets</x:v>
      </x:c>
      <x:c r="G31" s="24" t="str">
        <x:v>Medium reef assoc. fish (30 - 89 cm)</x:v>
      </x:c>
      <x:c r="H31" s="24" t="str">
        <x:v>Perch-likes</x:v>
      </x:c>
      <x:c r="I31" s="31" t="n">
        <x:v>10</x:v>
      </x:c>
      <x:c r="J31" s="31" t="n">
        <x:v>10</x:v>
      </x:c>
      <x:c r="K31" s="31" t="n">
        <x:v>0</x:v>
      </x:c>
      <x:c r="L31" s="31" t="n">
        <x:v>10</x:v>
      </x:c>
      <x:c r="M31" s="31" t="n">
        <x:v>0</x:v>
      </x:c>
      <x:c r="N31" s="24" t="str">
        <x:v>mugilidae</x:v>
      </x:c>
      <x:c r="O31" s="32" t="n">
        <x:v>2.53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Mugilidae</x:v>
      </x:c>
      <x:c r="T31" s="32" t="n">
        <x:f>IF(O31="","",(1/'Metadata'!$B$5)^(O31-1))</x:f>
        <x:v>33.88441561392024</x:v>
      </x:c>
      <x:c r="U31" s="31" t="n">
        <x:f>IF(T31="","",I31*T31)</x:f>
        <x:v>338.84415613920237</x:v>
      </x:c>
    </x:row>
    <x:row r="32" ht="18" customHeight="1">
      <x:c r="A32" s="24" t="str">
        <x:v>EEZ_184</x:v>
      </x:c>
      <x:c r="B32" s="24" t="str">
        <x:v>Cook Islands</x:v>
      </x:c>
      <x:c r="C32" s="24" t="str">
        <x:v>EEZ</x:v>
      </x:c>
      <x:c r="D32" s="30" t="n">
        <x:v>2019</x:v>
      </x:c>
      <x:c r="E32" s="24" t="str">
        <x:v>Holocentridae</x:v>
      </x:c>
      <x:c r="F32" s="24" t="str">
        <x:v>Squirrel-, soldierfishes</x:v>
      </x:c>
      <x:c r="G32" s="24" t="str">
        <x:v>Small reef assoc. fish (&lt;30 cm)</x:v>
      </x:c>
      <x:c r="H32" s="24" t="str">
        <x:v>Other fishes &amp; inverts</x:v>
      </x:c>
      <x:c r="I32" s="31" t="n">
        <x:v>7.8321678316</x:v>
      </x:c>
      <x:c r="J32" s="31" t="n">
        <x:v>7.8321678316</x:v>
      </x:c>
      <x:c r="K32" s="31" t="n">
        <x:v>0</x:v>
      </x:c>
      <x:c r="L32" s="31" t="n">
        <x:v>7.8321678316</x:v>
      </x:c>
      <x:c r="M32" s="31" t="n">
        <x:v>0</x:v>
      </x:c>
      <x:c r="N32" s="24" t="str">
        <x:v>holocentridae</x:v>
      </x:c>
      <x:c r="O32" s="32" t="n">
        <x:v>3.49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Holocentridae</x:v>
      </x:c>
      <x:c r="T32" s="32" t="n">
        <x:f>IF(O32="","",(1/'Metadata'!$B$5)^(O32-1))</x:f>
        <x:v>309.0295432513592</x:v>
      </x:c>
      <x:c r="U32" s="31" t="n">
        <x:f>IF(T32="","",I32*T32)</x:f>
        <x:v>2420.3712476673363</x:v>
      </x:c>
    </x:row>
    <x:row r="33" ht="18" customHeight="1">
      <x:c r="A33" s="24" t="str">
        <x:v>EEZ_184</x:v>
      </x:c>
      <x:c r="B33" s="24" t="str">
        <x:v>Cook Islands</x:v>
      </x:c>
      <x:c r="C33" s="24" t="str">
        <x:v>EEZ</x:v>
      </x:c>
      <x:c r="D33" s="30" t="n">
        <x:v>2019</x:v>
      </x:c>
      <x:c r="E33" s="24" t="str">
        <x:v>Siganidae</x:v>
      </x:c>
      <x:c r="F33" s="24" t="str">
        <x:v>Rabbitfishes</x:v>
      </x:c>
      <x:c r="G33" s="24" t="str">
        <x:v>Medium reef assoc. fish (30 - 89 cm)</x:v>
      </x:c>
      <x:c r="H33" s="24" t="str">
        <x:v>Perch-likes</x:v>
      </x:c>
      <x:c r="I33" s="31" t="n">
        <x:v>7.3526473517</x:v>
      </x:c>
      <x:c r="J33" s="31" t="n">
        <x:v>7.3526473517</x:v>
      </x:c>
      <x:c r="K33" s="31" t="n">
        <x:v>0</x:v>
      </x:c>
      <x:c r="L33" s="31" t="n">
        <x:v>7.3526473517</x:v>
      </x:c>
      <x:c r="M33" s="31" t="n">
        <x:v>0</x:v>
      </x:c>
      <x:c r="N33" s="24" t="str">
        <x:v>siganidae</x:v>
      </x:c>
      <x:c r="O33" s="32" t="n">
        <x:v>2.11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Siganidae</x:v>
      </x:c>
      <x:c r="T33" s="32" t="n">
        <x:f>IF(O33="","",(1/'Metadata'!$B$5)^(O33-1))</x:f>
        <x:v>12.882495516931336</x:v>
      </x:c>
      <x:c r="U33" s="31" t="n">
        <x:f>IF(T33="","",I33*T33)</x:f>
        <x:v>94.72044654585231</x:v>
      </x:c>
    </x:row>
    <x:row r="34" ht="18" customHeight="1">
      <x:c r="A34" s="24" t="str">
        <x:v>EEZ_184</x:v>
      </x:c>
      <x:c r="B34" s="24" t="str">
        <x:v>Cook Islands</x:v>
      </x:c>
      <x:c r="C34" s="24" t="str">
        <x:v>EEZ</x:v>
      </x:c>
      <x:c r="D34" s="30" t="n">
        <x:v>2019</x:v>
      </x:c>
      <x:c r="E34" s="24" t="str">
        <x:v>Sphyrna</x:v>
      </x:c>
      <x:c r="F34" s="24" t="str">
        <x:v>Hammerhead sharks</x:v>
      </x:c>
      <x:c r="G34" s="24" t="str">
        <x:v>Large sharks (&gt;=90 cm)</x:v>
      </x:c>
      <x:c r="H34" s="24" t="str">
        <x:v>Sharks &amp; rays</x:v>
      </x:c>
      <x:c r="I34" s="31" t="n">
        <x:v>6.8579970066</x:v>
      </x:c>
      <x:c r="J34" s="31" t="n">
        <x:v>6.8579970066</x:v>
      </x:c>
      <x:c r="K34" s="31" t="n">
        <x:v>0</x:v>
      </x:c>
      <x:c r="L34" s="31" t="n">
        <x:v>6.8579970066</x:v>
      </x:c>
      <x:c r="M34" s="31" t="n">
        <x:v>0</x:v>
      </x:c>
      <x:c r="N34" s="24" t="str">
        <x:v>sphyrna</x:v>
      </x:c>
      <x:c r="O34" s="32" t="n">
        <x:v>4.2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Sphyrna</x:v>
      </x:c>
      <x:c r="T34" s="32" t="n">
        <x:f>IF(O34="","",(1/'Metadata'!$B$5)^(O34-1))</x:f>
        <x:v>1584.893192461114</x:v>
      </x:c>
      <x:c r="U34" s="31" t="n">
        <x:f>IF(T34="","",I34*T34)</x:f>
        <x:v>10869.192769679037</x:v>
      </x:c>
    </x:row>
    <x:row r="35" ht="18" customHeight="1">
      <x:c r="A35" s="24" t="str">
        <x:v>EEZ_184</x:v>
      </x:c>
      <x:c r="B35" s="24" t="str">
        <x:v>Cook Islands</x:v>
      </x:c>
      <x:c r="C35" s="24" t="str">
        <x:v>EEZ</x:v>
      </x:c>
      <x:c r="D35" s="30" t="n">
        <x:v>2019</x:v>
      </x:c>
      <x:c r="E35" s="24" t="str">
        <x:v>Mullidae</x:v>
      </x:c>
      <x:c r="F35" s="24" t="str">
        <x:v>Goatfishes</x:v>
      </x:c>
      <x:c r="G35" s="24" t="str">
        <x:v>Medium reef assoc. fish (30 - 89 cm)</x:v>
      </x:c>
      <x:c r="H35" s="24" t="str">
        <x:v>Perch-likes</x:v>
      </x:c>
      <x:c r="I35" s="31" t="n">
        <x:v>6.5534465528000005</x:v>
      </x:c>
      <x:c r="J35" s="31" t="n">
        <x:v>6.5534465528000005</x:v>
      </x:c>
      <x:c r="K35" s="31" t="n">
        <x:v>0</x:v>
      </x:c>
      <x:c r="L35" s="31" t="n">
        <x:v>6.5534465528000005</x:v>
      </x:c>
      <x:c r="M35" s="31" t="n">
        <x:v>0</x:v>
      </x:c>
      <x:c r="N35" s="24" t="str">
        <x:v>mullidae</x:v>
      </x:c>
      <x:c r="O35" s="32" t="n">
        <x:v>3.46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Mullidae</x:v>
      </x:c>
      <x:c r="T35" s="32" t="n">
        <x:f>IF(O35="","",(1/'Metadata'!$B$5)^(O35-1))</x:f>
        <x:v>288.40315031266056</x:v>
      </x:c>
      <x:c r="U35" s="31" t="n">
        <x:f>IF(T35="","",I35*T35)</x:f>
        <x:v>1890.0346312331658</x:v>
      </x:c>
    </x:row>
    <x:row r="36" ht="18" customHeight="1">
      <x:c r="A36" s="24" t="str">
        <x:v>EEZ_184</x:v>
      </x:c>
      <x:c r="B36" s="24" t="str">
        <x:v>Cook Islands</x:v>
      </x:c>
      <x:c r="C36" s="24" t="str">
        <x:v>EEZ</x:v>
      </x:c>
      <x:c r="D36" s="30" t="n">
        <x:v>2019</x:v>
      </x:c>
      <x:c r="E36" s="24" t="str">
        <x:v>Echinoidea</x:v>
      </x:c>
      <x:c r="F36" s="24" t="str">
        <x:v>Sea urchins, sea hedgehogs</x:v>
      </x:c>
      <x:c r="G36" s="24" t="str">
        <x:v>Other demersal invertebrates</x:v>
      </x:c>
      <x:c r="H36" s="24" t="str">
        <x:v>Other fishes &amp; inverts</x:v>
      </x:c>
      <x:c r="I36" s="31" t="n">
        <x:v>5</x:v>
      </x:c>
      <x:c r="J36" s="31" t="n">
        <x:v>5</x:v>
      </x:c>
      <x:c r="K36" s="31" t="n">
        <x:v>0</x:v>
      </x:c>
      <x:c r="L36" s="31" t="n">
        <x:v>5</x:v>
      </x:c>
      <x:c r="M36" s="31" t="n">
        <x:v>0</x:v>
      </x:c>
      <x:c r="N36" s="24" t="str">
        <x:v>echinoidea</x:v>
      </x:c>
      <x:c r="O36" s="32" t="n">
        <x:v>2.51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Echinoidea</x:v>
      </x:c>
      <x:c r="T36" s="32" t="n">
        <x:f>IF(O36="","",(1/'Metadata'!$B$5)^(O36-1))</x:f>
        <x:v>32.35936569296281</x:v>
      </x:c>
      <x:c r="U36" s="31" t="n">
        <x:f>IF(T36="","",I36*T36)</x:f>
        <x:v>161.79682846481404</x:v>
      </x:c>
    </x:row>
    <x:row r="37" ht="18" customHeight="1">
      <x:c r="A37" s="24" t="str">
        <x:v>EEZ_184</x:v>
      </x:c>
      <x:c r="B37" s="24" t="str">
        <x:v>Cook Islands</x:v>
      </x:c>
      <x:c r="C37" s="24" t="str">
        <x:v>EEZ</x:v>
      </x:c>
      <x:c r="D37" s="30" t="n">
        <x:v>2019</x:v>
      </x:c>
      <x:c r="E37" s="24" t="str">
        <x:v>Lethrinidae</x:v>
      </x:c>
      <x:c r="F37" s="24" t="str">
        <x:v>Emperors, scavengers</x:v>
      </x:c>
      <x:c r="G37" s="24" t="str">
        <x:v>Medium reef assoc. fish (30 - 89 cm)</x:v>
      </x:c>
      <x:c r="H37" s="24" t="str">
        <x:v>Perch-likes</x:v>
      </x:c>
      <x:c r="I37" s="31" t="n">
        <x:v>4.1558441548000005</x:v>
      </x:c>
      <x:c r="J37" s="31" t="n">
        <x:v>4.1558441548000005</x:v>
      </x:c>
      <x:c r="K37" s="31" t="n">
        <x:v>0</x:v>
      </x:c>
      <x:c r="L37" s="31" t="n">
        <x:v>4.1558441548000005</x:v>
      </x:c>
      <x:c r="M37" s="31" t="n">
        <x:v>0</x:v>
      </x:c>
      <x:c r="N37" s="24" t="str">
        <x:v>lethrinidae</x:v>
      </x:c>
      <x:c r="O37" s="32" t="n">
        <x:v>3.59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Lethrinidae</x:v>
      </x:c>
      <x:c r="T37" s="32" t="n">
        <x:f>IF(O37="","",(1/'Metadata'!$B$5)^(O37-1))</x:f>
        <x:v>389.04514499428046</x:v>
      </x:c>
      <x:c r="U37" s="31" t="n">
        <x:f>IF(T37="","",I37*T37)</x:f>
        <x:v>1616.810991777799</x:v>
      </x:c>
    </x:row>
    <x:row r="38" ht="18" customHeight="1">
      <x:c r="A38" s="24" t="str">
        <x:v>EEZ_184</x:v>
      </x:c>
      <x:c r="B38" s="24" t="str">
        <x:v>Cook Islands</x:v>
      </x:c>
      <x:c r="C38" s="24" t="str">
        <x:v>EEZ</x:v>
      </x:c>
      <x:c r="D38" s="30" t="n">
        <x:v>2019</x:v>
      </x:c>
      <x:c r="E38" s="24" t="str">
        <x:v>Labridae</x:v>
      </x:c>
      <x:c r="F38" s="24" t="str">
        <x:v>Wrasses, gropers, tuskfishes</x:v>
      </x:c>
      <x:c r="G38" s="24" t="str">
        <x:v>Medium reef assoc. fish (30 - 89 cm)</x:v>
      </x:c>
      <x:c r="H38" s="24" t="str">
        <x:v>Perch-likes</x:v>
      </x:c>
      <x:c r="I38" s="31" t="n">
        <x:v>3.6763236769</x:v>
      </x:c>
      <x:c r="J38" s="31" t="n">
        <x:v>3.6763236769</x:v>
      </x:c>
      <x:c r="K38" s="31" t="n">
        <x:v>0</x:v>
      </x:c>
      <x:c r="L38" s="31" t="n">
        <x:v>3.6763236769</x:v>
      </x:c>
      <x:c r="M38" s="31" t="n">
        <x:v>0</x:v>
      </x:c>
      <x:c r="N38" s="24" t="str">
        <x:v>labridae</x:v>
      </x:c>
      <x:c r="O38" s="32" t="n">
        <x:v>3.46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Labridae</x:v>
      </x:c>
      <x:c r="T38" s="32" t="n">
        <x:f>IF(O38="","",(1/'Metadata'!$B$5)^(O38-1))</x:f>
        <x:v>288.40315031266056</x:v>
      </x:c>
      <x:c r="U38" s="31" t="n">
        <x:f>IF(T38="","",I38*T38)</x:f>
        <x:v>1060.2633299869838</x:v>
      </x:c>
    </x:row>
    <x:row r="39" ht="18" customHeight="1">
      <x:c r="A39" s="24" t="str">
        <x:v>EEZ_184</x:v>
      </x:c>
      <x:c r="B39" s="24" t="str">
        <x:v>Cook Islands</x:v>
      </x:c>
      <x:c r="C39" s="24" t="str">
        <x:v>EEZ</x:v>
      </x:c>
      <x:c r="D39" s="30" t="n">
        <x:v>2019</x:v>
      </x:c>
      <x:c r="E39" s="24" t="str">
        <x:v>Thunnus maccoyii</x:v>
      </x:c>
      <x:c r="F39" s="24" t="str">
        <x:v>Southern bluefin tuna</x:v>
      </x:c>
      <x:c r="G39" s="24" t="str">
        <x:v>Large pelagics (&gt;=90 cm)</x:v>
      </x:c>
      <x:c r="H39" s="24" t="str">
        <x:v>Tuna &amp; billfishes</x:v>
      </x:c>
      <x:c r="I39" s="31" t="n">
        <x:v>0.0002535774</x:v>
      </x:c>
      <x:c r="J39" s="31" t="n">
        <x:v>0</x:v>
      </x:c>
      <x:c r="K39" s="31" t="n">
        <x:v>0.0002535774</x:v>
      </x:c>
      <x:c r="L39" s="31" t="n">
        <x:v>0</x:v>
      </x:c>
      <x:c r="M39" s="31" t="n">
        <x:v>0.0002535774</x:v>
      </x:c>
      <x:c r="N39" s="24" t="str">
        <x:v>thunnus maccoyii</x:v>
      </x:c>
      <x:c r="O39" s="32" t="n">
        <x:v>3.93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Thunnus maccoyii</x:v>
      </x:c>
      <x:c r="T39" s="32" t="n">
        <x:f>IF(O39="","",(1/'Metadata'!$B$5)^(O39-1))</x:f>
        <x:v>851.1380382023768</x:v>
      </x:c>
      <x:c r="U39" s="31" t="n">
        <x:f>IF(T39="","",I39*T39)</x:f>
        <x:v>0.21582937076845937</x:v>
      </x:c>
    </x:row>
  </x:sheetData>
  <x:conditionalFormatting sqref="R2:R39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6c0bfaf09de54d1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Crustaceans</x:v>
      </x:c>
      <x:c r="B2" s="33" t="n">
        <x:v>1</x:v>
      </x:c>
      <x:c r="C2" s="33" t="n">
        <x:v>1</x:v>
      </x:c>
      <x:c r="D2" s="31" t="n">
        <x:v>10</x:v>
      </x:c>
      <x:c r="E2" s="31" t="n">
        <x:v>10</x:v>
      </x:c>
      <x:c r="F2" s="32" t="n">
        <x:v>0</x:v>
      </x:c>
      <x:c r="G2" s="34" t="n">
        <x:v>1</x:v>
      </x:c>
      <x:c r="H2" s="32" t="n">
        <x:f>IF(E2=0,"",I2/E2)</x:f>
        <x:v>100</x:v>
      </x:c>
      <x:c r="I2" s="31" t="n">
        <x:f>IF(C2=0,"",SUMIF('Species'!$H$2:$H$39,A2,'Species'!$U$2:$U$39))</x:f>
        <x:v>1000</x:v>
      </x:c>
      <x:c r="J2" s="32" t="n">
        <x:v>3</x:v>
      </x:c>
      <x:c r="K2" s="32" t="n">
        <x:f>IF(J2="","",(1/'Metadata'!$B$5)^(J2-1))</x:f>
        <x:v>100</x:v>
      </x:c>
      <x:c r="L2" s="31" t="n">
        <x:f>IF(E2=0,"",E2*K2)</x:f>
        <x:v>1000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Molluscs</x:v>
      </x:c>
      <x:c r="B3" s="33" t="n">
        <x:v>1</x:v>
      </x:c>
      <x:c r="C3" s="33" t="n">
        <x:v>1</x:v>
      </x:c>
      <x:c r="D3" s="31" t="n">
        <x:v>40</x:v>
      </x:c>
      <x:c r="E3" s="31" t="n">
        <x:v>40</x:v>
      </x:c>
      <x:c r="F3" s="32" t="n">
        <x:v>0</x:v>
      </x:c>
      <x:c r="G3" s="34" t="n">
        <x:v>1</x:v>
      </x:c>
      <x:c r="H3" s="32" t="n">
        <x:f>IF(E3=0,"",I3/E3)</x:f>
        <x:v>12.589254117941675</x:v>
      </x:c>
      <x:c r="I3" s="31" t="n">
        <x:f>IF(C3=0,"",SUMIF('Species'!$H$2:$H$39,A3,'Species'!$U$2:$U$39))</x:f>
        <x:v>503.570164717667</x:v>
      </x:c>
      <x:c r="J3" s="32" t="n">
        <x:v>2.1</x:v>
      </x:c>
      <x:c r="K3" s="32" t="n">
        <x:f>IF(J3="","",(1/'Metadata'!$B$5)^(J3-1))</x:f>
        <x:v>12.589254117941675</x:v>
      </x:c>
      <x:c r="L3" s="31" t="n">
        <x:f>IF(E3=0,"",E3*K3)</x:f>
        <x:v>503.570164717667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Other fishes &amp; inverts</x:v>
      </x:c>
      <x:c r="B4" s="33" t="n">
        <x:v>4</x:v>
      </x:c>
      <x:c r="C4" s="33" t="n">
        <x:v>4</x:v>
      </x:c>
      <x:c r="D4" s="31" t="n">
        <x:v>3300.8515240135</x:v>
      </x:c>
      <x:c r="E4" s="31" t="n">
        <x:v>3300.8515240135</x:v>
      </x:c>
      <x:c r="F4" s="32" t="n">
        <x:v>0</x:v>
      </x:c>
      <x:c r="G4" s="34" t="n">
        <x:v>1</x:v>
      </x:c>
      <x:c r="H4" s="32" t="n">
        <x:f>IF(E4=0,"",I4/E4)</x:f>
        <x:v>198.22237868741365</x:v>
      </x:c>
      <x:c r="I4" s="31" t="n">
        <x:f>IF(C4=0,"",SUMIF('Species'!$H$2:$H$39,A4,'Species'!$U$2:$U$39))</x:f>
        <x:v>654302.6407839304</x:v>
      </x:c>
      <x:c r="J4" s="32" t="n">
        <x:v>3.295368478243929</x:v>
      </x:c>
      <x:c r="K4" s="32" t="n">
        <x:f>IF(J4="","",(1/'Metadata'!$B$5)^(J4-1))</x:f>
        <x:v>197.4096953285623</x:v>
      </x:c>
      <x:c r="L4" s="31" t="n">
        <x:f>IF(E4=0,"",E4*K4)</x:f>
        <x:v>651620.0936803255</x:v>
      </x:c>
      <x:c r="M4" s="31" t="n">
        <x:f>IF(E4=0,"",I4-L4)</x:f>
        <x:v>2682.547103604884</x:v>
      </x:c>
      <x:c r="N4" s="32" t="n">
        <x:f>IF(L4=0,"",I4/L4)</x:f>
        <x:v>1.0041167347809272</x:v>
      </x:c>
      <x:c r="O4" s="34" t="n">
        <x:f>IF(L4=0,"",M4/L4)</x:f>
        <x:v>0.004116734780927273</x:v>
      </x:c>
    </x:row>
    <x:row r="5" ht="18" customHeight="1">
      <x:c r="A5" s="24" t="str">
        <x:v>Perch-likes</x:v>
      </x:c>
      <x:c r="B5" s="33" t="n">
        <x:v>14</x:v>
      </x:c>
      <x:c r="C5" s="33" t="n">
        <x:v>14</x:v>
      </x:c>
      <x:c r="D5" s="31" t="n">
        <x:v>1561.6402784210002</x:v>
      </x:c>
      <x:c r="E5" s="31" t="n">
        <x:v>1561.6402784210002</x:v>
      </x:c>
      <x:c r="F5" s="32" t="n">
        <x:v>0</x:v>
      </x:c>
      <x:c r="G5" s="34" t="n">
        <x:v>1</x:v>
      </x:c>
      <x:c r="H5" s="32" t="n">
        <x:f>IF(E5=0,"",I5/E5)</x:f>
        <x:v>1733.3138621719024</x:v>
      </x:c>
      <x:c r="I5" s="31" t="n">
        <x:f>IF(C5=0,"",SUMIF('Species'!$H$2:$H$39,A5,'Species'!$U$2:$U$39))</x:f>
        <x:v>2706812.742313109</x:v>
      </x:c>
      <x:c r="J5" s="32" t="n">
        <x:v>4.097698787317283</x:v>
      </x:c>
      <x:c r="K5" s="32" t="n">
        <x:f>IF(J5="","",(1/'Metadata'!$B$5)^(J5-1))</x:f>
        <x:v>1252.2723378657643</x:v>
      </x:c>
      <x:c r="L5" s="31" t="n">
        <x:f>IF(E5=0,"",E5*K5)</x:f>
        <x:v>1955598.9223636088</x:v>
      </x:c>
      <x:c r="M5" s="31" t="n">
        <x:f>IF(E5=0,"",I5-L5)</x:f>
        <x:v>751213.8199495</x:v>
      </x:c>
      <x:c r="N5" s="32" t="n">
        <x:f>IF(L5=0,"",I5/L5)</x:f>
        <x:v>1.3841349120000308</x:v>
      </x:c>
      <x:c r="O5" s="34" t="n">
        <x:f>IF(L5=0,"",M5/L5)</x:f>
        <x:v>0.38413491200003086</x:v>
      </x:c>
    </x:row>
    <x:row r="6" ht="18" customHeight="1">
      <x:c r="A6" s="24" t="str">
        <x:v>Sharks &amp; rays</x:v>
      </x:c>
      <x:c r="B6" s="33" t="n">
        <x:v>8</x:v>
      </x:c>
      <x:c r="C6" s="33" t="n">
        <x:v>8</x:v>
      </x:c>
      <x:c r="D6" s="31" t="n">
        <x:v>8517.985396859202</x:v>
      </x:c>
      <x:c r="E6" s="31" t="n">
        <x:v>8517.985396859202</x:v>
      </x:c>
      <x:c r="F6" s="32" t="n">
        <x:v>0</x:v>
      </x:c>
      <x:c r="G6" s="34" t="n">
        <x:v>1</x:v>
      </x:c>
      <x:c r="H6" s="32" t="n">
        <x:f>IF(E6=0,"",I6/E6)</x:f>
        <x:v>2289.453043555781</x:v>
      </x:c>
      <x:c r="I6" s="31" t="n">
        <x:f>IF(C6=0,"",SUMIF('Species'!$H$2:$H$39,A6,'Species'!$U$2:$U$39))</x:f>
        <x:v>19501527.591802996</x:v>
      </x:c>
      <x:c r="J6" s="32" t="n">
        <x:v>4.352384675828266</x:v>
      </x:c>
      <x:c r="K6" s="32" t="n">
        <x:f>IF(J6="","",(1/'Metadata'!$B$5)^(J6-1))</x:f>
        <x:v>2251.047585826105</x:v>
      </x:c>
      <x:c r="L6" s="31" t="n">
        <x:f>IF(E6=0,"",E6*K6)</x:f>
        <x:v>19174390.463701922</x:v>
      </x:c>
      <x:c r="M6" s="31" t="n">
        <x:f>IF(E6=0,"",I6-L6)</x:f>
        <x:v>327137.1281010732</x:v>
      </x:c>
      <x:c r="N6" s="32" t="n">
        <x:f>IF(L6=0,"",I6/L6)</x:f>
        <x:v>1.0170611487609142</x:v>
      </x:c>
      <x:c r="O6" s="34" t="n">
        <x:f>IF(L6=0,"",M6/L6)</x:f>
        <x:v>0.017061148760914205</x:v>
      </x:c>
    </x:row>
    <x:row r="7" ht="18" customHeight="1">
      <x:c r="A7" s="24" t="str">
        <x:v>Tuna &amp; billfishes</x:v>
      </x:c>
      <x:c r="B7" s="33" t="n">
        <x:v>10</x:v>
      </x:c>
      <x:c r="C7" s="33" t="n">
        <x:v>10</x:v>
      </x:c>
      <x:c r="D7" s="31" t="n">
        <x:v>44419.7318059818</x:v>
      </x:c>
      <x:c r="E7" s="31" t="n">
        <x:v>44419.7318059818</x:v>
      </x:c>
      <x:c r="F7" s="32" t="n">
        <x:v>0</x:v>
      </x:c>
      <x:c r="G7" s="34" t="n">
        <x:v>1</x:v>
      </x:c>
      <x:c r="H7" s="32" t="n">
        <x:f>IF(E7=0,"",I7/E7)</x:f>
        <x:v>2578.0939993354946</x:v>
      </x:c>
      <x:c r="I7" s="31" t="n">
        <x:f>IF(C7=0,"",SUMIF('Species'!$H$2:$H$39,A7,'Species'!$U$2:$U$39))</x:f>
        <x:v>114518244.0210937</x:v>
      </x:c>
      <x:c r="J7" s="32" t="n">
        <x:v>4.4077749329967855</x:v>
      </x:c>
      <x:c r="K7" s="32" t="n">
        <x:f>IF(J7="","",(1/'Metadata'!$B$5)^(J7-1))</x:f>
        <x:v>2557.260279296359</x:v>
      </x:c>
      <x:c r="L7" s="31" t="n">
        <x:f>IF(E7=0,"",E7*K7)</x:f>
        <x:v>113592815.76443437</x:v>
      </x:c>
      <x:c r="M7" s="31" t="n">
        <x:f>IF(E7=0,"",I7-L7)</x:f>
        <x:v>925428.2566593289</x:v>
      </x:c>
      <x:c r="N7" s="32" t="n">
        <x:f>IF(L7=0,"",I7/L7)</x:f>
        <x:v>1.0081468907204347</x:v>
      </x:c>
      <x:c r="O7" s="34" t="n">
        <x:f>IF(L7=0,"",M7/L7)</x:f>
        <x:v>0.008146890720434789</x:v>
      </x:c>
    </x:row>
  </x:sheetData>
  <x:conditionalFormatting sqref="G2:G7">
    <x:cfRule type="cellIs" dxfId="1" priority="1" operator="lessThan">
      <x:formula>0.9</x:formula>
    </x:cfRule>
  </x:conditionalFormatting>
  <x:conditionalFormatting sqref="O2:O7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972c67860a7c45e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Large pelagics (&gt;=90 cm)</x:v>
      </x:c>
      <x:c r="B2" s="33" t="n">
        <x:v>12</x:v>
      </x:c>
      <x:c r="C2" s="33" t="n">
        <x:v>12</x:v>
      </x:c>
      <x:c r="D2" s="31" t="n">
        <x:v>44920.7685458986</x:v>
      </x:c>
      <x:c r="E2" s="31" t="n">
        <x:v>44920.7685458986</x:v>
      </x:c>
      <x:c r="F2" s="32" t="n">
        <x:v>0</x:v>
      </x:c>
      <x:c r="G2" s="34" t="n">
        <x:v>1</x:v>
      </x:c>
      <x:c r="H2" s="32" t="n">
        <x:f>IF(E2=0,"",I2/E2)</x:f>
        <x:v>2575.2998169879424</x:v>
      </x:c>
      <x:c r="I2" s="31" t="n">
        <x:f>IF(C2=0,"",SUMIF('Species'!$G$2:$G$39,A2,'Species'!$U$2:$U$39))</x:f>
        <x:v>115684447.01521039</x:v>
      </x:c>
      <x:c r="J2" s="32" t="n">
        <x:v>4.407314655888713</x:v>
      </x:c>
      <x:c r="K2" s="32" t="n">
        <x:f>IF(J2="","",(1/'Metadata'!$B$5)^(J2-1))</x:f>
        <x:v>2554.5514609684387</x:v>
      </x:c>
      <x:c r="L2" s="31" t="n">
        <x:f>IF(E2=0,"",E2*K2)</x:f>
        <x:v>114752414.91675036</x:v>
      </x:c>
      <x:c r="M2" s="31" t="n">
        <x:f>IF(E2=0,"",I2-L2)</x:f>
        <x:v>932032.0984600335</x:v>
      </x:c>
      <x:c r="N2" s="32" t="n">
        <x:f>IF(L2=0,"",I2/L2)</x:f>
        <x:v>1.0081221131523568</x:v>
      </x:c>
      <x:c r="O2" s="34" t="n">
        <x:f>IF(L2=0,"",M2/L2)</x:f>
        <x:v>0.00812211315235672</x:v>
      </x:c>
    </x:row>
    <x:row r="3" ht="18" customHeight="1">
      <x:c r="A3" s="24" t="str">
        <x:v>Large sharks (&gt;=90 cm)</x:v>
      </x:c>
      <x:c r="B3" s="33" t="n">
        <x:v>8</x:v>
      </x:c>
      <x:c r="C3" s="33" t="n">
        <x:v>8</x:v>
      </x:c>
      <x:c r="D3" s="31" t="n">
        <x:v>8517.985396859202</x:v>
      </x:c>
      <x:c r="E3" s="31" t="n">
        <x:v>8517.985396859202</x:v>
      </x:c>
      <x:c r="F3" s="32" t="n">
        <x:v>0</x:v>
      </x:c>
      <x:c r="G3" s="34" t="n">
        <x:v>1</x:v>
      </x:c>
      <x:c r="H3" s="32" t="n">
        <x:f>IF(E3=0,"",I3/E3)</x:f>
        <x:v>2289.453043555781</x:v>
      </x:c>
      <x:c r="I3" s="31" t="n">
        <x:f>IF(C3=0,"",SUMIF('Species'!$G$2:$G$39,A3,'Species'!$U$2:$U$39))</x:f>
        <x:v>19501527.591802996</x:v>
      </x:c>
      <x:c r="J3" s="32" t="n">
        <x:v>4.352384675828266</x:v>
      </x:c>
      <x:c r="K3" s="32" t="n">
        <x:f>IF(J3="","",(1/'Metadata'!$B$5)^(J3-1))</x:f>
        <x:v>2251.047585826105</x:v>
      </x:c>
      <x:c r="L3" s="31" t="n">
        <x:f>IF(E3=0,"",E3*K3)</x:f>
        <x:v>19174390.463701922</x:v>
      </x:c>
      <x:c r="M3" s="31" t="n">
        <x:f>IF(E3=0,"",I3-L3)</x:f>
        <x:v>327137.1281010732</x:v>
      </x:c>
      <x:c r="N3" s="32" t="n">
        <x:f>IF(L3=0,"",I3/L3)</x:f>
        <x:v>1.0170611487609142</x:v>
      </x:c>
      <x:c r="O3" s="34" t="n">
        <x:f>IF(L3=0,"",M3/L3)</x:f>
        <x:v>0.017061148760914205</x:v>
      </x:c>
    </x:row>
    <x:row r="4" ht="18" customHeight="1">
      <x:c r="A4" s="24" t="str">
        <x:v>Medium demersals (30 - 89 cm)</x:v>
      </x:c>
      <x:c r="B4" s="33" t="n">
        <x:v>1</x:v>
      </x:c>
      <x:c r="C4" s="33" t="n">
        <x:v>1</x:v>
      </x:c>
      <x:c r="D4" s="31" t="n">
        <x:v>2531.8149334874997</x:v>
      </x:c>
      <x:c r="E4" s="31" t="n">
        <x:v>2531.8149334874997</x:v>
      </x:c>
      <x:c r="F4" s="32" t="n">
        <x:v>0</x:v>
      </x:c>
      <x:c r="G4" s="34" t="n">
        <x:v>1</x:v>
      </x:c>
      <x:c r="H4" s="32" t="n">
        <x:f>IF(E4=0,"",I4/E4)</x:f>
        <x:v>190.54607179632464</x:v>
      </x:c>
      <x:c r="I4" s="31" t="n">
        <x:f>IF(C4=0,"",SUMIF('Species'!$G$2:$G$39,A4,'Species'!$U$2:$U$39))</x:f>
        <x:v>482427.390091316</x:v>
      </x:c>
      <x:c r="J4" s="32" t="n">
        <x:v>3.2799999999999994</x:v>
      </x:c>
      <x:c r="K4" s="32" t="n">
        <x:f>IF(J4="","",(1/'Metadata'!$B$5)^(J4-1))</x:f>
        <x:v>190.54607179632444</x:v>
      </x:c>
      <x:c r="L4" s="31" t="n">
        <x:f>IF(E4=0,"",E4*K4)</x:f>
        <x:v>482427.3900913155</x:v>
      </x:c>
      <x:c r="M4" s="31" t="n">
        <x:f>IF(E4=0,"",I4-L4)</x:f>
        <x:v>5.238689482212067e-10</x:v>
      </x:c>
      <x:c r="N4" s="32" t="n">
        <x:f>IF(L4=0,"",I4/L4)</x:f>
        <x:v>1.000000000000001</x:v>
      </x:c>
      <x:c r="O4" s="34" t="n">
        <x:f>IF(L4=0,"",M4/L4)</x:f>
        <x:v>1.0859021667945656e-15</x:v>
      </x:c>
    </x:row>
    <x:row r="5" ht="18" customHeight="1">
      <x:c r="A5" s="24" t="str">
        <x:v>Medium pelagics (30 - 89 cm)</x:v>
      </x:c>
      <x:c r="B5" s="33" t="n">
        <x:v>3</x:v>
      </x:c>
      <x:c r="C5" s="33" t="n">
        <x:v>3</x:v>
      </x:c>
      <x:c r="D5" s="31" t="n">
        <x:v>1612.2675016572</x:v>
      </x:c>
      <x:c r="E5" s="31" t="n">
        <x:v>1612.2675016572</x:v>
      </x:c>
      <x:c r="F5" s="32" t="n">
        <x:v>0</x:v>
      </x:c>
      <x:c r="G5" s="34" t="n">
        <x:v>1</x:v>
      </x:c>
      <x:c r="H5" s="32" t="n">
        <x:f>IF(E5=0,"",I5/E5)</x:f>
        <x:v>1011.6654537790718</x:v>
      </x:c>
      <x:c r="I5" s="31" t="n">
        <x:f>IF(C5=0,"",SUMIF('Species'!$G$2:$G$39,A5,'Species'!$U$2:$U$39))</x:f>
        <x:v>1631075.3336772816</x:v>
      </x:c>
      <x:c r="J5" s="32" t="n">
        <x:v>3.815259514766284</x:v>
      </x:c>
      <x:c r="K5" s="32" t="n">
        <x:f>IF(J5="","",(1/'Metadata'!$B$5)^(J5-1))</x:f>
        <x:v>653.5209505957754</x:v>
      </x:c>
      <x:c r="L5" s="31" t="n">
        <x:f>IF(E5=0,"",E5*K5)</x:f>
        <x:v>1053650.5902976892</x:v>
      </x:c>
      <x:c r="M5" s="31" t="n">
        <x:f>IF(E5=0,"",I5-L5)</x:f>
        <x:v>577424.7433795924</x:v>
      </x:c>
      <x:c r="N5" s="32" t="n">
        <x:f>IF(L5=0,"",I5/L5)</x:f>
        <x:v>1.5480229866491622</x:v>
      </x:c>
      <x:c r="O5" s="34" t="n">
        <x:f>IF(L5=0,"",M5/L5)</x:f>
        <x:v>0.5480229866491623</x:v>
      </x:c>
    </x:row>
    <x:row r="6" ht="18" customHeight="1">
      <x:c r="A6" s="24" t="str">
        <x:v>Medium reef assoc. fish (30 - 89 cm)</x:v>
      </x:c>
      <x:c r="B6" s="33" t="n">
        <x:v>9</x:v>
      </x:c>
      <x:c r="C6" s="33" t="n">
        <x:v>9</x:v>
      </x:c>
      <x:c r="D6" s="31" t="n">
        <x:v>187.9170829162</x:v>
      </x:c>
      <x:c r="E6" s="31" t="n">
        <x:v>187.9170829162</x:v>
      </x:c>
      <x:c r="F6" s="32" t="n">
        <x:v>0</x:v>
      </x:c>
      <x:c r="G6" s="34" t="n">
        <x:v>1</x:v>
      </x:c>
      <x:c r="H6" s="32" t="n">
        <x:f>IF(E6=0,"",I6/E6)</x:f>
        <x:v>417.7946145484086</x:v>
      </x:c>
      <x:c r="I6" s="31" t="n">
        <x:f>IF(C6=0,"",SUMIF('Species'!$G$2:$G$39,A6,'Species'!$U$2:$U$39))</x:f>
        <x:v>78510.74522403513</x:v>
      </x:c>
      <x:c r="J6" s="32" t="n">
        <x:v>2.956170224061061</x:v>
      </x:c>
      <x:c r="K6" s="32" t="n">
        <x:f>IF(J6="","",(1/'Metadata'!$B$5)^(J6-1))</x:f>
        <x:v>90.40037334225656</x:v>
      </x:c>
      <x:c r="L6" s="31" t="n">
        <x:f>IF(E6=0,"",E6*K6)</x:f>
        <x:v>16987.77445301226</x:v>
      </x:c>
      <x:c r="M6" s="31" t="n">
        <x:f>IF(E6=0,"",I6-L6)</x:f>
        <x:v>61522.97077102287</x:v>
      </x:c>
      <x:c r="N6" s="32" t="n">
        <x:f>IF(L6=0,"",I6/L6)</x:f>
        <x:v>4.621602755628396</x:v>
      </x:c>
      <x:c r="O6" s="34" t="n">
        <x:f>IF(L6=0,"",M6/L6)</x:f>
        <x:v>3.6216027556283956</x:v>
      </x:c>
    </x:row>
    <x:row r="7" ht="18" customHeight="1">
      <x:c r="A7" s="24" t="str">
        <x:v>Other demersal invertebrates</x:v>
      </x:c>
      <x:c r="B7" s="33" t="n">
        <x:v>2</x:v>
      </x:c>
      <x:c r="C7" s="33" t="n">
        <x:v>2</x:v>
      </x:c>
      <x:c r="D7" s="31" t="n">
        <x:v>45</x:v>
      </x:c>
      <x:c r="E7" s="31" t="n">
        <x:v>45</x:v>
      </x:c>
      <x:c r="F7" s="32" t="n">
        <x:v>0</x:v>
      </x:c>
      <x:c r="G7" s="34" t="n">
        <x:v>1</x:v>
      </x:c>
      <x:c r="H7" s="32" t="n">
        <x:f>IF(E7=0,"",I7/E7)</x:f>
        <x:v>14.785933181832913</x:v>
      </x:c>
      <x:c r="I7" s="31" t="n">
        <x:f>IF(C7=0,"",SUMIF('Species'!$G$2:$G$39,A7,'Species'!$U$2:$U$39))</x:f>
        <x:v>665.3669931824811</x:v>
      </x:c>
      <x:c r="J7" s="32" t="n">
        <x:v>2.1455555555555557</x:v>
      </x:c>
      <x:c r="K7" s="32" t="n">
        <x:f>IF(J7="","",(1/'Metadata'!$B$5)^(J7-1))</x:f>
        <x:v>13.981557579172984</x:v>
      </x:c>
      <x:c r="L7" s="31" t="n">
        <x:f>IF(E7=0,"",E7*K7)</x:f>
        <x:v>629.1700910627843</x:v>
      </x:c>
      <x:c r="M7" s="31" t="n">
        <x:f>IF(E7=0,"",I7-L7)</x:f>
        <x:v>36.1969021196968</x:v>
      </x:c>
      <x:c r="N7" s="32" t="n">
        <x:f>IF(L7=0,"",I7/L7)</x:f>
        <x:v>1.057531186929998</x:v>
      </x:c>
      <x:c r="O7" s="34" t="n">
        <x:f>IF(L7=0,"",M7/L7)</x:f>
        <x:v>0.057531186929997834</x:v>
      </x:c>
    </x:row>
    <x:row r="8" ht="18" customHeight="1">
      <x:c r="A8" s="24" t="str">
        <x:v>Shrimps</x:v>
      </x:c>
      <x:c r="B8" s="33" t="n">
        <x:v>1</x:v>
      </x:c>
      <x:c r="C8" s="33" t="n">
        <x:v>1</x:v>
      </x:c>
      <x:c r="D8" s="31" t="n">
        <x:v>10</x:v>
      </x:c>
      <x:c r="E8" s="31" t="n">
        <x:v>10</x:v>
      </x:c>
      <x:c r="F8" s="32" t="n">
        <x:v>0</x:v>
      </x:c>
      <x:c r="G8" s="34" t="n">
        <x:v>1</x:v>
      </x:c>
      <x:c r="H8" s="32" t="n">
        <x:f>IF(E8=0,"",I8/E8)</x:f>
        <x:v>100</x:v>
      </x:c>
      <x:c r="I8" s="31" t="n">
        <x:f>IF(C8=0,"",SUMIF('Species'!$G$2:$G$39,A8,'Species'!$U$2:$U$39))</x:f>
        <x:v>1000</x:v>
      </x:c>
      <x:c r="J8" s="32" t="n">
        <x:v>3</x:v>
      </x:c>
      <x:c r="K8" s="32" t="n">
        <x:f>IF(J8="","",(1/'Metadata'!$B$5)^(J8-1))</x:f>
        <x:v>100</x:v>
      </x:c>
      <x:c r="L8" s="31" t="n">
        <x:f>IF(E8=0,"",E8*K8)</x:f>
        <x:v>1000</x:v>
      </x:c>
      <x:c r="M8" s="31" t="n">
        <x:f>IF(E8=0,"",I8-L8)</x:f>
        <x:v>0</x:v>
      </x:c>
      <x:c r="N8" s="32" t="n">
        <x:f>IF(L8=0,"",I8/L8)</x:f>
        <x:v>1</x:v>
      </x:c>
      <x:c r="O8" s="34" t="n">
        <x:f>IF(L8=0,"",M8/L8)</x:f>
        <x:v>0</x:v>
      </x:c>
    </x:row>
    <x:row r="9" ht="18" customHeight="1">
      <x:c r="A9" s="24" t="str">
        <x:v>Small reef assoc. fish (&lt;30 cm)</x:v>
      </x:c>
      <x:c r="B9" s="33" t="n">
        <x:v>2</x:v>
      </x:c>
      <x:c r="C9" s="33" t="n">
        <x:v>2</x:v>
      </x:c>
      <x:c r="D9" s="31" t="n">
        <x:v>24.455544456800002</x:v>
      </x:c>
      <x:c r="E9" s="31" t="n">
        <x:v>24.455544456800002</x:v>
      </x:c>
      <x:c r="F9" s="32" t="n">
        <x:v>0</x:v>
      </x:c>
      <x:c r="G9" s="34" t="n">
        <x:v>1</x:v>
      </x:c>
      <x:c r="H9" s="32" t="n">
        <x:f>IF(E9=0,"",I9/E9)</x:f>
        <x:v>111.92239715188734</x:v>
      </x:c>
      <x:c r="I9" s="31" t="n">
        <x:f>IF(C9=0,"",SUMIF('Species'!$G$2:$G$39,A9,'Species'!$U$2:$U$39))</x:f>
        <x:v>2737.123159259607</x:v>
      </x:c>
      <x:c r="J9" s="32" t="n">
        <x:v>2.6675163398212907</x:v>
      </x:c>
      <x:c r="K9" s="32" t="n">
        <x:f>IF(J9="","",(1/'Metadata'!$B$5)^(J9-1))</x:f>
        <x:v>46.506787347155694</x:v>
      </x:c>
      <x:c r="L9" s="31" t="n">
        <x:f>IF(E9=0,"",E9*K9)</x:f>
        <x:v>1137.3488055113098</x:v>
      </x:c>
      <x:c r="M9" s="31" t="n">
        <x:f>IF(E9=0,"",I9-L9)</x:f>
        <x:v>1599.774353748297</x:v>
      </x:c>
      <x:c r="N9" s="32" t="n">
        <x:f>IF(L9=0,"",I9/L9)</x:f>
        <x:v>2.406581996654138</x:v>
      </x:c>
      <x:c r="O9" s="34" t="n">
        <x:f>IF(L9=0,"",M9/L9)</x:f>
        <x:v>1.406581996654138</x:v>
      </x:c>
    </x:row>
  </x:sheetData>
  <x:conditionalFormatting sqref="G2:G9">
    <x:cfRule type="cellIs" dxfId="2" priority="1" operator="lessThan">
      <x:formula>0.9</x:formula>
    </x:cfRule>
  </x:conditionalFormatting>
  <x:conditionalFormatting sqref="O2:O9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878a8896a24c49f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EEZ_184</x:v>
      </x:c>
      <x:c r="B2" s="24" t="str">
        <x:v>raw_filtered_tonnes</x:v>
      </x:c>
      <x:c r="C2" s="24" t="n">
        <x:v>57850.2090052755</x:v>
      </x:c>
      <x:c r="D2" s="24" t="str">
        <x:v>tonnes</x:v>
      </x:c>
    </x:row>
    <x:row r="3" ht="18" customHeight="1">
      <x:c r="A3" s="24" t="str">
        <x:v>EEZ_184</x:v>
      </x:c>
      <x:c r="B3" s="24" t="str">
        <x:v>species_catch_tonnes</x:v>
      </x:c>
      <x:c r="C3" s="24" t="n">
        <x:v>57850.209005275494</x:v>
      </x:c>
      <x:c r="D3" s="24" t="str">
        <x:v>tonnes</x:v>
      </x:c>
    </x:row>
    <x:row r="4" ht="18" customHeight="1">
      <x:c r="A4" s="24" t="str">
        <x:v>EEZ_184</x:v>
      </x:c>
      <x:c r="B4" s="24" t="str">
        <x:v>catch_difference_tonnes</x:v>
      </x:c>
      <x:c r="C4" s="24" t="n">
        <x:v>-7.275957614183426e-12</x:v>
      </x:c>
      <x:c r="D4" s="24" t="str">
        <x:v>tonnes</x:v>
      </x:c>
    </x:row>
    <x:row r="5" ht="18" customHeight="1">
      <x:c r="A5" s="24" t="str">
        <x:v>EEZ_184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EEZ_184</x:v>
      </x:c>
      <x:c r="B6" s="24" t="str">
        <x:v>matched_catch_tonnes</x:v>
      </x:c>
      <x:c r="C6" s="24" t="n">
        <x:v>57850.209005275494</x:v>
      </x:c>
      <x:c r="D6" s="24" t="str">
        <x:v>tonnes</x:v>
      </x:c>
    </x:row>
    <x:row r="7" ht="18" customHeight="1">
      <x:c r="A7" s="24" t="str">
        <x:v>EEZ_184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EEZ_184</x:v>
      </x:c>
      <x:c r="B8" s="24" t="str">
        <x:v>taxa_count</x:v>
      </x:c>
      <x:c r="C8" s="24" t="n">
        <x:v>38</x:v>
      </x:c>
      <x:c r="D8" s="24" t="str">
        <x:v>count</x:v>
      </x:c>
    </x:row>
    <x:row r="9" ht="18" customHeight="1">
      <x:c r="A9" s="24" t="str">
        <x:v>EEZ_184</x:v>
      </x:c>
      <x:c r="B9" s="24" t="str">
        <x:v>matched_taxa_count</x:v>
      </x:c>
      <x:c r="C9" s="24" t="n">
        <x:v>38</x:v>
      </x:c>
      <x:c r="D9" s="24" t="str">
        <x:v>count</x:v>
      </x:c>
    </x:row>
    <x:row r="10" ht="18" customHeight="1">
      <x:c r="A10" s="24" t="str">
        <x:v>EEZ_184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EEZ_184</x:v>
      </x:c>
      <x:c r="B11" s="24" t="str">
        <x:v>species_ppr</x:v>
      </x:c>
      <x:c r="C11" s="24" t="n">
        <x:v>137382390.5661584</x:v>
      </x:c>
      <x:c r="D11" s="24" t="str">
        <x:v>tonnes_primary_production_equivalent</x:v>
      </x:c>
    </x:row>
    <x:row r="12" ht="18" customHeight="1">
      <x:c r="A12" s="24" t="str">
        <x:v>EEZ_184</x:v>
      </x:c>
      <x:c r="B12" s="24" t="str">
        <x:v>commercial_ppr</x:v>
      </x:c>
      <x:c r="C12" s="24" t="n">
        <x:v>137382390.56615847</x:v>
      </x:c>
      <x:c r="D12" s="24" t="str">
        <x:v>tonnes_primary_production_equivalent</x:v>
      </x:c>
    </x:row>
    <x:row r="13" ht="18" customHeight="1">
      <x:c r="A13" s="24" t="str">
        <x:v>EEZ_184</x:v>
      </x:c>
      <x:c r="B13" s="24" t="str">
        <x:v>functional_ppr</x:v>
      </x:c>
      <x:c r="C13" s="24" t="n">
        <x:v>137382390.56615847</x:v>
      </x:c>
      <x:c r="D13" s="24" t="str">
        <x:v>tonnes_primary_production_equivalent</x:v>
      </x:c>
    </x:row>
    <x:row r="14" ht="18" customHeight="1">
      <x:c r="A14" s="24" t="str">
        <x:v>EEZ_184</x:v>
      </x:c>
      <x:c r="B14" s="24" t="str">
        <x:v>commercial_ppr_difference</x:v>
      </x:c>
      <x:c r="C14" s="24" t="n">
        <x:v>5.960464477539063e-8</x:v>
      </x:c>
      <x:c r="D14" s="24" t="str">
        <x:v>tonnes_primary_production_equivalent</x:v>
      </x:c>
    </x:row>
    <x:row r="15" ht="18" customHeight="1">
      <x:c r="A15" s="24" t="str">
        <x:v>EEZ_184</x:v>
      </x:c>
      <x:c r="B15" s="24" t="str">
        <x:v>functional_ppr_difference</x:v>
      </x:c>
      <x:c r="C15" s="24" t="n">
        <x:v>5.960464477539063e-8</x:v>
      </x:c>
      <x:c r="D15" s="24" t="str">
        <x:v>tonnes_primary_production_equivalent</x:v>
      </x:c>
    </x:row>
    <x:row r="16" ht="18" customHeight="1">
      <x:c r="A16" s="24" t="str">
        <x:v>EEZ_184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EEZ_184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EEZ_184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EEZ_184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76d625b31b7743a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EEZ_184 - Cook Islands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EEZ_184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raw_data/SAU_downloads/EEZ_184-catch.zip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