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2609fc96e94c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06a8cd1190154b6e"/>
    <x:sheet xmlns:r="http://schemas.openxmlformats.org/officeDocument/2006/relationships" name="Commercial" sheetId="2" r:id="R283150379c6c448c"/>
    <x:sheet xmlns:r="http://schemas.openxmlformats.org/officeDocument/2006/relationships" name="Functional" sheetId="3" r:id="R944d82d4507745f5"/>
    <x:sheet xmlns:r="http://schemas.openxmlformats.org/officeDocument/2006/relationships" name="Missing TL" sheetId="4" r:id="R28bc621835924504"/>
    <x:sheet xmlns:r="http://schemas.openxmlformats.org/officeDocument/2006/relationships" name="Validation" sheetId="5" r:id="Rf9450698489e48b2"/>
    <x:sheet xmlns:r="http://schemas.openxmlformats.org/officeDocument/2006/relationships" name="Metadata" sheetId="6" r:id="R93c6612505fa47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72f4e660cb419f" /><Relationship Type="http://schemas.openxmlformats.org/officeDocument/2006/relationships/theme" Target="/xl/theme/theme1.xml" Id="R5e86457741cb4d7b" /><Relationship Type="http://schemas.microsoft.com/office/2022/11/relationships/FeaturePropertyBag" Target="/xl/featurePropertyBag/featurePropertyBag.xml" Id="R644b0030761c4fc3" /><Relationship Type="http://schemas.openxmlformats.org/officeDocument/2006/relationships/sharedStrings" Target="/xl/sharedStrings.xml" Id="Rcdb615ba054a4bf7" /><Relationship Type="http://schemas.openxmlformats.org/officeDocument/2006/relationships/worksheet" Target="/xl/worksheets/sheet1.xml" Id="R06a8cd1190154b6e" /><Relationship Type="http://schemas.openxmlformats.org/officeDocument/2006/relationships/worksheet" Target="/xl/worksheets/sheet2.xml" Id="R283150379c6c448c" /><Relationship Type="http://schemas.openxmlformats.org/officeDocument/2006/relationships/worksheet" Target="/xl/worksheets/sheet3.xml" Id="R944d82d4507745f5" /><Relationship Type="http://schemas.openxmlformats.org/officeDocument/2006/relationships/worksheet" Target="/xl/worksheets/sheet4.xml" Id="R28bc621835924504" /><Relationship Type="http://schemas.openxmlformats.org/officeDocument/2006/relationships/worksheet" Target="/xl/worksheets/sheet5.xml" Id="Rf9450698489e48b2" /><Relationship Type="http://schemas.openxmlformats.org/officeDocument/2006/relationships/worksheet" Target="/xl/worksheets/sheet6.xml" Id="R93c6612505fa472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844SpeciesTable" displayName="EEZ844SpeciesTable" ref="A1:U18" headerRowCount="1" totalsRowCount="0" totalsRowShown="0">
  <x:autoFilter ref="A1:U18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844CommercialTable" displayName="EEZ844CommercialTable" ref="A1:O5" headerRowCount="1" totalsRowCount="0" totalsRowShown="0">
  <x:autoFilter ref="A1:O5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844FunctionalTable" displayName="EEZ844FunctionalTable" ref="A1:O5" headerRowCount="1" totalsRowCount="0" totalsRowShown="0">
  <x:autoFilter ref="A1:O5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844ValidationTable" displayName="EEZ844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df6fc2f00c34c4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00f8c43b840402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4422465a6dd471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9dedb07dc784a1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EEZ_844</x:v>
      </x:c>
      <x:c r="B2" s="24" t="str">
        <x:v>Palmyra Atoll &amp; Kingman Reef (USA)</x:v>
      </x:c>
      <x:c r="C2" s="24" t="str">
        <x:v>EEZ</x:v>
      </x:c>
      <x:c r="D2" s="30" t="n">
        <x:v>2019</x:v>
      </x:c>
      <x:c r="E2" s="24" t="str">
        <x:v>Katsuwonus pelamis</x:v>
      </x:c>
      <x:c r="F2" s="24" t="str">
        <x:v>Skipjack tuna</x:v>
      </x:c>
      <x:c r="G2" s="24" t="str">
        <x:v>Large pelagics (&gt;=90 cm)</x:v>
      </x:c>
      <x:c r="H2" s="24" t="str">
        <x:v>Tuna &amp; billfishes</x:v>
      </x:c>
      <x:c r="I2" s="31" t="n">
        <x:v>138.5083633263</x:v>
      </x:c>
      <x:c r="J2" s="31" t="n">
        <x:v>138.5083633263</x:v>
      </x:c>
      <x:c r="K2" s="31" t="n">
        <x:v>0</x:v>
      </x:c>
      <x:c r="L2" s="31" t="n">
        <x:v>138.5083633263</x:v>
      </x:c>
      <x:c r="M2" s="31" t="n">
        <x:v>0</x:v>
      </x:c>
      <x:c r="N2" s="24" t="str">
        <x:v>katsuwonus pelamis</x:v>
      </x:c>
      <x:c r="O2" s="32" t="n">
        <x:v>4.43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Katsuwonus pelamis</x:v>
      </x:c>
      <x:c r="T2" s="32" t="n">
        <x:f>IF(O2="","",(1/'Metadata'!$B$5)^(O2-1))</x:f>
        <x:v>2691.534803926914</x:v>
      </x:c>
      <x:c r="U2" s="31" t="n">
        <x:f>IF(T2="","",I2*T2)</x:f>
        <x:v>372800.08052769065</x:v>
      </x:c>
    </x:row>
    <x:row r="3" ht="18" customHeight="1">
      <x:c r="A3" s="24" t="str">
        <x:v>EEZ_844</x:v>
      </x:c>
      <x:c r="B3" s="24" t="str">
        <x:v>Palmyra Atoll &amp; Kingman Reef (USA)</x:v>
      </x:c>
      <x:c r="C3" s="24" t="str">
        <x:v>EEZ</x:v>
      </x:c>
      <x:c r="D3" s="30" t="n">
        <x:v>2019</x:v>
      </x:c>
      <x:c r="E3" s="24" t="str">
        <x:v>Thunnus albacares</x:v>
      </x:c>
      <x:c r="F3" s="24" t="str">
        <x:v>Yellowfin tuna</x:v>
      </x:c>
      <x:c r="G3" s="24" t="str">
        <x:v>Large pelagics (&gt;=90 cm)</x:v>
      </x:c>
      <x:c r="H3" s="24" t="str">
        <x:v>Tuna &amp; billfishes</x:v>
      </x:c>
      <x:c r="I3" s="31" t="n">
        <x:v>34.8686775472</x:v>
      </x:c>
      <x:c r="J3" s="31" t="n">
        <x:v>34.6352185267</x:v>
      </x:c>
      <x:c r="K3" s="31" t="n">
        <x:v>0.2334590205</x:v>
      </x:c>
      <x:c r="L3" s="31" t="n">
        <x:v>34.6352185267</x:v>
      </x:c>
      <x:c r="M3" s="31" t="n">
        <x:v>0.2334590205</x:v>
      </x:c>
      <x:c r="N3" s="24" t="str">
        <x:v>thunnus albacares</x:v>
      </x:c>
      <x:c r="O3" s="32" t="n">
        <x:v>4.41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Thunnus albacares</x:v>
      </x:c>
      <x:c r="T3" s="32" t="n">
        <x:f>IF(O3="","",(1/'Metadata'!$B$5)^(O3-1))</x:f>
        <x:v>2570.3957827688646</x:v>
      </x:c>
      <x:c r="U3" s="31" t="n">
        <x:f>IF(T3="","",I3*T3)</x:f>
        <x:v>89626.30171805028</x:v>
      </x:c>
    </x:row>
    <x:row r="4" ht="18" customHeight="1">
      <x:c r="A4" s="24" t="str">
        <x:v>EEZ_844</x:v>
      </x:c>
      <x:c r="B4" s="24" t="str">
        <x:v>Palmyra Atoll &amp; Kingman Reef (USA)</x:v>
      </x:c>
      <x:c r="C4" s="24" t="str">
        <x:v>EEZ</x:v>
      </x:c>
      <x:c r="D4" s="30" t="n">
        <x:v>2019</x:v>
      </x:c>
      <x:c r="E4" s="24" t="str">
        <x:v>Marine fishes not identified</x:v>
      </x:c>
      <x:c r="F4" s="24" t="str">
        <x:v>Marine fishes nei</x:v>
      </x:c>
      <x:c r="G4" s="24" t="str">
        <x:v>Medium demersals (30 - 89 cm)</x:v>
      </x:c>
      <x:c r="H4" s="24" t="str">
        <x:v>Other fishes &amp; inverts</x:v>
      </x:c>
      <x:c r="I4" s="31" t="n">
        <x:v>28.8237316533</x:v>
      </x:c>
      <x:c r="J4" s="31" t="n">
        <x:v>0</x:v>
      </x:c>
      <x:c r="K4" s="31" t="n">
        <x:v>28.8237316533</x:v>
      </x:c>
      <x:c r="L4" s="31" t="n">
        <x:v>0</x:v>
      </x:c>
      <x:c r="M4" s="31" t="n">
        <x:v>28.8237316533</x:v>
      </x:c>
      <x:c r="N4" s="24" t="str">
        <x:v>marine fishes not identified</x:v>
      </x:c>
      <x:c r="O4" s="32" t="n">
        <x:v>3.28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Marine fishes not identified</x:v>
      </x:c>
      <x:c r="T4" s="32" t="n">
        <x:f>IF(O4="","",(1/'Metadata'!$B$5)^(O4-1))</x:f>
        <x:v>190.54607179632464</x:v>
      </x:c>
      <x:c r="U4" s="31" t="n">
        <x:f>IF(T4="","",I4*T4)</x:f>
        <x:v>5492.248841047697</x:v>
      </x:c>
    </x:row>
    <x:row r="5" ht="18" customHeight="1">
      <x:c r="A5" s="24" t="str">
        <x:v>EEZ_844</x:v>
      </x:c>
      <x:c r="B5" s="24" t="str">
        <x:v>Palmyra Atoll &amp; Kingman Reef (USA)</x:v>
      </x:c>
      <x:c r="C5" s="24" t="str">
        <x:v>EEZ</x:v>
      </x:c>
      <x:c r="D5" s="30" t="n">
        <x:v>2019</x:v>
      </x:c>
      <x:c r="E5" s="24" t="str">
        <x:v>Scombridae</x:v>
      </x:c>
      <x:c r="F5" s="24" t="str">
        <x:v>Mackerels, tunas, bonitos</x:v>
      </x:c>
      <x:c r="G5" s="24" t="str">
        <x:v>Medium pelagics (30 - 89 cm)</x:v>
      </x:c>
      <x:c r="H5" s="24" t="str">
        <x:v>Perch-likes</x:v>
      </x:c>
      <x:c r="I5" s="31" t="n">
        <x:v>18.6186579027</x:v>
      </x:c>
      <x:c r="J5" s="31" t="n">
        <x:v>0</x:v>
      </x:c>
      <x:c r="K5" s="31" t="n">
        <x:v>18.6186579027</x:v>
      </x:c>
      <x:c r="L5" s="31" t="n">
        <x:v>0</x:v>
      </x:c>
      <x:c r="M5" s="31" t="n">
        <x:v>18.6186579027</x:v>
      </x:c>
      <x:c r="N5" s="24" t="str">
        <x:v>scombridae</x:v>
      </x:c>
      <x:c r="O5" s="32" t="n">
        <x:v>4.26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Scombridae</x:v>
      </x:c>
      <x:c r="T5" s="32" t="n">
        <x:f>IF(O5="","",(1/'Metadata'!$B$5)^(O5-1))</x:f>
        <x:v>1819.7008586099826</x:v>
      </x:c>
      <x:c r="U5" s="31" t="n">
        <x:f>IF(T5="","",I5*T5)</x:f>
        <x:v>33880.38777170873</x:v>
      </x:c>
    </x:row>
    <x:row r="6" ht="18" customHeight="1">
      <x:c r="A6" s="24" t="str">
        <x:v>EEZ_844</x:v>
      </x:c>
      <x:c r="B6" s="24" t="str">
        <x:v>Palmyra Atoll &amp; Kingman Reef (USA)</x:v>
      </x:c>
      <x:c r="C6" s="24" t="str">
        <x:v>EEZ</x:v>
      </x:c>
      <x:c r="D6" s="30" t="n">
        <x:v>2019</x:v>
      </x:c>
      <x:c r="E6" s="24" t="str">
        <x:v>Coryphaena hippurus</x:v>
      </x:c>
      <x:c r="F6" s="24" t="str">
        <x:v>Common dolphinfish</x:v>
      </x:c>
      <x:c r="G6" s="24" t="str">
        <x:v>Large pelagics (&gt;=90 cm)</x:v>
      </x:c>
      <x:c r="H6" s="24" t="str">
        <x:v>Perch-likes</x:v>
      </x:c>
      <x:c r="I6" s="31" t="n">
        <x:v>17.8678904434</x:v>
      </x:c>
      <x:c r="J6" s="31" t="n">
        <x:v>0</x:v>
      </x:c>
      <x:c r="K6" s="31" t="n">
        <x:v>17.8678904434</x:v>
      </x:c>
      <x:c r="L6" s="31" t="n">
        <x:v>0</x:v>
      </x:c>
      <x:c r="M6" s="31" t="n">
        <x:v>17.8678904434</x:v>
      </x:c>
      <x:c r="N6" s="24" t="str">
        <x:v>coryphaena hippurus</x:v>
      </x:c>
      <x:c r="O6" s="32" t="n">
        <x:v>4.37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Coryphaena hippurus</x:v>
      </x:c>
      <x:c r="T6" s="32" t="n">
        <x:f>IF(O6="","",(1/'Metadata'!$B$5)^(O6-1))</x:f>
        <x:v>2344.228815319923</x:v>
      </x:c>
      <x:c r="U6" s="31" t="n">
        <x:f>IF(T6="","",I6*T6)</x:f>
        <x:v>41886.42364639776</x:v>
      </x:c>
    </x:row>
    <x:row r="7" ht="18" customHeight="1">
      <x:c r="A7" s="24" t="str">
        <x:v>EEZ_844</x:v>
      </x:c>
      <x:c r="B7" s="24" t="str">
        <x:v>Palmyra Atoll &amp; Kingman Reef (USA)</x:v>
      </x:c>
      <x:c r="C7" s="24" t="str">
        <x:v>EEZ</x:v>
      </x:c>
      <x:c r="D7" s="30" t="n">
        <x:v>2019</x:v>
      </x:c>
      <x:c r="E7" s="24" t="str">
        <x:v>Elasmobranchii</x:v>
      </x:c>
      <x:c r="F7" s="24" t="str">
        <x:v>Sharks, rays, skates</x:v>
      </x:c>
      <x:c r="G7" s="24" t="str">
        <x:v>Large sharks (&gt;=90 cm)</x:v>
      </x:c>
      <x:c r="H7" s="24" t="str">
        <x:v>Sharks &amp; rays</x:v>
      </x:c>
      <x:c r="I7" s="31" t="n">
        <x:v>14.6635951765</x:v>
      </x:c>
      <x:c r="J7" s="31" t="n">
        <x:v>0</x:v>
      </x:c>
      <x:c r="K7" s="31" t="n">
        <x:v>14.6635951765</x:v>
      </x:c>
      <x:c r="L7" s="31" t="n">
        <x:v>0</x:v>
      </x:c>
      <x:c r="M7" s="31" t="n">
        <x:v>14.6635951765</x:v>
      </x:c>
      <x:c r="N7" s="24" t="str">
        <x:v>elasmobranchii</x:v>
      </x:c>
      <x:c r="O7" s="32" t="n">
        <x:v>4.05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Elasmobranchii</x:v>
      </x:c>
      <x:c r="T7" s="32" t="n">
        <x:f>IF(O7="","",(1/'Metadata'!$B$5)^(O7-1))</x:f>
        <x:v>1122.018454301963</x:v>
      </x:c>
      <x:c r="U7" s="31" t="n">
        <x:f>IF(T7="","",I7*T7)</x:f>
        <x:v>16452.82439444625</x:v>
      </x:c>
    </x:row>
    <x:row r="8" ht="18" customHeight="1">
      <x:c r="A8" s="24" t="str">
        <x:v>EEZ_844</x:v>
      </x:c>
      <x:c r="B8" s="24" t="str">
        <x:v>Palmyra Atoll &amp; Kingman Reef (USA)</x:v>
      </x:c>
      <x:c r="C8" s="24" t="str">
        <x:v>EEZ</x:v>
      </x:c>
      <x:c r="D8" s="30" t="n">
        <x:v>2019</x:v>
      </x:c>
      <x:c r="E8" s="24" t="str">
        <x:v>Thunnus obesus</x:v>
      </x:c>
      <x:c r="F8" s="24" t="str">
        <x:v>Bigeye tuna</x:v>
      </x:c>
      <x:c r="G8" s="24" t="str">
        <x:v>Large pelagics (&gt;=90 cm)</x:v>
      </x:c>
      <x:c r="H8" s="24" t="str">
        <x:v>Tuna &amp; billfishes</x:v>
      </x:c>
      <x:c r="I8" s="31" t="n">
        <x:v>14.2383242422</x:v>
      </x:c>
      <x:c r="J8" s="31" t="n">
        <x:v>13.384373030399999</x:v>
      </x:c>
      <x:c r="K8" s="31" t="n">
        <x:v>0.8539512118</x:v>
      </x:c>
      <x:c r="L8" s="31" t="n">
        <x:v>13.384373030399999</x:v>
      </x:c>
      <x:c r="M8" s="31" t="n">
        <x:v>0.8539512118</x:v>
      </x:c>
      <x:c r="N8" s="24" t="str">
        <x:v>thunnus obesus</x:v>
      </x:c>
      <x:c r="O8" s="32" t="n">
        <x:v>4.49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Thunnus obesus</x:v>
      </x:c>
      <x:c r="T8" s="32" t="n">
        <x:f>IF(O8="","",(1/'Metadata'!$B$5)^(O8-1))</x:f>
        <x:v>3090.295432513592</x:v>
      </x:c>
      <x:c r="U8" s="31" t="n">
        <x:f>IF(T8="","",I8*T8)</x:f>
        <x:v>44000.628372318206</x:v>
      </x:c>
    </x:row>
    <x:row r="9" ht="18" customHeight="1">
      <x:c r="A9" s="24" t="str">
        <x:v>EEZ_844</x:v>
      </x:c>
      <x:c r="B9" s="24" t="str">
        <x:v>Palmyra Atoll &amp; Kingman Reef (USA)</x:v>
      </x:c>
      <x:c r="C9" s="24" t="str">
        <x:v>EEZ</x:v>
      </x:c>
      <x:c r="D9" s="30" t="n">
        <x:v>2019</x:v>
      </x:c>
      <x:c r="E9" s="24" t="str">
        <x:v>Carangidae</x:v>
      </x:c>
      <x:c r="F9" s="24" t="str">
        <x:v>Jacks, pompanos</x:v>
      </x:c>
      <x:c r="G9" s="24" t="str">
        <x:v>Medium pelagics (30 - 89 cm)</x:v>
      </x:c>
      <x:c r="H9" s="24" t="str">
        <x:v>Perch-likes</x:v>
      </x:c>
      <x:c r="I9" s="31" t="n">
        <x:v>6.5006754206</x:v>
      </x:c>
      <x:c r="J9" s="31" t="n">
        <x:v>0</x:v>
      </x:c>
      <x:c r="K9" s="31" t="n">
        <x:v>6.5006754206</x:v>
      </x:c>
      <x:c r="L9" s="31" t="n">
        <x:v>0</x:v>
      </x:c>
      <x:c r="M9" s="31" t="n">
        <x:v>6.5006754206</x:v>
      </x:c>
      <x:c r="N9" s="24" t="str">
        <x:v>carangidae</x:v>
      </x:c>
      <x:c r="O9" s="32" t="n">
        <x:v>4.05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Carangidae</x:v>
      </x:c>
      <x:c r="T9" s="32" t="n">
        <x:f>IF(O9="","",(1/'Metadata'!$B$5)^(O9-1))</x:f>
        <x:v>1122.018454301963</x:v>
      </x:c>
      <x:c r="U9" s="31" t="n">
        <x:f>IF(T9="","",I9*T9)</x:f>
        <x:v>7293.877787340375</x:v>
      </x:c>
    </x:row>
    <x:row r="10" ht="18" customHeight="1">
      <x:c r="A10" s="24" t="str">
        <x:v>EEZ_844</x:v>
      </x:c>
      <x:c r="B10" s="24" t="str">
        <x:v>Palmyra Atoll &amp; Kingman Reef (USA)</x:v>
      </x:c>
      <x:c r="C10" s="24" t="str">
        <x:v>EEZ</x:v>
      </x:c>
      <x:c r="D10" s="30" t="n">
        <x:v>2019</x:v>
      </x:c>
      <x:c r="E10" s="24" t="str">
        <x:v>Istiophoridae</x:v>
      </x:c>
      <x:c r="F10" s="24" t="str">
        <x:v>Billfishes</x:v>
      </x:c>
      <x:c r="G10" s="24" t="str">
        <x:v>Large pelagics (&gt;=90 cm)</x:v>
      </x:c>
      <x:c r="H10" s="24" t="str">
        <x:v>Tuna &amp; billfishes</x:v>
      </x:c>
      <x:c r="I10" s="31" t="n">
        <x:v>4.0528085932</x:v>
      </x:c>
      <x:c r="J10" s="31" t="n">
        <x:v>0</x:v>
      </x:c>
      <x:c r="K10" s="31" t="n">
        <x:v>4.0528085932</x:v>
      </x:c>
      <x:c r="L10" s="31" t="n">
        <x:v>0</x:v>
      </x:c>
      <x:c r="M10" s="31" t="n">
        <x:v>4.0528085932</x:v>
      </x:c>
      <x:c r="N10" s="24" t="str">
        <x:v>istiophoridae</x:v>
      </x:c>
      <x:c r="O10" s="32" t="n">
        <x:v>4.48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Istiophoridae</x:v>
      </x:c>
      <x:c r="T10" s="32" t="n">
        <x:f>IF(O10="","",(1/'Metadata'!$B$5)^(O10-1))</x:f>
        <x:v>3019.951720402019</x:v>
      </x:c>
      <x:c r="U10" s="31" t="n">
        <x:f>IF(T10="","",I10*T10)</x:f>
        <x:v>12239.286283494426</x:v>
      </x:c>
    </x:row>
    <x:row r="11" ht="18" customHeight="1">
      <x:c r="A11" s="24" t="str">
        <x:v>EEZ_844</x:v>
      </x:c>
      <x:c r="B11" s="24" t="str">
        <x:v>Palmyra Atoll &amp; Kingman Reef (USA)</x:v>
      </x:c>
      <x:c r="C11" s="24" t="str">
        <x:v>EEZ</x:v>
      </x:c>
      <x:c r="D11" s="30" t="n">
        <x:v>2019</x:v>
      </x:c>
      <x:c r="E11" s="24" t="str">
        <x:v>Prionace glauca</x:v>
      </x:c>
      <x:c r="F11" s="24" t="str">
        <x:v>Blue shark</x:v>
      </x:c>
      <x:c r="G11" s="24" t="str">
        <x:v>Large sharks (&gt;=90 cm)</x:v>
      </x:c>
      <x:c r="H11" s="24" t="str">
        <x:v>Sharks &amp; rays</x:v>
      </x:c>
      <x:c r="I11" s="31" t="n">
        <x:v>1.5545636446</x:v>
      </x:c>
      <x:c r="J11" s="31" t="n">
        <x:v>0</x:v>
      </x:c>
      <x:c r="K11" s="31" t="n">
        <x:v>1.5545636446</x:v>
      </x:c>
      <x:c r="L11" s="31" t="n">
        <x:v>0</x:v>
      </x:c>
      <x:c r="M11" s="31" t="n">
        <x:v>1.5545636446</x:v>
      </x:c>
      <x:c r="N11" s="24" t="str">
        <x:v>prionace glauca</x:v>
      </x:c>
      <x:c r="O11" s="32" t="n">
        <x:v>4.35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Prionace glauca</x:v>
      </x:c>
      <x:c r="T11" s="32" t="n">
        <x:f>IF(O11="","",(1/'Metadata'!$B$5)^(O11-1))</x:f>
        <x:v>2238.7211385683377</x:v>
      </x:c>
      <x:c r="U11" s="31" t="n">
        <x:f>IF(T11="","",I11*T11)</x:f>
        <x:v>3480.2344924158565</x:v>
      </x:c>
    </x:row>
    <x:row r="12" ht="18" customHeight="1">
      <x:c r="A12" s="24" t="str">
        <x:v>EEZ_844</x:v>
      </x:c>
      <x:c r="B12" s="24" t="str">
        <x:v>Palmyra Atoll &amp; Kingman Reef (USA)</x:v>
      </x:c>
      <x:c r="C12" s="24" t="str">
        <x:v>EEZ</x:v>
      </x:c>
      <x:c r="D12" s="30" t="n">
        <x:v>2019</x:v>
      </x:c>
      <x:c r="E12" s="24" t="str">
        <x:v>Marine pelagic fishes not identified</x:v>
      </x:c>
      <x:c r="F12" s="24" t="str">
        <x:v>Pelagic fishes</x:v>
      </x:c>
      <x:c r="G12" s="24" t="str">
        <x:v>Medium pelagics (30 - 89 cm)</x:v>
      </x:c>
      <x:c r="H12" s="24" t="str">
        <x:v>Other fishes &amp; inverts</x:v>
      </x:c>
      <x:c r="I12" s="31" t="n">
        <x:v>0.43854076779999995</x:v>
      </x:c>
      <x:c r="J12" s="31" t="n">
        <x:v>0.40916903179999997</x:v>
      </x:c>
      <x:c r="K12" s="31" t="n">
        <x:v>0.029371736</x:v>
      </x:c>
      <x:c r="L12" s="31" t="n">
        <x:v>0.40916903179999997</x:v>
      </x:c>
      <x:c r="M12" s="31" t="n">
        <x:v>0.029371736</x:v>
      </x:c>
      <x:c r="N12" s="24" t="str">
        <x:v>marine pelagic fishes not identified</x:v>
      </x:c>
      <x:c r="O12" s="32" t="n">
        <x:v>3.35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Marine pelagic fishes not identified</x:v>
      </x:c>
      <x:c r="T12" s="32" t="n">
        <x:f>IF(O12="","",(1/'Metadata'!$B$5)^(O12-1))</x:f>
        <x:v>223.872113856834</x:v>
      </x:c>
      <x:c r="U12" s="31" t="n">
        <x:f>IF(T12="","",I12*T12)</x:f>
        <x:v>98.17704869978499</x:v>
      </x:c>
    </x:row>
    <x:row r="13" ht="18" customHeight="1">
      <x:c r="A13" s="24" t="str">
        <x:v>EEZ_844</x:v>
      </x:c>
      <x:c r="B13" s="24" t="str">
        <x:v>Palmyra Atoll &amp; Kingman Reef (USA)</x:v>
      </x:c>
      <x:c r="C13" s="24" t="str">
        <x:v>EEZ</x:v>
      </x:c>
      <x:c r="D13" s="30" t="n">
        <x:v>2019</x:v>
      </x:c>
      <x:c r="E13" s="24" t="str">
        <x:v>Xiphias gladius</x:v>
      </x:c>
      <x:c r="F13" s="24" t="str">
        <x:v>Swordfish</x:v>
      </x:c>
      <x:c r="G13" s="24" t="str">
        <x:v>Large pelagics (&gt;=90 cm)</x:v>
      </x:c>
      <x:c r="H13" s="24" t="str">
        <x:v>Tuna &amp; billfishes</x:v>
      </x:c>
      <x:c r="I13" s="31" t="n">
        <x:v>0.2930843386</x:v>
      </x:c>
      <x:c r="J13" s="31" t="n">
        <x:v>0.1763479481</x:v>
      </x:c>
      <x:c r="K13" s="31" t="n">
        <x:v>0.1167363905</x:v>
      </x:c>
      <x:c r="L13" s="31" t="n">
        <x:v>0.1763479481</x:v>
      </x:c>
      <x:c r="M13" s="31" t="n">
        <x:v>0.1167363905</x:v>
      </x:c>
      <x:c r="N13" s="24" t="str">
        <x:v>xiphias gladius</x:v>
      </x:c>
      <x:c r="O13" s="32" t="n">
        <x:v>4.53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Xiphias gladius</x:v>
      </x:c>
      <x:c r="T13" s="32" t="n">
        <x:f>IF(O13="","",(1/'Metadata'!$B$5)^(O13-1))</x:f>
        <x:v>3388.4415613920273</x:v>
      </x:c>
      <x:c r="U13" s="31" t="n">
        <x:f>IF(T13="","",I13*T13)</x:f>
        <x:v>993.0991539053337</x:v>
      </x:c>
    </x:row>
    <x:row r="14" ht="18" customHeight="1">
      <x:c r="A14" s="24" t="str">
        <x:v>EEZ_844</x:v>
      </x:c>
      <x:c r="B14" s="24" t="str">
        <x:v>Palmyra Atoll &amp; Kingman Reef (USA)</x:v>
      </x:c>
      <x:c r="C14" s="24" t="str">
        <x:v>EEZ</x:v>
      </x:c>
      <x:c r="D14" s="30" t="n">
        <x:v>2019</x:v>
      </x:c>
      <x:c r="E14" s="24" t="str">
        <x:v>Isurus</x:v>
      </x:c>
      <x:c r="F14" s="24" t="str">
        <x:v>Mako sharks</x:v>
      </x:c>
      <x:c r="G14" s="24" t="str">
        <x:v>Large sharks (&gt;=90 cm)</x:v>
      </x:c>
      <x:c r="H14" s="24" t="str">
        <x:v>Sharks &amp; rays</x:v>
      </x:c>
      <x:c r="I14" s="31" t="n">
        <x:v>0.0755347643</x:v>
      </x:c>
      <x:c r="J14" s="31" t="n">
        <x:v>0.0074850541</x:v>
      </x:c>
      <x:c r="K14" s="31" t="n">
        <x:v>0.0680497102</x:v>
      </x:c>
      <x:c r="L14" s="31" t="n">
        <x:v>0.0074850541</x:v>
      </x:c>
      <x:c r="M14" s="31" t="n">
        <x:v>0.0680497102</x:v>
      </x:c>
      <x:c r="N14" s="24" t="str">
        <x:v>isurus</x:v>
      </x:c>
      <x:c r="O14" s="32" t="n">
        <x:v>4.5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Isurus</x:v>
      </x:c>
      <x:c r="T14" s="32" t="n">
        <x:f>IF(O14="","",(1/'Metadata'!$B$5)^(O14-1))</x:f>
        <x:v>3162.2776601683795</x:v>
      </x:c>
      <x:c r="U14" s="31" t="n">
        <x:f>IF(T14="","",I14*T14)</x:f>
        <x:v>238.86189771197405</x:v>
      </x:c>
    </x:row>
    <x:row r="15" ht="18" customHeight="1">
      <x:c r="A15" s="24" t="str">
        <x:v>EEZ_844</x:v>
      </x:c>
      <x:c r="B15" s="24" t="str">
        <x:v>Palmyra Atoll &amp; Kingman Reef (USA)</x:v>
      </x:c>
      <x:c r="C15" s="24" t="str">
        <x:v>EEZ</x:v>
      </x:c>
      <x:c r="D15" s="30" t="n">
        <x:v>2019</x:v>
      </x:c>
      <x:c r="E15" s="24" t="str">
        <x:v>Kajikia audax</x:v>
      </x:c>
      <x:c r="F15" s="24" t="str">
        <x:v>Striped marlin</x:v>
      </x:c>
      <x:c r="G15" s="24" t="str">
        <x:v>Large pelagics (&gt;=90 cm)</x:v>
      </x:c>
      <x:c r="H15" s="24" t="str">
        <x:v>Tuna &amp; billfishes</x:v>
      </x:c>
      <x:c r="I15" s="31" t="n">
        <x:v>0.052678865500000005</x:v>
      </x:c>
      <x:c r="J15" s="31" t="n">
        <x:v>0.052678865500000005</x:v>
      </x:c>
      <x:c r="K15" s="31" t="n">
        <x:v>0</x:v>
      </x:c>
      <x:c r="L15" s="31" t="n">
        <x:v>0.052678865500000005</x:v>
      </x:c>
      <x:c r="M15" s="31" t="n">
        <x:v>0</x:v>
      </x:c>
      <x:c r="N15" s="24" t="str">
        <x:v>kajikia audax</x:v>
      </x:c>
      <x:c r="O15" s="32" t="n">
        <x:v>4.58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Kajikia audax</x:v>
      </x:c>
      <x:c r="T15" s="32" t="n">
        <x:f>IF(O15="","",(1/'Metadata'!$B$5)^(O15-1))</x:f>
        <x:v>3801.8939632056126</x:v>
      </x:c>
      <x:c r="U15" s="31" t="n">
        <x:f>IF(T15="","",I15*T15)</x:f>
        <x:v>200.27946073297045</x:v>
      </x:c>
    </x:row>
    <x:row r="16" ht="18" customHeight="1">
      <x:c r="A16" s="24" t="str">
        <x:v>EEZ_844</x:v>
      </x:c>
      <x:c r="B16" s="24" t="str">
        <x:v>Palmyra Atoll &amp; Kingman Reef (USA)</x:v>
      </x:c>
      <x:c r="C16" s="24" t="str">
        <x:v>EEZ</x:v>
      </x:c>
      <x:c r="D16" s="30" t="n">
        <x:v>2019</x:v>
      </x:c>
      <x:c r="E16" s="24" t="str">
        <x:v>Thunnus alalunga</x:v>
      </x:c>
      <x:c r="F16" s="24" t="str">
        <x:v>Albacore</x:v>
      </x:c>
      <x:c r="G16" s="24" t="str">
        <x:v>Large pelagics (&gt;=90 cm)</x:v>
      </x:c>
      <x:c r="H16" s="24" t="str">
        <x:v>Tuna &amp; billfishes</x:v>
      </x:c>
      <x:c r="I16" s="31" t="n">
        <x:v>0.0257880045</x:v>
      </x:c>
      <x:c r="J16" s="31" t="n">
        <x:v>0.0257880045</x:v>
      </x:c>
      <x:c r="K16" s="31" t="n">
        <x:v>0</x:v>
      </x:c>
      <x:c r="L16" s="31" t="n">
        <x:v>0.0257880045</x:v>
      </x:c>
      <x:c r="M16" s="31" t="n">
        <x:v>0</x:v>
      </x:c>
      <x:c r="N16" s="24" t="str">
        <x:v>thunnus alalunga</x:v>
      </x:c>
      <x:c r="O16" s="32" t="n">
        <x:v>4.3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Thunnus alalunga</x:v>
      </x:c>
      <x:c r="T16" s="32" t="n">
        <x:f>IF(O16="","",(1/'Metadata'!$B$5)^(O16-1))</x:f>
        <x:v>1995.2623149688789</x:v>
      </x:c>
      <x:c r="U16" s="31" t="n">
        <x:f>IF(T16="","",I16*T16)</x:f>
        <x:v>51.453833557097866</x:v>
      </x:c>
    </x:row>
    <x:row r="17" ht="18" customHeight="1">
      <x:c r="A17" s="24" t="str">
        <x:v>EEZ_844</x:v>
      </x:c>
      <x:c r="B17" s="24" t="str">
        <x:v>Palmyra Atoll &amp; Kingman Reef (USA)</x:v>
      </x:c>
      <x:c r="C17" s="24" t="str">
        <x:v>EEZ</x:v>
      </x:c>
      <x:c r="D17" s="30" t="n">
        <x:v>2019</x:v>
      </x:c>
      <x:c r="E17" s="24" t="str">
        <x:v>Istiompax indica</x:v>
      </x:c>
      <x:c r="F17" s="24" t="str">
        <x:v>Black marlin</x:v>
      </x:c>
      <x:c r="G17" s="24" t="str">
        <x:v>Large pelagics (&gt;=90 cm)</x:v>
      </x:c>
      <x:c r="H17" s="24" t="str">
        <x:v>Tuna &amp; billfishes</x:v>
      </x:c>
      <x:c r="I17" s="31" t="n">
        <x:v>0.0120925579</x:v>
      </x:c>
      <x:c r="J17" s="31" t="n">
        <x:v>0.0120925579</x:v>
      </x:c>
      <x:c r="K17" s="31" t="n">
        <x:v>0</x:v>
      </x:c>
      <x:c r="L17" s="31" t="n">
        <x:v>0.0120925579</x:v>
      </x:c>
      <x:c r="M17" s="31" t="n">
        <x:v>0</x:v>
      </x:c>
      <x:c r="N17" s="24" t="str">
        <x:v>istiompax indica</x:v>
      </x:c>
      <x:c r="O17" s="32" t="n">
        <x:v>4.5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Istiompax indica</x:v>
      </x:c>
      <x:c r="T17" s="32" t="n">
        <x:f>IF(O17="","",(1/'Metadata'!$B$5)^(O17-1))</x:f>
        <x:v>3162.2776601683795</x:v>
      </x:c>
      <x:c r="U17" s="31" t="n">
        <x:f>IF(T17="","",I17*T17)</x:f>
        <x:v>38.240025701462656</x:v>
      </x:c>
    </x:row>
    <x:row r="18" ht="18" customHeight="1">
      <x:c r="A18" s="24" t="str">
        <x:v>EEZ_844</x:v>
      </x:c>
      <x:c r="B18" s="24" t="str">
        <x:v>Palmyra Atoll &amp; Kingman Reef (USA)</x:v>
      </x:c>
      <x:c r="C18" s="24" t="str">
        <x:v>EEZ</x:v>
      </x:c>
      <x:c r="D18" s="30" t="n">
        <x:v>2019</x:v>
      </x:c>
      <x:c r="E18" s="24" t="str">
        <x:v>Alopias</x:v>
      </x:c>
      <x:c r="F18" s="24" t="str">
        <x:v>Thresher sharks</x:v>
      </x:c>
      <x:c r="G18" s="24" t="str">
        <x:v>Large sharks (&gt;=90 cm)</x:v>
      </x:c>
      <x:c r="H18" s="24" t="str">
        <x:v>Sharks &amp; rays</x:v>
      </x:c>
      <x:c r="I18" s="31" t="n">
        <x:v>0.0011330087</x:v>
      </x:c>
      <x:c r="J18" s="31" t="n">
        <x:v>0.0011330087</x:v>
      </x:c>
      <x:c r="K18" s="31" t="n">
        <x:v>0</x:v>
      </x:c>
      <x:c r="L18" s="31" t="n">
        <x:v>0.0011330087</x:v>
      </x:c>
      <x:c r="M18" s="31" t="n">
        <x:v>0</x:v>
      </x:c>
      <x:c r="N18" s="24" t="str">
        <x:v>alopias</x:v>
      </x:c>
      <x:c r="O18" s="32" t="n">
        <x:v>4.5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Alopias</x:v>
      </x:c>
      <x:c r="T18" s="32" t="n">
        <x:f>IF(O18="","",(1/'Metadata'!$B$5)^(O18-1))</x:f>
        <x:v>3162.2776601683795</x:v>
      </x:c>
      <x:c r="U18" s="31" t="n">
        <x:f>IF(T18="","",I18*T18)</x:f>
        <x:v>3.5828881007864175</x:v>
      </x:c>
    </x:row>
  </x:sheetData>
  <x:conditionalFormatting sqref="R2:R18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0df6fc2f00c34c4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Other fishes &amp; inverts</x:v>
      </x:c>
      <x:c r="B2" s="33" t="n">
        <x:v>2</x:v>
      </x:c>
      <x:c r="C2" s="33" t="n">
        <x:v>2</x:v>
      </x:c>
      <x:c r="D2" s="31" t="n">
        <x:v>29.2622724211</x:v>
      </x:c>
      <x:c r="E2" s="31" t="n">
        <x:v>29.2622724211</x:v>
      </x:c>
      <x:c r="F2" s="32" t="n">
        <x:v>0</x:v>
      </x:c>
      <x:c r="G2" s="34" t="n">
        <x:v>1</x:v>
      </x:c>
      <x:c r="H2" s="32" t="n">
        <x:f>IF(E2=0,"",I2/E2)</x:f>
        <x:v>191.0455144869891</x:v>
      </x:c>
      <x:c r="I2" s="31" t="n">
        <x:f>IF(C2=0,"",SUMIF('Species'!$H$2:$H$18,A2,'Species'!$U$2:$U$18))</x:f>
        <x:v>5590.425889747482</x:v>
      </x:c>
      <x:c r="J2" s="32" t="n">
        <x:v>3.2810490591196833</x:v>
      </x:c>
      <x:c r="K2" s="32" t="n">
        <x:f>IF(J2="","",(1/'Metadata'!$B$5)^(J2-1))</x:f>
        <x:v>191.00690131193318</x:v>
      </x:c>
      <x:c r="L2" s="31" t="n">
        <x:f>IF(E2=0,"",E2*K2)</x:f>
        <x:v>5589.295980499952</x:v>
      </x:c>
      <x:c r="M2" s="31" t="n">
        <x:f>IF(E2=0,"",I2-L2)</x:f>
        <x:v>1.1299092475301222</x:v>
      </x:c>
      <x:c r="N2" s="32" t="n">
        <x:f>IF(L2=0,"",I2/L2)</x:f>
        <x:v>1.0002021559157848</x:v>
      </x:c>
      <x:c r="O2" s="34" t="n">
        <x:f>IF(L2=0,"",M2/L2)</x:f>
        <x:v>0.00020215591578477368</x:v>
      </x:c>
    </x:row>
    <x:row r="3" ht="18" customHeight="1">
      <x:c r="A3" s="24" t="str">
        <x:v>Perch-likes</x:v>
      </x:c>
      <x:c r="B3" s="33" t="n">
        <x:v>3</x:v>
      </x:c>
      <x:c r="C3" s="33" t="n">
        <x:v>3</x:v>
      </x:c>
      <x:c r="D3" s="31" t="n">
        <x:v>42.9872237667</x:v>
      </x:c>
      <x:c r="E3" s="31" t="n">
        <x:v>42.9872237667</x:v>
      </x:c>
      <x:c r="F3" s="32" t="n">
        <x:v>0</x:v>
      </x:c>
      <x:c r="G3" s="34" t="n">
        <x:v>1</x:v>
      </x:c>
      <x:c r="H3" s="32" t="n">
        <x:f>IF(E3=0,"",I3/E3)</x:f>
        <x:v>1932.2180389278763</x:v>
      </x:c>
      <x:c r="I3" s="31" t="n">
        <x:f>IF(C3=0,"",SUMIF('Species'!$H$2:$H$18,A3,'Species'!$U$2:$U$18))</x:f>
        <x:v>83060.68920544686</x:v>
      </x:c>
      <x:c r="J3" s="32" t="n">
        <x:v>4.27396522170648</x:v>
      </x:c>
      <x:c r="K3" s="32" t="n">
        <x:f>IF(J3="","",(1/'Metadata'!$B$5)^(J3-1))</x:f>
        <x:v>1879.1663271754387</x:v>
      </x:c>
      <x:c r="L3" s="31" t="n">
        <x:f>IF(E3=0,"",E3*K3)</x:f>
        <x:v>80780.14340113837</x:v>
      </x:c>
      <x:c r="M3" s="31" t="n">
        <x:f>IF(E3=0,"",I3-L3)</x:f>
        <x:v>2280.5458043084946</x:v>
      </x:c>
      <x:c r="N3" s="32" t="n">
        <x:f>IF(L3=0,"",I3/L3)</x:f>
        <x:v>1.0282315146803311</x:v>
      </x:c>
      <x:c r="O3" s="34" t="n">
        <x:f>IF(L3=0,"",M3/L3)</x:f>
        <x:v>0.028231514680331166</x:v>
      </x:c>
    </x:row>
    <x:row r="4" ht="18" customHeight="1">
      <x:c r="A4" s="24" t="str">
        <x:v>Sharks &amp; rays</x:v>
      </x:c>
      <x:c r="B4" s="33" t="n">
        <x:v>4</x:v>
      </x:c>
      <x:c r="C4" s="33" t="n">
        <x:v>4</x:v>
      </x:c>
      <x:c r="D4" s="31" t="n">
        <x:v>16.294826594099995</x:v>
      </x:c>
      <x:c r="E4" s="31" t="n">
        <x:v>16.294826594099995</x:v>
      </x:c>
      <x:c r="F4" s="32" t="n">
        <x:v>0</x:v>
      </x:c>
      <x:c r="G4" s="34" t="n">
        <x:v>1</x:v>
      </x:c>
      <x:c r="H4" s="32" t="n">
        <x:f>IF(E4=0,"",I4/E4)</x:f>
        <x:v>1238.1539353097492</x:v>
      </x:c>
      <x:c r="I4" s="31" t="n">
        <x:f>IF(C4=0,"",SUMIF('Species'!$H$2:$H$18,A4,'Species'!$U$2:$U$18))</x:f>
        <x:v>20175.503672674866</x:v>
      </x:c>
      <x:c r="J4" s="32" t="n">
        <x:v>4.080737951603079</x:v>
      </x:c>
      <x:c r="K4" s="32" t="n">
        <x:f>IF(J4="","",(1/'Metadata'!$B$5)^(J4-1))</x:f>
        <x:v>1204.3090545826494</x:v>
      </x:c>
      <x:c r="L4" s="31" t="n">
        <x:f>IF(E4=0,"",E4*K4)</x:f>
        <x:v>19624.007210128777</x:v>
      </x:c>
      <x:c r="M4" s="31" t="n">
        <x:f>IF(E4=0,"",I4-L4)</x:f>
        <x:v>551.4964625460889</x:v>
      </x:c>
      <x:c r="N4" s="32" t="n">
        <x:f>IF(L4=0,"",I4/L4)</x:f>
        <x:v>1.028103152258395</x:v>
      </x:c>
      <x:c r="O4" s="34" t="n">
        <x:f>IF(L4=0,"",M4/L4)</x:f>
        <x:v>0.028103152258394926</x:v>
      </x:c>
    </x:row>
    <x:row r="5" ht="18" customHeight="1">
      <x:c r="A5" s="24" t="str">
        <x:v>Tuna &amp; billfishes</x:v>
      </x:c>
      <x:c r="B5" s="33" t="n">
        <x:v>8</x:v>
      </x:c>
      <x:c r="C5" s="33" t="n">
        <x:v>8</x:v>
      </x:c>
      <x:c r="D5" s="31" t="n">
        <x:v>192.05181747540001</x:v>
      </x:c>
      <x:c r="E5" s="31" t="n">
        <x:v>192.05181747540001</x:v>
      </x:c>
      <x:c r="F5" s="32" t="n">
        <x:v>0</x:v>
      </x:c>
      <x:c r="G5" s="34" t="n">
        <x:v>1</x:v>
      </x:c>
      <x:c r="H5" s="32" t="n">
        <x:f>IF(E5=0,"",I5/E5)</x:f>
        <x:v>2707.338968255538</x:v>
      </x:c>
      <x:c r="I5" s="31" t="n">
        <x:f>IF(C5=0,"",SUMIF('Species'!$H$2:$H$18,A5,'Species'!$U$2:$U$18))</x:f>
        <x:v>519949.3693754504</x:v>
      </x:c>
      <x:c r="J5" s="32" t="n">
        <x:v>4.4320529388400685</x:v>
      </x:c>
      <x:c r="K5" s="32" t="n">
        <x:f>IF(J5="","",(1/'Metadata'!$B$5)^(J5-1))</x:f>
        <x:v>2704.2879864045167</x:v>
      </x:c>
      <x:c r="L5" s="31" t="n">
        <x:f>IF(E5=0,"",E5*K5)</x:f>
        <x:v>519363.4227658773</x:v>
      </x:c>
      <x:c r="M5" s="31" t="n">
        <x:f>IF(E5=0,"",I5-L5)</x:f>
        <x:v>585.9466095731477</x:v>
      </x:c>
      <x:c r="N5" s="32" t="n">
        <x:f>IF(L5=0,"",I5/L5)</x:f>
        <x:v>1.0011282015326621</x:v>
      </x:c>
      <x:c r="O5" s="34" t="n">
        <x:f>IF(L5=0,"",M5/L5)</x:f>
        <x:v>0.0011282015326621979</x:v>
      </x:c>
    </x:row>
  </x:sheetData>
  <x:conditionalFormatting sqref="G2:G5">
    <x:cfRule type="cellIs" dxfId="1" priority="1" operator="lessThan">
      <x:formula>0.9</x:formula>
    </x:cfRule>
  </x:conditionalFormatting>
  <x:conditionalFormatting sqref="O2:O5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600f8c43b840402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Large pelagics (&gt;=90 cm)</x:v>
      </x:c>
      <x:c r="B2" s="33" t="n">
        <x:v>9</x:v>
      </x:c>
      <x:c r="C2" s="33" t="n">
        <x:v>9</x:v>
      </x:c>
      <x:c r="D2" s="31" t="n">
        <x:v>209.91970791880001</x:v>
      </x:c>
      <x:c r="E2" s="31" t="n">
        <x:v>209.91970791880001</x:v>
      </x:c>
      <x:c r="F2" s="32" t="n">
        <x:v>0</x:v>
      </x:c>
      <x:c r="G2" s="34" t="n">
        <x:v>1</x:v>
      </x:c>
      <x:c r="H2" s="32" t="n">
        <x:f>IF(E2=0,"",I2/E2)</x:f>
        <x:v>2676.431853836107</x:v>
      </x:c>
      <x:c r="I2" s="31" t="n">
        <x:f>IF(C2=0,"",SUMIF('Species'!$G$2:$G$18,A2,'Species'!$U$2:$U$18))</x:f>
        <x:v>561835.7930218481</x:v>
      </x:c>
      <x:c r="J2" s="32" t="n">
        <x:v>4.426771133125504</x:v>
      </x:c>
      <x:c r="K2" s="32" t="n">
        <x:f>IF(J2="","",(1/'Metadata'!$B$5)^(J2-1))</x:f>
        <x:v>2671.598144268864</x:v>
      </x:c>
      <x:c r="L2" s="31" t="n">
        <x:f>IF(E2=0,"",E2*K2)</x:f>
        <x:v>560821.1021213281</x:v>
      </x:c>
      <x:c r="M2" s="31" t="n">
        <x:f>IF(E2=0,"",I2-L2)</x:f>
        <x:v>1014.6909005199559</x:v>
      </x:c>
      <x:c r="N2" s="32" t="n">
        <x:f>IF(L2=0,"",I2/L2)</x:f>
        <x:v>1.0018092951507742</x:v>
      </x:c>
      <x:c r="O2" s="34" t="n">
        <x:f>IF(L2=0,"",M2/L2)</x:f>
        <x:v>0.0018092951507741903</x:v>
      </x:c>
    </x:row>
    <x:row r="3" ht="18" customHeight="1">
      <x:c r="A3" s="24" t="str">
        <x:v>Large sharks (&gt;=90 cm)</x:v>
      </x:c>
      <x:c r="B3" s="33" t="n">
        <x:v>4</x:v>
      </x:c>
      <x:c r="C3" s="33" t="n">
        <x:v>4</x:v>
      </x:c>
      <x:c r="D3" s="31" t="n">
        <x:v>16.294826594099995</x:v>
      </x:c>
      <x:c r="E3" s="31" t="n">
        <x:v>16.294826594099995</x:v>
      </x:c>
      <x:c r="F3" s="32" t="n">
        <x:v>0</x:v>
      </x:c>
      <x:c r="G3" s="34" t="n">
        <x:v>1</x:v>
      </x:c>
      <x:c r="H3" s="32" t="n">
        <x:f>IF(E3=0,"",I3/E3)</x:f>
        <x:v>1238.1539353097492</x:v>
      </x:c>
      <x:c r="I3" s="31" t="n">
        <x:f>IF(C3=0,"",SUMIF('Species'!$G$2:$G$18,A3,'Species'!$U$2:$U$18))</x:f>
        <x:v>20175.503672674866</x:v>
      </x:c>
      <x:c r="J3" s="32" t="n">
        <x:v>4.080737951603079</x:v>
      </x:c>
      <x:c r="K3" s="32" t="n">
        <x:f>IF(J3="","",(1/'Metadata'!$B$5)^(J3-1))</x:f>
        <x:v>1204.3090545826494</x:v>
      </x:c>
      <x:c r="L3" s="31" t="n">
        <x:f>IF(E3=0,"",E3*K3)</x:f>
        <x:v>19624.007210128777</x:v>
      </x:c>
      <x:c r="M3" s="31" t="n">
        <x:f>IF(E3=0,"",I3-L3)</x:f>
        <x:v>551.4964625460889</x:v>
      </x:c>
      <x:c r="N3" s="32" t="n">
        <x:f>IF(L3=0,"",I3/L3)</x:f>
        <x:v>1.028103152258395</x:v>
      </x:c>
      <x:c r="O3" s="34" t="n">
        <x:f>IF(L3=0,"",M3/L3)</x:f>
        <x:v>0.028103152258394926</x:v>
      </x:c>
    </x:row>
    <x:row r="4" ht="18" customHeight="1">
      <x:c r="A4" s="24" t="str">
        <x:v>Medium demersals (30 - 89 cm)</x:v>
      </x:c>
      <x:c r="B4" s="33" t="n">
        <x:v>1</x:v>
      </x:c>
      <x:c r="C4" s="33" t="n">
        <x:v>1</x:v>
      </x:c>
      <x:c r="D4" s="31" t="n">
        <x:v>28.8237316533</x:v>
      </x:c>
      <x:c r="E4" s="31" t="n">
        <x:v>28.8237316533</x:v>
      </x:c>
      <x:c r="F4" s="32" t="n">
        <x:v>0</x:v>
      </x:c>
      <x:c r="G4" s="34" t="n">
        <x:v>1</x:v>
      </x:c>
      <x:c r="H4" s="32" t="n">
        <x:f>IF(E4=0,"",I4/E4)</x:f>
        <x:v>190.54607179632464</x:v>
      </x:c>
      <x:c r="I4" s="31" t="n">
        <x:f>IF(C4=0,"",SUMIF('Species'!$G$2:$G$18,A4,'Species'!$U$2:$U$18))</x:f>
        <x:v>5492.248841047697</x:v>
      </x:c>
      <x:c r="J4" s="32" t="n">
        <x:v>3.28</x:v>
      </x:c>
      <x:c r="K4" s="32" t="n">
        <x:f>IF(J4="","",(1/'Metadata'!$B$5)^(J4-1))</x:f>
        <x:v>190.54607179632464</x:v>
      </x:c>
      <x:c r="L4" s="31" t="n">
        <x:f>IF(E4=0,"",E4*K4)</x:f>
        <x:v>5492.248841047697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Medium pelagics (30 - 89 cm)</x:v>
      </x:c>
      <x:c r="B5" s="33" t="n">
        <x:v>3</x:v>
      </x:c>
      <x:c r="C5" s="33" t="n">
        <x:v>3</x:v>
      </x:c>
      <x:c r="D5" s="31" t="n">
        <x:v>25.5578740911</x:v>
      </x:c>
      <x:c r="E5" s="31" t="n">
        <x:v>25.5578740911</x:v>
      </x:c>
      <x:c r="F5" s="32" t="n">
        <x:v>0</x:v>
      </x:c>
      <x:c r="G5" s="34" t="n">
        <x:v>1</x:v>
      </x:c>
      <x:c r="H5" s="32" t="n">
        <x:f>IF(E5=0,"",I5/E5)</x:f>
        <x:v>1614.862114925324</x:v>
      </x:c>
      <x:c r="I5" s="31" t="n">
        <x:f>IF(C5=0,"",SUMIF('Species'!$G$2:$G$18,A5,'Species'!$U$2:$U$18))</x:f>
        <x:v>41272.44260774889</x:v>
      </x:c>
      <x:c r="J5" s="32" t="n">
        <x:v>4.190971804198756</x:v>
      </x:c>
      <x:c r="K5" s="32" t="n">
        <x:f>IF(J5="","",(1/'Metadata'!$B$5)^(J5-1))</x:f>
        <x:v>1552.2862272482605</x:v>
      </x:c>
      <x:c r="L5" s="31" t="n">
        <x:f>IF(E5=0,"",E5*K5)</x:f>
        <x:v>39673.13594935968</x:v>
      </x:c>
      <x:c r="M5" s="31" t="n">
        <x:f>IF(E5=0,"",I5-L5)</x:f>
        <x:v>1599.3066583892069</x:v>
      </x:c>
      <x:c r="N5" s="32" t="n">
        <x:f>IF(L5=0,"",I5/L5)</x:f>
        <x:v>1.0403120807094912</x:v>
      </x:c>
      <x:c r="O5" s="34" t="n">
        <x:f>IF(L5=0,"",M5/L5)</x:f>
        <x:v>0.040312080709491264</x:v>
      </x:c>
    </x:row>
  </x:sheetData>
  <x:conditionalFormatting sqref="G2:G5">
    <x:cfRule type="cellIs" dxfId="2" priority="1" operator="lessThan">
      <x:formula>0.9</x:formula>
    </x:cfRule>
  </x:conditionalFormatting>
  <x:conditionalFormatting sqref="O2:O5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84422465a6dd471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EEZ_844</x:v>
      </x:c>
      <x:c r="B2" s="24" t="str">
        <x:v>raw_filtered_tonnes</x:v>
      </x:c>
      <x:c r="C2" s="24" t="n">
        <x:v>280.5961402573001</x:v>
      </x:c>
      <x:c r="D2" s="24" t="str">
        <x:v>tonnes</x:v>
      </x:c>
    </x:row>
    <x:row r="3" ht="18" customHeight="1">
      <x:c r="A3" s="24" t="str">
        <x:v>EEZ_844</x:v>
      </x:c>
      <x:c r="B3" s="24" t="str">
        <x:v>species_catch_tonnes</x:v>
      </x:c>
      <x:c r="C3" s="24" t="n">
        <x:v>280.5961402573</x:v>
      </x:c>
      <x:c r="D3" s="24" t="str">
        <x:v>tonnes</x:v>
      </x:c>
    </x:row>
    <x:row r="4" ht="18" customHeight="1">
      <x:c r="A4" s="24" t="str">
        <x:v>EEZ_844</x:v>
      </x:c>
      <x:c r="B4" s="24" t="str">
        <x:v>catch_difference_tonnes</x:v>
      </x:c>
      <x:c r="C4" s="24" t="n">
        <x:v>-5.684341886080802e-14</x:v>
      </x:c>
      <x:c r="D4" s="24" t="str">
        <x:v>tonnes</x:v>
      </x:c>
    </x:row>
    <x:row r="5" ht="18" customHeight="1">
      <x:c r="A5" s="24" t="str">
        <x:v>EEZ_844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EEZ_844</x:v>
      </x:c>
      <x:c r="B6" s="24" t="str">
        <x:v>matched_catch_tonnes</x:v>
      </x:c>
      <x:c r="C6" s="24" t="n">
        <x:v>280.5961402573</x:v>
      </x:c>
      <x:c r="D6" s="24" t="str">
        <x:v>tonnes</x:v>
      </x:c>
    </x:row>
    <x:row r="7" ht="18" customHeight="1">
      <x:c r="A7" s="24" t="str">
        <x:v>EEZ_844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EEZ_844</x:v>
      </x:c>
      <x:c r="B8" s="24" t="str">
        <x:v>taxa_count</x:v>
      </x:c>
      <x:c r="C8" s="24" t="n">
        <x:v>17</x:v>
      </x:c>
      <x:c r="D8" s="24" t="str">
        <x:v>count</x:v>
      </x:c>
    </x:row>
    <x:row r="9" ht="18" customHeight="1">
      <x:c r="A9" s="24" t="str">
        <x:v>EEZ_844</x:v>
      </x:c>
      <x:c r="B9" s="24" t="str">
        <x:v>matched_taxa_count</x:v>
      </x:c>
      <x:c r="C9" s="24" t="n">
        <x:v>17</x:v>
      </x:c>
      <x:c r="D9" s="24" t="str">
        <x:v>count</x:v>
      </x:c>
    </x:row>
    <x:row r="10" ht="18" customHeight="1">
      <x:c r="A10" s="24" t="str">
        <x:v>EEZ_844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EEZ_844</x:v>
      </x:c>
      <x:c r="B11" s="24" t="str">
        <x:v>species_ppr</x:v>
      </x:c>
      <x:c r="C11" s="24" t="n">
        <x:v>628775.9881433196</x:v>
      </x:c>
      <x:c r="D11" s="24" t="str">
        <x:v>tonnes_primary_production_equivalent</x:v>
      </x:c>
    </x:row>
    <x:row r="12" ht="18" customHeight="1">
      <x:c r="A12" s="24" t="str">
        <x:v>EEZ_844</x:v>
      </x:c>
      <x:c r="B12" s="24" t="str">
        <x:v>commercial_ppr</x:v>
      </x:c>
      <x:c r="C12" s="24" t="n">
        <x:v>628775.9881433196</x:v>
      </x:c>
      <x:c r="D12" s="24" t="str">
        <x:v>tonnes_primary_production_equivalent</x:v>
      </x:c>
    </x:row>
    <x:row r="13" ht="18" customHeight="1">
      <x:c r="A13" s="24" t="str">
        <x:v>EEZ_844</x:v>
      </x:c>
      <x:c r="B13" s="24" t="str">
        <x:v>functional_ppr</x:v>
      </x:c>
      <x:c r="C13" s="24" t="n">
        <x:v>628775.9881433197</x:v>
      </x:c>
      <x:c r="D13" s="24" t="str">
        <x:v>tonnes_primary_production_equivalent</x:v>
      </x:c>
    </x:row>
    <x:row r="14" ht="18" customHeight="1">
      <x:c r="A14" s="24" t="str">
        <x:v>EEZ_844</x:v>
      </x:c>
      <x:c r="B14" s="24" t="str">
        <x:v>commercial_ppr_difference</x:v>
      </x:c>
      <x:c r="C14" s="24" t="n">
        <x:v>0</x:v>
      </x:c>
      <x:c r="D14" s="24" t="str">
        <x:v>tonnes_primary_production_equivalent</x:v>
      </x:c>
    </x:row>
    <x:row r="15" ht="18" customHeight="1">
      <x:c r="A15" s="24" t="str">
        <x:v>EEZ_844</x:v>
      </x:c>
      <x:c r="B15" s="24" t="str">
        <x:v>functional_ppr_difference</x:v>
      </x:c>
      <x:c r="C15" s="24" t="n">
        <x:v>1.1641532182693481e-10</x:v>
      </x:c>
      <x:c r="D15" s="24" t="str">
        <x:v>tonnes_primary_production_equivalent</x:v>
      </x:c>
    </x:row>
    <x:row r="16" ht="18" customHeight="1">
      <x:c r="A16" s="24" t="str">
        <x:v>EEZ_844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EEZ_844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EEZ_844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EEZ_844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39dedb07dc784a1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EEZ_844 - Palmyra Atoll &amp; Kingman Reef (USA)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EEZ_844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raw_data/SAU_downloads/EEZ_844-catch.zip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