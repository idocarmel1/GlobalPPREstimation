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de2e798ff04a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59f52f354ca5409d"/>
    <x:sheet xmlns:r="http://schemas.openxmlformats.org/officeDocument/2006/relationships" name="Commercial" sheetId="2" r:id="R4877d4535b314b16"/>
    <x:sheet xmlns:r="http://schemas.openxmlformats.org/officeDocument/2006/relationships" name="Functional" sheetId="3" r:id="Rdcba9331e6ce4dc7"/>
    <x:sheet xmlns:r="http://schemas.openxmlformats.org/officeDocument/2006/relationships" name="Missing TL" sheetId="4" r:id="R5be6e005ec384516"/>
    <x:sheet xmlns:r="http://schemas.openxmlformats.org/officeDocument/2006/relationships" name="Validation" sheetId="5" r:id="R3eb637faa50f4224"/>
    <x:sheet xmlns:r="http://schemas.openxmlformats.org/officeDocument/2006/relationships" name="Metadata" sheetId="6" r:id="R8a4544bf8fec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3fdb84b69f4016" /><Relationship Type="http://schemas.openxmlformats.org/officeDocument/2006/relationships/theme" Target="/xl/theme/theme1.xml" Id="R3b54555380124258" /><Relationship Type="http://schemas.microsoft.com/office/2022/11/relationships/FeaturePropertyBag" Target="/xl/featurePropertyBag/featurePropertyBag.xml" Id="Rf39885d1064b406c" /><Relationship Type="http://schemas.openxmlformats.org/officeDocument/2006/relationships/sharedStrings" Target="/xl/sharedStrings.xml" Id="Rc7804274bc41449e" /><Relationship Type="http://schemas.openxmlformats.org/officeDocument/2006/relationships/worksheet" Target="/xl/worksheets/sheet1.xml" Id="R59f52f354ca5409d" /><Relationship Type="http://schemas.openxmlformats.org/officeDocument/2006/relationships/worksheet" Target="/xl/worksheets/sheet2.xml" Id="R4877d4535b314b16" /><Relationship Type="http://schemas.openxmlformats.org/officeDocument/2006/relationships/worksheet" Target="/xl/worksheets/sheet3.xml" Id="Rdcba9331e6ce4dc7" /><Relationship Type="http://schemas.openxmlformats.org/officeDocument/2006/relationships/worksheet" Target="/xl/worksheets/sheet4.xml" Id="R5be6e005ec384516" /><Relationship Type="http://schemas.openxmlformats.org/officeDocument/2006/relationships/worksheet" Target="/xl/worksheets/sheet5.xml" Id="R3eb637faa50f4224" /><Relationship Type="http://schemas.openxmlformats.org/officeDocument/2006/relationships/worksheet" Target="/xl/worksheets/sheet6.xml" Id="R8a4544bf8fec4bf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46SpeciesTable" displayName="EEZ846SpeciesTable" ref="A1:U19" headerRowCount="1" totalsRowCount="0" totalsRowShown="0">
  <x:autoFilter ref="A1:U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46CommercialTable" displayName="EEZ846CommercialTable" ref="A1:O5" headerRowCount="1" totalsRowCount="0" totalsRowShown="0">
  <x:autoFilter ref="A1:O5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46FunctionalTable" displayName="EEZ846FunctionalTable" ref="A1:O5" headerRowCount="1" totalsRowCount="0" totalsRowShown="0">
  <x:autoFilter ref="A1:O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46ValidationTable" displayName="EEZ846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578cd67c144ff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de08c48b8047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37c85aebd85428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d5e370dff974f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EEZ_846</x:v>
      </x:c>
      <x:c r="B2" s="24" t="str">
        <x:v>Howland &amp; Baker Isl. (USA)</x:v>
      </x:c>
      <x:c r="C2" s="24" t="str">
        <x:v>EEZ</x:v>
      </x:c>
      <x:c r="D2" s="30" t="n">
        <x:v>2019</x:v>
      </x:c>
      <x:c r="E2" s="24" t="str">
        <x:v>Katsuwonus pelamis</x:v>
      </x:c>
      <x:c r="F2" s="24" t="str">
        <x:v>Skipjack tuna</x:v>
      </x:c>
      <x:c r="G2" s="24" t="str">
        <x:v>Large pelagics (&gt;=90 cm)</x:v>
      </x:c>
      <x:c r="H2" s="24" t="str">
        <x:v>Tuna &amp; billfishes</x:v>
      </x:c>
      <x:c r="I2" s="31" t="n">
        <x:v>2297.3910532153</x:v>
      </x:c>
      <x:c r="J2" s="31" t="n">
        <x:v>2297.2235918021997</x:v>
      </x:c>
      <x:c r="K2" s="31" t="n">
        <x:v>0.1674614131</x:v>
      </x:c>
      <x:c r="L2" s="31" t="n">
        <x:v>2297.2235918021997</x:v>
      </x:c>
      <x:c r="M2" s="31" t="n">
        <x:v>0.1674614131</x:v>
      </x:c>
      <x:c r="N2" s="24" t="str">
        <x:v>katsuwonus pelamis</x:v>
      </x:c>
      <x:c r="O2" s="32" t="n">
        <x:v>4.43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Katsuwonus pelamis</x:v>
      </x:c>
      <x:c r="T2" s="32" t="n">
        <x:f>IF(O2="","",(1/'Metadata'!$B$5)^(O2-1))</x:f>
        <x:v>2691.534803926914</x:v>
      </x:c>
      <x:c r="U2" s="31" t="n">
        <x:f>IF(T2="","",I2*T2)</x:f>
        <x:v>6183507.977959288</x:v>
      </x:c>
    </x:row>
    <x:row r="3" ht="18" customHeight="1">
      <x:c r="A3" s="24" t="str">
        <x:v>EEZ_846</x:v>
      </x:c>
      <x:c r="B3" s="24" t="str">
        <x:v>Howland &amp; Baker Isl. (USA)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485.5481083888</x:v>
      </x:c>
      <x:c r="J3" s="31" t="n">
        <x:v>0</x:v>
      </x:c>
      <x:c r="K3" s="31" t="n">
        <x:v>485.5481083888</x:v>
      </x:c>
      <x:c r="L3" s="31" t="n">
        <x:v>0</x:v>
      </x:c>
      <x:c r="M3" s="31" t="n">
        <x:v>485.5481083888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92519.28472162191</x:v>
      </x:c>
    </x:row>
    <x:row r="4" ht="18" customHeight="1">
      <x:c r="A4" s="24" t="str">
        <x:v>EEZ_846</x:v>
      </x:c>
      <x:c r="B4" s="24" t="str">
        <x:v>Howland &amp; Baker Isl. (USA)</x:v>
      </x:c>
      <x:c r="C4" s="24" t="str">
        <x:v>EEZ</x:v>
      </x:c>
      <x:c r="D4" s="30" t="n">
        <x:v>2019</x:v>
      </x:c>
      <x:c r="E4" s="24" t="str">
        <x:v>Scombridae</x:v>
      </x:c>
      <x:c r="F4" s="24" t="str">
        <x:v>Mackerels, tunas, bonitos</x:v>
      </x:c>
      <x:c r="G4" s="24" t="str">
        <x:v>Medium pelagics (30 - 89 cm)</x:v>
      </x:c>
      <x:c r="H4" s="24" t="str">
        <x:v>Perch-likes</x:v>
      </x:c>
      <x:c r="I4" s="31" t="n">
        <x:v>310.6094734584</x:v>
      </x:c>
      <x:c r="J4" s="31" t="n">
        <x:v>0</x:v>
      </x:c>
      <x:c r="K4" s="31" t="n">
        <x:v>310.6094734584</x:v>
      </x:c>
      <x:c r="L4" s="31" t="n">
        <x:v>0</x:v>
      </x:c>
      <x:c r="M4" s="31" t="n">
        <x:v>310.6094734584</x:v>
      </x:c>
      <x:c r="N4" s="24" t="str">
        <x:v>scombridae</x:v>
      </x:c>
      <x:c r="O4" s="32" t="n">
        <x:v>4.26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Scombridae</x:v>
      </x:c>
      <x:c r="T4" s="32" t="n">
        <x:f>IF(O4="","",(1/'Metadata'!$B$5)^(O4-1))</x:f>
        <x:v>1819.7008586099826</x:v>
      </x:c>
      <x:c r="U4" s="31" t="n">
        <x:f>IF(T4="","",I4*T4)</x:f>
        <x:v>565216.3255446451</x:v>
      </x:c>
    </x:row>
    <x:row r="5" ht="18" customHeight="1">
      <x:c r="A5" s="24" t="str">
        <x:v>EEZ_846</x:v>
      </x:c>
      <x:c r="B5" s="24" t="str">
        <x:v>Howland &amp; Baker Isl. (USA)</x:v>
      </x:c>
      <x:c r="C5" s="24" t="str">
        <x:v>EEZ</x:v>
      </x:c>
      <x:c r="D5" s="30" t="n">
        <x:v>2019</x:v>
      </x:c>
      <x:c r="E5" s="24" t="str">
        <x:v>Coryphaena hippurus</x:v>
      </x:c>
      <x:c r="F5" s="24" t="str">
        <x:v>Common dolphinfish</x:v>
      </x:c>
      <x:c r="G5" s="24" t="str">
        <x:v>Large pelagics (&gt;=90 cm)</x:v>
      </x:c>
      <x:c r="H5" s="24" t="str">
        <x:v>Perch-likes</x:v>
      </x:c>
      <x:c r="I5" s="31" t="n">
        <x:v>271.87714657270004</x:v>
      </x:c>
      <x:c r="J5" s="31" t="n">
        <x:v>0</x:v>
      </x:c>
      <x:c r="K5" s="31" t="n">
        <x:v>271.87714657270004</x:v>
      </x:c>
      <x:c r="L5" s="31" t="n">
        <x:v>0</x:v>
      </x:c>
      <x:c r="M5" s="31" t="n">
        <x:v>271.87714657270004</x:v>
      </x:c>
      <x:c r="N5" s="24" t="str">
        <x:v>coryphaena hippurus</x:v>
      </x:c>
      <x:c r="O5" s="32" t="n">
        <x:v>4.37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Coryphaena hippurus</x:v>
      </x:c>
      <x:c r="T5" s="32" t="n">
        <x:f>IF(O5="","",(1/'Metadata'!$B$5)^(O5-1))</x:f>
        <x:v>2344.228815319923</x:v>
      </x:c>
      <x:c r="U5" s="31" t="n">
        <x:f>IF(T5="","",I5*T5)</x:f>
        <x:v>637342.2412226816</x:v>
      </x:c>
    </x:row>
    <x:row r="6" ht="18" customHeight="1">
      <x:c r="A6" s="24" t="str">
        <x:v>EEZ_846</x:v>
      </x:c>
      <x:c r="B6" s="24" t="str">
        <x:v>Howland &amp; Baker Isl. (USA)</x:v>
      </x:c>
      <x:c r="C6" s="24" t="str">
        <x:v>EEZ</x:v>
      </x:c>
      <x:c r="D6" s="30" t="n">
        <x:v>2019</x:v>
      </x:c>
      <x:c r="E6" s="24" t="str">
        <x:v>Thunnus obesus</x:v>
      </x:c>
      <x:c r="F6" s="24" t="str">
        <x:v>Bigeye tuna</x:v>
      </x:c>
      <x:c r="G6" s="24" t="str">
        <x:v>Large pelagics (&gt;=90 cm)</x:v>
      </x:c>
      <x:c r="H6" s="24" t="str">
        <x:v>Tuna &amp; billfishes</x:v>
      </x:c>
      <x:c r="I6" s="31" t="n">
        <x:v>237.14151185590003</x:v>
      </x:c>
      <x:c r="J6" s="31" t="n">
        <x:v>223.9342312324</x:v>
      </x:c>
      <x:c r="K6" s="31" t="n">
        <x:v>13.2072806235</x:v>
      </x:c>
      <x:c r="L6" s="31" t="n">
        <x:v>223.9342312324</x:v>
      </x:c>
      <x:c r="M6" s="31" t="n">
        <x:v>13.2072806235</x:v>
      </x:c>
      <x:c r="N6" s="24" t="str">
        <x:v>thunnus obesus</x:v>
      </x:c>
      <x:c r="O6" s="32" t="n">
        <x:v>4.49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Thunnus obesus</x:v>
      </x:c>
      <x:c r="T6" s="32" t="n">
        <x:f>IF(O6="","",(1/'Metadata'!$B$5)^(O6-1))</x:f>
        <x:v>3090.295432513592</x:v>
      </x:c>
      <x:c r="U6" s="31" t="n">
        <x:f>IF(T6="","",I6*T6)</x:f>
        <x:v>732837.3309476557</x:v>
      </x:c>
    </x:row>
    <x:row r="7" ht="18" customHeight="1">
      <x:c r="A7" s="24" t="str">
        <x:v>EEZ_846</x:v>
      </x:c>
      <x:c r="B7" s="24" t="str">
        <x:v>Howland &amp; Baker Isl. (USA)</x:v>
      </x:c>
      <x:c r="C7" s="24" t="str">
        <x:v>EEZ</x:v>
      </x:c>
      <x:c r="D7" s="30" t="n">
        <x:v>2019</x:v>
      </x:c>
      <x:c r="E7" s="24" t="str">
        <x:v>Elasmobranchii</x:v>
      </x:c>
      <x:c r="F7" s="24" t="str">
        <x:v>Sharks, rays, skates</x:v>
      </x:c>
      <x:c r="G7" s="24" t="str">
        <x:v>Large sharks (&gt;=90 cm)</x:v>
      </x:c>
      <x:c r="H7" s="24" t="str">
        <x:v>Sharks &amp; rays</x:v>
      </x:c>
      <x:c r="I7" s="31" t="n">
        <x:v>222.8347523275</x:v>
      </x:c>
      <x:c r="J7" s="31" t="n">
        <x:v>0</x:v>
      </x:c>
      <x:c r="K7" s="31" t="n">
        <x:v>222.8347523275</x:v>
      </x:c>
      <x:c r="L7" s="31" t="n">
        <x:v>0</x:v>
      </x:c>
      <x:c r="M7" s="31" t="n">
        <x:v>222.8347523275</x:v>
      </x:c>
      <x:c r="N7" s="24" t="str">
        <x:v>elasmobranchii</x:v>
      </x:c>
      <x:c r="O7" s="32" t="n">
        <x:v>4.05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Elasmobranchii</x:v>
      </x:c>
      <x:c r="T7" s="32" t="n">
        <x:f>IF(O7="","",(1/'Metadata'!$B$5)^(O7-1))</x:f>
        <x:v>1122.018454301963</x:v>
      </x:c>
      <x:c r="U7" s="31" t="n">
        <x:f>IF(T7="","",I7*T7)</x:f>
        <x:v>250024.7043712623</x:v>
      </x:c>
    </x:row>
    <x:row r="8" ht="18" customHeight="1">
      <x:c r="A8" s="24" t="str">
        <x:v>EEZ_846</x:v>
      </x:c>
      <x:c r="B8" s="24" t="str">
        <x:v>Howland &amp; Baker Isl. (USA)</x:v>
      </x:c>
      <x:c r="C8" s="24" t="str">
        <x:v>EEZ</x:v>
      </x:c>
      <x:c r="D8" s="30" t="n">
        <x:v>2019</x:v>
      </x:c>
      <x:c r="E8" s="24" t="str">
        <x:v>Thunnus albacares</x:v>
      </x:c>
      <x:c r="F8" s="24" t="str">
        <x:v>Yellowfin tuna</x:v>
      </x:c>
      <x:c r="G8" s="24" t="str">
        <x:v>Large pelagics (&gt;=90 cm)</x:v>
      </x:c>
      <x:c r="H8" s="24" t="str">
        <x:v>Tuna &amp; billfishes</x:v>
      </x:c>
      <x:c r="I8" s="31" t="n">
        <x:v>199.9690615786</x:v>
      </x:c>
      <x:c r="J8" s="31" t="n">
        <x:v>196.359045015</x:v>
      </x:c>
      <x:c r="K8" s="31" t="n">
        <x:v>3.6100165636</x:v>
      </x:c>
      <x:c r="L8" s="31" t="n">
        <x:v>196.359045015</x:v>
      </x:c>
      <x:c r="M8" s="31" t="n">
        <x:v>3.6100165636</x:v>
      </x:c>
      <x:c r="N8" s="24" t="str">
        <x:v>thunnus albacares</x:v>
      </x:c>
      <x:c r="O8" s="32" t="n">
        <x:v>4.41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Thunnus albacares</x:v>
      </x:c>
      <x:c r="T8" s="32" t="n">
        <x:f>IF(O8="","",(1/'Metadata'!$B$5)^(O8-1))</x:f>
        <x:v>2570.3957827688646</x:v>
      </x:c>
      <x:c r="U8" s="31" t="n">
        <x:f>IF(T8="","",I8*T8)</x:f>
        <x:v>513999.63256588083</x:v>
      </x:c>
    </x:row>
    <x:row r="9" ht="18" customHeight="1">
      <x:c r="A9" s="24" t="str">
        <x:v>EEZ_846</x:v>
      </x:c>
      <x:c r="B9" s="24" t="str">
        <x:v>Howland &amp; Baker Isl. (USA)</x:v>
      </x:c>
      <x:c r="C9" s="24" t="str">
        <x:v>EEZ</x:v>
      </x:c>
      <x:c r="D9" s="30" t="n">
        <x:v>2019</x:v>
      </x:c>
      <x:c r="E9" s="24" t="str">
        <x:v>Carangidae</x:v>
      </x:c>
      <x:c r="F9" s="24" t="str">
        <x:v>Jacks, pompanos</x:v>
      </x:c>
      <x:c r="G9" s="24" t="str">
        <x:v>Medium pelagics (30 - 89 cm)</x:v>
      </x:c>
      <x:c r="H9" s="24" t="str">
        <x:v>Perch-likes</x:v>
      </x:c>
      <x:c r="I9" s="31" t="n">
        <x:v>114.6533501503</x:v>
      </x:c>
      <x:c r="J9" s="31" t="n">
        <x:v>0</x:v>
      </x:c>
      <x:c r="K9" s="31" t="n">
        <x:v>114.6533501503</x:v>
      </x:c>
      <x:c r="L9" s="31" t="n">
        <x:v>0</x:v>
      </x:c>
      <x:c r="M9" s="31" t="n">
        <x:v>114.6533501503</x:v>
      </x:c>
      <x:c r="N9" s="24" t="str">
        <x:v>carangidae</x:v>
      </x:c>
      <x:c r="O9" s="32" t="n">
        <x:v>4.05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Carangidae</x:v>
      </x:c>
      <x:c r="T9" s="32" t="n">
        <x:f>IF(O9="","",(1/'Metadata'!$B$5)^(O9-1))</x:f>
        <x:v>1122.018454301963</x:v>
      </x:c>
      <x:c r="U9" s="31" t="n">
        <x:f>IF(T9="","",I9*T9)</x:f>
        <x:v>128643.17471618134</x:v>
      </x:c>
    </x:row>
    <x:row r="10" ht="18" customHeight="1">
      <x:c r="A10" s="24" t="str">
        <x:v>EEZ_846</x:v>
      </x:c>
      <x:c r="B10" s="24" t="str">
        <x:v>Howland &amp; Baker Isl. (USA)</x:v>
      </x:c>
      <x:c r="C10" s="24" t="str">
        <x:v>EEZ</x:v>
      </x:c>
      <x:c r="D10" s="30" t="n">
        <x:v>2019</x:v>
      </x:c>
      <x:c r="E10" s="24" t="str">
        <x:v>Prionace glauca</x:v>
      </x:c>
      <x:c r="F10" s="24" t="str">
        <x:v>Blue shark</x:v>
      </x:c>
      <x:c r="G10" s="24" t="str">
        <x:v>Large sharks (&gt;=90 cm)</x:v>
      </x:c>
      <x:c r="H10" s="24" t="str">
        <x:v>Sharks &amp; rays</x:v>
      </x:c>
      <x:c r="I10" s="31" t="n">
        <x:v>105.472483798</x:v>
      </x:c>
      <x:c r="J10" s="31" t="n">
        <x:v>0</x:v>
      </x:c>
      <x:c r="K10" s="31" t="n">
        <x:v>105.472483798</x:v>
      </x:c>
      <x:c r="L10" s="31" t="n">
        <x:v>0</x:v>
      </x:c>
      <x:c r="M10" s="31" t="n">
        <x:v>105.472483798</x:v>
      </x:c>
      <x:c r="N10" s="24" t="str">
        <x:v>prionace glauca</x:v>
      </x:c>
      <x:c r="O10" s="32" t="n">
        <x:v>4.35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Prionace glauca</x:v>
      </x:c>
      <x:c r="T10" s="32" t="n">
        <x:f>IF(O10="","",(1/'Metadata'!$B$5)^(O10-1))</x:f>
        <x:v>2238.7211385683377</x:v>
      </x:c>
      <x:c r="U10" s="31" t="n">
        <x:f>IF(T10="","",I10*T10)</x:f>
        <x:v>236123.4790158891</x:v>
      </x:c>
    </x:row>
    <x:row r="11" ht="18" customHeight="1">
      <x:c r="A11" s="24" t="str">
        <x:v>EEZ_846</x:v>
      </x:c>
      <x:c r="B11" s="24" t="str">
        <x:v>Howland &amp; Baker Isl. (USA)</x:v>
      </x:c>
      <x:c r="C11" s="24" t="str">
        <x:v>EEZ</x:v>
      </x:c>
      <x:c r="D11" s="30" t="n">
        <x:v>2019</x:v>
      </x:c>
      <x:c r="E11" s="24" t="str">
        <x:v>Istiophoridae</x:v>
      </x:c>
      <x:c r="F11" s="24" t="str">
        <x:v>Billfishes</x:v>
      </x:c>
      <x:c r="G11" s="24" t="str">
        <x:v>Large pelagics (&gt;=90 cm)</x:v>
      </x:c>
      <x:c r="H11" s="24" t="str">
        <x:v>Tuna &amp; billfishes</x:v>
      </x:c>
      <x:c r="I11" s="31" t="n">
        <x:v>58.0768951565</x:v>
      </x:c>
      <x:c r="J11" s="31" t="n">
        <x:v>0</x:v>
      </x:c>
      <x:c r="K11" s="31" t="n">
        <x:v>58.0768951565</x:v>
      </x:c>
      <x:c r="L11" s="31" t="n">
        <x:v>0</x:v>
      </x:c>
      <x:c r="M11" s="31" t="n">
        <x:v>58.0768951565</x:v>
      </x:c>
      <x:c r="N11" s="24" t="str">
        <x:v>istiophoridae</x:v>
      </x:c>
      <x:c r="O11" s="32" t="n">
        <x:v>4.48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Istiophoridae</x:v>
      </x:c>
      <x:c r="T11" s="32" t="n">
        <x:f>IF(O11="","",(1/'Metadata'!$B$5)^(O11-1))</x:f>
        <x:v>3019.951720402019</x:v>
      </x:c>
      <x:c r="U11" s="31" t="n">
        <x:f>IF(T11="","",I11*T11)</x:f>
        <x:v>175389.41944347986</x:v>
      </x:c>
    </x:row>
    <x:row r="12" ht="18" customHeight="1">
      <x:c r="A12" s="24" t="str">
        <x:v>EEZ_846</x:v>
      </x:c>
      <x:c r="B12" s="24" t="str">
        <x:v>Howland &amp; Baker Isl. (USA)</x:v>
      </x:c>
      <x:c r="C12" s="24" t="str">
        <x:v>EEZ</x:v>
      </x:c>
      <x:c r="D12" s="30" t="n">
        <x:v>2019</x:v>
      </x:c>
      <x:c r="E12" s="24" t="str">
        <x:v>Marine pelagic fishes not identified</x:v>
      </x:c>
      <x:c r="F12" s="24" t="str">
        <x:v>Pelagic fishes</x:v>
      </x:c>
      <x:c r="G12" s="24" t="str">
        <x:v>Medium pelagics (30 - 89 cm)</x:v>
      </x:c>
      <x:c r="H12" s="24" t="str">
        <x:v>Other fishes &amp; inverts</x:v>
      </x:c>
      <x:c r="I12" s="31" t="n">
        <x:v>28.986167399</x:v>
      </x:c>
      <x:c r="J12" s="31" t="n">
        <x:v>27.4348507251</x:v>
      </x:c>
      <x:c r="K12" s="31" t="n">
        <x:v>1.5513166739</x:v>
      </x:c>
      <x:c r="L12" s="31" t="n">
        <x:v>27.4348507251</x:v>
      </x:c>
      <x:c r="M12" s="31" t="n">
        <x:v>1.5513166739</x:v>
      </x:c>
      <x:c r="N12" s="24" t="str">
        <x:v>marine pelagic fishes not identified</x:v>
      </x:c>
      <x:c r="O12" s="32" t="n">
        <x:v>3.35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Marine pelagic fishes not identified</x:v>
      </x:c>
      <x:c r="T12" s="32" t="n">
        <x:f>IF(O12="","",(1/'Metadata'!$B$5)^(O12-1))</x:f>
        <x:v>223.872113856834</x:v>
      </x:c>
      <x:c r="U12" s="31" t="n">
        <x:f>IF(T12="","",I12*T12)</x:f>
        <x:v>6489.194568222178</x:v>
      </x:c>
    </x:row>
    <x:row r="13" ht="18" customHeight="1">
      <x:c r="A13" s="24" t="str">
        <x:v>EEZ_846</x:v>
      </x:c>
      <x:c r="B13" s="24" t="str">
        <x:v>Howland &amp; Baker Isl. (USA)</x:v>
      </x:c>
      <x:c r="C13" s="24" t="str">
        <x:v>EEZ</x:v>
      </x:c>
      <x:c r="D13" s="30" t="n">
        <x:v>2019</x:v>
      </x:c>
      <x:c r="E13" s="24" t="str">
        <x:v>Xiphias gladius</x:v>
      </x:c>
      <x:c r="F13" s="24" t="str">
        <x:v>Swordfish</x:v>
      </x:c>
      <x:c r="G13" s="24" t="str">
        <x:v>Large pelagics (&gt;=90 cm)</x:v>
      </x:c>
      <x:c r="H13" s="24" t="str">
        <x:v>Tuna &amp; billfishes</x:v>
      </x:c>
      <x:c r="I13" s="31" t="n">
        <x:v>9.678265356399999</x:v>
      </x:c>
      <x:c r="J13" s="31" t="n">
        <x:v>2.887571931</x:v>
      </x:c>
      <x:c r="K13" s="31" t="n">
        <x:v>6.7906934254</x:v>
      </x:c>
      <x:c r="L13" s="31" t="n">
        <x:v>2.887571931</x:v>
      </x:c>
      <x:c r="M13" s="31" t="n">
        <x:v>6.7906934254</x:v>
      </x:c>
      <x:c r="N13" s="24" t="str">
        <x:v>xiphias gladius</x:v>
      </x:c>
      <x:c r="O13" s="32" t="n">
        <x:v>4.53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Xiphias gladius</x:v>
      </x:c>
      <x:c r="T13" s="32" t="n">
        <x:f>IF(O13="","",(1/'Metadata'!$B$5)^(O13-1))</x:f>
        <x:v>3388.4415613920273</x:v>
      </x:c>
      <x:c r="U13" s="31" t="n">
        <x:f>IF(T13="","",I13*T13)</x:f>
        <x:v>32794.236575806375</x:v>
      </x:c>
    </x:row>
    <x:row r="14" ht="18" customHeight="1">
      <x:c r="A14" s="24" t="str">
        <x:v>EEZ_846</x:v>
      </x:c>
      <x:c r="B14" s="24" t="str">
        <x:v>Howland &amp; Baker Isl. (USA)</x:v>
      </x:c>
      <x:c r="C14" s="24" t="str">
        <x:v>EEZ</x:v>
      </x:c>
      <x:c r="D14" s="30" t="n">
        <x:v>2019</x:v>
      </x:c>
      <x:c r="E14" s="24" t="str">
        <x:v>Isurus</x:v>
      </x:c>
      <x:c r="F14" s="24" t="str">
        <x:v>Mako sharks</x:v>
      </x:c>
      <x:c r="G14" s="24" t="str">
        <x:v>Large sharks (&gt;=90 cm)</x:v>
      </x:c>
      <x:c r="H14" s="24" t="str">
        <x:v>Sharks &amp; rays</x:v>
      </x:c>
      <x:c r="I14" s="31" t="n">
        <x:v>5.20730555</x:v>
      </x:c>
      <x:c r="J14" s="31" t="n">
        <x:v>0.5558493814</x:v>
      </x:c>
      <x:c r="K14" s="31" t="n">
        <x:v>4.6514561686</x:v>
      </x:c>
      <x:c r="L14" s="31" t="n">
        <x:v>0.5558493814</x:v>
      </x:c>
      <x:c r="M14" s="31" t="n">
        <x:v>4.6514561686</x:v>
      </x:c>
      <x:c r="N14" s="24" t="str">
        <x:v>isurus</x:v>
      </x:c>
      <x:c r="O14" s="32" t="n">
        <x:v>4.5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Isurus</x:v>
      </x:c>
      <x:c r="T14" s="32" t="n">
        <x:f>IF(O14="","",(1/'Metadata'!$B$5)^(O14-1))</x:f>
        <x:v>3162.2776601683795</x:v>
      </x:c>
      <x:c r="U14" s="31" t="n">
        <x:f>IF(T14="","",I14*T14)</x:f>
        <x:v>16466.946010435815</x:v>
      </x:c>
    </x:row>
    <x:row r="15" ht="18" customHeight="1">
      <x:c r="A15" s="24" t="str">
        <x:v>EEZ_846</x:v>
      </x:c>
      <x:c r="B15" s="24" t="str">
        <x:v>Howland &amp; Baker Isl. (USA)</x:v>
      </x:c>
      <x:c r="C15" s="24" t="str">
        <x:v>EEZ</x:v>
      </x:c>
      <x:c r="D15" s="30" t="n">
        <x:v>2019</x:v>
      </x:c>
      <x:c r="E15" s="24" t="str">
        <x:v>Thunnus alalunga</x:v>
      </x:c>
      <x:c r="F15" s="24" t="str">
        <x:v>Albacore</x:v>
      </x:c>
      <x:c r="G15" s="24" t="str">
        <x:v>Large pelagics (&gt;=90 cm)</x:v>
      </x:c>
      <x:c r="H15" s="24" t="str">
        <x:v>Tuna &amp; billfishes</x:v>
      </x:c>
      <x:c r="I15" s="31" t="n">
        <x:v>3.3490423473</x:v>
      </x:c>
      <x:c r="J15" s="31" t="n">
        <x:v>3.3490423473</x:v>
      </x:c>
      <x:c r="K15" s="31" t="n">
        <x:v>0</x:v>
      </x:c>
      <x:c r="L15" s="31" t="n">
        <x:v>3.3490423473</x:v>
      </x:c>
      <x:c r="M15" s="31" t="n">
        <x:v>0</x:v>
      </x:c>
      <x:c r="N15" s="24" t="str">
        <x:v>thunnus alalunga</x:v>
      </x:c>
      <x:c r="O15" s="32" t="n">
        <x:v>4.3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Thunnus alalunga</x:v>
      </x:c>
      <x:c r="T15" s="32" t="n">
        <x:f>IF(O15="","",(1/'Metadata'!$B$5)^(O15-1))</x:f>
        <x:v>1995.2623149688789</x:v>
      </x:c>
      <x:c r="U15" s="31" t="n">
        <x:f>IF(T15="","",I15*T15)</x:f>
        <x:v>6682.217986802606</x:v>
      </x:c>
    </x:row>
    <x:row r="16" ht="18" customHeight="1">
      <x:c r="A16" s="24" t="str">
        <x:v>EEZ_846</x:v>
      </x:c>
      <x:c r="B16" s="24" t="str">
        <x:v>Howland &amp; Baker Isl. (USA)</x:v>
      </x:c>
      <x:c r="C16" s="24" t="str">
        <x:v>EEZ</x:v>
      </x:c>
      <x:c r="D16" s="30" t="n">
        <x:v>2019</x:v>
      </x:c>
      <x:c r="E16" s="24" t="str">
        <x:v>Kajikia audax</x:v>
      </x:c>
      <x:c r="F16" s="24" t="str">
        <x:v>Striped marlin</x:v>
      </x:c>
      <x:c r="G16" s="24" t="str">
        <x:v>Large pelagics (&gt;=90 cm)</x:v>
      </x:c>
      <x:c r="H16" s="24" t="str">
        <x:v>Tuna &amp; billfishes</x:v>
      </x:c>
      <x:c r="I16" s="31" t="n">
        <x:v>1.0458340283</x:v>
      </x:c>
      <x:c r="J16" s="31" t="n">
        <x:v>1.0458340283</x:v>
      </x:c>
      <x:c r="K16" s="31" t="n">
        <x:v>0</x:v>
      </x:c>
      <x:c r="L16" s="31" t="n">
        <x:v>1.0458340283</x:v>
      </x:c>
      <x:c r="M16" s="31" t="n">
        <x:v>0</x:v>
      </x:c>
      <x:c r="N16" s="24" t="str">
        <x:v>kajikia audax</x:v>
      </x:c>
      <x:c r="O16" s="32" t="n">
        <x:v>4.58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Kajikia audax</x:v>
      </x:c>
      <x:c r="T16" s="32" t="n">
        <x:f>IF(O16="","",(1/'Metadata'!$B$5)^(O16-1))</x:f>
        <x:v>3801.8939632056126</x:v>
      </x:c>
      <x:c r="U16" s="31" t="n">
        <x:f>IF(T16="","",I16*T16)</x:f>
        <x:v>3976.150078708778</x:v>
      </x:c>
    </x:row>
    <x:row r="17" ht="18" customHeight="1">
      <x:c r="A17" s="24" t="str">
        <x:v>EEZ_846</x:v>
      </x:c>
      <x:c r="B17" s="24" t="str">
        <x:v>Howland &amp; Baker Isl. (USA)</x:v>
      </x:c>
      <x:c r="C17" s="24" t="str">
        <x:v>EEZ</x:v>
      </x:c>
      <x:c r="D17" s="30" t="n">
        <x:v>2019</x:v>
      </x:c>
      <x:c r="E17" s="24" t="str">
        <x:v>Istiompax indica</x:v>
      </x:c>
      <x:c r="F17" s="24" t="str">
        <x:v>Black marlin</x:v>
      </x:c>
      <x:c r="G17" s="24" t="str">
        <x:v>Large pelagics (&gt;=90 cm)</x:v>
      </x:c>
      <x:c r="H17" s="24" t="str">
        <x:v>Tuna &amp; billfishes</x:v>
      </x:c>
      <x:c r="I17" s="31" t="n">
        <x:v>0.23143546250000002</x:v>
      </x:c>
      <x:c r="J17" s="31" t="n">
        <x:v>0.23143546250000002</x:v>
      </x:c>
      <x:c r="K17" s="31" t="n">
        <x:v>0</x:v>
      </x:c>
      <x:c r="L17" s="31" t="n">
        <x:v>0.23143546250000002</x:v>
      </x:c>
      <x:c r="M17" s="31" t="n">
        <x:v>0</x:v>
      </x:c>
      <x:c r="N17" s="24" t="str">
        <x:v>istiompax indica</x:v>
      </x:c>
      <x:c r="O17" s="32" t="n">
        <x:v>4.5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Istiompax indica</x:v>
      </x:c>
      <x:c r="T17" s="32" t="n">
        <x:f>IF(O17="","",(1/'Metadata'!$B$5)^(O17-1))</x:f>
        <x:v>3162.2776601683795</x:v>
      </x:c>
      <x:c r="U17" s="31" t="n">
        <x:f>IF(T17="","",I17*T17)</x:f>
        <x:v>731.8631928344868</x:v>
      </x:c>
    </x:row>
    <x:row r="18" ht="18" customHeight="1">
      <x:c r="A18" s="24" t="str">
        <x:v>EEZ_846</x:v>
      </x:c>
      <x:c r="B18" s="24" t="str">
        <x:v>Howland &amp; Baker Isl. (USA)</x:v>
      </x:c>
      <x:c r="C18" s="24" t="str">
        <x:v>EEZ</x:v>
      </x:c>
      <x:c r="D18" s="30" t="n">
        <x:v>2019</x:v>
      </x:c>
      <x:c r="E18" s="24" t="str">
        <x:v>Alopias</x:v>
      </x:c>
      <x:c r="F18" s="24" t="str">
        <x:v>Thresher sharks</x:v>
      </x:c>
      <x:c r="G18" s="24" t="str">
        <x:v>Large sharks (&gt;=90 cm)</x:v>
      </x:c>
      <x:c r="H18" s="24" t="str">
        <x:v>Sharks &amp; rays</x:v>
      </x:c>
      <x:c r="I18" s="31" t="n">
        <x:v>0.0816940822</x:v>
      </x:c>
      <x:c r="J18" s="31" t="n">
        <x:v>0.0816940822</x:v>
      </x:c>
      <x:c r="K18" s="31" t="n">
        <x:v>0</x:v>
      </x:c>
      <x:c r="L18" s="31" t="n">
        <x:v>0.0816940822</x:v>
      </x:c>
      <x:c r="M18" s="31" t="n">
        <x:v>0</x:v>
      </x:c>
      <x:c r="N18" s="24" t="str">
        <x:v>alopias</x:v>
      </x:c>
      <x:c r="O18" s="32" t="n">
        <x:v>4.5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Alopias</x:v>
      </x:c>
      <x:c r="T18" s="32" t="n">
        <x:f>IF(O18="","",(1/'Metadata'!$B$5)^(O18-1))</x:f>
        <x:v>3162.2776601683795</x:v>
      </x:c>
      <x:c r="U18" s="31" t="n">
        <x:f>IF(T18="","",I18*T18)</x:f>
        <x:v>258.3393711090193</x:v>
      </x:c>
    </x:row>
    <x:row r="19" ht="18" customHeight="1">
      <x:c r="A19" s="24" t="str">
        <x:v>EEZ_846</x:v>
      </x:c>
      <x:c r="B19" s="24" t="str">
        <x:v>Howland &amp; Baker Isl. (USA)</x:v>
      </x:c>
      <x:c r="C19" s="24" t="str">
        <x:v>EEZ</x:v>
      </x:c>
      <x:c r="D19" s="30" t="n">
        <x:v>2019</x:v>
      </x:c>
      <x:c r="E19" s="24" t="str">
        <x:v>Carcharhinus longimanus</x:v>
      </x:c>
      <x:c r="F19" s="24" t="str">
        <x:v>Oceanic whitetip shark</x:v>
      </x:c>
      <x:c r="G19" s="24" t="str">
        <x:v>Large sharks (&gt;=90 cm)</x:v>
      </x:c>
      <x:c r="H19" s="24" t="str">
        <x:v>Sharks &amp; rays</x:v>
      </x:c>
      <x:c r="I19" s="31" t="n">
        <x:v>0.0010574844</x:v>
      </x:c>
      <x:c r="J19" s="31" t="n">
        <x:v>0.0010574844</x:v>
      </x:c>
      <x:c r="K19" s="31" t="n">
        <x:v>0</x:v>
      </x:c>
      <x:c r="L19" s="31" t="n">
        <x:v>0.0010574844</x:v>
      </x:c>
      <x:c r="M19" s="31" t="n">
        <x:v>0</x:v>
      </x:c>
      <x:c r="N19" s="24" t="str">
        <x:v>carcharhinus longimanus</x:v>
      </x:c>
      <x:c r="O19" s="32" t="n">
        <x:v>4.16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Carcharhinus longimanus</x:v>
      </x:c>
      <x:c r="T19" s="32" t="n">
        <x:f>IF(O19="","",(1/'Metadata'!$B$5)^(O19-1))</x:f>
        <x:v>1445.439770745928</x:v>
      </x:c>
      <x:c r="U19" s="31" t="n">
        <x:f>IF(T19="","",I19*T19)</x:f>
        <x:v>1.528530008703395</x:v>
      </x:c>
    </x:row>
  </x:sheetData>
  <x:conditionalFormatting sqref="R2:R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a9578cd67c144fff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commercial_group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Other fishes &amp; inverts</x:v>
      </x:c>
      <x:c r="B2" s="33" t="n">
        <x:v>2</x:v>
      </x:c>
      <x:c r="C2" s="33" t="n">
        <x:v>2</x:v>
      </x:c>
      <x:c r="D2" s="31" t="n">
        <x:v>514.5342757878</x:v>
      </x:c>
      <x:c r="E2" s="31" t="n">
        <x:v>514.5342757878</x:v>
      </x:c>
      <x:c r="F2" s="32" t="n">
        <x:v>0</x:v>
      </x:c>
      <x:c r="G2" s="34" t="n">
        <x:v>1</x:v>
      </x:c>
      <x:c r="H2" s="32" t="n">
        <x:f>IF(E2=0,"",I2/E2)</x:f>
        <x:v>192.4234865369326</x:v>
      </x:c>
      <x:c r="I2" s="31" t="n">
        <x:f>IF(C2=0,"",SUMIF('Species'!$H$2:$H$19,A2,'Species'!$U$2:$U$19))</x:f>
        <x:v>99008.47928984408</x:v>
      </x:c>
      <x:c r="J2" s="32" t="n">
        <x:v>3.2839434335347693</x:v>
      </x:c>
      <x:c r="K2" s="32" t="n">
        <x:f>IF(J2="","",(1/'Metadata'!$B$5)^(J2-1))</x:f>
        <x:v>192.28412642557646</x:v>
      </x:c>
      <x:c r="L2" s="31" t="n">
        <x:f>IF(E2=0,"",E2*K2)</x:f>
        <x:v>98936.77373587375</x:v>
      </x:c>
      <x:c r="M2" s="31" t="n">
        <x:f>IF(E2=0,"",I2-L2)</x:f>
        <x:v>71.70555397032876</x:v>
      </x:c>
      <x:c r="N2" s="32" t="n">
        <x:f>IF(L2=0,"",I2/L2)</x:f>
        <x:v>1.000724761393188</x:v>
      </x:c>
      <x:c r="O2" s="34" t="n">
        <x:f>IF(L2=0,"",M2/L2)</x:f>
        <x:v>0.0007247613931879089</x:v>
      </x:c>
    </x:row>
    <x:row r="3" ht="18" customHeight="1">
      <x:c r="A3" s="24" t="str">
        <x:v>Perch-likes</x:v>
      </x:c>
      <x:c r="B3" s="33" t="n">
        <x:v>3</x:v>
      </x:c>
      <x:c r="C3" s="33" t="n">
        <x:v>3</x:v>
      </x:c>
      <x:c r="D3" s="31" t="n">
        <x:v>697.1399701814</x:v>
      </x:c>
      <x:c r="E3" s="31" t="n">
        <x:v>697.1399701814</x:v>
      </x:c>
      <x:c r="F3" s="32" t="n">
        <x:v>0</x:v>
      </x:c>
      <x:c r="G3" s="34" t="n">
        <x:v>1</x:v>
      </x:c>
      <x:c r="H3" s="32" t="n">
        <x:f>IF(E3=0,"",I3/E3)</x:f>
        <x:v>1909.5186023218855</x:v>
      </x:c>
      <x:c r="I3" s="31" t="n">
        <x:f>IF(C3=0,"",SUMIF('Species'!$H$2:$H$19,A3,'Species'!$U$2:$U$19))</x:f>
        <x:v>1331201.741483508</x:v>
      </x:c>
      <x:c r="J3" s="32" t="n">
        <x:v>4.268361710475326</x:v>
      </x:c>
      <x:c r="K3" s="32" t="n">
        <x:f>IF(J3="","",(1/'Metadata'!$B$5)^(J3-1))</x:f>
        <x:v>1855.0760157687569</x:v>
      </x:c>
      <x:c r="L3" s="31" t="n">
        <x:f>IF(E3=0,"",E3*K3)</x:f>
        <x:v>1293247.6383172616</x:v>
      </x:c>
      <x:c r="M3" s="31" t="n">
        <x:f>IF(E3=0,"",I3-L3)</x:f>
        <x:v>37954.10316624632</x:v>
      </x:c>
      <x:c r="N3" s="32" t="n">
        <x:f>IF(L3=0,"",I3/L3)</x:f>
        <x:v>1.029347900619893</x:v>
      </x:c>
      <x:c r="O3" s="34" t="n">
        <x:f>IF(L3=0,"",M3/L3)</x:f>
        <x:v>0.029347900619893</x:v>
      </x:c>
    </x:row>
    <x:row r="4" ht="18" customHeight="1">
      <x:c r="A4" s="24" t="str">
        <x:v>Sharks &amp; rays</x:v>
      </x:c>
      <x:c r="B4" s="33" t="n">
        <x:v>5</x:v>
      </x:c>
      <x:c r="C4" s="33" t="n">
        <x:v>5</x:v>
      </x:c>
      <x:c r="D4" s="31" t="n">
        <x:v>333.5972932421</x:v>
      </x:c>
      <x:c r="E4" s="31" t="n">
        <x:v>333.5972932421</x:v>
      </x:c>
      <x:c r="F4" s="32" t="n">
        <x:v>0</x:v>
      </x:c>
      <x:c r="G4" s="34" t="n">
        <x:v>1</x:v>
      </x:c>
      <x:c r="H4" s="32" t="n">
        <x:f>IF(E4=0,"",I4/E4)</x:f>
        <x:v>1507.4312876206577</x:v>
      </x:c>
      <x:c r="I4" s="31" t="n">
        <x:f>IF(C4=0,"",SUMIF('Species'!$H$2:$H$19,A4,'Species'!$U$2:$U$19))</x:f>
        <x:v>502874.997298705</x:v>
      </x:c>
      <x:c r="J4" s="32" t="n">
        <x:v>4.151984974058178</x:v>
      </x:c>
      <x:c r="K4" s="32" t="n">
        <x:f>IF(J4="","",(1/'Metadata'!$B$5)^(J4-1))</x:f>
        <x:v>1419.0084252630734</x:v>
      </x:c>
      <x:c r="L4" s="31" t="n">
        <x:f>IF(E4=0,"",E4*K4)</x:f>
        <x:v>473377.36975549604</x:v>
      </x:c>
      <x:c r="M4" s="31" t="n">
        <x:f>IF(E4=0,"",I4-L4)</x:f>
        <x:v>29497.627543208946</x:v>
      </x:c>
      <x:c r="N4" s="32" t="n">
        <x:f>IF(L4=0,"",I4/L4)</x:f>
        <x:v>1.062313134145903</x:v>
      </x:c>
      <x:c r="O4" s="34" t="n">
        <x:f>IF(L4=0,"",M4/L4)</x:f>
        <x:v>0.06231313414590299</x:v>
      </x:c>
    </x:row>
    <x:row r="5" ht="18" customHeight="1">
      <x:c r="A5" s="24" t="str">
        <x:v>Tuna &amp; billfishes</x:v>
      </x:c>
      <x:c r="B5" s="33" t="n">
        <x:v>8</x:v>
      </x:c>
      <x:c r="C5" s="33" t="n">
        <x:v>8</x:v>
      </x:c>
      <x:c r="D5" s="31" t="n">
        <x:v>2806.8830990008</x:v>
      </x:c>
      <x:c r="E5" s="31" t="n">
        <x:v>2806.8830990008</x:v>
      </x:c>
      <x:c r="F5" s="32" t="n">
        <x:v>0</x:v>
      </x:c>
      <x:c r="G5" s="34" t="n">
        <x:v>1</x:v>
      </x:c>
      <x:c r="H5" s="32" t="n">
        <x:f>IF(E5=0,"",I5/E5)</x:f>
        <x:v>2725.4141191251224</x:v>
      </x:c>
      <x:c r="I5" s="31" t="n">
        <x:f>IF(C5=0,"",SUMIF('Species'!$H$2:$H$19,A5,'Species'!$U$2:$U$19))</x:f>
        <x:v>7649918.828750459</x:v>
      </x:c>
      <x:c r="J5" s="32" t="n">
        <x:v>4.434930194941016</x:v>
      </x:c>
      <x:c r="K5" s="32" t="n">
        <x:f>IF(J5="","",(1/'Metadata'!$B$5)^(J5-1))</x:f>
        <x:v>2722.263717779375</x:v>
      </x:c>
      <x:c r="L5" s="31" t="n">
        <x:f>IF(E5=0,"",E5*K5)</x:f>
        <x:v>7641076.020458011</x:v>
      </x:c>
      <x:c r="M5" s="31" t="n">
        <x:f>IF(E5=0,"",I5-L5)</x:f>
        <x:v>8842.80829244759</x:v>
      </x:c>
      <x:c r="N5" s="32" t="n">
        <x:f>IF(L5=0,"",I5/L5)</x:f>
        <x:v>1.0011572726496598</x:v>
      </x:c>
      <x:c r="O5" s="34" t="n">
        <x:f>IF(L5=0,"",M5/L5)</x:f>
        <x:v>0.0011572726496598244</x:v>
      </x:c>
    </x:row>
  </x:sheetData>
  <x:conditionalFormatting sqref="G2:G5">
    <x:cfRule type="cellIs" dxfId="1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fdde08c48b8047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29" t="str">
        <x:v>functional_group</x:v>
      </x:c>
      <x:c r="B1" s="29" t="str">
        <x:v>taxon_count_total</x:v>
      </x:c>
      <x:c r="C1" s="29" t="str">
        <x:v>taxon_count_matched</x:v>
      </x:c>
      <x:c r="D1" s="29" t="str">
        <x:v>catch_tonnes_total</x:v>
      </x:c>
      <x:c r="E1" s="29" t="str">
        <x:v>catch_tonnes_matched</x:v>
      </x:c>
      <x:c r="F1" s="29" t="str">
        <x:v>catch_tonnes_missing_tl</x:v>
      </x:c>
      <x:c r="G1" s="29" t="str">
        <x:v>catch_coverage_fraction</x:v>
      </x:c>
      <x:c r="H1" s="29" t="str">
        <x:v>sppr_correct</x:v>
      </x:c>
      <x:c r="I1" s="29" t="str">
        <x:v>ppr_correct</x:v>
      </x:c>
      <x:c r="J1" s="29" t="str">
        <x:v>tl_weighted_jensen</x:v>
      </x:c>
      <x:c r="K1" s="29" t="str">
        <x:v>sppr_jensen</x:v>
      </x:c>
      <x:c r="L1" s="29" t="str">
        <x:v>ppr_jensen</x:v>
      </x:c>
      <x:c r="M1" s="29" t="str">
        <x:v>jensen_difference</x:v>
      </x:c>
      <x:c r="N1" s="29" t="str">
        <x:v>jensen_ratio_correct_to_error</x:v>
      </x:c>
      <x:c r="O1" s="29" t="str">
        <x:v>jensen_percent_difference</x:v>
      </x:c>
    </x:row>
    <x:row r="2" ht="18" customHeight="1">
      <x:c r="A2" s="24" t="str">
        <x:v>Large pelagics (&gt;=90 cm)</x:v>
      </x:c>
      <x:c r="B2" s="33" t="n">
        <x:v>9</x:v>
      </x:c>
      <x:c r="C2" s="33" t="n">
        <x:v>9</x:v>
      </x:c>
      <x:c r="D2" s="31" t="n">
        <x:v>3078.7602455735</x:v>
      </x:c>
      <x:c r="E2" s="31" t="n">
        <x:v>3078.7602455735</x:v>
      </x:c>
      <x:c r="F2" s="32" t="n">
        <x:v>0</x:v>
      </x:c>
      <x:c r="G2" s="34" t="n">
        <x:v>1</x:v>
      </x:c>
      <x:c r="H2" s="32" t="n">
        <x:f>IF(E2=0,"",I2/E2)</x:f>
        <x:v>2691.752656572782</x:v>
      </x:c>
      <x:c r="I2" s="31" t="n">
        <x:f>IF(C2=0,"",SUMIF('Species'!$G$2:$G$19,A2,'Species'!$U$2:$U$19))</x:f>
        <x:v>8287261.06997314</x:v>
      </x:c>
      <x:c r="J2" s="32" t="n">
        <x:v>4.429196381743853</x:v>
      </x:c>
      <x:c r="K2" s="32" t="n">
        <x:f>IF(J2="","",(1/'Metadata'!$B$5)^(J2-1))</x:f>
        <x:v>2686.5589945318825</x:v>
      </x:c>
      <x:c r="L2" s="31" t="n">
        <x:f>IF(E2=0,"",E2*K2)</x:f>
        <x:v>8271271.029752674</x:v>
      </x:c>
      <x:c r="M2" s="31" t="n">
        <x:f>IF(E2=0,"",I2-L2)</x:f>
        <x:v>15990.040220466442</x:v>
      </x:c>
      <x:c r="N2" s="32" t="n">
        <x:f>IF(L2=0,"",I2/L2)</x:f>
        <x:v>1.0019332023050567</x:v>
      </x:c>
      <x:c r="O2" s="34" t="n">
        <x:f>IF(L2=0,"",M2/L2)</x:f>
        <x:v>0.001933202305056684</x:v>
      </x:c>
    </x:row>
    <x:row r="3" ht="18" customHeight="1">
      <x:c r="A3" s="24" t="str">
        <x:v>Large sharks (&gt;=90 cm)</x:v>
      </x:c>
      <x:c r="B3" s="33" t="n">
        <x:v>5</x:v>
      </x:c>
      <x:c r="C3" s="33" t="n">
        <x:v>5</x:v>
      </x:c>
      <x:c r="D3" s="31" t="n">
        <x:v>333.5972932421</x:v>
      </x:c>
      <x:c r="E3" s="31" t="n">
        <x:v>333.5972932421</x:v>
      </x:c>
      <x:c r="F3" s="32" t="n">
        <x:v>0</x:v>
      </x:c>
      <x:c r="G3" s="34" t="n">
        <x:v>1</x:v>
      </x:c>
      <x:c r="H3" s="32" t="n">
        <x:f>IF(E3=0,"",I3/E3)</x:f>
        <x:v>1507.4312876206577</x:v>
      </x:c>
      <x:c r="I3" s="31" t="n">
        <x:f>IF(C3=0,"",SUMIF('Species'!$G$2:$G$19,A3,'Species'!$U$2:$U$19))</x:f>
        <x:v>502874.997298705</x:v>
      </x:c>
      <x:c r="J3" s="32" t="n">
        <x:v>4.151984974058178</x:v>
      </x:c>
      <x:c r="K3" s="32" t="n">
        <x:f>IF(J3="","",(1/'Metadata'!$B$5)^(J3-1))</x:f>
        <x:v>1419.0084252630734</x:v>
      </x:c>
      <x:c r="L3" s="31" t="n">
        <x:f>IF(E3=0,"",E3*K3)</x:f>
        <x:v>473377.36975549604</x:v>
      </x:c>
      <x:c r="M3" s="31" t="n">
        <x:f>IF(E3=0,"",I3-L3)</x:f>
        <x:v>29497.627543208946</x:v>
      </x:c>
      <x:c r="N3" s="32" t="n">
        <x:f>IF(L3=0,"",I3/L3)</x:f>
        <x:v>1.062313134145903</x:v>
      </x:c>
      <x:c r="O3" s="34" t="n">
        <x:f>IF(L3=0,"",M3/L3)</x:f>
        <x:v>0.06231313414590299</x:v>
      </x:c>
    </x:row>
    <x:row r="4" ht="18" customHeight="1">
      <x:c r="A4" s="24" t="str">
        <x:v>Medium demersals (30 - 89 cm)</x:v>
      </x:c>
      <x:c r="B4" s="33" t="n">
        <x:v>1</x:v>
      </x:c>
      <x:c r="C4" s="33" t="n">
        <x:v>1</x:v>
      </x:c>
      <x:c r="D4" s="31" t="n">
        <x:v>485.5481083888</x:v>
      </x:c>
      <x:c r="E4" s="31" t="n">
        <x:v>485.5481083888</x:v>
      </x:c>
      <x:c r="F4" s="32" t="n">
        <x:v>0</x:v>
      </x:c>
      <x:c r="G4" s="34" t="n">
        <x:v>1</x:v>
      </x:c>
      <x:c r="H4" s="32" t="n">
        <x:f>IF(E4=0,"",I4/E4)</x:f>
        <x:v>190.54607179632464</x:v>
      </x:c>
      <x:c r="I4" s="31" t="n">
        <x:f>IF(C4=0,"",SUMIF('Species'!$G$2:$G$19,A4,'Species'!$U$2:$U$19))</x:f>
        <x:v>92519.28472162191</x:v>
      </x:c>
      <x:c r="J4" s="32" t="n">
        <x:v>3.28</x:v>
      </x:c>
      <x:c r="K4" s="32" t="n">
        <x:f>IF(J4="","",(1/'Metadata'!$B$5)^(J4-1))</x:f>
        <x:v>190.54607179632464</x:v>
      </x:c>
      <x:c r="L4" s="31" t="n">
        <x:f>IF(E4=0,"",E4*K4)</x:f>
        <x:v>92519.28472162191</x:v>
      </x:c>
      <x:c r="M4" s="31" t="n">
        <x:f>IF(E4=0,"",I4-L4)</x:f>
        <x:v>0</x:v>
      </x:c>
      <x:c r="N4" s="32" t="n">
        <x:f>IF(L4=0,"",I4/L4)</x:f>
        <x:v>1</x:v>
      </x:c>
      <x:c r="O4" s="34" t="n">
        <x:f>IF(L4=0,"",M4/L4)</x:f>
        <x:v>0</x:v>
      </x:c>
    </x:row>
    <x:row r="5" ht="18" customHeight="1">
      <x:c r="A5" s="24" t="str">
        <x:v>Medium pelagics (30 - 89 cm)</x:v>
      </x:c>
      <x:c r="B5" s="33" t="n">
        <x:v>3</x:v>
      </x:c>
      <x:c r="C5" s="33" t="n">
        <x:v>3</x:v>
      </x:c>
      <x:c r="D5" s="31" t="n">
        <x:v>454.2489910077</x:v>
      </x:c>
      <x:c r="E5" s="31" t="n">
        <x:v>454.2489910077</x:v>
      </x:c>
      <x:c r="F5" s="32" t="n">
        <x:v>0</x:v>
      </x:c>
      <x:c r="G5" s="34" t="n">
        <x:v>1</x:v>
      </x:c>
      <x:c r="H5" s="32" t="n">
        <x:f>IF(E5=0,"",I5/E5)</x:f>
        <x:v>1541.7727032819694</x:v>
      </x:c>
      <x:c r="I5" s="31" t="n">
        <x:f>IF(C5=0,"",SUMIF('Species'!$G$2:$G$19,A5,'Species'!$U$2:$U$19))</x:f>
        <x:v>700348.6948290486</x:v>
      </x:c>
      <x:c r="J5" s="32" t="n">
        <x:v>4.1489274013515685</x:v>
      </x:c>
      <x:c r="K5" s="32" t="n">
        <x:f>IF(J5="","",(1/'Metadata'!$B$5)^(J5-1))</x:f>
        <x:v>1409.0532349614914</x:v>
      </x:c>
      <x:c r="L5" s="31" t="n">
        <x:f>IF(E5=0,"",E5*K5)</x:f>
        <x:v>640061.0102573931</x:v>
      </x:c>
      <x:c r="M5" s="31" t="n">
        <x:f>IF(E5=0,"",I5-L5)</x:f>
        <x:v>60287.68457165547</x:v>
      </x:c>
      <x:c r="N5" s="32" t="n">
        <x:f>IF(L5=0,"",I5/L5)</x:f>
        <x:v>1.094190528098894</x:v>
      </x:c>
      <x:c r="O5" s="34" t="n">
        <x:f>IF(L5=0,"",M5/L5)</x:f>
        <x:v>0.094190528098894</x:v>
      </x:c>
    </x:row>
  </x:sheetData>
  <x:conditionalFormatting sqref="G2:G5">
    <x:cfRule type="cellIs" dxfId="2" priority="1" operator="lessThan">
      <x:formula>0.9</x:formula>
    </x:cfRule>
  </x:conditionalFormatting>
  <x:conditionalFormatting sqref="O2:O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837c85aebd8542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EEZ_846</x:v>
      </x:c>
      <x:c r="B2" s="24" t="str">
        <x:v>raw_filtered_tonnes</x:v>
      </x:c>
      <x:c r="C2" s="24" t="n">
        <x:v>4352.1546382121</x:v>
      </x:c>
      <x:c r="D2" s="24" t="str">
        <x:v>tonnes</x:v>
      </x:c>
    </x:row>
    <x:row r="3" ht="18" customHeight="1">
      <x:c r="A3" s="24" t="str">
        <x:v>EEZ_846</x:v>
      </x:c>
      <x:c r="B3" s="24" t="str">
        <x:v>species_catch_tonnes</x:v>
      </x:c>
      <x:c r="C3" s="24" t="n">
        <x:v>4352.1546382121005</x:v>
      </x:c>
      <x:c r="D3" s="24" t="str">
        <x:v>tonnes</x:v>
      </x:c>
    </x:row>
    <x:row r="4" ht="18" customHeight="1">
      <x:c r="A4" s="24" t="str">
        <x:v>EEZ_846</x:v>
      </x:c>
      <x:c r="B4" s="24" t="str">
        <x:v>catch_difference_tonnes</x:v>
      </x:c>
      <x:c r="C4" s="24" t="n">
        <x:v>9.094947017729282e-13</x:v>
      </x:c>
      <x:c r="D4" s="24" t="str">
        <x:v>tonnes</x:v>
      </x:c>
    </x:row>
    <x:row r="5" ht="18" customHeight="1">
      <x:c r="A5" s="24" t="str">
        <x:v>EEZ_846</x:v>
      </x:c>
      <x:c r="B5" s="24" t="str">
        <x:v>catch_reconciled</x:v>
      </x:c>
      <x:c r="C5" s="35" t="b">
        <x:v>1</x:v>
      </x:c>
      <x:c r="D5" s="24" t="str">
        <x:v>boolean</x:v>
      </x:c>
    </x:row>
    <x:row r="6" ht="18" customHeight="1">
      <x:c r="A6" s="24" t="str">
        <x:v>EEZ_846</x:v>
      </x:c>
      <x:c r="B6" s="24" t="str">
        <x:v>matched_catch_tonnes</x:v>
      </x:c>
      <x:c r="C6" s="24" t="n">
        <x:v>4352.1546382121005</x:v>
      </x:c>
      <x:c r="D6" s="24" t="str">
        <x:v>tonnes</x:v>
      </x:c>
    </x:row>
    <x:row r="7" ht="18" customHeight="1">
      <x:c r="A7" s="24" t="str">
        <x:v>EEZ_846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EEZ_846</x:v>
      </x:c>
      <x:c r="B8" s="24" t="str">
        <x:v>taxa_count</x:v>
      </x:c>
      <x:c r="C8" s="24" t="n">
        <x:v>18</x:v>
      </x:c>
      <x:c r="D8" s="24" t="str">
        <x:v>count</x:v>
      </x:c>
    </x:row>
    <x:row r="9" ht="18" customHeight="1">
      <x:c r="A9" s="24" t="str">
        <x:v>EEZ_846</x:v>
      </x:c>
      <x:c r="B9" s="24" t="str">
        <x:v>matched_taxa_count</x:v>
      </x:c>
      <x:c r="C9" s="24" t="n">
        <x:v>18</x:v>
      </x:c>
      <x:c r="D9" s="24" t="str">
        <x:v>count</x:v>
      </x:c>
    </x:row>
    <x:row r="10" ht="18" customHeight="1">
      <x:c r="A10" s="24" t="str">
        <x:v>EEZ_846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EEZ_846</x:v>
      </x:c>
      <x:c r="B11" s="24" t="str">
        <x:v>species_ppr</x:v>
      </x:c>
      <x:c r="C11" s="24" t="n">
        <x:v>9583004.046822514</x:v>
      </x:c>
      <x:c r="D11" s="24" t="str">
        <x:v>tonnes_primary_production_equivalent</x:v>
      </x:c>
    </x:row>
    <x:row r="12" ht="18" customHeight="1">
      <x:c r="A12" s="24" t="str">
        <x:v>EEZ_846</x:v>
      </x:c>
      <x:c r="B12" s="24" t="str">
        <x:v>commercial_ppr</x:v>
      </x:c>
      <x:c r="C12" s="24" t="n">
        <x:v>9583004.046822514</x:v>
      </x:c>
      <x:c r="D12" s="24" t="str">
        <x:v>tonnes_primary_production_equivalent</x:v>
      </x:c>
    </x:row>
    <x:row r="13" ht="18" customHeight="1">
      <x:c r="A13" s="24" t="str">
        <x:v>EEZ_846</x:v>
      </x:c>
      <x:c r="B13" s="24" t="str">
        <x:v>functional_ppr</x:v>
      </x:c>
      <x:c r="C13" s="24" t="n">
        <x:v>9583004.046822514</x:v>
      </x:c>
      <x:c r="D13" s="24" t="str">
        <x:v>tonnes_primary_production_equivalent</x:v>
      </x:c>
    </x:row>
    <x:row r="14" ht="18" customHeight="1">
      <x:c r="A14" s="24" t="str">
        <x:v>EEZ_846</x:v>
      </x:c>
      <x:c r="B14" s="24" t="str">
        <x:v>commercial_ppr_difference</x:v>
      </x:c>
      <x:c r="C14" s="24" t="n">
        <x:v>0</x:v>
      </x:c>
      <x:c r="D14" s="24" t="str">
        <x:v>tonnes_primary_production_equivalent</x:v>
      </x:c>
    </x:row>
    <x:row r="15" ht="18" customHeight="1">
      <x:c r="A15" s="24" t="str">
        <x:v>EEZ_846</x:v>
      </x:c>
      <x:c r="B15" s="24" t="str">
        <x:v>functional_ppr_difference</x:v>
      </x:c>
      <x:c r="C15" s="24" t="n">
        <x:v>0</x:v>
      </x:c>
      <x:c r="D15" s="24" t="str">
        <x:v>tonnes_primary_production_equivalent</x:v>
      </x:c>
    </x:row>
    <x:row r="16" ht="18" customHeight="1">
      <x:c r="A16" s="24" t="str">
        <x:v>EEZ_846</x:v>
      </x:c>
      <x:c r="B16" s="24" t="str">
        <x:v>commercial_ppr_reconciled</x:v>
      </x:c>
      <x:c r="C16" s="35" t="b">
        <x:v>1</x:v>
      </x:c>
      <x:c r="D16" s="24" t="str">
        <x:v>boolean</x:v>
      </x:c>
    </x:row>
    <x:row r="17" ht="18" customHeight="1">
      <x:c r="A17" s="24" t="str">
        <x:v>EEZ_846</x:v>
      </x:c>
      <x:c r="B17" s="24" t="str">
        <x:v>functional_ppr_reconciled</x:v>
      </x:c>
      <x:c r="C17" s="35" t="b">
        <x:v>1</x:v>
      </x:c>
      <x:c r="D17" s="24" t="str">
        <x:v>boolean</x:v>
      </x:c>
    </x:row>
    <x:row r="18" ht="18" customHeight="1">
      <x:c r="A18" s="24" t="str">
        <x:v>EEZ_846</x:v>
      </x:c>
      <x:c r="B18" s="24" t="str">
        <x:v>commercial_jensen_violations</x:v>
      </x:c>
      <x:c r="C18" s="24" t="n">
        <x:v>0</x:v>
      </x:c>
      <x:c r="D18" s="24" t="str">
        <x:v>count</x:v>
      </x:c>
    </x:row>
    <x:row r="19" ht="18" customHeight="1">
      <x:c r="A19" s="24" t="str">
        <x:v>EEZ_846</x:v>
      </x:c>
      <x:c r="B19" s="24" t="str">
        <x:v>functional_jensen_violations</x:v>
      </x:c>
      <x:c r="C19" s="24" t="n">
        <x:v>0</x:v>
      </x:c>
      <x:c r="D19" s="24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3d5e370dff974fb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EEZ_846 - Howland &amp; Baker Isl. (USA)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EEZ_846</x:v>
      </x:c>
      <x:c r="C4" s="18" t="str">
        <x:v>Sea Around Us region identifier</x:v>
      </x:c>
    </x:row>
    <x:row r="5">
      <x:c r="A5" s="22" t="str">
        <x:v>Transfer efficiency</x:v>
      </x:c>
      <x:c r="B5" s="36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raw_data/SAU_downloads/EEZ_846-catch.zip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