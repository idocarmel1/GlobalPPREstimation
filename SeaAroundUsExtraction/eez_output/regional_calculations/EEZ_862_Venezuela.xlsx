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f0945b167e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6c197bf81e5a4865"/>
    <x:sheet xmlns:r="http://schemas.openxmlformats.org/officeDocument/2006/relationships" name="Commercial" sheetId="2" r:id="R76177c9d40484738"/>
    <x:sheet xmlns:r="http://schemas.openxmlformats.org/officeDocument/2006/relationships" name="Functional" sheetId="3" r:id="R4639110b1a0440e2"/>
    <x:sheet xmlns:r="http://schemas.openxmlformats.org/officeDocument/2006/relationships" name="Missing TL" sheetId="4" r:id="R4958a904ab5e4672"/>
    <x:sheet xmlns:r="http://schemas.openxmlformats.org/officeDocument/2006/relationships" name="Validation" sheetId="5" r:id="R3d52acd7532d44b2"/>
    <x:sheet xmlns:r="http://schemas.openxmlformats.org/officeDocument/2006/relationships" name="Metadata" sheetId="6" r:id="R3abd783ac9654b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250ba32f0c461c" /><Relationship Type="http://schemas.openxmlformats.org/officeDocument/2006/relationships/theme" Target="/xl/theme/theme1.xml" Id="Ref2b45a3ca1f455b" /><Relationship Type="http://schemas.microsoft.com/office/2022/11/relationships/FeaturePropertyBag" Target="/xl/featurePropertyBag/featurePropertyBag.xml" Id="R0c53f67be1394c3b" /><Relationship Type="http://schemas.openxmlformats.org/officeDocument/2006/relationships/sharedStrings" Target="/xl/sharedStrings.xml" Id="R556124dcdf85484a" /><Relationship Type="http://schemas.openxmlformats.org/officeDocument/2006/relationships/worksheet" Target="/xl/worksheets/sheet1.xml" Id="R6c197bf81e5a4865" /><Relationship Type="http://schemas.openxmlformats.org/officeDocument/2006/relationships/worksheet" Target="/xl/worksheets/sheet2.xml" Id="R76177c9d40484738" /><Relationship Type="http://schemas.openxmlformats.org/officeDocument/2006/relationships/worksheet" Target="/xl/worksheets/sheet3.xml" Id="R4639110b1a0440e2" /><Relationship Type="http://schemas.openxmlformats.org/officeDocument/2006/relationships/worksheet" Target="/xl/worksheets/sheet4.xml" Id="R4958a904ab5e4672" /><Relationship Type="http://schemas.openxmlformats.org/officeDocument/2006/relationships/worksheet" Target="/xl/worksheets/sheet5.xml" Id="R3d52acd7532d44b2" /><Relationship Type="http://schemas.openxmlformats.org/officeDocument/2006/relationships/worksheet" Target="/xl/worksheets/sheet6.xml" Id="R3abd783ac9654bc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62SpeciesTable" displayName="EEZ862SpeciesTable" ref="A1:U154" headerRowCount="1" totalsRowCount="0" totalsRowShown="0">
  <x:autoFilter ref="A1:U15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62CommercialTable" displayName="EEZ862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62FunctionalTable" displayName="EEZ862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62ValidationTable" displayName="EEZ862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39b926d66947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481113246ba4a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2f0d0b163fd46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8f859a69e14f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EEZ_862</x:v>
      </x:c>
      <x:c r="B2" s="24" t="str">
        <x:v>Venezuela</x:v>
      </x:c>
      <x:c r="C2" s="24" t="str">
        <x:v>EEZ</x:v>
      </x:c>
      <x:c r="D2" s="30" t="n">
        <x:v>2019</x:v>
      </x:c>
      <x:c r="E2" s="24" t="str">
        <x:v>Sardinella aurita</x:v>
      </x:c>
      <x:c r="F2" s="24" t="str">
        <x:v>Round sardinella</x:v>
      </x:c>
      <x:c r="G2" s="24" t="str">
        <x:v>Small pelagics (&lt;30 cm)</x:v>
      </x:c>
      <x:c r="H2" s="24" t="str">
        <x:v>Herring-likes</x:v>
      </x:c>
      <x:c r="I2" s="31" t="n">
        <x:v>128428.5261085897</x:v>
      </x:c>
      <x:c r="J2" s="31" t="n">
        <x:v>127387.0336803097</x:v>
      </x:c>
      <x:c r="K2" s="31" t="n">
        <x:v>1041.49242828</x:v>
      </x:c>
      <x:c r="L2" s="31" t="n">
        <x:v>126400</x:v>
      </x:c>
      <x:c r="M2" s="31" t="n">
        <x:v>2028.5261085897</x:v>
      </x:c>
      <x:c r="N2" s="24" t="str">
        <x:v>sardinella aurita</x:v>
      </x:c>
      <x:c r="O2" s="32" t="n">
        <x:v>3.4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aurita</x:v>
      </x:c>
      <x:c r="T2" s="32" t="n">
        <x:f>IF(O2="","",(1/'Metadata'!$B$5)^(O2-1))</x:f>
        <x:v>251.18864315095797</x:v>
      </x:c>
      <x:c r="U2" s="31" t="n">
        <x:f>IF(T2="","",I2*T2)</x:f>
        <x:v>32259787.215094026</x:v>
      </x:c>
    </x:row>
    <x:row r="3" ht="18" customHeight="1">
      <x:c r="A3" s="24" t="str">
        <x:v>EEZ_862</x:v>
      </x:c>
      <x:c r="B3" s="24" t="str">
        <x:v>Venezuela</x:v>
      </x:c>
      <x:c r="C3" s="24" t="str">
        <x:v>EEZ</x:v>
      </x:c>
      <x:c r="D3" s="30" t="n">
        <x:v>2019</x:v>
      </x:c>
      <x:c r="E3" s="24" t="str">
        <x:v>Arca</x:v>
      </x:c>
      <x:c r="F3" s="24" t="str">
        <x:v>Arks, turkey wings</x:v>
      </x:c>
      <x:c r="G3" s="24" t="str">
        <x:v>Other demersal invertebrates</x:v>
      </x:c>
      <x:c r="H3" s="24" t="str">
        <x:v>Molluscs</x:v>
      </x:c>
      <x:c r="I3" s="31" t="n">
        <x:v>30256.8941573721</x:v>
      </x:c>
      <x:c r="J3" s="31" t="n">
        <x:v>30256.8941573721</x:v>
      </x:c>
      <x:c r="K3" s="31" t="n">
        <x:v>0</x:v>
      </x:c>
      <x:c r="L3" s="31" t="n">
        <x:v>29970</x:v>
      </x:c>
      <x:c r="M3" s="31" t="n">
        <x:v>286.8941573721</x:v>
      </x:c>
      <x:c r="N3" s="24" t="str">
        <x:v>arca</x:v>
      </x:c>
      <x:c r="O3" s="32" t="n">
        <x:v>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Arca</x:v>
      </x:c>
      <x:c r="T3" s="32" t="n">
        <x:f>IF(O3="","",(1/'Metadata'!$B$5)^(O3-1))</x:f>
        <x:v>10</x:v>
      </x:c>
      <x:c r="U3" s="31" t="n">
        <x:f>IF(T3="","",I3*T3)</x:f>
        <x:v>302568.941573721</x:v>
      </x:c>
    </x:row>
    <x:row r="4" ht="18" customHeight="1">
      <x:c r="A4" s="24" t="str">
        <x:v>EEZ_862</x:v>
      </x:c>
      <x:c r="B4" s="24" t="str">
        <x:v>Venezuela</x:v>
      </x:c>
      <x:c r="C4" s="24" t="str">
        <x:v>EEZ</x:v>
      </x:c>
      <x:c r="D4" s="30" t="n">
        <x:v>2019</x:v>
      </x:c>
      <x:c r="E4" s="24" t="str">
        <x:v>Batoidea</x:v>
      </x:c>
      <x:c r="F4" s="24" t="str">
        <x:v>Batoids, skates, rays, sawfishes</x:v>
      </x:c>
      <x:c r="G4" s="24" t="str">
        <x:v>Large rays (&gt;=90 cm)</x:v>
      </x:c>
      <x:c r="H4" s="24" t="str">
        <x:v>Sharks &amp; rays</x:v>
      </x:c>
      <x:c r="I4" s="31" t="n">
        <x:v>10500.108628690099</x:v>
      </x:c>
      <x:c r="J4" s="31" t="n">
        <x:v>10500.108628690099</x:v>
      </x:c>
      <x:c r="K4" s="31" t="n">
        <x:v>0</x:v>
      </x:c>
      <x:c r="L4" s="31" t="n">
        <x:v>3570</x:v>
      </x:c>
      <x:c r="M4" s="31" t="n">
        <x:v>6930.1086286901</x:v>
      </x:c>
      <x:c r="N4" s="24" t="str">
        <x:v>batoidea</x:v>
      </x:c>
      <x:c r="O4" s="32" t="n">
        <x:v>3.72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Batoidea</x:v>
      </x:c>
      <x:c r="T4" s="32" t="n">
        <x:f>IF(O4="","",(1/'Metadata'!$B$5)^(O4-1))</x:f>
        <x:v>524.8074602497728</x:v>
      </x:c>
      <x:c r="U4" s="31" t="n">
        <x:f>IF(T4="","",I4*T4)</x:f>
        <x:v>5510535.341769576</x:v>
      </x:c>
    </x:row>
    <x:row r="5" ht="18" customHeight="1">
      <x:c r="A5" s="24" t="str">
        <x:v>EEZ_862</x:v>
      </x:c>
      <x:c r="B5" s="24" t="str">
        <x:v>Venezuela</x:v>
      </x:c>
      <x:c r="C5" s="24" t="str">
        <x:v>EEZ</x:v>
      </x:c>
      <x:c r="D5" s="30" t="n">
        <x:v>2019</x:v>
      </x:c>
      <x:c r="E5" s="24" t="str">
        <x:v>Trichiurus lepturus</x:v>
      </x:c>
      <x:c r="F5" s="24" t="str">
        <x:v>Largehead hairtail</x:v>
      </x:c>
      <x:c r="G5" s="24" t="str">
        <x:v>Large benthopelagics (&gt;=90 cm)</x:v>
      </x:c>
      <x:c r="H5" s="24" t="str">
        <x:v>Perch-likes</x:v>
      </x:c>
      <x:c r="I5" s="31" t="n">
        <x:v>10215.0046154001</x:v>
      </x:c>
      <x:c r="J5" s="31" t="n">
        <x:v>10215.0046154001</x:v>
      </x:c>
      <x:c r="K5" s="31" t="n">
        <x:v>0</x:v>
      </x:c>
      <x:c r="L5" s="31" t="n">
        <x:v>4890</x:v>
      </x:c>
      <x:c r="M5" s="31" t="n">
        <x:v>5325.004615400099</x:v>
      </x:c>
      <x:c r="N5" s="24" t="str">
        <x:v>trichiurus lepturus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Trichiurus lepturus</x:v>
      </x:c>
      <x:c r="T5" s="32" t="n">
        <x:f>IF(O5="","",(1/'Metadata'!$B$5)^(O5-1))</x:f>
        <x:v>2630.2679918953813</x:v>
      </x:c>
      <x:c r="U5" s="31" t="n">
        <x:f>IF(T5="","",I5*T5)</x:f>
        <x:v>26868199.67695047</x:v>
      </x:c>
    </x:row>
    <x:row r="6" ht="18" customHeight="1">
      <x:c r="A6" s="24" t="str">
        <x:v>EEZ_862</x:v>
      </x:c>
      <x:c r="B6" s="24" t="str">
        <x:v>Venezuela</x:v>
      </x:c>
      <x:c r="C6" s="24" t="str">
        <x:v>EEZ</x:v>
      </x:c>
      <x:c r="D6" s="30" t="n">
        <x:v>2019</x:v>
      </x:c>
      <x:c r="E6" s="24" t="str">
        <x:v>Callinectes</x:v>
      </x:c>
      <x:c r="F6" s="24" t="str">
        <x:v>Beautiful swimming crabs</x:v>
      </x:c>
      <x:c r="G6" s="24" t="str">
        <x:v>Lobsters, crabs</x:v>
      </x:c>
      <x:c r="H6" s="24" t="str">
        <x:v>Crustaceans</x:v>
      </x:c>
      <x:c r="I6" s="31" t="n">
        <x:v>8165.9413185621</x:v>
      </x:c>
      <x:c r="J6" s="31" t="n">
        <x:v>8165.9413185621</x:v>
      </x:c>
      <x:c r="K6" s="31" t="n">
        <x:v>0</x:v>
      </x:c>
      <x:c r="L6" s="31" t="n">
        <x:v>7335</x:v>
      </x:c>
      <x:c r="M6" s="31" t="n">
        <x:v>830.9413185620999</x:v>
      </x:c>
      <x:c r="N6" s="24" t="str">
        <x:v>callinectes</x:v>
      </x:c>
      <x:c r="O6" s="32" t="n">
        <x:v>3.63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Callinectes</x:v>
      </x:c>
      <x:c r="T6" s="32" t="n">
        <x:f>IF(O6="","",(1/'Metadata'!$B$5)^(O6-1))</x:f>
        <x:v>426.57951880159254</x:v>
      </x:c>
      <x:c r="U6" s="31" t="n">
        <x:f>IF(T6="","",I6*T6)</x:f>
        <x:v>3483423.3182342625</x:v>
      </x:c>
    </x:row>
    <x:row r="7" ht="18" customHeight="1">
      <x:c r="A7" s="24" t="str">
        <x:v>EEZ_862</x:v>
      </x:c>
      <x:c r="B7" s="24" t="str">
        <x:v>Venezuela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7964.523364194</x:v>
      </x:c>
      <x:c r="J7" s="31" t="n">
        <x:v>6022.0972990625005</x:v>
      </x:c>
      <x:c r="K7" s="31" t="n">
        <x:v>1942.4260651315</x:v>
      </x:c>
      <x:c r="L7" s="31" t="n">
        <x:v>2752.2596404241</x:v>
      </x:c>
      <x:c r="M7" s="31" t="n">
        <x:v>5212.2637237699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1517608.6407772151</x:v>
      </x:c>
    </x:row>
    <x:row r="8" ht="18" customHeight="1">
      <x:c r="A8" s="24" t="str">
        <x:v>EEZ_862</x:v>
      </x:c>
      <x:c r="B8" s="24" t="str">
        <x:v>Venezuela</x:v>
      </x:c>
      <x:c r="C8" s="24" t="str">
        <x:v>EEZ</x:v>
      </x:c>
      <x:c r="D8" s="30" t="n">
        <x:v>2019</x:v>
      </x:c>
      <x:c r="E8" s="24" t="str">
        <x:v>Marine pelagic fishes not identified</x:v>
      </x:c>
      <x:c r="F8" s="24" t="str">
        <x:v>Pelagic fishes</x:v>
      </x:c>
      <x:c r="G8" s="24" t="str">
        <x:v>Medium pelagics (30 - 89 cm)</x:v>
      </x:c>
      <x:c r="H8" s="24" t="str">
        <x:v>Other fishes &amp; inverts</x:v>
      </x:c>
      <x:c r="I8" s="31" t="n">
        <x:v>7644.8206364464995</x:v>
      </x:c>
      <x:c r="J8" s="31" t="n">
        <x:v>7644.8206364464995</x:v>
      </x:c>
      <x:c r="K8" s="31" t="n">
        <x:v>0</x:v>
      </x:c>
      <x:c r="L8" s="31" t="n">
        <x:v>7644.6446759295995</x:v>
      </x:c>
      <x:c r="M8" s="31" t="n">
        <x:v>0.1759605169</x:v>
      </x:c>
      <x:c r="N8" s="24" t="str">
        <x:v>marine pelagic fishes not identified</x:v>
      </x:c>
      <x:c r="O8" s="32" t="n">
        <x:v>3.35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Marine pelagic fishes not identified</x:v>
      </x:c>
      <x:c r="T8" s="32" t="n">
        <x:f>IF(O8="","",(1/'Metadata'!$B$5)^(O8-1))</x:f>
        <x:v>223.872113856834</x:v>
      </x:c>
      <x:c r="U8" s="31" t="n">
        <x:f>IF(T8="","",I8*T8)</x:f>
        <x:v>1711462.1559376249</x:v>
      </x:c>
    </x:row>
    <x:row r="9" ht="18" customHeight="1">
      <x:c r="A9" s="24" t="str">
        <x:v>EEZ_862</x:v>
      </x:c>
      <x:c r="B9" s="24" t="str">
        <x:v>Venezuela</x:v>
      </x:c>
      <x:c r="C9" s="24" t="str">
        <x:v>EEZ</x:v>
      </x:c>
      <x:c r="D9" s="30" t="n">
        <x:v>2019</x:v>
      </x:c>
      <x:c r="E9" s="24" t="str">
        <x:v>Mugil</x:v>
      </x:c>
      <x:c r="F9" s="24" t="str">
        <x:v>Grey mullets</x:v>
      </x:c>
      <x:c r="G9" s="24" t="str">
        <x:v>Medium demersals (30 - 89 cm)</x:v>
      </x:c>
      <x:c r="H9" s="24" t="str">
        <x:v>Perch-likes</x:v>
      </x:c>
      <x:c r="I9" s="31" t="n">
        <x:v>7225.3853500496</x:v>
      </x:c>
      <x:c r="J9" s="31" t="n">
        <x:v>7225.3853500496</x:v>
      </x:c>
      <x:c r="K9" s="31" t="n">
        <x:v>0</x:v>
      </x:c>
      <x:c r="L9" s="31" t="n">
        <x:v>2900</x:v>
      </x:c>
      <x:c r="M9" s="31" t="n">
        <x:v>4325.3853500496</x:v>
      </x:c>
      <x:c r="N9" s="24" t="str">
        <x:v>mugil</x:v>
      </x:c>
      <x:c r="O9" s="32" t="n">
        <x:v>2.26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Mugil</x:v>
      </x:c>
      <x:c r="T9" s="32" t="n">
        <x:f>IF(O9="","",(1/'Metadata'!$B$5)^(O9-1))</x:f>
        <x:v>18.197008586099827</x:v>
      </x:c>
      <x:c r="U9" s="31" t="n">
        <x:f>IF(T9="","",I9*T9)</x:f>
        <x:v>131480.39925273246</x:v>
      </x:c>
    </x:row>
    <x:row r="10" ht="18" customHeight="1">
      <x:c r="A10" s="24" t="str">
        <x:v>EEZ_862</x:v>
      </x:c>
      <x:c r="B10" s="24" t="str">
        <x:v>Venezuela</x:v>
      </x:c>
      <x:c r="C10" s="24" t="str">
        <x:v>EEZ</x:v>
      </x:c>
      <x:c r="D10" s="30" t="n">
        <x:v>2019</x:v>
      </x:c>
      <x:c r="E10" s="24" t="str">
        <x:v>Mugil liza</x:v>
      </x:c>
      <x:c r="F10" s="24" t="str">
        <x:v>Lebranche mullet</x:v>
      </x:c>
      <x:c r="G10" s="24" t="str">
        <x:v>Medium demersals (30 - 89 cm)</x:v>
      </x:c>
      <x:c r="H10" s="24" t="str">
        <x:v>Perch-likes</x:v>
      </x:c>
      <x:c r="I10" s="31" t="n">
        <x:v>6337.052783481299</x:v>
      </x:c>
      <x:c r="J10" s="31" t="n">
        <x:v>6337.052783481299</x:v>
      </x:c>
      <x:c r="K10" s="31" t="n">
        <x:v>0</x:v>
      </x:c>
      <x:c r="L10" s="31" t="n">
        <x:v>2550</x:v>
      </x:c>
      <x:c r="M10" s="31" t="n">
        <x:v>3787.0527834812997</x:v>
      </x:c>
      <x:c r="N10" s="24" t="str">
        <x:v>mugil liza</x:v>
      </x:c>
      <x:c r="O10" s="32" t="n">
        <x:v>2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Mugil liza</x:v>
      </x:c>
      <x:c r="T10" s="32" t="n">
        <x:f>IF(O10="","",(1/'Metadata'!$B$5)^(O10-1))</x:f>
        <x:v>10</x:v>
      </x:c>
      <x:c r="U10" s="31" t="n">
        <x:f>IF(T10="","",I10*T10)</x:f>
        <x:v>63370.527834812994</x:v>
      </x:c>
    </x:row>
    <x:row r="11" ht="18" customHeight="1">
      <x:c r="A11" s="24" t="str">
        <x:v>EEZ_862</x:v>
      </x:c>
      <x:c r="B11" s="24" t="str">
        <x:v>Venezuela</x:v>
      </x:c>
      <x:c r="C11" s="24" t="str">
        <x:v>EEZ</x:v>
      </x:c>
      <x:c r="D11" s="30" t="n">
        <x:v>2019</x:v>
      </x:c>
      <x:c r="E11" s="24" t="str">
        <x:v>Caranx hippos</x:v>
      </x:c>
      <x:c r="F11" s="24" t="str">
        <x:v>Crevalle jack</x:v>
      </x:c>
      <x:c r="G11" s="24" t="str">
        <x:v>Large reef assoc. fish (&gt;=90 cm)</x:v>
      </x:c>
      <x:c r="H11" s="24" t="str">
        <x:v>Perch-likes</x:v>
      </x:c>
      <x:c r="I11" s="31" t="n">
        <x:v>5595.1049561749</x:v>
      </x:c>
      <x:c r="J11" s="31" t="n">
        <x:v>5595.1049561749</x:v>
      </x:c>
      <x:c r="K11" s="31" t="n">
        <x:v>0</x:v>
      </x:c>
      <x:c r="L11" s="31" t="n">
        <x:v>2640.007505732</x:v>
      </x:c>
      <x:c r="M11" s="31" t="n">
        <x:v>2955.0974504428996</x:v>
      </x:c>
      <x:c r="N11" s="24" t="str">
        <x:v>caranx hippos</x:v>
      </x:c>
      <x:c r="O11" s="32" t="n">
        <x:v>3.56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Caranx hippos</x:v>
      </x:c>
      <x:c r="T11" s="32" t="n">
        <x:f>IF(O11="","",(1/'Metadata'!$B$5)^(O11-1))</x:f>
        <x:v>363.0780547701014</x:v>
      </x:c>
      <x:c r="U11" s="31" t="n">
        <x:f>IF(T11="","",I11*T11)</x:f>
        <x:v>2031459.823722536</x:v>
      </x:c>
    </x:row>
    <x:row r="12" ht="18" customHeight="1">
      <x:c r="A12" s="24" t="str">
        <x:v>EEZ_862</x:v>
      </x:c>
      <x:c r="B12" s="24" t="str">
        <x:v>Venezuela</x:v>
      </x:c>
      <x:c r="C12" s="24" t="str">
        <x:v>EEZ</x:v>
      </x:c>
      <x:c r="D12" s="30" t="n">
        <x:v>2019</x:v>
      </x:c>
      <x:c r="E12" s="24" t="str">
        <x:v>Centropomus</x:v>
      </x:c>
      <x:c r="F12" s="24" t="str">
        <x:v>Fat snooks</x:v>
      </x:c>
      <x:c r="G12" s="24" t="str">
        <x:v>Medium benthopelagics (30 - 89 cm)</x:v>
      </x:c>
      <x:c r="H12" s="24" t="str">
        <x:v>Perch-likes</x:v>
      </x:c>
      <x:c r="I12" s="31" t="n">
        <x:v>5492.1178799006</x:v>
      </x:c>
      <x:c r="J12" s="31" t="n">
        <x:v>5492.1178799006</x:v>
      </x:c>
      <x:c r="K12" s="31" t="n">
        <x:v>0</x:v>
      </x:c>
      <x:c r="L12" s="31" t="n">
        <x:v>2930</x:v>
      </x:c>
      <x:c r="M12" s="31" t="n">
        <x:v>2562.1178799006</x:v>
      </x:c>
      <x:c r="N12" s="24" t="str">
        <x:v>centropomus</x:v>
      </x:c>
      <x:c r="O12" s="32" t="n">
        <x:v>3.92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Centropomus</x:v>
      </x:c>
      <x:c r="T12" s="32" t="n">
        <x:f>IF(O12="","",(1/'Metadata'!$B$5)^(O12-1))</x:f>
        <x:v>831.7637711026708</x:v>
      </x:c>
      <x:c r="U12" s="31" t="n">
        <x:f>IF(T12="","",I12*T12)</x:f>
        <x:v>4568144.679126529</x:v>
      </x:c>
    </x:row>
    <x:row r="13" ht="18" customHeight="1">
      <x:c r="A13" s="24" t="str">
        <x:v>EEZ_862</x:v>
      </x:c>
      <x:c r="B13" s="24" t="str">
        <x:v>Venezuela</x:v>
      </x:c>
      <x:c r="C13" s="24" t="str">
        <x:v>EEZ</x:v>
      </x:c>
      <x:c r="D13" s="30" t="n">
        <x:v>2019</x:v>
      </x:c>
      <x:c r="E13" s="24" t="str">
        <x:v>Ariidae</x:v>
      </x:c>
      <x:c r="F13" s="24" t="str">
        <x:v>Sea catfishes, coblers</x:v>
      </x:c>
      <x:c r="G13" s="24" t="str">
        <x:v>Medium demersals (30 - 89 cm)</x:v>
      </x:c>
      <x:c r="H13" s="24" t="str">
        <x:v>Other fishes &amp; inverts</x:v>
      </x:c>
      <x:c r="I13" s="31" t="n">
        <x:v>5119.902865393599</x:v>
      </x:c>
      <x:c r="J13" s="31" t="n">
        <x:v>5091.8316194777</x:v>
      </x:c>
      <x:c r="K13" s="31" t="n">
        <x:v>28.0712459159</x:v>
      </x:c>
      <x:c r="L13" s="31" t="n">
        <x:v>378.160632874</x:v>
      </x:c>
      <x:c r="M13" s="31" t="n">
        <x:v>4741.742232519599</x:v>
      </x:c>
      <x:c r="N13" s="24" t="str">
        <x:v>ariidae</x:v>
      </x:c>
      <x:c r="O13" s="32" t="n">
        <x:v>3.48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Ariidae</x:v>
      </x:c>
      <x:c r="T13" s="32" t="n">
        <x:f>IF(O13="","",(1/'Metadata'!$B$5)^(O13-1))</x:f>
        <x:v>301.9951720402016</x:v>
      </x:c>
      <x:c r="U13" s="31" t="n">
        <x:f>IF(T13="","",I13*T13)</x:f>
        <x:v>1546185.9466636614</x:v>
      </x:c>
    </x:row>
    <x:row r="14" ht="18" customHeight="1">
      <x:c r="A14" s="24" t="str">
        <x:v>EEZ_862</x:v>
      </x:c>
      <x:c r="B14" s="24" t="str">
        <x:v>Venezuela</x:v>
      </x:c>
      <x:c r="C14" s="24" t="str">
        <x:v>EEZ</x:v>
      </x:c>
      <x:c r="D14" s="30" t="n">
        <x:v>2019</x:v>
      </x:c>
      <x:c r="E14" s="24" t="str">
        <x:v>Haemulidae</x:v>
      </x:c>
      <x:c r="F14" s="24" t="str">
        <x:v>Grunts, sweetlips, bonnetmouths</x:v>
      </x:c>
      <x:c r="G14" s="24" t="str">
        <x:v>Medium demersals (30 - 89 cm)</x:v>
      </x:c>
      <x:c r="H14" s="24" t="str">
        <x:v>Perch-likes</x:v>
      </x:c>
      <x:c r="I14" s="31" t="n">
        <x:v>4243.6197641429</x:v>
      </x:c>
      <x:c r="J14" s="31" t="n">
        <x:v>4235.792564527</x:v>
      </x:c>
      <x:c r="K14" s="31" t="n">
        <x:v>7.8271996159</x:v>
      </x:c>
      <x:c r="L14" s="31" t="n">
        <x:v>391.841228991</x:v>
      </x:c>
      <x:c r="M14" s="31" t="n">
        <x:v>3851.7785351519</x:v>
      </x:c>
      <x:c r="N14" s="24" t="str">
        <x:v>haemulidae</x:v>
      </x:c>
      <x:c r="O14" s="32" t="n">
        <x:v>3.36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Haemulidae</x:v>
      </x:c>
      <x:c r="T14" s="32" t="n">
        <x:f>IF(O14="","",(1/'Metadata'!$B$5)^(O14-1))</x:f>
        <x:v>229.08676527677724</x:v>
      </x:c>
      <x:c r="U14" s="31" t="n">
        <x:f>IF(T14="","",I14*T14)</x:f>
        <x:v>972157.1248320973</x:v>
      </x:c>
    </x:row>
    <x:row r="15" ht="18" customHeight="1">
      <x:c r="A15" s="24" t="str">
        <x:v>EEZ_862</x:v>
      </x:c>
      <x:c r="B15" s="24" t="str">
        <x:v>Venezuela</x:v>
      </x:c>
      <x:c r="C15" s="24" t="str">
        <x:v>EEZ</x:v>
      </x:c>
      <x:c r="D15" s="30" t="n">
        <x:v>2019</x:v>
      </x:c>
      <x:c r="E15" s="24" t="str">
        <x:v>Micropogonias furnieri</x:v>
      </x:c>
      <x:c r="F15" s="24" t="str">
        <x:v>Whitemouth croaker</x:v>
      </x:c>
      <x:c r="G15" s="24" t="str">
        <x:v>Medium demersals (30 - 89 cm)</x:v>
      </x:c>
      <x:c r="H15" s="24" t="str">
        <x:v>Perch-likes</x:v>
      </x:c>
      <x:c r="I15" s="31" t="n">
        <x:v>4078.2882306352</x:v>
      </x:c>
      <x:c r="J15" s="31" t="n">
        <x:v>4078.2882306352</x:v>
      </x:c>
      <x:c r="K15" s="31" t="n">
        <x:v>0</x:v>
      </x:c>
      <x:c r="L15" s="31" t="n">
        <x:v>3015</x:v>
      </x:c>
      <x:c r="M15" s="31" t="n">
        <x:v>1063.2882306352</x:v>
      </x:c>
      <x:c r="N15" s="24" t="str">
        <x:v>micropogonias furnieri</x:v>
      </x:c>
      <x:c r="O15" s="32" t="n">
        <x:v>3.09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Micropogonias furnieri</x:v>
      </x:c>
      <x:c r="T15" s="32" t="n">
        <x:f>IF(O15="","",(1/'Metadata'!$B$5)^(O15-1))</x:f>
        <x:v>123.02687708123811</x:v>
      </x:c>
      <x:c r="U15" s="31" t="n">
        <x:f>IF(T15="","",I15*T15)</x:f>
        <x:v>501739.0648522168</x:v>
      </x:c>
    </x:row>
    <x:row r="16" ht="18" customHeight="1">
      <x:c r="A16" s="24" t="str">
        <x:v>EEZ_862</x:v>
      </x:c>
      <x:c r="B16" s="24" t="str">
        <x:v>Venezuela</x:v>
      </x:c>
      <x:c r="C16" s="24" t="str">
        <x:v>EEZ</x:v>
      </x:c>
      <x:c r="D16" s="30" t="n">
        <x:v>2019</x:v>
      </x:c>
      <x:c r="E16" s="24" t="str">
        <x:v>Coryphaena hippurus</x:v>
      </x:c>
      <x:c r="F16" s="24" t="str">
        <x:v>Common dolphinfish</x:v>
      </x:c>
      <x:c r="G16" s="24" t="str">
        <x:v>Large pelagics (&gt;=90 cm)</x:v>
      </x:c>
      <x:c r="H16" s="24" t="str">
        <x:v>Perch-likes</x:v>
      </x:c>
      <x:c r="I16" s="31" t="n">
        <x:v>3965.5762527579996</x:v>
      </x:c>
      <x:c r="J16" s="31" t="n">
        <x:v>3965.5762527579996</x:v>
      </x:c>
      <x:c r="K16" s="31" t="n">
        <x:v>0</x:v>
      </x:c>
      <x:c r="L16" s="31" t="n">
        <x:v>3965.5762527579996</x:v>
      </x:c>
      <x:c r="M16" s="31" t="n">
        <x:v>0</x:v>
      </x:c>
      <x:c r="N16" s="24" t="str">
        <x:v>coryphaena hippurus</x:v>
      </x:c>
      <x:c r="O16" s="32" t="n">
        <x:v>4.37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Coryphaena hippurus</x:v>
      </x:c>
      <x:c r="T16" s="32" t="n">
        <x:f>IF(O16="","",(1/'Metadata'!$B$5)^(O16-1))</x:f>
        <x:v>2344.228815319923</x:v>
      </x:c>
      <x:c r="U16" s="31" t="n">
        <x:f>IF(T16="","",I16*T16)</x:f>
        <x:v>9296218.121063704</x:v>
      </x:c>
    </x:row>
    <x:row r="17" ht="18" customHeight="1">
      <x:c r="A17" s="24" t="str">
        <x:v>EEZ_862</x:v>
      </x:c>
      <x:c r="B17" s="24" t="str">
        <x:v>Venezuela</x:v>
      </x:c>
      <x:c r="C17" s="24" t="str">
        <x:v>EEZ</x:v>
      </x:c>
      <x:c r="D17" s="30" t="n">
        <x:v>2019</x:v>
      </x:c>
      <x:c r="E17" s="24" t="str">
        <x:v>Thunnus albacares</x:v>
      </x:c>
      <x:c r="F17" s="24" t="str">
        <x:v>Yellowfin tuna</x:v>
      </x:c>
      <x:c r="G17" s="24" t="str">
        <x:v>Large pelagics (&gt;=90 cm)</x:v>
      </x:c>
      <x:c r="H17" s="24" t="str">
        <x:v>Tuna &amp; billfishes</x:v>
      </x:c>
      <x:c r="I17" s="31" t="n">
        <x:v>2903.7980887311</x:v>
      </x:c>
      <x:c r="J17" s="31" t="n">
        <x:v>2903.7980887311</x:v>
      </x:c>
      <x:c r="K17" s="31" t="n">
        <x:v>0</x:v>
      </x:c>
      <x:c r="L17" s="31" t="n">
        <x:v>2903.7980887311</x:v>
      </x:c>
      <x:c r="M17" s="31" t="n">
        <x:v>0</x:v>
      </x:c>
      <x:c r="N17" s="24" t="str">
        <x:v>thunnus albacares</x:v>
      </x:c>
      <x:c r="O17" s="32" t="n">
        <x:v>4.41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Thunnus albacares</x:v>
      </x:c>
      <x:c r="T17" s="32" t="n">
        <x:f>IF(O17="","",(1/'Metadata'!$B$5)^(O17-1))</x:f>
        <x:v>2570.3957827688646</x:v>
      </x:c>
      <x:c r="U17" s="31" t="n">
        <x:f>IF(T17="","",I17*T17)</x:f>
        <x:v>7463910.361286709</x:v>
      </x:c>
    </x:row>
    <x:row r="18" ht="18" customHeight="1">
      <x:c r="A18" s="24" t="str">
        <x:v>EEZ_862</x:v>
      </x:c>
      <x:c r="B18" s="24" t="str">
        <x:v>Venezuela</x:v>
      </x:c>
      <x:c r="C18" s="24" t="str">
        <x:v>EEZ</x:v>
      </x:c>
      <x:c r="D18" s="30" t="n">
        <x:v>2019</x:v>
      </x:c>
      <x:c r="E18" s="24" t="str">
        <x:v>Haemulon steindachneri</x:v>
      </x:c>
      <x:c r="F18" s="24" t="str">
        <x:v>Chere-chere grunt</x:v>
      </x:c>
      <x:c r="G18" s="24" t="str">
        <x:v>Small reef assoc. fish (&lt;30 cm)</x:v>
      </x:c>
      <x:c r="H18" s="24" t="str">
        <x:v>Perch-likes</x:v>
      </x:c>
      <x:c r="I18" s="31" t="n">
        <x:v>2571.6331282302</x:v>
      </x:c>
      <x:c r="J18" s="31" t="n">
        <x:v>2571.6331282302</x:v>
      </x:c>
      <x:c r="K18" s="31" t="n">
        <x:v>0</x:v>
      </x:c>
      <x:c r="L18" s="31" t="n">
        <x:v>244.0400608702</x:v>
      </x:c>
      <x:c r="M18" s="31" t="n">
        <x:v>2327.59306736</x:v>
      </x:c>
      <x:c r="N18" s="24" t="str">
        <x:v>haemulon steindachneri</x:v>
      </x:c>
      <x:c r="O18" s="32" t="n">
        <x:v>3.73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Haemulon steindachneri</x:v>
      </x:c>
      <x:c r="T18" s="32" t="n">
        <x:f>IF(O18="","",(1/'Metadata'!$B$5)^(O18-1))</x:f>
        <x:v>537.0317963702527</x:v>
      </x:c>
      <x:c r="U18" s="31" t="n">
        <x:f>IF(T18="","",I18*T18)</x:f>
        <x:v>1381048.7584587166</x:v>
      </x:c>
    </x:row>
    <x:row r="19" ht="18" customHeight="1">
      <x:c r="A19" s="24" t="str">
        <x:v>EEZ_862</x:v>
      </x:c>
      <x:c r="B19" s="24" t="str">
        <x:v>Venezuela</x:v>
      </x:c>
      <x:c r="C19" s="24" t="str">
        <x:v>EEZ</x:v>
      </x:c>
      <x:c r="D19" s="30" t="n">
        <x:v>2019</x:v>
      </x:c>
      <x:c r="E19" s="24" t="str">
        <x:v>Penaeus schmitti</x:v>
      </x:c>
      <x:c r="F19" s="24" t="str">
        <x:v>Southern white shrimp</x:v>
      </x:c>
      <x:c r="G19" s="24" t="str">
        <x:v>Shrimps</x:v>
      </x:c>
      <x:c r="H19" s="24" t="str">
        <x:v>Crustaceans</x:v>
      </x:c>
      <x:c r="I19" s="31" t="n">
        <x:v>2570</x:v>
      </x:c>
      <x:c r="J19" s="31" t="n">
        <x:v>2570</x:v>
      </x:c>
      <x:c r="K19" s="31" t="n">
        <x:v>0</x:v>
      </x:c>
      <x:c r="L19" s="31" t="n">
        <x:v>2570</x:v>
      </x:c>
      <x:c r="M19" s="31" t="n">
        <x:v>0</x:v>
      </x:c>
      <x:c r="N19" s="24" t="str">
        <x:v>penaeus schmitti</x:v>
      </x:c>
      <x:c r="O19" s="32" t="n">
        <x:v>2.7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Penaeus schmitti</x:v>
      </x:c>
      <x:c r="T19" s="32" t="n">
        <x:f>IF(O19="","",(1/'Metadata'!$B$5)^(O19-1))</x:f>
        <x:v>50.11872336272725</x:v>
      </x:c>
      <x:c r="U19" s="31" t="n">
        <x:f>IF(T19="","",I19*T19)</x:f>
        <x:v>128805.11904220904</x:v>
      </x:c>
    </x:row>
    <x:row r="20" ht="18" customHeight="1">
      <x:c r="A20" s="24" t="str">
        <x:v>EEZ_862</x:v>
      </x:c>
      <x:c r="B20" s="24" t="str">
        <x:v>Venezuela</x:v>
      </x:c>
      <x:c r="C20" s="24" t="str">
        <x:v>EEZ</x:v>
      </x:c>
      <x:c r="D20" s="30" t="n">
        <x:v>2019</x:v>
      </x:c>
      <x:c r="E20" s="24" t="str">
        <x:v>Cynoscion acoupa</x:v>
      </x:c>
      <x:c r="F20" s="24" t="str">
        <x:v>Acoupa weakfish</x:v>
      </x:c>
      <x:c r="G20" s="24" t="str">
        <x:v>Large demersals (&gt;=90 cm)</x:v>
      </x:c>
      <x:c r="H20" s="24" t="str">
        <x:v>Perch-likes</x:v>
      </x:c>
      <x:c r="I20" s="31" t="n">
        <x:v>2380</x:v>
      </x:c>
      <x:c r="J20" s="31" t="n">
        <x:v>2380</x:v>
      </x:c>
      <x:c r="K20" s="31" t="n">
        <x:v>0</x:v>
      </x:c>
      <x:c r="L20" s="31" t="n">
        <x:v>2380</x:v>
      </x:c>
      <x:c r="M20" s="31" t="n">
        <x:v>0</x:v>
      </x:c>
      <x:c r="N20" s="24" t="str">
        <x:v>cynoscion acoupa</x:v>
      </x:c>
      <x:c r="O20" s="32" t="n">
        <x:v>4.05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Cynoscion acoupa</x:v>
      </x:c>
      <x:c r="T20" s="32" t="n">
        <x:f>IF(O20="","",(1/'Metadata'!$B$5)^(O20-1))</x:f>
        <x:v>1122.018454301963</x:v>
      </x:c>
      <x:c r="U20" s="31" t="n">
        <x:f>IF(T20="","",I20*T20)</x:f>
        <x:v>2670403.921238672</x:v>
      </x:c>
    </x:row>
    <x:row r="21" ht="18" customHeight="1">
      <x:c r="A21" s="24" t="str">
        <x:v>EEZ_862</x:v>
      </x:c>
      <x:c r="B21" s="24" t="str">
        <x:v>Venezuela</x:v>
      </x:c>
      <x:c r="C21" s="24" t="str">
        <x:v>EEZ</x:v>
      </x:c>
      <x:c r="D21" s="30" t="n">
        <x:v>2019</x:v>
      </x:c>
      <x:c r="E21" s="24" t="str">
        <x:v>Trachinotus</x:v>
      </x:c>
      <x:c r="F21" s="24" t="str">
        <x:v>Pompanos</x:v>
      </x:c>
      <x:c r="G21" s="24" t="str">
        <x:v>Medium pelagics (30 - 89 cm)</x:v>
      </x:c>
      <x:c r="H21" s="24" t="str">
        <x:v>Perch-likes</x:v>
      </x:c>
      <x:c r="I21" s="31" t="n">
        <x:v>2208.9521133098</x:v>
      </x:c>
      <x:c r="J21" s="31" t="n">
        <x:v>2208.9521133098</x:v>
      </x:c>
      <x:c r="K21" s="31" t="n">
        <x:v>0</x:v>
      </x:c>
      <x:c r="L21" s="31" t="n">
        <x:v>120</x:v>
      </x:c>
      <x:c r="M21" s="31" t="n">
        <x:v>2088.9521133098</x:v>
      </x:c>
      <x:c r="N21" s="24" t="str">
        <x:v>trachinotus</x:v>
      </x:c>
      <x:c r="O21" s="32" t="n">
        <x:v>3.69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Trachinotus</x:v>
      </x:c>
      <x:c r="T21" s="32" t="n">
        <x:f>IF(O21="","",(1/'Metadata'!$B$5)^(O21-1))</x:f>
        <x:v>489.77881936844614</x:v>
      </x:c>
      <x:c r="U21" s="31" t="n">
        <x:f>IF(T21="","",I21*T21)</x:f>
        <x:v>1081897.958098308</x:v>
      </x:c>
    </x:row>
    <x:row r="22" ht="18" customHeight="1">
      <x:c r="A22" s="24" t="str">
        <x:v>EEZ_862</x:v>
      </x:c>
      <x:c r="B22" s="24" t="str">
        <x:v>Venezuela</x:v>
      </x:c>
      <x:c r="C22" s="24" t="str">
        <x:v>EEZ</x:v>
      </x:c>
      <x:c r="D22" s="30" t="n">
        <x:v>2019</x:v>
      </x:c>
      <x:c r="E22" s="24" t="str">
        <x:v>Scomberomorus cavalla</x:v>
      </x:c>
      <x:c r="F22" s="24" t="str">
        <x:v>King mackerel</x:v>
      </x:c>
      <x:c r="G22" s="24" t="str">
        <x:v>Large pelagics (&gt;=90 cm)</x:v>
      </x:c>
      <x:c r="H22" s="24" t="str">
        <x:v>Perch-likes</x:v>
      </x:c>
      <x:c r="I22" s="31" t="n">
        <x:v>2098.3257775524</x:v>
      </x:c>
      <x:c r="J22" s="31" t="n">
        <x:v>2098.3257775524</x:v>
      </x:c>
      <x:c r="K22" s="31" t="n">
        <x:v>0</x:v>
      </x:c>
      <x:c r="L22" s="31" t="n">
        <x:v>2098.3257775524</x:v>
      </x:c>
      <x:c r="M22" s="31" t="n">
        <x:v>0</x:v>
      </x:c>
      <x:c r="N22" s="24" t="str">
        <x:v>scomberomorus cavalla</x:v>
      </x:c>
      <x:c r="O22" s="32" t="n">
        <x:v>4.42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Scomberomorus cavalla</x:v>
      </x:c>
      <x:c r="T22" s="32" t="n">
        <x:f>IF(O22="","",(1/'Metadata'!$B$5)^(O22-1))</x:f>
        <x:v>2630.2679918953813</x:v>
      </x:c>
      <x:c r="U22" s="31" t="n">
        <x:f>IF(T22="","",I22*T22)</x:f>
        <x:v>5519159.129265065</x:v>
      </x:c>
    </x:row>
    <x:row r="23" ht="18" customHeight="1">
      <x:c r="A23" s="24" t="str">
        <x:v>EEZ_862</x:v>
      </x:c>
      <x:c r="B23" s="24" t="str">
        <x:v>Venezuela</x:v>
      </x:c>
      <x:c r="C23" s="24" t="str">
        <x:v>EEZ</x:v>
      </x:c>
      <x:c r="D23" s="30" t="n">
        <x:v>2019</x:v>
      </x:c>
      <x:c r="E23" s="24" t="str">
        <x:v>Trachurus lathami</x:v>
      </x:c>
      <x:c r="F23" s="24" t="str">
        <x:v>Rough scad</x:v>
      </x:c>
      <x:c r="G23" s="24" t="str">
        <x:v>Medium benthopelagics (30 - 89 cm)</x:v>
      </x:c>
      <x:c r="H23" s="24" t="str">
        <x:v>Perch-likes</x:v>
      </x:c>
      <x:c r="I23" s="31" t="n">
        <x:v>2091.158297746</x:v>
      </x:c>
      <x:c r="J23" s="31" t="n">
        <x:v>2091.158297746</x:v>
      </x:c>
      <x:c r="K23" s="31" t="n">
        <x:v>0</x:v>
      </x:c>
      <x:c r="L23" s="31" t="n">
        <x:v>2091.158297746</x:v>
      </x:c>
      <x:c r="M23" s="31" t="n">
        <x:v>0</x:v>
      </x:c>
      <x:c r="N23" s="24" t="str">
        <x:v>trachurus lathami</x:v>
      </x:c>
      <x:c r="O23" s="32" t="n">
        <x:v>3.99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Trachurus lathami</x:v>
      </x:c>
      <x:c r="T23" s="32" t="n">
        <x:f>IF(O23="","",(1/'Metadata'!$B$5)^(O23-1))</x:f>
        <x:v>977.2372209558112</x:v>
      </x:c>
      <x:c r="U23" s="31" t="n">
        <x:f>IF(T23="","",I23*T23)</x:f>
        <x:v>2043557.7234679856</x:v>
      </x:c>
    </x:row>
    <x:row r="24" ht="18" customHeight="1">
      <x:c r="A24" s="24" t="str">
        <x:v>EEZ_862</x:v>
      </x:c>
      <x:c r="B24" s="24" t="str">
        <x:v>Venezuela</x:v>
      </x:c>
      <x:c r="C24" s="24" t="str">
        <x:v>EEZ</x:v>
      </x:c>
      <x:c r="D24" s="30" t="n">
        <x:v>2019</x:v>
      </x:c>
      <x:c r="E24" s="24" t="str">
        <x:v>Orthopristis rubra</x:v>
      </x:c>
      <x:c r="F24" s="24" t="str">
        <x:v>Corocoro grunt</x:v>
      </x:c>
      <x:c r="G24" s="24" t="str">
        <x:v>Medium demersals (30 - 89 cm)</x:v>
      </x:c>
      <x:c r="H24" s="24" t="str">
        <x:v>Perch-likes</x:v>
      </x:c>
      <x:c r="I24" s="31" t="n">
        <x:v>1990</x:v>
      </x:c>
      <x:c r="J24" s="31" t="n">
        <x:v>1990</x:v>
      </x:c>
      <x:c r="K24" s="31" t="n">
        <x:v>0</x:v>
      </x:c>
      <x:c r="L24" s="31" t="n">
        <x:v>1990</x:v>
      </x:c>
      <x:c r="M24" s="31" t="n">
        <x:v>0</x:v>
      </x:c>
      <x:c r="N24" s="24" t="str">
        <x:v>orthopristis rubra</x:v>
      </x:c>
      <x:c r="O24" s="32" t="n">
        <x:v>3.58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Orthopristis rubra</x:v>
      </x:c>
      <x:c r="T24" s="32" t="n">
        <x:f>IF(O24="","",(1/'Metadata'!$B$5)^(O24-1))</x:f>
        <x:v>380.1893963205613</x:v>
      </x:c>
      <x:c r="U24" s="31" t="n">
        <x:f>IF(T24="","",I24*T24)</x:f>
        <x:v>756576.898677917</x:v>
      </x:c>
    </x:row>
    <x:row r="25" ht="18" customHeight="1">
      <x:c r="A25" s="24" t="str">
        <x:v>EEZ_862</x:v>
      </x:c>
      <x:c r="B25" s="24" t="str">
        <x:v>Venezuela</x:v>
      </x:c>
      <x:c r="C25" s="24" t="str">
        <x:v>EEZ</x:v>
      </x:c>
      <x:c r="D25" s="30" t="n">
        <x:v>2019</x:v>
      </x:c>
      <x:c r="E25" s="24" t="str">
        <x:v>Mytilidae</x:v>
      </x:c>
      <x:c r="F25" s="24" t="str">
        <x:v>Sea mussels</x:v>
      </x:c>
      <x:c r="G25" s="24" t="str">
        <x:v>Other demersal invertebrates</x:v>
      </x:c>
      <x:c r="H25" s="24" t="str">
        <x:v>Molluscs</x:v>
      </x:c>
      <x:c r="I25" s="31" t="n">
        <x:v>1969.2901438226</x:v>
      </x:c>
      <x:c r="J25" s="31" t="n">
        <x:v>1969.2901438226</x:v>
      </x:c>
      <x:c r="K25" s="31" t="n">
        <x:v>0</x:v>
      </x:c>
      <x:c r="L25" s="31" t="n">
        <x:v>7.1916611339</x:v>
      </x:c>
      <x:c r="M25" s="31" t="n">
        <x:v>1962.0984826887</x:v>
      </x:c>
      <x:c r="N25" s="24" t="str">
        <x:v>mytilidae</x:v>
      </x:c>
      <x:c r="O25" s="32" t="n">
        <x:v>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Mytilidae</x:v>
      </x:c>
      <x:c r="T25" s="32" t="n">
        <x:f>IF(O25="","",(1/'Metadata'!$B$5)^(O25-1))</x:f>
        <x:v>10</x:v>
      </x:c>
      <x:c r="U25" s="31" t="n">
        <x:f>IF(T25="","",I25*T25)</x:f>
        <x:v>19692.901438226</x:v>
      </x:c>
    </x:row>
    <x:row r="26" ht="18" customHeight="1">
      <x:c r="A26" s="24" t="str">
        <x:v>EEZ_862</x:v>
      </x:c>
      <x:c r="B26" s="24" t="str">
        <x:v>Venezuela</x:v>
      </x:c>
      <x:c r="C26" s="24" t="str">
        <x:v>EEZ</x:v>
      </x:c>
      <x:c r="D26" s="30" t="n">
        <x:v>2019</x:v>
      </x:c>
      <x:c r="E26" s="24" t="str">
        <x:v>Cathorops spixii</x:v>
      </x:c>
      <x:c r="F26" s="24" t="str">
        <x:v>Madamango sea catfish</x:v>
      </x:c>
      <x:c r="G26" s="24" t="str">
        <x:v>Large reef assoc. fish (&gt;=90 cm)</x:v>
      </x:c>
      <x:c r="H26" s="24" t="str">
        <x:v>Other fishes &amp; inverts</x:v>
      </x:c>
      <x:c r="I26" s="31" t="n">
        <x:v>1910</x:v>
      </x:c>
      <x:c r="J26" s="31" t="n">
        <x:v>1910</x:v>
      </x:c>
      <x:c r="K26" s="31" t="n">
        <x:v>0</x:v>
      </x:c>
      <x:c r="L26" s="31" t="n">
        <x:v>1910</x:v>
      </x:c>
      <x:c r="M26" s="31" t="n">
        <x:v>0</x:v>
      </x:c>
      <x:c r="N26" s="24" t="str">
        <x:v>cathorops spixii</x:v>
      </x:c>
      <x:c r="O26" s="32" t="n">
        <x:v>3.47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Cathorops spixii</x:v>
      </x:c>
      <x:c r="T26" s="32" t="n">
        <x:f>IF(O26="","",(1/'Metadata'!$B$5)^(O26-1))</x:f>
        <x:v>295.1209226666387</x:v>
      </x:c>
      <x:c r="U26" s="31" t="n">
        <x:f>IF(T26="","",I26*T26)</x:f>
        <x:v>563680.9622932799</x:v>
      </x:c>
    </x:row>
    <x:row r="27" ht="18" customHeight="1">
      <x:c r="A27" s="24" t="str">
        <x:v>EEZ_862</x:v>
      </x:c>
      <x:c r="B27" s="24" t="str">
        <x:v>Venezuela</x:v>
      </x:c>
      <x:c r="C27" s="24" t="str">
        <x:v>EEZ</x:v>
      </x:c>
      <x:c r="D27" s="30" t="n">
        <x:v>2019</x:v>
      </x:c>
      <x:c r="E27" s="24" t="str">
        <x:v>Caranx bartholomaei</x:v>
      </x:c>
      <x:c r="F27" s="24" t="str">
        <x:v>Yellow jack</x:v>
      </x:c>
      <x:c r="G27" s="24" t="str">
        <x:v>Medium reef assoc. fish (30 - 89 cm)</x:v>
      </x:c>
      <x:c r="H27" s="24" t="str">
        <x:v>Perch-likes</x:v>
      </x:c>
      <x:c r="I27" s="31" t="n">
        <x:v>1885</x:v>
      </x:c>
      <x:c r="J27" s="31" t="n">
        <x:v>1885</x:v>
      </x:c>
      <x:c r="K27" s="31" t="n">
        <x:v>0</x:v>
      </x:c>
      <x:c r="L27" s="31" t="n">
        <x:v>1885</x:v>
      </x:c>
      <x:c r="M27" s="31" t="n">
        <x:v>0</x:v>
      </x:c>
      <x:c r="N27" s="24" t="str">
        <x:v>caranx bartholomaei</x:v>
      </x:c>
      <x:c r="O27" s="32" t="n">
        <x:v>4.5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Caranx bartholomaei</x:v>
      </x:c>
      <x:c r="T27" s="32" t="n">
        <x:f>IF(O27="","",(1/'Metadata'!$B$5)^(O27-1))</x:f>
        <x:v>3162.2776601683795</x:v>
      </x:c>
      <x:c r="U27" s="31" t="n">
        <x:f>IF(T27="","",I27*T27)</x:f>
        <x:v>5960893.389417395</x:v>
      </x:c>
    </x:row>
    <x:row r="28" ht="18" customHeight="1">
      <x:c r="A28" s="24" t="str">
        <x:v>EEZ_862</x:v>
      </x:c>
      <x:c r="B28" s="24" t="str">
        <x:v>Venezuela</x:v>
      </x:c>
      <x:c r="C28" s="24" t="str">
        <x:v>EEZ</x:v>
      </x:c>
      <x:c r="D28" s="30" t="n">
        <x:v>2019</x:v>
      </x:c>
      <x:c r="E28" s="24" t="str">
        <x:v>Cynoscion</x:v>
      </x:c>
      <x:c r="F28" s="24" t="str">
        <x:v>Weakfishes</x:v>
      </x:c>
      <x:c r="G28" s="24" t="str">
        <x:v>Medium demersals (30 - 89 cm)</x:v>
      </x:c>
      <x:c r="H28" s="24" t="str">
        <x:v>Perch-likes</x:v>
      </x:c>
      <x:c r="I28" s="31" t="n">
        <x:v>1863.3010670391002</x:v>
      </x:c>
      <x:c r="J28" s="31" t="n">
        <x:v>1863.3010670391002</x:v>
      </x:c>
      <x:c r="K28" s="31" t="n">
        <x:v>0</x:v>
      </x:c>
      <x:c r="L28" s="31" t="n">
        <x:v>0</x:v>
      </x:c>
      <x:c r="M28" s="31" t="n">
        <x:v>1863.3010670391002</x:v>
      </x:c>
      <x:c r="N28" s="24" t="str">
        <x:v>cynoscion</x:v>
      </x:c>
      <x:c r="O28" s="32" t="n">
        <x:v>4.21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Cynoscion</x:v>
      </x:c>
      <x:c r="T28" s="32" t="n">
        <x:f>IF(O28="","",(1/'Metadata'!$B$5)^(O28-1))</x:f>
        <x:v>1621.8100973589299</x:v>
      </x:c>
      <x:c r="U28" s="31" t="n">
        <x:f>IF(T28="","",I28*T28)</x:f>
        <x:v>3021920.484943681</x:v>
      </x:c>
    </x:row>
    <x:row r="29" ht="18" customHeight="1">
      <x:c r="A29" s="24" t="str">
        <x:v>EEZ_862</x:v>
      </x:c>
      <x:c r="B29" s="24" t="str">
        <x:v>Venezuela</x:v>
      </x:c>
      <x:c r="C29" s="24" t="str">
        <x:v>EEZ</x:v>
      </x:c>
      <x:c r="D29" s="30" t="n">
        <x:v>2019</x:v>
      </x:c>
      <x:c r="E29" s="24" t="str">
        <x:v>Tivela mactroides</x:v>
      </x:c>
      <x:c r="F29" s="24" t="str">
        <x:v>Trigonal tivela</x:v>
      </x:c>
      <x:c r="G29" s="24" t="str">
        <x:v>Other demersal invertebrates</x:v>
      </x:c>
      <x:c r="H29" s="24" t="str">
        <x:v>Molluscs</x:v>
      </x:c>
      <x:c r="I29" s="31" t="n">
        <x:v>1804.7517285311</x:v>
      </x:c>
      <x:c r="J29" s="31" t="n">
        <x:v>1804.7517285311</x:v>
      </x:c>
      <x:c r="K29" s="31" t="n">
        <x:v>0</x:v>
      </x:c>
      <x:c r="L29" s="31" t="n">
        <x:v>53.3622286923</x:v>
      </x:c>
      <x:c r="M29" s="31" t="n">
        <x:v>1751.3894998388</x:v>
      </x:c>
      <x:c r="N29" s="24" t="str">
        <x:v>tivela mactroides</x:v>
      </x:c>
      <x:c r="O29" s="32" t="n">
        <x:v>2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Tivela mactroides</x:v>
      </x:c>
      <x:c r="T29" s="32" t="n">
        <x:f>IF(O29="","",(1/'Metadata'!$B$5)^(O29-1))</x:f>
        <x:v>10</x:v>
      </x:c>
      <x:c r="U29" s="31" t="n">
        <x:f>IF(T29="","",I29*T29)</x:f>
        <x:v>18047.517285311</x:v>
      </x:c>
    </x:row>
    <x:row r="30" ht="18" customHeight="1">
      <x:c r="A30" s="24" t="str">
        <x:v>EEZ_862</x:v>
      </x:c>
      <x:c r="B30" s="24" t="str">
        <x:v>Venezuela</x:v>
      </x:c>
      <x:c r="C30" s="24" t="str">
        <x:v>EEZ</x:v>
      </x:c>
      <x:c r="D30" s="30" t="n">
        <x:v>2019</x:v>
      </x:c>
      <x:c r="E30" s="24" t="str">
        <x:v>Macrodon ancylodon</x:v>
      </x:c>
      <x:c r="F30" s="24" t="str">
        <x:v>King weakfish</x:v>
      </x:c>
      <x:c r="G30" s="24" t="str">
        <x:v>Medium demersals (30 - 89 cm)</x:v>
      </x:c>
      <x:c r="H30" s="24" t="str">
        <x:v>Perch-likes</x:v>
      </x:c>
      <x:c r="I30" s="31" t="n">
        <x:v>1733.5249735976</x:v>
      </x:c>
      <x:c r="J30" s="31" t="n">
        <x:v>1733.5249735976</x:v>
      </x:c>
      <x:c r="K30" s="31" t="n">
        <x:v>0</x:v>
      </x:c>
      <x:c r="L30" s="31" t="n">
        <x:v>849.9999999999999</x:v>
      </x:c>
      <x:c r="M30" s="31" t="n">
        <x:v>883.5249735976</x:v>
      </x:c>
      <x:c r="N30" s="24" t="str">
        <x:v>macrodon ancylodon</x:v>
      </x:c>
      <x:c r="O30" s="32" t="n">
        <x:v>3.9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Macrodon ancylodon</x:v>
      </x:c>
      <x:c r="T30" s="32" t="n">
        <x:f>IF(O30="","",(1/'Metadata'!$B$5)^(O30-1))</x:f>
        <x:v>794.3282347242813</x:v>
      </x:c>
      <x:c r="U30" s="31" t="n">
        <x:f>IF(T30="","",I30*T30)</x:f>
        <x:v>1376987.832128238</x:v>
      </x:c>
    </x:row>
    <x:row r="31" ht="18" customHeight="1">
      <x:c r="A31" s="24" t="str">
        <x:v>EEZ_862</x:v>
      </x:c>
      <x:c r="B31" s="24" t="str">
        <x:v>Venezuela</x:v>
      </x:c>
      <x:c r="C31" s="24" t="str">
        <x:v>EEZ</x:v>
      </x:c>
      <x:c r="D31" s="30" t="n">
        <x:v>2019</x:v>
      </x:c>
      <x:c r="E31" s="24" t="str">
        <x:v>Caranx ruber</x:v>
      </x:c>
      <x:c r="F31" s="24" t="str">
        <x:v>Bar jack</x:v>
      </x:c>
      <x:c r="G31" s="24" t="str">
        <x:v>Medium reef assoc. fish (30 - 89 cm)</x:v>
      </x:c>
      <x:c r="H31" s="24" t="str">
        <x:v>Perch-likes</x:v>
      </x:c>
      <x:c r="I31" s="31" t="n">
        <x:v>1670</x:v>
      </x:c>
      <x:c r="J31" s="31" t="n">
        <x:v>1670</x:v>
      </x:c>
      <x:c r="K31" s="31" t="n">
        <x:v>0</x:v>
      </x:c>
      <x:c r="L31" s="31" t="n">
        <x:v>1670</x:v>
      </x:c>
      <x:c r="M31" s="31" t="n">
        <x:v>0</x:v>
      </x:c>
      <x:c r="N31" s="24" t="str">
        <x:v>caranx ruber</x:v>
      </x:c>
      <x:c r="O31" s="32" t="n">
        <x:v>4.28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Caranx ruber</x:v>
      </x:c>
      <x:c r="T31" s="32" t="n">
        <x:f>IF(O31="","",(1/'Metadata'!$B$5)^(O31-1))</x:f>
        <x:v>1905.4607179632483</x:v>
      </x:c>
      <x:c r="U31" s="31" t="n">
        <x:f>IF(T31="","",I31*T31)</x:f>
        <x:v>3182119.3989986246</x:v>
      </x:c>
    </x:row>
    <x:row r="32" ht="18" customHeight="1">
      <x:c r="A32" s="24" t="str">
        <x:v>EEZ_862</x:v>
      </x:c>
      <x:c r="B32" s="24" t="str">
        <x:v>Venezuela</x:v>
      </x:c>
      <x:c r="C32" s="24" t="str">
        <x:v>EEZ</x:v>
      </x:c>
      <x:c r="D32" s="30" t="n">
        <x:v>2019</x:v>
      </x:c>
      <x:c r="E32" s="24" t="str">
        <x:v>Octopus</x:v>
      </x:c>
      <x:c r="F32" s="24" t="str">
        <x:v>Octopuses, pikas</x:v>
      </x:c>
      <x:c r="G32" s="24" t="str">
        <x:v>Cephalopods</x:v>
      </x:c>
      <x:c r="H32" s="24" t="str">
        <x:v>Other fishes &amp; inverts</x:v>
      </x:c>
      <x:c r="I32" s="31" t="n">
        <x:v>1529.9569110121</x:v>
      </x:c>
      <x:c r="J32" s="31" t="n">
        <x:v>1529.9569110121</x:v>
      </x:c>
      <x:c r="K32" s="31" t="n">
        <x:v>0</x:v>
      </x:c>
      <x:c r="L32" s="31" t="n">
        <x:v>190</x:v>
      </x:c>
      <x:c r="M32" s="31" t="n">
        <x:v>1339.9569110121</x:v>
      </x:c>
      <x:c r="N32" s="24" t="str">
        <x:v>octopus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Octopus</x:v>
      </x:c>
      <x:c r="T32" s="32" t="n">
        <x:f>IF(O32="","",(1/'Metadata'!$B$5)^(O32-1))</x:f>
        <x:v>630.957344480193</x:v>
      </x:c>
      <x:c r="U32" s="31" t="n">
        <x:f>IF(T32="","",I32*T32)</x:f>
        <x:v>965337.5497413136</x:v>
      </x:c>
    </x:row>
    <x:row r="33" ht="18" customHeight="1">
      <x:c r="A33" s="24" t="str">
        <x:v>EEZ_862</x:v>
      </x:c>
      <x:c r="B33" s="24" t="str">
        <x:v>Venezuela</x:v>
      </x:c>
      <x:c r="C33" s="24" t="str">
        <x:v>EEZ</x:v>
      </x:c>
      <x:c r="D33" s="30" t="n">
        <x:v>2019</x:v>
      </x:c>
      <x:c r="E33" s="24" t="str">
        <x:v>Selene setapinnis</x:v>
      </x:c>
      <x:c r="F33" s="24" t="str">
        <x:v>Atlantic moonfish</x:v>
      </x:c>
      <x:c r="G33" s="24" t="str">
        <x:v>Medium demersals (30 - 89 cm)</x:v>
      </x:c>
      <x:c r="H33" s="24" t="str">
        <x:v>Perch-likes</x:v>
      </x:c>
      <x:c r="I33" s="31" t="n">
        <x:v>1228.28309375</x:v>
      </x:c>
      <x:c r="J33" s="31" t="n">
        <x:v>1228.28309375</x:v>
      </x:c>
      <x:c r="K33" s="31" t="n">
        <x:v>0</x:v>
      </x:c>
      <x:c r="L33" s="31" t="n">
        <x:v>520</x:v>
      </x:c>
      <x:c r="M33" s="31" t="n">
        <x:v>708.28309375</x:v>
      </x:c>
      <x:c r="N33" s="24" t="str">
        <x:v>selene setapinnis</x:v>
      </x:c>
      <x:c r="O33" s="32" t="n">
        <x:v>3.72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Selene setapinnis</x:v>
      </x:c>
      <x:c r="T33" s="32" t="n">
        <x:f>IF(O33="","",(1/'Metadata'!$B$5)^(O33-1))</x:f>
        <x:v>524.8074602497728</x:v>
      </x:c>
      <x:c r="U33" s="31" t="n">
        <x:f>IF(T33="","",I33*T33)</x:f>
        <x:v>644612.1308986711</x:v>
      </x:c>
    </x:row>
    <x:row r="34" ht="18" customHeight="1">
      <x:c r="A34" s="24" t="str">
        <x:v>EEZ_862</x:v>
      </x:c>
      <x:c r="B34" s="24" t="str">
        <x:v>Venezuela</x:v>
      </x:c>
      <x:c r="C34" s="24" t="str">
        <x:v>EEZ</x:v>
      </x:c>
      <x:c r="D34" s="30" t="n">
        <x:v>2019</x:v>
      </x:c>
      <x:c r="E34" s="24" t="str">
        <x:v>Sciades proops</x:v>
      </x:c>
      <x:c r="F34" s="24" t="str">
        <x:v>Crucifix sea catfish</x:v>
      </x:c>
      <x:c r="G34" s="24" t="str">
        <x:v>Medium demersals (30 - 89 cm)</x:v>
      </x:c>
      <x:c r="H34" s="24" t="str">
        <x:v>Other fishes &amp; inverts</x:v>
      </x:c>
      <x:c r="I34" s="31" t="n">
        <x:v>1225</x:v>
      </x:c>
      <x:c r="J34" s="31" t="n">
        <x:v>1225</x:v>
      </x:c>
      <x:c r="K34" s="31" t="n">
        <x:v>0</x:v>
      </x:c>
      <x:c r="L34" s="31" t="n">
        <x:v>1225</x:v>
      </x:c>
      <x:c r="M34" s="31" t="n">
        <x:v>0</x:v>
      </x:c>
      <x:c r="N34" s="24" t="str">
        <x:v>sciades proops</x:v>
      </x:c>
      <x:c r="O34" s="32" t="n">
        <x:v>4.36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Sciades proops</x:v>
      </x:c>
      <x:c r="T34" s="32" t="n">
        <x:f>IF(O34="","",(1/'Metadata'!$B$5)^(O34-1))</x:f>
        <x:v>2290.867652767775</x:v>
      </x:c>
      <x:c r="U34" s="31" t="n">
        <x:f>IF(T34="","",I34*T34)</x:f>
        <x:v>2806312.8746405244</x:v>
      </x:c>
    </x:row>
    <x:row r="35" ht="18" customHeight="1">
      <x:c r="A35" s="24" t="str">
        <x:v>EEZ_862</x:v>
      </x:c>
      <x:c r="B35" s="24" t="str">
        <x:v>Venezuela</x:v>
      </x:c>
      <x:c r="C35" s="24" t="str">
        <x:v>EEZ</x:v>
      </x:c>
      <x:c r="D35" s="30" t="n">
        <x:v>2019</x:v>
      </x:c>
      <x:c r="E35" s="24" t="str">
        <x:v>Mycteroperca</x:v>
      </x:c>
      <x:c r="F35" s="24" t="str">
        <x:v>Scamps, gags</x:v>
      </x:c>
      <x:c r="G35" s="24" t="str">
        <x:v>Medium reef assoc. fish (30 - 89 cm)</x:v>
      </x:c>
      <x:c r="H35" s="24" t="str">
        <x:v>Perch-likes</x:v>
      </x:c>
      <x:c r="I35" s="31" t="n">
        <x:v>1153.7150850838002</x:v>
      </x:c>
      <x:c r="J35" s="31" t="n">
        <x:v>1153.7150850838002</x:v>
      </x:c>
      <x:c r="K35" s="31" t="n">
        <x:v>0</x:v>
      </x:c>
      <x:c r="L35" s="31" t="n">
        <x:v>127.5127798869</x:v>
      </x:c>
      <x:c r="M35" s="31" t="n">
        <x:v>1026.2023051969002</x:v>
      </x:c>
      <x:c r="N35" s="24" t="str">
        <x:v>mycteroperca</x:v>
      </x:c>
      <x:c r="O35" s="32" t="n">
        <x:v>4.35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Mycteroperca</x:v>
      </x:c>
      <x:c r="T35" s="32" t="n">
        <x:f>IF(O35="","",(1/'Metadata'!$B$5)^(O35-1))</x:f>
        <x:v>2238.7211385683377</x:v>
      </x:c>
      <x:c r="U35" s="31" t="n">
        <x:f>IF(T35="","",I35*T35)</x:f>
        <x:v>2582846.3488622718</x:v>
      </x:c>
    </x:row>
    <x:row r="36" ht="18" customHeight="1">
      <x:c r="A36" s="24" t="str">
        <x:v>EEZ_862</x:v>
      </x:c>
      <x:c r="B36" s="24" t="str">
        <x:v>Venezuela</x:v>
      </x:c>
      <x:c r="C36" s="24" t="str">
        <x:v>EEZ</x:v>
      </x:c>
      <x:c r="D36" s="30" t="n">
        <x:v>2019</x:v>
      </x:c>
      <x:c r="E36" s="24" t="str">
        <x:v>Coryphaena</x:v>
      </x:c>
      <x:c r="F36" s="24" t="str">
        <x:v>Dolphinfishes</x:v>
      </x:c>
      <x:c r="G36" s="24" t="str">
        <x:v>Large pelagics (&gt;=90 cm)</x:v>
      </x:c>
      <x:c r="H36" s="24" t="str">
        <x:v>Perch-likes</x:v>
      </x:c>
      <x:c r="I36" s="31" t="n">
        <x:v>1072.3022447635</x:v>
      </x:c>
      <x:c r="J36" s="31" t="n">
        <x:v>1067.8017433099</x:v>
      </x:c>
      <x:c r="K36" s="31" t="n">
        <x:v>4.5005014536</x:v>
      </x:c>
      <x:c r="L36" s="31" t="n">
        <x:v>386.5067260956</x:v>
      </x:c>
      <x:c r="M36" s="31" t="n">
        <x:v>685.7955186679</x:v>
      </x:c>
      <x:c r="N36" s="24" t="str">
        <x:v>coryphaena</x:v>
      </x:c>
      <x:c r="O36" s="32" t="n">
        <x:v>4.49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Coryphaena</x:v>
      </x:c>
      <x:c r="T36" s="32" t="n">
        <x:f>IF(O36="","",(1/'Metadata'!$B$5)^(O36-1))</x:f>
        <x:v>3090.295432513592</x:v>
      </x:c>
      <x:c r="U36" s="31" t="n">
        <x:f>IF(T36="","",I36*T36)</x:f>
        <x:v>3313730.729266716</x:v>
      </x:c>
    </x:row>
    <x:row r="37" ht="18" customHeight="1">
      <x:c r="A37" s="24" t="str">
        <x:v>EEZ_862</x:v>
      </x:c>
      <x:c r="B37" s="24" t="str">
        <x:v>Venezuela</x:v>
      </x:c>
      <x:c r="C37" s="24" t="str">
        <x:v>EEZ</x:v>
      </x:c>
      <x:c r="D37" s="30" t="n">
        <x:v>2019</x:v>
      </x:c>
      <x:c r="E37" s="24" t="str">
        <x:v>Megalops atlanticus</x:v>
      </x:c>
      <x:c r="F37" s="24" t="str">
        <x:v>Tarpon</x:v>
      </x:c>
      <x:c r="G37" s="24" t="str">
        <x:v>Large pelagics (&gt;=90 cm)</x:v>
      </x:c>
      <x:c r="H37" s="24" t="str">
        <x:v>Other fishes &amp; inverts</x:v>
      </x:c>
      <x:c r="I37" s="31" t="n">
        <x:v>1040.6968864301</x:v>
      </x:c>
      <x:c r="J37" s="31" t="n">
        <x:v>987.001095813</x:v>
      </x:c>
      <x:c r="K37" s="31" t="n">
        <x:v>53.6957906171</x:v>
      </x:c>
      <x:c r="L37" s="31" t="n">
        <x:v>582.9459302017001</x:v>
      </x:c>
      <x:c r="M37" s="31" t="n">
        <x:v>457.75095622839996</x:v>
      </x:c>
      <x:c r="N37" s="24" t="str">
        <x:v>megalops atlanticus</x:v>
      </x:c>
      <x:c r="O37" s="32" t="n">
        <x:v>4.5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Megalops atlanticus</x:v>
      </x:c>
      <x:c r="T37" s="32" t="n">
        <x:f>IF(O37="","",(1/'Metadata'!$B$5)^(O37-1))</x:f>
        <x:v>3162.2776601683795</x:v>
      </x:c>
      <x:c r="U37" s="31" t="n">
        <x:f>IF(T37="","",I37*T37)</x:f>
        <x:v>3290972.514964694</x:v>
      </x:c>
    </x:row>
    <x:row r="38" ht="18" customHeight="1">
      <x:c r="A38" s="24" t="str">
        <x:v>EEZ_862</x:v>
      </x:c>
      <x:c r="B38" s="24" t="str">
        <x:v>Venezuela</x:v>
      </x:c>
      <x:c r="C38" s="24" t="str">
        <x:v>EEZ</x:v>
      </x:c>
      <x:c r="D38" s="30" t="n">
        <x:v>2019</x:v>
      </x:c>
      <x:c r="E38" s="24" t="str">
        <x:v>Katsuwonus pelamis</x:v>
      </x:c>
      <x:c r="F38" s="24" t="str">
        <x:v>Skipjack tuna</x:v>
      </x:c>
      <x:c r="G38" s="24" t="str">
        <x:v>Large pelagics (&gt;=90 cm)</x:v>
      </x:c>
      <x:c r="H38" s="24" t="str">
        <x:v>Tuna &amp; billfishes</x:v>
      </x:c>
      <x:c r="I38" s="31" t="n">
        <x:v>942.8055227179</x:v>
      </x:c>
      <x:c r="J38" s="31" t="n">
        <x:v>942.8055227179</x:v>
      </x:c>
      <x:c r="K38" s="31" t="n">
        <x:v>0</x:v>
      </x:c>
      <x:c r="L38" s="31" t="n">
        <x:v>942.8055227179</x:v>
      </x:c>
      <x:c r="M38" s="31" t="n">
        <x:v>0</x:v>
      </x:c>
      <x:c r="N38" s="24" t="str">
        <x:v>katsuwonus pelamis</x:v>
      </x:c>
      <x:c r="O38" s="32" t="n">
        <x:v>4.43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Katsuwonus pelamis</x:v>
      </x:c>
      <x:c r="T38" s="32" t="n">
        <x:f>IF(O38="","",(1/'Metadata'!$B$5)^(O38-1))</x:f>
        <x:v>2691.534803926914</x:v>
      </x:c>
      <x:c r="U38" s="31" t="n">
        <x:f>IF(T38="","",I38*T38)</x:f>
        <x:v>2537593.8777297344</x:v>
      </x:c>
    </x:row>
    <x:row r="39" ht="18" customHeight="1">
      <x:c r="A39" s="24" t="str">
        <x:v>EEZ_862</x:v>
      </x:c>
      <x:c r="B39" s="24" t="str">
        <x:v>Venezuela</x:v>
      </x:c>
      <x:c r="C39" s="24" t="str">
        <x:v>EEZ</x:v>
      </x:c>
      <x:c r="D39" s="30" t="n">
        <x:v>2019</x:v>
      </x:c>
      <x:c r="E39" s="24" t="str">
        <x:v>Scomberomorus brasiliensis</x:v>
      </x:c>
      <x:c r="F39" s="24" t="str">
        <x:v>Serra Spanish mackerel</x:v>
      </x:c>
      <x:c r="G39" s="24" t="str">
        <x:v>Large pelagics (&gt;=90 cm)</x:v>
      </x:c>
      <x:c r="H39" s="24" t="str">
        <x:v>Perch-likes</x:v>
      </x:c>
      <x:c r="I39" s="31" t="n">
        <x:v>927.6557575374</x:v>
      </x:c>
      <x:c r="J39" s="31" t="n">
        <x:v>927.6557575374</x:v>
      </x:c>
      <x:c r="K39" s="31" t="n">
        <x:v>0</x:v>
      </x:c>
      <x:c r="L39" s="31" t="n">
        <x:v>927.6557575374</x:v>
      </x:c>
      <x:c r="M39" s="31" t="n">
        <x:v>0</x:v>
      </x:c>
      <x:c r="N39" s="24" t="str">
        <x:v>scomberomorus brasiliensis</x:v>
      </x:c>
      <x:c r="O39" s="32" t="n">
        <x:v>3.31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Scomberomorus brasiliensis</x:v>
      </x:c>
      <x:c r="T39" s="32" t="n">
        <x:f>IF(O39="","",(1/'Metadata'!$B$5)^(O39-1))</x:f>
        <x:v>204.17379446695296</x:v>
      </x:c>
      <x:c r="U39" s="31" t="n">
        <x:f>IF(T39="","",I39*T39)</x:f>
        <x:v>189402.99597552663</x:v>
      </x:c>
    </x:row>
    <x:row r="40" ht="18" customHeight="1">
      <x:c r="A40" s="24" t="str">
        <x:v>EEZ_862</x:v>
      </x:c>
      <x:c r="B40" s="24" t="str">
        <x:v>Venezuela</x:v>
      </x:c>
      <x:c r="C40" s="24" t="str">
        <x:v>EEZ</x:v>
      </x:c>
      <x:c r="D40" s="30" t="n">
        <x:v>2019</x:v>
      </x:c>
      <x:c r="E40" s="24" t="str">
        <x:v>Cynoscion jamaicensis</x:v>
      </x:c>
      <x:c r="F40" s="24" t="str">
        <x:v>Jamaica weakfish</x:v>
      </x:c>
      <x:c r="G40" s="24" t="str">
        <x:v>Medium demersals (30 - 89 cm)</x:v>
      </x:c>
      <x:c r="H40" s="24" t="str">
        <x:v>Perch-likes</x:v>
      </x:c>
      <x:c r="I40" s="31" t="n">
        <x:v>924.1976421387</x:v>
      </x:c>
      <x:c r="J40" s="31" t="n">
        <x:v>924.1976421387</x:v>
      </x:c>
      <x:c r="K40" s="31" t="n">
        <x:v>0</x:v>
      </x:c>
      <x:c r="L40" s="31" t="n">
        <x:v>680</x:v>
      </x:c>
      <x:c r="M40" s="31" t="n">
        <x:v>244.1976421387</x:v>
      </x:c>
      <x:c r="N40" s="24" t="str">
        <x:v>cynoscion jamaicensis</x:v>
      </x:c>
      <x:c r="O40" s="32" t="n">
        <x:v>3.84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Cynoscion jamaicensis</x:v>
      </x:c>
      <x:c r="T40" s="32" t="n">
        <x:f>IF(O40="","",(1/'Metadata'!$B$5)^(O40-1))</x:f>
        <x:v>691.8309709189363</x:v>
      </x:c>
      <x:c r="U40" s="31" t="n">
        <x:f>IF(T40="","",I40*T40)</x:f>
        <x:v>639388.5520818084</x:v>
      </x:c>
    </x:row>
    <x:row r="41" ht="18" customHeight="1">
      <x:c r="A41" s="24" t="str">
        <x:v>EEZ_862</x:v>
      </x:c>
      <x:c r="B41" s="24" t="str">
        <x:v>Venezuela</x:v>
      </x:c>
      <x:c r="C41" s="24" t="str">
        <x:v>EEZ</x:v>
      </x:c>
      <x:c r="D41" s="30" t="n">
        <x:v>2019</x:v>
      </x:c>
      <x:c r="E41" s="24" t="str">
        <x:v>Rhomboplites aurorubens</x:v>
      </x:c>
      <x:c r="F41" s="24" t="str">
        <x:v>Vermilion snapper</x:v>
      </x:c>
      <x:c r="G41" s="24" t="str">
        <x:v>Medium demersals (30 - 89 cm)</x:v>
      </x:c>
      <x:c r="H41" s="24" t="str">
        <x:v>Perch-likes</x:v>
      </x:c>
      <x:c r="I41" s="31" t="n">
        <x:v>923.0531774501001</x:v>
      </x:c>
      <x:c r="J41" s="31" t="n">
        <x:v>923.0531774501001</x:v>
      </x:c>
      <x:c r="K41" s="31" t="n">
        <x:v>0</x:v>
      </x:c>
      <x:c r="L41" s="31" t="n">
        <x:v>802.5395974918</x:v>
      </x:c>
      <x:c r="M41" s="31" t="n">
        <x:v>120.5135799583</x:v>
      </x:c>
      <x:c r="N41" s="24" t="str">
        <x:v>rhomboplites aurorubens</x:v>
      </x:c>
      <x:c r="O41" s="32" t="n">
        <x:v>4.36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Rhomboplites aurorubens</x:v>
      </x:c>
      <x:c r="T41" s="32" t="n">
        <x:f>IF(O41="","",(1/'Metadata'!$B$5)^(O41-1))</x:f>
        <x:v>2290.867652767775</x:v>
      </x:c>
      <x:c r="U41" s="31" t="n">
        <x:f>IF(T41="","",I41*T41)</x:f>
        <x:v>2114592.666004947</x:v>
      </x:c>
    </x:row>
    <x:row r="42" ht="18" customHeight="1">
      <x:c r="A42" s="24" t="str">
        <x:v>EEZ_862</x:v>
      </x:c>
      <x:c r="B42" s="24" t="str">
        <x:v>Venezuela</x:v>
      </x:c>
      <x:c r="C42" s="24" t="str">
        <x:v>EEZ</x:v>
      </x:c>
      <x:c r="D42" s="30" t="n">
        <x:v>2019</x:v>
      </x:c>
      <x:c r="E42" s="24" t="str">
        <x:v>Xiphias gladius</x:v>
      </x:c>
      <x:c r="F42" s="24" t="str">
        <x:v>Swordfish</x:v>
      </x:c>
      <x:c r="G42" s="24" t="str">
        <x:v>Large pelagics (&gt;=90 cm)</x:v>
      </x:c>
      <x:c r="H42" s="24" t="str">
        <x:v>Tuna &amp; billfishes</x:v>
      </x:c>
      <x:c r="I42" s="31" t="n">
        <x:v>780.6501092338</x:v>
      </x:c>
      <x:c r="J42" s="31" t="n">
        <x:v>780.6501092338</x:v>
      </x:c>
      <x:c r="K42" s="31" t="n">
        <x:v>0</x:v>
      </x:c>
      <x:c r="L42" s="31" t="n">
        <x:v>780.6501092338</x:v>
      </x:c>
      <x:c r="M42" s="31" t="n">
        <x:v>0</x:v>
      </x:c>
      <x:c r="N42" s="24" t="str">
        <x:v>xiphias gladius</x:v>
      </x:c>
      <x:c r="O42" s="32" t="n">
        <x:v>4.53</x:v>
      </x:c>
      <x:c r="P42" s="24" t="str">
        <x:v>exact_2020_supplement</x:v>
      </x:c>
      <x:c r="Q42" s="32" t="str">
        <x:v>2020 supplement MeanTL</x:v>
      </x:c>
      <x:c r="R42" s="24" t="str">
        <x:v>high</x:v>
      </x:c>
      <x:c r="S42" s="24" t="str">
        <x:v>Xiphias gladius</x:v>
      </x:c>
      <x:c r="T42" s="32" t="n">
        <x:f>IF(O42="","",(1/'Metadata'!$B$5)^(O42-1))</x:f>
        <x:v>3388.4415613920273</x:v>
      </x:c>
      <x:c r="U42" s="31" t="n">
        <x:f>IF(T42="","",I42*T42)</x:f>
        <x:v>2645187.275033034</x:v>
      </x:c>
    </x:row>
    <x:row r="43" ht="18" customHeight="1">
      <x:c r="A43" s="24" t="str">
        <x:v>EEZ_862</x:v>
      </x:c>
      <x:c r="B43" s="24" t="str">
        <x:v>Venezuela</x:v>
      </x:c>
      <x:c r="C43" s="24" t="str">
        <x:v>EEZ</x:v>
      </x:c>
      <x:c r="D43" s="30" t="n">
        <x:v>2019</x:v>
      </x:c>
      <x:c r="E43" s="24" t="str">
        <x:v>Seriola zonata</x:v>
      </x:c>
      <x:c r="F43" s="24" t="str">
        <x:v>Banded rudderfish</x:v>
      </x:c>
      <x:c r="G43" s="24" t="str">
        <x:v>Medium benthopelagics (30 - 89 cm)</x:v>
      </x:c>
      <x:c r="H43" s="24" t="str">
        <x:v>Perch-likes</x:v>
      </x:c>
      <x:c r="I43" s="31" t="n">
        <x:v>776.0696522575</x:v>
      </x:c>
      <x:c r="J43" s="31" t="n">
        <x:v>776.0696522575</x:v>
      </x:c>
      <x:c r="K43" s="31" t="n">
        <x:v>0</x:v>
      </x:c>
      <x:c r="L43" s="31" t="n">
        <x:v>170</x:v>
      </x:c>
      <x:c r="M43" s="31" t="n">
        <x:v>606.0696522575</x:v>
      </x:c>
      <x:c r="N43" s="24" t="str">
        <x:v>seriola zonata</x:v>
      </x:c>
      <x:c r="O43" s="32" t="n">
        <x:v>4.47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Seriola zonata</x:v>
      </x:c>
      <x:c r="T43" s="32" t="n">
        <x:f>IF(O43="","",(1/'Metadata'!$B$5)^(O43-1))</x:f>
        <x:v>2951.209226666384</x:v>
      </x:c>
      <x:c r="U43" s="31" t="n">
        <x:f>IF(T43="","",I43*T43)</x:f>
        <x:v>2290343.918278106</x:v>
      </x:c>
    </x:row>
    <x:row r="44" ht="18" customHeight="1">
      <x:c r="A44" s="24" t="str">
        <x:v>EEZ_862</x:v>
      </x:c>
      <x:c r="B44" s="24" t="str">
        <x:v>Venezuela</x:v>
      </x:c>
      <x:c r="C44" s="24" t="str">
        <x:v>EEZ</x:v>
      </x:c>
      <x:c r="D44" s="30" t="n">
        <x:v>2019</x:v>
      </x:c>
      <x:c r="E44" s="24" t="str">
        <x:v>Penaeidae</x:v>
      </x:c>
      <x:c r="F44" s="24" t="str">
        <x:v>Commercial shrimps and prawns</x:v>
      </x:c>
      <x:c r="G44" s="24" t="str">
        <x:v>Shrimps</x:v>
      </x:c>
      <x:c r="H44" s="24" t="str">
        <x:v>Crustaceans</x:v>
      </x:c>
      <x:c r="I44" s="31" t="n">
        <x:v>757.5381749800999</x:v>
      </x:c>
      <x:c r="J44" s="31" t="n">
        <x:v>757.5381749800999</x:v>
      </x:c>
      <x:c r="K44" s="31" t="n">
        <x:v>0</x:v>
      </x:c>
      <x:c r="L44" s="31" t="n">
        <x:v>247.7523958722</x:v>
      </x:c>
      <x:c r="M44" s="31" t="n">
        <x:v>509.7857791079</x:v>
      </x:c>
      <x:c r="N44" s="24" t="str">
        <x:v>penaeidae</x:v>
      </x:c>
      <x:c r="O44" s="32" t="n">
        <x:v>3.31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Penaeidae</x:v>
      </x:c>
      <x:c r="T44" s="32" t="n">
        <x:f>IF(O44="","",(1/'Metadata'!$B$5)^(O44-1))</x:f>
        <x:v>204.17379446695296</x:v>
      </x:c>
      <x:c r="U44" s="31" t="n">
        <x:f>IF(T44="","",I44*T44)</x:f>
        <x:v>154669.44363925757</x:v>
      </x:c>
    </x:row>
    <x:row r="45" ht="18" customHeight="1">
      <x:c r="A45" s="24" t="str">
        <x:v>EEZ_862</x:v>
      </x:c>
      <x:c r="B45" s="24" t="str">
        <x:v>Venezuela</x:v>
      </x:c>
      <x:c r="C45" s="24" t="str">
        <x:v>EEZ</x:v>
      </x:c>
      <x:c r="D45" s="30" t="n">
        <x:v>2019</x:v>
      </x:c>
      <x:c r="E45" s="24" t="str">
        <x:v>Panulirus argus</x:v>
      </x:c>
      <x:c r="F45" s="24" t="str">
        <x:v>Caribbean spiny lobster</x:v>
      </x:c>
      <x:c r="G45" s="24" t="str">
        <x:v>Lobsters, crabs</x:v>
      </x:c>
      <x:c r="H45" s="24" t="str">
        <x:v>Crustaceans</x:v>
      </x:c>
      <x:c r="I45" s="31" t="n">
        <x:v>687.4239163277</x:v>
      </x:c>
      <x:c r="J45" s="31" t="n">
        <x:v>687.4239163277</x:v>
      </x:c>
      <x:c r="K45" s="31" t="n">
        <x:v>0</x:v>
      </x:c>
      <x:c r="L45" s="31" t="n">
        <x:v>105</x:v>
      </x:c>
      <x:c r="M45" s="31" t="n">
        <x:v>582.4239163277</x:v>
      </x:c>
      <x:c r="N45" s="24" t="str">
        <x:v>panulirus argus</x:v>
      </x:c>
      <x:c r="O45" s="32" t="n">
        <x:v>3.2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Panulirus argus</x:v>
      </x:c>
      <x:c r="T45" s="32" t="n">
        <x:f>IF(O45="","",(1/'Metadata'!$B$5)^(O45-1))</x:f>
        <x:v>158.48931924611142</x:v>
      </x:c>
      <x:c r="U45" s="31" t="n">
        <x:f>IF(T45="","",I45*T45)</x:f>
        <x:v>108949.34853227303</x:v>
      </x:c>
    </x:row>
    <x:row r="46" ht="18" customHeight="1">
      <x:c r="A46" s="24" t="str">
        <x:v>EEZ_862</x:v>
      </x:c>
      <x:c r="B46" s="24" t="str">
        <x:v>Venezuela</x:v>
      </x:c>
      <x:c r="C46" s="24" t="str">
        <x:v>EEZ</x:v>
      </x:c>
      <x:c r="D46" s="30" t="n">
        <x:v>2019</x:v>
      </x:c>
      <x:c r="E46" s="24" t="str">
        <x:v>Cynoscion virescens</x:v>
      </x:c>
      <x:c r="F46" s="24" t="str">
        <x:v>Green weakfish</x:v>
      </x:c>
      <x:c r="G46" s="24" t="str">
        <x:v>Large demersals (&gt;=90 cm)</x:v>
      </x:c>
      <x:c r="H46" s="24" t="str">
        <x:v>Perch-likes</x:v>
      </x:c>
      <x:c r="I46" s="31" t="n">
        <x:v>665</x:v>
      </x:c>
      <x:c r="J46" s="31" t="n">
        <x:v>665</x:v>
      </x:c>
      <x:c r="K46" s="31" t="n">
        <x:v>0</x:v>
      </x:c>
      <x:c r="L46" s="31" t="n">
        <x:v>665</x:v>
      </x:c>
      <x:c r="M46" s="31" t="n">
        <x:v>0</x:v>
      </x:c>
      <x:c r="N46" s="24" t="str">
        <x:v>cynoscion virescens</x:v>
      </x:c>
      <x:c r="O46" s="32" t="n">
        <x:v>4.03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Cynoscion virescens</x:v>
      </x:c>
      <x:c r="T46" s="32" t="n">
        <x:f>IF(O46="","",(1/'Metadata'!$B$5)^(O46-1))</x:f>
        <x:v>1071.519305237607</x:v>
      </x:c>
      <x:c r="U46" s="31" t="n">
        <x:f>IF(T46="","",I46*T46)</x:f>
        <x:v>712560.3379830087</x:v>
      </x:c>
    </x:row>
    <x:row r="47" ht="18" customHeight="1">
      <x:c r="A47" s="24" t="str">
        <x:v>EEZ_862</x:v>
      </x:c>
      <x:c r="B47" s="24" t="str">
        <x:v>Venezuela</x:v>
      </x:c>
      <x:c r="C47" s="24" t="str">
        <x:v>EEZ</x:v>
      </x:c>
      <x:c r="D47" s="30" t="n">
        <x:v>2019</x:v>
      </x:c>
      <x:c r="E47" s="24" t="str">
        <x:v>Lutjanus synagris</x:v>
      </x:c>
      <x:c r="F47" s="24" t="str">
        <x:v>Lane snapper</x:v>
      </x:c>
      <x:c r="G47" s="24" t="str">
        <x:v>Medium reef assoc. fish (30 - 89 cm)</x:v>
      </x:c>
      <x:c r="H47" s="24" t="str">
        <x:v>Perch-likes</x:v>
      </x:c>
      <x:c r="I47" s="31" t="n">
        <x:v>649.2025225191</x:v>
      </x:c>
      <x:c r="J47" s="31" t="n">
        <x:v>649.2025225191</x:v>
      </x:c>
      <x:c r="K47" s="31" t="n">
        <x:v>0</x:v>
      </x:c>
      <x:c r="L47" s="31" t="n">
        <x:v>618.2090654961</x:v>
      </x:c>
      <x:c r="M47" s="31" t="n">
        <x:v>30.993457023</x:v>
      </x:c>
      <x:c r="N47" s="24" t="str">
        <x:v>lutjanus synagris</x:v>
      </x:c>
      <x:c r="O47" s="32" t="n">
        <x:v>3.82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Lutjanus synagris</x:v>
      </x:c>
      <x:c r="T47" s="32" t="n">
        <x:f>IF(O47="","",(1/'Metadata'!$B$5)^(O47-1))</x:f>
        <x:v>660.6934480075957</x:v>
      </x:c>
      <x:c r="U47" s="31" t="n">
        <x:f>IF(T47="","",I47*T47)</x:f>
        <x:v>428923.853058373</x:v>
      </x:c>
    </x:row>
    <x:row r="48" ht="18" customHeight="1">
      <x:c r="A48" s="24" t="str">
        <x:v>EEZ_862</x:v>
      </x:c>
      <x:c r="B48" s="24" t="str">
        <x:v>Venezuela</x:v>
      </x:c>
      <x:c r="C48" s="24" t="str">
        <x:v>EEZ</x:v>
      </x:c>
      <x:c r="D48" s="30" t="n">
        <x:v>2019</x:v>
      </x:c>
      <x:c r="E48" s="24" t="str">
        <x:v>Thunnus thynnus</x:v>
      </x:c>
      <x:c r="F48" s="24" t="str">
        <x:v>Atlantic bluefin tuna</x:v>
      </x:c>
      <x:c r="G48" s="24" t="str">
        <x:v>Large pelagics (&gt;=90 cm)</x:v>
      </x:c>
      <x:c r="H48" s="24" t="str">
        <x:v>Tuna &amp; billfishes</x:v>
      </x:c>
      <x:c r="I48" s="31" t="n">
        <x:v>624.0992103143</x:v>
      </x:c>
      <x:c r="J48" s="31" t="n">
        <x:v>624.0992103143</x:v>
      </x:c>
      <x:c r="K48" s="31" t="n">
        <x:v>0</x:v>
      </x:c>
      <x:c r="L48" s="31" t="n">
        <x:v>624.0992103143</x:v>
      </x:c>
      <x:c r="M48" s="31" t="n">
        <x:v>0</x:v>
      </x:c>
      <x:c r="N48" s="24" t="str">
        <x:v>thunnus thynnus</x:v>
      </x:c>
      <x:c r="O48" s="32" t="n">
        <x:v>4.45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thynnus</x:v>
      </x:c>
      <x:c r="T48" s="32" t="n">
        <x:f>IF(O48="","",(1/'Metadata'!$B$5)^(O48-1))</x:f>
        <x:v>2818.382931264455</x:v>
      </x:c>
      <x:c r="U48" s="31" t="n">
        <x:f>IF(T48="","",I48*T48)</x:f>
        <x:v>1758950.5617654482</x:v>
      </x:c>
    </x:row>
    <x:row r="49" ht="18" customHeight="1">
      <x:c r="A49" s="24" t="str">
        <x:v>EEZ_862</x:v>
      </x:c>
      <x:c r="B49" s="24" t="str">
        <x:v>Venezuela</x:v>
      </x:c>
      <x:c r="C49" s="24" t="str">
        <x:v>EEZ</x:v>
      </x:c>
      <x:c r="D49" s="30" t="n">
        <x:v>2019</x:v>
      </x:c>
      <x:c r="E49" s="24" t="str">
        <x:v>Lobotes surinamensis</x:v>
      </x:c>
      <x:c r="F49" s="24" t="str">
        <x:v>Tripletail</x:v>
      </x:c>
      <x:c r="G49" s="24" t="str">
        <x:v>Large benthopelagics (&gt;=90 cm)</x:v>
      </x:c>
      <x:c r="H49" s="24" t="str">
        <x:v>Perch-likes</x:v>
      </x:c>
      <x:c r="I49" s="31" t="n">
        <x:v>621.6167836692</x:v>
      </x:c>
      <x:c r="J49" s="31" t="n">
        <x:v>621.6084945973</x:v>
      </x:c>
      <x:c r="K49" s="31" t="n">
        <x:v>0.0082890719</x:v>
      </x:c>
      <x:c r="L49" s="31" t="n">
        <x:v>190.0009332936</x:v>
      </x:c>
      <x:c r="M49" s="31" t="n">
        <x:v>431.6158503756</x:v>
      </x:c>
      <x:c r="N49" s="24" t="str">
        <x:v>lobotes surinamensis</x:v>
      </x:c>
      <x:c r="O49" s="32" t="n">
        <x:v>4.04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Lobotes surinamensis</x:v>
      </x:c>
      <x:c r="T49" s="32" t="n">
        <x:f>IF(O49="","",(1/'Metadata'!$B$5)^(O49-1))</x:f>
        <x:v>1096.4781961431852</x:v>
      </x:c>
      <x:c r="U49" s="31" t="n">
        <x:f>IF(T49="","",I49*T49)</x:f>
        <x:v>681589.249649933</x:v>
      </x:c>
    </x:row>
    <x:row r="50" ht="18" customHeight="1">
      <x:c r="A50" s="24" t="str">
        <x:v>EEZ_862</x:v>
      </x:c>
      <x:c r="B50" s="24" t="str">
        <x:v>Venezuela</x:v>
      </x:c>
      <x:c r="C50" s="24" t="str">
        <x:v>EEZ</x:v>
      </x:c>
      <x:c r="D50" s="30" t="n">
        <x:v>2019</x:v>
      </x:c>
      <x:c r="E50" s="24" t="str">
        <x:v>Pomatomus saltatrix</x:v>
      </x:c>
      <x:c r="F50" s="24" t="str">
        <x:v>Bluefish</x:v>
      </x:c>
      <x:c r="G50" s="24" t="str">
        <x:v>Large pelagics (&gt;=90 cm)</x:v>
      </x:c>
      <x:c r="H50" s="24" t="str">
        <x:v>Perch-likes</x:v>
      </x:c>
      <x:c r="I50" s="31" t="n">
        <x:v>621.2053612489</x:v>
      </x:c>
      <x:c r="J50" s="31" t="n">
        <x:v>618.3024590932</x:v>
      </x:c>
      <x:c r="K50" s="31" t="n">
        <x:v>2.9029021557</x:v>
      </x:c>
      <x:c r="L50" s="31" t="n">
        <x:v>400.3268471948</x:v>
      </x:c>
      <x:c r="M50" s="31" t="n">
        <x:v>220.8785140541</x:v>
      </x:c>
      <x:c r="N50" s="24" t="str">
        <x:v>pomatomus saltatrix</x:v>
      </x:c>
      <x:c r="O50" s="32" t="n">
        <x:v>4.53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Pomatomus saltatrix</x:v>
      </x:c>
      <x:c r="T50" s="32" t="n">
        <x:f>IF(O50="","",(1/'Metadata'!$B$5)^(O50-1))</x:f>
        <x:v>3388.4415613920273</x:v>
      </x:c>
      <x:c r="U50" s="31" t="n">
        <x:f>IF(T50="","",I50*T50)</x:f>
        <x:v>2104918.064215321</x:v>
      </x:c>
    </x:row>
    <x:row r="51" ht="18" customHeight="1">
      <x:c r="A51" s="24" t="str">
        <x:v>EEZ_862</x:v>
      </x:c>
      <x:c r="B51" s="24" t="str">
        <x:v>Venezuela</x:v>
      </x:c>
      <x:c r="C51" s="24" t="str">
        <x:v>EEZ</x:v>
      </x:c>
      <x:c r="D51" s="30" t="n">
        <x:v>2019</x:v>
      </x:c>
      <x:c r="E51" s="24" t="str">
        <x:v>Euthynnus alletteratus</x:v>
      </x:c>
      <x:c r="F51" s="24" t="str">
        <x:v>Little tunny </x:v>
      </x:c>
      <x:c r="G51" s="24" t="str">
        <x:v>Large pelagics (&gt;=90 cm)</x:v>
      </x:c>
      <x:c r="H51" s="24" t="str">
        <x:v>Tuna &amp; billfishes</x:v>
      </x:c>
      <x:c r="I51" s="31" t="n">
        <x:v>592.3006494537</x:v>
      </x:c>
      <x:c r="J51" s="31" t="n">
        <x:v>592.3006494537</x:v>
      </x:c>
      <x:c r="K51" s="31" t="n">
        <x:v>0</x:v>
      </x:c>
      <x:c r="L51" s="31" t="n">
        <x:v>592.3006494537</x:v>
      </x:c>
      <x:c r="M51" s="31" t="n">
        <x:v>0</x:v>
      </x:c>
      <x:c r="N51" s="24" t="str">
        <x:v>euthynnus alletteratus</x:v>
      </x:c>
      <x:c r="O51" s="32" t="n">
        <x:v>4.49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Euthynnus alletteratus</x:v>
      </x:c>
      <x:c r="T51" s="32" t="n">
        <x:f>IF(O51="","",(1/'Metadata'!$B$5)^(O51-1))</x:f>
        <x:v>3090.295432513592</x:v>
      </x:c>
      <x:c r="U51" s="31" t="n">
        <x:f>IF(T51="","",I51*T51)</x:f>
        <x:v>1830383.9916816032</x:v>
      </x:c>
    </x:row>
    <x:row r="52" ht="18" customHeight="1">
      <x:c r="A52" s="24" t="str">
        <x:v>EEZ_862</x:v>
      </x:c>
      <x:c r="B52" s="24" t="str">
        <x:v>Venezuela</x:v>
      </x:c>
      <x:c r="C52" s="24" t="str">
        <x:v>EEZ</x:v>
      </x:c>
      <x:c r="D52" s="30" t="n">
        <x:v>2019</x:v>
      </x:c>
      <x:c r="E52" s="24" t="str">
        <x:v>Gerreidae</x:v>
      </x:c>
      <x:c r="F52" s="24" t="str">
        <x:v>Mojarras, silverbellies</x:v>
      </x:c>
      <x:c r="G52" s="24" t="str">
        <x:v>Small benthopelagics (&lt;30 cm)</x:v>
      </x:c>
      <x:c r="H52" s="24" t="str">
        <x:v>Perch-likes</x:v>
      </x:c>
      <x:c r="I52" s="31" t="n">
        <x:v>580.5489528969</x:v>
      </x:c>
      <x:c r="J52" s="31" t="n">
        <x:v>530.6214948778</x:v>
      </x:c>
      <x:c r="K52" s="31" t="n">
        <x:v>49.9274580191</x:v>
      </x:c>
      <x:c r="L52" s="31" t="n">
        <x:v>530.6214948778</x:v>
      </x:c>
      <x:c r="M52" s="31" t="n">
        <x:v>49.9274580191</x:v>
      </x:c>
      <x:c r="N52" s="24" t="str">
        <x:v>gerreidae</x:v>
      </x:c>
      <x:c r="O52" s="32" t="n">
        <x:v>3.03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Gerreidae</x:v>
      </x:c>
      <x:c r="T52" s="32" t="n">
        <x:f>IF(O52="","",(1/'Metadata'!$B$5)^(O52-1))</x:f>
        <x:v>107.1519305237606</x:v>
      </x:c>
      <x:c r="U52" s="31" t="n">
        <x:f>IF(T52="","",I52*T52)</x:f>
        <x:v>62206.94106645059</x:v>
      </x:c>
    </x:row>
    <x:row r="53" ht="18" customHeight="1">
      <x:c r="A53" s="24" t="str">
        <x:v>EEZ_862</x:v>
      </x:c>
      <x:c r="B53" s="24" t="str">
        <x:v>Venezuela</x:v>
      </x:c>
      <x:c r="C53" s="24" t="str">
        <x:v>EEZ</x:v>
      </x:c>
      <x:c r="D53" s="30" t="n">
        <x:v>2019</x:v>
      </x:c>
      <x:c r="E53" s="24" t="str">
        <x:v>Sphyraena</x:v>
      </x:c>
      <x:c r="F53" s="24" t="str">
        <x:v>Barracudas, sennets</x:v>
      </x:c>
      <x:c r="G53" s="24" t="str">
        <x:v>Large pelagics (&gt;=90 cm)</x:v>
      </x:c>
      <x:c r="H53" s="24" t="str">
        <x:v>Perch-likes</x:v>
      </x:c>
      <x:c r="I53" s="31" t="n">
        <x:v>544.1847592565</x:v>
      </x:c>
      <x:c r="J53" s="31" t="n">
        <x:v>544.1847592565</x:v>
      </x:c>
      <x:c r="K53" s="31" t="n">
        <x:v>0</x:v>
      </x:c>
      <x:c r="L53" s="31" t="n">
        <x:v>390</x:v>
      </x:c>
      <x:c r="M53" s="31" t="n">
        <x:v>154.1847592565</x:v>
      </x:c>
      <x:c r="N53" s="24" t="str">
        <x:v>sphyraena</x:v>
      </x:c>
      <x:c r="O53" s="32" t="n">
        <x:v>4.4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Sphyraena</x:v>
      </x:c>
      <x:c r="T53" s="32" t="n">
        <x:f>IF(O53="","",(1/'Metadata'!$B$5)^(O53-1))</x:f>
        <x:v>2511.886431509582</x:v>
      </x:c>
      <x:c r="U53" s="31" t="n">
        <x:f>IF(T53="","",I53*T53)</x:f>
        <x:v>1366930.3130107108</x:v>
      </x:c>
    </x:row>
    <x:row r="54" ht="18" customHeight="1">
      <x:c r="A54" s="24" t="str">
        <x:v>EEZ_862</x:v>
      </x:c>
      <x:c r="B54" s="24" t="str">
        <x:v>Venezuela</x:v>
      </x:c>
      <x:c r="C54" s="24" t="str">
        <x:v>EEZ</x:v>
      </x:c>
      <x:c r="D54" s="30" t="n">
        <x:v>2019</x:v>
      </x:c>
      <x:c r="E54" s="24" t="str">
        <x:v>Bagre marinus</x:v>
      </x:c>
      <x:c r="F54" s="24" t="str">
        <x:v>Gafftopsail sea catfish</x:v>
      </x:c>
      <x:c r="G54" s="24" t="str">
        <x:v>Large reef assoc. fish (&gt;=90 cm)</x:v>
      </x:c>
      <x:c r="H54" s="24" t="str">
        <x:v>Other fishes &amp; inverts</x:v>
      </x:c>
      <x:c r="I54" s="31" t="n">
        <x:v>510</x:v>
      </x:c>
      <x:c r="J54" s="31" t="n">
        <x:v>510</x:v>
      </x:c>
      <x:c r="K54" s="31" t="n">
        <x:v>0</x:v>
      </x:c>
      <x:c r="L54" s="31" t="n">
        <x:v>510</x:v>
      </x:c>
      <x:c r="M54" s="31" t="n">
        <x:v>0</x:v>
      </x:c>
      <x:c r="N54" s="24" t="str">
        <x:v>bagre marinus</x:v>
      </x:c>
      <x:c r="O54" s="32" t="n">
        <x:v>3.51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Bagre marinus</x:v>
      </x:c>
      <x:c r="T54" s="32" t="n">
        <x:f>IF(O54="","",(1/'Metadata'!$B$5)^(O54-1))</x:f>
        <x:v>323.5936569296281</x:v>
      </x:c>
      <x:c r="U54" s="31" t="n">
        <x:f>IF(T54="","",I54*T54)</x:f>
        <x:v>165032.7650341103</x:v>
      </x:c>
    </x:row>
    <x:row r="55" ht="18" customHeight="1">
      <x:c r="A55" s="24" t="str">
        <x:v>EEZ_862</x:v>
      </x:c>
      <x:c r="B55" s="24" t="str">
        <x:v>Venezuela</x:v>
      </x:c>
      <x:c r="C55" s="24" t="str">
        <x:v>EEZ</x:v>
      </x:c>
      <x:c r="D55" s="30" t="n">
        <x:v>2019</x:v>
      </x:c>
      <x:c r="E55" s="24" t="str">
        <x:v>Priacanthus arenatus</x:v>
      </x:c>
      <x:c r="F55" s="24" t="str">
        <x:v>Atlantic bigeye</x:v>
      </x:c>
      <x:c r="G55" s="24" t="str">
        <x:v>Medium reef assoc. fish (30 - 89 cm)</x:v>
      </x:c>
      <x:c r="H55" s="24" t="str">
        <x:v>Perch-likes</x:v>
      </x:c>
      <x:c r="I55" s="31" t="n">
        <x:v>485.2066196029</x:v>
      </x:c>
      <x:c r="J55" s="31" t="n">
        <x:v>485.2066196029</x:v>
      </x:c>
      <x:c r="K55" s="31" t="n">
        <x:v>0</x:v>
      </x:c>
      <x:c r="L55" s="31" t="n">
        <x:v>201.7918474116</x:v>
      </x:c>
      <x:c r="M55" s="31" t="n">
        <x:v>283.4147721913</x:v>
      </x:c>
      <x:c r="N55" s="24" t="str">
        <x:v>priacanthus arenatus</x:v>
      </x:c>
      <x:c r="O55" s="32" t="n">
        <x:v>4.04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Priacanthus arenatus</x:v>
      </x:c>
      <x:c r="T55" s="32" t="n">
        <x:f>IF(O55="","",(1/'Metadata'!$B$5)^(O55-1))</x:f>
        <x:v>1096.4781961431852</x:v>
      </x:c>
      <x:c r="U55" s="31" t="n">
        <x:f>IF(T55="","",I55*T55)</x:f>
        <x:v>532018.4790189205</x:v>
      </x:c>
    </x:row>
    <x:row r="56" ht="18" customHeight="1">
      <x:c r="A56" s="24" t="str">
        <x:v>EEZ_862</x:v>
      </x:c>
      <x:c r="B56" s="24" t="str">
        <x:v>Venezuela</x:v>
      </x:c>
      <x:c r="C56" s="24" t="str">
        <x:v>EEZ</x:v>
      </x:c>
      <x:c r="D56" s="30" t="n">
        <x:v>2019</x:v>
      </x:c>
      <x:c r="E56" s="24" t="str">
        <x:v>Portunidae</x:v>
      </x:c>
      <x:c r="F56" s="24" t="str">
        <x:v>Swimming crabs</x:v>
      </x:c>
      <x:c r="G56" s="24" t="str">
        <x:v>Lobsters, crabs</x:v>
      </x:c>
      <x:c r="H56" s="24" t="str">
        <x:v>Crustaceans</x:v>
      </x:c>
      <x:c r="I56" s="31" t="n">
        <x:v>466.99682434299996</x:v>
      </x:c>
      <x:c r="J56" s="31" t="n">
        <x:v>47.2595813074</x:v>
      </x:c>
      <x:c r="K56" s="31" t="n">
        <x:v>419.7372430356</x:v>
      </x:c>
      <x:c r="L56" s="31" t="n">
        <x:v>47.2595813074</x:v>
      </x:c>
      <x:c r="M56" s="31" t="n">
        <x:v>419.7372430356</x:v>
      </x:c>
      <x:c r="N56" s="24" t="str">
        <x:v>portunidae</x:v>
      </x:c>
      <x:c r="O56" s="32" t="n">
        <x:v>3.56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Portunidae</x:v>
      </x:c>
      <x:c r="T56" s="32" t="n">
        <x:f>IF(O56="","",(1/'Metadata'!$B$5)^(O56-1))</x:f>
        <x:v>363.0780547701014</x:v>
      </x:c>
      <x:c r="U56" s="31" t="n">
        <x:f>IF(T56="","",I56*T56)</x:f>
        <x:v>169556.29856627117</x:v>
      </x:c>
    </x:row>
    <x:row r="57" ht="18" customHeight="1">
      <x:c r="A57" s="24" t="str">
        <x:v>EEZ_862</x:v>
      </x:c>
      <x:c r="B57" s="24" t="str">
        <x:v>Venezuela</x:v>
      </x:c>
      <x:c r="C57" s="24" t="str">
        <x:v>EEZ</x:v>
      </x:c>
      <x:c r="D57" s="30" t="n">
        <x:v>2019</x:v>
      </x:c>
      <x:c r="E57" s="24" t="str">
        <x:v>Thunnus obesus</x:v>
      </x:c>
      <x:c r="F57" s="24" t="str">
        <x:v>Bigeye tuna</x:v>
      </x:c>
      <x:c r="G57" s="24" t="str">
        <x:v>Large pelagics (&gt;=90 cm)</x:v>
      </x:c>
      <x:c r="H57" s="24" t="str">
        <x:v>Tuna &amp; billfishes</x:v>
      </x:c>
      <x:c r="I57" s="31" t="n">
        <x:v>464.4648824364</x:v>
      </x:c>
      <x:c r="J57" s="31" t="n">
        <x:v>464.4648824364</x:v>
      </x:c>
      <x:c r="K57" s="31" t="n">
        <x:v>0</x:v>
      </x:c>
      <x:c r="L57" s="31" t="n">
        <x:v>464.4648824364</x:v>
      </x:c>
      <x:c r="M57" s="31" t="n">
        <x:v>0</x:v>
      </x:c>
      <x:c r="N57" s="24" t="str">
        <x:v>thunnus obesus</x:v>
      </x:c>
      <x:c r="O57" s="32" t="n">
        <x:v>4.49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Thunnus obesus</x:v>
      </x:c>
      <x:c r="T57" s="32" t="n">
        <x:f>IF(O57="","",(1/'Metadata'!$B$5)^(O57-1))</x:f>
        <x:v>3090.295432513592</x:v>
      </x:c>
      <x:c r="U57" s="31" t="n">
        <x:f>IF(T57="","",I57*T57)</x:f>
        <x:v>1435333.7047561693</x:v>
      </x:c>
    </x:row>
    <x:row r="58" ht="18" customHeight="1">
      <x:c r="A58" s="24" t="str">
        <x:v>EEZ_862</x:v>
      </x:c>
      <x:c r="B58" s="24" t="str">
        <x:v>Venezuela</x:v>
      </x:c>
      <x:c r="C58" s="24" t="str">
        <x:v>EEZ</x:v>
      </x:c>
      <x:c r="D58" s="30" t="n">
        <x:v>2019</x:v>
      </x:c>
      <x:c r="E58" s="24" t="str">
        <x:v>Cynoscion leiarchus</x:v>
      </x:c>
      <x:c r="F58" s="24" t="str">
        <x:v>Smooth weakfish</x:v>
      </x:c>
      <x:c r="G58" s="24" t="str">
        <x:v>Medium demersals (30 - 89 cm)</x:v>
      </x:c>
      <x:c r="H58" s="24" t="str">
        <x:v>Perch-likes</x:v>
      </x:c>
      <x:c r="I58" s="31" t="n">
        <x:v>435.00000000000006</x:v>
      </x:c>
      <x:c r="J58" s="31" t="n">
        <x:v>435.00000000000006</x:v>
      </x:c>
      <x:c r="K58" s="31" t="n">
        <x:v>0</x:v>
      </x:c>
      <x:c r="L58" s="31" t="n">
        <x:v>435.00000000000006</x:v>
      </x:c>
      <x:c r="M58" s="31" t="n">
        <x:v>0</x:v>
      </x:c>
      <x:c r="N58" s="24" t="str">
        <x:v>cynoscion leiarchus</x:v>
      </x:c>
      <x:c r="O58" s="32" t="n">
        <x:v>3.06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Cynoscion leiarchus</x:v>
      </x:c>
      <x:c r="T58" s="32" t="n">
        <x:f>IF(O58="","",(1/'Metadata'!$B$5)^(O58-1))</x:f>
        <x:v>114.81536214968828</x:v>
      </x:c>
      <x:c r="U58" s="31" t="n">
        <x:f>IF(T58="","",I58*T58)</x:f>
        <x:v>49944.68253511441</x:v>
      </x:c>
    </x:row>
    <x:row r="59" ht="18" customHeight="1">
      <x:c r="A59" s="24" t="str">
        <x:v>EEZ_862</x:v>
      </x:c>
      <x:c r="B59" s="24" t="str">
        <x:v>Venezuela</x:v>
      </x:c>
      <x:c r="C59" s="24" t="str">
        <x:v>EEZ</x:v>
      </x:c>
      <x:c r="D59" s="30" t="n">
        <x:v>2019</x:v>
      </x:c>
      <x:c r="E59" s="24" t="str">
        <x:v>Sciaenidae</x:v>
      </x:c>
      <x:c r="F59" s="24" t="str">
        <x:v>Drums, croakers</x:v>
      </x:c>
      <x:c r="G59" s="24" t="str">
        <x:v>Medium demersals (30 - 89 cm)</x:v>
      </x:c>
      <x:c r="H59" s="24" t="str">
        <x:v>Perch-likes</x:v>
      </x:c>
      <x:c r="I59" s="31" t="n">
        <x:v>424.3598966476</x:v>
      </x:c>
      <x:c r="J59" s="31" t="n">
        <x:v>132.8248761222</x:v>
      </x:c>
      <x:c r="K59" s="31" t="n">
        <x:v>291.5350205254</x:v>
      </x:c>
      <x:c r="L59" s="31" t="n">
        <x:v>132.8248761222</x:v>
      </x:c>
      <x:c r="M59" s="31" t="n">
        <x:v>291.5350205254</x:v>
      </x:c>
      <x:c r="N59" s="24" t="str">
        <x:v>sciaenidae</x:v>
      </x:c>
      <x:c r="O59" s="32" t="n">
        <x:v>3.76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Sciaenidae</x:v>
      </x:c>
      <x:c r="T59" s="32" t="n">
        <x:f>IF(O59="","",(1/'Metadata'!$B$5)^(O59-1))</x:f>
        <x:v>575.4399373371566</x:v>
      </x:c>
      <x:c r="U59" s="31" t="n">
        <x:f>IF(T59="","",I59*T59)</x:f>
        <x:v>244193.6323352972</x:v>
      </x:c>
    </x:row>
    <x:row r="60" ht="18" customHeight="1">
      <x:c r="A60" s="24" t="str">
        <x:v>EEZ_862</x:v>
      </x:c>
      <x:c r="B60" s="24" t="str">
        <x:v>Venezuela</x:v>
      </x:c>
      <x:c r="C60" s="24" t="str">
        <x:v>EEZ</x:v>
      </x:c>
      <x:c r="D60" s="30" t="n">
        <x:v>2019</x:v>
      </x:c>
      <x:c r="E60" s="24" t="str">
        <x:v>Carangidae</x:v>
      </x:c>
      <x:c r="F60" s="24" t="str">
        <x:v>Jacks, pompanos</x:v>
      </x:c>
      <x:c r="G60" s="24" t="str">
        <x:v>Medium pelagics (30 - 89 cm)</x:v>
      </x:c>
      <x:c r="H60" s="24" t="str">
        <x:v>Perch-likes</x:v>
      </x:c>
      <x:c r="I60" s="31" t="n">
        <x:v>419.1692920481</x:v>
      </x:c>
      <x:c r="J60" s="31" t="n">
        <x:v>307.56580012439997</x:v>
      </x:c>
      <x:c r="K60" s="31" t="n">
        <x:v>111.6034919237</x:v>
      </x:c>
      <x:c r="L60" s="31" t="n">
        <x:v>307.56580012439997</x:v>
      </x:c>
      <x:c r="M60" s="31" t="n">
        <x:v>111.6034919237</x:v>
      </x:c>
      <x:c r="N60" s="24" t="str">
        <x:v>carangidae</x:v>
      </x:c>
      <x:c r="O60" s="32" t="n">
        <x:v>4.05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Carangidae</x:v>
      </x:c>
      <x:c r="T60" s="32" t="n">
        <x:f>IF(O60="","",(1/'Metadata'!$B$5)^(O60-1))</x:f>
        <x:v>1122.018454301963</x:v>
      </x:c>
      <x:c r="U60" s="31" t="n">
        <x:f>IF(T60="","",I60*T60)</x:f>
        <x:v>470315.6811546572</x:v>
      </x:c>
    </x:row>
    <x:row r="61" ht="18" customHeight="1">
      <x:c r="A61" s="24" t="str">
        <x:v>EEZ_862</x:v>
      </x:c>
      <x:c r="B61" s="24" t="str">
        <x:v>Venezuela</x:v>
      </x:c>
      <x:c r="C61" s="24" t="str">
        <x:v>EEZ</x:v>
      </x:c>
      <x:c r="D61" s="30" t="n">
        <x:v>2019</x:v>
      </x:c>
      <x:c r="E61" s="24" t="str">
        <x:v>Carcharhinus</x:v>
      </x:c>
      <x:c r="F61" s="24" t="str">
        <x:v>Sharp-nosed sharks</x:v>
      </x:c>
      <x:c r="G61" s="24" t="str">
        <x:v>Large sharks (&gt;=90 cm)</x:v>
      </x:c>
      <x:c r="H61" s="24" t="str">
        <x:v>Sharks &amp; rays</x:v>
      </x:c>
      <x:c r="I61" s="31" t="n">
        <x:v>405.13928267020003</x:v>
      </x:c>
      <x:c r="J61" s="31" t="n">
        <x:v>405.13928267020003</x:v>
      </x:c>
      <x:c r="K61" s="31" t="n">
        <x:v>0</x:v>
      </x:c>
      <x:c r="L61" s="31" t="n">
        <x:v>405.13928267020003</x:v>
      </x:c>
      <x:c r="M61" s="31" t="n">
        <x:v>0</x:v>
      </x:c>
      <x:c r="N61" s="24" t="str">
        <x:v>carcharhinus</x:v>
      </x:c>
      <x:c r="O61" s="32" t="n">
        <x:v>4.26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Carcharhinus</x:v>
      </x:c>
      <x:c r="T61" s="32" t="n">
        <x:f>IF(O61="","",(1/'Metadata'!$B$5)^(O61-1))</x:f>
        <x:v>1819.7008586099826</x:v>
      </x:c>
      <x:c r="U61" s="31" t="n">
        <x:f>IF(T61="","",I61*T61)</x:f>
        <x:v>737232.3005315955</x:v>
      </x:c>
    </x:row>
    <x:row r="62" ht="18" customHeight="1">
      <x:c r="A62" s="24" t="str">
        <x:v>EEZ_862</x:v>
      </x:c>
      <x:c r="B62" s="24" t="str">
        <x:v>Venezuela</x:v>
      </x:c>
      <x:c r="C62" s="24" t="str">
        <x:v>EEZ</x:v>
      </x:c>
      <x:c r="D62" s="30" t="n">
        <x:v>2019</x:v>
      </x:c>
      <x:c r="E62" s="24" t="str">
        <x:v>Thunnus atlanticus</x:v>
      </x:c>
      <x:c r="F62" s="24" t="str">
        <x:v>Blackfin tuna</x:v>
      </x:c>
      <x:c r="G62" s="24" t="str">
        <x:v>Large pelagics (&gt;=90 cm)</x:v>
      </x:c>
      <x:c r="H62" s="24" t="str">
        <x:v>Tuna &amp; billfishes</x:v>
      </x:c>
      <x:c r="I62" s="31" t="n">
        <x:v>401.66358863790003</x:v>
      </x:c>
      <x:c r="J62" s="31" t="n">
        <x:v>401.66358863790003</x:v>
      </x:c>
      <x:c r="K62" s="31" t="n">
        <x:v>0</x:v>
      </x:c>
      <x:c r="L62" s="31" t="n">
        <x:v>401.66358863790003</x:v>
      </x:c>
      <x:c r="M62" s="31" t="n">
        <x:v>0</x:v>
      </x:c>
      <x:c r="N62" s="24" t="str">
        <x:v>thunnus atlanticus</x:v>
      </x:c>
      <x:c r="O62" s="32" t="n">
        <x:v>4.35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Thunnus atlanticus</x:v>
      </x:c>
      <x:c r="T62" s="32" t="n">
        <x:f>IF(O62="","",(1/'Metadata'!$B$5)^(O62-1))</x:f>
        <x:v>2238.7211385683377</x:v>
      </x:c>
      <x:c r="U62" s="31" t="n">
        <x:f>IF(T62="","",I62*T62)</x:f>
        <x:v>899212.766476884</x:v>
      </x:c>
    </x:row>
    <x:row r="63" ht="18" customHeight="1">
      <x:c r="A63" s="24" t="str">
        <x:v>EEZ_862</x:v>
      </x:c>
      <x:c r="B63" s="24" t="str">
        <x:v>Venezuela</x:v>
      </x:c>
      <x:c r="C63" s="24" t="str">
        <x:v>EEZ</x:v>
      </x:c>
      <x:c r="D63" s="30" t="n">
        <x:v>2019</x:v>
      </x:c>
      <x:c r="E63" s="24" t="str">
        <x:v>Lutjanus purpureus</x:v>
      </x:c>
      <x:c r="F63" s="24" t="str">
        <x:v>Southern red snapper</x:v>
      </x:c>
      <x:c r="G63" s="24" t="str">
        <x:v>Medium demersals (30 - 89 cm)</x:v>
      </x:c>
      <x:c r="H63" s="24" t="str">
        <x:v>Perch-likes</x:v>
      </x:c>
      <x:c r="I63" s="31" t="n">
        <x:v>397.57131453159997</x:v>
      </x:c>
      <x:c r="J63" s="31" t="n">
        <x:v>397.57131453159997</x:v>
      </x:c>
      <x:c r="K63" s="31" t="n">
        <x:v>0</x:v>
      </x:c>
      <x:c r="L63" s="31" t="n">
        <x:v>271.5501462235</x:v>
      </x:c>
      <x:c r="M63" s="31" t="n">
        <x:v>126.0211683081</x:v>
      </x:c>
      <x:c r="N63" s="24" t="str">
        <x:v>lutjanus purpureus</x:v>
      </x:c>
      <x:c r="O63" s="32" t="n">
        <x:v>3.58</x:v>
      </x:c>
      <x:c r="P63" s="24" t="str">
        <x:v>exact_2020_supplement</x:v>
      </x:c>
      <x:c r="Q63" s="32" t="str">
        <x:v>2020 supplement MeanTL</x:v>
      </x:c>
      <x:c r="R63" s="24" t="str">
        <x:v>high</x:v>
      </x:c>
      <x:c r="S63" s="24" t="str">
        <x:v>Lutjanus purpureus</x:v>
      </x:c>
      <x:c r="T63" s="32" t="n">
        <x:f>IF(O63="","",(1/'Metadata'!$B$5)^(O63-1))</x:f>
        <x:v>380.1893963205613</x:v>
      </x:c>
      <x:c r="U63" s="31" t="n">
        <x:f>IF(T63="","",I63*T63)</x:f>
        <x:v>151152.39806614097</x:v>
      </x:c>
    </x:row>
    <x:row r="64" ht="18" customHeight="1">
      <x:c r="A64" s="24" t="str">
        <x:v>EEZ_862</x:v>
      </x:c>
      <x:c r="B64" s="24" t="str">
        <x:v>Venezuela</x:v>
      </x:c>
      <x:c r="C64" s="24" t="str">
        <x:v>EEZ</x:v>
      </x:c>
      <x:c r="D64" s="30" t="n">
        <x:v>2019</x:v>
      </x:c>
      <x:c r="E64" s="24" t="str">
        <x:v>Haemulon aurolineatum</x:v>
      </x:c>
      <x:c r="F64" s="24" t="str">
        <x:v>Tomtate grunt</x:v>
      </x:c>
      <x:c r="G64" s="24" t="str">
        <x:v>Small reef assoc. fish (&lt;30 cm)</x:v>
      </x:c>
      <x:c r="H64" s="24" t="str">
        <x:v>Perch-likes</x:v>
      </x:c>
      <x:c r="I64" s="31" t="n">
        <x:v>350</x:v>
      </x:c>
      <x:c r="J64" s="31" t="n">
        <x:v>350</x:v>
      </x:c>
      <x:c r="K64" s="31" t="n">
        <x:v>0</x:v>
      </x:c>
      <x:c r="L64" s="31" t="n">
        <x:v>350</x:v>
      </x:c>
      <x:c r="M64" s="31" t="n">
        <x:v>0</x:v>
      </x:c>
      <x:c r="N64" s="24" t="str">
        <x:v>haemulon aurolineatum</x:v>
      </x:c>
      <x:c r="O64" s="32" t="n">
        <x:v>4.35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Haemulon aurolineatum</x:v>
      </x:c>
      <x:c r="T64" s="32" t="n">
        <x:f>IF(O64="","",(1/'Metadata'!$B$5)^(O64-1))</x:f>
        <x:v>2238.7211385683377</x:v>
      </x:c>
      <x:c r="U64" s="31" t="n">
        <x:f>IF(T64="","",I64*T64)</x:f>
        <x:v>783552.3984989182</x:v>
      </x:c>
    </x:row>
    <x:row r="65" ht="18" customHeight="1">
      <x:c r="A65" s="24" t="str">
        <x:v>EEZ_862</x:v>
      </x:c>
      <x:c r="B65" s="24" t="str">
        <x:v>Venezuela</x:v>
      </x:c>
      <x:c r="C65" s="24" t="str">
        <x:v>EEZ</x:v>
      </x:c>
      <x:c r="D65" s="30" t="n">
        <x:v>2019</x:v>
      </x:c>
      <x:c r="E65" s="24" t="str">
        <x:v>Seriola rivoliana</x:v>
      </x:c>
      <x:c r="F65" s="24" t="str">
        <x:v>Longfin yellowtail</x:v>
      </x:c>
      <x:c r="G65" s="24" t="str">
        <x:v>Large benthopelagics (&gt;=90 cm)</x:v>
      </x:c>
      <x:c r="H65" s="24" t="str">
        <x:v>Perch-likes</x:v>
      </x:c>
      <x:c r="I65" s="31" t="n">
        <x:v>335</x:v>
      </x:c>
      <x:c r="J65" s="31" t="n">
        <x:v>335</x:v>
      </x:c>
      <x:c r="K65" s="31" t="n">
        <x:v>0</x:v>
      </x:c>
      <x:c r="L65" s="31" t="n">
        <x:v>335</x:v>
      </x:c>
      <x:c r="M65" s="31" t="n">
        <x:v>0</x:v>
      </x:c>
      <x:c r="N65" s="24" t="str">
        <x:v>seriola rivoliana</x:v>
      </x:c>
      <x:c r="O65" s="32" t="n">
        <x:v>4.45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Seriola rivoliana</x:v>
      </x:c>
      <x:c r="T65" s="32" t="n">
        <x:f>IF(O65="","",(1/'Metadata'!$B$5)^(O65-1))</x:f>
        <x:v>2818.382931264455</x:v>
      </x:c>
      <x:c r="U65" s="31" t="n">
        <x:f>IF(T65="","",I65*T65)</x:f>
        <x:v>944158.2819735924</x:v>
      </x:c>
    </x:row>
    <x:row r="66" ht="18" customHeight="1">
      <x:c r="A66" s="24" t="str">
        <x:v>EEZ_862</x:v>
      </x:c>
      <x:c r="B66" s="24" t="str">
        <x:v>Venezuela</x:v>
      </x:c>
      <x:c r="C66" s="24" t="str">
        <x:v>EEZ</x:v>
      </x:c>
      <x:c r="D66" s="30" t="n">
        <x:v>2019</x:v>
      </x:c>
      <x:c r="E66" s="24" t="str">
        <x:v>Chloroscombrus chrysurus</x:v>
      </x:c>
      <x:c r="F66" s="24" t="str">
        <x:v>Atlantic bumper</x:v>
      </x:c>
      <x:c r="G66" s="24" t="str">
        <x:v>Medium pelagics (30 - 89 cm)</x:v>
      </x:c>
      <x:c r="H66" s="24" t="str">
        <x:v>Perch-likes</x:v>
      </x:c>
      <x:c r="I66" s="31" t="n">
        <x:v>329.2961293072</x:v>
      </x:c>
      <x:c r="J66" s="31" t="n">
        <x:v>329.2961293072</x:v>
      </x:c>
      <x:c r="K66" s="31" t="n">
        <x:v>0</x:v>
      </x:c>
      <x:c r="L66" s="31" t="n">
        <x:v>329.2961293072</x:v>
      </x:c>
      <x:c r="M66" s="31" t="n">
        <x:v>0</x:v>
      </x:c>
      <x:c r="N66" s="24" t="str">
        <x:v>chloroscombrus chrysurus</x:v>
      </x:c>
      <x:c r="O66" s="32" t="n">
        <x:v>3.54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Chloroscombrus chrysurus</x:v>
      </x:c>
      <x:c r="T66" s="32" t="n">
        <x:f>IF(O66="","",(1/'Metadata'!$B$5)^(O66-1))</x:f>
        <x:v>346.73685045253166</x:v>
      </x:c>
      <x:c r="U66" s="31" t="n">
        <x:f>IF(T66="","",I66*T66)</x:f>
        <x:v>114179.10274218813</x:v>
      </x:c>
    </x:row>
    <x:row r="67" ht="18" customHeight="1">
      <x:c r="A67" s="24" t="str">
        <x:v>EEZ_862</x:v>
      </x:c>
      <x:c r="B67" s="24" t="str">
        <x:v>Venezuela</x:v>
      </x:c>
      <x:c r="C67" s="24" t="str">
        <x:v>EEZ</x:v>
      </x:c>
      <x:c r="D67" s="30" t="n">
        <x:v>2019</x:v>
      </x:c>
      <x:c r="E67" s="24" t="str">
        <x:v>Acanthocybium solandri</x:v>
      </x:c>
      <x:c r="F67" s="24" t="str">
        <x:v>Wahoo</x:v>
      </x:c>
      <x:c r="G67" s="24" t="str">
        <x:v>Large pelagics (&gt;=90 cm)</x:v>
      </x:c>
      <x:c r="H67" s="24" t="str">
        <x:v>Perch-likes</x:v>
      </x:c>
      <x:c r="I67" s="31" t="n">
        <x:v>317.7538752192</x:v>
      </x:c>
      <x:c r="J67" s="31" t="n">
        <x:v>317.7538752192</x:v>
      </x:c>
      <x:c r="K67" s="31" t="n">
        <x:v>0</x:v>
      </x:c>
      <x:c r="L67" s="31" t="n">
        <x:v>281.9677220483</x:v>
      </x:c>
      <x:c r="M67" s="31" t="n">
        <x:v>35.7861531709</x:v>
      </x:c>
      <x:c r="N67" s="24" t="str">
        <x:v>acanthocybium solandri</x:v>
      </x:c>
      <x:c r="O67" s="32" t="n">
        <x:v>4.26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Acanthocybium solandri</x:v>
      </x:c>
      <x:c r="T67" s="32" t="n">
        <x:f>IF(O67="","",(1/'Metadata'!$B$5)^(O67-1))</x:f>
        <x:v>1819.7008586099826</x:v>
      </x:c>
      <x:c r="U67" s="31" t="n">
        <x:f>IF(T67="","",I67*T67)</x:f>
        <x:v>578216.9995630275</x:v>
      </x:c>
    </x:row>
    <x:row r="68" ht="18" customHeight="1">
      <x:c r="A68" s="24" t="str">
        <x:v>EEZ_862</x:v>
      </x:c>
      <x:c r="B68" s="24" t="str">
        <x:v>Venezuela</x:v>
      </x:c>
      <x:c r="C68" s="24" t="str">
        <x:v>EEZ</x:v>
      </x:c>
      <x:c r="D68" s="30" t="n">
        <x:v>2019</x:v>
      </x:c>
      <x:c r="E68" s="24" t="str">
        <x:v>Engraulidae</x:v>
      </x:c>
      <x:c r="F68" s="24" t="str">
        <x:v>Anchovies, round herrings</x:v>
      </x:c>
      <x:c r="G68" s="24" t="str">
        <x:v>Small pelagics (&lt;30 cm)</x:v>
      </x:c>
      <x:c r="H68" s="24" t="str">
        <x:v>Anchovies</x:v>
      </x:c>
      <x:c r="I68" s="31" t="n">
        <x:v>289.43959434100003</x:v>
      </x:c>
      <x:c r="J68" s="31" t="n">
        <x:v>29.290978716199998</x:v>
      </x:c>
      <x:c r="K68" s="31" t="n">
        <x:v>260.1486156248</x:v>
      </x:c>
      <x:c r="L68" s="31" t="n">
        <x:v>29.290978716199998</x:v>
      </x:c>
      <x:c r="M68" s="31" t="n">
        <x:v>260.1486156248</x:v>
      </x:c>
      <x:c r="N68" s="24" t="str">
        <x:v>engraulidae</x:v>
      </x:c>
      <x:c r="O68" s="32" t="n">
        <x:v>3.2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Engraulidae</x:v>
      </x:c>
      <x:c r="T68" s="32" t="n">
        <x:f>IF(O68="","",(1/'Metadata'!$B$5)^(O68-1))</x:f>
        <x:v>158.48931924611142</x:v>
      </x:c>
      <x:c r="U68" s="31" t="n">
        <x:f>IF(T68="","",I68*T68)</x:f>
        <x:v>45873.08426997574</x:v>
      </x:c>
    </x:row>
    <x:row r="69" ht="18" customHeight="1">
      <x:c r="A69" s="24" t="str">
        <x:v>EEZ_862</x:v>
      </x:c>
      <x:c r="B69" s="24" t="str">
        <x:v>Venezuela</x:v>
      </x:c>
      <x:c r="C69" s="24" t="str">
        <x:v>EEZ</x:v>
      </x:c>
      <x:c r="D69" s="30" t="n">
        <x:v>2019</x:v>
      </x:c>
      <x:c r="E69" s="24" t="str">
        <x:v>Trichiuridae</x:v>
      </x:c>
      <x:c r="F69" s="24" t="str">
        <x:v>Cutlassfishes</x:v>
      </x:c>
      <x:c r="G69" s="24" t="str">
        <x:v>Large benthopelagics (&gt;=90 cm)</x:v>
      </x:c>
      <x:c r="H69" s="24" t="str">
        <x:v>Perch-likes</x:v>
      </x:c>
      <x:c r="I69" s="31" t="n">
        <x:v>272.7299719147</x:v>
      </x:c>
      <x:c r="J69" s="31" t="n">
        <x:v>27.5999827212</x:v>
      </x:c>
      <x:c r="K69" s="31" t="n">
        <x:v>245.1299891935</x:v>
      </x:c>
      <x:c r="L69" s="31" t="n">
        <x:v>27.5999827212</x:v>
      </x:c>
      <x:c r="M69" s="31" t="n">
        <x:v>245.1299891935</x:v>
      </x:c>
      <x:c r="N69" s="24" t="str">
        <x:v>trichiuridae</x:v>
      </x:c>
      <x:c r="O69" s="32" t="n">
        <x:v>4.15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Trichiuridae</x:v>
      </x:c>
      <x:c r="T69" s="32" t="n">
        <x:f>IF(O69="","",(1/'Metadata'!$B$5)^(O69-1))</x:f>
        <x:v>1412.5375446227554</x:v>
      </x:c>
      <x:c r="U69" s="31" t="n">
        <x:f>IF(T69="","",I69*T69)</x:f>
        <x:v>385241.3248734234</x:v>
      </x:c>
    </x:row>
    <x:row r="70" ht="18" customHeight="1">
      <x:c r="A70" s="24" t="str">
        <x:v>EEZ_862</x:v>
      </x:c>
      <x:c r="B70" s="24" t="str">
        <x:v>Venezuela</x:v>
      </x:c>
      <x:c r="C70" s="24" t="str">
        <x:v>EEZ</x:v>
      </x:c>
      <x:c r="D70" s="30" t="n">
        <x:v>2019</x:v>
      </x:c>
      <x:c r="E70" s="24" t="str">
        <x:v>Rhizoprionodon porosus</x:v>
      </x:c>
      <x:c r="F70" s="24" t="str">
        <x:v>Caribbean sharpnose shark</x:v>
      </x:c>
      <x:c r="G70" s="24" t="str">
        <x:v>Large sharks (&gt;=90 cm)</x:v>
      </x:c>
      <x:c r="H70" s="24" t="str">
        <x:v>Sharks &amp; rays</x:v>
      </x:c>
      <x:c r="I70" s="31" t="n">
        <x:v>265</x:v>
      </x:c>
      <x:c r="J70" s="31" t="n">
        <x:v>265</x:v>
      </x:c>
      <x:c r="K70" s="31" t="n">
        <x:v>0</x:v>
      </x:c>
      <x:c r="L70" s="31" t="n">
        <x:v>265</x:v>
      </x:c>
      <x:c r="M70" s="31" t="n">
        <x:v>0</x:v>
      </x:c>
      <x:c r="N70" s="24" t="str">
        <x:v>rhizoprionodon porosus</x:v>
      </x:c>
      <x:c r="O70" s="32" t="n">
        <x:v>3.99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Rhizoprionodon porosus</x:v>
      </x:c>
      <x:c r="T70" s="32" t="n">
        <x:f>IF(O70="","",(1/'Metadata'!$B$5)^(O70-1))</x:f>
        <x:v>977.2372209558112</x:v>
      </x:c>
      <x:c r="U70" s="31" t="n">
        <x:f>IF(T70="","",I70*T70)</x:f>
        <x:v>258967.86355328996</x:v>
      </x:c>
    </x:row>
    <x:row r="71" ht="18" customHeight="1">
      <x:c r="A71" s="24" t="str">
        <x:v>EEZ_862</x:v>
      </x:c>
      <x:c r="B71" s="24" t="str">
        <x:v>Venezuela</x:v>
      </x:c>
      <x:c r="C71" s="24" t="str">
        <x:v>EEZ</x:v>
      </x:c>
      <x:c r="D71" s="30" t="n">
        <x:v>2019</x:v>
      </x:c>
      <x:c r="E71" s="24" t="str">
        <x:v>Clupeidae</x:v>
      </x:c>
      <x:c r="F71" s="24" t="str">
        <x:v>Herrings, sardines, menhadens</x:v>
      </x:c>
      <x:c r="G71" s="24" t="str">
        <x:v>Small pelagics (&lt;30 cm)</x:v>
      </x:c>
      <x:c r="H71" s="24" t="str">
        <x:v>Herring-likes</x:v>
      </x:c>
      <x:c r="I71" s="31" t="n">
        <x:v>247.3516841733</x:v>
      </x:c>
      <x:c r="J71" s="31" t="n">
        <x:v>25.0317270276</x:v>
      </x:c>
      <x:c r="K71" s="31" t="n">
        <x:v>222.3199571457</x:v>
      </x:c>
      <x:c r="L71" s="31" t="n">
        <x:v>25.0317270276</x:v>
      </x:c>
      <x:c r="M71" s="31" t="n">
        <x:v>222.3199571457</x:v>
      </x:c>
      <x:c r="N71" s="24" t="str">
        <x:v>clupeidae</x:v>
      </x:c>
      <x:c r="O71" s="32" t="n">
        <x:v>3.16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Clupeidae</x:v>
      </x:c>
      <x:c r="T71" s="32" t="n">
        <x:f>IF(O71="","",(1/'Metadata'!$B$5)^(O71-1))</x:f>
        <x:v>144.5439770745928</x:v>
      </x:c>
      <x:c r="U71" s="31" t="n">
        <x:f>IF(T71="","",I71*T71)</x:f>
        <x:v>35753.19616650739</x:v>
      </x:c>
    </x:row>
    <x:row r="72" ht="18" customHeight="1">
      <x:c r="A72" s="24" t="str">
        <x:v>EEZ_862</x:v>
      </x:c>
      <x:c r="B72" s="24" t="str">
        <x:v>Venezuela</x:v>
      </x:c>
      <x:c r="C72" s="24" t="str">
        <x:v>EEZ</x:v>
      </x:c>
      <x:c r="D72" s="30" t="n">
        <x:v>2019</x:v>
      </x:c>
      <x:c r="E72" s="24" t="str">
        <x:v>Carcharhinidae</x:v>
      </x:c>
      <x:c r="F72" s="24" t="str">
        <x:v>Requiem sharks</x:v>
      </x:c>
      <x:c r="G72" s="24" t="str">
        <x:v>Large sharks (&gt;=90 cm)</x:v>
      </x:c>
      <x:c r="H72" s="24" t="str">
        <x:v>Sharks &amp; rays</x:v>
      </x:c>
      <x:c r="I72" s="31" t="n">
        <x:v>215.6750756695</x:v>
      </x:c>
      <x:c r="J72" s="31" t="n">
        <x:v>210.5813909191</x:v>
      </x:c>
      <x:c r="K72" s="31" t="n">
        <x:v>5.0936847504</x:v>
      </x:c>
      <x:c r="L72" s="31" t="n">
        <x:v>210.5813909191</x:v>
      </x:c>
      <x:c r="M72" s="31" t="n">
        <x:v>5.0936847504</x:v>
      </x:c>
      <x:c r="N72" s="24" t="str">
        <x:v>carcharhinidae</x:v>
      </x:c>
      <x:c r="O72" s="32" t="n">
        <x:v>4.24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Carcharhinidae</x:v>
      </x:c>
      <x:c r="T72" s="32" t="n">
        <x:f>IF(O72="","",(1/'Metadata'!$B$5)^(O72-1))</x:f>
        <x:v>1737.8008287493763</x:v>
      </x:c>
      <x:c r="U72" s="31" t="n">
        <x:f>IF(T72="","",I72*T72)</x:f>
        <x:v>374800.32523904153</x:v>
      </x:c>
    </x:row>
    <x:row r="73" ht="18" customHeight="1">
      <x:c r="A73" s="24" t="str">
        <x:v>EEZ_862</x:v>
      </x:c>
      <x:c r="B73" s="24" t="str">
        <x:v>Venezuela</x:v>
      </x:c>
      <x:c r="C73" s="24" t="str">
        <x:v>EEZ</x:v>
      </x:c>
      <x:c r="D73" s="30" t="n">
        <x:v>2019</x:v>
      </x:c>
      <x:c r="E73" s="24" t="str">
        <x:v>Lutjanus analis</x:v>
      </x:c>
      <x:c r="F73" s="24" t="str">
        <x:v>Mutton snapper</x:v>
      </x:c>
      <x:c r="G73" s="24" t="str">
        <x:v>Medium reef assoc. fish (30 - 89 cm)</x:v>
      </x:c>
      <x:c r="H73" s="24" t="str">
        <x:v>Perch-likes</x:v>
      </x:c>
      <x:c r="I73" s="31" t="n">
        <x:v>209.7495530131</x:v>
      </x:c>
      <x:c r="J73" s="31" t="n">
        <x:v>209.7495530131</x:v>
      </x:c>
      <x:c r="K73" s="31" t="n">
        <x:v>0</x:v>
      </x:c>
      <x:c r="L73" s="31" t="n">
        <x:v>169.1986448941</x:v>
      </x:c>
      <x:c r="M73" s="31" t="n">
        <x:v>40.550908119</x:v>
      </x:c>
      <x:c r="N73" s="24" t="str">
        <x:v>lutjanus analis</x:v>
      </x:c>
      <x:c r="O73" s="32" t="n">
        <x:v>3.91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Lutjanus analis</x:v>
      </x:c>
      <x:c r="T73" s="32" t="n">
        <x:f>IF(O73="","",(1/'Metadata'!$B$5)^(O73-1))</x:f>
        <x:v>812.8305161640995</x:v>
      </x:c>
      <x:c r="U73" s="31" t="n">
        <x:f>IF(T73="","",I73*T73)</x:f>
        <x:v>170490.83744082725</x:v>
      </x:c>
    </x:row>
    <x:row r="74" ht="18" customHeight="1">
      <x:c r="A74" s="24" t="str">
        <x:v>EEZ_862</x:v>
      </x:c>
      <x:c r="B74" s="24" t="str">
        <x:v>Venezuela</x:v>
      </x:c>
      <x:c r="C74" s="24" t="str">
        <x:v>EEZ</x:v>
      </x:c>
      <x:c r="D74" s="30" t="n">
        <x:v>2019</x:v>
      </x:c>
      <x:c r="E74" s="24" t="str">
        <x:v>Rachycentron canadum</x:v>
      </x:c>
      <x:c r="F74" s="24" t="str">
        <x:v>Cobia</x:v>
      </x:c>
      <x:c r="G74" s="24" t="str">
        <x:v>Large pelagics (&gt;=90 cm)</x:v>
      </x:c>
      <x:c r="H74" s="24" t="str">
        <x:v>Perch-likes</x:v>
      </x:c>
      <x:c r="I74" s="31" t="n">
        <x:v>200</x:v>
      </x:c>
      <x:c r="J74" s="31" t="n">
        <x:v>200</x:v>
      </x:c>
      <x:c r="K74" s="31" t="n">
        <x:v>0</x:v>
      </x:c>
      <x:c r="L74" s="31" t="n">
        <x:v>200</x:v>
      </x:c>
      <x:c r="M74" s="31" t="n">
        <x:v>0</x:v>
      </x:c>
      <x:c r="N74" s="24" t="str">
        <x:v>rachycentron canadum</x:v>
      </x:c>
      <x:c r="O74" s="32" t="n">
        <x:v>3.96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Rachycentron canadum</x:v>
      </x:c>
      <x:c r="T74" s="32" t="n">
        <x:f>IF(O74="","",(1/'Metadata'!$B$5)^(O74-1))</x:f>
        <x:v>912.0108393559096</x:v>
      </x:c>
      <x:c r="U74" s="31" t="n">
        <x:f>IF(T74="","",I74*T74)</x:f>
        <x:v>182402.16787118194</x:v>
      </x:c>
    </x:row>
    <x:row r="75" ht="18" customHeight="1">
      <x:c r="A75" s="24" t="str">
        <x:v>EEZ_862</x:v>
      </x:c>
      <x:c r="B75" s="24" t="str">
        <x:v>Venezuela</x:v>
      </x:c>
      <x:c r="C75" s="24" t="str">
        <x:v>EEZ</x:v>
      </x:c>
      <x:c r="D75" s="30" t="n">
        <x:v>2019</x:v>
      </x:c>
      <x:c r="E75" s="24" t="str">
        <x:v>Scomberomorus regalis</x:v>
      </x:c>
      <x:c r="F75" s="24" t="str">
        <x:v>Cero</x:v>
      </x:c>
      <x:c r="G75" s="24" t="str">
        <x:v>Large reef assoc. fish (&gt;=90 cm)</x:v>
      </x:c>
      <x:c r="H75" s="24" t="str">
        <x:v>Perch-likes</x:v>
      </x:c>
      <x:c r="I75" s="31" t="n">
        <x:v>175</x:v>
      </x:c>
      <x:c r="J75" s="31" t="n">
        <x:v>175</x:v>
      </x:c>
      <x:c r="K75" s="31" t="n">
        <x:v>0</x:v>
      </x:c>
      <x:c r="L75" s="31" t="n">
        <x:v>175</x:v>
      </x:c>
      <x:c r="M75" s="31" t="n">
        <x:v>0</x:v>
      </x:c>
      <x:c r="N75" s="24" t="str">
        <x:v>scomberomorus regalis</x:v>
      </x:c>
      <x:c r="O75" s="32" t="n">
        <x:v>4.51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Scomberomorus regalis</x:v>
      </x:c>
      <x:c r="T75" s="32" t="n">
        <x:f>IF(O75="","",(1/'Metadata'!$B$5)^(O75-1))</x:f>
        <x:v>3235.936569296281</x:v>
      </x:c>
      <x:c r="U75" s="31" t="n">
        <x:f>IF(T75="","",I75*T75)</x:f>
        <x:v>566288.8996268492</x:v>
      </x:c>
    </x:row>
    <x:row r="76" ht="18" customHeight="1">
      <x:c r="A76" s="24" t="str">
        <x:v>EEZ_862</x:v>
      </x:c>
      <x:c r="B76" s="24" t="str">
        <x:v>Venezuela</x:v>
      </x:c>
      <x:c r="C76" s="24" t="str">
        <x:v>EEZ</x:v>
      </x:c>
      <x:c r="D76" s="30" t="n">
        <x:v>2019</x:v>
      </x:c>
      <x:c r="E76" s="24" t="str">
        <x:v>Chondrichthyes</x:v>
      </x:c>
      <x:c r="F76" s="24" t="str">
        <x:v>Sharks, rays, chimaeras</x:v>
      </x:c>
      <x:c r="G76" s="24" t="str">
        <x:v>Large sharks (&gt;=90 cm)</x:v>
      </x:c>
      <x:c r="H76" s="24" t="str">
        <x:v>Sharks &amp; rays</x:v>
      </x:c>
      <x:c r="I76" s="31" t="n">
        <x:v>165</x:v>
      </x:c>
      <x:c r="J76" s="31" t="n">
        <x:v>165</x:v>
      </x:c>
      <x:c r="K76" s="31" t="n">
        <x:v>0</x:v>
      </x:c>
      <x:c r="L76" s="31" t="n">
        <x:v>165</x:v>
      </x:c>
      <x:c r="M76" s="31" t="n">
        <x:v>0</x:v>
      </x:c>
      <x:c r="N76" s="24" t="str">
        <x:v>chondrichthyes</x:v>
      </x:c>
      <x:c r="O76" s="32" t="n">
        <x:v>4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Chondrichthyes</x:v>
      </x:c>
      <x:c r="T76" s="32" t="n">
        <x:f>IF(O76="","",(1/'Metadata'!$B$5)^(O76-1))</x:f>
        <x:v>1000</x:v>
      </x:c>
      <x:c r="U76" s="31" t="n">
        <x:f>IF(T76="","",I76*T76)</x:f>
        <x:v>165000</x:v>
      </x:c>
    </x:row>
    <x:row r="77" ht="18" customHeight="1">
      <x:c r="A77" s="24" t="str">
        <x:v>EEZ_862</x:v>
      </x:c>
      <x:c r="B77" s="24" t="str">
        <x:v>Venezuela</x:v>
      </x:c>
      <x:c r="C77" s="24" t="str">
        <x:v>EEZ</x:v>
      </x:c>
      <x:c r="D77" s="30" t="n">
        <x:v>2019</x:v>
      </x:c>
      <x:c r="E77" s="24" t="str">
        <x:v>Thunnus alalunga</x:v>
      </x:c>
      <x:c r="F77" s="24" t="str">
        <x:v>Albacore</x:v>
      </x:c>
      <x:c r="G77" s="24" t="str">
        <x:v>Large pelagics (&gt;=90 cm)</x:v>
      </x:c>
      <x:c r="H77" s="24" t="str">
        <x:v>Tuna &amp; billfishes</x:v>
      </x:c>
      <x:c r="I77" s="31" t="n">
        <x:v>164.31461018000002</x:v>
      </x:c>
      <x:c r="J77" s="31" t="n">
        <x:v>164.31461018000002</x:v>
      </x:c>
      <x:c r="K77" s="31" t="n">
        <x:v>0</x:v>
      </x:c>
      <x:c r="L77" s="31" t="n">
        <x:v>164.31461018000002</x:v>
      </x:c>
      <x:c r="M77" s="31" t="n">
        <x:v>0</x:v>
      </x:c>
      <x:c r="N77" s="24" t="str">
        <x:v>thunnus alalunga</x:v>
      </x:c>
      <x:c r="O77" s="32" t="n">
        <x:v>4.3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Thunnus alalunga</x:v>
      </x:c>
      <x:c r="T77" s="32" t="n">
        <x:f>IF(O77="","",(1/'Metadata'!$B$5)^(O77-1))</x:f>
        <x:v>1995.2623149688789</x:v>
      </x:c>
      <x:c r="U77" s="31" t="n">
        <x:f>IF(T77="","",I77*T77)</x:f>
        <x:v>327850.7494909557</x:v>
      </x:c>
    </x:row>
    <x:row r="78" ht="18" customHeight="1">
      <x:c r="A78" s="24" t="str">
        <x:v>EEZ_862</x:v>
      </x:c>
      <x:c r="B78" s="24" t="str">
        <x:v>Venezuela</x:v>
      </x:c>
      <x:c r="C78" s="24" t="str">
        <x:v>EEZ</x:v>
      </x:c>
      <x:c r="D78" s="30" t="n">
        <x:v>2019</x:v>
      </x:c>
      <x:c r="E78" s="24" t="str">
        <x:v>Serranidae</x:v>
      </x:c>
      <x:c r="F78" s="24" t="str">
        <x:v>Basses, groupers, hinds</x:v>
      </x:c>
      <x:c r="G78" s="24" t="str">
        <x:v>Medium reef assoc. fish (30 - 89 cm)</x:v>
      </x:c>
      <x:c r="H78" s="24" t="str">
        <x:v>Perch-likes</x:v>
      </x:c>
      <x:c r="I78" s="31" t="n">
        <x:v>163.3961013471</x:v>
      </x:c>
      <x:c r="J78" s="31" t="n">
        <x:v>151.9023492091</x:v>
      </x:c>
      <x:c r="K78" s="31" t="n">
        <x:v>11.493752138</x:v>
      </x:c>
      <x:c r="L78" s="31" t="n">
        <x:v>36.294118934400004</x:v>
      </x:c>
      <x:c r="M78" s="31" t="n">
        <x:v>127.1019824127</x:v>
      </x:c>
      <x:c r="N78" s="24" t="str">
        <x:v>serranidae</x:v>
      </x:c>
      <x:c r="O78" s="32" t="n">
        <x:v>3.98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Serranidae</x:v>
      </x:c>
      <x:c r="T78" s="32" t="n">
        <x:f>IF(O78="","",(1/'Metadata'!$B$5)^(O78-1))</x:f>
        <x:v>954.992586021436</x:v>
      </x:c>
      <x:c r="U78" s="31" t="n">
        <x:f>IF(T78="","",I78*T78)</x:f>
        <x:v>156042.06537128767</x:v>
      </x:c>
    </x:row>
    <x:row r="79" ht="18" customHeight="1">
      <x:c r="A79" s="24" t="str">
        <x:v>EEZ_862</x:v>
      </x:c>
      <x:c r="B79" s="24" t="str">
        <x:v>Venezuela</x:v>
      </x:c>
      <x:c r="C79" s="24" t="str">
        <x:v>EEZ</x:v>
      </x:c>
      <x:c r="D79" s="30" t="n">
        <x:v>2019</x:v>
      </x:c>
      <x:c r="E79" s="24" t="str">
        <x:v>Opisthonema oglinum</x:v>
      </x:c>
      <x:c r="F79" s="24" t="str">
        <x:v>Atlantic thread herring</x:v>
      </x:c>
      <x:c r="G79" s="24" t="str">
        <x:v>Small pelagics (&lt;30 cm)</x:v>
      </x:c>
      <x:c r="H79" s="24" t="str">
        <x:v>Herring-likes</x:v>
      </x:c>
      <x:c r="I79" s="31" t="n">
        <x:v>160</x:v>
      </x:c>
      <x:c r="J79" s="31" t="n">
        <x:v>160</x:v>
      </x:c>
      <x:c r="K79" s="31" t="n">
        <x:v>0</x:v>
      </x:c>
      <x:c r="L79" s="31" t="n">
        <x:v>160</x:v>
      </x:c>
      <x:c r="M79" s="31" t="n">
        <x:v>0</x:v>
      </x:c>
      <x:c r="N79" s="24" t="str">
        <x:v>opisthonema oglinum</x:v>
      </x:c>
      <x:c r="O79" s="32" t="n">
        <x:v>4.5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Opisthonema oglinum</x:v>
      </x:c>
      <x:c r="T79" s="32" t="n">
        <x:f>IF(O79="","",(1/'Metadata'!$B$5)^(O79-1))</x:f>
        <x:v>3162.2776601683795</x:v>
      </x:c>
      <x:c r="U79" s="31" t="n">
        <x:f>IF(T79="","",I79*T79)</x:f>
        <x:v>505964.42562694073</x:v>
      </x:c>
    </x:row>
    <x:row r="80" ht="18" customHeight="1">
      <x:c r="A80" s="24" t="str">
        <x:v>EEZ_862</x:v>
      </x:c>
      <x:c r="B80" s="24" t="str">
        <x:v>Venezuela</x:v>
      </x:c>
      <x:c r="C80" s="24" t="str">
        <x:v>EEZ</x:v>
      </x:c>
      <x:c r="D80" s="30" t="n">
        <x:v>2019</x:v>
      </x:c>
      <x:c r="E80" s="24" t="str">
        <x:v>Elasmobranchii</x:v>
      </x:c>
      <x:c r="F80" s="24" t="str">
        <x:v>Sharks, rays, skates</x:v>
      </x:c>
      <x:c r="G80" s="24" t="str">
        <x:v>Large sharks (&gt;=90 cm)</x:v>
      </x:c>
      <x:c r="H80" s="24" t="str">
        <x:v>Sharks &amp; rays</x:v>
      </x:c>
      <x:c r="I80" s="31" t="n">
        <x:v>151.063106991</x:v>
      </x:c>
      <x:c r="J80" s="31" t="n">
        <x:v>142.8899772352</x:v>
      </x:c>
      <x:c r="K80" s="31" t="n">
        <x:v>8.1731297558</x:v>
      </x:c>
      <x:c r="L80" s="31" t="n">
        <x:v>5.4926819527</x:v>
      </x:c>
      <x:c r="M80" s="31" t="n">
        <x:v>145.57042503830002</x:v>
      </x:c>
      <x:c r="N80" s="24" t="str">
        <x:v>elasmobranchii</x:v>
      </x:c>
      <x:c r="O80" s="32" t="n">
        <x:v>4.05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Elasmobranchii</x:v>
      </x:c>
      <x:c r="T80" s="32" t="n">
        <x:f>IF(O80="","",(1/'Metadata'!$B$5)^(O80-1))</x:f>
        <x:v>1122.018454301963</x:v>
      </x:c>
      <x:c r="U80" s="31" t="n">
        <x:f>IF(T80="","",I80*T80)</x:f>
        <x:v>169495.5938080939</x:v>
      </x:c>
    </x:row>
    <x:row r="81" ht="18" customHeight="1">
      <x:c r="A81" s="24" t="str">
        <x:v>EEZ_862</x:v>
      </x:c>
      <x:c r="B81" s="24" t="str">
        <x:v>Venezuela</x:v>
      </x:c>
      <x:c r="C81" s="24" t="str">
        <x:v>EEZ</x:v>
      </x:c>
      <x:c r="D81" s="30" t="n">
        <x:v>2019</x:v>
      </x:c>
      <x:c r="E81" s="24" t="str">
        <x:v>Ocyurus chrysurus</x:v>
      </x:c>
      <x:c r="F81" s="24" t="str">
        <x:v>Yellowtail snapper</x:v>
      </x:c>
      <x:c r="G81" s="24" t="str">
        <x:v>Medium reef assoc. fish (30 - 89 cm)</x:v>
      </x:c>
      <x:c r="H81" s="24" t="str">
        <x:v>Perch-likes</x:v>
      </x:c>
      <x:c r="I81" s="31" t="n">
        <x:v>148.5383724245</x:v>
      </x:c>
      <x:c r="J81" s="31" t="n">
        <x:v>148.5383724245</x:v>
      </x:c>
      <x:c r="K81" s="31" t="n">
        <x:v>0</x:v>
      </x:c>
      <x:c r="L81" s="31" t="n">
        <x:v>130</x:v>
      </x:c>
      <x:c r="M81" s="31" t="n">
        <x:v>18.538372424499997</x:v>
      </x:c>
      <x:c r="N81" s="24" t="str">
        <x:v>ocyurus chrysurus</x:v>
      </x:c>
      <x:c r="O81" s="32" t="n">
        <x:v>4.03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Ocyurus chrysurus</x:v>
      </x:c>
      <x:c r="T81" s="32" t="n">
        <x:f>IF(O81="","",(1/'Metadata'!$B$5)^(O81-1))</x:f>
        <x:v>1071.519305237607</x:v>
      </x:c>
      <x:c r="U81" s="31" t="n">
        <x:f>IF(T81="","",I81*T81)</x:f>
        <x:v>159161.7336214252</x:v>
      </x:c>
    </x:row>
    <x:row r="82" ht="18" customHeight="1">
      <x:c r="A82" s="24" t="str">
        <x:v>EEZ_862</x:v>
      </x:c>
      <x:c r="B82" s="24" t="str">
        <x:v>Venezuela</x:v>
      </x:c>
      <x:c r="C82" s="24" t="str">
        <x:v>EEZ</x:v>
      </x:c>
      <x:c r="D82" s="30" t="n">
        <x:v>2019</x:v>
      </x:c>
      <x:c r="E82" s="24" t="str">
        <x:v>Albula vulpes</x:v>
      </x:c>
      <x:c r="F82" s="24" t="str">
        <x:v>Bonefish</x:v>
      </x:c>
      <x:c r="G82" s="24" t="str">
        <x:v>Medium reef assoc. fish (30 - 89 cm)</x:v>
      </x:c>
      <x:c r="H82" s="24" t="str">
        <x:v>Other fishes &amp; inverts</x:v>
      </x:c>
      <x:c r="I82" s="31" t="n">
        <x:v>135</x:v>
      </x:c>
      <x:c r="J82" s="31" t="n">
        <x:v>135</x:v>
      </x:c>
      <x:c r="K82" s="31" t="n">
        <x:v>0</x:v>
      </x:c>
      <x:c r="L82" s="31" t="n">
        <x:v>135</x:v>
      </x:c>
      <x:c r="M82" s="31" t="n">
        <x:v>0</x:v>
      </x:c>
      <x:c r="N82" s="24" t="str">
        <x:v>albula vulpes</x:v>
      </x:c>
      <x:c r="O82" s="32" t="n">
        <x:v>3.73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Albula vulpes</x:v>
      </x:c>
      <x:c r="T82" s="32" t="n">
        <x:f>IF(O82="","",(1/'Metadata'!$B$5)^(O82-1))</x:f>
        <x:v>537.0317963702527</x:v>
      </x:c>
      <x:c r="U82" s="31" t="n">
        <x:f>IF(T82="","",I82*T82)</x:f>
        <x:v>72499.29250998411</x:v>
      </x:c>
    </x:row>
    <x:row r="83" ht="18" customHeight="1">
      <x:c r="A83" s="24" t="str">
        <x:v>EEZ_862</x:v>
      </x:c>
      <x:c r="B83" s="24" t="str">
        <x:v>Venezuela</x:v>
      </x:c>
      <x:c r="C83" s="24" t="str">
        <x:v>EEZ</x:v>
      </x:c>
      <x:c r="D83" s="30" t="n">
        <x:v>2019</x:v>
      </x:c>
      <x:c r="E83" s="24" t="str">
        <x:v>Mycteroperca venenosa</x:v>
      </x:c>
      <x:c r="F83" s="24" t="str">
        <x:v>Yellowfin grouper</x:v>
      </x:c>
      <x:c r="G83" s="24" t="str">
        <x:v>Medium reef assoc. fish (30 - 89 cm)</x:v>
      </x:c>
      <x:c r="H83" s="24" t="str">
        <x:v>Perch-likes</x:v>
      </x:c>
      <x:c r="I83" s="31" t="n">
        <x:v>125</x:v>
      </x:c>
      <x:c r="J83" s="31" t="n">
        <x:v>125</x:v>
      </x:c>
      <x:c r="K83" s="31" t="n">
        <x:v>0</x:v>
      </x:c>
      <x:c r="L83" s="31" t="n">
        <x:v>125</x:v>
      </x:c>
      <x:c r="M83" s="31" t="n">
        <x:v>0</x:v>
      </x:c>
      <x:c r="N83" s="24" t="str">
        <x:v>mycteroperca venenosa</x:v>
      </x:c>
      <x:c r="O83" s="32" t="n">
        <x:v>4.48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Mycteroperca venenosa</x:v>
      </x:c>
      <x:c r="T83" s="32" t="n">
        <x:f>IF(O83="","",(1/'Metadata'!$B$5)^(O83-1))</x:f>
        <x:v>3019.951720402019</x:v>
      </x:c>
      <x:c r="U83" s="31" t="n">
        <x:f>IF(T83="","",I83*T83)</x:f>
        <x:v>377493.9650502524</x:v>
      </x:c>
    </x:row>
    <x:row r="84" ht="18" customHeight="1">
      <x:c r="A84" s="24" t="str">
        <x:v>EEZ_862</x:v>
      </x:c>
      <x:c r="B84" s="24" t="str">
        <x:v>Venezuela</x:v>
      </x:c>
      <x:c r="C84" s="24" t="str">
        <x:v>EEZ</x:v>
      </x:c>
      <x:c r="D84" s="30" t="n">
        <x:v>2019</x:v>
      </x:c>
      <x:c r="E84" s="24" t="str">
        <x:v>Batrachoididae</x:v>
      </x:c>
      <x:c r="F84" s="24" t="str">
        <x:v>Toadfishes</x:v>
      </x:c>
      <x:c r="G84" s="24" t="str">
        <x:v>Large reef assoc. fish (&gt;=90 cm)</x:v>
      </x:c>
      <x:c r="H84" s="24" t="str">
        <x:v>Other fishes &amp; inverts</x:v>
      </x:c>
      <x:c r="I84" s="31" t="n">
        <x:v>124.3594483267</x:v>
      </x:c>
      <x:c r="J84" s="31" t="n">
        <x:v>12.5850437374</x:v>
      </x:c>
      <x:c r="K84" s="31" t="n">
        <x:v>111.7744045893</x:v>
      </x:c>
      <x:c r="L84" s="31" t="n">
        <x:v>12.5850437374</x:v>
      </x:c>
      <x:c r="M84" s="31" t="n">
        <x:v>111.7744045893</x:v>
      </x:c>
      <x:c r="N84" s="24" t="str">
        <x:v>batrachoididae</x:v>
      </x:c>
      <x:c r="O84" s="32" t="n">
        <x:v>3.66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Batrachoididae</x:v>
      </x:c>
      <x:c r="T84" s="32" t="n">
        <x:f>IF(O84="","",(1/'Metadata'!$B$5)^(O84-1))</x:f>
        <x:v>457.0881896148752</x:v>
      </x:c>
      <x:c r="U84" s="31" t="n">
        <x:f>IF(T84="","",I84*T84)</x:f>
        <x:v>56843.23509715593</x:v>
      </x:c>
    </x:row>
    <x:row r="85" ht="18" customHeight="1">
      <x:c r="A85" s="24" t="str">
        <x:v>EEZ_862</x:v>
      </x:c>
      <x:c r="B85" s="24" t="str">
        <x:v>Venezuela</x:v>
      </x:c>
      <x:c r="C85" s="24" t="str">
        <x:v>EEZ</x:v>
      </x:c>
      <x:c r="D85" s="30" t="n">
        <x:v>2019</x:v>
      </x:c>
      <x:c r="E85" s="24" t="str">
        <x:v>Sparidae</x:v>
      </x:c>
      <x:c r="F85" s="24" t="str">
        <x:v>Porgies, seabreams</x:v>
      </x:c>
      <x:c r="G85" s="24" t="str">
        <x:v>Medium benthopelagics (30 - 89 cm)</x:v>
      </x:c>
      <x:c r="H85" s="24" t="str">
        <x:v>Perch-likes</x:v>
      </x:c>
      <x:c r="I85" s="31" t="n">
        <x:v>105.3110627001</x:v>
      </x:c>
      <x:c r="J85" s="31" t="n">
        <x:v>105.031479214</x:v>
      </x:c>
      <x:c r="K85" s="31" t="n">
        <x:v>0.2795834861</x:v>
      </x:c>
      <x:c r="L85" s="31" t="n">
        <x:v>105.031479214</x:v>
      </x:c>
      <x:c r="M85" s="31" t="n">
        <x:v>0.2795834861</x:v>
      </x:c>
      <x:c r="N85" s="24" t="str">
        <x:v>sparidae</x:v>
      </x:c>
      <x:c r="O85" s="32" t="n">
        <x:v>3.31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Sparidae</x:v>
      </x:c>
      <x:c r="T85" s="32" t="n">
        <x:f>IF(O85="","",(1/'Metadata'!$B$5)^(O85-1))</x:f>
        <x:v>204.17379446695296</x:v>
      </x:c>
      <x:c r="U85" s="31" t="n">
        <x:f>IF(T85="","",I85*T85)</x:f>
        <x:v>21501.759270826613</x:v>
      </x:c>
    </x:row>
    <x:row r="86" ht="18" customHeight="1">
      <x:c r="A86" s="24" t="str">
        <x:v>EEZ_862</x:v>
      </x:c>
      <x:c r="B86" s="24" t="str">
        <x:v>Venezuela</x:v>
      </x:c>
      <x:c r="C86" s="24" t="str">
        <x:v>EEZ</x:v>
      </x:c>
      <x:c r="D86" s="30" t="n">
        <x:v>2019</x:v>
      </x:c>
      <x:c r="E86" s="24" t="str">
        <x:v>Conodon nobilis</x:v>
      </x:c>
      <x:c r="F86" s="24" t="str">
        <x:v>Barred grunt</x:v>
      </x:c>
      <x:c r="G86" s="24" t="str">
        <x:v>Small demersals (&lt;30 cm)</x:v>
      </x:c>
      <x:c r="H86" s="24" t="str">
        <x:v>Perch-likes</x:v>
      </x:c>
      <x:c r="I86" s="31" t="n">
        <x:v>105</x:v>
      </x:c>
      <x:c r="J86" s="31" t="n">
        <x:v>105</x:v>
      </x:c>
      <x:c r="K86" s="31" t="n">
        <x:v>0</x:v>
      </x:c>
      <x:c r="L86" s="31" t="n">
        <x:v>105</x:v>
      </x:c>
      <x:c r="M86" s="31" t="n">
        <x:v>0</x:v>
      </x:c>
      <x:c r="N86" s="24" t="str">
        <x:v>conodon nobilis</x:v>
      </x:c>
      <x:c r="O86" s="32" t="n">
        <x:v>3.61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Conodon nobilis</x:v>
      </x:c>
      <x:c r="T86" s="32" t="n">
        <x:f>IF(O86="","",(1/'Metadata'!$B$5)^(O86-1))</x:f>
        <x:v>407.3802778041126</x:v>
      </x:c>
      <x:c r="U86" s="31" t="n">
        <x:f>IF(T86="","",I86*T86)</x:f>
        <x:v>42774.92916943182</x:v>
      </x:c>
    </x:row>
    <x:row r="87" ht="18" customHeight="1">
      <x:c r="A87" s="24" t="str">
        <x:v>EEZ_862</x:v>
      </x:c>
      <x:c r="B87" s="24" t="str">
        <x:v>Venezuela</x:v>
      </x:c>
      <x:c r="C87" s="24" t="str">
        <x:v>EEZ</x:v>
      </x:c>
      <x:c r="D87" s="30" t="n">
        <x:v>2019</x:v>
      </x:c>
      <x:c r="E87" s="24" t="str">
        <x:v>Istiophorus albicans</x:v>
      </x:c>
      <x:c r="F87" s="24" t="str">
        <x:v>Atlantic sailfish</x:v>
      </x:c>
      <x:c r="G87" s="24" t="str">
        <x:v>Large pelagics (&gt;=90 cm)</x:v>
      </x:c>
      <x:c r="H87" s="24" t="str">
        <x:v>Tuna &amp; billfishes</x:v>
      </x:c>
      <x:c r="I87" s="31" t="n">
        <x:v>96.6050929853</x:v>
      </x:c>
      <x:c r="J87" s="31" t="n">
        <x:v>96.6050929853</x:v>
      </x:c>
      <x:c r="K87" s="31" t="n">
        <x:v>0</x:v>
      </x:c>
      <x:c r="L87" s="31" t="n">
        <x:v>96.6050929853</x:v>
      </x:c>
      <x:c r="M87" s="31" t="n">
        <x:v>0</x:v>
      </x:c>
      <x:c r="N87" s="24" t="str">
        <x:v>istiophorus albicans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Istiophorus albicans</x:v>
      </x:c>
      <x:c r="T87" s="32" t="n">
        <x:f>IF(O87="","",(1/'Metadata'!$B$5)^(O87-1))</x:f>
        <x:v>3162.2776601683795</x:v>
      </x:c>
      <x:c r="U87" s="31" t="n">
        <x:f>IF(T87="","",I87*T87)</x:f>
        <x:v>305492.12740590324</x:v>
      </x:c>
    </x:row>
    <x:row r="88" ht="18" customHeight="1">
      <x:c r="A88" s="24" t="str">
        <x:v>EEZ_862</x:v>
      </x:c>
      <x:c r="B88" s="24" t="str">
        <x:v>Venezuela</x:v>
      </x:c>
      <x:c r="C88" s="24" t="str">
        <x:v>EEZ</x:v>
      </x:c>
      <x:c r="D88" s="30" t="n">
        <x:v>2019</x:v>
      </x:c>
      <x:c r="E88" s="24" t="str">
        <x:v>Pristipomoides aquilonaris</x:v>
      </x:c>
      <x:c r="F88" s="24" t="str">
        <x:v>Wenchman</x:v>
      </x:c>
      <x:c r="G88" s="24" t="str">
        <x:v>Large reef assoc. fish (&gt;=90 cm)</x:v>
      </x:c>
      <x:c r="H88" s="24" t="str">
        <x:v>Perch-likes</x:v>
      </x:c>
      <x:c r="I88" s="31" t="n">
        <x:v>85</x:v>
      </x:c>
      <x:c r="J88" s="31" t="n">
        <x:v>85</x:v>
      </x:c>
      <x:c r="K88" s="31" t="n">
        <x:v>0</x:v>
      </x:c>
      <x:c r="L88" s="31" t="n">
        <x:v>85</x:v>
      </x:c>
      <x:c r="M88" s="31" t="n">
        <x:v>0</x:v>
      </x:c>
      <x:c r="N88" s="24" t="str">
        <x:v>pristipomoides aquilonaris</x:v>
      </x:c>
      <x:c r="O88" s="32" t="n">
        <x:v>3.91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Pristipomoides aquilonaris</x:v>
      </x:c>
      <x:c r="T88" s="32" t="n">
        <x:f>IF(O88="","",(1/'Metadata'!$B$5)^(O88-1))</x:f>
        <x:v>812.8305161640995</x:v>
      </x:c>
      <x:c r="U88" s="31" t="n">
        <x:f>IF(T88="","",I88*T88)</x:f>
        <x:v>69090.59387394846</x:v>
      </x:c>
    </x:row>
    <x:row r="89" ht="18" customHeight="1">
      <x:c r="A89" s="24" t="str">
        <x:v>EEZ_862</x:v>
      </x:c>
      <x:c r="B89" s="24" t="str">
        <x:v>Venezuela</x:v>
      </x:c>
      <x:c r="C89" s="24" t="str">
        <x:v>EEZ</x:v>
      </x:c>
      <x:c r="D89" s="30" t="n">
        <x:v>2019</x:v>
      </x:c>
      <x:c r="E89" s="24" t="str">
        <x:v>Gastropoda</x:v>
      </x:c>
      <x:c r="F89" s="24" t="str">
        <x:v>Sea snails</x:v>
      </x:c>
      <x:c r="G89" s="24" t="str">
        <x:v>Other demersal invertebrates</x:v>
      </x:c>
      <x:c r="H89" s="24" t="str">
        <x:v>Molluscs</x:v>
      </x:c>
      <x:c r="I89" s="31" t="n">
        <x:v>80</x:v>
      </x:c>
      <x:c r="J89" s="31" t="n">
        <x:v>80</x:v>
      </x:c>
      <x:c r="K89" s="31" t="n">
        <x:v>0</x:v>
      </x:c>
      <x:c r="L89" s="31" t="n">
        <x:v>80</x:v>
      </x:c>
      <x:c r="M89" s="31" t="n">
        <x:v>0</x:v>
      </x:c>
      <x:c r="N89" s="24" t="str">
        <x:v>gastropoda</x:v>
      </x:c>
      <x:c r="O89" s="32" t="n">
        <x:v>3.06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Gastropoda</x:v>
      </x:c>
      <x:c r="T89" s="32" t="n">
        <x:f>IF(O89="","",(1/'Metadata'!$B$5)^(O89-1))</x:f>
        <x:v>114.81536214968828</x:v>
      </x:c>
      <x:c r="U89" s="31" t="n">
        <x:f>IF(T89="","",I89*T89)</x:f>
        <x:v>9185.228971975062</x:v>
      </x:c>
    </x:row>
    <x:row r="90" ht="18" customHeight="1">
      <x:c r="A90" s="24" t="str">
        <x:v>EEZ_862</x:v>
      </x:c>
      <x:c r="B90" s="24" t="str">
        <x:v>Venezuela</x:v>
      </x:c>
      <x:c r="C90" s="24" t="str">
        <x:v>EEZ</x:v>
      </x:c>
      <x:c r="D90" s="30" t="n">
        <x:v>2019</x:v>
      </x:c>
      <x:c r="E90" s="24" t="str">
        <x:v>Cephalopholis fulva</x:v>
      </x:c>
      <x:c r="F90" s="24" t="str">
        <x:v>Coney</x:v>
      </x:c>
      <x:c r="G90" s="24" t="str">
        <x:v>Medium reef assoc. fish (30 - 89 cm)</x:v>
      </x:c>
      <x:c r="H90" s="24" t="str">
        <x:v>Perch-likes</x:v>
      </x:c>
      <x:c r="I90" s="31" t="n">
        <x:v>75</x:v>
      </x:c>
      <x:c r="J90" s="31" t="n">
        <x:v>75</x:v>
      </x:c>
      <x:c r="K90" s="31" t="n">
        <x:v>0</x:v>
      </x:c>
      <x:c r="L90" s="31" t="n">
        <x:v>75</x:v>
      </x:c>
      <x:c r="M90" s="31" t="n">
        <x:v>0</x:v>
      </x:c>
      <x:c r="N90" s="24" t="str">
        <x:v>cephalopholis fulva</x:v>
      </x:c>
      <x:c r="O90" s="32" t="n">
        <x:v>4.05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Cephalopholis fulva</x:v>
      </x:c>
      <x:c r="T90" s="32" t="n">
        <x:f>IF(O90="","",(1/'Metadata'!$B$5)^(O90-1))</x:f>
        <x:v>1122.018454301963</x:v>
      </x:c>
      <x:c r="U90" s="31" t="n">
        <x:f>IF(T90="","",I90*T90)</x:f>
        <x:v>84151.38407264723</x:v>
      </x:c>
    </x:row>
    <x:row r="91" ht="18" customHeight="1">
      <x:c r="A91" s="24" t="str">
        <x:v>EEZ_862</x:v>
      </x:c>
      <x:c r="B91" s="24" t="str">
        <x:v>Venezuela</x:v>
      </x:c>
      <x:c r="C91" s="24" t="str">
        <x:v>EEZ</x:v>
      </x:c>
      <x:c r="D91" s="30" t="n">
        <x:v>2019</x:v>
      </x:c>
      <x:c r="E91" s="24" t="str">
        <x:v>Caranx</x:v>
      </x:c>
      <x:c r="F91" s="24" t="str">
        <x:v>Jacks</x:v>
      </x:c>
      <x:c r="G91" s="24" t="str">
        <x:v>Medium reef assoc. fish (30 - 89 cm)</x:v>
      </x:c>
      <x:c r="H91" s="24" t="str">
        <x:v>Perch-likes</x:v>
      </x:c>
      <x:c r="I91" s="31" t="n">
        <x:v>73.789048984</x:v>
      </x:c>
      <x:c r="J91" s="31" t="n">
        <x:v>73.789048984</x:v>
      </x:c>
      <x:c r="K91" s="31" t="n">
        <x:v>0</x:v>
      </x:c>
      <x:c r="L91" s="31" t="n">
        <x:v>73.789048984</x:v>
      </x:c>
      <x:c r="M91" s="31" t="n">
        <x:v>0</x:v>
      </x:c>
      <x:c r="N91" s="24" t="str">
        <x:v>caranx</x:v>
      </x:c>
      <x:c r="O91" s="32" t="n">
        <x:v>4.12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Caranx</x:v>
      </x:c>
      <x:c r="T91" s="32" t="n">
        <x:f>IF(O91="","",(1/'Metadata'!$B$5)^(O91-1))</x:f>
        <x:v>1318.2567385564075</x:v>
      </x:c>
      <x:c r="U91" s="31" t="n">
        <x:f>IF(T91="","",I91*T91)</x:f>
        <x:v>97272.91105482684</x:v>
      </x:c>
    </x:row>
    <x:row r="92" ht="18" customHeight="1">
      <x:c r="A92" s="24" t="str">
        <x:v>EEZ_862</x:v>
      </x:c>
      <x:c r="B92" s="24" t="str">
        <x:v>Venezuela</x:v>
      </x:c>
      <x:c r="C92" s="24" t="str">
        <x:v>EEZ</x:v>
      </x:c>
      <x:c r="D92" s="30" t="n">
        <x:v>2019</x:v>
      </x:c>
      <x:c r="E92" s="24" t="str">
        <x:v>Carcharhinus limbatus</x:v>
      </x:c>
      <x:c r="F92" s="24" t="str">
        <x:v>Blacktip shark</x:v>
      </x:c>
      <x:c r="G92" s="24" t="str">
        <x:v>Large sharks (&gt;=90 cm)</x:v>
      </x:c>
      <x:c r="H92" s="24" t="str">
        <x:v>Sharks &amp; rays</x:v>
      </x:c>
      <x:c r="I92" s="31" t="n">
        <x:v>70</x:v>
      </x:c>
      <x:c r="J92" s="31" t="n">
        <x:v>70</x:v>
      </x:c>
      <x:c r="K92" s="31" t="n">
        <x:v>0</x:v>
      </x:c>
      <x:c r="L92" s="31" t="n">
        <x:v>70</x:v>
      </x:c>
      <x:c r="M92" s="31" t="n">
        <x:v>0</x:v>
      </x:c>
      <x:c r="N92" s="24" t="str">
        <x:v>carcharhinus limbatus</x:v>
      </x:c>
      <x:c r="O92" s="32" t="n">
        <x:v>4.37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Carcharhinus limbatus</x:v>
      </x:c>
      <x:c r="T92" s="32" t="n">
        <x:f>IF(O92="","",(1/'Metadata'!$B$5)^(O92-1))</x:f>
        <x:v>2344.228815319923</x:v>
      </x:c>
      <x:c r="U92" s="31" t="n">
        <x:f>IF(T92="","",I92*T92)</x:f>
        <x:v>164096.0170723946</x:v>
      </x:c>
    </x:row>
    <x:row r="93" ht="18" customHeight="1">
      <x:c r="A93" s="24" t="str">
        <x:v>EEZ_862</x:v>
      </x:c>
      <x:c r="B93" s="24" t="str">
        <x:v>Venezuela</x:v>
      </x:c>
      <x:c r="C93" s="24" t="str">
        <x:v>EEZ</x:v>
      </x:c>
      <x:c r="D93" s="30" t="n">
        <x:v>2019</x:v>
      </x:c>
      <x:c r="E93" s="24" t="str">
        <x:v>Hyporthodus niveatus</x:v>
      </x:c>
      <x:c r="F93" s="24" t="str">
        <x:v>Snowy grouper</x:v>
      </x:c>
      <x:c r="G93" s="24" t="str">
        <x:v>Large demersals (&gt;=90 cm)</x:v>
      </x:c>
      <x:c r="H93" s="24" t="str">
        <x:v>Perch-likes</x:v>
      </x:c>
      <x:c r="I93" s="31" t="n">
        <x:v>60</x:v>
      </x:c>
      <x:c r="J93" s="31" t="n">
        <x:v>60</x:v>
      </x:c>
      <x:c r="K93" s="31" t="n">
        <x:v>0</x:v>
      </x:c>
      <x:c r="L93" s="31" t="n">
        <x:v>60</x:v>
      </x:c>
      <x:c r="M93" s="31" t="n">
        <x:v>0</x:v>
      </x:c>
      <x:c r="N93" s="24" t="str">
        <x:v>hyporthodus niveatus</x:v>
      </x:c>
      <x:c r="O93" s="32" t="n">
        <x:v>4.04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Hyporthodus niveatus</x:v>
      </x:c>
      <x:c r="T93" s="32" t="n">
        <x:f>IF(O93="","",(1/'Metadata'!$B$5)^(O93-1))</x:f>
        <x:v>1096.4781961431852</x:v>
      </x:c>
      <x:c r="U93" s="31" t="n">
        <x:f>IF(T93="","",I93*T93)</x:f>
        <x:v>65788.69176859112</x:v>
      </x:c>
    </x:row>
    <x:row r="94" ht="18" customHeight="1">
      <x:c r="A94" s="24" t="str">
        <x:v>EEZ_862</x:v>
      </x:c>
      <x:c r="B94" s="24" t="str">
        <x:v>Venezuela</x:v>
      </x:c>
      <x:c r="C94" s="24" t="str">
        <x:v>EEZ</x:v>
      </x:c>
      <x:c r="D94" s="30" t="n">
        <x:v>2019</x:v>
      </x:c>
      <x:c r="E94" s="24" t="str">
        <x:v>Xiphopenaeus kroyeri</x:v>
      </x:c>
      <x:c r="F94" s="24" t="str">
        <x:v>Atlantic seabob</x:v>
      </x:c>
      <x:c r="G94" s="24" t="str">
        <x:v>Shrimps</x:v>
      </x:c>
      <x:c r="H94" s="24" t="str">
        <x:v>Crustaceans</x:v>
      </x:c>
      <x:c r="I94" s="31" t="n">
        <x:v>60</x:v>
      </x:c>
      <x:c r="J94" s="31" t="n">
        <x:v>60</x:v>
      </x:c>
      <x:c r="K94" s="31" t="n">
        <x:v>0</x:v>
      </x:c>
      <x:c r="L94" s="31" t="n">
        <x:v>60</x:v>
      </x:c>
      <x:c r="M94" s="31" t="n">
        <x:v>0</x:v>
      </x:c>
      <x:c r="N94" s="24" t="str">
        <x:v>xiphopenaeus kroyeri</x:v>
      </x:c>
      <x:c r="O94" s="32" t="n">
        <x:v>2.7</x:v>
      </x:c>
      <x:c r="P94" s="24" t="str">
        <x:v>exact_sea_around_us</x:v>
      </x:c>
      <x:c r="Q94" s="32" t="str">
        <x:v>Sea Around Us exploited organisms</x:v>
      </x:c>
      <x:c r="R94" s="24" t="str">
        <x:v>high</x:v>
      </x:c>
      <x:c r="S94" s="24" t="str">
        <x:v>Xiphopenaeus kroyeri</x:v>
      </x:c>
      <x:c r="T94" s="32" t="n">
        <x:f>IF(O94="","",(1/'Metadata'!$B$5)^(O94-1))</x:f>
        <x:v>50.11872336272725</x:v>
      </x:c>
      <x:c r="U94" s="31" t="n">
        <x:f>IF(T94="","",I94*T94)</x:f>
        <x:v>3007.1234017636352</x:v>
      </x:c>
    </x:row>
    <x:row r="95" ht="18" customHeight="1">
      <x:c r="A95" s="24" t="str">
        <x:v>EEZ_862</x:v>
      </x:c>
      <x:c r="B95" s="24" t="str">
        <x:v>Venezuela</x:v>
      </x:c>
      <x:c r="C95" s="24" t="str">
        <x:v>EEZ</x:v>
      </x:c>
      <x:c r="D95" s="30" t="n">
        <x:v>2019</x:v>
      </x:c>
      <x:c r="E95" s="24" t="str">
        <x:v>Perna perna</x:v>
      </x:c>
      <x:c r="F95" s="24" t="str">
        <x:v>South American rock mussel</x:v>
      </x:c>
      <x:c r="G95" s="24" t="str">
        <x:v>Other demersal invertebrates</x:v>
      </x:c>
      <x:c r="H95" s="24" t="str">
        <x:v>Molluscs</x:v>
      </x:c>
      <x:c r="I95" s="31" t="n">
        <x:v>60</x:v>
      </x:c>
      <x:c r="J95" s="31" t="n">
        <x:v>60</x:v>
      </x:c>
      <x:c r="K95" s="31" t="n">
        <x:v>0</x:v>
      </x:c>
      <x:c r="L95" s="31" t="n">
        <x:v>60</x:v>
      </x:c>
      <x:c r="M95" s="31" t="n">
        <x:v>0</x:v>
      </x:c>
      <x:c r="N95" s="24" t="str">
        <x:v>perna perna</x:v>
      </x:c>
      <x:c r="O95" s="32" t="n">
        <x:v>2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Perna perna</x:v>
      </x:c>
      <x:c r="T95" s="32" t="n">
        <x:f>IF(O95="","",(1/'Metadata'!$B$5)^(O95-1))</x:f>
        <x:v>10</x:v>
      </x:c>
      <x:c r="U95" s="31" t="n">
        <x:f>IF(T95="","",I95*T95)</x:f>
        <x:v>600</x:v>
      </x:c>
    </x:row>
    <x:row r="96" ht="18" customHeight="1">
      <x:c r="A96" s="24" t="str">
        <x:v>EEZ_862</x:v>
      </x:c>
      <x:c r="B96" s="24" t="str">
        <x:v>Venezuela</x:v>
      </x:c>
      <x:c r="C96" s="24" t="str">
        <x:v>EEZ</x:v>
      </x:c>
      <x:c r="D96" s="30" t="n">
        <x:v>2019</x:v>
      </x:c>
      <x:c r="E96" s="24" t="str">
        <x:v>Lutjanus</x:v>
      </x:c>
      <x:c r="F96" s="24" t="str">
        <x:v>Snappers</x:v>
      </x:c>
      <x:c r="G96" s="24" t="str">
        <x:v>Medium reef assoc. fish (30 - 89 cm)</x:v>
      </x:c>
      <x:c r="H96" s="24" t="str">
        <x:v>Perch-likes</x:v>
      </x:c>
      <x:c r="I96" s="31" t="n">
        <x:v>59.8593791236</x:v>
      </x:c>
      <x:c r="J96" s="31" t="n">
        <x:v>59.8593791236</x:v>
      </x:c>
      <x:c r="K96" s="31" t="n">
        <x:v>0</x:v>
      </x:c>
      <x:c r="L96" s="31" t="n">
        <x:v>10.269153401799999</x:v>
      </x:c>
      <x:c r="M96" s="31" t="n">
        <x:v>49.5902257218</x:v>
      </x:c>
      <x:c r="N96" s="24" t="str">
        <x:v>lutjanus</x:v>
      </x:c>
      <x:c r="O96" s="32" t="n">
        <x:v>4.02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Lutjanus</x:v>
      </x:c>
      <x:c r="T96" s="32" t="n">
        <x:f>IF(O96="","",(1/'Metadata'!$B$5)^(O96-1))</x:f>
        <x:v>1047.1285480508984</x:v>
      </x:c>
      <x:c r="U96" s="31" t="n">
        <x:f>IF(T96="","",I96*T96)</x:f>
        <x:v>62680.46474892353</x:v>
      </x:c>
    </x:row>
    <x:row r="97" ht="18" customHeight="1">
      <x:c r="A97" s="24" t="str">
        <x:v>EEZ_862</x:v>
      </x:c>
      <x:c r="B97" s="24" t="str">
        <x:v>Venezuela</x:v>
      </x:c>
      <x:c r="C97" s="24" t="str">
        <x:v>EEZ</x:v>
      </x:c>
      <x:c r="D97" s="30" t="n">
        <x:v>2019</x:v>
      </x:c>
      <x:c r="E97" s="24" t="str">
        <x:v>Sarda sarda</x:v>
      </x:c>
      <x:c r="F97" s="24" t="str">
        <x:v>Atlantic bonito</x:v>
      </x:c>
      <x:c r="G97" s="24" t="str">
        <x:v>Medium pelagics (30 - 89 cm)</x:v>
      </x:c>
      <x:c r="H97" s="24" t="str">
        <x:v>Tuna &amp; billfishes</x:v>
      </x:c>
      <x:c r="I97" s="31" t="n">
        <x:v>56.4110512412</x:v>
      </x:c>
      <x:c r="J97" s="31" t="n">
        <x:v>56.4110512412</x:v>
      </x:c>
      <x:c r="K97" s="31" t="n">
        <x:v>0</x:v>
      </x:c>
      <x:c r="L97" s="31" t="n">
        <x:v>56.4110512412</x:v>
      </x:c>
      <x:c r="M97" s="31" t="n">
        <x:v>0</x:v>
      </x:c>
      <x:c r="N97" s="24" t="str">
        <x:v>sarda sarda</x:v>
      </x:c>
      <x:c r="O97" s="32" t="n">
        <x:v>4.5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Sarda sarda</x:v>
      </x:c>
      <x:c r="T97" s="32" t="n">
        <x:f>IF(O97="","",(1/'Metadata'!$B$5)^(O97-1))</x:f>
        <x:v>3162.2776601683795</x:v>
      </x:c>
      <x:c r="U97" s="31" t="n">
        <x:f>IF(T97="","",I97*T97)</x:f>
        <x:v>178387.4071266605</x:v>
      </x:c>
    </x:row>
    <x:row r="98" ht="18" customHeight="1">
      <x:c r="A98" s="24" t="str">
        <x:v>EEZ_862</x:v>
      </x:c>
      <x:c r="B98" s="24" t="str">
        <x:v>Venezuela</x:v>
      </x:c>
      <x:c r="C98" s="24" t="str">
        <x:v>EEZ</x:v>
      </x:c>
      <x:c r="D98" s="30" t="n">
        <x:v>2019</x:v>
      </x:c>
      <x:c r="E98" s="24" t="str">
        <x:v>Auxis thazard</x:v>
      </x:c>
      <x:c r="F98" s="24" t="str">
        <x:v>Frigate tuna</x:v>
      </x:c>
      <x:c r="G98" s="24" t="str">
        <x:v>Medium pelagics (30 - 89 cm)</x:v>
      </x:c>
      <x:c r="H98" s="24" t="str">
        <x:v>Tuna &amp; billfishes</x:v>
      </x:c>
      <x:c r="I98" s="31" t="n">
        <x:v>52.3426248883</x:v>
      </x:c>
      <x:c r="J98" s="31" t="n">
        <x:v>52.3426248883</x:v>
      </x:c>
      <x:c r="K98" s="31" t="n">
        <x:v>0</x:v>
      </x:c>
      <x:c r="L98" s="31" t="n">
        <x:v>52.3426248883</x:v>
      </x:c>
      <x:c r="M98" s="31" t="n">
        <x:v>0</x:v>
      </x:c>
      <x:c r="N98" s="24" t="str">
        <x:v>auxis thazard</x:v>
      </x:c>
      <x:c r="O98" s="32" t="n">
        <x:v>4.37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Auxis thazard</x:v>
      </x:c>
      <x:c r="T98" s="32" t="n">
        <x:f>IF(O98="","",(1/'Metadata'!$B$5)^(O98-1))</x:f>
        <x:v>2344.228815319923</x:v>
      </x:c>
      <x:c r="U98" s="31" t="n">
        <x:f>IF(T98="","",I98*T98)</x:f>
        <x:v>122703.08953263462</x:v>
      </x:c>
    </x:row>
    <x:row r="99" ht="18" customHeight="1">
      <x:c r="A99" s="24" t="str">
        <x:v>EEZ_862</x:v>
      </x:c>
      <x:c r="B99" s="24" t="str">
        <x:v>Venezuela</x:v>
      </x:c>
      <x:c r="C99" s="24" t="str">
        <x:v>EEZ</x:v>
      </x:c>
      <x:c r="D99" s="30" t="n">
        <x:v>2019</x:v>
      </x:c>
      <x:c r="E99" s="24" t="str">
        <x:v>Cephalopoda</x:v>
      </x:c>
      <x:c r="F99" s="24" t="str">
        <x:v>Squids, cuttlefishes, octopuses</x:v>
      </x:c>
      <x:c r="G99" s="24" t="str">
        <x:v>Cephalopods</x:v>
      </x:c>
      <x:c r="H99" s="24" t="str">
        <x:v>Other fishes &amp; inverts</x:v>
      </x:c>
      <x:c r="I99" s="31" t="n">
        <x:v>41.852058928</x:v>
      </x:c>
      <x:c r="J99" s="31" t="n">
        <x:v>4.2353837942000006</x:v>
      </x:c>
      <x:c r="K99" s="31" t="n">
        <x:v>37.6166751338</x:v>
      </x:c>
      <x:c r="L99" s="31" t="n">
        <x:v>4.2353837942000006</x:v>
      </x:c>
      <x:c r="M99" s="31" t="n">
        <x:v>37.6166751338</x:v>
      </x:c>
      <x:c r="N99" s="24" t="str">
        <x:v>cephalopoda</x:v>
      </x:c>
      <x:c r="O99" s="32" t="n">
        <x:v>3.81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Cephalopoda</x:v>
      </x:c>
      <x:c r="T99" s="32" t="n">
        <x:f>IF(O99="","",(1/'Metadata'!$B$5)^(O99-1))</x:f>
        <x:v>645.6542290346556</x:v>
      </x:c>
      <x:c r="U99" s="31" t="n">
        <x:f>IF(T99="","",I99*T99)</x:f>
        <x:v>27021.958840670814</x:v>
      </x:c>
    </x:row>
    <x:row r="100" ht="18" customHeight="1">
      <x:c r="A100" s="24" t="str">
        <x:v>EEZ_862</x:v>
      </x:c>
      <x:c r="B100" s="24" t="str">
        <x:v>Venezuela</x:v>
      </x:c>
      <x:c r="C100" s="24" t="str">
        <x:v>EEZ</x:v>
      </x:c>
      <x:c r="D100" s="30" t="n">
        <x:v>2019</x:v>
      </x:c>
      <x:c r="E100" s="24" t="str">
        <x:v>Centropomidae</x:v>
      </x:c>
      <x:c r="F100" s="24" t="str">
        <x:v>Snooks</x:v>
      </x:c>
      <x:c r="G100" s="24" t="str">
        <x:v>Large reef assoc. fish (&gt;=90 cm)</x:v>
      </x:c>
      <x:c r="H100" s="24" t="str">
        <x:v>Perch-likes</x:v>
      </x:c>
      <x:c r="I100" s="31" t="n">
        <x:v>41.2025006041</x:v>
      </x:c>
      <x:c r="J100" s="31" t="n">
        <x:v>4.1696491836</x:v>
      </x:c>
      <x:c r="K100" s="31" t="n">
        <x:v>37.0328514205</x:v>
      </x:c>
      <x:c r="L100" s="31" t="n">
        <x:v>4.1696491836</x:v>
      </x:c>
      <x:c r="M100" s="31" t="n">
        <x:v>37.0328514205</x:v>
      </x:c>
      <x:c r="N100" s="24" t="str">
        <x:v>centropomidae</x:v>
      </x:c>
      <x:c r="O100" s="32" t="n">
        <x:v>3.92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Centropomidae</x:v>
      </x:c>
      <x:c r="T100" s="32" t="n">
        <x:f>IF(O100="","",(1/'Metadata'!$B$5)^(O100-1))</x:f>
        <x:v>831.7637711026708</x:v>
      </x:c>
      <x:c r="U100" s="31" t="n">
        <x:f>IF(T100="","",I100*T100)</x:f>
        <x:v>34270.747281326294</x:v>
      </x:c>
    </x:row>
    <x:row r="101" ht="18" customHeight="1">
      <x:c r="A101" s="24" t="str">
        <x:v>EEZ_862</x:v>
      </x:c>
      <x:c r="B101" s="24" t="str">
        <x:v>Venezuela</x:v>
      </x:c>
      <x:c r="C101" s="24" t="str">
        <x:v>EEZ</x:v>
      </x:c>
      <x:c r="D101" s="30" t="n">
        <x:v>2019</x:v>
      </x:c>
      <x:c r="E101" s="24" t="str">
        <x:v>Pleuronectiformes</x:v>
      </x:c>
      <x:c r="F101" s="24" t="str">
        <x:v>Flatfishes</x:v>
      </x:c>
      <x:c r="G101" s="24" t="str">
        <x:v>Small to medium flatfishes (&lt;90 cm)</x:v>
      </x:c>
      <x:c r="H101" s="24" t="str">
        <x:v>Flatfishes</x:v>
      </x:c>
      <x:c r="I101" s="31" t="n">
        <x:v>38.975534403699996</x:v>
      </x:c>
      <x:c r="J101" s="31" t="n">
        <x:v>30.525724957999998</x:v>
      </x:c>
      <x:c r="K101" s="31" t="n">
        <x:v>8.4498094457</x:v>
      </x:c>
      <x:c r="L101" s="31" t="n">
        <x:v>12.9513915268</x:v>
      </x:c>
      <x:c r="M101" s="31" t="n">
        <x:v>26.0241428769</x:v>
      </x:c>
      <x:c r="N101" s="24" t="str">
        <x:v>pleuronectiformes</x:v>
      </x:c>
      <x:c r="O101" s="32" t="n">
        <x:v>3.57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Pleuronectiformes</x:v>
      </x:c>
      <x:c r="T101" s="32" t="n">
        <x:f>IF(O101="","",(1/'Metadata'!$B$5)^(O101-1))</x:f>
        <x:v>371.5352290971724</x:v>
      </x:c>
      <x:c r="U101" s="31" t="n">
        <x:f>IF(T101="","",I101*T101)</x:f>
        <x:v>14480.784103863403</x:v>
      </x:c>
    </x:row>
    <x:row r="102" ht="18" customHeight="1">
      <x:c r="A102" s="24" t="str">
        <x:v>EEZ_862</x:v>
      </x:c>
      <x:c r="B102" s="24" t="str">
        <x:v>Venezuela</x:v>
      </x:c>
      <x:c r="C102" s="24" t="str">
        <x:v>EEZ</x:v>
      </x:c>
      <x:c r="D102" s="30" t="n">
        <x:v>2019</x:v>
      </x:c>
      <x:c r="E102" s="24" t="str">
        <x:v>Galeocerdo cuvier</x:v>
      </x:c>
      <x:c r="F102" s="24" t="str">
        <x:v>Tiger shark</x:v>
      </x:c>
      <x:c r="G102" s="24" t="str">
        <x:v>Large sharks (&gt;=90 cm)</x:v>
      </x:c>
      <x:c r="H102" s="24" t="str">
        <x:v>Sharks &amp; rays</x:v>
      </x:c>
      <x:c r="I102" s="31" t="n">
        <x:v>38.8448837</x:v>
      </x:c>
      <x:c r="J102" s="31" t="n">
        <x:v>38.8448837</x:v>
      </x:c>
      <x:c r="K102" s="31" t="n">
        <x:v>0</x:v>
      </x:c>
      <x:c r="L102" s="31" t="n">
        <x:v>38.8448837</x:v>
      </x:c>
      <x:c r="M102" s="31" t="n">
        <x:v>0</x:v>
      </x:c>
      <x:c r="N102" s="24" t="str">
        <x:v>galeocerdo cuvier</x:v>
      </x:c>
      <x:c r="O102" s="32" t="n">
        <x:v>4.54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Galeocerdo cuvier</x:v>
      </x:c>
      <x:c r="T102" s="32" t="n">
        <x:f>IF(O102="","",(1/'Metadata'!$B$5)^(O102-1))</x:f>
        <x:v>3467.368504525317</x:v>
      </x:c>
      <x:c r="U102" s="31" t="n">
        <x:f>IF(T102="","",I102*T102)</x:f>
        <x:v>134689.52630332884</x:v>
      </x:c>
    </x:row>
    <x:row r="103" ht="18" customHeight="1">
      <x:c r="A103" s="24" t="str">
        <x:v>EEZ_862</x:v>
      </x:c>
      <x:c r="B103" s="24" t="str">
        <x:v>Venezuela</x:v>
      </x:c>
      <x:c r="C103" s="24" t="str">
        <x:v>EEZ</x:v>
      </x:c>
      <x:c r="D103" s="30" t="n">
        <x:v>2019</x:v>
      </x:c>
      <x:c r="E103" s="24" t="str">
        <x:v>Makaira nigricans</x:v>
      </x:c>
      <x:c r="F103" s="24" t="str">
        <x:v>Blue marlin</x:v>
      </x:c>
      <x:c r="G103" s="24" t="str">
        <x:v>Large pelagics (&gt;=90 cm)</x:v>
      </x:c>
      <x:c r="H103" s="24" t="str">
        <x:v>Tuna &amp; billfishes</x:v>
      </x:c>
      <x:c r="I103" s="31" t="n">
        <x:v>38.6357671516</x:v>
      </x:c>
      <x:c r="J103" s="31" t="n">
        <x:v>38.6357671516</x:v>
      </x:c>
      <x:c r="K103" s="31" t="n">
        <x:v>0</x:v>
      </x:c>
      <x:c r="L103" s="31" t="n">
        <x:v>38.6357671516</x:v>
      </x:c>
      <x:c r="M103" s="31" t="n">
        <x:v>0</x:v>
      </x:c>
      <x:c r="N103" s="24" t="str">
        <x:v>makaira nigricans</x:v>
      </x:c>
      <x:c r="O103" s="32" t="n">
        <x:v>4.49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Makaira nigricans</x:v>
      </x:c>
      <x:c r="T103" s="32" t="n">
        <x:f>IF(O103="","",(1/'Metadata'!$B$5)^(O103-1))</x:f>
        <x:v>3090.295432513592</x:v>
      </x:c>
      <x:c r="U103" s="31" t="n">
        <x:f>IF(T103="","",I103*T103)</x:f>
        <x:v>119395.93476024816</x:v>
      </x:c>
    </x:row>
    <x:row r="104" ht="18" customHeight="1">
      <x:c r="A104" s="24" t="str">
        <x:v>EEZ_862</x:v>
      </x:c>
      <x:c r="B104" s="24" t="str">
        <x:v>Venezuela</x:v>
      </x:c>
      <x:c r="C104" s="24" t="str">
        <x:v>EEZ</x:v>
      </x:c>
      <x:c r="D104" s="30" t="n">
        <x:v>2019</x:v>
      </x:c>
      <x:c r="E104" s="24" t="str">
        <x:v>Sphyrna mokarran</x:v>
      </x:c>
      <x:c r="F104" s="24" t="str">
        <x:v>Great hammerhead</x:v>
      </x:c>
      <x:c r="G104" s="24" t="str">
        <x:v>Large sharks (&gt;=90 cm)</x:v>
      </x:c>
      <x:c r="H104" s="24" t="str">
        <x:v>Sharks &amp; rays</x:v>
      </x:c>
      <x:c r="I104" s="31" t="n">
        <x:v>35</x:v>
      </x:c>
      <x:c r="J104" s="31" t="n">
        <x:v>35</x:v>
      </x:c>
      <x:c r="K104" s="31" t="n">
        <x:v>0</x:v>
      </x:c>
      <x:c r="L104" s="31" t="n">
        <x:v>35</x:v>
      </x:c>
      <x:c r="M104" s="31" t="n">
        <x:v>0</x:v>
      </x:c>
      <x:c r="N104" s="24" t="str">
        <x:v>sphyrna mokarran</x:v>
      </x:c>
      <x:c r="O104" s="32" t="n">
        <x:v>4.32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Sphyrna mokarran</x:v>
      </x:c>
      <x:c r="T104" s="32" t="n">
        <x:f>IF(O104="","",(1/'Metadata'!$B$5)^(O104-1))</x:f>
        <x:v>2089.2961308540407</x:v>
      </x:c>
      <x:c r="U104" s="31" t="n">
        <x:f>IF(T104="","",I104*T104)</x:f>
        <x:v>73125.36457989142</x:v>
      </x:c>
    </x:row>
    <x:row r="105" ht="18" customHeight="1">
      <x:c r="A105" s="24" t="str">
        <x:v>EEZ_862</x:v>
      </x:c>
      <x:c r="B105" s="24" t="str">
        <x:v>Venezuela</x:v>
      </x:c>
      <x:c r="C105" s="24" t="str">
        <x:v>EEZ</x:v>
      </x:c>
      <x:c r="D105" s="30" t="n">
        <x:v>2019</x:v>
      </x:c>
      <x:c r="E105" s="24" t="str">
        <x:v>Isurus oxyrinchus</x:v>
      </x:c>
      <x:c r="F105" s="24" t="str">
        <x:v>Shortfin mako</x:v>
      </x:c>
      <x:c r="G105" s="24" t="str">
        <x:v>Large sharks (&gt;=90 cm)</x:v>
      </x:c>
      <x:c r="H105" s="24" t="str">
        <x:v>Sharks &amp; rays</x:v>
      </x:c>
      <x:c r="I105" s="31" t="n">
        <x:v>33.9009477606</x:v>
      </x:c>
      <x:c r="J105" s="31" t="n">
        <x:v>33.9009477606</x:v>
      </x:c>
      <x:c r="K105" s="31" t="n">
        <x:v>0</x:v>
      </x:c>
      <x:c r="L105" s="31" t="n">
        <x:v>33.9009477606</x:v>
      </x:c>
      <x:c r="M105" s="31" t="n">
        <x:v>0</x:v>
      </x:c>
      <x:c r="N105" s="24" t="str">
        <x:v>isurus oxyrinchus</x:v>
      </x:c>
      <x:c r="O105" s="32" t="n">
        <x:v>4.5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Isurus oxyrinchus</x:v>
      </x:c>
      <x:c r="T105" s="32" t="n">
        <x:f>IF(O105="","",(1/'Metadata'!$B$5)^(O105-1))</x:f>
        <x:v>3162.2776601683795</x:v>
      </x:c>
      <x:c r="U105" s="31" t="n">
        <x:f>IF(T105="","",I105*T105)</x:f>
        <x:v>107204.20976188063</x:v>
      </x:c>
    </x:row>
    <x:row r="106" ht="18" customHeight="1">
      <x:c r="A106" s="24" t="str">
        <x:v>EEZ_862</x:v>
      </x:c>
      <x:c r="B106" s="24" t="str">
        <x:v>Venezuela</x:v>
      </x:c>
      <x:c r="C106" s="24" t="str">
        <x:v>EEZ</x:v>
      </x:c>
      <x:c r="D106" s="30" t="n">
        <x:v>2019</x:v>
      </x:c>
      <x:c r="E106" s="24" t="str">
        <x:v>Cetengraulis edentulus</x:v>
      </x:c>
      <x:c r="F106" s="24" t="str">
        <x:v>Atlantic anchoveta</x:v>
      </x:c>
      <x:c r="G106" s="24" t="str">
        <x:v>Small pelagics (&lt;30 cm)</x:v>
      </x:c>
      <x:c r="H106" s="24" t="str">
        <x:v>Anchovies</x:v>
      </x:c>
      <x:c r="I106" s="31" t="n">
        <x:v>28.6175230093</x:v>
      </x:c>
      <x:c r="J106" s="31" t="n">
        <x:v>28.1580138856</x:v>
      </x:c>
      <x:c r="K106" s="31" t="n">
        <x:v>0.4595091237</x:v>
      </x:c>
      <x:c r="L106" s="31" t="n">
        <x:v>5</x:v>
      </x:c>
      <x:c r="M106" s="31" t="n">
        <x:v>23.617523009299997</x:v>
      </x:c>
      <x:c r="N106" s="24" t="str">
        <x:v>cetengraulis edentulus</x:v>
      </x:c>
      <x:c r="O106" s="32" t="n">
        <x:v>2.11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Cetengraulis edentulus</x:v>
      </x:c>
      <x:c r="T106" s="32" t="n">
        <x:f>IF(O106="","",(1/'Metadata'!$B$5)^(O106-1))</x:f>
        <x:v>12.882495516931336</x:v>
      </x:c>
      <x:c r="U106" s="31" t="n">
        <x:f>IF(T106="","",I106*T106)</x:f>
        <x:v>368.6651118729866</x:v>
      </x:c>
    </x:row>
    <x:row r="107" ht="18" customHeight="1">
      <x:c r="A107" s="24" t="str">
        <x:v>EEZ_862</x:v>
      </x:c>
      <x:c r="B107" s="24" t="str">
        <x:v>Venezuela</x:v>
      </x:c>
      <x:c r="C107" s="24" t="str">
        <x:v>EEZ</x:v>
      </x:c>
      <x:c r="D107" s="30" t="n">
        <x:v>2019</x:v>
      </x:c>
      <x:c r="E107" s="24" t="str">
        <x:v>Prionace glauca</x:v>
      </x:c>
      <x:c r="F107" s="24" t="str">
        <x:v>Blue shark</x:v>
      </x:c>
      <x:c r="G107" s="24" t="str">
        <x:v>Large sharks (&gt;=90 cm)</x:v>
      </x:c>
      <x:c r="H107" s="24" t="str">
        <x:v>Sharks &amp; rays</x:v>
      </x:c>
      <x:c r="I107" s="31" t="n">
        <x:v>27.5958148001</x:v>
      </x:c>
      <x:c r="J107" s="31" t="n">
        <x:v>27.5958148001</x:v>
      </x:c>
      <x:c r="K107" s="31" t="n">
        <x:v>0</x:v>
      </x:c>
      <x:c r="L107" s="31" t="n">
        <x:v>27.5958148001</x:v>
      </x:c>
      <x:c r="M107" s="31" t="n">
        <x:v>0</x:v>
      </x:c>
      <x:c r="N107" s="24" t="str">
        <x:v>prionace glauca</x:v>
      </x:c>
      <x:c r="O107" s="32" t="n">
        <x:v>4.35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Prionace glauca</x:v>
      </x:c>
      <x:c r="T107" s="32" t="n">
        <x:f>IF(O107="","",(1/'Metadata'!$B$5)^(O107-1))</x:f>
        <x:v>2238.7211385683377</x:v>
      </x:c>
      <x:c r="U107" s="31" t="n">
        <x:f>IF(T107="","",I107*T107)</x:f>
        <x:v>61779.33392900086</x:v>
      </x:c>
    </x:row>
    <x:row r="108" ht="18" customHeight="1">
      <x:c r="A108" s="24" t="str">
        <x:v>EEZ_862</x:v>
      </x:c>
      <x:c r="B108" s="24" t="str">
        <x:v>Venezuela</x:v>
      </x:c>
      <x:c r="C108" s="24" t="str">
        <x:v>EEZ</x:v>
      </x:c>
      <x:c r="D108" s="30" t="n">
        <x:v>2019</x:v>
      </x:c>
      <x:c r="E108" s="24" t="str">
        <x:v>Bivalvia</x:v>
      </x:c>
      <x:c r="F108" s="24" t="str">
        <x:v>Clams</x:v>
      </x:c>
      <x:c r="G108" s="24" t="str">
        <x:v>Other demersal invertebrates</x:v>
      </x:c>
      <x:c r="H108" s="24" t="str">
        <x:v>Molluscs</x:v>
      </x:c>
      <x:c r="I108" s="31" t="n">
        <x:v>26.334391679600003</x:v>
      </x:c>
      <x:c r="J108" s="31" t="n">
        <x:v>26.334391679600003</x:v>
      </x:c>
      <x:c r="K108" s="31" t="n">
        <x:v>0</x:v>
      </x:c>
      <x:c r="L108" s="31" t="n">
        <x:v>14.404360757900001</x:v>
      </x:c>
      <x:c r="M108" s="31" t="n">
        <x:v>11.9300309217</x:v>
      </x:c>
      <x:c r="N108" s="24" t="str">
        <x:v>bivalvia</x:v>
      </x:c>
      <x:c r="O108" s="32" t="n">
        <x:v>2.23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Bivalvia</x:v>
      </x:c>
      <x:c r="T108" s="32" t="n">
        <x:f>IF(O108="","",(1/'Metadata'!$B$5)^(O108-1))</x:f>
        <x:v>16.982436524617444</x:v>
      </x:c>
      <x:c r="U108" s="31" t="n">
        <x:f>IF(T108="","",I108*T108)</x:f>
        <x:v>447.2221351132208</x:v>
      </x:c>
    </x:row>
    <x:row r="109" ht="18" customHeight="1">
      <x:c r="A109" s="24" t="str">
        <x:v>EEZ_862</x:v>
      </x:c>
      <x:c r="B109" s="24" t="str">
        <x:v>Venezuela</x:v>
      </x:c>
      <x:c r="C109" s="24" t="str">
        <x:v>EEZ</x:v>
      </x:c>
      <x:c r="D109" s="30" t="n">
        <x:v>2019</x:v>
      </x:c>
      <x:c r="E109" s="24" t="str">
        <x:v>Scombridae</x:v>
      </x:c>
      <x:c r="F109" s="24" t="str">
        <x:v>Mackerels, tunas, bonitos</x:v>
      </x:c>
      <x:c r="G109" s="24" t="str">
        <x:v>Medium pelagics (30 - 89 cm)</x:v>
      </x:c>
      <x:c r="H109" s="24" t="str">
        <x:v>Perch-likes</x:v>
      </x:c>
      <x:c r="I109" s="31" t="n">
        <x:v>25.626521954199998</x:v>
      </x:c>
      <x:c r="J109" s="31" t="n">
        <x:v>25.626521954199998</x:v>
      </x:c>
      <x:c r="K109" s="31" t="n">
        <x:v>0</x:v>
      </x:c>
      <x:c r="L109" s="31" t="n">
        <x:v>25.626521954199998</x:v>
      </x:c>
      <x:c r="M109" s="31" t="n">
        <x:v>0</x:v>
      </x:c>
      <x:c r="N109" s="24" t="str">
        <x:v>scombridae</x:v>
      </x:c>
      <x:c r="O109" s="32" t="n">
        <x:v>4.26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Scombridae</x:v>
      </x:c>
      <x:c r="T109" s="32" t="n">
        <x:f>IF(O109="","",(1/'Metadata'!$B$5)^(O109-1))</x:f>
        <x:v>1819.7008586099826</x:v>
      </x:c>
      <x:c r="U109" s="31" t="n">
        <x:f>IF(T109="","",I109*T109)</x:f>
        <x:v>46632.6040032453</x:v>
      </x:c>
    </x:row>
    <x:row r="110" ht="18" customHeight="1">
      <x:c r="A110" s="24" t="str">
        <x:v>EEZ_862</x:v>
      </x:c>
      <x:c r="B110" s="24" t="str">
        <x:v>Venezuela</x:v>
      </x:c>
      <x:c r="C110" s="24" t="str">
        <x:v>EEZ</x:v>
      </x:c>
      <x:c r="D110" s="30" t="n">
        <x:v>2019</x:v>
      </x:c>
      <x:c r="E110" s="24" t="str">
        <x:v>Gempylidae</x:v>
      </x:c>
      <x:c r="F110" s="24" t="str">
        <x:v>Snake mackerels</x:v>
      </x:c>
      <x:c r="G110" s="24" t="str">
        <x:v>Large benthopelagics (&gt;=90 cm)</x:v>
      </x:c>
      <x:c r="H110" s="24" t="str">
        <x:v>Perch-likes</x:v>
      </x:c>
      <x:c r="I110" s="31" t="n">
        <x:v>25</x:v>
      </x:c>
      <x:c r="J110" s="31" t="n">
        <x:v>25</x:v>
      </x:c>
      <x:c r="K110" s="31" t="n">
        <x:v>0</x:v>
      </x:c>
      <x:c r="L110" s="31" t="n">
        <x:v>25</x:v>
      </x:c>
      <x:c r="M110" s="31" t="n">
        <x:v>0</x:v>
      </x:c>
      <x:c r="N110" s="24" t="str">
        <x:v>gempylidae</x:v>
      </x:c>
      <x:c r="O110" s="32" t="n">
        <x:v>4.21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Gempylidae</x:v>
      </x:c>
      <x:c r="T110" s="32" t="n">
        <x:f>IF(O110="","",(1/'Metadata'!$B$5)^(O110-1))</x:f>
        <x:v>1621.8100973589299</x:v>
      </x:c>
      <x:c r="U110" s="31" t="n">
        <x:f>IF(T110="","",I110*T110)</x:f>
        <x:v>40545.25243397325</x:v>
      </x:c>
    </x:row>
    <x:row r="111" ht="18" customHeight="1">
      <x:c r="A111" s="24" t="str">
        <x:v>EEZ_862</x:v>
      </x:c>
      <x:c r="B111" s="24" t="str">
        <x:v>Venezuela</x:v>
      </x:c>
      <x:c r="C111" s="24" t="str">
        <x:v>EEZ</x:v>
      </x:c>
      <x:c r="D111" s="30" t="n">
        <x:v>2019</x:v>
      </x:c>
      <x:c r="E111" s="24" t="str">
        <x:v>Dasyatidae</x:v>
      </x:c>
      <x:c r="F111" s="24" t="str">
        <x:v>Whiptail stingrays</x:v>
      </x:c>
      <x:c r="G111" s="24" t="str">
        <x:v>Large rays (&gt;=90 cm)</x:v>
      </x:c>
      <x:c r="H111" s="24" t="str">
        <x:v>Sharks &amp; rays</x:v>
      </x:c>
      <x:c r="I111" s="31" t="n">
        <x:v>23.6562285822</x:v>
      </x:c>
      <x:c r="J111" s="31" t="n">
        <x:v>17.536998037</x:v>
      </x:c>
      <x:c r="K111" s="31" t="n">
        <x:v>6.1192305452</x:v>
      </x:c>
      <x:c r="L111" s="31" t="n">
        <x:v>17.536998037</x:v>
      </x:c>
      <x:c r="M111" s="31" t="n">
        <x:v>6.1192305452</x:v>
      </x:c>
      <x:c r="N111" s="24" t="str">
        <x:v>dasyatidae</x:v>
      </x:c>
      <x:c r="O111" s="32" t="n">
        <x:v>3.38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Dasyatidae</x:v>
      </x:c>
      <x:c r="T111" s="32" t="n">
        <x:f>IF(O111="","",(1/'Metadata'!$B$5)^(O111-1))</x:f>
        <x:v>239.88329190194898</x:v>
      </x:c>
      <x:c r="U111" s="31" t="n">
        <x:f>IF(T111="","",I111*T111)</x:f>
        <x:v>5674.733986283111</x:v>
      </x:c>
    </x:row>
    <x:row r="112" ht="18" customHeight="1">
      <x:c r="A112" s="24" t="str">
        <x:v>EEZ_862</x:v>
      </x:c>
      <x:c r="B112" s="24" t="str">
        <x:v>Venezuela</x:v>
      </x:c>
      <x:c r="C112" s="24" t="str">
        <x:v>EEZ</x:v>
      </x:c>
      <x:c r="D112" s="30" t="n">
        <x:v>2019</x:v>
      </x:c>
      <x:c r="E112" s="24" t="str">
        <x:v>Mycteroperca acutirostris</x:v>
      </x:c>
      <x:c r="F112" s="24" t="str">
        <x:v>Comb grouper</x:v>
      </x:c>
      <x:c r="G112" s="24" t="str">
        <x:v>Medium reef assoc. fish (30 - 89 cm)</x:v>
      </x:c>
      <x:c r="H112" s="24" t="str">
        <x:v>Perch-likes</x:v>
      </x:c>
      <x:c r="I112" s="31" t="n">
        <x:v>22.503966793300002</x:v>
      </x:c>
      <x:c r="J112" s="31" t="n">
        <x:v>22.503966793300002</x:v>
      </x:c>
      <x:c r="K112" s="31" t="n">
        <x:v>0</x:v>
      </x:c>
      <x:c r="L112" s="31" t="n">
        <x:v>2.4872201131</x:v>
      </x:c>
      <x:c r="M112" s="31" t="n">
        <x:v>20.0167466802</x:v>
      </x:c>
      <x:c r="N112" s="24" t="str">
        <x:v>mycteroperca acutirostris</x:v>
      </x:c>
      <x:c r="O112" s="32" t="n">
        <x:v>3.4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Mycteroperca acutirostris</x:v>
      </x:c>
      <x:c r="T112" s="32" t="n">
        <x:f>IF(O112="","",(1/'Metadata'!$B$5)^(O112-1))</x:f>
        <x:v>251.18864315095797</x:v>
      </x:c>
      <x:c r="U112" s="31" t="n">
        <x:f>IF(T112="","",I112*T112)</x:f>
        <x:v>5652.740884323242</x:v>
      </x:c>
    </x:row>
    <x:row r="113" ht="18" customHeight="1">
      <x:c r="A113" s="24" t="str">
        <x:v>EEZ_862</x:v>
      </x:c>
      <x:c r="B113" s="24" t="str">
        <x:v>Venezuela</x:v>
      </x:c>
      <x:c r="C113" s="24" t="str">
        <x:v>EEZ</x:v>
      </x:c>
      <x:c r="D113" s="30" t="n">
        <x:v>2019</x:v>
      </x:c>
      <x:c r="E113" s="24" t="str">
        <x:v>Mugilidae</x:v>
      </x:c>
      <x:c r="F113" s="24" t="str">
        <x:v>Mullets, grey mullets</x:v>
      </x:c>
      <x:c r="G113" s="24" t="str">
        <x:v>Medium reef assoc. fish (30 - 89 cm)</x:v>
      </x:c>
      <x:c r="H113" s="24" t="str">
        <x:v>Perch-likes</x:v>
      </x:c>
      <x:c r="I113" s="31" t="n">
        <x:v>17.0444292773</x:v>
      </x:c>
      <x:c r="J113" s="31" t="n">
        <x:v>1.7248780918</x:v>
      </x:c>
      <x:c r="K113" s="31" t="n">
        <x:v>15.3195511855</x:v>
      </x:c>
      <x:c r="L113" s="31" t="n">
        <x:v>1.7248780918</x:v>
      </x:c>
      <x:c r="M113" s="31" t="n">
        <x:v>15.3195511855</x:v>
      </x:c>
      <x:c r="N113" s="24" t="str">
        <x:v>mugilidae</x:v>
      </x:c>
      <x:c r="O113" s="32" t="n">
        <x:v>2.53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Mugilidae</x:v>
      </x:c>
      <x:c r="T113" s="32" t="n">
        <x:f>IF(O113="","",(1/'Metadata'!$B$5)^(O113-1))</x:f>
        <x:v>33.88441561392024</x:v>
      </x:c>
      <x:c r="U113" s="31" t="n">
        <x:f>IF(T113="","",I113*T113)</x:f>
        <x:v>577.5405255341034</x:v>
      </x:c>
    </x:row>
    <x:row r="114" ht="18" customHeight="1">
      <x:c r="A114" s="24" t="str">
        <x:v>EEZ_862</x:v>
      </x:c>
      <x:c r="B114" s="24" t="str">
        <x:v>Venezuela</x:v>
      </x:c>
      <x:c r="C114" s="24" t="str">
        <x:v>EEZ</x:v>
      </x:c>
      <x:c r="D114" s="30" t="n">
        <x:v>2019</x:v>
      </x:c>
      <x:c r="E114" s="24" t="str">
        <x:v>Carcharhinus leucas</x:v>
      </x:c>
      <x:c r="F114" s="24" t="str">
        <x:v>Bull shark</x:v>
      </x:c>
      <x:c r="G114" s="24" t="str">
        <x:v>Large sharks (&gt;=90 cm)</x:v>
      </x:c>
      <x:c r="H114" s="24" t="str">
        <x:v>Sharks &amp; rays</x:v>
      </x:c>
      <x:c r="I114" s="31" t="n">
        <x:v>15</x:v>
      </x:c>
      <x:c r="J114" s="31" t="n">
        <x:v>15</x:v>
      </x:c>
      <x:c r="K114" s="31" t="n">
        <x:v>0</x:v>
      </x:c>
      <x:c r="L114" s="31" t="n">
        <x:v>15</x:v>
      </x:c>
      <x:c r="M114" s="31" t="n">
        <x:v>0</x:v>
      </x:c>
      <x:c r="N114" s="24" t="str">
        <x:v>carcharhinus leucas</x:v>
      </x:c>
      <x:c r="O114" s="32" t="n">
        <x:v>4.31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Carcharhinus leucas</x:v>
      </x:c>
      <x:c r="T114" s="32" t="n">
        <x:f>IF(O114="","",(1/'Metadata'!$B$5)^(O114-1))</x:f>
        <x:v>2041.7379446695275</x:v>
      </x:c>
      <x:c r="U114" s="31" t="n">
        <x:f>IF(T114="","",I114*T114)</x:f>
        <x:v>30626.069170042912</x:v>
      </x:c>
    </x:row>
    <x:row r="115" ht="18" customHeight="1">
      <x:c r="A115" s="24" t="str">
        <x:v>EEZ_862</x:v>
      </x:c>
      <x:c r="B115" s="24" t="str">
        <x:v>Venezuela</x:v>
      </x:c>
      <x:c r="C115" s="24" t="str">
        <x:v>EEZ</x:v>
      </x:c>
      <x:c r="D115" s="30" t="n">
        <x:v>2019</x:v>
      </x:c>
      <x:c r="E115" s="24" t="str">
        <x:v>Cynoglossidae</x:v>
      </x:c>
      <x:c r="F115" s="24" t="str">
        <x:v>Tonguefishes</x:v>
      </x:c>
      <x:c r="G115" s="24" t="str">
        <x:v>Small to medium flatfishes (&lt;90 cm)</x:v>
      </x:c>
      <x:c r="H115" s="24" t="str">
        <x:v>Flatfishes</x:v>
      </x:c>
      <x:c r="I115" s="31" t="n">
        <x:v>14.5632179174</x:v>
      </x:c>
      <x:c r="J115" s="31" t="n">
        <x:v>1.4737821446</x:v>
      </x:c>
      <x:c r="K115" s="31" t="n">
        <x:v>13.0894357728</x:v>
      </x:c>
      <x:c r="L115" s="31" t="n">
        <x:v>1.4737821446</x:v>
      </x:c>
      <x:c r="M115" s="31" t="n">
        <x:v>13.0894357728</x:v>
      </x:c>
      <x:c r="N115" s="24" t="str">
        <x:v>cynoglossidae</x:v>
      </x:c>
      <x:c r="O115" s="32" t="n">
        <x:v>3.29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Cynoglossidae</x:v>
      </x:c>
      <x:c r="T115" s="32" t="n">
        <x:f>IF(O115="","",(1/'Metadata'!$B$5)^(O115-1))</x:f>
        <x:v>194.98445997580455</x:v>
      </x:c>
      <x:c r="U115" s="31" t="n">
        <x:f>IF(T115="","",I115*T115)</x:f>
        <x:v>2839.6011811342</x:v>
      </x:c>
    </x:row>
    <x:row r="116" ht="18" customHeight="1">
      <x:c r="A116" s="24" t="str">
        <x:v>EEZ_862</x:v>
      </x:c>
      <x:c r="B116" s="24" t="str">
        <x:v>Venezuela</x:v>
      </x:c>
      <x:c r="C116" s="24" t="str">
        <x:v>EEZ</x:v>
      </x:c>
      <x:c r="D116" s="30" t="n">
        <x:v>2019</x:v>
      </x:c>
      <x:c r="E116" s="24" t="str">
        <x:v>Lutjanidae</x:v>
      </x:c>
      <x:c r="F116" s="24" t="str">
        <x:v>Snappers</x:v>
      </x:c>
      <x:c r="G116" s="24" t="str">
        <x:v>Medium reef assoc. fish (30 - 89 cm)</x:v>
      </x:c>
      <x:c r="H116" s="24" t="str">
        <x:v>Perch-likes</x:v>
      </x:c>
      <x:c r="I116" s="31" t="n">
        <x:v>13.0373351192</x:v>
      </x:c>
      <x:c r="J116" s="31" t="n">
        <x:v>1.3193644302</x:v>
      </x:c>
      <x:c r="K116" s="31" t="n">
        <x:v>11.717970689</x:v>
      </x:c>
      <x:c r="L116" s="31" t="n">
        <x:v>1.3193644302</x:v>
      </x:c>
      <x:c r="M116" s="31" t="n">
        <x:v>11.717970689</x:v>
      </x:c>
      <x:c r="N116" s="24" t="str">
        <x:v>lutjanidae</x:v>
      </x:c>
      <x:c r="O116" s="32" t="n">
        <x:v>4.02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Lutjanidae</x:v>
      </x:c>
      <x:c r="T116" s="32" t="n">
        <x:f>IF(O116="","",(1/'Metadata'!$B$5)^(O116-1))</x:f>
        <x:v>1047.1285480508984</x:v>
      </x:c>
      <x:c r="U116" s="31" t="n">
        <x:f>IF(T116="","",I116*T116)</x:f>
        <x:v>13651.765793820883</x:v>
      </x:c>
    </x:row>
    <x:row r="117" ht="18" customHeight="1">
      <x:c r="A117" s="24" t="str">
        <x:v>EEZ_862</x:v>
      </x:c>
      <x:c r="B117" s="24" t="str">
        <x:v>Venezuela</x:v>
      </x:c>
      <x:c r="C117" s="24" t="str">
        <x:v>EEZ</x:v>
      </x:c>
      <x:c r="D117" s="30" t="n">
        <x:v>2019</x:v>
      </x:c>
      <x:c r="E117" s="24" t="str">
        <x:v>Sphyrna lewini</x:v>
      </x:c>
      <x:c r="F117" s="24" t="str">
        <x:v>Scalloped hammerhead</x:v>
      </x:c>
      <x:c r="G117" s="24" t="str">
        <x:v>Large sharks (&gt;=90 cm)</x:v>
      </x:c>
      <x:c r="H117" s="24" t="str">
        <x:v>Sharks &amp; rays</x:v>
      </x:c>
      <x:c r="I117" s="31" t="n">
        <x:v>12.000000000000002</x:v>
      </x:c>
      <x:c r="J117" s="31" t="n">
        <x:v>12.000000000000002</x:v>
      </x:c>
      <x:c r="K117" s="31" t="n">
        <x:v>0</x:v>
      </x:c>
      <x:c r="L117" s="31" t="n">
        <x:v>12.000000000000002</x:v>
      </x:c>
      <x:c r="M117" s="31" t="n">
        <x:v>0</x:v>
      </x:c>
      <x:c r="N117" s="24" t="str">
        <x:v>sphyrna lewini</x:v>
      </x:c>
      <x:c r="O117" s="32" t="n">
        <x:v>4.08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Sphyrna lewini</x:v>
      </x:c>
      <x:c r="T117" s="32" t="n">
        <x:f>IF(O117="","",(1/'Metadata'!$B$5)^(O117-1))</x:f>
        <x:v>1202.2644346174131</x:v>
      </x:c>
      <x:c r="U117" s="31" t="n">
        <x:f>IF(T117="","",I117*T117)</x:f>
        <x:v>14427.17321540896</x:v>
      </x:c>
    </x:row>
    <x:row r="118" ht="18" customHeight="1">
      <x:c r="A118" s="24" t="str">
        <x:v>EEZ_862</x:v>
      </x:c>
      <x:c r="B118" s="24" t="str">
        <x:v>Venezuela</x:v>
      </x:c>
      <x:c r="C118" s="24" t="str">
        <x:v>EEZ</x:v>
      </x:c>
      <x:c r="D118" s="30" t="n">
        <x:v>2019</x:v>
      </x:c>
      <x:c r="E118" s="24" t="str">
        <x:v>Donax</x:v>
      </x:c>
      <x:c r="F118" s="24" t="str">
        <x:v>Bean clams</x:v>
      </x:c>
      <x:c r="G118" s="24" t="str">
        <x:v>Other demersal invertebrates</x:v>
      </x:c>
      <x:c r="H118" s="24" t="str">
        <x:v>Molluscs</x:v>
      </x:c>
      <x:c r="I118" s="31" t="n">
        <x:v>11.560428251200001</x:v>
      </x:c>
      <x:c r="J118" s="31" t="n">
        <x:v>11.560428251200001</x:v>
      </x:c>
      <x:c r="K118" s="31" t="n">
        <x:v>0</x:v>
      </x:c>
      <x:c r="L118" s="31" t="n">
        <x:v>0.041749415899999996</x:v>
      </x:c>
      <x:c r="M118" s="31" t="n">
        <x:v>11.518678835300001</x:v>
      </x:c>
      <x:c r="N118" s="24" t="str">
        <x:v>donax</x:v>
      </x:c>
      <x:c r="O118" s="32" t="n">
        <x:v>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Donax</x:v>
      </x:c>
      <x:c r="T118" s="32" t="n">
        <x:f>IF(O118="","",(1/'Metadata'!$B$5)^(O118-1))</x:f>
        <x:v>10</x:v>
      </x:c>
      <x:c r="U118" s="31" t="n">
        <x:f>IF(T118="","",I118*T118)</x:f>
        <x:v>115.60428251200001</x:v>
      </x:c>
    </x:row>
    <x:row r="119" ht="18" customHeight="1">
      <x:c r="A119" s="24" t="str">
        <x:v>EEZ_862</x:v>
      </x:c>
      <x:c r="B119" s="24" t="str">
        <x:v>Venezuela</x:v>
      </x:c>
      <x:c r="C119" s="24" t="str">
        <x:v>EEZ</x:v>
      </x:c>
      <x:c r="D119" s="30" t="n">
        <x:v>2019</x:v>
      </x:c>
      <x:c r="E119" s="24" t="str">
        <x:v>Lutjanus griseus</x:v>
      </x:c>
      <x:c r="F119" s="24" t="str">
        <x:v>Grey snapper</x:v>
      </x:c>
      <x:c r="G119" s="24" t="str">
        <x:v>Medium reef assoc. fish (30 - 89 cm)</x:v>
      </x:c>
      <x:c r="H119" s="24" t="str">
        <x:v>Perch-likes</x:v>
      </x:c>
      <x:c r="I119" s="31" t="n">
        <x:v>11.060397566599999</x:v>
      </x:c>
      <x:c r="J119" s="31" t="n">
        <x:v>11.060397566599999</x:v>
      </x:c>
      <x:c r="K119" s="31" t="n">
        <x:v>0</x:v>
      </x:c>
      <x:c r="L119" s="31" t="n">
        <x:v>1.037746271</x:v>
      </x:c>
      <x:c r="M119" s="31" t="n">
        <x:v>10.0226512956</x:v>
      </x:c>
      <x:c r="N119" s="24" t="str">
        <x:v>lutjanus griseus</x:v>
      </x:c>
      <x:c r="O119" s="32" t="n">
        <x:v>4.23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Lutjanus griseus</x:v>
      </x:c>
      <x:c r="T119" s="32" t="n">
        <x:f>IF(O119="","",(1/'Metadata'!$B$5)^(O119-1))</x:f>
        <x:v>1698.243652461746</x:v>
      </x:c>
      <x:c r="U119" s="31" t="n">
        <x:f>IF(T119="","",I119*T119)</x:f>
        <x:v>18783.24996118179</x:v>
      </x:c>
    </x:row>
    <x:row r="120" ht="18" customHeight="1">
      <x:c r="A120" s="24" t="str">
        <x:v>EEZ_862</x:v>
      </x:c>
      <x:c r="B120" s="24" t="str">
        <x:v>Venezuela</x:v>
      </x:c>
      <x:c r="C120" s="24" t="str">
        <x:v>EEZ</x:v>
      </x:c>
      <x:c r="D120" s="30" t="n">
        <x:v>2019</x:v>
      </x:c>
      <x:c r="E120" s="24" t="str">
        <x:v>Holocentridae</x:v>
      </x:c>
      <x:c r="F120" s="24" t="str">
        <x:v>Squirrel-, soldierfishes</x:v>
      </x:c>
      <x:c r="G120" s="24" t="str">
        <x:v>Small reef assoc. fish (&lt;30 cm)</x:v>
      </x:c>
      <x:c r="H120" s="24" t="str">
        <x:v>Other fishes &amp; inverts</x:v>
      </x:c>
      <x:c r="I120" s="31" t="n">
        <x:v>11.0151125289</x:v>
      </x:c>
      <x:c r="J120" s="31" t="n">
        <x:v>1.1147176576</x:v>
      </x:c>
      <x:c r="K120" s="31" t="n">
        <x:v>9.9003948713</x:v>
      </x:c>
      <x:c r="L120" s="31" t="n">
        <x:v>1.1147176576</x:v>
      </x:c>
      <x:c r="M120" s="31" t="n">
        <x:v>9.9003948713</x:v>
      </x:c>
      <x:c r="N120" s="24" t="str">
        <x:v>holocentridae</x:v>
      </x:c>
      <x:c r="O120" s="32" t="n">
        <x:v>3.49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Holocentridae</x:v>
      </x:c>
      <x:c r="T120" s="32" t="n">
        <x:f>IF(O120="","",(1/'Metadata'!$B$5)^(O120-1))</x:f>
        <x:v>309.0295432513592</x:v>
      </x:c>
      <x:c r="U120" s="31" t="n">
        <x:f>IF(T120="","",I120*T120)</x:f>
        <x:v>3403.995193668291</x:v>
      </x:c>
    </x:row>
    <x:row r="121" ht="18" customHeight="1">
      <x:c r="A121" s="24" t="str">
        <x:v>EEZ_862</x:v>
      </x:c>
      <x:c r="B121" s="24" t="str">
        <x:v>Venezuela</x:v>
      </x:c>
      <x:c r="C121" s="24" t="str">
        <x:v>EEZ</x:v>
      </x:c>
      <x:c r="D121" s="30" t="n">
        <x:v>2019</x:v>
      </x:c>
      <x:c r="E121" s="24" t="str">
        <x:v>Kajikia albida</x:v>
      </x:c>
      <x:c r="F121" s="24" t="str">
        <x:v>Atlantic white marlin</x:v>
      </x:c>
      <x:c r="G121" s="24" t="str">
        <x:v>Large pelagics (&gt;=90 cm)</x:v>
      </x:c>
      <x:c r="H121" s="24" t="str">
        <x:v>Tuna &amp; billfishes</x:v>
      </x:c>
      <x:c r="I121" s="31" t="n">
        <x:v>9.3606488994</x:v>
      </x:c>
      <x:c r="J121" s="31" t="n">
        <x:v>9.3606488994</x:v>
      </x:c>
      <x:c r="K121" s="31" t="n">
        <x:v>0</x:v>
      </x:c>
      <x:c r="L121" s="31" t="n">
        <x:v>9.3606488994</x:v>
      </x:c>
      <x:c r="M121" s="31" t="n">
        <x:v>0</x:v>
      </x:c>
      <x:c r="N121" s="24" t="str">
        <x:v>kajikia albida</x:v>
      </x:c>
      <x:c r="O121" s="32" t="n">
        <x:v>4.49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Kajikia albida</x:v>
      </x:c>
      <x:c r="T121" s="32" t="n">
        <x:f>IF(O121="","",(1/'Metadata'!$B$5)^(O121-1))</x:f>
        <x:v>3090.295432513592</x:v>
      </x:c>
      <x:c r="U121" s="31" t="n">
        <x:f>IF(T121="","",I121*T121)</x:f>
        <x:v>28927.1705391792</x:v>
      </x:c>
    </x:row>
    <x:row r="122" ht="18" customHeight="1">
      <x:c r="A122" s="24" t="str">
        <x:v>EEZ_862</x:v>
      </x:c>
      <x:c r="B122" s="24" t="str">
        <x:v>Venezuela</x:v>
      </x:c>
      <x:c r="C122" s="24" t="str">
        <x:v>EEZ</x:v>
      </x:c>
      <x:c r="D122" s="30" t="n">
        <x:v>2019</x:v>
      </x:c>
      <x:c r="E122" s="24" t="str">
        <x:v>Sphyraenidae</x:v>
      </x:c>
      <x:c r="F122" s="24" t="str">
        <x:v>Barracudas</x:v>
      </x:c>
      <x:c r="G122" s="24" t="str">
        <x:v>Medium reef assoc. fish (30 - 89 cm)</x:v>
      </x:c>
      <x:c r="H122" s="24" t="str">
        <x:v>Perch-likes</x:v>
      </x:c>
      <x:c r="I122" s="31" t="n">
        <x:v>7.4663024774</x:v>
      </x:c>
      <x:c r="J122" s="31" t="n">
        <x:v>0.7555818596</x:v>
      </x:c>
      <x:c r="K122" s="31" t="n">
        <x:v>6.7107206178</x:v>
      </x:c>
      <x:c r="L122" s="31" t="n">
        <x:v>0.7555818596</x:v>
      </x:c>
      <x:c r="M122" s="31" t="n">
        <x:v>6.7107206178</x:v>
      </x:c>
      <x:c r="N122" s="24" t="str">
        <x:v>sphyraenidae</x:v>
      </x:c>
      <x:c r="O122" s="32" t="n">
        <x:v>4.4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Sphyraenidae</x:v>
      </x:c>
      <x:c r="T122" s="32" t="n">
        <x:f>IF(O122="","",(1/'Metadata'!$B$5)^(O122-1))</x:f>
        <x:v>2511.886431509582</x:v>
      </x:c>
      <x:c r="U122" s="31" t="n">
        <x:f>IF(T122="","",I122*T122)</x:f>
        <x:v>18754.50388652744</x:v>
      </x:c>
    </x:row>
    <x:row r="123" ht="18" customHeight="1">
      <x:c r="A123" s="24" t="str">
        <x:v>EEZ_862</x:v>
      </x:c>
      <x:c r="B123" s="24" t="str">
        <x:v>Venezuela</x:v>
      </x:c>
      <x:c r="C123" s="24" t="str">
        <x:v>EEZ</x:v>
      </x:c>
      <x:c r="D123" s="30" t="n">
        <x:v>2019</x:v>
      </x:c>
      <x:c r="E123" s="24" t="str">
        <x:v>Lepidocybium flavobrunneum</x:v>
      </x:c>
      <x:c r="F123" s="24" t="str">
        <x:v>Escolar</x:v>
      </x:c>
      <x:c r="G123" s="24" t="str">
        <x:v>Large bathypelagics (&gt;=90 cm)</x:v>
      </x:c>
      <x:c r="H123" s="24" t="str">
        <x:v>Perch-likes</x:v>
      </x:c>
      <x:c r="I123" s="31" t="n">
        <x:v>7.1383080504</x:v>
      </x:c>
      <x:c r="J123" s="31" t="n">
        <x:v>7.1383080504</x:v>
      </x:c>
      <x:c r="K123" s="31" t="n">
        <x:v>0</x:v>
      </x:c>
      <x:c r="L123" s="31" t="n">
        <x:v>7.1383080504</x:v>
      </x:c>
      <x:c r="M123" s="31" t="n">
        <x:v>0</x:v>
      </x:c>
      <x:c r="N123" s="24" t="str">
        <x:v>lepidocybium flavobrunneum</x:v>
      </x:c>
      <x:c r="O123" s="32" t="n">
        <x:v>4.34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Lepidocybium flavobrunneum</x:v>
      </x:c>
      <x:c r="T123" s="32" t="n">
        <x:f>IF(O123="","",(1/'Metadata'!$B$5)^(O123-1))</x:f>
        <x:v>2187.761623949552</x:v>
      </x:c>
      <x:c r="U123" s="31" t="n">
        <x:f>IF(T123="","",I123*T123)</x:f>
        <x:v>15616.916412595265</x:v>
      </x:c>
    </x:row>
    <x:row r="124" ht="18" customHeight="1">
      <x:c r="A124" s="24" t="str">
        <x:v>EEZ_862</x:v>
      </x:c>
      <x:c r="B124" s="24" t="str">
        <x:v>Venezuela</x:v>
      </x:c>
      <x:c r="C124" s="24" t="str">
        <x:v>EEZ</x:v>
      </x:c>
      <x:c r="D124" s="30" t="n">
        <x:v>2019</x:v>
      </x:c>
      <x:c r="E124" s="24" t="str">
        <x:v>Bothidae</x:v>
      </x:c>
      <x:c r="F124" s="24" t="str">
        <x:v>Lefteye flounders</x:v>
      </x:c>
      <x:c r="G124" s="24" t="str">
        <x:v>Small to medium flatfishes (&lt;90 cm)</x:v>
      </x:c>
      <x:c r="H124" s="24" t="str">
        <x:v>Flatfishes</x:v>
      </x:c>
      <x:c r="I124" s="31" t="n">
        <x:v>7.1209196519999995</x:v>
      </x:c>
      <x:c r="J124" s="31" t="n">
        <x:v>0.7206294856</x:v>
      </x:c>
      <x:c r="K124" s="31" t="n">
        <x:v>6.4002901664</x:v>
      </x:c>
      <x:c r="L124" s="31" t="n">
        <x:v>0.7206294856</x:v>
      </x:c>
      <x:c r="M124" s="31" t="n">
        <x:v>6.4002901664</x:v>
      </x:c>
      <x:c r="N124" s="24" t="str">
        <x:v>bothidae</x:v>
      </x:c>
      <x:c r="O124" s="32" t="n">
        <x:v>3.77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Bothidae</x:v>
      </x:c>
      <x:c r="T124" s="32" t="n">
        <x:f>IF(O124="","",(1/'Metadata'!$B$5)^(O124-1))</x:f>
        <x:v>588.843655355589</x:v>
      </x:c>
      <x:c r="U124" s="31" t="n">
        <x:f>IF(T124="","",I124*T124)</x:f>
        <x:v>4193.108357377128</x:v>
      </x:c>
    </x:row>
    <x:row r="125" ht="18" customHeight="1">
      <x:c r="A125" s="24" t="str">
        <x:v>EEZ_862</x:v>
      </x:c>
      <x:c r="B125" s="24" t="str">
        <x:v>Venezuela</x:v>
      </x:c>
      <x:c r="C125" s="24" t="str">
        <x:v>EEZ</x:v>
      </x:c>
      <x:c r="D125" s="30" t="n">
        <x:v>2019</x:v>
      </x:c>
      <x:c r="E125" s="24" t="str">
        <x:v>Isurus paucus</x:v>
      </x:c>
      <x:c r="F125" s="24" t="str">
        <x:v>Longfin mako</x:v>
      </x:c>
      <x:c r="G125" s="24" t="str">
        <x:v>Large sharks (&gt;=90 cm)</x:v>
      </x:c>
      <x:c r="H125" s="24" t="str">
        <x:v>Sharks &amp; rays</x:v>
      </x:c>
      <x:c r="I125" s="31" t="n">
        <x:v>7.0568536989999995</x:v>
      </x:c>
      <x:c r="J125" s="31" t="n">
        <x:v>7.0568536989999995</x:v>
      </x:c>
      <x:c r="K125" s="31" t="n">
        <x:v>0</x:v>
      </x:c>
      <x:c r="L125" s="31" t="n">
        <x:v>7.0568536989999995</x:v>
      </x:c>
      <x:c r="M125" s="31" t="n">
        <x:v>0</x:v>
      </x:c>
      <x:c r="N125" s="24" t="str">
        <x:v>isurus paucus</x:v>
      </x:c>
      <x:c r="O125" s="32" t="n">
        <x:v>4.51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Isurus paucus</x:v>
      </x:c>
      <x:c r="T125" s="32" t="n">
        <x:f>IF(O125="","",(1/'Metadata'!$B$5)^(O125-1))</x:f>
        <x:v>3235.936569296281</x:v>
      </x:c>
      <x:c r="U125" s="31" t="n">
        <x:f>IF(T125="","",I125*T125)</x:f>
        <x:v>22835.530948767828</x:v>
      </x:c>
    </x:row>
    <x:row r="126" ht="18" customHeight="1">
      <x:c r="A126" s="24" t="str">
        <x:v>EEZ_862</x:v>
      </x:c>
      <x:c r="B126" s="24" t="str">
        <x:v>Venezuela</x:v>
      </x:c>
      <x:c r="C126" s="24" t="str">
        <x:v>EEZ</x:v>
      </x:c>
      <x:c r="D126" s="30" t="n">
        <x:v>2019</x:v>
      </x:c>
      <x:c r="E126" s="24" t="str">
        <x:v>Gobiidae</x:v>
      </x:c>
      <x:c r="F126" s="24" t="str">
        <x:v>Gobies</x:v>
      </x:c>
      <x:c r="G126" s="24" t="str">
        <x:v>Small reef assoc. fish (&lt;30 cm)</x:v>
      </x:c>
      <x:c r="H126" s="24" t="str">
        <x:v>Perch-likes</x:v>
      </x:c>
      <x:c r="I126" s="31" t="n">
        <x:v>7.0568039545</x:v>
      </x:c>
      <x:c r="J126" s="31" t="n">
        <x:v>0.7141410452</x:v>
      </x:c>
      <x:c r="K126" s="31" t="n">
        <x:v>6.3426629093</x:v>
      </x:c>
      <x:c r="L126" s="31" t="n">
        <x:v>0.7141410452</x:v>
      </x:c>
      <x:c r="M126" s="31" t="n">
        <x:v>6.3426629093</x:v>
      </x:c>
      <x:c r="N126" s="24" t="str">
        <x:v>gobiidae</x:v>
      </x:c>
      <x:c r="O126" s="32" t="n">
        <x:v>3.11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Gobiidae</x:v>
      </x:c>
      <x:c r="T126" s="32" t="n">
        <x:f>IF(O126="","",(1/'Metadata'!$B$5)^(O126-1))</x:f>
        <x:v>128.82495516931337</x:v>
      </x:c>
      <x:c r="U126" s="31" t="n">
        <x:f>IF(T126="","",I126*T126)</x:f>
        <x:v>909.0924530770958</x:v>
      </x:c>
    </x:row>
    <x:row r="127" ht="18" customHeight="1">
      <x:c r="A127" s="24" t="str">
        <x:v>EEZ_862</x:v>
      </x:c>
      <x:c r="B127" s="24" t="str">
        <x:v>Venezuela</x:v>
      </x:c>
      <x:c r="C127" s="24" t="str">
        <x:v>EEZ</x:v>
      </x:c>
      <x:c r="D127" s="30" t="n">
        <x:v>2019</x:v>
      </x:c>
      <x:c r="E127" s="24" t="str">
        <x:v>Tetraodontidae</x:v>
      </x:c>
      <x:c r="F127" s="24" t="str">
        <x:v>Puffers, tobies</x:v>
      </x:c>
      <x:c r="G127" s="24" t="str">
        <x:v>Large reef assoc. fish (&gt;=90 cm)</x:v>
      </x:c>
      <x:c r="H127" s="24" t="str">
        <x:v>Other fishes &amp; inverts</x:v>
      </x:c>
      <x:c r="I127" s="31" t="n">
        <x:v>6.0358343052</x:v>
      </x:c>
      <x:c r="J127" s="31" t="n">
        <x:v>0.610820004</x:v>
      </x:c>
      <x:c r="K127" s="31" t="n">
        <x:v>5.4250143012</x:v>
      </x:c>
      <x:c r="L127" s="31" t="n">
        <x:v>0.610820004</x:v>
      </x:c>
      <x:c r="M127" s="31" t="n">
        <x:v>5.4250143012</x:v>
      </x:c>
      <x:c r="N127" s="24" t="str">
        <x:v>tetraodontidae</x:v>
      </x:c>
      <x:c r="O127" s="32" t="n">
        <x:v>3.5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Tetraodontidae</x:v>
      </x:c>
      <x:c r="T127" s="32" t="n">
        <x:f>IF(O127="","",(1/'Metadata'!$B$5)^(O127-1))</x:f>
        <x:v>316.22776601683796</x:v>
      </x:c>
      <x:c r="U127" s="31" t="n">
        <x:f>IF(T127="","",I127*T127)</x:f>
        <x:v>1908.6983983811892</x:v>
      </x:c>
    </x:row>
    <x:row r="128" ht="18" customHeight="1">
      <x:c r="A128" s="24" t="str">
        <x:v>EEZ_862</x:v>
      </x:c>
      <x:c r="B128" s="24" t="str">
        <x:v>Venezuela</x:v>
      </x:c>
      <x:c r="C128" s="24" t="str">
        <x:v>EEZ</x:v>
      </x:c>
      <x:c r="D128" s="30" t="n">
        <x:v>2019</x:v>
      </x:c>
      <x:c r="E128" s="24" t="str">
        <x:v>Panulirus</x:v>
      </x:c>
      <x:c r="F128" s="24" t="str">
        <x:v>Spiny lobsters</x:v>
      </x:c>
      <x:c r="G128" s="24" t="str">
        <x:v>Lobsters, crabs</x:v>
      </x:c>
      <x:c r="H128" s="24" t="str">
        <x:v>Crustaceans</x:v>
      </x:c>
      <x:c r="I128" s="31" t="n">
        <x:v>4.8704475466</x:v>
      </x:c>
      <x:c r="J128" s="31" t="n">
        <x:v>0.492884105</x:v>
      </x:c>
      <x:c r="K128" s="31" t="n">
        <x:v>4.3775634416</x:v>
      </x:c>
      <x:c r="L128" s="31" t="n">
        <x:v>0.492884105</x:v>
      </x:c>
      <x:c r="M128" s="31" t="n">
        <x:v>4.3775634416</x:v>
      </x:c>
      <x:c r="N128" s="24" t="str">
        <x:v>panulirus</x:v>
      </x:c>
      <x:c r="O128" s="32" t="n">
        <x:v>2.6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Panulirus</x:v>
      </x:c>
      <x:c r="T128" s="32" t="n">
        <x:f>IF(O128="","",(1/'Metadata'!$B$5)^(O128-1))</x:f>
        <x:v>39.810717055349734</x:v>
      </x:c>
      <x:c r="U128" s="31" t="n">
        <x:f>IF(T128="","",I128*T128)</x:f>
        <x:v>193.8960092106149</x:v>
      </x:c>
    </x:row>
    <x:row r="129" ht="18" customHeight="1">
      <x:c r="A129" s="24" t="str">
        <x:v>EEZ_862</x:v>
      </x:c>
      <x:c r="B129" s="24" t="str">
        <x:v>Venezuela</x:v>
      </x:c>
      <x:c r="C129" s="24" t="str">
        <x:v>EEZ</x:v>
      </x:c>
      <x:c r="D129" s="30" t="n">
        <x:v>2019</x:v>
      </x:c>
      <x:c r="E129" s="24" t="str">
        <x:v>Hemiramphidae</x:v>
      </x:c>
      <x:c r="F129" s="24" t="str">
        <x:v>Halfbeaks, garfishes</x:v>
      </x:c>
      <x:c r="G129" s="24" t="str">
        <x:v>Medium pelagics (30 - 89 cm)</x:v>
      </x:c>
      <x:c r="H129" s="24" t="str">
        <x:v>Other fishes &amp; inverts</x:v>
      </x:c>
      <x:c r="I129" s="31" t="n">
        <x:v>4.2889328044</x:v>
      </x:c>
      <x:c r="J129" s="31" t="n">
        <x:v>0.4340354324</x:v>
      </x:c>
      <x:c r="K129" s="31" t="n">
        <x:v>3.854897372</x:v>
      </x:c>
      <x:c r="L129" s="31" t="n">
        <x:v>0.4340354324</x:v>
      </x:c>
      <x:c r="M129" s="31" t="n">
        <x:v>3.854897372</x:v>
      </x:c>
      <x:c r="N129" s="24" t="str">
        <x:v>hemiramphidae</x:v>
      </x:c>
      <x:c r="O129" s="32" t="n">
        <x:v>2.82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Hemiramphidae</x:v>
      </x:c>
      <x:c r="T129" s="32" t="n">
        <x:f>IF(O129="","",(1/'Metadata'!$B$5)^(O129-1))</x:f>
        <x:v>66.06934480075958</x:v>
      </x:c>
      <x:c r="U129" s="31" t="n">
        <x:f>IF(T129="","",I129*T129)</x:f>
        <x:v>283.36698028119235</x:v>
      </x:c>
    </x:row>
    <x:row r="130" ht="18" customHeight="1">
      <x:c r="A130" s="24" t="str">
        <x:v>EEZ_862</x:v>
      </x:c>
      <x:c r="B130" s="24" t="str">
        <x:v>Venezuela</x:v>
      </x:c>
      <x:c r="C130" s="24" t="str">
        <x:v>EEZ</x:v>
      </x:c>
      <x:c r="D130" s="30" t="n">
        <x:v>2019</x:v>
      </x:c>
      <x:c r="E130" s="24" t="str">
        <x:v>Alopias superciliosus</x:v>
      </x:c>
      <x:c r="F130" s="24" t="str">
        <x:v>Bigeye thresher</x:v>
      </x:c>
      <x:c r="G130" s="24" t="str">
        <x:v>Large sharks (&gt;=90 cm)</x:v>
      </x:c>
      <x:c r="H130" s="24" t="str">
        <x:v>Sharks &amp; rays</x:v>
      </x:c>
      <x:c r="I130" s="31" t="n">
        <x:v>4</x:v>
      </x:c>
      <x:c r="J130" s="31" t="n">
        <x:v>4</x:v>
      </x:c>
      <x:c r="K130" s="31" t="n">
        <x:v>0</x:v>
      </x:c>
      <x:c r="L130" s="31" t="n">
        <x:v>4</x:v>
      </x:c>
      <x:c r="M130" s="31" t="n">
        <x:v>0</x:v>
      </x:c>
      <x:c r="N130" s="24" t="str">
        <x:v>alopias superciliosus</x:v>
      </x:c>
      <x:c r="O130" s="32" t="n">
        <x:v>4.51</x:v>
      </x:c>
      <x:c r="P130" s="24" t="str">
        <x:v>exact_2020_supplement</x:v>
      </x:c>
      <x:c r="Q130" s="32" t="str">
        <x:v>2020 supplement MeanTL</x:v>
      </x:c>
      <x:c r="R130" s="24" t="str">
        <x:v>high</x:v>
      </x:c>
      <x:c r="S130" s="24" t="str">
        <x:v>Alopias superciliosus</x:v>
      </x:c>
      <x:c r="T130" s="32" t="n">
        <x:f>IF(O130="","",(1/'Metadata'!$B$5)^(O130-1))</x:f>
        <x:v>3235.936569296281</x:v>
      </x:c>
      <x:c r="U130" s="31" t="n">
        <x:f>IF(T130="","",I130*T130)</x:f>
        <x:v>12943.746277185124</x:v>
      </x:c>
    </x:row>
    <x:row r="131" ht="18" customHeight="1">
      <x:c r="A131" s="24" t="str">
        <x:v>EEZ_862</x:v>
      </x:c>
      <x:c r="B131" s="24" t="str">
        <x:v>Venezuela</x:v>
      </x:c>
      <x:c r="C131" s="24" t="str">
        <x:v>EEZ</x:v>
      </x:c>
      <x:c r="D131" s="30" t="n">
        <x:v>2019</x:v>
      </x:c>
      <x:c r="E131" s="24" t="str">
        <x:v>Malacostraca</x:v>
      </x:c>
      <x:c r="F131" s="24" t="str">
        <x:v>Lobsters, crabs, shrimps, krill</x:v>
      </x:c>
      <x:c r="G131" s="24" t="str">
        <x:v>Shrimps</x:v>
      </x:c>
      <x:c r="H131" s="24" t="str">
        <x:v>Crustaceans</x:v>
      </x:c>
      <x:c r="I131" s="31" t="n">
        <x:v>3.3311115219</x:v>
      </x:c>
      <x:c r="J131" s="31" t="n">
        <x:v>0.3371049386</x:v>
      </x:c>
      <x:c r="K131" s="31" t="n">
        <x:v>2.9940065833</x:v>
      </x:c>
      <x:c r="L131" s="31" t="n">
        <x:v>0.3371049386</x:v>
      </x:c>
      <x:c r="M131" s="31" t="n">
        <x:v>2.9940065833</x:v>
      </x:c>
      <x:c r="N131" s="24" t="str">
        <x:v>malacostraca</x:v>
      </x:c>
      <x:c r="O131" s="32" t="n">
        <x:v>3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Malacostraca</x:v>
      </x:c>
      <x:c r="T131" s="32" t="n">
        <x:f>IF(O131="","",(1/'Metadata'!$B$5)^(O131-1))</x:f>
        <x:v>100</x:v>
      </x:c>
      <x:c r="U131" s="31" t="n">
        <x:f>IF(T131="","",I131*T131)</x:f>
        <x:v>333.11115219</x:v>
      </x:c>
    </x:row>
    <x:row r="132" ht="18" customHeight="1">
      <x:c r="A132" s="24" t="str">
        <x:v>EEZ_862</x:v>
      </x:c>
      <x:c r="B132" s="24" t="str">
        <x:v>Venezuela</x:v>
      </x:c>
      <x:c r="C132" s="24" t="str">
        <x:v>EEZ</x:v>
      </x:c>
      <x:c r="D132" s="30" t="n">
        <x:v>2019</x:v>
      </x:c>
      <x:c r="E132" s="24" t="str">
        <x:v>Sphyrnidae</x:v>
      </x:c>
      <x:c r="F132" s="24" t="str">
        <x:v>Hammer, bonnet, scoophead sharks</x:v>
      </x:c>
      <x:c r="G132" s="24" t="str">
        <x:v>Large sharks (&gt;=90 cm)</x:v>
      </x:c>
      <x:c r="H132" s="24" t="str">
        <x:v>Sharks &amp; rays</x:v>
      </x:c>
      <x:c r="I132" s="31" t="n">
        <x:v>2.8943759423</x:v>
      </x:c>
      <x:c r="J132" s="31" t="n">
        <x:v>0.292907763</x:v>
      </x:c>
      <x:c r="K132" s="31" t="n">
        <x:v>2.6014681793</x:v>
      </x:c>
      <x:c r="L132" s="31" t="n">
        <x:v>0.292907763</x:v>
      </x:c>
      <x:c r="M132" s="31" t="n">
        <x:v>2.6014681793</x:v>
      </x:c>
      <x:c r="N132" s="24" t="str">
        <x:v>sphyrnidae</x:v>
      </x:c>
      <x:c r="O132" s="32" t="n">
        <x:v>4.19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Sphyrnidae</x:v>
      </x:c>
      <x:c r="T132" s="32" t="n">
        <x:f>IF(O132="","",(1/'Metadata'!$B$5)^(O132-1))</x:f>
        <x:v>1548.8166189124827</x:v>
      </x:c>
      <x:c r="U132" s="31" t="n">
        <x:f>IF(T132="","",I132*T132)</x:f>
        <x:v>4482.857560814717</x:v>
      </x:c>
    </x:row>
    <x:row r="133" ht="18" customHeight="1">
      <x:c r="A133" s="24" t="str">
        <x:v>EEZ_862</x:v>
      </x:c>
      <x:c r="B133" s="24" t="str">
        <x:v>Venezuela</x:v>
      </x:c>
      <x:c r="C133" s="24" t="str">
        <x:v>EEZ</x:v>
      </x:c>
      <x:c r="D133" s="30" t="n">
        <x:v>2019</x:v>
      </x:c>
      <x:c r="E133" s="24" t="str">
        <x:v>Alectis ciliaris</x:v>
      </x:c>
      <x:c r="F133" s="24" t="str">
        <x:v>African pompano</x:v>
      </x:c>
      <x:c r="G133" s="24" t="str">
        <x:v>Large pelagics (&gt;=90 cm)</x:v>
      </x:c>
      <x:c r="H133" s="24" t="str">
        <x:v>Perch-likes</x:v>
      </x:c>
      <x:c r="I133" s="31" t="n">
        <x:v>2.756523963</x:v>
      </x:c>
      <x:c r="J133" s="31" t="n">
        <x:v>2.756523963</x:v>
      </x:c>
      <x:c r="K133" s="31" t="n">
        <x:v>0</x:v>
      </x:c>
      <x:c r="L133" s="31" t="n">
        <x:v>2.756523963</x:v>
      </x:c>
      <x:c r="M133" s="31" t="n">
        <x:v>0</x:v>
      </x:c>
      <x:c r="N133" s="24" t="str">
        <x:v>alectis ciliaris</x:v>
      </x:c>
      <x:c r="O133" s="32" t="n">
        <x:v>3.95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Alectis ciliaris</x:v>
      </x:c>
      <x:c r="T133" s="32" t="n">
        <x:f>IF(O133="","",(1/'Metadata'!$B$5)^(O133-1))</x:f>
        <x:v>891.2509381337459</x:v>
      </x:c>
      <x:c r="U133" s="31" t="n">
        <x:f>IF(T133="","",I133*T133)</x:f>
        <x:v>2456.754568011901</x:v>
      </x:c>
    </x:row>
    <x:row r="134" ht="18" customHeight="1">
      <x:c r="A134" s="24" t="str">
        <x:v>EEZ_862</x:v>
      </x:c>
      <x:c r="B134" s="24" t="str">
        <x:v>Venezuela</x:v>
      </x:c>
      <x:c r="C134" s="24" t="str">
        <x:v>EEZ</x:v>
      </x:c>
      <x:c r="D134" s="30" t="n">
        <x:v>2019</x:v>
      </x:c>
      <x:c r="E134" s="24" t="str">
        <x:v>Ephippidae</x:v>
      </x:c>
      <x:c r="F134" s="24" t="str">
        <x:v>Spade-, batfishes, scats</x:v>
      </x:c>
      <x:c r="G134" s="24" t="str">
        <x:v>Medium reef assoc. fish (30 - 89 cm)</x:v>
      </x:c>
      <x:c r="H134" s="24" t="str">
        <x:v>Perch-likes</x:v>
      </x:c>
      <x:c r="I134" s="31" t="n">
        <x:v>2.2414765688</x:v>
      </x:c>
      <x:c r="J134" s="31" t="n">
        <x:v>0.2268350418</x:v>
      </x:c>
      <x:c r="K134" s="31" t="n">
        <x:v>2.014641527</x:v>
      </x:c>
      <x:c r="L134" s="31" t="n">
        <x:v>0.2268350418</x:v>
      </x:c>
      <x:c r="M134" s="31" t="n">
        <x:v>2.014641527</x:v>
      </x:c>
      <x:c r="N134" s="24" t="str">
        <x:v>ephippidae</x:v>
      </x:c>
      <x:c r="O134" s="32" t="n">
        <x:v>3.57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Ephippidae</x:v>
      </x:c>
      <x:c r="T134" s="32" t="n">
        <x:f>IF(O134="","",(1/'Metadata'!$B$5)^(O134-1))</x:f>
        <x:v>371.5352290971724</x:v>
      </x:c>
      <x:c r="U134" s="31" t="n">
        <x:f>IF(T134="","",I134*T134)</x:f>
        <x:v>832.787510505052</x:v>
      </x:c>
    </x:row>
    <x:row r="135" ht="18" customHeight="1">
      <x:c r="A135" s="24" t="str">
        <x:v>EEZ_862</x:v>
      </x:c>
      <x:c r="B135" s="24" t="str">
        <x:v>Venezuela</x:v>
      </x:c>
      <x:c r="C135" s="24" t="str">
        <x:v>EEZ</x:v>
      </x:c>
      <x:c r="D135" s="30" t="n">
        <x:v>2019</x:v>
      </x:c>
      <x:c r="E135" s="24" t="str">
        <x:v>Aliger gigas</x:v>
      </x:c>
      <x:c r="F135" s="24" t="str">
        <x:v>Pink conch</x:v>
      </x:c>
      <x:c r="G135" s="24" t="str">
        <x:v>Other demersal invertebrates</x:v>
      </x:c>
      <x:c r="H135" s="24" t="str">
        <x:v>Molluscs</x:v>
      </x:c>
      <x:c r="I135" s="31" t="n">
        <x:v>2</x:v>
      </x:c>
      <x:c r="J135" s="31" t="n">
        <x:v>2</x:v>
      </x:c>
      <x:c r="K135" s="31" t="n">
        <x:v>0</x:v>
      </x:c>
      <x:c r="L135" s="31" t="n">
        <x:v>2</x:v>
      </x:c>
      <x:c r="M135" s="31" t="n">
        <x:v>0</x:v>
      </x:c>
      <x:c r="N135" s="24" t="str">
        <x:v>aliger gigas</x:v>
      </x:c>
      <x:c r="O135" s="32" t="n">
        <x:v>2.19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Aliger gigas</x:v>
      </x:c>
      <x:c r="T135" s="32" t="n">
        <x:f>IF(O135="","",(1/'Metadata'!$B$5)^(O135-1))</x:f>
        <x:v>15.488166189124811</x:v>
      </x:c>
      <x:c r="U135" s="31" t="n">
        <x:f>IF(T135="","",I135*T135)</x:f>
        <x:v>30.976332378249623</x:v>
      </x:c>
    </x:row>
    <x:row r="136" ht="18" customHeight="1">
      <x:c r="A136" s="24" t="str">
        <x:v>EEZ_862</x:v>
      </x:c>
      <x:c r="B136" s="24" t="str">
        <x:v>Venezuela</x:v>
      </x:c>
      <x:c r="C136" s="24" t="str">
        <x:v>EEZ</x:v>
      </x:c>
      <x:c r="D136" s="30" t="n">
        <x:v>2019</x:v>
      </x:c>
      <x:c r="E136" s="24" t="str">
        <x:v>Sphyraena barracuda</x:v>
      </x:c>
      <x:c r="F136" s="24" t="str">
        <x:v>Great barracuda</x:v>
      </x:c>
      <x:c r="G136" s="24" t="str">
        <x:v>Large pelagics (&gt;=90 cm)</x:v>
      </x:c>
      <x:c r="H136" s="24" t="str">
        <x:v>Perch-likes</x:v>
      </x:c>
      <x:c r="I136" s="31" t="n">
        <x:v>1.7219176371</x:v>
      </x:c>
      <x:c r="J136" s="31" t="n">
        <x:v>1.7219176371</x:v>
      </x:c>
      <x:c r="K136" s="31" t="n">
        <x:v>0</x:v>
      </x:c>
      <x:c r="L136" s="31" t="n">
        <x:v>1.7219176371</x:v>
      </x:c>
      <x:c r="M136" s="31" t="n">
        <x:v>0</x:v>
      </x:c>
      <x:c r="N136" s="24" t="str">
        <x:v>sphyraena barracuda</x:v>
      </x:c>
      <x:c r="O136" s="32" t="n">
        <x:v>4.49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Sphyraena barracuda</x:v>
      </x:c>
      <x:c r="T136" s="32" t="n">
        <x:f>IF(O136="","",(1/'Metadata'!$B$5)^(O136-1))</x:f>
        <x:v>3090.295432513592</x:v>
      </x:c>
      <x:c r="U136" s="31" t="n">
        <x:f>IF(T136="","",I136*T136)</x:f>
        <x:v>5321.234209094727</x:v>
      </x:c>
    </x:row>
    <x:row r="137" ht="18" customHeight="1">
      <x:c r="A137" s="24" t="str">
        <x:v>EEZ_862</x:v>
      </x:c>
      <x:c r="B137" s="24" t="str">
        <x:v>Venezuela</x:v>
      </x:c>
      <x:c r="C137" s="24" t="str">
        <x:v>EEZ</x:v>
      </x:c>
      <x:c r="D137" s="30" t="n">
        <x:v>2019</x:v>
      </x:c>
      <x:c r="E137" s="24" t="str">
        <x:v>Mobula birostris</x:v>
      </x:c>
      <x:c r="F137" s="24" t="str">
        <x:v>Giant manta</x:v>
      </x:c>
      <x:c r="G137" s="24" t="str">
        <x:v>Large rays (&gt;=90 cm)</x:v>
      </x:c>
      <x:c r="H137" s="24" t="str">
        <x:v>Sharks &amp; rays</x:v>
      </x:c>
      <x:c r="I137" s="31" t="n">
        <x:v>1.5321301102</x:v>
      </x:c>
      <x:c r="J137" s="31" t="n">
        <x:v>1.5321301102</x:v>
      </x:c>
      <x:c r="K137" s="31" t="n">
        <x:v>0</x:v>
      </x:c>
      <x:c r="L137" s="31" t="n">
        <x:v>1.5321301102</x:v>
      </x:c>
      <x:c r="M137" s="31" t="n">
        <x:v>0</x:v>
      </x:c>
      <x:c r="N137" s="24" t="str">
        <x:v>mobula birostris</x:v>
      </x:c>
      <x:c r="O137" s="32" t="n">
        <x:v>3.46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Mobula birostris</x:v>
      </x:c>
      <x:c r="T137" s="32" t="n">
        <x:f>IF(O137="","",(1/'Metadata'!$B$5)^(O137-1))</x:f>
        <x:v>288.40315031266056</x:v>
      </x:c>
      <x:c r="U137" s="31" t="n">
        <x:f>IF(T137="","",I137*T137)</x:f>
        <x:v>441.8711504705638</x:v>
      </x:c>
    </x:row>
    <x:row r="138" ht="18" customHeight="1">
      <x:c r="A138" s="24" t="str">
        <x:v>EEZ_862</x:v>
      </x:c>
      <x:c r="B138" s="24" t="str">
        <x:v>Venezuela</x:v>
      </x:c>
      <x:c r="C138" s="24" t="str">
        <x:v>EEZ</x:v>
      </x:c>
      <x:c r="D138" s="30" t="n">
        <x:v>2019</x:v>
      </x:c>
      <x:c r="E138" s="24" t="str">
        <x:v>Tetrapturus pfluegeri</x:v>
      </x:c>
      <x:c r="F138" s="24" t="str">
        <x:v>Longbill spearfish</x:v>
      </x:c>
      <x:c r="G138" s="24" t="str">
        <x:v>Large pelagics (&gt;=90 cm)</x:v>
      </x:c>
      <x:c r="H138" s="24" t="str">
        <x:v>Tuna &amp; billfishes</x:v>
      </x:c>
      <x:c r="I138" s="31" t="n">
        <x:v>1.0523670149</x:v>
      </x:c>
      <x:c r="J138" s="31" t="n">
        <x:v>1.0523670149</x:v>
      </x:c>
      <x:c r="K138" s="31" t="n">
        <x:v>0</x:v>
      </x:c>
      <x:c r="L138" s="31" t="n">
        <x:v>1.0523670149</x:v>
      </x:c>
      <x:c r="M138" s="31" t="n">
        <x:v>0</x:v>
      </x:c>
      <x:c r="N138" s="24" t="str">
        <x:v>tetrapturus pfluegeri</x:v>
      </x:c>
      <x:c r="O138" s="32" t="n">
        <x:v>4.4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Tetrapturus pfluegeri</x:v>
      </x:c>
      <x:c r="T138" s="32" t="n">
        <x:f>IF(O138="","",(1/'Metadata'!$B$5)^(O138-1))</x:f>
        <x:v>2511.886431509582</x:v>
      </x:c>
      <x:c r="U138" s="31" t="n">
        <x:f>IF(T138="","",I138*T138)</x:f>
        <x:v>2643.426425695552</x:v>
      </x:c>
    </x:row>
    <x:row r="139" ht="18" customHeight="1">
      <x:c r="A139" s="24" t="str">
        <x:v>EEZ_862</x:v>
      </x:c>
      <x:c r="B139" s="24" t="str">
        <x:v>Venezuela</x:v>
      </x:c>
      <x:c r="C139" s="24" t="str">
        <x:v>EEZ</x:v>
      </x:c>
      <x:c r="D139" s="30" t="n">
        <x:v>2019</x:v>
      </x:c>
      <x:c r="E139" s="24" t="str">
        <x:v>Albulidae</x:v>
      </x:c>
      <x:c r="F139" s="24" t="str">
        <x:v>Bonefishes</x:v>
      </x:c>
      <x:c r="G139" s="24" t="str">
        <x:v>Medium reef assoc. fish (30 - 89 cm)</x:v>
      </x:c>
      <x:c r="H139" s="24" t="str">
        <x:v>Other fishes &amp; inverts</x:v>
      </x:c>
      <x:c r="I139" s="31" t="n">
        <x:v>1.0442412298000001</x:v>
      </x:c>
      <x:c r="J139" s="31" t="n">
        <x:v>0.1056761004</x:v>
      </x:c>
      <x:c r="K139" s="31" t="n">
        <x:v>0.9385651294</x:v>
      </x:c>
      <x:c r="L139" s="31" t="n">
        <x:v>0.1056761004</x:v>
      </x:c>
      <x:c r="M139" s="31" t="n">
        <x:v>0.9385651294</x:v>
      </x:c>
      <x:c r="N139" s="24" t="str">
        <x:v>albulidae</x:v>
      </x:c>
      <x:c r="O139" s="32" t="n">
        <x:v>3.47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Albulidae</x:v>
      </x:c>
      <x:c r="T139" s="32" t="n">
        <x:f>IF(O139="","",(1/'Metadata'!$B$5)^(O139-1))</x:f>
        <x:v>295.1209226666387</x:v>
      </x:c>
      <x:c r="U139" s="31" t="n">
        <x:f>IF(T139="","",I139*T139)</x:f>
        <x:v>308.17743522512154</x:v>
      </x:c>
    </x:row>
    <x:row r="140" ht="18" customHeight="1">
      <x:c r="A140" s="24" t="str">
        <x:v>EEZ_862</x:v>
      </x:c>
      <x:c r="B140" s="24" t="str">
        <x:v>Venezuela</x:v>
      </x:c>
      <x:c r="C140" s="24" t="str">
        <x:v>EEZ</x:v>
      </x:c>
      <x:c r="D140" s="30" t="n">
        <x:v>2019</x:v>
      </x:c>
      <x:c r="E140" s="24" t="str">
        <x:v>Istiophoridae</x:v>
      </x:c>
      <x:c r="F140" s="24" t="str">
        <x:v>Billfishes</x:v>
      </x:c>
      <x:c r="G140" s="24" t="str">
        <x:v>Large pelagics (&gt;=90 cm)</x:v>
      </x:c>
      <x:c r="H140" s="24" t="str">
        <x:v>Tuna &amp; billfishes</x:v>
      </x:c>
      <x:c r="I140" s="31" t="n">
        <x:v>0.5449206834</x:v>
      </x:c>
      <x:c r="J140" s="31" t="n">
        <x:v>0.5449206834</x:v>
      </x:c>
      <x:c r="K140" s="31" t="n">
        <x:v>0</x:v>
      </x:c>
      <x:c r="L140" s="31" t="n">
        <x:v>0.5449206834</x:v>
      </x:c>
      <x:c r="M140" s="31" t="n">
        <x:v>0</x:v>
      </x:c>
      <x:c r="N140" s="24" t="str">
        <x:v>istiophoridae</x:v>
      </x:c>
      <x:c r="O140" s="32" t="n">
        <x:v>4.48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Istiophoridae</x:v>
      </x:c>
      <x:c r="T140" s="32" t="n">
        <x:f>IF(O140="","",(1/'Metadata'!$B$5)^(O140-1))</x:f>
        <x:v>3019.951720402019</x:v>
      </x:c>
      <x:c r="U140" s="31" t="n">
        <x:f>IF(T140="","",I140*T140)</x:f>
        <x:v>1645.6341553164739</x:v>
      </x:c>
    </x:row>
    <x:row r="141" ht="18" customHeight="1">
      <x:c r="A141" s="24" t="str">
        <x:v>EEZ_862</x:v>
      </x:c>
      <x:c r="B141" s="24" t="str">
        <x:v>Venezuela</x:v>
      </x:c>
      <x:c r="C141" s="24" t="str">
        <x:v>EEZ</x:v>
      </x:c>
      <x:c r="D141" s="30" t="n">
        <x:v>2019</x:v>
      </x:c>
      <x:c r="E141" s="24" t="str">
        <x:v>Priacanthidae</x:v>
      </x:c>
      <x:c r="F141" s="24" t="str">
        <x:v>Bigeyes, catalufas</x:v>
      </x:c>
      <x:c r="G141" s="24" t="str">
        <x:v>Medium reef assoc. fish (30 - 89 cm)</x:v>
      </x:c>
      <x:c r="H141" s="24" t="str">
        <x:v>Perch-likes</x:v>
      </x:c>
      <x:c r="I141" s="31" t="n">
        <x:v>0.4287557357</x:v>
      </x:c>
      <x:c r="J141" s="31" t="n">
        <x:v>0.0433896238</x:v>
      </x:c>
      <x:c r="K141" s="31" t="n">
        <x:v>0.3853661119</x:v>
      </x:c>
      <x:c r="L141" s="31" t="n">
        <x:v>0.0433896238</x:v>
      </x:c>
      <x:c r="M141" s="31" t="n">
        <x:v>0.3853661119</x:v>
      </x:c>
      <x:c r="N141" s="24" t="str">
        <x:v>priacanthidae</x:v>
      </x:c>
      <x:c r="O141" s="32" t="n">
        <x:v>3.79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Priacanthidae</x:v>
      </x:c>
      <x:c r="T141" s="32" t="n">
        <x:f>IF(O141="","",(1/'Metadata'!$B$5)^(O141-1))</x:f>
        <x:v>616.5950018614822</x:v>
      </x:c>
      <x:c r="U141" s="31" t="n">
        <x:f>IF(T141="","",I141*T141)</x:f>
        <x:v>264.36864365206264</x:v>
      </x:c>
    </x:row>
    <x:row r="142" ht="18" customHeight="1">
      <x:c r="A142" s="24" t="str">
        <x:v>EEZ_862</x:v>
      </x:c>
      <x:c r="B142" s="24" t="str">
        <x:v>Venezuela</x:v>
      </x:c>
      <x:c r="C142" s="24" t="str">
        <x:v>EEZ</x:v>
      </x:c>
      <x:c r="D142" s="30" t="n">
        <x:v>2019</x:v>
      </x:c>
      <x:c r="E142" s="24" t="str">
        <x:v>Muraenidae</x:v>
      </x:c>
      <x:c r="F142" s="24" t="str">
        <x:v>Moray eels</x:v>
      </x:c>
      <x:c r="G142" s="24" t="str">
        <x:v>Large reef assoc. fish (&gt;=90 cm)</x:v>
      </x:c>
      <x:c r="H142" s="24" t="str">
        <x:v>Other fishes &amp; inverts</x:v>
      </x:c>
      <x:c r="I142" s="31" t="n">
        <x:v>0.16273632300000002</x:v>
      </x:c>
      <x:c r="J142" s="31" t="n">
        <x:v>0.0164687426</x:v>
      </x:c>
      <x:c r="K142" s="31" t="n">
        <x:v>0.1462675804</x:v>
      </x:c>
      <x:c r="L142" s="31" t="n">
        <x:v>0.0164687426</x:v>
      </x:c>
      <x:c r="M142" s="31" t="n">
        <x:v>0.1462675804</x:v>
      </x:c>
      <x:c r="N142" s="24" t="str">
        <x:v>muraenidae</x:v>
      </x:c>
      <x:c r="O142" s="32" t="n">
        <x:v>4.07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Muraenidae</x:v>
      </x:c>
      <x:c r="T142" s="32" t="n">
        <x:f>IF(O142="","",(1/'Metadata'!$B$5)^(O142-1))</x:f>
        <x:v>1174.8975549395302</x:v>
      </x:c>
      <x:c r="U142" s="31" t="n">
        <x:f>IF(T142="","",I142*T142)</x:f>
        <x:v>191.19850799254965</x:v>
      </x:c>
    </x:row>
    <x:row r="143" ht="18" customHeight="1">
      <x:c r="A143" s="24" t="str">
        <x:v>EEZ_862</x:v>
      </x:c>
      <x:c r="B143" s="24" t="str">
        <x:v>Venezuela</x:v>
      </x:c>
      <x:c r="C143" s="24" t="str">
        <x:v>EEZ</x:v>
      </x:c>
      <x:c r="D143" s="30" t="n">
        <x:v>2019</x:v>
      </x:c>
      <x:c r="E143" s="24" t="str">
        <x:v>Stromateidae</x:v>
      </x:c>
      <x:c r="F143" s="24" t="str">
        <x:v>Butterfishes</x:v>
      </x:c>
      <x:c r="G143" s="24" t="str">
        <x:v>Small benthopelagics (&lt;30 cm)</x:v>
      </x:c>
      <x:c r="H143" s="24" t="str">
        <x:v>Perch-likes</x:v>
      </x:c>
      <x:c r="I143" s="31" t="n">
        <x:v>0.1503225139</x:v>
      </x:c>
      <x:c r="J143" s="31" t="n">
        <x:v>0.0152124784</x:v>
      </x:c>
      <x:c r="K143" s="31" t="n">
        <x:v>0.1351100355</x:v>
      </x:c>
      <x:c r="L143" s="31" t="n">
        <x:v>0.0152124784</x:v>
      </x:c>
      <x:c r="M143" s="31" t="n">
        <x:v>0.1351100355</x:v>
      </x:c>
      <x:c r="N143" s="24" t="str">
        <x:v>stromateidae</x:v>
      </x:c>
      <x:c r="O143" s="32" t="n">
        <x:v>3.62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Stromateidae</x:v>
      </x:c>
      <x:c r="T143" s="32" t="n">
        <x:f>IF(O143="","",(1/'Metadata'!$B$5)^(O143-1))</x:f>
        <x:v>416.8693834703355</x:v>
      </x:c>
      <x:c r="U143" s="31" t="n">
        <x:f>IF(T143="","",I143*T143)</x:f>
        <x:v>62.664853691203945</x:v>
      </x:c>
    </x:row>
    <x:row r="144" ht="18" customHeight="1">
      <x:c r="A144" s="24" t="str">
        <x:v>EEZ_862</x:v>
      </x:c>
      <x:c r="B144" s="24" t="str">
        <x:v>Venezuela</x:v>
      </x:c>
      <x:c r="C144" s="24" t="str">
        <x:v>EEZ</x:v>
      </x:c>
      <x:c r="D144" s="30" t="n">
        <x:v>2019</x:v>
      </x:c>
      <x:c r="E144" s="24" t="str">
        <x:v>Sphyrna</x:v>
      </x:c>
      <x:c r="F144" s="24" t="str">
        <x:v>Hammerhead sharks</x:v>
      </x:c>
      <x:c r="G144" s="24" t="str">
        <x:v>Large sharks (&gt;=90 cm)</x:v>
      </x:c>
      <x:c r="H144" s="24" t="str">
        <x:v>Sharks &amp; rays</x:v>
      </x:c>
      <x:c r="I144" s="31" t="n">
        <x:v>0.1408379234</x:v>
      </x:c>
      <x:c r="J144" s="31" t="n">
        <x:v>0.1408379234</x:v>
      </x:c>
      <x:c r="K144" s="31" t="n">
        <x:v>0</x:v>
      </x:c>
      <x:c r="L144" s="31" t="n">
        <x:v>0.1408379234</x:v>
      </x:c>
      <x:c r="M144" s="31" t="n">
        <x:v>0</x:v>
      </x:c>
      <x:c r="N144" s="24" t="str">
        <x:v>sphyrna</x:v>
      </x:c>
      <x:c r="O144" s="32" t="n">
        <x:v>4.2</x:v>
      </x:c>
      <x:c r="P144" s="24" t="str">
        <x:v>exact_sea_around_us</x:v>
      </x:c>
      <x:c r="Q144" s="32" t="str">
        <x:v>Sea Around Us exploited organisms</x:v>
      </x:c>
      <x:c r="R144" s="24" t="str">
        <x:v>high</x:v>
      </x:c>
      <x:c r="S144" s="24" t="str">
        <x:v>Sphyrna</x:v>
      </x:c>
      <x:c r="T144" s="32" t="n">
        <x:f>IF(O144="","",(1/'Metadata'!$B$5)^(O144-1))</x:f>
        <x:v>1584.893192461114</x:v>
      </x:c>
      <x:c r="U144" s="31" t="n">
        <x:f>IF(T144="","",I144*T144)</x:f>
        <x:v>223.21306603701984</x:v>
      </x:c>
    </x:row>
    <x:row r="145" ht="18" customHeight="1">
      <x:c r="A145" s="24" t="str">
        <x:v>EEZ_862</x:v>
      </x:c>
      <x:c r="B145" s="24" t="str">
        <x:v>Venezuela</x:v>
      </x:c>
      <x:c r="C145" s="24" t="str">
        <x:v>EEZ</x:v>
      </x:c>
      <x:c r="D145" s="30" t="n">
        <x:v>2019</x:v>
      </x:c>
      <x:c r="E145" s="24" t="str">
        <x:v>Lamnidae</x:v>
      </x:c>
      <x:c r="F145" s="24" t="str">
        <x:v>Mackerel/white sharks</x:v>
      </x:c>
      <x:c r="G145" s="24" t="str">
        <x:v>Large sharks (&gt;=90 cm)</x:v>
      </x:c>
      <x:c r="H145" s="24" t="str">
        <x:v>Sharks &amp; rays</x:v>
      </x:c>
      <x:c r="I145" s="31" t="n">
        <x:v>0.090067071</x:v>
      </x:c>
      <x:c r="J145" s="31" t="n">
        <x:v>0.0091146916</x:v>
      </x:c>
      <x:c r="K145" s="31" t="n">
        <x:v>0.0809523794</x:v>
      </x:c>
      <x:c r="L145" s="31" t="n">
        <x:v>0.0091146916</x:v>
      </x:c>
      <x:c r="M145" s="31" t="n">
        <x:v>0.0809523794</x:v>
      </x:c>
      <x:c r="N145" s="24" t="str">
        <x:v>lamnidae</x:v>
      </x:c>
      <x:c r="O145" s="32" t="n">
        <x:v>4.5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Lamnidae</x:v>
      </x:c>
      <x:c r="T145" s="32" t="n">
        <x:f>IF(O145="","",(1/'Metadata'!$B$5)^(O145-1))</x:f>
        <x:v>3162.2776601683795</x:v>
      </x:c>
      <x:c r="U145" s="31" t="n">
        <x:f>IF(T145="","",I145*T145)</x:f>
        <x:v>284.8170865400993</x:v>
      </x:c>
    </x:row>
    <x:row r="146" ht="18" customHeight="1">
      <x:c r="A146" s="24" t="str">
        <x:v>EEZ_862</x:v>
      </x:c>
      <x:c r="B146" s="24" t="str">
        <x:v>Venezuela</x:v>
      </x:c>
      <x:c r="C146" s="24" t="str">
        <x:v>EEZ</x:v>
      </x:c>
      <x:c r="D146" s="30" t="n">
        <x:v>2019</x:v>
      </x:c>
      <x:c r="E146" s="24" t="str">
        <x:v>Loliginidae</x:v>
      </x:c>
      <x:c r="F146" s="24" t="str">
        <x:v>Common pencil squids</x:v>
      </x:c>
      <x:c r="G146" s="24" t="str">
        <x:v>Cephalopods</x:v>
      </x:c>
      <x:c r="H146" s="24" t="str">
        <x:v>Other fishes &amp; inverts</x:v>
      </x:c>
      <x:c r="I146" s="31" t="n">
        <x:v>0.0621641383</x:v>
      </x:c>
      <x:c r="J146" s="31" t="n">
        <x:v>0.0062909446</x:v>
      </x:c>
      <x:c r="K146" s="31" t="n">
        <x:v>0.0558731937</x:v>
      </x:c>
      <x:c r="L146" s="31" t="n">
        <x:v>0.0062909446</x:v>
      </x:c>
      <x:c r="M146" s="31" t="n">
        <x:v>0.0558731937</x:v>
      </x:c>
      <x:c r="N146" s="24" t="str">
        <x:v>loliginidae</x:v>
      </x:c>
      <x:c r="O146" s="32" t="n">
        <x:v>3.9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Loliginidae</x:v>
      </x:c>
      <x:c r="T146" s="32" t="n">
        <x:f>IF(O146="","",(1/'Metadata'!$B$5)^(O146-1))</x:f>
        <x:v>794.3282347242813</x:v>
      </x:c>
      <x:c r="U146" s="31" t="n">
        <x:f>IF(T146="","",I146*T146)</x:f>
        <x:v>49.37873023899508</x:v>
      </x:c>
    </x:row>
    <x:row r="147" ht="18" customHeight="1">
      <x:c r="A147" s="24" t="str">
        <x:v>EEZ_862</x:v>
      </x:c>
      <x:c r="B147" s="24" t="str">
        <x:v>Venezuela</x:v>
      </x:c>
      <x:c r="C147" s="24" t="str">
        <x:v>EEZ</x:v>
      </x:c>
      <x:c r="D147" s="30" t="n">
        <x:v>2019</x:v>
      </x:c>
      <x:c r="E147" s="24" t="str">
        <x:v>Ophidiidae</x:v>
      </x:c>
      <x:c r="F147" s="24" t="str">
        <x:v>Cuskeels</x:v>
      </x:c>
      <x:c r="G147" s="24" t="str">
        <x:v>Large bathydemersals (&gt;=90 cm)</x:v>
      </x:c>
      <x:c r="H147" s="24" t="str">
        <x:v>Other fishes &amp; inverts</x:v>
      </x:c>
      <x:c r="I147" s="31" t="n">
        <x:v>0.0507230098</x:v>
      </x:c>
      <x:c r="J147" s="31" t="n">
        <x:v>0.0051331146</x:v>
      </x:c>
      <x:c r="K147" s="31" t="n">
        <x:v>0.0455898952</x:v>
      </x:c>
      <x:c r="L147" s="31" t="n">
        <x:v>0.0051331146</x:v>
      </x:c>
      <x:c r="M147" s="31" t="n">
        <x:v>0.0455898952</x:v>
      </x:c>
      <x:c r="N147" s="24" t="str">
        <x:v>ophidiidae</x:v>
      </x:c>
      <x:c r="O147" s="32" t="n">
        <x:v>3.67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Ophidiidae</x:v>
      </x:c>
      <x:c r="T147" s="32" t="n">
        <x:f>IF(O147="","",(1/'Metadata'!$B$5)^(O147-1))</x:f>
        <x:v>467.73514128719813</x:v>
      </x:c>
      <x:c r="U147" s="31" t="n">
        <x:f>IF(T147="","",I147*T147)</x:f>
        <x:v>23.724934155314937</x:v>
      </x:c>
    </x:row>
    <x:row r="148" ht="18" customHeight="1">
      <x:c r="A148" s="24" t="str">
        <x:v>EEZ_862</x:v>
      </x:c>
      <x:c r="B148" s="24" t="str">
        <x:v>Venezuela</x:v>
      </x:c>
      <x:c r="C148" s="24" t="str">
        <x:v>EEZ</x:v>
      </x:c>
      <x:c r="D148" s="30" t="n">
        <x:v>2019</x:v>
      </x:c>
      <x:c r="E148" s="24" t="str">
        <x:v>Rachycentridae</x:v>
      </x:c>
      <x:c r="F148" s="24" t="str">
        <x:v>Cobias</x:v>
      </x:c>
      <x:c r="G148" s="24" t="str">
        <x:v>Large pelagics (&gt;=90 cm)</x:v>
      </x:c>
      <x:c r="H148" s="24" t="str">
        <x:v>Perch-likes</x:v>
      </x:c>
      <x:c r="I148" s="31" t="n">
        <x:v>0.0439983683</x:v>
      </x:c>
      <x:c r="J148" s="31" t="n">
        <x:v>0.004452588</x:v>
      </x:c>
      <x:c r="K148" s="31" t="n">
        <x:v>0.0395457803</x:v>
      </x:c>
      <x:c r="L148" s="31" t="n">
        <x:v>0.004452588</x:v>
      </x:c>
      <x:c r="M148" s="31" t="n">
        <x:v>0.0395457803</x:v>
      </x:c>
      <x:c r="N148" s="24" t="str">
        <x:v>rachycentridae</x:v>
      </x:c>
      <x:c r="O148" s="32" t="n">
        <x:v>3.96</x:v>
      </x:c>
      <x:c r="P148" s="24" t="str">
        <x:v>exact_sea_around_us</x:v>
      </x:c>
      <x:c r="Q148" s="32" t="str">
        <x:v>Sea Around Us exploited organisms</x:v>
      </x:c>
      <x:c r="R148" s="24" t="str">
        <x:v>high</x:v>
      </x:c>
      <x:c r="S148" s="24" t="str">
        <x:v>Rachycentridae</x:v>
      </x:c>
      <x:c r="T148" s="32" t="n">
        <x:f>IF(O148="","",(1/'Metadata'!$B$5)^(O148-1))</x:f>
        <x:v>912.0108393559096</x:v>
      </x:c>
      <x:c r="U148" s="31" t="n">
        <x:f>IF(T148="","",I148*T148)</x:f>
        <x:v>40.12698880357345</x:v>
      </x:c>
    </x:row>
    <x:row r="149" ht="18" customHeight="1">
      <x:c r="A149" s="24" t="str">
        <x:v>EEZ_862</x:v>
      </x:c>
      <x:c r="B149" s="24" t="str">
        <x:v>Venezuela</x:v>
      </x:c>
      <x:c r="C149" s="24" t="str">
        <x:v>EEZ</x:v>
      </x:c>
      <x:c r="D149" s="30" t="n">
        <x:v>2019</x:v>
      </x:c>
      <x:c r="E149" s="24" t="str">
        <x:v>Ginglymostoma cirratum</x:v>
      </x:c>
      <x:c r="F149" s="24" t="str">
        <x:v>Nurse shark</x:v>
      </x:c>
      <x:c r="G149" s="24" t="str">
        <x:v>Large sharks (&gt;=90 cm)</x:v>
      </x:c>
      <x:c r="H149" s="24" t="str">
        <x:v>Sharks &amp; rays</x:v>
      </x:c>
      <x:c r="I149" s="31" t="n">
        <x:v>0.0413066652</x:v>
      </x:c>
      <x:c r="J149" s="31" t="n">
        <x:v>0.0413066652</x:v>
      </x:c>
      <x:c r="K149" s="31" t="n">
        <x:v>0</x:v>
      </x:c>
      <x:c r="L149" s="31" t="n">
        <x:v>0.0413066652</x:v>
      </x:c>
      <x:c r="M149" s="31" t="n">
        <x:v>0</x:v>
      </x:c>
      <x:c r="N149" s="24" t="str">
        <x:v>ginglymostoma cirratum</x:v>
      </x:c>
      <x:c r="O149" s="32" t="n">
        <x:v>4.15</x:v>
      </x:c>
      <x:c r="P149" s="24" t="str">
        <x:v>exact_2020_supplement</x:v>
      </x:c>
      <x:c r="Q149" s="32" t="str">
        <x:v>2020 supplement MeanTL</x:v>
      </x:c>
      <x:c r="R149" s="24" t="str">
        <x:v>high</x:v>
      </x:c>
      <x:c r="S149" s="24" t="str">
        <x:v>Ginglymostoma cirratum</x:v>
      </x:c>
      <x:c r="T149" s="32" t="n">
        <x:f>IF(O149="","",(1/'Metadata'!$B$5)^(O149-1))</x:f>
        <x:v>1412.5375446227554</x:v>
      </x:c>
      <x:c r="U149" s="31" t="n">
        <x:f>IF(T149="","",I149*T149)</x:f>
        <x:v>58.347215438162216</x:v>
      </x:c>
    </x:row>
    <x:row r="150" ht="18" customHeight="1">
      <x:c r="A150" s="24" t="str">
        <x:v>EEZ_862</x:v>
      </x:c>
      <x:c r="B150" s="24" t="str">
        <x:v>Venezuela</x:v>
      </x:c>
      <x:c r="C150" s="24" t="str">
        <x:v>EEZ</x:v>
      </x:c>
      <x:c r="D150" s="30" t="n">
        <x:v>2019</x:v>
      </x:c>
      <x:c r="E150" s="24" t="str">
        <x:v>Ruvettus pretiosus</x:v>
      </x:c>
      <x:c r="F150" s="24" t="str">
        <x:v>Oilfish</x:v>
      </x:c>
      <x:c r="G150" s="24" t="str">
        <x:v>Large benthopelagics (&gt;=90 cm)</x:v>
      </x:c>
      <x:c r="H150" s="24" t="str">
        <x:v>Perch-likes</x:v>
      </x:c>
      <x:c r="I150" s="31" t="n">
        <x:v>0.0403850704</x:v>
      </x:c>
      <x:c r="J150" s="31" t="n">
        <x:v>0.0403850704</x:v>
      </x:c>
      <x:c r="K150" s="31" t="n">
        <x:v>0</x:v>
      </x:c>
      <x:c r="L150" s="31" t="n">
        <x:v>0.0403850704</x:v>
      </x:c>
      <x:c r="M150" s="31" t="n">
        <x:v>0</x:v>
      </x:c>
      <x:c r="N150" s="24" t="str">
        <x:v>ruvettus pretiosus</x:v>
      </x:c>
      <x:c r="O150" s="32" t="n">
        <x:v>4.18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Ruvettus pretiosus</x:v>
      </x:c>
      <x:c r="T150" s="32" t="n">
        <x:f>IF(O150="","",(1/'Metadata'!$B$5)^(O150-1))</x:f>
        <x:v>1513.5612484362073</x:v>
      </x:c>
      <x:c r="U150" s="31" t="n">
        <x:f>IF(T150="","",I150*T150)</x:f>
        <x:v>61.12527757280812</x:v>
      </x:c>
    </x:row>
    <x:row r="151" ht="18" customHeight="1">
      <x:c r="A151" s="24" t="str">
        <x:v>EEZ_862</x:v>
      </x:c>
      <x:c r="B151" s="24" t="str">
        <x:v>Venezuela</x:v>
      </x:c>
      <x:c r="C151" s="24" t="str">
        <x:v>EEZ</x:v>
      </x:c>
      <x:c r="D151" s="30" t="n">
        <x:v>2019</x:v>
      </x:c>
      <x:c r="E151" s="24" t="str">
        <x:v>Kyphosidae</x:v>
      </x:c>
      <x:c r="F151" s="24" t="str">
        <x:v>Sea chubs, knifefishes, niblers</x:v>
      </x:c>
      <x:c r="G151" s="24" t="str">
        <x:v>Medium reef assoc. fish (30 - 89 cm)</x:v>
      </x:c>
      <x:c r="H151" s="24" t="str">
        <x:v>Perch-likes</x:v>
      </x:c>
      <x:c r="I151" s="31" t="n">
        <x:v>0.0110422775</x:v>
      </x:c>
      <x:c r="J151" s="31" t="n">
        <x:v>0.0011174668</x:v>
      </x:c>
      <x:c r="K151" s="31" t="n">
        <x:v>0.0099248107</x:v>
      </x:c>
      <x:c r="L151" s="31" t="n">
        <x:v>0.0011174668</x:v>
      </x:c>
      <x:c r="M151" s="31" t="n">
        <x:v>0.0099248107</x:v>
      </x:c>
      <x:c r="N151" s="24" t="str">
        <x:v>kyphosidae</x:v>
      </x:c>
      <x:c r="O151" s="32" t="n">
        <x:v>2.19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Kyphosidae</x:v>
      </x:c>
      <x:c r="T151" s="32" t="n">
        <x:f>IF(O151="","",(1/'Metadata'!$B$5)^(O151-1))</x:f>
        <x:v>15.488166189124811</x:v>
      </x:c>
      <x:c r="U151" s="31" t="n">
        <x:f>IF(T151="","",I151*T151)</x:f>
        <x:v>0.17102462902643364</x:v>
      </x:c>
    </x:row>
    <x:row r="152" ht="18" customHeight="1">
      <x:c r="A152" s="24" t="str">
        <x:v>EEZ_862</x:v>
      </x:c>
      <x:c r="B152" s="24" t="str">
        <x:v>Venezuela</x:v>
      </x:c>
      <x:c r="C152" s="24" t="str">
        <x:v>EEZ</x:v>
      </x:c>
      <x:c r="D152" s="30" t="n">
        <x:v>2019</x:v>
      </x:c>
      <x:c r="E152" s="24" t="str">
        <x:v>Diodontidae</x:v>
      </x:c>
      <x:c r="F152" s="24" t="str">
        <x:v>Porcupine-, burrfishes</x:v>
      </x:c>
      <x:c r="G152" s="24" t="str">
        <x:v>Medium reef assoc. fish (30 - 89 cm)</x:v>
      </x:c>
      <x:c r="H152" s="24" t="str">
        <x:v>Other fishes &amp; inverts</x:v>
      </x:c>
      <x:c r="I152" s="31" t="n">
        <x:v>0.0061482437</x:v>
      </x:c>
      <x:c r="J152" s="31" t="n">
        <x:v>0.0006221958</x:v>
      </x:c>
      <x:c r="K152" s="31" t="n">
        <x:v>0.0055260479</x:v>
      </x:c>
      <x:c r="L152" s="31" t="n">
        <x:v>0.0006221958</x:v>
      </x:c>
      <x:c r="M152" s="31" t="n">
        <x:v>0.0055260479</x:v>
      </x:c>
      <x:c r="N152" s="24" t="str">
        <x:v>diodontidae</x:v>
      </x:c>
      <x:c r="O152" s="32" t="n">
        <x:v>3.36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Diodontidae</x:v>
      </x:c>
      <x:c r="T152" s="32" t="n">
        <x:f>IF(O152="","",(1/'Metadata'!$B$5)^(O152-1))</x:f>
        <x:v>229.08676527677724</x:v>
      </x:c>
      <x:c r="U152" s="31" t="n">
        <x:f>IF(T152="","",I152*T152)</x:f>
        <x:v>1.4084812613663245</x:v>
      </x:c>
    </x:row>
    <x:row r="153" ht="18" customHeight="1">
      <x:c r="A153" s="24" t="str">
        <x:v>EEZ_862</x:v>
      </x:c>
      <x:c r="B153" s="24" t="str">
        <x:v>Venezuela</x:v>
      </x:c>
      <x:c r="C153" s="24" t="str">
        <x:v>EEZ</x:v>
      </x:c>
      <x:c r="D153" s="30" t="n">
        <x:v>2019</x:v>
      </x:c>
      <x:c r="E153" s="24" t="str">
        <x:v>Alopias</x:v>
      </x:c>
      <x:c r="F153" s="24" t="str">
        <x:v>Thresher sharks</x:v>
      </x:c>
      <x:c r="G153" s="24" t="str">
        <x:v>Large sharks (&gt;=90 cm)</x:v>
      </x:c>
      <x:c r="H153" s="24" t="str">
        <x:v>Sharks &amp; rays</x:v>
      </x:c>
      <x:c r="I153" s="31" t="n">
        <x:v>0.0020268212</x:v>
      </x:c>
      <x:c r="J153" s="31" t="n">
        <x:v>0.0020268212</x:v>
      </x:c>
      <x:c r="K153" s="31" t="n">
        <x:v>0</x:v>
      </x:c>
      <x:c r="L153" s="31" t="n">
        <x:v>0.0020268212</x:v>
      </x:c>
      <x:c r="M153" s="31" t="n">
        <x:v>0</x:v>
      </x:c>
      <x:c r="N153" s="24" t="str">
        <x:v>alopias</x:v>
      </x:c>
      <x:c r="O153" s="32" t="n">
        <x:v>4.5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Alopias</x:v>
      </x:c>
      <x:c r="T153" s="32" t="n">
        <x:f>IF(O153="","",(1/'Metadata'!$B$5)^(O153-1))</x:f>
        <x:v>3162.2776601683795</x:v>
      </x:c>
      <x:c r="U153" s="31" t="n">
        <x:f>IF(T153="","",I153*T153)</x:f>
        <x:v>6.409371401915667</x:v>
      </x:c>
    </x:row>
    <x:row r="154" ht="18" customHeight="1">
      <x:c r="A154" s="24" t="str">
        <x:v>EEZ_862</x:v>
      </x:c>
      <x:c r="B154" s="24" t="str">
        <x:v>Venezuela</x:v>
      </x:c>
      <x:c r="C154" s="24" t="str">
        <x:v>EEZ</x:v>
      </x:c>
      <x:c r="D154" s="30" t="n">
        <x:v>2019</x:v>
      </x:c>
      <x:c r="E154" s="24" t="str">
        <x:v>Thunnus</x:v>
      </x:c>
      <x:c r="F154" s="24" t="str">
        <x:v>Tunas</x:v>
      </x:c>
      <x:c r="G154" s="24" t="str">
        <x:v>Large pelagics (&gt;=90 cm)</x:v>
      </x:c>
      <x:c r="H154" s="24" t="str">
        <x:v>Tuna &amp; billfishes</x:v>
      </x:c>
      <x:c r="I154" s="31" t="n">
        <x:v>0.0004504466</x:v>
      </x:c>
      <x:c r="J154" s="31" t="n">
        <x:v>0.0004504466</x:v>
      </x:c>
      <x:c r="K154" s="31" t="n">
        <x:v>0</x:v>
      </x:c>
      <x:c r="L154" s="31" t="n">
        <x:v>0.0004504466</x:v>
      </x:c>
      <x:c r="M154" s="31" t="n">
        <x:v>0</x:v>
      </x:c>
      <x:c r="N154" s="24" t="str">
        <x:v>thunnus</x:v>
      </x:c>
      <x:c r="O154" s="32" t="n">
        <x:v>4.34</x:v>
      </x:c>
      <x:c r="P154" s="24" t="str">
        <x:v>exact_sea_around_us</x:v>
      </x:c>
      <x:c r="Q154" s="32" t="str">
        <x:v>Sea Around Us exploited organisms</x:v>
      </x:c>
      <x:c r="R154" s="24" t="str">
        <x:v>high</x:v>
      </x:c>
      <x:c r="S154" s="24" t="str">
        <x:v>Thunnus</x:v>
      </x:c>
      <x:c r="T154" s="32" t="n">
        <x:f>IF(O154="","",(1/'Metadata'!$B$5)^(O154-1))</x:f>
        <x:v>2187.761623949552</x:v>
      </x:c>
      <x:c r="U154" s="31" t="n">
        <x:f>IF(T154="","",I154*T154)</x:f>
        <x:v>0.9854697851185542</x:v>
      </x:c>
    </x:row>
  </x:sheetData>
  <x:conditionalFormatting sqref="R2:R15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e39b926d66947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318.0571173503</x:v>
      </x:c>
      <x:c r="E2" s="31" t="n">
        <x:v>318.0571173503</x:v>
      </x:c>
      <x:c r="F2" s="32" t="n">
        <x:v>0</x:v>
      </x:c>
      <x:c r="G2" s="34" t="n">
        <x:v>1</x:v>
      </x:c>
      <x:c r="H2" s="32" t="n">
        <x:f>IF(E2=0,"",I2/E2)</x:f>
        <x:v>145.3881924324908</x:v>
      </x:c>
      <x:c r="I2" s="31" t="n">
        <x:f>IF(C2=0,"",SUMIF('Species'!$H$2:$H$154,A2,'Species'!$U$2:$U$154))</x:f>
        <x:v>46241.74938184873</x:v>
      </x:c>
      <x:c r="J2" s="32" t="n">
        <x:v>3.1019261057887864</x:v>
      </x:c>
      <x:c r="K2" s="32" t="n">
        <x:f>IF(J2="","",(1/'Metadata'!$B$5)^(J2-1))</x:f>
        <x:v>126.45211737850623</x:v>
      </x:c>
      <x:c r="L2" s="31" t="n">
        <x:f>IF(E2=0,"",E2*K2)</x:f>
        <x:v>40218.99593624947</x:v>
      </x:c>
      <x:c r="M2" s="31" t="n">
        <x:f>IF(E2=0,"",I2-L2)</x:f>
        <x:v>6022.753445599257</x:v>
      </x:c>
      <x:c r="N2" s="32" t="n">
        <x:f>IF(L2=0,"",I2/L2)</x:f>
        <x:v>1.149748975711523</x:v>
      </x:c>
      <x:c r="O2" s="34" t="n">
        <x:f>IF(L2=0,"",M2/L2)</x:f>
        <x:v>0.14974897571152282</x:v>
      </x:c>
    </x:row>
    <x:row r="3" ht="18" customHeight="1">
      <x:c r="A3" s="24" t="str">
        <x:v>Crustaceans</x:v>
      </x:c>
      <x:c r="B3" s="33" t="n">
        <x:v>8</x:v>
      </x:c>
      <x:c r="C3" s="33" t="n">
        <x:v>8</x:v>
      </x:c>
      <x:c r="D3" s="31" t="n">
        <x:v>12716.1017932814</x:v>
      </x:c>
      <x:c r="E3" s="31" t="n">
        <x:v>12716.1017932814</x:v>
      </x:c>
      <x:c r="F3" s="32" t="n">
        <x:v>0</x:v>
      </x:c>
      <x:c r="G3" s="34" t="n">
        <x:v>1</x:v>
      </x:c>
      <x:c r="H3" s="32" t="n">
        <x:f>IF(E3=0,"",I3/E3)</x:f>
        <x:v>318.41028991421797</x:v>
      </x:c>
      <x:c r="I3" s="31" t="n">
        <x:f>IF(C3=0,"",SUMIF('Species'!$H$2:$H$154,A3,'Species'!$U$2:$U$154))</x:f>
        <x:v>4048937.658577437</x:v>
      </x:c>
      <x:c r="J3" s="32" t="n">
        <x:v>3.3922141212688364</x:v>
      </x:c>
      <x:c r="K3" s="32" t="n">
        <x:f>IF(J3="","",(1/'Metadata'!$B$5)^(J3-1))</x:f>
        <x:v>246.72554744030464</x:v>
      </x:c>
      <x:c r="L3" s="31" t="n">
        <x:f>IF(E3=0,"",E3*K3)</x:f>
        <x:v>3137387.1762539926</x:v>
      </x:c>
      <x:c r="M3" s="31" t="n">
        <x:f>IF(E3=0,"",I3-L3)</x:f>
        <x:v>911550.4823234444</x:v>
      </x:c>
      <x:c r="N3" s="32" t="n">
        <x:f>IF(L3=0,"",I3/L3)</x:f>
        <x:v>1.2905444661796017</x:v>
      </x:c>
      <x:c r="O3" s="34" t="n">
        <x:f>IF(L3=0,"",M3/L3)</x:f>
        <x:v>0.2905444661796018</x:v>
      </x:c>
    </x:row>
    <x:row r="4" ht="18" customHeight="1">
      <x:c r="A4" s="24" t="str">
        <x:v>Flatfishes</x:v>
      </x:c>
      <x:c r="B4" s="33" t="n">
        <x:v>3</x:v>
      </x:c>
      <x:c r="C4" s="33" t="n">
        <x:v>3</x:v>
      </x:c>
      <x:c r="D4" s="31" t="n">
        <x:v>60.65967197309999</x:v>
      </x:c>
      <x:c r="E4" s="31" t="n">
        <x:v>60.65967197309999</x:v>
      </x:c>
      <x:c r="F4" s="32" t="n">
        <x:v>0</x:v>
      </x:c>
      <x:c r="G4" s="34" t="n">
        <x:v>1</x:v>
      </x:c>
      <x:c r="H4" s="32" t="n">
        <x:f>IF(E4=0,"",I4/E4)</x:f>
        <x:v>354.6589182334362</x:v>
      </x:c>
      <x:c r="I4" s="31" t="n">
        <x:f>IF(C4=0,"",SUMIF('Species'!$H$2:$H$154,A4,'Species'!$U$2:$U$154))</x:f>
        <x:v>21513.49364237473</x:v>
      </x:c>
      <x:c r="J4" s="32" t="n">
        <x:v>3.5262556637686946</x:v>
      </x:c>
      <x:c r="K4" s="32" t="n">
        <x:f>IF(J4="","",(1/'Metadata'!$B$5)^(J4-1))</x:f>
        <x:v>335.9353169943441</x:v>
      </x:c>
      <x:c r="L4" s="31" t="n">
        <x:f>IF(E4=0,"",E4*K4)</x:f>
        <x:v>20377.726133056272</x:v>
      </x:c>
      <x:c r="M4" s="31" t="n">
        <x:f>IF(E4=0,"",I4-L4)</x:f>
        <x:v>1135.767509318459</x:v>
      </x:c>
      <x:c r="N4" s="32" t="n">
        <x:f>IF(L4=0,"",I4/L4)</x:f>
        <x:v>1.0557357333150161</x:v>
      </x:c>
      <x:c r="O4" s="34" t="n">
        <x:f>IF(L4=0,"",M4/L4)</x:f>
        <x:v>0.05573573331501611</x:v>
      </x:c>
    </x:row>
    <x:row r="5" ht="18" customHeight="1">
      <x:c r="A5" s="24" t="str">
        <x:v>Herring-likes</x:v>
      </x:c>
      <x:c r="B5" s="33" t="n">
        <x:v>3</x:v>
      </x:c>
      <x:c r="C5" s="33" t="n">
        <x:v>3</x:v>
      </x:c>
      <x:c r="D5" s="31" t="n">
        <x:v>128835.877792763</x:v>
      </x:c>
      <x:c r="E5" s="31" t="n">
        <x:v>128835.877792763</x:v>
      </x:c>
      <x:c r="F5" s="32" t="n">
        <x:v>0</x:v>
      </x:c>
      <x:c r="G5" s="34" t="n">
        <x:v>1</x:v>
      </x:c>
      <x:c r="H5" s="32" t="n">
        <x:f>IF(E5=0,"",I5/E5)</x:f>
        <x:v>254.59914892379464</x:v>
      </x:c>
      <x:c r="I5" s="31" t="n">
        <x:f>IF(C5=0,"",SUMIF('Species'!$H$2:$H$154,A5,'Species'!$U$2:$U$154))</x:f>
        <x:v>32801504.836887475</x:v>
      </x:c>
      <x:c r="J5" s="32" t="n">
        <x:v>3.400905303691771</x:v>
      </x:c>
      <x:c r="K5" s="32" t="n">
        <x:f>IF(J5="","",(1/'Metadata'!$B$5)^(J5-1))</x:f>
        <x:v>251.71280174469112</x:v>
      </x:c>
      <x:c r="L5" s="31" t="n">
        <x:f>IF(E5=0,"",E5*K5)</x:f>
        <x:v>32429639.764453005</x:v>
      </x:c>
      <x:c r="M5" s="31" t="n">
        <x:f>IF(E5=0,"",I5-L5)</x:f>
        <x:v>371865.07243447006</x:v>
      </x:c>
      <x:c r="N5" s="32" t="n">
        <x:f>IF(L5=0,"",I5/L5)</x:f>
        <x:v>1.0114668271104905</x:v>
      </x:c>
      <x:c r="O5" s="34" t="n">
        <x:f>IF(L5=0,"",M5/L5)</x:f>
        <x:v>0.011466827110490487</x:v>
      </x:c>
    </x:row>
    <x:row r="6" ht="18" customHeight="1">
      <x:c r="A6" s="24" t="str">
        <x:v>Molluscs</x:v>
      </x:c>
      <x:c r="B6" s="33" t="n">
        <x:v>8</x:v>
      </x:c>
      <x:c r="C6" s="33" t="n">
        <x:v>8</x:v>
      </x:c>
      <x:c r="D6" s="31" t="n">
        <x:v>34210.830849656595</x:v>
      </x:c>
      <x:c r="E6" s="31" t="n">
        <x:v>34210.830849656595</x:v>
      </x:c>
      <x:c r="F6" s="32" t="n">
        <x:v>0</x:v>
      </x:c>
      <x:c r="G6" s="34" t="n">
        <x:v>1</x:v>
      </x:c>
      <x:c r="H6" s="32" t="n">
        <x:f>IF(E6=0,"",I6/E6)</x:f>
        <x:v>10.250800208868842</x:v>
      </x:c>
      <x:c r="I6" s="31" t="n">
        <x:f>IF(C6=0,"",SUMIF('Species'!$H$2:$H$154,A6,'Species'!$U$2:$U$154))</x:f>
        <x:v>350688.39201923646</x:v>
      </x:c>
      <x:c r="J6" s="32" t="n">
        <x:v>2.002666901323948</x:v>
      </x:c>
      <x:c r="K6" s="32" t="n">
        <x:f>IF(J6="","",(1/'Metadata'!$B$5)^(J6-1))</x:f>
        <x:v>10.061596603971566</x:v>
      </x:c>
      <x:c r="L6" s="31" t="n">
        <x:f>IF(E6=0,"",E6*K6)</x:f>
        <x:v>344215.5794959505</x:v>
      </x:c>
      <x:c r="M6" s="31" t="n">
        <x:f>IF(E6=0,"",I6-L6)</x:f>
        <x:v>6472.812523285975</x:v>
      </x:c>
      <x:c r="N6" s="32" t="n">
        <x:f>IF(L6=0,"",I6/L6)</x:f>
        <x:v>1.018804530965055</x:v>
      </x:c>
      <x:c r="O6" s="34" t="n">
        <x:f>IF(L6=0,"",M6/L6)</x:f>
        <x:v>0.018804530965055067</x:v>
      </x:c>
    </x:row>
    <x:row r="7" ht="18" customHeight="1">
      <x:c r="A7" s="24" t="str">
        <x:v>Other fishes &amp; inverts</x:v>
      </x:c>
      <x:c r="B7" s="33" t="n">
        <x:v>19</x:v>
      </x:c>
      <x:c r="C7" s="33" t="n">
        <x:v>19</x:v>
      </x:c>
      <x:c r="D7" s="31" t="n">
        <x:v>27268.778063314105</x:v>
      </x:c>
      <x:c r="E7" s="31" t="n">
        <x:v>27268.778063314105</x:v>
      </x:c>
      <x:c r="F7" s="32" t="n">
        <x:v>0</x:v>
      </x:c>
      <x:c r="G7" s="34" t="n">
        <x:v>1</x:v>
      </x:c>
      <x:c r="H7" s="32" t="n">
        <x:f>IF(E7=0,"",I7/E7)</x:f>
        <x:v>466.8022826547736</x:v>
      </x:c>
      <x:c r="I7" s="31" t="n">
        <x:f>IF(C7=0,"",SUMIF('Species'!$H$2:$H$154,A7,'Species'!$U$2:$U$154))</x:f>
        <x:v>12729127.84516144</x:v>
      </x:c>
      <x:c r="J7" s="32" t="n">
        <x:v>3.4838884145341615</x:v>
      </x:c>
      <x:c r="K7" s="32" t="n">
        <x:f>IF(J7="","",(1/'Metadata'!$B$5)^(J7-1))</x:f>
        <x:v>304.71119792323793</x:v>
      </x:c>
      <x:c r="L7" s="31" t="n">
        <x:f>IF(E7=0,"",E7*K7)</x:f>
        <x:v>8309102.029575353</x:v>
      </x:c>
      <x:c r="M7" s="31" t="n">
        <x:f>IF(E7=0,"",I7-L7)</x:f>
        <x:v>4420025.815586087</x:v>
      </x:c>
      <x:c r="N7" s="32" t="n">
        <x:f>IF(L7=0,"",I7/L7)</x:f>
        <x:v>1.5319498785613033</x:v>
      </x:c>
      <x:c r="O7" s="34" t="n">
        <x:f>IF(L7=0,"",M7/L7)</x:f>
        <x:v>0.5319498785613033</x:v>
      </x:c>
    </x:row>
    <x:row r="8" ht="18" customHeight="1">
      <x:c r="A8" s="24" t="str">
        <x:v>Perch-likes</x:v>
      </x:c>
      <x:c r="B8" s="33" t="n">
        <x:v>72</x:v>
      </x:c>
      <x:c r="C8" s="33" t="n">
        <x:v>72</x:v>
      </x:c>
      <x:c r="D8" s="31" t="n">
        <x:v>83867.34182738469</x:v>
      </x:c>
      <x:c r="E8" s="31" t="n">
        <x:v>83867.34182738469</x:v>
      </x:c>
      <x:c r="F8" s="32" t="n">
        <x:v>0</x:v>
      </x:c>
      <x:c r="G8" s="34" t="n">
        <x:v>1</x:v>
      </x:c>
      <x:c r="H8" s="32" t="n">
        <x:f>IF(E8=0,"",I8/E8)</x:f>
        <x:v>1133.5989190973987</x:v>
      </x:c>
      <x:c r="I8" s="31" t="n">
        <x:f>IF(C8=0,"",SUMIF('Species'!$H$2:$H$154,A8,'Species'!$U$2:$U$154))</x:f>
        <x:v>95071928.04309534</x:v>
      </x:c>
      <x:c r="J8" s="32" t="n">
        <x:v>3.661126550107169</x:v>
      </x:c>
      <x:c r="K8" s="32" t="n">
        <x:f>IF(J8="","",(1/'Metadata'!$B$5)^(J8-1))</x:f>
        <x:v>458.27540522618693</x:v>
      </x:c>
      <x:c r="L8" s="31" t="n">
        <x:f>IF(E8=0,"",E8*K8)</x:f>
        <x:v>38434340.061187856</x:v>
      </x:c>
      <x:c r="M8" s="31" t="n">
        <x:f>IF(E8=0,"",I8-L8)</x:f>
        <x:v>56637587.98190748</x:v>
      </x:c>
      <x:c r="N8" s="32" t="n">
        <x:f>IF(L8=0,"",I8/L8)</x:f>
        <x:v>2.473619369858826</x:v>
      </x:c>
      <x:c r="O8" s="34" t="n">
        <x:f>IF(L8=0,"",M8/L8)</x:f>
        <x:v>1.473619369858826</x:v>
      </x:c>
    </x:row>
    <x:row r="9" ht="18" customHeight="1">
      <x:c r="A9" s="24" t="str">
        <x:v>Sharks &amp; rays</x:v>
      </x:c>
      <x:c r="B9" s="33" t="n">
        <x:v>22</x:v>
      </x:c>
      <x:c r="C9" s="33" t="n">
        <x:v>22</x:v>
      </x:c>
      <x:c r="D9" s="31" t="n">
        <x:v>11973.741567095998</x:v>
      </x:c>
      <x:c r="E9" s="31" t="n">
        <x:v>11973.741567095998</x:v>
      </x:c>
      <x:c r="F9" s="32" t="n">
        <x:v>0</x:v>
      </x:c>
      <x:c r="G9" s="34" t="n">
        <x:v>1</x:v>
      </x:c>
      <x:c r="H9" s="32" t="n">
        <x:f>IF(E9=0,"",I9/E9)</x:f>
        <x:v>655.5119468391943</x:v>
      </x:c>
      <x:c r="I9" s="31" t="n">
        <x:f>IF(C9=0,"",SUMIF('Species'!$H$2:$H$154,A9,'Species'!$U$2:$U$154))</x:f>
        <x:v>7848930.645596483</x:v>
      </x:c>
      <x:c r="J9" s="32" t="n">
        <x:v>3.774760575690387</x:v>
      </x:c>
      <x:c r="K9" s="32" t="n">
        <x:f>IF(J9="","",(1/'Metadata'!$B$5)^(J9-1))</x:f>
        <x:v>595.3338485611741</x:v>
      </x:c>
      <x:c r="L9" s="31" t="n">
        <x:f>IF(E9=0,"",E9*K9)</x:f>
        <x:v>7128373.648816165</x:v>
      </x:c>
      <x:c r="M9" s="31" t="n">
        <x:f>IF(E9=0,"",I9-L9)</x:f>
        <x:v>720556.9967803182</x:v>
      </x:c>
      <x:c r="N9" s="32" t="n">
        <x:f>IF(L9=0,"",I9/L9)</x:f>
        <x:v>1.1010829443403243</x:v>
      </x:c>
      <x:c r="O9" s="34" t="n">
        <x:f>IF(L9=0,"",M9/L9)</x:f>
        <x:v>0.10108294434032422</x:v>
      </x:c>
    </x:row>
    <x:row r="10" ht="18" customHeight="1">
      <x:c r="A10" s="24" t="str">
        <x:v>Tuna &amp; billfishes</x:v>
      </x:c>
      <x:c r="B10" s="33" t="n">
        <x:v>16</x:v>
      </x:c>
      <x:c r="C10" s="33" t="n">
        <x:v>16</x:v>
      </x:c>
      <x:c r="D10" s="31" t="n">
        <x:v>7129.0495850158</x:v>
      </x:c>
      <x:c r="E10" s="31" t="n">
        <x:v>7129.0495850158</x:v>
      </x:c>
      <x:c r="F10" s="32" t="n">
        <x:v>0</x:v>
      </x:c>
      <x:c r="G10" s="34" t="n">
        <x:v>1</x:v>
      </x:c>
      <x:c r="H10" s="32" t="n">
        <x:f>IF(E10=0,"",I10/E10)</x:f>
        <x:v>2757.3968772714593</x:v>
      </x:c>
      <x:c r="I10" s="31" t="n">
        <x:f>IF(C10=0,"",SUMIF('Species'!$H$2:$H$154,A10,'Species'!$U$2:$U$154))</x:f>
        <x:v>19657619.06363596</x:v>
      </x:c>
      <x:c r="J10" s="32" t="n">
        <x:v>4.437410380622713</x:v>
      </x:c>
      <x:c r="K10" s="32" t="n">
        <x:f>IF(J10="","",(1/'Metadata'!$B$5)^(J10-1))</x:f>
        <x:v>2737.8546025800215</x:v>
      </x:c>
      <x:c r="L10" s="31" t="n">
        <x:f>IF(E10=0,"",E10*K10)</x:f>
        <x:v>19518301.218356702</x:v>
      </x:c>
      <x:c r="M10" s="31" t="n">
        <x:f>IF(E10=0,"",I10-L10)</x:f>
        <x:v>139317.84527925774</x:v>
      </x:c>
      <x:c r="N10" s="32" t="n">
        <x:f>IF(L10=0,"",I10/L10)</x:f>
        <x:v>1.0071378058838558</x:v>
      </x:c>
      <x:c r="O10" s="34" t="n">
        <x:f>IF(L10=0,"",M10/L10)</x:f>
        <x:v>0.007137805883855874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481113246ba4a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1571.8711340783998</x:v>
      </x:c>
      <x:c r="E2" s="31" t="n">
        <x:v>1571.8711340783998</x:v>
      </x:c>
      <x:c r="F2" s="32" t="n">
        <x:v>0</x:v>
      </x:c>
      <x:c r="G2" s="34" t="n">
        <x:v>1</x:v>
      </x:c>
      <x:c r="H2" s="32" t="n">
        <x:f>IF(E2=0,"",I2/E2)</x:f>
        <x:v>631.3551192566943</x:v>
      </x:c>
      <x:c r="I2" s="31" t="n">
        <x:f>IF(C2=0,"",SUMIF('Species'!$G$2:$G$154,A2,'Species'!$U$2:$U$154))</x:f>
        <x:v>992408.8873122233</x:v>
      </x:c>
      <x:c r="J2" s="32" t="n">
        <x:v>3.80027021108404</x:v>
      </x:c>
      <x:c r="K2" s="32" t="n">
        <x:f>IF(J2="","",(1/'Metadata'!$B$5)^(J2-1))</x:f>
        <x:v>631.3500382047009</x:v>
      </x:c>
      <x:c r="L2" s="31" t="n">
        <x:f>IF(E2=0,"",E2*K2)</x:f>
        <x:v>992400.9005532643</x:v>
      </x:c>
      <x:c r="M2" s="31" t="n">
        <x:f>IF(E2=0,"",I2-L2)</x:f>
        <x:v>7.986758959013969</x:v>
      </x:c>
      <x:c r="N2" s="32" t="n">
        <x:f>IF(L2=0,"",I2/L2)</x:f>
        <x:v>1.0000080479158722</x:v>
      </x:c>
      <x:c r="O2" s="34" t="n">
        <x:f>IF(L2=0,"",M2/L2)</x:f>
        <x:v>0.000008047915872064752</x:v>
      </x:c>
    </x:row>
    <x:row r="3" ht="18" customHeight="1">
      <x:c r="A3" s="24" t="str">
        <x:v>Large bathydemersals (&gt;=90 cm)</x:v>
      </x:c>
      <x:c r="B3" s="33" t="n">
        <x:v>1</x:v>
      </x:c>
      <x:c r="C3" s="33" t="n">
        <x:v>1</x:v>
      </x:c>
      <x:c r="D3" s="31" t="n">
        <x:v>0.0507230098</x:v>
      </x:c>
      <x:c r="E3" s="31" t="n">
        <x:v>0.0507230098</x:v>
      </x:c>
      <x:c r="F3" s="32" t="n">
        <x:v>0</x:v>
      </x:c>
      <x:c r="G3" s="34" t="n">
        <x:v>1</x:v>
      </x:c>
      <x:c r="H3" s="32" t="n">
        <x:f>IF(E3=0,"",I3/E3)</x:f>
        <x:v>467.73514128719813</x:v>
      </x:c>
      <x:c r="I3" s="31" t="n">
        <x:f>IF(C3=0,"",SUMIF('Species'!$G$2:$G$154,A3,'Species'!$U$2:$U$154))</x:f>
        <x:v>23.724934155314937</x:v>
      </x:c>
      <x:c r="J3" s="32" t="n">
        <x:v>3.67</x:v>
      </x:c>
      <x:c r="K3" s="32" t="n">
        <x:f>IF(J3="","",(1/'Metadata'!$B$5)^(J3-1))</x:f>
        <x:v>467.73514128719813</x:v>
      </x:c>
      <x:c r="L3" s="31" t="n">
        <x:f>IF(E3=0,"",E3*K3)</x:f>
        <x:v>23.724934155314937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bathypelagics (&gt;=90 cm)</x:v>
      </x:c>
      <x:c r="B4" s="33" t="n">
        <x:v>1</x:v>
      </x:c>
      <x:c r="C4" s="33" t="n">
        <x:v>1</x:v>
      </x:c>
      <x:c r="D4" s="31" t="n">
        <x:v>7.1383080504</x:v>
      </x:c>
      <x:c r="E4" s="31" t="n">
        <x:v>7.1383080504</x:v>
      </x:c>
      <x:c r="F4" s="32" t="n">
        <x:v>0</x:v>
      </x:c>
      <x:c r="G4" s="34" t="n">
        <x:v>1</x:v>
      </x:c>
      <x:c r="H4" s="32" t="n">
        <x:f>IF(E4=0,"",I4/E4)</x:f>
        <x:v>2187.761623949552</x:v>
      </x:c>
      <x:c r="I4" s="31" t="n">
        <x:f>IF(C4=0,"",SUMIF('Species'!$G$2:$G$154,A4,'Species'!$U$2:$U$154))</x:f>
        <x:v>15616.916412595265</x:v>
      </x:c>
      <x:c r="J4" s="32" t="n">
        <x:v>4.34</x:v>
      </x:c>
      <x:c r="K4" s="32" t="n">
        <x:f>IF(J4="","",(1/'Metadata'!$B$5)^(J4-1))</x:f>
        <x:v>2187.761623949552</x:v>
      </x:c>
      <x:c r="L4" s="31" t="n">
        <x:f>IF(E4=0,"",E4*K4)</x:f>
        <x:v>15616.916412595265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Large benthopelagics (&gt;=90 cm)</x:v>
      </x:c>
      <x:c r="B5" s="33" t="n">
        <x:v>6</x:v>
      </x:c>
      <x:c r="C5" s="33" t="n">
        <x:v>6</x:v>
      </x:c>
      <x:c r="D5" s="31" t="n">
        <x:v>11469.3917560544</x:v>
      </x:c>
      <x:c r="E5" s="31" t="n">
        <x:v>11469.3917560544</x:v>
      </x:c>
      <x:c r="F5" s="32" t="n">
        <x:v>0</x:v>
      </x:c>
      <x:c r="G5" s="34" t="n">
        <x:v>1</x:v>
      </x:c>
      <x:c r="H5" s="32" t="n">
        <x:f>IF(E5=0,"",I5/E5)</x:f>
        <x:v>2521.475900924994</x:v>
      </x:c>
      <x:c r="I5" s="31" t="n">
        <x:f>IF(C5=0,"",SUMIF('Species'!$G$2:$G$154,A5,'Species'!$U$2:$U$154))</x:f>
        <x:v>28919794.911158968</x:v>
      </x:c>
      <x:c r="J5" s="32" t="n">
        <x:v>4.393402149903274</x:v>
      </x:c>
      <x:c r="K5" s="32" t="n">
        <x:f>IF(J5="","",(1/'Metadata'!$B$5)^(J5-1))</x:f>
        <x:v>2474.0139829608247</x:v>
      </x:c>
      <x:c r="L5" s="31" t="n">
        <x:f>IF(E5=0,"",E5*K5)</x:f>
        <x:v>28375435.580534194</x:v>
      </x:c>
      <x:c r="M5" s="31" t="n">
        <x:f>IF(E5=0,"",I5-L5)</x:f>
        <x:v>544359.3306247741</x:v>
      </x:c>
      <x:c r="N5" s="32" t="n">
        <x:f>IF(L5=0,"",I5/L5)</x:f>
        <x:v>1.0191841753082447</x:v>
      </x:c>
      <x:c r="O5" s="34" t="n">
        <x:f>IF(L5=0,"",M5/L5)</x:f>
        <x:v>0.019184175308244768</x:v>
      </x:c>
    </x:row>
    <x:row r="6" ht="18" customHeight="1">
      <x:c r="A6" s="24" t="str">
        <x:v>Large demersals (&gt;=90 cm)</x:v>
      </x:c>
      <x:c r="B6" s="33" t="n">
        <x:v>3</x:v>
      </x:c>
      <x:c r="C6" s="33" t="n">
        <x:v>3</x:v>
      </x:c>
      <x:c r="D6" s="31" t="n">
        <x:v>3105</x:v>
      </x:c>
      <x:c r="E6" s="31" t="n">
        <x:v>3105</x:v>
      </x:c>
      <x:c r="F6" s="32" t="n">
        <x:v>0</x:v>
      </x:c>
      <x:c r="G6" s="34" t="n">
        <x:v>1</x:v>
      </x:c>
      <x:c r="H6" s="32" t="n">
        <x:f>IF(E6=0,"",I6/E6)</x:f>
        <x:v>1110.7094850210215</x:v>
      </x:c>
      <x:c r="I6" s="31" t="n">
        <x:f>IF(C6=0,"",SUMIF('Species'!$G$2:$G$154,A6,'Species'!$U$2:$U$154))</x:f>
        <x:v>3448752.9509902718</x:v>
      </x:c>
      <x:c r="J6" s="32" t="n">
        <x:v>4.045523349436393</x:v>
      </x:c>
      <x:c r="K6" s="32" t="n">
        <x:f>IF(J6="","",(1/'Metadata'!$B$5)^(J6-1))</x:f>
        <x:v>1110.512239379957</x:v>
      </x:c>
      <x:c r="L6" s="31" t="n">
        <x:f>IF(E6=0,"",E6*K6)</x:f>
        <x:v>3448140.5032747667</x:v>
      </x:c>
      <x:c r="M6" s="31" t="n">
        <x:f>IF(E6=0,"",I6-L6)</x:f>
        <x:v>612.4477155050263</x:v>
      </x:c>
      <x:c r="N6" s="32" t="n">
        <x:f>IF(L6=0,"",I6/L6)</x:f>
        <x:v>1.0001776168096757</x:v>
      </x:c>
      <x:c r="O6" s="34" t="n">
        <x:f>IF(L6=0,"",M6/L6)</x:f>
        <x:v>0.0001776168096756419</x:v>
      </x:c>
    </x:row>
    <x:row r="7" ht="18" customHeight="1">
      <x:c r="A7" s="24" t="str">
        <x:v>Large pelagics (&gt;=90 cm)</x:v>
      </x:c>
      <x:c r="B7" s="33" t="n">
        <x:v>26</x:v>
      </x:c>
      <x:c r="C7" s="33" t="n">
        <x:v>26</x:v>
      </x:c>
      <x:c r="D7" s="31" t="n">
        <x:v>17812.5192636207</x:v>
      </x:c>
      <x:c r="E7" s="31" t="n">
        <x:v>17812.5192636207</x:v>
      </x:c>
      <x:c r="F7" s="32" t="n">
        <x:v>0</x:v>
      </x:c>
      <x:c r="G7" s="34" t="n">
        <x:v>1</x:v>
      </x:c>
      <x:c r="H7" s="32" t="n">
        <x:f>IF(E7=0,"",I7/E7)</x:f>
        <x:v>2537.894671096041</x:v>
      </x:c>
      <x:c r="I7" s="31" t="n">
        <x:f>IF(C7=0,"",SUMIF('Species'!$G$2:$G$154,A7,'Species'!$U$2:$U$154))</x:f>
        <x:v>45206297.71793854</x:v>
      </x:c>
      <x:c r="J7" s="32" t="n">
        <x:v>4.361949644347602</x:v>
      </x:c>
      <x:c r="K7" s="32" t="n">
        <x:f>IF(J7="","",(1/'Metadata'!$B$5)^(J7-1))</x:f>
        <x:v>2301.174984900595</x:v>
      </x:c>
      <x:c r="L7" s="31" t="n">
        <x:f>IF(E7=0,"",E7*K7)</x:f>
        <x:v>40989723.74750392</x:v>
      </x:c>
      <x:c r="M7" s="31" t="n">
        <x:f>IF(E7=0,"",I7-L7)</x:f>
        <x:v>4216573.970434621</x:v>
      </x:c>
      <x:c r="N7" s="32" t="n">
        <x:f>IF(L7=0,"",I7/L7)</x:f>
        <x:v>1.1028690507017966</x:v>
      </x:c>
      <x:c r="O7" s="34" t="n">
        <x:f>IF(L7=0,"",M7/L7)</x:f>
        <x:v>0.1028690507017967</x:v>
      </x:c>
    </x:row>
    <x:row r="8" ht="18" customHeight="1">
      <x:c r="A8" s="24" t="str">
        <x:v>Large rays (&gt;=90 cm)</x:v>
      </x:c>
      <x:c r="B8" s="33" t="n">
        <x:v>3</x:v>
      </x:c>
      <x:c r="C8" s="33" t="n">
        <x:v>3</x:v>
      </x:c>
      <x:c r="D8" s="31" t="n">
        <x:v>10525.296987382499</x:v>
      </x:c>
      <x:c r="E8" s="31" t="n">
        <x:v>10525.296987382499</x:v>
      </x:c>
      <x:c r="F8" s="32" t="n">
        <x:v>0</x:v>
      </x:c>
      <x:c r="G8" s="34" t="n">
        <x:v>1</x:v>
      </x:c>
      <x:c r="H8" s="32" t="n">
        <x:f>IF(E8=0,"",I8/E8)</x:f>
        <x:v>524.1326637642219</x:v>
      </x:c>
      <x:c r="I8" s="31" t="n">
        <x:f>IF(C8=0,"",SUMIF('Species'!$G$2:$G$154,A8,'Species'!$U$2:$U$154))</x:f>
        <x:v>5516651.946906329</x:v>
      </x:c>
      <x:c r="J8" s="32" t="n">
        <x:v>3.7191979825788564</x:v>
      </x:c>
      <x:c r="K8" s="32" t="n">
        <x:f>IF(J8="","",(1/'Metadata'!$B$5)^(J8-1))</x:f>
        <x:v>523.8391856404292</x:v>
      </x:c>
      <x:c r="L8" s="31" t="n">
        <x:f>IF(E8=0,"",E8*K8)</x:f>
        <x:v>5513563.002494111</x:v>
      </x:c>
      <x:c r="M8" s="31" t="n">
        <x:f>IF(E8=0,"",I8-L8)</x:f>
        <x:v>3088.944412218407</x:v>
      </x:c>
      <x:c r="N8" s="32" t="n">
        <x:f>IF(L8=0,"",I8/L8)</x:f>
        <x:v>1.0005602446930997</x:v>
      </x:c>
      <x:c r="O8" s="34" t="n">
        <x:f>IF(L8=0,"",M8/L8)</x:f>
        <x:v>0.0005602446930997423</x:v>
      </x:c>
    </x:row>
    <x:row r="9" ht="18" customHeight="1">
      <x:c r="A9" s="24" t="str">
        <x:v>Large reef assoc. fish (&gt;=90 cm)</x:v>
      </x:c>
      <x:c r="B9" s="33" t="n">
        <x:v>9</x:v>
      </x:c>
      <x:c r="C9" s="33" t="n">
        <x:v>9</x:v>
      </x:c>
      <x:c r="D9" s="31" t="n">
        <x:v>8446.865475733899</x:v>
      </x:c>
      <x:c r="E9" s="31" t="n">
        <x:v>8446.865475733899</x:v>
      </x:c>
      <x:c r="F9" s="32" t="n">
        <x:v>0</x:v>
      </x:c>
      <x:c r="G9" s="34" t="n">
        <x:v>1</x:v>
      </x:c>
      <x:c r="H9" s="32" t="n">
        <x:f>IF(E9=0,"",I9/E9)</x:f>
        <x:v>413.02503678531247</x:v>
      </x:c>
      <x:c r="I9" s="31" t="n">
        <x:f>IF(C9=0,"",SUMIF('Species'!$G$2:$G$154,A9,'Species'!$U$2:$U$154))</x:f>
        <x:v>3488766.92383558</x:v>
      </x:c>
      <x:c r="J9" s="32" t="n">
        <x:v>3.563029489529587</x:v>
      </x:c>
      <x:c r="K9" s="32" t="n">
        <x:f>IF(J9="","",(1/'Metadata'!$B$5)^(J9-1))</x:f>
        <x:v>365.61961712879594</x:v>
      </x:c>
      <x:c r="L9" s="31" t="n">
        <x:f>IF(E9=0,"",E9*K9)</x:f>
        <x:v>3088339.7211762727</x:v>
      </x:c>
      <x:c r="M9" s="31" t="n">
        <x:f>IF(E9=0,"",I9-L9)</x:f>
        <x:v>400427.20265930705</x:v>
      </x:c>
      <x:c r="N9" s="32" t="n">
        <x:f>IF(L9=0,"",I9/L9)</x:f>
        <x:v>1.1296577575043443</x:v>
      </x:c>
      <x:c r="O9" s="34" t="n">
        <x:f>IF(L9=0,"",M9/L9)</x:f>
        <x:v>0.12965775750434416</x:v>
      </x:c>
    </x:row>
    <x:row r="10" ht="18" customHeight="1">
      <x:c r="A10" s="24" t="str">
        <x:v>Large sharks (&gt;=90 cm)</x:v>
      </x:c>
      <x:c r="B10" s="33" t="n">
        <x:v>19</x:v>
      </x:c>
      <x:c r="C10" s="33" t="n">
        <x:v>19</x:v>
      </x:c>
      <x:c r="D10" s="31" t="n">
        <x:v>1448.4445797135</x:v>
      </x:c>
      <x:c r="E10" s="31" t="n">
        <x:v>1448.4445797135</x:v>
      </x:c>
      <x:c r="F10" s="32" t="n">
        <x:v>0</x:v>
      </x:c>
      <x:c r="G10" s="34" t="n">
        <x:v>1</x:v>
      </x:c>
      <x:c r="H10" s="32" t="n">
        <x:f>IF(E10=0,"",I10/E10)</x:f>
        <x:v>1610.1953304637138</x:v>
      </x:c>
      <x:c r="I10" s="31" t="n">
        <x:f>IF(C10=0,"",SUMIF('Species'!$G$2:$G$154,A10,'Species'!$U$2:$U$154))</x:f>
        <x:v>2332278.698690154</x:v>
      </x:c>
      <x:c r="J10" s="32" t="n">
        <x:v>4.1785128504261095</x:v>
      </x:c>
      <x:c r="K10" s="32" t="n">
        <x:f>IF(J10="","",(1/'Metadata'!$B$5)^(J10-1))</x:f>
        <x:v>1508.3872418513454</x:v>
      </x:c>
      <x:c r="L10" s="31" t="n">
        <x:f>IF(E10=0,"",E10*K10)</x:f>
        <x:v>2184815.324568577</x:v>
      </x:c>
      <x:c r="M10" s="31" t="n">
        <x:f>IF(E10=0,"",I10-L10)</x:f>
        <x:v>147463.374121577</x:v>
      </x:c>
      <x:c r="N10" s="32" t="n">
        <x:f>IF(L10=0,"",I10/L10)</x:f>
        <x:v>1.0674946630332227</x:v>
      </x:c>
      <x:c r="O10" s="34" t="n">
        <x:f>IF(L10=0,"",M10/L10)</x:f>
        <x:v>0.06749466303322262</x:v>
      </x:c>
    </x:row>
    <x:row r="11" ht="18" customHeight="1">
      <x:c r="A11" s="24" t="str">
        <x:v>Lobsters, crabs</x:v>
      </x:c>
      <x:c r="B11" s="33" t="n">
        <x:v>4</x:v>
      </x:c>
      <x:c r="C11" s="33" t="n">
        <x:v>4</x:v>
      </x:c>
      <x:c r="D11" s="31" t="n">
        <x:v>9325.232506779399</x:v>
      </x:c>
      <x:c r="E11" s="31" t="n">
        <x:v>9325.232506779399</x:v>
      </x:c>
      <x:c r="F11" s="32" t="n">
        <x:v>0</x:v>
      </x:c>
      <x:c r="G11" s="34" t="n">
        <x:v>1</x:v>
      </x:c>
      <x:c r="H11" s="32" t="n">
        <x:f>IF(E11=0,"",I11/E11)</x:f>
        <x:v>403.4347517455433</x:v>
      </x:c>
      <x:c r="I11" s="31" t="n">
        <x:f>IF(C11=0,"",SUMIF('Species'!$G$2:$G$154,A11,'Species'!$U$2:$U$154))</x:f>
        <x:v>3762122.861342017</x:v>
      </x:c>
      <x:c r="J11" s="32" t="n">
        <x:v>3.594258411524258</x:v>
      </x:c>
      <x:c r="K11" s="32" t="n">
        <x:f>IF(J11="","",(1/'Metadata'!$B$5)^(J11-1))</x:f>
        <x:v>392.8786343590289</x:v>
      </x:c>
      <x:c r="L11" s="31" t="n">
        <x:f>IF(E11=0,"",E11*K11)</x:f>
        <x:v>3663684.6123439143</x:v>
      </x:c>
      <x:c r="M11" s="31" t="n">
        <x:f>IF(E11=0,"",I11-L11)</x:f>
        <x:v>98438.24899810273</x:v>
      </x:c>
      <x:c r="N11" s="32" t="n">
        <x:f>IF(L11=0,"",I11/L11)</x:f>
        <x:v>1.026868647117287</x:v>
      </x:c>
      <x:c r="O11" s="34" t="n">
        <x:f>IF(L11=0,"",M11/L11)</x:f>
        <x:v>0.026868647117286912</x:v>
      </x:c>
    </x:row>
    <x:row r="12" ht="18" customHeight="1">
      <x:c r="A12" s="24" t="str">
        <x:v>Medium benthopelagics (30 - 89 cm)</x:v>
      </x:c>
      <x:c r="B12" s="33" t="n">
        <x:v>4</x:v>
      </x:c>
      <x:c r="C12" s="33" t="n">
        <x:v>4</x:v>
      </x:c>
      <x:c r="D12" s="31" t="n">
        <x:v>8464.6568926042</x:v>
      </x:c>
      <x:c r="E12" s="31" t="n">
        <x:v>8464.6568926042</x:v>
      </x:c>
      <x:c r="F12" s="32" t="n">
        <x:v>0</x:v>
      </x:c>
      <x:c r="G12" s="34" t="n">
        <x:v>1</x:v>
      </x:c>
      <x:c r="H12" s="32" t="n">
        <x:f>IF(E12=0,"",I12/E12)</x:f>
        <x:v>1054.2126152733008</x:v>
      </x:c>
      <x:c r="I12" s="31" t="n">
        <x:f>IF(C12=0,"",SUMIF('Species'!$G$2:$G$154,A12,'Species'!$U$2:$U$154))</x:f>
        <x:v>8923548.080143446</x:v>
      </x:c>
      <x:c r="J12" s="32" t="n">
        <x:v>3.980129979016809</x:v>
      </x:c>
      <x:c r="K12" s="32" t="n">
        <x:f>IF(J12="","",(1/'Metadata'!$B$5)^(J12-1))</x:f>
        <x:v>955.2784463755539</x:v>
      </x:c>
      <x:c r="L12" s="31" t="n">
        <x:f>IF(E12=0,"",E12*K12)</x:f>
        <x:v>8086104.2854690645</x:v>
      </x:c>
      <x:c r="M12" s="31" t="n">
        <x:f>IF(E12=0,"",I12-L12)</x:f>
        <x:v>837443.7946743816</x:v>
      </x:c>
      <x:c r="N12" s="32" t="n">
        <x:f>IF(L12=0,"",I12/L12)</x:f>
        <x:v>1.1035657920191915</x:v>
      </x:c>
      <x:c r="O12" s="34" t="n">
        <x:f>IF(L12=0,"",M12/L12)</x:f>
        <x:v>0.10356579201919143</x:v>
      </x:c>
    </x:row>
    <x:row r="13" ht="18" customHeight="1">
      <x:c r="A13" s="24" t="str">
        <x:v>Medium demersals (30 - 89 cm)</x:v>
      </x:c>
      <x:c r="B13" s="33" t="n">
        <x:v>16</x:v>
      </x:c>
      <x:c r="C13" s="33" t="n">
        <x:v>16</x:v>
      </x:c>
      <x:c r="D13" s="31" t="n">
        <x:v>46113.0635230513</x:v>
      </x:c>
      <x:c r="E13" s="31" t="n">
        <x:v>46113.0635230513</x:v>
      </x:c>
      <x:c r="F13" s="32" t="n">
        <x:v>0</x:v>
      </x:c>
      <x:c r="G13" s="34" t="n">
        <x:v>1</x:v>
      </x:c>
      <x:c r="H13" s="32" t="n">
        <x:f>IF(E13=0,"",I13/E13)</x:f>
        <x:v>358.6450908484499</x:v>
      </x:c>
      <x:c r="I13" s="31" t="n">
        <x:f>IF(C13=0,"",SUMIF('Species'!$G$2:$G$154,A13,'Species'!$U$2:$U$154))</x:f>
        <x:v>16538223.856525075</x:v>
      </x:c>
      <x:c r="J13" s="32" t="n">
        <x:v>3.109052499789877</x:v>
      </x:c>
      <x:c r="K13" s="32" t="n">
        <x:f>IF(J13="","",(1/'Metadata'!$B$5)^(J13-1))</x:f>
        <x:v>128.54420415131693</x:v>
      </x:c>
      <x:c r="L13" s="31" t="n">
        <x:f>IF(E13=0,"",E13*K13)</x:f>
        <x:v>5927567.051549752</x:v>
      </x:c>
      <x:c r="M13" s="31" t="n">
        <x:f>IF(E13=0,"",I13-L13)</x:f>
        <x:v>10610656.804975323</x:v>
      </x:c>
      <x:c r="N13" s="32" t="n">
        <x:f>IF(L13=0,"",I13/L13)</x:f>
        <x:v>2.7900525987641394</x:v>
      </x:c>
      <x:c r="O13" s="34" t="n">
        <x:f>IF(L13=0,"",M13/L13)</x:f>
        <x:v>1.7900525987641398</x:v>
      </x:c>
    </x:row>
    <x:row r="14" ht="18" customHeight="1">
      <x:c r="A14" s="24" t="str">
        <x:v>Medium pelagics (30 - 89 cm)</x:v>
      </x:c>
      <x:c r="B14" s="33" t="n">
        <x:v>8</x:v>
      </x:c>
      <x:c r="C14" s="33" t="n">
        <x:v>8</x:v>
      </x:c>
      <x:c r="D14" s="31" t="n">
        <x:v>10740.9073019997</x:v>
      </x:c>
      <x:c r="E14" s="31" t="n">
        <x:v>10740.9073019997</x:v>
      </x:c>
      <x:c r="F14" s="32" t="n">
        <x:v>0</x:v>
      </x:c>
      <x:c r="G14" s="34" t="n">
        <x:v>1</x:v>
      </x:c>
      <x:c r="H14" s="32" t="n">
        <x:f>IF(E14=0,"",I14/E14)</x:f>
        <x:v>346.8851616363856</x:v>
      </x:c>
      <x:c r="I14" s="31" t="n">
        <x:f>IF(C14=0,"",SUMIF('Species'!$G$2:$G$154,A14,'Species'!$U$2:$U$154))</x:f>
        <x:v>3725861.3655756</x:v>
      </x:c>
      <x:c r="J14" s="32" t="n">
        <x:v>3.4660365357776404</x:v>
      </x:c>
      <x:c r="K14" s="32" t="n">
        <x:f>IF(J14="","",(1/'Metadata'!$B$5)^(J14-1))</x:f>
        <x:v>292.4398387589098</x:v>
      </x:c>
      <x:c r="L14" s="31" t="n">
        <x:f>IF(E14=0,"",E14*K14)</x:f>
        <x:v>3141069.199521189</x:v>
      </x:c>
      <x:c r="M14" s="31" t="n">
        <x:f>IF(E14=0,"",I14-L14)</x:f>
        <x:v>584792.1660544109</x:v>
      </x:c>
      <x:c r="N14" s="32" t="n">
        <x:f>IF(L14=0,"",I14/L14)</x:f>
        <x:v>1.1861761486004683</x:v>
      </x:c>
      <x:c r="O14" s="34" t="n">
        <x:f>IF(L14=0,"",M14/L14)</x:f>
        <x:v>0.18617614860046827</x:v>
      </x:c>
    </x:row>
    <x:row r="15" ht="18" customHeight="1">
      <x:c r="A15" s="24" t="str">
        <x:v>Medium reef assoc. fish (30 - 89 cm)</x:v>
      </x:c>
      <x:c r="B15" s="33" t="n">
        <x:v>23</x:v>
      </x:c>
      <x:c r="C15" s="33" t="n">
        <x:v>23</x:v>
      </x:c>
      <x:c r="D15" s="31" t="n">
        <x:v>6908.3007773874</x:v>
      </x:c>
      <x:c r="E15" s="31" t="n">
        <x:v>6908.3007773874</x:v>
      </x:c>
      <x:c r="F15" s="32" t="n">
        <x:v>0</x:v>
      </x:c>
      <x:c r="G15" s="34" t="n">
        <x:v>1</x:v>
      </x:c>
      <x:c r="H15" s="32" t="n">
        <x:f>IF(E15=0,"",I15/E15)</x:f>
        <x:v>2015.751960735962</x:v>
      </x:c>
      <x:c r="I15" s="31" t="n">
        <x:f>IF(C15=0,"",SUMIF('Species'!$G$2:$G$154,A15,'Species'!$U$2:$U$154))</x:f>
        <x:v>13925420.837372422</x:v>
      </x:c>
      <x:c r="J15" s="32" t="n">
        <x:v>4.246329309235674</x:v>
      </x:c>
      <x:c r="K15" s="32" t="n">
        <x:f>IF(J15="","",(1/'Metadata'!$B$5)^(J15-1))</x:f>
        <x:v>1763.3125935015535</x:v>
      </x:c>
      <x:c r="L15" s="31" t="n">
        <x:f>IF(E15=0,"",E15*K15)</x:f>
        <x:v>12181493.760463774</x:v>
      </x:c>
      <x:c r="M15" s="31" t="n">
        <x:f>IF(E15=0,"",I15-L15)</x:f>
        <x:v>1743927.076908648</x:v>
      </x:c>
      <x:c r="N15" s="32" t="n">
        <x:f>IF(L15=0,"",I15/L15)</x:f>
        <x:v>1.1431620055143592</x:v>
      </x:c>
      <x:c r="O15" s="34" t="n">
        <x:f>IF(L15=0,"",M15/L15)</x:f>
        <x:v>0.1431620055143593</x:v>
      </x:c>
    </x:row>
    <x:row r="16" ht="18" customHeight="1">
      <x:c r="A16" s="24" t="str">
        <x:v>Other demersal invertebrates</x:v>
      </x:c>
      <x:c r="B16" s="33" t="n">
        <x:v>8</x:v>
      </x:c>
      <x:c r="C16" s="33" t="n">
        <x:v>8</x:v>
      </x:c>
      <x:c r="D16" s="31" t="n">
        <x:v>34210.830849656595</x:v>
      </x:c>
      <x:c r="E16" s="31" t="n">
        <x:v>34210.830849656595</x:v>
      </x:c>
      <x:c r="F16" s="32" t="n">
        <x:v>0</x:v>
      </x:c>
      <x:c r="G16" s="34" t="n">
        <x:v>1</x:v>
      </x:c>
      <x:c r="H16" s="32" t="n">
        <x:f>IF(E16=0,"",I16/E16)</x:f>
        <x:v>10.250800208868842</x:v>
      </x:c>
      <x:c r="I16" s="31" t="n">
        <x:f>IF(C16=0,"",SUMIF('Species'!$G$2:$G$154,A16,'Species'!$U$2:$U$154))</x:f>
        <x:v>350688.39201923646</x:v>
      </x:c>
      <x:c r="J16" s="32" t="n">
        <x:v>2.002666901323948</x:v>
      </x:c>
      <x:c r="K16" s="32" t="n">
        <x:f>IF(J16="","",(1/'Metadata'!$B$5)^(J16-1))</x:f>
        <x:v>10.061596603971566</x:v>
      </x:c>
      <x:c r="L16" s="31" t="n">
        <x:f>IF(E16=0,"",E16*K16)</x:f>
        <x:v>344215.5794959505</x:v>
      </x:c>
      <x:c r="M16" s="31" t="n">
        <x:f>IF(E16=0,"",I16-L16)</x:f>
        <x:v>6472.812523285975</x:v>
      </x:c>
      <x:c r="N16" s="32" t="n">
        <x:f>IF(L16=0,"",I16/L16)</x:f>
        <x:v>1.018804530965055</x:v>
      </x:c>
      <x:c r="O16" s="34" t="n">
        <x:f>IF(L16=0,"",M16/L16)</x:f>
        <x:v>0.018804530965055067</x:v>
      </x:c>
    </x:row>
    <x:row r="17" ht="18" customHeight="1">
      <x:c r="A17" s="24" t="str">
        <x:v>Shrimps</x:v>
      </x:c>
      <x:c r="B17" s="33" t="n">
        <x:v>4</x:v>
      </x:c>
      <x:c r="C17" s="33" t="n">
        <x:v>4</x:v>
      </x:c>
      <x:c r="D17" s="31" t="n">
        <x:v>3390.869286502</x:v>
      </x:c>
      <x:c r="E17" s="31" t="n">
        <x:v>3390.869286502</x:v>
      </x:c>
      <x:c r="F17" s="32" t="n">
        <x:v>0</x:v>
      </x:c>
      <x:c r="G17" s="34" t="n">
        <x:v>1</x:v>
      </x:c>
      <x:c r="H17" s="32" t="n">
        <x:f>IF(E17=0,"",I17/E17)</x:f>
        <x:v>84.58444516783385</x:v>
      </x:c>
      <x:c r="I17" s="31" t="n">
        <x:f>IF(C17=0,"",SUMIF('Species'!$G$2:$G$154,A17,'Species'!$U$2:$U$154))</x:f>
        <x:v>286814.79723542026</x:v>
      </x:c>
      <x:c r="J17" s="32" t="n">
        <x:v>2.8365719469157598</x:v>
      </x:c>
      <x:c r="K17" s="32" t="n">
        <x:f>IF(J17="","",(1/'Metadata'!$B$5)^(J17-1))</x:f>
        <x:v>68.63915792961599</x:v>
      </x:c>
      <x:c r="L17" s="31" t="n">
        <x:f>IF(E17=0,"",E17*K17)</x:f>
        <x:v>232746.41247489504</x:v>
      </x:c>
      <x:c r="M17" s="31" t="n">
        <x:f>IF(E17=0,"",I17-L17)</x:f>
        <x:v>54068.38476052522</x:v>
      </x:c>
      <x:c r="N17" s="32" t="n">
        <x:f>IF(L17=0,"",I17/L17)</x:f>
        <x:v>1.232305985667372</x:v>
      </x:c>
      <x:c r="O17" s="34" t="n">
        <x:f>IF(L17=0,"",M17/L17)</x:f>
        <x:v>0.232305985667372</x:v>
      </x:c>
    </x:row>
    <x:row r="18" ht="18" customHeight="1">
      <x:c r="A18" s="24" t="str">
        <x:v>Small benthopelagics (&lt;30 cm)</x:v>
      </x:c>
      <x:c r="B18" s="33" t="n">
        <x:v>2</x:v>
      </x:c>
      <x:c r="C18" s="33" t="n">
        <x:v>2</x:v>
      </x:c>
      <x:c r="D18" s="31" t="n">
        <x:v>580.6992754108</x:v>
      </x:c>
      <x:c r="E18" s="31" t="n">
        <x:v>580.6992754108</x:v>
      </x:c>
      <x:c r="F18" s="32" t="n">
        <x:v>0</x:v>
      </x:c>
      <x:c r="G18" s="34" t="n">
        <x:v>1</x:v>
      </x:c>
      <x:c r="H18" s="32" t="n">
        <x:f>IF(E18=0,"",I18/E18)</x:f>
        <x:v>107.2321054233981</x:v>
      </x:c>
      <x:c r="I18" s="31" t="n">
        <x:f>IF(C18=0,"",SUMIF('Species'!$G$2:$G$154,A18,'Species'!$U$2:$U$154))</x:f>
        <x:v>62269.605920141796</x:v>
      </x:c>
      <x:c r="J18" s="32" t="n">
        <x:v>3.0301527301427025</x:v>
      </x:c>
      <x:c r="K18" s="32" t="n">
        <x:f>IF(J18="","",(1/'Metadata'!$B$5)^(J18-1))</x:f>
        <x:v>107.18961971459969</x:v>
      </x:c>
      <x:c r="L18" s="31" t="n">
        <x:f>IF(E18=0,"",E18*K18)</x:f>
        <x:v>62244.93449982725</x:v>
      </x:c>
      <x:c r="M18" s="31" t="n">
        <x:f>IF(E18=0,"",I18-L18)</x:f>
        <x:v>24.671420314545685</x:v>
      </x:c>
      <x:c r="N18" s="32" t="n">
        <x:f>IF(L18=0,"",I18/L18)</x:f>
        <x:v>1.0003963602904042</x:v>
      </x:c>
      <x:c r="O18" s="34" t="n">
        <x:f>IF(L18=0,"",M18/L18)</x:f>
        <x:v>0.0003963602904042602</x:v>
      </x:c>
    </x:row>
    <x:row r="19" ht="18" customHeight="1">
      <x:c r="A19" s="24" t="str">
        <x:v>Small demersals (&lt;30 cm)</x:v>
      </x:c>
      <x:c r="B19" s="33" t="n">
        <x:v>1</x:v>
      </x:c>
      <x:c r="C19" s="33" t="n">
        <x:v>1</x:v>
      </x:c>
      <x:c r="D19" s="31" t="n">
        <x:v>105</x:v>
      </x:c>
      <x:c r="E19" s="31" t="n">
        <x:v>105</x:v>
      </x:c>
      <x:c r="F19" s="32" t="n">
        <x:v>0</x:v>
      </x:c>
      <x:c r="G19" s="34" t="n">
        <x:v>1</x:v>
      </x:c>
      <x:c r="H19" s="32" t="n">
        <x:f>IF(E19=0,"",I19/E19)</x:f>
        <x:v>407.3802778041126</x:v>
      </x:c>
      <x:c r="I19" s="31" t="n">
        <x:f>IF(C19=0,"",SUMIF('Species'!$G$2:$G$154,A19,'Species'!$U$2:$U$154))</x:f>
        <x:v>42774.92916943182</x:v>
      </x:c>
      <x:c r="J19" s="32" t="n">
        <x:v>3.6100000000000003</x:v>
      </x:c>
      <x:c r="K19" s="32" t="n">
        <x:f>IF(J19="","",(1/'Metadata'!$B$5)^(J19-1))</x:f>
        <x:v>407.380277804113</x:v>
      </x:c>
      <x:c r="L19" s="31" t="n">
        <x:f>IF(E19=0,"",E19*K19)</x:f>
        <x:v>42774.92916943187</x:v>
      </x:c>
      <x:c r="M19" s="31" t="n">
        <x:f>IF(E19=0,"",I19-L19)</x:f>
        <x:v>-4.3655745685100555e-11</x:v>
      </x:c>
      <x:c r="N19" s="32" t="n">
        <x:f>IF(L19=0,"",I19/L19)</x:f>
        <x:v>0.999999999999999</x:v>
      </x:c>
      <x:c r="O19" s="34" t="n">
        <x:f>IF(L19=0,"",M19/L19)</x:f>
        <x:v>-1.020591887181853e-15</x:v>
      </x:c>
    </x:row>
    <x:row r="20" ht="18" customHeight="1">
      <x:c r="A20" s="24" t="str">
        <x:v>Small pelagics (&lt;30 cm)</x:v>
      </x:c>
      <x:c r="B20" s="33" t="n">
        <x:v>5</x:v>
      </x:c>
      <x:c r="C20" s="33" t="n">
        <x:v>5</x:v>
      </x:c>
      <x:c r="D20" s="31" t="n">
        <x:v>129153.93491011331</x:v>
      </x:c>
      <x:c r="E20" s="31" t="n">
        <x:v>129153.93491011331</x:v>
      </x:c>
      <x:c r="F20" s="32" t="n">
        <x:v>0</x:v>
      </x:c>
      <x:c r="G20" s="34" t="n">
        <x:v>1</x:v>
      </x:c>
      <x:c r="H20" s="32" t="n">
        <x:f>IF(E20=0,"",I20/E20)</x:f>
        <x:v>254.33020379232133</x:v>
      </x:c>
      <x:c r="I20" s="31" t="n">
        <x:f>IF(C20=0,"",SUMIF('Species'!$G$2:$G$154,A20,'Species'!$U$2:$U$154))</x:f>
        <x:v>32847746.586269323</x:v>
      </x:c>
      <x:c r="J20" s="32" t="n">
        <x:v>3.400169031414051</x:v>
      </x:c>
      <x:c r="K20" s="32" t="n">
        <x:f>IF(J20="","",(1/'Metadata'!$B$5)^(J20-1))</x:f>
        <x:v>251.28642711336033</x:v>
      </x:c>
      <x:c r="L20" s="31" t="n">
        <x:f>IF(E20=0,"",E20*K20)</x:f>
        <x:v>32454630.851193875</x:v>
      </x:c>
      <x:c r="M20" s="31" t="n">
        <x:f>IF(E20=0,"",I20-L20)</x:f>
        <x:v>393115.7350754477</x:v>
      </x:c>
      <x:c r="N20" s="32" t="n">
        <x:f>IF(L20=0,"",I20/L20)</x:f>
        <x:v>1.0121127778922492</x:v>
      </x:c>
      <x:c r="O20" s="34" t="n">
        <x:f>IF(L20=0,"",M20/L20)</x:f>
        <x:v>0.012112777892249129</x:v>
      </x:c>
    </x:row>
    <x:row r="21" ht="18" customHeight="1">
      <x:c r="A21" s="24" t="str">
        <x:v>Small reef assoc. fish (&lt;30 cm)</x:v>
      </x:c>
      <x:c r="B21" s="33" t="n">
        <x:v>4</x:v>
      </x:c>
      <x:c r="C21" s="33" t="n">
        <x:v>4</x:v>
      </x:c>
      <x:c r="D21" s="31" t="n">
        <x:v>2939.7050447136</x:v>
      </x:c>
      <x:c r="E21" s="31" t="n">
        <x:v>2939.7050447136</x:v>
      </x:c>
      <x:c r="F21" s="32" t="n">
        <x:v>0</x:v>
      </x:c>
      <x:c r="G21" s="34" t="n">
        <x:v>1</x:v>
      </x:c>
      <x:c r="H21" s="32" t="n">
        <x:f>IF(E21=0,"",I21/E21)</x:f>
        <x:v>737.7999532656127</x:v>
      </x:c>
      <x:c r="I21" s="31" t="n">
        <x:f>IF(C21=0,"",SUMIF('Species'!$G$2:$G$154,A21,'Species'!$U$2:$U$154))</x:f>
        <x:v>2168914.24460438</x:v>
      </x:c>
      <x:c r="J21" s="32" t="n">
        <x:v>3.8014293275506943</x:v>
      </x:c>
      <x:c r="K21" s="32" t="n">
        <x:f>IF(J21="","",(1/'Metadata'!$B$5)^(J21-1))</x:f>
        <x:v>633.0373395876503</x:v>
      </x:c>
      <x:c r="L21" s="31" t="n">
        <x:f>IF(E21=0,"",E21*K21)</x:f>
        <x:v>1860943.0606778918</x:v>
      </x:c>
      <x:c r="M21" s="31" t="n">
        <x:f>IF(E21=0,"",I21-L21)</x:f>
        <x:v>307971.18392648804</x:v>
      </x:c>
      <x:c r="N21" s="32" t="n">
        <x:f>IF(L21=0,"",I21/L21)</x:f>
        <x:v>1.1654919972749205</x:v>
      </x:c>
      <x:c r="O21" s="34" t="n">
        <x:f>IF(L21=0,"",M21/L21)</x:f>
        <x:v>0.1654919972749206</x:v>
      </x:c>
    </x:row>
    <x:row r="22" ht="18" customHeight="1">
      <x:c r="A22" s="24" t="str">
        <x:v>Small to medium flatfishes (&lt;90 cm)</x:v>
      </x:c>
      <x:c r="B22" s="33" t="n">
        <x:v>3</x:v>
      </x:c>
      <x:c r="C22" s="33" t="n">
        <x:v>3</x:v>
      </x:c>
      <x:c r="D22" s="31" t="n">
        <x:v>60.65967197309999</x:v>
      </x:c>
      <x:c r="E22" s="31" t="n">
        <x:v>60.65967197309999</x:v>
      </x:c>
      <x:c r="F22" s="32" t="n">
        <x:v>0</x:v>
      </x:c>
      <x:c r="G22" s="34" t="n">
        <x:v>1</x:v>
      </x:c>
      <x:c r="H22" s="32" t="n">
        <x:f>IF(E22=0,"",I22/E22)</x:f>
        <x:v>354.6589182334362</x:v>
      </x:c>
      <x:c r="I22" s="31" t="n">
        <x:f>IF(C22=0,"",SUMIF('Species'!$G$2:$G$154,A22,'Species'!$U$2:$U$154))</x:f>
        <x:v>21513.49364237473</x:v>
      </x:c>
      <x:c r="J22" s="32" t="n">
        <x:v>3.5262556637686946</x:v>
      </x:c>
      <x:c r="K22" s="32" t="n">
        <x:f>IF(J22="","",(1/'Metadata'!$B$5)^(J22-1))</x:f>
        <x:v>335.9353169943441</x:v>
      </x:c>
      <x:c r="L22" s="31" t="n">
        <x:f>IF(E22=0,"",E22*K22)</x:f>
        <x:v>20377.726133056272</x:v>
      </x:c>
      <x:c r="M22" s="31" t="n">
        <x:f>IF(E22=0,"",I22-L22)</x:f>
        <x:v>1135.767509318459</x:v>
      </x:c>
      <x:c r="N22" s="32" t="n">
        <x:f>IF(L22=0,"",I22/L22)</x:f>
        <x:v>1.0557357333150161</x:v>
      </x:c>
      <x:c r="O22" s="34" t="n">
        <x:f>IF(L22=0,"",M22/L22)</x:f>
        <x:v>0.05573573331501611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2f0d0b163fd466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EEZ_862</x:v>
      </x:c>
      <x:c r="B2" s="24" t="str">
        <x:v>raw_filtered_tonnes</x:v>
      </x:c>
      <x:c r="C2" s="24" t="n">
        <x:v>306380.438267835</x:v>
      </x:c>
      <x:c r="D2" s="24" t="str">
        <x:v>tonnes</x:v>
      </x:c>
    </x:row>
    <x:row r="3" ht="18" customHeight="1">
      <x:c r="A3" s="24" t="str">
        <x:v>EEZ_862</x:v>
      </x:c>
      <x:c r="B3" s="24" t="str">
        <x:v>species_catch_tonnes</x:v>
      </x:c>
      <x:c r="C3" s="24" t="n">
        <x:v>306380.438267835</x:v>
      </x:c>
      <x:c r="D3" s="24" t="str">
        <x:v>tonnes</x:v>
      </x:c>
    </x:row>
    <x:row r="4" ht="18" customHeight="1">
      <x:c r="A4" s="24" t="str">
        <x:v>EEZ_862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EEZ_862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EEZ_862</x:v>
      </x:c>
      <x:c r="B6" s="24" t="str">
        <x:v>matched_catch_tonnes</x:v>
      </x:c>
      <x:c r="C6" s="24" t="n">
        <x:v>306380.438267835</x:v>
      </x:c>
      <x:c r="D6" s="24" t="str">
        <x:v>tonnes</x:v>
      </x:c>
    </x:row>
    <x:row r="7" ht="18" customHeight="1">
      <x:c r="A7" s="24" t="str">
        <x:v>EEZ_862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EEZ_862</x:v>
      </x:c>
      <x:c r="B8" s="24" t="str">
        <x:v>taxa_count</x:v>
      </x:c>
      <x:c r="C8" s="24" t="n">
        <x:v>153</x:v>
      </x:c>
      <x:c r="D8" s="24" t="str">
        <x:v>count</x:v>
      </x:c>
    </x:row>
    <x:row r="9" ht="18" customHeight="1">
      <x:c r="A9" s="24" t="str">
        <x:v>EEZ_862</x:v>
      </x:c>
      <x:c r="B9" s="24" t="str">
        <x:v>matched_taxa_count</x:v>
      </x:c>
      <x:c r="C9" s="24" t="n">
        <x:v>153</x:v>
      </x:c>
      <x:c r="D9" s="24" t="str">
        <x:v>count</x:v>
      </x:c>
    </x:row>
    <x:row r="10" ht="18" customHeight="1">
      <x:c r="A10" s="24" t="str">
        <x:v>EEZ_862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EEZ_862</x:v>
      </x:c>
      <x:c r="B11" s="24" t="str">
        <x:v>species_ppr</x:v>
      </x:c>
      <x:c r="C11" s="24" t="n">
        <x:v>172576491.72799766</x:v>
      </x:c>
      <x:c r="D11" s="24" t="str">
        <x:v>tonnes_primary_production_equivalent</x:v>
      </x:c>
    </x:row>
    <x:row r="12" ht="18" customHeight="1">
      <x:c r="A12" s="24" t="str">
        <x:v>EEZ_862</x:v>
      </x:c>
      <x:c r="B12" s="24" t="str">
        <x:v>commercial_ppr</x:v>
      </x:c>
      <x:c r="C12" s="24" t="n">
        <x:v>172576491.72799766</x:v>
      </x:c>
      <x:c r="D12" s="24" t="str">
        <x:v>tonnes_primary_production_equivalent</x:v>
      </x:c>
    </x:row>
    <x:row r="13" ht="18" customHeight="1">
      <x:c r="A13" s="24" t="str">
        <x:v>EEZ_862</x:v>
      </x:c>
      <x:c r="B13" s="24" t="str">
        <x:v>functional_ppr</x:v>
      </x:c>
      <x:c r="C13" s="24" t="n">
        <x:v>172576491.72799766</x:v>
      </x:c>
      <x:c r="D13" s="24" t="str">
        <x:v>tonnes_primary_production_equivalent</x:v>
      </x:c>
    </x:row>
    <x:row r="14" ht="18" customHeight="1">
      <x:c r="A14" s="24" t="str">
        <x:v>EEZ_862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EEZ_862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EEZ_862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EEZ_862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EEZ_862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EEZ_862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a8f859a69e14f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EEZ_862 - Venezuela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EEZ_862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raw_data/SAU_downloads/EEZ_862-catch.zip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