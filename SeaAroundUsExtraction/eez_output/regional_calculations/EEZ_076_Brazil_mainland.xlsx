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9680ab7aa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f2226186fe04b64"/>
    <x:sheet xmlns:r="http://schemas.openxmlformats.org/officeDocument/2006/relationships" name="Commercial" sheetId="2" r:id="R906145f293824552"/>
    <x:sheet xmlns:r="http://schemas.openxmlformats.org/officeDocument/2006/relationships" name="Functional" sheetId="3" r:id="Rc7ffc4e24e0b41bc"/>
    <x:sheet xmlns:r="http://schemas.openxmlformats.org/officeDocument/2006/relationships" name="Missing TL" sheetId="4" r:id="R490ea0ea86474248"/>
    <x:sheet xmlns:r="http://schemas.openxmlformats.org/officeDocument/2006/relationships" name="Validation" sheetId="5" r:id="R03f5cf5cbfeb4b44"/>
    <x:sheet xmlns:r="http://schemas.openxmlformats.org/officeDocument/2006/relationships" name="Metadata" sheetId="6" r:id="R77ef21c7a633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09059c5c74480" /><Relationship Type="http://schemas.openxmlformats.org/officeDocument/2006/relationships/theme" Target="/xl/theme/theme1.xml" Id="Rd694c6515f6a4877" /><Relationship Type="http://schemas.microsoft.com/office/2022/11/relationships/FeaturePropertyBag" Target="/xl/featurePropertyBag/featurePropertyBag.xml" Id="R2a0a5cfa6db14a82" /><Relationship Type="http://schemas.openxmlformats.org/officeDocument/2006/relationships/sharedStrings" Target="/xl/sharedStrings.xml" Id="R3c936e54db4b4bf4" /><Relationship Type="http://schemas.openxmlformats.org/officeDocument/2006/relationships/worksheet" Target="/xl/worksheets/sheet1.xml" Id="Rdf2226186fe04b64" /><Relationship Type="http://schemas.openxmlformats.org/officeDocument/2006/relationships/worksheet" Target="/xl/worksheets/sheet2.xml" Id="R906145f293824552" /><Relationship Type="http://schemas.openxmlformats.org/officeDocument/2006/relationships/worksheet" Target="/xl/worksheets/sheet3.xml" Id="Rc7ffc4e24e0b41bc" /><Relationship Type="http://schemas.openxmlformats.org/officeDocument/2006/relationships/worksheet" Target="/xl/worksheets/sheet4.xml" Id="R490ea0ea86474248" /><Relationship Type="http://schemas.openxmlformats.org/officeDocument/2006/relationships/worksheet" Target="/xl/worksheets/sheet5.xml" Id="R03f5cf5cbfeb4b44" /><Relationship Type="http://schemas.openxmlformats.org/officeDocument/2006/relationships/worksheet" Target="/xl/worksheets/sheet6.xml" Id="R77ef21c7a6334d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6SpeciesTable" displayName="EEZ076SpeciesTable" ref="A1:U275" headerRowCount="1" totalsRowCount="0" totalsRowShown="0">
  <x:autoFilter ref="A1:U2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6CommercialTable" displayName="EEZ07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6FunctionalTable" displayName="EEZ076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6ValidationTable" displayName="EEZ07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cb328f459b41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8aa1e327eb46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49097b520144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a64edf16c6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EEZ_076</x:v>
      </x:c>
      <x:c r="B2" s="24" t="str">
        <x:v>Brazil (mainland)</x:v>
      </x:c>
      <x:c r="C2" s="24" t="str">
        <x:v>EEZ</x:v>
      </x:c>
      <x:c r="D2" s="30" t="n">
        <x:v>2019</x:v>
      </x:c>
      <x:c r="E2" s="24" t="str">
        <x:v>Sardinella brasiliensis</x:v>
      </x:c>
      <x:c r="F2" s="24" t="str">
        <x:v>Brazilian sardinella</x:v>
      </x:c>
      <x:c r="G2" s="24" t="str">
        <x:v>Small pelagics (&lt;30 cm)</x:v>
      </x:c>
      <x:c r="H2" s="24" t="str">
        <x:v>Herring-likes</x:v>
      </x:c>
      <x:c r="I2" s="31" t="n">
        <x:v>96249.6347605754</x:v>
      </x:c>
      <x:c r="J2" s="31" t="n">
        <x:v>96249.6347605754</x:v>
      </x:c>
      <x:c r="K2" s="31" t="n">
        <x:v>0</x:v>
      </x:c>
      <x:c r="L2" s="31" t="n">
        <x:v>92776.8000100194</x:v>
      </x:c>
      <x:c r="M2" s="31" t="n">
        <x:v>3472.834750556</x:v>
      </x:c>
      <x:c r="N2" s="24" t="str">
        <x:v>sardinella brasiliensis</x:v>
      </x:c>
      <x:c r="O2" s="32" t="n">
        <x:v>3.1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brasiliensis</x:v>
      </x:c>
      <x:c r="T2" s="32" t="n">
        <x:f>IF(O2="","",(1/'Metadata'!$B$5)^(O2-1))</x:f>
        <x:v>125.89254117941675</x:v>
      </x:c>
      <x:c r="U2" s="31" t="n">
        <x:f>IF(T2="","",I2*T2)</x:f>
        <x:v>12117111.10759956</x:v>
      </x:c>
    </x:row>
    <x:row r="3" ht="18" customHeight="1">
      <x:c r="A3" s="24" t="str">
        <x:v>EEZ_076</x:v>
      </x:c>
      <x:c r="B3" s="24" t="str">
        <x:v>Brazil (mainland)</x:v>
      </x:c>
      <x:c r="C3" s="24" t="str">
        <x:v>EEZ</x:v>
      </x:c>
      <x:c r="D3" s="30" t="n">
        <x:v>2019</x:v>
      </x:c>
      <x:c r="E3" s="24" t="str">
        <x:v>Micropogonias furnieri</x:v>
      </x:c>
      <x:c r="F3" s="24" t="str">
        <x:v>Whitemouth croaker</x:v>
      </x:c>
      <x:c r="G3" s="24" t="str">
        <x:v>Medium demersals (30 - 89 cm)</x:v>
      </x:c>
      <x:c r="H3" s="24" t="str">
        <x:v>Perch-likes</x:v>
      </x:c>
      <x:c r="I3" s="31" t="n">
        <x:v>78685.5575802215</x:v>
      </x:c>
      <x:c r="J3" s="31" t="n">
        <x:v>40881.867224351496</x:v>
      </x:c>
      <x:c r="K3" s="31" t="n">
        <x:v>37803.69035587</x:v>
      </x:c>
      <x:c r="L3" s="31" t="n">
        <x:v>40000.0000056613</x:v>
      </x:c>
      <x:c r="M3" s="31" t="n">
        <x:v>38685.557574560204</x:v>
      </x:c>
      <x:c r="N3" s="24" t="str">
        <x:v>micropogonias furnieri</x:v>
      </x:c>
      <x:c r="O3" s="32" t="n">
        <x:v>3.09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Micropogonias furnieri</x:v>
      </x:c>
      <x:c r="T3" s="32" t="n">
        <x:f>IF(O3="","",(1/'Metadata'!$B$5)^(O3-1))</x:f>
        <x:v>123.02687708123811</x:v>
      </x:c>
      <x:c r="U3" s="31" t="n">
        <x:f>IF(T3="","",I3*T3)</x:f>
        <x:v>9680438.420490595</x:v>
      </x:c>
    </x:row>
    <x:row r="4" ht="18" customHeight="1">
      <x:c r="A4" s="24" t="str">
        <x:v>EEZ_076</x:v>
      </x:c>
      <x:c r="B4" s="24" t="str">
        <x:v>Brazil (mainland)</x:v>
      </x:c>
      <x:c r="C4" s="24" t="str">
        <x:v>EEZ</x:v>
      </x:c>
      <x:c r="D4" s="30" t="n">
        <x:v>2019</x:v>
      </x:c>
      <x:c r="E4" s="24" t="str">
        <x:v>Umbrina canosai</x:v>
      </x:c>
      <x:c r="F4" s="24" t="str">
        <x:v>Argentine croaker</x:v>
      </x:c>
      <x:c r="G4" s="24" t="str">
        <x:v>Medium demersals (30 - 89 cm)</x:v>
      </x:c>
      <x:c r="H4" s="24" t="str">
        <x:v>Perch-likes</x:v>
      </x:c>
      <x:c r="I4" s="31" t="n">
        <x:v>68539.4428593119</x:v>
      </x:c>
      <x:c r="J4" s="31" t="n">
        <x:v>38590.8993411339</x:v>
      </x:c>
      <x:c r="K4" s="31" t="n">
        <x:v>29948.543518177998</x:v>
      </x:c>
      <x:c r="L4" s="31" t="n">
        <x:v>10899.999999729102</x:v>
      </x:c>
      <x:c r="M4" s="31" t="n">
        <x:v>57639.4428595828</x:v>
      </x:c>
      <x:c r="N4" s="24" t="str">
        <x:v>umbrina canosai</x:v>
      </x:c>
      <x:c r="O4" s="32" t="n">
        <x:v>3.85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Umbrina canosai</x:v>
      </x:c>
      <x:c r="T4" s="32" t="n">
        <x:f>IF(O4="","",(1/'Metadata'!$B$5)^(O4-1))</x:f>
        <x:v>707.945784384138</x:v>
      </x:c>
      <x:c r="U4" s="31" t="n">
        <x:f>IF(T4="","",I4*T4)</x:f>
        <x:v>48522209.63628737</x:v>
      </x:c>
    </x:row>
    <x:row r="5" ht="18" customHeight="1">
      <x:c r="A5" s="24" t="str">
        <x:v>EEZ_076</x:v>
      </x:c>
      <x:c r="B5" s="24" t="str">
        <x:v>Brazil (mainland)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52890.3033178302</x:v>
      </x:c>
      <x:c r="J5" s="31" t="n">
        <x:v>42157.0793636436</x:v>
      </x:c>
      <x:c r="K5" s="31" t="n">
        <x:v>10733.2239541866</x:v>
      </x:c>
      <x:c r="L5" s="31" t="n">
        <x:v>31326.0987771428</x:v>
      </x:c>
      <x:c r="M5" s="31" t="n">
        <x:v>21564.204540687402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10078039.53332866</x:v>
      </x:c>
    </x:row>
    <x:row r="6" ht="18" customHeight="1">
      <x:c r="A6" s="24" t="str">
        <x:v>EEZ_076</x:v>
      </x:c>
      <x:c r="B6" s="24" t="str">
        <x:v>Brazil (mainland)</x:v>
      </x:c>
      <x:c r="C6" s="24" t="str">
        <x:v>EEZ</x:v>
      </x:c>
      <x:c r="D6" s="30" t="n">
        <x:v>2019</x:v>
      </x:c>
      <x:c r="E6" s="24" t="str">
        <x:v>Clupeidae</x:v>
      </x:c>
      <x:c r="F6" s="24" t="str">
        <x:v>Herrings, sardines, menhadens</x:v>
      </x:c>
      <x:c r="G6" s="24" t="str">
        <x:v>Small pelagics (&lt;30 cm)</x:v>
      </x:c>
      <x:c r="H6" s="24" t="str">
        <x:v>Herring-likes</x:v>
      </x:c>
      <x:c r="I6" s="31" t="n">
        <x:v>45330.3710042452</x:v>
      </x:c>
      <x:c r="J6" s="31" t="n">
        <x:v>13537.323839945198</x:v>
      </x:c>
      <x:c r="K6" s="31" t="n">
        <x:v>31793.0471643</x:v>
      </x:c>
      <x:c r="L6" s="31" t="n">
        <x:v>13068.3729241001</x:v>
      </x:c>
      <x:c r="M6" s="31" t="n">
        <x:v>32261.9980801451</x:v>
      </x:c>
      <x:c r="N6" s="24" t="str">
        <x:v>clupeidae</x:v>
      </x:c>
      <x:c r="O6" s="32" t="n">
        <x:v>3.16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Clupeidae</x:v>
      </x:c>
      <x:c r="T6" s="32" t="n">
        <x:f>IF(O6="","",(1/'Metadata'!$B$5)^(O6-1))</x:f>
        <x:v>144.5439770745928</x:v>
      </x:c>
      <x:c r="U6" s="31" t="n">
        <x:f>IF(T6="","",I6*T6)</x:f>
        <x:v>6552232.107220404</x:v>
      </x:c>
    </x:row>
    <x:row r="7" ht="18" customHeight="1">
      <x:c r="A7" s="24" t="str">
        <x:v>EEZ_076</x:v>
      </x:c>
      <x:c r="B7" s="24" t="str">
        <x:v>Brazil (mainland)</x:v>
      </x:c>
      <x:c r="C7" s="24" t="str">
        <x:v>EEZ</x:v>
      </x:c>
      <x:c r="D7" s="30" t="n">
        <x:v>2019</x:v>
      </x:c>
      <x:c r="E7" s="24" t="str">
        <x:v>Macrodon ancylodon</x:v>
      </x:c>
      <x:c r="F7" s="24" t="str">
        <x:v>King weakfish</x:v>
      </x:c>
      <x:c r="G7" s="24" t="str">
        <x:v>Medium demersals (30 - 89 cm)</x:v>
      </x:c>
      <x:c r="H7" s="24" t="str">
        <x:v>Perch-likes</x:v>
      </x:c>
      <x:c r="I7" s="31" t="n">
        <x:v>37970.55222951</x:v>
      </x:c>
      <x:c r="J7" s="31" t="n">
        <x:v>10308.501762682</x:v>
      </x:c>
      <x:c r="K7" s="31" t="n">
        <x:v>27662.050466827997</x:v>
      </x:c>
      <x:c r="L7" s="31" t="n">
        <x:v>10099.9999994388</x:v>
      </x:c>
      <x:c r="M7" s="31" t="n">
        <x:v>27870.552230071196</x:v>
      </x:c>
      <x:c r="N7" s="24" t="str">
        <x:v>macrodon ancylodon</x:v>
      </x:c>
      <x:c r="O7" s="32" t="n">
        <x:v>3.9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Macrodon ancylodon</x:v>
      </x:c>
      <x:c r="T7" s="32" t="n">
        <x:f>IF(O7="","",(1/'Metadata'!$B$5)^(O7-1))</x:f>
        <x:v>794.3282347242813</x:v>
      </x:c>
      <x:c r="U7" s="31" t="n">
        <x:f>IF(T7="","",I7*T7)</x:f>
        <x:v>30161081.7239728</x:v>
      </x:c>
    </x:row>
    <x:row r="8" ht="18" customHeight="1">
      <x:c r="A8" s="24" t="str">
        <x:v>EEZ_076</x:v>
      </x:c>
      <x:c r="B8" s="24" t="str">
        <x:v>Brazil (mainland)</x:v>
      </x:c>
      <x:c r="C8" s="24" t="str">
        <x:v>EEZ</x:v>
      </x:c>
      <x:c r="D8" s="30" t="n">
        <x:v>2019</x:v>
      </x:c>
      <x:c r="E8" s="24" t="str">
        <x:v>Batoidea</x:v>
      </x:c>
      <x:c r="F8" s="24" t="str">
        <x:v>Batoids, skates, rays, sawfishes</x:v>
      </x:c>
      <x:c r="G8" s="24" t="str">
        <x:v>Large rays (&gt;=90 cm)</x:v>
      </x:c>
      <x:c r="H8" s="24" t="str">
        <x:v>Sharks &amp; rays</x:v>
      </x:c>
      <x:c r="I8" s="31" t="n">
        <x:v>30311.268344068998</x:v>
      </x:c>
      <x:c r="J8" s="31" t="n">
        <x:v>99.225824776</x:v>
      </x:c>
      <x:c r="K8" s="31" t="n">
        <x:v>30212.042519292998</x:v>
      </x:c>
      <x:c r="L8" s="31" t="n">
        <x:v>99.225824776</x:v>
      </x:c>
      <x:c r="M8" s="31" t="n">
        <x:v>30212.042519292998</x:v>
      </x:c>
      <x:c r="N8" s="24" t="str">
        <x:v>batoidea</x:v>
      </x:c>
      <x:c r="O8" s="32" t="n">
        <x:v>3.72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Batoidea</x:v>
      </x:c>
      <x:c r="T8" s="32" t="n">
        <x:f>IF(O8="","",(1/'Metadata'!$B$5)^(O8-1))</x:f>
        <x:v>524.8074602497728</x:v>
      </x:c>
      <x:c r="U8" s="31" t="n">
        <x:f>IF(T8="","",I8*T8)</x:f>
        <x:v>15907579.756600188</x:v>
      </x:c>
    </x:row>
    <x:row r="9" ht="18" customHeight="1">
      <x:c r="A9" s="24" t="str">
        <x:v>EEZ_076</x:v>
      </x:c>
      <x:c r="B9" s="24" t="str">
        <x:v>Brazil (mainland)</x:v>
      </x:c>
      <x:c r="C9" s="24" t="str">
        <x:v>EEZ</x:v>
      </x:c>
      <x:c r="D9" s="30" t="n">
        <x:v>2019</x:v>
      </x:c>
      <x:c r="E9" s="24" t="str">
        <x:v>Katsuwonus pelamis</x:v>
      </x:c>
      <x:c r="F9" s="24" t="str">
        <x:v>Skipjack tuna</x:v>
      </x:c>
      <x:c r="G9" s="24" t="str">
        <x:v>Large pelagics (&gt;=90 cm)</x:v>
      </x:c>
      <x:c r="H9" s="24" t="str">
        <x:v>Tuna &amp; billfishes</x:v>
      </x:c>
      <x:c r="I9" s="31" t="n">
        <x:v>29603.7106190786</x:v>
      </x:c>
      <x:c r="J9" s="31" t="n">
        <x:v>29603.7106190786</x:v>
      </x:c>
      <x:c r="K9" s="31" t="n">
        <x:v>0</x:v>
      </x:c>
      <x:c r="L9" s="31" t="n">
        <x:v>27675.4842274786</x:v>
      </x:c>
      <x:c r="M9" s="31" t="n">
        <x:v>1928.2263916</x:v>
      </x:c>
      <x:c r="N9" s="24" t="str">
        <x:v>katsuwonus pelamis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Katsuwonus pelamis</x:v>
      </x:c>
      <x:c r="T9" s="32" t="n">
        <x:f>IF(O9="","",(1/'Metadata'!$B$5)^(O9-1))</x:f>
        <x:v>2691.534803926914</x:v>
      </x:c>
      <x:c r="U9" s="31" t="n">
        <x:f>IF(T9="","",I9*T9)</x:f>
        <x:v>79679417.45663081</x:v>
      </x:c>
    </x:row>
    <x:row r="10" ht="18" customHeight="1">
      <x:c r="A10" s="24" t="str">
        <x:v>EEZ_076</x:v>
      </x:c>
      <x:c r="B10" s="24" t="str">
        <x:v>Brazil (mainland)</x:v>
      </x:c>
      <x:c r="C10" s="24" t="str">
        <x:v>EEZ</x:v>
      </x:c>
      <x:c r="D10" s="30" t="n">
        <x:v>2019</x:v>
      </x:c>
      <x:c r="E10" s="24" t="str">
        <x:v>Cynoscion acoupa</x:v>
      </x:c>
      <x:c r="F10" s="24" t="str">
        <x:v>Acoupa weakfish</x:v>
      </x:c>
      <x:c r="G10" s="24" t="str">
        <x:v>Large demersals (&gt;=90 cm)</x:v>
      </x:c>
      <x:c r="H10" s="24" t="str">
        <x:v>Perch-likes</x:v>
      </x:c>
      <x:c r="I10" s="31" t="n">
        <x:v>21111.0482066903</x:v>
      </x:c>
      <x:c r="J10" s="31" t="n">
        <x:v>21111.0482066903</x:v>
      </x:c>
      <x:c r="K10" s="31" t="n">
        <x:v>0</x:v>
      </x:c>
      <x:c r="L10" s="31" t="n">
        <x:v>20599.9999993481</x:v>
      </x:c>
      <x:c r="M10" s="31" t="n">
        <x:v>511.04820734220004</x:v>
      </x:c>
      <x:c r="N10" s="24" t="str">
        <x:v>cynoscion acoupa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Cynoscion acoupa</x:v>
      </x:c>
      <x:c r="T10" s="32" t="n">
        <x:f>IF(O10="","",(1/'Metadata'!$B$5)^(O10-1))</x:f>
        <x:v>1122.018454301963</x:v>
      </x:c>
      <x:c r="U10" s="31" t="n">
        <x:f>IF(T10="","",I10*T10)</x:f>
        <x:v>23686985.677564874</x:v>
      </x:c>
    </x:row>
    <x:row r="11" ht="18" customHeight="1">
      <x:c r="A11" s="24" t="str">
        <x:v>EEZ_076</x:v>
      </x:c>
      <x:c r="B11" s="24" t="str">
        <x:v>Brazil (mainland)</x:v>
      </x:c>
      <x:c r="C11" s="24" t="str">
        <x:v>EEZ</x:v>
      </x:c>
      <x:c r="D11" s="30" t="n">
        <x:v>2019</x:v>
      </x:c>
      <x:c r="E11" s="24" t="str">
        <x:v>Cynoscion guatucupa</x:v>
      </x:c>
      <x:c r="F11" s="24" t="str">
        <x:v>Stripped weakfish</x:v>
      </x:c>
      <x:c r="G11" s="24" t="str">
        <x:v>Medium demersals (30 - 89 cm)</x:v>
      </x:c>
      <x:c r="H11" s="24" t="str">
        <x:v>Perch-likes</x:v>
      </x:c>
      <x:c r="I11" s="31" t="n">
        <x:v>18672.397771342</x:v>
      </x:c>
      <x:c r="J11" s="31" t="n">
        <x:v>5979.274500889999</x:v>
      </x:c>
      <x:c r="K11" s="31" t="n">
        <x:v>12693.123270452</x:v>
      </x:c>
      <x:c r="L11" s="31" t="n">
        <x:v>5899.999999972099</x:v>
      </x:c>
      <x:c r="M11" s="31" t="n">
        <x:v>12772.3977713699</x:v>
      </x:c>
      <x:c r="N11" s="24" t="str">
        <x:v>cynoscion guatucupa</x:v>
      </x:c>
      <x:c r="O11" s="32" t="n">
        <x:v>3.72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Cynoscion guatucupa</x:v>
      </x:c>
      <x:c r="T11" s="32" t="n">
        <x:f>IF(O11="","",(1/'Metadata'!$B$5)^(O11-1))</x:f>
        <x:v>524.8074602497728</x:v>
      </x:c>
      <x:c r="U11" s="31" t="n">
        <x:f>IF(T11="","",I11*T11)</x:f>
        <x:v>9799413.651151512</x:v>
      </x:c>
    </x:row>
    <x:row r="12" ht="18" customHeight="1">
      <x:c r="A12" s="24" t="str">
        <x:v>EEZ_076</x:v>
      </x:c>
      <x:c r="B12" s="24" t="str">
        <x:v>Brazil (mainland)</x:v>
      </x:c>
      <x:c r="C12" s="24" t="str">
        <x:v>EEZ</x:v>
      </x:c>
      <x:c r="D12" s="30" t="n">
        <x:v>2019</x:v>
      </x:c>
      <x:c r="E12" s="24" t="str">
        <x:v>Ariidae</x:v>
      </x:c>
      <x:c r="F12" s="24" t="str">
        <x:v>Sea catfishes, coblers</x:v>
      </x:c>
      <x:c r="G12" s="24" t="str">
        <x:v>Medium demersals (30 - 89 cm)</x:v>
      </x:c>
      <x:c r="H12" s="24" t="str">
        <x:v>Other fishes &amp; inverts</x:v>
      </x:c>
      <x:c r="I12" s="31" t="n">
        <x:v>17974.7384304288</x:v>
      </x:c>
      <x:c r="J12" s="31" t="n">
        <x:v>8875.2256128188</x:v>
      </x:c>
      <x:c r="K12" s="31" t="n">
        <x:v>9099.51281761</x:v>
      </x:c>
      <x:c r="L12" s="31" t="n">
        <x:v>8502.337144933199</x:v>
      </x:c>
      <x:c r="M12" s="31" t="n">
        <x:v>9472.4012854956</x:v>
      </x:c>
      <x:c r="N12" s="24" t="str">
        <x:v>ariidae</x:v>
      </x:c>
      <x:c r="O12" s="32" t="n">
        <x:v>3.48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Ariidae</x:v>
      </x:c>
      <x:c r="T12" s="32" t="n">
        <x:f>IF(O12="","",(1/'Metadata'!$B$5)^(O12-1))</x:f>
        <x:v>301.9951720402016</x:v>
      </x:c>
      <x:c r="U12" s="31" t="n">
        <x:f>IF(T12="","",I12*T12)</x:f>
        <x:v>5428284.224674969</x:v>
      </x:c>
    </x:row>
    <x:row r="13" ht="18" customHeight="1">
      <x:c r="A13" s="24" t="str">
        <x:v>EEZ_076</x:v>
      </x:c>
      <x:c r="B13" s="24" t="str">
        <x:v>Brazil (mainland)</x:v>
      </x:c>
      <x:c r="C13" s="24" t="str">
        <x:v>EEZ</x:v>
      </x:c>
      <x:c r="D13" s="30" t="n">
        <x:v>2019</x:v>
      </x:c>
      <x:c r="E13" s="24" t="str">
        <x:v>Trichiurus lepturus</x:v>
      </x:c>
      <x:c r="F13" s="24" t="str">
        <x:v>Largehead hairtail</x:v>
      </x:c>
      <x:c r="G13" s="24" t="str">
        <x:v>Large benthopelagics (&gt;=90 cm)</x:v>
      </x:c>
      <x:c r="H13" s="24" t="str">
        <x:v>Perch-likes</x:v>
      </x:c>
      <x:c r="I13" s="31" t="n">
        <x:v>17803.6456136149</x:v>
      </x:c>
      <x:c r="J13" s="31" t="n">
        <x:v>2436.3607578859</x:v>
      </x:c>
      <x:c r="K13" s="31" t="n">
        <x:v>15367.284855729</x:v>
      </x:c>
      <x:c r="L13" s="31" t="n">
        <x:v>2399.9999999689</x:v>
      </x:c>
      <x:c r="M13" s="31" t="n">
        <x:v>15403.645613646</x:v>
      </x:c>
      <x:c r="N13" s="24" t="str">
        <x:v>trichiurus lepturus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Trichiurus lepturus</x:v>
      </x:c>
      <x:c r="T13" s="32" t="n">
        <x:f>IF(O13="","",(1/'Metadata'!$B$5)^(O13-1))</x:f>
        <x:v>2630.2679918953813</x:v>
      </x:c>
      <x:c r="U13" s="31" t="n">
        <x:f>IF(T13="","",I13*T13)</x:f>
        <x:v>46828359.19653987</x:v>
      </x:c>
    </x:row>
    <x:row r="14" ht="18" customHeight="1">
      <x:c r="A14" s="24" t="str">
        <x:v>EEZ_076</x:v>
      </x:c>
      <x:c r="B14" s="24" t="str">
        <x:v>Brazil (mainland)</x:v>
      </x:c>
      <x:c r="C14" s="24" t="str">
        <x:v>EEZ</x:v>
      </x:c>
      <x:c r="D14" s="30" t="n">
        <x:v>2019</x:v>
      </x:c>
      <x:c r="E14" s="24" t="str">
        <x:v>Mugil</x:v>
      </x:c>
      <x:c r="F14" s="24" t="str">
        <x:v>Grey mullets</x:v>
      </x:c>
      <x:c r="G14" s="24" t="str">
        <x:v>Medium demersals (30 - 89 cm)</x:v>
      </x:c>
      <x:c r="H14" s="24" t="str">
        <x:v>Perch-likes</x:v>
      </x:c>
      <x:c r="I14" s="31" t="n">
        <x:v>16920.006134472398</x:v>
      </x:c>
      <x:c r="J14" s="31" t="n">
        <x:v>11810.5189331424</x:v>
      </x:c>
      <x:c r="K14" s="31" t="n">
        <x:v>5109.48720133</x:v>
      </x:c>
      <x:c r="L14" s="31" t="n">
        <x:v>9947.3734324472</x:v>
      </x:c>
      <x:c r="M14" s="31" t="n">
        <x:v>6972.6327020252</x:v>
      </x:c>
      <x:c r="N14" s="24" t="str">
        <x:v>mugil</x:v>
      </x:c>
      <x:c r="O14" s="32" t="n">
        <x:v>2.26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</x:v>
      </x:c>
      <x:c r="T14" s="32" t="n">
        <x:f>IF(O14="","",(1/'Metadata'!$B$5)^(O14-1))</x:f>
        <x:v>18.197008586099827</x:v>
      </x:c>
      <x:c r="U14" s="31" t="n">
        <x:f>IF(T14="","",I14*T14)</x:f>
        <x:v>307893.49690585595</x:v>
      </x:c>
    </x:row>
    <x:row r="15" ht="18" customHeight="1">
      <x:c r="A15" s="24" t="str">
        <x:v>EEZ_076</x:v>
      </x:c>
      <x:c r="B15" s="24" t="str">
        <x:v>Brazil (mainland)</x:v>
      </x:c>
      <x:c r="C15" s="24" t="str">
        <x:v>EEZ</x:v>
      </x:c>
      <x:c r="D15" s="30" t="n">
        <x:v>2019</x:v>
      </x:c>
      <x:c r="E15" s="24" t="str">
        <x:v>Xiphopenaeus kroyeri</x:v>
      </x:c>
      <x:c r="F15" s="24" t="str">
        <x:v>Atlantic seabob</x:v>
      </x:c>
      <x:c r="G15" s="24" t="str">
        <x:v>Shrimps</x:v>
      </x:c>
      <x:c r="H15" s="24" t="str">
        <x:v>Crustaceans</x:v>
      </x:c>
      <x:c r="I15" s="31" t="n">
        <x:v>13331.770290917</x:v>
      </x:c>
      <x:c r="J15" s="31" t="n">
        <x:v>13331.770290917</x:v>
      </x:c>
      <x:c r="K15" s="31" t="n">
        <x:v>0</x:v>
      </x:c>
      <x:c r="L15" s="31" t="n">
        <x:v>13100.000001099901</x:v>
      </x:c>
      <x:c r="M15" s="31" t="n">
        <x:v>231.7702898171</x:v>
      </x:c>
      <x:c r="N15" s="24" t="str">
        <x:v>xiphopenaeus kroyeri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Xiphopenaeus kroyeri</x:v>
      </x:c>
      <x:c r="T15" s="32" t="n">
        <x:f>IF(O15="","",(1/'Metadata'!$B$5)^(O15-1))</x:f>
        <x:v>50.11872336272725</x:v>
      </x:c>
      <x:c r="U15" s="31" t="n">
        <x:f>IF(T15="","",I15*T15)</x:f>
        <x:v>668171.307145895</x:v>
      </x:c>
    </x:row>
    <x:row r="16" ht="18" customHeight="1">
      <x:c r="A16" s="24" t="str">
        <x:v>EEZ_076</x:v>
      </x:c>
      <x:c r="B16" s="24" t="str">
        <x:v>Brazil (mainland)</x:v>
      </x:c>
      <x:c r="C16" s="24" t="str">
        <x:v>EEZ</x:v>
      </x:c>
      <x:c r="D16" s="30" t="n">
        <x:v>2019</x:v>
      </x:c>
      <x:c r="E16" s="24" t="str">
        <x:v>Paralonchurus brasiliensis</x:v>
      </x:c>
      <x:c r="F16" s="24" t="str">
        <x:v>Banded croaker</x:v>
      </x:c>
      <x:c r="G16" s="24" t="str">
        <x:v>Small demersals (&lt;30 cm)</x:v>
      </x:c>
      <x:c r="H16" s="24" t="str">
        <x:v>Perch-likes</x:v>
      </x:c>
      <x:c r="I16" s="31" t="n">
        <x:v>12178.568503995999</x:v>
      </x:c>
      <x:c r="J16" s="31" t="n">
        <x:v>43.207409167</x:v>
      </x:c>
      <x:c r="K16" s="31" t="n">
        <x:v>12135.361094828999</x:v>
      </x:c>
      <x:c r="L16" s="31" t="n">
        <x:v>18.0783229261</x:v>
      </x:c>
      <x:c r="M16" s="31" t="n">
        <x:v>12160.4901810699</x:v>
      </x:c>
      <x:c r="N16" s="24" t="str">
        <x:v>paralonchurus brasiliensis</x:v>
      </x:c>
      <x:c r="O16" s="32" t="n">
        <x:v>3.42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Paralonchurus brasiliensis</x:v>
      </x:c>
      <x:c r="T16" s="32" t="n">
        <x:f>IF(O16="","",(1/'Metadata'!$B$5)^(O16-1))</x:f>
        <x:v>263.02679918953817</x:v>
      </x:c>
      <x:c r="U16" s="31" t="n">
        <x:f>IF(T16="","",I16*T16)</x:f>
        <x:v>3203289.89231659</x:v>
      </x:c>
    </x:row>
    <x:row r="17" ht="18" customHeight="1">
      <x:c r="A17" s="24" t="str">
        <x:v>EEZ_076</x:v>
      </x:c>
      <x:c r="B17" s="24" t="str">
        <x:v>Brazil (mainland)</x:v>
      </x:c>
      <x:c r="C17" s="24" t="str">
        <x:v>EEZ</x:v>
      </x:c>
      <x:c r="D17" s="30" t="n">
        <x:v>2019</x:v>
      </x:c>
      <x:c r="E17" s="24" t="str">
        <x:v>Siluriformes</x:v>
      </x:c>
      <x:c r="F17" s="24" t="str">
        <x:v>Catfishes</x:v>
      </x:c>
      <x:c r="G17" s="24" t="str">
        <x:v>Medium demersals (30 - 89 cm)</x:v>
      </x:c>
      <x:c r="H17" s="24" t="str">
        <x:v>Other fishes &amp; inverts</x:v>
      </x:c>
      <x:c r="I17" s="31" t="n">
        <x:v>11551.61709756</x:v>
      </x:c>
      <x:c r="J17" s="31" t="n">
        <x:v>0</x:v>
      </x:c>
      <x:c r="K17" s="31" t="n">
        <x:v>11551.61709756</x:v>
      </x:c>
      <x:c r="L17" s="31" t="n">
        <x:v>0</x:v>
      </x:c>
      <x:c r="M17" s="31" t="n">
        <x:v>11551.61709756</x:v>
      </x:c>
      <x:c r="N17" s="24" t="str">
        <x:v>siluriformes</x:v>
      </x:c>
      <x:c r="O17" s="32" t="n">
        <x:v>3.48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Siluriformes</x:v>
      </x:c>
      <x:c r="T17" s="32" t="n">
        <x:f>IF(O17="","",(1/'Metadata'!$B$5)^(O17-1))</x:f>
        <x:v>301.9951720402016</x:v>
      </x:c>
      <x:c r="U17" s="31" t="n">
        <x:f>IF(T17="","",I17*T17)</x:f>
        <x:v>3488532.592720167</x:v>
      </x:c>
    </x:row>
    <x:row r="18" ht="18" customHeight="1">
      <x:c r="A18" s="24" t="str">
        <x:v>EEZ_076</x:v>
      </x:c>
      <x:c r="B18" s="24" t="str">
        <x:v>Brazil (mainland)</x:v>
      </x:c>
      <x:c r="C18" s="24" t="str">
        <x:v>EEZ</x:v>
      </x:c>
      <x:c r="D18" s="30" t="n">
        <x:v>2019</x:v>
      </x:c>
      <x:c r="E18" s="24" t="str">
        <x:v>Tetraodontidae</x:v>
      </x:c>
      <x:c r="F18" s="24" t="str">
        <x:v>Puffers, tobies</x:v>
      </x:c>
      <x:c r="G18" s="24" t="str">
        <x:v>Large reef assoc. fish (&gt;=90 cm)</x:v>
      </x:c>
      <x:c r="H18" s="24" t="str">
        <x:v>Other fishes &amp; inverts</x:v>
      </x:c>
      <x:c r="I18" s="31" t="n">
        <x:v>11168.181276872</x:v>
      </x:c>
      <x:c r="J18" s="31" t="n">
        <x:v>56.684270872</x:v>
      </x:c>
      <x:c r="K18" s="31" t="n">
        <x:v>11111.497006</x:v>
      </x:c>
      <x:c r="L18" s="31" t="n">
        <x:v>54.409458926</x:v>
      </x:c>
      <x:c r="M18" s="31" t="n">
        <x:v>11113.771817945999</x:v>
      </x:c>
      <x:c r="N18" s="24" t="str">
        <x:v>tetraodontidae</x:v>
      </x:c>
      <x:c r="O18" s="32" t="n">
        <x:v>3.5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Tetraodontidae</x:v>
      </x:c>
      <x:c r="T18" s="32" t="n">
        <x:f>IF(O18="","",(1/'Metadata'!$B$5)^(O18-1))</x:f>
        <x:v>316.22776601683796</x:v>
      </x:c>
      <x:c r="U18" s="31" t="n">
        <x:f>IF(T18="","",I18*T18)</x:f>
        <x:v>3531689.015656309</x:v>
      </x:c>
    </x:row>
    <x:row r="19" ht="18" customHeight="1">
      <x:c r="A19" s="24" t="str">
        <x:v>EEZ_076</x:v>
      </x:c>
      <x:c r="B19" s="24" t="str">
        <x:v>Brazil (mainland)</x:v>
      </x:c>
      <x:c r="C19" s="24" t="str">
        <x:v>EEZ</x:v>
      </x:c>
      <x:c r="D19" s="30" t="n">
        <x:v>2019</x:v>
      </x:c>
      <x:c r="E19" s="24" t="str">
        <x:v>Squalus</x:v>
      </x:c>
      <x:c r="F19" s="24" t="str">
        <x:v>Dogfishes</x:v>
      </x:c>
      <x:c r="G19" s="24" t="str">
        <x:v>Large sharks (&gt;=90 cm)</x:v>
      </x:c>
      <x:c r="H19" s="24" t="str">
        <x:v>Sharks &amp; rays</x:v>
      </x:c>
      <x:c r="I19" s="31" t="n">
        <x:v>10219.175512317</x:v>
      </x:c>
      <x:c r="J19" s="31" t="n">
        <x:v>148.494672611</x:v>
      </x:c>
      <x:c r="K19" s="31" t="n">
        <x:v>10070.680839706001</x:v>
      </x:c>
      <x:c r="L19" s="31" t="n">
        <x:v>144.4976764929</x:v>
      </x:c>
      <x:c r="M19" s="31" t="n">
        <x:v>10074.6778358241</x:v>
      </x:c>
      <x:c r="N19" s="24" t="str">
        <x:v>squalus</x:v>
      </x:c>
      <x:c r="O19" s="32" t="n">
        <x:v>4.23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Squalus</x:v>
      </x:c>
      <x:c r="T19" s="32" t="n">
        <x:f>IF(O19="","",(1/'Metadata'!$B$5)^(O19-1))</x:f>
        <x:v>1698.243652461746</x:v>
      </x:c>
      <x:c r="U19" s="31" t="n">
        <x:f>IF(T19="","",I19*T19)</x:f>
        <x:v>17354649.947184857</x:v>
      </x:c>
    </x:row>
    <x:row r="20" ht="18" customHeight="1">
      <x:c r="A20" s="24" t="str">
        <x:v>EEZ_076</x:v>
      </x:c>
      <x:c r="B20" s="24" t="str">
        <x:v>Brazil (mainland)</x:v>
      </x:c>
      <x:c r="C20" s="24" t="str">
        <x:v>EEZ</x:v>
      </x:c>
      <x:c r="D20" s="30" t="n">
        <x:v>2019</x:v>
      </x:c>
      <x:c r="E20" s="24" t="str">
        <x:v>Mustelus schmitti</x:v>
      </x:c>
      <x:c r="F20" s="24" t="str">
        <x:v>Narrownose smooth-hound</x:v>
      </x:c>
      <x:c r="G20" s="24" t="str">
        <x:v>Small to medium sharks (&lt;90 cm)</x:v>
      </x:c>
      <x:c r="H20" s="24" t="str">
        <x:v>Sharks &amp; rays</x:v>
      </x:c>
      <x:c r="I20" s="31" t="n">
        <x:v>10218.4562770219</x:v>
      </x:c>
      <x:c r="J20" s="31" t="n">
        <x:v>147.7754373159</x:v>
      </x:c>
      <x:c r="K20" s="31" t="n">
        <x:v>10070.680839706001</x:v>
      </x:c>
      <x:c r="L20" s="31" t="n">
        <x:v>147.7754373159</x:v>
      </x:c>
      <x:c r="M20" s="31" t="n">
        <x:v>10070.680839706001</x:v>
      </x:c>
      <x:c r="N20" s="24" t="str">
        <x:v>mustelus schmitti</x:v>
      </x:c>
      <x:c r="O20" s="32" t="n">
        <x:v>3.59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Mustelus schmitti</x:v>
      </x:c>
      <x:c r="T20" s="32" t="n">
        <x:f>IF(O20="","",(1/'Metadata'!$B$5)^(O20-1))</x:f>
        <x:v>389.04514499428046</x:v>
      </x:c>
      <x:c r="U20" s="31" t="n">
        <x:f>IF(T20="","",I20*T20)</x:f>
        <x:v>3975440.8039117004</x:v>
      </x:c>
    </x:row>
    <x:row r="21" ht="18" customHeight="1">
      <x:c r="A21" s="24" t="str">
        <x:v>EEZ_076</x:v>
      </x:c>
      <x:c r="B21" s="24" t="str">
        <x:v>Brazil (mainland)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9676.370822957799</x:v>
      </x:c>
      <x:c r="J21" s="31" t="n">
        <x:v>9676.370822957799</x:v>
      </x:c>
      <x:c r="K21" s="31" t="n">
        <x:v>0</x:v>
      </x:c>
      <x:c r="L21" s="31" t="n">
        <x:v>9226.1630839911</x:v>
      </x:c>
      <x:c r="M21" s="31" t="n">
        <x:v>450.2077389667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17608100.29476489</x:v>
      </x:c>
    </x:row>
    <x:row r="22" ht="18" customHeight="1">
      <x:c r="A22" s="24" t="str">
        <x:v>EEZ_076</x:v>
      </x:c>
      <x:c r="B22" s="24" t="str">
        <x:v>Brazil (mainland)</x:v>
      </x:c>
      <x:c r="C22" s="24" t="str">
        <x:v>EEZ</x:v>
      </x:c>
      <x:c r="D22" s="30" t="n">
        <x:v>2019</x:v>
      </x:c>
      <x:c r="E22" s="24" t="str">
        <x:v>Mustelus</x:v>
      </x:c>
      <x:c r="F22" s="24" t="str">
        <x:v>Smoothhounds</x:v>
      </x:c>
      <x:c r="G22" s="24" t="str">
        <x:v>Large sharks (&gt;=90 cm)</x:v>
      </x:c>
      <x:c r="H22" s="24" t="str">
        <x:v>Sharks &amp; rays</x:v>
      </x:c>
      <x:c r="I22" s="31" t="n">
        <x:v>9551.986420650299</x:v>
      </x:c>
      <x:c r="J22" s="31" t="n">
        <x:v>3.2557366623</x:v>
      </x:c>
      <x:c r="K22" s="31" t="n">
        <x:v>9548.730683988</x:v>
      </x:c>
      <x:c r="L22" s="31" t="n">
        <x:v>3.152493688</x:v>
      </x:c>
      <x:c r="M22" s="31" t="n">
        <x:v>9548.8339269623</x:v>
      </x:c>
      <x:c r="N22" s="24" t="str">
        <x:v>mustelus</x:v>
      </x:c>
      <x:c r="O22" s="32" t="n">
        <x:v>3.73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Mustelus</x:v>
      </x:c>
      <x:c r="T22" s="32" t="n">
        <x:f>IF(O22="","",(1/'Metadata'!$B$5)^(O22-1))</x:f>
        <x:v>537.0317963702527</x:v>
      </x:c>
      <x:c r="U22" s="31" t="n">
        <x:f>IF(T22="","",I22*T22)</x:f>
        <x:v>5129720.42638609</x:v>
      </x:c>
    </x:row>
    <x:row r="23" ht="18" customHeight="1">
      <x:c r="A23" s="24" t="str">
        <x:v>EEZ_076</x:v>
      </x:c>
      <x:c r="B23" s="24" t="str">
        <x:v>Brazil (mainland)</x:v>
      </x:c>
      <x:c r="C23" s="24" t="str">
        <x:v>EEZ</x:v>
      </x:c>
      <x:c r="D23" s="30" t="n">
        <x:v>2019</x:v>
      </x:c>
      <x:c r="E23" s="24" t="str">
        <x:v>Penaeus brasiliensis</x:v>
      </x:c>
      <x:c r="F23" s="24" t="str">
        <x:v>Redspotted shrimp</x:v>
      </x:c>
      <x:c r="G23" s="24" t="str">
        <x:v>Shrimps</x:v>
      </x:c>
      <x:c r="H23" s="24" t="str">
        <x:v>Crustaceans</x:v>
      </x:c>
      <x:c r="I23" s="31" t="n">
        <x:v>9000.00000142</x:v>
      </x:c>
      <x:c r="J23" s="31" t="n">
        <x:v>9000.00000142</x:v>
      </x:c>
      <x:c r="K23" s="31" t="n">
        <x:v>0</x:v>
      </x:c>
      <x:c r="L23" s="31" t="n">
        <x:v>9000.00000142</x:v>
      </x:c>
      <x:c r="M23" s="31" t="n">
        <x:v>0</x:v>
      </x:c>
      <x:c r="N23" s="24" t="str">
        <x:v>penaeus brasiliensis</x:v>
      </x:c>
      <x:c r="O23" s="32" t="n">
        <x:v>2.7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brasiliensis</x:v>
      </x:c>
      <x:c r="T23" s="32" t="n">
        <x:f>IF(O23="","",(1/'Metadata'!$B$5)^(O23-1))</x:f>
        <x:v>50.11872336272725</x:v>
      </x:c>
      <x:c r="U23" s="31" t="n">
        <x:f>IF(T23="","",I23*T23)</x:f>
        <x:v>451068.51033571386</x:v>
      </x:c>
    </x:row>
    <x:row r="24" ht="18" customHeight="1">
      <x:c r="A24" s="24" t="str">
        <x:v>EEZ_076</x:v>
      </x:c>
      <x:c r="B24" s="24" t="str">
        <x:v>Brazil (mainland)</x:v>
      </x:c>
      <x:c r="C24" s="24" t="str">
        <x:v>EEZ</x:v>
      </x:c>
      <x:c r="D24" s="30" t="n">
        <x:v>2019</x:v>
      </x:c>
      <x:c r="E24" s="24" t="str">
        <x:v>Sciaenidae</x:v>
      </x:c>
      <x:c r="F24" s="24" t="str">
        <x:v>Drums, croakers</x:v>
      </x:c>
      <x:c r="G24" s="24" t="str">
        <x:v>Medium demersals (30 - 89 cm)</x:v>
      </x:c>
      <x:c r="H24" s="24" t="str">
        <x:v>Perch-likes</x:v>
      </x:c>
      <x:c r="I24" s="31" t="n">
        <x:v>8750.2190966213</x:v>
      </x:c>
      <x:c r="J24" s="31" t="n">
        <x:v>2883.2493670123</x:v>
      </x:c>
      <x:c r="K24" s="31" t="n">
        <x:v>5866.969729609</x:v>
      </x:c>
      <x:c r="L24" s="31" t="n">
        <x:v>250.6450946861</x:v>
      </x:c>
      <x:c r="M24" s="31" t="n">
        <x:v>8499.574001935202</x:v>
      </x:c>
      <x:c r="N24" s="24" t="str">
        <x:v>sciaenidae</x:v>
      </x:c>
      <x:c r="O24" s="32" t="n">
        <x:v>3.76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Sciaenidae</x:v>
      </x:c>
      <x:c r="T24" s="32" t="n">
        <x:f>IF(O24="","",(1/'Metadata'!$B$5)^(O24-1))</x:f>
        <x:v>575.4399373371566</x:v>
      </x:c>
      <x:c r="U24" s="31" t="n">
        <x:f>IF(T24="","",I24*T24)</x:f>
        <x:v>5035225.5286461525</x:v>
      </x:c>
    </x:row>
    <x:row r="25" ht="18" customHeight="1">
      <x:c r="A25" s="24" t="str">
        <x:v>EEZ_076</x:v>
      </x:c>
      <x:c r="B25" s="24" t="str">
        <x:v>Brazil (mainland)</x:v>
      </x:c>
      <x:c r="C25" s="24" t="str">
        <x:v>EEZ</x:v>
      </x:c>
      <x:c r="D25" s="30" t="n">
        <x:v>2019</x:v>
      </x:c>
      <x:c r="E25" s="24" t="str">
        <x:v>Opisthonema oglinum</x:v>
      </x:c>
      <x:c r="F25" s="24" t="str">
        <x:v>Atlantic thread herring</x:v>
      </x:c>
      <x:c r="G25" s="24" t="str">
        <x:v>Small pelagics (&lt;30 cm)</x:v>
      </x:c>
      <x:c r="H25" s="24" t="str">
        <x:v>Herring-likes</x:v>
      </x:c>
      <x:c r="I25" s="31" t="n">
        <x:v>8444.0468969904</x:v>
      </x:c>
      <x:c r="J25" s="31" t="n">
        <x:v>8444.0468969904</x:v>
      </x:c>
      <x:c r="K25" s="31" t="n">
        <x:v>0</x:v>
      </x:c>
      <x:c r="L25" s="31" t="n">
        <x:v>8260.0000002774</x:v>
      </x:c>
      <x:c r="M25" s="31" t="n">
        <x:v>184.046896713</x:v>
      </x:c>
      <x:c r="N25" s="24" t="str">
        <x:v>opisthonema oglinum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Opisthonema oglinum</x:v>
      </x:c>
      <x:c r="T25" s="32" t="n">
        <x:f>IF(O25="","",(1/'Metadata'!$B$5)^(O25-1))</x:f>
        <x:v>3162.2776601683795</x:v>
      </x:c>
      <x:c r="U25" s="31" t="n">
        <x:f>IF(T25="","",I25*T25)</x:f>
        <x:v>26702420.863766868</x:v>
      </x:c>
    </x:row>
    <x:row r="26" ht="18" customHeight="1">
      <x:c r="A26" s="24" t="str">
        <x:v>EEZ_076</x:v>
      </x:c>
      <x:c r="B26" s="24" t="str">
        <x:v>Brazil (mainland)</x:v>
      </x:c>
      <x:c r="C26" s="24" t="str">
        <x:v>EEZ</x:v>
      </x:c>
      <x:c r="D26" s="30" t="n">
        <x:v>2019</x:v>
      </x:c>
      <x:c r="E26" s="24" t="str">
        <x:v>Stellifer rastrifer</x:v>
      </x:c>
      <x:c r="F26" s="24" t="str">
        <x:v>Rake stardrum</x:v>
      </x:c>
      <x:c r="G26" s="24" t="str">
        <x:v>Small demersals (&lt;30 cm)</x:v>
      </x:c>
      <x:c r="H26" s="24" t="str">
        <x:v>Perch-likes</x:v>
      </x:c>
      <x:c r="I26" s="31" t="n">
        <x:v>7970.4113199643</x:v>
      </x:c>
      <x:c r="J26" s="31" t="n">
        <x:v>0.0923859643</x:v>
      </x:c>
      <x:c r="K26" s="31" t="n">
        <x:v>7970.318934000001</x:v>
      </x:c>
      <x:c r="L26" s="31" t="n">
        <x:v>0.08904453109999999</x:v>
      </x:c>
      <x:c r="M26" s="31" t="n">
        <x:v>7970.3222754332</x:v>
      </x:c>
      <x:c r="N26" s="24" t="str">
        <x:v>stellifer rastrifer</x:v>
      </x:c>
      <x:c r="O26" s="32" t="n">
        <x:v>3.39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Stellifer rastrifer</x:v>
      </x:c>
      <x:c r="T26" s="32" t="n">
        <x:f>IF(O26="","",(1/'Metadata'!$B$5)^(O26-1))</x:f>
        <x:v>245.4708915685031</x:v>
      </x:c>
      <x:c r="U26" s="31" t="n">
        <x:f>IF(T26="","",I26*T26)</x:f>
        <x:v>1956503.9728793264</x:v>
      </x:c>
    </x:row>
    <x:row r="27" ht="18" customHeight="1">
      <x:c r="A27" s="24" t="str">
        <x:v>EEZ_076</x:v>
      </x:c>
      <x:c r="B27" s="24" t="str">
        <x:v>Brazil (mainland)</x:v>
      </x:c>
      <x:c r="C27" s="24" t="str">
        <x:v>EEZ</x:v>
      </x:c>
      <x:c r="D27" s="30" t="n">
        <x:v>2019</x:v>
      </x:c>
      <x:c r="E27" s="24" t="str">
        <x:v>Cynoscion</x:v>
      </x:c>
      <x:c r="F27" s="24" t="str">
        <x:v>Weakfishes</x:v>
      </x:c>
      <x:c r="G27" s="24" t="str">
        <x:v>Medium demersals (30 - 89 cm)</x:v>
      </x:c>
      <x:c r="H27" s="24" t="str">
        <x:v>Perch-likes</x:v>
      </x:c>
      <x:c r="I27" s="31" t="n">
        <x:v>7777.1995593504</x:v>
      </x:c>
      <x:c r="J27" s="31" t="n">
        <x:v>7777.1995593504</x:v>
      </x:c>
      <x:c r="K27" s="31" t="n">
        <x:v>0</x:v>
      </x:c>
      <x:c r="L27" s="31" t="n">
        <x:v>6299.9999997321</x:v>
      </x:c>
      <x:c r="M27" s="31" t="n">
        <x:v>1477.1995596182999</x:v>
      </x:c>
      <x:c r="N27" s="24" t="str">
        <x:v>cynoscion</x:v>
      </x:c>
      <x:c r="O27" s="32" t="n">
        <x:v>4.21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Cynoscion</x:v>
      </x:c>
      <x:c r="T27" s="32" t="n">
        <x:f>IF(O27="","",(1/'Metadata'!$B$5)^(O27-1))</x:f>
        <x:v>1621.8100973589299</x:v>
      </x:c>
      <x:c r="U27" s="31" t="n">
        <x:f>IF(T27="","",I27*T27)</x:f>
        <x:v>12613140.774529899</x:v>
      </x:c>
    </x:row>
    <x:row r="28" ht="18" customHeight="1">
      <x:c r="A28" s="24" t="str">
        <x:v>EEZ_076</x:v>
      </x:c>
      <x:c r="B28" s="24" t="str">
        <x:v>Brazil (mainland)</x:v>
      </x:c>
      <x:c r="C28" s="24" t="str">
        <x:v>EEZ</x:v>
      </x:c>
      <x:c r="D28" s="30" t="n">
        <x:v>2019</x:v>
      </x:c>
      <x:c r="E28" s="24" t="str">
        <x:v>Elasmobranchii</x:v>
      </x:c>
      <x:c r="F28" s="24" t="str">
        <x:v>Sharks, rays, skates</x:v>
      </x:c>
      <x:c r="G28" s="24" t="str">
        <x:v>Large sharks (&gt;=90 cm)</x:v>
      </x:c>
      <x:c r="H28" s="24" t="str">
        <x:v>Sharks &amp; rays</x:v>
      </x:c>
      <x:c r="I28" s="31" t="n">
        <x:v>6633.9006472234005</x:v>
      </x:c>
      <x:c r="J28" s="31" t="n">
        <x:v>6111.9504915054</x:v>
      </x:c>
      <x:c r="K28" s="31" t="n">
        <x:v>521.9501557179999</x:v>
      </x:c>
      <x:c r="L28" s="31" t="n">
        <x:v>5949.7632461923995</x:v>
      </x:c>
      <x:c r="M28" s="31" t="n">
        <x:v>684.137401031</x:v>
      </x:c>
      <x:c r="N28" s="24" t="str">
        <x:v>elasmobranchii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Elasmobranchii</x:v>
      </x:c>
      <x:c r="T28" s="32" t="n">
        <x:f>IF(O28="","",(1/'Metadata'!$B$5)^(O28-1))</x:f>
        <x:v>1122.018454301963</x:v>
      </x:c>
      <x:c r="U28" s="31" t="n">
        <x:f>IF(T28="","",I28*T28)</x:f>
        <x:v>7443358.950190391</x:v>
      </x:c>
    </x:row>
    <x:row r="29" ht="18" customHeight="1">
      <x:c r="A29" s="24" t="str">
        <x:v>EEZ_076</x:v>
      </x:c>
      <x:c r="B29" s="24" t="str">
        <x:v>Brazil (mainland)</x:v>
      </x:c>
      <x:c r="C29" s="24" t="str">
        <x:v>EEZ</x:v>
      </x:c>
      <x:c r="D29" s="30" t="n">
        <x:v>2019</x:v>
      </x:c>
      <x:c r="E29" s="24" t="str">
        <x:v>Lutjanus purpureus</x:v>
      </x:c>
      <x:c r="F29" s="24" t="str">
        <x:v>Southern red snapper</x:v>
      </x:c>
      <x:c r="G29" s="24" t="str">
        <x:v>Medium demersals (30 - 89 cm)</x:v>
      </x:c>
      <x:c r="H29" s="24" t="str">
        <x:v>Perch-likes</x:v>
      </x:c>
      <x:c r="I29" s="31" t="n">
        <x:v>6161.3459984</x:v>
      </x:c>
      <x:c r="J29" s="31" t="n">
        <x:v>6161.3459984</x:v>
      </x:c>
      <x:c r="K29" s="31" t="n">
        <x:v>0</x:v>
      </x:c>
      <x:c r="L29" s="31" t="n">
        <x:v>5999.9999996172</x:v>
      </x:c>
      <x:c r="M29" s="31" t="n">
        <x:v>161.3459987828</x:v>
      </x:c>
      <x:c r="N29" s="24" t="str">
        <x:v>lutjanus purpureus</x:v>
      </x:c>
      <x:c r="O29" s="32" t="n">
        <x:v>3.58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purpureus</x:v>
      </x:c>
      <x:c r="T29" s="32" t="n">
        <x:f>IF(O29="","",(1/'Metadata'!$B$5)^(O29-1))</x:f>
        <x:v>380.1893963205613</x:v>
      </x:c>
      <x:c r="U29" s="31" t="n">
        <x:f>IF(T29="","",I29*T29)</x:f>
        <x:v>2342478.415653802</x:v>
      </x:c>
    </x:row>
    <x:row r="30" ht="18" customHeight="1">
      <x:c r="A30" s="24" t="str">
        <x:v>EEZ_076</x:v>
      </x:c>
      <x:c r="B30" s="24" t="str">
        <x:v>Brazil (mainland)</x:v>
      </x:c>
      <x:c r="C30" s="24" t="str">
        <x:v>EEZ</x:v>
      </x:c>
      <x:c r="D30" s="30" t="n">
        <x:v>2019</x:v>
      </x:c>
      <x:c r="E30" s="24" t="str">
        <x:v>Mugil liza</x:v>
      </x:c>
      <x:c r="F30" s="24" t="str">
        <x:v>Lebranche mullet</x:v>
      </x:c>
      <x:c r="G30" s="24" t="str">
        <x:v>Medium demersals (30 - 89 cm)</x:v>
      </x:c>
      <x:c r="H30" s="24" t="str">
        <x:v>Perch-likes</x:v>
      </x:c>
      <x:c r="I30" s="31" t="n">
        <x:v>6115.7798181026</x:v>
      </x:c>
      <x:c r="J30" s="31" t="n">
        <x:v>6115.7798181026</x:v>
      </x:c>
      <x:c r="K30" s="31" t="n">
        <x:v>0</x:v>
      </x:c>
      <x:c r="L30" s="31" t="n">
        <x:v>5996.844815959</x:v>
      </x:c>
      <x:c r="M30" s="31" t="n">
        <x:v>118.9350021436</x:v>
      </x:c>
      <x:c r="N30" s="24" t="str">
        <x:v>mugil liza</x:v>
      </x:c>
      <x:c r="O30" s="32" t="n">
        <x:v>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Mugil liza</x:v>
      </x:c>
      <x:c r="T30" s="32" t="n">
        <x:f>IF(O30="","",(1/'Metadata'!$B$5)^(O30-1))</x:f>
        <x:v>10</x:v>
      </x:c>
      <x:c r="U30" s="31" t="n">
        <x:f>IF(T30="","",I30*T30)</x:f>
        <x:v>61157.798181026</x:v>
      </x:c>
    </x:row>
    <x:row r="31" ht="18" customHeight="1">
      <x:c r="A31" s="24" t="str">
        <x:v>EEZ_076</x:v>
      </x:c>
      <x:c r="B31" s="24" t="str">
        <x:v>Brazil (mainland)</x:v>
      </x:c>
      <x:c r="C31" s="24" t="str">
        <x:v>EEZ</x:v>
      </x:c>
      <x:c r="D31" s="30" t="n">
        <x:v>2019</x:v>
      </x:c>
      <x:c r="E31" s="24" t="str">
        <x:v>Sciades proops</x:v>
      </x:c>
      <x:c r="F31" s="24" t="str">
        <x:v>Crucifix sea catfish</x:v>
      </x:c>
      <x:c r="G31" s="24" t="str">
        <x:v>Medium demersals (30 - 89 cm)</x:v>
      </x:c>
      <x:c r="H31" s="24" t="str">
        <x:v>Other fishes &amp; inverts</x:v>
      </x:c>
      <x:c r="I31" s="31" t="n">
        <x:v>5975.7700600576</x:v>
      </x:c>
      <x:c r="J31" s="31" t="n">
        <x:v>5975.7700600576</x:v>
      </x:c>
      <x:c r="K31" s="31" t="n">
        <x:v>0</x:v>
      </x:c>
      <x:c r="L31" s="31" t="n">
        <x:v>5868.096765412</x:v>
      </x:c>
      <x:c r="M31" s="31" t="n">
        <x:v>107.67329464560001</x:v>
      </x:c>
      <x:c r="N31" s="24" t="str">
        <x:v>sciades proops</x:v>
      </x:c>
      <x:c r="O31" s="32" t="n">
        <x:v>4.36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Sciades proops</x:v>
      </x:c>
      <x:c r="T31" s="32" t="n">
        <x:f>IF(O31="","",(1/'Metadata'!$B$5)^(O31-1))</x:f>
        <x:v>2290.867652767775</x:v>
      </x:c>
      <x:c r="U31" s="31" t="n">
        <x:f>IF(T31="","",I31*T31)</x:f>
        <x:v>13689698.3309641</x:v>
      </x:c>
    </x:row>
    <x:row r="32" ht="18" customHeight="1">
      <x:c r="A32" s="24" t="str">
        <x:v>EEZ_076</x:v>
      </x:c>
      <x:c r="B32" s="24" t="str">
        <x:v>Brazil (mainland)</x:v>
      </x:c>
      <x:c r="C32" s="24" t="str">
        <x:v>EEZ</x:v>
      </x:c>
      <x:c r="D32" s="30" t="n">
        <x:v>2019</x:v>
      </x:c>
      <x:c r="E32" s="24" t="str">
        <x:v>Sciades parkeri</x:v>
      </x:c>
      <x:c r="F32" s="24" t="str">
        <x:v>Gillbacker sea catfish</x:v>
      </x:c>
      <x:c r="G32" s="24" t="str">
        <x:v>Large demersals (&gt;=90 cm)</x:v>
      </x:c>
      <x:c r="H32" s="24" t="str">
        <x:v>Other fishes &amp; inverts</x:v>
      </x:c>
      <x:c r="I32" s="31" t="n">
        <x:v>5902.9072928436</x:v>
      </x:c>
      <x:c r="J32" s="31" t="n">
        <x:v>5902.9072928436</x:v>
      </x:c>
      <x:c r="K32" s="31" t="n">
        <x:v>0</x:v>
      </x:c>
      <x:c r="L32" s="31" t="n">
        <x:v>5767.0140194294</x:v>
      </x:c>
      <x:c r="M32" s="31" t="n">
        <x:v>135.8932734142</x:v>
      </x:c>
      <x:c r="N32" s="24" t="str">
        <x:v>sciades parkeri</x:v>
      </x:c>
      <x:c r="O32" s="32" t="n">
        <x:v>4.14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Sciades parkeri</x:v>
      </x:c>
      <x:c r="T32" s="32" t="n">
        <x:f>IF(O32="","",(1/'Metadata'!$B$5)^(O32-1))</x:f>
        <x:v>1380.3842646028838</x:v>
      </x:c>
      <x:c r="U32" s="31" t="n">
        <x:f>IF(T32="","",I32*T32)</x:f>
        <x:v>8148280.342450912</x:v>
      </x:c>
    </x:row>
    <x:row r="33" ht="18" customHeight="1">
      <x:c r="A33" s="24" t="str">
        <x:v>EEZ_076</x:v>
      </x:c>
      <x:c r="B33" s="24" t="str">
        <x:v>Brazil (mainland)</x:v>
      </x:c>
      <x:c r="C33" s="24" t="str">
        <x:v>EEZ</x:v>
      </x:c>
      <x:c r="D33" s="30" t="n">
        <x:v>2019</x:v>
      </x:c>
      <x:c r="E33" s="24" t="str">
        <x:v>Prionace glauca</x:v>
      </x:c>
      <x:c r="F33" s="24" t="str">
        <x:v>Blue shark</x:v>
      </x:c>
      <x:c r="G33" s="24" t="str">
        <x:v>Large sharks (&gt;=90 cm)</x:v>
      </x:c>
      <x:c r="H33" s="24" t="str">
        <x:v>Sharks &amp; rays</x:v>
      </x:c>
      <x:c r="I33" s="31" t="n">
        <x:v>5602.3042118013</x:v>
      </x:c>
      <x:c r="J33" s="31" t="n">
        <x:v>5602.3042118013</x:v>
      </x:c>
      <x:c r="K33" s="31" t="n">
        <x:v>0</x:v>
      </x:c>
      <x:c r="L33" s="31" t="n">
        <x:v>5562.1871270102</x:v>
      </x:c>
      <x:c r="M33" s="31" t="n">
        <x:v>40.1170847911</x:v>
      </x:c>
      <x:c r="N33" s="24" t="str">
        <x:v>prionace glauca</x:v>
      </x:c>
      <x:c r="O33" s="32" t="n">
        <x:v>4.35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Prionace glauca</x:v>
      </x:c>
      <x:c r="T33" s="32" t="n">
        <x:f>IF(O33="","",(1/'Metadata'!$B$5)^(O33-1))</x:f>
        <x:v>2238.7211385683377</x:v>
      </x:c>
      <x:c r="U33" s="31" t="n">
        <x:f>IF(T33="","",I33*T33)</x:f>
        <x:v>12541996.86365</x:v>
      </x:c>
    </x:row>
    <x:row r="34" ht="18" customHeight="1">
      <x:c r="A34" s="24" t="str">
        <x:v>EEZ_076</x:v>
      </x:c>
      <x:c r="B34" s="24" t="str">
        <x:v>Brazil (mainland)</x:v>
      </x:c>
      <x:c r="C34" s="24" t="str">
        <x:v>EEZ</x:v>
      </x:c>
      <x:c r="D34" s="30" t="n">
        <x:v>2019</x:v>
      </x:c>
      <x:c r="E34" s="24" t="str">
        <x:v>Urophycis brasiliensis</x:v>
      </x:c>
      <x:c r="F34" s="24" t="str">
        <x:v>Brazilian codling</x:v>
      </x:c>
      <x:c r="G34" s="24" t="str">
        <x:v>Medium demersals (30 - 89 cm)</x:v>
      </x:c>
      <x:c r="H34" s="24" t="str">
        <x:v>Cod-likes</x:v>
      </x:c>
      <x:c r="I34" s="31" t="n">
        <x:v>5372.6917334551</x:v>
      </x:c>
      <x:c r="J34" s="31" t="n">
        <x:v>5372.6917334551</x:v>
      </x:c>
      <x:c r="K34" s="31" t="n">
        <x:v>0</x:v>
      </x:c>
      <x:c r="L34" s="31" t="n">
        <x:v>5249.9999992871</x:v>
      </x:c>
      <x:c r="M34" s="31" t="n">
        <x:v>122.691734168</x:v>
      </x:c>
      <x:c r="N34" s="24" t="str">
        <x:v>urophycis brasiliensis</x:v>
      </x:c>
      <x:c r="O34" s="32" t="n">
        <x:v>3.79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Urophycis brasiliensis</x:v>
      </x:c>
      <x:c r="T34" s="32" t="n">
        <x:f>IF(O34="","",(1/'Metadata'!$B$5)^(O34-1))</x:f>
        <x:v>616.5950018614822</x:v>
      </x:c>
      <x:c r="U34" s="31" t="n">
        <x:f>IF(T34="","",I34*T34)</x:f>
        <x:v>3312774.869390917</x:v>
      </x:c>
    </x:row>
    <x:row r="35" ht="18" customHeight="1">
      <x:c r="A35" s="24" t="str">
        <x:v>EEZ_076</x:v>
      </x:c>
      <x:c r="B35" s="24" t="str">
        <x:v>Brazil (mainland)</x:v>
      </x:c>
      <x:c r="C35" s="24" t="str">
        <x:v>EEZ</x:v>
      </x:c>
      <x:c r="D35" s="30" t="n">
        <x:v>2019</x:v>
      </x:c>
      <x:c r="E35" s="24" t="str">
        <x:v>Thunnus albacares</x:v>
      </x:c>
      <x:c r="F35" s="24" t="str">
        <x:v>Yellowfin tuna</x:v>
      </x:c>
      <x:c r="G35" s="24" t="str">
        <x:v>Large pelagics (&gt;=90 cm)</x:v>
      </x:c>
      <x:c r="H35" s="24" t="str">
        <x:v>Tuna &amp; billfishes</x:v>
      </x:c>
      <x:c r="I35" s="31" t="n">
        <x:v>5111.526513564</x:v>
      </x:c>
      <x:c r="J35" s="31" t="n">
        <x:v>5111.526513564</x:v>
      </x:c>
      <x:c r="K35" s="31" t="n">
        <x:v>0</x:v>
      </x:c>
      <x:c r="L35" s="31" t="n">
        <x:v>4993.110403342</x:v>
      </x:c>
      <x:c r="M35" s="31" t="n">
        <x:v>118.416110222</x:v>
      </x:c>
      <x:c r="N35" s="24" t="str">
        <x:v>thunnus albacares</x:v>
      </x:c>
      <x:c r="O35" s="32" t="n">
        <x:v>4.41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albacares</x:v>
      </x:c>
      <x:c r="T35" s="32" t="n">
        <x:f>IF(O35="","",(1/'Metadata'!$B$5)^(O35-1))</x:f>
        <x:v>2570.3957827688646</x:v>
      </x:c>
      <x:c r="U35" s="31" t="n">
        <x:f>IF(T35="","",I35*T35)</x:f>
        <x:v>13138646.193976143</x:v>
      </x:c>
    </x:row>
    <x:row r="36" ht="18" customHeight="1">
      <x:c r="A36" s="24" t="str">
        <x:v>EEZ_076</x:v>
      </x:c>
      <x:c r="B36" s="24" t="str">
        <x:v>Brazil (mainland)</x:v>
      </x:c>
      <x:c r="C36" s="24" t="str">
        <x:v>EEZ</x:v>
      </x:c>
      <x:c r="D36" s="30" t="n">
        <x:v>2019</x:v>
      </x:c>
      <x:c r="E36" s="24" t="str">
        <x:v>Cynoscion virescens</x:v>
      </x:c>
      <x:c r="F36" s="24" t="str">
        <x:v>Green weakfish</x:v>
      </x:c>
      <x:c r="G36" s="24" t="str">
        <x:v>Large demersals (&gt;=90 cm)</x:v>
      </x:c>
      <x:c r="H36" s="24" t="str">
        <x:v>Perch-likes</x:v>
      </x:c>
      <x:c r="I36" s="31" t="n">
        <x:v>5106.1098158929</x:v>
      </x:c>
      <x:c r="J36" s="31" t="n">
        <x:v>1914.4848207429</x:v>
      </x:c>
      <x:c r="K36" s="31" t="n">
        <x:v>3191.6249951500004</x:v>
      </x:c>
      <x:c r="L36" s="31" t="n">
        <x:v>800.0000000110999</x:v>
      </x:c>
      <x:c r="M36" s="31" t="n">
        <x:v>4306.1098158818</x:v>
      </x:c>
      <x:c r="N36" s="24" t="str">
        <x:v>cynoscion virescens</x:v>
      </x:c>
      <x:c r="O36" s="32" t="n">
        <x:v>4.03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Cynoscion virescens</x:v>
      </x:c>
      <x:c r="T36" s="32" t="n">
        <x:f>IF(O36="","",(1/'Metadata'!$B$5)^(O36-1))</x:f>
        <x:v>1071.519305237607</x:v>
      </x:c>
      <x:c r="U36" s="31" t="n">
        <x:f>IF(T36="","",I36*T36)</x:f>
        <x:v>5471295.242392486</x:v>
      </x:c>
    </x:row>
    <x:row r="37" ht="18" customHeight="1">
      <x:c r="A37" s="24" t="str">
        <x:v>EEZ_076</x:v>
      </x:c>
      <x:c r="B37" s="24" t="str">
        <x:v>Brazil (mainland)</x:v>
      </x:c>
      <x:c r="C37" s="24" t="str">
        <x:v>EEZ</x:v>
      </x:c>
      <x:c r="D37" s="30" t="n">
        <x:v>2019</x:v>
      </x:c>
      <x:c r="E37" s="24" t="str">
        <x:v>Ocyurus chrysurus</x:v>
      </x:c>
      <x:c r="F37" s="24" t="str">
        <x:v>Yellowtail snapper</x:v>
      </x:c>
      <x:c r="G37" s="24" t="str">
        <x:v>Medium reef assoc. fish (30 - 89 cm)</x:v>
      </x:c>
      <x:c r="H37" s="24" t="str">
        <x:v>Perch-likes</x:v>
      </x:c>
      <x:c r="I37" s="31" t="n">
        <x:v>4899.935760159799</x:v>
      </x:c>
      <x:c r="J37" s="31" t="n">
        <x:v>4899.935760159799</x:v>
      </x:c>
      <x:c r="K37" s="31" t="n">
        <x:v>0</x:v>
      </x:c>
      <x:c r="L37" s="31" t="n">
        <x:v>4799.9999999422</x:v>
      </x:c>
      <x:c r="M37" s="31" t="n">
        <x:v>99.93576021759999</x:v>
      </x:c>
      <x:c r="N37" s="24" t="str">
        <x:v>ocyurus chrysurus</x:v>
      </x:c>
      <x:c r="O37" s="32" t="n">
        <x:v>4.03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Ocyurus chrysurus</x:v>
      </x:c>
      <x:c r="T37" s="32" t="n">
        <x:f>IF(O37="","",(1/'Metadata'!$B$5)^(O37-1))</x:f>
        <x:v>1071.519305237607</x:v>
      </x:c>
      <x:c r="U37" s="31" t="n">
        <x:f>IF(T37="","",I37*T37)</x:f>
        <x:v>5250375.761435335</x:v>
      </x:c>
    </x:row>
    <x:row r="38" ht="18" customHeight="1">
      <x:c r="A38" s="24" t="str">
        <x:v>EEZ_076</x:v>
      </x:c>
      <x:c r="B38" s="24" t="str">
        <x:v>Brazil (mainland)</x:v>
      </x:c>
      <x:c r="C38" s="24" t="str">
        <x:v>EEZ</x:v>
      </x:c>
      <x:c r="D38" s="30" t="n">
        <x:v>2019</x:v>
      </x:c>
      <x:c r="E38" s="24" t="str">
        <x:v>Panulirus argus</x:v>
      </x:c>
      <x:c r="F38" s="24" t="str">
        <x:v>Caribbean spiny lobster</x:v>
      </x:c>
      <x:c r="G38" s="24" t="str">
        <x:v>Lobsters, crabs</x:v>
      </x:c>
      <x:c r="H38" s="24" t="str">
        <x:v>Crustaceans</x:v>
      </x:c>
      <x:c r="I38" s="31" t="n">
        <x:v>4541.990424606201</x:v>
      </x:c>
      <x:c r="J38" s="31" t="n">
        <x:v>4541.990424606201</x:v>
      </x:c>
      <x:c r="K38" s="31" t="n">
        <x:v>0</x:v>
      </x:c>
      <x:c r="L38" s="31" t="n">
        <x:v>4490.5489302282</x:v>
      </x:c>
      <x:c r="M38" s="31" t="n">
        <x:v>51.441494378</x:v>
      </x:c>
      <x:c r="N38" s="24" t="str">
        <x:v>panulirus argus</x:v>
      </x:c>
      <x:c r="O38" s="32" t="n">
        <x:v>3.2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Panulirus argus</x:v>
      </x:c>
      <x:c r="T38" s="32" t="n">
        <x:f>IF(O38="","",(1/'Metadata'!$B$5)^(O38-1))</x:f>
        <x:v>158.48931924611142</x:v>
      </x:c>
      <x:c r="U38" s="31" t="n">
        <x:f>IF(T38="","",I38*T38)</x:f>
        <x:v>719856.9704181933</x:v>
      </x:c>
    </x:row>
    <x:row r="39" ht="18" customHeight="1">
      <x:c r="A39" s="24" t="str">
        <x:v>EEZ_076</x:v>
      </x:c>
      <x:c r="B39" s="24" t="str">
        <x:v>Brazil (mainland)</x:v>
      </x:c>
      <x:c r="C39" s="24" t="str">
        <x:v>EEZ</x:v>
      </x:c>
      <x:c r="D39" s="30" t="n">
        <x:v>2019</x:v>
      </x:c>
      <x:c r="E39" s="24" t="str">
        <x:v>Mytilidae</x:v>
      </x:c>
      <x:c r="F39" s="24" t="str">
        <x:v>Sea mussels</x:v>
      </x:c>
      <x:c r="G39" s="24" t="str">
        <x:v>Other demersal invertebrates</x:v>
      </x:c>
      <x:c r="H39" s="24" t="str">
        <x:v>Molluscs</x:v>
      </x:c>
      <x:c r="I39" s="31" t="n">
        <x:v>4276.9235057811</x:v>
      </x:c>
      <x:c r="J39" s="31" t="n">
        <x:v>4276.9235057811</x:v>
      </x:c>
      <x:c r="K39" s="31" t="n">
        <x:v>0</x:v>
      </x:c>
      <x:c r="L39" s="31" t="n">
        <x:v>4234.56445388</x:v>
      </x:c>
      <x:c r="M39" s="31" t="n">
        <x:v>42.3590519011</x:v>
      </x:c>
      <x:c r="N39" s="24" t="str">
        <x:v>mytilidae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Mytilidae</x:v>
      </x:c>
      <x:c r="T39" s="32" t="n">
        <x:f>IF(O39="","",(1/'Metadata'!$B$5)^(O39-1))</x:f>
        <x:v>10</x:v>
      </x:c>
      <x:c r="U39" s="31" t="n">
        <x:f>IF(T39="","",I39*T39)</x:f>
        <x:v>42769.235057811005</x:v>
      </x:c>
    </x:row>
    <x:row r="40" ht="18" customHeight="1">
      <x:c r="A40" s="24" t="str">
        <x:v>EEZ_076</x:v>
      </x:c>
      <x:c r="B40" s="24" t="str">
        <x:v>Brazil (mainland)</x:v>
      </x:c>
      <x:c r="C40" s="24" t="str">
        <x:v>EEZ</x:v>
      </x:c>
      <x:c r="D40" s="30" t="n">
        <x:v>2019</x:v>
      </x:c>
      <x:c r="E40" s="24" t="str">
        <x:v>Bagre bagre</x:v>
      </x:c>
      <x:c r="F40" s="24" t="str">
        <x:v>Coco sea catfish</x:v>
      </x:c>
      <x:c r="G40" s="24" t="str">
        <x:v>Medium demersals (30 - 89 cm)</x:v>
      </x:c>
      <x:c r="H40" s="24" t="str">
        <x:v>Other fishes &amp; inverts</x:v>
      </x:c>
      <x:c r="I40" s="31" t="n">
        <x:v>4104.498482977</x:v>
      </x:c>
      <x:c r="J40" s="31" t="n">
        <x:v>4104.498482977</x:v>
      </x:c>
      <x:c r="K40" s="31" t="n">
        <x:v>0</x:v>
      </x:c>
      <x:c r="L40" s="31" t="n">
        <x:v>4030.804766192</x:v>
      </x:c>
      <x:c r="M40" s="31" t="n">
        <x:v>73.69371678499999</x:v>
      </x:c>
      <x:c r="N40" s="24" t="str">
        <x:v>bagre bagre</x:v>
      </x:c>
      <x:c r="O40" s="32" t="n">
        <x:v>4.01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Bagre bagre</x:v>
      </x:c>
      <x:c r="T40" s="32" t="n">
        <x:f>IF(O40="","",(1/'Metadata'!$B$5)^(O40-1))</x:f>
        <x:v>1023.2929922807537</x:v>
      </x:c>
      <x:c r="U40" s="31" t="n">
        <x:f>IF(T40="","",I40*T40)</x:f>
        <x:v>4200104.534457348</x:v>
      </x:c>
    </x:row>
    <x:row r="41" ht="18" customHeight="1">
      <x:c r="A41" s="24" t="str">
        <x:v>EEZ_076</x:v>
      </x:c>
      <x:c r="B41" s="24" t="str">
        <x:v>Brazil (mainland)</x:v>
      </x:c>
      <x:c r="C41" s="24" t="str">
        <x:v>EEZ</x:v>
      </x:c>
      <x:c r="D41" s="30" t="n">
        <x:v>2019</x:v>
      </x:c>
      <x:c r="E41" s="24" t="str">
        <x:v>Cynoglossidae</x:v>
      </x:c>
      <x:c r="F41" s="24" t="str">
        <x:v>Tonguefishes</x:v>
      </x:c>
      <x:c r="G41" s="24" t="str">
        <x:v>Small to medium flatfishes (&lt;90 cm)</x:v>
      </x:c>
      <x:c r="H41" s="24" t="str">
        <x:v>Flatfishes</x:v>
      </x:c>
      <x:c r="I41" s="31" t="n">
        <x:v>4104.206219562</x:v>
      </x:c>
      <x:c r="J41" s="31" t="n">
        <x:v>0.093327298</x:v>
      </x:c>
      <x:c r="K41" s="31" t="n">
        <x:v>4104.112892264</x:v>
      </x:c>
      <x:c r="L41" s="31" t="n">
        <x:v>0.093327298</x:v>
      </x:c>
      <x:c r="M41" s="31" t="n">
        <x:v>4104.112892264</x:v>
      </x:c>
      <x:c r="N41" s="24" t="str">
        <x:v>cynoglossidae</x:v>
      </x:c>
      <x:c r="O41" s="32" t="n">
        <x:v>3.29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Cynoglossidae</x:v>
      </x:c>
      <x:c r="T41" s="32" t="n">
        <x:f>IF(O41="","",(1/'Metadata'!$B$5)^(O41-1))</x:f>
        <x:v>194.98445997580455</x:v>
      </x:c>
      <x:c r="U41" s="31" t="n">
        <x:f>IF(T41="","",I41*T41)</x:f>
        <x:v>800256.4333506349</x:v>
      </x:c>
    </x:row>
    <x:row r="42" ht="18" customHeight="1">
      <x:c r="A42" s="24" t="str">
        <x:v>EEZ_076</x:v>
      </x:c>
      <x:c r="B42" s="24" t="str">
        <x:v>Brazil (mainland)</x:v>
      </x:c>
      <x:c r="C42" s="24" t="str">
        <x:v>EEZ</x:v>
      </x:c>
      <x:c r="D42" s="30" t="n">
        <x:v>2019</x:v>
      </x:c>
      <x:c r="E42" s="24" t="str">
        <x:v>Xiphias gladius</x:v>
      </x:c>
      <x:c r="F42" s="24" t="str">
        <x:v>Swordfish</x:v>
      </x:c>
      <x:c r="G42" s="24" t="str">
        <x:v>Large pelagics (&gt;=90 cm)</x:v>
      </x:c>
      <x:c r="H42" s="24" t="str">
        <x:v>Tuna &amp; billfishes</x:v>
      </x:c>
      <x:c r="I42" s="31" t="n">
        <x:v>4021.2428525735</x:v>
      </x:c>
      <x:c r="J42" s="31" t="n">
        <x:v>4021.2428525735</x:v>
      </x:c>
      <x:c r="K42" s="31" t="n">
        <x:v>0</x:v>
      </x:c>
      <x:c r="L42" s="31" t="n">
        <x:v>3963.5837498434</x:v>
      </x:c>
      <x:c r="M42" s="31" t="n">
        <x:v>57.6591027301</x:v>
      </x:c>
      <x:c r="N42" s="24" t="str">
        <x:v>xiphias gladius</x:v>
      </x:c>
      <x:c r="O42" s="32" t="n">
        <x:v>4.53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Xiphias gladius</x:v>
      </x:c>
      <x:c r="T42" s="32" t="n">
        <x:f>IF(O42="","",(1/'Metadata'!$B$5)^(O42-1))</x:f>
        <x:v>3388.4415613920273</x:v>
      </x:c>
      <x:c r="U42" s="31" t="n">
        <x:f>IF(T42="","",I42*T42)</x:f>
        <x:v>13625746.41011068</x:v>
      </x:c>
    </x:row>
    <x:row r="43" ht="18" customHeight="1">
      <x:c r="A43" s="24" t="str">
        <x:v>EEZ_076</x:v>
      </x:c>
      <x:c r="B43" s="24" t="str">
        <x:v>Brazil (mainland)</x:v>
      </x:c>
      <x:c r="C43" s="24" t="str">
        <x:v>EEZ</x:v>
      </x:c>
      <x:c r="D43" s="30" t="n">
        <x:v>2019</x:v>
      </x:c>
      <x:c r="E43" s="24" t="str">
        <x:v>Bivalvia</x:v>
      </x:c>
      <x:c r="F43" s="24" t="str">
        <x:v>Clams</x:v>
      </x:c>
      <x:c r="G43" s="24" t="str">
        <x:v>Other demersal invertebrates</x:v>
      </x:c>
      <x:c r="H43" s="24" t="str">
        <x:v>Molluscs</x:v>
      </x:c>
      <x:c r="I43" s="31" t="n">
        <x:v>3877.2643583089</x:v>
      </x:c>
      <x:c r="J43" s="31" t="n">
        <x:v>3877.2643583089</x:v>
      </x:c>
      <x:c r="K43" s="31" t="n">
        <x:v>0</x:v>
      </x:c>
      <x:c r="L43" s="31" t="n">
        <x:v>1180.6982998749</x:v>
      </x:c>
      <x:c r="M43" s="31" t="n">
        <x:v>2696.566058434</x:v>
      </x:c>
      <x:c r="N43" s="24" t="str">
        <x:v>bivalvia</x:v>
      </x:c>
      <x:c r="O43" s="32" t="n">
        <x:v>2.23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Bivalvia</x:v>
      </x:c>
      <x:c r="T43" s="32" t="n">
        <x:f>IF(O43="","",(1/'Metadata'!$B$5)^(O43-1))</x:f>
        <x:v>16.982436524617444</x:v>
      </x:c>
      <x:c r="U43" s="31" t="n">
        <x:f>IF(T43="","",I43*T43)</x:f>
        <x:v>65845.39585414248</x:v>
      </x:c>
    </x:row>
    <x:row r="44" ht="18" customHeight="1">
      <x:c r="A44" s="24" t="str">
        <x:v>EEZ_076</x:v>
      </x:c>
      <x:c r="B44" s="24" t="str">
        <x:v>Brazil (mainland)</x:v>
      </x:c>
      <x:c r="C44" s="24" t="str">
        <x:v>EEZ</x:v>
      </x:c>
      <x:c r="D44" s="30" t="n">
        <x:v>2019</x:v>
      </x:c>
      <x:c r="E44" s="24" t="str">
        <x:v>Balistes capriscus</x:v>
      </x:c>
      <x:c r="F44" s="24" t="str">
        <x:v>Grey triggerfish</x:v>
      </x:c>
      <x:c r="G44" s="24" t="str">
        <x:v>Medium benthopelagics (30 - 89 cm)</x:v>
      </x:c>
      <x:c r="H44" s="24" t="str">
        <x:v>Other fishes &amp; inverts</x:v>
      </x:c>
      <x:c r="I44" s="31" t="n">
        <x:v>3797.3206297974</x:v>
      </x:c>
      <x:c r="J44" s="31" t="n">
        <x:v>3797.3206297974</x:v>
      </x:c>
      <x:c r="K44" s="31" t="n">
        <x:v>0</x:v>
      </x:c>
      <x:c r="L44" s="31" t="n">
        <x:v>3690.66881129</x:v>
      </x:c>
      <x:c r="M44" s="31" t="n">
        <x:v>106.65181850740001</x:v>
      </x:c>
      <x:c r="N44" s="24" t="str">
        <x:v>balistes capriscus</x:v>
      </x:c>
      <x:c r="O44" s="32" t="n">
        <x:v>4.06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Balistes capriscus</x:v>
      </x:c>
      <x:c r="T44" s="32" t="n">
        <x:f>IF(O44="","",(1/'Metadata'!$B$5)^(O44-1))</x:f>
        <x:v>1148.1536214968817</x:v>
      </x:c>
      <x:c r="U44" s="31" t="n">
        <x:f>IF(T44="","",I44*T44)</x:f>
        <x:v>4359907.433086704</x:v>
      </x:c>
    </x:row>
    <x:row r="45" ht="18" customHeight="1">
      <x:c r="A45" s="24" t="str">
        <x:v>EEZ_076</x:v>
      </x:c>
      <x:c r="B45" s="24" t="str">
        <x:v>Brazil (mainland)</x:v>
      </x:c>
      <x:c r="C45" s="24" t="str">
        <x:v>EEZ</x:v>
      </x:c>
      <x:c r="D45" s="30" t="n">
        <x:v>2019</x:v>
      </x:c>
      <x:c r="E45" s="24" t="str">
        <x:v>Scomberomorus brasiliensis</x:v>
      </x:c>
      <x:c r="F45" s="24" t="str">
        <x:v>Serra Spanish mackerel</x:v>
      </x:c>
      <x:c r="G45" s="24" t="str">
        <x:v>Large pelagics (&gt;=90 cm)</x:v>
      </x:c>
      <x:c r="H45" s="24" t="str">
        <x:v>Perch-likes</x:v>
      </x:c>
      <x:c r="I45" s="31" t="n">
        <x:v>3759.2771051756</x:v>
      </x:c>
      <x:c r="J45" s="31" t="n">
        <x:v>3759.2771051756</x:v>
      </x:c>
      <x:c r="K45" s="31" t="n">
        <x:v>0</x:v>
      </x:c>
      <x:c r="L45" s="31" t="n">
        <x:v>246.1772397194</x:v>
      </x:c>
      <x:c r="M45" s="31" t="n">
        <x:v>3513.0998654562</x:v>
      </x:c>
      <x:c r="N45" s="24" t="str">
        <x:v>scomberomorus brasiliensis</x:v>
      </x:c>
      <x:c r="O45" s="32" t="n">
        <x:v>3.31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Scomberomorus brasiliensis</x:v>
      </x:c>
      <x:c r="T45" s="32" t="n">
        <x:f>IF(O45="","",(1/'Metadata'!$B$5)^(O45-1))</x:f>
        <x:v>204.17379446695296</x:v>
      </x:c>
      <x:c r="U45" s="31" t="n">
        <x:f>IF(T45="","",I45*T45)</x:f>
        <x:v>767545.8710164449</x:v>
      </x:c>
    </x:row>
    <x:row r="46" ht="18" customHeight="1">
      <x:c r="A46" s="24" t="str">
        <x:v>EEZ_076</x:v>
      </x:c>
      <x:c r="B46" s="24" t="str">
        <x:v>Brazil (mainland)</x:v>
      </x:c>
      <x:c r="C46" s="24" t="str">
        <x:v>EEZ</x:v>
      </x:c>
      <x:c r="D46" s="30" t="n">
        <x:v>2019</x:v>
      </x:c>
      <x:c r="E46" s="24" t="str">
        <x:v>Pomatomus saltatrix</x:v>
      </x:c>
      <x:c r="F46" s="24" t="str">
        <x:v>Bluefish</x:v>
      </x:c>
      <x:c r="G46" s="24" t="str">
        <x:v>Large pelagics (&gt;=90 cm)</x:v>
      </x:c>
      <x:c r="H46" s="24" t="str">
        <x:v>Perch-likes</x:v>
      </x:c>
      <x:c r="I46" s="31" t="n">
        <x:v>3602.9330615158</x:v>
      </x:c>
      <x:c r="J46" s="31" t="n">
        <x:v>3602.9330615158</x:v>
      </x:c>
      <x:c r="K46" s="31" t="n">
        <x:v>0</x:v>
      </x:c>
      <x:c r="L46" s="31" t="n">
        <x:v>3539.9999999529</x:v>
      </x:c>
      <x:c r="M46" s="31" t="n">
        <x:v>62.9330615629</x:v>
      </x:c>
      <x:c r="N46" s="24" t="str">
        <x:v>pomatomus saltatrix</x:v>
      </x:c>
      <x:c r="O46" s="32" t="n">
        <x:v>4.53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Pomatomus saltatrix</x:v>
      </x:c>
      <x:c r="T46" s="32" t="n">
        <x:f>IF(O46="","",(1/'Metadata'!$B$5)^(O46-1))</x:f>
        <x:v>3388.4415613920273</x:v>
      </x:c>
      <x:c r="U46" s="31" t="n">
        <x:f>IF(T46="","",I46*T46)</x:f>
        <x:v>12208328.128553554</x:v>
      </x:c>
    </x:row>
    <x:row r="47" ht="18" customHeight="1">
      <x:c r="A47" s="24" t="str">
        <x:v>EEZ_076</x:v>
      </x:c>
      <x:c r="B47" s="24" t="str">
        <x:v>Brazil (mainland)</x:v>
      </x:c>
      <x:c r="C47" s="24" t="str">
        <x:v>EEZ</x:v>
      </x:c>
      <x:c r="D47" s="30" t="n">
        <x:v>2019</x:v>
      </x:c>
      <x:c r="E47" s="24" t="str">
        <x:v>Harengula clupeola</x:v>
      </x:c>
      <x:c r="F47" s="24" t="str">
        <x:v>False herring</x:v>
      </x:c>
      <x:c r="G47" s="24" t="str">
        <x:v>Small pelagics (&lt;30 cm)</x:v>
      </x:c>
      <x:c r="H47" s="24" t="str">
        <x:v>Herring-likes</x:v>
      </x:c>
      <x:c r="I47" s="31" t="n">
        <x:v>3555.159345653</x:v>
      </x:c>
      <x:c r="J47" s="31" t="n">
        <x:v>3555.159345653</x:v>
      </x:c>
      <x:c r="K47" s="31" t="n">
        <x:v>0</x:v>
      </x:c>
      <x:c r="L47" s="31" t="n">
        <x:v>3438.504190872</x:v>
      </x:c>
      <x:c r="M47" s="31" t="n">
        <x:v>116.65515478100001</x:v>
      </x:c>
      <x:c r="N47" s="24" t="str">
        <x:v>harengula clupeola</x:v>
      </x:c>
      <x:c r="O47" s="32" t="n">
        <x:v>3.31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Harengula clupeola</x:v>
      </x:c>
      <x:c r="T47" s="32" t="n">
        <x:f>IF(O47="","",(1/'Metadata'!$B$5)^(O47-1))</x:f>
        <x:v>204.17379446695296</x:v>
      </x:c>
      <x:c r="U47" s="31" t="n">
        <x:f>IF(T47="","",I47*T47)</x:f>
        <x:v>725870.3735366226</x:v>
      </x:c>
    </x:row>
    <x:row r="48" ht="18" customHeight="1">
      <x:c r="A48" s="24" t="str">
        <x:v>EEZ_076</x:v>
      </x:c>
      <x:c r="B48" s="24" t="str">
        <x:v>Brazil (mainland)</x:v>
      </x:c>
      <x:c r="C48" s="24" t="str">
        <x:v>EEZ</x:v>
      </x:c>
      <x:c r="D48" s="30" t="n">
        <x:v>2019</x:v>
      </x:c>
      <x:c r="E48" s="24" t="str">
        <x:v>Penaeus schmitti</x:v>
      </x:c>
      <x:c r="F48" s="24" t="str">
        <x:v>Southern white shrimp</x:v>
      </x:c>
      <x:c r="G48" s="24" t="str">
        <x:v>Shrimps</x:v>
      </x:c>
      <x:c r="H48" s="24" t="str">
        <x:v>Crustaceans</x:v>
      </x:c>
      <x:c r="I48" s="31" t="n">
        <x:v>3541.2200843429</x:v>
      </x:c>
      <x:c r="J48" s="31" t="n">
        <x:v>3541.2200843429</x:v>
      </x:c>
      <x:c r="K48" s="31" t="n">
        <x:v>0</x:v>
      </x:c>
      <x:c r="L48" s="31" t="n">
        <x:v>3499.9999999169</x:v>
      </x:c>
      <x:c r="M48" s="31" t="n">
        <x:v>41.220084426</x:v>
      </x:c>
      <x:c r="N48" s="24" t="str">
        <x:v>penaeus schmitti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Penaeus schmitti</x:v>
      </x:c>
      <x:c r="T48" s="32" t="n">
        <x:f>IF(O48="","",(1/'Metadata'!$B$5)^(O48-1))</x:f>
        <x:v>50.11872336272725</x:v>
      </x:c>
      <x:c r="U48" s="31" t="n">
        <x:f>IF(T48="","",I48*T48)</x:f>
        <x:v>177481.42977371547</x:v>
      </x:c>
    </x:row>
    <x:row r="49" ht="18" customHeight="1">
      <x:c r="A49" s="24" t="str">
        <x:v>EEZ_076</x:v>
      </x:c>
      <x:c r="B49" s="24" t="str">
        <x:v>Brazil (mainland)</x:v>
      </x:c>
      <x:c r="C49" s="24" t="str">
        <x:v>EEZ</x:v>
      </x:c>
      <x:c r="D49" s="30" t="n">
        <x:v>2019</x:v>
      </x:c>
      <x:c r="E49" s="24" t="str">
        <x:v>Rajiformes</x:v>
      </x:c>
      <x:c r="F49" s="24" t="str">
        <x:v>Skates and rays</x:v>
      </x:c>
      <x:c r="G49" s="24" t="str">
        <x:v>Large rays (&gt;=90 cm)</x:v>
      </x:c>
      <x:c r="H49" s="24" t="str">
        <x:v>Sharks &amp; rays</x:v>
      </x:c>
      <x:c r="I49" s="31" t="n">
        <x:v>3528.0804111935</x:v>
      </x:c>
      <x:c r="J49" s="31" t="n">
        <x:v>3528.0804111935</x:v>
      </x:c>
      <x:c r="K49" s="31" t="n">
        <x:v>0</x:v>
      </x:c>
      <x:c r="L49" s="31" t="n">
        <x:v>3455.1467267194002</x:v>
      </x:c>
      <x:c r="M49" s="31" t="n">
        <x:v>72.93368447409999</x:v>
      </x:c>
      <x:c r="N49" s="24" t="str">
        <x:v>rajiformes</x:v>
      </x:c>
      <x:c r="O49" s="32" t="n">
        <x:v>3.61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Rajiformes</x:v>
      </x:c>
      <x:c r="T49" s="32" t="n">
        <x:f>IF(O49="","",(1/'Metadata'!$B$5)^(O49-1))</x:f>
        <x:v>407.3802778041126</x:v>
      </x:c>
      <x:c r="U49" s="31" t="n">
        <x:f>IF(T49="","",I49*T49)</x:f>
        <x:v>1437270.3780272559</x:v>
      </x:c>
    </x:row>
    <x:row r="50" ht="18" customHeight="1">
      <x:c r="A50" s="24" t="str">
        <x:v>EEZ_076</x:v>
      </x:c>
      <x:c r="B50" s="24" t="str">
        <x:v>Brazil (mainland)</x:v>
      </x:c>
      <x:c r="C50" s="24" t="str">
        <x:v>EEZ</x:v>
      </x:c>
      <x:c r="D50" s="30" t="n">
        <x:v>2019</x:v>
      </x:c>
      <x:c r="E50" s="24" t="str">
        <x:v>Selene setapinnis</x:v>
      </x:c>
      <x:c r="F50" s="24" t="str">
        <x:v>Atlantic moonfish</x:v>
      </x:c>
      <x:c r="G50" s="24" t="str">
        <x:v>Medium demersals (30 - 89 cm)</x:v>
      </x:c>
      <x:c r="H50" s="24" t="str">
        <x:v>Perch-likes</x:v>
      </x:c>
      <x:c r="I50" s="31" t="n">
        <x:v>3503.3052509749</x:v>
      </x:c>
      <x:c r="J50" s="31" t="n">
        <x:v>2002.8497939249</x:v>
      </x:c>
      <x:c r="K50" s="31" t="n">
        <x:v>1500.45545705</x:v>
      </x:c>
      <x:c r="L50" s="31" t="n">
        <x:v>1940.000000011</x:v>
      </x:c>
      <x:c r="M50" s="31" t="n">
        <x:v>1563.3052509639</x:v>
      </x:c>
      <x:c r="N50" s="24" t="str">
        <x:v>selene setapinnis</x:v>
      </x:c>
      <x:c r="O50" s="32" t="n">
        <x:v>3.72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Selene setapinnis</x:v>
      </x:c>
      <x:c r="T50" s="32" t="n">
        <x:f>IF(O50="","",(1/'Metadata'!$B$5)^(O50-1))</x:f>
        <x:v>524.8074602497728</x:v>
      </x:c>
      <x:c r="U50" s="31" t="n">
        <x:f>IF(T50="","",I50*T50)</x:f>
        <x:v>1838560.7312438302</x:v>
      </x:c>
    </x:row>
    <x:row r="51" ht="18" customHeight="1">
      <x:c r="A51" s="24" t="str">
        <x:v>EEZ_076</x:v>
      </x:c>
      <x:c r="B51" s="24" t="str">
        <x:v>Brazil (mainland)</x:v>
      </x:c>
      <x:c r="C51" s="24" t="str">
        <x:v>EEZ</x:v>
      </x:c>
      <x:c r="D51" s="30" t="n">
        <x:v>2019</x:v>
      </x:c>
      <x:c r="E51" s="24" t="str">
        <x:v>Lutjanus analis</x:v>
      </x:c>
      <x:c r="F51" s="24" t="str">
        <x:v>Mutton snapper</x:v>
      </x:c>
      <x:c r="G51" s="24" t="str">
        <x:v>Medium reef assoc. fish (30 - 89 cm)</x:v>
      </x:c>
      <x:c r="H51" s="24" t="str">
        <x:v>Perch-likes</x:v>
      </x:c>
      <x:c r="I51" s="31" t="n">
        <x:v>3275.5776113793</x:v>
      </x:c>
      <x:c r="J51" s="31" t="n">
        <x:v>3275.5776113793</x:v>
      </x:c>
      <x:c r="K51" s="31" t="n">
        <x:v>0</x:v>
      </x:c>
      <x:c r="L51" s="31" t="n">
        <x:v>3201.0862644022</x:v>
      </x:c>
      <x:c r="M51" s="31" t="n">
        <x:v>74.4913469771</x:v>
      </x:c>
      <x:c r="N51" s="24" t="str">
        <x:v>lutjanus analis</x:v>
      </x:c>
      <x:c r="O51" s="32" t="n">
        <x:v>3.91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analis</x:v>
      </x:c>
      <x:c r="T51" s="32" t="n">
        <x:f>IF(O51="","",(1/'Metadata'!$B$5)^(O51-1))</x:f>
        <x:v>812.8305161640995</x:v>
      </x:c>
      <x:c r="U51" s="31" t="n">
        <x:f>IF(T51="","",I51*T51)</x:f>
        <x:v>2662489.4405930047</x:v>
      </x:c>
    </x:row>
    <x:row r="52" ht="18" customHeight="1">
      <x:c r="A52" s="24" t="str">
        <x:v>EEZ_076</x:v>
      </x:c>
      <x:c r="B52" s="24" t="str">
        <x:v>Brazil (mainland)</x:v>
      </x:c>
      <x:c r="C52" s="24" t="str">
        <x:v>EEZ</x:v>
      </x:c>
      <x:c r="D52" s="30" t="n">
        <x:v>2019</x:v>
      </x:c>
      <x:c r="E52" s="24" t="str">
        <x:v>Caranx latus</x:v>
      </x:c>
      <x:c r="F52" s="24" t="str">
        <x:v>Horse-eye jack</x:v>
      </x:c>
      <x:c r="G52" s="24" t="str">
        <x:v>Large reef assoc. fish (&gt;=90 cm)</x:v>
      </x:c>
      <x:c r="H52" s="24" t="str">
        <x:v>Perch-likes</x:v>
      </x:c>
      <x:c r="I52" s="31" t="n">
        <x:v>3242.019836159</x:v>
      </x:c>
      <x:c r="J52" s="31" t="n">
        <x:v>3242.019836159</x:v>
      </x:c>
      <x:c r="K52" s="31" t="n">
        <x:v>0</x:v>
      </x:c>
      <x:c r="L52" s="31" t="n">
        <x:v>3232.7838329881</x:v>
      </x:c>
      <x:c r="M52" s="31" t="n">
        <x:v>9.2360031709</x:v>
      </x:c>
      <x:c r="N52" s="24" t="str">
        <x:v>caranx latus</x:v>
      </x:c>
      <x:c r="O52" s="32" t="n">
        <x:v>4.16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Caranx latus</x:v>
      </x:c>
      <x:c r="T52" s="32" t="n">
        <x:f>IF(O52="","",(1/'Metadata'!$B$5)^(O52-1))</x:f>
        <x:v>1445.439770745928</x:v>
      </x:c>
      <x:c r="U52" s="31" t="n">
        <x:f>IF(T52="","",I52*T52)</x:f>
        <x:v>4686144.408731416</x:v>
      </x:c>
    </x:row>
    <x:row r="53" ht="18" customHeight="1">
      <x:c r="A53" s="24" t="str">
        <x:v>EEZ_076</x:v>
      </x:c>
      <x:c r="B53" s="24" t="str">
        <x:v>Brazil (mainland)</x:v>
      </x:c>
      <x:c r="C53" s="24" t="str">
        <x:v>EEZ</x:v>
      </x:c>
      <x:c r="D53" s="30" t="n">
        <x:v>2019</x:v>
      </x:c>
      <x:c r="E53" s="24" t="str">
        <x:v>Isopisthus parvipinnis</x:v>
      </x:c>
      <x:c r="F53" s="24" t="str">
        <x:v>Bigtooth corvina</x:v>
      </x:c>
      <x:c r="G53" s="24" t="str">
        <x:v>Small demersals (&lt;30 cm)</x:v>
      </x:c>
      <x:c r="H53" s="24" t="str">
        <x:v>Perch-likes</x:v>
      </x:c>
      <x:c r="I53" s="31" t="n">
        <x:v>3241.6715387169997</x:v>
      </x:c>
      <x:c r="J53" s="31" t="n">
        <x:v>318.959043157</x:v>
      </x:c>
      <x:c r="K53" s="31" t="n">
        <x:v>2922.7124955599998</x:v>
      </x:c>
      <x:c r="L53" s="31" t="n">
        <x:v>82.0000000047</x:v>
      </x:c>
      <x:c r="M53" s="31" t="n">
        <x:v>3159.6715387123</x:v>
      </x:c>
      <x:c r="N53" s="24" t="str">
        <x:v>isopisthus parvipinnis</x:v>
      </x:c>
      <x:c r="O53" s="32" t="n">
        <x:v>3.6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Isopisthus parvipinnis</x:v>
      </x:c>
      <x:c r="T53" s="32" t="n">
        <x:f>IF(O53="","",(1/'Metadata'!$B$5)^(O53-1))</x:f>
        <x:v>398.1071705534973</x:v>
      </x:c>
      <x:c r="U53" s="31" t="n">
        <x:f>IF(T53="","",I53*T53)</x:f>
        <x:v>1290532.6841424268</x:v>
      </x:c>
    </x:row>
    <x:row r="54" ht="18" customHeight="1">
      <x:c r="A54" s="24" t="str">
        <x:v>EEZ_076</x:v>
      </x:c>
      <x:c r="B54" s="24" t="str">
        <x:v>Brazil (mainland)</x:v>
      </x:c>
      <x:c r="C54" s="24" t="str">
        <x:v>EEZ</x:v>
      </x:c>
      <x:c r="D54" s="30" t="n">
        <x:v>2019</x:v>
      </x:c>
      <x:c r="E54" s="24" t="str">
        <x:v>Centropomus</x:v>
      </x:c>
      <x:c r="F54" s="24" t="str">
        <x:v>Fat snooks</x:v>
      </x:c>
      <x:c r="G54" s="24" t="str">
        <x:v>Medium benthopelagics (30 - 89 cm)</x:v>
      </x:c>
      <x:c r="H54" s="24" t="str">
        <x:v>Perch-likes</x:v>
      </x:c>
      <x:c r="I54" s="31" t="n">
        <x:v>3182.8983528969998</x:v>
      </x:c>
      <x:c r="J54" s="31" t="n">
        <x:v>3182.8983528969998</x:v>
      </x:c>
      <x:c r="K54" s="31" t="n">
        <x:v>0</x:v>
      </x:c>
      <x:c r="L54" s="31" t="n">
        <x:v>3122.5845378098998</x:v>
      </x:c>
      <x:c r="M54" s="31" t="n">
        <x:v>60.313815087100004</x:v>
      </x:c>
      <x:c r="N54" s="24" t="str">
        <x:v>centropomus</x:v>
      </x:c>
      <x:c r="O54" s="32" t="n">
        <x:v>3.92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Centropomus</x:v>
      </x:c>
      <x:c r="T54" s="32" t="n">
        <x:f>IF(O54="","",(1/'Metadata'!$B$5)^(O54-1))</x:f>
        <x:v>831.7637711026708</x:v>
      </x:c>
      <x:c r="U54" s="31" t="n">
        <x:f>IF(T54="","",I54*T54)</x:f>
        <x:v>2647419.5370420883</x:v>
      </x:c>
    </x:row>
    <x:row r="55" ht="18" customHeight="1">
      <x:c r="A55" s="24" t="str">
        <x:v>EEZ_076</x:v>
      </x:c>
      <x:c r="B55" s="24" t="str">
        <x:v>Brazil (mainland)</x:v>
      </x:c>
      <x:c r="C55" s="24" t="str">
        <x:v>EEZ</x:v>
      </x:c>
      <x:c r="D55" s="30" t="n">
        <x:v>2019</x:v>
      </x:c>
      <x:c r="E55" s="24" t="str">
        <x:v>Menticirrhus</x:v>
      </x:c>
      <x:c r="F55" s="24" t="str">
        <x:v>Kingcroakers</x:v>
      </x:c>
      <x:c r="G55" s="24" t="str">
        <x:v>Medium demersals (30 - 89 cm)</x:v>
      </x:c>
      <x:c r="H55" s="24" t="str">
        <x:v>Perch-likes</x:v>
      </x:c>
      <x:c r="I55" s="31" t="n">
        <x:v>3157.3489359243</x:v>
      </x:c>
      <x:c r="J55" s="31" t="n">
        <x:v>1705.1981666643</x:v>
      </x:c>
      <x:c r="K55" s="31" t="n">
        <x:v>1452.1507692599998</x:v>
      </x:c>
      <x:c r="L55" s="31" t="n">
        <x:v>1673.6109953745001</x:v>
      </x:c>
      <x:c r="M55" s="31" t="n">
        <x:v>1483.7379405498</x:v>
      </x:c>
      <x:c r="N55" s="24" t="str">
        <x:v>menticirrhus</x:v>
      </x:c>
      <x:c r="O55" s="32" t="n">
        <x:v>3.67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Menticirrhus</x:v>
      </x:c>
      <x:c r="T55" s="32" t="n">
        <x:f>IF(O55="","",(1/'Metadata'!$B$5)^(O55-1))</x:f>
        <x:v>467.73514128719813</x:v>
      </x:c>
      <x:c r="U55" s="31" t="n">
        <x:f>IF(T55="","",I55*T55)</x:f>
        <x:v>1476803.0506375371</x:v>
      </x:c>
    </x:row>
    <x:row r="56" ht="18" customHeight="1">
      <x:c r="A56" s="24" t="str">
        <x:v>EEZ_076</x:v>
      </x:c>
      <x:c r="B56" s="24" t="str">
        <x:v>Brazil (mainland)</x:v>
      </x:c>
      <x:c r="C56" s="24" t="str">
        <x:v>EEZ</x:v>
      </x:c>
      <x:c r="D56" s="30" t="n">
        <x:v>2019</x:v>
      </x:c>
      <x:c r="E56" s="24" t="str">
        <x:v>Notarius quadriscutis</x:v>
      </x:c>
      <x:c r="F56" s="24" t="str">
        <x:v>Bressou sea catfish</x:v>
      </x:c>
      <x:c r="G56" s="24" t="str">
        <x:v>Medium demersals (30 - 89 cm)</x:v>
      </x:c>
      <x:c r="H56" s="24" t="str">
        <x:v>Other fishes &amp; inverts</x:v>
      </x:c>
      <x:c r="I56" s="31" t="n">
        <x:v>3095.3349954684</x:v>
      </x:c>
      <x:c r="J56" s="31" t="n">
        <x:v>3095.3349954684</x:v>
      </x:c>
      <x:c r="K56" s="31" t="n">
        <x:v>0</x:v>
      </x:c>
      <x:c r="L56" s="31" t="n">
        <x:v>3069.4557830743</x:v>
      </x:c>
      <x:c r="M56" s="31" t="n">
        <x:v>25.8792123941</x:v>
      </x:c>
      <x:c r="N56" s="24" t="str">
        <x:v>notarius quadriscutis</x:v>
      </x:c>
      <x:c r="O56" s="32" t="n">
        <x:v>3.5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Notarius quadriscutis</x:v>
      </x:c>
      <x:c r="T56" s="32" t="n">
        <x:f>IF(O56="","",(1/'Metadata'!$B$5)^(O56-1))</x:f>
        <x:v>316.22776601683796</x:v>
      </x:c>
      <x:c r="U56" s="31" t="n">
        <x:f>IF(T56="","",I56*T56)</x:f>
        <x:v>978830.8706907114</x:v>
      </x:c>
    </x:row>
    <x:row r="57" ht="18" customHeight="1">
      <x:c r="A57" s="24" t="str">
        <x:v>EEZ_076</x:v>
      </x:c>
      <x:c r="B57" s="24" t="str">
        <x:v>Brazil (mainland)</x:v>
      </x:c>
      <x:c r="C57" s="24" t="str">
        <x:v>EEZ</x:v>
      </x:c>
      <x:c r="D57" s="30" t="n">
        <x:v>2019</x:v>
      </x:c>
      <x:c r="E57" s="24" t="str">
        <x:v>Cynoscion jamaicensis</x:v>
      </x:c>
      <x:c r="F57" s="24" t="str">
        <x:v>Jamaica weakfish</x:v>
      </x:c>
      <x:c r="G57" s="24" t="str">
        <x:v>Medium demersals (30 - 89 cm)</x:v>
      </x:c>
      <x:c r="H57" s="24" t="str">
        <x:v>Perch-likes</x:v>
      </x:c>
      <x:c r="I57" s="31" t="n">
        <x:v>3022.9674990048998</x:v>
      </x:c>
      <x:c r="J57" s="31" t="n">
        <x:v>3022.9674990048998</x:v>
      </x:c>
      <x:c r="K57" s="31" t="n">
        <x:v>0</x:v>
      </x:c>
      <x:c r="L57" s="31" t="n">
        <x:v>2999.999999972</x:v>
      </x:c>
      <x:c r="M57" s="31" t="n">
        <x:v>22.967499032899998</x:v>
      </x:c>
      <x:c r="N57" s="24" t="str">
        <x:v>cynoscion jamaicensis</x:v>
      </x:c>
      <x:c r="O57" s="32" t="n">
        <x:v>3.84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Cynoscion jamaicensis</x:v>
      </x:c>
      <x:c r="T57" s="32" t="n">
        <x:f>IF(O57="","",(1/'Metadata'!$B$5)^(O57-1))</x:f>
        <x:v>691.8309709189363</x:v>
      </x:c>
      <x:c r="U57" s="31" t="n">
        <x:f>IF(T57="","",I57*T57)</x:f>
        <x:v>2091382.5398929482</x:v>
      </x:c>
    </x:row>
    <x:row r="58" ht="18" customHeight="1">
      <x:c r="A58" s="24" t="str">
        <x:v>EEZ_076</x:v>
      </x:c>
      <x:c r="B58" s="24" t="str">
        <x:v>Brazil (mainland)</x:v>
      </x:c>
      <x:c r="C58" s="24" t="str">
        <x:v>EEZ</x:v>
      </x:c>
      <x:c r="D58" s="30" t="n">
        <x:v>2019</x:v>
      </x:c>
      <x:c r="E58" s="24" t="str">
        <x:v>Artemesia longinaris</x:v>
      </x:c>
      <x:c r="F58" s="24" t="str">
        <x:v>Argentine stiletto shrimp</x:v>
      </x:c>
      <x:c r="G58" s="24" t="str">
        <x:v>Shrimps</x:v>
      </x:c>
      <x:c r="H58" s="24" t="str">
        <x:v>Crustaceans</x:v>
      </x:c>
      <x:c r="I58" s="31" t="n">
        <x:v>2868.2451280077</x:v>
      </x:c>
      <x:c r="J58" s="31" t="n">
        <x:v>2868.2451280077</x:v>
      </x:c>
      <x:c r="K58" s="31" t="n">
        <x:v>0</x:v>
      </x:c>
      <x:c r="L58" s="31" t="n">
        <x:v>2800.0000004457</x:v>
      </x:c>
      <x:c r="M58" s="31" t="n">
        <x:v>68.245127562</x:v>
      </x:c>
      <x:c r="N58" s="24" t="str">
        <x:v>artemesia longinaris</x:v>
      </x:c>
      <x:c r="O58" s="32" t="n">
        <x:v>2.7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Artemesia longinaris</x:v>
      </x:c>
      <x:c r="T58" s="32" t="n">
        <x:f>IF(O58="","",(1/'Metadata'!$B$5)^(O58-1))</x:f>
        <x:v>50.11872336272725</x:v>
      </x:c>
      <x:c r="U58" s="31" t="n">
        <x:f>IF(T58="","",I58*T58)</x:f>
        <x:v>143752.78410710813</x:v>
      </x:c>
    </x:row>
    <x:row r="59" ht="18" customHeight="1">
      <x:c r="A59" s="24" t="str">
        <x:v>EEZ_076</x:v>
      </x:c>
      <x:c r="B59" s="24" t="str">
        <x:v>Brazil (mainland)</x:v>
      </x:c>
      <x:c r="C59" s="24" t="str">
        <x:v>EEZ</x:v>
      </x:c>
      <x:c r="D59" s="30" t="n">
        <x:v>2019</x:v>
      </x:c>
      <x:c r="E59" s="24" t="str">
        <x:v>Panulirus</x:v>
      </x:c>
      <x:c r="F59" s="24" t="str">
        <x:v>Spiny lobsters</x:v>
      </x:c>
      <x:c r="G59" s="24" t="str">
        <x:v>Lobsters, crabs</x:v>
      </x:c>
      <x:c r="H59" s="24" t="str">
        <x:v>Crustaceans</x:v>
      </x:c>
      <x:c r="I59" s="31" t="n">
        <x:v>2867.4601484279</x:v>
      </x:c>
      <x:c r="J59" s="31" t="n">
        <x:v>2867.4601484279</x:v>
      </x:c>
      <x:c r="K59" s="31" t="n">
        <x:v>0</x:v>
      </x:c>
      <x:c r="L59" s="31" t="n">
        <x:v>2809.45106967</x:v>
      </x:c>
      <x:c r="M59" s="31" t="n">
        <x:v>58.0090787579</x:v>
      </x:c>
      <x:c r="N59" s="24" t="str">
        <x:v>panulirus</x:v>
      </x:c>
      <x:c r="O59" s="32" t="n">
        <x:v>2.6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Panulirus</x:v>
      </x:c>
      <x:c r="T59" s="32" t="n">
        <x:f>IF(O59="","",(1/'Metadata'!$B$5)^(O59-1))</x:f>
        <x:v>39.810717055349734</x:v>
      </x:c>
      <x:c r="U59" s="31" t="n">
        <x:f>IF(T59="","",I59*T59)</x:f>
        <x:v>114155.64463655428</x:v>
      </x:c>
    </x:row>
    <x:row r="60" ht="18" customHeight="1">
      <x:c r="A60" s="24" t="str">
        <x:v>EEZ_076</x:v>
      </x:c>
      <x:c r="B60" s="24" t="str">
        <x:v>Brazil (mainland)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2791.6158186445</x:v>
      </x:c>
      <x:c r="J60" s="31" t="n">
        <x:v>2791.6158186445</x:v>
      </x:c>
      <x:c r="K60" s="31" t="n">
        <x:v>0</x:v>
      </x:c>
      <x:c r="L60" s="31" t="n">
        <x:v>2791.6158186445</x:v>
      </x:c>
      <x:c r="M60" s="31" t="n">
        <x:v>0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8626917.61368979</x:v>
      </x:c>
    </x:row>
    <x:row r="61" ht="18" customHeight="1">
      <x:c r="A61" s="24" t="str">
        <x:v>EEZ_076</x:v>
      </x:c>
      <x:c r="B61" s="24" t="str">
        <x:v>Brazil (mainland)</x:v>
      </x:c>
      <x:c r="C61" s="24" t="str">
        <x:v>EEZ</x:v>
      </x:c>
      <x:c r="D61" s="30" t="n">
        <x:v>2019</x:v>
      </x:c>
      <x:c r="E61" s="24" t="str">
        <x:v>Sphyrna</x:v>
      </x:c>
      <x:c r="F61" s="24" t="str">
        <x:v>Hammerhead sharks</x:v>
      </x:c>
      <x:c r="G61" s="24" t="str">
        <x:v>Large sharks (&gt;=90 cm)</x:v>
      </x:c>
      <x:c r="H61" s="24" t="str">
        <x:v>Sharks &amp; rays</x:v>
      </x:c>
      <x:c r="I61" s="31" t="n">
        <x:v>2777.1103840232</x:v>
      </x:c>
      <x:c r="J61" s="31" t="n">
        <x:v>2777.1103840232</x:v>
      </x:c>
      <x:c r="K61" s="31" t="n">
        <x:v>0</x:v>
      </x:c>
      <x:c r="L61" s="31" t="n">
        <x:v>2745.979608101</x:v>
      </x:c>
      <x:c r="M61" s="31" t="n">
        <x:v>31.1307759222</x:v>
      </x:c>
      <x:c r="N61" s="24" t="str">
        <x:v>sphyrna</x:v>
      </x:c>
      <x:c r="O61" s="32" t="n">
        <x:v>4.2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Sphyrna</x:v>
      </x:c>
      <x:c r="T61" s="32" t="n">
        <x:f>IF(O61="","",(1/'Metadata'!$B$5)^(O61-1))</x:f>
        <x:v>1584.893192461114</x:v>
      </x:c>
      <x:c r="U61" s="31" t="n">
        <x:f>IF(T61="","",I61*T61)</x:f>
        <x:v>4401423.342351439</x:v>
      </x:c>
    </x:row>
    <x:row r="62" ht="18" customHeight="1">
      <x:c r="A62" s="24" t="str">
        <x:v>EEZ_076</x:v>
      </x:c>
      <x:c r="B62" s="24" t="str">
        <x:v>Brazil (mainland)</x:v>
      </x:c>
      <x:c r="C62" s="24" t="str">
        <x:v>EEZ</x:v>
      </x:c>
      <x:c r="D62" s="30" t="n">
        <x:v>2019</x:v>
      </x:c>
      <x:c r="E62" s="24" t="str">
        <x:v>Chloroscombrus chrysurus</x:v>
      </x:c>
      <x:c r="F62" s="24" t="str">
        <x:v>Atlantic bumper</x:v>
      </x:c>
      <x:c r="G62" s="24" t="str">
        <x:v>Medium pelagics (30 - 89 cm)</x:v>
      </x:c>
      <x:c r="H62" s="24" t="str">
        <x:v>Perch-likes</x:v>
      </x:c>
      <x:c r="I62" s="31" t="n">
        <x:v>2734.1180456881</x:v>
      </x:c>
      <x:c r="J62" s="31" t="n">
        <x:v>2734.1180456881</x:v>
      </x:c>
      <x:c r="K62" s="31" t="n">
        <x:v>0</x:v>
      </x:c>
      <x:c r="L62" s="31" t="n">
        <x:v>2659.9999998253</x:v>
      </x:c>
      <x:c r="M62" s="31" t="n">
        <x:v>74.1180458628</x:v>
      </x:c>
      <x:c r="N62" s="24" t="str">
        <x:v>chloroscombrus chrysurus</x:v>
      </x:c>
      <x:c r="O62" s="32" t="n">
        <x:v>3.54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Chloroscombrus chrysurus</x:v>
      </x:c>
      <x:c r="T62" s="32" t="n">
        <x:f>IF(O62="","",(1/'Metadata'!$B$5)^(O62-1))</x:f>
        <x:v>346.73685045253166</x:v>
      </x:c>
      <x:c r="U62" s="31" t="n">
        <x:f>IF(T62="","",I62*T62)</x:f>
        <x:v>948019.479927323</x:v>
      </x:c>
    </x:row>
    <x:row r="63" ht="18" customHeight="1">
      <x:c r="A63" s="24" t="str">
        <x:v>EEZ_076</x:v>
      </x:c>
      <x:c r="B63" s="24" t="str">
        <x:v>Brazil (mainland)</x:v>
      </x:c>
      <x:c r="C63" s="24" t="str">
        <x:v>EEZ</x:v>
      </x:c>
      <x:c r="D63" s="30" t="n">
        <x:v>2019</x:v>
      </x:c>
      <x:c r="E63" s="24" t="str">
        <x:v>Gadiformes</x:v>
      </x:c>
      <x:c r="F63" s="24" t="str">
        <x:v>Cods</x:v>
      </x:c>
      <x:c r="G63" s="24" t="str">
        <x:v>Medium benthopelagics (30 - 89 cm)</x:v>
      </x:c>
      <x:c r="H63" s="24" t="str">
        <x:v>Cod-likes</x:v>
      </x:c>
      <x:c r="I63" s="31" t="n">
        <x:v>2623.9334785884</x:v>
      </x:c>
      <x:c r="J63" s="31" t="n">
        <x:v>2623.9334785884</x:v>
      </x:c>
      <x:c r="K63" s="31" t="n">
        <x:v>0</x:v>
      </x:c>
      <x:c r="L63" s="31" t="n">
        <x:v>2556.0545894735</x:v>
      </x:c>
      <x:c r="M63" s="31" t="n">
        <x:v>67.87888911489999</x:v>
      </x:c>
      <x:c r="N63" s="24" t="str">
        <x:v>gadiformes</x:v>
      </x:c>
      <x:c r="O63" s="32" t="n">
        <x:v>3.91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Gadiformes</x:v>
      </x:c>
      <x:c r="T63" s="32" t="n">
        <x:f>IF(O63="","",(1/'Metadata'!$B$5)^(O63-1))</x:f>
        <x:v>812.8305161640995</x:v>
      </x:c>
      <x:c r="U63" s="31" t="n">
        <x:f>IF(T63="","",I63*T63)</x:f>
        <x:v>2132813.2037812704</x:v>
      </x:c>
    </x:row>
    <x:row r="64" ht="18" customHeight="1">
      <x:c r="A64" s="24" t="str">
        <x:v>EEZ_076</x:v>
      </x:c>
      <x:c r="B64" s="24" t="str">
        <x:v>Brazil (mainland)</x:v>
      </x:c>
      <x:c r="C64" s="24" t="str">
        <x:v>EEZ</x:v>
      </x:c>
      <x:c r="D64" s="30" t="n">
        <x:v>2019</x:v>
      </x:c>
      <x:c r="E64" s="24" t="str">
        <x:v>Coryphaena hippurus</x:v>
      </x:c>
      <x:c r="F64" s="24" t="str">
        <x:v>Common dolphinfish</x:v>
      </x:c>
      <x:c r="G64" s="24" t="str">
        <x:v>Large pelagics (&gt;=90 cm)</x:v>
      </x:c>
      <x:c r="H64" s="24" t="str">
        <x:v>Perch-likes</x:v>
      </x:c>
      <x:c r="I64" s="31" t="n">
        <x:v>2611.3454074574</x:v>
      </x:c>
      <x:c r="J64" s="31" t="n">
        <x:v>2611.3454074574</x:v>
      </x:c>
      <x:c r="K64" s="31" t="n">
        <x:v>0</x:v>
      </x:c>
      <x:c r="L64" s="31" t="n">
        <x:v>1397.3070519863</x:v>
      </x:c>
      <x:c r="M64" s="31" t="n">
        <x:v>1214.0383554711</x:v>
      </x:c>
      <x:c r="N64" s="24" t="str">
        <x:v>coryphaena hippurus</x:v>
      </x:c>
      <x:c r="O64" s="32" t="n">
        <x:v>4.37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Coryphaena hippurus</x:v>
      </x:c>
      <x:c r="T64" s="32" t="n">
        <x:f>IF(O64="","",(1/'Metadata'!$B$5)^(O64-1))</x:f>
        <x:v>2344.228815319923</x:v>
      </x:c>
      <x:c r="U64" s="31" t="n">
        <x:f>IF(T64="","",I64*T64)</x:f>
        <x:v>6121591.150914983</x:v>
      </x:c>
    </x:row>
    <x:row r="65" ht="18" customHeight="1">
      <x:c r="A65" s="24" t="str">
        <x:v>EEZ_076</x:v>
      </x:c>
      <x:c r="B65" s="24" t="str">
        <x:v>Brazil (mainland)</x:v>
      </x:c>
      <x:c r="C65" s="24" t="str">
        <x:v>EEZ</x:v>
      </x:c>
      <x:c r="D65" s="30" t="n">
        <x:v>2019</x:v>
      </x:c>
      <x:c r="E65" s="24" t="str">
        <x:v>Lophius gastrophysus</x:v>
      </x:c>
      <x:c r="F65" s="24" t="str">
        <x:v>Blackfin goosefish</x:v>
      </x:c>
      <x:c r="G65" s="24" t="str">
        <x:v>Medium bathydemersals (30 - 89 cm)</x:v>
      </x:c>
      <x:c r="H65" s="24" t="str">
        <x:v>Other fishes &amp; inverts</x:v>
      </x:c>
      <x:c r="I65" s="31" t="n">
        <x:v>2511.2430398082</x:v>
      </x:c>
      <x:c r="J65" s="31" t="n">
        <x:v>2511.2430398082</x:v>
      </x:c>
      <x:c r="K65" s="31" t="n">
        <x:v>0</x:v>
      </x:c>
      <x:c r="L65" s="31" t="n">
        <x:v>2459.9999999171</x:v>
      </x:c>
      <x:c r="M65" s="31" t="n">
        <x:v>51.243039891100004</x:v>
      </x:c>
      <x:c r="N65" s="24" t="str">
        <x:v>lophius gastrophysus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Lophius gastrophysus</x:v>
      </x:c>
      <x:c r="T65" s="32" t="n">
        <x:f>IF(O65="","",(1/'Metadata'!$B$5)^(O65-1))</x:f>
        <x:v>3090.295432513592</x:v>
      </x:c>
      <x:c r="U65" s="31" t="n">
        <x:f>IF(T65="","",I65*T65)</x:f>
        <x:v>7760482.89585083</x:v>
      </x:c>
    </x:row>
    <x:row r="66" ht="18" customHeight="1">
      <x:c r="A66" s="24" t="str">
        <x:v>EEZ_076</x:v>
      </x:c>
      <x:c r="B66" s="24" t="str">
        <x:v>Brazil (mainland)</x:v>
      </x:c>
      <x:c r="C66" s="24" t="str">
        <x:v>EEZ</x:v>
      </x:c>
      <x:c r="D66" s="30" t="n">
        <x:v>2019</x:v>
      </x:c>
      <x:c r="E66" s="24" t="str">
        <x:v>Penaeus subtilis</x:v>
      </x:c>
      <x:c r="F66" s="24" t="str">
        <x:v>Southern brown shrimp</x:v>
      </x:c>
      <x:c r="G66" s="24" t="str">
        <x:v>Shrimps</x:v>
      </x:c>
      <x:c r="H66" s="24" t="str">
        <x:v>Crustaceans</x:v>
      </x:c>
      <x:c r="I66" s="31" t="n">
        <x:v>2371.8132736404</x:v>
      </x:c>
      <x:c r="J66" s="31" t="n">
        <x:v>2371.8132736404</x:v>
      </x:c>
      <x:c r="K66" s="31" t="n">
        <x:v>0</x:v>
      </x:c>
      <x:c r="L66" s="31" t="n">
        <x:v>2313.9051631443003</x:v>
      </x:c>
      <x:c r="M66" s="31" t="n">
        <x:v>57.9081104961</x:v>
      </x:c>
      <x:c r="N66" s="24" t="str">
        <x:v>penaeus subtilis</x:v>
      </x:c>
      <x:c r="O66" s="32" t="n">
        <x:v>2.76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Penaeus subtilis</x:v>
      </x:c>
      <x:c r="T66" s="32" t="n">
        <x:f>IF(O66="","",(1/'Metadata'!$B$5)^(O66-1))</x:f>
        <x:v>57.543993733715666</x:v>
      </x:c>
      <x:c r="U66" s="31" t="n">
        <x:f>IF(T66="","",I66*T66)</x:f>
        <x:v>136483.6081559068</x:v>
      </x:c>
    </x:row>
    <x:row r="67" ht="18" customHeight="1">
      <x:c r="A67" s="24" t="str">
        <x:v>EEZ_076</x:v>
      </x:c>
      <x:c r="B67" s="24" t="str">
        <x:v>Brazil (mainland)</x:v>
      </x:c>
      <x:c r="C67" s="24" t="str">
        <x:v>EEZ</x:v>
      </x:c>
      <x:c r="D67" s="30" t="n">
        <x:v>2019</x:v>
      </x:c>
      <x:c r="E67" s="24" t="str">
        <x:v>Cetengraulis edentulus</x:v>
      </x:c>
      <x:c r="F67" s="24" t="str">
        <x:v>Atlantic anchoveta</x:v>
      </x:c>
      <x:c r="G67" s="24" t="str">
        <x:v>Small pelagics (&lt;30 cm)</x:v>
      </x:c>
      <x:c r="H67" s="24" t="str">
        <x:v>Anchovies</x:v>
      </x:c>
      <x:c r="I67" s="31" t="n">
        <x:v>2192.08808758</x:v>
      </x:c>
      <x:c r="J67" s="31" t="n">
        <x:v>2192.08808758</x:v>
      </x:c>
      <x:c r="K67" s="31" t="n">
        <x:v>0</x:v>
      </x:c>
      <x:c r="L67" s="31" t="n">
        <x:v>2178.3603059</x:v>
      </x:c>
      <x:c r="M67" s="31" t="n">
        <x:v>13.72778168</x:v>
      </x:c>
      <x:c r="N67" s="24" t="str">
        <x:v>cetengraulis edentulus</x:v>
      </x:c>
      <x:c r="O67" s="32" t="n">
        <x:v>2.11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Cetengraulis edentulus</x:v>
      </x:c>
      <x:c r="T67" s="32" t="n">
        <x:f>IF(O67="","",(1/'Metadata'!$B$5)^(O67-1))</x:f>
        <x:v>12.882495516931336</x:v>
      </x:c>
      <x:c r="U67" s="31" t="n">
        <x:f>IF(T67="","",I67*T67)</x:f>
        <x:v>28239.564960967935</x:v>
      </x:c>
    </x:row>
    <x:row r="68" ht="18" customHeight="1">
      <x:c r="A68" s="24" t="str">
        <x:v>EEZ_076</x:v>
      </x:c>
      <x:c r="B68" s="24" t="str">
        <x:v>Brazil (mainland)</x:v>
      </x:c>
      <x:c r="C68" s="24" t="str">
        <x:v>EEZ</x:v>
      </x:c>
      <x:c r="D68" s="30" t="n">
        <x:v>2019</x:v>
      </x:c>
      <x:c r="E68" s="24" t="str">
        <x:v>Veneridae</x:v>
      </x:c>
      <x:c r="F68" s="24" t="str">
        <x:v>Venus clams</x:v>
      </x:c>
      <x:c r="G68" s="24" t="str">
        <x:v>Other demersal invertebrates</x:v>
      </x:c>
      <x:c r="H68" s="24" t="str">
        <x:v>Molluscs</x:v>
      </x:c>
      <x:c r="I68" s="31" t="n">
        <x:v>2189.8045476839998</x:v>
      </x:c>
      <x:c r="J68" s="31" t="n">
        <x:v>2189.8045476839998</x:v>
      </x:c>
      <x:c r="K68" s="31" t="n">
        <x:v>0</x:v>
      </x:c>
      <x:c r="L68" s="31" t="n">
        <x:v>1354.999999894</x:v>
      </x:c>
      <x:c r="M68" s="31" t="n">
        <x:v>834.80454779</x:v>
      </x:c>
      <x:c r="N68" s="24" t="str">
        <x:v>veneridae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Veneridae</x:v>
      </x:c>
      <x:c r="T68" s="32" t="n">
        <x:f>IF(O68="","",(1/'Metadata'!$B$5)^(O68-1))</x:f>
        <x:v>10</x:v>
      </x:c>
      <x:c r="U68" s="31" t="n">
        <x:f>IF(T68="","",I68*T68)</x:f>
        <x:v>21898.045476839998</x:v>
      </x:c>
    </x:row>
    <x:row r="69" ht="18" customHeight="1">
      <x:c r="A69" s="24" t="str">
        <x:v>EEZ_076</x:v>
      </x:c>
      <x:c r="B69" s="24" t="str">
        <x:v>Brazil (mainland)</x:v>
      </x:c>
      <x:c r="C69" s="24" t="str">
        <x:v>EEZ</x:v>
      </x:c>
      <x:c r="D69" s="30" t="n">
        <x:v>2019</x:v>
      </x:c>
      <x:c r="E69" s="24" t="str">
        <x:v>Engraulidae</x:v>
      </x:c>
      <x:c r="F69" s="24" t="str">
        <x:v>Anchovies, round herrings</x:v>
      </x:c>
      <x:c r="G69" s="24" t="str">
        <x:v>Small pelagics (&lt;30 cm)</x:v>
      </x:c>
      <x:c r="H69" s="24" t="str">
        <x:v>Anchovies</x:v>
      </x:c>
      <x:c r="I69" s="31" t="n">
        <x:v>2142.1791305966</x:v>
      </x:c>
      <x:c r="J69" s="31" t="n">
        <x:v>2142.1791305966</x:v>
      </x:c>
      <x:c r="K69" s="31" t="n">
        <x:v>0</x:v>
      </x:c>
      <x:c r="L69" s="31" t="n">
        <x:v>1441.7423213102</x:v>
      </x:c>
      <x:c r="M69" s="31" t="n">
        <x:v>700.4368092864</x:v>
      </x:c>
      <x:c r="N69" s="24" t="str">
        <x:v>engraulidae</x:v>
      </x:c>
      <x:c r="O69" s="32" t="n">
        <x:v>3.2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Engraulidae</x:v>
      </x:c>
      <x:c r="T69" s="32" t="n">
        <x:f>IF(O69="","",(1/'Metadata'!$B$5)^(O69-1))</x:f>
        <x:v>158.48931924611142</x:v>
      </x:c>
      <x:c r="U69" s="31" t="n">
        <x:f>IF(T69="","",I69*T69)</x:f>
        <x:v>339512.5121114819</x:v>
      </x:c>
    </x:row>
    <x:row r="70" ht="18" customHeight="1">
      <x:c r="A70" s="24" t="str">
        <x:v>EEZ_076</x:v>
      </x:c>
      <x:c r="B70" s="24" t="str">
        <x:v>Brazil (mainland)</x:v>
      </x:c>
      <x:c r="C70" s="24" t="str">
        <x:v>EEZ</x:v>
      </x:c>
      <x:c r="D70" s="30" t="n">
        <x:v>2019</x:v>
      </x:c>
      <x:c r="E70" s="24" t="str">
        <x:v>Genyatremus luteus</x:v>
      </x:c>
      <x:c r="F70" s="24" t="str">
        <x:v>Torroto grunt</x:v>
      </x:c>
      <x:c r="G70" s="24" t="str">
        <x:v>Medium demersals (30 - 89 cm)</x:v>
      </x:c>
      <x:c r="H70" s="24" t="str">
        <x:v>Perch-likes</x:v>
      </x:c>
      <x:c r="I70" s="31" t="n">
        <x:v>2111.0656357487</x:v>
      </x:c>
      <x:c r="J70" s="31" t="n">
        <x:v>1543.0036572297001</x:v>
      </x:c>
      <x:c r="K70" s="31" t="n">
        <x:v>568.061978519</x:v>
      </x:c>
      <x:c r="L70" s="31" t="n">
        <x:v>1493.6018202998</x:v>
      </x:c>
      <x:c r="M70" s="31" t="n">
        <x:v>617.4638154489</x:v>
      </x:c>
      <x:c r="N70" s="24" t="str">
        <x:v>genyatremus luteus</x:v>
      </x:c>
      <x:c r="O70" s="32" t="n">
        <x:v>3.5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Genyatremus luteus</x:v>
      </x:c>
      <x:c r="T70" s="32" t="n">
        <x:f>IF(O70="","",(1/'Metadata'!$B$5)^(O70-1))</x:f>
        <x:v>316.22776601683796</x:v>
      </x:c>
      <x:c r="U70" s="31" t="n">
        <x:f>IF(T70="","",I70*T70)</x:f>
        <x:v>667577.5699077272</x:v>
      </x:c>
    </x:row>
    <x:row r="71" ht="18" customHeight="1">
      <x:c r="A71" s="24" t="str">
        <x:v>EEZ_076</x:v>
      </x:c>
      <x:c r="B71" s="24" t="str">
        <x:v>Brazil (mainland)</x:v>
      </x:c>
      <x:c r="C71" s="24" t="str">
        <x:v>EEZ</x:v>
      </x:c>
      <x:c r="D71" s="30" t="n">
        <x:v>2019</x:v>
      </x:c>
      <x:c r="E71" s="24" t="str">
        <x:v>Lutjanus synagris</x:v>
      </x:c>
      <x:c r="F71" s="24" t="str">
        <x:v>Lane snapper</x:v>
      </x:c>
      <x:c r="G71" s="24" t="str">
        <x:v>Medium reef assoc. fish (30 - 89 cm)</x:v>
      </x:c>
      <x:c r="H71" s="24" t="str">
        <x:v>Perch-likes</x:v>
      </x:c>
      <x:c r="I71" s="31" t="n">
        <x:v>2019.5999372118001</x:v>
      </x:c>
      <x:c r="J71" s="31" t="n">
        <x:v>2019.5999372118001</x:v>
      </x:c>
      <x:c r="K71" s="31" t="n">
        <x:v>0</x:v>
      </x:c>
      <x:c r="L71" s="31" t="n">
        <x:v>1899.9999998778999</x:v>
      </x:c>
      <x:c r="M71" s="31" t="n">
        <x:v>119.5999373339</x:v>
      </x:c>
      <x:c r="N71" s="24" t="str">
        <x:v>lutjanus synagris</x:v>
      </x:c>
      <x:c r="O71" s="32" t="n">
        <x:v>3.82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Lutjanus synagris</x:v>
      </x:c>
      <x:c r="T71" s="32" t="n">
        <x:f>IF(O71="","",(1/'Metadata'!$B$5)^(O71-1))</x:f>
        <x:v>660.6934480075957</x:v>
      </x:c>
      <x:c r="U71" s="31" t="n">
        <x:f>IF(T71="","",I71*T71)</x:f>
        <x:v>1334336.446112388</x:v>
      </x:c>
    </x:row>
    <x:row r="72" ht="18" customHeight="1">
      <x:c r="A72" s="24" t="str">
        <x:v>EEZ_076</x:v>
      </x:c>
      <x:c r="B72" s="24" t="str">
        <x:v>Brazil (mainland)</x:v>
      </x:c>
      <x:c r="C72" s="24" t="str">
        <x:v>EEZ</x:v>
      </x:c>
      <x:c r="D72" s="30" t="n">
        <x:v>2019</x:v>
      </x:c>
      <x:c r="E72" s="24" t="str">
        <x:v>Callinectes danae</x:v>
      </x:c>
      <x:c r="F72" s="24" t="str">
        <x:v>Dana's swimming crab</x:v>
      </x:c>
      <x:c r="G72" s="24" t="str">
        <x:v>Lobsters, crabs</x:v>
      </x:c>
      <x:c r="H72" s="24" t="str">
        <x:v>Crustaceans</x:v>
      </x:c>
      <x:c r="I72" s="31" t="n">
        <x:v>1898.74760107</x:v>
      </x:c>
      <x:c r="J72" s="31" t="n">
        <x:v>1898.74760107</x:v>
      </x:c>
      <x:c r="K72" s="31" t="n">
        <x:v>0</x:v>
      </x:c>
      <x:c r="L72" s="31" t="n">
        <x:v>1886.7862509299</x:v>
      </x:c>
      <x:c r="M72" s="31" t="n">
        <x:v>11.9613501401</x:v>
      </x:c>
      <x:c r="N72" s="24" t="str">
        <x:v>callinectes danae</x:v>
      </x:c>
      <x:c r="O72" s="32" t="n">
        <x:v>3.63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Callinectes danae</x:v>
      </x:c>
      <x:c r="T72" s="32" t="n">
        <x:f>IF(O72="","",(1/'Metadata'!$B$5)^(O72-1))</x:f>
        <x:v>426.57951880159254</x:v>
      </x:c>
      <x:c r="U72" s="31" t="n">
        <x:f>IF(T72="","",I72*T72)</x:f>
        <x:v>809966.8379901188</x:v>
      </x:c>
    </x:row>
    <x:row r="73" ht="18" customHeight="1">
      <x:c r="A73" s="24" t="str">
        <x:v>EEZ_076</x:v>
      </x:c>
      <x:c r="B73" s="24" t="str">
        <x:v>Brazil (mainland)</x:v>
      </x:c>
      <x:c r="C73" s="24" t="str">
        <x:v>EEZ</x:v>
      </x:c>
      <x:c r="D73" s="30" t="n">
        <x:v>2019</x:v>
      </x:c>
      <x:c r="E73" s="24" t="str">
        <x:v>Serranidae</x:v>
      </x:c>
      <x:c r="F73" s="24" t="str">
        <x:v>Basses, groupers, hinds</x:v>
      </x:c>
      <x:c r="G73" s="24" t="str">
        <x:v>Medium reef assoc. fish (30 - 89 cm)</x:v>
      </x:c>
      <x:c r="H73" s="24" t="str">
        <x:v>Perch-likes</x:v>
      </x:c>
      <x:c r="I73" s="31" t="n">
        <x:v>1881.3416605099</x:v>
      </x:c>
      <x:c r="J73" s="31" t="n">
        <x:v>1881.3416605099</x:v>
      </x:c>
      <x:c r="K73" s="31" t="n">
        <x:v>0</x:v>
      </x:c>
      <x:c r="L73" s="31" t="n">
        <x:v>1839.999999964</x:v>
      </x:c>
      <x:c r="M73" s="31" t="n">
        <x:v>41.3416605459</x:v>
      </x:c>
      <x:c r="N73" s="24" t="str">
        <x:v>serranidae</x:v>
      </x:c>
      <x:c r="O73" s="32" t="n">
        <x:v>3.98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Serranidae</x:v>
      </x:c>
      <x:c r="T73" s="32" t="n">
        <x:f>IF(O73="","",(1/'Metadata'!$B$5)^(O73-1))</x:f>
        <x:v>954.992586021436</x:v>
      </x:c>
      <x:c r="U73" s="31" t="n">
        <x:f>IF(T73="","",I73*T73)</x:f>
        <x:v>1796667.337560212</x:v>
      </x:c>
    </x:row>
    <x:row r="74" ht="18" customHeight="1">
      <x:c r="A74" s="24" t="str">
        <x:v>EEZ_076</x:v>
      </x:c>
      <x:c r="B74" s="24" t="str">
        <x:v>Brazil (mainland)</x:v>
      </x:c>
      <x:c r="C74" s="24" t="str">
        <x:v>EEZ</x:v>
      </x:c>
      <x:c r="D74" s="30" t="n">
        <x:v>2019</x:v>
      </x:c>
      <x:c r="E74" s="24" t="str">
        <x:v>Callinectes</x:v>
      </x:c>
      <x:c r="F74" s="24" t="str">
        <x:v>Beautiful swimming crabs</x:v>
      </x:c>
      <x:c r="G74" s="24" t="str">
        <x:v>Lobsters, crabs</x:v>
      </x:c>
      <x:c r="H74" s="24" t="str">
        <x:v>Crustaceans</x:v>
      </x:c>
      <x:c r="I74" s="31" t="n">
        <x:v>1875.8973848591</x:v>
      </x:c>
      <x:c r="J74" s="31" t="n">
        <x:v>1875.8973848591</x:v>
      </x:c>
      <x:c r="K74" s="31" t="n">
        <x:v>0</x:v>
      </x:c>
      <x:c r="L74" s="31" t="n">
        <x:v>1839.0976251913</x:v>
      </x:c>
      <x:c r="M74" s="31" t="n">
        <x:v>36.7997596678</x:v>
      </x:c>
      <x:c r="N74" s="24" t="str">
        <x:v>callinectes</x:v>
      </x:c>
      <x:c r="O74" s="32" t="n">
        <x:v>3.63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Callinectes</x:v>
      </x:c>
      <x:c r="T74" s="32" t="n">
        <x:f>IF(O74="","",(1/'Metadata'!$B$5)^(O74-1))</x:f>
        <x:v>426.57951880159254</x:v>
      </x:c>
      <x:c r="U74" s="31" t="n">
        <x:f>IF(T74="","",I74*T74)</x:f>
        <x:v>800219.4037543607</x:v>
      </x:c>
    </x:row>
    <x:row r="75" ht="18" customHeight="1">
      <x:c r="A75" s="24" t="str">
        <x:v>EEZ_076</x:v>
      </x:c>
      <x:c r="B75" s="24" t="str">
        <x:v>Brazil (mainland)</x:v>
      </x:c>
      <x:c r="C75" s="24" t="str">
        <x:v>EEZ</x:v>
      </x:c>
      <x:c r="D75" s="30" t="n">
        <x:v>2019</x:v>
      </x:c>
      <x:c r="E75" s="24" t="str">
        <x:v>Carangidae</x:v>
      </x:c>
      <x:c r="F75" s="24" t="str">
        <x:v>Jacks, pompanos</x:v>
      </x:c>
      <x:c r="G75" s="24" t="str">
        <x:v>Medium pelagics (30 - 89 cm)</x:v>
      </x:c>
      <x:c r="H75" s="24" t="str">
        <x:v>Perch-likes</x:v>
      </x:c>
      <x:c r="I75" s="31" t="n">
        <x:v>1858.7578870046</x:v>
      </x:c>
      <x:c r="J75" s="31" t="n">
        <x:v>1685.7804557136</x:v>
      </x:c>
      <x:c r="K75" s="31" t="n">
        <x:v>172.97743129100002</x:v>
      </x:c>
      <x:c r="L75" s="31" t="n">
        <x:v>1352.2300472432</x:v>
      </x:c>
      <x:c r="M75" s="31" t="n">
        <x:v>506.5278397614</x:v>
      </x:c>
      <x:c r="N75" s="24" t="str">
        <x:v>carangidae</x:v>
      </x:c>
      <x:c r="O75" s="32" t="n">
        <x:v>4.05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Carangidae</x:v>
      </x:c>
      <x:c r="T75" s="32" t="n">
        <x:f>IF(O75="","",(1/'Metadata'!$B$5)^(O75-1))</x:f>
        <x:v>1122.018454301963</x:v>
      </x:c>
      <x:c r="U75" s="31" t="n">
        <x:f>IF(T75="","",I75*T75)</x:f>
        <x:v>2085560.651298484</x:v>
      </x:c>
    </x:row>
    <x:row r="76" ht="18" customHeight="1">
      <x:c r="A76" s="24" t="str">
        <x:v>EEZ_076</x:v>
      </x:c>
      <x:c r="B76" s="24" t="str">
        <x:v>Brazil (mainland)</x:v>
      </x:c>
      <x:c r="C76" s="24" t="str">
        <x:v>EEZ</x:v>
      </x:c>
      <x:c r="D76" s="30" t="n">
        <x:v>2019</x:v>
      </x:c>
      <x:c r="E76" s="24" t="str">
        <x:v>Merluccius hubbsi</x:v>
      </x:c>
      <x:c r="F76" s="24" t="str">
        <x:v>Argentine hake</x:v>
      </x:c>
      <x:c r="G76" s="24" t="str">
        <x:v>Medium benthopelagics (30 - 89 cm)</x:v>
      </x:c>
      <x:c r="H76" s="24" t="str">
        <x:v>Cod-likes</x:v>
      </x:c>
      <x:c r="I76" s="31" t="n">
        <x:v>1847.823381417</x:v>
      </x:c>
      <x:c r="J76" s="31" t="n">
        <x:v>1847.823381417</x:v>
      </x:c>
      <x:c r="K76" s="31" t="n">
        <x:v>0</x:v>
      </x:c>
      <x:c r="L76" s="31" t="n">
        <x:v>1809.5669444</x:v>
      </x:c>
      <x:c r="M76" s="31" t="n">
        <x:v>38.256437017</x:v>
      </x:c>
      <x:c r="N76" s="24" t="str">
        <x:v>merluccius hubbsi</x:v>
      </x:c>
      <x:c r="O76" s="32" t="n">
        <x:v>4.23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Merluccius hubbsi</x:v>
      </x:c>
      <x:c r="T76" s="32" t="n">
        <x:f>IF(O76="","",(1/'Metadata'!$B$5)^(O76-1))</x:f>
        <x:v>1698.243652461746</x:v>
      </x:c>
      <x:c r="U76" s="31" t="n">
        <x:f>IF(T76="","",I76*T76)</x:f>
        <x:v>3138054.3283618204</x:v>
      </x:c>
    </x:row>
    <x:row r="77" ht="18" customHeight="1">
      <x:c r="A77" s="24" t="str">
        <x:v>EEZ_076</x:v>
      </x:c>
      <x:c r="B77" s="24" t="str">
        <x:v>Brazil (mainland)</x:v>
      </x:c>
      <x:c r="C77" s="24" t="str">
        <x:v>EEZ</x:v>
      </x:c>
      <x:c r="D77" s="30" t="n">
        <x:v>2019</x:v>
      </x:c>
      <x:c r="E77" s="24" t="str">
        <x:v>Gerreidae</x:v>
      </x:c>
      <x:c r="F77" s="24" t="str">
        <x:v>Mojarras, silverbellies</x:v>
      </x:c>
      <x:c r="G77" s="24" t="str">
        <x:v>Small benthopelagics (&lt;30 cm)</x:v>
      </x:c>
      <x:c r="H77" s="24" t="str">
        <x:v>Perch-likes</x:v>
      </x:c>
      <x:c r="I77" s="31" t="n">
        <x:v>1829.0149586508</x:v>
      </x:c>
      <x:c r="J77" s="31" t="n">
        <x:v>1829.0149586508</x:v>
      </x:c>
      <x:c r="K77" s="31" t="n">
        <x:v>0</x:v>
      </x:c>
      <x:c r="L77" s="31" t="n">
        <x:v>1777.1785810769002</x:v>
      </x:c>
      <x:c r="M77" s="31" t="n">
        <x:v>51.8363775739</x:v>
      </x:c>
      <x:c r="N77" s="24" t="str">
        <x:v>gerreidae</x:v>
      </x:c>
      <x:c r="O77" s="32" t="n">
        <x:v>3.03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Gerreidae</x:v>
      </x:c>
      <x:c r="T77" s="32" t="n">
        <x:f>IF(O77="","",(1/'Metadata'!$B$5)^(O77-1))</x:f>
        <x:v>107.1519305237606</x:v>
      </x:c>
      <x:c r="U77" s="31" t="n">
        <x:f>IF(T77="","",I77*T77)</x:f>
        <x:v>195982.4837762694</x:v>
      </x:c>
    </x:row>
    <x:row r="78" ht="18" customHeight="1">
      <x:c r="A78" s="24" t="str">
        <x:v>EEZ_076</x:v>
      </x:c>
      <x:c r="B78" s="24" t="str">
        <x:v>Brazil (mainland)</x:v>
      </x:c>
      <x:c r="C78" s="24" t="str">
        <x:v>EEZ</x:v>
      </x:c>
      <x:c r="D78" s="30" t="n">
        <x:v>2019</x:v>
      </x:c>
      <x:c r="E78" s="24" t="str">
        <x:v>Lutjanus jocu</x:v>
      </x:c>
      <x:c r="F78" s="24" t="str">
        <x:v>Dog snapper</x:v>
      </x:c>
      <x:c r="G78" s="24" t="str">
        <x:v>Large reef assoc. fish (&gt;=90 cm)</x:v>
      </x:c>
      <x:c r="H78" s="24" t="str">
        <x:v>Perch-likes</x:v>
      </x:c>
      <x:c r="I78" s="31" t="n">
        <x:v>1802.8958732301</x:v>
      </x:c>
      <x:c r="J78" s="31" t="n">
        <x:v>1802.8958732301</x:v>
      </x:c>
      <x:c r="K78" s="31" t="n">
        <x:v>0</x:v>
      </x:c>
      <x:c r="L78" s="31" t="n">
        <x:v>1761.2881471491</x:v>
      </x:c>
      <x:c r="M78" s="31" t="n">
        <x:v>41.607726081</x:v>
      </x:c>
      <x:c r="N78" s="24" t="str">
        <x:v>lutjanus jocu</x:v>
      </x:c>
      <x:c r="O78" s="32" t="n">
        <x:v>4.41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Lutjanus jocu</x:v>
      </x:c>
      <x:c r="T78" s="32" t="n">
        <x:f>IF(O78="","",(1/'Metadata'!$B$5)^(O78-1))</x:f>
        <x:v>2570.3957827688646</x:v>
      </x:c>
      <x:c r="U78" s="31" t="n">
        <x:f>IF(T78="","",I78*T78)</x:f>
        <x:v>4634155.949322038</x:v>
      </x:c>
    </x:row>
    <x:row r="79" ht="18" customHeight="1">
      <x:c r="A79" s="24" t="str">
        <x:v>EEZ_076</x:v>
      </x:c>
      <x:c r="B79" s="24" t="str">
        <x:v>Brazil (mainland)</x:v>
      </x:c>
      <x:c r="C79" s="24" t="str">
        <x:v>EEZ</x:v>
      </x:c>
      <x:c r="D79" s="30" t="n">
        <x:v>2019</x:v>
      </x:c>
      <x:c r="E79" s="24" t="str">
        <x:v>Porichthys porosissimus</x:v>
      </x:c>
      <x:c r="F79" s="24" t="str">
        <x:v>South American toadfish</x:v>
      </x:c>
      <x:c r="G79" s="24" t="str">
        <x:v>Small demersals (&lt;30 cm)</x:v>
      </x:c>
      <x:c r="H79" s="24" t="str">
        <x:v>Other fishes &amp; inverts</x:v>
      </x:c>
      <x:c r="I79" s="31" t="n">
        <x:v>1789.4405772663001</x:v>
      </x:c>
      <x:c r="J79" s="31" t="n">
        <x:v>79.8167547663</x:v>
      </x:c>
      <x:c r="K79" s="31" t="n">
        <x:v>1709.6238225</x:v>
      </x:c>
      <x:c r="L79" s="31" t="n">
        <x:v>78.1777788862</x:v>
      </x:c>
      <x:c r="M79" s="31" t="n">
        <x:v>1711.2627983801</x:v>
      </x:c>
      <x:c r="N79" s="24" t="str">
        <x:v>porichthys porosissimus</x:v>
      </x:c>
      <x:c r="O79" s="32" t="n">
        <x:v>3.73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Porichthys porosissimus</x:v>
      </x:c>
      <x:c r="T79" s="32" t="n">
        <x:f>IF(O79="","",(1/'Metadata'!$B$5)^(O79-1))</x:f>
        <x:v>537.0317963702527</x:v>
      </x:c>
      <x:c r="U79" s="31" t="n">
        <x:f>IF(T79="","",I79*T79)</x:f>
        <x:v>960986.4877071431</x:v>
      </x:c>
    </x:row>
    <x:row r="80" ht="18" customHeight="1">
      <x:c r="A80" s="24" t="str">
        <x:v>EEZ_076</x:v>
      </x:c>
      <x:c r="B80" s="24" t="str">
        <x:v>Brazil (mainland)</x:v>
      </x:c>
      <x:c r="C80" s="24" t="str">
        <x:v>EEZ</x:v>
      </x:c>
      <x:c r="D80" s="30" t="n">
        <x:v>2019</x:v>
      </x:c>
      <x:c r="E80" s="24" t="str">
        <x:v>Clupeiformes</x:v>
      </x:c>
      <x:c r="F80" s="24" t="str">
        <x:v>Herrings, shads, anchovies</x:v>
      </x:c>
      <x:c r="G80" s="24" t="str">
        <x:v>Small pelagics (&lt;30 cm)</x:v>
      </x:c>
      <x:c r="H80" s="24" t="str">
        <x:v>Other fishes &amp; inverts</x:v>
      </x:c>
      <x:c r="I80" s="31" t="n">
        <x:v>1758.3913289980999</x:v>
      </x:c>
      <x:c r="J80" s="31" t="n">
        <x:v>1758.3913289980999</x:v>
      </x:c>
      <x:c r="K80" s="31" t="n">
        <x:v>0</x:v>
      </x:c>
      <x:c r="L80" s="31" t="n">
        <x:v>1758.3913289980999</x:v>
      </x:c>
      <x:c r="M80" s="31" t="n">
        <x:v>0</x:v>
      </x:c>
      <x:c r="N80" s="24" t="str">
        <x:v>clupeiformes</x:v>
      </x:c>
      <x:c r="O80" s="32" t="n">
        <x:v>3.24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Clupeiformes</x:v>
      </x:c>
      <x:c r="T80" s="32" t="n">
        <x:f>IF(O80="","",(1/'Metadata'!$B$5)^(O80-1))</x:f>
        <x:v>173.78008287493762</x:v>
      </x:c>
      <x:c r="U80" s="31" t="n">
        <x:f>IF(T80="","",I80*T80)</x:f>
        <x:v>305573.3908798615</x:v>
      </x:c>
    </x:row>
    <x:row r="81" ht="18" customHeight="1">
      <x:c r="A81" s="24" t="str">
        <x:v>EEZ_076</x:v>
      </x:c>
      <x:c r="B81" s="24" t="str">
        <x:v>Brazil (mainland)</x:v>
      </x:c>
      <x:c r="C81" s="24" t="str">
        <x:v>EEZ</x:v>
      </x:c>
      <x:c r="D81" s="30" t="n">
        <x:v>2019</x:v>
      </x:c>
      <x:c r="E81" s="24" t="str">
        <x:v>Caranx hippos</x:v>
      </x:c>
      <x:c r="F81" s="24" t="str">
        <x:v>Crevalle jack</x:v>
      </x:c>
      <x:c r="G81" s="24" t="str">
        <x:v>Large reef assoc. fish (&gt;=90 cm)</x:v>
      </x:c>
      <x:c r="H81" s="24" t="str">
        <x:v>Perch-likes</x:v>
      </x:c>
      <x:c r="I81" s="31" t="n">
        <x:v>1683.9865166625</x:v>
      </x:c>
      <x:c r="J81" s="31" t="n">
        <x:v>1683.9865166625</x:v>
      </x:c>
      <x:c r="K81" s="31" t="n">
        <x:v>0</x:v>
      </x:c>
      <x:c r="L81" s="31" t="n">
        <x:v>1644.6292876633</x:v>
      </x:c>
      <x:c r="M81" s="31" t="n">
        <x:v>39.357228999200004</x:v>
      </x:c>
      <x:c r="N81" s="24" t="str">
        <x:v>caranx hippos</x:v>
      </x:c>
      <x:c r="O81" s="32" t="n">
        <x:v>3.56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Caranx hippos</x:v>
      </x:c>
      <x:c r="T81" s="32" t="n">
        <x:f>IF(O81="","",(1/'Metadata'!$B$5)^(O81-1))</x:f>
        <x:v>363.0780547701014</x:v>
      </x:c>
      <x:c r="U81" s="31" t="n">
        <x:f>IF(T81="","",I81*T81)</x:f>
        <x:v>611418.5487288994</x:v>
      </x:c>
    </x:row>
    <x:row r="82" ht="18" customHeight="1">
      <x:c r="A82" s="24" t="str">
        <x:v>EEZ_076</x:v>
      </x:c>
      <x:c r="B82" s="24" t="str">
        <x:v>Brazil (mainland)</x:v>
      </x:c>
      <x:c r="C82" s="24" t="str">
        <x:v>EEZ</x:v>
      </x:c>
      <x:c r="D82" s="30" t="n">
        <x:v>2019</x:v>
      </x:c>
      <x:c r="E82" s="24" t="str">
        <x:v>Lagocephalus laevigatus</x:v>
      </x:c>
      <x:c r="F82" s="24" t="str">
        <x:v>Smooth puffer</x:v>
      </x:c>
      <x:c r="G82" s="24" t="str">
        <x:v>Medium pelagics (30 - 89 cm)</x:v>
      </x:c>
      <x:c r="H82" s="24" t="str">
        <x:v>Other fishes &amp; inverts</x:v>
      </x:c>
      <x:c r="I82" s="31" t="n">
        <x:v>1641.4413228075</x:v>
      </x:c>
      <x:c r="J82" s="31" t="n">
        <x:v>1641.4413228075</x:v>
      </x:c>
      <x:c r="K82" s="31" t="n">
        <x:v>0</x:v>
      </x:c>
      <x:c r="L82" s="31" t="n">
        <x:v>1575.5905411331</x:v>
      </x:c>
      <x:c r="M82" s="31" t="n">
        <x:v>65.8507816744</x:v>
      </x:c>
      <x:c r="N82" s="24" t="str">
        <x:v>lagocephalus laevigatus</x:v>
      </x:c>
      <x:c r="O82" s="32" t="n">
        <x:v>4.02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Lagocephalus laevigatus</x:v>
      </x:c>
      <x:c r="T82" s="32" t="n">
        <x:f>IF(O82="","",(1/'Metadata'!$B$5)^(O82-1))</x:f>
        <x:v>1047.1285480508984</x:v>
      </x:c>
      <x:c r="U82" s="31" t="n">
        <x:f>IF(T82="","",I82*T82)</x:f>
        <x:v>1718800.0690621636</x:v>
      </x:c>
    </x:row>
    <x:row r="83" ht="18" customHeight="1">
      <x:c r="A83" s="24" t="str">
        <x:v>EEZ_076</x:v>
      </x:c>
      <x:c r="B83" s="24" t="str">
        <x:v>Brazil (mainland)</x:v>
      </x:c>
      <x:c r="C83" s="24" t="str">
        <x:v>EEZ</x:v>
      </x:c>
      <x:c r="D83" s="30" t="n">
        <x:v>2019</x:v>
      </x:c>
      <x:c r="E83" s="24" t="str">
        <x:v>Pellona harroweri</x:v>
      </x:c>
      <x:c r="F83" s="24" t="str">
        <x:v>American coastal pellona</x:v>
      </x:c>
      <x:c r="G83" s="24" t="str">
        <x:v>Small pelagics (&lt;30 cm)</x:v>
      </x:c>
      <x:c r="H83" s="24" t="str">
        <x:v>Herring-likes</x:v>
      </x:c>
      <x:c r="I83" s="31" t="n">
        <x:v>1592.3133817059</x:v>
      </x:c>
      <x:c r="J83" s="31" t="n">
        <x:v>0.9212302659</x:v>
      </x:c>
      <x:c r="K83" s="31" t="n">
        <x:v>1591.39215144</x:v>
      </x:c>
      <x:c r="L83" s="31" t="n">
        <x:v>0.8959420698</x:v>
      </x:c>
      <x:c r="M83" s="31" t="n">
        <x:v>1591.4174396361</x:v>
      </x:c>
      <x:c r="N83" s="24" t="str">
        <x:v>pellona harroweri</x:v>
      </x:c>
      <x:c r="O83" s="32" t="n">
        <x:v>4.2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Pellona harroweri</x:v>
      </x:c>
      <x:c r="T83" s="32" t="n">
        <x:f>IF(O83="","",(1/'Metadata'!$B$5)^(O83-1))</x:f>
        <x:v>1584.893192461114</x:v>
      </x:c>
      <x:c r="U83" s="31" t="n">
        <x:f>IF(T83="","",I83*T83)</x:f>
        <x:v>2523646.638930416</x:v>
      </x:c>
    </x:row>
    <x:row r="84" ht="18" customHeight="1">
      <x:c r="A84" s="24" t="str">
        <x:v>EEZ_076</x:v>
      </x:c>
      <x:c r="B84" s="24" t="str">
        <x:v>Brazil (mainland)</x:v>
      </x:c>
      <x:c r="C84" s="24" t="str">
        <x:v>EEZ</x:v>
      </x:c>
      <x:c r="D84" s="30" t="n">
        <x:v>2019</x:v>
      </x:c>
      <x:c r="E84" s="24" t="str">
        <x:v>Caranx crysos</x:v>
      </x:c>
      <x:c r="F84" s="24" t="str">
        <x:v>Blue runner</x:v>
      </x:c>
      <x:c r="G84" s="24" t="str">
        <x:v>Medium reef assoc. fish (30 - 89 cm)</x:v>
      </x:c>
      <x:c r="H84" s="24" t="str">
        <x:v>Perch-likes</x:v>
      </x:c>
      <x:c r="I84" s="31" t="n">
        <x:v>1584.9975145828</x:v>
      </x:c>
      <x:c r="J84" s="31" t="n">
        <x:v>1584.9975145828</x:v>
      </x:c>
      <x:c r="K84" s="31" t="n">
        <x:v>0</x:v>
      </x:c>
      <x:c r="L84" s="31" t="n">
        <x:v>1549.9999999769</x:v>
      </x:c>
      <x:c r="M84" s="31" t="n">
        <x:v>34.9975146059</x:v>
      </x:c>
      <x:c r="N84" s="24" t="str">
        <x:v>caranx crysos</x:v>
      </x:c>
      <x:c r="O84" s="32" t="n">
        <x:v>4.13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Caranx crysos</x:v>
      </x:c>
      <x:c r="T84" s="32" t="n">
        <x:f>IF(O84="","",(1/'Metadata'!$B$5)^(O84-1))</x:f>
        <x:v>1348.9628825916532</x:v>
      </x:c>
      <x:c r="U84" s="31" t="n">
        <x:f>IF(T84="","",I84*T84)</x:f>
        <x:v>2138102.81617222</x:v>
      </x:c>
    </x:row>
    <x:row r="85" ht="18" customHeight="1">
      <x:c r="A85" s="24" t="str">
        <x:v>EEZ_076</x:v>
      </x:c>
      <x:c r="B85" s="24" t="str">
        <x:v>Brazil (mainland)</x:v>
      </x:c>
      <x:c r="C85" s="24" t="str">
        <x:v>EEZ</x:v>
      </x:c>
      <x:c r="D85" s="30" t="n">
        <x:v>2019</x:v>
      </x:c>
      <x:c r="E85" s="24" t="str">
        <x:v>Penaeidae</x:v>
      </x:c>
      <x:c r="F85" s="24" t="str">
        <x:v>Commercial shrimps and prawns</x:v>
      </x:c>
      <x:c r="G85" s="24" t="str">
        <x:v>Shrimps</x:v>
      </x:c>
      <x:c r="H85" s="24" t="str">
        <x:v>Crustaceans</x:v>
      </x:c>
      <x:c r="I85" s="31" t="n">
        <x:v>1564.9692144372</x:v>
      </x:c>
      <x:c r="J85" s="31" t="n">
        <x:v>1564.9692144372</x:v>
      </x:c>
      <x:c r="K85" s="31" t="n">
        <x:v>0</x:v>
      </x:c>
      <x:c r="L85" s="31" t="n">
        <x:v>854.7856378141</x:v>
      </x:c>
      <x:c r="M85" s="31" t="n">
        <x:v>710.1835766231</x:v>
      </x:c>
      <x:c r="N85" s="24" t="str">
        <x:v>penaeidae</x:v>
      </x:c>
      <x:c r="O85" s="32" t="n">
        <x:v>3.31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Penaeidae</x:v>
      </x:c>
      <x:c r="T85" s="32" t="n">
        <x:f>IF(O85="","",(1/'Metadata'!$B$5)^(O85-1))</x:f>
        <x:v>204.17379446695296</x:v>
      </x:c>
      <x:c r="U85" s="31" t="n">
        <x:f>IF(T85="","",I85*T85)</x:f>
        <x:v>319525.70273560967</x:v>
      </x:c>
    </x:row>
    <x:row r="86" ht="18" customHeight="1">
      <x:c r="A86" s="24" t="str">
        <x:v>EEZ_076</x:v>
      </x:c>
      <x:c r="B86" s="24" t="str">
        <x:v>Brazil (mainland)</x:v>
      </x:c>
      <x:c r="C86" s="24" t="str">
        <x:v>EEZ</x:v>
      </x:c>
      <x:c r="D86" s="30" t="n">
        <x:v>2019</x:v>
      </x:c>
      <x:c r="E86" s="24" t="str">
        <x:v>Trachurus lathami</x:v>
      </x:c>
      <x:c r="F86" s="24" t="str">
        <x:v>Rough scad</x:v>
      </x:c>
      <x:c r="G86" s="24" t="str">
        <x:v>Medium benthopelagics (30 - 89 cm)</x:v>
      </x:c>
      <x:c r="H86" s="24" t="str">
        <x:v>Perch-likes</x:v>
      </x:c>
      <x:c r="I86" s="31" t="n">
        <x:v>1526.0339219931</x:v>
      </x:c>
      <x:c r="J86" s="31" t="n">
        <x:v>1526.0339219931</x:v>
      </x:c>
      <x:c r="K86" s="31" t="n">
        <x:v>0</x:v>
      </x:c>
      <x:c r="L86" s="31" t="n">
        <x:v>1480.000000032</x:v>
      </x:c>
      <x:c r="M86" s="31" t="n">
        <x:v>46.0339219611</x:v>
      </x:c>
      <x:c r="N86" s="24" t="str">
        <x:v>trachurus lathami</x:v>
      </x:c>
      <x:c r="O86" s="32" t="n">
        <x:v>3.99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Trachurus lathami</x:v>
      </x:c>
      <x:c r="T86" s="32" t="n">
        <x:f>IF(O86="","",(1/'Metadata'!$B$5)^(O86-1))</x:f>
        <x:v>977.2372209558112</x:v>
      </x:c>
      <x:c r="U86" s="31" t="n">
        <x:f>IF(T86="","",I86*T86)</x:f>
        <x:v>1491297.149012834</x:v>
      </x:c>
    </x:row>
    <x:row r="87" ht="18" customHeight="1">
      <x:c r="A87" s="24" t="str">
        <x:v>EEZ_076</x:v>
      </x:c>
      <x:c r="B87" s="24" t="str">
        <x:v>Brazil (mainland)</x:v>
      </x:c>
      <x:c r="C87" s="24" t="str">
        <x:v>EEZ</x:v>
      </x:c>
      <x:c r="D87" s="30" t="n">
        <x:v>2019</x:v>
      </x:c>
      <x:c r="E87" s="24" t="str">
        <x:v>Rajidae</x:v>
      </x:c>
      <x:c r="F87" s="24" t="str">
        <x:v>Stingrays</x:v>
      </x:c>
      <x:c r="G87" s="24" t="str">
        <x:v>Large rays (&gt;=90 cm)</x:v>
      </x:c>
      <x:c r="H87" s="24" t="str">
        <x:v>Sharks &amp; rays</x:v>
      </x:c>
      <x:c r="I87" s="31" t="n">
        <x:v>1461.2574864189999</x:v>
      </x:c>
      <x:c r="J87" s="31" t="n">
        <x:v>1461.2574864189999</x:v>
      </x:c>
      <x:c r="K87" s="31" t="n">
        <x:v>0</x:v>
      </x:c>
      <x:c r="L87" s="31" t="n">
        <x:v>1421.313429992</x:v>
      </x:c>
      <x:c r="M87" s="31" t="n">
        <x:v>39.944056427</x:v>
      </x:c>
      <x:c r="N87" s="24" t="str">
        <x:v>rajidae</x:v>
      </x:c>
      <x:c r="O87" s="32" t="n">
        <x:v>3.82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Rajidae</x:v>
      </x:c>
      <x:c r="T87" s="32" t="n">
        <x:f>IF(O87="","",(1/'Metadata'!$B$5)^(O87-1))</x:f>
        <x:v>660.6934480075957</x:v>
      </x:c>
      <x:c r="U87" s="31" t="n">
        <x:f>IF(T87="","",I87*T87)</x:f>
        <x:v>965443.2471290815</x:v>
      </x:c>
    </x:row>
    <x:row r="88" ht="18" customHeight="1">
      <x:c r="A88" s="24" t="str">
        <x:v>EEZ_076</x:v>
      </x:c>
      <x:c r="B88" s="24" t="str">
        <x:v>Brazil (mainland)</x:v>
      </x:c>
      <x:c r="C88" s="24" t="str">
        <x:v>EEZ</x:v>
      </x:c>
      <x:c r="D88" s="30" t="n">
        <x:v>2019</x:v>
      </x:c>
      <x:c r="E88" s="24" t="str">
        <x:v>Sciades couma</x:v>
      </x:c>
      <x:c r="F88" s="24" t="str">
        <x:v>Couma sea catfish</x:v>
      </x:c>
      <x:c r="G88" s="24" t="str">
        <x:v>Medium demersals (30 - 89 cm)</x:v>
      </x:c>
      <x:c r="H88" s="24" t="str">
        <x:v>Other fishes &amp; inverts</x:v>
      </x:c>
      <x:c r="I88" s="31" t="n">
        <x:v>1421.7266281913</x:v>
      </x:c>
      <x:c r="J88" s="31" t="n">
        <x:v>1421.7266281913</x:v>
      </x:c>
      <x:c r="K88" s="31" t="n">
        <x:v>0</x:v>
      </x:c>
      <x:c r="L88" s="31" t="n">
        <x:v>1413.0700257833</x:v>
      </x:c>
      <x:c r="M88" s="31" t="n">
        <x:v>8.656602408000001</x:v>
      </x:c>
      <x:c r="N88" s="24" t="str">
        <x:v>sciades couma</x:v>
      </x:c>
      <x:c r="O88" s="32" t="n">
        <x:v>3.87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Sciades couma</x:v>
      </x:c>
      <x:c r="T88" s="32" t="n">
        <x:f>IF(O88="","",(1/'Metadata'!$B$5)^(O88-1))</x:f>
        <x:v>741.3102413009177</x:v>
      </x:c>
      <x:c r="U88" s="31" t="n">
        <x:f>IF(T88="","",I88*T88)</x:f>
        <x:v>1053940.5098084328</x:v>
      </x:c>
    </x:row>
    <x:row r="89" ht="18" customHeight="1">
      <x:c r="A89" s="24" t="str">
        <x:v>EEZ_076</x:v>
      </x:c>
      <x:c r="B89" s="24" t="str">
        <x:v>Brazil (mainland)</x:v>
      </x:c>
      <x:c r="C89" s="24" t="str">
        <x:v>EEZ</x:v>
      </x:c>
      <x:c r="D89" s="30" t="n">
        <x:v>2019</x:v>
      </x:c>
      <x:c r="E89" s="24" t="str">
        <x:v>Pagrus pagrus</x:v>
      </x:c>
      <x:c r="F89" s="24" t="str">
        <x:v>Red porgy</x:v>
      </x:c>
      <x:c r="G89" s="24" t="str">
        <x:v>Medium benthopelagics (30 - 89 cm)</x:v>
      </x:c>
      <x:c r="H89" s="24" t="str">
        <x:v>Perch-likes</x:v>
      </x:c>
      <x:c r="I89" s="31" t="n">
        <x:v>1408.2500428984</x:v>
      </x:c>
      <x:c r="J89" s="31" t="n">
        <x:v>1408.2500428984</x:v>
      </x:c>
      <x:c r="K89" s="31" t="n">
        <x:v>0</x:v>
      </x:c>
      <x:c r="L89" s="31" t="n">
        <x:v>1367.6042612102</x:v>
      </x:c>
      <x:c r="M89" s="31" t="n">
        <x:v>40.6457816882</x:v>
      </x:c>
      <x:c r="N89" s="24" t="str">
        <x:v>pagrus pagrus</x:v>
      </x:c>
      <x:c r="O89" s="32" t="n">
        <x:v>3.86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Pagrus pagrus</x:v>
      </x:c>
      <x:c r="T89" s="32" t="n">
        <x:f>IF(O89="","",(1/'Metadata'!$B$5)^(O89-1))</x:f>
        <x:v>724.4359600749899</x:v>
      </x:c>
      <x:c r="U89" s="31" t="n">
        <x:f>IF(T89="","",I89*T89)</x:f>
        <x:v>1020186.9718527481</x:v>
      </x:c>
    </x:row>
    <x:row r="90" ht="18" customHeight="1">
      <x:c r="A90" s="24" t="str">
        <x:v>EEZ_076</x:v>
      </x:c>
      <x:c r="B90" s="24" t="str">
        <x:v>Brazil (mainland)</x:v>
      </x:c>
      <x:c r="C90" s="24" t="str">
        <x:v>EEZ</x:v>
      </x:c>
      <x:c r="D90" s="30" t="n">
        <x:v>2019</x:v>
      </x:c>
      <x:c r="E90" s="24" t="str">
        <x:v>Cynoscion leiarchus</x:v>
      </x:c>
      <x:c r="F90" s="24" t="str">
        <x:v>Smooth weakfish</x:v>
      </x:c>
      <x:c r="G90" s="24" t="str">
        <x:v>Medium demersals (30 - 89 cm)</x:v>
      </x:c>
      <x:c r="H90" s="24" t="str">
        <x:v>Perch-likes</x:v>
      </x:c>
      <x:c r="I90" s="31" t="n">
        <x:v>1402.9951780746</x:v>
      </x:c>
      <x:c r="J90" s="31" t="n">
        <x:v>1402.9951780746</x:v>
      </x:c>
      <x:c r="K90" s="31" t="n">
        <x:v>0</x:v>
      </x:c>
      <x:c r="L90" s="31" t="n">
        <x:v>900.0000000053</x:v>
      </x:c>
      <x:c r="M90" s="31" t="n">
        <x:v>502.9951780693</x:v>
      </x:c>
      <x:c r="N90" s="24" t="str">
        <x:v>cynoscion leiarchus</x:v>
      </x:c>
      <x:c r="O90" s="32" t="n">
        <x:v>3.06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Cynoscion leiarchus</x:v>
      </x:c>
      <x:c r="T90" s="32" t="n">
        <x:f>IF(O90="","",(1/'Metadata'!$B$5)^(O90-1))</x:f>
        <x:v>114.81536214968828</x:v>
      </x:c>
      <x:c r="U90" s="31" t="n">
        <x:f>IF(T90="","",I90*T90)</x:f>
        <x:v>161085.3994649016</x:v>
      </x:c>
    </x:row>
    <x:row r="91" ht="18" customHeight="1">
      <x:c r="A91" s="24" t="str">
        <x:v>EEZ_076</x:v>
      </x:c>
      <x:c r="B91" s="24" t="str">
        <x:v>Brazil (mainland)</x:v>
      </x:c>
      <x:c r="C91" s="24" t="str">
        <x:v>EEZ</x:v>
      </x:c>
      <x:c r="D91" s="30" t="n">
        <x:v>2019</x:v>
      </x:c>
      <x:c r="E91" s="24" t="str">
        <x:v>Penaeus paulensis</x:v>
      </x:c>
      <x:c r="F91" s="24" t="str">
        <x:v>Sao Paulo shrimp</x:v>
      </x:c>
      <x:c r="G91" s="24" t="str">
        <x:v>Shrimps</x:v>
      </x:c>
      <x:c r="H91" s="24" t="str">
        <x:v>Crustaceans</x:v>
      </x:c>
      <x:c r="I91" s="31" t="n">
        <x:v>1338.1579911002</x:v>
      </x:c>
      <x:c r="J91" s="31" t="n">
        <x:v>1338.1579911002</x:v>
      </x:c>
      <x:c r="K91" s="31" t="n">
        <x:v>0</x:v>
      </x:c>
      <x:c r="L91" s="31" t="n">
        <x:v>931.3091992</x:v>
      </x:c>
      <x:c r="M91" s="31" t="n">
        <x:v>406.8487919002</x:v>
      </x:c>
      <x:c r="N91" s="24" t="str">
        <x:v>penaeus paulensis</x:v>
      </x:c>
      <x:c r="O91" s="32" t="n">
        <x:v>2.97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Penaeus paulensis</x:v>
      </x:c>
      <x:c r="T91" s="32" t="n">
        <x:f>IF(O91="","",(1/'Metadata'!$B$5)^(O91-1))</x:f>
        <x:v>93.32543007969915</x:v>
      </x:c>
      <x:c r="U91" s="31" t="n">
        <x:f>IF(T91="","",I91*T91)</x:f>
        <x:v>124884.17003401238</x:v>
      </x:c>
    </x:row>
    <x:row r="92" ht="18" customHeight="1">
      <x:c r="A92" s="24" t="str">
        <x:v>EEZ_076</x:v>
      </x:c>
      <x:c r="B92" s="24" t="str">
        <x:v>Brazil (mainland)</x:v>
      </x:c>
      <x:c r="C92" s="24" t="str">
        <x:v>EEZ</x:v>
      </x:c>
      <x:c r="D92" s="30" t="n">
        <x:v>2019</x:v>
      </x:c>
      <x:c r="E92" s="24" t="str">
        <x:v>Nebris microps</x:v>
      </x:c>
      <x:c r="F92" s="24" t="str">
        <x:v>Smalleye croaker</x:v>
      </x:c>
      <x:c r="G92" s="24" t="str">
        <x:v>Medium demersals (30 - 89 cm)</x:v>
      </x:c>
      <x:c r="H92" s="24" t="str">
        <x:v>Perch-likes</x:v>
      </x:c>
      <x:c r="I92" s="31" t="n">
        <x:v>1337.1178855674</x:v>
      </x:c>
      <x:c r="J92" s="31" t="n">
        <x:v>107.49796652740001</x:v>
      </x:c>
      <x:c r="K92" s="31" t="n">
        <x:v>1229.61991904</x:v>
      </x:c>
      <x:c r="L92" s="31" t="n">
        <x:v>18.3793366742</x:v>
      </x:c>
      <x:c r="M92" s="31" t="n">
        <x:v>1318.7385488932</x:v>
      </x:c>
      <x:c r="N92" s="24" t="str">
        <x:v>nebris microps</x:v>
      </x:c>
      <x:c r="O92" s="32" t="n">
        <x:v>3.6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Nebris microps</x:v>
      </x:c>
      <x:c r="T92" s="32" t="n">
        <x:f>IF(O92="","",(1/'Metadata'!$B$5)^(O92-1))</x:f>
        <x:v>398.1071705534973</x:v>
      </x:c>
      <x:c r="U92" s="31" t="n">
        <x:f>IF(T92="","",I92*T92)</x:f>
        <x:v>532316.2181197127</x:v>
      </x:c>
    </x:row>
    <x:row r="93" ht="18" customHeight="1">
      <x:c r="A93" s="24" t="str">
        <x:v>EEZ_076</x:v>
      </x:c>
      <x:c r="B93" s="24" t="str">
        <x:v>Brazil (mainland)</x:v>
      </x:c>
      <x:c r="C93" s="24" t="str">
        <x:v>EEZ</x:v>
      </x:c>
      <x:c r="D93" s="30" t="n">
        <x:v>2019</x:v>
      </x:c>
      <x:c r="E93" s="24" t="str">
        <x:v>Balistidae</x:v>
      </x:c>
      <x:c r="F93" s="24" t="str">
        <x:v>Triggerfishes</x:v>
      </x:c>
      <x:c r="G93" s="24" t="str">
        <x:v>Medium reef assoc. fish (30 - 89 cm)</x:v>
      </x:c>
      <x:c r="H93" s="24" t="str">
        <x:v>Other fishes &amp; inverts</x:v>
      </x:c>
      <x:c r="I93" s="31" t="n">
        <x:v>1306.945586981</x:v>
      </x:c>
      <x:c r="J93" s="31" t="n">
        <x:v>1306.945586981</x:v>
      </x:c>
      <x:c r="K93" s="31" t="n">
        <x:v>0</x:v>
      </x:c>
      <x:c r="L93" s="31" t="n">
        <x:v>1279.331188813</x:v>
      </x:c>
      <x:c r="M93" s="31" t="n">
        <x:v>27.614398168</x:v>
      </x:c>
      <x:c r="N93" s="24" t="str">
        <x:v>balistidae</x:v>
      </x:c>
      <x:c r="O93" s="32" t="n">
        <x:v>3.25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Balistidae</x:v>
      </x:c>
      <x:c r="T93" s="32" t="n">
        <x:f>IF(O93="","",(1/'Metadata'!$B$5)^(O93-1))</x:f>
        <x:v>177.82794100389228</x:v>
      </x:c>
      <x:c r="U93" s="31" t="n">
        <x:f>IF(T93="","",I93*T93)</x:f>
        <x:v>232411.4427369546</x:v>
      </x:c>
    </x:row>
    <x:row r="94" ht="18" customHeight="1">
      <x:c r="A94" s="24" t="str">
        <x:v>EEZ_076</x:v>
      </x:c>
      <x:c r="B94" s="24" t="str">
        <x:v>Brazil (mainland)</x:v>
      </x:c>
      <x:c r="C94" s="24" t="str">
        <x:v>EEZ</x:v>
      </x:c>
      <x:c r="D94" s="30" t="n">
        <x:v>2019</x:v>
      </x:c>
      <x:c r="E94" s="24" t="str">
        <x:v>Marine finfishes not identified</x:v>
      </x:c>
      <x:c r="F94" s="24" t="str">
        <x:v>Finfishes</x:v>
      </x:c>
      <x:c r="G94" s="24" t="str">
        <x:v>Medium demersals (30 - 89 cm)</x:v>
      </x:c>
      <x:c r="H94" s="24" t="str">
        <x:v>Other fishes &amp; inverts</x:v>
      </x:c>
      <x:c r="I94" s="31" t="n">
        <x:v>1306.030782699</x:v>
      </x:c>
      <x:c r="J94" s="31" t="n">
        <x:v>0</x:v>
      </x:c>
      <x:c r="K94" s="31" t="n">
        <x:v>1306.030782699</x:v>
      </x:c>
      <x:c r="L94" s="31" t="n">
        <x:v>0</x:v>
      </x:c>
      <x:c r="M94" s="31" t="n">
        <x:v>1306.030782699</x:v>
      </x:c>
      <x:c r="N94" s="24" t="str">
        <x:v>marine finfishes not identified</x:v>
      </x:c>
      <x:c r="O94" s="32" t="n">
        <x:v>3.23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Marine finfishes not identified</x:v>
      </x:c>
      <x:c r="T94" s="32" t="n">
        <x:f>IF(O94="","",(1/'Metadata'!$B$5)^(O94-1))</x:f>
        <x:v>169.82436524617444</x:v>
      </x:c>
      <x:c r="U94" s="31" t="n">
        <x:f>IF(T94="","",I94*T94)</x:f>
        <x:v>221795.84866382205</x:v>
      </x:c>
    </x:row>
    <x:row r="95" ht="18" customHeight="1">
      <x:c r="A95" s="24" t="str">
        <x:v>EEZ_076</x:v>
      </x:c>
      <x:c r="B95" s="24" t="str">
        <x:v>Brazil (mainland)</x:v>
      </x:c>
      <x:c r="C95" s="24" t="str">
        <x:v>EEZ</x:v>
      </x:c>
      <x:c r="D95" s="30" t="n">
        <x:v>2019</x:v>
      </x:c>
      <x:c r="E95" s="24" t="str">
        <x:v>Octopus</x:v>
      </x:c>
      <x:c r="F95" s="24" t="str">
        <x:v>Octopuses, pikas</x:v>
      </x:c>
      <x:c r="G95" s="24" t="str">
        <x:v>Cephalopods</x:v>
      </x:c>
      <x:c r="H95" s="24" t="str">
        <x:v>Other fishes &amp; inverts</x:v>
      </x:c>
      <x:c r="I95" s="31" t="n">
        <x:v>1264.0547149055</x:v>
      </x:c>
      <x:c r="J95" s="31" t="n">
        <x:v>1264.0547149055</x:v>
      </x:c>
      <x:c r="K95" s="31" t="n">
        <x:v>0</x:v>
      </x:c>
      <x:c r="L95" s="31" t="n">
        <x:v>1263.6971447018</x:v>
      </x:c>
      <x:c r="M95" s="31" t="n">
        <x:v>0.3575702037</x:v>
      </x:c>
      <x:c r="N95" s="24" t="str">
        <x:v>octopus</x:v>
      </x:c>
      <x:c r="O95" s="32" t="n">
        <x:v>3.8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Octopus</x:v>
      </x:c>
      <x:c r="T95" s="32" t="n">
        <x:f>IF(O95="","",(1/'Metadata'!$B$5)^(O95-1))</x:f>
        <x:v>630.957344480193</x:v>
      </x:c>
      <x:c r="U95" s="31" t="n">
        <x:f>IF(T95="","",I95*T95)</x:f>
        <x:v>797564.6061944418</x:v>
      </x:c>
    </x:row>
    <x:row r="96" ht="18" customHeight="1">
      <x:c r="A96" s="24" t="str">
        <x:v>EEZ_076</x:v>
      </x:c>
      <x:c r="B96" s="24" t="str">
        <x:v>Brazil (mainland)</x:v>
      </x:c>
      <x:c r="C96" s="24" t="str">
        <x:v>EEZ</x:v>
      </x:c>
      <x:c r="D96" s="30" t="n">
        <x:v>2019</x:v>
      </x:c>
      <x:c r="E96" s="24" t="str">
        <x:v>Isurus oxyrinchus</x:v>
      </x:c>
      <x:c r="F96" s="24" t="str">
        <x:v>Shortfin mako</x:v>
      </x:c>
      <x:c r="G96" s="24" t="str">
        <x:v>Large sharks (&gt;=90 cm)</x:v>
      </x:c>
      <x:c r="H96" s="24" t="str">
        <x:v>Sharks &amp; rays</x:v>
      </x:c>
      <x:c r="I96" s="31" t="n">
        <x:v>1263.0279686101999</x:v>
      </x:c>
      <x:c r="J96" s="31" t="n">
        <x:v>1263.0279686101999</x:v>
      </x:c>
      <x:c r="K96" s="31" t="n">
        <x:v>0</x:v>
      </x:c>
      <x:c r="L96" s="31" t="n">
        <x:v>1261.4549269333</x:v>
      </x:c>
      <x:c r="M96" s="31" t="n">
        <x:v>1.5730416769</x:v>
      </x:c>
      <x:c r="N96" s="24" t="str">
        <x:v>isurus oxyrinchus</x:v>
      </x:c>
      <x:c r="O96" s="32" t="n">
        <x:v>4.5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Isurus oxyrinchus</x:v>
      </x:c>
      <x:c r="T96" s="32" t="n">
        <x:f>IF(O96="","",(1/'Metadata'!$B$5)^(O96-1))</x:f>
        <x:v>3162.2776601683795</x:v>
      </x:c>
      <x:c r="U96" s="31" t="n">
        <x:f>IF(T96="","",I96*T96)</x:f>
        <x:v>3994045.129303884</x:v>
      </x:c>
    </x:row>
    <x:row r="97" ht="18" customHeight="1">
      <x:c r="A97" s="24" t="str">
        <x:v>EEZ_076</x:v>
      </x:c>
      <x:c r="B97" s="24" t="str">
        <x:v>Brazil (mainland)</x:v>
      </x:c>
      <x:c r="C97" s="24" t="str">
        <x:v>EEZ</x:v>
      </x:c>
      <x:c r="D97" s="30" t="n">
        <x:v>2019</x:v>
      </x:c>
      <x:c r="E97" s="24" t="str">
        <x:v>Lutjanus</x:v>
      </x:c>
      <x:c r="F97" s="24" t="str">
        <x:v>Snappers</x:v>
      </x:c>
      <x:c r="G97" s="24" t="str">
        <x:v>Medium reef assoc. fish (30 - 89 cm)</x:v>
      </x:c>
      <x:c r="H97" s="24" t="str">
        <x:v>Perch-likes</x:v>
      </x:c>
      <x:c r="I97" s="31" t="n">
        <x:v>1148.2017751629</x:v>
      </x:c>
      <x:c r="J97" s="31" t="n">
        <x:v>1148.2017751629</x:v>
      </x:c>
      <x:c r="K97" s="31" t="n">
        <x:v>0</x:v>
      </x:c>
      <x:c r="L97" s="31" t="n">
        <x:v>1127.4525309139</x:v>
      </x:c>
      <x:c r="M97" s="31" t="n">
        <x:v>20.749244249</x:v>
      </x:c>
      <x:c r="N97" s="24" t="str">
        <x:v>lutjanus</x:v>
      </x:c>
      <x:c r="O97" s="32" t="n">
        <x:v>4.02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Lutjanus</x:v>
      </x:c>
      <x:c r="T97" s="32" t="n">
        <x:f>IF(O97="","",(1/'Metadata'!$B$5)^(O97-1))</x:f>
        <x:v>1047.1285480508984</x:v>
      </x:c>
      <x:c r="U97" s="31" t="n">
        <x:f>IF(T97="","",I97*T97)</x:f>
        <x:v>1202314.8576957916</x:v>
      </x:c>
    </x:row>
    <x:row r="98" ht="18" customHeight="1">
      <x:c r="A98" s="24" t="str">
        <x:v>EEZ_076</x:v>
      </x:c>
      <x:c r="B98" s="24" t="str">
        <x:v>Brazil (mainland)</x:v>
      </x:c>
      <x:c r="C98" s="24" t="str">
        <x:v>EEZ</x:v>
      </x:c>
      <x:c r="D98" s="30" t="n">
        <x:v>2019</x:v>
      </x:c>
      <x:c r="E98" s="24" t="str">
        <x:v>Haemulon plumierii</x:v>
      </x:c>
      <x:c r="F98" s="24" t="str">
        <x:v>White grunt</x:v>
      </x:c>
      <x:c r="G98" s="24" t="str">
        <x:v>Medium reef assoc. fish (30 - 89 cm)</x:v>
      </x:c>
      <x:c r="H98" s="24" t="str">
        <x:v>Perch-likes</x:v>
      </x:c>
      <x:c r="I98" s="31" t="n">
        <x:v>1129.1714827422</x:v>
      </x:c>
      <x:c r="J98" s="31" t="n">
        <x:v>1129.1714827422</x:v>
      </x:c>
      <x:c r="K98" s="31" t="n">
        <x:v>0</x:v>
      </x:c>
      <x:c r="L98" s="31" t="n">
        <x:v>1128.0066660782</x:v>
      </x:c>
      <x:c r="M98" s="31" t="n">
        <x:v>1.164816664</x:v>
      </x:c>
      <x:c r="N98" s="24" t="str">
        <x:v>haemulon plumierii</x:v>
      </x:c>
      <x:c r="O98" s="32" t="n">
        <x:v>3.82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Haemulon plumierii</x:v>
      </x:c>
      <x:c r="T98" s="32" t="n">
        <x:f>IF(O98="","",(1/'Metadata'!$B$5)^(O98-1))</x:f>
        <x:v>660.6934480075957</x:v>
      </x:c>
      <x:c r="U98" s="31" t="n">
        <x:f>IF(T98="","",I98*T98)</x:f>
        <x:v>746036.2003247935</x:v>
      </x:c>
    </x:row>
    <x:row r="99" ht="18" customHeight="1">
      <x:c r="A99" s="24" t="str">
        <x:v>EEZ_076</x:v>
      </x:c>
      <x:c r="B99" s="24" t="str">
        <x:v>Brazil (mainland)</x:v>
      </x:c>
      <x:c r="C99" s="24" t="str">
        <x:v>EEZ</x:v>
      </x:c>
      <x:c r="D99" s="30" t="n">
        <x:v>2019</x:v>
      </x:c>
      <x:c r="E99" s="24" t="str">
        <x:v>Conodon nobilis</x:v>
      </x:c>
      <x:c r="F99" s="24" t="str">
        <x:v>Barred grunt</x:v>
      </x:c>
      <x:c r="G99" s="24" t="str">
        <x:v>Small demersals (&lt;30 cm)</x:v>
      </x:c>
      <x:c r="H99" s="24" t="str">
        <x:v>Perch-likes</x:v>
      </x:c>
      <x:c r="I99" s="31" t="n">
        <x:v>1111.7862701886002</x:v>
      </x:c>
      <x:c r="J99" s="31" t="n">
        <x:v>1111.7862701886002</x:v>
      </x:c>
      <x:c r="K99" s="31" t="n">
        <x:v>0</x:v>
      </x:c>
      <x:c r="L99" s="31" t="n">
        <x:v>145.0000000021</x:v>
      </x:c>
      <x:c r="M99" s="31" t="n">
        <x:v>966.7862701864999</x:v>
      </x:c>
      <x:c r="N99" s="24" t="str">
        <x:v>conodon nobilis</x:v>
      </x:c>
      <x:c r="O99" s="32" t="n">
        <x:v>3.61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Conodon nobilis</x:v>
      </x:c>
      <x:c r="T99" s="32" t="n">
        <x:f>IF(O99="","",(1/'Metadata'!$B$5)^(O99-1))</x:f>
        <x:v>407.3802778041126</x:v>
      </x:c>
      <x:c r="U99" s="31" t="n">
        <x:f>IF(T99="","",I99*T99)</x:f>
        <x:v>452919.7996082301</x:v>
      </x:c>
    </x:row>
    <x:row r="100" ht="18" customHeight="1">
      <x:c r="A100" s="24" t="str">
        <x:v>EEZ_076</x:v>
      </x:c>
      <x:c r="B100" s="24" t="str">
        <x:v>Brazil (mainland)</x:v>
      </x:c>
      <x:c r="C100" s="24" t="str">
        <x:v>EEZ</x:v>
      </x:c>
      <x:c r="D100" s="30" t="n">
        <x:v>2019</x:v>
      </x:c>
      <x:c r="E100" s="24" t="str">
        <x:v>Pseudupeneus maculatus</x:v>
      </x:c>
      <x:c r="F100" s="24" t="str">
        <x:v>Spotted goatfish</x:v>
      </x:c>
      <x:c r="G100" s="24" t="str">
        <x:v>Medium reef assoc. fish (30 - 89 cm)</x:v>
      </x:c>
      <x:c r="H100" s="24" t="str">
        <x:v>Perch-likes</x:v>
      </x:c>
      <x:c r="I100" s="31" t="n">
        <x:v>1039.3514409291</x:v>
      </x:c>
      <x:c r="J100" s="31" t="n">
        <x:v>1039.3514409291</x:v>
      </x:c>
      <x:c r="K100" s="31" t="n">
        <x:v>0</x:v>
      </x:c>
      <x:c r="L100" s="31" t="n">
        <x:v>1032.1709659440999</x:v>
      </x:c>
      <x:c r="M100" s="31" t="n">
        <x:v>7.180474985</x:v>
      </x:c>
      <x:c r="N100" s="24" t="str">
        <x:v>pseudupeneus maculatus</x:v>
      </x:c>
      <x:c r="O100" s="32" t="n">
        <x:v>3.65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Pseudupeneus maculatus</x:v>
      </x:c>
      <x:c r="T100" s="32" t="n">
        <x:f>IF(O100="","",(1/'Metadata'!$B$5)^(O100-1))</x:f>
        <x:v>446.683592150963</x:v>
      </x:c>
      <x:c r="U100" s="31" t="n">
        <x:f>IF(T100="","",I100*T100)</x:f>
        <x:v>464261.2351414898</x:v>
      </x:c>
    </x:row>
    <x:row r="101" ht="18" customHeight="1">
      <x:c r="A101" s="24" t="str">
        <x:v>EEZ_076</x:v>
      </x:c>
      <x:c r="B101" s="24" t="str">
        <x:v>Brazil (mainland)</x:v>
      </x:c>
      <x:c r="C101" s="24" t="str">
        <x:v>EEZ</x:v>
      </x:c>
      <x:c r="D101" s="30" t="n">
        <x:v>2019</x:v>
      </x:c>
      <x:c r="E101" s="24" t="str">
        <x:v>Seriola lalandi</x:v>
      </x:c>
      <x:c r="F101" s="24" t="str">
        <x:v>Yellowtail amberjack</x:v>
      </x:c>
      <x:c r="G101" s="24" t="str">
        <x:v>Large benthopelagics (&gt;=90 cm)</x:v>
      </x:c>
      <x:c r="H101" s="24" t="str">
        <x:v>Perch-likes</x:v>
      </x:c>
      <x:c r="I101" s="31" t="n">
        <x:v>1027.6749843849</x:v>
      </x:c>
      <x:c r="J101" s="31" t="n">
        <x:v>1027.6749843849</x:v>
      </x:c>
      <x:c r="K101" s="31" t="n">
        <x:v>0</x:v>
      </x:c>
      <x:c r="L101" s="31" t="n">
        <x:v>990.0000000281</x:v>
      </x:c>
      <x:c r="M101" s="31" t="n">
        <x:v>37.674984356799996</x:v>
      </x:c>
      <x:c r="N101" s="24" t="str">
        <x:v>seriola lalandi</x:v>
      </x:c>
      <x:c r="O101" s="32" t="n">
        <x:v>4.16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Seriola lalandi</x:v>
      </x:c>
      <x:c r="T101" s="32" t="n">
        <x:f>IF(O101="","",(1/'Metadata'!$B$5)^(O101-1))</x:f>
        <x:v>1445.439770745928</x:v>
      </x:c>
      <x:c r="U101" s="31" t="n">
        <x:f>IF(T101="","",I101*T101)</x:f>
        <x:v>1485442.2938306348</x:v>
      </x:c>
    </x:row>
    <x:row r="102" ht="18" customHeight="1">
      <x:c r="A102" s="24" t="str">
        <x:v>EEZ_076</x:v>
      </x:c>
      <x:c r="B102" s="24" t="str">
        <x:v>Brazil (mainland)</x:v>
      </x:c>
      <x:c r="C102" s="24" t="str">
        <x:v>EEZ</x:v>
      </x:c>
      <x:c r="D102" s="30" t="n">
        <x:v>2019</x:v>
      </x:c>
      <x:c r="E102" s="24" t="str">
        <x:v>Thunnus alalunga</x:v>
      </x:c>
      <x:c r="F102" s="24" t="str">
        <x:v>Albacore</x:v>
      </x:c>
      <x:c r="G102" s="24" t="str">
        <x:v>Large pelagics (&gt;=90 cm)</x:v>
      </x:c>
      <x:c r="H102" s="24" t="str">
        <x:v>Tuna &amp; billfishes</x:v>
      </x:c>
      <x:c r="I102" s="31" t="n">
        <x:v>989.8422917597</x:v>
      </x:c>
      <x:c r="J102" s="31" t="n">
        <x:v>989.8422917597</x:v>
      </x:c>
      <x:c r="K102" s="31" t="n">
        <x:v>0</x:v>
      </x:c>
      <x:c r="L102" s="31" t="n">
        <x:v>985.6412141267</x:v>
      </x:c>
      <x:c r="M102" s="31" t="n">
        <x:v>4.201077633000001</x:v>
      </x:c>
      <x:c r="N102" s="24" t="str">
        <x:v>thunnus alalunga</x:v>
      </x:c>
      <x:c r="O102" s="32" t="n">
        <x:v>4.3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Thunnus alalunga</x:v>
      </x:c>
      <x:c r="T102" s="32" t="n">
        <x:f>IF(O102="","",(1/'Metadata'!$B$5)^(O102-1))</x:f>
        <x:v>1995.2623149688789</x:v>
      </x:c>
      <x:c r="U102" s="31" t="n">
        <x:f>IF(T102="","",I102*T102)</x:f>
        <x:v>1974995.0225105593</x:v>
      </x:c>
    </x:row>
    <x:row r="103" ht="18" customHeight="1">
      <x:c r="A103" s="24" t="str">
        <x:v>EEZ_076</x:v>
      </x:c>
      <x:c r="B103" s="24" t="str">
        <x:v>Brazil (mainland)</x:v>
      </x:c>
      <x:c r="C103" s="24" t="str">
        <x:v>EEZ</x:v>
      </x:c>
      <x:c r="D103" s="30" t="n">
        <x:v>2019</x:v>
      </x:c>
      <x:c r="E103" s="24" t="str">
        <x:v>Pleuronectiformes</x:v>
      </x:c>
      <x:c r="F103" s="24" t="str">
        <x:v>Flatfishes</x:v>
      </x:c>
      <x:c r="G103" s="24" t="str">
        <x:v>Small to medium flatfishes (&lt;90 cm)</x:v>
      </x:c>
      <x:c r="H103" s="24" t="str">
        <x:v>Flatfishes</x:v>
      </x:c>
      <x:c r="I103" s="31" t="n">
        <x:v>970.4547375896</x:v>
      </x:c>
      <x:c r="J103" s="31" t="n">
        <x:v>970.4547375896</x:v>
      </x:c>
      <x:c r="K103" s="31" t="n">
        <x:v>0</x:v>
      </x:c>
      <x:c r="L103" s="31" t="n">
        <x:v>948.9979713356</x:v>
      </x:c>
      <x:c r="M103" s="31" t="n">
        <x:v>21.456766253999998</x:v>
      </x:c>
      <x:c r="N103" s="24" t="str">
        <x:v>pleuronectiformes</x:v>
      </x:c>
      <x:c r="O103" s="32" t="n">
        <x:v>3.57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Pleuronectiformes</x:v>
      </x:c>
      <x:c r="T103" s="32" t="n">
        <x:f>IF(O103="","",(1/'Metadata'!$B$5)^(O103-1))</x:f>
        <x:v>371.5352290971724</x:v>
      </x:c>
      <x:c r="U103" s="31" t="n">
        <x:f>IF(T103="","",I103*T103)</x:f>
        <x:v>360558.1232587884</x:v>
      </x:c>
    </x:row>
    <x:row r="104" ht="18" customHeight="1">
      <x:c r="A104" s="24" t="str">
        <x:v>EEZ_076</x:v>
      </x:c>
      <x:c r="B104" s="24" t="str">
        <x:v>Brazil (mainland)</x:v>
      </x:c>
      <x:c r="C104" s="24" t="str">
        <x:v>EEZ</x:v>
      </x:c>
      <x:c r="D104" s="30" t="n">
        <x:v>2019</x:v>
      </x:c>
      <x:c r="E104" s="24" t="str">
        <x:v>Notarius grandicassis</x:v>
      </x:c>
      <x:c r="F104" s="24" t="str">
        <x:v>Thomas sea catfish</x:v>
      </x:c>
      <x:c r="G104" s="24" t="str">
        <x:v>Medium demersals (30 - 89 cm)</x:v>
      </x:c>
      <x:c r="H104" s="24" t="str">
        <x:v>Other fishes &amp; inverts</x:v>
      </x:c>
      <x:c r="I104" s="31" t="n">
        <x:v>960.0019682993001</x:v>
      </x:c>
      <x:c r="J104" s="31" t="n">
        <x:v>960.0019682993001</x:v>
      </x:c>
      <x:c r="K104" s="31" t="n">
        <x:v>0</x:v>
      </x:c>
      <x:c r="L104" s="31" t="n">
        <x:v>934.4999207482</x:v>
      </x:c>
      <x:c r="M104" s="31" t="n">
        <x:v>25.5020475511</x:v>
      </x:c>
      <x:c r="N104" s="24" t="str">
        <x:v>notarius grandicassis</x:v>
      </x:c>
      <x:c r="O104" s="32" t="n">
        <x:v>3.6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Notarius grandicassis</x:v>
      </x:c>
      <x:c r="T104" s="32" t="n">
        <x:f>IF(O104="","",(1/'Metadata'!$B$5)^(O104-1))</x:f>
        <x:v>398.1071705534973</x:v>
      </x:c>
      <x:c r="U104" s="31" t="n">
        <x:f>IF(T104="","",I104*T104)</x:f>
        <x:v>382183.6673254226</x:v>
      </x:c>
    </x:row>
    <x:row r="105" ht="18" customHeight="1">
      <x:c r="A105" s="24" t="str">
        <x:v>EEZ_076</x:v>
      </x:c>
      <x:c r="B105" s="24" t="str">
        <x:v>Brazil (mainland)</x:v>
      </x:c>
      <x:c r="C105" s="24" t="str">
        <x:v>EEZ</x:v>
      </x:c>
      <x:c r="D105" s="30" t="n">
        <x:v>2019</x:v>
      </x:c>
      <x:c r="E105" s="24" t="str">
        <x:v>Loliginidae</x:v>
      </x:c>
      <x:c r="F105" s="24" t="str">
        <x:v>Common pencil squids</x:v>
      </x:c>
      <x:c r="G105" s="24" t="str">
        <x:v>Cephalopods</x:v>
      </x:c>
      <x:c r="H105" s="24" t="str">
        <x:v>Other fishes &amp; inverts</x:v>
      </x:c>
      <x:c r="I105" s="31" t="n">
        <x:v>937.5555119892</x:v>
      </x:c>
      <x:c r="J105" s="31" t="n">
        <x:v>937.5555119892</x:v>
      </x:c>
      <x:c r="K105" s="31" t="n">
        <x:v>0</x:v>
      </x:c>
      <x:c r="L105" s="31" t="n">
        <x:v>914.9152261991</x:v>
      </x:c>
      <x:c r="M105" s="31" t="n">
        <x:v>22.6402857901</x:v>
      </x:c>
      <x:c r="N105" s="24" t="str">
        <x:v>loliginidae</x:v>
      </x:c>
      <x:c r="O105" s="32" t="n">
        <x:v>3.9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Loliginidae</x:v>
      </x:c>
      <x:c r="T105" s="32" t="n">
        <x:f>IF(O105="","",(1/'Metadata'!$B$5)^(O105-1))</x:f>
        <x:v>794.3282347242813</x:v>
      </x:c>
      <x:c r="U105" s="31" t="n">
        <x:f>IF(T105="","",I105*T105)</x:f>
        <x:v>744726.8147944009</x:v>
      </x:c>
    </x:row>
    <x:row r="106" ht="18" customHeight="1">
      <x:c r="A106" s="24" t="str">
        <x:v>EEZ_076</x:v>
      </x:c>
      <x:c r="B106" s="24" t="str">
        <x:v>Brazil (mainland)</x:v>
      </x:c>
      <x:c r="C106" s="24" t="str">
        <x:v>EEZ</x:v>
      </x:c>
      <x:c r="D106" s="30" t="n">
        <x:v>2019</x:v>
      </x:c>
      <x:c r="E106" s="24" t="str">
        <x:v>Rachycentron canadum</x:v>
      </x:c>
      <x:c r="F106" s="24" t="str">
        <x:v>Cobia</x:v>
      </x:c>
      <x:c r="G106" s="24" t="str">
        <x:v>Large pelagics (&gt;=90 cm)</x:v>
      </x:c>
      <x:c r="H106" s="24" t="str">
        <x:v>Perch-likes</x:v>
      </x:c>
      <x:c r="I106" s="31" t="n">
        <x:v>896.0999240212001</x:v>
      </x:c>
      <x:c r="J106" s="31" t="n">
        <x:v>896.0999240212001</x:v>
      </x:c>
      <x:c r="K106" s="31" t="n">
        <x:v>0</x:v>
      </x:c>
      <x:c r="L106" s="31" t="n">
        <x:v>880.0000000002</x:v>
      </x:c>
      <x:c r="M106" s="31" t="n">
        <x:v>16.099924021</x:v>
      </x:c>
      <x:c r="N106" s="24" t="str">
        <x:v>rachycentron canadum</x:v>
      </x:c>
      <x:c r="O106" s="32" t="n">
        <x:v>3.96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Rachycentron canadum</x:v>
      </x:c>
      <x:c r="T106" s="32" t="n">
        <x:f>IF(O106="","",(1/'Metadata'!$B$5)^(O106-1))</x:f>
        <x:v>912.0108393559096</x:v>
      </x:c>
      <x:c r="U106" s="31" t="n">
        <x:f>IF(T106="","",I106*T106)</x:f>
        <x:v>817252.8438533415</x:v>
      </x:c>
    </x:row>
    <x:row r="107" ht="18" customHeight="1">
      <x:c r="A107" s="24" t="str">
        <x:v>EEZ_076</x:v>
      </x:c>
      <x:c r="B107" s="24" t="str">
        <x:v>Brazil (mainland)</x:v>
      </x:c>
      <x:c r="C107" s="24" t="str">
        <x:v>EEZ</x:v>
      </x:c>
      <x:c r="D107" s="30" t="n">
        <x:v>2019</x:v>
      </x:c>
      <x:c r="E107" s="24" t="str">
        <x:v>Brevoortia pectinata</x:v>
      </x:c>
      <x:c r="F107" s="24" t="str">
        <x:v>Argentine menhaden</x:v>
      </x:c>
      <x:c r="G107" s="24" t="str">
        <x:v>Medium pelagics (30 - 89 cm)</x:v>
      </x:c>
      <x:c r="H107" s="24" t="str">
        <x:v>Herring-likes</x:v>
      </x:c>
      <x:c r="I107" s="31" t="n">
        <x:v>879.4084612739</x:v>
      </x:c>
      <x:c r="J107" s="31" t="n">
        <x:v>879.4084612739</x:v>
      </x:c>
      <x:c r="K107" s="31" t="n">
        <x:v>0</x:v>
      </x:c>
      <x:c r="L107" s="31" t="n">
        <x:v>879.4084612739</x:v>
      </x:c>
      <x:c r="M107" s="31" t="n">
        <x:v>0</x:v>
      </x:c>
      <x:c r="N107" s="24" t="str">
        <x:v>brevoortia pectinata</x:v>
      </x:c>
      <x:c r="O107" s="32" t="n">
        <x:v>3.4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Brevoortia pectinata</x:v>
      </x:c>
      <x:c r="T107" s="32" t="n">
        <x:f>IF(O107="","",(1/'Metadata'!$B$5)^(O107-1))</x:f>
        <x:v>251.18864315095797</x:v>
      </x:c>
      <x:c r="U107" s="31" t="n">
        <x:f>IF(T107="","",I107*T107)</x:f>
        <x:v>220897.4181628627</x:v>
      </x:c>
    </x:row>
    <x:row r="108" ht="18" customHeight="1">
      <x:c r="A108" s="24" t="str">
        <x:v>EEZ_076</x:v>
      </x:c>
      <x:c r="B108" s="24" t="str">
        <x:v>Brazil (mainland)</x:v>
      </x:c>
      <x:c r="C108" s="24" t="str">
        <x:v>EEZ</x:v>
      </x:c>
      <x:c r="D108" s="30" t="n">
        <x:v>2019</x:v>
      </x:c>
      <x:c r="E108" s="24" t="str">
        <x:v>Trachinotus</x:v>
      </x:c>
      <x:c r="F108" s="24" t="str">
        <x:v>Pompanos</x:v>
      </x:c>
      <x:c r="G108" s="24" t="str">
        <x:v>Medium pelagics (30 - 89 cm)</x:v>
      </x:c>
      <x:c r="H108" s="24" t="str">
        <x:v>Perch-likes</x:v>
      </x:c>
      <x:c r="I108" s="31" t="n">
        <x:v>834.9498226797999</x:v>
      </x:c>
      <x:c r="J108" s="31" t="n">
        <x:v>834.9498226797999</x:v>
      </x:c>
      <x:c r="K108" s="31" t="n">
        <x:v>0</x:v>
      </x:c>
      <x:c r="L108" s="31" t="n">
        <x:v>810.4367924388999</x:v>
      </x:c>
      <x:c r="M108" s="31" t="n">
        <x:v>24.5130302409</x:v>
      </x:c>
      <x:c r="N108" s="24" t="str">
        <x:v>trachinotus</x:v>
      </x:c>
      <x:c r="O108" s="32" t="n">
        <x:v>3.69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Trachinotus</x:v>
      </x:c>
      <x:c r="T108" s="32" t="n">
        <x:f>IF(O108="","",(1/'Metadata'!$B$5)^(O108-1))</x:f>
        <x:v>489.77881936844614</x:v>
      </x:c>
      <x:c r="U108" s="31" t="n">
        <x:f>IF(T108="","",I108*T108)</x:f>
        <x:v>408940.73838400585</x:v>
      </x:c>
    </x:row>
    <x:row r="109" ht="18" customHeight="1">
      <x:c r="A109" s="24" t="str">
        <x:v>EEZ_076</x:v>
      </x:c>
      <x:c r="B109" s="24" t="str">
        <x:v>Brazil (mainland)</x:v>
      </x:c>
      <x:c r="C109" s="24" t="str">
        <x:v>EEZ</x:v>
      </x:c>
      <x:c r="D109" s="30" t="n">
        <x:v>2019</x:v>
      </x:c>
      <x:c r="E109" s="24" t="str">
        <x:v>Anchoviella</x:v>
      </x:c>
      <x:c r="F109" s="24" t="str">
        <x:v>Anchovies</x:v>
      </x:c>
      <x:c r="G109" s="24" t="str">
        <x:v>Small pelagics (&lt;30 cm)</x:v>
      </x:c>
      <x:c r="H109" s="24" t="str">
        <x:v>Anchovies</x:v>
      </x:c>
      <x:c r="I109" s="31" t="n">
        <x:v>828.447430344</x:v>
      </x:c>
      <x:c r="J109" s="31" t="n">
        <x:v>828.447430344</x:v>
      </x:c>
      <x:c r="K109" s="31" t="n">
        <x:v>0</x:v>
      </x:c>
      <x:c r="L109" s="31" t="n">
        <x:v>752.6115561458</x:v>
      </x:c>
      <x:c r="M109" s="31" t="n">
        <x:v>75.8358741982</x:v>
      </x:c>
      <x:c r="N109" s="24" t="str">
        <x:v>anchoviella</x:v>
      </x:c>
      <x:c r="O109" s="32" t="n">
        <x:v>3.18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Anchoviella</x:v>
      </x:c>
      <x:c r="T109" s="32" t="n">
        <x:f>IF(O109="","",(1/'Metadata'!$B$5)^(O109-1))</x:f>
        <x:v>151.35612484362088</x:v>
      </x:c>
      <x:c r="U109" s="31" t="n">
        <x:f>IF(T109="","",I109*T109)</x:f>
        <x:v>125390.59269352339</x:v>
      </x:c>
    </x:row>
    <x:row r="110" ht="18" customHeight="1">
      <x:c r="A110" s="24" t="str">
        <x:v>EEZ_076</x:v>
      </x:c>
      <x:c r="B110" s="24" t="str">
        <x:v>Brazil (mainland)</x:v>
      </x:c>
      <x:c r="C110" s="24" t="str">
        <x:v>EEZ</x:v>
      </x:c>
      <x:c r="D110" s="30" t="n">
        <x:v>2019</x:v>
      </x:c>
      <x:c r="E110" s="24" t="str">
        <x:v>Pleoticus muelleri</x:v>
      </x:c>
      <x:c r="F110" s="24" t="str">
        <x:v>Argentine red shrimp</x:v>
      </x:c>
      <x:c r="G110" s="24" t="str">
        <x:v>Shrimps</x:v>
      </x:c>
      <x:c r="H110" s="24" t="str">
        <x:v>Crustaceans</x:v>
      </x:c>
      <x:c r="I110" s="31" t="n">
        <x:v>817.4432032426</x:v>
      </x:c>
      <x:c r="J110" s="31" t="n">
        <x:v>817.4432032426</x:v>
      </x:c>
      <x:c r="K110" s="31" t="n">
        <x:v>0</x:v>
      </x:c>
      <x:c r="L110" s="31" t="n">
        <x:v>799.9999999626999</x:v>
      </x:c>
      <x:c r="M110" s="31" t="n">
        <x:v>17.4432032799</x:v>
      </x:c>
      <x:c r="N110" s="24" t="str">
        <x:v>pleoticus muelleri</x:v>
      </x:c>
      <x:c r="O110" s="32" t="n">
        <x:v>2.2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Pleoticus muelleri</x:v>
      </x:c>
      <x:c r="T110" s="32" t="n">
        <x:f>IF(O110="","",(1/'Metadata'!$B$5)^(O110-1))</x:f>
        <x:v>15.848931924611142</x:v>
      </x:c>
      <x:c r="U110" s="31" t="n">
        <x:f>IF(T110="","",I110*T110)</x:f>
        <x:v>12955.601680428037</x:v>
      </x:c>
    </x:row>
    <x:row r="111" ht="18" customHeight="1">
      <x:c r="A111" s="24" t="str">
        <x:v>EEZ_076</x:v>
      </x:c>
      <x:c r="B111" s="24" t="str">
        <x:v>Brazil (mainland)</x:v>
      </x:c>
      <x:c r="C111" s="24" t="str">
        <x:v>EEZ</x:v>
      </x:c>
      <x:c r="D111" s="30" t="n">
        <x:v>2019</x:v>
      </x:c>
      <x:c r="E111" s="24" t="str">
        <x:v>Megalops atlanticus</x:v>
      </x:c>
      <x:c r="F111" s="24" t="str">
        <x:v>Tarpon</x:v>
      </x:c>
      <x:c r="G111" s="24" t="str">
        <x:v>Large pelagics (&gt;=90 cm)</x:v>
      </x:c>
      <x:c r="H111" s="24" t="str">
        <x:v>Other fishes &amp; inverts</x:v>
      </x:c>
      <x:c r="I111" s="31" t="n">
        <x:v>790.0865164323999</x:v>
      </x:c>
      <x:c r="J111" s="31" t="n">
        <x:v>790.0865164323999</x:v>
      </x:c>
      <x:c r="K111" s="31" t="n">
        <x:v>0</x:v>
      </x:c>
      <x:c r="L111" s="31" t="n">
        <x:v>780.0000000361999</x:v>
      </x:c>
      <x:c r="M111" s="31" t="n">
        <x:v>10.0865163962</x:v>
      </x:c>
      <x:c r="N111" s="24" t="str">
        <x:v>megalops atlanticus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Megalops atlanticus</x:v>
      </x:c>
      <x:c r="T111" s="32" t="n">
        <x:f>IF(O111="","",(1/'Metadata'!$B$5)^(O111-1))</x:f>
        <x:v>3162.2776601683795</x:v>
      </x:c>
      <x:c r="U111" s="31" t="n">
        <x:f>IF(T111="","",I111*T111)</x:f>
        <x:v>2498472.9405144355</x:v>
      </x:c>
    </x:row>
    <x:row r="112" ht="18" customHeight="1">
      <x:c r="A112" s="24" t="str">
        <x:v>EEZ_076</x:v>
      </x:c>
      <x:c r="B112" s="24" t="str">
        <x:v>Brazil (mainland)</x:v>
      </x:c>
      <x:c r="C112" s="24" t="str">
        <x:v>EEZ</x:v>
      </x:c>
      <x:c r="D112" s="30" t="n">
        <x:v>2019</x:v>
      </x:c>
      <x:c r="E112" s="24" t="str">
        <x:v>Mycteroperca bonaci</x:v>
      </x:c>
      <x:c r="F112" s="24" t="str">
        <x:v>Black grouper</x:v>
      </x:c>
      <x:c r="G112" s="24" t="str">
        <x:v>Large reef assoc. fish (&gt;=90 cm)</x:v>
      </x:c>
      <x:c r="H112" s="24" t="str">
        <x:v>Perch-likes</x:v>
      </x:c>
      <x:c r="I112" s="31" t="n">
        <x:v>789.669500829</x:v>
      </x:c>
      <x:c r="J112" s="31" t="n">
        <x:v>789.669500829</x:v>
      </x:c>
      <x:c r="K112" s="31" t="n">
        <x:v>0</x:v>
      </x:c>
      <x:c r="L112" s="31" t="n">
        <x:v>693.5535504113001</x:v>
      </x:c>
      <x:c r="M112" s="31" t="n">
        <x:v>96.11595041769999</x:v>
      </x:c>
      <x:c r="N112" s="24" t="str">
        <x:v>mycteroperca bonaci</x:v>
      </x:c>
      <x:c r="O112" s="32" t="n">
        <x:v>4.3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Mycteroperca bonaci</x:v>
      </x:c>
      <x:c r="T112" s="32" t="n">
        <x:f>IF(O112="","",(1/'Metadata'!$B$5)^(O112-1))</x:f>
        <x:v>1995.2623149688789</x:v>
      </x:c>
      <x:c r="U112" s="31" t="n">
        <x:f>IF(T112="","",I112*T112)</x:f>
        <x:v>1575597.7962843894</x:v>
      </x:c>
    </x:row>
    <x:row r="113" ht="18" customHeight="1">
      <x:c r="A113" s="24" t="str">
        <x:v>EEZ_076</x:v>
      </x:c>
      <x:c r="B113" s="24" t="str">
        <x:v>Brazil (mainland)</x:v>
      </x:c>
      <x:c r="C113" s="24" t="str">
        <x:v>EEZ</x:v>
      </x:c>
      <x:c r="D113" s="30" t="n">
        <x:v>2019</x:v>
      </x:c>
      <x:c r="E113" s="24" t="str">
        <x:v>Crassostrea rhizophorae</x:v>
      </x:c>
      <x:c r="F113" s="24" t="str">
        <x:v>Mangrove cupped oyster</x:v>
      </x:c>
      <x:c r="G113" s="24" t="str">
        <x:v>Other demersal invertebrates</x:v>
      </x:c>
      <x:c r="H113" s="24" t="str">
        <x:v>Molluscs</x:v>
      </x:c>
      <x:c r="I113" s="31" t="n">
        <x:v>755.0793023291001</x:v>
      </x:c>
      <x:c r="J113" s="31" t="n">
        <x:v>755.0793023291001</x:v>
      </x:c>
      <x:c r="K113" s="31" t="n">
        <x:v>0</x:v>
      </x:c>
      <x:c r="L113" s="31" t="n">
        <x:v>751.0076208280001</x:v>
      </x:c>
      <x:c r="M113" s="31" t="n">
        <x:v>4.0716815011000005</x:v>
      </x:c>
      <x:c r="N113" s="24" t="str">
        <x:v>crassostrea rhizophorae</x:v>
      </x:c>
      <x:c r="O113" s="32" t="n">
        <x:v>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Crassostrea rhizophorae</x:v>
      </x:c>
      <x:c r="T113" s="32" t="n">
        <x:f>IF(O113="","",(1/'Metadata'!$B$5)^(O113-1))</x:f>
        <x:v>10</x:v>
      </x:c>
      <x:c r="U113" s="31" t="n">
        <x:f>IF(T113="","",I113*T113)</x:f>
        <x:v>7550.793023291</x:v>
      </x:c>
    </x:row>
    <x:row r="114" ht="18" customHeight="1">
      <x:c r="A114" s="24" t="str">
        <x:v>EEZ_076</x:v>
      </x:c>
      <x:c r="B114" s="24" t="str">
        <x:v>Brazil (mainland)</x:v>
      </x:c>
      <x:c r="C114" s="24" t="str">
        <x:v>EEZ</x:v>
      </x:c>
      <x:c r="D114" s="30" t="n">
        <x:v>2019</x:v>
      </x:c>
      <x:c r="E114" s="24" t="str">
        <x:v>Percophis brasiliensis</x:v>
      </x:c>
      <x:c r="F114" s="24" t="str">
        <x:v>Brazilian flathead</x:v>
      </x:c>
      <x:c r="G114" s="24" t="str">
        <x:v>Medium demersals (30 - 89 cm)</x:v>
      </x:c>
      <x:c r="H114" s="24" t="str">
        <x:v>Perch-likes</x:v>
      </x:c>
      <x:c r="I114" s="31" t="n">
        <x:v>748.287233003</x:v>
      </x:c>
      <x:c r="J114" s="31" t="n">
        <x:v>748.287233003</x:v>
      </x:c>
      <x:c r="K114" s="31" t="n">
        <x:v>0</x:v>
      </x:c>
      <x:c r="L114" s="31" t="n">
        <x:v>734.9999999729</x:v>
      </x:c>
      <x:c r="M114" s="31" t="n">
        <x:v>13.2872330301</x:v>
      </x:c>
      <x:c r="N114" s="24" t="str">
        <x:v>percophis brasiliensis</x:v>
      </x:c>
      <x:c r="O114" s="32" t="n">
        <x:v>3.48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Percophis brasiliensis</x:v>
      </x:c>
      <x:c r="T114" s="32" t="n">
        <x:f>IF(O114="","",(1/'Metadata'!$B$5)^(O114-1))</x:f>
        <x:v>301.9951720402016</x:v>
      </x:c>
      <x:c r="U114" s="31" t="n">
        <x:f>IF(T114="","",I114*T114)</x:f>
        <x:v>225979.13166622742</x:v>
      </x:c>
    </x:row>
    <x:row r="115" ht="18" customHeight="1">
      <x:c r="A115" s="24" t="str">
        <x:v>EEZ_076</x:v>
      </x:c>
      <x:c r="B115" s="24" t="str">
        <x:v>Brazil (mainland)</x:v>
      </x:c>
      <x:c r="C115" s="24" t="str">
        <x:v>EEZ</x:v>
      </x:c>
      <x:c r="D115" s="30" t="n">
        <x:v>2019</x:v>
      </x:c>
      <x:c r="E115" s="24" t="str">
        <x:v>Mycteroperca</x:v>
      </x:c>
      <x:c r="F115" s="24" t="str">
        <x:v>Scamps, gags</x:v>
      </x:c>
      <x:c r="G115" s="24" t="str">
        <x:v>Medium reef assoc. fish (30 - 89 cm)</x:v>
      </x:c>
      <x:c r="H115" s="24" t="str">
        <x:v>Perch-likes</x:v>
      </x:c>
      <x:c r="I115" s="31" t="n">
        <x:v>731.2191951032</x:v>
      </x:c>
      <x:c r="J115" s="31" t="n">
        <x:v>731.2191951032</x:v>
      </x:c>
      <x:c r="K115" s="31" t="n">
        <x:v>0</x:v>
      </x:c>
      <x:c r="L115" s="31" t="n">
        <x:v>421.6439710242</x:v>
      </x:c>
      <x:c r="M115" s="31" t="n">
        <x:v>309.575224079</x:v>
      </x:c>
      <x:c r="N115" s="24" t="str">
        <x:v>mycteroperca</x:v>
      </x:c>
      <x:c r="O115" s="32" t="n">
        <x:v>4.35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Mycteroperca</x:v>
      </x:c>
      <x:c r="T115" s="32" t="n">
        <x:f>IF(O115="","",(1/'Metadata'!$B$5)^(O115-1))</x:f>
        <x:v>2238.7211385683377</x:v>
      </x:c>
      <x:c r="U115" s="31" t="n">
        <x:f>IF(T115="","",I115*T115)</x:f>
        <x:v>1636995.8690044594</x:v>
      </x:c>
    </x:row>
    <x:row r="116" ht="18" customHeight="1">
      <x:c r="A116" s="24" t="str">
        <x:v>EEZ_076</x:v>
      </x:c>
      <x:c r="B116" s="24" t="str">
        <x:v>Brazil (mainland)</x:v>
      </x:c>
      <x:c r="C116" s="24" t="str">
        <x:v>EEZ</x:v>
      </x:c>
      <x:c r="D116" s="30" t="n">
        <x:v>2019</x:v>
      </x:c>
      <x:c r="E116" s="24" t="str">
        <x:v>Dasyatidae</x:v>
      </x:c>
      <x:c r="F116" s="24" t="str">
        <x:v>Whiptail stingrays</x:v>
      </x:c>
      <x:c r="G116" s="24" t="str">
        <x:v>Large rays (&gt;=90 cm)</x:v>
      </x:c>
      <x:c r="H116" s="24" t="str">
        <x:v>Sharks &amp; rays</x:v>
      </x:c>
      <x:c r="I116" s="31" t="n">
        <x:v>719.6426070908999</x:v>
      </x:c>
      <x:c r="J116" s="31" t="n">
        <x:v>719.6426070908999</x:v>
      </x:c>
      <x:c r="K116" s="31" t="n">
        <x:v>0</x:v>
      </x:c>
      <x:c r="L116" s="31" t="n">
        <x:v>719.4732756689</x:v>
      </x:c>
      <x:c r="M116" s="31" t="n">
        <x:v>0.169331422</x:v>
      </x:c>
      <x:c r="N116" s="24" t="str">
        <x:v>dasyatidae</x:v>
      </x:c>
      <x:c r="O116" s="32" t="n">
        <x:v>3.38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Dasyatidae</x:v>
      </x:c>
      <x:c r="T116" s="32" t="n">
        <x:f>IF(O116="","",(1/'Metadata'!$B$5)^(O116-1))</x:f>
        <x:v>239.88329190194898</x:v>
      </x:c>
      <x:c r="U116" s="31" t="n">
        <x:f>IF(T116="","",I116*T116)</x:f>
        <x:v>172630.23758186592</x:v>
      </x:c>
    </x:row>
    <x:row r="117" ht="18" customHeight="1">
      <x:c r="A117" s="24" t="str">
        <x:v>EEZ_076</x:v>
      </x:c>
      <x:c r="B117" s="24" t="str">
        <x:v>Brazil (mainland)</x:v>
      </x:c>
      <x:c r="C117" s="24" t="str">
        <x:v>EEZ</x:v>
      </x:c>
      <x:c r="D117" s="30" t="n">
        <x:v>2019</x:v>
      </x:c>
      <x:c r="E117" s="24" t="str">
        <x:v>Malacanthidae</x:v>
      </x:c>
      <x:c r="F117" s="24" t="str">
        <x:v>Tilefishes</x:v>
      </x:c>
      <x:c r="G117" s="24" t="str">
        <x:v>Medium demersals (30 - 89 cm)</x:v>
      </x:c>
      <x:c r="H117" s="24" t="str">
        <x:v>Perch-likes</x:v>
      </x:c>
      <x:c r="I117" s="31" t="n">
        <x:v>718.0985537338</x:v>
      </x:c>
      <x:c r="J117" s="31" t="n">
        <x:v>718.0985537338</x:v>
      </x:c>
      <x:c r="K117" s="31" t="n">
        <x:v>0</x:v>
      </x:c>
      <x:c r="L117" s="31" t="n">
        <x:v>704.8200518439</x:v>
      </x:c>
      <x:c r="M117" s="31" t="n">
        <x:v>13.278501889900001</x:v>
      </x:c>
      <x:c r="N117" s="24" t="str">
        <x:v>malacanthidae</x:v>
      </x:c>
      <x:c r="O117" s="32" t="n">
        <x:v>3.62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Malacanthidae</x:v>
      </x:c>
      <x:c r="T117" s="32" t="n">
        <x:f>IF(O117="","",(1/'Metadata'!$B$5)^(O117-1))</x:f>
        <x:v>416.8693834703355</x:v>
      </x:c>
      <x:c r="U117" s="31" t="n">
        <x:f>IF(T117="","",I117*T117)</x:f>
        <x:v>299353.3013659488</x:v>
      </x:c>
    </x:row>
    <x:row r="118" ht="18" customHeight="1">
      <x:c r="A118" s="24" t="str">
        <x:v>EEZ_076</x:v>
      </x:c>
      <x:c r="B118" s="24" t="str">
        <x:v>Brazil (mainland)</x:v>
      </x:c>
      <x:c r="C118" s="24" t="str">
        <x:v>EEZ</x:v>
      </x:c>
      <x:c r="D118" s="30" t="n">
        <x:v>2019</x:v>
      </x:c>
      <x:c r="E118" s="24" t="str">
        <x:v>Hemiramphus</x:v>
      </x:c>
      <x:c r="F118" s="24" t="str">
        <x:v>Halfbeaks</x:v>
      </x:c>
      <x:c r="G118" s="24" t="str">
        <x:v>Medium pelagics (30 - 89 cm)</x:v>
      </x:c>
      <x:c r="H118" s="24" t="str">
        <x:v>Other fishes &amp; inverts</x:v>
      </x:c>
      <x:c r="I118" s="31" t="n">
        <x:v>709.5598974461</x:v>
      </x:c>
      <x:c r="J118" s="31" t="n">
        <x:v>709.5598974461</x:v>
      </x:c>
      <x:c r="K118" s="31" t="n">
        <x:v>0</x:v>
      </x:c>
      <x:c r="L118" s="31" t="n">
        <x:v>689.707596121</x:v>
      </x:c>
      <x:c r="M118" s="31" t="n">
        <x:v>19.8523013251</x:v>
      </x:c>
      <x:c r="N118" s="24" t="str">
        <x:v>hemiramphus</x:v>
      </x:c>
      <x:c r="O118" s="32" t="n">
        <x:v>3.05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Hemiramphus</x:v>
      </x:c>
      <x:c r="T118" s="32" t="n">
        <x:f>IF(O118="","",(1/'Metadata'!$B$5)^(O118-1))</x:f>
        <x:v>112.2018454301963</x:v>
      </x:c>
      <x:c r="U118" s="31" t="n">
        <x:f>IF(T118="","",I118*T118)</x:f>
        <x:v>79613.92993671325</x:v>
      </x:c>
    </x:row>
    <x:row r="119" ht="18" customHeight="1">
      <x:c r="A119" s="24" t="str">
        <x:v>EEZ_076</x:v>
      </x:c>
      <x:c r="B119" s="24" t="str">
        <x:v>Brazil (mainland)</x:v>
      </x:c>
      <x:c r="C119" s="24" t="str">
        <x:v>EEZ</x:v>
      </x:c>
      <x:c r="D119" s="30" t="n">
        <x:v>2019</x:v>
      </x:c>
      <x:c r="E119" s="24" t="str">
        <x:v>Mullus argentinae</x:v>
      </x:c>
      <x:c r="F119" s="24" t="str">
        <x:v>Argentine goatfish</x:v>
      </x:c>
      <x:c r="G119" s="24" t="str">
        <x:v>Small demersals (&lt;30 cm)</x:v>
      </x:c>
      <x:c r="H119" s="24" t="str">
        <x:v>Perch-likes</x:v>
      </x:c>
      <x:c r="I119" s="31" t="n">
        <x:v>705.3836819306</x:v>
      </x:c>
      <x:c r="J119" s="31" t="n">
        <x:v>705.3836819306</x:v>
      </x:c>
      <x:c r="K119" s="31" t="n">
        <x:v>0</x:v>
      </x:c>
      <x:c r="L119" s="31" t="n">
        <x:v>277.8475395881</x:v>
      </x:c>
      <x:c r="M119" s="31" t="n">
        <x:v>427.5361423425</x:v>
      </x:c>
      <x:c r="N119" s="24" t="str">
        <x:v>mullus argentinae</x:v>
      </x:c>
      <x:c r="O119" s="32" t="n">
        <x:v>3.45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Mullus argentinae</x:v>
      </x:c>
      <x:c r="T119" s="32" t="n">
        <x:f>IF(O119="","",(1/'Metadata'!$B$5)^(O119-1))</x:f>
        <x:v>281.8382931264455</x:v>
      </x:c>
      <x:c r="U119" s="31" t="n">
        <x:f>IF(T119="","",I119*T119)</x:f>
        <x:v>198804.13291456783</x:v>
      </x:c>
    </x:row>
    <x:row r="120" ht="18" customHeight="1">
      <x:c r="A120" s="24" t="str">
        <x:v>EEZ_076</x:v>
      </x:c>
      <x:c r="B120" s="24" t="str">
        <x:v>Brazil (mainland)</x:v>
      </x:c>
      <x:c r="C120" s="24" t="str">
        <x:v>EEZ</x:v>
      </x:c>
      <x:c r="D120" s="30" t="n">
        <x:v>2019</x:v>
      </x:c>
      <x:c r="E120" s="24" t="str">
        <x:v>Rhomboplites aurorubens</x:v>
      </x:c>
      <x:c r="F120" s="24" t="str">
        <x:v>Vermilion snapper</x:v>
      </x:c>
      <x:c r="G120" s="24" t="str">
        <x:v>Medium demersals (30 - 89 cm)</x:v>
      </x:c>
      <x:c r="H120" s="24" t="str">
        <x:v>Perch-likes</x:v>
      </x:c>
      <x:c r="I120" s="31" t="n">
        <x:v>704.5824564752</x:v>
      </x:c>
      <x:c r="J120" s="31" t="n">
        <x:v>704.5824564752</x:v>
      </x:c>
      <x:c r="K120" s="31" t="n">
        <x:v>0</x:v>
      </x:c>
      <x:c r="L120" s="31" t="n">
        <x:v>682.1989133261</x:v>
      </x:c>
      <x:c r="M120" s="31" t="n">
        <x:v>22.3835431491</x:v>
      </x:c>
      <x:c r="N120" s="24" t="str">
        <x:v>rhomboplites aurorubens</x:v>
      </x:c>
      <x:c r="O120" s="32" t="n">
        <x:v>4.36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Rhomboplites aurorubens</x:v>
      </x:c>
      <x:c r="T120" s="32" t="n">
        <x:f>IF(O120="","",(1/'Metadata'!$B$5)^(O120-1))</x:f>
        <x:v>2290.867652767775</x:v>
      </x:c>
      <x:c r="U120" s="31" t="n">
        <x:f>IF(T120="","",I120*T120)</x:f>
        <x:v>1614105.1582466944</x:v>
      </x:c>
    </x:row>
    <x:row r="121" ht="18" customHeight="1">
      <x:c r="A121" s="24" t="str">
        <x:v>EEZ_076</x:v>
      </x:c>
      <x:c r="B121" s="24" t="str">
        <x:v>Brazil (mainland)</x:v>
      </x:c>
      <x:c r="C121" s="24" t="str">
        <x:v>EEZ</x:v>
      </x:c>
      <x:c r="D121" s="30" t="n">
        <x:v>2019</x:v>
      </x:c>
      <x:c r="E121" s="24" t="str">
        <x:v>Calamus</x:v>
      </x:c>
      <x:c r="F121" s="24" t="str">
        <x:v>Porgies</x:v>
      </x:c>
      <x:c r="G121" s="24" t="str">
        <x:v>Medium reef assoc. fish (30 - 89 cm)</x:v>
      </x:c>
      <x:c r="H121" s="24" t="str">
        <x:v>Perch-likes</x:v>
      </x:c>
      <x:c r="I121" s="31" t="n">
        <x:v>650.4658186169</x:v>
      </x:c>
      <x:c r="J121" s="31" t="n">
        <x:v>650.4658186169</x:v>
      </x:c>
      <x:c r="K121" s="31" t="n">
        <x:v>0</x:v>
      </x:c>
      <x:c r="L121" s="31" t="n">
        <x:v>634.368369176</x:v>
      </x:c>
      <x:c r="M121" s="31" t="n">
        <x:v>16.0974494409</x:v>
      </x:c>
      <x:c r="N121" s="24" t="str">
        <x:v>calamus</x:v>
      </x:c>
      <x:c r="O121" s="32" t="n">
        <x:v>3.51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Calamus</x:v>
      </x:c>
      <x:c r="T121" s="32" t="n">
        <x:f>IF(O121="","",(1/'Metadata'!$B$5)^(O121-1))</x:f>
        <x:v>323.5936569296281</x:v>
      </x:c>
      <x:c r="U121" s="31" t="n">
        <x:f>IF(T121="","",I121*T121)</x:f>
        <x:v>210486.61295396683</x:v>
      </x:c>
    </x:row>
    <x:row r="122" ht="18" customHeight="1">
      <x:c r="A122" s="24" t="str">
        <x:v>EEZ_076</x:v>
      </x:c>
      <x:c r="B122" s="24" t="str">
        <x:v>Brazil (mainland)</x:v>
      </x:c>
      <x:c r="C122" s="24" t="str">
        <x:v>EEZ</x:v>
      </x:c>
      <x:c r="D122" s="30" t="n">
        <x:v>2019</x:v>
      </x:c>
      <x:c r="E122" s="24" t="str">
        <x:v>Selar crumenophthalmus</x:v>
      </x:c>
      <x:c r="F122" s="24" t="str">
        <x:v>Bigeye scad</x:v>
      </x:c>
      <x:c r="G122" s="24" t="str">
        <x:v>Medium pelagics (30 - 89 cm)</x:v>
      </x:c>
      <x:c r="H122" s="24" t="str">
        <x:v>Perch-likes</x:v>
      </x:c>
      <x:c r="I122" s="31" t="n">
        <x:v>627.582040015</x:v>
      </x:c>
      <x:c r="J122" s="31" t="n">
        <x:v>627.582040015</x:v>
      </x:c>
      <x:c r="K122" s="31" t="n">
        <x:v>0</x:v>
      </x:c>
      <x:c r="L122" s="31" t="n">
        <x:v>610.0000000169999</x:v>
      </x:c>
      <x:c r="M122" s="31" t="n">
        <x:v>17.582039998</x:v>
      </x:c>
      <x:c r="N122" s="24" t="str">
        <x:v>selar crumenophthalmus</x:v>
      </x:c>
      <x:c r="O122" s="32" t="n">
        <x:v>3.81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Selar crumenophthalmus</x:v>
      </x:c>
      <x:c r="T122" s="32" t="n">
        <x:f>IF(O122="","",(1/'Metadata'!$B$5)^(O122-1))</x:f>
        <x:v>645.6542290346556</x:v>
      </x:c>
      <x:c r="U122" s="31" t="n">
        <x:f>IF(T122="","",I122*T122)</x:f>
        <x:v>405200.9982018812</x:v>
      </x:c>
    </x:row>
    <x:row r="123" ht="18" customHeight="1">
      <x:c r="A123" s="24" t="str">
        <x:v>EEZ_076</x:v>
      </x:c>
      <x:c r="B123" s="24" t="str">
        <x:v>Brazil (mainland)</x:v>
      </x:c>
      <x:c r="C123" s="24" t="str">
        <x:v>EEZ</x:v>
      </x:c>
      <x:c r="D123" s="30" t="n">
        <x:v>2019</x:v>
      </x:c>
      <x:c r="E123" s="24" t="str">
        <x:v>Pinguipedidae</x:v>
      </x:c>
      <x:c r="F123" s="24" t="str">
        <x:v>Sandperches</x:v>
      </x:c>
      <x:c r="G123" s="24" t="str">
        <x:v>Medium demersals (30 - 89 cm)</x:v>
      </x:c>
      <x:c r="H123" s="24" t="str">
        <x:v>Perch-likes</x:v>
      </x:c>
      <x:c r="I123" s="31" t="n">
        <x:v>606.0827426039</x:v>
      </x:c>
      <x:c r="J123" s="31" t="n">
        <x:v>606.0827426039</x:v>
      </x:c>
      <x:c r="K123" s="31" t="n">
        <x:v>0</x:v>
      </x:c>
      <x:c r="L123" s="31" t="n">
        <x:v>599.9999999897</x:v>
      </x:c>
      <x:c r="M123" s="31" t="n">
        <x:v>6.0827426142</x:v>
      </x:c>
      <x:c r="N123" s="24" t="str">
        <x:v>pinguipedidae</x:v>
      </x:c>
      <x:c r="O123" s="32" t="n">
        <x:v>3.49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Pinguipedidae</x:v>
      </x:c>
      <x:c r="T123" s="32" t="n">
        <x:f>IF(O123="","",(1/'Metadata'!$B$5)^(O123-1))</x:f>
        <x:v>309.0295432513592</x:v>
      </x:c>
      <x:c r="U123" s="31" t="n">
        <x:f>IF(T123="","",I123*T123)</x:f>
        <x:v>187297.47311941432</x:v>
      </x:c>
    </x:row>
    <x:row r="124" ht="18" customHeight="1">
      <x:c r="A124" s="24" t="str">
        <x:v>EEZ_076</x:v>
      </x:c>
      <x:c r="B124" s="24" t="str">
        <x:v>Brazil (mainland)</x:v>
      </x:c>
      <x:c r="C124" s="24" t="str">
        <x:v>EEZ</x:v>
      </x:c>
      <x:c r="D124" s="30" t="n">
        <x:v>2019</x:v>
      </x:c>
      <x:c r="E124" s="24" t="str">
        <x:v>Genypterus</x:v>
      </x:c>
      <x:c r="F124" s="24" t="str">
        <x:v>Genypterid cuskeels</x:v>
      </x:c>
      <x:c r="G124" s="24" t="str">
        <x:v>Large bathydemersals (&gt;=90 cm)</x:v>
      </x:c>
      <x:c r="H124" s="24" t="str">
        <x:v>Other fishes &amp; inverts</x:v>
      </x:c>
      <x:c r="I124" s="31" t="n">
        <x:v>598.062331563</x:v>
      </x:c>
      <x:c r="J124" s="31" t="n">
        <x:v>598.062331563</x:v>
      </x:c>
      <x:c r="K124" s="31" t="n">
        <x:v>0</x:v>
      </x:c>
      <x:c r="L124" s="31" t="n">
        <x:v>580.0000000051</x:v>
      </x:c>
      <x:c r="M124" s="31" t="n">
        <x:v>18.062331557900002</x:v>
      </x:c>
      <x:c r="N124" s="24" t="str">
        <x:v>genypterus</x:v>
      </x:c>
      <x:c r="O124" s="32" t="n">
        <x:v>4.2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Genypterus</x:v>
      </x:c>
      <x:c r="T124" s="32" t="n">
        <x:f>IF(O124="","",(1/'Metadata'!$B$5)^(O124-1))</x:f>
        <x:v>1584.893192461114</x:v>
      </x:c>
      <x:c r="U124" s="31" t="n">
        <x:f>IF(T124="","",I124*T124)</x:f>
        <x:v>947864.9179616204</x:v>
      </x:c>
    </x:row>
    <x:row r="125" ht="18" customHeight="1">
      <x:c r="A125" s="24" t="str">
        <x:v>EEZ_076</x:v>
      </x:c>
      <x:c r="B125" s="24" t="str">
        <x:v>Brazil (mainland)</x:v>
      </x:c>
      <x:c r="C125" s="24" t="str">
        <x:v>EEZ</x:v>
      </x:c>
      <x:c r="D125" s="30" t="n">
        <x:v>2019</x:v>
      </x:c>
      <x:c r="E125" s="24" t="str">
        <x:v>Caranx</x:v>
      </x:c>
      <x:c r="F125" s="24" t="str">
        <x:v>Jacks</x:v>
      </x:c>
      <x:c r="G125" s="24" t="str">
        <x:v>Medium reef assoc. fish (30 - 89 cm)</x:v>
      </x:c>
      <x:c r="H125" s="24" t="str">
        <x:v>Perch-likes</x:v>
      </x:c>
      <x:c r="I125" s="31" t="n">
        <x:v>594.0769658662</x:v>
      </x:c>
      <x:c r="J125" s="31" t="n">
        <x:v>594.0769658662</x:v>
      </x:c>
      <x:c r="K125" s="31" t="n">
        <x:v>0</x:v>
      </x:c>
      <x:c r="L125" s="31" t="n">
        <x:v>429.29302920599997</x:v>
      </x:c>
      <x:c r="M125" s="31" t="n">
        <x:v>164.7839366602</x:v>
      </x:c>
      <x:c r="N125" s="24" t="str">
        <x:v>caranx</x:v>
      </x:c>
      <x:c r="O125" s="32" t="n">
        <x:v>4.12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Caranx</x:v>
      </x:c>
      <x:c r="T125" s="32" t="n">
        <x:f>IF(O125="","",(1/'Metadata'!$B$5)^(O125-1))</x:f>
        <x:v>1318.2567385564075</x:v>
      </x:c>
      <x:c r="U125" s="31" t="n">
        <x:f>IF(T125="","",I125*T125)</x:f>
        <x:v>783145.9634742631</x:v>
      </x:c>
    </x:row>
    <x:row r="126" ht="18" customHeight="1">
      <x:c r="A126" s="24" t="str">
        <x:v>EEZ_076</x:v>
      </x:c>
      <x:c r="B126" s="24" t="str">
        <x:v>Brazil (mainland)</x:v>
      </x:c>
      <x:c r="C126" s="24" t="str">
        <x:v>EEZ</x:v>
      </x:c>
      <x:c r="D126" s="30" t="n">
        <x:v>2019</x:v>
      </x:c>
      <x:c r="E126" s="24" t="str">
        <x:v>Euthynnus alletteratus</x:v>
      </x:c>
      <x:c r="F126" s="24" t="str">
        <x:v>Little tunny </x:v>
      </x:c>
      <x:c r="G126" s="24" t="str">
        <x:v>Large pelagics (&gt;=90 cm)</x:v>
      </x:c>
      <x:c r="H126" s="24" t="str">
        <x:v>Tuna &amp; billfishes</x:v>
      </x:c>
      <x:c r="I126" s="31" t="n">
        <x:v>579.8602270683</x:v>
      </x:c>
      <x:c r="J126" s="31" t="n">
        <x:v>579.8602270683</x:v>
      </x:c>
      <x:c r="K126" s="31" t="n">
        <x:v>0</x:v>
      </x:c>
      <x:c r="L126" s="31" t="n">
        <x:v>0.0050150021</x:v>
      </x:c>
      <x:c r="M126" s="31" t="n">
        <x:v>579.8552120662</x:v>
      </x:c>
      <x:c r="N126" s="24" t="str">
        <x:v>euthynnus alletteratus</x:v>
      </x:c>
      <x:c r="O126" s="32" t="n">
        <x:v>4.49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Euthynnus alletteratus</x:v>
      </x:c>
      <x:c r="T126" s="32" t="n">
        <x:f>IF(O126="","",(1/'Metadata'!$B$5)^(O126-1))</x:f>
        <x:v>3090.295432513592</x:v>
      </x:c>
      <x:c r="U126" s="31" t="n">
        <x:f>IF(T126="","",I126*T126)</x:f>
        <x:v>1791939.4112054617</x:v>
      </x:c>
    </x:row>
    <x:row r="127" ht="18" customHeight="1">
      <x:c r="A127" s="24" t="str">
        <x:v>EEZ_076</x:v>
      </x:c>
      <x:c r="B127" s="24" t="str">
        <x:v>Brazil (mainland)</x:v>
      </x:c>
      <x:c r="C127" s="24" t="str">
        <x:v>EEZ</x:v>
      </x:c>
      <x:c r="D127" s="30" t="n">
        <x:v>2019</x:v>
      </x:c>
      <x:c r="E127" s="24" t="str">
        <x:v>Perna perna</x:v>
      </x:c>
      <x:c r="F127" s="24" t="str">
        <x:v>South American rock mussel</x:v>
      </x:c>
      <x:c r="G127" s="24" t="str">
        <x:v>Other demersal invertebrates</x:v>
      </x:c>
      <x:c r="H127" s="24" t="str">
        <x:v>Molluscs</x:v>
      </x:c>
      <x:c r="I127" s="31" t="n">
        <x:v>576.327424464</x:v>
      </x:c>
      <x:c r="J127" s="31" t="n">
        <x:v>576.327424464</x:v>
      </x:c>
      <x:c r="K127" s="31" t="n">
        <x:v>0</x:v>
      </x:c>
      <x:c r="L127" s="31" t="n">
        <x:v>575.435546427</x:v>
      </x:c>
      <x:c r="M127" s="31" t="n">
        <x:v>0.891878037</x:v>
      </x:c>
      <x:c r="N127" s="24" t="str">
        <x:v>perna perna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Perna perna</x:v>
      </x:c>
      <x:c r="T127" s="32" t="n">
        <x:f>IF(O127="","",(1/'Metadata'!$B$5)^(O127-1))</x:f>
        <x:v>10</x:v>
      </x:c>
      <x:c r="U127" s="31" t="n">
        <x:f>IF(T127="","",I127*T127)</x:f>
        <x:v>5763.274244640001</x:v>
      </x:c>
    </x:row>
    <x:row r="128" ht="18" customHeight="1">
      <x:c r="A128" s="24" t="str">
        <x:v>EEZ_076</x:v>
      </x:c>
      <x:c r="B128" s="24" t="str">
        <x:v>Brazil (mainland)</x:v>
      </x:c>
      <x:c r="C128" s="24" t="str">
        <x:v>EEZ</x:v>
      </x:c>
      <x:c r="D128" s="30" t="n">
        <x:v>2019</x:v>
      </x:c>
      <x:c r="E128" s="24" t="str">
        <x:v>Chaetodipterus faber</x:v>
      </x:c>
      <x:c r="F128" s="24" t="str">
        <x:v>Atlantic spadefish</x:v>
      </x:c>
      <x:c r="G128" s="24" t="str">
        <x:v>Medium demersals (30 - 89 cm)</x:v>
      </x:c>
      <x:c r="H128" s="24" t="str">
        <x:v>Perch-likes</x:v>
      </x:c>
      <x:c r="I128" s="31" t="n">
        <x:v>473.996225872</x:v>
      </x:c>
      <x:c r="J128" s="31" t="n">
        <x:v>269.2892066</x:v>
      </x:c>
      <x:c r="K128" s="31" t="n">
        <x:v>204.70701927200003</x:v>
      </x:c>
      <x:c r="L128" s="31" t="n">
        <x:v>243.0000000098</x:v>
      </x:c>
      <x:c r="M128" s="31" t="n">
        <x:v>230.9962258622</x:v>
      </x:c>
      <x:c r="N128" s="24" t="str">
        <x:v>chaetodipterus faber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Chaetodipterus faber</x:v>
      </x:c>
      <x:c r="T128" s="32" t="n">
        <x:f>IF(O128="","",(1/'Metadata'!$B$5)^(O128-1))</x:f>
        <x:v>3162.2776601683795</x:v>
      </x:c>
      <x:c r="U128" s="31" t="n">
        <x:f>IF(T128="","",I128*T128)</x:f>
        <x:v>1498907.676079151</x:v>
      </x:c>
    </x:row>
    <x:row r="129" ht="18" customHeight="1">
      <x:c r="A129" s="24" t="str">
        <x:v>EEZ_076</x:v>
      </x:c>
      <x:c r="B129" s="24" t="str">
        <x:v>Brazil (mainland)</x:v>
      </x:c>
      <x:c r="C129" s="24" t="str">
        <x:v>EEZ</x:v>
      </x:c>
      <x:c r="D129" s="30" t="n">
        <x:v>2019</x:v>
      </x:c>
      <x:c r="E129" s="24" t="str">
        <x:v>Thunnus atlanticus</x:v>
      </x:c>
      <x:c r="F129" s="24" t="str">
        <x:v>Blackfin tuna</x:v>
      </x:c>
      <x:c r="G129" s="24" t="str">
        <x:v>Large pelagics (&gt;=90 cm)</x:v>
      </x:c>
      <x:c r="H129" s="24" t="str">
        <x:v>Tuna &amp; billfishes</x:v>
      </x:c>
      <x:c r="I129" s="31" t="n">
        <x:v>455.9346398827</x:v>
      </x:c>
      <x:c r="J129" s="31" t="n">
        <x:v>455.9346398827</x:v>
      </x:c>
      <x:c r="K129" s="31" t="n">
        <x:v>0</x:v>
      </x:c>
      <x:c r="L129" s="31" t="n">
        <x:v>455.1061327656</x:v>
      </x:c>
      <x:c r="M129" s="31" t="n">
        <x:v>0.8285071171</x:v>
      </x:c>
      <x:c r="N129" s="24" t="str">
        <x:v>thunnus atlanticus</x:v>
      </x:c>
      <x:c r="O129" s="32" t="n">
        <x:v>4.35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Thunnus atlanticus</x:v>
      </x:c>
      <x:c r="T129" s="32" t="n">
        <x:f>IF(O129="","",(1/'Metadata'!$B$5)^(O129-1))</x:f>
        <x:v>2238.7211385683377</x:v>
      </x:c>
      <x:c r="U129" s="31" t="n">
        <x:f>IF(T129="","",I129*T129)</x:f>
        <x:v>1020710.5161109432</x:v>
      </x:c>
    </x:row>
    <x:row r="130" ht="18" customHeight="1">
      <x:c r="A130" s="24" t="str">
        <x:v>EEZ_076</x:v>
      </x:c>
      <x:c r="B130" s="24" t="str">
        <x:v>Brazil (mainland)</x:v>
      </x:c>
      <x:c r="C130" s="24" t="str">
        <x:v>EEZ</x:v>
      </x:c>
      <x:c r="D130" s="30" t="n">
        <x:v>2019</x:v>
      </x:c>
      <x:c r="E130" s="24" t="str">
        <x:v>Scomberomorus cavalla</x:v>
      </x:c>
      <x:c r="F130" s="24" t="str">
        <x:v>King mackerel</x:v>
      </x:c>
      <x:c r="G130" s="24" t="str">
        <x:v>Large pelagics (&gt;=90 cm)</x:v>
      </x:c>
      <x:c r="H130" s="24" t="str">
        <x:v>Perch-likes</x:v>
      </x:c>
      <x:c r="I130" s="31" t="n">
        <x:v>427.58634477329997</x:v>
      </x:c>
      <x:c r="J130" s="31" t="n">
        <x:v>427.58634477329997</x:v>
      </x:c>
      <x:c r="K130" s="31" t="n">
        <x:v>0</x:v>
      </x:c>
      <x:c r="L130" s="31" t="n">
        <x:v>374.9091079273</x:v>
      </x:c>
      <x:c r="M130" s="31" t="n">
        <x:v>52.677236846</x:v>
      </x:c>
      <x:c r="N130" s="24" t="str">
        <x:v>scomberomorus cavalla</x:v>
      </x:c>
      <x:c r="O130" s="32" t="n">
        <x:v>4.42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Scomberomorus cavalla</x:v>
      </x:c>
      <x:c r="T130" s="32" t="n">
        <x:f>IF(O130="","",(1/'Metadata'!$B$5)^(O130-1))</x:f>
        <x:v>2630.2679918953813</x:v>
      </x:c>
      <x:c r="U130" s="31" t="n">
        <x:f>IF(T130="","",I130*T130)</x:f>
        <x:v>1124666.6764287539</x:v>
      </x:c>
    </x:row>
    <x:row r="131" ht="18" customHeight="1">
      <x:c r="A131" s="24" t="str">
        <x:v>EEZ_076</x:v>
      </x:c>
      <x:c r="B131" s="24" t="str">
        <x:v>Brazil (mainland)</x:v>
      </x:c>
      <x:c r="C131" s="24" t="str">
        <x:v>EEZ</x:v>
      </x:c>
      <x:c r="D131" s="30" t="n">
        <x:v>2019</x:v>
      </x:c>
      <x:c r="E131" s="24" t="str">
        <x:v>Seriola</x:v>
      </x:c>
      <x:c r="F131" s="24" t="str">
        <x:v>Amberjacks</x:v>
      </x:c>
      <x:c r="G131" s="24" t="str">
        <x:v>Large benthopelagics (&gt;=90 cm)</x:v>
      </x:c>
      <x:c r="H131" s="24" t="str">
        <x:v>Perch-likes</x:v>
      </x:c>
      <x:c r="I131" s="31" t="n">
        <x:v>379.260126088</x:v>
      </x:c>
      <x:c r="J131" s="31" t="n">
        <x:v>379.260126088</x:v>
      </x:c>
      <x:c r="K131" s="31" t="n">
        <x:v>0</x:v>
      </x:c>
      <x:c r="L131" s="31" t="n">
        <x:v>92.4342830552</x:v>
      </x:c>
      <x:c r="M131" s="31" t="n">
        <x:v>286.8258430328</x:v>
      </x:c>
      <x:c r="N131" s="24" t="str">
        <x:v>seriola</x:v>
      </x:c>
      <x:c r="O131" s="32" t="n">
        <x:v>4.39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Seriola</x:v>
      </x:c>
      <x:c r="T131" s="32" t="n">
        <x:f>IF(O131="","",(1/'Metadata'!$B$5)^(O131-1))</x:f>
        <x:v>2454.7089156850284</x:v>
      </x:c>
      <x:c r="U131" s="31" t="n">
        <x:f>IF(T131="","",I131*T131)</x:f>
        <x:v>930973.2128720416</x:v>
      </x:c>
    </x:row>
    <x:row r="132" ht="18" customHeight="1">
      <x:c r="A132" s="24" t="str">
        <x:v>EEZ_076</x:v>
      </x:c>
      <x:c r="B132" s="24" t="str">
        <x:v>Brazil (mainland)</x:v>
      </x:c>
      <x:c r="C132" s="24" t="str">
        <x:v>EEZ</x:v>
      </x:c>
      <x:c r="D132" s="30" t="n">
        <x:v>2019</x:v>
      </x:c>
      <x:c r="E132" s="24" t="str">
        <x:v>Selene vomer</x:v>
      </x:c>
      <x:c r="F132" s="24" t="str">
        <x:v>Lookdown</x:v>
      </x:c>
      <x:c r="G132" s="24" t="str">
        <x:v>Medium demersals (30 - 89 cm)</x:v>
      </x:c>
      <x:c r="H132" s="24" t="str">
        <x:v>Perch-likes</x:v>
      </x:c>
      <x:c r="I132" s="31" t="n">
        <x:v>366.4126611167</x:v>
      </x:c>
      <x:c r="J132" s="31" t="n">
        <x:v>366.4126611167</x:v>
      </x:c>
      <x:c r="K132" s="31" t="n">
        <x:v>0</x:v>
      </x:c>
      <x:c r="L132" s="31" t="n">
        <x:v>76.4677628679</x:v>
      </x:c>
      <x:c r="M132" s="31" t="n">
        <x:v>289.94489824880003</x:v>
      </x:c>
      <x:c r="N132" s="24" t="str">
        <x:v>selene vomer</x:v>
      </x:c>
      <x:c r="O132" s="32" t="n">
        <x:v>4.29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Selene vomer</x:v>
      </x:c>
      <x:c r="T132" s="32" t="n">
        <x:f>IF(O132="","",(1/'Metadata'!$B$5)^(O132-1))</x:f>
        <x:v>1949.8445997580454</x:v>
      </x:c>
      <x:c r="U132" s="31" t="n">
        <x:f>IF(T132="","",I132*T132)</x:f>
        <x:v>714447.7485613723</x:v>
      </x:c>
    </x:row>
    <x:row r="133" ht="18" customHeight="1">
      <x:c r="A133" s="24" t="str">
        <x:v>EEZ_076</x:v>
      </x:c>
      <x:c r="B133" s="24" t="str">
        <x:v>Brazil (mainland)</x:v>
      </x:c>
      <x:c r="C133" s="24" t="str">
        <x:v>EEZ</x:v>
      </x:c>
      <x:c r="D133" s="30" t="n">
        <x:v>2019</x:v>
      </x:c>
      <x:c r="E133" s="24" t="str">
        <x:v>Hemiramphus brasiliensis</x:v>
      </x:c>
      <x:c r="F133" s="24" t="str">
        <x:v>Ballyhoo halfbeak</x:v>
      </x:c>
      <x:c r="G133" s="24" t="str">
        <x:v>Medium pelagics (30 - 89 cm)</x:v>
      </x:c>
      <x:c r="H133" s="24" t="str">
        <x:v>Other fishes &amp; inverts</x:v>
      </x:c>
      <x:c r="I133" s="31" t="n">
        <x:v>364.0666011213</x:v>
      </x:c>
      <x:c r="J133" s="31" t="n">
        <x:v>364.0666011213</x:v>
      </x:c>
      <x:c r="K133" s="31" t="n">
        <x:v>0</x:v>
      </x:c>
      <x:c r="L133" s="31" t="n">
        <x:v>310.0570654503</x:v>
      </x:c>
      <x:c r="M133" s="31" t="n">
        <x:v>54.009535671</x:v>
      </x:c>
      <x:c r="N133" s="24" t="str">
        <x:v>hemiramphus brasiliensis</x:v>
      </x:c>
      <x:c r="O133" s="32" t="n">
        <x:v>2.28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Hemiramphus brasiliensis</x:v>
      </x:c>
      <x:c r="T133" s="32" t="n">
        <x:f>IF(O133="","",(1/'Metadata'!$B$5)^(O133-1))</x:f>
        <x:v>19.054607179632463</x:v>
      </x:c>
      <x:c r="U133" s="31" t="n">
        <x:f>IF(T133="","",I133*T133)</x:f>
        <x:v>6937.14607159031</x:v>
      </x:c>
    </x:row>
    <x:row r="134" ht="18" customHeight="1">
      <x:c r="A134" s="24" t="str">
        <x:v>EEZ_076</x:v>
      </x:c>
      <x:c r="B134" s="24" t="str">
        <x:v>Brazil (mainland)</x:v>
      </x:c>
      <x:c r="C134" s="24" t="str">
        <x:v>EEZ</x:v>
      </x:c>
      <x:c r="D134" s="30" t="n">
        <x:v>2019</x:v>
      </x:c>
      <x:c r="E134" s="24" t="str">
        <x:v>Aluterus</x:v>
      </x:c>
      <x:c r="F134" s="24" t="str">
        <x:v>Aluterid filefishes</x:v>
      </x:c>
      <x:c r="G134" s="24" t="str">
        <x:v>Large reef assoc. fish (&gt;=90 cm)</x:v>
      </x:c>
      <x:c r="H134" s="24" t="str">
        <x:v>Other fishes &amp; inverts</x:v>
      </x:c>
      <x:c r="I134" s="31" t="n">
        <x:v>360.8445121365</x:v>
      </x:c>
      <x:c r="J134" s="31" t="n">
        <x:v>360.8445121365</x:v>
      </x:c>
      <x:c r="K134" s="31" t="n">
        <x:v>0</x:v>
      </x:c>
      <x:c r="L134" s="31" t="n">
        <x:v>284.1149488819</x:v>
      </x:c>
      <x:c r="M134" s="31" t="n">
        <x:v>76.7295632546</x:v>
      </x:c>
      <x:c r="N134" s="24" t="str">
        <x:v>aluterus</x:v>
      </x:c>
      <x:c r="O134" s="32" t="n">
        <x:v>2.81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Aluterus</x:v>
      </x:c>
      <x:c r="T134" s="32" t="n">
        <x:f>IF(O134="","",(1/'Metadata'!$B$5)^(O134-1))</x:f>
        <x:v>64.56542290346556</x:v>
      </x:c>
      <x:c r="U134" s="31" t="n">
        <x:f>IF(T134="","",I134*T134)</x:f>
        <x:v>23298.078528487833</x:v>
      </x:c>
    </x:row>
    <x:row r="135" ht="18" customHeight="1">
      <x:c r="A135" s="24" t="str">
        <x:v>EEZ_076</x:v>
      </x:c>
      <x:c r="B135" s="24" t="str">
        <x:v>Brazil (mainland)</x:v>
      </x:c>
      <x:c r="C135" s="24" t="str">
        <x:v>EEZ</x:v>
      </x:c>
      <x:c r="D135" s="30" t="n">
        <x:v>2019</x:v>
      </x:c>
      <x:c r="E135" s="24" t="str">
        <x:v>Holocentrus adscensionis</x:v>
      </x:c>
      <x:c r="F135" s="24" t="str">
        <x:v>Squirrelfish</x:v>
      </x:c>
      <x:c r="G135" s="24" t="str">
        <x:v>Medium reef assoc. fish (30 - 89 cm)</x:v>
      </x:c>
      <x:c r="H135" s="24" t="str">
        <x:v>Other fishes &amp; inverts</x:v>
      </x:c>
      <x:c r="I135" s="31" t="n">
        <x:v>349.4381195775</x:v>
      </x:c>
      <x:c r="J135" s="31" t="n">
        <x:v>349.4381195775</x:v>
      </x:c>
      <x:c r="K135" s="31" t="n">
        <x:v>0</x:v>
      </x:c>
      <x:c r="L135" s="31" t="n">
        <x:v>235.6579503573</x:v>
      </x:c>
      <x:c r="M135" s="31" t="n">
        <x:v>113.78016922020001</x:v>
      </x:c>
      <x:c r="N135" s="24" t="str">
        <x:v>holocentrus adscensionis</x:v>
      </x:c>
      <x:c r="O135" s="32" t="n">
        <x:v>3.11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Holocentrus adscensionis</x:v>
      </x:c>
      <x:c r="T135" s="32" t="n">
        <x:f>IF(O135="","",(1/'Metadata'!$B$5)^(O135-1))</x:f>
        <x:v>128.82495516931337</x:v>
      </x:c>
      <x:c r="U135" s="31" t="n">
        <x:f>IF(T135="","",I135*T135)</x:f>
        <x:v>45016.350089020605</x:v>
      </x:c>
    </x:row>
    <x:row r="136" ht="18" customHeight="1">
      <x:c r="A136" s="24" t="str">
        <x:v>EEZ_076</x:v>
      </x:c>
      <x:c r="B136" s="24" t="str">
        <x:v>Brazil (mainland)</x:v>
      </x:c>
      <x:c r="C136" s="24" t="str">
        <x:v>EEZ</x:v>
      </x:c>
      <x:c r="D136" s="30" t="n">
        <x:v>2019</x:v>
      </x:c>
      <x:c r="E136" s="24" t="str">
        <x:v>Sphyraena</x:v>
      </x:c>
      <x:c r="F136" s="24" t="str">
        <x:v>Barracudas, sennets</x:v>
      </x:c>
      <x:c r="G136" s="24" t="str">
        <x:v>Large pelagics (&gt;=90 cm)</x:v>
      </x:c>
      <x:c r="H136" s="24" t="str">
        <x:v>Perch-likes</x:v>
      </x:c>
      <x:c r="I136" s="31" t="n">
        <x:v>348.2476131432</x:v>
      </x:c>
      <x:c r="J136" s="31" t="n">
        <x:v>348.2476131432</x:v>
      </x:c>
      <x:c r="K136" s="31" t="n">
        <x:v>0</x:v>
      </x:c>
      <x:c r="L136" s="31" t="n">
        <x:v>338.9655594852</x:v>
      </x:c>
      <x:c r="M136" s="31" t="n">
        <x:v>9.282053658</x:v>
      </x:c>
      <x:c r="N136" s="24" t="str">
        <x:v>sphyraena</x:v>
      </x:c>
      <x:c r="O136" s="32" t="n">
        <x:v>4.4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Sphyraena</x:v>
      </x:c>
      <x:c r="T136" s="32" t="n">
        <x:f>IF(O136="","",(1/'Metadata'!$B$5)^(O136-1))</x:f>
        <x:v>2511.886431509582</x:v>
      </x:c>
      <x:c r="U136" s="31" t="n">
        <x:f>IF(T136="","",I136*T136)</x:f>
        <x:v>874758.4542600021</x:v>
      </x:c>
    </x:row>
    <x:row r="137" ht="18" customHeight="1">
      <x:c r="A137" s="24" t="str">
        <x:v>EEZ_076</x:v>
      </x:c>
      <x:c r="B137" s="24" t="str">
        <x:v>Brazil (mainland)</x:v>
      </x:c>
      <x:c r="C137" s="24" t="str">
        <x:v>EEZ</x:v>
      </x:c>
      <x:c r="D137" s="30" t="n">
        <x:v>2019</x:v>
      </x:c>
      <x:c r="E137" s="24" t="str">
        <x:v>Rhinobatos</x:v>
      </x:c>
      <x:c r="F137" s="24" t="str">
        <x:v>Guitarfishes</x:v>
      </x:c>
      <x:c r="G137" s="24" t="str">
        <x:v>Large rays (&gt;=90 cm)</x:v>
      </x:c>
      <x:c r="H137" s="24" t="str">
        <x:v>Sharks &amp; rays</x:v>
      </x:c>
      <x:c r="I137" s="31" t="n">
        <x:v>333.49184782369997</x:v>
      </x:c>
      <x:c r="J137" s="31" t="n">
        <x:v>333.49184782369997</x:v>
      </x:c>
      <x:c r="K137" s="31" t="n">
        <x:v>0</x:v>
      </x:c>
      <x:c r="L137" s="31" t="n">
        <x:v>329.3122459989</x:v>
      </x:c>
      <x:c r="M137" s="31" t="n">
        <x:v>4.1796018248</x:v>
      </x:c>
      <x:c r="N137" s="24" t="str">
        <x:v>rhinobatos</x:v>
      </x:c>
      <x:c r="O137" s="32" t="n">
        <x:v>3.73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Rhinobatos</x:v>
      </x:c>
      <x:c r="T137" s="32" t="n">
        <x:f>IF(O137="","",(1/'Metadata'!$B$5)^(O137-1))</x:f>
        <x:v>537.0317963702527</x:v>
      </x:c>
      <x:c r="U137" s="31" t="n">
        <x:f>IF(T137="","",I137*T137)</x:f>
        <x:v>179095.72611159654</x:v>
      </x:c>
    </x:row>
    <x:row r="138" ht="18" customHeight="1">
      <x:c r="A138" s="24" t="str">
        <x:v>EEZ_076</x:v>
      </x:c>
      <x:c r="B138" s="24" t="str">
        <x:v>Brazil (mainland)</x:v>
      </x:c>
      <x:c r="C138" s="24" t="str">
        <x:v>EEZ</x:v>
      </x:c>
      <x:c r="D138" s="30" t="n">
        <x:v>2019</x:v>
      </x:c>
      <x:c r="E138" s="24" t="str">
        <x:v>Centropomus undecimalis</x:v>
      </x:c>
      <x:c r="F138" s="24" t="str">
        <x:v>Common snook</x:v>
      </x:c>
      <x:c r="G138" s="24" t="str">
        <x:v>Large benthopelagics (&gt;=90 cm)</x:v>
      </x:c>
      <x:c r="H138" s="24" t="str">
        <x:v>Perch-likes</x:v>
      </x:c>
      <x:c r="I138" s="31" t="n">
        <x:v>327.1388577035</x:v>
      </x:c>
      <x:c r="J138" s="31" t="n">
        <x:v>327.1388577035</x:v>
      </x:c>
      <x:c r="K138" s="31" t="n">
        <x:v>0</x:v>
      </x:c>
      <x:c r="L138" s="31" t="n">
        <x:v>325.7406367208</x:v>
      </x:c>
      <x:c r="M138" s="31" t="n">
        <x:v>1.3982209827</x:v>
      </x:c>
      <x:c r="N138" s="24" t="str">
        <x:v>centropomus undecimalis</x:v>
      </x:c>
      <x:c r="O138" s="32" t="n">
        <x:v>4.17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Centropomus undecimalis</x:v>
      </x:c>
      <x:c r="T138" s="32" t="n">
        <x:f>IF(O138="","",(1/'Metadata'!$B$5)^(O138-1))</x:f>
        <x:v>1479.1083881682073</x:v>
      </x:c>
      <x:c r="U138" s="31" t="n">
        <x:f>IF(T138="","",I138*T138)</x:f>
        <x:v>483873.82852501236</x:v>
      </x:c>
    </x:row>
    <x:row r="139" ht="18" customHeight="1">
      <x:c r="A139" s="24" t="str">
        <x:v>EEZ_076</x:v>
      </x:c>
      <x:c r="B139" s="24" t="str">
        <x:v>Brazil (mainland)</x:v>
      </x:c>
      <x:c r="C139" s="24" t="str">
        <x:v>EEZ</x:v>
      </x:c>
      <x:c r="D139" s="30" t="n">
        <x:v>2019</x:v>
      </x:c>
      <x:c r="E139" s="24" t="str">
        <x:v>Cephalopholis fulva</x:v>
      </x:c>
      <x:c r="F139" s="24" t="str">
        <x:v>Coney</x:v>
      </x:c>
      <x:c r="G139" s="24" t="str">
        <x:v>Medium reef assoc. fish (30 - 89 cm)</x:v>
      </x:c>
      <x:c r="H139" s="24" t="str">
        <x:v>Perch-likes</x:v>
      </x:c>
      <x:c r="I139" s="31" t="n">
        <x:v>304.0952341149</x:v>
      </x:c>
      <x:c r="J139" s="31" t="n">
        <x:v>304.0952341149</x:v>
      </x:c>
      <x:c r="K139" s="31" t="n">
        <x:v>0</x:v>
      </x:c>
      <x:c r="L139" s="31" t="n">
        <x:v>296.270395217</x:v>
      </x:c>
      <x:c r="M139" s="31" t="n">
        <x:v>7.8248388979</x:v>
      </x:c>
      <x:c r="N139" s="24" t="str">
        <x:v>cephalopholis fulva</x:v>
      </x:c>
      <x:c r="O139" s="32" t="n">
        <x:v>4.05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Cephalopholis fulva</x:v>
      </x:c>
      <x:c r="T139" s="32" t="n">
        <x:f>IF(O139="","",(1/'Metadata'!$B$5)^(O139-1))</x:f>
        <x:v>1122.018454301963</x:v>
      </x:c>
      <x:c r="U139" s="31" t="n">
        <x:f>IF(T139="","",I139*T139)</x:f>
        <x:v>341200.46454219363</x:v>
      </x:c>
    </x:row>
    <x:row r="140" ht="18" customHeight="1">
      <x:c r="A140" s="24" t="str">
        <x:v>EEZ_076</x:v>
      </x:c>
      <x:c r="B140" s="24" t="str">
        <x:v>Brazil (mainland)</x:v>
      </x:c>
      <x:c r="C140" s="24" t="str">
        <x:v>EEZ</x:v>
      </x:c>
      <x:c r="D140" s="30" t="n">
        <x:v>2019</x:v>
      </x:c>
      <x:c r="E140" s="24" t="str">
        <x:v>Peprilus paru</x:v>
      </x:c>
      <x:c r="F140" s="24" t="str">
        <x:v>American harvestfish</x:v>
      </x:c>
      <x:c r="G140" s="24" t="str">
        <x:v>Small benthopelagics (&lt;30 cm)</x:v>
      </x:c>
      <x:c r="H140" s="24" t="str">
        <x:v>Perch-likes</x:v>
      </x:c>
      <x:c r="I140" s="31" t="n">
        <x:v>299.7414848439</x:v>
      </x:c>
      <x:c r="J140" s="31" t="n">
        <x:v>299.7414848439</x:v>
      </x:c>
      <x:c r="K140" s="31" t="n">
        <x:v>0</x:v>
      </x:c>
      <x:c r="L140" s="31" t="n">
        <x:v>293.89445035980003</x:v>
      </x:c>
      <x:c r="M140" s="31" t="n">
        <x:v>5.8470344841</x:v>
      </x:c>
      <x:c r="N140" s="24" t="str">
        <x:v>peprilus paru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Peprilus paru</x:v>
      </x:c>
      <x:c r="T140" s="32" t="n">
        <x:f>IF(O140="","",(1/'Metadata'!$B$5)^(O140-1))</x:f>
        <x:v>3162.2776601683795</x:v>
      </x:c>
      <x:c r="U140" s="31" t="n">
        <x:f>IF(T140="","",I140*T140)</x:f>
        <x:v>947865.801347564</x:v>
      </x:c>
    </x:row>
    <x:row r="141" ht="18" customHeight="1">
      <x:c r="A141" s="24" t="str">
        <x:v>EEZ_076</x:v>
      </x:c>
      <x:c r="B141" s="24" t="str">
        <x:v>Brazil (mainland)</x:v>
      </x:c>
      <x:c r="C141" s="24" t="str">
        <x:v>EEZ</x:v>
      </x:c>
      <x:c r="D141" s="30" t="n">
        <x:v>2019</x:v>
      </x:c>
      <x:c r="E141" s="24" t="str">
        <x:v>Crassostrea</x:v>
      </x:c>
      <x:c r="F141" s="24" t="str">
        <x:v>Cupped oysters</x:v>
      </x:c>
      <x:c r="G141" s="24" t="str">
        <x:v>Other demersal invertebrates</x:v>
      </x:c>
      <x:c r="H141" s="24" t="str">
        <x:v>Molluscs</x:v>
      </x:c>
      <x:c r="I141" s="31" t="n">
        <x:v>272.7088395509</x:v>
      </x:c>
      <x:c r="J141" s="31" t="n">
        <x:v>272.7088395509</x:v>
      </x:c>
      <x:c r="K141" s="31" t="n">
        <x:v>0</x:v>
      </x:c>
      <x:c r="L141" s="31" t="n">
        <x:v>248.99237915389998</x:v>
      </x:c>
      <x:c r="M141" s="31" t="n">
        <x:v>23.716460397</x:v>
      </x:c>
      <x:c r="N141" s="24" t="str">
        <x:v>crassostrea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Crassostrea</x:v>
      </x:c>
      <x:c r="T141" s="32" t="n">
        <x:f>IF(O141="","",(1/'Metadata'!$B$5)^(O141-1))</x:f>
        <x:v>10</x:v>
      </x:c>
      <x:c r="U141" s="31" t="n">
        <x:f>IF(T141="","",I141*T141)</x:f>
        <x:v>2727.088395509</x:v>
      </x:c>
    </x:row>
    <x:row r="142" ht="18" customHeight="1">
      <x:c r="A142" s="24" t="str">
        <x:v>EEZ_076</x:v>
      </x:c>
      <x:c r="B142" s="24" t="str">
        <x:v>Brazil (mainland)</x:v>
      </x:c>
      <x:c r="C142" s="24" t="str">
        <x:v>EEZ</x:v>
      </x:c>
      <x:c r="D142" s="30" t="n">
        <x:v>2019</x:v>
      </x:c>
      <x:c r="E142" s="24" t="str">
        <x:v>Lobotes surinamensis</x:v>
      </x:c>
      <x:c r="F142" s="24" t="str">
        <x:v>Tripletail</x:v>
      </x:c>
      <x:c r="G142" s="24" t="str">
        <x:v>Large benthopelagics (&gt;=90 cm)</x:v>
      </x:c>
      <x:c r="H142" s="24" t="str">
        <x:v>Perch-likes</x:v>
      </x:c>
      <x:c r="I142" s="31" t="n">
        <x:v>271.82752555310003</x:v>
      </x:c>
      <x:c r="J142" s="31" t="n">
        <x:v>271.82752555310003</x:v>
      </x:c>
      <x:c r="K142" s="31" t="n">
        <x:v>0</x:v>
      </x:c>
      <x:c r="L142" s="31" t="n">
        <x:v>19.000000027200002</x:v>
      </x:c>
      <x:c r="M142" s="31" t="n">
        <x:v>252.8275255259</x:v>
      </x:c>
      <x:c r="N142" s="24" t="str">
        <x:v>lobotes surinamensis</x:v>
      </x:c>
      <x:c r="O142" s="32" t="n">
        <x:v>4.04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Lobotes surinamensis</x:v>
      </x:c>
      <x:c r="T142" s="32" t="n">
        <x:f>IF(O142="","",(1/'Metadata'!$B$5)^(O142-1))</x:f>
        <x:v>1096.4781961431852</x:v>
      </x:c>
      <x:c r="U142" s="31" t="n">
        <x:f>IF(T142="","",I142*T142)</x:f>
        <x:v>298052.9548805287</x:v>
      </x:c>
    </x:row>
    <x:row r="143" ht="18" customHeight="1">
      <x:c r="A143" s="24" t="str">
        <x:v>EEZ_076</x:v>
      </x:c>
      <x:c r="B143" s="24" t="str">
        <x:v>Brazil (mainland)</x:v>
      </x:c>
      <x:c r="C143" s="24" t="str">
        <x:v>EEZ</x:v>
      </x:c>
      <x:c r="D143" s="30" t="n">
        <x:v>2019</x:v>
      </x:c>
      <x:c r="E143" s="24" t="str">
        <x:v>Sardinella aurita</x:v>
      </x:c>
      <x:c r="F143" s="24" t="str">
        <x:v>Round sardinella</x:v>
      </x:c>
      <x:c r="G143" s="24" t="str">
        <x:v>Small pelagics (&lt;30 cm)</x:v>
      </x:c>
      <x:c r="H143" s="24" t="str">
        <x:v>Herring-likes</x:v>
      </x:c>
      <x:c r="I143" s="31" t="n">
        <x:v>270.1081931001</x:v>
      </x:c>
      <x:c r="J143" s="31" t="n">
        <x:v>270.1081931001</x:v>
      </x:c>
      <x:c r="K143" s="31" t="n">
        <x:v>0</x:v>
      </x:c>
      <x:c r="L143" s="31" t="n">
        <x:v>270.1081931001</x:v>
      </x:c>
      <x:c r="M143" s="31" t="n">
        <x:v>0</x:v>
      </x:c>
      <x:c r="N143" s="24" t="str">
        <x:v>sardinella aurita</x:v>
      </x:c>
      <x:c r="O143" s="32" t="n">
        <x:v>3.4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Sardinella aurita</x:v>
      </x:c>
      <x:c r="T143" s="32" t="n">
        <x:f>IF(O143="","",(1/'Metadata'!$B$5)^(O143-1))</x:f>
        <x:v>251.18864315095797</x:v>
      </x:c>
      <x:c r="U143" s="31" t="n">
        <x:f>IF(T143="","",I143*T143)</x:f>
        <x:v>67848.11052877107</x:v>
      </x:c>
    </x:row>
    <x:row r="144" ht="18" customHeight="1">
      <x:c r="A144" s="24" t="str">
        <x:v>EEZ_076</x:v>
      </x:c>
      <x:c r="B144" s="24" t="str">
        <x:v>Brazil (mainland)</x:v>
      </x:c>
      <x:c r="C144" s="24" t="str">
        <x:v>EEZ</x:v>
      </x:c>
      <x:c r="D144" s="30" t="n">
        <x:v>2019</x:v>
      </x:c>
      <x:c r="E144" s="24" t="str">
        <x:v>Harengula jaguana</x:v>
      </x:c>
      <x:c r="F144" s="24" t="str">
        <x:v>Scaled herring</x:v>
      </x:c>
      <x:c r="G144" s="24" t="str">
        <x:v>Small pelagics (&lt;30 cm)</x:v>
      </x:c>
      <x:c r="H144" s="24" t="str">
        <x:v>Herring-likes</x:v>
      </x:c>
      <x:c r="I144" s="31" t="n">
        <x:v>265</x:v>
      </x:c>
      <x:c r="J144" s="31" t="n">
        <x:v>265</x:v>
      </x:c>
      <x:c r="K144" s="31" t="n">
        <x:v>0</x:v>
      </x:c>
      <x:c r="L144" s="31" t="n">
        <x:v>265</x:v>
      </x:c>
      <x:c r="M144" s="31" t="n">
        <x:v>0</x:v>
      </x:c>
      <x:c r="N144" s="24" t="str">
        <x:v>harengula jaguana</x:v>
      </x:c>
      <x:c r="O144" s="32" t="n">
        <x:v>3.42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Harengula jaguana</x:v>
      </x:c>
      <x:c r="T144" s="32" t="n">
        <x:f>IF(O144="","",(1/'Metadata'!$B$5)^(O144-1))</x:f>
        <x:v>263.02679918953817</x:v>
      </x:c>
      <x:c r="U144" s="31" t="n">
        <x:f>IF(T144="","",I144*T144)</x:f>
        <x:v>69702.10178522761</x:v>
      </x:c>
    </x:row>
    <x:row r="145" ht="18" customHeight="1">
      <x:c r="A145" s="24" t="str">
        <x:v>EEZ_076</x:v>
      </x:c>
      <x:c r="B145" s="24" t="str">
        <x:v>Brazil (mainland)</x:v>
      </x:c>
      <x:c r="C145" s="24" t="str">
        <x:v>EEZ</x:v>
      </x:c>
      <x:c r="D145" s="30" t="n">
        <x:v>2019</x:v>
      </x:c>
      <x:c r="E145" s="24" t="str">
        <x:v>Octopus vulgaris</x:v>
      </x:c>
      <x:c r="F145" s="24" t="str">
        <x:v>Common octopus</x:v>
      </x:c>
      <x:c r="G145" s="24" t="str">
        <x:v>Cephalopods</x:v>
      </x:c>
      <x:c r="H145" s="24" t="str">
        <x:v>Other fishes &amp; inverts</x:v>
      </x:c>
      <x:c r="I145" s="31" t="n">
        <x:v>254.40916876900002</x:v>
      </x:c>
      <x:c r="J145" s="31" t="n">
        <x:v>254.40916876900002</x:v>
      </x:c>
      <x:c r="K145" s="31" t="n">
        <x:v>0</x:v>
      </x:c>
      <x:c r="L145" s="31" t="n">
        <x:v>209.38705189110001</x:v>
      </x:c>
      <x:c r="M145" s="31" t="n">
        <x:v>45.022116877900004</x:v>
      </x:c>
      <x:c r="N145" s="24" t="str">
        <x:v>octopus vulgaris</x:v>
      </x:c>
      <x:c r="O145" s="32" t="n">
        <x:v>3.6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Octopus vulgaris</x:v>
      </x:c>
      <x:c r="T145" s="32" t="n">
        <x:f>IF(O145="","",(1/'Metadata'!$B$5)^(O145-1))</x:f>
        <x:v>398.1071705534973</x:v>
      </x:c>
      <x:c r="U145" s="31" t="n">
        <x:f>IF(T145="","",I145*T145)</x:f>
        <x:v>101282.11434149377</x:v>
      </x:c>
    </x:row>
    <x:row r="146" ht="18" customHeight="1">
      <x:c r="A146" s="24" t="str">
        <x:v>EEZ_076</x:v>
      </x:c>
      <x:c r="B146" s="24" t="str">
        <x:v>Brazil (mainland)</x:v>
      </x:c>
      <x:c r="C146" s="24" t="str">
        <x:v>EEZ</x:v>
      </x:c>
      <x:c r="D146" s="30" t="n">
        <x:v>2019</x:v>
      </x:c>
      <x:c r="E146" s="24" t="str">
        <x:v>Haemulon aurolineatum</x:v>
      </x:c>
      <x:c r="F146" s="24" t="str">
        <x:v>Tomtate grunt</x:v>
      </x:c>
      <x:c r="G146" s="24" t="str">
        <x:v>Small reef assoc. fish (&lt;30 cm)</x:v>
      </x:c>
      <x:c r="H146" s="24" t="str">
        <x:v>Perch-likes</x:v>
      </x:c>
      <x:c r="I146" s="31" t="n">
        <x:v>244.6840502268</x:v>
      </x:c>
      <x:c r="J146" s="31" t="n">
        <x:v>244.6840502268</x:v>
      </x:c>
      <x:c r="K146" s="31" t="n">
        <x:v>0</x:v>
      </x:c>
      <x:c r="L146" s="31" t="n">
        <x:v>242.694551703</x:v>
      </x:c>
      <x:c r="M146" s="31" t="n">
        <x:v>1.9894985238</x:v>
      </x:c>
      <x:c r="N146" s="24" t="str">
        <x:v>haemulon aurolineatum</x:v>
      </x:c>
      <x:c r="O146" s="32" t="n">
        <x:v>4.35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Haemulon aurolineatum</x:v>
      </x:c>
      <x:c r="T146" s="32" t="n">
        <x:f>IF(O146="","",(1/'Metadata'!$B$5)^(O146-1))</x:f>
        <x:v>2238.7211385683377</x:v>
      </x:c>
      <x:c r="U146" s="31" t="n">
        <x:f>IF(T146="","",I146*T146)</x:f>
        <x:v>547779.3555132541</x:v>
      </x:c>
    </x:row>
    <x:row r="147" ht="18" customHeight="1">
      <x:c r="A147" s="24" t="str">
        <x:v>EEZ_076</x:v>
      </x:c>
      <x:c r="B147" s="24" t="str">
        <x:v>Brazil (mainland)</x:v>
      </x:c>
      <x:c r="C147" s="24" t="str">
        <x:v>EEZ</x:v>
      </x:c>
      <x:c r="D147" s="30" t="n">
        <x:v>2019</x:v>
      </x:c>
      <x:c r="E147" s="24" t="str">
        <x:v>Batrachoididae</x:v>
      </x:c>
      <x:c r="F147" s="24" t="str">
        <x:v>Toadfishes</x:v>
      </x:c>
      <x:c r="G147" s="24" t="str">
        <x:v>Large reef assoc. fish (&gt;=90 cm)</x:v>
      </x:c>
      <x:c r="H147" s="24" t="str">
        <x:v>Other fishes &amp; inverts</x:v>
      </x:c>
      <x:c r="I147" s="31" t="n">
        <x:v>234.100323604</x:v>
      </x:c>
      <x:c r="J147" s="31" t="n">
        <x:v>234.100323604</x:v>
      </x:c>
      <x:c r="K147" s="31" t="n">
        <x:v>0</x:v>
      </x:c>
      <x:c r="L147" s="31" t="n">
        <x:v>231.8222210809</x:v>
      </x:c>
      <x:c r="M147" s="31" t="n">
        <x:v>2.2781025231</x:v>
      </x:c>
      <x:c r="N147" s="24" t="str">
        <x:v>batrachoididae</x:v>
      </x:c>
      <x:c r="O147" s="32" t="n">
        <x:v>3.66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Batrachoididae</x:v>
      </x:c>
      <x:c r="T147" s="32" t="n">
        <x:f>IF(O147="","",(1/'Metadata'!$B$5)^(O147-1))</x:f>
        <x:v>457.0881896148752</x:v>
      </x:c>
      <x:c r="U147" s="31" t="n">
        <x:f>IF(T147="","",I147*T147)</x:f>
        <x:v>107004.4931044088</x:v>
      </x:c>
    </x:row>
    <x:row r="148" ht="18" customHeight="1">
      <x:c r="A148" s="24" t="str">
        <x:v>EEZ_076</x:v>
      </x:c>
      <x:c r="B148" s="24" t="str">
        <x:v>Brazil (mainland)</x:v>
      </x:c>
      <x:c r="C148" s="24" t="str">
        <x:v>EEZ</x:v>
      </x:c>
      <x:c r="D148" s="30" t="n">
        <x:v>2019</x:v>
      </x:c>
      <x:c r="E148" s="24" t="str">
        <x:v>Trachinotus carolinus</x:v>
      </x:c>
      <x:c r="F148" s="24" t="str">
        <x:v>Florida pompano</x:v>
      </x:c>
      <x:c r="G148" s="24" t="str">
        <x:v>Medium benthopelagics (30 - 89 cm)</x:v>
      </x:c>
      <x:c r="H148" s="24" t="str">
        <x:v>Perch-likes</x:v>
      </x:c>
      <x:c r="I148" s="31" t="n">
        <x:v>232.28795135060003</x:v>
      </x:c>
      <x:c r="J148" s="31" t="n">
        <x:v>232.28795135060003</x:v>
      </x:c>
      <x:c r="K148" s="31" t="n">
        <x:v>0</x:v>
      </x:c>
      <x:c r="L148" s="31" t="n">
        <x:v>228.2830435129</x:v>
      </x:c>
      <x:c r="M148" s="31" t="n">
        <x:v>4.0049078377</x:v>
      </x:c>
      <x:c r="N148" s="24" t="str">
        <x:v>trachinotus carolinus</x:v>
      </x:c>
      <x:c r="O148" s="32" t="n">
        <x:v>3.5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Trachinotus carolinus</x:v>
      </x:c>
      <x:c r="T148" s="32" t="n">
        <x:f>IF(O148="","",(1/'Metadata'!$B$5)^(O148-1))</x:f>
        <x:v>316.22776601683796</x:v>
      </x:c>
      <x:c r="U148" s="31" t="n">
        <x:f>IF(T148="","",I148*T148)</x:f>
        <x:v>73455.89992822819</x:v>
      </x:c>
    </x:row>
    <x:row r="149" ht="18" customHeight="1">
      <x:c r="A149" s="24" t="str">
        <x:v>EEZ_076</x:v>
      </x:c>
      <x:c r="B149" s="24" t="str">
        <x:v>Brazil (mainland)</x:v>
      </x:c>
      <x:c r="C149" s="24" t="str">
        <x:v>EEZ</x:v>
      </x:c>
      <x:c r="D149" s="30" t="n">
        <x:v>2019</x:v>
      </x:c>
      <x:c r="E149" s="24" t="str">
        <x:v>Haemulon</x:v>
      </x:c>
      <x:c r="F149" s="24" t="str">
        <x:v>Grunts</x:v>
      </x:c>
      <x:c r="G149" s="24" t="str">
        <x:v>Small reef assoc. fish (&lt;30 cm)</x:v>
      </x:c>
      <x:c r="H149" s="24" t="str">
        <x:v>Perch-likes</x:v>
      </x:c>
      <x:c r="I149" s="31" t="n">
        <x:v>227.7076377795</x:v>
      </x:c>
      <x:c r="J149" s="31" t="n">
        <x:v>227.7076377795</x:v>
      </x:c>
      <x:c r="K149" s="31" t="n">
        <x:v>0</x:v>
      </x:c>
      <x:c r="L149" s="31" t="n">
        <x:v>223.2584630238</x:v>
      </x:c>
      <x:c r="M149" s="31" t="n">
        <x:v>4.4491747557</x:v>
      </x:c>
      <x:c r="N149" s="24" t="str">
        <x:v>haemulon</x:v>
      </x:c>
      <x:c r="O149" s="32" t="n">
        <x:v>3.25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Haemulon</x:v>
      </x:c>
      <x:c r="T149" s="32" t="n">
        <x:f>IF(O149="","",(1/'Metadata'!$B$5)^(O149-1))</x:f>
        <x:v>177.82794100389228</x:v>
      </x:c>
      <x:c r="U149" s="31" t="n">
        <x:f>IF(T149="","",I149*T149)</x:f>
        <x:v>40492.780377188596</x:v>
      </x:c>
    </x:row>
    <x:row r="150" ht="18" customHeight="1">
      <x:c r="A150" s="24" t="str">
        <x:v>EEZ_076</x:v>
      </x:c>
      <x:c r="B150" s="24" t="str">
        <x:v>Brazil (mainland)</x:v>
      </x:c>
      <x:c r="C150" s="24" t="str">
        <x:v>EEZ</x:v>
      </x:c>
      <x:c r="D150" s="30" t="n">
        <x:v>2019</x:v>
      </x:c>
      <x:c r="E150" s="24" t="str">
        <x:v>Larimus breviceps</x:v>
      </x:c>
      <x:c r="F150" s="24" t="str">
        <x:v>Shorthead drum</x:v>
      </x:c>
      <x:c r="G150" s="24" t="str">
        <x:v>Small demersals (&lt;30 cm)</x:v>
      </x:c>
      <x:c r="H150" s="24" t="str">
        <x:v>Perch-likes</x:v>
      </x:c>
      <x:c r="I150" s="31" t="n">
        <x:v>224.9681093226</x:v>
      </x:c>
      <x:c r="J150" s="31" t="n">
        <x:v>224.9681093226</x:v>
      </x:c>
      <x:c r="K150" s="31" t="n">
        <x:v>0</x:v>
      </x:c>
      <x:c r="L150" s="31" t="n">
        <x:v>219.99999999189998</x:v>
      </x:c>
      <x:c r="M150" s="31" t="n">
        <x:v>4.9681093307</x:v>
      </x:c>
      <x:c r="N150" s="24" t="str">
        <x:v>larimus breviceps</x:v>
      </x:c>
      <x:c r="O150" s="32" t="n">
        <x:v>3.52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Larimus breviceps</x:v>
      </x:c>
      <x:c r="T150" s="32" t="n">
        <x:f>IF(O150="","",(1/'Metadata'!$B$5)^(O150-1))</x:f>
        <x:v>331.1311214825911</x:v>
      </x:c>
      <x:c r="U150" s="31" t="n">
        <x:f>IF(T150="","",I150*T150)</x:f>
        <x:v>74493.94233781069</x:v>
      </x:c>
    </x:row>
    <x:row r="151" ht="18" customHeight="1">
      <x:c r="A151" s="24" t="str">
        <x:v>EEZ_076</x:v>
      </x:c>
      <x:c r="B151" s="24" t="str">
        <x:v>Brazil (mainland)</x:v>
      </x:c>
      <x:c r="C151" s="24" t="str">
        <x:v>EEZ</x:v>
      </x:c>
      <x:c r="D151" s="30" t="n">
        <x:v>2019</x:v>
      </x:c>
      <x:c r="E151" s="24" t="str">
        <x:v>Octopodidae</x:v>
      </x:c>
      <x:c r="F151" s="24" t="str">
        <x:v>Octopuses</x:v>
      </x:c>
      <x:c r="G151" s="24" t="str">
        <x:v>Cephalopods</x:v>
      </x:c>
      <x:c r="H151" s="24" t="str">
        <x:v>Other fishes &amp; inverts</x:v>
      </x:c>
      <x:c r="I151" s="31" t="n">
        <x:v>187.64047038020001</x:v>
      </x:c>
      <x:c r="J151" s="31" t="n">
        <x:v>187.64047038020001</x:v>
      </x:c>
      <x:c r="K151" s="31" t="n">
        <x:v>0</x:v>
      </x:c>
      <x:c r="L151" s="31" t="n">
        <x:v>182.2018656671</x:v>
      </x:c>
      <x:c r="M151" s="31" t="n">
        <x:v>5.4386047131</x:v>
      </x:c>
      <x:c r="N151" s="24" t="str">
        <x:v>octopodidae</x:v>
      </x:c>
      <x:c r="O151" s="32" t="n">
        <x:v>3.59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Octopodidae</x:v>
      </x:c>
      <x:c r="T151" s="32" t="n">
        <x:f>IF(O151="","",(1/'Metadata'!$B$5)^(O151-1))</x:f>
        <x:v>389.04514499428046</x:v>
      </x:c>
      <x:c r="U151" s="31" t="n">
        <x:f>IF(T151="","",I151*T151)</x:f>
        <x:v>73000.6140058599</x:v>
      </x:c>
    </x:row>
    <x:row r="152" ht="18" customHeight="1">
      <x:c r="A152" s="24" t="str">
        <x:v>EEZ_076</x:v>
      </x:c>
      <x:c r="B152" s="24" t="str">
        <x:v>Brazil (mainland)</x:v>
      </x:c>
      <x:c r="C152" s="24" t="str">
        <x:v>EEZ</x:v>
      </x:c>
      <x:c r="D152" s="30" t="n">
        <x:v>2019</x:v>
      </x:c>
      <x:c r="E152" s="24" t="str">
        <x:v>Epinephelus itajara</x:v>
      </x:c>
      <x:c r="F152" s="24" t="str">
        <x:v>Atlantic goliath grouper</x:v>
      </x:c>
      <x:c r="G152" s="24" t="str">
        <x:v>Large reef assoc. fish (&gt;=90 cm)</x:v>
      </x:c>
      <x:c r="H152" s="24" t="str">
        <x:v>Perch-likes</x:v>
      </x:c>
      <x:c r="I152" s="31" t="n">
        <x:v>182.8478971801</x:v>
      </x:c>
      <x:c r="J152" s="31" t="n">
        <x:v>182.8478971801</x:v>
      </x:c>
      <x:c r="K152" s="31" t="n">
        <x:v>0</x:v>
      </x:c>
      <x:c r="L152" s="31" t="n">
        <x:v>177.7256923601</x:v>
      </x:c>
      <x:c r="M152" s="31" t="n">
        <x:v>5.12220482</x:v>
      </x:c>
      <x:c r="N152" s="24" t="str">
        <x:v>epinephelus itajara</x:v>
      </x:c>
      <x:c r="O152" s="32" t="n">
        <x:v>4.09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Epinephelus itajara</x:v>
      </x:c>
      <x:c r="T152" s="32" t="n">
        <x:f>IF(O152="","",(1/'Metadata'!$B$5)^(O152-1))</x:f>
        <x:v>1230.268770812381</x:v>
      </x:c>
      <x:c r="U152" s="31" t="n">
        <x:f>IF(T152="","",I152*T152)</x:f>
        <x:v>224952.05770939027</x:v>
      </x:c>
    </x:row>
    <x:row r="153" ht="18" customHeight="1">
      <x:c r="A153" s="24" t="str">
        <x:v>EEZ_076</x:v>
      </x:c>
      <x:c r="B153" s="24" t="str">
        <x:v>Brazil (mainland)</x:v>
      </x:c>
      <x:c r="C153" s="24" t="str">
        <x:v>EEZ</x:v>
      </x:c>
      <x:c r="D153" s="30" t="n">
        <x:v>2019</x:v>
      </x:c>
      <x:c r="E153" s="24" t="str">
        <x:v>Ruvettus pretiosus</x:v>
      </x:c>
      <x:c r="F153" s="24" t="str">
        <x:v>Oilfish</x:v>
      </x:c>
      <x:c r="G153" s="24" t="str">
        <x:v>Large benthopelagics (&gt;=90 cm)</x:v>
      </x:c>
      <x:c r="H153" s="24" t="str">
        <x:v>Perch-likes</x:v>
      </x:c>
      <x:c r="I153" s="31" t="n">
        <x:v>181.891435553</x:v>
      </x:c>
      <x:c r="J153" s="31" t="n">
        <x:v>181.891435553</x:v>
      </x:c>
      <x:c r="K153" s="31" t="n">
        <x:v>0</x:v>
      </x:c>
      <x:c r="L153" s="31" t="n">
        <x:v>181.891435553</x:v>
      </x:c>
      <x:c r="M153" s="31" t="n">
        <x:v>0</x:v>
      </x:c>
      <x:c r="N153" s="24" t="str">
        <x:v>ruvettus pretiosus</x:v>
      </x:c>
      <x:c r="O153" s="32" t="n">
        <x:v>4.18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Ruvettus pretiosus</x:v>
      </x:c>
      <x:c r="T153" s="32" t="n">
        <x:f>IF(O153="","",(1/'Metadata'!$B$5)^(O153-1))</x:f>
        <x:v>1513.5612484362073</x:v>
      </x:c>
      <x:c r="U153" s="31" t="n">
        <x:f>IF(T153="","",I153*T153)</x:f>
        <x:v>275303.82827545266</x:v>
      </x:c>
    </x:row>
    <x:row r="154" ht="18" customHeight="1">
      <x:c r="A154" s="24" t="str">
        <x:v>EEZ_076</x:v>
      </x:c>
      <x:c r="B154" s="24" t="str">
        <x:v>Brazil (mainland)</x:v>
      </x:c>
      <x:c r="C154" s="24" t="str">
        <x:v>EEZ</x:v>
      </x:c>
      <x:c r="D154" s="30" t="n">
        <x:v>2019</x:v>
      </x:c>
      <x:c r="E154" s="24" t="str">
        <x:v>Scomberomorus regalis</x:v>
      </x:c>
      <x:c r="F154" s="24" t="str">
        <x:v>Cero</x:v>
      </x:c>
      <x:c r="G154" s="24" t="str">
        <x:v>Large reef assoc. fish (&gt;=90 cm)</x:v>
      </x:c>
      <x:c r="H154" s="24" t="str">
        <x:v>Perch-likes</x:v>
      </x:c>
      <x:c r="I154" s="31" t="n">
        <x:v>168.0884320932</x:v>
      </x:c>
      <x:c r="J154" s="31" t="n">
        <x:v>168.0884320932</x:v>
      </x:c>
      <x:c r="K154" s="31" t="n">
        <x:v>0</x:v>
      </x:c>
      <x:c r="L154" s="31" t="n">
        <x:v>163.7597779601</x:v>
      </x:c>
      <x:c r="M154" s="31" t="n">
        <x:v>4.3286541331</x:v>
      </x:c>
      <x:c r="N154" s="24" t="str">
        <x:v>scomberomorus regalis</x:v>
      </x:c>
      <x:c r="O154" s="32" t="n">
        <x:v>4.51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Scomberomorus regalis</x:v>
      </x:c>
      <x:c r="T154" s="32" t="n">
        <x:f>IF(O154="","",(1/'Metadata'!$B$5)^(O154-1))</x:f>
        <x:v>3235.936569296281</x:v>
      </x:c>
      <x:c r="U154" s="31" t="n">
        <x:f>IF(T154="","",I154*T154)</x:f>
        <x:v>543923.5042860605</x:v>
      </x:c>
    </x:row>
    <x:row r="155" ht="18" customHeight="1">
      <x:c r="A155" s="24" t="str">
        <x:v>EEZ_076</x:v>
      </x:c>
      <x:c r="B155" s="24" t="str">
        <x:v>Brazil (mainland)</x:v>
      </x:c>
      <x:c r="C155" s="24" t="str">
        <x:v>EEZ</x:v>
      </x:c>
      <x:c r="D155" s="30" t="n">
        <x:v>2019</x:v>
      </x:c>
      <x:c r="E155" s="24" t="str">
        <x:v>Priacanthus arenatus</x:v>
      </x:c>
      <x:c r="F155" s="24" t="str">
        <x:v>Atlantic bigeye</x:v>
      </x:c>
      <x:c r="G155" s="24" t="str">
        <x:v>Medium reef assoc. fish (30 - 89 cm)</x:v>
      </x:c>
      <x:c r="H155" s="24" t="str">
        <x:v>Perch-likes</x:v>
      </x:c>
      <x:c r="I155" s="31" t="n">
        <x:v>160.6476759604</x:v>
      </x:c>
      <x:c r="J155" s="31" t="n">
        <x:v>160.6476759604</x:v>
      </x:c>
      <x:c r="K155" s="31" t="n">
        <x:v>0</x:v>
      </x:c>
      <x:c r="L155" s="31" t="n">
        <x:v>157.2488438813</x:v>
      </x:c>
      <x:c r="M155" s="31" t="n">
        <x:v>3.3988320791</x:v>
      </x:c>
      <x:c r="N155" s="24" t="str">
        <x:v>priacanthus arenatus</x:v>
      </x:c>
      <x:c r="O155" s="32" t="n">
        <x:v>4.04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Priacanthus arenatus</x:v>
      </x:c>
      <x:c r="T155" s="32" t="n">
        <x:f>IF(O155="","",(1/'Metadata'!$B$5)^(O155-1))</x:f>
        <x:v>1096.4781961431852</x:v>
      </x:c>
      <x:c r="U155" s="31" t="n">
        <x:f>IF(T155="","",I155*T155)</x:f>
        <x:v>176146.67395165432</x:v>
      </x:c>
    </x:row>
    <x:row r="156" ht="18" customHeight="1">
      <x:c r="A156" s="24" t="str">
        <x:v>EEZ_076</x:v>
      </x:c>
      <x:c r="B156" s="24" t="str">
        <x:v>Brazil (mainland)</x:v>
      </x:c>
      <x:c r="C156" s="24" t="str">
        <x:v>EEZ</x:v>
      </x:c>
      <x:c r="D156" s="30" t="n">
        <x:v>2019</x:v>
      </x:c>
      <x:c r="E156" s="24" t="str">
        <x:v>Auxis thazard</x:v>
      </x:c>
      <x:c r="F156" s="24" t="str">
        <x:v>Frigate tuna</x:v>
      </x:c>
      <x:c r="G156" s="24" t="str">
        <x:v>Medium pelagics (30 - 89 cm)</x:v>
      </x:c>
      <x:c r="H156" s="24" t="str">
        <x:v>Tuna &amp; billfishes</x:v>
      </x:c>
      <x:c r="I156" s="31" t="n">
        <x:v>156.1793410567</x:v>
      </x:c>
      <x:c r="J156" s="31" t="n">
        <x:v>156.1793410567</x:v>
      </x:c>
      <x:c r="K156" s="31" t="n">
        <x:v>0</x:v>
      </x:c>
      <x:c r="L156" s="31" t="n">
        <x:v>152.7325624347</x:v>
      </x:c>
      <x:c r="M156" s="31" t="n">
        <x:v>3.446778622</x:v>
      </x:c>
      <x:c r="N156" s="24" t="str">
        <x:v>auxis thazard</x:v>
      </x:c>
      <x:c r="O156" s="32" t="n">
        <x:v>4.37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Auxis thazard</x:v>
      </x:c>
      <x:c r="T156" s="32" t="n">
        <x:f>IF(O156="","",(1/'Metadata'!$B$5)^(O156-1))</x:f>
        <x:v>2344.228815319923</x:v>
      </x:c>
      <x:c r="U156" s="31" t="n">
        <x:f>IF(T156="","",I156*T156)</x:f>
        <x:v>366120.111662794</x:v>
      </x:c>
    </x:row>
    <x:row r="157" ht="18" customHeight="1">
      <x:c r="A157" s="24" t="str">
        <x:v>EEZ_076</x:v>
      </x:c>
      <x:c r="B157" s="24" t="str">
        <x:v>Brazil (mainland)</x:v>
      </x:c>
      <x:c r="C157" s="24" t="str">
        <x:v>EEZ</x:v>
      </x:c>
      <x:c r="D157" s="30" t="n">
        <x:v>2019</x:v>
      </x:c>
      <x:c r="E157" s="24" t="str">
        <x:v>Squatinidae</x:v>
      </x:c>
      <x:c r="F157" s="24" t="str">
        <x:v>Angel sharks</x:v>
      </x:c>
      <x:c r="G157" s="24" t="str">
        <x:v>Large sharks (&gt;=90 cm)</x:v>
      </x:c>
      <x:c r="H157" s="24" t="str">
        <x:v>Sharks &amp; rays</x:v>
      </x:c>
      <x:c r="I157" s="31" t="n">
        <x:v>152.88066063099998</x:v>
      </x:c>
      <x:c r="J157" s="31" t="n">
        <x:v>152.88066063099998</x:v>
      </x:c>
      <x:c r="K157" s="31" t="n">
        <x:v>0</x:v>
      </x:c>
      <x:c r="L157" s="31" t="n">
        <x:v>151.5578531209</x:v>
      </x:c>
      <x:c r="M157" s="31" t="n">
        <x:v>1.3228075101</x:v>
      </x:c>
      <x:c r="N157" s="24" t="str">
        <x:v>squatinidae</x:v>
      </x:c>
      <x:c r="O157" s="32" t="n">
        <x:v>4.13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Squatinidae</x:v>
      </x:c>
      <x:c r="T157" s="32" t="n">
        <x:f>IF(O157="","",(1/'Metadata'!$B$5)^(O157-1))</x:f>
        <x:v>1348.9628825916532</x:v>
      </x:c>
      <x:c r="U157" s="31" t="n">
        <x:f>IF(T157="","",I157*T157)</x:f>
        <x:v>206230.33665731</x:v>
      </x:c>
    </x:row>
    <x:row r="158" ht="18" customHeight="1">
      <x:c r="A158" s="24" t="str">
        <x:v>EEZ_076</x:v>
      </x:c>
      <x:c r="B158" s="24" t="str">
        <x:v>Brazil (mainland)</x:v>
      </x:c>
      <x:c r="C158" s="24" t="str">
        <x:v>EEZ</x:v>
      </x:c>
      <x:c r="D158" s="30" t="n">
        <x:v>2019</x:v>
      </x:c>
      <x:c r="E158" s="24" t="str">
        <x:v>Coryphaena</x:v>
      </x:c>
      <x:c r="F158" s="24" t="str">
        <x:v>Dolphinfishes</x:v>
      </x:c>
      <x:c r="G158" s="24" t="str">
        <x:v>Large pelagics (&gt;=90 cm)</x:v>
      </x:c>
      <x:c r="H158" s="24" t="str">
        <x:v>Perch-likes</x:v>
      </x:c>
      <x:c r="I158" s="31" t="n">
        <x:v>132.5780664359</x:v>
      </x:c>
      <x:c r="J158" s="31" t="n">
        <x:v>132.5780664359</x:v>
      </x:c>
      <x:c r="K158" s="31" t="n">
        <x:v>0</x:v>
      </x:c>
      <x:c r="L158" s="31" t="n">
        <x:v>8.055456396</x:v>
      </x:c>
      <x:c r="M158" s="31" t="n">
        <x:v>124.52261003989999</x:v>
      </x:c>
      <x:c r="N158" s="24" t="str">
        <x:v>coryphaena</x:v>
      </x:c>
      <x:c r="O158" s="32" t="n">
        <x:v>4.49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Coryphaena</x:v>
      </x:c>
      <x:c r="T158" s="32" t="n">
        <x:f>IF(O158="","",(1/'Metadata'!$B$5)^(O158-1))</x:f>
        <x:v>3090.295432513592</x:v>
      </x:c>
      <x:c r="U158" s="31" t="n">
        <x:f>IF(T158="","",I158*T158)</x:f>
        <x:v>409705.39315834537</x:v>
      </x:c>
    </x:row>
    <x:row r="159" ht="18" customHeight="1">
      <x:c r="A159" s="24" t="str">
        <x:v>EEZ_076</x:v>
      </x:c>
      <x:c r="B159" s="24" t="str">
        <x:v>Brazil (mainland)</x:v>
      </x:c>
      <x:c r="C159" s="24" t="str">
        <x:v>EEZ</x:v>
      </x:c>
      <x:c r="D159" s="30" t="n">
        <x:v>2019</x:v>
      </x:c>
      <x:c r="E159" s="24" t="str">
        <x:v>Menticirrhus americanus</x:v>
      </x:c>
      <x:c r="F159" s="24" t="str">
        <x:v>Southern kingcroaker</x:v>
      </x:c>
      <x:c r="G159" s="24" t="str">
        <x:v>Medium demersals (30 - 89 cm)</x:v>
      </x:c>
      <x:c r="H159" s="24" t="str">
        <x:v>Perch-likes</x:v>
      </x:c>
      <x:c r="I159" s="31" t="n">
        <x:v>130.0129167078</x:v>
      </x:c>
      <x:c r="J159" s="31" t="n">
        <x:v>130.0129167078</x:v>
      </x:c>
      <x:c r="K159" s="31" t="n">
        <x:v>0</x:v>
      </x:c>
      <x:c r="L159" s="31" t="n">
        <x:v>126.38900445290001</x:v>
      </x:c>
      <x:c r="M159" s="31" t="n">
        <x:v>3.6239122549</x:v>
      </x:c>
      <x:c r="N159" s="24" t="str">
        <x:v>menticirrhus americanus</x:v>
      </x:c>
      <x:c r="O159" s="32" t="n">
        <x:v>3.5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Menticirrhus americanus</x:v>
      </x:c>
      <x:c r="T159" s="32" t="n">
        <x:f>IF(O159="","",(1/'Metadata'!$B$5)^(O159-1))</x:f>
        <x:v>316.22776601683796</x:v>
      </x:c>
      <x:c r="U159" s="31" t="n">
        <x:f>IF(T159="","",I159*T159)</x:f>
        <x:v>41113.69420384082</x:v>
      </x:c>
    </x:row>
    <x:row r="160" ht="18" customHeight="1">
      <x:c r="A160" s="24" t="str">
        <x:v>EEZ_076</x:v>
      </x:c>
      <x:c r="B160" s="24" t="str">
        <x:v>Brazil (mainland)</x:v>
      </x:c>
      <x:c r="C160" s="24" t="str">
        <x:v>EEZ</x:v>
      </x:c>
      <x:c r="D160" s="30" t="n">
        <x:v>2019</x:v>
      </x:c>
      <x:c r="E160" s="24" t="str">
        <x:v>Anguilliformes</x:v>
      </x:c>
      <x:c r="F160" s="24" t="str">
        <x:v>Eels, morays</x:v>
      </x:c>
      <x:c r="G160" s="24" t="str">
        <x:v>Large demersals (&gt;=90 cm)</x:v>
      </x:c>
      <x:c r="H160" s="24" t="str">
        <x:v>Other fishes &amp; inverts</x:v>
      </x:c>
      <x:c r="I160" s="31" t="n">
        <x:v>128.3220396158</x:v>
      </x:c>
      <x:c r="J160" s="31" t="n">
        <x:v>128.3220396158</x:v>
      </x:c>
      <x:c r="K160" s="31" t="n">
        <x:v>0</x:v>
      </x:c>
      <x:c r="L160" s="31" t="n">
        <x:v>8.573742245</x:v>
      </x:c>
      <x:c r="M160" s="31" t="n">
        <x:v>119.7482973708</x:v>
      </x:c>
      <x:c r="N160" s="24" t="str">
        <x:v>anguilliformes</x:v>
      </x:c>
      <x:c r="O160" s="32" t="n">
        <x:v>3.89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Anguilliformes</x:v>
      </x:c>
      <x:c r="T160" s="32" t="n">
        <x:f>IF(O160="","",(1/'Metadata'!$B$5)^(O160-1))</x:f>
        <x:v>776.247116628692</x:v>
      </x:c>
      <x:c r="U160" s="31" t="n">
        <x:f>IF(T160="","",I160*T160)</x:f>
        <x:v>99609.61325167754</x:v>
      </x:c>
    </x:row>
    <x:row r="161" ht="18" customHeight="1">
      <x:c r="A161" s="24" t="str">
        <x:v>EEZ_076</x:v>
      </x:c>
      <x:c r="B161" s="24" t="str">
        <x:v>Brazil (mainland)</x:v>
      </x:c>
      <x:c r="C161" s="24" t="str">
        <x:v>EEZ</x:v>
      </x:c>
      <x:c r="D161" s="30" t="n">
        <x:v>2019</x:v>
      </x:c>
      <x:c r="E161" s="24" t="str">
        <x:v>Marine pelagic fishes not identified</x:v>
      </x:c>
      <x:c r="F161" s="24" t="str">
        <x:v>Pelagic fishes</x:v>
      </x:c>
      <x:c r="G161" s="24" t="str">
        <x:v>Medium pelagics (30 - 89 cm)</x:v>
      </x:c>
      <x:c r="H161" s="24" t="str">
        <x:v>Other fishes &amp; inverts</x:v>
      </x:c>
      <x:c r="I161" s="31" t="n">
        <x:v>127.293944635</x:v>
      </x:c>
      <x:c r="J161" s="31" t="n">
        <x:v>127.293944635</x:v>
      </x:c>
      <x:c r="K161" s="31" t="n">
        <x:v>0</x:v>
      </x:c>
      <x:c r="L161" s="31" t="n">
        <x:v>127.293944635</x:v>
      </x:c>
      <x:c r="M161" s="31" t="n">
        <x:v>0</x:v>
      </x:c>
      <x:c r="N161" s="24" t="str">
        <x:v>marine pelagic fishes not identified</x:v>
      </x:c>
      <x:c r="O161" s="32" t="n">
        <x:v>3.35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Marine pelagic fishes not identified</x:v>
      </x:c>
      <x:c r="T161" s="32" t="n">
        <x:f>IF(O161="","",(1/'Metadata'!$B$5)^(O161-1))</x:f>
        <x:v>223.872113856834</x:v>
      </x:c>
      <x:c r="U161" s="31" t="n">
        <x:f>IF(T161="","",I161*T161)</x:f>
        <x:v>28497.564466612246</x:v>
      </x:c>
    </x:row>
    <x:row r="162" ht="18" customHeight="1">
      <x:c r="A162" s="24" t="str">
        <x:v>EEZ_076</x:v>
      </x:c>
      <x:c r="B162" s="24" t="str">
        <x:v>Brazil (mainland)</x:v>
      </x:c>
      <x:c r="C162" s="24" t="str">
        <x:v>EEZ</x:v>
      </x:c>
      <x:c r="D162" s="30" t="n">
        <x:v>2019</x:v>
      </x:c>
      <x:c r="E162" s="24" t="str">
        <x:v>Scorpaeniformes</x:v>
      </x:c>
      <x:c r="F162" s="24" t="str">
        <x:v>Scorpionfishes, flatheads</x:v>
      </x:c>
      <x:c r="G162" s="24" t="str">
        <x:v>Medium demersals (30 - 89 cm)</x:v>
      </x:c>
      <x:c r="H162" s="24" t="str">
        <x:v>Scorpionfishes</x:v>
      </x:c>
      <x:c r="I162" s="31" t="n">
        <x:v>124.99305446509999</x:v>
      </x:c>
      <x:c r="J162" s="31" t="n">
        <x:v>124.99305446509999</x:v>
      </x:c>
      <x:c r="K162" s="31" t="n">
        <x:v>0</x:v>
      </x:c>
      <x:c r="L162" s="31" t="n">
        <x:v>121.75578709509999</x:v>
      </x:c>
      <x:c r="M162" s="31" t="n">
        <x:v>3.2372673699999996</x:v>
      </x:c>
      <x:c r="N162" s="24" t="str">
        <x:v>scorpaeniformes</x:v>
      </x:c>
      <x:c r="O162" s="32" t="n">
        <x:v>3.78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Scorpaeniformes</x:v>
      </x:c>
      <x:c r="T162" s="32" t="n">
        <x:f>IF(O162="","",(1/'Metadata'!$B$5)^(O162-1))</x:f>
        <x:v>602.5595860743575</x:v>
      </x:c>
      <x:c r="U162" s="31" t="n">
        <x:f>IF(T162="","",I162*T162)</x:f>
        <x:v>75315.76316066028</x:v>
      </x:c>
    </x:row>
    <x:row r="163" ht="18" customHeight="1">
      <x:c r="A163" s="24" t="str">
        <x:v>EEZ_076</x:v>
      </x:c>
      <x:c r="B163" s="24" t="str">
        <x:v>Brazil (mainland)</x:v>
      </x:c>
      <x:c r="C163" s="24" t="str">
        <x:v>EEZ</x:v>
      </x:c>
      <x:c r="D163" s="30" t="n">
        <x:v>2019</x:v>
      </x:c>
      <x:c r="E163" s="24" t="str">
        <x:v>Labridae</x:v>
      </x:c>
      <x:c r="F163" s="24" t="str">
        <x:v>Wrasses, gropers, tuskfishes</x:v>
      </x:c>
      <x:c r="G163" s="24" t="str">
        <x:v>Medium reef assoc. fish (30 - 89 cm)</x:v>
      </x:c>
      <x:c r="H163" s="24" t="str">
        <x:v>Perch-likes</x:v>
      </x:c>
      <x:c r="I163" s="31" t="n">
        <x:v>118.37496477399999</x:v>
      </x:c>
      <x:c r="J163" s="31" t="n">
        <x:v>118.37496477399999</x:v>
      </x:c>
      <x:c r="K163" s="31" t="n">
        <x:v>0</x:v>
      </x:c>
      <x:c r="L163" s="31" t="n">
        <x:v>117.0760161338</x:v>
      </x:c>
      <x:c r="M163" s="31" t="n">
        <x:v>1.2989486402</x:v>
      </x:c>
      <x:c r="N163" s="24" t="str">
        <x:v>labridae</x:v>
      </x:c>
      <x:c r="O163" s="32" t="n">
        <x:v>3.46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Labridae</x:v>
      </x:c>
      <x:c r="T163" s="32" t="n">
        <x:f>IF(O163="","",(1/'Metadata'!$B$5)^(O163-1))</x:f>
        <x:v>288.40315031266056</x:v>
      </x:c>
      <x:c r="U163" s="31" t="n">
        <x:f>IF(T163="","",I163*T163)</x:f>
        <x:v>34139.712758971815</x:v>
      </x:c>
    </x:row>
    <x:row r="164" ht="18" customHeight="1">
      <x:c r="A164" s="24" t="str">
        <x:v>EEZ_076</x:v>
      </x:c>
      <x:c r="B164" s="24" t="str">
        <x:v>Brazil (mainland)</x:v>
      </x:c>
      <x:c r="C164" s="24" t="str">
        <x:v>EEZ</x:v>
      </x:c>
      <x:c r="D164" s="30" t="n">
        <x:v>2019</x:v>
      </x:c>
      <x:c r="E164" s="24" t="str">
        <x:v>Kajikia albida</x:v>
      </x:c>
      <x:c r="F164" s="24" t="str">
        <x:v>Atlantic white marlin</x:v>
      </x:c>
      <x:c r="G164" s="24" t="str">
        <x:v>Large pelagics (&gt;=90 cm)</x:v>
      </x:c>
      <x:c r="H164" s="24" t="str">
        <x:v>Tuna &amp; billfishes</x:v>
      </x:c>
      <x:c r="I164" s="31" t="n">
        <x:v>118.2201109551</x:v>
      </x:c>
      <x:c r="J164" s="31" t="n">
        <x:v>118.2201109551</x:v>
      </x:c>
      <x:c r="K164" s="31" t="n">
        <x:v>0</x:v>
      </x:c>
      <x:c r="L164" s="31" t="n">
        <x:v>118.14767134510001</x:v>
      </x:c>
      <x:c r="M164" s="31" t="n">
        <x:v>0.07243961</x:v>
      </x:c>
      <x:c r="N164" s="24" t="str">
        <x:v>kajikia albida</x:v>
      </x:c>
      <x:c r="O164" s="32" t="n">
        <x:v>4.49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Kajikia albida</x:v>
      </x:c>
      <x:c r="T164" s="32" t="n">
        <x:f>IF(O164="","",(1/'Metadata'!$B$5)^(O164-1))</x:f>
        <x:v>3090.295432513592</x:v>
      </x:c>
      <x:c r="U164" s="31" t="n">
        <x:f>IF(T164="","",I164*T164)</x:f>
        <x:v>365335.0689157956</x:v>
      </x:c>
    </x:row>
    <x:row r="165" ht="18" customHeight="1">
      <x:c r="A165" s="24" t="str">
        <x:v>EEZ_076</x:v>
      </x:c>
      <x:c r="B165" s="24" t="str">
        <x:v>Brazil (mainland)</x:v>
      </x:c>
      <x:c r="C165" s="24" t="str">
        <x:v>EEZ</x:v>
      </x:c>
      <x:c r="D165" s="30" t="n">
        <x:v>2019</x:v>
      </x:c>
      <x:c r="E165" s="24" t="str">
        <x:v>Pogonias courbina</x:v>
      </x:c>
      <x:c r="F165" s="24" t="str">
        <x:v>Black drum</x:v>
      </x:c>
      <x:c r="G165" s="24" t="str">
        <x:v>Large demersals (&gt;=90 cm)</x:v>
      </x:c>
      <x:c r="H165" s="24" t="str">
        <x:v>Perch-likes</x:v>
      </x:c>
      <x:c r="I165" s="31" t="n">
        <x:v>116.7465455995</x:v>
      </x:c>
      <x:c r="J165" s="31" t="n">
        <x:v>116.7465455995</x:v>
      </x:c>
      <x:c r="K165" s="31" t="n">
        <x:v>0</x:v>
      </x:c>
      <x:c r="L165" s="31" t="n">
        <x:v>9.3857360141</x:v>
      </x:c>
      <x:c r="M165" s="31" t="n">
        <x:v>107.3608095854</x:v>
      </x:c>
      <x:c r="N165" s="24" t="str">
        <x:v>pogonias courbina</x:v>
      </x:c>
      <x:c r="O165" s="32" t="n">
        <x:v>3.89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Pogonias courbina</x:v>
      </x:c>
      <x:c r="T165" s="32" t="n">
        <x:f>IF(O165="","",(1/'Metadata'!$B$5)^(O165-1))</x:f>
        <x:v>776.247116628692</x:v>
      </x:c>
      <x:c r="U165" s="31" t="n">
        <x:f>IF(T165="","",I165*T165)</x:f>
        <x:v>90624.16939797197</x:v>
      </x:c>
    </x:row>
    <x:row r="166" ht="18" customHeight="1">
      <x:c r="A166" s="24" t="str">
        <x:v>EEZ_076</x:v>
      </x:c>
      <x:c r="B166" s="24" t="str">
        <x:v>Brazil (mainland)</x:v>
      </x:c>
      <x:c r="C166" s="24" t="str">
        <x:v>EEZ</x:v>
      </x:c>
      <x:c r="D166" s="30" t="n">
        <x:v>2019</x:v>
      </x:c>
      <x:c r="E166" s="24" t="str">
        <x:v>Conger orbignianus</x:v>
      </x:c>
      <x:c r="F166" s="24" t="str">
        <x:v>Argentine conger</x:v>
      </x:c>
      <x:c r="G166" s="24" t="str">
        <x:v>Large demersals (&gt;=90 cm)</x:v>
      </x:c>
      <x:c r="H166" s="24" t="str">
        <x:v>Other fishes &amp; inverts</x:v>
      </x:c>
      <x:c r="I166" s="31" t="n">
        <x:v>116.7123545134</x:v>
      </x:c>
      <x:c r="J166" s="31" t="n">
        <x:v>116.7123545134</x:v>
      </x:c>
      <x:c r="K166" s="31" t="n">
        <x:v>0</x:v>
      </x:c>
      <x:c r="L166" s="31" t="n">
        <x:v>115.0000000005</x:v>
      </x:c>
      <x:c r="M166" s="31" t="n">
        <x:v>1.7123545129</x:v>
      </x:c>
      <x:c r="N166" s="24" t="str">
        <x:v>conger orbignianus</x:v>
      </x:c>
      <x:c r="O166" s="32" t="n">
        <x:v>3.72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Conger orbignianus</x:v>
      </x:c>
      <x:c r="T166" s="32" t="n">
        <x:f>IF(O166="","",(1/'Metadata'!$B$5)^(O166-1))</x:f>
        <x:v>524.8074602497728</x:v>
      </x:c>
      <x:c r="U166" s="31" t="n">
        <x:f>IF(T166="","",I166*T166)</x:f>
        <x:v>61251.514351948565</x:v>
      </x:c>
    </x:row>
    <x:row r="167" ht="18" customHeight="1">
      <x:c r="A167" s="24" t="str">
        <x:v>EEZ_076</x:v>
      </x:c>
      <x:c r="B167" s="24" t="str">
        <x:v>Brazil (mainland)</x:v>
      </x:c>
      <x:c r="C167" s="24" t="str">
        <x:v>EEZ</x:v>
      </x:c>
      <x:c r="D167" s="30" t="n">
        <x:v>2019</x:v>
      </x:c>
      <x:c r="E167" s="24" t="str">
        <x:v>Gymnothorax</x:v>
      </x:c>
      <x:c r="F167" s="24" t="str">
        <x:v>Morays</x:v>
      </x:c>
      <x:c r="G167" s="24" t="str">
        <x:v>Large reef assoc. fish (&gt;=90 cm)</x:v>
      </x:c>
      <x:c r="H167" s="24" t="str">
        <x:v>Other fishes &amp; inverts</x:v>
      </x:c>
      <x:c r="I167" s="31" t="n">
        <x:v>113.54429029090001</x:v>
      </x:c>
      <x:c r="J167" s="31" t="n">
        <x:v>113.54429029090001</x:v>
      </x:c>
      <x:c r="K167" s="31" t="n">
        <x:v>0</x:v>
      </x:c>
      <x:c r="L167" s="31" t="n">
        <x:v>31.299600607000002</x:v>
      </x:c>
      <x:c r="M167" s="31" t="n">
        <x:v>82.2446896839</x:v>
      </x:c>
      <x:c r="N167" s="24" t="str">
        <x:v>gymnothorax</x:v>
      </x:c>
      <x:c r="O167" s="32" t="n">
        <x:v>4.22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Gymnothorax</x:v>
      </x:c>
      <x:c r="T167" s="32" t="n">
        <x:f>IF(O167="","",(1/'Metadata'!$B$5)^(O167-1))</x:f>
        <x:v>1659.5869074375596</x:v>
      </x:c>
      <x:c r="U167" s="31" t="n">
        <x:f>IF(T167="","",I167*T167)</x:f>
        <x:v>188436.61758106726</x:v>
      </x:c>
    </x:row>
    <x:row r="168" ht="18" customHeight="1">
      <x:c r="A168" s="24" t="str">
        <x:v>EEZ_076</x:v>
      </x:c>
      <x:c r="B168" s="24" t="str">
        <x:v>Brazil (mainland)</x:v>
      </x:c>
      <x:c r="C168" s="24" t="str">
        <x:v>EEZ</x:v>
      </x:c>
      <x:c r="D168" s="30" t="n">
        <x:v>2019</x:v>
      </x:c>
      <x:c r="E168" s="24" t="str">
        <x:v>Portunidae</x:v>
      </x:c>
      <x:c r="F168" s="24" t="str">
        <x:v>Swimming crabs</x:v>
      </x:c>
      <x:c r="G168" s="24" t="str">
        <x:v>Lobsters, crabs</x:v>
      </x:c>
      <x:c r="H168" s="24" t="str">
        <x:v>Crustaceans</x:v>
      </x:c>
      <x:c r="I168" s="31" t="n">
        <x:v>113.21374916999999</x:v>
      </x:c>
      <x:c r="J168" s="31" t="n">
        <x:v>113.21374916999999</x:v>
      </x:c>
      <x:c r="K168" s="31" t="n">
        <x:v>0</x:v>
      </x:c>
      <x:c r="L168" s="31" t="n">
        <x:v>113.21374916999999</x:v>
      </x:c>
      <x:c r="M168" s="31" t="n">
        <x:v>0</x:v>
      </x:c>
      <x:c r="N168" s="24" t="str">
        <x:v>portunidae</x:v>
      </x:c>
      <x:c r="O168" s="32" t="n">
        <x:v>3.56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Portunidae</x:v>
      </x:c>
      <x:c r="T168" s="32" t="n">
        <x:f>IF(O168="","",(1/'Metadata'!$B$5)^(O168-1))</x:f>
        <x:v>363.0780547701014</x:v>
      </x:c>
      <x:c r="U168" s="31" t="n">
        <x:f>IF(T168="","",I168*T168)</x:f>
        <x:v>41105.427821873775</x:v>
      </x:c>
    </x:row>
    <x:row r="169" ht="18" customHeight="1">
      <x:c r="A169" s="24" t="str">
        <x:v>EEZ_076</x:v>
      </x:c>
      <x:c r="B169" s="24" t="str">
        <x:v>Brazil (mainland)</x:v>
      </x:c>
      <x:c r="C169" s="24" t="str">
        <x:v>EEZ</x:v>
      </x:c>
      <x:c r="D169" s="30" t="n">
        <x:v>2019</x:v>
      </x:c>
      <x:c r="E169" s="24" t="str">
        <x:v>Nemadactylus bergi</x:v>
      </x:c>
      <x:c r="F169" s="24" t="str">
        <x:v>Castaneta</x:v>
      </x:c>
      <x:c r="G169" s="24" t="str">
        <x:v>Medium demersals (30 - 89 cm)</x:v>
      </x:c>
      <x:c r="H169" s="24" t="str">
        <x:v>Perch-likes</x:v>
      </x:c>
      <x:c r="I169" s="31" t="n">
        <x:v>110.5062237706</x:v>
      </x:c>
      <x:c r="J169" s="31" t="n">
        <x:v>110.5062237706</x:v>
      </x:c>
      <x:c r="K169" s="31" t="n">
        <x:v>0</x:v>
      </x:c>
      <x:c r="L169" s="31" t="n">
        <x:v>107.9974169878</x:v>
      </x:c>
      <x:c r="M169" s="31" t="n">
        <x:v>2.5088067828</x:v>
      </x:c>
      <x:c r="N169" s="24" t="str">
        <x:v>nemadactylus bergi</x:v>
      </x:c>
      <x:c r="O169" s="32" t="n">
        <x:v>3.24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Nemadactylus bergi</x:v>
      </x:c>
      <x:c r="T169" s="32" t="n">
        <x:f>IF(O169="","",(1/'Metadata'!$B$5)^(O169-1))</x:f>
        <x:v>173.78008287493762</x:v>
      </x:c>
      <x:c r="U169" s="31" t="n">
        <x:f>IF(T169="","",I169*T169)</x:f>
        <x:v>19203.78072505127</x:v>
      </x:c>
    </x:row>
    <x:row r="170" ht="18" customHeight="1">
      <x:c r="A170" s="24" t="str">
        <x:v>EEZ_076</x:v>
      </x:c>
      <x:c r="B170" s="24" t="str">
        <x:v>Brazil (mainland)</x:v>
      </x:c>
      <x:c r="C170" s="24" t="str">
        <x:v>EEZ</x:v>
      </x:c>
      <x:c r="D170" s="30" t="n">
        <x:v>2019</x:v>
      </x:c>
      <x:c r="E170" s="24" t="str">
        <x:v>Aetobatus narinari</x:v>
      </x:c>
      <x:c r="F170" s="24" t="str">
        <x:v>Spotted eagle ray</x:v>
      </x:c>
      <x:c r="G170" s="24" t="str">
        <x:v>Large rays (&gt;=90 cm)</x:v>
      </x:c>
      <x:c r="H170" s="24" t="str">
        <x:v>Sharks &amp; rays</x:v>
      </x:c>
      <x:c r="I170" s="31" t="n">
        <x:v>109.209392115</x:v>
      </x:c>
      <x:c r="J170" s="31" t="n">
        <x:v>109.209392115</x:v>
      </x:c>
      <x:c r="K170" s="31" t="n">
        <x:v>0</x:v>
      </x:c>
      <x:c r="L170" s="31" t="n">
        <x:v>52.9091113378</x:v>
      </x:c>
      <x:c r="M170" s="31" t="n">
        <x:v>56.3002807772</x:v>
      </x:c>
      <x:c r="N170" s="24" t="str">
        <x:v>aetobatus narinari</x:v>
      </x:c>
      <x:c r="O170" s="32" t="n">
        <x:v>4.17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Aetobatus narinari</x:v>
      </x:c>
      <x:c r="T170" s="32" t="n">
        <x:f>IF(O170="","",(1/'Metadata'!$B$5)^(O170-1))</x:f>
        <x:v>1479.1083881682073</x:v>
      </x:c>
      <x:c r="U170" s="31" t="n">
        <x:f>IF(T170="","",I170*T170)</x:f>
        <x:v>161532.52794404738</x:v>
      </x:c>
    </x:row>
    <x:row r="171" ht="18" customHeight="1">
      <x:c r="A171" s="24" t="str">
        <x:v>EEZ_076</x:v>
      </x:c>
      <x:c r="B171" s="24" t="str">
        <x:v>Brazil (mainland)</x:v>
      </x:c>
      <x:c r="C171" s="24" t="str">
        <x:v>EEZ</x:v>
      </x:c>
      <x:c r="D171" s="30" t="n">
        <x:v>2019</x:v>
      </x:c>
      <x:c r="E171" s="24" t="str">
        <x:v>Decapterus</x:v>
      </x:c>
      <x:c r="F171" s="24" t="str">
        <x:v>Scads</x:v>
      </x:c>
      <x:c r="G171" s="24" t="str">
        <x:v>Medium pelagics (30 - 89 cm)</x:v>
      </x:c>
      <x:c r="H171" s="24" t="str">
        <x:v>Perch-likes</x:v>
      </x:c>
      <x:c r="I171" s="31" t="n">
        <x:v>109.030048869</x:v>
      </x:c>
      <x:c r="J171" s="31" t="n">
        <x:v>109.030048869</x:v>
      </x:c>
      <x:c r="K171" s="31" t="n">
        <x:v>0</x:v>
      </x:c>
      <x:c r="L171" s="31" t="n">
        <x:v>105.55038723</x:v>
      </x:c>
      <x:c r="M171" s="31" t="n">
        <x:v>3.479661639</x:v>
      </x:c>
      <x:c r="N171" s="24" t="str">
        <x:v>decapterus</x:v>
      </x:c>
      <x:c r="O171" s="32" t="n">
        <x:v>3.63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Decapterus</x:v>
      </x:c>
      <x:c r="T171" s="32" t="n">
        <x:f>IF(O171="","",(1/'Metadata'!$B$5)^(O171-1))</x:f>
        <x:v>426.57951880159254</x:v>
      </x:c>
      <x:c r="U171" s="31" t="n">
        <x:f>IF(T171="","",I171*T171)</x:f>
        <x:v>46509.98578145214</x:v>
      </x:c>
    </x:row>
    <x:row r="172" ht="18" customHeight="1">
      <x:c r="A172" s="24" t="str">
        <x:v>EEZ_076</x:v>
      </x:c>
      <x:c r="B172" s="24" t="str">
        <x:v>Brazil (mainland)</x:v>
      </x:c>
      <x:c r="C172" s="24" t="str">
        <x:v>EEZ</x:v>
      </x:c>
      <x:c r="D172" s="30" t="n">
        <x:v>2019</x:v>
      </x:c>
      <x:c r="E172" s="24" t="str">
        <x:v>Mugilidae</x:v>
      </x:c>
      <x:c r="F172" s="24" t="str">
        <x:v>Mullets, grey mullets</x:v>
      </x:c>
      <x:c r="G172" s="24" t="str">
        <x:v>Medium reef assoc. fish (30 - 89 cm)</x:v>
      </x:c>
      <x:c r="H172" s="24" t="str">
        <x:v>Perch-likes</x:v>
      </x:c>
      <x:c r="I172" s="31" t="n">
        <x:v>107.7133758287</x:v>
      </x:c>
      <x:c r="J172" s="31" t="n">
        <x:v>107.7133758287</x:v>
      </x:c>
      <x:c r="K172" s="31" t="n">
        <x:v>0</x:v>
      </x:c>
      <x:c r="L172" s="31" t="n">
        <x:v>0</x:v>
      </x:c>
      <x:c r="M172" s="31" t="n">
        <x:v>107.7133758287</x:v>
      </x:c>
      <x:c r="N172" s="24" t="str">
        <x:v>mugilidae</x:v>
      </x:c>
      <x:c r="O172" s="32" t="n">
        <x:v>2.53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Mugilidae</x:v>
      </x:c>
      <x:c r="T172" s="32" t="n">
        <x:f>IF(O172="","",(1/'Metadata'!$B$5)^(O172-1))</x:f>
        <x:v>33.88441561392024</x:v>
      </x:c>
      <x:c r="U172" s="31" t="n">
        <x:f>IF(T172="","",I172*T172)</x:f>
        <x:v>3649.804793758061</x:v>
      </x:c>
    </x:row>
    <x:row r="173" ht="18" customHeight="1">
      <x:c r="A173" s="24" t="str">
        <x:v>EEZ_076</x:v>
      </x:c>
      <x:c r="B173" s="24" t="str">
        <x:v>Brazil (mainland)</x:v>
      </x:c>
      <x:c r="C173" s="24" t="str">
        <x:v>EEZ</x:v>
      </x:c>
      <x:c r="D173" s="30" t="n">
        <x:v>2019</x:v>
      </x:c>
      <x:c r="E173" s="24" t="str">
        <x:v>Sparidae</x:v>
      </x:c>
      <x:c r="F173" s="24" t="str">
        <x:v>Porgies, seabreams</x:v>
      </x:c>
      <x:c r="G173" s="24" t="str">
        <x:v>Medium benthopelagics (30 - 89 cm)</x:v>
      </x:c>
      <x:c r="H173" s="24" t="str">
        <x:v>Perch-likes</x:v>
      </x:c>
      <x:c r="I173" s="31" t="n">
        <x:v>107.3697963682</x:v>
      </x:c>
      <x:c r="J173" s="31" t="n">
        <x:v>107.3697963682</x:v>
      </x:c>
      <x:c r="K173" s="31" t="n">
        <x:v>0</x:v>
      </x:c>
      <x:c r="L173" s="31" t="n">
        <x:v>107.23007124019999</x:v>
      </x:c>
      <x:c r="M173" s="31" t="n">
        <x:v>0.139725128</x:v>
      </x:c>
      <x:c r="N173" s="24" t="str">
        <x:v>sparidae</x:v>
      </x:c>
      <x:c r="O173" s="32" t="n">
        <x:v>3.31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Sparidae</x:v>
      </x:c>
      <x:c r="T173" s="32" t="n">
        <x:f>IF(O173="","",(1/'Metadata'!$B$5)^(O173-1))</x:f>
        <x:v>204.17379446695296</x:v>
      </x:c>
      <x:c r="U173" s="31" t="n">
        <x:f>IF(T173="","",I173*T173)</x:f>
        <x:v>21922.098735639458</x:v>
      </x:c>
    </x:row>
    <x:row r="174" ht="18" customHeight="1">
      <x:c r="A174" s="24" t="str">
        <x:v>EEZ_076</x:v>
      </x:c>
      <x:c r="B174" s="24" t="str">
        <x:v>Brazil (mainland)</x:v>
      </x:c>
      <x:c r="C174" s="24" t="str">
        <x:v>EEZ</x:v>
      </x:c>
      <x:c r="D174" s="30" t="n">
        <x:v>2019</x:v>
      </x:c>
      <x:c r="E174" s="24" t="str">
        <x:v>Pristidae</x:v>
      </x:c>
      <x:c r="F174" s="24" t="str">
        <x:v>Sawfishes</x:v>
      </x:c>
      <x:c r="G174" s="24" t="str">
        <x:v>Large rays (&gt;=90 cm)</x:v>
      </x:c>
      <x:c r="H174" s="24" t="str">
        <x:v>Sharks &amp; rays</x:v>
      </x:c>
      <x:c r="I174" s="31" t="n">
        <x:v>105.024199572</x:v>
      </x:c>
      <x:c r="J174" s="31" t="n">
        <x:v>105.024199572</x:v>
      </x:c>
      <x:c r="K174" s="31" t="n">
        <x:v>0</x:v>
      </x:c>
      <x:c r="L174" s="31" t="n">
        <x:v>101.884776</x:v>
      </x:c>
      <x:c r="M174" s="31" t="n">
        <x:v>3.139423572</x:v>
      </x:c>
      <x:c r="N174" s="24" t="str">
        <x:v>pristidae</x:v>
      </x:c>
      <x:c r="O174" s="32" t="n">
        <x:v>4.24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Pristidae</x:v>
      </x:c>
      <x:c r="T174" s="32" t="n">
        <x:f>IF(O174="","",(1/'Metadata'!$B$5)^(O174-1))</x:f>
        <x:v>1737.8008287493763</x:v>
      </x:c>
      <x:c r="U174" s="31" t="n">
        <x:f>IF(T174="","",I174*T174)</x:f>
        <x:v>182511.14105496148</x:v>
      </x:c>
    </x:row>
    <x:row r="175" ht="18" customHeight="1">
      <x:c r="A175" s="24" t="str">
        <x:v>EEZ_076</x:v>
      </x:c>
      <x:c r="B175" s="24" t="str">
        <x:v>Brazil (mainland)</x:v>
      </x:c>
      <x:c r="C175" s="24" t="str">
        <x:v>EEZ</x:v>
      </x:c>
      <x:c r="D175" s="30" t="n">
        <x:v>2019</x:v>
      </x:c>
      <x:c r="E175" s="24" t="str">
        <x:v>Harengula</x:v>
      </x:c>
      <x:c r="F175" s="24" t="str">
        <x:v>False herrings</x:v>
      </x:c>
      <x:c r="G175" s="24" t="str">
        <x:v>Small pelagics (&lt;30 cm)</x:v>
      </x:c>
      <x:c r="H175" s="24" t="str">
        <x:v>Herring-likes</x:v>
      </x:c>
      <x:c r="I175" s="31" t="n">
        <x:v>98.5799072051</x:v>
      </x:c>
      <x:c r="J175" s="31" t="n">
        <x:v>98.5799072051</x:v>
      </x:c>
      <x:c r="K175" s="31" t="n">
        <x:v>0</x:v>
      </x:c>
      <x:c r="L175" s="31" t="n">
        <x:v>95.21490182</x:v>
      </x:c>
      <x:c r="M175" s="31" t="n">
        <x:v>3.3650053851</x:v>
      </x:c>
      <x:c r="N175" s="24" t="str">
        <x:v>harengula</x:v>
      </x:c>
      <x:c r="O175" s="32" t="n">
        <x:v>3.37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Harengula</x:v>
      </x:c>
      <x:c r="T175" s="32" t="n">
        <x:f>IF(O175="","",(1/'Metadata'!$B$5)^(O175-1))</x:f>
        <x:v>234.42288153199226</x:v>
      </x:c>
      <x:c r="U175" s="31" t="n">
        <x:f>IF(T175="","",I175*T175)</x:f>
        <x:v>23109.385908175947</x:v>
      </x:c>
    </x:row>
    <x:row r="176" ht="18" customHeight="1">
      <x:c r="A176" s="24" t="str">
        <x:v>EEZ_076</x:v>
      </x:c>
      <x:c r="B176" s="24" t="str">
        <x:v>Brazil (mainland)</x:v>
      </x:c>
      <x:c r="C176" s="24" t="str">
        <x:v>EEZ</x:v>
      </x:c>
      <x:c r="D176" s="30" t="n">
        <x:v>2019</x:v>
      </x:c>
      <x:c r="E176" s="24" t="str">
        <x:v>Acanthocybium solandri</x:v>
      </x:c>
      <x:c r="F176" s="24" t="str">
        <x:v>Wahoo</x:v>
      </x:c>
      <x:c r="G176" s="24" t="str">
        <x:v>Large pelagics (&gt;=90 cm)</x:v>
      </x:c>
      <x:c r="H176" s="24" t="str">
        <x:v>Perch-likes</x:v>
      </x:c>
      <x:c r="I176" s="31" t="n">
        <x:v>94.5856897956</x:v>
      </x:c>
      <x:c r="J176" s="31" t="n">
        <x:v>94.5856897956</x:v>
      </x:c>
      <x:c r="K176" s="31" t="n">
        <x:v>0</x:v>
      </x:c>
      <x:c r="L176" s="31" t="n">
        <x:v>36.8248350346</x:v>
      </x:c>
      <x:c r="M176" s="31" t="n">
        <x:v>57.760854761</x:v>
      </x:c>
      <x:c r="N176" s="24" t="str">
        <x:v>acanthocybium solandri</x:v>
      </x:c>
      <x:c r="O176" s="32" t="n">
        <x:v>4.26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Acanthocybium solandri</x:v>
      </x:c>
      <x:c r="T176" s="32" t="n">
        <x:f>IF(O176="","",(1/'Metadata'!$B$5)^(O176-1))</x:f>
        <x:v>1819.7008586099826</x:v>
      </x:c>
      <x:c r="U176" s="31" t="n">
        <x:f>IF(T176="","",I176*T176)</x:f>
        <x:v>172117.6609332708</x:v>
      </x:c>
    </x:row>
    <x:row r="177" ht="18" customHeight="1">
      <x:c r="A177" s="24" t="str">
        <x:v>EEZ_076</x:v>
      </x:c>
      <x:c r="B177" s="24" t="str">
        <x:v>Brazil (mainland)</x:v>
      </x:c>
      <x:c r="C177" s="24" t="str">
        <x:v>EEZ</x:v>
      </x:c>
      <x:c r="D177" s="30" t="n">
        <x:v>2019</x:v>
      </x:c>
      <x:c r="E177" s="24" t="str">
        <x:v>Monacanthidae</x:v>
      </x:c>
      <x:c r="F177" s="24" t="str">
        <x:v>Filefishes</x:v>
      </x:c>
      <x:c r="G177" s="24" t="str">
        <x:v>Medium reef assoc. fish (30 - 89 cm)</x:v>
      </x:c>
      <x:c r="H177" s="24" t="str">
        <x:v>Other fishes &amp; inverts</x:v>
      </x:c>
      <x:c r="I177" s="31" t="n">
        <x:v>90.2437856648</x:v>
      </x:c>
      <x:c r="J177" s="31" t="n">
        <x:v>90.2437856648</x:v>
      </x:c>
      <x:c r="K177" s="31" t="n">
        <x:v>0</x:v>
      </x:c>
      <x:c r="L177" s="31" t="n">
        <x:v>90.2437856648</x:v>
      </x:c>
      <x:c r="M177" s="31" t="n">
        <x:v>0</x:v>
      </x:c>
      <x:c r="N177" s="24" t="str">
        <x:v>monacanthidae</x:v>
      </x:c>
      <x:c r="O177" s="32" t="n">
        <x:v>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Monacanthidae</x:v>
      </x:c>
      <x:c r="T177" s="32" t="n">
        <x:f>IF(O177="","",(1/'Metadata'!$B$5)^(O177-1))</x:f>
        <x:v>100</x:v>
      </x:c>
      <x:c r="U177" s="31" t="n">
        <x:f>IF(T177="","",I177*T177)</x:f>
        <x:v>9024.37856648</x:v>
      </x:c>
    </x:row>
    <x:row r="178" ht="18" customHeight="1">
      <x:c r="A178" s="24" t="str">
        <x:v>EEZ_076</x:v>
      </x:c>
      <x:c r="B178" s="24" t="str">
        <x:v>Brazil (mainland)</x:v>
      </x:c>
      <x:c r="C178" s="24" t="str">
        <x:v>EEZ</x:v>
      </x:c>
      <x:c r="D178" s="30" t="n">
        <x:v>2019</x:v>
      </x:c>
      <x:c r="E178" s="24" t="str">
        <x:v>Epinephelus morio</x:v>
      </x:c>
      <x:c r="F178" s="24" t="str">
        <x:v>Red grouper</x:v>
      </x:c>
      <x:c r="G178" s="24" t="str">
        <x:v>Large reef assoc. fish (&gt;=90 cm)</x:v>
      </x:c>
      <x:c r="H178" s="24" t="str">
        <x:v>Perch-likes</x:v>
      </x:c>
      <x:c r="I178" s="31" t="n">
        <x:v>89.2344951491</x:v>
      </x:c>
      <x:c r="J178" s="31" t="n">
        <x:v>89.2344951491</x:v>
      </x:c>
      <x:c r="K178" s="31" t="n">
        <x:v>0</x:v>
      </x:c>
      <x:c r="L178" s="31" t="n">
        <x:v>0</x:v>
      </x:c>
      <x:c r="M178" s="31" t="n">
        <x:v>89.2344951491</x:v>
      </x:c>
      <x:c r="N178" s="24" t="str">
        <x:v>epinephelus morio</x:v>
      </x:c>
      <x:c r="O178" s="32" t="n">
        <x:v>3.5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Epinephelus morio</x:v>
      </x:c>
      <x:c r="T178" s="32" t="n">
        <x:f>IF(O178="","",(1/'Metadata'!$B$5)^(O178-1))</x:f>
        <x:v>316.22776601683796</x:v>
      </x:c>
      <x:c r="U178" s="31" t="n">
        <x:f>IF(T178="","",I178*T178)</x:f>
        <x:v>28218.425052640257</x:v>
      </x:c>
    </x:row>
    <x:row r="179" ht="18" customHeight="1">
      <x:c r="A179" s="24" t="str">
        <x:v>EEZ_076</x:v>
      </x:c>
      <x:c r="B179" s="24" t="str">
        <x:v>Brazil (mainland)</x:v>
      </x:c>
      <x:c r="C179" s="24" t="str">
        <x:v>EEZ</x:v>
      </x:c>
      <x:c r="D179" s="30" t="n">
        <x:v>2019</x:v>
      </x:c>
      <x:c r="E179" s="24" t="str">
        <x:v>Elagatis bipinnulata</x:v>
      </x:c>
      <x:c r="F179" s="24" t="str">
        <x:v>Rainbow runner</x:v>
      </x:c>
      <x:c r="G179" s="24" t="str">
        <x:v>Large pelagics (&gt;=90 cm)</x:v>
      </x:c>
      <x:c r="H179" s="24" t="str">
        <x:v>Perch-likes</x:v>
      </x:c>
      <x:c r="I179" s="31" t="n">
        <x:v>88.355330459</x:v>
      </x:c>
      <x:c r="J179" s="31" t="n">
        <x:v>88.355330459</x:v>
      </x:c>
      <x:c r="K179" s="31" t="n">
        <x:v>0</x:v>
      </x:c>
      <x:c r="L179" s="31" t="n">
        <x:v>87.1147807119</x:v>
      </x:c>
      <x:c r="M179" s="31" t="n">
        <x:v>1.2405497471</x:v>
      </x:c>
      <x:c r="N179" s="24" t="str">
        <x:v>elagatis bipinnulata</x:v>
      </x:c>
      <x:c r="O179" s="32" t="n">
        <x:v>4.27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Elagatis bipinnulata</x:v>
      </x:c>
      <x:c r="T179" s="32" t="n">
        <x:f>IF(O179="","",(1/'Metadata'!$B$5)^(O179-1))</x:f>
        <x:v>1862.0871366628655</x:v>
      </x:c>
      <x:c r="U179" s="31" t="n">
        <x:f>IF(T179="","",I179*T179)</x:f>
        <x:v>164525.3243033006</x:v>
      </x:c>
    </x:row>
    <x:row r="180" ht="18" customHeight="1">
      <x:c r="A180" s="24" t="str">
        <x:v>EEZ_076</x:v>
      </x:c>
      <x:c r="B180" s="24" t="str">
        <x:v>Brazil (mainland)</x:v>
      </x:c>
      <x:c r="C180" s="24" t="str">
        <x:v>EEZ</x:v>
      </x:c>
      <x:c r="D180" s="30" t="n">
        <x:v>2019</x:v>
      </x:c>
      <x:c r="E180" s="24" t="str">
        <x:v>Epinephelus marginatus</x:v>
      </x:c>
      <x:c r="F180" s="24" t="str">
        <x:v>Dusky grouper</x:v>
      </x:c>
      <x:c r="G180" s="24" t="str">
        <x:v>Large reef assoc. fish (&gt;=90 cm)</x:v>
      </x:c>
      <x:c r="H180" s="24" t="str">
        <x:v>Perch-likes</x:v>
      </x:c>
      <x:c r="I180" s="31" t="n">
        <x:v>83.04492532840001</x:v>
      </x:c>
      <x:c r="J180" s="31" t="n">
        <x:v>83.04492532840001</x:v>
      </x:c>
      <x:c r="K180" s="31" t="n">
        <x:v>0</x:v>
      </x:c>
      <x:c r="L180" s="31" t="n">
        <x:v>68.0664731703</x:v>
      </x:c>
      <x:c r="M180" s="31" t="n">
        <x:v>14.9784521581</x:v>
      </x:c>
      <x:c r="N180" s="24" t="str">
        <x:v>epinephelus marginatus</x:v>
      </x:c>
      <x:c r="O180" s="32" t="n">
        <x:v>4.43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Epinephelus marginatus</x:v>
      </x:c>
      <x:c r="T180" s="32" t="n">
        <x:f>IF(O180="","",(1/'Metadata'!$B$5)^(O180-1))</x:f>
        <x:v>2691.534803926914</x:v>
      </x:c>
      <x:c r="U180" s="31" t="n">
        <x:f>IF(T180="","",I180*T180)</x:f>
        <x:v>223518.30681090034</x:v>
      </x:c>
    </x:row>
    <x:row r="181" ht="18" customHeight="1">
      <x:c r="A181" s="24" t="str">
        <x:v>EEZ_076</x:v>
      </x:c>
      <x:c r="B181" s="24" t="str">
        <x:v>Brazil (mainland)</x:v>
      </x:c>
      <x:c r="C181" s="24" t="str">
        <x:v>EEZ</x:v>
      </x:c>
      <x:c r="D181" s="30" t="n">
        <x:v>2019</x:v>
      </x:c>
      <x:c r="E181" s="24" t="str">
        <x:v>Haemulidae</x:v>
      </x:c>
      <x:c r="F181" s="24" t="str">
        <x:v>Grunts, sweetlips, bonnetmouths</x:v>
      </x:c>
      <x:c r="G181" s="24" t="str">
        <x:v>Medium demersals (30 - 89 cm)</x:v>
      </x:c>
      <x:c r="H181" s="24" t="str">
        <x:v>Perch-likes</x:v>
      </x:c>
      <x:c r="I181" s="31" t="n">
        <x:v>79.5387880258</x:v>
      </x:c>
      <x:c r="J181" s="31" t="n">
        <x:v>79.5387880258</x:v>
      </x:c>
      <x:c r="K181" s="31" t="n">
        <x:v>0</x:v>
      </x:c>
      <x:c r="L181" s="31" t="n">
        <x:v>62.762157989</x:v>
      </x:c>
      <x:c r="M181" s="31" t="n">
        <x:v>16.7766300368</x:v>
      </x:c>
      <x:c r="N181" s="24" t="str">
        <x:v>haemulidae</x:v>
      </x:c>
      <x:c r="O181" s="32" t="n">
        <x:v>3.36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Haemulidae</x:v>
      </x:c>
      <x:c r="T181" s="32" t="n">
        <x:f>IF(O181="","",(1/'Metadata'!$B$5)^(O181-1))</x:f>
        <x:v>229.08676527677724</x:v>
      </x:c>
      <x:c r="U181" s="31" t="n">
        <x:f>IF(T181="","",I181*T181)</x:f>
        <x:v>18221.283662865786</x:v>
      </x:c>
    </x:row>
    <x:row r="182" ht="18" customHeight="1">
      <x:c r="A182" s="24" t="str">
        <x:v>EEZ_076</x:v>
      </x:c>
      <x:c r="B182" s="24" t="str">
        <x:v>Brazil (mainland)</x:v>
      </x:c>
      <x:c r="C182" s="24" t="str">
        <x:v>EEZ</x:v>
      </x:c>
      <x:c r="D182" s="30" t="n">
        <x:v>2019</x:v>
      </x:c>
      <x:c r="E182" s="24" t="str">
        <x:v>Decapoda</x:v>
      </x:c>
      <x:c r="F182" s="24" t="str">
        <x:v>Crabs, lobsters, shrimps</x:v>
      </x:c>
      <x:c r="G182" s="24" t="str">
        <x:v>Lobsters, crabs</x:v>
      </x:c>
      <x:c r="H182" s="24" t="str">
        <x:v>Crustaceans</x:v>
      </x:c>
      <x:c r="I182" s="31" t="n">
        <x:v>79.3874299314</x:v>
      </x:c>
      <x:c r="J182" s="31" t="n">
        <x:v>79.3874299314</x:v>
      </x:c>
      <x:c r="K182" s="31" t="n">
        <x:v>0</x:v>
      </x:c>
      <x:c r="L182" s="31" t="n">
        <x:v>0</x:v>
      </x:c>
      <x:c r="M182" s="31" t="n">
        <x:v>79.3874299314</x:v>
      </x:c>
      <x:c r="N182" s="24" t="str">
        <x:v>decapoda</x:v>
      </x:c>
      <x:c r="O182" s="32" t="n">
        <x:v>3.43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Decapoda</x:v>
      </x:c>
      <x:c r="T182" s="32" t="n">
        <x:f>IF(O182="","",(1/'Metadata'!$B$5)^(O182-1))</x:f>
        <x:v>269.1534803926917</x:v>
      </x:c>
      <x:c r="U182" s="31" t="n">
        <x:f>IF(T182="","",I182*T182)</x:f>
        <x:v>21367.403065467257</x:v>
      </x:c>
    </x:row>
    <x:row r="183" ht="18" customHeight="1">
      <x:c r="A183" s="24" t="str">
        <x:v>EEZ_076</x:v>
      </x:c>
      <x:c r="B183" s="24" t="str">
        <x:v>Brazil (mainland)</x:v>
      </x:c>
      <x:c r="C183" s="24" t="str">
        <x:v>EEZ</x:v>
      </x:c>
      <x:c r="D183" s="30" t="n">
        <x:v>2019</x:v>
      </x:c>
      <x:c r="E183" s="24" t="str">
        <x:v>Epinephelus adscensionis</x:v>
      </x:c>
      <x:c r="F183" s="24" t="str">
        <x:v>Rock hind</x:v>
      </x:c>
      <x:c r="G183" s="24" t="str">
        <x:v>Medium reef assoc. fish (30 - 89 cm)</x:v>
      </x:c>
      <x:c r="H183" s="24" t="str">
        <x:v>Perch-likes</x:v>
      </x:c>
      <x:c r="I183" s="31" t="n">
        <x:v>78.7961827379</x:v>
      </x:c>
      <x:c r="J183" s="31" t="n">
        <x:v>78.7961827379</x:v>
      </x:c>
      <x:c r="K183" s="31" t="n">
        <x:v>0</x:v>
      </x:c>
      <x:c r="L183" s="31" t="n">
        <x:v>78.5498197229</x:v>
      </x:c>
      <x:c r="M183" s="31" t="n">
        <x:v>0.24636301500000005</x:v>
      </x:c>
      <x:c r="N183" s="24" t="str">
        <x:v>epinephelus adscensionis</x:v>
      </x:c>
      <x:c r="O183" s="32" t="n">
        <x:v>3.53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Epinephelus adscensionis</x:v>
      </x:c>
      <x:c r="T183" s="32" t="n">
        <x:f>IF(O183="","",(1/'Metadata'!$B$5)^(O183-1))</x:f>
        <x:v>338.84415613920237</x:v>
      </x:c>
      <x:c r="U183" s="31" t="n">
        <x:f>IF(T183="","",I183*T183)</x:f>
        <x:v>26699.626046814108</x:v>
      </x:c>
    </x:row>
    <x:row r="184" ht="18" customHeight="1">
      <x:c r="A184" s="24" t="str">
        <x:v>EEZ_076</x:v>
      </x:c>
      <x:c r="B184" s="24" t="str">
        <x:v>Brazil (mainland)</x:v>
      </x:c>
      <x:c r="C184" s="24" t="str">
        <x:v>EEZ</x:v>
      </x:c>
      <x:c r="D184" s="30" t="n">
        <x:v>2019</x:v>
      </x:c>
      <x:c r="E184" s="24" t="str">
        <x:v>Mullidae</x:v>
      </x:c>
      <x:c r="F184" s="24" t="str">
        <x:v>Goatfishes</x:v>
      </x:c>
      <x:c r="G184" s="24" t="str">
        <x:v>Medium reef assoc. fish (30 - 89 cm)</x:v>
      </x:c>
      <x:c r="H184" s="24" t="str">
        <x:v>Perch-likes</x:v>
      </x:c>
      <x:c r="I184" s="31" t="n">
        <x:v>75.8479480216</x:v>
      </x:c>
      <x:c r="J184" s="31" t="n">
        <x:v>75.8479480216</x:v>
      </x:c>
      <x:c r="K184" s="31" t="n">
        <x:v>0</x:v>
      </x:c>
      <x:c r="L184" s="31" t="n">
        <x:v>49.8686198392</x:v>
      </x:c>
      <x:c r="M184" s="31" t="n">
        <x:v>25.9793281824</x:v>
      </x:c>
      <x:c r="N184" s="24" t="str">
        <x:v>mullidae</x:v>
      </x:c>
      <x:c r="O184" s="32" t="n">
        <x:v>3.46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Mullidae</x:v>
      </x:c>
      <x:c r="T184" s="32" t="n">
        <x:f>IF(O184="","",(1/'Metadata'!$B$5)^(O184-1))</x:f>
        <x:v>288.40315031266056</x:v>
      </x:c>
      <x:c r="U184" s="31" t="n">
        <x:f>IF(T184="","",I184*T184)</x:f>
        <x:v>21874.787154180372</x:v>
      </x:c>
    </x:row>
    <x:row r="185" ht="18" customHeight="1">
      <x:c r="A185" s="24" t="str">
        <x:v>EEZ_076</x:v>
      </x:c>
      <x:c r="B185" s="24" t="str">
        <x:v>Brazil (mainland)</x:v>
      </x:c>
      <x:c r="C185" s="24" t="str">
        <x:v>EEZ</x:v>
      </x:c>
      <x:c r="D185" s="30" t="n">
        <x:v>2019</x:v>
      </x:c>
      <x:c r="E185" s="24" t="str">
        <x:v>Myripristis jacobus</x:v>
      </x:c>
      <x:c r="F185" s="24" t="str">
        <x:v>Blackbar soldierfish</x:v>
      </x:c>
      <x:c r="G185" s="24" t="str">
        <x:v>Small reef assoc. fish (&lt;30 cm)</x:v>
      </x:c>
      <x:c r="H185" s="24" t="str">
        <x:v>Other fishes &amp; inverts</x:v>
      </x:c>
      <x:c r="I185" s="31" t="n">
        <x:v>72.1678938922</x:v>
      </x:c>
      <x:c r="J185" s="31" t="n">
        <x:v>72.1678938922</x:v>
      </x:c>
      <x:c r="K185" s="31" t="n">
        <x:v>0</x:v>
      </x:c>
      <x:c r="L185" s="31" t="n">
        <x:v>72.1678938922</x:v>
      </x:c>
      <x:c r="M185" s="31" t="n">
        <x:v>0</x:v>
      </x:c>
      <x:c r="N185" s="24" t="str">
        <x:v>myripristis jacobus</x:v>
      </x:c>
      <x:c r="O185" s="32" t="n">
        <x:v>3.39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Myripristis jacobus</x:v>
      </x:c>
      <x:c r="T185" s="32" t="n">
        <x:f>IF(O185="","",(1/'Metadata'!$B$5)^(O185-1))</x:f>
        <x:v>245.4708915685031</x:v>
      </x:c>
      <x:c r="U185" s="31" t="n">
        <x:f>IF(T185="","",I185*T185)</x:f>
        <x:v>17715.117256339465</x:v>
      </x:c>
    </x:row>
    <x:row r="186" ht="18" customHeight="1">
      <x:c r="A186" s="24" t="str">
        <x:v>EEZ_076</x:v>
      </x:c>
      <x:c r="B186" s="24" t="str">
        <x:v>Brazil (mainland)</x:v>
      </x:c>
      <x:c r="C186" s="24" t="str">
        <x:v>EEZ</x:v>
      </x:c>
      <x:c r="D186" s="30" t="n">
        <x:v>2019</x:v>
      </x:c>
      <x:c r="E186" s="24" t="str">
        <x:v>Lepidocybium flavobrunneum</x:v>
      </x:c>
      <x:c r="F186" s="24" t="str">
        <x:v>Escolar</x:v>
      </x:c>
      <x:c r="G186" s="24" t="str">
        <x:v>Large bathypelagics (&gt;=90 cm)</x:v>
      </x:c>
      <x:c r="H186" s="24" t="str">
        <x:v>Perch-likes</x:v>
      </x:c>
      <x:c r="I186" s="31" t="n">
        <x:v>70.8973490381</x:v>
      </x:c>
      <x:c r="J186" s="31" t="n">
        <x:v>70.8973490381</x:v>
      </x:c>
      <x:c r="K186" s="31" t="n">
        <x:v>0</x:v>
      </x:c>
      <x:c r="L186" s="31" t="n">
        <x:v>69.9988095412</x:v>
      </x:c>
      <x:c r="M186" s="31" t="n">
        <x:v>0.8985394969</x:v>
      </x:c>
      <x:c r="N186" s="24" t="str">
        <x:v>lepidocybium flavobrunneum</x:v>
      </x:c>
      <x:c r="O186" s="32" t="n">
        <x:v>4.34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Lepidocybium flavobrunneum</x:v>
      </x:c>
      <x:c r="T186" s="32" t="n">
        <x:f>IF(O186="","",(1/'Metadata'!$B$5)^(O186-1))</x:f>
        <x:v>2187.761623949552</x:v>
      </x:c>
      <x:c r="U186" s="31" t="n">
        <x:f>IF(T186="","",I186*T186)</x:f>
        <x:v>155106.49946531188</x:v>
      </x:c>
    </x:row>
    <x:row r="187" ht="18" customHeight="1">
      <x:c r="A187" s="24" t="str">
        <x:v>EEZ_076</x:v>
      </x:c>
      <x:c r="B187" s="24" t="str">
        <x:v>Brazil (mainland)</x:v>
      </x:c>
      <x:c r="C187" s="24" t="str">
        <x:v>EEZ</x:v>
      </x:c>
      <x:c r="D187" s="30" t="n">
        <x:v>2019</x:v>
      </x:c>
      <x:c r="E187" s="24" t="str">
        <x:v>Alopias</x:v>
      </x:c>
      <x:c r="F187" s="24" t="str">
        <x:v>Thresher sharks</x:v>
      </x:c>
      <x:c r="G187" s="24" t="str">
        <x:v>Large sharks (&gt;=90 cm)</x:v>
      </x:c>
      <x:c r="H187" s="24" t="str">
        <x:v>Sharks &amp; rays</x:v>
      </x:c>
      <x:c r="I187" s="31" t="n">
        <x:v>65.246230882</x:v>
      </x:c>
      <x:c r="J187" s="31" t="n">
        <x:v>65.246230882</x:v>
      </x:c>
      <x:c r="K187" s="31" t="n">
        <x:v>0</x:v>
      </x:c>
      <x:c r="L187" s="31" t="n">
        <x:v>63.6571514559</x:v>
      </x:c>
      <x:c r="M187" s="31" t="n">
        <x:v>1.5890794260999999</x:v>
      </x:c>
      <x:c r="N187" s="24" t="str">
        <x:v>alopias</x:v>
      </x:c>
      <x:c r="O187" s="32" t="n">
        <x:v>4.5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Alopias</x:v>
      </x:c>
      <x:c r="T187" s="32" t="n">
        <x:f>IF(O187="","",(1/'Metadata'!$B$5)^(O187-1))</x:f>
        <x:v>3162.2776601683795</x:v>
      </x:c>
      <x:c r="U187" s="31" t="n">
        <x:f>IF(T187="","",I187*T187)</x:f>
        <x:v>206326.69832833685</x:v>
      </x:c>
    </x:row>
    <x:row r="188" ht="18" customHeight="1">
      <x:c r="A188" s="24" t="str">
        <x:v>EEZ_076</x:v>
      </x:c>
      <x:c r="B188" s="24" t="str">
        <x:v>Brazil (mainland)</x:v>
      </x:c>
      <x:c r="C188" s="24" t="str">
        <x:v>EEZ</x:v>
      </x:c>
      <x:c r="D188" s="30" t="n">
        <x:v>2019</x:v>
      </x:c>
      <x:c r="E188" s="24" t="str">
        <x:v>Illex argentinus</x:v>
      </x:c>
      <x:c r="F188" s="24" t="str">
        <x:v>Argentine shortfin squid</x:v>
      </x:c>
      <x:c r="G188" s="24" t="str">
        <x:v>Cephalopods</x:v>
      </x:c>
      <x:c r="H188" s="24" t="str">
        <x:v>Other fishes &amp; inverts</x:v>
      </x:c>
      <x:c r="I188" s="31" t="n">
        <x:v>64.31220791610001</x:v>
      </x:c>
      <x:c r="J188" s="31" t="n">
        <x:v>64.31220791610001</x:v>
      </x:c>
      <x:c r="K188" s="31" t="n">
        <x:v>0</x:v>
      </x:c>
      <x:c r="L188" s="31" t="n">
        <x:v>62.152976595000005</x:v>
      </x:c>
      <x:c r="M188" s="31" t="n">
        <x:v>2.1592313211</x:v>
      </x:c>
      <x:c r="N188" s="24" t="str">
        <x:v>illex argentinus</x:v>
      </x:c>
      <x:c r="O188" s="32" t="n">
        <x:v>3.82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Illex argentinus</x:v>
      </x:c>
      <x:c r="T188" s="32" t="n">
        <x:f>IF(O188="","",(1/'Metadata'!$B$5)^(O188-1))</x:f>
        <x:v>660.6934480075957</x:v>
      </x:c>
      <x:c r="U188" s="31" t="n">
        <x:f>IF(T188="","",I188*T188)</x:f>
        <x:v>42490.654397069506</x:v>
      </x:c>
    </x:row>
    <x:row r="189" ht="18" customHeight="1">
      <x:c r="A189" s="24" t="str">
        <x:v>EEZ_076</x:v>
      </x:c>
      <x:c r="B189" s="24" t="str">
        <x:v>Brazil (mainland)</x:v>
      </x:c>
      <x:c r="C189" s="24" t="str">
        <x:v>EEZ</x:v>
      </x:c>
      <x:c r="D189" s="30" t="n">
        <x:v>2019</x:v>
      </x:c>
      <x:c r="E189" s="24" t="str">
        <x:v>Eucinostomus</x:v>
      </x:c>
      <x:c r="F189" s="24" t="str">
        <x:v>Mojarras</x:v>
      </x:c>
      <x:c r="G189" s="24" t="str">
        <x:v>Large reef assoc. fish (&gt;=90 cm)</x:v>
      </x:c>
      <x:c r="H189" s="24" t="str">
        <x:v>Perch-likes</x:v>
      </x:c>
      <x:c r="I189" s="31" t="n">
        <x:v>63.5476313332</x:v>
      </x:c>
      <x:c r="J189" s="31" t="n">
        <x:v>63.5476313332</x:v>
      </x:c>
      <x:c r="K189" s="31" t="n">
        <x:v>0</x:v>
      </x:c>
      <x:c r="L189" s="31" t="n">
        <x:v>62.2787339123</x:v>
      </x:c>
      <x:c r="M189" s="31" t="n">
        <x:v>1.2688974209000001</x:v>
      </x:c>
      <x:c r="N189" s="24" t="str">
        <x:v>eucinostomus</x:v>
      </x:c>
      <x:c r="O189" s="32" t="n">
        <x:v>3.5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Eucinostomus</x:v>
      </x:c>
      <x:c r="T189" s="32" t="n">
        <x:f>IF(O189="","",(1/'Metadata'!$B$5)^(O189-1))</x:f>
        <x:v>316.22776601683796</x:v>
      </x:c>
      <x:c r="U189" s="31" t="n">
        <x:f>IF(T189="","",I189*T189)</x:f>
        <x:v>20095.52549215945</x:v>
      </x:c>
    </x:row>
    <x:row r="190" ht="18" customHeight="1">
      <x:c r="A190" s="24" t="str">
        <x:v>EEZ_076</x:v>
      </x:c>
      <x:c r="B190" s="24" t="str">
        <x:v>Brazil (mainland)</x:v>
      </x:c>
      <x:c r="C190" s="24" t="str">
        <x:v>EEZ</x:v>
      </x:c>
      <x:c r="D190" s="30" t="n">
        <x:v>2019</x:v>
      </x:c>
      <x:c r="E190" s="24" t="str">
        <x:v>Archosargus rhomboidalis</x:v>
      </x:c>
      <x:c r="F190" s="24" t="str">
        <x:v>Western Atlantic seabream</x:v>
      </x:c>
      <x:c r="G190" s="24" t="str">
        <x:v>Medium reef assoc. fish (30 - 89 cm)</x:v>
      </x:c>
      <x:c r="H190" s="24" t="str">
        <x:v>Perch-likes</x:v>
      </x:c>
      <x:c r="I190" s="31" t="n">
        <x:v>61.311961655100006</x:v>
      </x:c>
      <x:c r="J190" s="31" t="n">
        <x:v>61.311961655100006</x:v>
      </x:c>
      <x:c r="K190" s="31" t="n">
        <x:v>0</x:v>
      </x:c>
      <x:c r="L190" s="31" t="n">
        <x:v>61.21489254600001</x:v>
      </x:c>
      <x:c r="M190" s="31" t="n">
        <x:v>0.0970691091</x:v>
      </x:c>
      <x:c r="N190" s="24" t="str">
        <x:v>archosargus rhomboidalis</x:v>
      </x:c>
      <x:c r="O190" s="32" t="n">
        <x:v>2.89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Archosargus rhomboidalis</x:v>
      </x:c>
      <x:c r="T190" s="32" t="n">
        <x:f>IF(O190="","",(1/'Metadata'!$B$5)^(O190-1))</x:f>
        <x:v>77.6247116628692</x:v>
      </x:c>
      <x:c r="U190" s="31" t="n">
        <x:f>IF(T190="","",I190*T190)</x:f>
        <x:v>4759.323344962031</x:v>
      </x:c>
    </x:row>
    <x:row r="191" ht="18" customHeight="1">
      <x:c r="A191" s="24" t="str">
        <x:v>EEZ_076</x:v>
      </x:c>
      <x:c r="B191" s="24" t="str">
        <x:v>Brazil (mainland)</x:v>
      </x:c>
      <x:c r="C191" s="24" t="str">
        <x:v>EEZ</x:v>
      </x:c>
      <x:c r="D191" s="30" t="n">
        <x:v>2019</x:v>
      </x:c>
      <x:c r="E191" s="24" t="str">
        <x:v>Diapterus rhombeus</x:v>
      </x:c>
      <x:c r="F191" s="24" t="str">
        <x:v>Caitipa mojarra</x:v>
      </x:c>
      <x:c r="G191" s="24" t="str">
        <x:v>Medium demersals (30 - 89 cm)</x:v>
      </x:c>
      <x:c r="H191" s="24" t="str">
        <x:v>Perch-likes</x:v>
      </x:c>
      <x:c r="I191" s="31" t="n">
        <x:v>60.9592349174</x:v>
      </x:c>
      <x:c r="J191" s="31" t="n">
        <x:v>60.9592349174</x:v>
      </x:c>
      <x:c r="K191" s="31" t="n">
        <x:v>0</x:v>
      </x:c>
      <x:c r="L191" s="31" t="n">
        <x:v>60.54268511330001</x:v>
      </x:c>
      <x:c r="M191" s="31" t="n">
        <x:v>0.4165498041</x:v>
      </x:c>
      <x:c r="N191" s="24" t="str">
        <x:v>diapterus rhombeus</x:v>
      </x:c>
      <x:c r="O191" s="32" t="n">
        <x:v>3.01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Diapterus rhombeus</x:v>
      </x:c>
      <x:c r="T191" s="32" t="n">
        <x:f>IF(O191="","",(1/'Metadata'!$B$5)^(O191-1))</x:f>
        <x:v>102.32929922807536</x:v>
      </x:c>
      <x:c r="U191" s="31" t="n">
        <x:f>IF(T191="","",I191*T191)</x:f>
        <x:v>6237.915790577164</x:v>
      </x:c>
    </x:row>
    <x:row r="192" ht="18" customHeight="1">
      <x:c r="A192" s="24" t="str">
        <x:v>EEZ_076</x:v>
      </x:c>
      <x:c r="B192" s="24" t="str">
        <x:v>Brazil (mainland)</x:v>
      </x:c>
      <x:c r="C192" s="24" t="str">
        <x:v>EEZ</x:v>
      </x:c>
      <x:c r="D192" s="30" t="n">
        <x:v>2019</x:v>
      </x:c>
      <x:c r="E192" s="24" t="str">
        <x:v>Atlantoraja cyclophora</x:v>
      </x:c>
      <x:c r="F192" s="24" t="str">
        <x:v>Eyespot skate</x:v>
      </x:c>
      <x:c r="G192" s="24" t="str">
        <x:v>Small to medium rays (&lt;90 cm)</x:v>
      </x:c>
      <x:c r="H192" s="24" t="str">
        <x:v>Sharks &amp; rays</x:v>
      </x:c>
      <x:c r="I192" s="31" t="n">
        <x:v>60.8614825589</x:v>
      </x:c>
      <x:c r="J192" s="31" t="n">
        <x:v>60.8614825589</x:v>
      </x:c>
      <x:c r="K192" s="31" t="n">
        <x:v>0</x:v>
      </x:c>
      <x:c r="L192" s="31" t="n">
        <x:v>0.0611522588</x:v>
      </x:c>
      <x:c r="M192" s="31" t="n">
        <x:v>60.8003303001</x:v>
      </x:c>
      <x:c r="N192" s="24" t="str">
        <x:v>atlantoraja cyclophora</x:v>
      </x:c>
      <x:c r="O192" s="32" t="n">
        <x:v>3.5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Atlantoraja cyclophora</x:v>
      </x:c>
      <x:c r="T192" s="32" t="n">
        <x:f>IF(O192="","",(1/'Metadata'!$B$5)^(O192-1))</x:f>
        <x:v>316.22776601683796</x:v>
      </x:c>
      <x:c r="U192" s="31" t="n">
        <x:f>IF(T192="","",I192*T192)</x:f>
        <x:v>19246.090666073695</x:v>
      </x:c>
    </x:row>
    <x:row r="193" ht="18" customHeight="1">
      <x:c r="A193" s="24" t="str">
        <x:v>EEZ_076</x:v>
      </x:c>
      <x:c r="B193" s="24" t="str">
        <x:v>Brazil (mainland)</x:v>
      </x:c>
      <x:c r="C193" s="24" t="str">
        <x:v>EEZ</x:v>
      </x:c>
      <x:c r="D193" s="30" t="n">
        <x:v>2019</x:v>
      </x:c>
      <x:c r="E193" s="24" t="str">
        <x:v>Cookeolus japonicus</x:v>
      </x:c>
      <x:c r="F193" s="24" t="str">
        <x:v>Longfinned bullseye</x:v>
      </x:c>
      <x:c r="G193" s="24" t="str">
        <x:v>Medium benthopelagics (30 - 89 cm)</x:v>
      </x:c>
      <x:c r="H193" s="24" t="str">
        <x:v>Perch-likes</x:v>
      </x:c>
      <x:c r="I193" s="31" t="n">
        <x:v>59.245042510100006</x:v>
      </x:c>
      <x:c r="J193" s="31" t="n">
        <x:v>59.245042510100006</x:v>
      </x:c>
      <x:c r="K193" s="31" t="n">
        <x:v>0</x:v>
      </x:c>
      <x:c r="L193" s="31" t="n">
        <x:v>30.751156110100002</x:v>
      </x:c>
      <x:c r="M193" s="31" t="n">
        <x:v>28.4938864</x:v>
      </x:c>
      <x:c r="N193" s="24" t="str">
        <x:v>cookeolus japonicus</x:v>
      </x:c>
      <x:c r="O193" s="32" t="n">
        <x:v>3.5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Cookeolus japonicus</x:v>
      </x:c>
      <x:c r="T193" s="32" t="n">
        <x:f>IF(O193="","",(1/'Metadata'!$B$5)^(O193-1))</x:f>
        <x:v>316.22776601683796</x:v>
      </x:c>
      <x:c r="U193" s="31" t="n">
        <x:f>IF(T193="","",I193*T193)</x:f>
        <x:v>18734.927440541524</x:v>
      </x:c>
    </x:row>
    <x:row r="194" ht="18" customHeight="1">
      <x:c r="A194" s="24" t="str">
        <x:v>EEZ_076</x:v>
      </x:c>
      <x:c r="B194" s="24" t="str">
        <x:v>Brazil (mainland)</x:v>
      </x:c>
      <x:c r="C194" s="24" t="str">
        <x:v>EEZ</x:v>
      </x:c>
      <x:c r="D194" s="30" t="n">
        <x:v>2019</x:v>
      </x:c>
      <x:c r="E194" s="24" t="str">
        <x:v>Caulolatilus chrysops</x:v>
      </x:c>
      <x:c r="F194" s="24" t="str">
        <x:v>Atlantic goldeneye tilefish</x:v>
      </x:c>
      <x:c r="G194" s="24" t="str">
        <x:v>Medium demersals (30 - 89 cm)</x:v>
      </x:c>
      <x:c r="H194" s="24" t="str">
        <x:v>Perch-likes</x:v>
      </x:c>
      <x:c r="I194" s="31" t="n">
        <x:v>56.7536826157</x:v>
      </x:c>
      <x:c r="J194" s="31" t="n">
        <x:v>56.7536826157</x:v>
      </x:c>
      <x:c r="K194" s="31" t="n">
        <x:v>0</x:v>
      </x:c>
      <x:c r="L194" s="31" t="n">
        <x:v>55.1799480551</x:v>
      </x:c>
      <x:c r="M194" s="31" t="n">
        <x:v>1.5737345606</x:v>
      </x:c>
      <x:c r="N194" s="24" t="str">
        <x:v>caulolatilus chrysops</x:v>
      </x:c>
      <x:c r="O194" s="32" t="n">
        <x:v>3.62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Caulolatilus chrysops</x:v>
      </x:c>
      <x:c r="T194" s="32" t="n">
        <x:f>IF(O194="","",(1/'Metadata'!$B$5)^(O194-1))</x:f>
        <x:v>416.8693834703355</x:v>
      </x:c>
      <x:c r="U194" s="31" t="n">
        <x:f>IF(T194="","",I194*T194)</x:f>
        <x:v>23658.872681677956</x:v>
      </x:c>
    </x:row>
    <x:row r="195" ht="18" customHeight="1">
      <x:c r="A195" s="24" t="str">
        <x:v>EEZ_076</x:v>
      </x:c>
      <x:c r="B195" s="24" t="str">
        <x:v>Brazil (mainland)</x:v>
      </x:c>
      <x:c r="C195" s="24" t="str">
        <x:v>EEZ</x:v>
      </x:c>
      <x:c r="D195" s="30" t="n">
        <x:v>2019</x:v>
      </x:c>
      <x:c r="E195" s="24" t="str">
        <x:v>Lutjanus apodus</x:v>
      </x:c>
      <x:c r="F195" s="24" t="str">
        <x:v>Schoolmaster snapper</x:v>
      </x:c>
      <x:c r="G195" s="24" t="str">
        <x:v>Medium reef assoc. fish (30 - 89 cm)</x:v>
      </x:c>
      <x:c r="H195" s="24" t="str">
        <x:v>Perch-likes</x:v>
      </x:c>
      <x:c r="I195" s="31" t="n">
        <x:v>54.820905249599996</x:v>
      </x:c>
      <x:c r="J195" s="31" t="n">
        <x:v>54.820905249599996</x:v>
      </x:c>
      <x:c r="K195" s="31" t="n">
        <x:v>0</x:v>
      </x:c>
      <x:c r="L195" s="31" t="n">
        <x:v>54.6604787043</x:v>
      </x:c>
      <x:c r="M195" s="31" t="n">
        <x:v>0.1604265453</x:v>
      </x:c>
      <x:c r="N195" s="24" t="str">
        <x:v>lutjanus apodus</x:v>
      </x:c>
      <x:c r="O195" s="32" t="n">
        <x:v>4.25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Lutjanus apodus</x:v>
      </x:c>
      <x:c r="T195" s="32" t="n">
        <x:f>IF(O195="","",(1/'Metadata'!$B$5)^(O195-1))</x:f>
        <x:v>1778.2794100389228</x:v>
      </x:c>
      <x:c r="U195" s="31" t="n">
        <x:f>IF(T195="","",I195*T195)</x:f>
        <x:v>97486.88704505836</x:v>
      </x:c>
    </x:row>
    <x:row r="196" ht="18" customHeight="1">
      <x:c r="A196" s="24" t="str">
        <x:v>EEZ_076</x:v>
      </x:c>
      <x:c r="B196" s="24" t="str">
        <x:v>Brazil (mainland)</x:v>
      </x:c>
      <x:c r="C196" s="24" t="str">
        <x:v>EEZ</x:v>
      </x:c>
      <x:c r="D196" s="30" t="n">
        <x:v>2019</x:v>
      </x:c>
      <x:c r="E196" s="24" t="str">
        <x:v>Kyphosus</x:v>
      </x:c>
      <x:c r="F196" s="24" t="str">
        <x:v>Sea chubs</x:v>
      </x:c>
      <x:c r="G196" s="24" t="str">
        <x:v>Medium reef assoc. fish (30 - 89 cm)</x:v>
      </x:c>
      <x:c r="H196" s="24" t="str">
        <x:v>Perch-likes</x:v>
      </x:c>
      <x:c r="I196" s="31" t="n">
        <x:v>51.259967040099994</x:v>
      </x:c>
      <x:c r="J196" s="31" t="n">
        <x:v>51.259967040099994</x:v>
      </x:c>
      <x:c r="K196" s="31" t="n">
        <x:v>0</x:v>
      </x:c>
      <x:c r="L196" s="31" t="n">
        <x:v>49.9999999761</x:v>
      </x:c>
      <x:c r="M196" s="31" t="n">
        <x:v>1.259967064</x:v>
      </x:c>
      <x:c r="N196" s="24" t="str">
        <x:v>kyphosus</x:v>
      </x:c>
      <x:c r="O196" s="32" t="n">
        <x:v>2.05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Kyphosus</x:v>
      </x:c>
      <x:c r="T196" s="32" t="n">
        <x:f>IF(O196="","",(1/'Metadata'!$B$5)^(O196-1))</x:f>
        <x:v>11.220184543019629</x:v>
      </x:c>
      <x:c r="U196" s="31" t="n">
        <x:f>IF(T196="","",I196*T196)</x:f>
        <x:v>575.1462898590256</x:v>
      </x:c>
    </x:row>
    <x:row r="197" ht="18" customHeight="1">
      <x:c r="A197" s="24" t="str">
        <x:v>EEZ_076</x:v>
      </x:c>
      <x:c r="B197" s="24" t="str">
        <x:v>Brazil (mainland)</x:v>
      </x:c>
      <x:c r="C197" s="24" t="str">
        <x:v>EEZ</x:v>
      </x:c>
      <x:c r="D197" s="30" t="n">
        <x:v>2019</x:v>
      </x:c>
      <x:c r="E197" s="24" t="str">
        <x:v>Hexanchus griseus</x:v>
      </x:c>
      <x:c r="F197" s="24" t="str">
        <x:v>Bluntnose sixgill shark</x:v>
      </x:c>
      <x:c r="G197" s="24" t="str">
        <x:v>Large sharks (&gt;=90 cm)</x:v>
      </x:c>
      <x:c r="H197" s="24" t="str">
        <x:v>Sharks &amp; rays</x:v>
      </x:c>
      <x:c r="I197" s="31" t="n">
        <x:v>51.188937454</x:v>
      </x:c>
      <x:c r="J197" s="31" t="n">
        <x:v>51.188937454</x:v>
      </x:c>
      <x:c r="K197" s="31" t="n">
        <x:v>0</x:v>
      </x:c>
      <x:c r="L197" s="31" t="n">
        <x:v>51.188937454</x:v>
      </x:c>
      <x:c r="M197" s="31" t="n">
        <x:v>0</x:v>
      </x:c>
      <x:c r="N197" s="24" t="str">
        <x:v>hexanchus griseus</x:v>
      </x:c>
      <x:c r="O197" s="32" t="n">
        <x:v>4.48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Hexanchus griseus</x:v>
      </x:c>
      <x:c r="T197" s="32" t="n">
        <x:f>IF(O197="","",(1/'Metadata'!$B$5)^(O197-1))</x:f>
        <x:v>3019.951720402019</x:v>
      </x:c>
      <x:c r="U197" s="31" t="n">
        <x:f>IF(T197="","",I197*T197)</x:f>
        <x:v>154588.11972975865</x:v>
      </x:c>
    </x:row>
    <x:row r="198" ht="18" customHeight="1">
      <x:c r="A198" s="24" t="str">
        <x:v>EEZ_076</x:v>
      </x:c>
      <x:c r="B198" s="24" t="str">
        <x:v>Brazil (mainland)</x:v>
      </x:c>
      <x:c r="C198" s="24" t="str">
        <x:v>EEZ</x:v>
      </x:c>
      <x:c r="D198" s="30" t="n">
        <x:v>2019</x:v>
      </x:c>
      <x:c r="E198" s="24" t="str">
        <x:v>Carcharhinidae</x:v>
      </x:c>
      <x:c r="F198" s="24" t="str">
        <x:v>Requiem sharks</x:v>
      </x:c>
      <x:c r="G198" s="24" t="str">
        <x:v>Large sharks (&gt;=90 cm)</x:v>
      </x:c>
      <x:c r="H198" s="24" t="str">
        <x:v>Sharks &amp; rays</x:v>
      </x:c>
      <x:c r="I198" s="31" t="n">
        <x:v>50.43101098</x:v>
      </x:c>
      <x:c r="J198" s="31" t="n">
        <x:v>50.43101098</x:v>
      </x:c>
      <x:c r="K198" s="31" t="n">
        <x:v>0</x:v>
      </x:c>
      <x:c r="L198" s="31" t="n">
        <x:v>0</x:v>
      </x:c>
      <x:c r="M198" s="31" t="n">
        <x:v>50.43101098</x:v>
      </x:c>
      <x:c r="N198" s="24" t="str">
        <x:v>carcharhinidae</x:v>
      </x:c>
      <x:c r="O198" s="32" t="n">
        <x:v>4.24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Carcharhinidae</x:v>
      </x:c>
      <x:c r="T198" s="32" t="n">
        <x:f>IF(O198="","",(1/'Metadata'!$B$5)^(O198-1))</x:f>
        <x:v>1737.8008287493763</x:v>
      </x:c>
      <x:c r="U198" s="31" t="n">
        <x:f>IF(T198="","",I198*T198)</x:f>
        <x:v>87639.0526757129</x:v>
      </x:c>
    </x:row>
    <x:row r="199" ht="18" customHeight="1">
      <x:c r="A199" s="24" t="str">
        <x:v>EEZ_076</x:v>
      </x:c>
      <x:c r="B199" s="24" t="str">
        <x:v>Brazil (mainland)</x:v>
      </x:c>
      <x:c r="C199" s="24" t="str">
        <x:v>EEZ</x:v>
      </x:c>
      <x:c r="D199" s="30" t="n">
        <x:v>2019</x:v>
      </x:c>
      <x:c r="E199" s="24" t="str">
        <x:v>Sphyraena barracuda</x:v>
      </x:c>
      <x:c r="F199" s="24" t="str">
        <x:v>Great barracuda</x:v>
      </x:c>
      <x:c r="G199" s="24" t="str">
        <x:v>Large pelagics (&gt;=90 cm)</x:v>
      </x:c>
      <x:c r="H199" s="24" t="str">
        <x:v>Perch-likes</x:v>
      </x:c>
      <x:c r="I199" s="31" t="n">
        <x:v>49.9231243804</x:v>
      </x:c>
      <x:c r="J199" s="31" t="n">
        <x:v>49.9231243804</x:v>
      </x:c>
      <x:c r="K199" s="31" t="n">
        <x:v>0</x:v>
      </x:c>
      <x:c r="L199" s="31" t="n">
        <x:v>27.7529996575</x:v>
      </x:c>
      <x:c r="M199" s="31" t="n">
        <x:v>22.1701247229</x:v>
      </x:c>
      <x:c r="N199" s="24" t="str">
        <x:v>sphyraena barracuda</x:v>
      </x:c>
      <x:c r="O199" s="32" t="n">
        <x:v>4.49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Sphyraena barracuda</x:v>
      </x:c>
      <x:c r="T199" s="32" t="n">
        <x:f>IF(O199="","",(1/'Metadata'!$B$5)^(O199-1))</x:f>
        <x:v>3090.295432513592</x:v>
      </x:c>
      <x:c r="U199" s="31" t="n">
        <x:f>IF(T199="","",I199*T199)</x:f>
        <x:v>154277.20324955805</x:v>
      </x:c>
    </x:row>
    <x:row r="200" ht="18" customHeight="1">
      <x:c r="A200" s="24" t="str">
        <x:v>EEZ_076</x:v>
      </x:c>
      <x:c r="B200" s="24" t="str">
        <x:v>Brazil (mainland)</x:v>
      </x:c>
      <x:c r="C200" s="24" t="str">
        <x:v>EEZ</x:v>
      </x:c>
      <x:c r="D200" s="30" t="n">
        <x:v>2019</x:v>
      </x:c>
      <x:c r="E200" s="24" t="str">
        <x:v>Zenopsis conchifer</x:v>
      </x:c>
      <x:c r="F200" s="24" t="str">
        <x:v>Silvery John dory</x:v>
      </x:c>
      <x:c r="G200" s="24" t="str">
        <x:v>Medium benthopelagics (30 - 89 cm)</x:v>
      </x:c>
      <x:c r="H200" s="24" t="str">
        <x:v>Other fishes &amp; inverts</x:v>
      </x:c>
      <x:c r="I200" s="31" t="n">
        <x:v>47.2585589396</x:v>
      </x:c>
      <x:c r="J200" s="31" t="n">
        <x:v>47.2585589396</x:v>
      </x:c>
      <x:c r="K200" s="31" t="n">
        <x:v>0</x:v>
      </x:c>
      <x:c r="L200" s="31" t="n">
        <x:v>46.0000000012</x:v>
      </x:c>
      <x:c r="M200" s="31" t="n">
        <x:v>1.2585589384</x:v>
      </x:c>
      <x:c r="N200" s="24" t="str">
        <x:v>zenopsis conchifer</x:v>
      </x:c>
      <x:c r="O200" s="32" t="n">
        <x:v>4.5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Zenopsis conchifer</x:v>
      </x:c>
      <x:c r="T200" s="32" t="n">
        <x:f>IF(O200="","",(1/'Metadata'!$B$5)^(O200-1))</x:f>
        <x:v>3162.2776601683795</x:v>
      </x:c>
      <x:c r="U200" s="31" t="n">
        <x:f>IF(T200="","",I200*T200)</x:f>
        <x:v>149444.68518644775</x:v>
      </x:c>
    </x:row>
    <x:row r="201" ht="18" customHeight="1">
      <x:c r="A201" s="24" t="str">
        <x:v>EEZ_076</x:v>
      </x:c>
      <x:c r="B201" s="24" t="str">
        <x:v>Brazil (mainland)</x:v>
      </x:c>
      <x:c r="C201" s="24" t="str">
        <x:v>EEZ</x:v>
      </x:c>
      <x:c r="D201" s="30" t="n">
        <x:v>2019</x:v>
      </x:c>
      <x:c r="E201" s="24" t="str">
        <x:v>Parona signata</x:v>
      </x:c>
      <x:c r="F201" s="24" t="str">
        <x:v>Parona leatherjacket</x:v>
      </x:c>
      <x:c r="G201" s="24" t="str">
        <x:v>Medium demersals (30 - 89 cm)</x:v>
      </x:c>
      <x:c r="H201" s="24" t="str">
        <x:v>Perch-likes</x:v>
      </x:c>
      <x:c r="I201" s="31" t="n">
        <x:v>44.9782018706</x:v>
      </x:c>
      <x:c r="J201" s="31" t="n">
        <x:v>44.9782018706</x:v>
      </x:c>
      <x:c r="K201" s="31" t="n">
        <x:v>0</x:v>
      </x:c>
      <x:c r="L201" s="31" t="n">
        <x:v>43.5636028292</x:v>
      </x:c>
      <x:c r="M201" s="31" t="n">
        <x:v>1.4145990414</x:v>
      </x:c>
      <x:c r="N201" s="24" t="str">
        <x:v>parona signata</x:v>
      </x:c>
      <x:c r="O201" s="32" t="n">
        <x:v>3.4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Parona signata</x:v>
      </x:c>
      <x:c r="T201" s="32" t="n">
        <x:f>IF(O201="","",(1/'Metadata'!$B$5)^(O201-1))</x:f>
        <x:v>251.18864315095797</x:v>
      </x:c>
      <x:c r="U201" s="31" t="n">
        <x:f>IF(T201="","",I201*T201)</x:f>
        <x:v>11298.013499245895</x:v>
      </x:c>
    </x:row>
    <x:row r="202" ht="18" customHeight="1">
      <x:c r="A202" s="24" t="str">
        <x:v>EEZ_076</x:v>
      </x:c>
      <x:c r="B202" s="24" t="str">
        <x:v>Brazil (mainland)</x:v>
      </x:c>
      <x:c r="C202" s="24" t="str">
        <x:v>EEZ</x:v>
      </x:c>
      <x:c r="D202" s="30" t="n">
        <x:v>2019</x:v>
      </x:c>
      <x:c r="E202" s="24" t="str">
        <x:v>Haemulon flavolineatum</x:v>
      </x:c>
      <x:c r="F202" s="24" t="str">
        <x:v>French grunt</x:v>
      </x:c>
      <x:c r="G202" s="24" t="str">
        <x:v>Small reef assoc. fish (&lt;30 cm)</x:v>
      </x:c>
      <x:c r="H202" s="24" t="str">
        <x:v>Perch-likes</x:v>
      </x:c>
      <x:c r="I202" s="31" t="n">
        <x:v>42.93040777899999</x:v>
      </x:c>
      <x:c r="J202" s="31" t="n">
        <x:v>42.93040777899999</x:v>
      </x:c>
      <x:c r="K202" s="31" t="n">
        <x:v>0</x:v>
      </x:c>
      <x:c r="L202" s="31" t="n">
        <x:v>29.676340981999996</x:v>
      </x:c>
      <x:c r="M202" s="31" t="n">
        <x:v>13.254066796999998</x:v>
      </x:c>
      <x:c r="N202" s="24" t="str">
        <x:v>haemulon flavolineatum</x:v>
      </x:c>
      <x:c r="O202" s="32" t="n">
        <x:v>3.46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Haemulon flavolineatum</x:v>
      </x:c>
      <x:c r="T202" s="32" t="n">
        <x:f>IF(O202="","",(1/'Metadata'!$B$5)^(O202-1))</x:f>
        <x:v>288.40315031266056</x:v>
      </x:c>
      <x:c r="U202" s="31" t="n">
        <x:f>IF(T202="","",I202*T202)</x:f>
        <x:v>12381.264847670747</x:v>
      </x:c>
    </x:row>
    <x:row r="203" ht="18" customHeight="1">
      <x:c r="A203" s="24" t="str">
        <x:v>EEZ_076</x:v>
      </x:c>
      <x:c r="B203" s="24" t="str">
        <x:v>Brazil (mainland)</x:v>
      </x:c>
      <x:c r="C203" s="24" t="str">
        <x:v>EEZ</x:v>
      </x:c>
      <x:c r="D203" s="30" t="n">
        <x:v>2019</x:v>
      </x:c>
      <x:c r="E203" s="24" t="str">
        <x:v>Carcharhinus falciformis</x:v>
      </x:c>
      <x:c r="F203" s="24" t="str">
        <x:v>Silky shark</x:v>
      </x:c>
      <x:c r="G203" s="24" t="str">
        <x:v>Large sharks (&gt;=90 cm)</x:v>
      </x:c>
      <x:c r="H203" s="24" t="str">
        <x:v>Sharks &amp; rays</x:v>
      </x:c>
      <x:c r="I203" s="31" t="n">
        <x:v>42.2576801346</x:v>
      </x:c>
      <x:c r="J203" s="31" t="n">
        <x:v>42.2576801346</x:v>
      </x:c>
      <x:c r="K203" s="31" t="n">
        <x:v>0</x:v>
      </x:c>
      <x:c r="L203" s="31" t="n">
        <x:v>0.0000216216</x:v>
      </x:c>
      <x:c r="M203" s="31" t="n">
        <x:v>42.257658512999996</x:v>
      </x:c>
      <x:c r="N203" s="24" t="str">
        <x:v>carcharhinus falciformis</x:v>
      </x:c>
      <x:c r="O203" s="32" t="n">
        <x:v>4.51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Carcharhinus falciformis</x:v>
      </x:c>
      <x:c r="T203" s="32" t="n">
        <x:f>IF(O203="","",(1/'Metadata'!$B$5)^(O203-1))</x:f>
        <x:v>3235.936569296281</x:v>
      </x:c>
      <x:c r="U203" s="31" t="n">
        <x:f>IF(T203="","",I203*T203)</x:f>
        <x:v>136743.17248117714</x:v>
      </x:c>
    </x:row>
    <x:row r="204" ht="18" customHeight="1">
      <x:c r="A204" s="24" t="str">
        <x:v>EEZ_076</x:v>
      </x:c>
      <x:c r="B204" s="24" t="str">
        <x:v>Brazil (mainland)</x:v>
      </x:c>
      <x:c r="C204" s="24" t="str">
        <x:v>EEZ</x:v>
      </x:c>
      <x:c r="D204" s="30" t="n">
        <x:v>2019</x:v>
      </x:c>
      <x:c r="E204" s="24" t="str">
        <x:v>Gempylidae</x:v>
      </x:c>
      <x:c r="F204" s="24" t="str">
        <x:v>Snake mackerels</x:v>
      </x:c>
      <x:c r="G204" s="24" t="str">
        <x:v>Large benthopelagics (&gt;=90 cm)</x:v>
      </x:c>
      <x:c r="H204" s="24" t="str">
        <x:v>Perch-likes</x:v>
      </x:c>
      <x:c r="I204" s="31" t="n">
        <x:v>40.54998378</x:v>
      </x:c>
      <x:c r="J204" s="31" t="n">
        <x:v>40.54998378</x:v>
      </x:c>
      <x:c r="K204" s="31" t="n">
        <x:v>0</x:v>
      </x:c>
      <x:c r="L204" s="31" t="n">
        <x:v>3.8167132172000002</x:v>
      </x:c>
      <x:c r="M204" s="31" t="n">
        <x:v>36.7332705628</x:v>
      </x:c>
      <x:c r="N204" s="24" t="str">
        <x:v>gempylidae</x:v>
      </x:c>
      <x:c r="O204" s="32" t="n">
        <x:v>4.21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Gempylidae</x:v>
      </x:c>
      <x:c r="T204" s="32" t="n">
        <x:f>IF(O204="","",(1/'Metadata'!$B$5)^(O204-1))</x:f>
        <x:v>1621.8100973589299</x:v>
      </x:c>
      <x:c r="U204" s="31" t="n">
        <x:f>IF(T204="","",I204*T204)</x:f>
        <x:v>65764.37314214482</x:v>
      </x:c>
    </x:row>
    <x:row r="205" ht="18" customHeight="1">
      <x:c r="A205" s="24" t="str">
        <x:v>EEZ_076</x:v>
      </x:c>
      <x:c r="B205" s="24" t="str">
        <x:v>Brazil (mainland)</x:v>
      </x:c>
      <x:c r="C205" s="24" t="str">
        <x:v>EEZ</x:v>
      </x:c>
      <x:c r="D205" s="30" t="n">
        <x:v>2019</x:v>
      </x:c>
      <x:c r="E205" s="24" t="str">
        <x:v>Sarda sarda</x:v>
      </x:c>
      <x:c r="F205" s="24" t="str">
        <x:v>Atlantic bonito</x:v>
      </x:c>
      <x:c r="G205" s="24" t="str">
        <x:v>Medium pelagics (30 - 89 cm)</x:v>
      </x:c>
      <x:c r="H205" s="24" t="str">
        <x:v>Tuna &amp; billfishes</x:v>
      </x:c>
      <x:c r="I205" s="31" t="n">
        <x:v>40.318846955699996</x:v>
      </x:c>
      <x:c r="J205" s="31" t="n">
        <x:v>40.318846955699996</x:v>
      </x:c>
      <x:c r="K205" s="31" t="n">
        <x:v>0</x:v>
      </x:c>
      <x:c r="L205" s="31" t="n">
        <x:v>30.081675695899996</x:v>
      </x:c>
      <x:c r="M205" s="31" t="n">
        <x:v>10.2371712598</x:v>
      </x:c>
      <x:c r="N205" s="24" t="str">
        <x:v>sarda sarda</x:v>
      </x:c>
      <x:c r="O205" s="32" t="n">
        <x:v>4.5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Sarda sarda</x:v>
      </x:c>
      <x:c r="T205" s="32" t="n">
        <x:f>IF(O205="","",(1/'Metadata'!$B$5)^(O205-1))</x:f>
        <x:v>3162.2776601683795</x:v>
      </x:c>
      <x:c r="U205" s="31" t="n">
        <x:f>IF(T205="","",I205*T205)</x:f>
        <x:v>127499.38901175797</x:v>
      </x:c>
    </x:row>
    <x:row r="206" ht="18" customHeight="1">
      <x:c r="A206" s="24" t="str">
        <x:v>EEZ_076</x:v>
      </x:c>
      <x:c r="B206" s="24" t="str">
        <x:v>Brazil (mainland)</x:v>
      </x:c>
      <x:c r="C206" s="24" t="str">
        <x:v>EEZ</x:v>
      </x:c>
      <x:c r="D206" s="30" t="n">
        <x:v>2019</x:v>
      </x:c>
      <x:c r="E206" s="24" t="str">
        <x:v>Acanthurus</x:v>
      </x:c>
      <x:c r="F206" s="24" t="str">
        <x:v>Surgeonfishes</x:v>
      </x:c>
      <x:c r="G206" s="24" t="str">
        <x:v>Small reef assoc. fish (&lt;30 cm)</x:v>
      </x:c>
      <x:c r="H206" s="24" t="str">
        <x:v>Perch-likes</x:v>
      </x:c>
      <x:c r="I206" s="31" t="n">
        <x:v>38.5589315924</x:v>
      </x:c>
      <x:c r="J206" s="31" t="n">
        <x:v>38.5589315924</x:v>
      </x:c>
      <x:c r="K206" s="31" t="n">
        <x:v>0</x:v>
      </x:c>
      <x:c r="L206" s="31" t="n">
        <x:v>14.7395877204</x:v>
      </x:c>
      <x:c r="M206" s="31" t="n">
        <x:v>23.819343872</x:v>
      </x:c>
      <x:c r="N206" s="24" t="str">
        <x:v>acanthurus</x:v>
      </x:c>
      <x:c r="O206" s="32" t="n">
        <x:v>2.03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Acanthurus</x:v>
      </x:c>
      <x:c r="T206" s="32" t="n">
        <x:f>IF(O206="","",(1/'Metadata'!$B$5)^(O206-1))</x:f>
        <x:v>10.71519305237606</x:v>
      </x:c>
      <x:c r="U206" s="31" t="n">
        <x:f>IF(T206="","",I206*T206)</x:f>
        <x:v>413.16639590592825</x:v>
      </x:c>
    </x:row>
    <x:row r="207" ht="18" customHeight="1">
      <x:c r="A207" s="24" t="str">
        <x:v>EEZ_076</x:v>
      </x:c>
      <x:c r="B207" s="24" t="str">
        <x:v>Brazil (mainland)</x:v>
      </x:c>
      <x:c r="C207" s="24" t="str">
        <x:v>EEZ</x:v>
      </x:c>
      <x:c r="D207" s="30" t="n">
        <x:v>2019</x:v>
      </x:c>
      <x:c r="E207" s="24" t="str">
        <x:v>Galeorhinus galeus</x:v>
      </x:c>
      <x:c r="F207" s="24" t="str">
        <x:v>Tope shark</x:v>
      </x:c>
      <x:c r="G207" s="24" t="str">
        <x:v>Large sharks (&gt;=90 cm)</x:v>
      </x:c>
      <x:c r="H207" s="24" t="str">
        <x:v>Sharks &amp; rays</x:v>
      </x:c>
      <x:c r="I207" s="31" t="n">
        <x:v>37.5935972101</x:v>
      </x:c>
      <x:c r="J207" s="31" t="n">
        <x:v>37.5935972101</x:v>
      </x:c>
      <x:c r="K207" s="31" t="n">
        <x:v>0</x:v>
      </x:c>
      <x:c r="L207" s="31" t="n">
        <x:v>37.4880559372</x:v>
      </x:c>
      <x:c r="M207" s="31" t="n">
        <x:v>0.1055412729</x:v>
      </x:c>
      <x:c r="N207" s="24" t="str">
        <x:v>galeorhinus galeus</x:v>
      </x:c>
      <x:c r="O207" s="32" t="n">
        <x:v>4.34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Galeorhinus galeus</x:v>
      </x:c>
      <x:c r="T207" s="32" t="n">
        <x:f>IF(O207="","",(1/'Metadata'!$B$5)^(O207-1))</x:f>
        <x:v>2187.761623949552</x:v>
      </x:c>
      <x:c r="U207" s="31" t="n">
        <x:f>IF(T207="","",I207*T207)</x:f>
        <x:v>82245.82928247371</x:v>
      </x:c>
    </x:row>
    <x:row r="208" ht="18" customHeight="1">
      <x:c r="A208" s="24" t="str">
        <x:v>EEZ_076</x:v>
      </x:c>
      <x:c r="B208" s="24" t="str">
        <x:v>Brazil (mainland)</x:v>
      </x:c>
      <x:c r="C208" s="24" t="str">
        <x:v>EEZ</x:v>
      </x:c>
      <x:c r="D208" s="30" t="n">
        <x:v>2019</x:v>
      </x:c>
      <x:c r="E208" s="24" t="str">
        <x:v>Carcharias taurus</x:v>
      </x:c>
      <x:c r="F208" s="24" t="str">
        <x:v>Sand tiger shark</x:v>
      </x:c>
      <x:c r="G208" s="24" t="str">
        <x:v>Large sharks (&gt;=90 cm)</x:v>
      </x:c>
      <x:c r="H208" s="24" t="str">
        <x:v>Sharks &amp; rays</x:v>
      </x:c>
      <x:c r="I208" s="31" t="n">
        <x:v>36.2117260585</x:v>
      </x:c>
      <x:c r="J208" s="31" t="n">
        <x:v>36.2117260585</x:v>
      </x:c>
      <x:c r="K208" s="31" t="n">
        <x:v>0</x:v>
      </x:c>
      <x:c r="L208" s="31" t="n">
        <x:v>35.399106125100005</x:v>
      </x:c>
      <x:c r="M208" s="31" t="n">
        <x:v>0.8126199334</x:v>
      </x:c>
      <x:c r="N208" s="24" t="str">
        <x:v>carcharias taurus</x:v>
      </x:c>
      <x:c r="O208" s="32" t="n">
        <x:v>4.5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Carcharias taurus</x:v>
      </x:c>
      <x:c r="T208" s="32" t="n">
        <x:f>IF(O208="","",(1/'Metadata'!$B$5)^(O208-1))</x:f>
        <x:v>3162.2776601683795</x:v>
      </x:c>
      <x:c r="U208" s="31" t="n">
        <x:f>IF(T208="","",I208*T208)</x:f>
        <x:v>114511.53235093171</x:v>
      </x:c>
    </x:row>
    <x:row r="209" ht="18" customHeight="1">
      <x:c r="A209" s="24" t="str">
        <x:v>EEZ_076</x:v>
      </x:c>
      <x:c r="B209" s="24" t="str">
        <x:v>Brazil (mainland)</x:v>
      </x:c>
      <x:c r="C209" s="24" t="str">
        <x:v>EEZ</x:v>
      </x:c>
      <x:c r="D209" s="30" t="n">
        <x:v>2019</x:v>
      </x:c>
      <x:c r="E209" s="24" t="str">
        <x:v>Gobiidae</x:v>
      </x:c>
      <x:c r="F209" s="24" t="str">
        <x:v>Gobies</x:v>
      </x:c>
      <x:c r="G209" s="24" t="str">
        <x:v>Small reef assoc. fish (&lt;30 cm)</x:v>
      </x:c>
      <x:c r="H209" s="24" t="str">
        <x:v>Perch-likes</x:v>
      </x:c>
      <x:c r="I209" s="31" t="n">
        <x:v>35.3067371299</x:v>
      </x:c>
      <x:c r="J209" s="31" t="n">
        <x:v>35.3067371299</x:v>
      </x:c>
      <x:c r="K209" s="31" t="n">
        <x:v>0</x:v>
      </x:c>
      <x:c r="L209" s="31" t="n">
        <x:v>34.7453390719</x:v>
      </x:c>
      <x:c r="M209" s="31" t="n">
        <x:v>0.561398058</x:v>
      </x:c>
      <x:c r="N209" s="24" t="str">
        <x:v>gobiidae</x:v>
      </x:c>
      <x:c r="O209" s="32" t="n">
        <x:v>3.11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Gobiidae</x:v>
      </x:c>
      <x:c r="T209" s="32" t="n">
        <x:f>IF(O209="","",(1/'Metadata'!$B$5)^(O209-1))</x:f>
        <x:v>128.82495516931337</x:v>
      </x:c>
      <x:c r="U209" s="31" t="n">
        <x:f>IF(T209="","",I209*T209)</x:f>
        <x:v>4548.388827934099</x:v>
      </x:c>
    </x:row>
    <x:row r="210" ht="18" customHeight="1">
      <x:c r="A210" s="24" t="str">
        <x:v>EEZ_076</x:v>
      </x:c>
      <x:c r="B210" s="24" t="str">
        <x:v>Brazil (mainland)</x:v>
      </x:c>
      <x:c r="C210" s="24" t="str">
        <x:v>EEZ</x:v>
      </x:c>
      <x:c r="D210" s="30" t="n">
        <x:v>2019</x:v>
      </x:c>
      <x:c r="E210" s="24" t="str">
        <x:v>Hyporthodus niveatus</x:v>
      </x:c>
      <x:c r="F210" s="24" t="str">
        <x:v>Snowy grouper</x:v>
      </x:c>
      <x:c r="G210" s="24" t="str">
        <x:v>Large demersals (&gt;=90 cm)</x:v>
      </x:c>
      <x:c r="H210" s="24" t="str">
        <x:v>Perch-likes</x:v>
      </x:c>
      <x:c r="I210" s="31" t="n">
        <x:v>34.4897203978</x:v>
      </x:c>
      <x:c r="J210" s="31" t="n">
        <x:v>34.4897203978</x:v>
      </x:c>
      <x:c r="K210" s="31" t="n">
        <x:v>0</x:v>
      </x:c>
      <x:c r="L210" s="31" t="n">
        <x:v>33.462086867800004</x:v>
      </x:c>
      <x:c r="M210" s="31" t="n">
        <x:v>1.0276335300000001</x:v>
      </x:c>
      <x:c r="N210" s="24" t="str">
        <x:v>hyporthodus niveatus</x:v>
      </x:c>
      <x:c r="O210" s="32" t="n">
        <x:v>4.04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Hyporthodus niveatus</x:v>
      </x:c>
      <x:c r="T210" s="32" t="n">
        <x:f>IF(O210="","",(1/'Metadata'!$B$5)^(O210-1))</x:f>
        <x:v>1096.4781961431852</x:v>
      </x:c>
      <x:c r="U210" s="31" t="n">
        <x:f>IF(T210="","",I210*T210)</x:f>
        <x:v>37817.22640726256</x:v>
      </x:c>
    </x:row>
    <x:row r="211" ht="18" customHeight="1">
      <x:c r="A211" s="24" t="str">
        <x:v>EEZ_076</x:v>
      </x:c>
      <x:c r="B211" s="24" t="str">
        <x:v>Brazil (mainland)</x:v>
      </x:c>
      <x:c r="C211" s="24" t="str">
        <x:v>EEZ</x:v>
      </x:c>
      <x:c r="D211" s="30" t="n">
        <x:v>2019</x:v>
      </x:c>
      <x:c r="E211" s="24" t="str">
        <x:v>Alectis ciliaris</x:v>
      </x:c>
      <x:c r="F211" s="24" t="str">
        <x:v>African pompano</x:v>
      </x:c>
      <x:c r="G211" s="24" t="str">
        <x:v>Large pelagics (&gt;=90 cm)</x:v>
      </x:c>
      <x:c r="H211" s="24" t="str">
        <x:v>Perch-likes</x:v>
      </x:c>
      <x:c r="I211" s="31" t="n">
        <x:v>34.3744790188</x:v>
      </x:c>
      <x:c r="J211" s="31" t="n">
        <x:v>34.3744790188</x:v>
      </x:c>
      <x:c r="K211" s="31" t="n">
        <x:v>0</x:v>
      </x:c>
      <x:c r="L211" s="31" t="n">
        <x:v>8.0565193421</x:v>
      </x:c>
      <x:c r="M211" s="31" t="n">
        <x:v>26.3179596767</x:v>
      </x:c>
      <x:c r="N211" s="24" t="str">
        <x:v>alectis ciliaris</x:v>
      </x:c>
      <x:c r="O211" s="32" t="n">
        <x:v>3.95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Alectis ciliaris</x:v>
      </x:c>
      <x:c r="T211" s="32" t="n">
        <x:f>IF(O211="","",(1/'Metadata'!$B$5)^(O211-1))</x:f>
        <x:v>891.2509381337459</x:v>
      </x:c>
      <x:c r="U211" s="31" t="n">
        <x:f>IF(T211="","",I211*T211)</x:f>
        <x:v>30636.286673364266</x:v>
      </x:c>
    </x:row>
    <x:row r="212" ht="18" customHeight="1">
      <x:c r="A212" s="24" t="str">
        <x:v>EEZ_076</x:v>
      </x:c>
      <x:c r="B212" s="24" t="str">
        <x:v>Brazil (mainland)</x:v>
      </x:c>
      <x:c r="C212" s="24" t="str">
        <x:v>EEZ</x:v>
      </x:c>
      <x:c r="D212" s="30" t="n">
        <x:v>2019</x:v>
      </x:c>
      <x:c r="E212" s="24" t="str">
        <x:v>Alopias vulpinus</x:v>
      </x:c>
      <x:c r="F212" s="24" t="str">
        <x:v>Thresher</x:v>
      </x:c>
      <x:c r="G212" s="24" t="str">
        <x:v>Large sharks (&gt;=90 cm)</x:v>
      </x:c>
      <x:c r="H212" s="24" t="str">
        <x:v>Sharks &amp; rays</x:v>
      </x:c>
      <x:c r="I212" s="31" t="n">
        <x:v>34.322814963</x:v>
      </x:c>
      <x:c r="J212" s="31" t="n">
        <x:v>34.322814963</x:v>
      </x:c>
      <x:c r="K212" s="31" t="n">
        <x:v>0</x:v>
      </x:c>
      <x:c r="L212" s="31" t="n">
        <x:v>34.322814963</x:v>
      </x:c>
      <x:c r="M212" s="31" t="n">
        <x:v>0</x:v>
      </x:c>
      <x:c r="N212" s="24" t="str">
        <x:v>alopias vulpinus</x:v>
      </x:c>
      <x:c r="O212" s="32" t="n">
        <x:v>4.5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Alopias vulpinus</x:v>
      </x:c>
      <x:c r="T212" s="32" t="n">
        <x:f>IF(O212="","",(1/'Metadata'!$B$5)^(O212-1))</x:f>
        <x:v>3162.2776601683795</x:v>
      </x:c>
      <x:c r="U212" s="31" t="n">
        <x:f>IF(T212="","",I212*T212)</x:f>
        <x:v>108538.27099158788</x:v>
      </x:c>
    </x:row>
    <x:row r="213" ht="18" customHeight="1">
      <x:c r="A213" s="24" t="str">
        <x:v>EEZ_076</x:v>
      </x:c>
      <x:c r="B213" s="24" t="str">
        <x:v>Brazil (mainland)</x:v>
      </x:c>
      <x:c r="C213" s="24" t="str">
        <x:v>EEZ</x:v>
      </x:c>
      <x:c r="D213" s="30" t="n">
        <x:v>2019</x:v>
      </x:c>
      <x:c r="E213" s="24" t="str">
        <x:v>Seriola dumerili</x:v>
      </x:c>
      <x:c r="F213" s="24" t="str">
        <x:v>Greater amberjack</x:v>
      </x:c>
      <x:c r="G213" s="24" t="str">
        <x:v>Large reef assoc. fish (&gt;=90 cm)</x:v>
      </x:c>
      <x:c r="H213" s="24" t="str">
        <x:v>Perch-likes</x:v>
      </x:c>
      <x:c r="I213" s="31" t="n">
        <x:v>33.8004071171</x:v>
      </x:c>
      <x:c r="J213" s="31" t="n">
        <x:v>33.8004071171</x:v>
      </x:c>
      <x:c r="K213" s="31" t="n">
        <x:v>0</x:v>
      </x:c>
      <x:c r="L213" s="31" t="n">
        <x:v>33.5223636991</x:v>
      </x:c>
      <x:c r="M213" s="31" t="n">
        <x:v>0.278043418</x:v>
      </x:c>
      <x:c r="N213" s="24" t="str">
        <x:v>seriola dumerili</x:v>
      </x:c>
      <x:c r="O213" s="32" t="n">
        <x:v>4.5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Seriola dumerili</x:v>
      </x:c>
      <x:c r="T213" s="32" t="n">
        <x:f>IF(O213="","",(1/'Metadata'!$B$5)^(O213-1))</x:f>
        <x:v>3162.2776601683795</x:v>
      </x:c>
      <x:c r="U213" s="31" t="n">
        <x:f>IF(T213="","",I213*T213)</x:f>
        <x:v>106886.27233100163</x:v>
      </x:c>
    </x:row>
    <x:row r="214" ht="18" customHeight="1">
      <x:c r="A214" s="24" t="str">
        <x:v>EEZ_076</x:v>
      </x:c>
      <x:c r="B214" s="24" t="str">
        <x:v>Brazil (mainland)</x:v>
      </x:c>
      <x:c r="C214" s="24" t="str">
        <x:v>EEZ</x:v>
      </x:c>
      <x:c r="D214" s="30" t="n">
        <x:v>2019</x:v>
      </x:c>
      <x:c r="E214" s="24" t="str">
        <x:v>Hemiramphidae</x:v>
      </x:c>
      <x:c r="F214" s="24" t="str">
        <x:v>Halfbeaks, garfishes</x:v>
      </x:c>
      <x:c r="G214" s="24" t="str">
        <x:v>Medium pelagics (30 - 89 cm)</x:v>
      </x:c>
      <x:c r="H214" s="24" t="str">
        <x:v>Other fishes &amp; inverts</x:v>
      </x:c>
      <x:c r="I214" s="31" t="n">
        <x:v>31.7595155667</x:v>
      </x:c>
      <x:c r="J214" s="31" t="n">
        <x:v>31.7595155667</x:v>
      </x:c>
      <x:c r="K214" s="31" t="n">
        <x:v>0</x:v>
      </x:c>
      <x:c r="L214" s="31" t="n">
        <x:v>31.634287322699997</x:v>
      </x:c>
      <x:c r="M214" s="31" t="n">
        <x:v>0.125228244</x:v>
      </x:c>
      <x:c r="N214" s="24" t="str">
        <x:v>hemiramphidae</x:v>
      </x:c>
      <x:c r="O214" s="32" t="n">
        <x:v>2.82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Hemiramphidae</x:v>
      </x:c>
      <x:c r="T214" s="32" t="n">
        <x:f>IF(O214="","",(1/'Metadata'!$B$5)^(O214-1))</x:f>
        <x:v>66.06934480075958</x:v>
      </x:c>
      <x:c r="U214" s="31" t="n">
        <x:f>IF(T214="","",I214*T214)</x:f>
        <x:v>2098.3303846813938</x:v>
      </x:c>
    </x:row>
    <x:row r="215" ht="18" customHeight="1">
      <x:c r="A215" s="24" t="str">
        <x:v>EEZ_076</x:v>
      </x:c>
      <x:c r="B215" s="24" t="str">
        <x:v>Brazil (mainland)</x:v>
      </x:c>
      <x:c r="C215" s="24" t="str">
        <x:v>EEZ</x:v>
      </x:c>
      <x:c r="D215" s="30" t="n">
        <x:v>2019</x:v>
      </x:c>
      <x:c r="E215" s="24" t="str">
        <x:v>Fistularia tabacaria</x:v>
      </x:c>
      <x:c r="F215" s="24" t="str">
        <x:v>Cornetfish</x:v>
      </x:c>
      <x:c r="G215" s="24" t="str">
        <x:v>Large reef assoc. fish (&gt;=90 cm)</x:v>
      </x:c>
      <x:c r="H215" s="24" t="str">
        <x:v>Other fishes &amp; inverts</x:v>
      </x:c>
      <x:c r="I215" s="31" t="n">
        <x:v>26.0718738501</x:v>
      </x:c>
      <x:c r="J215" s="31" t="n">
        <x:v>26.0718738501</x:v>
      </x:c>
      <x:c r="K215" s="31" t="n">
        <x:v>0</x:v>
      </x:c>
      <x:c r="L215" s="31" t="n">
        <x:v>25.978122127</x:v>
      </x:c>
      <x:c r="M215" s="31" t="n">
        <x:v>0.0937517231</x:v>
      </x:c>
      <x:c r="N215" s="24" t="str">
        <x:v>fistularia tabacaria</x:v>
      </x:c>
      <x:c r="O215" s="32" t="n">
        <x:v>3.69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Fistularia tabacaria</x:v>
      </x:c>
      <x:c r="T215" s="32" t="n">
        <x:f>IF(O215="","",(1/'Metadata'!$B$5)^(O215-1))</x:f>
        <x:v>489.77881936844614</x:v>
      </x:c>
      <x:c r="U215" s="31" t="n">
        <x:f>IF(T215="","",I215*T215)</x:f>
        <x:v>12769.451593025044</x:v>
      </x:c>
    </x:row>
    <x:row r="216" ht="18" customHeight="1">
      <x:c r="A216" s="24" t="str">
        <x:v>EEZ_076</x:v>
      </x:c>
      <x:c r="B216" s="24" t="str">
        <x:v>Brazil (mainland)</x:v>
      </x:c>
      <x:c r="C216" s="24" t="str">
        <x:v>EEZ</x:v>
      </x:c>
      <x:c r="D216" s="30" t="n">
        <x:v>2019</x:v>
      </x:c>
      <x:c r="E216" s="24" t="str">
        <x:v>Carcharhiniformes</x:v>
      </x:c>
      <x:c r="F216" s="24" t="str">
        <x:v>Ground sharks</x:v>
      </x:c>
      <x:c r="G216" s="24" t="str">
        <x:v>Large sharks (&gt;=90 cm)</x:v>
      </x:c>
      <x:c r="H216" s="24" t="str">
        <x:v>Sharks &amp; rays</x:v>
      </x:c>
      <x:c r="I216" s="31" t="n">
        <x:v>23.321880841</x:v>
      </x:c>
      <x:c r="J216" s="31" t="n">
        <x:v>23.321880841</x:v>
      </x:c>
      <x:c r="K216" s="31" t="n">
        <x:v>0</x:v>
      </x:c>
      <x:c r="L216" s="31" t="n">
        <x:v>0</x:v>
      </x:c>
      <x:c r="M216" s="31" t="n">
        <x:v>23.321880841</x:v>
      </x:c>
      <x:c r="N216" s="24" t="str">
        <x:v>carcharhiniformes</x:v>
      </x:c>
      <x:c r="O216" s="32" t="n">
        <x:v>4.08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Carcharhiniformes</x:v>
      </x:c>
      <x:c r="T216" s="32" t="n">
        <x:f>IF(O216="","",(1/'Metadata'!$B$5)^(O216-1))</x:f>
        <x:v>1202.2644346174131</x:v>
      </x:c>
      <x:c r="U216" s="31" t="n">
        <x:f>IF(T216="","",I216*T216)</x:f>
        <x:v>28039.067883519543</x:v>
      </x:c>
    </x:row>
    <x:row r="217" ht="18" customHeight="1">
      <x:c r="A217" s="24" t="str">
        <x:v>EEZ_076</x:v>
      </x:c>
      <x:c r="B217" s="24" t="str">
        <x:v>Brazil (mainland)</x:v>
      </x:c>
      <x:c r="C217" s="24" t="str">
        <x:v>EEZ</x:v>
      </x:c>
      <x:c r="D217" s="30" t="n">
        <x:v>2019</x:v>
      </x:c>
      <x:c r="E217" s="24" t="str">
        <x:v>Lutjanidae</x:v>
      </x:c>
      <x:c r="F217" s="24" t="str">
        <x:v>Snappers</x:v>
      </x:c>
      <x:c r="G217" s="24" t="str">
        <x:v>Medium reef assoc. fish (30 - 89 cm)</x:v>
      </x:c>
      <x:c r="H217" s="24" t="str">
        <x:v>Perch-likes</x:v>
      </x:c>
      <x:c r="I217" s="31" t="n">
        <x:v>22.585342606</x:v>
      </x:c>
      <x:c r="J217" s="31" t="n">
        <x:v>22.585342606</x:v>
      </x:c>
      <x:c r="K217" s="31" t="n">
        <x:v>0</x:v>
      </x:c>
      <x:c r="L217" s="31" t="n">
        <x:v>4.274450988</x:v>
      </x:c>
      <x:c r="M217" s="31" t="n">
        <x:v>18.310891618</x:v>
      </x:c>
      <x:c r="N217" s="24" t="str">
        <x:v>lutjanidae</x:v>
      </x:c>
      <x:c r="O217" s="32" t="n">
        <x:v>4.02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Lutjanidae</x:v>
      </x:c>
      <x:c r="T217" s="32" t="n">
        <x:f>IF(O217="","",(1/'Metadata'!$B$5)^(O217-1))</x:f>
        <x:v>1047.1285480508984</x:v>
      </x:c>
      <x:c r="U217" s="31" t="n">
        <x:f>IF(T217="","",I217*T217)</x:f>
        <x:v>23649.757010252877</x:v>
      </x:c>
    </x:row>
    <x:row r="218" ht="18" customHeight="1">
      <x:c r="A218" s="24" t="str">
        <x:v>EEZ_076</x:v>
      </x:c>
      <x:c r="B218" s="24" t="str">
        <x:v>Brazil (mainland)</x:v>
      </x:c>
      <x:c r="C218" s="24" t="str">
        <x:v>EEZ</x:v>
      </x:c>
      <x:c r="D218" s="30" t="n">
        <x:v>2019</x:v>
      </x:c>
      <x:c r="E218" s="24" t="str">
        <x:v>Carcharhinus</x:v>
      </x:c>
      <x:c r="F218" s="24" t="str">
        <x:v>Sharp-nosed sharks</x:v>
      </x:c>
      <x:c r="G218" s="24" t="str">
        <x:v>Large sharks (&gt;=90 cm)</x:v>
      </x:c>
      <x:c r="H218" s="24" t="str">
        <x:v>Sharks &amp; rays</x:v>
      </x:c>
      <x:c r="I218" s="31" t="n">
        <x:v>22.14024799</x:v>
      </x:c>
      <x:c r="J218" s="31" t="n">
        <x:v>22.14024799</x:v>
      </x:c>
      <x:c r="K218" s="31" t="n">
        <x:v>0</x:v>
      </x:c>
      <x:c r="L218" s="31" t="n">
        <x:v>0</x:v>
      </x:c>
      <x:c r="M218" s="31" t="n">
        <x:v>22.14024799</x:v>
      </x:c>
      <x:c r="N218" s="24" t="str">
        <x:v>carcharhinus</x:v>
      </x:c>
      <x:c r="O218" s="32" t="n">
        <x:v>4.26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Carcharhinus</x:v>
      </x:c>
      <x:c r="T218" s="32" t="n">
        <x:f>IF(O218="","",(1/'Metadata'!$B$5)^(O218-1))</x:f>
        <x:v>1819.7008586099826</x:v>
      </x:c>
      <x:c r="U218" s="31" t="n">
        <x:f>IF(T218="","",I218*T218)</x:f>
        <x:v>40288.62827724094</x:v>
      </x:c>
    </x:row>
    <x:row r="219" ht="18" customHeight="1">
      <x:c r="A219" s="24" t="str">
        <x:v>EEZ_076</x:v>
      </x:c>
      <x:c r="B219" s="24" t="str">
        <x:v>Brazil (mainland)</x:v>
      </x:c>
      <x:c r="C219" s="24" t="str">
        <x:v>EEZ</x:v>
      </x:c>
      <x:c r="D219" s="30" t="n">
        <x:v>2019</x:v>
      </x:c>
      <x:c r="E219" s="24" t="str">
        <x:v>Priacanthus</x:v>
      </x:c>
      <x:c r="F219" s="24" t="str">
        <x:v>Bigeyes</x:v>
      </x:c>
      <x:c r="G219" s="24" t="str">
        <x:v>Medium reef assoc. fish (30 - 89 cm)</x:v>
      </x:c>
      <x:c r="H219" s="24" t="str">
        <x:v>Perch-likes</x:v>
      </x:c>
      <x:c r="I219" s="31" t="n">
        <x:v>20.5252537951</x:v>
      </x:c>
      <x:c r="J219" s="31" t="n">
        <x:v>20.5252537951</x:v>
      </x:c>
      <x:c r="K219" s="31" t="n">
        <x:v>0</x:v>
      </x:c>
      <x:c r="L219" s="31" t="n">
        <x:v>0</x:v>
      </x:c>
      <x:c r="M219" s="31" t="n">
        <x:v>20.5252537951</x:v>
      </x:c>
      <x:c r="N219" s="24" t="str">
        <x:v>priacanthus</x:v>
      </x:c>
      <x:c r="O219" s="32" t="n">
        <x:v>3.81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Priacanthus</x:v>
      </x:c>
      <x:c r="T219" s="32" t="n">
        <x:f>IF(O219="","",(1/'Metadata'!$B$5)^(O219-1))</x:f>
        <x:v>645.6542290346556</x:v>
      </x:c>
      <x:c r="U219" s="31" t="n">
        <x:f>IF(T219="","",I219*T219)</x:f>
        <x:v>13252.216914815928</x:v>
      </x:c>
    </x:row>
    <x:row r="220" ht="18" customHeight="1">
      <x:c r="A220" s="24" t="str">
        <x:v>EEZ_076</x:v>
      </x:c>
      <x:c r="B220" s="24" t="str">
        <x:v>Brazil (mainland)</x:v>
      </x:c>
      <x:c r="C220" s="24" t="str">
        <x:v>EEZ</x:v>
      </x:c>
      <x:c r="D220" s="30" t="n">
        <x:v>2019</x:v>
      </x:c>
      <x:c r="E220" s="24" t="str">
        <x:v>Congridae</x:v>
      </x:c>
      <x:c r="F220" s="24" t="str">
        <x:v>Conger, garden eels</x:v>
      </x:c>
      <x:c r="G220" s="24" t="str">
        <x:v>Large demersals (&gt;=90 cm)</x:v>
      </x:c>
      <x:c r="H220" s="24" t="str">
        <x:v>Other fishes &amp; inverts</x:v>
      </x:c>
      <x:c r="I220" s="31" t="n">
        <x:v>20.2001042939</x:v>
      </x:c>
      <x:c r="J220" s="31" t="n">
        <x:v>20.2001042939</x:v>
      </x:c>
      <x:c r="K220" s="31" t="n">
        <x:v>0</x:v>
      </x:c>
      <x:c r="L220" s="31" t="n">
        <x:v>0</x:v>
      </x:c>
      <x:c r="M220" s="31" t="n">
        <x:v>20.2001042939</x:v>
      </x:c>
      <x:c r="N220" s="24" t="str">
        <x:v>congridae</x:v>
      </x:c>
      <x:c r="O220" s="32" t="n">
        <x:v>4.18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Congridae</x:v>
      </x:c>
      <x:c r="T220" s="32" t="n">
        <x:f>IF(O220="","",(1/'Metadata'!$B$5)^(O220-1))</x:f>
        <x:v>1513.5612484362073</x:v>
      </x:c>
      <x:c r="U220" s="31" t="n">
        <x:f>IF(T220="","",I220*T220)</x:f>
        <x:v>30574.095073616878</x:v>
      </x:c>
    </x:row>
    <x:row r="221" ht="18" customHeight="1">
      <x:c r="A221" s="24" t="str">
        <x:v>EEZ_076</x:v>
      </x:c>
      <x:c r="B221" s="24" t="str">
        <x:v>Brazil (mainland)</x:v>
      </x:c>
      <x:c r="C221" s="24" t="str">
        <x:v>EEZ</x:v>
      </x:c>
      <x:c r="D221" s="30" t="n">
        <x:v>2019</x:v>
      </x:c>
      <x:c r="E221" s="24" t="str">
        <x:v>Rhizoprionodon porosus</x:v>
      </x:c>
      <x:c r="F221" s="24" t="str">
        <x:v>Caribbean sharpnose shark</x:v>
      </x:c>
      <x:c r="G221" s="24" t="str">
        <x:v>Large sharks (&gt;=90 cm)</x:v>
      </x:c>
      <x:c r="H221" s="24" t="str">
        <x:v>Sharks &amp; rays</x:v>
      </x:c>
      <x:c r="I221" s="31" t="n">
        <x:v>20.179989572</x:v>
      </x:c>
      <x:c r="J221" s="31" t="n">
        <x:v>20.179989572</x:v>
      </x:c>
      <x:c r="K221" s="31" t="n">
        <x:v>0</x:v>
      </x:c>
      <x:c r="L221" s="31" t="n">
        <x:v>0</x:v>
      </x:c>
      <x:c r="M221" s="31" t="n">
        <x:v>20.179989572</x:v>
      </x:c>
      <x:c r="N221" s="24" t="str">
        <x:v>rhizoprionodon porosus</x:v>
      </x:c>
      <x:c r="O221" s="32" t="n">
        <x:v>3.99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Rhizoprionodon porosus</x:v>
      </x:c>
      <x:c r="T221" s="32" t="n">
        <x:f>IF(O221="","",(1/'Metadata'!$B$5)^(O221-1))</x:f>
        <x:v>977.2372209558112</x:v>
      </x:c>
      <x:c r="U221" s="31" t="n">
        <x:f>IF(T221="","",I221*T221)</x:f>
        <x:v>19720.63692825853</x:v>
      </x:c>
    </x:row>
    <x:row r="222" ht="18" customHeight="1">
      <x:c r="A222" s="24" t="str">
        <x:v>EEZ_076</x:v>
      </x:c>
      <x:c r="B222" s="24" t="str">
        <x:v>Brazil (mainland)</x:v>
      </x:c>
      <x:c r="C222" s="24" t="str">
        <x:v>EEZ</x:v>
      </x:c>
      <x:c r="D222" s="30" t="n">
        <x:v>2019</x:v>
      </x:c>
      <x:c r="E222" s="24" t="str">
        <x:v>Perciformes</x:v>
      </x:c>
      <x:c r="F222" s="24" t="str">
        <x:v>Perch-likes</x:v>
      </x:c>
      <x:c r="G222" s="24" t="str">
        <x:v>Medium demersals (30 - 89 cm)</x:v>
      </x:c>
      <x:c r="H222" s="24" t="str">
        <x:v>Perch-likes</x:v>
      </x:c>
      <x:c r="I222" s="31" t="n">
        <x:v>20.148448838300002</x:v>
      </x:c>
      <x:c r="J222" s="31" t="n">
        <x:v>20.148448838300002</x:v>
      </x:c>
      <x:c r="K222" s="31" t="n">
        <x:v>0</x:v>
      </x:c>
      <x:c r="L222" s="31" t="n">
        <x:v>19.9968670294</x:v>
      </x:c>
      <x:c r="M222" s="31" t="n">
        <x:v>0.1515818089</x:v>
      </x:c>
      <x:c r="N222" s="24" t="str">
        <x:v>perciformes</x:v>
      </x:c>
      <x:c r="O222" s="32" t="n">
        <x:v>3.53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Perciformes</x:v>
      </x:c>
      <x:c r="T222" s="32" t="n">
        <x:f>IF(O222="","",(1/'Metadata'!$B$5)^(O222-1))</x:f>
        <x:v>338.84415613920237</x:v>
      </x:c>
      <x:c r="U222" s="31" t="n">
        <x:f>IF(T222="","",I222*T222)</x:f>
        <x:v>6827.1841441276565</x:v>
      </x:c>
    </x:row>
    <x:row r="223" ht="18" customHeight="1">
      <x:c r="A223" s="24" t="str">
        <x:v>EEZ_076</x:v>
      </x:c>
      <x:c r="B223" s="24" t="str">
        <x:v>Brazil (mainland)</x:v>
      </x:c>
      <x:c r="C223" s="24" t="str">
        <x:v>EEZ</x:v>
      </x:c>
      <x:c r="D223" s="30" t="n">
        <x:v>2019</x:v>
      </x:c>
      <x:c r="E223" s="24" t="str">
        <x:v>Lutjanus vivanus</x:v>
      </x:c>
      <x:c r="F223" s="24" t="str">
        <x:v>Silk snapper</x:v>
      </x:c>
      <x:c r="G223" s="24" t="str">
        <x:v>Medium demersals (30 - 89 cm)</x:v>
      </x:c>
      <x:c r="H223" s="24" t="str">
        <x:v>Perch-likes</x:v>
      </x:c>
      <x:c r="I223" s="31" t="n">
        <x:v>19.6809205257</x:v>
      </x:c>
      <x:c r="J223" s="31" t="n">
        <x:v>19.6809205257</x:v>
      </x:c>
      <x:c r="K223" s="31" t="n">
        <x:v>0</x:v>
      </x:c>
      <x:c r="L223" s="31" t="n">
        <x:v>19.039214343</x:v>
      </x:c>
      <x:c r="M223" s="31" t="n">
        <x:v>0.6417061827</x:v>
      </x:c>
      <x:c r="N223" s="24" t="str">
        <x:v>lutjanus vivanus</x:v>
      </x:c>
      <x:c r="O223" s="32" t="n">
        <x:v>3.09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Lutjanus vivanus</x:v>
      </x:c>
      <x:c r="T223" s="32" t="n">
        <x:f>IF(O223="","",(1/'Metadata'!$B$5)^(O223-1))</x:f>
        <x:v>123.02687708123811</x:v>
      </x:c>
      <x:c r="U223" s="31" t="n">
        <x:f>IF(T223="","",I223*T223)</x:f>
        <x:v>2421.28219036091</x:v>
      </x:c>
    </x:row>
    <x:row r="224" ht="18" customHeight="1">
      <x:c r="A224" s="24" t="str">
        <x:v>EEZ_076</x:v>
      </x:c>
      <x:c r="B224" s="24" t="str">
        <x:v>Brazil (mainland)</x:v>
      </x:c>
      <x:c r="C224" s="24" t="str">
        <x:v>EEZ</x:v>
      </x:c>
      <x:c r="D224" s="30" t="n">
        <x:v>2019</x:v>
      </x:c>
      <x:c r="E224" s="24" t="str">
        <x:v>Myliobatidae</x:v>
      </x:c>
      <x:c r="F224" s="24" t="str">
        <x:v>Eagle/manta rays</x:v>
      </x:c>
      <x:c r="G224" s="24" t="str">
        <x:v>Large rays (&gt;=90 cm)</x:v>
      </x:c>
      <x:c r="H224" s="24" t="str">
        <x:v>Sharks &amp; rays</x:v>
      </x:c>
      <x:c r="I224" s="31" t="n">
        <x:v>18.486919121899998</x:v>
      </x:c>
      <x:c r="J224" s="31" t="n">
        <x:v>18.486919121899998</x:v>
      </x:c>
      <x:c r="K224" s="31" t="n">
        <x:v>0</x:v>
      </x:c>
      <x:c r="L224" s="31" t="n">
        <x:v>18.3064474749</x:v>
      </x:c>
      <x:c r="M224" s="31" t="n">
        <x:v>0.180471647</x:v>
      </x:c>
      <x:c r="N224" s="24" t="str">
        <x:v>myliobatidae</x:v>
      </x:c>
      <x:c r="O224" s="32" t="n">
        <x:v>3.36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Myliobatidae</x:v>
      </x:c>
      <x:c r="T224" s="32" t="n">
        <x:f>IF(O224="","",(1/'Metadata'!$B$5)^(O224-1))</x:f>
        <x:v>229.08676527677724</x:v>
      </x:c>
      <x:c r="U224" s="31" t="n">
        <x:f>IF(T224="","",I224*T224)</x:f>
        <x:v>4235.10850156947</x:v>
      </x:c>
    </x:row>
    <x:row r="225" ht="18" customHeight="1">
      <x:c r="A225" s="24" t="str">
        <x:v>EEZ_076</x:v>
      </x:c>
      <x:c r="B225" s="24" t="str">
        <x:v>Brazil (mainland)</x:v>
      </x:c>
      <x:c r="C225" s="24" t="str">
        <x:v>EEZ</x:v>
      </x:c>
      <x:c r="D225" s="30" t="n">
        <x:v>2019</x:v>
      </x:c>
      <x:c r="E225" s="24" t="str">
        <x:v>Bairdiella ronchus</x:v>
      </x:c>
      <x:c r="F225" s="24" t="str">
        <x:v>Ground croaker</x:v>
      </x:c>
      <x:c r="G225" s="24" t="str">
        <x:v>Small demersals (&lt;30 cm)</x:v>
      </x:c>
      <x:c r="H225" s="24" t="str">
        <x:v>Perch-likes</x:v>
      </x:c>
      <x:c r="I225" s="31" t="n">
        <x:v>17.769214176000002</x:v>
      </x:c>
      <x:c r="J225" s="31" t="n">
        <x:v>17.769214176000002</x:v>
      </x:c>
      <x:c r="K225" s="31" t="n">
        <x:v>0</x:v>
      </x:c>
      <x:c r="L225" s="31" t="n">
        <x:v>0.9544821231</x:v>
      </x:c>
      <x:c r="M225" s="31" t="n">
        <x:v>16.814732052900002</x:v>
      </x:c>
      <x:c r="N225" s="24" t="str">
        <x:v>bairdiella ronchus</x:v>
      </x:c>
      <x:c r="O225" s="32" t="n">
        <x:v>3.53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Bairdiella ronchus</x:v>
      </x:c>
      <x:c r="T225" s="32" t="n">
        <x:f>IF(O225="","",(1/'Metadata'!$B$5)^(O225-1))</x:f>
        <x:v>338.84415613920237</x:v>
      </x:c>
      <x:c r="U225" s="31" t="n">
        <x:f>IF(T225="","",I225*T225)</x:f>
        <x:v>6020.994382723473</x:v>
      </x:c>
    </x:row>
    <x:row r="226" ht="18" customHeight="1">
      <x:c r="A226" s="24" t="str">
        <x:v>EEZ_076</x:v>
      </x:c>
      <x:c r="B226" s="24" t="str">
        <x:v>Brazil (mainland)</x:v>
      </x:c>
      <x:c r="C226" s="24" t="str">
        <x:v>EEZ</x:v>
      </x:c>
      <x:c r="D226" s="30" t="n">
        <x:v>2019</x:v>
      </x:c>
      <x:c r="E226" s="24" t="str">
        <x:v>Anchoa hepsetus</x:v>
      </x:c>
      <x:c r="F226" s="24" t="str">
        <x:v>Broad-striped anchovy</x:v>
      </x:c>
      <x:c r="G226" s="24" t="str">
        <x:v>Small pelagics (&lt;30 cm)</x:v>
      </x:c>
      <x:c r="H226" s="24" t="str">
        <x:v>Anchovies</x:v>
      </x:c>
      <x:c r="I226" s="31" t="n">
        <x:v>17.209525</x:v>
      </x:c>
      <x:c r="J226" s="31" t="n">
        <x:v>17.209525</x:v>
      </x:c>
      <x:c r="K226" s="31" t="n">
        <x:v>0</x:v>
      </x:c>
      <x:c r="L226" s="31" t="n">
        <x:v>17.209525</x:v>
      </x:c>
      <x:c r="M226" s="31" t="n">
        <x:v>0</x:v>
      </x:c>
      <x:c r="N226" s="24" t="str">
        <x:v>anchoa hepsetus</x:v>
      </x:c>
      <x:c r="O226" s="32" t="n">
        <x:v>3.34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Anchoa hepsetus</x:v>
      </x:c>
      <x:c r="T226" s="32" t="n">
        <x:f>IF(O226="","",(1/'Metadata'!$B$5)^(O226-1))</x:f>
        <x:v>218.77616239495518</x:v>
      </x:c>
      <x:c r="U226" s="31" t="n">
        <x:f>IF(T226="","",I226*T226)</x:f>
        <x:v>3765.033836140041</x:v>
      </x:c>
    </x:row>
    <x:row r="227" ht="18" customHeight="1">
      <x:c r="A227" s="24" t="str">
        <x:v>EEZ_076</x:v>
      </x:c>
      <x:c r="B227" s="24" t="str">
        <x:v>Brazil (mainland)</x:v>
      </x:c>
      <x:c r="C227" s="24" t="str">
        <x:v>EEZ</x:v>
      </x:c>
      <x:c r="D227" s="30" t="n">
        <x:v>2019</x:v>
      </x:c>
      <x:c r="E227" s="24" t="str">
        <x:v>Hypanus guttatus</x:v>
      </x:c>
      <x:c r="F227" s="24" t="str">
        <x:v>Longnose stingray</x:v>
      </x:c>
      <x:c r="G227" s="24" t="str">
        <x:v>Large rays (&gt;=90 cm)</x:v>
      </x:c>
      <x:c r="H227" s="24" t="str">
        <x:v>Sharks &amp; rays</x:v>
      </x:c>
      <x:c r="I227" s="31" t="n">
        <x:v>17.129750632999997</x:v>
      </x:c>
      <x:c r="J227" s="31" t="n">
        <x:v>17.129750632999997</x:v>
      </x:c>
      <x:c r="K227" s="31" t="n">
        <x:v>0</x:v>
      </x:c>
      <x:c r="L227" s="31" t="n">
        <x:v>16.960419210999998</x:v>
      </x:c>
      <x:c r="M227" s="31" t="n">
        <x:v>0.16933142199999998</x:v>
      </x:c>
      <x:c r="N227" s="24" t="str">
        <x:v>hypanus guttatus</x:v>
      </x:c>
      <x:c r="O227" s="32" t="n">
        <x:v>2.61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Hypanus guttatus</x:v>
      </x:c>
      <x:c r="T227" s="32" t="n">
        <x:f>IF(O227="","",(1/'Metadata'!$B$5)^(O227-1))</x:f>
        <x:v>40.73802778041126</x:v>
      </x:c>
      <x:c r="U227" s="31" t="n">
        <x:f>IF(T227="","",I227*T227)</x:f>
        <x:v>697.8322571586712</x:v>
      </x:c>
    </x:row>
    <x:row r="228" ht="18" customHeight="1">
      <x:c r="A228" s="24" t="str">
        <x:v>EEZ_076</x:v>
      </x:c>
      <x:c r="B228" s="24" t="str">
        <x:v>Brazil (mainland)</x:v>
      </x:c>
      <x:c r="C228" s="24" t="str">
        <x:v>EEZ</x:v>
      </x:c>
      <x:c r="D228" s="30" t="n">
        <x:v>2019</x:v>
      </x:c>
      <x:c r="E228" s="24" t="str">
        <x:v>Engraulis anchoita</x:v>
      </x:c>
      <x:c r="F228" s="24" t="str">
        <x:v>Argentine anchovy</x:v>
      </x:c>
      <x:c r="G228" s="24" t="str">
        <x:v>Small pelagics (&lt;30 cm)</x:v>
      </x:c>
      <x:c r="H228" s="24" t="str">
        <x:v>Anchovies</x:v>
      </x:c>
      <x:c r="I228" s="31" t="n">
        <x:v>16.8537770429</x:v>
      </x:c>
      <x:c r="J228" s="31" t="n">
        <x:v>16.8537770429</x:v>
      </x:c>
      <x:c r="K228" s="31" t="n">
        <x:v>0</x:v>
      </x:c>
      <x:c r="L228" s="31" t="n">
        <x:v>9.950531044900002</x:v>
      </x:c>
      <x:c r="M228" s="31" t="n">
        <x:v>6.903245998</x:v>
      </x:c>
      <x:c r="N228" s="24" t="str">
        <x:v>engraulis anchoita</x:v>
      </x:c>
      <x:c r="O228" s="32" t="n">
        <x:v>2.51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Engraulis anchoita</x:v>
      </x:c>
      <x:c r="T228" s="32" t="n">
        <x:f>IF(O228="","",(1/'Metadata'!$B$5)^(O228-1))</x:f>
        <x:v>32.35936569296281</x:v>
      </x:c>
      <x:c r="U228" s="31" t="n">
        <x:f>IF(T228="","",I228*T228)</x:f>
        <x:v>545.3775346388625</x:v>
      </x:c>
    </x:row>
    <x:row r="229" ht="18" customHeight="1">
      <x:c r="A229" s="24" t="str">
        <x:v>EEZ_076</x:v>
      </x:c>
      <x:c r="B229" s="24" t="str">
        <x:v>Brazil (mainland)</x:v>
      </x:c>
      <x:c r="C229" s="24" t="str">
        <x:v>EEZ</x:v>
      </x:c>
      <x:c r="D229" s="30" t="n">
        <x:v>2019</x:v>
      </x:c>
      <x:c r="E229" s="24" t="str">
        <x:v>Istiophorus albicans</x:v>
      </x:c>
      <x:c r="F229" s="24" t="str">
        <x:v>Atlantic sailfish</x:v>
      </x:c>
      <x:c r="G229" s="24" t="str">
        <x:v>Large pelagics (&gt;=90 cm)</x:v>
      </x:c>
      <x:c r="H229" s="24" t="str">
        <x:v>Tuna &amp; billfishes</x:v>
      </x:c>
      <x:c r="I229" s="31" t="n">
        <x:v>15.8583311119</x:v>
      </x:c>
      <x:c r="J229" s="31" t="n">
        <x:v>15.8583311119</x:v>
      </x:c>
      <x:c r="K229" s="31" t="n">
        <x:v>0</x:v>
      </x:c>
      <x:c r="L229" s="31" t="n">
        <x:v>15.8583311119</x:v>
      </x:c>
      <x:c r="M229" s="31" t="n">
        <x:v>0</x:v>
      </x:c>
      <x:c r="N229" s="24" t="str">
        <x:v>istiophorus albicans</x:v>
      </x:c>
      <x:c r="O229" s="32" t="n">
        <x:v>4.5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Istiophorus albicans</x:v>
      </x:c>
      <x:c r="T229" s="32" t="n">
        <x:f>IF(O229="","",(1/'Metadata'!$B$5)^(O229-1))</x:f>
        <x:v>3162.2776601683795</x:v>
      </x:c>
      <x:c r="U229" s="31" t="n">
        <x:f>IF(T229="","",I229*T229)</x:f>
        <x:v>50148.44620271455</x:v>
      </x:c>
    </x:row>
    <x:row r="230" ht="18" customHeight="1">
      <x:c r="A230" s="24" t="str">
        <x:v>EEZ_076</x:v>
      </x:c>
      <x:c r="B230" s="24" t="str">
        <x:v>Brazil (mainland)</x:v>
      </x:c>
      <x:c r="C230" s="24" t="str">
        <x:v>EEZ</x:v>
      </x:c>
      <x:c r="D230" s="30" t="n">
        <x:v>2019</x:v>
      </x:c>
      <x:c r="E230" s="24" t="str">
        <x:v>Caranx lugubris</x:v>
      </x:c>
      <x:c r="F230" s="24" t="str">
        <x:v>Black jack</x:v>
      </x:c>
      <x:c r="G230" s="24" t="str">
        <x:v>Large benthopelagics (&gt;=90 cm)</x:v>
      </x:c>
      <x:c r="H230" s="24" t="str">
        <x:v>Perch-likes</x:v>
      </x:c>
      <x:c r="I230" s="31" t="n">
        <x:v>15.5226848669</x:v>
      </x:c>
      <x:c r="J230" s="31" t="n">
        <x:v>15.5226848669</x:v>
      </x:c>
      <x:c r="K230" s="31" t="n">
        <x:v>0</x:v>
      </x:c>
      <x:c r="L230" s="31" t="n">
        <x:v>15.1484336409</x:v>
      </x:c>
      <x:c r="M230" s="31" t="n">
        <x:v>0.374251226</x:v>
      </x:c>
      <x:c r="N230" s="24" t="str">
        <x:v>caranx lugubris</x:v>
      </x:c>
      <x:c r="O230" s="32" t="n">
        <x:v>4.5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Caranx lugubris</x:v>
      </x:c>
      <x:c r="T230" s="32" t="n">
        <x:f>IF(O230="","",(1/'Metadata'!$B$5)^(O230-1))</x:f>
        <x:v>3162.2776601683795</x:v>
      </x:c>
      <x:c r="U230" s="31" t="n">
        <x:f>IF(T230="","",I230*T230)</x:f>
        <x:v>49087.03958043165</x:v>
      </x:c>
    </x:row>
    <x:row r="231" ht="18" customHeight="1">
      <x:c r="A231" s="24" t="str">
        <x:v>EEZ_076</x:v>
      </x:c>
      <x:c r="B231" s="24" t="str">
        <x:v>Brazil (mainland)</x:v>
      </x:c>
      <x:c r="C231" s="24" t="str">
        <x:v>EEZ</x:v>
      </x:c>
      <x:c r="D231" s="30" t="n">
        <x:v>2019</x:v>
      </x:c>
      <x:c r="E231" s="24" t="str">
        <x:v>Notarius phrygiatus</x:v>
      </x:c>
      <x:c r="F231" s="24" t="str">
        <x:v>Kukwari sea catfish</x:v>
      </x:c>
      <x:c r="G231" s="24" t="str">
        <x:v>Small demersals (&lt;30 cm)</x:v>
      </x:c>
      <x:c r="H231" s="24" t="str">
        <x:v>Other fishes &amp; inverts</x:v>
      </x:c>
      <x:c r="I231" s="31" t="n">
        <x:v>14.721573652</x:v>
      </x:c>
      <x:c r="J231" s="31" t="n">
        <x:v>14.721573652</x:v>
      </x:c>
      <x:c r="K231" s="31" t="n">
        <x:v>0</x:v>
      </x:c>
      <x:c r="L231" s="31" t="n">
        <x:v>14.721573652</x:v>
      </x:c>
      <x:c r="M231" s="31" t="n">
        <x:v>0</x:v>
      </x:c>
      <x:c r="N231" s="24" t="str">
        <x:v>notarius phrygiatus</x:v>
      </x:c>
      <x:c r="O231" s="32" t="n">
        <x:v>3.5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Notarius phrygiatus</x:v>
      </x:c>
      <x:c r="T231" s="32" t="n">
        <x:f>IF(O231="","",(1/'Metadata'!$B$5)^(O231-1))</x:f>
        <x:v>316.22776601683796</x:v>
      </x:c>
      <x:c r="U231" s="31" t="n">
        <x:f>IF(T231="","",I231*T231)</x:f>
        <x:v>4655.370348224303</x:v>
      </x:c>
    </x:row>
    <x:row r="232" ht="18" customHeight="1">
      <x:c r="A232" s="24" t="str">
        <x:v>EEZ_076</x:v>
      </x:c>
      <x:c r="B232" s="24" t="str">
        <x:v>Brazil (mainland)</x:v>
      </x:c>
      <x:c r="C232" s="24" t="str">
        <x:v>EEZ</x:v>
      </x:c>
      <x:c r="D232" s="30" t="n">
        <x:v>2019</x:v>
      </x:c>
      <x:c r="E232" s="24" t="str">
        <x:v>Lamna nasus</x:v>
      </x:c>
      <x:c r="F232" s="24" t="str">
        <x:v>Porbeagle</x:v>
      </x:c>
      <x:c r="G232" s="24" t="str">
        <x:v>Large sharks (&gt;=90 cm)</x:v>
      </x:c>
      <x:c r="H232" s="24" t="str">
        <x:v>Sharks &amp; rays</x:v>
      </x:c>
      <x:c r="I232" s="31" t="n">
        <x:v>12.436906123799998</x:v>
      </x:c>
      <x:c r="J232" s="31" t="n">
        <x:v>12.436906123799998</x:v>
      </x:c>
      <x:c r="K232" s="31" t="n">
        <x:v>0</x:v>
      </x:c>
      <x:c r="L232" s="31" t="n">
        <x:v>12.436906123799998</x:v>
      </x:c>
      <x:c r="M232" s="31" t="n">
        <x:v>0</x:v>
      </x:c>
      <x:c r="N232" s="24" t="str">
        <x:v>lamna nasus</x:v>
      </x:c>
      <x:c r="O232" s="32" t="n">
        <x:v>4.57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Lamna nasus</x:v>
      </x:c>
      <x:c r="T232" s="32" t="n">
        <x:f>IF(O232="","",(1/'Metadata'!$B$5)^(O232-1))</x:f>
        <x:v>3715.3522909717276</x:v>
      </x:c>
      <x:c r="U232" s="31" t="n">
        <x:f>IF(T232="","",I232*T232)</x:f>
        <x:v>46207.487659660634</x:v>
      </x:c>
    </x:row>
    <x:row r="233" ht="18" customHeight="1">
      <x:c r="A233" s="24" t="str">
        <x:v>EEZ_076</x:v>
      </x:c>
      <x:c r="B233" s="24" t="str">
        <x:v>Brazil (mainland)</x:v>
      </x:c>
      <x:c r="C233" s="24" t="str">
        <x:v>EEZ</x:v>
      </x:c>
      <x:c r="D233" s="30" t="n">
        <x:v>2019</x:v>
      </x:c>
      <x:c r="E233" s="24" t="str">
        <x:v>Albula vulpes</x:v>
      </x:c>
      <x:c r="F233" s="24" t="str">
        <x:v>Bonefish</x:v>
      </x:c>
      <x:c r="G233" s="24" t="str">
        <x:v>Medium reef assoc. fish (30 - 89 cm)</x:v>
      </x:c>
      <x:c r="H233" s="24" t="str">
        <x:v>Other fishes &amp; inverts</x:v>
      </x:c>
      <x:c r="I233" s="31" t="n">
        <x:v>11.693376727</x:v>
      </x:c>
      <x:c r="J233" s="31" t="n">
        <x:v>11.693376727</x:v>
      </x:c>
      <x:c r="K233" s="31" t="n">
        <x:v>0</x:v>
      </x:c>
      <x:c r="L233" s="31" t="n">
        <x:v>8.4307329609</x:v>
      </x:c>
      <x:c r="M233" s="31" t="n">
        <x:v>3.2626437661</x:v>
      </x:c>
      <x:c r="N233" s="24" t="str">
        <x:v>albula vulpes</x:v>
      </x:c>
      <x:c r="O233" s="32" t="n">
        <x:v>3.73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Albula vulpes</x:v>
      </x:c>
      <x:c r="T233" s="32" t="n">
        <x:f>IF(O233="","",(1/'Metadata'!$B$5)^(O233-1))</x:f>
        <x:v>537.0317963702527</x:v>
      </x:c>
      <x:c r="U233" s="31" t="n">
        <x:f>IF(T233="","",I233*T233)</x:f>
        <x:v>6279.715109334916</x:v>
      </x:c>
    </x:row>
    <x:row r="234" ht="18" customHeight="1">
      <x:c r="A234" s="24" t="str">
        <x:v>EEZ_076</x:v>
      </x:c>
      <x:c r="B234" s="24" t="str">
        <x:v>Brazil (mainland)</x:v>
      </x:c>
      <x:c r="C234" s="24" t="str">
        <x:v>EEZ</x:v>
      </x:c>
      <x:c r="D234" s="30" t="n">
        <x:v>2019</x:v>
      </x:c>
      <x:c r="E234" s="24" t="str">
        <x:v>Makaira nigricans</x:v>
      </x:c>
      <x:c r="F234" s="24" t="str">
        <x:v>Blue marlin</x:v>
      </x:c>
      <x:c r="G234" s="24" t="str">
        <x:v>Large pelagics (&gt;=90 cm)</x:v>
      </x:c>
      <x:c r="H234" s="24" t="str">
        <x:v>Tuna &amp; billfishes</x:v>
      </x:c>
      <x:c r="I234" s="31" t="n">
        <x:v>11.536023094099999</x:v>
      </x:c>
      <x:c r="J234" s="31" t="n">
        <x:v>11.536023094099999</x:v>
      </x:c>
      <x:c r="K234" s="31" t="n">
        <x:v>0</x:v>
      </x:c>
      <x:c r="L234" s="31" t="n">
        <x:v>11.536023094099999</x:v>
      </x:c>
      <x:c r="M234" s="31" t="n">
        <x:v>0</x:v>
      </x:c>
      <x:c r="N234" s="24" t="str">
        <x:v>makaira nigricans</x:v>
      </x:c>
      <x:c r="O234" s="32" t="n">
        <x:v>4.49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Makaira nigricans</x:v>
      </x:c>
      <x:c r="T234" s="32" t="n">
        <x:f>IF(O234="","",(1/'Metadata'!$B$5)^(O234-1))</x:f>
        <x:v>3090.295432513592</x:v>
      </x:c>
      <x:c r="U234" s="31" t="n">
        <x:f>IF(T234="","",I234*T234)</x:f>
        <x:v>35649.719477068546</x:v>
      </x:c>
    </x:row>
    <x:row r="235" ht="18" customHeight="1">
      <x:c r="A235" s="24" t="str">
        <x:v>EEZ_076</x:v>
      </x:c>
      <x:c r="B235" s="24" t="str">
        <x:v>Brazil (mainland)</x:v>
      </x:c>
      <x:c r="C235" s="24" t="str">
        <x:v>EEZ</x:v>
      </x:c>
      <x:c r="D235" s="30" t="n">
        <x:v>2019</x:v>
      </x:c>
      <x:c r="E235" s="24" t="str">
        <x:v>Dasyatis</x:v>
      </x:c>
      <x:c r="F235" s="24" t="str">
        <x:v>Rough whip stingrays</x:v>
      </x:c>
      <x:c r="G235" s="24" t="str">
        <x:v>Large rays (&gt;=90 cm)</x:v>
      </x:c>
      <x:c r="H235" s="24" t="str">
        <x:v>Sharks &amp; rays</x:v>
      </x:c>
      <x:c r="I235" s="31" t="n">
        <x:v>11.4529387399</x:v>
      </x:c>
      <x:c r="J235" s="31" t="n">
        <x:v>11.4529387399</x:v>
      </x:c>
      <x:c r="K235" s="31" t="n">
        <x:v>0</x:v>
      </x:c>
      <x:c r="L235" s="31" t="n">
        <x:v>11.2836073179</x:v>
      </x:c>
      <x:c r="M235" s="31" t="n">
        <x:v>0.169331422</x:v>
      </x:c>
      <x:c r="N235" s="24" t="str">
        <x:v>dasyatis</x:v>
      </x:c>
      <x:c r="O235" s="32" t="n">
        <x:v>3.28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Dasyatis</x:v>
      </x:c>
      <x:c r="T235" s="32" t="n">
        <x:f>IF(O235="","",(1/'Metadata'!$B$5)^(O235-1))</x:f>
        <x:v>190.54607179632464</x:v>
      </x:c>
      <x:c r="U235" s="31" t="n">
        <x:f>IF(T235="","",I235*T235)</x:f>
        <x:v>2182.3124874118935</x:v>
      </x:c>
    </x:row>
    <x:row r="236" ht="18" customHeight="1">
      <x:c r="A236" s="24" t="str">
        <x:v>EEZ_076</x:v>
      </x:c>
      <x:c r="B236" s="24" t="str">
        <x:v>Brazil (mainland)</x:v>
      </x:c>
      <x:c r="C236" s="24" t="str">
        <x:v>EEZ</x:v>
      </x:c>
      <x:c r="D236" s="30" t="n">
        <x:v>2019</x:v>
      </x:c>
      <x:c r="E236" s="24" t="str">
        <x:v>Diplodus argenteus</x:v>
      </x:c>
      <x:c r="F236" s="24" t="str">
        <x:v>South American silver porgy</x:v>
      </x:c>
      <x:c r="G236" s="24" t="str">
        <x:v>Medium demersals (30 - 89 cm)</x:v>
      </x:c>
      <x:c r="H236" s="24" t="str">
        <x:v>Perch-likes</x:v>
      </x:c>
      <x:c r="I236" s="31" t="n">
        <x:v>11.0745629091</x:v>
      </x:c>
      <x:c r="J236" s="31" t="n">
        <x:v>11.0745629091</x:v>
      </x:c>
      <x:c r="K236" s="31" t="n">
        <x:v>0</x:v>
      </x:c>
      <x:c r="L236" s="31" t="n">
        <x:v>10.7972983349</x:v>
      </x:c>
      <x:c r="M236" s="31" t="n">
        <x:v>0.2772645742</x:v>
      </x:c>
      <x:c r="N236" s="24" t="str">
        <x:v>diplodus argenteus</x:v>
      </x:c>
      <x:c r="O236" s="32" t="n">
        <x:v>3.13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Diplodus argenteus</x:v>
      </x:c>
      <x:c r="T236" s="32" t="n">
        <x:f>IF(O236="","",(1/'Metadata'!$B$5)^(O236-1))</x:f>
        <x:v>134.89628825916532</x:v>
      </x:c>
      <x:c r="U236" s="31" t="n">
        <x:f>IF(T236="","",I236*T236)</x:f>
        <x:v>1493.9174305302142</x:v>
      </x:c>
    </x:row>
    <x:row r="237" ht="18" customHeight="1">
      <x:c r="A237" s="24" t="str">
        <x:v>EEZ_076</x:v>
      </x:c>
      <x:c r="B237" s="24" t="str">
        <x:v>Brazil (mainland)</x:v>
      </x:c>
      <x:c r="C237" s="24" t="str">
        <x:v>EEZ</x:v>
      </x:c>
      <x:c r="D237" s="30" t="n">
        <x:v>2019</x:v>
      </x:c>
      <x:c r="E237" s="24" t="str">
        <x:v>Seriola rivoliana</x:v>
      </x:c>
      <x:c r="F237" s="24" t="str">
        <x:v>Longfin yellowtail</x:v>
      </x:c>
      <x:c r="G237" s="24" t="str">
        <x:v>Large benthopelagics (&gt;=90 cm)</x:v>
      </x:c>
      <x:c r="H237" s="24" t="str">
        <x:v>Perch-likes</x:v>
      </x:c>
      <x:c r="I237" s="31" t="n">
        <x:v>8.2881578941</x:v>
      </x:c>
      <x:c r="J237" s="31" t="n">
        <x:v>8.2881578941</x:v>
      </x:c>
      <x:c r="K237" s="31" t="n">
        <x:v>0</x:v>
      </x:c>
      <x:c r="L237" s="31" t="n">
        <x:v>8.043353238</x:v>
      </x:c>
      <x:c r="M237" s="31" t="n">
        <x:v>0.2448046561</x:v>
      </x:c>
      <x:c r="N237" s="24" t="str">
        <x:v>seriola rivoliana</x:v>
      </x:c>
      <x:c r="O237" s="32" t="n">
        <x:v>4.45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Seriola rivoliana</x:v>
      </x:c>
      <x:c r="T237" s="32" t="n">
        <x:f>IF(O237="","",(1/'Metadata'!$B$5)^(O237-1))</x:f>
        <x:v>2818.382931264455</x:v>
      </x:c>
      <x:c r="U237" s="31" t="n">
        <x:f>IF(T237="","",I237*T237)</x:f>
        <x:v>23359.202740356188</x:v>
      </x:c>
    </x:row>
    <x:row r="238" ht="18" customHeight="1">
      <x:c r="A238" s="24" t="str">
        <x:v>EEZ_076</x:v>
      </x:c>
      <x:c r="B238" s="24" t="str">
        <x:v>Brazil (mainland)</x:v>
      </x:c>
      <x:c r="C238" s="24" t="str">
        <x:v>EEZ</x:v>
      </x:c>
      <x:c r="D238" s="30" t="n">
        <x:v>2019</x:v>
      </x:c>
      <x:c r="E238" s="24" t="str">
        <x:v>Sphyrna lewini</x:v>
      </x:c>
      <x:c r="F238" s="24" t="str">
        <x:v>Scalloped hammerhead</x:v>
      </x:c>
      <x:c r="G238" s="24" t="str">
        <x:v>Large sharks (&gt;=90 cm)</x:v>
      </x:c>
      <x:c r="H238" s="24" t="str">
        <x:v>Sharks &amp; rays</x:v>
      </x:c>
      <x:c r="I238" s="31" t="n">
        <x:v>7.903123792000001</x:v>
      </x:c>
      <x:c r="J238" s="31" t="n">
        <x:v>7.903123792000001</x:v>
      </x:c>
      <x:c r="K238" s="31" t="n">
        <x:v>0</x:v>
      </x:c>
      <x:c r="L238" s="31" t="n">
        <x:v>0</x:v>
      </x:c>
      <x:c r="M238" s="31" t="n">
        <x:v>7.903123792000001</x:v>
      </x:c>
      <x:c r="N238" s="24" t="str">
        <x:v>sphyrna lewini</x:v>
      </x:c>
      <x:c r="O238" s="32" t="n">
        <x:v>4.08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Sphyrna lewini</x:v>
      </x:c>
      <x:c r="T238" s="32" t="n">
        <x:f>IF(O238="","",(1/'Metadata'!$B$5)^(O238-1))</x:f>
        <x:v>1202.2644346174131</x:v>
      </x:c>
      <x:c r="U238" s="31" t="n">
        <x:f>IF(T238="","",I238*T238)</x:f>
        <x:v>9501.644657500306</x:v>
      </x:c>
    </x:row>
    <x:row r="239" ht="18" customHeight="1">
      <x:c r="A239" s="24" t="str">
        <x:v>EEZ_076</x:v>
      </x:c>
      <x:c r="B239" s="24" t="str">
        <x:v>Brazil (mainland)</x:v>
      </x:c>
      <x:c r="C239" s="24" t="str">
        <x:v>EEZ</x:v>
      </x:c>
      <x:c r="D239" s="30" t="n">
        <x:v>2019</x:v>
      </x:c>
      <x:c r="E239" s="24" t="str">
        <x:v>Pseudobatos percellens</x:v>
      </x:c>
      <x:c r="F239" s="24" t="str">
        <x:v>Chola guitarfish</x:v>
      </x:c>
      <x:c r="G239" s="24" t="str">
        <x:v>Small to medium rays (&lt;90 cm)</x:v>
      </x:c>
      <x:c r="H239" s="24" t="str">
        <x:v>Sharks &amp; rays</x:v>
      </x:c>
      <x:c r="I239" s="31" t="n">
        <x:v>6.2504951219</x:v>
      </x:c>
      <x:c r="J239" s="31" t="n">
        <x:v>6.2504951219</x:v>
      </x:c>
      <x:c r="K239" s="31" t="n">
        <x:v>0</x:v>
      </x:c>
      <x:c r="L239" s="31" t="n">
        <x:v>6.2201904789</x:v>
      </x:c>
      <x:c r="M239" s="31" t="n">
        <x:v>0.030304643</x:v>
      </x:c>
      <x:c r="N239" s="24" t="str">
        <x:v>pseudobatos percellens</x:v>
      </x:c>
      <x:c r="O239" s="32" t="n">
        <x:v>3.58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Pseudobatos percellens</x:v>
      </x:c>
      <x:c r="T239" s="32" t="n">
        <x:f>IF(O239="","",(1/'Metadata'!$B$5)^(O239-1))</x:f>
        <x:v>380.1893963205613</x:v>
      </x:c>
      <x:c r="U239" s="31" t="n">
        <x:f>IF(T239="","",I239*T239)</x:f>
        <x:v>2376.3719670997743</x:v>
      </x:c>
    </x:row>
    <x:row r="240" ht="18" customHeight="1">
      <x:c r="A240" s="24" t="str">
        <x:v>EEZ_076</x:v>
      </x:c>
      <x:c r="B240" s="24" t="str">
        <x:v>Brazil (mainland)</x:v>
      </x:c>
      <x:c r="C240" s="24" t="str">
        <x:v>EEZ</x:v>
      </x:c>
      <x:c r="D240" s="30" t="n">
        <x:v>2019</x:v>
      </x:c>
      <x:c r="E240" s="24" t="str">
        <x:v>Mollusca</x:v>
      </x:c>
      <x:c r="F240" s="24" t="str">
        <x:v>Clams, seasnails, squids, octopuses</x:v>
      </x:c>
      <x:c r="G240" s="24" t="str">
        <x:v>Other demersal invertebrates</x:v>
      </x:c>
      <x:c r="H240" s="24" t="str">
        <x:v>Molluscs</x:v>
      </x:c>
      <x:c r="I240" s="31" t="n">
        <x:v>6.1896028979</x:v>
      </x:c>
      <x:c r="J240" s="31" t="n">
        <x:v>6.1896028979</x:v>
      </x:c>
      <x:c r="K240" s="31" t="n">
        <x:v>0</x:v>
      </x:c>
      <x:c r="L240" s="31" t="n">
        <x:v>4.816122411</x:v>
      </x:c>
      <x:c r="M240" s="31" t="n">
        <x:v>1.3734804869000001</x:v>
      </x:c>
      <x:c r="N240" s="24" t="str">
        <x:v>mollusca</x:v>
      </x:c>
      <x:c r="O240" s="32" t="n">
        <x:v>2.1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Mollusca</x:v>
      </x:c>
      <x:c r="T240" s="32" t="n">
        <x:f>IF(O240="","",(1/'Metadata'!$B$5)^(O240-1))</x:f>
        <x:v>12.589254117941675</x:v>
      </x:c>
      <x:c r="U240" s="31" t="n">
        <x:f>IF(T240="","",I240*T240)</x:f>
        <x:v>77.9224837708113</x:v>
      </x:c>
    </x:row>
    <x:row r="241" ht="18" customHeight="1">
      <x:c r="A241" s="24" t="str">
        <x:v>EEZ_076</x:v>
      </x:c>
      <x:c r="B241" s="24" t="str">
        <x:v>Brazil (mainland)</x:v>
      </x:c>
      <x:c r="C241" s="24" t="str">
        <x:v>EEZ</x:v>
      </x:c>
      <x:c r="D241" s="30" t="n">
        <x:v>2019</x:v>
      </x:c>
      <x:c r="E241" s="24" t="str">
        <x:v>Chaetodontidae</x:v>
      </x:c>
      <x:c r="F241" s="24" t="str">
        <x:v>Butterflyfishes</x:v>
      </x:c>
      <x:c r="G241" s="24" t="str">
        <x:v>Small reef assoc. fish (&lt;30 cm)</x:v>
      </x:c>
      <x:c r="H241" s="24" t="str">
        <x:v>Perch-likes</x:v>
      </x:c>
      <x:c r="I241" s="31" t="n">
        <x:v>6.177009176</x:v>
      </x:c>
      <x:c r="J241" s="31" t="n">
        <x:v>6.177009176</x:v>
      </x:c>
      <x:c r="K241" s="31" t="n">
        <x:v>0</x:v>
      </x:c>
      <x:c r="L241" s="31" t="n">
        <x:v>6.177009176</x:v>
      </x:c>
      <x:c r="M241" s="31" t="n">
        <x:v>0</x:v>
      </x:c>
      <x:c r="N241" s="24" t="str">
        <x:v>chaetodontidae</x:v>
      </x:c>
      <x:c r="O241" s="32" t="n">
        <x:v>3.24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Chaetodontidae</x:v>
      </x:c>
      <x:c r="T241" s="32" t="n">
        <x:f>IF(O241="","",(1/'Metadata'!$B$5)^(O241-1))</x:f>
        <x:v>173.78008287493762</x:v>
      </x:c>
      <x:c r="U241" s="31" t="n">
        <x:f>IF(T241="","",I241*T241)</x:f>
        <x:v>1073.4411665245302</x:v>
      </x:c>
    </x:row>
    <x:row r="242" ht="18" customHeight="1">
      <x:c r="A242" s="24" t="str">
        <x:v>EEZ_076</x:v>
      </x:c>
      <x:c r="B242" s="24" t="str">
        <x:v>Brazil (mainland)</x:v>
      </x:c>
      <x:c r="C242" s="24" t="str">
        <x:v>EEZ</x:v>
      </x:c>
      <x:c r="D242" s="30" t="n">
        <x:v>2019</x:v>
      </x:c>
      <x:c r="E242" s="24" t="str">
        <x:v>Palaemonidae</x:v>
      </x:c>
      <x:c r="F242" s="24" t="str">
        <x:v>Clawed shrimps</x:v>
      </x:c>
      <x:c r="G242" s="24" t="str">
        <x:v>Shrimps</x:v>
      </x:c>
      <x:c r="H242" s="24" t="str">
        <x:v>Crustaceans</x:v>
      </x:c>
      <x:c r="I242" s="31" t="n">
        <x:v>5.613743789</x:v>
      </x:c>
      <x:c r="J242" s="31" t="n">
        <x:v>5.613743789</x:v>
      </x:c>
      <x:c r="K242" s="31" t="n">
        <x:v>0</x:v>
      </x:c>
      <x:c r="L242" s="31" t="n">
        <x:v>0</x:v>
      </x:c>
      <x:c r="M242" s="31" t="n">
        <x:v>5.613743789</x:v>
      </x:c>
      <x:c r="N242" s="24" t="str">
        <x:v>palaemonidae</x:v>
      </x:c>
      <x:c r="O242" s="32" t="n">
        <x:v>3.14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Palaemonidae</x:v>
      </x:c>
      <x:c r="T242" s="32" t="n">
        <x:f>IF(O242="","",(1/'Metadata'!$B$5)^(O242-1))</x:f>
        <x:v>138.03842646028852</x:v>
      </x:c>
      <x:c r="U242" s="31" t="n">
        <x:f>IF(T242="","",I242*T242)</x:f>
        <x:v>774.9123591847779</x:v>
      </x:c>
    </x:row>
    <x:row r="243" ht="18" customHeight="1">
      <x:c r="A243" s="24" t="str">
        <x:v>EEZ_076</x:v>
      </x:c>
      <x:c r="B243" s="24" t="str">
        <x:v>Brazil (mainland)</x:v>
      </x:c>
      <x:c r="C243" s="24" t="str">
        <x:v>EEZ</x:v>
      </x:c>
      <x:c r="D243" s="30" t="n">
        <x:v>2019</x:v>
      </x:c>
      <x:c r="E243" s="24" t="str">
        <x:v>Gymnura micrura</x:v>
      </x:c>
      <x:c r="F243" s="24" t="str">
        <x:v>Smooth butterfly ray</x:v>
      </x:c>
      <x:c r="G243" s="24" t="str">
        <x:v>Small to medium rays (&lt;90 cm)</x:v>
      </x:c>
      <x:c r="H243" s="24" t="str">
        <x:v>Sharks &amp; rays</x:v>
      </x:c>
      <x:c r="I243" s="31" t="n">
        <x:v>5.4893367971</x:v>
      </x:c>
      <x:c r="J243" s="31" t="n">
        <x:v>5.4893367971</x:v>
      </x:c>
      <x:c r="K243" s="31" t="n">
        <x:v>0</x:v>
      </x:c>
      <x:c r="L243" s="31" t="n">
        <x:v>5.3200053751</x:v>
      </x:c>
      <x:c r="M243" s="31" t="n">
        <x:v>0.16933142199999998</x:v>
      </x:c>
      <x:c r="N243" s="24" t="str">
        <x:v>gymnura micrura</x:v>
      </x:c>
      <x:c r="O243" s="32" t="n">
        <x:v>3.56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Gymnura micrura</x:v>
      </x:c>
      <x:c r="T243" s="32" t="n">
        <x:f>IF(O243="","",(1/'Metadata'!$B$5)^(O243-1))</x:f>
        <x:v>363.0780547701014</x:v>
      </x:c>
      <x:c r="U243" s="31" t="n">
        <x:f>IF(T243="","",I243*T243)</x:f>
        <x:v>1993.0577262690067</x:v>
      </x:c>
    </x:row>
    <x:row r="244" ht="18" customHeight="1">
      <x:c r="A244" s="24" t="str">
        <x:v>EEZ_076</x:v>
      </x:c>
      <x:c r="B244" s="24" t="str">
        <x:v>Brazil (mainland)</x:v>
      </x:c>
      <x:c r="C244" s="24" t="str">
        <x:v>EEZ</x:v>
      </x:c>
      <x:c r="D244" s="30" t="n">
        <x:v>2019</x:v>
      </x:c>
      <x:c r="E244" s="24" t="str">
        <x:v>Pseudocaranx dentex</x:v>
      </x:c>
      <x:c r="F244" s="24" t="str">
        <x:v>White trevally</x:v>
      </x:c>
      <x:c r="G244" s="24" t="str">
        <x:v>Large reef assoc. fish (&gt;=90 cm)</x:v>
      </x:c>
      <x:c r="H244" s="24" t="str">
        <x:v>Perch-likes</x:v>
      </x:c>
      <x:c r="I244" s="31" t="n">
        <x:v>4.886831632000001</x:v>
      </x:c>
      <x:c r="J244" s="31" t="n">
        <x:v>4.886831632000001</x:v>
      </x:c>
      <x:c r="K244" s="31" t="n">
        <x:v>0</x:v>
      </x:c>
      <x:c r="L244" s="31" t="n">
        <x:v>4.886831632000001</x:v>
      </x:c>
      <x:c r="M244" s="31" t="n">
        <x:v>0</x:v>
      </x:c>
      <x:c r="N244" s="24" t="str">
        <x:v>pseudocaranx dentex</x:v>
      </x:c>
      <x:c r="O244" s="32" t="n">
        <x:v>3.92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Pseudocaranx dentex</x:v>
      </x:c>
      <x:c r="T244" s="32" t="n">
        <x:f>IF(O244="","",(1/'Metadata'!$B$5)^(O244-1))</x:f>
        <x:v>831.7637711026708</x:v>
      </x:c>
      <x:c r="U244" s="31" t="n">
        <x:f>IF(T244="","",I244*T244)</x:f>
        <x:v>4064.68950697614</x:v>
      </x:c>
    </x:row>
    <x:row r="245" ht="18" customHeight="1">
      <x:c r="A245" s="24" t="str">
        <x:v>EEZ_076</x:v>
      </x:c>
      <x:c r="B245" s="24" t="str">
        <x:v>Brazil (mainland)</x:v>
      </x:c>
      <x:c r="C245" s="24" t="str">
        <x:v>EEZ</x:v>
      </x:c>
      <x:c r="D245" s="30" t="n">
        <x:v>2019</x:v>
      </x:c>
      <x:c r="E245" s="24" t="str">
        <x:v>Cephalopoda</x:v>
      </x:c>
      <x:c r="F245" s="24" t="str">
        <x:v>Squids, cuttlefishes, octopuses</x:v>
      </x:c>
      <x:c r="G245" s="24" t="str">
        <x:v>Cephalopods</x:v>
      </x:c>
      <x:c r="H245" s="24" t="str">
        <x:v>Other fishes &amp; inverts</x:v>
      </x:c>
      <x:c r="I245" s="31" t="n">
        <x:v>3.6123700538000003</x:v>
      </x:c>
      <x:c r="J245" s="31" t="n">
        <x:v>3.6123700538000003</x:v>
      </x:c>
      <x:c r="K245" s="31" t="n">
        <x:v>0</x:v>
      </x:c>
      <x:c r="L245" s="31" t="n">
        <x:v>3.6123700538000003</x:v>
      </x:c>
      <x:c r="M245" s="31" t="n">
        <x:v>0</x:v>
      </x:c>
      <x:c r="N245" s="24" t="str">
        <x:v>cephalopoda</x:v>
      </x:c>
      <x:c r="O245" s="32" t="n">
        <x:v>3.81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Cephalopoda</x:v>
      </x:c>
      <x:c r="T245" s="32" t="n">
        <x:f>IF(O245="","",(1/'Metadata'!$B$5)^(O245-1))</x:f>
        <x:v>645.6542290346556</x:v>
      </x:c>
      <x:c r="U245" s="31" t="n">
        <x:f>IF(T245="","",I245*T245)</x:f>
        <x:v>2332.3420020741164</x:v>
      </x:c>
    </x:row>
    <x:row r="246" ht="18" customHeight="1">
      <x:c r="A246" s="24" t="str">
        <x:v>EEZ_076</x:v>
      </x:c>
      <x:c r="B246" s="24" t="str">
        <x:v>Brazil (mainland)</x:v>
      </x:c>
      <x:c r="C246" s="24" t="str">
        <x:v>EEZ</x:v>
      </x:c>
      <x:c r="D246" s="30" t="n">
        <x:v>2019</x:v>
      </x:c>
      <x:c r="E246" s="24" t="str">
        <x:v>Sphyraena guachancho</x:v>
      </x:c>
      <x:c r="F246" s="24" t="str">
        <x:v>Guachanche barracuda</x:v>
      </x:c>
      <x:c r="G246" s="24" t="str">
        <x:v>Large pelagics (&gt;=90 cm)</x:v>
      </x:c>
      <x:c r="H246" s="24" t="str">
        <x:v>Perch-likes</x:v>
      </x:c>
      <x:c r="I246" s="31" t="n">
        <x:v>3.4957907168999998</x:v>
      </x:c>
      <x:c r="J246" s="31" t="n">
        <x:v>3.4957907168999998</x:v>
      </x:c>
      <x:c r="K246" s="31" t="n">
        <x:v>0</x:v>
      </x:c>
      <x:c r="L246" s="31" t="n">
        <x:v>3.3883468</x:v>
      </x:c>
      <x:c r="M246" s="31" t="n">
        <x:v>0.10744391690000002</x:v>
      </x:c>
      <x:c r="N246" s="24" t="str">
        <x:v>sphyraena guachancho</x:v>
      </x:c>
      <x:c r="O246" s="32" t="n">
        <x:v>4.35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Sphyraena guachancho</x:v>
      </x:c>
      <x:c r="T246" s="32" t="n">
        <x:f>IF(O246="","",(1/'Metadata'!$B$5)^(O246-1))</x:f>
        <x:v>2238.7211385683377</x:v>
      </x:c>
      <x:c r="U246" s="31" t="n">
        <x:f>IF(T246="","",I246*T246)</x:f>
        <x:v>7826.100573934993</x:v>
      </x:c>
    </x:row>
    <x:row r="247" ht="18" customHeight="1">
      <x:c r="A247" s="24" t="str">
        <x:v>EEZ_076</x:v>
      </x:c>
      <x:c r="B247" s="24" t="str">
        <x:v>Brazil (mainland)</x:v>
      </x:c>
      <x:c r="C247" s="24" t="str">
        <x:v>EEZ</x:v>
      </x:c>
      <x:c r="D247" s="30" t="n">
        <x:v>2019</x:v>
      </x:c>
      <x:c r="E247" s="24" t="str">
        <x:v>Polyprion americanus</x:v>
      </x:c>
      <x:c r="F247" s="24" t="str">
        <x:v>Wreckfish</x:v>
      </x:c>
      <x:c r="G247" s="24" t="str">
        <x:v>Large bathydemersals (&gt;=90 cm)</x:v>
      </x:c>
      <x:c r="H247" s="24" t="str">
        <x:v>Perch-likes</x:v>
      </x:c>
      <x:c r="I247" s="31" t="n">
        <x:v>3.2549786069</x:v>
      </x:c>
      <x:c r="J247" s="31" t="n">
        <x:v>3.2549786069</x:v>
      </x:c>
      <x:c r="K247" s="31" t="n">
        <x:v>0</x:v>
      </x:c>
      <x:c r="L247" s="31" t="n">
        <x:v>3.2202202851</x:v>
      </x:c>
      <x:c r="M247" s="31" t="n">
        <x:v>0.0347583218</x:v>
      </x:c>
      <x:c r="N247" s="24" t="str">
        <x:v>polyprion americanus</x:v>
      </x:c>
      <x:c r="O247" s="32" t="n">
        <x:v>4.14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Polyprion americanus</x:v>
      </x:c>
      <x:c r="T247" s="32" t="n">
        <x:f>IF(O247="","",(1/'Metadata'!$B$5)^(O247-1))</x:f>
        <x:v>1380.3842646028838</x:v>
      </x:c>
      <x:c r="U247" s="31" t="n">
        <x:f>IF(T247="","",I247*T247)</x:f>
        <x:v>4493.121250583776</x:v>
      </x:c>
    </x:row>
    <x:row r="248" ht="18" customHeight="1">
      <x:c r="A248" s="24" t="str">
        <x:v>EEZ_076</x:v>
      </x:c>
      <x:c r="B248" s="24" t="str">
        <x:v>Brazil (mainland)</x:v>
      </x:c>
      <x:c r="C248" s="24" t="str">
        <x:v>EEZ</x:v>
      </x:c>
      <x:c r="D248" s="30" t="n">
        <x:v>2019</x:v>
      </x:c>
      <x:c r="E248" s="24" t="str">
        <x:v>Decapterus punctatus</x:v>
      </x:c>
      <x:c r="F248" s="24" t="str">
        <x:v>Round scad</x:v>
      </x:c>
      <x:c r="G248" s="24" t="str">
        <x:v>Medium benthopelagics (30 - 89 cm)</x:v>
      </x:c>
      <x:c r="H248" s="24" t="str">
        <x:v>Perch-likes</x:v>
      </x:c>
      <x:c r="I248" s="31" t="n">
        <x:v>2.961748236</x:v>
      </x:c>
      <x:c r="J248" s="31" t="n">
        <x:v>2.961748236</x:v>
      </x:c>
      <x:c r="K248" s="31" t="n">
        <x:v>0</x:v>
      </x:c>
      <x:c r="L248" s="31" t="n">
        <x:v>2.961748236</x:v>
      </x:c>
      <x:c r="M248" s="31" t="n">
        <x:v>0</x:v>
      </x:c>
      <x:c r="N248" s="24" t="str">
        <x:v>decapterus punctatus</x:v>
      </x:c>
      <x:c r="O248" s="32" t="n">
        <x:v>4.43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Decapterus punctatus</x:v>
      </x:c>
      <x:c r="T248" s="32" t="n">
        <x:f>IF(O248="","",(1/'Metadata'!$B$5)^(O248-1))</x:f>
        <x:v>2691.534803926914</x:v>
      </x:c>
      <x:c r="U248" s="31" t="n">
        <x:f>IF(T248="","",I248*T248)</x:f>
        <x:v>7971.648457663143</x:v>
      </x:c>
    </x:row>
    <x:row r="249" ht="18" customHeight="1">
      <x:c r="A249" s="24" t="str">
        <x:v>EEZ_076</x:v>
      </x:c>
      <x:c r="B249" s="24" t="str">
        <x:v>Brazil (mainland)</x:v>
      </x:c>
      <x:c r="C249" s="24" t="str">
        <x:v>EEZ</x:v>
      </x:c>
      <x:c r="D249" s="30" t="n">
        <x:v>2019</x:v>
      </x:c>
      <x:c r="E249" s="24" t="str">
        <x:v>Epinephelus</x:v>
      </x:c>
      <x:c r="F249" s="24" t="str">
        <x:v>Seabasses, hinds</x:v>
      </x:c>
      <x:c r="G249" s="24" t="str">
        <x:v>Medium reef assoc. fish (30 - 89 cm)</x:v>
      </x:c>
      <x:c r="H249" s="24" t="str">
        <x:v>Perch-likes</x:v>
      </x:c>
      <x:c r="I249" s="31" t="n">
        <x:v>2.8315110939</x:v>
      </x:c>
      <x:c r="J249" s="31" t="n">
        <x:v>2.8315110939</x:v>
      </x:c>
      <x:c r="K249" s="31" t="n">
        <x:v>0</x:v>
      </x:c>
      <x:c r="L249" s="31" t="n">
        <x:v>0</x:v>
      </x:c>
      <x:c r="M249" s="31" t="n">
        <x:v>2.8315110939</x:v>
      </x:c>
      <x:c r="N249" s="24" t="str">
        <x:v>epinephelus</x:v>
      </x:c>
      <x:c r="O249" s="32" t="n">
        <x:v>3.84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Epinephelus</x:v>
      </x:c>
      <x:c r="T249" s="32" t="n">
        <x:f>IF(O249="","",(1/'Metadata'!$B$5)^(O249-1))</x:f>
        <x:v>691.8309709189363</x:v>
      </x:c>
      <x:c r="U249" s="31" t="n">
        <x:f>IF(T249="","",I249*T249)</x:f>
        <x:v>1958.9270692605764</x:v>
      </x:c>
    </x:row>
    <x:row r="250" ht="18" customHeight="1">
      <x:c r="A250" s="24" t="str">
        <x:v>EEZ_076</x:v>
      </x:c>
      <x:c r="B250" s="24" t="str">
        <x:v>Brazil (mainland)</x:v>
      </x:c>
      <x:c r="C250" s="24" t="str">
        <x:v>EEZ</x:v>
      </x:c>
      <x:c r="D250" s="30" t="n">
        <x:v>2019</x:v>
      </x:c>
      <x:c r="E250" s="24" t="str">
        <x:v>Archosargus probatocephalus</x:v>
      </x:c>
      <x:c r="F250" s="24" t="str">
        <x:v>Sheepshead</x:v>
      </x:c>
      <x:c r="G250" s="24" t="str">
        <x:v>Medium demersals (30 - 89 cm)</x:v>
      </x:c>
      <x:c r="H250" s="24" t="str">
        <x:v>Perch-likes</x:v>
      </x:c>
      <x:c r="I250" s="31" t="n">
        <x:v>2.6534185925</x:v>
      </x:c>
      <x:c r="J250" s="31" t="n">
        <x:v>2.6534185925</x:v>
      </x:c>
      <x:c r="K250" s="31" t="n">
        <x:v>0</x:v>
      </x:c>
      <x:c r="L250" s="31" t="n">
        <x:v>2.633794189</x:v>
      </x:c>
      <x:c r="M250" s="31" t="n">
        <x:v>0.0196244035</x:v>
      </x:c>
      <x:c r="N250" s="24" t="str">
        <x:v>archosargus probatocephalus</x:v>
      </x:c>
      <x:c r="O250" s="32" t="n">
        <x:v>3.53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Archosargus probatocephalus</x:v>
      </x:c>
      <x:c r="T250" s="32" t="n">
        <x:f>IF(O250="","",(1/'Metadata'!$B$5)^(O250-1))</x:f>
        <x:v>338.84415613920237</x:v>
      </x:c>
      <x:c r="U250" s="31" t="n">
        <x:f>IF(T250="","",I250*T250)</x:f>
        <x:v>899.0953838597326</x:v>
      </x:c>
    </x:row>
    <x:row r="251" ht="18" customHeight="1">
      <x:c r="A251" s="24" t="str">
        <x:v>EEZ_076</x:v>
      </x:c>
      <x:c r="B251" s="24" t="str">
        <x:v>Brazil (mainland)</x:v>
      </x:c>
      <x:c r="C251" s="24" t="str">
        <x:v>EEZ</x:v>
      </x:c>
      <x:c r="D251" s="30" t="n">
        <x:v>2019</x:v>
      </x:c>
      <x:c r="E251" s="24" t="str">
        <x:v>Ctenosciaena gracilicirrhus</x:v>
      </x:c>
      <x:c r="F251" s="24" t="str">
        <x:v>Barbel drum</x:v>
      </x:c>
      <x:c r="G251" s="24" t="str">
        <x:v>Small demersals (&lt;30 cm)</x:v>
      </x:c>
      <x:c r="H251" s="24" t="str">
        <x:v>Perch-likes</x:v>
      </x:c>
      <x:c r="I251" s="31" t="n">
        <x:v>2.549205163</x:v>
      </x:c>
      <x:c r="J251" s="31" t="n">
        <x:v>2.549205163</x:v>
      </x:c>
      <x:c r="K251" s="31" t="n">
        <x:v>0</x:v>
      </x:c>
      <x:c r="L251" s="31" t="n">
        <x:v>2.467982964</x:v>
      </x:c>
      <x:c r="M251" s="31" t="n">
        <x:v>0.08122219900000001</x:v>
      </x:c>
      <x:c r="N251" s="24" t="str">
        <x:v>ctenosciaena gracilicirrhus</x:v>
      </x:c>
      <x:c r="O251" s="32" t="n">
        <x:v>3.87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Ctenosciaena gracilicirrhus</x:v>
      </x:c>
      <x:c r="T251" s="32" t="n">
        <x:f>IF(O251="","",(1/'Metadata'!$B$5)^(O251-1))</x:f>
        <x:v>741.3102413009177</x:v>
      </x:c>
      <x:c r="U251" s="31" t="n">
        <x:f>IF(T251="","",I251*T251)</x:f>
        <x:v>1889.751894509075</x:v>
      </x:c>
    </x:row>
    <x:row r="252" ht="18" customHeight="1">
      <x:c r="A252" s="24" t="str">
        <x:v>EEZ_076</x:v>
      </x:c>
      <x:c r="B252" s="24" t="str">
        <x:v>Brazil (mainland)</x:v>
      </x:c>
      <x:c r="C252" s="24" t="str">
        <x:v>EEZ</x:v>
      </x:c>
      <x:c r="D252" s="30" t="n">
        <x:v>2019</x:v>
      </x:c>
      <x:c r="E252" s="24" t="str">
        <x:v>Ginglymostoma cirratum</x:v>
      </x:c>
      <x:c r="F252" s="24" t="str">
        <x:v>Nurse shark</x:v>
      </x:c>
      <x:c r="G252" s="24" t="str">
        <x:v>Large sharks (&gt;=90 cm)</x:v>
      </x:c>
      <x:c r="H252" s="24" t="str">
        <x:v>Sharks &amp; rays</x:v>
      </x:c>
      <x:c r="I252" s="31" t="n">
        <x:v>1.87374688</x:v>
      </x:c>
      <x:c r="J252" s="31" t="n">
        <x:v>1.87374688</x:v>
      </x:c>
      <x:c r="K252" s="31" t="n">
        <x:v>0</x:v>
      </x:c>
      <x:c r="L252" s="31" t="n">
        <x:v>1.8609840119999999</x:v>
      </x:c>
      <x:c r="M252" s="31" t="n">
        <x:v>0.012762868</x:v>
      </x:c>
      <x:c r="N252" s="24" t="str">
        <x:v>ginglymostoma cirratum</x:v>
      </x:c>
      <x:c r="O252" s="32" t="n">
        <x:v>4.15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Ginglymostoma cirratum</x:v>
      </x:c>
      <x:c r="T252" s="32" t="n">
        <x:f>IF(O252="","",(1/'Metadata'!$B$5)^(O252-1))</x:f>
        <x:v>1412.5375446227554</x:v>
      </x:c>
      <x:c r="U252" s="31" t="n">
        <x:f>IF(T252="","",I252*T252)</x:f>
        <x:v>2646.7378171197483</x:v>
      </x:c>
    </x:row>
    <x:row r="253" ht="18" customHeight="1">
      <x:c r="A253" s="24" t="str">
        <x:v>EEZ_076</x:v>
      </x:c>
      <x:c r="B253" s="24" t="str">
        <x:v>Brazil (mainland)</x:v>
      </x:c>
      <x:c r="C253" s="24" t="str">
        <x:v>EEZ</x:v>
      </x:c>
      <x:c r="D253" s="30" t="n">
        <x:v>2019</x:v>
      </x:c>
      <x:c r="E253" s="24" t="str">
        <x:v>Hyperoglyphe</x:v>
      </x:c>
      <x:c r="F253" s="24" t="str">
        <x:v>Warehous, barrelfishes</x:v>
      </x:c>
      <x:c r="G253" s="24" t="str">
        <x:v>Medium pelagics (30 - 89 cm)</x:v>
      </x:c>
      <x:c r="H253" s="24" t="str">
        <x:v>Perch-likes</x:v>
      </x:c>
      <x:c r="I253" s="31" t="n">
        <x:v>1.6748254879000002</x:v>
      </x:c>
      <x:c r="J253" s="31" t="n">
        <x:v>1.6748254879000002</x:v>
      </x:c>
      <x:c r="K253" s="31" t="n">
        <x:v>0</x:v>
      </x:c>
      <x:c r="L253" s="31" t="n">
        <x:v>1.6748254879000002</x:v>
      </x:c>
      <x:c r="M253" s="31" t="n">
        <x:v>0</x:v>
      </x:c>
      <x:c r="N253" s="24" t="str">
        <x:v>hyperoglyphe</x:v>
      </x:c>
      <x:c r="O253" s="32" t="n">
        <x:v>3.71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Hyperoglyphe</x:v>
      </x:c>
      <x:c r="T253" s="32" t="n">
        <x:f>IF(O253="","",(1/'Metadata'!$B$5)^(O253-1))</x:f>
        <x:v>512.8613839913648</x:v>
      </x:c>
      <x:c r="U253" s="31" t="n">
        <x:f>IF(T253="","",I253*T253)</x:f>
        <x:v>858.953317668407</x:v>
      </x:c>
    </x:row>
    <x:row r="254" ht="18" customHeight="1">
      <x:c r="A254" s="24" t="str">
        <x:v>EEZ_076</x:v>
      </x:c>
      <x:c r="B254" s="24" t="str">
        <x:v>Brazil (mainland)</x:v>
      </x:c>
      <x:c r="C254" s="24" t="str">
        <x:v>EEZ</x:v>
      </x:c>
      <x:c r="D254" s="30" t="n">
        <x:v>2019</x:v>
      </x:c>
      <x:c r="E254" s="24" t="str">
        <x:v>Albulidae</x:v>
      </x:c>
      <x:c r="F254" s="24" t="str">
        <x:v>Bonefishes</x:v>
      </x:c>
      <x:c r="G254" s="24" t="str">
        <x:v>Medium reef assoc. fish (30 - 89 cm)</x:v>
      </x:c>
      <x:c r="H254" s="24" t="str">
        <x:v>Other fishes &amp; inverts</x:v>
      </x:c>
      <x:c r="I254" s="31" t="n">
        <x:v>1.5853127999999999</x:v>
      </x:c>
      <x:c r="J254" s="31" t="n">
        <x:v>1.5853127999999999</x:v>
      </x:c>
      <x:c r="K254" s="31" t="n">
        <x:v>0</x:v>
      </x:c>
      <x:c r="L254" s="31" t="n">
        <x:v>1.54247009</x:v>
      </x:c>
      <x:c r="M254" s="31" t="n">
        <x:v>0.04284271</x:v>
      </x:c>
      <x:c r="N254" s="24" t="str">
        <x:v>albulidae</x:v>
      </x:c>
      <x:c r="O254" s="32" t="n">
        <x:v>3.47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Albulidae</x:v>
      </x:c>
      <x:c r="T254" s="32" t="n">
        <x:f>IF(O254="","",(1/'Metadata'!$B$5)^(O254-1))</x:f>
        <x:v>295.1209226666387</x:v>
      </x:c>
      <x:c r="U254" s="31" t="n">
        <x:f>IF(T254="","",I254*T254)</x:f>
        <x:v>467.85897625123243</x:v>
      </x:c>
    </x:row>
    <x:row r="255" ht="18" customHeight="1">
      <x:c r="A255" s="24" t="str">
        <x:v>EEZ_076</x:v>
      </x:c>
      <x:c r="B255" s="24" t="str">
        <x:v>Brazil (mainland)</x:v>
      </x:c>
      <x:c r="C255" s="24" t="str">
        <x:v>EEZ</x:v>
      </x:c>
      <x:c r="D255" s="30" t="n">
        <x:v>2019</x:v>
      </x:c>
      <x:c r="E255" s="24" t="str">
        <x:v>Trachinotus goodei</x:v>
      </x:c>
      <x:c r="F255" s="24" t="str">
        <x:v>Great pompano</x:v>
      </x:c>
      <x:c r="G255" s="24" t="str">
        <x:v>Medium reef assoc. fish (30 - 89 cm)</x:v>
      </x:c>
      <x:c r="H255" s="24" t="str">
        <x:v>Perch-likes</x:v>
      </x:c>
      <x:c r="I255" s="31" t="n">
        <x:v>1.2801640339999998</x:v>
      </x:c>
      <x:c r="J255" s="31" t="n">
        <x:v>1.2801640339999998</x:v>
      </x:c>
      <x:c r="K255" s="31" t="n">
        <x:v>0</x:v>
      </x:c>
      <x:c r="L255" s="31" t="n">
        <x:v>1.2801640339999998</x:v>
      </x:c>
      <x:c r="M255" s="31" t="n">
        <x:v>0</x:v>
      </x:c>
      <x:c r="N255" s="24" t="str">
        <x:v>trachinotus goodei</x:v>
      </x:c>
      <x:c r="O255" s="32" t="n">
        <x:v>4.34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Trachinotus goodei</x:v>
      </x:c>
      <x:c r="T255" s="32" t="n">
        <x:f>IF(O255="","",(1/'Metadata'!$B$5)^(O255-1))</x:f>
        <x:v>2187.761623949552</x:v>
      </x:c>
      <x:c r="U255" s="31" t="n">
        <x:f>IF(T255="","",I255*T255)</x:f>
        <x:v>2800.693745945649</x:v>
      </x:c>
    </x:row>
    <x:row r="256" ht="18" customHeight="1">
      <x:c r="A256" s="24" t="str">
        <x:v>EEZ_076</x:v>
      </x:c>
      <x:c r="B256" s="24" t="str">
        <x:v>Brazil (mainland)</x:v>
      </x:c>
      <x:c r="C256" s="24" t="str">
        <x:v>EEZ</x:v>
      </x:c>
      <x:c r="D256" s="30" t="n">
        <x:v>2019</x:v>
      </x:c>
      <x:c r="E256" s="24" t="str">
        <x:v>Beryx splendens</x:v>
      </x:c>
      <x:c r="F256" s="24" t="str">
        <x:v>Splendid alfonsino</x:v>
      </x:c>
      <x:c r="G256" s="24" t="str">
        <x:v>Medium benthopelagics (30 - 89 cm)</x:v>
      </x:c>
      <x:c r="H256" s="24" t="str">
        <x:v>Other fishes &amp; inverts</x:v>
      </x:c>
      <x:c r="I256" s="31" t="n">
        <x:v>0.750179382</x:v>
      </x:c>
      <x:c r="J256" s="31" t="n">
        <x:v>0.750179382</x:v>
      </x:c>
      <x:c r="K256" s="31" t="n">
        <x:v>0</x:v>
      </x:c>
      <x:c r="L256" s="31" t="n">
        <x:v>0.7279529311</x:v>
      </x:c>
      <x:c r="M256" s="31" t="n">
        <x:v>0.0222264509</x:v>
      </x:c>
      <x:c r="N256" s="24" t="str">
        <x:v>beryx splendens</x:v>
      </x:c>
      <x:c r="O256" s="32" t="n">
        <x:v>4.27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Beryx splendens</x:v>
      </x:c>
      <x:c r="T256" s="32" t="n">
        <x:f>IF(O256="","",(1/'Metadata'!$B$5)^(O256-1))</x:f>
        <x:v>1862.0871366628655</x:v>
      </x:c>
      <x:c r="U256" s="31" t="n">
        <x:f>IF(T256="","",I256*T256)</x:f>
        <x:v>1396.899377411898</x:v>
      </x:c>
    </x:row>
    <x:row r="257" ht="18" customHeight="1">
      <x:c r="A257" s="24" t="str">
        <x:v>EEZ_076</x:v>
      </x:c>
      <x:c r="B257" s="24" t="str">
        <x:v>Brazil (mainland)</x:v>
      </x:c>
      <x:c r="C257" s="24" t="str">
        <x:v>EEZ</x:v>
      </x:c>
      <x:c r="D257" s="30" t="n">
        <x:v>2019</x:v>
      </x:c>
      <x:c r="E257" s="24" t="str">
        <x:v>Ephippidae</x:v>
      </x:c>
      <x:c r="F257" s="24" t="str">
        <x:v>Spade-, batfishes, scats</x:v>
      </x:c>
      <x:c r="G257" s="24" t="str">
        <x:v>Medium reef assoc. fish (30 - 89 cm)</x:v>
      </x:c>
      <x:c r="H257" s="24" t="str">
        <x:v>Perch-likes</x:v>
      </x:c>
      <x:c r="I257" s="31" t="n">
        <x:v>0.749194794</x:v>
      </x:c>
      <x:c r="J257" s="31" t="n">
        <x:v>0.749194794</x:v>
      </x:c>
      <x:c r="K257" s="31" t="n">
        <x:v>0</x:v>
      </x:c>
      <x:c r="L257" s="31" t="n">
        <x:v>0</x:v>
      </x:c>
      <x:c r="M257" s="31" t="n">
        <x:v>0.749194794</x:v>
      </x:c>
      <x:c r="N257" s="24" t="str">
        <x:v>ephippidae</x:v>
      </x:c>
      <x:c r="O257" s="32" t="n">
        <x:v>3.57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Ephippidae</x:v>
      </x:c>
      <x:c r="T257" s="32" t="n">
        <x:f>IF(O257="","",(1/'Metadata'!$B$5)^(O257-1))</x:f>
        <x:v>371.5352290971724</x:v>
      </x:c>
      <x:c r="U257" s="31" t="n">
        <x:f>IF(T257="","",I257*T257)</x:f>
        <x:v>278.3522594271989</x:v>
      </x:c>
    </x:row>
    <x:row r="258" ht="18" customHeight="1">
      <x:c r="A258" s="24" t="str">
        <x:v>EEZ_076</x:v>
      </x:c>
      <x:c r="B258" s="24" t="str">
        <x:v>Brazil (mainland)</x:v>
      </x:c>
      <x:c r="C258" s="24" t="str">
        <x:v>EEZ</x:v>
      </x:c>
      <x:c r="D258" s="30" t="n">
        <x:v>2019</x:v>
      </x:c>
      <x:c r="E258" s="24" t="str">
        <x:v>Sphyrnidae</x:v>
      </x:c>
      <x:c r="F258" s="24" t="str">
        <x:v>Hammer, bonnet, scoophead sharks</x:v>
      </x:c>
      <x:c r="G258" s="24" t="str">
        <x:v>Large sharks (&gt;=90 cm)</x:v>
      </x:c>
      <x:c r="H258" s="24" t="str">
        <x:v>Sharks &amp; rays</x:v>
      </x:c>
      <x:c r="I258" s="31" t="n">
        <x:v>0.6826385224</x:v>
      </x:c>
      <x:c r="J258" s="31" t="n">
        <x:v>0.6826385224</x:v>
      </x:c>
      <x:c r="K258" s="31" t="n">
        <x:v>0</x:v>
      </x:c>
      <x:c r="L258" s="31" t="n">
        <x:v>0.6826385224</x:v>
      </x:c>
      <x:c r="M258" s="31" t="n">
        <x:v>0</x:v>
      </x:c>
      <x:c r="N258" s="24" t="str">
        <x:v>sphyrnidae</x:v>
      </x:c>
      <x:c r="O258" s="32" t="n">
        <x:v>4.19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Sphyrnidae</x:v>
      </x:c>
      <x:c r="T258" s="32" t="n">
        <x:f>IF(O258="","",(1/'Metadata'!$B$5)^(O258-1))</x:f>
        <x:v>1548.8166189124827</x:v>
      </x:c>
      <x:c r="U258" s="31" t="n">
        <x:f>IF(T258="","",I258*T258)</x:f>
        <x:v>1057.281888202981</x:v>
      </x:c>
    </x:row>
    <x:row r="259" ht="18" customHeight="1">
      <x:c r="A259" s="24" t="str">
        <x:v>EEZ_076</x:v>
      </x:c>
      <x:c r="B259" s="24" t="str">
        <x:v>Brazil (mainland)</x:v>
      </x:c>
      <x:c r="C259" s="24" t="str">
        <x:v>EEZ</x:v>
      </x:c>
      <x:c r="D259" s="30" t="n">
        <x:v>2019</x:v>
      </x:c>
      <x:c r="E259" s="24" t="str">
        <x:v>Mycteroperca microlepis</x:v>
      </x:c>
      <x:c r="F259" s="24" t="str">
        <x:v>Gag</x:v>
      </x:c>
      <x:c r="G259" s="24" t="str">
        <x:v>Large demersals (&gt;=90 cm)</x:v>
      </x:c>
      <x:c r="H259" s="24" t="str">
        <x:v>Perch-likes</x:v>
      </x:c>
      <x:c r="I259" s="31" t="n">
        <x:v>0.6136504391</x:v>
      </x:c>
      <x:c r="J259" s="31" t="n">
        <x:v>0.6136504391</x:v>
      </x:c>
      <x:c r="K259" s="31" t="n">
        <x:v>0</x:v>
      </x:c>
      <x:c r="L259" s="31" t="n">
        <x:v>0.6136504391</x:v>
      </x:c>
      <x:c r="M259" s="31" t="n">
        <x:v>0</x:v>
      </x:c>
      <x:c r="N259" s="24" t="str">
        <x:v>mycteroperca microlepis</x:v>
      </x:c>
      <x:c r="O259" s="32" t="n">
        <x:v>3.65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Mycteroperca microlepis</x:v>
      </x:c>
      <x:c r="T259" s="32" t="n">
        <x:f>IF(O259="","",(1/'Metadata'!$B$5)^(O259-1))</x:f>
        <x:v>446.683592150963</x:v>
      </x:c>
      <x:c r="U259" s="31" t="n">
        <x:f>IF(T259="","",I259*T259)</x:f>
        <x:v>274.10758246220377</x:v>
      </x:c>
    </x:row>
    <x:row r="260" ht="18" customHeight="1">
      <x:c r="A260" s="24" t="str">
        <x:v>EEZ_076</x:v>
      </x:c>
      <x:c r="B260" s="24" t="str">
        <x:v>Brazil (mainland)</x:v>
      </x:c>
      <x:c r="C260" s="24" t="str">
        <x:v>EEZ</x:v>
      </x:c>
      <x:c r="D260" s="30" t="n">
        <x:v>2019</x:v>
      </x:c>
      <x:c r="E260" s="24" t="str">
        <x:v>Pectinidae</x:v>
      </x:c>
      <x:c r="F260" s="24" t="str">
        <x:v>Scallops</x:v>
      </x:c>
      <x:c r="G260" s="24" t="str">
        <x:v>Other demersal invertebrates</x:v>
      </x:c>
      <x:c r="H260" s="24" t="str">
        <x:v>Molluscs</x:v>
      </x:c>
      <x:c r="I260" s="31" t="n">
        <x:v>0.6032273443</x:v>
      </x:c>
      <x:c r="J260" s="31" t="n">
        <x:v>0.6032273443</x:v>
      </x:c>
      <x:c r="K260" s="31" t="n">
        <x:v>0</x:v>
      </x:c>
      <x:c r="L260" s="31" t="n">
        <x:v>0.588272837</x:v>
      </x:c>
      <x:c r="M260" s="31" t="n">
        <x:v>0.0149545073</x:v>
      </x:c>
      <x:c r="N260" s="24" t="str">
        <x:v>pectinidae</x:v>
      </x:c>
      <x:c r="O260" s="32" t="n">
        <x:v>2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Pectinidae</x:v>
      </x:c>
      <x:c r="T260" s="32" t="n">
        <x:f>IF(O260="","",(1/'Metadata'!$B$5)^(O260-1))</x:f>
        <x:v>10</x:v>
      </x:c>
      <x:c r="U260" s="31" t="n">
        <x:f>IF(T260="","",I260*T260)</x:f>
        <x:v>6.032273443</x:v>
      </x:c>
    </x:row>
    <x:row r="261" ht="18" customHeight="1">
      <x:c r="A261" s="24" t="str">
        <x:v>EEZ_076</x:v>
      </x:c>
      <x:c r="B261" s="24" t="str">
        <x:v>Brazil (mainland)</x:v>
      </x:c>
      <x:c r="C261" s="24" t="str">
        <x:v>EEZ</x:v>
      </x:c>
      <x:c r="D261" s="30" t="n">
        <x:v>2019</x:v>
      </x:c>
      <x:c r="E261" s="24" t="str">
        <x:v>Lampris guttatus</x:v>
      </x:c>
      <x:c r="F261" s="24" t="str">
        <x:v>Opah</x:v>
      </x:c>
      <x:c r="G261" s="24" t="str">
        <x:v>Large bathypelagics (&gt;=90 cm)</x:v>
      </x:c>
      <x:c r="H261" s="24" t="str">
        <x:v>Other fishes &amp; inverts</x:v>
      </x:c>
      <x:c r="I261" s="31" t="n">
        <x:v>0.4800926025</x:v>
      </x:c>
      <x:c r="J261" s="31" t="n">
        <x:v>0.4800926025</x:v>
      </x:c>
      <x:c r="K261" s="31" t="n">
        <x:v>0</x:v>
      </x:c>
      <x:c r="L261" s="31" t="n">
        <x:v>0.4800926025</x:v>
      </x:c>
      <x:c r="M261" s="31" t="n">
        <x:v>0</x:v>
      </x:c>
      <x:c r="N261" s="24" t="str">
        <x:v>lampris guttatus</x:v>
      </x:c>
      <x:c r="O261" s="32" t="n">
        <x:v>4.22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Lampris guttatus</x:v>
      </x:c>
      <x:c r="T261" s="32" t="n">
        <x:f>IF(O261="","",(1/'Metadata'!$B$5)^(O261-1))</x:f>
        <x:v>1659.5869074375596</x:v>
      </x:c>
      <x:c r="U261" s="31" t="n">
        <x:f>IF(T261="","",I261*T261)</x:f>
        <x:v>796.7553974666247</x:v>
      </x:c>
    </x:row>
    <x:row r="262" ht="18" customHeight="1">
      <x:c r="A262" s="24" t="str">
        <x:v>EEZ_076</x:v>
      </x:c>
      <x:c r="B262" s="24" t="str">
        <x:v>Brazil (mainland)</x:v>
      </x:c>
      <x:c r="C262" s="24" t="str">
        <x:v>EEZ</x:v>
      </x:c>
      <x:c r="D262" s="30" t="n">
        <x:v>2019</x:v>
      </x:c>
      <x:c r="E262" s="24" t="str">
        <x:v>Balistes</x:v>
      </x:c>
      <x:c r="F262" s="24" t="str">
        <x:v>Triggerfish</x:v>
      </x:c>
      <x:c r="G262" s="24" t="str">
        <x:v>Medium reef assoc. fish (30 - 89 cm)</x:v>
      </x:c>
      <x:c r="H262" s="24" t="str">
        <x:v>Other fishes &amp; inverts</x:v>
      </x:c>
      <x:c r="I262" s="31" t="n">
        <x:v>0.4397293491</x:v>
      </x:c>
      <x:c r="J262" s="31" t="n">
        <x:v>0.4397293491</x:v>
      </x:c>
      <x:c r="K262" s="31" t="n">
        <x:v>0</x:v>
      </x:c>
      <x:c r="L262" s="31" t="n">
        <x:v>0</x:v>
      </x:c>
      <x:c r="M262" s="31" t="n">
        <x:v>0.4397293491</x:v>
      </x:c>
      <x:c r="N262" s="24" t="str">
        <x:v>balistes</x:v>
      </x:c>
      <x:c r="O262" s="32" t="n">
        <x:v>3.94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Balistes</x:v>
      </x:c>
      <x:c r="T262" s="32" t="n">
        <x:f>IF(O262="","",(1/'Metadata'!$B$5)^(O262-1))</x:f>
        <x:v>870.9635899560806</x:v>
      </x:c>
      <x:c r="U262" s="31" t="n">
        <x:f>IF(T262="","",I262*T262)</x:f>
        <x:v>382.9882525011866</x:v>
      </x:c>
    </x:row>
    <x:row r="263" ht="18" customHeight="1">
      <x:c r="A263" s="24" t="str">
        <x:v>EEZ_076</x:v>
      </x:c>
      <x:c r="B263" s="24" t="str">
        <x:v>Brazil (mainland)</x:v>
      </x:c>
      <x:c r="C263" s="24" t="str">
        <x:v>EEZ</x:v>
      </x:c>
      <x:c r="D263" s="30" t="n">
        <x:v>2019</x:v>
      </x:c>
      <x:c r="E263" s="24" t="str">
        <x:v>Sphyrna mokarran</x:v>
      </x:c>
      <x:c r="F263" s="24" t="str">
        <x:v>Great hammerhead</x:v>
      </x:c>
      <x:c r="G263" s="24" t="str">
        <x:v>Large sharks (&gt;=90 cm)</x:v>
      </x:c>
      <x:c r="H263" s="24" t="str">
        <x:v>Sharks &amp; rays</x:v>
      </x:c>
      <x:c r="I263" s="31" t="n">
        <x:v>0.3117042342</x:v>
      </x:c>
      <x:c r="J263" s="31" t="n">
        <x:v>0.3117042342</x:v>
      </x:c>
      <x:c r="K263" s="31" t="n">
        <x:v>0</x:v>
      </x:c>
      <x:c r="L263" s="31" t="n">
        <x:v>0.3117042342</x:v>
      </x:c>
      <x:c r="M263" s="31" t="n">
        <x:v>0</x:v>
      </x:c>
      <x:c r="N263" s="24" t="str">
        <x:v>sphyrna mokarran</x:v>
      </x:c>
      <x:c r="O263" s="32" t="n">
        <x:v>4.32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Sphyrna mokarran</x:v>
      </x:c>
      <x:c r="T263" s="32" t="n">
        <x:f>IF(O263="","",(1/'Metadata'!$B$5)^(O263-1))</x:f>
        <x:v>2089.2961308540407</x:v>
      </x:c>
      <x:c r="U263" s="31" t="n">
        <x:f>IF(T263="","",I263*T263)</x:f>
        <x:v>651.2424504848817</x:v>
      </x:c>
    </x:row>
    <x:row r="264" ht="18" customHeight="1">
      <x:c r="A264" s="24" t="str">
        <x:v>EEZ_076</x:v>
      </x:c>
      <x:c r="B264" s="24" t="str">
        <x:v>Brazil (mainland)</x:v>
      </x:c>
      <x:c r="C264" s="24" t="str">
        <x:v>EEZ</x:v>
      </x:c>
      <x:c r="D264" s="30" t="n">
        <x:v>2019</x:v>
      </x:c>
      <x:c r="E264" s="24" t="str">
        <x:v>Gastropoda</x:v>
      </x:c>
      <x:c r="F264" s="24" t="str">
        <x:v>Sea snails</x:v>
      </x:c>
      <x:c r="G264" s="24" t="str">
        <x:v>Other demersal invertebrates</x:v>
      </x:c>
      <x:c r="H264" s="24" t="str">
        <x:v>Molluscs</x:v>
      </x:c>
      <x:c r="I264" s="31" t="n">
        <x:v>0.26458228019999996</x:v>
      </x:c>
      <x:c r="J264" s="31" t="n">
        <x:v>0.26458228019999996</x:v>
      </x:c>
      <x:c r="K264" s="31" t="n">
        <x:v>0</x:v>
      </x:c>
      <x:c r="L264" s="31" t="n">
        <x:v>0.26458228019999996</x:v>
      </x:c>
      <x:c r="M264" s="31" t="n">
        <x:v>0</x:v>
      </x:c>
      <x:c r="N264" s="24" t="str">
        <x:v>gastropoda</x:v>
      </x:c>
      <x:c r="O264" s="32" t="n">
        <x:v>3.06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Gastropoda</x:v>
      </x:c>
      <x:c r="T264" s="32" t="n">
        <x:f>IF(O264="","",(1/'Metadata'!$B$5)^(O264-1))</x:f>
        <x:v>114.81536214968828</x:v>
      </x:c>
      <x:c r="U264" s="31" t="n">
        <x:f>IF(T264="","",I264*T264)</x:f>
        <x:v>30.378110319553297</x:v>
      </x:c>
    </x:row>
    <x:row r="265" ht="18" customHeight="1">
      <x:c r="A265" s="24" t="str">
        <x:v>EEZ_076</x:v>
      </x:c>
      <x:c r="B265" s="24" t="str">
        <x:v>Brazil (mainland)</x:v>
      </x:c>
      <x:c r="C265" s="24" t="str">
        <x:v>EEZ</x:v>
      </x:c>
      <x:c r="D265" s="30" t="n">
        <x:v>2019</x:v>
      </x:c>
      <x:c r="E265" s="24" t="str">
        <x:v>Muraenidae</x:v>
      </x:c>
      <x:c r="F265" s="24" t="str">
        <x:v>Moray eels</x:v>
      </x:c>
      <x:c r="G265" s="24" t="str">
        <x:v>Large reef assoc. fish (&gt;=90 cm)</x:v>
      </x:c>
      <x:c r="H265" s="24" t="str">
        <x:v>Other fishes &amp; inverts</x:v>
      </x:c>
      <x:c r="I265" s="31" t="n">
        <x:v>0.126657151</x:v>
      </x:c>
      <x:c r="J265" s="31" t="n">
        <x:v>0.126657151</x:v>
      </x:c>
      <x:c r="K265" s="31" t="n">
        <x:v>0</x:v>
      </x:c>
      <x:c r="L265" s="31" t="n">
        <x:v>0.126657151</x:v>
      </x:c>
      <x:c r="M265" s="31" t="n">
        <x:v>0</x:v>
      </x:c>
      <x:c r="N265" s="24" t="str">
        <x:v>muraenidae</x:v>
      </x:c>
      <x:c r="O265" s="32" t="n">
        <x:v>4.07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Muraenidae</x:v>
      </x:c>
      <x:c r="T265" s="32" t="n">
        <x:f>IF(O265="","",(1/'Metadata'!$B$5)^(O265-1))</x:f>
        <x:v>1174.8975549395302</x:v>
      </x:c>
      <x:c r="U265" s="31" t="n">
        <x:f>IF(T265="","",I265*T265)</x:f>
        <x:v>148.80917702550687</x:v>
      </x:c>
    </x:row>
    <x:row r="266" ht="18" customHeight="1">
      <x:c r="A266" s="24" t="str">
        <x:v>EEZ_076</x:v>
      </x:c>
      <x:c r="B266" s="24" t="str">
        <x:v>Brazil (mainland)</x:v>
      </x:c>
      <x:c r="C266" s="24" t="str">
        <x:v>EEZ</x:v>
      </x:c>
      <x:c r="D266" s="30" t="n">
        <x:v>2019</x:v>
      </x:c>
      <x:c r="E266" s="24" t="str">
        <x:v>Anchoa spinifer</x:v>
      </x:c>
      <x:c r="F266" s="24" t="str">
        <x:v>Spicule anchovy</x:v>
      </x:c>
      <x:c r="G266" s="24" t="str">
        <x:v>Small pelagics (&lt;30 cm)</x:v>
      </x:c>
      <x:c r="H266" s="24" t="str">
        <x:v>Anchovies</x:v>
      </x:c>
      <x:c r="I266" s="31" t="n">
        <x:v>0.12576042</x:v>
      </x:c>
      <x:c r="J266" s="31" t="n">
        <x:v>0.12576042</x:v>
      </x:c>
      <x:c r="K266" s="31" t="n">
        <x:v>0</x:v>
      </x:c>
      <x:c r="L266" s="31" t="n">
        <x:v>0.12576042</x:v>
      </x:c>
      <x:c r="M266" s="31" t="n">
        <x:v>0</x:v>
      </x:c>
      <x:c r="N266" s="24" t="str">
        <x:v>anchoa spinifer</x:v>
      </x:c>
      <x:c r="O266" s="32" t="n">
        <x:v>4.09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Anchoa spinifer</x:v>
      </x:c>
      <x:c r="T266" s="32" t="n">
        <x:f>IF(O266="","",(1/'Metadata'!$B$5)^(O266-1))</x:f>
        <x:v>1230.268770812381</x:v>
      </x:c>
      <x:c r="U266" s="31" t="n">
        <x:f>IF(T266="","",I266*T266)</x:f>
        <x:v>154.7191173302488</x:v>
      </x:c>
    </x:row>
    <x:row r="267" ht="18" customHeight="1">
      <x:c r="A267" s="24" t="str">
        <x:v>EEZ_076</x:v>
      </x:c>
      <x:c r="B267" s="24" t="str">
        <x:v>Brazil (mainland)</x:v>
      </x:c>
      <x:c r="C267" s="24" t="str">
        <x:v>EEZ</x:v>
      </x:c>
      <x:c r="D267" s="30" t="n">
        <x:v>2019</x:v>
      </x:c>
      <x:c r="E267" s="24" t="str">
        <x:v>Thyrsitops lepidopoides</x:v>
      </x:c>
      <x:c r="F267" s="24" t="str">
        <x:v>White snake mackerel</x:v>
      </x:c>
      <x:c r="G267" s="24" t="str">
        <x:v>Medium benthopelagics (30 - 89 cm)</x:v>
      </x:c>
      <x:c r="H267" s="24" t="str">
        <x:v>Perch-likes</x:v>
      </x:c>
      <x:c r="I267" s="31" t="n">
        <x:v>0.1193881432</x:v>
      </x:c>
      <x:c r="J267" s="31" t="n">
        <x:v>0.1193881432</x:v>
      </x:c>
      <x:c r="K267" s="31" t="n">
        <x:v>0</x:v>
      </x:c>
      <x:c r="L267" s="31" t="n">
        <x:v>0.1181523611</x:v>
      </x:c>
      <x:c r="M267" s="31" t="n">
        <x:v>0.0012357821</x:v>
      </x:c>
      <x:c r="N267" s="24" t="str">
        <x:v>thyrsitops lepidopoides</x:v>
      </x:c>
      <x:c r="O267" s="32" t="n">
        <x:v>3.86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Thyrsitops lepidopoides</x:v>
      </x:c>
      <x:c r="T267" s="32" t="n">
        <x:f>IF(O267="","",(1/'Metadata'!$B$5)^(O267-1))</x:f>
        <x:v>724.4359600749899</x:v>
      </x:c>
      <x:c r="U267" s="31" t="n">
        <x:f>IF(T267="","",I267*T267)</x:f>
        <x:v>86.48906414066238</x:v>
      </x:c>
    </x:row>
    <x:row r="268" ht="18" customHeight="1">
      <x:c r="A268" s="24" t="str">
        <x:v>EEZ_076</x:v>
      </x:c>
      <x:c r="B268" s="24" t="str">
        <x:v>Brazil (mainland)</x:v>
      </x:c>
      <x:c r="C268" s="24" t="str">
        <x:v>EEZ</x:v>
      </x:c>
      <x:c r="D268" s="30" t="n">
        <x:v>2019</x:v>
      </x:c>
      <x:c r="E268" s="24" t="str">
        <x:v>Sphyrna tiburo</x:v>
      </x:c>
      <x:c r="F268" s="24" t="str">
        <x:v>Bonnethead</x:v>
      </x:c>
      <x:c r="G268" s="24" t="str">
        <x:v>Large sharks (&gt;=90 cm)</x:v>
      </x:c>
      <x:c r="H268" s="24" t="str">
        <x:v>Sharks &amp; rays</x:v>
      </x:c>
      <x:c r="I268" s="31" t="n">
        <x:v>0.11765185219999999</x:v>
      </x:c>
      <x:c r="J268" s="31" t="n">
        <x:v>0.11765185219999999</x:v>
      </x:c>
      <x:c r="K268" s="31" t="n">
        <x:v>0</x:v>
      </x:c>
      <x:c r="L268" s="31" t="n">
        <x:v>0.11765185219999999</x:v>
      </x:c>
      <x:c r="M268" s="31" t="n">
        <x:v>0</x:v>
      </x:c>
      <x:c r="N268" s="24" t="str">
        <x:v>sphyrna tiburo</x:v>
      </x:c>
      <x:c r="O268" s="32" t="n">
        <x:v>3.88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Sphyrna tiburo</x:v>
      </x:c>
      <x:c r="T268" s="32" t="n">
        <x:f>IF(O268="","",(1/'Metadata'!$B$5)^(O268-1))</x:f>
        <x:v>758.5775750291835</x:v>
      </x:c>
      <x:c r="U268" s="31" t="n">
        <x:f>IF(T268="","",I268*T268)</x:f>
        <x:v>89.2480567395679</x:v>
      </x:c>
    </x:row>
    <x:row r="269" ht="18" customHeight="1">
      <x:c r="A269" s="24" t="str">
        <x:v>EEZ_076</x:v>
      </x:c>
      <x:c r="B269" s="24" t="str">
        <x:v>Brazil (mainland)</x:v>
      </x:c>
      <x:c r="C269" s="24" t="str">
        <x:v>EEZ</x:v>
      </x:c>
      <x:c r="D269" s="30" t="n">
        <x:v>2019</x:v>
      </x:c>
      <x:c r="E269" s="24" t="str">
        <x:v>Hyporthodus flavolimbatus</x:v>
      </x:c>
      <x:c r="F269" s="24" t="str">
        <x:v>Yellowedge grouper</x:v>
      </x:c>
      <x:c r="G269" s="24" t="str">
        <x:v>Large demersals (&gt;=90 cm)</x:v>
      </x:c>
      <x:c r="H269" s="24" t="str">
        <x:v>Perch-likes</x:v>
      </x:c>
      <x:c r="I269" s="31" t="n">
        <x:v>0.11722323700000001</x:v>
      </x:c>
      <x:c r="J269" s="31" t="n">
        <x:v>0.11722323700000001</x:v>
      </x:c>
      <x:c r="K269" s="31" t="n">
        <x:v>0</x:v>
      </x:c>
      <x:c r="L269" s="31" t="n">
        <x:v>0.11436083300000001</x:v>
      </x:c>
      <x:c r="M269" s="31" t="n">
        <x:v>0.0028624040000000003</x:v>
      </x:c>
      <x:c r="N269" s="24" t="str">
        <x:v>hyporthodus flavolimbatus</x:v>
      </x:c>
      <x:c r="O269" s="32" t="n">
        <x:v>3.82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Hyporthodus flavolimbatus</x:v>
      </x:c>
      <x:c r="T269" s="32" t="n">
        <x:f>IF(O269="","",(1/'Metadata'!$B$5)^(O269-1))</x:f>
        <x:v>660.6934480075957</x:v>
      </x:c>
      <x:c r="U269" s="31" t="n">
        <x:f>IF(T269="","",I269*T269)</x:f>
        <x:v>77.44862464014157</x:v>
      </x:c>
    </x:row>
    <x:row r="270" ht="18" customHeight="1">
      <x:c r="A270" s="24" t="str">
        <x:v>EEZ_076</x:v>
      </x:c>
      <x:c r="B270" s="24" t="str">
        <x:v>Brazil (mainland)</x:v>
      </x:c>
      <x:c r="C270" s="24" t="str">
        <x:v>EEZ</x:v>
      </x:c>
      <x:c r="D270" s="30" t="n">
        <x:v>2019</x:v>
      </x:c>
      <x:c r="E270" s="24" t="str">
        <x:v>Mulloidichthys martinicus</x:v>
      </x:c>
      <x:c r="F270" s="24" t="str">
        <x:v>Yellow goatfish</x:v>
      </x:c>
      <x:c r="G270" s="24" t="str">
        <x:v>Medium reef assoc. fish (30 - 89 cm)</x:v>
      </x:c>
      <x:c r="H270" s="24" t="str">
        <x:v>Perch-likes</x:v>
      </x:c>
      <x:c r="I270" s="31" t="n">
        <x:v>0.116576568</x:v>
      </x:c>
      <x:c r="J270" s="31" t="n">
        <x:v>0.116576568</x:v>
      </x:c>
      <x:c r="K270" s="31" t="n">
        <x:v>0</x:v>
      </x:c>
      <x:c r="L270" s="31" t="n">
        <x:v>0.112874523</x:v>
      </x:c>
      <x:c r="M270" s="31" t="n">
        <x:v>0.003702045</x:v>
      </x:c>
      <x:c r="N270" s="24" t="str">
        <x:v>mulloidichthys martinicus</x:v>
      </x:c>
      <x:c r="O270" s="32" t="n">
        <x:v>3.21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Mulloidichthys martinicus</x:v>
      </x:c>
      <x:c r="T270" s="32" t="n">
        <x:f>IF(O270="","",(1/'Metadata'!$B$5)^(O270-1))</x:f>
        <x:v>162.18100973589299</x:v>
      </x:c>
      <x:c r="U270" s="31" t="n">
        <x:f>IF(T270="","",I270*T270)</x:f>
        <x:v>18.906505509784992</x:v>
      </x:c>
    </x:row>
    <x:row r="271" ht="18" customHeight="1">
      <x:c r="A271" s="24" t="str">
        <x:v>EEZ_076</x:v>
      </x:c>
      <x:c r="B271" s="24" t="str">
        <x:v>Brazil (mainland)</x:v>
      </x:c>
      <x:c r="C271" s="24" t="str">
        <x:v>EEZ</x:v>
      </x:c>
      <x:c r="D271" s="30" t="n">
        <x:v>2019</x:v>
      </x:c>
      <x:c r="E271" s="24" t="str">
        <x:v>Notorynchus cepedianus</x:v>
      </x:c>
      <x:c r="F271" s="24" t="str">
        <x:v>Broadnose sevengill shark</x:v>
      </x:c>
      <x:c r="G271" s="24" t="str">
        <x:v>Large sharks (&gt;=90 cm)</x:v>
      </x:c>
      <x:c r="H271" s="24" t="str">
        <x:v>Sharks &amp; rays</x:v>
      </x:c>
      <x:c r="I271" s="31" t="n">
        <x:v>0.0530201565</x:v>
      </x:c>
      <x:c r="J271" s="31" t="n">
        <x:v>0.0530201565</x:v>
      </x:c>
      <x:c r="K271" s="31" t="n">
        <x:v>0</x:v>
      </x:c>
      <x:c r="L271" s="31" t="n">
        <x:v>0.0511475311</x:v>
      </x:c>
      <x:c r="M271" s="31" t="n">
        <x:v>0.0018726254</x:v>
      </x:c>
      <x:c r="N271" s="24" t="str">
        <x:v>notorynchus cepedianus</x:v>
      </x:c>
      <x:c r="O271" s="32" t="n">
        <x:v>4.68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Notorynchus cepedianus</x:v>
      </x:c>
      <x:c r="T271" s="32" t="n">
        <x:f>IF(O271="","",(1/'Metadata'!$B$5)^(O271-1))</x:f>
        <x:v>4786.30092322638</x:v>
      </x:c>
      <x:c r="U271" s="31" t="n">
        <x:f>IF(T271="","",I271*T271)</x:f>
        <x:v>253.77042400555717</x:v>
      </x:c>
    </x:row>
    <x:row r="272" ht="18" customHeight="1">
      <x:c r="A272" s="24" t="str">
        <x:v>EEZ_076</x:v>
      </x:c>
      <x:c r="B272" s="24" t="str">
        <x:v>Brazil (mainland)</x:v>
      </x:c>
      <x:c r="C272" s="24" t="str">
        <x:v>EEZ</x:v>
      </x:c>
      <x:c r="D272" s="30" t="n">
        <x:v>2019</x:v>
      </x:c>
      <x:c r="E272" s="24" t="str">
        <x:v>Macrouridae</x:v>
      </x:c>
      <x:c r="F272" s="24" t="str">
        <x:v>Grenadiers, rattails</x:v>
      </x:c>
      <x:c r="G272" s="24" t="str">
        <x:v>Medium benthopelagics (30 - 89 cm)</x:v>
      </x:c>
      <x:c r="H272" s="24" t="str">
        <x:v>Cod-likes</x:v>
      </x:c>
      <x:c r="I272" s="31" t="n">
        <x:v>0.0459170301</x:v>
      </x:c>
      <x:c r="J272" s="31" t="n">
        <x:v>0.0459170301</x:v>
      </x:c>
      <x:c r="K272" s="31" t="n">
        <x:v>0</x:v>
      </x:c>
      <x:c r="L272" s="31" t="n">
        <x:v>0.0459170301</x:v>
      </x:c>
      <x:c r="M272" s="31" t="n">
        <x:v>0</x:v>
      </x:c>
      <x:c r="N272" s="24" t="str">
        <x:v>macrouridae</x:v>
      </x:c>
      <x:c r="O272" s="32" t="n">
        <x:v>3.88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Macrouridae</x:v>
      </x:c>
      <x:c r="T272" s="32" t="n">
        <x:f>IF(O272="","",(1/'Metadata'!$B$5)^(O272-1))</x:f>
        <x:v>758.5775750291835</x:v>
      </x:c>
      <x:c r="U272" s="31" t="n">
        <x:f>IF(T272="","",I272*T272)</x:f>
        <x:v>34.83162934580003</x:v>
      </x:c>
    </x:row>
    <x:row r="273" ht="18" customHeight="1">
      <x:c r="A273" s="24" t="str">
        <x:v>EEZ_076</x:v>
      </x:c>
      <x:c r="B273" s="24" t="str">
        <x:v>Brazil (mainland)</x:v>
      </x:c>
      <x:c r="C273" s="24" t="str">
        <x:v>EEZ</x:v>
      </x:c>
      <x:c r="D273" s="30" t="n">
        <x:v>2019</x:v>
      </x:c>
      <x:c r="E273" s="24" t="str">
        <x:v>Thunnus</x:v>
      </x:c>
      <x:c r="F273" s="24" t="str">
        <x:v>Tunas</x:v>
      </x:c>
      <x:c r="G273" s="24" t="str">
        <x:v>Large pelagics (&gt;=90 cm)</x:v>
      </x:c>
      <x:c r="H273" s="24" t="str">
        <x:v>Tuna &amp; billfishes</x:v>
      </x:c>
      <x:c r="I273" s="31" t="n">
        <x:v>0.0324652371</x:v>
      </x:c>
      <x:c r="J273" s="31" t="n">
        <x:v>0.0324652371</x:v>
      </x:c>
      <x:c r="K273" s="31" t="n">
        <x:v>0</x:v>
      </x:c>
      <x:c r="L273" s="31" t="n">
        <x:v>0.0324652371</x:v>
      </x:c>
      <x:c r="M273" s="31" t="n">
        <x:v>0</x:v>
      </x:c>
      <x:c r="N273" s="24" t="str">
        <x:v>thunnus</x:v>
      </x:c>
      <x:c r="O273" s="32" t="n">
        <x:v>4.34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Thunnus</x:v>
      </x:c>
      <x:c r="T273" s="32" t="n">
        <x:f>IF(O273="","",(1/'Metadata'!$B$5)^(O273-1))</x:f>
        <x:v>2187.761623949552</x:v>
      </x:c>
      <x:c r="U273" s="31" t="n">
        <x:f>IF(T273="","",I273*T273)</x:f>
        <x:v>71.02619983980324</x:v>
      </x:c>
    </x:row>
    <x:row r="274" ht="18" customHeight="1">
      <x:c r="A274" s="24" t="str">
        <x:v>EEZ_076</x:v>
      </x:c>
      <x:c r="B274" s="24" t="str">
        <x:v>Brazil (mainland)</x:v>
      </x:c>
      <x:c r="C274" s="24" t="str">
        <x:v>EEZ</x:v>
      </x:c>
      <x:c r="D274" s="30" t="n">
        <x:v>2019</x:v>
      </x:c>
      <x:c r="E274" s="24" t="str">
        <x:v>Callinectes sapidus</x:v>
      </x:c>
      <x:c r="F274" s="24" t="str">
        <x:v>Blue crab</x:v>
      </x:c>
      <x:c r="G274" s="24" t="str">
        <x:v>Lobsters, crabs</x:v>
      </x:c>
      <x:c r="H274" s="24" t="str">
        <x:v>Crustaceans</x:v>
      </x:c>
      <x:c r="I274" s="31" t="n">
        <x:v>0.015209144</x:v>
      </x:c>
      <x:c r="J274" s="31" t="n">
        <x:v>0.015209144</x:v>
      </x:c>
      <x:c r="K274" s="31" t="n">
        <x:v>0</x:v>
      </x:c>
      <x:c r="L274" s="31" t="n">
        <x:v>0.015209144</x:v>
      </x:c>
      <x:c r="M274" s="31" t="n">
        <x:v>0</x:v>
      </x:c>
      <x:c r="N274" s="24" t="str">
        <x:v>callinectes sapidus</x:v>
      </x:c>
      <x:c r="O274" s="32" t="n">
        <x:v>4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Callinectes sapidus</x:v>
      </x:c>
      <x:c r="T274" s="32" t="n">
        <x:f>IF(O274="","",(1/'Metadata'!$B$5)^(O274-1))</x:f>
        <x:v>1000</x:v>
      </x:c>
      <x:c r="U274" s="31" t="n">
        <x:f>IF(T274="","",I274*T274)</x:f>
        <x:v>15.209144</x:v>
      </x:c>
    </x:row>
    <x:row r="275" ht="18" customHeight="1">
      <x:c r="A275" s="24" t="str">
        <x:v>EEZ_076</x:v>
      </x:c>
      <x:c r="B275" s="24" t="str">
        <x:v>Brazil (mainland)</x:v>
      </x:c>
      <x:c r="C275" s="24" t="str">
        <x:v>EEZ</x:v>
      </x:c>
      <x:c r="D275" s="30" t="n">
        <x:v>2019</x:v>
      </x:c>
      <x:c r="E275" s="24" t="str">
        <x:v>Uraspis secunda</x:v>
      </x:c>
      <x:c r="F275" s="24" t="str">
        <x:v>Cottonmouth jack</x:v>
      </x:c>
      <x:c r="G275" s="24" t="str">
        <x:v>Medium pelagics (30 - 89 cm)</x:v>
      </x:c>
      <x:c r="H275" s="24" t="str">
        <x:v>Perch-likes</x:v>
      </x:c>
      <x:c r="I275" s="31" t="n">
        <x:v>0.006981188</x:v>
      </x:c>
      <x:c r="J275" s="31" t="n">
        <x:v>0.006981188</x:v>
      </x:c>
      <x:c r="K275" s="31" t="n">
        <x:v>0</x:v>
      </x:c>
      <x:c r="L275" s="31" t="n">
        <x:v>0.006981188</x:v>
      </x:c>
      <x:c r="M275" s="31" t="n">
        <x:v>0</x:v>
      </x:c>
      <x:c r="N275" s="24" t="str">
        <x:v>uraspis secunda</x:v>
      </x:c>
      <x:c r="O275" s="32" t="n">
        <x:v>4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Uraspis secunda</x:v>
      </x:c>
      <x:c r="T275" s="32" t="n">
        <x:f>IF(O275="","",(1/'Metadata'!$B$5)^(O275-1))</x:f>
        <x:v>1000</x:v>
      </x:c>
      <x:c r="U275" s="31" t="n">
        <x:f>IF(T275="","",I275*T275)</x:f>
        <x:v>6.981188</x:v>
      </x:c>
    </x:row>
  </x:sheetData>
  <x:conditionalFormatting sqref="R2:R2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4cb328f459b41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6</x:v>
      </x:c>
      <x:c r="C2" s="33" t="n">
        <x:v>6</x:v>
      </x:c>
      <x:c r="D2" s="31" t="n">
        <x:v>5196.9037109835</x:v>
      </x:c>
      <x:c r="E2" s="31" t="n">
        <x:v>5196.9037109835</x:v>
      </x:c>
      <x:c r="F2" s="32" t="n">
        <x:v>0</x:v>
      </x:c>
      <x:c r="G2" s="34" t="n">
        <x:v>1</x:v>
      </x:c>
      <x:c r="H2" s="32" t="n">
        <x:f>IF(E2=0,"",I2/E2)</x:f>
        <x:v>95.75082162911798</x:v>
      </x:c>
      <x:c r="I2" s="31" t="n">
        <x:f>IF(C2=0,"",SUMIF('Species'!$H$2:$H$275,A2,'Species'!$U$2:$U$275))</x:f>
        <x:v>497607.8002540824</x:v>
      </x:c>
      <x:c r="J2" s="32" t="n">
        <x:v>2.735290060339056</x:v>
      </x:c>
      <x:c r="K2" s="32" t="n">
        <x:f>IF(J2="","",(1/'Metadata'!$B$5)^(J2-1))</x:f>
        <x:v>54.36132833949548</x:v>
      </x:c>
      <x:c r="L2" s="31" t="n">
        <x:f>IF(E2=0,"",E2*K2)</x:f>
        <x:v>282510.58898151654</x:v>
      </x:c>
      <x:c r="M2" s="31" t="n">
        <x:f>IF(E2=0,"",I2-L2)</x:f>
        <x:v>215097.21127256588</x:v>
      </x:c>
      <x:c r="N2" s="32" t="n">
        <x:f>IF(L2=0,"",I2/L2)</x:f>
        <x:v>1.7613775187967866</x:v>
      </x:c>
      <x:c r="O2" s="34" t="n">
        <x:f>IF(L2=0,"",M2/L2)</x:f>
        <x:v>0.7613775187967866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9844.4945104906</x:v>
      </x:c>
      <x:c r="E3" s="31" t="n">
        <x:v>9844.4945104906</x:v>
      </x:c>
      <x:c r="F3" s="32" t="n">
        <x:v>0</x:v>
      </x:c>
      <x:c r="G3" s="34" t="n">
        <x:v>1</x:v>
      </x:c>
      <x:c r="H3" s="32" t="n">
        <x:f>IF(E3=0,"",I3/E3)</x:f>
        <x:v>871.926661548373</x:v>
      </x:c>
      <x:c r="I3" s="31" t="n">
        <x:f>IF(C3=0,"",SUMIF('Species'!$H$2:$H$275,A3,'Species'!$U$2:$U$275))</x:f>
        <x:v>8583677.233163353</x:v>
      </x:c>
      <x:c r="J3" s="32" t="n">
        <x:v>3.904573524987479</x:v>
      </x:c>
      <x:c r="K3" s="32" t="n">
        <x:f>IF(J3="","",(1/'Metadata'!$B$5)^(J3-1))</x:f>
        <x:v>802.7374508451829</x:v>
      </x:c>
      <x:c r="L3" s="31" t="n">
        <x:f>IF(E3=0,"",E3*K3)</x:f>
        <x:v>7902544.428210622</x:v>
      </x:c>
      <x:c r="M3" s="31" t="n">
        <x:f>IF(E3=0,"",I3-L3)</x:f>
        <x:v>681132.8049527314</x:v>
      </x:c>
      <x:c r="N3" s="32" t="n">
        <x:f>IF(L3=0,"",I3/L3)</x:f>
        <x:v>1.0861915818557393</x:v>
      </x:c>
      <x:c r="O3" s="34" t="n">
        <x:f>IF(L3=0,"",M3/L3)</x:f>
        <x:v>0.08619158185573918</x:v>
      </x:c>
    </x:row>
    <x:row r="4" ht="18" customHeight="1">
      <x:c r="A4" s="24" t="str">
        <x:v>Crustaceans</x:v>
      </x:c>
      <x:c r="B4" s="33" t="n">
        <x:v>16</x:v>
      </x:c>
      <x:c r="C4" s="33" t="n">
        <x:v>16</x:v>
      </x:c>
      <x:c r="D4" s="31" t="n">
        <x:v>46215.9448781056</x:v>
      </x:c>
      <x:c r="E4" s="31" t="n">
        <x:v>46215.9448781056</x:v>
      </x:c>
      <x:c r="F4" s="32" t="n">
        <x:v>0</x:v>
      </x:c>
      <x:c r="G4" s="34" t="n">
        <x:v>1</x:v>
      </x:c>
      <x:c r="H4" s="32" t="n">
        <x:f>IF(E4=0,"",I4/E4)</x:f>
        <x:v>98.27311624023015</x:v>
      </x:c>
      <x:c r="I4" s="31" t="n">
        <x:f>IF(C4=0,"",SUMIF('Species'!$H$2:$H$275,A4,'Species'!$U$2:$U$275))</x:f>
        <x:v>4541784.923158141</x:v>
      </x:c>
      <x:c r="J4" s="32" t="n">
        <x:v>2.845014812367079</x:v>
      </x:c>
      <x:c r="K4" s="32" t="n">
        <x:f>IF(J4="","",(1/'Metadata'!$B$5)^(J4-1))</x:f>
        <x:v>69.98658657352694</x:v>
      </x:c>
      <x:c r="L4" s="31" t="n">
        <x:f>IF(E4=0,"",E4*K4)</x:f>
        <x:v>3234496.227288886</x:v>
      </x:c>
      <x:c r="M4" s="31" t="n">
        <x:f>IF(E4=0,"",I4-L4)</x:f>
        <x:v>1307288.6958692549</x:v>
      </x:c>
      <x:c r="N4" s="32" t="n">
        <x:f>IF(L4=0,"",I4/L4)</x:f>
        <x:v>1.404170728300712</x:v>
      </x:c>
      <x:c r="O4" s="34" t="n">
        <x:f>IF(L4=0,"",M4/L4)</x:f>
        <x:v>0.40417072830071216</x:v>
      </x:c>
    </x:row>
    <x:row r="5" ht="18" customHeight="1">
      <x:c r="A5" s="24" t="str">
        <x:v>Flatfishes</x:v>
      </x:c>
      <x:c r="B5" s="33" t="n">
        <x:v>2</x:v>
      </x:c>
      <x:c r="C5" s="33" t="n">
        <x:v>2</x:v>
      </x:c>
      <x:c r="D5" s="31" t="n">
        <x:v>5074.6609571516</x:v>
      </x:c>
      <x:c r="E5" s="31" t="n">
        <x:v>5074.6609571516</x:v>
      </x:c>
      <x:c r="F5" s="32" t="n">
        <x:v>0</x:v>
      </x:c>
      <x:c r="G5" s="34" t="n">
        <x:v>1</x:v>
      </x:c>
      <x:c r="H5" s="32" t="n">
        <x:f>IF(E5=0,"",I5/E5)</x:f>
        <x:v>228.74721413132335</x:v>
      </x:c>
      <x:c r="I5" s="31" t="n">
        <x:f>IF(C5=0,"",SUMIF('Species'!$H$2:$H$275,A5,'Species'!$U$2:$U$275))</x:f>
        <x:v>1160814.5566094234</x:v>
      </x:c>
      <x:c r="J5" s="32" t="n">
        <x:v>3.343545907562977</x:v>
      </x:c>
      <x:c r="K5" s="32" t="n">
        <x:f>IF(J5="","",(1/'Metadata'!$B$5)^(J5-1))</x:f>
        <x:v>220.56972796616128</x:v>
      </x:c>
      <x:c r="L5" s="31" t="n">
        <x:f>IF(E5=0,"",E5*K5)</x:f>
        <x:v>1119316.5868394282</x:v>
      </x:c>
      <x:c r="M5" s="31" t="n">
        <x:f>IF(E5=0,"",I5-L5)</x:f>
        <x:v>41497.969769995194</x:v>
      </x:c>
      <x:c r="N5" s="32" t="n">
        <x:f>IF(L5=0,"",I5/L5)</x:f>
        <x:v>1.0370743811517806</x:v>
      </x:c>
      <x:c r="O5" s="34" t="n">
        <x:f>IF(L5=0,"",M5/L5)</x:f>
        <x:v>0.037074381151780696</x:v>
      </x:c>
    </x:row>
    <x:row r="6" ht="18" customHeight="1">
      <x:c r="A6" s="24" t="str">
        <x:v>Herring-likes</x:v>
      </x:c>
      <x:c r="B6" s="33" t="n">
        <x:v>9</x:v>
      </x:c>
      <x:c r="C6" s="33" t="n">
        <x:v>9</x:v>
      </x:c>
      <x:c r="D6" s="31" t="n">
        <x:v>156684.62195074902</x:v>
      </x:c>
      <x:c r="E6" s="31" t="n">
        <x:v>156684.62195074902</x:v>
      </x:c>
      <x:c r="F6" s="32" t="n">
        <x:v>0</x:v>
      </x:c>
      <x:c r="G6" s="34" t="n">
        <x:v>1</x:v>
      </x:c>
      <x:c r="H6" s="32" t="n">
        <x:f>IF(E6=0,"",I6/E6)</x:f>
        <x:v>312.7482295157343</x:v>
      </x:c>
      <x:c r="I6" s="31" t="n">
        <x:f>IF(C6=0,"",SUMIF('Species'!$H$2:$H$275,A6,'Species'!$U$2:$U$275))</x:f>
        <x:v>49002838.107438914</x:v>
      </x:c>
      <x:c r="J6" s="32" t="n">
        <x:v>3.211663081238834</x:v>
      </x:c>
      <x:c r="K6" s="32" t="n">
        <x:f>IF(J6="","",(1/'Metadata'!$B$5)^(J6-1))</x:f>
        <x:v>162.80325408175042</x:v>
      </x:c>
      <x:c r="L6" s="31" t="n">
        <x:f>IF(E6=0,"",E6*K6)</x:f>
        <x:v>25508766.318150803</x:v>
      </x:c>
      <x:c r="M6" s="31" t="n">
        <x:f>IF(E6=0,"",I6-L6)</x:f>
        <x:v>23494071.78928811</x:v>
      </x:c>
      <x:c r="N6" s="32" t="n">
        <x:f>IF(L6=0,"",I6/L6)</x:f>
        <x:v>1.9210195231029603</x:v>
      </x:c>
      <x:c r="O6" s="34" t="n">
        <x:f>IF(L6=0,"",M6/L6)</x:f>
        <x:v>0.9210195231029603</x:v>
      </x:c>
    </x:row>
    <x:row r="7" ht="18" customHeight="1">
      <x:c r="A7" s="24" t="str">
        <x:v>Molluscs</x:v>
      </x:c>
      <x:c r="B7" s="33" t="n">
        <x:v>9</x:v>
      </x:c>
      <x:c r="C7" s="33" t="n">
        <x:v>9</x:v>
      </x:c>
      <x:c r="D7" s="31" t="n">
        <x:v>11955.165390640399</x:v>
      </x:c>
      <x:c r="E7" s="31" t="n">
        <x:v>11955.165390640399</x:v>
      </x:c>
      <x:c r="F7" s="32" t="n">
        <x:v>0</x:v>
      </x:c>
      <x:c r="G7" s="34" t="n">
        <x:v>1</x:v>
      </x:c>
      <x:c r="H7" s="32" t="n">
        <x:f>IF(E7=0,"",I7/E7)</x:f>
        <x:v>12.268183678545524</x:v>
      </x:c>
      <x:c r="I7" s="31" t="n">
        <x:f>IF(C7=0,"",SUMIF('Species'!$H$2:$H$275,A7,'Species'!$U$2:$U$275))</x:f>
        <x:v>146668.16491976686</x:v>
      </x:c>
      <x:c r="J7" s="32" t="n">
        <x:v>2.0746681614807865</x:v>
      </x:c>
      <x:c r="K7" s="32" t="n">
        <x:f>IF(J7="","",(1/'Metadata'!$B$5)^(J7-1))</x:f>
        <x:v>11.875944558679679</x:v>
      </x:c>
      <x:c r="L7" s="31" t="n">
        <x:f>IF(E7=0,"",E7*K7)</x:f>
        <x:v>141978.88136909145</x:v>
      </x:c>
      <x:c r="M7" s="31" t="n">
        <x:f>IF(E7=0,"",I7-L7)</x:f>
        <x:v>4689.283550675405</x:v>
      </x:c>
      <x:c r="N7" s="32" t="n">
        <x:f>IF(L7=0,"",I7/L7)</x:f>
        <x:v>1.0330280356166848</x:v>
      </x:c>
      <x:c r="O7" s="34" t="n">
        <x:f>IF(L7=0,"",M7/L7)</x:f>
        <x:v>0.03302803561668471</x:v>
      </x:c>
    </x:row>
    <x:row r="8" ht="18" customHeight="1">
      <x:c r="A8" s="24" t="str">
        <x:v>Other fishes &amp; inverts</x:v>
      </x:c>
      <x:c r="B8" s="33" t="n">
        <x:v>47</x:v>
      </x:c>
      <x:c r="C8" s="33" t="n">
        <x:v>47</x:v>
      </x:c>
      <x:c r="D8" s="31" t="n">
        <x:v>136077.0068477063</x:v>
      </x:c>
      <x:c r="E8" s="31" t="n">
        <x:v>136077.0068477063</x:v>
      </x:c>
      <x:c r="F8" s="32" t="n">
        <x:v>0</x:v>
      </x:c>
      <x:c r="G8" s="34" t="n">
        <x:v>1</x:v>
      </x:c>
      <x:c r="H8" s="32" t="n">
        <x:f>IF(E8=0,"",I8/E8)</x:f>
        <x:v>533.6882228577646</x:v>
      </x:c>
      <x:c r="I8" s="31" t="n">
        <x:f>IF(C8=0,"",SUMIF('Species'!$H$2:$H$275,A8,'Species'!$U$2:$U$275))</x:f>
        <x:v>72622695.95635624</x:v>
      </x:c>
      <x:c r="J8" s="32" t="n">
        <x:v>3.538187169154539</x:v>
      </x:c>
      <x:c r="K8" s="32" t="n">
        <x:f>IF(J8="","",(1/'Metadata'!$B$5)^(J8-1))</x:f>
        <x:v>345.2925189935761</x:v>
      </x:c>
      <x:c r="L8" s="31" t="n">
        <x:f>IF(E8=0,"",E8*K8)</x:f>
        <x:v>46986372.47155061</x:v>
      </x:c>
      <x:c r="M8" s="31" t="n">
        <x:f>IF(E8=0,"",I8-L8)</x:f>
        <x:v>25636323.48480563</x:v>
      </x:c>
      <x:c r="N8" s="32" t="n">
        <x:f>IF(L8=0,"",I8/L8)</x:f>
        <x:v>1.545611889922508</x:v>
      </x:c>
      <x:c r="O8" s="34" t="n">
        <x:f>IF(L8=0,"",M8/L8)</x:f>
        <x:v>0.5456118899225079</x:v>
      </x:c>
    </x:row>
    <x:row r="9" ht="18" customHeight="1">
      <x:c r="A9" s="24" t="str">
        <x:v>Perch-likes</x:v>
      </x:c>
      <x:c r="B9" s="33" t="n">
        <x:v>129</x:v>
      </x:c>
      <x:c r="C9" s="33" t="n">
        <x:v>129</x:v>
      </x:c>
      <x:c r="D9" s="31" t="n">
        <x:v>405526.75004661235</x:v>
      </x:c>
      <x:c r="E9" s="31" t="n">
        <x:v>405526.75004661235</x:v>
      </x:c>
      <x:c r="F9" s="32" t="n">
        <x:v>0</x:v>
      </x:c>
      <x:c r="G9" s="34" t="n">
        <x:v>1</x:v>
      </x:c>
      <x:c r="H9" s="32" t="n">
        <x:f>IF(E9=0,"",I9/E9)</x:f>
        <x:v>739.9124593571723</x:v>
      </x:c>
      <x:c r="I9" s="31" t="n">
        <x:f>IF(C9=0,"",SUMIF('Species'!$H$2:$H$275,A9,'Species'!$U$2:$U$275))</x:f>
        <x:v>300054294.9621102</x:v>
      </x:c>
      <x:c r="J9" s="32" t="n">
        <x:v>3.6345912414202477</x:v>
      </x:c>
      <x:c r="K9" s="32" t="n">
        <x:f>IF(J9="","",(1/'Metadata'!$B$5)^(J9-1))</x:f>
        <x:v>431.11312153600517</x:v>
      </x:c>
      <x:c r="L9" s="31" t="n">
        <x:f>IF(E9=0,"",E9*K9)</x:f>
        <x:v>174827903.07894638</x:v>
      </x:c>
      <x:c r="M9" s="31" t="n">
        <x:f>IF(E9=0,"",I9-L9)</x:f>
        <x:v>125226391.88316384</x:v>
      </x:c>
      <x:c r="N9" s="32" t="n">
        <x:f>IF(L9=0,"",I9/L9)</x:f>
        <x:v>1.7162837835251952</x:v>
      </x:c>
      <x:c r="O9" s="34" t="n">
        <x:f>IF(L9=0,"",M9/L9)</x:f>
        <x:v>0.7162837835251952</x:v>
      </x:c>
    </x:row>
    <x:row r="10" ht="18" customHeight="1">
      <x:c r="A10" s="24" t="str">
        <x:v>Scorpionfishes</x:v>
      </x:c>
      <x:c r="B10" s="33" t="n">
        <x:v>1</x:v>
      </x:c>
      <x:c r="C10" s="33" t="n">
        <x:v>1</x:v>
      </x:c>
      <x:c r="D10" s="31" t="n">
        <x:v>124.99305446509999</x:v>
      </x:c>
      <x:c r="E10" s="31" t="n">
        <x:v>124.99305446509999</x:v>
      </x:c>
      <x:c r="F10" s="32" t="n">
        <x:v>0</x:v>
      </x:c>
      <x:c r="G10" s="34" t="n">
        <x:v>1</x:v>
      </x:c>
      <x:c r="H10" s="32" t="n">
        <x:f>IF(E10=0,"",I10/E10)</x:f>
        <x:v>602.5595860743575</x:v>
      </x:c>
      <x:c r="I10" s="31" t="n">
        <x:f>IF(C10=0,"",SUMIF('Species'!$H$2:$H$275,A10,'Species'!$U$2:$U$275))</x:f>
        <x:v>75315.76316066028</x:v>
      </x:c>
      <x:c r="J10" s="32" t="n">
        <x:v>3.78</x:v>
      </x:c>
      <x:c r="K10" s="32" t="n">
        <x:f>IF(J10="","",(1/'Metadata'!$B$5)^(J10-1))</x:f>
        <x:v>602.5595860743575</x:v>
      </x:c>
      <x:c r="L10" s="31" t="n">
        <x:f>IF(E10=0,"",E10*K10)</x:f>
        <x:v>75315.76316066028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Sharks &amp; rays</x:v>
      </x:c>
      <x:c r="B11" s="33" t="n">
        <x:v>38</x:v>
      </x:c>
      <x:c r="C11" s="33" t="n">
        <x:v>38</x:v>
      </x:c>
      <x:c r="D11" s="31" t="n">
        <x:v>83512.76020118038</x:v>
      </x:c>
      <x:c r="E11" s="31" t="n">
        <x:v>83512.76020118038</x:v>
      </x:c>
      <x:c r="F11" s="32" t="n">
        <x:v>0</x:v>
      </x:c>
      <x:c r="G11" s="34" t="n">
        <x:v>1</x:v>
      </x:c>
      <x:c r="H11" s="32" t="n">
        <x:f>IF(E11=0,"",I11/E11)</x:f>
        <x:v>899.5356856677236</x:v>
      </x:c>
      <x:c r="I11" s="31" t="n">
        <x:f>IF(C11=0,"",SUMIF('Species'!$H$2:$H$275,A11,'Species'!$U$2:$U$275))</x:f>
        <x:v>75122708.00957297</x:v>
      </x:c>
      <x:c r="J11" s="32" t="n">
        <x:v>3.8627485061677787</x:v>
      </x:c>
      <x:c r="K11" s="32" t="n">
        <x:f>IF(J11="","",(1/'Metadata'!$B$5)^(J11-1))</x:f>
        <x:v>729.03521394468</x:v>
      </x:c>
      <x:c r="L11" s="31" t="n">
        <x:f>IF(E11=0,"",E11*K11)</x:f>
        <x:v>60883743.000378296</x:v>
      </x:c>
      <x:c r="M11" s="31" t="n">
        <x:f>IF(E11=0,"",I11-L11)</x:f>
        <x:v>14238965.009194672</x:v>
      </x:c>
      <x:c r="N11" s="32" t="n">
        <x:f>IF(L11=0,"",I11/L11)</x:f>
        <x:v>1.2338713802320957</x:v>
      </x:c>
      <x:c r="O11" s="34" t="n">
        <x:f>IF(L11=0,"",M11/L11)</x:f>
        <x:v>0.23387138023209578</x:v>
      </x:c>
    </x:row>
    <x:row r="12" ht="18" customHeight="1">
      <x:c r="A12" s="24" t="str">
        <x:v>Tuna &amp; billfishes</x:v>
      </x:c>
      <x:c r="B12" s="33" t="n">
        <x:v>13</x:v>
      </x:c>
      <x:c r="C12" s="33" t="n">
        <x:v>13</x:v>
      </x:c>
      <x:c r="D12" s="31" t="n">
        <x:v>43895.87808098191</x:v>
      </x:c>
      <x:c r="E12" s="31" t="n">
        <x:v>43895.87808098191</x:v>
      </x:c>
      <x:c r="F12" s="32" t="n">
        <x:v>0</x:v>
      </x:c>
      <x:c r="G12" s="34" t="n">
        <x:v>1</x:v>
      </x:c>
      <x:c r="H12" s="32" t="n">
        <x:f>IF(E12=0,"",I12/E12)</x:f>
        <x:v>2752.0396371349248</x:v>
      </x:c>
      <x:c r="I12" s="31" t="n">
        <x:f>IF(C12=0,"",SUMIF('Species'!$H$2:$H$275,A12,'Species'!$U$2:$U$275))</x:f>
        <x:v>120803196.38570435</x:v>
      </x:c>
      <x:c r="J12" s="32" t="n">
        <x:v>4.437731298509538</x:v>
      </x:c>
      <x:c r="K12" s="32" t="n">
        <x:f>IF(J12="","",(1/'Metadata'!$B$5)^(J12-1))</x:f>
        <x:v>2739.878462556511</x:v>
      </x:c>
      <x:c r="L12" s="31" t="n">
        <x:f>IF(E12=0,"",E12*K12)</x:f>
        <x:v>120269370.94908875</x:v>
      </x:c>
      <x:c r="M12" s="31" t="n">
        <x:f>IF(E12=0,"",I12-L12)</x:f>
        <x:v>533825.4366156012</x:v>
      </x:c>
      <x:c r="N12" s="32" t="n">
        <x:f>IF(L12=0,"",I12/L12)</x:f>
        <x:v>1.004438581763611</x:v>
      </x:c>
      <x:c r="O12" s="34" t="n">
        <x:f>IF(L12=0,"",M12/L12)</x:f>
        <x:v>0.004438581763611077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a8aa1e327eb46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2711.5844440138003</x:v>
      </x:c>
      <x:c r="E2" s="31" t="n">
        <x:v>2711.5844440138003</x:v>
      </x:c>
      <x:c r="F2" s="32" t="n">
        <x:v>0</x:v>
      </x:c>
      <x:c r="G2" s="34" t="n">
        <x:v>1</x:v>
      </x:c>
      <x:c r="H2" s="32" t="n">
        <x:f>IF(E2=0,"",I2/E2)</x:f>
        <x:v>649.5822579392167</x:v>
      </x:c>
      <x:c r="I2" s="31" t="n">
        <x:f>IF(C2=0,"",SUMIF('Species'!$G$2:$G$275,A2,'Species'!$U$2:$U$275))</x:f>
        <x:v>1761397.14573534</x:v>
      </x:c>
      <x:c r="J2" s="32" t="n">
        <x:v>3.8017670799575187</x:v>
      </x:c>
      <x:c r="K2" s="32" t="n">
        <x:f>IF(J2="","",(1/'Metadata'!$B$5)^(J2-1))</x:f>
        <x:v>633.5298465291153</x:v>
      </x:c>
      <x:c r="L2" s="31" t="n">
        <x:f>IF(E2=0,"",E2*K2)</x:f>
        <x:v>1717869.6766667992</x:v>
      </x:c>
      <x:c r="M2" s="31" t="n">
        <x:f>IF(E2=0,"",I2-L2)</x:f>
        <x:v>43527.469068540726</x:v>
      </x:c>
      <x:c r="N2" s="32" t="n">
        <x:f>IF(L2=0,"",I2/L2)</x:f>
        <x:v>1.0253380507612182</x:v>
      </x:c>
      <x:c r="O2" s="34" t="n">
        <x:f>IF(L2=0,"",M2/L2)</x:f>
        <x:v>0.025338050761218124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601.3173101699</x:v>
      </x:c>
      <x:c r="E3" s="31" t="n">
        <x:v>601.3173101699</x:v>
      </x:c>
      <x:c r="F3" s="32" t="n">
        <x:v>0</x:v>
      </x:c>
      <x:c r="G3" s="34" t="n">
        <x:v>1</x:v>
      </x:c>
      <x:c r="H3" s="32" t="n">
        <x:f>IF(E3=0,"",I3/E3)</x:f>
        <x:v>1583.786169307381</x:v>
      </x:c>
      <x:c r="I3" s="31" t="n">
        <x:f>IF(C3=0,"",SUMIF('Species'!$G$2:$G$275,A3,'Species'!$U$2:$U$275))</x:f>
        <x:v>952358.0392122042</x:v>
      </x:c>
      <x:c r="J3" s="32" t="n">
        <x:v>4.1996752152098225</x:v>
      </x:c>
      <x:c r="K3" s="32" t="n">
        <x:f>IF(J3="","",(1/'Metadata'!$B$5)^(J3-1))</x:f>
        <x:v>1583.7083817021235</x:v>
      </x:c>
      <x:c r="L3" s="31" t="n">
        <x:f>IF(E3=0,"",E3*K3)</x:f>
        <x:v>952311.2641786461</x:v>
      </x:c>
      <x:c r="M3" s="31" t="n">
        <x:f>IF(E3=0,"",I3-L3)</x:f>
        <x:v>46.77503355802037</x:v>
      </x:c>
      <x:c r="N3" s="32" t="n">
        <x:f>IF(L3=0,"",I3/L3)</x:f>
        <x:v>1.000049117379283</x:v>
      </x:c>
      <x:c r="O3" s="34" t="n">
        <x:f>IF(L3=0,"",M3/L3)</x:f>
        <x:v>0.00004911737928287882</x:v>
      </x:c>
    </x:row>
    <x:row r="4" ht="18" customHeight="1">
      <x:c r="A4" s="24" t="str">
        <x:v>Large bathypelagics (&gt;=90 cm)</x:v>
      </x:c>
      <x:c r="B4" s="33" t="n">
        <x:v>2</x:v>
      </x:c>
      <x:c r="C4" s="33" t="n">
        <x:v>2</x:v>
      </x:c>
      <x:c r="D4" s="31" t="n">
        <x:v>71.3774416406</x:v>
      </x:c>
      <x:c r="E4" s="31" t="n">
        <x:v>71.3774416406</x:v>
      </x:c>
      <x:c r="F4" s="32" t="n">
        <x:v>0</x:v>
      </x:c>
      <x:c r="G4" s="34" t="n">
        <x:v>1</x:v>
      </x:c>
      <x:c r="H4" s="32" t="n">
        <x:f>IF(E4=0,"",I4/E4)</x:f>
        <x:v>2184.209062126144</x:v>
      </x:c>
      <x:c r="I4" s="31" t="n">
        <x:f>IF(C4=0,"",SUMIF('Species'!$G$2:$G$275,A4,'Species'!$U$2:$U$275))</x:f>
        <x:v>155903.2548627785</x:v>
      </x:c>
      <x:c r="J4" s="32" t="n">
        <x:v>4.339192866668015</x:v>
      </x:c>
      <x:c r="K4" s="32" t="n">
        <x:f>IF(J4="","",(1/'Metadata'!$B$5)^(J4-1))</x:f>
        <x:v>2183.699459817115</x:v>
      </x:c>
      <x:c r="L4" s="31" t="n">
        <x:f>IF(E4=0,"",E4*K4)</x:f>
        <x:v>155866.88075370586</x:v>
      </x:c>
      <x:c r="M4" s="31" t="n">
        <x:f>IF(E4=0,"",I4-L4)</x:f>
        <x:v>36.37410907263984</x:v>
      </x:c>
      <x:c r="N4" s="32" t="n">
        <x:f>IF(L4=0,"",I4/L4)</x:f>
        <x:v>1.0002333665041396</x:v>
      </x:c>
      <x:c r="O4" s="34" t="n">
        <x:f>IF(L4=0,"",M4/L4)</x:f>
        <x:v>0.0002333665041396231</x:v>
      </x:c>
    </x:row>
    <x:row r="5" ht="18" customHeight="1">
      <x:c r="A5" s="24" t="str">
        <x:v>Large benthopelagics (&gt;=90 cm)</x:v>
      </x:c>
      <x:c r="B5" s="33" t="n">
        <x:v>9</x:v>
      </x:c>
      <x:c r="C5" s="33" t="n">
        <x:v>9</x:v>
      </x:c>
      <x:c r="D5" s="31" t="n">
        <x:v>20055.7993694384</x:v>
      </x:c>
      <x:c r="E5" s="31" t="n">
        <x:v>20055.7993694384</x:v>
      </x:c>
      <x:c r="F5" s="32" t="n">
        <x:v>0</x:v>
      </x:c>
      <x:c r="G5" s="34" t="n">
        <x:v>1</x:v>
      </x:c>
      <x:c r="H5" s="32" t="n">
        <x:f>IF(E5=0,"",I5/E5)</x:f>
        <x:v>2514.994042433867</x:v>
      </x:c>
      <x:c r="I5" s="31" t="n">
        <x:f>IF(C5=0,"",SUMIF('Species'!$G$2:$G$275,A5,'Species'!$U$2:$U$275))</x:f>
        <x:v>50440215.930386476</x:v>
      </x:c>
      <x:c r="J5" s="32" t="n">
        <x:v>4.394354976035367</x:v>
      </x:c>
      <x:c r="K5" s="32" t="n">
        <x:f>IF(J5="","",(1/'Metadata'!$B$5)^(J5-1))</x:f>
        <x:v>2479.4478373732068</x:v>
      </x:c>
      <x:c r="L5" s="31" t="n">
        <x:f>IF(E5=0,"",E5*K5)</x:f>
        <x:v>49727308.37334496</x:v>
      </x:c>
      <x:c r="M5" s="31" t="n">
        <x:f>IF(E5=0,"",I5-L5)</x:f>
        <x:v>712907.5570415184</x:v>
      </x:c>
      <x:c r="N5" s="32" t="n">
        <x:f>IF(L5=0,"",I5/L5)</x:f>
        <x:v>1.0143363391336029</x:v>
      </x:c>
      <x:c r="O5" s="34" t="n">
        <x:f>IF(L5=0,"",M5/L5)</x:f>
        <x:v>0.014336339133602778</x:v>
      </x:c>
    </x:row>
    <x:row r="6" ht="18" customHeight="1">
      <x:c r="A6" s="24" t="str">
        <x:v>Large demersals (&gt;=90 cm)</x:v>
      </x:c>
      <x:c r="B6" s="33" t="n">
        <x:v>10</x:v>
      </x:c>
      <x:c r="C6" s="33" t="n">
        <x:v>10</x:v>
      </x:c>
      <x:c r="D6" s="31" t="n">
        <x:v>32537.2669535233</x:v>
      </x:c>
      <x:c r="E6" s="31" t="n">
        <x:v>32537.2669535233</x:v>
      </x:c>
      <x:c r="F6" s="32" t="n">
        <x:v>0</x:v>
      </x:c>
      <x:c r="G6" s="34" t="n">
        <x:v>1</x:v>
      </x:c>
      <x:c r="H6" s="32" t="n">
        <x:f>IF(E6=0,"",I6/E6)</x:f>
        <x:v>1156.421327299693</x:v>
      </x:c>
      <x:c r="I6" s="31" t="n">
        <x:f>IF(C6=0,"",SUMIF('Species'!$G$2:$G$275,A6,'Species'!$U$2:$U$275))</x:f>
        <x:v>37626789.437097855</x:v>
      </x:c>
      <x:c r="J6" s="32" t="n">
        <x:v>4.0608620710139265</x:v>
      </x:c>
      <x:c r="K6" s="32" t="n">
        <x:f>IF(J6="","",(1/'Metadata'!$B$5)^(J6-1))</x:f>
        <x:v>1150.43496056688</x:v>
      </x:c>
      <x:c r="L6" s="31" t="n">
        <x:f>IF(E6=0,"",E6*K6)</x:f>
        <x:v>37432009.42463062</x:v>
      </x:c>
      <x:c r="M6" s="31" t="n">
        <x:f>IF(E6=0,"",I6-L6)</x:f>
        <x:v>194780.01246723533</x:v>
      </x:c>
      <x:c r="N6" s="32" t="n">
        <x:f>IF(L6=0,"",I6/L6)</x:f>
        <x:v>1.0052035681616138</x:v>
      </x:c>
      <x:c r="O6" s="34" t="n">
        <x:f>IF(L6=0,"",M6/L6)</x:f>
        <x:v>0.005203568161613793</x:v>
      </x:c>
    </x:row>
    <x:row r="7" ht="18" customHeight="1">
      <x:c r="A7" s="24" t="str">
        <x:v>Large pelagics (&gt;=90 cm)</x:v>
      </x:c>
      <x:c r="B7" s="33" t="n">
        <x:v>24</x:v>
      </x:c>
      <x:c r="C7" s="33" t="n">
        <x:v>24</x:v>
      </x:c>
      <x:c r="D7" s="31" t="n">
        <x:v>56538.26834629501</x:v>
      </x:c>
      <x:c r="E7" s="31" t="n">
        <x:v>56538.26834629501</x:v>
      </x:c>
      <x:c r="F7" s="32" t="n">
        <x:v>0</x:v>
      </x:c>
      <x:c r="G7" s="34" t="n">
        <x:v>1</x:v>
      </x:c>
      <x:c r="H7" s="32" t="n">
        <x:f>IF(E7=0,"",I7/E7)</x:f>
        <x:v>2576.330778779651</x:v>
      </x:c>
      <x:c r="I7" s="31" t="n">
        <x:f>IF(C7=0,"",SUMIF('Species'!$G$2:$G$275,A7,'Species'!$U$2:$U$275))</x:f>
        <x:v>145661280.91946313</x:v>
      </x:c>
      <x:c r="J7" s="32" t="n">
        <x:v>4.357880933051981</x:v>
      </x:c>
      <x:c r="K7" s="32" t="n">
        <x:f>IF(J7="","",(1/'Metadata'!$B$5)^(J7-1))</x:f>
        <x:v>2279.716975052677</x:v>
      </x:c>
      <x:c r="L7" s="31" t="n">
        <x:f>IF(E7=0,"",E7*K7)</x:f>
        <x:v>128891250.08913216</x:v>
      </x:c>
      <x:c r="M7" s="31" t="n">
        <x:f>IF(E7=0,"",I7-L7)</x:f>
        <x:v>16770030.830330968</x:v>
      </x:c>
      <x:c r="N7" s="32" t="n">
        <x:f>IF(L7=0,"",I7/L7)</x:f>
        <x:v>1.1301099245971622</x:v>
      </x:c>
      <x:c r="O7" s="34" t="n">
        <x:f>IF(L7=0,"",M7/L7)</x:f>
        <x:v>0.13010992459716225</x:v>
      </x:c>
    </x:row>
    <x:row r="8" ht="18" customHeight="1">
      <x:c r="A8" s="24" t="str">
        <x:v>Large rays (&gt;=90 cm)</x:v>
      </x:c>
      <x:c r="B8" s="33" t="n">
        <x:v>10</x:v>
      </x:c>
      <x:c r="C8" s="33" t="n">
        <x:v>10</x:v>
      </x:c>
      <x:c r="D8" s="31" t="n">
        <x:v>36615.043896777905</x:v>
      </x:c>
      <x:c r="E8" s="31" t="n">
        <x:v>36615.043896777905</x:v>
      </x:c>
      <x:c r="F8" s="32" t="n">
        <x:v>0</x:v>
      </x:c>
      <x:c r="G8" s="34" t="n">
        <x:v>1</x:v>
      </x:c>
      <x:c r="H8" s="32" t="n">
        <x:f>IF(E8=0,"",I8/E8)</x:f>
        <x:v>519.272305702965</x:v>
      </x:c>
      <x:c r="I8" s="31" t="n">
        <x:f>IF(C8=0,"",SUMIF('Species'!$G$2:$G$275,A8,'Species'!$U$2:$U$275))</x:f>
        <x:v>19013178.26769514</x:v>
      </x:c>
      <x:c r="J8" s="32" t="n">
        <x:v>3.708795357924969</x:v>
      </x:c>
      <x:c r="K8" s="32" t="n">
        <x:f>IF(J8="","",(1/'Metadata'!$B$5)^(J8-1))</x:f>
        <x:v>511.4407848927553</x:v>
      </x:c>
      <x:c r="L8" s="31" t="n">
        <x:f>IF(E8=0,"",E8*K8)</x:f>
        <x:v>18726426.78945078</x:v>
      </x:c>
      <x:c r="M8" s="31" t="n">
        <x:f>IF(E8=0,"",I8-L8)</x:f>
        <x:v>286751.47824436054</x:v>
      </x:c>
      <x:c r="N8" s="32" t="n">
        <x:f>IF(L8=0,"",I8/L8)</x:f>
        <x:v>1.015312663834293</x:v>
      </x:c>
      <x:c r="O8" s="34" t="n">
        <x:f>IF(L8=0,"",M8/L8)</x:f>
        <x:v>0.015312663834293107</x:v>
      </x:c>
    </x:row>
    <x:row r="9" ht="18" customHeight="1">
      <x:c r="A9" s="24" t="str">
        <x:v>Large reef assoc. fish (&gt;=90 cm)</x:v>
      </x:c>
      <x:c r="B9" s="33" t="n">
        <x:v>17</x:v>
      </x:c>
      <x:c r="C9" s="33" t="n">
        <x:v>17</x:v>
      </x:c>
      <x:c r="D9" s="31" t="n">
        <x:v>20046.891280618198</x:v>
      </x:c>
      <x:c r="E9" s="31" t="n">
        <x:v>20046.891280618198</x:v>
      </x:c>
      <x:c r="F9" s="32" t="n">
        <x:v>0</x:v>
      </x:c>
      <x:c r="G9" s="34" t="n">
        <x:v>1</x:v>
      </x:c>
      <x:c r="H9" s="32" t="n">
        <x:f>IF(E9=0,"",I9/E9)</x:f>
        <x:v>824.1837459292436</x:v>
      </x:c>
      <x:c r="I9" s="31" t="n">
        <x:f>IF(C9=0,"",SUMIF('Species'!$G$2:$G$275,A9,'Species'!$U$2:$U$275))</x:f>
        <x:v>16522321.949896198</x:v>
      </x:c>
      <x:c r="J9" s="32" t="n">
        <x:v>3.7383974837792273</x:v>
      </x:c>
      <x:c r="K9" s="32" t="n">
        <x:f>IF(J9="","",(1/'Metadata'!$B$5)^(J9-1))</x:f>
        <x:v>547.5168430846807</x:v>
      </x:c>
      <x:c r="L9" s="31" t="n">
        <x:f>IF(E9=0,"",E9*K9)</x:f>
        <x:v>10976010.627625886</x:v>
      </x:c>
      <x:c r="M9" s="31" t="n">
        <x:f>IF(E9=0,"",I9-L9)</x:f>
        <x:v>5546311.322270311</x:v>
      </x:c>
      <x:c r="N9" s="32" t="n">
        <x:f>IF(L9=0,"",I9/L9)</x:f>
        <x:v>1.5053121311955198</x:v>
      </x:c>
      <x:c r="O9" s="34" t="n">
        <x:f>IF(L9=0,"",M9/L9)</x:f>
        <x:v>0.5053121311955198</x:v>
      </x:c>
    </x:row>
    <x:row r="10" ht="18" customHeight="1">
      <x:c r="A10" s="24" t="str">
        <x:v>Large sharks (&gt;=90 cm)</x:v>
      </x:c>
      <x:c r="B10" s="33" t="n">
        <x:v>24</x:v>
      </x:c>
      <x:c r="C10" s="33" t="n">
        <x:v>24</x:v>
      </x:c>
      <x:c r="D10" s="31" t="n">
        <x:v>36606.6587129027</x:v>
      </x:c>
      <x:c r="E10" s="31" t="n">
        <x:v>36606.6587129027</x:v>
      </x:c>
      <x:c r="F10" s="32" t="n">
        <x:v>0</x:v>
      </x:c>
      <x:c r="G10" s="34" t="n">
        <x:v>1</x:v>
      </x:c>
      <x:c r="H10" s="32" t="n">
        <x:f>IF(E10=0,"",I10/E10)</x:f>
        <x:v>1423.524441995559</x:v>
      </x:c>
      <x:c r="I10" s="31" t="n">
        <x:f>IF(C10=0,"",SUMIF('Species'!$G$2:$G$275,A10,'Species'!$U$2:$U$275))</x:f>
        <x:v>52110473.41760669</x:v>
      </x:c>
      <x:c r="J10" s="32" t="n">
        <x:v>4.093569260683483</x:v>
      </x:c>
      <x:c r="K10" s="32" t="n">
        <x:f>IF(J10="","",(1/'Metadata'!$B$5)^(J10-1))</x:f>
        <x:v>1240.4214300401964</x:v>
      </x:c>
      <x:c r="L10" s="31" t="n">
        <x:f>IF(E10=0,"",E10*K10)</x:f>
        <x:v>45407683.94965219</x:v>
      </x:c>
      <x:c r="M10" s="31" t="n">
        <x:f>IF(E10=0,"",I10-L10)</x:f>
        <x:v>6702789.4679545015</x:v>
      </x:c>
      <x:c r="N10" s="32" t="n">
        <x:f>IF(L10=0,"",I10/L10)</x:f>
        <x:v>1.1476135509440764</x:v>
      </x:c>
      <x:c r="O10" s="34" t="n">
        <x:f>IF(L10=0,"",M10/L10)</x:f>
        <x:v>0.14761355094407635</x:v>
      </x:c>
    </x:row>
    <x:row r="11" ht="18" customHeight="1">
      <x:c r="A11" s="24" t="str">
        <x:v>Lobsters, crabs</x:v>
      </x:c>
      <x:c r="B11" s="33" t="n">
        <x:v>7</x:v>
      </x:c>
      <x:c r="C11" s="33" t="n">
        <x:v>7</x:v>
      </x:c>
      <x:c r="D11" s="31" t="n">
        <x:v>11376.711947208598</x:v>
      </x:c>
      <x:c r="E11" s="31" t="n">
        <x:v>11376.711947208598</x:v>
      </x:c>
      <x:c r="F11" s="32" t="n">
        <x:v>0</x:v>
      </x:c>
      <x:c r="G11" s="34" t="n">
        <x:v>1</x:v>
      </x:c>
      <x:c r="H11" s="32" t="n">
        <x:f>IF(E11=0,"",I11/E11)</x:f>
        <x:v>220.33491824899474</x:v>
      </x:c>
      <x:c r="I11" s="31" t="n">
        <x:f>IF(C11=0,"",SUMIF('Species'!$G$2:$G$275,A11,'Species'!$U$2:$U$275))</x:f>
        <x:v>2506686.896830568</x:v>
      </x:c>
      <x:c r="J11" s="32" t="n">
        <x:v>3.196629033117428</x:v>
      </x:c>
      <x:c r="K11" s="32" t="n">
        <x:f>IF(J11="","",(1/'Metadata'!$B$5)^(J11-1))</x:f>
        <x:v>157.26389694019153</x:v>
      </x:c>
      <x:c r="L11" s="31" t="n">
        <x:f>IF(E11=0,"",E11*K11)</x:f>
        <x:v>1789146.0551840586</x:v>
      </x:c>
      <x:c r="M11" s="31" t="n">
        <x:f>IF(E11=0,"",I11-L11)</x:f>
        <x:v>717540.8416465095</x:v>
      </x:c>
      <x:c r="N11" s="32" t="n">
        <x:f>IF(L11=0,"",I11/L11)</x:f>
        <x:v>1.401052132981224</x:v>
      </x:c>
      <x:c r="O11" s="34" t="n">
        <x:f>IF(L11=0,"",M11/L11)</x:f>
        <x:v>0.40105213298122405</x:v>
      </x:c>
    </x:row>
    <x:row r="12" ht="18" customHeight="1">
      <x:c r="A12" s="24" t="str">
        <x:v>Medium bathydemersals (30 - 89 cm)</x:v>
      </x:c>
      <x:c r="B12" s="33" t="n">
        <x:v>1</x:v>
      </x:c>
      <x:c r="C12" s="33" t="n">
        <x:v>1</x:v>
      </x:c>
      <x:c r="D12" s="31" t="n">
        <x:v>2511.2430398082</x:v>
      </x:c>
      <x:c r="E12" s="31" t="n">
        <x:v>2511.2430398082</x:v>
      </x:c>
      <x:c r="F12" s="32" t="n">
        <x:v>0</x:v>
      </x:c>
      <x:c r="G12" s="34" t="n">
        <x:v>1</x:v>
      </x:c>
      <x:c r="H12" s="32" t="n">
        <x:f>IF(E12=0,"",I12/E12)</x:f>
        <x:v>3090.295432513592</x:v>
      </x:c>
      <x:c r="I12" s="31" t="n">
        <x:f>IF(C12=0,"",SUMIF('Species'!$G$2:$G$275,A12,'Species'!$U$2:$U$275))</x:f>
        <x:v>7760482.89585083</x:v>
      </x:c>
      <x:c r="J12" s="32" t="n">
        <x:v>4.49</x:v>
      </x:c>
      <x:c r="K12" s="32" t="n">
        <x:f>IF(J12="","",(1/'Metadata'!$B$5)^(J12-1))</x:f>
        <x:v>3090.295432513592</x:v>
      </x:c>
      <x:c r="L12" s="31" t="n">
        <x:f>IF(E12=0,"",E12*K12)</x:f>
        <x:v>7760482.89585083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Medium benthopelagics (30 - 89 cm)</x:v>
      </x:c>
      <x:c r="B13" s="33" t="n">
        <x:v>14</x:v>
      </x:c>
      <x:c r="C13" s="33" t="n">
        <x:v>14</x:v>
      </x:c>
      <x:c r="D13" s="31" t="n">
        <x:v>14836.298389551099</x:v>
      </x:c>
      <x:c r="E13" s="31" t="n">
        <x:v>14836.298389551099</x:v>
      </x:c>
      <x:c r="F13" s="32" t="n">
        <x:v>0</x:v>
      </x:c>
      <x:c r="G13" s="34" t="n">
        <x:v>1</x:v>
      </x:c>
      <x:c r="H13" s="32" t="n">
        <x:f>IF(E13=0,"",I13/E13)</x:f>
        <x:v>1015.261738976971</x:v>
      </x:c>
      <x:c r="I13" s="31" t="n">
        <x:f>IF(C13=0,"",SUMIF('Species'!$G$2:$G$275,A13,'Species'!$U$2:$U$275))</x:f>
        <x:v>15062726.102956882</x:v>
      </x:c>
      <x:c r="J13" s="32" t="n">
        <x:v>3.983477609728249</x:v>
      </x:c>
      <x:c r="K13" s="32" t="n">
        <x:f>IF(J13="","",(1/'Metadata'!$B$5)^(J13-1))</x:f>
        <x:v>962.6703807353698</x:v>
      </x:c>
      <x:c r="L13" s="31" t="n">
        <x:f>IF(E13=0,"",E13*K13)</x:f>
        <x:v>14282465.019372711</x:v>
      </x:c>
      <x:c r="M13" s="31" t="n">
        <x:f>IF(E13=0,"",I13-L13)</x:f>
        <x:v>780261.0835841708</x:v>
      </x:c>
      <x:c r="N13" s="32" t="n">
        <x:f>IF(L13=0,"",I13/L13)</x:f>
        <x:v>1.0546307015298708</x:v>
      </x:c>
      <x:c r="O13" s="34" t="n">
        <x:f>IF(L13=0,"",M13/L13)</x:f>
        <x:v>0.05463070152987079</x:v>
      </x:c>
    </x:row>
    <x:row r="14" ht="18" customHeight="1">
      <x:c r="A14" s="24" t="str">
        <x:v>Medium demersals (30 - 89 cm)</x:v>
      </x:c>
      <x:c r="B14" s="33" t="n">
        <x:v>42</x:v>
      </x:c>
      <x:c r="C14" s="33" t="n">
        <x:v>42</x:v>
      </x:c>
      <x:c r="D14" s="31" t="n">
        <x:v>373058.77425563673</x:v>
      </x:c>
      <x:c r="E14" s="31" t="n">
        <x:v>373058.77425563673</x:v>
      </x:c>
      <x:c r="F14" s="32" t="n">
        <x:v>0</x:v>
      </x:c>
      <x:c r="G14" s="34" t="n">
        <x:v>1</x:v>
      </x:c>
      <x:c r="H14" s="32" t="n">
        <x:f>IF(E14=0,"",I14/E14)</x:f>
        <x:v>463.3900692295801</x:v>
      </x:c>
      <x:c r="I14" s="31" t="n">
        <x:f>IF(C14=0,"",SUMIF('Species'!$G$2:$G$275,A14,'Species'!$U$2:$U$275))</x:f>
        <x:v>172871731.2290218</x:v>
      </x:c>
      <x:c r="J14" s="32" t="n">
        <x:v>3.4711440814445584</x:v>
      </x:c>
      <x:c r="K14" s="32" t="n">
        <x:f>IF(J14="","",(1/'Metadata'!$B$5)^(J14-1))</x:f>
        <x:v>295.89939789398363</x:v>
      </x:c>
      <x:c r="L14" s="31" t="n">
        <x:f>IF(E14=0,"",E14*K14)</x:f>
        <x:v>110387866.68131047</x:v>
      </x:c>
      <x:c r="M14" s="31" t="n">
        <x:f>IF(E14=0,"",I14-L14)</x:f>
        <x:v>62483864.54771131</x:v>
      </x:c>
      <x:c r="N14" s="32" t="n">
        <x:f>IF(L14=0,"",I14/L14)</x:f>
        <x:v>1.5660392434985821</x:v>
      </x:c>
      <x:c r="O14" s="34" t="n">
        <x:f>IF(L14=0,"",M14/L14)</x:f>
        <x:v>0.566039243498582</x:v>
      </x:c>
    </x:row>
    <x:row r="15" ht="18" customHeight="1">
      <x:c r="A15" s="24" t="str">
        <x:v>Medium pelagics (30 - 89 cm)</x:v>
      </x:c>
      <x:c r="B15" s="33" t="n">
        <x:v>16</x:v>
      </x:c>
      <x:c r="C15" s="33" t="n">
        <x:v>16</x:v>
      </x:c>
      <x:c r="D15" s="31" t="n">
        <x:v>19792.5184047531</x:v>
      </x:c>
      <x:c r="E15" s="31" t="n">
        <x:v>19792.5184047531</x:v>
      </x:c>
      <x:c r="F15" s="32" t="n">
        <x:v>0</x:v>
      </x:c>
      <x:c r="G15" s="34" t="n">
        <x:v>1</x:v>
      </x:c>
      <x:c r="H15" s="32" t="n">
        <x:f>IF(E15=0,"",I15/E15)</x:f>
        <x:v>1215.290623948415</x:v>
      </x:c>
      <x:c r="I15" s="31" t="n">
        <x:f>IF(C15=0,"",SUMIF('Species'!$G$2:$G$275,A15,'Species'!$U$2:$U$275))</x:f>
        <x:v>24053662.041622885</x:v>
      </x:c>
      <x:c r="J15" s="32" t="n">
        <x:v>3.95426726180991</x:v>
      </x:c>
      <x:c r="K15" s="32" t="n">
        <x:f>IF(J15="","",(1/'Metadata'!$B$5)^(J15-1))</x:f>
        <x:v>900.0512964573654</x:v>
      </x:c>
      <x:c r="L15" s="31" t="n">
        <x:f>IF(E15=0,"",E15*K15)</x:f>
        <x:v>17814281.850354295</x:v>
      </x:c>
      <x:c r="M15" s="31" t="n">
        <x:f>IF(E15=0,"",I15-L15)</x:f>
        <x:v>6239380.191268589</x:v>
      </x:c>
      <x:c r="N15" s="32" t="n">
        <x:f>IF(L15=0,"",I15/L15)</x:f>
        <x:v>1.3502459567936216</x:v>
      </x:c>
      <x:c r="O15" s="34" t="n">
        <x:f>IF(L15=0,"",M15/L15)</x:f>
        <x:v>0.3502459567936217</x:v>
      </x:c>
    </x:row>
    <x:row r="16" ht="18" customHeight="1">
      <x:c r="A16" s="24" t="str">
        <x:v>Medium reef assoc. fish (30 - 89 cm)</x:v>
      </x:c>
      <x:c r="B16" s="33" t="n">
        <x:v>32</x:v>
      </x:c>
      <x:c r="C16" s="33" t="n">
        <x:v>32</x:v>
      </x:c>
      <x:c r="D16" s="31" t="n">
        <x:v>21775.2413316368</x:v>
      </x:c>
      <x:c r="E16" s="31" t="n">
        <x:v>21775.2413316368</x:v>
      </x:c>
      <x:c r="F16" s="32" t="n">
        <x:v>0</x:v>
      </x:c>
      <x:c r="G16" s="34" t="n">
        <x:v>1</x:v>
      </x:c>
      <x:c r="H16" s="32" t="n">
        <x:f>IF(E16=0,"",I16/E16)</x:f>
        <x:v>884.8253968895442</x:v>
      </x:c>
      <x:c r="I16" s="31" t="n">
        <x:f>IF(C16=0,"",SUMIF('Species'!$G$2:$G$275,A16,'Species'!$U$2:$U$275))</x:f>
        <x:v>19267286.553631138</x:v>
      </x:c>
      <x:c r="J16" s="32" t="n">
        <x:v>3.8759706701602665</x:v>
      </x:c>
      <x:c r="K16" s="32" t="n">
        <x:f>IF(J16="","",(1/'Metadata'!$B$5)^(J16-1))</x:f>
        <x:v>751.5721352921357</x:v>
      </x:c>
      <x:c r="L16" s="31" t="n">
        <x:f>IF(E16=0,"",E16*K16)</x:f>
        <x:v>16365664.624119839</x:v>
      </x:c>
      <x:c r="M16" s="31" t="n">
        <x:f>IF(E16=0,"",I16-L16)</x:f>
        <x:v>2901621.9295112994</x:v>
      </x:c>
      <x:c r="N16" s="32" t="n">
        <x:f>IF(L16=0,"",I16/L16)</x:f>
        <x:v>1.1772993640132932</x:v>
      </x:c>
      <x:c r="O16" s="34" t="n">
        <x:f>IF(L16=0,"",M16/L16)</x:f>
        <x:v>0.17729936401329324</x:v>
      </x:c>
    </x:row>
    <x:row r="17" ht="18" customHeight="1">
      <x:c r="A17" s="24" t="str">
        <x:v>Other demersal invertebrates</x:v>
      </x:c>
      <x:c r="B17" s="33" t="n">
        <x:v>9</x:v>
      </x:c>
      <x:c r="C17" s="33" t="n">
        <x:v>9</x:v>
      </x:c>
      <x:c r="D17" s="31" t="n">
        <x:v>11955.165390640399</x:v>
      </x:c>
      <x:c r="E17" s="31" t="n">
        <x:v>11955.165390640399</x:v>
      </x:c>
      <x:c r="F17" s="32" t="n">
        <x:v>0</x:v>
      </x:c>
      <x:c r="G17" s="34" t="n">
        <x:v>1</x:v>
      </x:c>
      <x:c r="H17" s="32" t="n">
        <x:f>IF(E17=0,"",I17/E17)</x:f>
        <x:v>12.268183678545524</x:v>
      </x:c>
      <x:c r="I17" s="31" t="n">
        <x:f>IF(C17=0,"",SUMIF('Species'!$G$2:$G$275,A17,'Species'!$U$2:$U$275))</x:f>
        <x:v>146668.16491976686</x:v>
      </x:c>
      <x:c r="J17" s="32" t="n">
        <x:v>2.0746681614807865</x:v>
      </x:c>
      <x:c r="K17" s="32" t="n">
        <x:f>IF(J17="","",(1/'Metadata'!$B$5)^(J17-1))</x:f>
        <x:v>11.875944558679679</x:v>
      </x:c>
      <x:c r="L17" s="31" t="n">
        <x:f>IF(E17=0,"",E17*K17)</x:f>
        <x:v>141978.88136909145</x:v>
      </x:c>
      <x:c r="M17" s="31" t="n">
        <x:f>IF(E17=0,"",I17-L17)</x:f>
        <x:v>4689.283550675405</x:v>
      </x:c>
      <x:c r="N17" s="32" t="n">
        <x:f>IF(L17=0,"",I17/L17)</x:f>
        <x:v>1.0330280356166848</x:v>
      </x:c>
      <x:c r="O17" s="34" t="n">
        <x:f>IF(L17=0,"",M17/L17)</x:f>
        <x:v>0.03302803561668471</x:v>
      </x:c>
    </x:row>
    <x:row r="18" ht="18" customHeight="1">
      <x:c r="A18" s="24" t="str">
        <x:v>Shrimps</x:v>
      </x:c>
      <x:c r="B18" s="33" t="n">
        <x:v>9</x:v>
      </x:c>
      <x:c r="C18" s="33" t="n">
        <x:v>9</x:v>
      </x:c>
      <x:c r="D18" s="31" t="n">
        <x:v>34839.232930897</x:v>
      </x:c>
      <x:c r="E18" s="31" t="n">
        <x:v>34839.232930897</x:v>
      </x:c>
      <x:c r="F18" s="32" t="n">
        <x:v>0</x:v>
      </x:c>
      <x:c r="G18" s="34" t="n">
        <x:v>1</x:v>
      </x:c>
      <x:c r="H18" s="32" t="n">
        <x:f>IF(E18=0,"",I18/E18)</x:f>
        <x:v>58.41397341796115</x:v>
      </x:c>
      <x:c r="I18" s="31" t="n">
        <x:f>IF(C18=0,"",SUMIF('Species'!$G$2:$G$275,A18,'Species'!$U$2:$U$275))</x:f>
        <x:v>2035098.0263275742</x:v>
      </x:c>
      <x:c r="J18" s="32" t="n">
        <x:v>2.7301955879038626</x:v>
      </x:c>
      <x:c r="K18" s="32" t="n">
        <x:f>IF(J18="","",(1/'Metadata'!$B$5)^(J18-1))</x:f>
        <x:v>53.72737072933404</x:v>
      </x:c>
      <x:c r="L18" s="31" t="n">
        <x:f>IF(E18=0,"",E18*K18)</x:f>
        <x:v>1871820.383603926</x:v>
      </x:c>
      <x:c r="M18" s="31" t="n">
        <x:f>IF(E18=0,"",I18-L18)</x:f>
        <x:v>163277.6427236481</x:v>
      </x:c>
      <x:c r="N18" s="32" t="n">
        <x:f>IF(L18=0,"",I18/L18)</x:f>
        <x:v>1.0872293325544837</x:v>
      </x:c>
      <x:c r="O18" s="34" t="n">
        <x:f>IF(L18=0,"",M18/L18)</x:f>
        <x:v>0.0872293325544837</x:v>
      </x:c>
    </x:row>
    <x:row r="19" ht="18" customHeight="1">
      <x:c r="A19" s="24" t="str">
        <x:v>Small benthopelagics (&lt;30 cm)</x:v>
      </x:c>
      <x:c r="B19" s="33" t="n">
        <x:v>2</x:v>
      </x:c>
      <x:c r="C19" s="33" t="n">
        <x:v>2</x:v>
      </x:c>
      <x:c r="D19" s="31" t="n">
        <x:v>2128.7564434947</x:v>
      </x:c>
      <x:c r="E19" s="31" t="n">
        <x:v>2128.7564434947</x:v>
      </x:c>
      <x:c r="F19" s="32" t="n">
        <x:v>0</x:v>
      </x:c>
      <x:c r="G19" s="34" t="n">
        <x:v>1</x:v>
      </x:c>
      <x:c r="H19" s="32" t="n">
        <x:f>IF(E19=0,"",I19/E19)</x:f>
        <x:v>537.3316842419138</x:v>
      </x:c>
      <x:c r="I19" s="31" t="n">
        <x:f>IF(C19=0,"",SUMIF('Species'!$G$2:$G$275,A19,'Species'!$U$2:$U$275))</x:f>
        <x:v>1143848.2851238335</x:v>
      </x:c>
      <x:c r="J19" s="32" t="n">
        <x:v>3.2369846853861706</x:v>
      </x:c>
      <x:c r="K19" s="32" t="n">
        <x:f>IF(J19="","",(1/'Metadata'!$B$5)^(J19-1))</x:f>
        <x:v>172.57770344938686</x:v>
      </x:c>
      <x:c r="L19" s="31" t="n">
        <x:f>IF(E19=0,"",E19*K19)</x:f>
        <x:v>367375.89822139975</x:v>
      </x:c>
      <x:c r="M19" s="31" t="n">
        <x:f>IF(E19=0,"",I19-L19)</x:f>
        <x:v>776472.3869024337</x:v>
      </x:c>
      <x:c r="N19" s="32" t="n">
        <x:f>IF(L19=0,"",I19/L19)</x:f>
        <x:v>3.113563765782183</x:v>
      </x:c>
      <x:c r="O19" s="34" t="n">
        <x:f>IF(L19=0,"",M19/L19)</x:f>
        <x:v>2.113563765782183</x:v>
      </x:c>
    </x:row>
    <x:row r="20" ht="18" customHeight="1">
      <x:c r="A20" s="24" t="str">
        <x:v>Small demersals (&lt;30 cm)</x:v>
      </x:c>
      <x:c r="B20" s="33" t="n">
        <x:v>10</x:v>
      </x:c>
      <x:c r="C20" s="33" t="n">
        <x:v>10</x:v>
      </x:c>
      <x:c r="D20" s="31" t="n">
        <x:v>27257.269994376395</x:v>
      </x:c>
      <x:c r="E20" s="31" t="n">
        <x:v>27257.269994376395</x:v>
      </x:c>
      <x:c r="F20" s="32" t="n">
        <x:v>0</x:v>
      </x:c>
      <x:c r="G20" s="34" t="n">
        <x:v>1</x:v>
      </x:c>
      <x:c r="H20" s="32" t="n">
        <x:f>IF(E20=0,"",I20/E20)</x:f>
        <x:v>299.0063579446161</x:v>
      </x:c>
      <x:c r="I20" s="31" t="n">
        <x:f>IF(C20=0,"",SUMIF('Species'!$G$2:$G$275,A20,'Species'!$U$2:$U$275))</x:f>
        <x:v>8150097.028531552</x:v>
      </x:c>
      <x:c r="J20" s="32" t="n">
        <x:v>3.4624948027099762</x:v>
      </x:c>
      <x:c r="K20" s="32" t="n">
        <x:f>IF(J20="","",(1/'Metadata'!$B$5)^(J20-1))</x:f>
        <x:v>290.0646485861474</x:v>
      </x:c>
      <x:c r="L20" s="31" t="n">
        <x:f>IF(E20=0,"",E20*K20)</x:f>
        <x:v>7906370.4423365295</x:v>
      </x:c>
      <x:c r="M20" s="31" t="n">
        <x:f>IF(E20=0,"",I20-L20)</x:f>
        <x:v>243726.5861950228</x:v>
      </x:c>
      <x:c r="N20" s="32" t="n">
        <x:f>IF(L20=0,"",I20/L20)</x:f>
        <x:v>1.0308266084890143</x:v>
      </x:c>
      <x:c r="O20" s="34" t="n">
        <x:f>IF(L20=0,"",M20/L20)</x:f>
        <x:v>0.030826608489014275</x:v>
      </x:c>
    </x:row>
    <x:row r="21" ht="18" customHeight="1">
      <x:c r="A21" s="24" t="str">
        <x:v>Small pelagics (&lt;30 cm)</x:v>
      </x:c>
      <x:c r="B21" s="33" t="n">
        <x:v>15</x:v>
      </x:c>
      <x:c r="C21" s="33" t="n">
        <x:v>15</x:v>
      </x:c>
      <x:c r="D21" s="31" t="n">
        <x:v>162760.50852945677</x:v>
      </x:c>
      <x:c r="E21" s="31" t="n">
        <x:v>162760.50852945677</x:v>
      </x:c>
      <x:c r="F21" s="32" t="n">
        <x:v>0</x:v>
      </x:c>
      <x:c r="G21" s="34" t="n">
        <x:v>1</x:v>
      </x:c>
      <x:c r="H21" s="32" t="n">
        <x:f>IF(E21=0,"",I21/E21)</x:f>
        <x:v>304.6508168868001</x:v>
      </x:c>
      <x:c r="I21" s="31" t="n">
        <x:f>IF(C21=0,"",SUMIF('Species'!$G$2:$G$275,A21,'Species'!$U$2:$U$275))</x:f>
        <x:v>49585121.88041</x:v>
      </x:c>
      <x:c r="J21" s="32" t="n">
        <x:v>3.195741145191637</x:v>
      </x:c>
      <x:c r="K21" s="32" t="n">
        <x:f>IF(J21="","",(1/'Metadata'!$B$5)^(J21-1))</x:f>
        <x:v>156.94270916758543</x:v>
      </x:c>
      <x:c r="L21" s="31" t="n">
        <x:f>IF(E21=0,"",E21*K21)</x:f>
        <x:v>25544075.15410684</x:v>
      </x:c>
      <x:c r="M21" s="31" t="n">
        <x:f>IF(E21=0,"",I21-L21)</x:f>
        <x:v>24041046.72630316</x:v>
      </x:c>
      <x:c r="N21" s="32" t="n">
        <x:f>IF(L21=0,"",I21/L21)</x:f>
        <x:v>1.9411594109892043</x:v>
      </x:c>
      <x:c r="O21" s="34" t="n">
        <x:f>IF(L21=0,"",M21/L21)</x:f>
        <x:v>0.9411594109892042</x:v>
      </x:c>
    </x:row>
    <x:row r="22" ht="18" customHeight="1">
      <x:c r="A22" s="24" t="str">
        <x:v>Small reef assoc. fish (&lt;30 cm)</x:v>
      </x:c>
      <x:c r="B22" s="33" t="n">
        <x:v>7</x:v>
      </x:c>
      <x:c r="C22" s="33" t="n">
        <x:v>7</x:v>
      </x:c>
      <x:c r="D22" s="31" t="n">
        <x:v>667.5326675757999</x:v>
      </x:c>
      <x:c r="E22" s="31" t="n">
        <x:v>667.5326675757999</x:v>
      </x:c>
      <x:c r="F22" s="32" t="n">
        <x:v>0</x:v>
      </x:c>
      <x:c r="G22" s="34" t="n">
        <x:v>1</x:v>
      </x:c>
      <x:c r="H22" s="32" t="n">
        <x:f>IF(E22=0,"",I22/E22)</x:f>
        <x:v>935.3901984338689</x:v>
      </x:c>
      <x:c r="I22" s="31" t="n">
        <x:f>IF(C22=0,"",SUMIF('Species'!$G$2:$G$275,A22,'Species'!$U$2:$U$275))</x:f>
        <x:v>624403.5143848173</x:v>
      </x:c>
      <x:c r="J22" s="32" t="n">
        <x:v>3.603877417045631</x:v>
      </x:c>
      <x:c r="K22" s="32" t="n">
        <x:f>IF(J22="","",(1/'Metadata'!$B$5)^(J22-1))</x:f>
        <x:v>401.677418309175</x:v>
      </x:c>
      <x:c r="L22" s="31" t="n">
        <x:f>IF(E22=0,"",E22*K22)</x:f>
        <x:v>268132.79854888405</x:v>
      </x:c>
      <x:c r="M22" s="31" t="n">
        <x:f>IF(E22=0,"",I22-L22)</x:f>
        <x:v>356270.7158359333</x:v>
      </x:c>
      <x:c r="N22" s="32" t="n">
        <x:f>IF(L22=0,"",I22/L22)</x:f>
        <x:v>2.3287099443411825</x:v>
      </x:c>
      <x:c r="O22" s="34" t="n">
        <x:f>IF(L22=0,"",M22/L22)</x:f>
        <x:v>1.3287099443411827</x:v>
      </x:c>
    </x:row>
    <x:row r="23" ht="18" customHeight="1">
      <x:c r="A23" s="24" t="str">
        <x:v>Small to medium flatfishes (&lt;90 cm)</x:v>
      </x:c>
      <x:c r="B23" s="33" t="n">
        <x:v>2</x:v>
      </x:c>
      <x:c r="C23" s="33" t="n">
        <x:v>2</x:v>
      </x:c>
      <x:c r="D23" s="31" t="n">
        <x:v>5074.6609571516</x:v>
      </x:c>
      <x:c r="E23" s="31" t="n">
        <x:v>5074.6609571516</x:v>
      </x:c>
      <x:c r="F23" s="32" t="n">
        <x:v>0</x:v>
      </x:c>
      <x:c r="G23" s="34" t="n">
        <x:v>1</x:v>
      </x:c>
      <x:c r="H23" s="32" t="n">
        <x:f>IF(E23=0,"",I23/E23)</x:f>
        <x:v>228.74721413132335</x:v>
      </x:c>
      <x:c r="I23" s="31" t="n">
        <x:f>IF(C23=0,"",SUMIF('Species'!$G$2:$G$275,A23,'Species'!$U$2:$U$275))</x:f>
        <x:v>1160814.5566094234</x:v>
      </x:c>
      <x:c r="J23" s="32" t="n">
        <x:v>3.343545907562977</x:v>
      </x:c>
      <x:c r="K23" s="32" t="n">
        <x:f>IF(J23="","",(1/'Metadata'!$B$5)^(J23-1))</x:f>
        <x:v>220.56972796616128</x:v>
      </x:c>
      <x:c r="L23" s="31" t="n">
        <x:f>IF(E23=0,"",E23*K23)</x:f>
        <x:v>1119316.5868394282</x:v>
      </x:c>
      <x:c r="M23" s="31" t="n">
        <x:f>IF(E23=0,"",I23-L23)</x:f>
        <x:v>41497.969769995194</x:v>
      </x:c>
      <x:c r="N23" s="32" t="n">
        <x:f>IF(L23=0,"",I23/L23)</x:f>
        <x:v>1.0370743811517806</x:v>
      </x:c>
      <x:c r="O23" s="34" t="n">
        <x:f>IF(L23=0,"",M23/L23)</x:f>
        <x:v>0.037074381151780696</x:v>
      </x:c>
    </x:row>
    <x:row r="24" ht="18" customHeight="1">
      <x:c r="A24" s="24" t="str">
        <x:v>Small to medium rays (&lt;90 cm)</x:v>
      </x:c>
      <x:c r="B24" s="33" t="n">
        <x:v>3</x:v>
      </x:c>
      <x:c r="C24" s="33" t="n">
        <x:v>3</x:v>
      </x:c>
      <x:c r="D24" s="31" t="n">
        <x:v>72.60131447789999</x:v>
      </x:c>
      <x:c r="E24" s="31" t="n">
        <x:v>72.60131447789999</x:v>
      </x:c>
      <x:c r="F24" s="32" t="n">
        <x:v>0</x:v>
      </x:c>
      <x:c r="G24" s="34" t="n">
        <x:v>1</x:v>
      </x:c>
      <x:c r="H24" s="32" t="n">
        <x:f>IF(E24=0,"",I24/E24)</x:f>
        <x:v>325.2767601973804</x:v>
      </x:c>
      <x:c r="I24" s="31" t="n">
        <x:f>IF(C24=0,"",SUMIF('Species'!$G$2:$G$275,A24,'Species'!$U$2:$U$275))</x:f>
        <x:v>23615.520359442475</x:v>
      </x:c>
      <x:c r="J24" s="32" t="n">
        <x:v>3.511424033070786</x:v>
      </x:c>
      <x:c r="K24" s="32" t="n">
        <x:f>IF(J24="","",(1/'Metadata'!$B$5)^(J24-1))</x:f>
        <x:v>324.65644819132905</x:v>
      </x:c>
      <x:c r="L24" s="31" t="n">
        <x:f>IF(E24=0,"",E24*K24)</x:f>
        <x:v>23570.484892416727</x:v>
      </x:c>
      <x:c r="M24" s="31" t="n">
        <x:f>IF(E24=0,"",I24-L24)</x:f>
        <x:v>45.035467025747494</x:v>
      </x:c>
      <x:c r="N24" s="32" t="n">
        <x:f>IF(L24=0,"",I24/L24)</x:f>
        <x:v>1.0019106720642916</x:v>
      </x:c>
      <x:c r="O24" s="34" t="n">
        <x:f>IF(L24=0,"",M24/L24)</x:f>
        <x:v>0.0019106720642915853</x:v>
      </x:c>
    </x:row>
    <x:row r="25" ht="18" customHeight="1">
      <x:c r="A25" s="24" t="str">
        <x:v>Small to medium sharks (&lt;90 cm)</x:v>
      </x:c>
      <x:c r="B25" s="33" t="n">
        <x:v>1</x:v>
      </x:c>
      <x:c r="C25" s="33" t="n">
        <x:v>1</x:v>
      </x:c>
      <x:c r="D25" s="31" t="n">
        <x:v>10218.4562770219</x:v>
      </x:c>
      <x:c r="E25" s="31" t="n">
        <x:v>10218.4562770219</x:v>
      </x:c>
      <x:c r="F25" s="32" t="n">
        <x:v>0</x:v>
      </x:c>
      <x:c r="G25" s="34" t="n">
        <x:v>1</x:v>
      </x:c>
      <x:c r="H25" s="32" t="n">
        <x:f>IF(E25=0,"",I25/E25)</x:f>
        <x:v>389.04514499428046</x:v>
      </x:c>
      <x:c r="I25" s="31" t="n">
        <x:f>IF(C25=0,"",SUMIF('Species'!$G$2:$G$275,A25,'Species'!$U$2:$U$275))</x:f>
        <x:v>3975440.8039117004</x:v>
      </x:c>
      <x:c r="J25" s="32" t="n">
        <x:v>3.59</x:v>
      </x:c>
      <x:c r="K25" s="32" t="n">
        <x:f>IF(J25="","",(1/'Metadata'!$B$5)^(J25-1))</x:f>
        <x:v>389.04514499428046</x:v>
      </x:c>
      <x:c r="L25" s="31" t="n">
        <x:f>IF(E25=0,"",E25*K25)</x:f>
        <x:v>3975440.8039117004</x:v>
      </x:c>
      <x:c r="M25" s="31" t="n">
        <x:f>IF(E25=0,"",I25-L25)</x:f>
        <x:v>0</x:v>
      </x:c>
      <x:c r="N25" s="32" t="n">
        <x:f>IF(L25=0,"",I25/L25)</x:f>
        <x:v>1</x:v>
      </x:c>
      <x:c r="O25" s="34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849097b520144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EEZ_076</x:v>
      </x:c>
      <x:c r="B2" s="24" t="str">
        <x:v>raw_filtered_tonnes</x:v>
      </x:c>
      <x:c r="C2" s="24" t="n">
        <x:v>904109.1796290668</x:v>
      </x:c>
      <x:c r="D2" s="24" t="str">
        <x:v>tonnes</x:v>
      </x:c>
    </x:row>
    <x:row r="3" ht="18" customHeight="1">
      <x:c r="A3" s="24" t="str">
        <x:v>EEZ_076</x:v>
      </x:c>
      <x:c r="B3" s="24" t="str">
        <x:v>species_catch_tonnes</x:v>
      </x:c>
      <x:c r="C3" s="24" t="n">
        <x:v>904109.1796290667</x:v>
      </x:c>
      <x:c r="D3" s="24" t="str">
        <x:v>tonnes</x:v>
      </x:c>
    </x:row>
    <x:row r="4" ht="18" customHeight="1">
      <x:c r="A4" s="24" t="str">
        <x:v>EEZ_076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EEZ_076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EEZ_076</x:v>
      </x:c>
      <x:c r="B6" s="24" t="str">
        <x:v>matched_catch_tonnes</x:v>
      </x:c>
      <x:c r="C6" s="24" t="n">
        <x:v>904109.1796290667</x:v>
      </x:c>
      <x:c r="D6" s="24" t="str">
        <x:v>tonnes</x:v>
      </x:c>
    </x:row>
    <x:row r="7" ht="18" customHeight="1">
      <x:c r="A7" s="24" t="str">
        <x:v>EEZ_076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EEZ_076</x:v>
      </x:c>
      <x:c r="B8" s="24" t="str">
        <x:v>taxa_count</x:v>
      </x:c>
      <x:c r="C8" s="24" t="n">
        <x:v>274</x:v>
      </x:c>
      <x:c r="D8" s="24" t="str">
        <x:v>count</x:v>
      </x:c>
    </x:row>
    <x:row r="9" ht="18" customHeight="1">
      <x:c r="A9" s="24" t="str">
        <x:v>EEZ_076</x:v>
      </x:c>
      <x:c r="B9" s="24" t="str">
        <x:v>matched_taxa_count</x:v>
      </x:c>
      <x:c r="C9" s="24" t="n">
        <x:v>274</x:v>
      </x:c>
      <x:c r="D9" s="24" t="str">
        <x:v>count</x:v>
      </x:c>
    </x:row>
    <x:row r="10" ht="18" customHeight="1">
      <x:c r="A10" s="24" t="str">
        <x:v>EEZ_076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EEZ_076</x:v>
      </x:c>
      <x:c r="B11" s="24" t="str">
        <x:v>species_ppr</x:v>
      </x:c>
      <x:c r="C11" s="24" t="n">
        <x:v>632611601.862448</x:v>
      </x:c>
      <x:c r="D11" s="24" t="str">
        <x:v>tonnes_primary_production_equivalent</x:v>
      </x:c>
    </x:row>
    <x:row r="12" ht="18" customHeight="1">
      <x:c r="A12" s="24" t="str">
        <x:v>EEZ_076</x:v>
      </x:c>
      <x:c r="B12" s="24" t="str">
        <x:v>commercial_ppr</x:v>
      </x:c>
      <x:c r="C12" s="24" t="n">
        <x:v>632611601.862448</x:v>
      </x:c>
      <x:c r="D12" s="24" t="str">
        <x:v>tonnes_primary_production_equivalent</x:v>
      </x:c>
    </x:row>
    <x:row r="13" ht="18" customHeight="1">
      <x:c r="A13" s="24" t="str">
        <x:v>EEZ_076</x:v>
      </x:c>
      <x:c r="B13" s="24" t="str">
        <x:v>functional_ppr</x:v>
      </x:c>
      <x:c r="C13" s="24" t="n">
        <x:v>632611601.862448</x:v>
      </x:c>
      <x:c r="D13" s="24" t="str">
        <x:v>tonnes_primary_production_equivalent</x:v>
      </x:c>
    </x:row>
    <x:row r="14" ht="18" customHeight="1">
      <x:c r="A14" s="24" t="str">
        <x:v>EEZ_076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EEZ_076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EEZ_076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EEZ_076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EEZ_076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EEZ_076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fa64edf16c641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EEZ_076 - Brazil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