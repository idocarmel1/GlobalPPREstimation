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7b0b31b68243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c5dd9c1e208c43c5"/>
    <x:sheet xmlns:r="http://schemas.openxmlformats.org/officeDocument/2006/relationships" name="Commercial" sheetId="2" r:id="R2fda1a7dd64942fd"/>
    <x:sheet xmlns:r="http://schemas.openxmlformats.org/officeDocument/2006/relationships" name="Functional" sheetId="3" r:id="Rda3ead6af8ad43bf"/>
    <x:sheet xmlns:r="http://schemas.openxmlformats.org/officeDocument/2006/relationships" name="Missing TL" sheetId="4" r:id="R1b1d6734c5a44a28"/>
    <x:sheet xmlns:r="http://schemas.openxmlformats.org/officeDocument/2006/relationships" name="Validation" sheetId="5" r:id="R7e6634d761184403"/>
    <x:sheet xmlns:r="http://schemas.openxmlformats.org/officeDocument/2006/relationships" name="Metadata" sheetId="6" r:id="R483ac0a4963941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77381e9d21421a" /><Relationship Type="http://schemas.openxmlformats.org/officeDocument/2006/relationships/theme" Target="/xl/theme/theme1.xml" Id="R5b3448b0a0e74ea8" /><Relationship Type="http://schemas.microsoft.com/office/2022/11/relationships/FeaturePropertyBag" Target="/xl/featurePropertyBag/featurePropertyBag.xml" Id="Rab873b0e84c74712" /><Relationship Type="http://schemas.openxmlformats.org/officeDocument/2006/relationships/sharedStrings" Target="/xl/sharedStrings.xml" Id="R29d841f51c39431a" /><Relationship Type="http://schemas.openxmlformats.org/officeDocument/2006/relationships/worksheet" Target="/xl/worksheets/sheet1.xml" Id="Rc5dd9c1e208c43c5" /><Relationship Type="http://schemas.openxmlformats.org/officeDocument/2006/relationships/worksheet" Target="/xl/worksheets/sheet2.xml" Id="R2fda1a7dd64942fd" /><Relationship Type="http://schemas.openxmlformats.org/officeDocument/2006/relationships/worksheet" Target="/xl/worksheets/sheet3.xml" Id="Rda3ead6af8ad43bf" /><Relationship Type="http://schemas.openxmlformats.org/officeDocument/2006/relationships/worksheet" Target="/xl/worksheets/sheet4.xml" Id="R1b1d6734c5a44a28" /><Relationship Type="http://schemas.openxmlformats.org/officeDocument/2006/relationships/worksheet" Target="/xl/worksheets/sheet5.xml" Id="R7e6634d761184403" /><Relationship Type="http://schemas.openxmlformats.org/officeDocument/2006/relationships/worksheet" Target="/xl/worksheets/sheet6.xml" Id="R483ac0a49639419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70SpeciesTable" displayName="EEZ970SpeciesTable" ref="A1:U17" headerRowCount="1" totalsRowCount="0" totalsRowShown="0">
  <x:autoFilter ref="A1:U1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70CommercialTable" displayName="EEZ970CommercialTable" ref="A1:O5" headerRowCount="1" totalsRowCount="0" totalsRowShown="0">
  <x:autoFilter ref="A1:O5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70FunctionalTable" displayName="EEZ970FunctionalTable" ref="A1:O5" headerRowCount="1" totalsRowCount="0" totalsRowShown="0">
  <x:autoFilter ref="A1:O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70ValidationTable" displayName="EEZ970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65ae061147448b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4e1b8aac28f44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43d9b782e0143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7b1f148088c485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EEZ_970</x:v>
      </x:c>
      <x:c r="B2" s="24" t="str">
        <x:v>St Paul and St. Peter Archipelago (Brazil)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4949.1796623747005</x:v>
      </x:c>
      <x:c r="J2" s="31" t="n">
        <x:v>4493.8968051617</x:v>
      </x:c>
      <x:c r="K2" s="31" t="n">
        <x:v>455.282857213</x:v>
      </x:c>
      <x:c r="L2" s="31" t="n">
        <x:v>4456.7064322777005</x:v>
      </x:c>
      <x:c r="M2" s="31" t="n">
        <x:v>492.473230097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943046.7432797594</x:v>
      </x:c>
    </x:row>
    <x:row r="3" ht="18" customHeight="1">
      <x:c r="A3" s="24" t="str">
        <x:v>EEZ_970</x:v>
      </x:c>
      <x:c r="B3" s="24" t="str">
        <x:v>St Paul and St. Peter Archipelago (Brazil)</x:v>
      </x:c>
      <x:c r="C3" s="24" t="str">
        <x:v>EEZ</x:v>
      </x:c>
      <x:c r="D3" s="30" t="n">
        <x:v>2019</x:v>
      </x:c>
      <x:c r="E3" s="24" t="str">
        <x:v>Thunnus albacares</x:v>
      </x:c>
      <x:c r="F3" s="24" t="str">
        <x:v>Yellowfin tuna</x:v>
      </x:c>
      <x:c r="G3" s="24" t="str">
        <x:v>Large pelagics (&gt;=90 cm)</x:v>
      </x:c>
      <x:c r="H3" s="24" t="str">
        <x:v>Tuna &amp; billfishes</x:v>
      </x:c>
      <x:c r="I3" s="31" t="n">
        <x:v>657.109413389</x:v>
      </x:c>
      <x:c r="J3" s="31" t="n">
        <x:v>657.109413389</x:v>
      </x:c>
      <x:c r="K3" s="31" t="n">
        <x:v>0</x:v>
      </x:c>
      <x:c r="L3" s="31" t="n">
        <x:v>657.109413389</x:v>
      </x:c>
      <x:c r="M3" s="31" t="n">
        <x:v>0</x:v>
      </x:c>
      <x:c r="N3" s="24" t="str">
        <x:v>thunnus albacares</x:v>
      </x:c>
      <x:c r="O3" s="32" t="n">
        <x:v>4.41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albacares</x:v>
      </x:c>
      <x:c r="T3" s="32" t="n">
        <x:f>IF(O3="","",(1/'Metadata'!$B$5)^(O3-1))</x:f>
        <x:v>2570.3957827688646</x:v>
      </x:c>
      <x:c r="U3" s="31" t="n">
        <x:f>IF(T3="","",I3*T3)</x:f>
        <x:v>1689031.264992808</x:v>
      </x:c>
    </x:row>
    <x:row r="4" ht="18" customHeight="1">
      <x:c r="A4" s="24" t="str">
        <x:v>EEZ_970</x:v>
      </x:c>
      <x:c r="B4" s="24" t="str">
        <x:v>St Paul and St. Peter Archipelago (Brazil)</x:v>
      </x:c>
      <x:c r="C4" s="24" t="str">
        <x:v>EEZ</x:v>
      </x:c>
      <x:c r="D4" s="30" t="n">
        <x:v>2019</x:v>
      </x:c>
      <x:c r="E4" s="24" t="str">
        <x:v>Thunnus obesus</x:v>
      </x:c>
      <x:c r="F4" s="24" t="str">
        <x:v>Bigeye tuna</x:v>
      </x:c>
      <x:c r="G4" s="24" t="str">
        <x:v>Large pelagics (&gt;=90 cm)</x:v>
      </x:c>
      <x:c r="H4" s="24" t="str">
        <x:v>Tuna &amp; billfishes</x:v>
      </x:c>
      <x:c r="I4" s="31" t="n">
        <x:v>268.4799105976</x:v>
      </x:c>
      <x:c r="J4" s="31" t="n">
        <x:v>268.4799105976</x:v>
      </x:c>
      <x:c r="K4" s="31" t="n">
        <x:v>0</x:v>
      </x:c>
      <x:c r="L4" s="31" t="n">
        <x:v>268.4799105976</x:v>
      </x:c>
      <x:c r="M4" s="31" t="n">
        <x:v>0</x:v>
      </x:c>
      <x:c r="N4" s="24" t="str">
        <x:v>thunnus obesus</x:v>
      </x:c>
      <x:c r="O4" s="32" t="n">
        <x:v>4.49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Thunnus obesus</x:v>
      </x:c>
      <x:c r="T4" s="32" t="n">
        <x:f>IF(O4="","",(1/'Metadata'!$B$5)^(O4-1))</x:f>
        <x:v>3090.295432513592</x:v>
      </x:c>
      <x:c r="U4" s="31" t="n">
        <x:f>IF(T4="","",I4*T4)</x:f>
        <x:v>829682.2414414207</x:v>
      </x:c>
    </x:row>
    <x:row r="5" ht="18" customHeight="1">
      <x:c r="A5" s="24" t="str">
        <x:v>EEZ_970</x:v>
      </x:c>
      <x:c r="B5" s="24" t="str">
        <x:v>St Paul and St. Peter Archipelago (Brazil)</x:v>
      </x:c>
      <x:c r="C5" s="24" t="str">
        <x:v>EEZ</x:v>
      </x:c>
      <x:c r="D5" s="30" t="n">
        <x:v>2019</x:v>
      </x:c>
      <x:c r="E5" s="24" t="str">
        <x:v>Katsuwonus pelamis</x:v>
      </x:c>
      <x:c r="F5" s="24" t="str">
        <x:v>Skipjack tuna</x:v>
      </x:c>
      <x:c r="G5" s="24" t="str">
        <x:v>Large pelagics (&gt;=90 cm)</x:v>
      </x:c>
      <x:c r="H5" s="24" t="str">
        <x:v>Tuna &amp; billfishes</x:v>
      </x:c>
      <x:c r="I5" s="31" t="n">
        <x:v>219.78549498130002</x:v>
      </x:c>
      <x:c r="J5" s="31" t="n">
        <x:v>219.78549498130002</x:v>
      </x:c>
      <x:c r="K5" s="31" t="n">
        <x:v>0</x:v>
      </x:c>
      <x:c r="L5" s="31" t="n">
        <x:v>219.78549498130002</x:v>
      </x:c>
      <x:c r="M5" s="31" t="n">
        <x:v>0</x:v>
      </x:c>
      <x:c r="N5" s="24" t="str">
        <x:v>katsuwonus pelamis</x:v>
      </x:c>
      <x:c r="O5" s="32" t="n">
        <x:v>4.43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Katsuwonus pelamis</x:v>
      </x:c>
      <x:c r="T5" s="32" t="n">
        <x:f>IF(O5="","",(1/'Metadata'!$B$5)^(O5-1))</x:f>
        <x:v>2691.534803926914</x:v>
      </x:c>
      <x:c r="U5" s="31" t="n">
        <x:f>IF(T5="","",I5*T5)</x:f>
        <x:v>591560.309140473</x:v>
      </x:c>
    </x:row>
    <x:row r="6" ht="18" customHeight="1">
      <x:c r="A6" s="24" t="str">
        <x:v>EEZ_970</x:v>
      </x:c>
      <x:c r="B6" s="24" t="str">
        <x:v>St Paul and St. Peter Archipelago (Brazil)</x:v>
      </x:c>
      <x:c r="C6" s="24" t="str">
        <x:v>EEZ</x:v>
      </x:c>
      <x:c r="D6" s="30" t="n">
        <x:v>2019</x:v>
      </x:c>
      <x:c r="E6" s="24" t="str">
        <x:v>Acanthocybium solandri</x:v>
      </x:c>
      <x:c r="F6" s="24" t="str">
        <x:v>Wahoo</x:v>
      </x:c>
      <x:c r="G6" s="24" t="str">
        <x:v>Large pelagics (&gt;=90 cm)</x:v>
      </x:c>
      <x:c r="H6" s="24" t="str">
        <x:v>Perch-likes</x:v>
      </x:c>
      <x:c r="I6" s="31" t="n">
        <x:v>116.5192504601</x:v>
      </x:c>
      <x:c r="J6" s="31" t="n">
        <x:v>91.4165893001</x:v>
      </x:c>
      <x:c r="K6" s="31" t="n">
        <x:v>25.10266116</x:v>
      </x:c>
      <x:c r="L6" s="31" t="n">
        <x:v>57.296</x:v>
      </x:c>
      <x:c r="M6" s="31" t="n">
        <x:v>59.22325046009999</x:v>
      </x:c>
      <x:c r="N6" s="24" t="str">
        <x:v>acanthocybium solandri</x:v>
      </x:c>
      <x:c r="O6" s="32" t="n">
        <x:v>4.26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Acanthocybium solandri</x:v>
      </x:c>
      <x:c r="T6" s="32" t="n">
        <x:f>IF(O6="","",(1/'Metadata'!$B$5)^(O6-1))</x:f>
        <x:v>1819.7008586099826</x:v>
      </x:c>
      <x:c r="U6" s="31" t="n">
        <x:f>IF(T6="","",I6*T6)</x:f>
        <x:v>212030.18010683556</x:v>
      </x:c>
    </x:row>
    <x:row r="7" ht="18" customHeight="1">
      <x:c r="A7" s="24" t="str">
        <x:v>EEZ_970</x:v>
      </x:c>
      <x:c r="B7" s="24" t="str">
        <x:v>St Paul and St. Peter Archipelago (Brazil)</x:v>
      </x:c>
      <x:c r="C7" s="24" t="str">
        <x:v>EEZ</x:v>
      </x:c>
      <x:c r="D7" s="30" t="n">
        <x:v>2019</x:v>
      </x:c>
      <x:c r="E7" s="24" t="str">
        <x:v>Scombridae</x:v>
      </x:c>
      <x:c r="F7" s="24" t="str">
        <x:v>Mackerels, tunas, bonitos</x:v>
      </x:c>
      <x:c r="G7" s="24" t="str">
        <x:v>Medium pelagics (30 - 89 cm)</x:v>
      </x:c>
      <x:c r="H7" s="24" t="str">
        <x:v>Perch-likes</x:v>
      </x:c>
      <x:c r="I7" s="31" t="n">
        <x:v>23.6807828658</x:v>
      </x:c>
      <x:c r="J7" s="31" t="n">
        <x:v>23.6807828658</x:v>
      </x:c>
      <x:c r="K7" s="31" t="n">
        <x:v>0</x:v>
      </x:c>
      <x:c r="L7" s="31" t="n">
        <x:v>23.6807828658</x:v>
      </x:c>
      <x:c r="M7" s="31" t="n">
        <x:v>0</x:v>
      </x:c>
      <x:c r="N7" s="24" t="str">
        <x:v>scombridae</x:v>
      </x:c>
      <x:c r="O7" s="32" t="n">
        <x:v>4.26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Scombridae</x:v>
      </x:c>
      <x:c r="T7" s="32" t="n">
        <x:f>IF(O7="","",(1/'Metadata'!$B$5)^(O7-1))</x:f>
        <x:v>1819.7008586099826</x:v>
      </x:c>
      <x:c r="U7" s="31" t="n">
        <x:f>IF(T7="","",I7*T7)</x:f>
        <x:v>43091.940913452825</x:v>
      </x:c>
    </x:row>
    <x:row r="8" ht="18" customHeight="1">
      <x:c r="A8" s="24" t="str">
        <x:v>EEZ_970</x:v>
      </x:c>
      <x:c r="B8" s="24" t="str">
        <x:v>St Paul and St. Peter Archipelago (Brazil)</x:v>
      </x:c>
      <x:c r="C8" s="24" t="str">
        <x:v>EEZ</x:v>
      </x:c>
      <x:c r="D8" s="30" t="n">
        <x:v>2019</x:v>
      </x:c>
      <x:c r="E8" s="24" t="str">
        <x:v>Coryphaena hippurus</x:v>
      </x:c>
      <x:c r="F8" s="24" t="str">
        <x:v>Common dolphinfish</x:v>
      </x:c>
      <x:c r="G8" s="24" t="str">
        <x:v>Large pelagics (&gt;=90 cm)</x:v>
      </x:c>
      <x:c r="H8" s="24" t="str">
        <x:v>Perch-likes</x:v>
      </x:c>
      <x:c r="I8" s="31" t="n">
        <x:v>23.4601008815</x:v>
      </x:c>
      <x:c r="J8" s="31" t="n">
        <x:v>21.7168118435</x:v>
      </x:c>
      <x:c r="K8" s="31" t="n">
        <x:v>1.743289038</x:v>
      </x:c>
      <x:c r="L8" s="31" t="n">
        <x:v>19.3472603074</x:v>
      </x:c>
      <x:c r="M8" s="31" t="n">
        <x:v>4.1128405741</x:v>
      </x:c>
      <x:c r="N8" s="24" t="str">
        <x:v>coryphaena hippurus</x:v>
      </x:c>
      <x:c r="O8" s="32" t="n">
        <x:v>4.37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Coryphaena hippurus</x:v>
      </x:c>
      <x:c r="T8" s="32" t="n">
        <x:f>IF(O8="","",(1/'Metadata'!$B$5)^(O8-1))</x:f>
        <x:v>2344.228815319923</x:v>
      </x:c>
      <x:c r="U8" s="31" t="n">
        <x:f>IF(T8="","",I8*T8)</x:f>
        <x:v>54995.844496724625</x:v>
      </x:c>
    </x:row>
    <x:row r="9" ht="18" customHeight="1">
      <x:c r="A9" s="24" t="str">
        <x:v>EEZ_970</x:v>
      </x:c>
      <x:c r="B9" s="24" t="str">
        <x:v>St Paul and St. Peter Archipelago (Brazil)</x:v>
      </x:c>
      <x:c r="C9" s="24" t="str">
        <x:v>EEZ</x:v>
      </x:c>
      <x:c r="D9" s="30" t="n">
        <x:v>2019</x:v>
      </x:c>
      <x:c r="E9" s="24" t="str">
        <x:v>Thunnus atlanticus</x:v>
      </x:c>
      <x:c r="F9" s="24" t="str">
        <x:v>Blackfin tuna</x:v>
      </x:c>
      <x:c r="G9" s="24" t="str">
        <x:v>Large pelagics (&gt;=90 cm)</x:v>
      </x:c>
      <x:c r="H9" s="24" t="str">
        <x:v>Tuna &amp; billfishes</x:v>
      </x:c>
      <x:c r="I9" s="31" t="n">
        <x:v>7.2090991463</x:v>
      </x:c>
      <x:c r="J9" s="31" t="n">
        <x:v>7.2090991463</x:v>
      </x:c>
      <x:c r="K9" s="31" t="n">
        <x:v>0</x:v>
      </x:c>
      <x:c r="L9" s="31" t="n">
        <x:v>7.2090991463</x:v>
      </x:c>
      <x:c r="M9" s="31" t="n">
        <x:v>0</x:v>
      </x:c>
      <x:c r="N9" s="24" t="str">
        <x:v>thunnus atlanticus</x:v>
      </x:c>
      <x:c r="O9" s="32" t="n">
        <x:v>4.35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Thunnus atlanticus</x:v>
      </x:c>
      <x:c r="T9" s="32" t="n">
        <x:f>IF(O9="","",(1/'Metadata'!$B$5)^(O9-1))</x:f>
        <x:v>2238.7211385683377</x:v>
      </x:c>
      <x:c r="U9" s="31" t="n">
        <x:f>IF(T9="","",I9*T9)</x:f>
        <x:v>16139.162648856767</x:v>
      </x:c>
    </x:row>
    <x:row r="10" ht="18" customHeight="1">
      <x:c r="A10" s="24" t="str">
        <x:v>EEZ_970</x:v>
      </x:c>
      <x:c r="B10" s="24" t="str">
        <x:v>St Paul and St. Peter Archipelago (Brazil)</x:v>
      </x:c>
      <x:c r="C10" s="24" t="str">
        <x:v>EEZ</x:v>
      </x:c>
      <x:c r="D10" s="30" t="n">
        <x:v>2019</x:v>
      </x:c>
      <x:c r="E10" s="24" t="str">
        <x:v>Carcharhinus falciformis</x:v>
      </x:c>
      <x:c r="F10" s="24" t="str">
        <x:v>Silky shark</x:v>
      </x:c>
      <x:c r="G10" s="24" t="str">
        <x:v>Large sharks (&gt;=90 cm)</x:v>
      </x:c>
      <x:c r="H10" s="24" t="str">
        <x:v>Sharks &amp; rays</x:v>
      </x:c>
      <x:c r="I10" s="31" t="n">
        <x:v>2.3773213449000004</x:v>
      </x:c>
      <x:c r="J10" s="31" t="n">
        <x:v>1.8651562569</x:v>
      </x:c>
      <x:c r="K10" s="31" t="n">
        <x:v>0.512165088</x:v>
      </x:c>
      <x:c r="L10" s="31" t="n">
        <x:v>1.169</x:v>
      </x:c>
      <x:c r="M10" s="31" t="n">
        <x:v>1.2083213449</x:v>
      </x:c>
      <x:c r="N10" s="24" t="str">
        <x:v>carcharhinus falciformis</x:v>
      </x:c>
      <x:c r="O10" s="32" t="n">
        <x:v>4.51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Carcharhinus falciformis</x:v>
      </x:c>
      <x:c r="T10" s="32" t="n">
        <x:f>IF(O10="","",(1/'Metadata'!$B$5)^(O10-1))</x:f>
        <x:v>3235.936569296281</x:v>
      </x:c>
      <x:c r="U10" s="31" t="n">
        <x:f>IF(T10="","",I10*T10)</x:f>
        <x:v>7692.861076930528</x:v>
      </x:c>
    </x:row>
    <x:row r="11" ht="18" customHeight="1">
      <x:c r="A11" s="24" t="str">
        <x:v>EEZ_970</x:v>
      </x:c>
      <x:c r="B11" s="24" t="str">
        <x:v>St Paul and St. Peter Archipelago (Brazil)</x:v>
      </x:c>
      <x:c r="C11" s="24" t="str">
        <x:v>EEZ</x:v>
      </x:c>
      <x:c r="D11" s="30" t="n">
        <x:v>2019</x:v>
      </x:c>
      <x:c r="E11" s="24" t="str">
        <x:v>Sphyrna lewini</x:v>
      </x:c>
      <x:c r="F11" s="24" t="str">
        <x:v>Scalloped hammerhead</x:v>
      </x:c>
      <x:c r="G11" s="24" t="str">
        <x:v>Large sharks (&gt;=90 cm)</x:v>
      </x:c>
      <x:c r="H11" s="24" t="str">
        <x:v>Sharks &amp; rays</x:v>
      </x:c>
      <x:c r="I11" s="31" t="n">
        <x:v>2.2105631319</x:v>
      </x:c>
      <x:c r="J11" s="31" t="n">
        <x:v>1.7343240808999998</x:v>
      </x:c>
      <x:c r="K11" s="31" t="n">
        <x:v>0.476239051</x:v>
      </x:c>
      <x:c r="L11" s="31" t="n">
        <x:v>1.087</x:v>
      </x:c>
      <x:c r="M11" s="31" t="n">
        <x:v>1.1235631319000001</x:v>
      </x:c>
      <x:c r="N11" s="24" t="str">
        <x:v>sphyrna lewini</x:v>
      </x:c>
      <x:c r="O11" s="32" t="n">
        <x:v>4.08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Sphyrna lewini</x:v>
      </x:c>
      <x:c r="T11" s="32" t="n">
        <x:f>IF(O11="","",(1/'Metadata'!$B$5)^(O11-1))</x:f>
        <x:v>1202.2644346174131</x:v>
      </x:c>
      <x:c r="U11" s="31" t="n">
        <x:f>IF(T11="","",I11*T11)</x:f>
        <x:v>2657.6814339598513</x:v>
      </x:c>
    </x:row>
    <x:row r="12" ht="18" customHeight="1">
      <x:c r="A12" s="24" t="str">
        <x:v>EEZ_970</x:v>
      </x:c>
      <x:c r="B12" s="24" t="str">
        <x:v>St Paul and St. Peter Archipelago (Brazil)</x:v>
      </x:c>
      <x:c r="C12" s="24" t="str">
        <x:v>EEZ</x:v>
      </x:c>
      <x:c r="D12" s="30" t="n">
        <x:v>2019</x:v>
      </x:c>
      <x:c r="E12" s="24" t="str">
        <x:v>Marine pelagic fishes not identified</x:v>
      </x:c>
      <x:c r="F12" s="24" t="str">
        <x:v>Pelagic fishes</x:v>
      </x:c>
      <x:c r="G12" s="24" t="str">
        <x:v>Medium pelagics (30 - 89 cm)</x:v>
      </x:c>
      <x:c r="H12" s="24" t="str">
        <x:v>Other fishes &amp; inverts</x:v>
      </x:c>
      <x:c r="I12" s="31" t="n">
        <x:v>1.4664745890000002</x:v>
      </x:c>
      <x:c r="J12" s="31" t="n">
        <x:v>1.4664745890000002</x:v>
      </x:c>
      <x:c r="K12" s="31" t="n">
        <x:v>0</x:v>
      </x:c>
      <x:c r="L12" s="31" t="n">
        <x:v>1.4664745890000002</x:v>
      </x:c>
      <x:c r="M12" s="31" t="n">
        <x:v>0</x:v>
      </x:c>
      <x:c r="N12" s="24" t="str">
        <x:v>marine pelagic fishes not identified</x:v>
      </x:c>
      <x:c r="O12" s="32" t="n">
        <x:v>3.35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Marine pelagic fishes not identified</x:v>
      </x:c>
      <x:c r="T12" s="32" t="n">
        <x:f>IF(O12="","",(1/'Metadata'!$B$5)^(O12-1))</x:f>
        <x:v>223.872113856834</x:v>
      </x:c>
      <x:c r="U12" s="31" t="n">
        <x:f>IF(T12="","",I12*T12)</x:f>
        <x:v>328.3027661567619</x:v>
      </x:c>
    </x:row>
    <x:row r="13" ht="18" customHeight="1">
      <x:c r="A13" s="24" t="str">
        <x:v>EEZ_970</x:v>
      </x:c>
      <x:c r="B13" s="24" t="str">
        <x:v>St Paul and St. Peter Archipelago (Brazil)</x:v>
      </x:c>
      <x:c r="C13" s="24" t="str">
        <x:v>EEZ</x:v>
      </x:c>
      <x:c r="D13" s="30" t="n">
        <x:v>2019</x:v>
      </x:c>
      <x:c r="E13" s="24" t="str">
        <x:v>Prionace glauca</x:v>
      </x:c>
      <x:c r="F13" s="24" t="str">
        <x:v>Blue shark</x:v>
      </x:c>
      <x:c r="G13" s="24" t="str">
        <x:v>Large sharks (&gt;=90 cm)</x:v>
      </x:c>
      <x:c r="H13" s="24" t="str">
        <x:v>Sharks &amp; rays</x:v>
      </x:c>
      <x:c r="I13" s="31" t="n">
        <x:v>1.234417499</x:v>
      </x:c>
      <x:c r="J13" s="31" t="n">
        <x:v>0.968477201</x:v>
      </x:c>
      <x:c r="K13" s="31" t="n">
        <x:v>0.265940298</x:v>
      </x:c>
      <x:c r="L13" s="31" t="n">
        <x:v>0.607</x:v>
      </x:c>
      <x:c r="M13" s="31" t="n">
        <x:v>0.627417499</x:v>
      </x:c>
      <x:c r="N13" s="24" t="str">
        <x:v>prionace glauca</x:v>
      </x:c>
      <x:c r="O13" s="32" t="n">
        <x:v>4.35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Prionace glauca</x:v>
      </x:c>
      <x:c r="T13" s="32" t="n">
        <x:f>IF(O13="","",(1/'Metadata'!$B$5)^(O13-1))</x:f>
        <x:v>2238.7211385683377</x:v>
      </x:c>
      <x:c r="U13" s="31" t="n">
        <x:f>IF(T13="","",I13*T13)</x:f>
        <x:v>2763.51654882996</x:v>
      </x:c>
    </x:row>
    <x:row r="14" ht="18" customHeight="1">
      <x:c r="A14" s="24" t="str">
        <x:v>EEZ_970</x:v>
      </x:c>
      <x:c r="B14" s="24" t="str">
        <x:v>St Paul and St. Peter Archipelago (Brazil)</x:v>
      </x:c>
      <x:c r="C14" s="24" t="str">
        <x:v>EEZ</x:v>
      </x:c>
      <x:c r="D14" s="30" t="n">
        <x:v>2019</x:v>
      </x:c>
      <x:c r="E14" s="24" t="str">
        <x:v>Auxis thazard</x:v>
      </x:c>
      <x:c r="F14" s="24" t="str">
        <x:v>Frigate tuna</x:v>
      </x:c>
      <x:c r="G14" s="24" t="str">
        <x:v>Medium pelagics (30 - 89 cm)</x:v>
      </x:c>
      <x:c r="H14" s="24" t="str">
        <x:v>Tuna &amp; billfishes</x:v>
      </x:c>
      <x:c r="I14" s="31" t="n">
        <x:v>1.1675983539</x:v>
      </x:c>
      <x:c r="J14" s="31" t="n">
        <x:v>1.1675983539</x:v>
      </x:c>
      <x:c r="K14" s="31" t="n">
        <x:v>0</x:v>
      </x:c>
      <x:c r="L14" s="31" t="n">
        <x:v>1.1675983539</x:v>
      </x:c>
      <x:c r="M14" s="31" t="n">
        <x:v>0</x:v>
      </x:c>
      <x:c r="N14" s="24" t="str">
        <x:v>auxis thazard</x:v>
      </x:c>
      <x:c r="O14" s="32" t="n">
        <x:v>4.37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Auxis thazard</x:v>
      </x:c>
      <x:c r="T14" s="32" t="n">
        <x:f>IF(O14="","",(1/'Metadata'!$B$5)^(O14-1))</x:f>
        <x:v>2344.228815319923</x:v>
      </x:c>
      <x:c r="U14" s="31" t="n">
        <x:f>IF(T14="","",I14*T14)</x:f>
        <x:v>2737.117705932489</x:v>
      </x:c>
    </x:row>
    <x:row r="15" ht="18" customHeight="1">
      <x:c r="A15" s="24" t="str">
        <x:v>EEZ_970</x:v>
      </x:c>
      <x:c r="B15" s="24" t="str">
        <x:v>St Paul and St. Peter Archipelago (Brazil)</x:v>
      </x:c>
      <x:c r="C15" s="24" t="str">
        <x:v>EEZ</x:v>
      </x:c>
      <x:c r="D15" s="30" t="n">
        <x:v>2019</x:v>
      </x:c>
      <x:c r="E15" s="24" t="str">
        <x:v>Isurus oxyrinchus</x:v>
      </x:c>
      <x:c r="F15" s="24" t="str">
        <x:v>Shortfin mako</x:v>
      </x:c>
      <x:c r="G15" s="24" t="str">
        <x:v>Large sharks (&gt;=90 cm)</x:v>
      </x:c>
      <x:c r="H15" s="24" t="str">
        <x:v>Sharks &amp; rays</x:v>
      </x:c>
      <x:c r="I15" s="31" t="n">
        <x:v>0.5999228381</x:v>
      </x:c>
      <x:c r="J15" s="31" t="n">
        <x:v>0.47067672909999997</x:v>
      </x:c>
      <x:c r="K15" s="31" t="n">
        <x:v>0.129246109</x:v>
      </x:c>
      <x:c r="L15" s="31" t="n">
        <x:v>0.295</x:v>
      </x:c>
      <x:c r="M15" s="31" t="n">
        <x:v>0.3049228381</x:v>
      </x:c>
      <x:c r="N15" s="24" t="str">
        <x:v>isurus oxyrinchus</x:v>
      </x:c>
      <x:c r="O15" s="32" t="n">
        <x:v>4.5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Isurus oxyrinchus</x:v>
      </x:c>
      <x:c r="T15" s="32" t="n">
        <x:f>IF(O15="","",(1/'Metadata'!$B$5)^(O15-1))</x:f>
        <x:v>3162.2776601683795</x:v>
      </x:c>
      <x:c r="U15" s="31" t="n">
        <x:f>IF(T15="","",I15*T15)</x:f>
        <x:v>1897.1225887484416</x:v>
      </x:c>
    </x:row>
    <x:row r="16" ht="18" customHeight="1">
      <x:c r="A16" s="24" t="str">
        <x:v>EEZ_970</x:v>
      </x:c>
      <x:c r="B16" s="24" t="str">
        <x:v>St Paul and St. Peter Archipelago (Brazil)</x:v>
      </x:c>
      <x:c r="C16" s="24" t="str">
        <x:v>EEZ</x:v>
      </x:c>
      <x:c r="D16" s="30" t="n">
        <x:v>2019</x:v>
      </x:c>
      <x:c r="E16" s="24" t="str">
        <x:v>Sphyraena barracuda</x:v>
      </x:c>
      <x:c r="F16" s="24" t="str">
        <x:v>Great barracuda</x:v>
      </x:c>
      <x:c r="G16" s="24" t="str">
        <x:v>Large pelagics (&gt;=90 cm)</x:v>
      </x:c>
      <x:c r="H16" s="24" t="str">
        <x:v>Perch-likes</x:v>
      </x:c>
      <x:c r="I16" s="31" t="n">
        <x:v>0.0629556881</x:v>
      </x:c>
      <x:c r="J16" s="31" t="n">
        <x:v>0.0629556881</x:v>
      </x:c>
      <x:c r="K16" s="31" t="n">
        <x:v>0</x:v>
      </x:c>
      <x:c r="L16" s="31" t="n">
        <x:v>0.0629556881</x:v>
      </x:c>
      <x:c r="M16" s="31" t="n">
        <x:v>0</x:v>
      </x:c>
      <x:c r="N16" s="24" t="str">
        <x:v>sphyraena barracuda</x:v>
      </x:c>
      <x:c r="O16" s="32" t="n">
        <x:v>4.49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Sphyraena barracuda</x:v>
      </x:c>
      <x:c r="T16" s="32" t="n">
        <x:f>IF(O16="","",(1/'Metadata'!$B$5)^(O16-1))</x:f>
        <x:v>3090.295432513592</x:v>
      </x:c>
      <x:c r="U16" s="31" t="n">
        <x:f>IF(T16="","",I16*T16)</x:f>
        <x:v>194.5516753861803</x:v>
      </x:c>
    </x:row>
    <x:row r="17" ht="18" customHeight="1">
      <x:c r="A17" s="24" t="str">
        <x:v>EEZ_970</x:v>
      </x:c>
      <x:c r="B17" s="24" t="str">
        <x:v>St Paul and St. Peter Archipelago (Brazil)</x:v>
      </x:c>
      <x:c r="C17" s="24" t="str">
        <x:v>EEZ</x:v>
      </x:c>
      <x:c r="D17" s="30" t="n">
        <x:v>2019</x:v>
      </x:c>
      <x:c r="E17" s="24" t="str">
        <x:v>Thunnus</x:v>
      </x:c>
      <x:c r="F17" s="24" t="str">
        <x:v>Tunas</x:v>
      </x:c>
      <x:c r="G17" s="24" t="str">
        <x:v>Large pelagics (&gt;=90 cm)</x:v>
      </x:c>
      <x:c r="H17" s="24" t="str">
        <x:v>Tuna &amp; billfishes</x:v>
      </x:c>
      <x:c r="I17" s="31" t="n">
        <x:v>0.0194767774</x:v>
      </x:c>
      <x:c r="J17" s="31" t="n">
        <x:v>0.0194767774</x:v>
      </x:c>
      <x:c r="K17" s="31" t="n">
        <x:v>0</x:v>
      </x:c>
      <x:c r="L17" s="31" t="n">
        <x:v>0.0194767774</x:v>
      </x:c>
      <x:c r="M17" s="31" t="n">
        <x:v>0</x:v>
      </x:c>
      <x:c r="N17" s="24" t="str">
        <x:v>thunnus</x:v>
      </x:c>
      <x:c r="O17" s="32" t="n">
        <x:v>4.34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Thunnus</x:v>
      </x:c>
      <x:c r="T17" s="32" t="n">
        <x:f>IF(O17="","",(1/'Metadata'!$B$5)^(O17-1))</x:f>
        <x:v>2187.761623949552</x:v>
      </x:c>
      <x:c r="U17" s="31" t="n">
        <x:f>IF(T17="","",I17*T17)</x:f>
        <x:v>42.61054615392793</x:v>
      </x:c>
    </x:row>
  </x:sheetData>
  <x:conditionalFormatting sqref="R2:R1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d65ae061147448b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Other fishes &amp; inverts</x:v>
      </x:c>
      <x:c r="B2" s="33" t="n">
        <x:v>2</x:v>
      </x:c>
      <x:c r="C2" s="33" t="n">
        <x:v>2</x:v>
      </x:c>
      <x:c r="D2" s="31" t="n">
        <x:v>4950.646136963701</x:v>
      </x:c>
      <x:c r="E2" s="31" t="n">
        <x:v>4950.646136963701</x:v>
      </x:c>
      <x:c r="F2" s="32" t="n">
        <x:v>0</x:v>
      </x:c>
      <x:c r="G2" s="34" t="n">
        <x:v>1</x:v>
      </x:c>
      <x:c r="H2" s="32" t="n">
        <x:f>IF(E2=0,"",I2/E2)</x:f>
        <x:v>190.55594359739496</x:v>
      </x:c>
      <x:c r="I2" s="31" t="n">
        <x:f>IF(C2=0,"",SUMIF('Species'!$H$2:$H$17,A2,'Species'!$U$2:$U$17))</x:f>
        <x:v>943375.0460459162</x:v>
      </x:c>
      <x:c r="J2" s="32" t="n">
        <x:v>3.2800207353178528</x:v>
      </x:c>
      <x:c r="K2" s="32" t="n">
        <x:f>IF(J2="","",(1/'Metadata'!$B$5)^(J2-1))</x:f>
        <x:v>190.5551696040362</x:v>
      </x:c>
      <x:c r="L2" s="31" t="n">
        <x:f>IF(E2=0,"",E2*K2)</x:f>
        <x:v>943371.2142786846</x:v>
      </x:c>
      <x:c r="M2" s="31" t="n">
        <x:f>IF(E2=0,"",I2-L2)</x:f>
        <x:v>3.8317672315752134</x:v>
      </x:c>
      <x:c r="N2" s="32" t="n">
        <x:f>IF(L2=0,"",I2/L2)</x:f>
        <x:v>1.000004061780955</x:v>
      </x:c>
      <x:c r="O2" s="34" t="n">
        <x:f>IF(L2=0,"",M2/L2)</x:f>
        <x:v>0.0000040617809549181955</x:v>
      </x:c>
    </x:row>
    <x:row r="3" ht="18" customHeight="1">
      <x:c r="A3" s="24" t="str">
        <x:v>Perch-likes</x:v>
      </x:c>
      <x:c r="B3" s="33" t="n">
        <x:v>4</x:v>
      </x:c>
      <x:c r="C3" s="33" t="n">
        <x:v>4</x:v>
      </x:c>
      <x:c r="D3" s="31" t="n">
        <x:v>163.7230898955</x:v>
      </x:c>
      <x:c r="E3" s="31" t="n">
        <x:v>163.7230898955</x:v>
      </x:c>
      <x:c r="F3" s="32" t="n">
        <x:v>0</x:v>
      </x:c>
      <x:c r="G3" s="34" t="n">
        <x:v>1</x:v>
      </x:c>
      <x:c r="H3" s="32" t="n">
        <x:f>IF(E3=0,"",I3/E3)</x:f>
        <x:v>1895.3497481049449</x:v>
      </x:c>
      <x:c r="I3" s="31" t="n">
        <x:f>IF(C3=0,"",SUMIF('Species'!$H$2:$H$17,A3,'Species'!$U$2:$U$17))</x:f>
        <x:v>310312.5171923992</x:v>
      </x:c>
      <x:c r="J3" s="32" t="n">
        <x:v>4.275850488204713</x:v>
      </x:c>
      <x:c r="K3" s="32" t="n">
        <x:f>IF(J3="","",(1/'Metadata'!$B$5)^(J3-1))</x:f>
        <x:v>1887.3414942061752</x:v>
      </x:c>
      <x:c r="L3" s="31" t="n">
        <x:f>IF(E3=0,"",E3*K3)</x:f>
        <x:v>309001.38111942494</x:v>
      </x:c>
      <x:c r="M3" s="31" t="n">
        <x:f>IF(E3=0,"",I3-L3)</x:f>
        <x:v>1311.1360729742446</x:v>
      </x:c>
      <x:c r="N3" s="32" t="n">
        <x:f>IF(L3=0,"",I3/L3)</x:f>
        <x:v>1.0042431398468976</x:v>
      </x:c>
      <x:c r="O3" s="34" t="n">
        <x:f>IF(L3=0,"",M3/L3)</x:f>
        <x:v>0.004243139846897667</x:v>
      </x:c>
    </x:row>
    <x:row r="4" ht="18" customHeight="1">
      <x:c r="A4" s="24" t="str">
        <x:v>Sharks &amp; rays</x:v>
      </x:c>
      <x:c r="B4" s="33" t="n">
        <x:v>4</x:v>
      </x:c>
      <x:c r="C4" s="33" t="n">
        <x:v>4</x:v>
      </x:c>
      <x:c r="D4" s="31" t="n">
        <x:v>6.422224813900001</x:v>
      </x:c>
      <x:c r="E4" s="31" t="n">
        <x:v>6.422224813900001</x:v>
      </x:c>
      <x:c r="F4" s="32" t="n">
        <x:v>0</x:v>
      </x:c>
      <x:c r="G4" s="34" t="n">
        <x:v>1</x:v>
      </x:c>
      <x:c r="H4" s="32" t="n">
        <x:f>IF(E4=0,"",I4/E4)</x:f>
        <x:v>2337.3802822939483</x:v>
      </x:c>
      <x:c r="I4" s="31" t="n">
        <x:f>IF(C4=0,"",SUMIF('Species'!$H$2:$H$17,A4,'Species'!$U$2:$U$17))</x:f>
        <x:v>15011.181648468782</x:v>
      </x:c>
      <x:c r="J4" s="32" t="n">
        <x:v>4.330303989913242</x:v>
      </x:c>
      <x:c r="K4" s="32" t="n">
        <x:f>IF(J4="","",(1/'Metadata'!$B$5)^(J4-1))</x:f>
        <x:v>2139.4591069633157</x:v>
      </x:c>
      <x:c r="L4" s="31" t="n">
        <x:f>IF(E4=0,"",E4*K4)</x:f>
        <x:v>13740.087365064142</x:v>
      </x:c>
      <x:c r="M4" s="31" t="n">
        <x:f>IF(E4=0,"",I4-L4)</x:f>
        <x:v>1271.09428340464</x:v>
      </x:c>
      <x:c r="N4" s="32" t="n">
        <x:f>IF(L4=0,"",I4/L4)</x:f>
        <x:v>1.0925099127561992</x:v>
      </x:c>
      <x:c r="O4" s="34" t="n">
        <x:f>IF(L4=0,"",M4/L4)</x:f>
        <x:v>0.0925099127561993</x:v>
      </x:c>
    </x:row>
    <x:row r="5" ht="18" customHeight="1">
      <x:c r="A5" s="24" t="str">
        <x:v>Tuna &amp; billfishes</x:v>
      </x:c>
      <x:c r="B5" s="33" t="n">
        <x:v>6</x:v>
      </x:c>
      <x:c r="C5" s="33" t="n">
        <x:v>6</x:v>
      </x:c>
      <x:c r="D5" s="31" t="n">
        <x:v>1153.7709932455002</x:v>
      </x:c>
      <x:c r="E5" s="31" t="n">
        <x:v>1153.7709932455002</x:v>
      </x:c>
      <x:c r="F5" s="32" t="n">
        <x:v>0</x:v>
      </x:c>
      <x:c r="G5" s="34" t="n">
        <x:v>1</x:v>
      </x:c>
      <x:c r="H5" s="32" t="n">
        <x:f>IF(E5=0,"",I5/E5)</x:f>
        <x:v>2712.143679113809</x:v>
      </x:c>
      <x:c r="I5" s="31" t="n">
        <x:f>IF(C5=0,"",SUMIF('Species'!$H$2:$H$17,A5,'Species'!$U$2:$U$17))</x:f>
        <x:v>3129192.706475645</x:v>
      </x:c>
      <x:c r="J5" s="32" t="n">
        <x:v>4.432009124547888</x:v>
      </x:c>
      <x:c r="K5" s="32" t="n">
        <x:f>IF(J5="","",(1/'Metadata'!$B$5)^(J5-1))</x:f>
        <x:v>2704.0151750005207</x:v>
      </x:c>
      <x:c r="L5" s="31" t="n">
        <x:f>IF(E5=0,"",E5*K5)</x:f>
        <x:v>3119814.274211256</x:v>
      </x:c>
      <x:c r="M5" s="31" t="n">
        <x:f>IF(E5=0,"",I5-L5)</x:f>
        <x:v>9378.432264389005</x:v>
      </x:c>
      <x:c r="N5" s="32" t="n">
        <x:f>IF(L5=0,"",I5/L5)</x:f>
        <x:v>1.0030060867218642</x:v>
      </x:c>
      <x:c r="O5" s="34" t="n">
        <x:f>IF(L5=0,"",M5/L5)</x:f>
        <x:v>0.0030060867218642488</x:v>
      </x:c>
    </x:row>
  </x:sheetData>
  <x:conditionalFormatting sqref="G2:G5">
    <x:cfRule type="cellIs" dxfId="1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d4e1b8aac28f44b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pelagics (&gt;=90 cm)</x:v>
      </x:c>
      <x:c r="B2" s="33" t="n">
        <x:v>8</x:v>
      </x:c>
      <x:c r="C2" s="33" t="n">
        <x:v>8</x:v>
      </x:c>
      <x:c r="D2" s="31" t="n">
        <x:v>1292.6457019212999</x:v>
      </x:c>
      <x:c r="E2" s="31" t="n">
        <x:v>1292.6457019212999</x:v>
      </x:c>
      <x:c r="F2" s="32" t="n">
        <x:v>0</x:v>
      </x:c>
      <x:c r="G2" s="34" t="n">
        <x:v>1</x:v>
      </x:c>
      <x:c r="H2" s="32" t="n">
        <x:f>IF(E2=0,"",I2/E2)</x:f>
        <x:v>2625.372257846471</x:v>
      </x:c>
      <x:c r="I2" s="31" t="n">
        <x:f>IF(C2=0,"",SUMIF('Species'!$G$2:$G$17,A2,'Species'!$U$2:$U$17))</x:f>
        <x:v>3393676.165048659</x:v>
      </x:c>
      <x:c r="J2" s="32" t="n">
        <x:v>4.415437637137976</x:v>
      </x:c>
      <x:c r="K2" s="32" t="n">
        <x:f>IF(J2="","",(1/'Metadata'!$B$5)^(J2-1))</x:f>
        <x:v>2602.781056119801</x:v>
      </x:c>
      <x:c r="L2" s="31" t="n">
        <x:f>IF(E2=0,"",E2*K2)</x:f>
        <x:v>3364473.7452354426</x:v>
      </x:c>
      <x:c r="M2" s="31" t="n">
        <x:f>IF(E2=0,"",I2-L2)</x:f>
        <x:v>29202.4198132162</x:v>
      </x:c>
      <x:c r="N2" s="32" t="n">
        <x:f>IF(L2=0,"",I2/L2)</x:f>
        <x:v>1.0086796396775486</x:v>
      </x:c>
      <x:c r="O2" s="34" t="n">
        <x:f>IF(L2=0,"",M2/L2)</x:f>
        <x:v>0.008679639677548633</x:v>
      </x:c>
    </x:row>
    <x:row r="3" ht="18" customHeight="1">
      <x:c r="A3" s="24" t="str">
        <x:v>Large sharks (&gt;=90 cm)</x:v>
      </x:c>
      <x:c r="B3" s="33" t="n">
        <x:v>4</x:v>
      </x:c>
      <x:c r="C3" s="33" t="n">
        <x:v>4</x:v>
      </x:c>
      <x:c r="D3" s="31" t="n">
        <x:v>6.422224813900001</x:v>
      </x:c>
      <x:c r="E3" s="31" t="n">
        <x:v>6.422224813900001</x:v>
      </x:c>
      <x:c r="F3" s="32" t="n">
        <x:v>0</x:v>
      </x:c>
      <x:c r="G3" s="34" t="n">
        <x:v>1</x:v>
      </x:c>
      <x:c r="H3" s="32" t="n">
        <x:f>IF(E3=0,"",I3/E3)</x:f>
        <x:v>2337.3802822939483</x:v>
      </x:c>
      <x:c r="I3" s="31" t="n">
        <x:f>IF(C3=0,"",SUMIF('Species'!$G$2:$G$17,A3,'Species'!$U$2:$U$17))</x:f>
        <x:v>15011.181648468782</x:v>
      </x:c>
      <x:c r="J3" s="32" t="n">
        <x:v>4.330303989913242</x:v>
      </x:c>
      <x:c r="K3" s="32" t="n">
        <x:f>IF(J3="","",(1/'Metadata'!$B$5)^(J3-1))</x:f>
        <x:v>2139.4591069633157</x:v>
      </x:c>
      <x:c r="L3" s="31" t="n">
        <x:f>IF(E3=0,"",E3*K3)</x:f>
        <x:v>13740.087365064142</x:v>
      </x:c>
      <x:c r="M3" s="31" t="n">
        <x:f>IF(E3=0,"",I3-L3)</x:f>
        <x:v>1271.09428340464</x:v>
      </x:c>
      <x:c r="N3" s="32" t="n">
        <x:f>IF(L3=0,"",I3/L3)</x:f>
        <x:v>1.0925099127561992</x:v>
      </x:c>
      <x:c r="O3" s="34" t="n">
        <x:f>IF(L3=0,"",M3/L3)</x:f>
        <x:v>0.0925099127561993</x:v>
      </x:c>
    </x:row>
    <x:row r="4" ht="18" customHeight="1">
      <x:c r="A4" s="24" t="str">
        <x:v>Medium demersals (30 - 89 cm)</x:v>
      </x:c>
      <x:c r="B4" s="33" t="n">
        <x:v>1</x:v>
      </x:c>
      <x:c r="C4" s="33" t="n">
        <x:v>1</x:v>
      </x:c>
      <x:c r="D4" s="31" t="n">
        <x:v>4949.1796623747005</x:v>
      </x:c>
      <x:c r="E4" s="31" t="n">
        <x:v>4949.1796623747005</x:v>
      </x:c>
      <x:c r="F4" s="32" t="n">
        <x:v>0</x:v>
      </x:c>
      <x:c r="G4" s="34" t="n">
        <x:v>1</x:v>
      </x:c>
      <x:c r="H4" s="32" t="n">
        <x:f>IF(E4=0,"",I4/E4)</x:f>
        <x:v>190.54607179632464</x:v>
      </x:c>
      <x:c r="I4" s="31" t="n">
        <x:f>IF(C4=0,"",SUMIF('Species'!$G$2:$G$17,A4,'Species'!$U$2:$U$17))</x:f>
        <x:v>943046.7432797594</x:v>
      </x:c>
      <x:c r="J4" s="32" t="n">
        <x:v>3.28</x:v>
      </x:c>
      <x:c r="K4" s="32" t="n">
        <x:f>IF(J4="","",(1/'Metadata'!$B$5)^(J4-1))</x:f>
        <x:v>190.54607179632464</x:v>
      </x:c>
      <x:c r="L4" s="31" t="n">
        <x:f>IF(E4=0,"",E4*K4)</x:f>
        <x:v>943046.7432797594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Medium pelagics (30 - 89 cm)</x:v>
      </x:c>
      <x:c r="B5" s="33" t="n">
        <x:v>3</x:v>
      </x:c>
      <x:c r="C5" s="33" t="n">
        <x:v>3</x:v>
      </x:c>
      <x:c r="D5" s="31" t="n">
        <x:v>26.314855808700003</x:v>
      </x:c>
      <x:c r="E5" s="31" t="n">
        <x:v>26.314855808700003</x:v>
      </x:c>
      <x:c r="F5" s="32" t="n">
        <x:v>0</x:v>
      </x:c>
      <x:c r="G5" s="34" t="n">
        <x:v>1</x:v>
      </x:c>
      <x:c r="H5" s="32" t="n">
        <x:f>IF(E5=0,"",I5/E5)</x:f>
        <x:v>1754.041964778006</x:v>
      </x:c>
      <x:c r="I5" s="31" t="n">
        <x:f>IF(C5=0,"",SUMIF('Species'!$G$2:$G$17,A5,'Species'!$U$2:$U$17))</x:f>
        <x:v>46157.36138554208</x:v>
      </x:c>
      <x:c r="J5" s="32" t="n">
        <x:v>4.214168243754455</x:v>
      </x:c>
      <x:c r="K5" s="32" t="n">
        <x:f>IF(J5="","",(1/'Metadata'!$B$5)^(J5-1))</x:f>
        <x:v>1637.45073972112</x:v>
      </x:c>
      <x:c r="L5" s="31" t="n">
        <x:f>IF(E5=0,"",E5*K5)</x:f>
        <x:v>43089.28010961043</x:v>
      </x:c>
      <x:c r="M5" s="31" t="n">
        <x:f>IF(E5=0,"",I5-L5)</x:f>
        <x:v>3068.081275931647</x:v>
      </x:c>
      <x:c r="N5" s="32" t="n">
        <x:f>IF(L5=0,"",I5/L5)</x:f>
        <x:v>1.0712028900953339</x:v>
      </x:c>
      <x:c r="O5" s="34" t="n">
        <x:f>IF(L5=0,"",M5/L5)</x:f>
        <x:v>0.07120289009533386</x:v>
      </x:c>
    </x:row>
  </x:sheetData>
  <x:conditionalFormatting sqref="G2:G5">
    <x:cfRule type="cellIs" dxfId="2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043d9b782e0143d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EEZ_970</x:v>
      </x:c>
      <x:c r="B2" s="24" t="str">
        <x:v>raw_filtered_tonnes</x:v>
      </x:c>
      <x:c r="C2" s="24" t="n">
        <x:v>6274.562444918601</x:v>
      </x:c>
      <x:c r="D2" s="24" t="str">
        <x:v>tonnes</x:v>
      </x:c>
    </x:row>
    <x:row r="3" ht="18" customHeight="1">
      <x:c r="A3" s="24" t="str">
        <x:v>EEZ_970</x:v>
      </x:c>
      <x:c r="B3" s="24" t="str">
        <x:v>species_catch_tonnes</x:v>
      </x:c>
      <x:c r="C3" s="24" t="n">
        <x:v>6274.562444918601</x:v>
      </x:c>
      <x:c r="D3" s="24" t="str">
        <x:v>tonnes</x:v>
      </x:c>
    </x:row>
    <x:row r="4" ht="18" customHeight="1">
      <x:c r="A4" s="24" t="str">
        <x:v>EEZ_970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EEZ_970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EEZ_970</x:v>
      </x:c>
      <x:c r="B6" s="24" t="str">
        <x:v>matched_catch_tonnes</x:v>
      </x:c>
      <x:c r="C6" s="24" t="n">
        <x:v>6274.562444918601</x:v>
      </x:c>
      <x:c r="D6" s="24" t="str">
        <x:v>tonnes</x:v>
      </x:c>
    </x:row>
    <x:row r="7" ht="18" customHeight="1">
      <x:c r="A7" s="24" t="str">
        <x:v>EEZ_970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EEZ_970</x:v>
      </x:c>
      <x:c r="B8" s="24" t="str">
        <x:v>taxa_count</x:v>
      </x:c>
      <x:c r="C8" s="24" t="n">
        <x:v>16</x:v>
      </x:c>
      <x:c r="D8" s="24" t="str">
        <x:v>count</x:v>
      </x:c>
    </x:row>
    <x:row r="9" ht="18" customHeight="1">
      <x:c r="A9" s="24" t="str">
        <x:v>EEZ_970</x:v>
      </x:c>
      <x:c r="B9" s="24" t="str">
        <x:v>matched_taxa_count</x:v>
      </x:c>
      <x:c r="C9" s="24" t="n">
        <x:v>16</x:v>
      </x:c>
      <x:c r="D9" s="24" t="str">
        <x:v>count</x:v>
      </x:c>
    </x:row>
    <x:row r="10" ht="18" customHeight="1">
      <x:c r="A10" s="24" t="str">
        <x:v>EEZ_970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EEZ_970</x:v>
      </x:c>
      <x:c r="B11" s="24" t="str">
        <x:v>species_ppr</x:v>
      </x:c>
      <x:c r="C11" s="24" t="n">
        <x:v>4397891.451362429</x:v>
      </x:c>
      <x:c r="D11" s="24" t="str">
        <x:v>tonnes_primary_production_equivalent</x:v>
      </x:c>
    </x:row>
    <x:row r="12" ht="18" customHeight="1">
      <x:c r="A12" s="24" t="str">
        <x:v>EEZ_970</x:v>
      </x:c>
      <x:c r="B12" s="24" t="str">
        <x:v>commercial_ppr</x:v>
      </x:c>
      <x:c r="C12" s="24" t="n">
        <x:v>4397891.451362429</x:v>
      </x:c>
      <x:c r="D12" s="24" t="str">
        <x:v>tonnes_primary_production_equivalent</x:v>
      </x:c>
    </x:row>
    <x:row r="13" ht="18" customHeight="1">
      <x:c r="A13" s="24" t="str">
        <x:v>EEZ_970</x:v>
      </x:c>
      <x:c r="B13" s="24" t="str">
        <x:v>functional_ppr</x:v>
      </x:c>
      <x:c r="C13" s="24" t="n">
        <x:v>4397891.451362429</x:v>
      </x:c>
      <x:c r="D13" s="24" t="str">
        <x:v>tonnes_primary_production_equivalent</x:v>
      </x:c>
    </x:row>
    <x:row r="14" ht="18" customHeight="1">
      <x:c r="A14" s="24" t="str">
        <x:v>EEZ_970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EEZ_970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EEZ_970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EEZ_970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EEZ_970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EEZ_970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67b1f148088c485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EEZ_970 - St Paul and St. Peter Archipelago (Brazil)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EEZ_970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raw_data/SAU_downloads/EEZ_970-catch.zip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